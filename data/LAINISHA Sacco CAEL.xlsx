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kiarie\Desktop\Accounts Approval 2023\Lainisha\"/>
    </mc:Choice>
  </mc:AlternateContent>
  <xr:revisionPtr revIDLastSave="467" documentId="11_26B16BEB34F3269431A94459E3DB461616BB861D" xr6:coauthVersionLast="47" xr6:coauthVersionMax="47" xr10:uidLastSave="{2F1CBD78-7C4D-4908-8EF6-BF5B0266A691}"/>
  <bookViews>
    <workbookView xWindow="-60" yWindow="-60" windowWidth="15480" windowHeight="11640" firstSheet="7" activeTab="7" xr2:uid="{00000000-000D-0000-FFFF-FFFF00000000}"/>
  </bookViews>
  <sheets>
    <sheet name="Evolutive SFP" sheetId="1" r:id="rId1"/>
    <sheet name="Evolutitve SCI" sheetId="2" r:id="rId2"/>
    <sheet name="Feedback report" sheetId="10" r:id="rId3"/>
    <sheet name="FORM 4" sheetId="4" r:id="rId4"/>
    <sheet name="CAELS" sheetId="3" r:id="rId5"/>
    <sheet name="Financials" sheetId="5" r:id="rId6"/>
    <sheet name="CASH FLOW" sheetId="6" r:id="rId7"/>
    <sheet name="Prudential Ratios" sheetId="8" r:id="rId8"/>
    <sheet name="Assesment report Sept 2019" sheetId="13" r:id="rId9"/>
    <sheet name="Dec 2019 report" sheetId="11" r:id="rId10"/>
  </sheets>
  <externalReferences>
    <externalReference r:id="rId11"/>
    <externalReference r:id="rId12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units">'[1]SASRA B.S.'!$C$2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6" i="8" l="1"/>
  <c r="DJ7" i="8"/>
  <c r="DJ8" i="8"/>
  <c r="DJ9" i="8"/>
  <c r="DJ10" i="8"/>
  <c r="DJ14" i="8"/>
  <c r="DJ15" i="8"/>
  <c r="DJ19" i="8"/>
  <c r="DJ20" i="8"/>
  <c r="DJ21" i="8"/>
  <c r="DJ24" i="8"/>
  <c r="DJ25" i="8"/>
  <c r="DJ26" i="8"/>
  <c r="DJ27" i="8"/>
  <c r="DJ30" i="8"/>
  <c r="DJ31" i="8"/>
  <c r="DJ32" i="8"/>
  <c r="DJ33" i="8"/>
  <c r="DJ34" i="8"/>
  <c r="DJ35" i="8"/>
  <c r="DJ36" i="8"/>
  <c r="DJ47" i="8"/>
  <c r="DJ52" i="8"/>
  <c r="DJ53" i="8"/>
  <c r="CC4" i="5"/>
  <c r="CC5" i="5"/>
  <c r="CC6" i="5"/>
  <c r="CC7" i="5"/>
  <c r="CC8" i="5"/>
  <c r="CC9" i="5"/>
  <c r="CC15" i="5"/>
  <c r="CC17" i="5"/>
  <c r="CC18" i="5"/>
  <c r="CC19" i="5"/>
  <c r="CC20" i="5"/>
  <c r="CC22" i="5"/>
  <c r="CC21" i="5" s="1"/>
  <c r="CC26" i="5"/>
  <c r="CC27" i="5"/>
  <c r="CC28" i="5"/>
  <c r="CC30" i="5"/>
  <c r="CC31" i="5"/>
  <c r="CC32" i="5"/>
  <c r="CC34" i="5"/>
  <c r="CC35" i="5"/>
  <c r="CC38" i="5"/>
  <c r="CC39" i="5"/>
  <c r="CC40" i="5"/>
  <c r="CC41" i="5"/>
  <c r="CC44" i="5"/>
  <c r="CC45" i="5"/>
  <c r="CC46" i="5"/>
  <c r="CC47" i="5"/>
  <c r="CD3" i="3"/>
  <c r="CD4" i="3"/>
  <c r="CD5" i="3"/>
  <c r="CD6" i="3"/>
  <c r="CD8" i="3"/>
  <c r="CD9" i="3"/>
  <c r="CD10" i="3"/>
  <c r="CD11" i="3"/>
  <c r="CD12" i="3"/>
  <c r="CD13" i="3"/>
  <c r="CD14" i="3"/>
  <c r="CD15" i="3"/>
  <c r="CD16" i="3"/>
  <c r="CD17" i="3"/>
  <c r="CD18" i="3"/>
  <c r="CD19" i="3"/>
  <c r="CD20" i="3"/>
  <c r="CD21" i="3"/>
  <c r="CD22" i="3"/>
  <c r="CD23" i="3"/>
  <c r="CD24" i="3"/>
  <c r="CD25" i="3"/>
  <c r="CD26" i="3"/>
  <c r="CD27" i="3"/>
  <c r="CD28" i="3"/>
  <c r="CD32" i="3"/>
  <c r="CD33" i="3"/>
  <c r="CD34" i="3"/>
  <c r="CD35" i="3"/>
  <c r="CD36" i="3"/>
  <c r="CD38" i="3"/>
  <c r="DE7" i="2"/>
  <c r="DE12" i="2"/>
  <c r="DE23" i="2"/>
  <c r="DE20" i="2"/>
  <c r="DE30" i="2"/>
  <c r="DE39" i="2"/>
  <c r="DE4" i="2"/>
  <c r="DE3" i="2" s="1"/>
  <c r="DE19" i="2" s="1"/>
  <c r="DE29" i="2" s="1"/>
  <c r="DE33" i="2" s="1"/>
  <c r="DE35" i="2" s="1"/>
  <c r="DE37" i="2" s="1"/>
  <c r="DE4" i="1"/>
  <c r="DE8" i="1"/>
  <c r="DE14" i="1"/>
  <c r="DE17" i="1"/>
  <c r="DE27" i="1"/>
  <c r="DE21" i="1"/>
  <c r="DE31" i="1"/>
  <c r="DE38" i="1"/>
  <c r="DE48" i="1"/>
  <c r="DE49" i="1"/>
  <c r="DE51" i="1"/>
  <c r="DI6" i="8"/>
  <c r="DI7" i="8"/>
  <c r="DI8" i="8"/>
  <c r="DI9" i="8"/>
  <c r="DI10" i="8"/>
  <c r="DI14" i="8"/>
  <c r="DI15" i="8"/>
  <c r="DI21" i="8"/>
  <c r="DI24" i="8"/>
  <c r="DI25" i="8"/>
  <c r="DI26" i="8"/>
  <c r="DI27" i="8"/>
  <c r="DI30" i="8"/>
  <c r="DI31" i="8"/>
  <c r="DI32" i="8"/>
  <c r="DI33" i="8"/>
  <c r="DI34" i="8"/>
  <c r="DI35" i="8"/>
  <c r="DI36" i="8"/>
  <c r="DI47" i="8"/>
  <c r="DI52" i="8"/>
  <c r="DI53" i="8"/>
  <c r="CB4" i="5"/>
  <c r="CB5" i="5"/>
  <c r="CB6" i="5"/>
  <c r="CB7" i="5"/>
  <c r="CB8" i="5"/>
  <c r="CB9" i="5"/>
  <c r="CB15" i="5"/>
  <c r="CB17" i="5"/>
  <c r="CB18" i="5"/>
  <c r="CB19" i="5"/>
  <c r="CB20" i="5"/>
  <c r="CB22" i="5"/>
  <c r="CB21" i="5" s="1"/>
  <c r="CB26" i="5"/>
  <c r="CB27" i="5"/>
  <c r="CB28" i="5"/>
  <c r="CB30" i="5"/>
  <c r="CB31" i="5"/>
  <c r="CB32" i="5"/>
  <c r="CB34" i="5"/>
  <c r="CB35" i="5"/>
  <c r="CB38" i="5"/>
  <c r="CB39" i="5"/>
  <c r="CB40" i="5"/>
  <c r="CB41" i="5"/>
  <c r="CB44" i="5"/>
  <c r="CB45" i="5"/>
  <c r="CB46" i="5"/>
  <c r="CB47" i="5"/>
  <c r="CC3" i="3"/>
  <c r="CC4" i="3"/>
  <c r="CC5" i="3"/>
  <c r="CC6" i="3"/>
  <c r="CC8" i="3"/>
  <c r="CC9" i="3"/>
  <c r="CC10" i="3"/>
  <c r="CC11" i="3"/>
  <c r="CC12" i="3"/>
  <c r="CC13" i="3"/>
  <c r="CC14" i="3"/>
  <c r="CC15" i="3"/>
  <c r="CC16" i="3"/>
  <c r="CC17" i="3"/>
  <c r="CC18" i="3"/>
  <c r="CC19" i="3"/>
  <c r="CC20" i="3"/>
  <c r="CC21" i="3"/>
  <c r="CC22" i="3"/>
  <c r="CC23" i="3"/>
  <c r="CC24" i="3"/>
  <c r="CC25" i="3"/>
  <c r="CC26" i="3"/>
  <c r="CC27" i="3"/>
  <c r="CC28" i="3"/>
  <c r="CC32" i="3"/>
  <c r="CC33" i="3"/>
  <c r="CC34" i="3"/>
  <c r="CC35" i="3"/>
  <c r="CC36" i="3"/>
  <c r="CC38" i="3"/>
  <c r="DD7" i="2"/>
  <c r="DD4" i="2"/>
  <c r="DD3" i="2" s="1"/>
  <c r="DD12" i="2"/>
  <c r="DD23" i="2"/>
  <c r="DD19" i="2"/>
  <c r="DD20" i="2"/>
  <c r="DD39" i="2"/>
  <c r="DD29" i="2"/>
  <c r="DD30" i="2"/>
  <c r="DD33" i="2"/>
  <c r="DD35" i="2"/>
  <c r="DD37" i="2"/>
  <c r="DD8" i="1"/>
  <c r="DD4" i="1"/>
  <c r="DD21" i="1"/>
  <c r="DD17" i="1"/>
  <c r="DD14" i="1"/>
  <c r="DD27" i="1"/>
  <c r="DD31" i="1"/>
  <c r="DD38" i="1"/>
  <c r="DD48" i="1"/>
  <c r="DD49" i="1"/>
  <c r="DD51" i="1" s="1"/>
  <c r="DH6" i="8"/>
  <c r="DH7" i="8"/>
  <c r="DH8" i="8"/>
  <c r="DH9" i="8"/>
  <c r="DH10" i="8"/>
  <c r="DH14" i="8"/>
  <c r="DH15" i="8"/>
  <c r="DH21" i="8"/>
  <c r="DH24" i="8"/>
  <c r="DH25" i="8"/>
  <c r="DH26" i="8"/>
  <c r="DH27" i="8"/>
  <c r="DH30" i="8"/>
  <c r="DH31" i="8"/>
  <c r="DH32" i="8"/>
  <c r="DH33" i="8"/>
  <c r="DH34" i="8"/>
  <c r="DH35" i="8"/>
  <c r="DH36" i="8"/>
  <c r="DH47" i="8"/>
  <c r="DH52" i="8"/>
  <c r="DH53" i="8"/>
  <c r="CA4" i="5"/>
  <c r="CA5" i="5"/>
  <c r="CA6" i="5"/>
  <c r="CA7" i="5"/>
  <c r="CA8" i="5"/>
  <c r="CA9" i="5"/>
  <c r="CA15" i="5"/>
  <c r="CA17" i="5"/>
  <c r="CA18" i="5"/>
  <c r="CA19" i="5"/>
  <c r="CA20" i="5"/>
  <c r="CA22" i="5"/>
  <c r="CA21" i="5" s="1"/>
  <c r="CA26" i="5"/>
  <c r="CA27" i="5"/>
  <c r="CA28" i="5"/>
  <c r="CA30" i="5"/>
  <c r="CA31" i="5"/>
  <c r="CA32" i="5"/>
  <c r="CA34" i="5"/>
  <c r="CA35" i="5"/>
  <c r="CA38" i="5"/>
  <c r="CA39" i="5"/>
  <c r="CA40" i="5"/>
  <c r="CA41" i="5"/>
  <c r="CA44" i="5"/>
  <c r="CA45" i="5"/>
  <c r="CA46" i="5"/>
  <c r="CA47" i="5"/>
  <c r="CB3" i="3"/>
  <c r="CB4" i="3"/>
  <c r="CB5" i="3"/>
  <c r="CB6" i="3"/>
  <c r="CB8" i="3"/>
  <c r="CB9" i="3"/>
  <c r="CB10" i="3"/>
  <c r="CB11" i="3"/>
  <c r="CB12" i="3"/>
  <c r="CB13" i="3"/>
  <c r="CB14" i="3"/>
  <c r="CB15" i="3"/>
  <c r="CB16" i="3"/>
  <c r="CB17" i="3"/>
  <c r="CB18" i="3"/>
  <c r="CB19" i="3"/>
  <c r="CB20" i="3"/>
  <c r="CB21" i="3"/>
  <c r="CB22" i="3"/>
  <c r="CB23" i="3"/>
  <c r="CB24" i="3"/>
  <c r="CB25" i="3"/>
  <c r="CB26" i="3"/>
  <c r="CB27" i="3"/>
  <c r="CB28" i="3"/>
  <c r="CB32" i="3"/>
  <c r="CB33" i="3"/>
  <c r="CB34" i="3"/>
  <c r="CB35" i="3"/>
  <c r="CB36" i="3"/>
  <c r="CB38" i="3"/>
  <c r="DC4" i="2"/>
  <c r="DC7" i="2"/>
  <c r="DC12" i="2"/>
  <c r="DC20" i="2"/>
  <c r="DC23" i="2"/>
  <c r="DC30" i="2"/>
  <c r="DC39" i="2"/>
  <c r="DC3" i="2"/>
  <c r="DC19" i="2" s="1"/>
  <c r="DC29" i="2" s="1"/>
  <c r="DC33" i="2" s="1"/>
  <c r="DC35" i="2" s="1"/>
  <c r="DC37" i="2" s="1"/>
  <c r="DC14" i="1"/>
  <c r="DC8" i="1"/>
  <c r="DC4" i="1"/>
  <c r="DC31" i="1"/>
  <c r="DC27" i="1"/>
  <c r="DC21" i="1"/>
  <c r="DC17" i="1"/>
  <c r="DC38" i="1"/>
  <c r="DC48" i="1"/>
  <c r="DC49" i="1"/>
  <c r="DC51" i="1"/>
  <c r="DG9" i="8"/>
  <c r="DG14" i="8"/>
  <c r="DG15" i="8"/>
  <c r="DG21" i="8"/>
  <c r="DG24" i="8"/>
  <c r="DG25" i="8"/>
  <c r="DG26" i="8"/>
  <c r="DG27" i="8"/>
  <c r="DG30" i="8"/>
  <c r="DG31" i="8"/>
  <c r="DG32" i="8"/>
  <c r="DG33" i="8"/>
  <c r="DG34" i="8"/>
  <c r="DG36" i="8"/>
  <c r="DG47" i="8"/>
  <c r="DG52" i="8"/>
  <c r="DG53" i="8"/>
  <c r="BZ4" i="5"/>
  <c r="BZ5" i="5"/>
  <c r="BZ6" i="5"/>
  <c r="BZ7" i="5"/>
  <c r="BZ8" i="5"/>
  <c r="BZ9" i="5"/>
  <c r="BZ15" i="5"/>
  <c r="BZ17" i="5"/>
  <c r="BZ18" i="5"/>
  <c r="BZ19" i="5"/>
  <c r="BZ20" i="5"/>
  <c r="BZ22" i="5"/>
  <c r="BZ21" i="5" s="1"/>
  <c r="BZ26" i="5"/>
  <c r="BZ27" i="5"/>
  <c r="BZ28" i="5"/>
  <c r="BZ30" i="5"/>
  <c r="BZ31" i="5"/>
  <c r="BZ32" i="5"/>
  <c r="BZ34" i="5"/>
  <c r="BZ35" i="5"/>
  <c r="BZ38" i="5"/>
  <c r="BZ39" i="5"/>
  <c r="BZ40" i="5"/>
  <c r="BZ41" i="5"/>
  <c r="BZ44" i="5"/>
  <c r="BZ45" i="5"/>
  <c r="BZ46" i="5"/>
  <c r="BZ47" i="5"/>
  <c r="CA3" i="3"/>
  <c r="CA4" i="3"/>
  <c r="CA5" i="3"/>
  <c r="CA6" i="3"/>
  <c r="CA8" i="3"/>
  <c r="CA9" i="3"/>
  <c r="CA10" i="3"/>
  <c r="CA11" i="3"/>
  <c r="CA12" i="3"/>
  <c r="CA13" i="3"/>
  <c r="CA14" i="3"/>
  <c r="CA15" i="3"/>
  <c r="CA16" i="3"/>
  <c r="CA17" i="3"/>
  <c r="CA18" i="3"/>
  <c r="CA19" i="3"/>
  <c r="CA20" i="3"/>
  <c r="CA21" i="3"/>
  <c r="CA22" i="3"/>
  <c r="CA23" i="3"/>
  <c r="CA24" i="3"/>
  <c r="CA25" i="3"/>
  <c r="CA26" i="3"/>
  <c r="CA27" i="3"/>
  <c r="CA28" i="3"/>
  <c r="CA32" i="3"/>
  <c r="CA33" i="3"/>
  <c r="CA34" i="3"/>
  <c r="CA35" i="3"/>
  <c r="CA36" i="3"/>
  <c r="CA38" i="3"/>
  <c r="DB3" i="2"/>
  <c r="DB4" i="2"/>
  <c r="DB7" i="2"/>
  <c r="DB12" i="2"/>
  <c r="DB19" i="2"/>
  <c r="DB20" i="2"/>
  <c r="DB23" i="2"/>
  <c r="DB29" i="2"/>
  <c r="DB30" i="2"/>
  <c r="DB33" i="2"/>
  <c r="DB35" i="2"/>
  <c r="DB37" i="2"/>
  <c r="DB39" i="2"/>
  <c r="DB48" i="1"/>
  <c r="DB49" i="1" s="1"/>
  <c r="DB51" i="1" s="1"/>
  <c r="DB38" i="1"/>
  <c r="DB31" i="1"/>
  <c r="DB27" i="1"/>
  <c r="DB21" i="1"/>
  <c r="DB17" i="1"/>
  <c r="DB14" i="1"/>
  <c r="DB8" i="1"/>
  <c r="DB4" i="1"/>
  <c r="DF6" i="8"/>
  <c r="DF7" i="8"/>
  <c r="DF8" i="8"/>
  <c r="DF9" i="8"/>
  <c r="DF10" i="8"/>
  <c r="DF14" i="8"/>
  <c r="DF15" i="8"/>
  <c r="DF21" i="8"/>
  <c r="DF24" i="8"/>
  <c r="DF25" i="8"/>
  <c r="DF26" i="8"/>
  <c r="DF27" i="8"/>
  <c r="DF30" i="8"/>
  <c r="DF31" i="8"/>
  <c r="DF32" i="8"/>
  <c r="DF33" i="8"/>
  <c r="DF34" i="8"/>
  <c r="DF35" i="8"/>
  <c r="DF36" i="8"/>
  <c r="DF47" i="8"/>
  <c r="DF52" i="8"/>
  <c r="DF53" i="8"/>
  <c r="BZ3" i="3"/>
  <c r="BZ4" i="3"/>
  <c r="BZ5" i="3"/>
  <c r="BZ6" i="3"/>
  <c r="BZ8" i="3"/>
  <c r="BZ9" i="3"/>
  <c r="BZ10" i="3"/>
  <c r="BZ11" i="3"/>
  <c r="BZ12" i="3"/>
  <c r="BZ13" i="3"/>
  <c r="BZ14" i="3"/>
  <c r="BZ15" i="3"/>
  <c r="BZ16" i="3"/>
  <c r="BZ17" i="3"/>
  <c r="BZ18" i="3"/>
  <c r="BZ19" i="3"/>
  <c r="BZ20" i="3"/>
  <c r="BZ21" i="3"/>
  <c r="BZ22" i="3"/>
  <c r="BZ23" i="3"/>
  <c r="BZ24" i="3"/>
  <c r="BZ25" i="3"/>
  <c r="BZ26" i="3"/>
  <c r="BZ27" i="3"/>
  <c r="BZ28" i="3"/>
  <c r="BZ29" i="3"/>
  <c r="BZ30" i="3"/>
  <c r="BZ32" i="3"/>
  <c r="BZ33" i="3"/>
  <c r="BZ34" i="3"/>
  <c r="BZ35" i="3"/>
  <c r="BZ36" i="3"/>
  <c r="BZ37" i="3"/>
  <c r="BZ38" i="3"/>
  <c r="BZ39" i="3"/>
  <c r="BY4" i="5"/>
  <c r="BY5" i="5"/>
  <c r="BY6" i="5"/>
  <c r="BY7" i="5"/>
  <c r="BY8" i="5"/>
  <c r="BY9" i="5"/>
  <c r="BY15" i="5"/>
  <c r="BY17" i="5"/>
  <c r="BY18" i="5"/>
  <c r="BY19" i="5"/>
  <c r="BY20" i="5"/>
  <c r="BY22" i="5"/>
  <c r="BY21" i="5" s="1"/>
  <c r="BY26" i="5"/>
  <c r="BY27" i="5"/>
  <c r="BY28" i="5"/>
  <c r="BY30" i="5"/>
  <c r="BY31" i="5"/>
  <c r="BY32" i="5"/>
  <c r="BY34" i="5"/>
  <c r="BY35" i="5"/>
  <c r="BY38" i="5"/>
  <c r="BY39" i="5"/>
  <c r="BY40" i="5"/>
  <c r="BY41" i="5"/>
  <c r="BY44" i="5"/>
  <c r="BY45" i="5"/>
  <c r="BY46" i="5"/>
  <c r="BY47" i="5"/>
  <c r="DA8" i="1"/>
  <c r="DA30" i="2"/>
  <c r="DA23" i="2"/>
  <c r="DA20" i="2"/>
  <c r="DA12" i="2"/>
  <c r="DA39" i="2" s="1"/>
  <c r="DA7" i="2"/>
  <c r="DA4" i="2"/>
  <c r="DA3" i="2"/>
  <c r="DA19" i="2" s="1"/>
  <c r="DA29" i="2" s="1"/>
  <c r="DA33" i="2" s="1"/>
  <c r="DA35" i="2" s="1"/>
  <c r="DA37" i="2" s="1"/>
  <c r="DA48" i="1"/>
  <c r="DA31" i="1"/>
  <c r="DA38" i="1" s="1"/>
  <c r="DA21" i="1"/>
  <c r="DA17" i="1"/>
  <c r="DA14" i="1"/>
  <c r="DA4" i="1"/>
  <c r="DA27" i="1" s="1"/>
  <c r="BY3" i="3"/>
  <c r="BY8" i="3"/>
  <c r="BY10" i="3"/>
  <c r="BY19" i="3"/>
  <c r="BY32" i="3"/>
  <c r="BY33" i="3"/>
  <c r="BY34" i="3"/>
  <c r="BX6" i="5"/>
  <c r="BX7" i="5"/>
  <c r="BX8" i="5"/>
  <c r="BX9" i="5"/>
  <c r="BX15" i="5"/>
  <c r="BX17" i="5"/>
  <c r="BX18" i="5"/>
  <c r="BX19" i="5"/>
  <c r="BX20" i="5"/>
  <c r="BX22" i="5"/>
  <c r="BX21" i="5" s="1"/>
  <c r="BX26" i="5"/>
  <c r="BX27" i="5"/>
  <c r="BX28" i="5"/>
  <c r="BX31" i="5"/>
  <c r="BY28" i="3" s="1"/>
  <c r="BX32" i="5"/>
  <c r="BX35" i="5"/>
  <c r="BX38" i="5"/>
  <c r="BX39" i="5"/>
  <c r="BX40" i="5"/>
  <c r="BX41" i="5"/>
  <c r="BX44" i="5"/>
  <c r="BX45" i="5"/>
  <c r="BX46" i="5"/>
  <c r="BX47" i="5"/>
  <c r="CZ30" i="2"/>
  <c r="CZ23" i="2"/>
  <c r="CZ20" i="2"/>
  <c r="CZ12" i="2"/>
  <c r="CZ39" i="2" s="1"/>
  <c r="CZ7" i="2"/>
  <c r="CZ4" i="2"/>
  <c r="CZ3" i="2"/>
  <c r="CZ19" i="2" s="1"/>
  <c r="CZ29" i="2" s="1"/>
  <c r="CZ33" i="2" s="1"/>
  <c r="CZ35" i="2" s="1"/>
  <c r="CZ37" i="2" s="1"/>
  <c r="CZ48" i="1"/>
  <c r="CZ31" i="1"/>
  <c r="CZ21" i="1"/>
  <c r="CZ17" i="1"/>
  <c r="CZ14" i="1"/>
  <c r="CZ8" i="1"/>
  <c r="CZ4" i="1"/>
  <c r="BU6" i="5"/>
  <c r="BV6" i="5"/>
  <c r="BW6" i="5"/>
  <c r="BU7" i="5"/>
  <c r="BV7" i="5"/>
  <c r="BW7" i="5"/>
  <c r="BU8" i="5"/>
  <c r="BV8" i="5"/>
  <c r="BW8" i="5"/>
  <c r="BU9" i="5"/>
  <c r="BV9" i="5"/>
  <c r="BW9" i="5"/>
  <c r="BU15" i="5"/>
  <c r="BV15" i="5"/>
  <c r="BW15" i="5"/>
  <c r="BU17" i="5"/>
  <c r="BV17" i="5"/>
  <c r="BW17" i="5"/>
  <c r="BU18" i="5"/>
  <c r="BV18" i="5"/>
  <c r="BW18" i="5"/>
  <c r="BU19" i="5"/>
  <c r="BV19" i="5"/>
  <c r="BW19" i="5"/>
  <c r="BU20" i="5"/>
  <c r="BV20" i="5"/>
  <c r="BW20" i="5"/>
  <c r="BU22" i="5"/>
  <c r="BU21" i="5" s="1"/>
  <c r="BV22" i="5"/>
  <c r="BV21" i="5" s="1"/>
  <c r="BW22" i="5"/>
  <c r="BW21" i="5" s="1"/>
  <c r="BU26" i="5"/>
  <c r="BV26" i="5"/>
  <c r="BW26" i="5"/>
  <c r="BU27" i="5"/>
  <c r="BV27" i="5"/>
  <c r="BW27" i="5"/>
  <c r="BU28" i="5"/>
  <c r="BV28" i="5"/>
  <c r="BW28" i="5"/>
  <c r="BU31" i="5"/>
  <c r="BV31" i="5"/>
  <c r="BW31" i="5"/>
  <c r="BY35" i="3" s="1"/>
  <c r="BU32" i="5"/>
  <c r="BV32" i="5"/>
  <c r="BW32" i="5"/>
  <c r="BU35" i="5"/>
  <c r="BV35" i="5"/>
  <c r="BW35" i="5"/>
  <c r="BU38" i="5"/>
  <c r="BV38" i="5"/>
  <c r="BW38" i="5"/>
  <c r="BU39" i="5"/>
  <c r="BV39" i="5"/>
  <c r="BW39" i="5"/>
  <c r="BU40" i="5"/>
  <c r="BV40" i="5"/>
  <c r="BW40" i="5"/>
  <c r="BU41" i="5"/>
  <c r="BV41" i="5"/>
  <c r="BW41" i="5"/>
  <c r="BU44" i="5"/>
  <c r="BV44" i="5"/>
  <c r="BW44" i="5"/>
  <c r="BU45" i="5"/>
  <c r="BV45" i="5"/>
  <c r="BW45" i="5"/>
  <c r="BU46" i="5"/>
  <c r="BV46" i="5"/>
  <c r="BW46" i="5"/>
  <c r="BU47" i="5"/>
  <c r="BV47" i="5"/>
  <c r="BW47" i="5"/>
  <c r="BT47" i="5"/>
  <c r="BV3" i="3"/>
  <c r="BW3" i="3"/>
  <c r="BX3" i="3"/>
  <c r="BV8" i="3"/>
  <c r="BW8" i="3"/>
  <c r="BX8" i="3"/>
  <c r="BV10" i="3"/>
  <c r="BW10" i="3"/>
  <c r="BX10" i="3"/>
  <c r="BV19" i="3"/>
  <c r="BW19" i="3"/>
  <c r="BX19" i="3"/>
  <c r="BV26" i="3"/>
  <c r="BW26" i="3"/>
  <c r="BX26" i="3"/>
  <c r="BV27" i="3"/>
  <c r="BW27" i="3"/>
  <c r="BX27" i="3"/>
  <c r="BV28" i="3"/>
  <c r="BW28" i="3"/>
  <c r="BX28" i="3"/>
  <c r="BV32" i="3"/>
  <c r="BW32" i="3"/>
  <c r="BX32" i="3"/>
  <c r="BV33" i="3"/>
  <c r="BW33" i="3"/>
  <c r="BX33" i="3"/>
  <c r="BV34" i="3"/>
  <c r="BW34" i="3"/>
  <c r="BX34" i="3"/>
  <c r="BW35" i="3"/>
  <c r="BX35" i="3"/>
  <c r="CW30" i="2"/>
  <c r="CX30" i="2"/>
  <c r="CY30" i="2"/>
  <c r="CW23" i="2"/>
  <c r="CX23" i="2"/>
  <c r="CY23" i="2"/>
  <c r="CW20" i="2"/>
  <c r="CX20" i="2"/>
  <c r="CY20" i="2"/>
  <c r="CY12" i="2"/>
  <c r="CY39" i="2" s="1"/>
  <c r="CW12" i="2"/>
  <c r="CW39" i="2" s="1"/>
  <c r="CX12" i="2"/>
  <c r="CX39" i="2" s="1"/>
  <c r="CW7" i="2"/>
  <c r="CX7" i="2"/>
  <c r="CY7" i="2"/>
  <c r="CY4" i="2"/>
  <c r="CW4" i="2"/>
  <c r="CX4" i="2"/>
  <c r="CW3" i="2"/>
  <c r="CW19" i="2" s="1"/>
  <c r="CW29" i="2" s="1"/>
  <c r="CW33" i="2" s="1"/>
  <c r="CW35" i="2" s="1"/>
  <c r="CW37" i="2" s="1"/>
  <c r="CX3" i="2"/>
  <c r="CX19" i="2" s="1"/>
  <c r="CX29" i="2" s="1"/>
  <c r="CX33" i="2" s="1"/>
  <c r="CX35" i="2" s="1"/>
  <c r="CX37" i="2" s="1"/>
  <c r="CY3" i="2"/>
  <c r="CY19" i="2" s="1"/>
  <c r="CY29" i="2" s="1"/>
  <c r="CY33" i="2" s="1"/>
  <c r="CY35" i="2" s="1"/>
  <c r="CY37" i="2" s="1"/>
  <c r="CW48" i="1"/>
  <c r="CX48" i="1"/>
  <c r="CY48" i="1"/>
  <c r="CW31" i="1"/>
  <c r="CX31" i="1"/>
  <c r="CY31" i="1"/>
  <c r="CW21" i="1"/>
  <c r="CX21" i="1"/>
  <c r="CY21" i="1"/>
  <c r="CW17" i="1"/>
  <c r="CX17" i="1"/>
  <c r="CY17" i="1"/>
  <c r="CW14" i="1"/>
  <c r="CX14" i="1"/>
  <c r="CY14" i="1"/>
  <c r="CW8" i="1"/>
  <c r="CX8" i="1"/>
  <c r="CY8" i="1"/>
  <c r="CW4" i="1"/>
  <c r="CX4" i="1"/>
  <c r="CY4" i="1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S26" i="5"/>
  <c r="BT26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S27" i="5"/>
  <c r="BT27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T6" i="5"/>
  <c r="BT7" i="5"/>
  <c r="BT8" i="5"/>
  <c r="BT9" i="5"/>
  <c r="BT15" i="5"/>
  <c r="BT19" i="5"/>
  <c r="BT22" i="5"/>
  <c r="BT21" i="5" s="1"/>
  <c r="BT31" i="5"/>
  <c r="BV35" i="3" s="1"/>
  <c r="BT32" i="5"/>
  <c r="BT35" i="5"/>
  <c r="BT38" i="5"/>
  <c r="BT39" i="5"/>
  <c r="BT40" i="5"/>
  <c r="BT41" i="5"/>
  <c r="BT44" i="5"/>
  <c r="BT45" i="5"/>
  <c r="BT46" i="5"/>
  <c r="BU8" i="3"/>
  <c r="BU10" i="3"/>
  <c r="BU26" i="3"/>
  <c r="BU27" i="3"/>
  <c r="BU28" i="3"/>
  <c r="BU32" i="3"/>
  <c r="BU33" i="3"/>
  <c r="BU34" i="3"/>
  <c r="CV42" i="1"/>
  <c r="BT18" i="5" s="1"/>
  <c r="CV41" i="1"/>
  <c r="CV21" i="1"/>
  <c r="CV6" i="1"/>
  <c r="CV4" i="1" s="1"/>
  <c r="CV25" i="2"/>
  <c r="CV24" i="2"/>
  <c r="CV28" i="2"/>
  <c r="CV11" i="2"/>
  <c r="CV13" i="2"/>
  <c r="CV12" i="2" s="1"/>
  <c r="CV5" i="2"/>
  <c r="CV4" i="2" s="1"/>
  <c r="CV7" i="2"/>
  <c r="CV20" i="2"/>
  <c r="CV30" i="2"/>
  <c r="CV44" i="1"/>
  <c r="BT20" i="5" s="1"/>
  <c r="CV8" i="1"/>
  <c r="CV14" i="1"/>
  <c r="CV17" i="1"/>
  <c r="CV31" i="1"/>
  <c r="CC43" i="5" l="1"/>
  <c r="CC37" i="5"/>
  <c r="CC25" i="5"/>
  <c r="CC14" i="5"/>
  <c r="CC11" i="5" s="1"/>
  <c r="CB43" i="5"/>
  <c r="CB37" i="5"/>
  <c r="CB25" i="5"/>
  <c r="CB14" i="5"/>
  <c r="CB11" i="5" s="1"/>
  <c r="CA43" i="5"/>
  <c r="CA37" i="5"/>
  <c r="CA25" i="5"/>
  <c r="CA14" i="5"/>
  <c r="CA11" i="5" s="1"/>
  <c r="BZ43" i="5"/>
  <c r="BZ37" i="5"/>
  <c r="BZ25" i="5"/>
  <c r="BZ14" i="5"/>
  <c r="BZ11" i="5" s="1"/>
  <c r="BY43" i="5"/>
  <c r="BY37" i="5"/>
  <c r="BY25" i="5"/>
  <c r="BY14" i="5"/>
  <c r="BY11" i="5" s="1"/>
  <c r="BY12" i="5" s="1"/>
  <c r="CV38" i="1"/>
  <c r="BT5" i="5"/>
  <c r="BU18" i="3"/>
  <c r="BT30" i="5"/>
  <c r="DA47" i="8"/>
  <c r="DA52" i="8"/>
  <c r="DA53" i="8"/>
  <c r="BU12" i="3"/>
  <c r="BU13" i="3"/>
  <c r="BT34" i="5"/>
  <c r="BT17" i="5"/>
  <c r="BU3" i="3"/>
  <c r="CY27" i="1"/>
  <c r="DD47" i="8"/>
  <c r="DD52" i="8"/>
  <c r="DD53" i="8"/>
  <c r="BX12" i="3"/>
  <c r="BX13" i="3"/>
  <c r="BX15" i="3"/>
  <c r="CX27" i="1"/>
  <c r="DC47" i="8"/>
  <c r="DC52" i="8"/>
  <c r="DC53" i="8"/>
  <c r="BW12" i="3"/>
  <c r="BW13" i="3"/>
  <c r="BW15" i="3"/>
  <c r="CW27" i="1"/>
  <c r="DB47" i="8"/>
  <c r="DB52" i="8"/>
  <c r="DB53" i="8"/>
  <c r="BV12" i="3"/>
  <c r="BV13" i="3"/>
  <c r="BV15" i="3"/>
  <c r="BW30" i="5"/>
  <c r="BX38" i="3"/>
  <c r="BV30" i="5"/>
  <c r="BW38" i="3"/>
  <c r="BU30" i="5"/>
  <c r="BV38" i="3"/>
  <c r="DD14" i="8"/>
  <c r="DC14" i="8"/>
  <c r="DB14" i="8"/>
  <c r="BW34" i="5"/>
  <c r="BX16" i="3"/>
  <c r="BX17" i="3"/>
  <c r="BV34" i="5"/>
  <c r="BW16" i="3"/>
  <c r="BW17" i="3"/>
  <c r="BU34" i="5"/>
  <c r="BV16" i="3"/>
  <c r="BV17" i="3"/>
  <c r="CY38" i="1"/>
  <c r="CY49" i="1" s="1"/>
  <c r="BW5" i="5"/>
  <c r="BX5" i="3"/>
  <c r="BX18" i="3"/>
  <c r="BX21" i="3"/>
  <c r="CX38" i="1"/>
  <c r="CX49" i="1" s="1"/>
  <c r="BV5" i="5"/>
  <c r="BW5" i="3"/>
  <c r="BW18" i="3"/>
  <c r="BW21" i="3"/>
  <c r="CW38" i="1"/>
  <c r="CW49" i="1" s="1"/>
  <c r="BU5" i="5"/>
  <c r="BV5" i="3"/>
  <c r="BV18" i="3"/>
  <c r="BV21" i="3"/>
  <c r="CZ27" i="1"/>
  <c r="BY12" i="3"/>
  <c r="BY13" i="3"/>
  <c r="BY15" i="3"/>
  <c r="DE47" i="8"/>
  <c r="DE52" i="8"/>
  <c r="DE53" i="8"/>
  <c r="BY38" i="3"/>
  <c r="BX30" i="5"/>
  <c r="DE14" i="8"/>
  <c r="BY16" i="3"/>
  <c r="BY17" i="3"/>
  <c r="BX34" i="5"/>
  <c r="CZ38" i="1"/>
  <c r="CZ49" i="1" s="1"/>
  <c r="BY5" i="3"/>
  <c r="BY18" i="3"/>
  <c r="BY21" i="3"/>
  <c r="BX5" i="5"/>
  <c r="BY27" i="3"/>
  <c r="BY26" i="3"/>
  <c r="DA49" i="1"/>
  <c r="DA51" i="1" s="1"/>
  <c r="BX43" i="5"/>
  <c r="BX37" i="5"/>
  <c r="BX25" i="5"/>
  <c r="BX14" i="5"/>
  <c r="BX11" i="5" s="1"/>
  <c r="BW43" i="5"/>
  <c r="BV43" i="5"/>
  <c r="BU43" i="5"/>
  <c r="BW37" i="5"/>
  <c r="BV37" i="5"/>
  <c r="BU37" i="5"/>
  <c r="BW25" i="5"/>
  <c r="BV25" i="5"/>
  <c r="BU25" i="5"/>
  <c r="BW14" i="5"/>
  <c r="BW11" i="5" s="1"/>
  <c r="BV14" i="5"/>
  <c r="BV11" i="5" s="1"/>
  <c r="BU14" i="5"/>
  <c r="BU11" i="5" s="1"/>
  <c r="BT25" i="5"/>
  <c r="BS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BT43" i="5"/>
  <c r="BT37" i="5"/>
  <c r="BT14" i="5"/>
  <c r="BT11" i="5" s="1"/>
  <c r="CV48" i="1"/>
  <c r="CV27" i="1"/>
  <c r="CV23" i="2"/>
  <c r="CV39" i="2" s="1"/>
  <c r="CV3" i="2"/>
  <c r="CV19" i="2" s="1"/>
  <c r="CV49" i="1"/>
  <c r="CV51" i="1" s="1"/>
  <c r="BM3" i="3"/>
  <c r="BN3" i="3"/>
  <c r="BO3" i="3"/>
  <c r="BP3" i="3"/>
  <c r="BQ3" i="3"/>
  <c r="BR3" i="3"/>
  <c r="BS3" i="3"/>
  <c r="BT3" i="3"/>
  <c r="BM8" i="3"/>
  <c r="BN8" i="3"/>
  <c r="BO8" i="3"/>
  <c r="BP8" i="3"/>
  <c r="BQ8" i="3"/>
  <c r="BR8" i="3"/>
  <c r="BS8" i="3"/>
  <c r="BT8" i="3"/>
  <c r="BM19" i="3"/>
  <c r="BN19" i="3"/>
  <c r="BO19" i="3"/>
  <c r="BP19" i="3"/>
  <c r="BQ19" i="3"/>
  <c r="BR19" i="3"/>
  <c r="BS19" i="3"/>
  <c r="BD3" i="3"/>
  <c r="BE3" i="3"/>
  <c r="BF3" i="3"/>
  <c r="BH3" i="3"/>
  <c r="BI3" i="3"/>
  <c r="BJ3" i="3"/>
  <c r="BK3" i="3"/>
  <c r="BL3" i="3"/>
  <c r="BD8" i="3"/>
  <c r="BE8" i="3"/>
  <c r="BF8" i="3"/>
  <c r="BG8" i="3"/>
  <c r="BH8" i="3"/>
  <c r="BI8" i="3"/>
  <c r="BJ8" i="3"/>
  <c r="BK8" i="3"/>
  <c r="BL8" i="3"/>
  <c r="BD19" i="3"/>
  <c r="BE19" i="3"/>
  <c r="BF19" i="3"/>
  <c r="BH19" i="3"/>
  <c r="BI19" i="3"/>
  <c r="BJ19" i="3"/>
  <c r="BK19" i="3"/>
  <c r="BL19" i="3"/>
  <c r="CU13" i="1"/>
  <c r="CU6" i="1"/>
  <c r="CU5" i="1" s="1"/>
  <c r="CR8" i="1"/>
  <c r="CS8" i="1"/>
  <c r="CT8" i="1"/>
  <c r="CU8" i="1"/>
  <c r="CQ8" i="1"/>
  <c r="BQ6" i="5"/>
  <c r="BR26" i="3" s="1"/>
  <c r="BR6" i="5"/>
  <c r="BS26" i="3" s="1"/>
  <c r="BS6" i="5"/>
  <c r="BT26" i="3" s="1"/>
  <c r="BQ7" i="5"/>
  <c r="BR27" i="3" s="1"/>
  <c r="BR7" i="5"/>
  <c r="BS27" i="3" s="1"/>
  <c r="BS7" i="5"/>
  <c r="BT27" i="3" s="1"/>
  <c r="BQ8" i="5"/>
  <c r="BR8" i="5"/>
  <c r="BS8" i="5"/>
  <c r="BQ9" i="5"/>
  <c r="BR9" i="5"/>
  <c r="BS9" i="5"/>
  <c r="BQ15" i="5"/>
  <c r="BR15" i="5"/>
  <c r="BS15" i="5"/>
  <c r="BQ17" i="5"/>
  <c r="BR17" i="5"/>
  <c r="BS17" i="5"/>
  <c r="BQ18" i="5"/>
  <c r="BR18" i="5"/>
  <c r="BS18" i="5"/>
  <c r="BQ19" i="5"/>
  <c r="BR19" i="5"/>
  <c r="BS19" i="5"/>
  <c r="BQ20" i="5"/>
  <c r="BR20" i="5"/>
  <c r="BS20" i="5"/>
  <c r="BQ22" i="5"/>
  <c r="BQ21" i="5" s="1"/>
  <c r="BR22" i="5"/>
  <c r="BR21" i="5" s="1"/>
  <c r="BS22" i="5"/>
  <c r="BS21" i="5" s="1"/>
  <c r="BQ31" i="5"/>
  <c r="BR28" i="3" s="1"/>
  <c r="BR31" i="5"/>
  <c r="BS28" i="3" s="1"/>
  <c r="BS31" i="5"/>
  <c r="BQ32" i="5"/>
  <c r="BR32" i="5"/>
  <c r="BS32" i="5"/>
  <c r="BQ35" i="5"/>
  <c r="BR35" i="5"/>
  <c r="BS35" i="5"/>
  <c r="BQ38" i="5"/>
  <c r="BR38" i="5"/>
  <c r="BS38" i="5"/>
  <c r="BQ40" i="5"/>
  <c r="BR40" i="5"/>
  <c r="BS40" i="5"/>
  <c r="BQ41" i="5"/>
  <c r="BR41" i="5"/>
  <c r="BS41" i="5"/>
  <c r="BQ44" i="5"/>
  <c r="BR33" i="3" s="1"/>
  <c r="BR44" i="5"/>
  <c r="BS33" i="3" s="1"/>
  <c r="BS44" i="5"/>
  <c r="BT33" i="3" s="1"/>
  <c r="BQ45" i="5"/>
  <c r="BR34" i="3" s="1"/>
  <c r="BR45" i="5"/>
  <c r="BS34" i="3" s="1"/>
  <c r="BS45" i="5"/>
  <c r="BT34" i="3" s="1"/>
  <c r="BQ46" i="5"/>
  <c r="BR46" i="5"/>
  <c r="BS35" i="3" s="1"/>
  <c r="BS46" i="5"/>
  <c r="BT35" i="3" s="1"/>
  <c r="BH6" i="5"/>
  <c r="BI6" i="5"/>
  <c r="BJ6" i="5"/>
  <c r="BK6" i="5"/>
  <c r="BL6" i="5"/>
  <c r="BM26" i="3" s="1"/>
  <c r="BM6" i="5"/>
  <c r="BN26" i="3" s="1"/>
  <c r="BN6" i="5"/>
  <c r="BO26" i="3" s="1"/>
  <c r="BO6" i="5"/>
  <c r="BP26" i="3" s="1"/>
  <c r="BP6" i="5"/>
  <c r="BQ26" i="3" s="1"/>
  <c r="BH7" i="5"/>
  <c r="BI7" i="5"/>
  <c r="BJ7" i="5"/>
  <c r="BK7" i="5"/>
  <c r="BL7" i="5"/>
  <c r="BM27" i="3" s="1"/>
  <c r="BM7" i="5"/>
  <c r="BN27" i="3" s="1"/>
  <c r="BN7" i="5"/>
  <c r="BO27" i="3" s="1"/>
  <c r="BO7" i="5"/>
  <c r="BP27" i="3" s="1"/>
  <c r="BP7" i="5"/>
  <c r="BQ27" i="3" s="1"/>
  <c r="BH8" i="5"/>
  <c r="BI8" i="5"/>
  <c r="BJ8" i="5"/>
  <c r="BK8" i="5"/>
  <c r="BL8" i="5"/>
  <c r="BM8" i="5"/>
  <c r="BN8" i="5"/>
  <c r="BO8" i="5"/>
  <c r="BP8" i="5"/>
  <c r="BH9" i="5"/>
  <c r="BI9" i="5"/>
  <c r="BJ9" i="5"/>
  <c r="BK9" i="5"/>
  <c r="BL9" i="5"/>
  <c r="BM9" i="5"/>
  <c r="BN9" i="5"/>
  <c r="BO9" i="5"/>
  <c r="BP9" i="5"/>
  <c r="BH15" i="5"/>
  <c r="BI15" i="5"/>
  <c r="BJ15" i="5"/>
  <c r="BK15" i="5"/>
  <c r="BL15" i="5"/>
  <c r="BM15" i="5"/>
  <c r="BN15" i="5"/>
  <c r="BO15" i="5"/>
  <c r="BP15" i="5"/>
  <c r="BH17" i="5"/>
  <c r="BI17" i="5"/>
  <c r="BJ17" i="5"/>
  <c r="BK17" i="5"/>
  <c r="BL17" i="5"/>
  <c r="BM17" i="5"/>
  <c r="BN17" i="5"/>
  <c r="BO17" i="5"/>
  <c r="BP17" i="5"/>
  <c r="BH18" i="5"/>
  <c r="BI18" i="5"/>
  <c r="BJ18" i="5"/>
  <c r="BK18" i="5"/>
  <c r="BL18" i="5"/>
  <c r="BM18" i="5"/>
  <c r="BN18" i="5"/>
  <c r="BO18" i="5"/>
  <c r="BP18" i="5"/>
  <c r="BH19" i="5"/>
  <c r="BI19" i="5"/>
  <c r="BJ19" i="5"/>
  <c r="BK19" i="5"/>
  <c r="BL19" i="5"/>
  <c r="BM19" i="5"/>
  <c r="BN19" i="5"/>
  <c r="BO19" i="5"/>
  <c r="BP19" i="5"/>
  <c r="BH20" i="5"/>
  <c r="BI20" i="5"/>
  <c r="BJ20" i="5"/>
  <c r="BK20" i="5"/>
  <c r="BL20" i="5"/>
  <c r="BM20" i="5"/>
  <c r="BN20" i="5"/>
  <c r="BO20" i="5"/>
  <c r="BP20" i="5"/>
  <c r="BH22" i="5"/>
  <c r="BH21" i="5" s="1"/>
  <c r="BI22" i="5"/>
  <c r="BI21" i="5" s="1"/>
  <c r="BJ22" i="5"/>
  <c r="BJ21" i="5" s="1"/>
  <c r="BK22" i="5"/>
  <c r="BK21" i="5" s="1"/>
  <c r="BL22" i="5"/>
  <c r="BL21" i="5" s="1"/>
  <c r="BM22" i="5"/>
  <c r="BM21" i="5" s="1"/>
  <c r="BN22" i="5"/>
  <c r="BN21" i="5" s="1"/>
  <c r="BO22" i="5"/>
  <c r="BO21" i="5" s="1"/>
  <c r="BP22" i="5"/>
  <c r="BP21" i="5" s="1"/>
  <c r="BH31" i="5"/>
  <c r="BI28" i="3" s="1"/>
  <c r="BI31" i="5"/>
  <c r="BJ28" i="3" s="1"/>
  <c r="BJ31" i="5"/>
  <c r="BK28" i="3" s="1"/>
  <c r="BK31" i="5"/>
  <c r="BL28" i="3" s="1"/>
  <c r="BL31" i="5"/>
  <c r="BM28" i="3" s="1"/>
  <c r="BM31" i="5"/>
  <c r="BN28" i="3" s="1"/>
  <c r="BN31" i="5"/>
  <c r="BO28" i="3" s="1"/>
  <c r="BO31" i="5"/>
  <c r="BP28" i="3" s="1"/>
  <c r="BP31" i="5"/>
  <c r="BQ28" i="3" s="1"/>
  <c r="BH32" i="5"/>
  <c r="BI32" i="5"/>
  <c r="BJ32" i="5"/>
  <c r="BK32" i="5"/>
  <c r="BL32" i="5"/>
  <c r="BM32" i="5"/>
  <c r="BN32" i="5"/>
  <c r="BO32" i="5"/>
  <c r="BP32" i="5"/>
  <c r="BH35" i="5"/>
  <c r="BI35" i="5"/>
  <c r="BJ35" i="5"/>
  <c r="BK35" i="5"/>
  <c r="BL35" i="5"/>
  <c r="BM35" i="5"/>
  <c r="BN35" i="5"/>
  <c r="BO35" i="5"/>
  <c r="BP35" i="5"/>
  <c r="BH38" i="5"/>
  <c r="BI38" i="5"/>
  <c r="BJ38" i="5"/>
  <c r="BK38" i="5"/>
  <c r="BL38" i="5"/>
  <c r="BM38" i="5"/>
  <c r="BN38" i="5"/>
  <c r="BO38" i="5"/>
  <c r="BP38" i="5"/>
  <c r="BH40" i="5"/>
  <c r="BI40" i="5"/>
  <c r="BJ40" i="5"/>
  <c r="BK40" i="5"/>
  <c r="BL40" i="5"/>
  <c r="BM40" i="5"/>
  <c r="BN40" i="5"/>
  <c r="BO40" i="5"/>
  <c r="BP40" i="5"/>
  <c r="BH41" i="5"/>
  <c r="BI41" i="5"/>
  <c r="BJ41" i="5"/>
  <c r="BK41" i="5"/>
  <c r="BL41" i="5"/>
  <c r="BM41" i="5"/>
  <c r="BN41" i="5"/>
  <c r="BO41" i="5"/>
  <c r="BP41" i="5"/>
  <c r="BH44" i="5"/>
  <c r="BI33" i="3" s="1"/>
  <c r="BI44" i="5"/>
  <c r="BJ33" i="3" s="1"/>
  <c r="BJ44" i="5"/>
  <c r="BK33" i="3" s="1"/>
  <c r="BK44" i="5"/>
  <c r="BL33" i="3" s="1"/>
  <c r="BL44" i="5"/>
  <c r="BM33" i="3" s="1"/>
  <c r="BM44" i="5"/>
  <c r="BN33" i="3" s="1"/>
  <c r="BN44" i="5"/>
  <c r="BO33" i="3" s="1"/>
  <c r="BO44" i="5"/>
  <c r="BP33" i="3" s="1"/>
  <c r="BP44" i="5"/>
  <c r="BQ33" i="3" s="1"/>
  <c r="BH45" i="5"/>
  <c r="BI34" i="3" s="1"/>
  <c r="BI45" i="5"/>
  <c r="BJ34" i="3" s="1"/>
  <c r="BJ45" i="5"/>
  <c r="BK34" i="3" s="1"/>
  <c r="BK45" i="5"/>
  <c r="BL34" i="3" s="1"/>
  <c r="BL45" i="5"/>
  <c r="BM34" i="3" s="1"/>
  <c r="BM45" i="5"/>
  <c r="BN34" i="3" s="1"/>
  <c r="BN45" i="5"/>
  <c r="BO34" i="3" s="1"/>
  <c r="BO45" i="5"/>
  <c r="BP34" i="3" s="1"/>
  <c r="BP45" i="5"/>
  <c r="BQ34" i="3" s="1"/>
  <c r="BH46" i="5"/>
  <c r="BI46" i="5"/>
  <c r="BJ35" i="3" s="1"/>
  <c r="BJ46" i="5"/>
  <c r="BK35" i="3" s="1"/>
  <c r="BK46" i="5"/>
  <c r="BL35" i="3" s="1"/>
  <c r="BL46" i="5"/>
  <c r="BM35" i="3" s="1"/>
  <c r="BM46" i="5"/>
  <c r="BN35" i="3" s="1"/>
  <c r="BN46" i="5"/>
  <c r="BO35" i="3" s="1"/>
  <c r="BO46" i="5"/>
  <c r="BP35" i="3" s="1"/>
  <c r="BP46" i="5"/>
  <c r="BQ35" i="3" s="1"/>
  <c r="BG6" i="5"/>
  <c r="BG7" i="5"/>
  <c r="BG8" i="5"/>
  <c r="BG9" i="5"/>
  <c r="BG15" i="5"/>
  <c r="BG17" i="5"/>
  <c r="BG18" i="5"/>
  <c r="BG19" i="5"/>
  <c r="BG20" i="5"/>
  <c r="BG22" i="5"/>
  <c r="BG21" i="5" s="1"/>
  <c r="BG31" i="5"/>
  <c r="BH28" i="3" s="1"/>
  <c r="BG32" i="5"/>
  <c r="BG35" i="5"/>
  <c r="BG38" i="5"/>
  <c r="BG40" i="5"/>
  <c r="BG41" i="5"/>
  <c r="BG44" i="5"/>
  <c r="BH33" i="3" s="1"/>
  <c r="BG45" i="5"/>
  <c r="BH34" i="3" s="1"/>
  <c r="BG4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T22" i="5"/>
  <c r="T21" i="5" s="1"/>
  <c r="U22" i="5"/>
  <c r="U21" i="5" s="1"/>
  <c r="V22" i="5"/>
  <c r="V21" i="5" s="1"/>
  <c r="W22" i="5"/>
  <c r="W21" i="5" s="1"/>
  <c r="X22" i="5"/>
  <c r="X21" i="5" s="1"/>
  <c r="Y22" i="5"/>
  <c r="Y21" i="5" s="1"/>
  <c r="Z22" i="5"/>
  <c r="Z21" i="5" s="1"/>
  <c r="AA22" i="5"/>
  <c r="AA21" i="5" s="1"/>
  <c r="AB22" i="5"/>
  <c r="AB21" i="5" s="1"/>
  <c r="AC22" i="5"/>
  <c r="AC21" i="5" s="1"/>
  <c r="AD22" i="5"/>
  <c r="AD21" i="5" s="1"/>
  <c r="AE22" i="5"/>
  <c r="AE21" i="5" s="1"/>
  <c r="AF22" i="5"/>
  <c r="AF21" i="5" s="1"/>
  <c r="AG22" i="5"/>
  <c r="AG21" i="5" s="1"/>
  <c r="AH22" i="5"/>
  <c r="AH21" i="5" s="1"/>
  <c r="AI22" i="5"/>
  <c r="AI21" i="5" s="1"/>
  <c r="AJ22" i="5"/>
  <c r="AJ21" i="5" s="1"/>
  <c r="AK22" i="5"/>
  <c r="AK21" i="5" s="1"/>
  <c r="AL22" i="5"/>
  <c r="AL21" i="5" s="1"/>
  <c r="AM22" i="5"/>
  <c r="AM21" i="5" s="1"/>
  <c r="AN22" i="5"/>
  <c r="AN21" i="5" s="1"/>
  <c r="AO22" i="5"/>
  <c r="AO21" i="5" s="1"/>
  <c r="AP22" i="5"/>
  <c r="AP21" i="5" s="1"/>
  <c r="AQ22" i="5"/>
  <c r="AQ21" i="5" s="1"/>
  <c r="AR22" i="5"/>
  <c r="AR21" i="5" s="1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S46" i="5"/>
  <c r="S45" i="5"/>
  <c r="S44" i="5"/>
  <c r="S40" i="5"/>
  <c r="S38" i="5"/>
  <c r="S32" i="5"/>
  <c r="S31" i="5"/>
  <c r="S28" i="5"/>
  <c r="S27" i="5"/>
  <c r="S26" i="5"/>
  <c r="S25" i="5"/>
  <c r="S22" i="5"/>
  <c r="S21" i="5"/>
  <c r="S20" i="5"/>
  <c r="S19" i="5"/>
  <c r="S17" i="5"/>
  <c r="S15" i="5"/>
  <c r="S9" i="5"/>
  <c r="S8" i="5"/>
  <c r="S7" i="5"/>
  <c r="S6" i="5"/>
  <c r="CR4" i="1"/>
  <c r="CS4" i="1"/>
  <c r="CT4" i="1"/>
  <c r="CU4" i="1"/>
  <c r="CR14" i="1"/>
  <c r="BP30" i="5" s="1"/>
  <c r="CS14" i="1"/>
  <c r="BQ30" i="5" s="1"/>
  <c r="CT14" i="1"/>
  <c r="BR30" i="5" s="1"/>
  <c r="CU14" i="1"/>
  <c r="CR17" i="1"/>
  <c r="CS17" i="1"/>
  <c r="CT17" i="1"/>
  <c r="CU17" i="1"/>
  <c r="CR21" i="1"/>
  <c r="CS21" i="1"/>
  <c r="CT21" i="1"/>
  <c r="CU21" i="1"/>
  <c r="CR27" i="1"/>
  <c r="CS27" i="1"/>
  <c r="CT27" i="1"/>
  <c r="CU27" i="1"/>
  <c r="BU9" i="3" s="1"/>
  <c r="CR31" i="1"/>
  <c r="CS31" i="1"/>
  <c r="CT31" i="1"/>
  <c r="CU31" i="1"/>
  <c r="CR38" i="1"/>
  <c r="CS38" i="1"/>
  <c r="CT38" i="1"/>
  <c r="CU38" i="1"/>
  <c r="CR48" i="1"/>
  <c r="CS48" i="1"/>
  <c r="CT48" i="1"/>
  <c r="CU48" i="1"/>
  <c r="CR49" i="1"/>
  <c r="CS49" i="1"/>
  <c r="CT49" i="1"/>
  <c r="CU49" i="1"/>
  <c r="CU51" i="1" s="1"/>
  <c r="CR51" i="1"/>
  <c r="CS51" i="1"/>
  <c r="CT51" i="1"/>
  <c r="CQ4" i="1"/>
  <c r="CQ14" i="1"/>
  <c r="BO30" i="5" s="1"/>
  <c r="CQ17" i="1"/>
  <c r="CQ21" i="1"/>
  <c r="CQ27" i="1"/>
  <c r="CQ31" i="1"/>
  <c r="CQ38" i="1"/>
  <c r="CQ48" i="1"/>
  <c r="CQ49" i="1"/>
  <c r="CQ51" i="1"/>
  <c r="CR4" i="2"/>
  <c r="CS4" i="2"/>
  <c r="CT4" i="2"/>
  <c r="CU4" i="2"/>
  <c r="CR7" i="2"/>
  <c r="BP39" i="5" s="1"/>
  <c r="CS7" i="2"/>
  <c r="BQ39" i="5" s="1"/>
  <c r="CT7" i="2"/>
  <c r="BR39" i="5" s="1"/>
  <c r="CU7" i="2"/>
  <c r="BS39" i="5" s="1"/>
  <c r="CR12" i="2"/>
  <c r="CS12" i="2"/>
  <c r="CT12" i="2"/>
  <c r="CU12" i="2"/>
  <c r="CR20" i="2"/>
  <c r="CS20" i="2"/>
  <c r="CT20" i="2"/>
  <c r="CU20" i="2"/>
  <c r="CR23" i="2"/>
  <c r="CS23" i="2"/>
  <c r="CT23" i="2"/>
  <c r="CU23" i="2"/>
  <c r="CR30" i="2"/>
  <c r="CS30" i="2"/>
  <c r="CT30" i="2"/>
  <c r="CU30" i="2"/>
  <c r="CR39" i="2"/>
  <c r="BQ32" i="3" s="1"/>
  <c r="CS39" i="2"/>
  <c r="BR32" i="3" s="1"/>
  <c r="CT39" i="2"/>
  <c r="BS32" i="3" s="1"/>
  <c r="CU39" i="2"/>
  <c r="BT32" i="3" s="1"/>
  <c r="CQ4" i="2"/>
  <c r="CQ7" i="2"/>
  <c r="BO39" i="5" s="1"/>
  <c r="CQ12" i="2"/>
  <c r="CQ20" i="2"/>
  <c r="CQ23" i="2"/>
  <c r="CQ30" i="2"/>
  <c r="CQ39" i="2"/>
  <c r="BP32" i="3" s="1"/>
  <c r="CP4" i="2"/>
  <c r="CP7" i="2"/>
  <c r="BN39" i="5" s="1"/>
  <c r="CP12" i="2"/>
  <c r="CP20" i="2"/>
  <c r="CP23" i="2"/>
  <c r="CP30" i="2"/>
  <c r="CP39" i="2"/>
  <c r="BO32" i="3" s="1"/>
  <c r="CP4" i="1"/>
  <c r="CP8" i="1"/>
  <c r="CP14" i="1"/>
  <c r="BN30" i="5" s="1"/>
  <c r="CP17" i="1"/>
  <c r="CP21" i="1"/>
  <c r="CP27" i="1"/>
  <c r="CP31" i="1"/>
  <c r="CP38" i="1"/>
  <c r="CP48" i="1"/>
  <c r="CP49" i="1"/>
  <c r="CP51" i="1"/>
  <c r="CO4" i="1"/>
  <c r="CO8" i="1"/>
  <c r="CO14" i="1"/>
  <c r="BM30" i="5" s="1"/>
  <c r="CO17" i="1"/>
  <c r="CO21" i="1"/>
  <c r="CO27" i="1"/>
  <c r="CO31" i="1"/>
  <c r="CO38" i="1"/>
  <c r="CO48" i="1"/>
  <c r="CO49" i="1"/>
  <c r="CO51" i="1"/>
  <c r="CO4" i="2"/>
  <c r="CO7" i="2"/>
  <c r="BM39" i="5" s="1"/>
  <c r="CO12" i="2"/>
  <c r="CO20" i="2"/>
  <c r="CO23" i="2"/>
  <c r="CO30" i="2"/>
  <c r="CO39" i="2"/>
  <c r="BN32" i="3" s="1"/>
  <c r="CN30" i="2"/>
  <c r="CN23" i="2"/>
  <c r="CN20" i="2"/>
  <c r="CN12" i="2"/>
  <c r="CN39" i="2" s="1"/>
  <c r="BM32" i="3" s="1"/>
  <c r="CN7" i="2"/>
  <c r="BL39" i="5" s="1"/>
  <c r="CN4" i="2"/>
  <c r="CN3" i="2" s="1"/>
  <c r="CN19" i="2" s="1"/>
  <c r="CN29" i="2" s="1"/>
  <c r="CN33" i="2" s="1"/>
  <c r="CN48" i="1"/>
  <c r="CN31" i="1"/>
  <c r="CN21" i="1"/>
  <c r="CN17" i="1"/>
  <c r="CN14" i="1"/>
  <c r="BL30" i="5" s="1"/>
  <c r="CN8" i="1"/>
  <c r="CN4" i="1"/>
  <c r="CL4" i="2"/>
  <c r="CM4" i="2"/>
  <c r="CL7" i="2"/>
  <c r="BJ39" i="5" s="1"/>
  <c r="CM7" i="2"/>
  <c r="BK39" i="5" s="1"/>
  <c r="CL12" i="2"/>
  <c r="CM12" i="2"/>
  <c r="CL20" i="2"/>
  <c r="CM20" i="2"/>
  <c r="CL23" i="2"/>
  <c r="CL39" i="2"/>
  <c r="BK32" i="3" s="1"/>
  <c r="CM23" i="2"/>
  <c r="CM39" i="2"/>
  <c r="BL32" i="3" s="1"/>
  <c r="CL30" i="2"/>
  <c r="CM30" i="2"/>
  <c r="CL4" i="1"/>
  <c r="CM4" i="1"/>
  <c r="CL8" i="1"/>
  <c r="CM8" i="1"/>
  <c r="CL14" i="1"/>
  <c r="BJ30" i="5" s="1"/>
  <c r="CM14" i="1"/>
  <c r="BK30" i="5" s="1"/>
  <c r="CL17" i="1"/>
  <c r="CM17" i="1"/>
  <c r="CL21" i="1"/>
  <c r="CM21" i="1"/>
  <c r="CM27" i="1"/>
  <c r="CL31" i="1"/>
  <c r="CM31" i="1"/>
  <c r="CM38" i="1"/>
  <c r="CL38" i="1"/>
  <c r="CL48" i="1"/>
  <c r="CM48" i="1"/>
  <c r="CM49" i="1" s="1"/>
  <c r="BU4" i="2"/>
  <c r="BU7" i="2"/>
  <c r="BU12" i="2"/>
  <c r="BU20" i="2"/>
  <c r="BU23" i="2"/>
  <c r="AR47" i="5" s="1"/>
  <c r="BU30" i="2"/>
  <c r="BK4" i="2"/>
  <c r="BL4" i="2"/>
  <c r="BM4" i="2"/>
  <c r="BN4" i="2"/>
  <c r="BO4" i="2"/>
  <c r="BP4" i="2"/>
  <c r="BQ4" i="2"/>
  <c r="BR4" i="2"/>
  <c r="BS4" i="2"/>
  <c r="BT4" i="2"/>
  <c r="BK7" i="2"/>
  <c r="AH39" i="5" s="1"/>
  <c r="BL7" i="2"/>
  <c r="BM7" i="2"/>
  <c r="BN7" i="2"/>
  <c r="AK39" i="5" s="1"/>
  <c r="BO7" i="2"/>
  <c r="BP7" i="2"/>
  <c r="AM39" i="5" s="1"/>
  <c r="BQ7" i="2"/>
  <c r="AN39" i="5" s="1"/>
  <c r="BQ3" i="2"/>
  <c r="BR7" i="2"/>
  <c r="AO39" i="5" s="1"/>
  <c r="BS7" i="2"/>
  <c r="AP39" i="5" s="1"/>
  <c r="BT7" i="2"/>
  <c r="AQ39" i="5" s="1"/>
  <c r="BK12" i="2"/>
  <c r="BL12" i="2"/>
  <c r="BM12" i="2"/>
  <c r="BN12" i="2"/>
  <c r="BO12" i="2"/>
  <c r="BP12" i="2"/>
  <c r="BQ12" i="2"/>
  <c r="BQ19" i="2" s="1"/>
  <c r="BR12" i="2"/>
  <c r="BS12" i="2"/>
  <c r="BT12" i="2"/>
  <c r="BK20" i="2"/>
  <c r="BL20" i="2"/>
  <c r="BM20" i="2"/>
  <c r="BN20" i="2"/>
  <c r="BO20" i="2"/>
  <c r="BP20" i="2"/>
  <c r="BQ20" i="2"/>
  <c r="BR20" i="2"/>
  <c r="BS20" i="2"/>
  <c r="BT20" i="2"/>
  <c r="BK23" i="2"/>
  <c r="AH47" i="5" s="1"/>
  <c r="BK39" i="2"/>
  <c r="BL23" i="2"/>
  <c r="AI47" i="5" s="1"/>
  <c r="BL39" i="2"/>
  <c r="BM23" i="2"/>
  <c r="AJ47" i="5" s="1"/>
  <c r="BM39" i="2"/>
  <c r="BN23" i="2"/>
  <c r="AK47" i="5" s="1"/>
  <c r="BN39" i="2"/>
  <c r="BO23" i="2"/>
  <c r="AL47" i="5" s="1"/>
  <c r="BP23" i="2"/>
  <c r="BQ23" i="2"/>
  <c r="AN47" i="5" s="1"/>
  <c r="BQ39" i="2"/>
  <c r="BR23" i="2"/>
  <c r="BS23" i="2"/>
  <c r="BT23" i="2"/>
  <c r="BK30" i="2"/>
  <c r="BL30" i="2"/>
  <c r="BM30" i="2"/>
  <c r="BN30" i="2"/>
  <c r="BO30" i="2"/>
  <c r="BP30" i="2"/>
  <c r="BQ30" i="2"/>
  <c r="BR30" i="2"/>
  <c r="BS30" i="2"/>
  <c r="BT30" i="2"/>
  <c r="BO39" i="2"/>
  <c r="BJ4" i="2"/>
  <c r="BJ7" i="2"/>
  <c r="AG39" i="5" s="1"/>
  <c r="BJ12" i="2"/>
  <c r="BJ20" i="2"/>
  <c r="BJ23" i="2"/>
  <c r="AG47" i="5" s="1"/>
  <c r="BJ30" i="2"/>
  <c r="AV11" i="2"/>
  <c r="AV7" i="2"/>
  <c r="S39" i="5" s="1"/>
  <c r="AW4" i="2"/>
  <c r="AX4" i="2"/>
  <c r="AY4" i="2"/>
  <c r="AZ4" i="2"/>
  <c r="BA4" i="2"/>
  <c r="BB4" i="2"/>
  <c r="BC4" i="2"/>
  <c r="BD4" i="2"/>
  <c r="BE4" i="2"/>
  <c r="BF4" i="2"/>
  <c r="BG4" i="2"/>
  <c r="BH4" i="2"/>
  <c r="AW7" i="2"/>
  <c r="T39" i="5" s="1"/>
  <c r="AX7" i="2"/>
  <c r="U39" i="5" s="1"/>
  <c r="AY7" i="2"/>
  <c r="V39" i="5" s="1"/>
  <c r="AZ7" i="2"/>
  <c r="W39" i="5" s="1"/>
  <c r="BA7" i="2"/>
  <c r="X39" i="5" s="1"/>
  <c r="BB7" i="2"/>
  <c r="Y39" i="5" s="1"/>
  <c r="BC7" i="2"/>
  <c r="Z39" i="5" s="1"/>
  <c r="BD7" i="2"/>
  <c r="AA39" i="5" s="1"/>
  <c r="BE7" i="2"/>
  <c r="AB39" i="5" s="1"/>
  <c r="BF7" i="2"/>
  <c r="AC39" i="5" s="1"/>
  <c r="BG7" i="2"/>
  <c r="AD39" i="5" s="1"/>
  <c r="BG3" i="2"/>
  <c r="BH7" i="2"/>
  <c r="AE39" i="5" s="1"/>
  <c r="AW12" i="2"/>
  <c r="AX12" i="2"/>
  <c r="AY12" i="2"/>
  <c r="AZ12" i="2"/>
  <c r="BA12" i="2"/>
  <c r="BB12" i="2"/>
  <c r="BC12" i="2"/>
  <c r="BD12" i="2"/>
  <c r="BE12" i="2"/>
  <c r="BF12" i="2"/>
  <c r="BG12" i="2"/>
  <c r="BH12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AW23" i="2"/>
  <c r="T47" i="5" s="1"/>
  <c r="AX23" i="2"/>
  <c r="U47" i="5" s="1"/>
  <c r="AY23" i="2"/>
  <c r="V47" i="5" s="1"/>
  <c r="AZ23" i="2"/>
  <c r="W47" i="5" s="1"/>
  <c r="BA23" i="2"/>
  <c r="X47" i="5" s="1"/>
  <c r="BB23" i="2"/>
  <c r="Y47" i="5" s="1"/>
  <c r="BC23" i="2"/>
  <c r="Z47" i="5" s="1"/>
  <c r="BD23" i="2"/>
  <c r="AA47" i="5" s="1"/>
  <c r="BE23" i="2"/>
  <c r="AB47" i="5" s="1"/>
  <c r="BF23" i="2"/>
  <c r="AC47" i="5" s="1"/>
  <c r="BG23" i="2"/>
  <c r="AD47" i="5" s="1"/>
  <c r="BH23" i="2"/>
  <c r="AE47" i="5" s="1"/>
  <c r="AW30" i="2"/>
  <c r="AX30" i="2"/>
  <c r="AY30" i="2"/>
  <c r="AZ30" i="2"/>
  <c r="BA30" i="2"/>
  <c r="BB30" i="2"/>
  <c r="BC30" i="2"/>
  <c r="BD30" i="2"/>
  <c r="BE30" i="2"/>
  <c r="BF30" i="2"/>
  <c r="BG30" i="2"/>
  <c r="BH30" i="2"/>
  <c r="AW39" i="2"/>
  <c r="AX39" i="2"/>
  <c r="AY39" i="2"/>
  <c r="AZ39" i="2"/>
  <c r="BA39" i="2"/>
  <c r="BB39" i="2"/>
  <c r="BC39" i="2"/>
  <c r="BD39" i="2"/>
  <c r="AV4" i="2"/>
  <c r="AV12" i="2"/>
  <c r="AV20" i="2"/>
  <c r="AV23" i="2"/>
  <c r="AV30" i="2"/>
  <c r="AK4" i="2"/>
  <c r="AL4" i="2"/>
  <c r="AM4" i="2"/>
  <c r="AN4" i="2"/>
  <c r="AO4" i="2"/>
  <c r="AP4" i="2"/>
  <c r="AQ4" i="2"/>
  <c r="AR4" i="2"/>
  <c r="AS4" i="2"/>
  <c r="AT4" i="2"/>
  <c r="AU4" i="2"/>
  <c r="AK7" i="2"/>
  <c r="AL7" i="2"/>
  <c r="AL3" i="2" s="1"/>
  <c r="AM7" i="2"/>
  <c r="AN7" i="2"/>
  <c r="AO7" i="2"/>
  <c r="AO3" i="2" s="1"/>
  <c r="AP7" i="2"/>
  <c r="AP3" i="2" s="1"/>
  <c r="AQ7" i="2"/>
  <c r="AQ3" i="2"/>
  <c r="AR7" i="2"/>
  <c r="AS7" i="2"/>
  <c r="AS3" i="2" s="1"/>
  <c r="AT7" i="2"/>
  <c r="AU7" i="2"/>
  <c r="AK12" i="2"/>
  <c r="AL12" i="2"/>
  <c r="AM12" i="2"/>
  <c r="AN12" i="2"/>
  <c r="AO12" i="2"/>
  <c r="AP12" i="2"/>
  <c r="AQ12" i="2"/>
  <c r="AR12" i="2"/>
  <c r="AS12" i="2"/>
  <c r="AT12" i="2"/>
  <c r="AU12" i="2"/>
  <c r="AK20" i="2"/>
  <c r="AL20" i="2"/>
  <c r="AM20" i="2"/>
  <c r="AN20" i="2"/>
  <c r="AO20" i="2"/>
  <c r="AP20" i="2"/>
  <c r="AQ20" i="2"/>
  <c r="AR20" i="2"/>
  <c r="AS20" i="2"/>
  <c r="AT20" i="2"/>
  <c r="AU20" i="2"/>
  <c r="AK23" i="2"/>
  <c r="AK39" i="2" s="1"/>
  <c r="AL23" i="2"/>
  <c r="AL39" i="2" s="1"/>
  <c r="AM23" i="2"/>
  <c r="AM39" i="2" s="1"/>
  <c r="AN23" i="2"/>
  <c r="AN39" i="2" s="1"/>
  <c r="AO23" i="2"/>
  <c r="AP23" i="2"/>
  <c r="AQ23" i="2"/>
  <c r="AR23" i="2"/>
  <c r="AS23" i="2"/>
  <c r="AS39" i="2"/>
  <c r="AT23" i="2"/>
  <c r="AT39" i="2"/>
  <c r="AU23" i="2"/>
  <c r="AK30" i="2"/>
  <c r="AL30" i="2"/>
  <c r="AM30" i="2"/>
  <c r="AN30" i="2"/>
  <c r="AO30" i="2"/>
  <c r="AP30" i="2"/>
  <c r="AQ30" i="2"/>
  <c r="AR30" i="2"/>
  <c r="AS30" i="2"/>
  <c r="AT30" i="2"/>
  <c r="AU30" i="2"/>
  <c r="AU39" i="2"/>
  <c r="AI6" i="2"/>
  <c r="X4" i="2"/>
  <c r="Y4" i="2"/>
  <c r="Z4" i="2"/>
  <c r="AA4" i="2"/>
  <c r="AB4" i="2"/>
  <c r="AC4" i="2"/>
  <c r="AD4" i="2"/>
  <c r="AE4" i="2"/>
  <c r="AF4" i="2"/>
  <c r="AG4" i="2"/>
  <c r="AH4" i="2"/>
  <c r="X7" i="2"/>
  <c r="Y7" i="2"/>
  <c r="Z7" i="2"/>
  <c r="Z3" i="2" s="1"/>
  <c r="AA7" i="2"/>
  <c r="AB7" i="2"/>
  <c r="AB3" i="2"/>
  <c r="AC7" i="2"/>
  <c r="AD7" i="2"/>
  <c r="AE7" i="2"/>
  <c r="AF7" i="2"/>
  <c r="AF3" i="2"/>
  <c r="AG7" i="2"/>
  <c r="AG3" i="2" s="1"/>
  <c r="AH7" i="2"/>
  <c r="X12" i="2"/>
  <c r="Y12" i="2"/>
  <c r="Z12" i="2"/>
  <c r="AA12" i="2"/>
  <c r="AB12" i="2"/>
  <c r="AC12" i="2"/>
  <c r="AD12" i="2"/>
  <c r="AE12" i="2"/>
  <c r="AF12" i="2"/>
  <c r="AG12" i="2"/>
  <c r="AH12" i="2"/>
  <c r="X20" i="2"/>
  <c r="Y20" i="2"/>
  <c r="Z20" i="2"/>
  <c r="AA20" i="2"/>
  <c r="AB20" i="2"/>
  <c r="AC20" i="2"/>
  <c r="AD20" i="2"/>
  <c r="AE20" i="2"/>
  <c r="AF20" i="2"/>
  <c r="AG20" i="2"/>
  <c r="AH20" i="2"/>
  <c r="X23" i="2"/>
  <c r="X39" i="2"/>
  <c r="Y23" i="2"/>
  <c r="Y39" i="2" s="1"/>
  <c r="Z23" i="2"/>
  <c r="AA23" i="2"/>
  <c r="AB23" i="2"/>
  <c r="AC23" i="2"/>
  <c r="AD23" i="2"/>
  <c r="AD39" i="2"/>
  <c r="AE23" i="2"/>
  <c r="AF23" i="2"/>
  <c r="AG23" i="2"/>
  <c r="AH23" i="2"/>
  <c r="X30" i="2"/>
  <c r="Y30" i="2"/>
  <c r="Z30" i="2"/>
  <c r="AA30" i="2"/>
  <c r="AB30" i="2"/>
  <c r="AC30" i="2"/>
  <c r="AD30" i="2"/>
  <c r="AE30" i="2"/>
  <c r="AF30" i="2"/>
  <c r="AG30" i="2"/>
  <c r="AH30" i="2"/>
  <c r="AF39" i="2"/>
  <c r="AG39" i="2"/>
  <c r="W4" i="2"/>
  <c r="W7" i="2"/>
  <c r="W12" i="2"/>
  <c r="W20" i="2"/>
  <c r="W23" i="2"/>
  <c r="W39" i="2" s="1"/>
  <c r="W30" i="2"/>
  <c r="V18" i="2"/>
  <c r="V12" i="2"/>
  <c r="K4" i="2"/>
  <c r="L4" i="2"/>
  <c r="M4" i="2"/>
  <c r="N4" i="2"/>
  <c r="O4" i="2"/>
  <c r="P4" i="2"/>
  <c r="Q4" i="2"/>
  <c r="R4" i="2"/>
  <c r="S4" i="2"/>
  <c r="T4" i="2"/>
  <c r="U4" i="2"/>
  <c r="K7" i="2"/>
  <c r="L7" i="2"/>
  <c r="L3" i="2"/>
  <c r="M7" i="2"/>
  <c r="N7" i="2"/>
  <c r="O7" i="2"/>
  <c r="P7" i="2"/>
  <c r="Q7" i="2"/>
  <c r="R7" i="2"/>
  <c r="R3" i="2"/>
  <c r="S7" i="2"/>
  <c r="T7" i="2"/>
  <c r="U7" i="2"/>
  <c r="K12" i="2"/>
  <c r="L12" i="2"/>
  <c r="L19" i="2" s="1"/>
  <c r="M12" i="2"/>
  <c r="N12" i="2"/>
  <c r="O12" i="2"/>
  <c r="P12" i="2"/>
  <c r="Q12" i="2"/>
  <c r="R12" i="2"/>
  <c r="S12" i="2"/>
  <c r="T12" i="2"/>
  <c r="U12" i="2"/>
  <c r="K20" i="2"/>
  <c r="L20" i="2"/>
  <c r="M20" i="2"/>
  <c r="N20" i="2"/>
  <c r="O20" i="2"/>
  <c r="P20" i="2"/>
  <c r="Q20" i="2"/>
  <c r="R20" i="2"/>
  <c r="S20" i="2"/>
  <c r="T20" i="2"/>
  <c r="U20" i="2"/>
  <c r="K23" i="2"/>
  <c r="L23" i="2"/>
  <c r="M23" i="2"/>
  <c r="N23" i="2"/>
  <c r="O23" i="2"/>
  <c r="P23" i="2"/>
  <c r="Q23" i="2"/>
  <c r="R23" i="2"/>
  <c r="S23" i="2"/>
  <c r="T23" i="2"/>
  <c r="U23" i="2"/>
  <c r="U39" i="2" s="1"/>
  <c r="K30" i="2"/>
  <c r="L30" i="2"/>
  <c r="M30" i="2"/>
  <c r="N30" i="2"/>
  <c r="O30" i="2"/>
  <c r="P30" i="2"/>
  <c r="Q30" i="2"/>
  <c r="R30" i="2"/>
  <c r="S30" i="2"/>
  <c r="T30" i="2"/>
  <c r="U30" i="2"/>
  <c r="T39" i="2"/>
  <c r="J30" i="2"/>
  <c r="J23" i="2"/>
  <c r="J20" i="2"/>
  <c r="J12" i="2"/>
  <c r="J7" i="2"/>
  <c r="J4" i="2"/>
  <c r="I28" i="2"/>
  <c r="I13" i="2"/>
  <c r="I12" i="2"/>
  <c r="H28" i="2"/>
  <c r="H24" i="2"/>
  <c r="H23" i="2"/>
  <c r="H10" i="2"/>
  <c r="I6" i="2"/>
  <c r="I5" i="2"/>
  <c r="B28" i="2"/>
  <c r="G25" i="2"/>
  <c r="G24" i="2"/>
  <c r="G28" i="2"/>
  <c r="G23" i="2"/>
  <c r="B24" i="2"/>
  <c r="B16" i="2"/>
  <c r="B12" i="2"/>
  <c r="B11" i="2"/>
  <c r="B7" i="2"/>
  <c r="B6" i="2"/>
  <c r="BI4" i="2"/>
  <c r="BI7" i="2"/>
  <c r="AF39" i="5" s="1"/>
  <c r="BI12" i="2"/>
  <c r="BI20" i="2"/>
  <c r="BI23" i="2"/>
  <c r="AF47" i="5" s="1"/>
  <c r="BI39" i="2"/>
  <c r="BI30" i="2"/>
  <c r="H4" i="2"/>
  <c r="V4" i="2"/>
  <c r="AI4" i="2"/>
  <c r="AJ4" i="2"/>
  <c r="H7" i="2"/>
  <c r="I7" i="2"/>
  <c r="V7" i="2"/>
  <c r="AI7" i="2"/>
  <c r="AJ7" i="2"/>
  <c r="H12" i="2"/>
  <c r="AI12" i="2"/>
  <c r="AJ12" i="2"/>
  <c r="H20" i="2"/>
  <c r="I20" i="2"/>
  <c r="V20" i="2"/>
  <c r="AI20" i="2"/>
  <c r="AJ20" i="2"/>
  <c r="I23" i="2"/>
  <c r="V23" i="2"/>
  <c r="V39" i="2" s="1"/>
  <c r="AI23" i="2"/>
  <c r="AI39" i="2" s="1"/>
  <c r="AJ23" i="2"/>
  <c r="H30" i="2"/>
  <c r="I30" i="2"/>
  <c r="V30" i="2"/>
  <c r="AI30" i="2"/>
  <c r="AJ30" i="2"/>
  <c r="C4" i="2"/>
  <c r="D4" i="2"/>
  <c r="E4" i="2"/>
  <c r="F4" i="2"/>
  <c r="G4" i="2"/>
  <c r="C7" i="2"/>
  <c r="D7" i="2"/>
  <c r="E7" i="2"/>
  <c r="E3" i="2" s="1"/>
  <c r="F7" i="2"/>
  <c r="G7" i="2"/>
  <c r="C12" i="2"/>
  <c r="D12" i="2"/>
  <c r="E12" i="2"/>
  <c r="F12" i="2"/>
  <c r="G12" i="2"/>
  <c r="C20" i="2"/>
  <c r="D20" i="2"/>
  <c r="E20" i="2"/>
  <c r="F20" i="2"/>
  <c r="G20" i="2"/>
  <c r="C23" i="2"/>
  <c r="C39" i="2"/>
  <c r="D23" i="2"/>
  <c r="D39" i="2" s="1"/>
  <c r="E23" i="2"/>
  <c r="F23" i="2"/>
  <c r="C30" i="2"/>
  <c r="D30" i="2"/>
  <c r="E30" i="2"/>
  <c r="F30" i="2"/>
  <c r="G30" i="2"/>
  <c r="B30" i="2"/>
  <c r="B23" i="2"/>
  <c r="B20" i="2"/>
  <c r="B4" i="2"/>
  <c r="BJ4" i="1"/>
  <c r="BK4" i="1"/>
  <c r="BL4" i="1"/>
  <c r="BM4" i="1"/>
  <c r="BN4" i="1"/>
  <c r="BO4" i="1"/>
  <c r="BP4" i="1"/>
  <c r="BQ4" i="1"/>
  <c r="BR4" i="1"/>
  <c r="BS4" i="1"/>
  <c r="BT4" i="1"/>
  <c r="BU4" i="1"/>
  <c r="BJ8" i="1"/>
  <c r="BK8" i="1"/>
  <c r="BL8" i="1"/>
  <c r="BM8" i="1"/>
  <c r="BN8" i="1"/>
  <c r="BO8" i="1"/>
  <c r="BP8" i="1"/>
  <c r="BQ8" i="1"/>
  <c r="BR8" i="1"/>
  <c r="BS8" i="1"/>
  <c r="BT8" i="1"/>
  <c r="BU8" i="1"/>
  <c r="BJ14" i="1"/>
  <c r="AG30" i="5" s="1"/>
  <c r="BK14" i="1"/>
  <c r="AH30" i="5" s="1"/>
  <c r="BL14" i="1"/>
  <c r="AI30" i="5" s="1"/>
  <c r="BM14" i="1"/>
  <c r="AJ30" i="5" s="1"/>
  <c r="BN14" i="1"/>
  <c r="AK30" i="5" s="1"/>
  <c r="BO14" i="1"/>
  <c r="AL30" i="5" s="1"/>
  <c r="BP14" i="1"/>
  <c r="AM30" i="5" s="1"/>
  <c r="BQ14" i="1"/>
  <c r="AN30" i="5" s="1"/>
  <c r="BR14" i="1"/>
  <c r="AO30" i="5" s="1"/>
  <c r="BS14" i="1"/>
  <c r="AP30" i="5" s="1"/>
  <c r="BT14" i="1"/>
  <c r="AQ30" i="5" s="1"/>
  <c r="BU14" i="1"/>
  <c r="AR30" i="5" s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J21" i="1"/>
  <c r="AG34" i="5" s="1"/>
  <c r="BK21" i="1"/>
  <c r="AH34" i="5" s="1"/>
  <c r="BL21" i="1"/>
  <c r="AI34" i="5" s="1"/>
  <c r="BM21" i="1"/>
  <c r="AJ34" i="5" s="1"/>
  <c r="BN21" i="1"/>
  <c r="AK34" i="5" s="1"/>
  <c r="BO21" i="1"/>
  <c r="AL34" i="5" s="1"/>
  <c r="BP21" i="1"/>
  <c r="AM34" i="5" s="1"/>
  <c r="BQ21" i="1"/>
  <c r="AN34" i="5" s="1"/>
  <c r="BR21" i="1"/>
  <c r="AO34" i="5" s="1"/>
  <c r="BS21" i="1"/>
  <c r="AP34" i="5" s="1"/>
  <c r="BT21" i="1"/>
  <c r="AQ34" i="5" s="1"/>
  <c r="BU21" i="1"/>
  <c r="AR34" i="5" s="1"/>
  <c r="BU27" i="1"/>
  <c r="AR4" i="5" s="1"/>
  <c r="BJ27" i="1"/>
  <c r="AG4" i="5" s="1"/>
  <c r="BK27" i="1"/>
  <c r="AH4" i="5" s="1"/>
  <c r="BL27" i="1"/>
  <c r="AI4" i="5" s="1"/>
  <c r="BM27" i="1"/>
  <c r="AJ4" i="5" s="1"/>
  <c r="BN27" i="1"/>
  <c r="AK4" i="5" s="1"/>
  <c r="BO27" i="1"/>
  <c r="AL4" i="5" s="1"/>
  <c r="BP27" i="1"/>
  <c r="AM4" i="5" s="1"/>
  <c r="BJ31" i="1"/>
  <c r="AG5" i="5" s="1"/>
  <c r="BK31" i="1"/>
  <c r="AH5" i="5" s="1"/>
  <c r="BL31" i="1"/>
  <c r="AI5" i="5" s="1"/>
  <c r="BM31" i="1"/>
  <c r="AJ5" i="5" s="1"/>
  <c r="BN31" i="1"/>
  <c r="AK5" i="5" s="1"/>
  <c r="BO31" i="1"/>
  <c r="AL5" i="5" s="1"/>
  <c r="BP31" i="1"/>
  <c r="AM5" i="5" s="1"/>
  <c r="BQ31" i="1"/>
  <c r="AN5" i="5" s="1"/>
  <c r="BR31" i="1"/>
  <c r="AO5" i="5" s="1"/>
  <c r="BS31" i="1"/>
  <c r="AP5" i="5" s="1"/>
  <c r="BT31" i="1"/>
  <c r="AQ5" i="5" s="1"/>
  <c r="BU31" i="1"/>
  <c r="AR5" i="5" s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U49" i="1"/>
  <c r="BJ49" i="1"/>
  <c r="BK49" i="1"/>
  <c r="BK51" i="1"/>
  <c r="BL49" i="1"/>
  <c r="BL51" i="1"/>
  <c r="BM49" i="1"/>
  <c r="BN49" i="1"/>
  <c r="BO49" i="1"/>
  <c r="BP49" i="1"/>
  <c r="BQ49" i="1"/>
  <c r="BR49" i="1"/>
  <c r="BS49" i="1"/>
  <c r="BT49" i="1"/>
  <c r="BC17" i="1"/>
  <c r="BD17" i="1"/>
  <c r="BE17" i="1"/>
  <c r="BF17" i="1"/>
  <c r="BG17" i="1"/>
  <c r="BH17" i="1"/>
  <c r="BB7" i="1"/>
  <c r="AV42" i="1"/>
  <c r="S18" i="5" s="1"/>
  <c r="S14" i="5" s="1"/>
  <c r="S11" i="5" s="1"/>
  <c r="S12" i="5" s="1"/>
  <c r="AV48" i="1"/>
  <c r="AV23" i="1"/>
  <c r="S35" i="5" s="1"/>
  <c r="AV21" i="1"/>
  <c r="S34" i="5" s="1"/>
  <c r="AV6" i="1"/>
  <c r="AV5" i="1"/>
  <c r="AW4" i="1"/>
  <c r="AX4" i="1"/>
  <c r="AY4" i="1"/>
  <c r="AZ4" i="1"/>
  <c r="BA4" i="1"/>
  <c r="BB4" i="1"/>
  <c r="BC4" i="1"/>
  <c r="BD4" i="1"/>
  <c r="BE4" i="1"/>
  <c r="BF4" i="1"/>
  <c r="BG4" i="1"/>
  <c r="BH4" i="1"/>
  <c r="AW8" i="1"/>
  <c r="AX8" i="1"/>
  <c r="AY8" i="1"/>
  <c r="AZ8" i="1"/>
  <c r="BA8" i="1"/>
  <c r="BB8" i="1"/>
  <c r="BC8" i="1"/>
  <c r="BD8" i="1"/>
  <c r="BE8" i="1"/>
  <c r="BF8" i="1"/>
  <c r="BG8" i="1"/>
  <c r="BH8" i="1"/>
  <c r="AW14" i="1"/>
  <c r="T30" i="5" s="1"/>
  <c r="AX14" i="1"/>
  <c r="U30" i="5" s="1"/>
  <c r="AY14" i="1"/>
  <c r="V30" i="5" s="1"/>
  <c r="AZ14" i="1"/>
  <c r="W30" i="5" s="1"/>
  <c r="BA14" i="1"/>
  <c r="X30" i="5" s="1"/>
  <c r="BB14" i="1"/>
  <c r="Y30" i="5" s="1"/>
  <c r="BC14" i="1"/>
  <c r="Z30" i="5" s="1"/>
  <c r="BD14" i="1"/>
  <c r="AA30" i="5" s="1"/>
  <c r="BE14" i="1"/>
  <c r="AB30" i="5" s="1"/>
  <c r="BF14" i="1"/>
  <c r="AC30" i="5" s="1"/>
  <c r="BG14" i="1"/>
  <c r="AD30" i="5" s="1"/>
  <c r="BH14" i="1"/>
  <c r="AE30" i="5" s="1"/>
  <c r="AW17" i="1"/>
  <c r="AX17" i="1"/>
  <c r="AY17" i="1"/>
  <c r="AZ17" i="1"/>
  <c r="BA17" i="1"/>
  <c r="BB17" i="1"/>
  <c r="AW21" i="1"/>
  <c r="T34" i="5" s="1"/>
  <c r="AX21" i="1"/>
  <c r="U34" i="5" s="1"/>
  <c r="AX27" i="1"/>
  <c r="U4" i="5" s="1"/>
  <c r="AY21" i="1"/>
  <c r="V34" i="5" s="1"/>
  <c r="AY27" i="1"/>
  <c r="V4" i="5" s="1"/>
  <c r="AZ21" i="1"/>
  <c r="W34" i="5" s="1"/>
  <c r="AZ27" i="1"/>
  <c r="W4" i="5" s="1"/>
  <c r="BA21" i="1"/>
  <c r="X34" i="5" s="1"/>
  <c r="BB21" i="1"/>
  <c r="Y34" i="5" s="1"/>
  <c r="BC21" i="1"/>
  <c r="Z34" i="5" s="1"/>
  <c r="BD21" i="1"/>
  <c r="AA34" i="5" s="1"/>
  <c r="BE21" i="1"/>
  <c r="AB34" i="5" s="1"/>
  <c r="BF21" i="1"/>
  <c r="AC34" i="5" s="1"/>
  <c r="BG21" i="1"/>
  <c r="AD34" i="5" s="1"/>
  <c r="BH21" i="1"/>
  <c r="AE34" i="5" s="1"/>
  <c r="AW31" i="1"/>
  <c r="T5" i="5" s="1"/>
  <c r="AX31" i="1"/>
  <c r="U5" i="5" s="1"/>
  <c r="AY31" i="1"/>
  <c r="V5" i="5" s="1"/>
  <c r="AZ31" i="1"/>
  <c r="W5" i="5" s="1"/>
  <c r="AZ38" i="1"/>
  <c r="BA31" i="1"/>
  <c r="X5" i="5" s="1"/>
  <c r="BB31" i="1"/>
  <c r="Y5" i="5" s="1"/>
  <c r="BB38" i="1"/>
  <c r="BC31" i="1"/>
  <c r="Z5" i="5" s="1"/>
  <c r="BD31" i="1"/>
  <c r="AA5" i="5" s="1"/>
  <c r="BE31" i="1"/>
  <c r="AB5" i="5" s="1"/>
  <c r="BE38" i="1"/>
  <c r="BF31" i="1"/>
  <c r="AC5" i="5" s="1"/>
  <c r="BF38" i="1"/>
  <c r="BG31" i="1"/>
  <c r="AD5" i="5" s="1"/>
  <c r="BH31" i="1"/>
  <c r="AE5" i="5" s="1"/>
  <c r="BH38" i="1"/>
  <c r="AW38" i="1"/>
  <c r="AX38" i="1"/>
  <c r="AY38" i="1"/>
  <c r="BA38" i="1"/>
  <c r="BC38" i="1"/>
  <c r="BD38" i="1"/>
  <c r="BG38" i="1"/>
  <c r="AW48" i="1"/>
  <c r="AW49" i="1" s="1"/>
  <c r="AX48" i="1"/>
  <c r="AX49" i="1"/>
  <c r="AY48" i="1"/>
  <c r="AY49" i="1"/>
  <c r="AZ48" i="1"/>
  <c r="BA48" i="1"/>
  <c r="BB48" i="1"/>
  <c r="BB49" i="1" s="1"/>
  <c r="BC48" i="1"/>
  <c r="BC49" i="1"/>
  <c r="BD48" i="1"/>
  <c r="BD49" i="1"/>
  <c r="BE48" i="1"/>
  <c r="BF48" i="1"/>
  <c r="BF49" i="1" s="1"/>
  <c r="BG48" i="1"/>
  <c r="BG49" i="1"/>
  <c r="BH48" i="1"/>
  <c r="BA49" i="1"/>
  <c r="AK4" i="1"/>
  <c r="AL4" i="1"/>
  <c r="AM4" i="1"/>
  <c r="AN4" i="1"/>
  <c r="AO4" i="1"/>
  <c r="AP4" i="1"/>
  <c r="AQ4" i="1"/>
  <c r="AR4" i="1"/>
  <c r="AS4" i="1"/>
  <c r="AT4" i="1"/>
  <c r="AU4" i="1"/>
  <c r="AK8" i="1"/>
  <c r="AL8" i="1"/>
  <c r="AM8" i="1"/>
  <c r="AN8" i="1"/>
  <c r="AO8" i="1"/>
  <c r="AP8" i="1"/>
  <c r="AQ8" i="1"/>
  <c r="AR8" i="1"/>
  <c r="AS8" i="1"/>
  <c r="AT8" i="1"/>
  <c r="AU8" i="1"/>
  <c r="AK14" i="1"/>
  <c r="AL14" i="1"/>
  <c r="AM14" i="1"/>
  <c r="AN14" i="1"/>
  <c r="AO14" i="1"/>
  <c r="AP14" i="1"/>
  <c r="AQ14" i="1"/>
  <c r="AR14" i="1"/>
  <c r="AS14" i="1"/>
  <c r="AT14" i="1"/>
  <c r="AU14" i="1"/>
  <c r="AK17" i="1"/>
  <c r="AL17" i="1"/>
  <c r="AM17" i="1"/>
  <c r="AN17" i="1"/>
  <c r="AO17" i="1"/>
  <c r="AP17" i="1"/>
  <c r="AQ17" i="1"/>
  <c r="AR17" i="1"/>
  <c r="AS17" i="1"/>
  <c r="AT17" i="1"/>
  <c r="AU17" i="1"/>
  <c r="AK21" i="1"/>
  <c r="AL21" i="1"/>
  <c r="AM21" i="1"/>
  <c r="AN21" i="1"/>
  <c r="AO21" i="1"/>
  <c r="AP21" i="1"/>
  <c r="AQ21" i="1"/>
  <c r="AR21" i="1"/>
  <c r="AS21" i="1"/>
  <c r="AT21" i="1"/>
  <c r="AU21" i="1"/>
  <c r="AK31" i="1"/>
  <c r="AK38" i="1"/>
  <c r="AL31" i="1"/>
  <c r="AL38" i="1"/>
  <c r="AM31" i="1"/>
  <c r="AM38" i="1"/>
  <c r="AN31" i="1"/>
  <c r="AN38" i="1"/>
  <c r="AO31" i="1"/>
  <c r="AO38" i="1"/>
  <c r="AP31" i="1"/>
  <c r="AP38" i="1"/>
  <c r="AQ31" i="1"/>
  <c r="AQ38" i="1"/>
  <c r="AR31" i="1"/>
  <c r="AR38" i="1"/>
  <c r="AS31" i="1"/>
  <c r="AS38" i="1"/>
  <c r="AT31" i="1"/>
  <c r="AT38" i="1"/>
  <c r="AU31" i="1"/>
  <c r="AU38" i="1"/>
  <c r="AK48" i="1"/>
  <c r="AL48" i="1"/>
  <c r="AM48" i="1"/>
  <c r="AN48" i="1"/>
  <c r="AO48" i="1"/>
  <c r="AP48" i="1"/>
  <c r="AQ48" i="1"/>
  <c r="AR48" i="1"/>
  <c r="AS48" i="1"/>
  <c r="AT48" i="1"/>
  <c r="AU48" i="1"/>
  <c r="AJ21" i="1"/>
  <c r="AJ8" i="1"/>
  <c r="AJ14" i="1"/>
  <c r="AJ17" i="1"/>
  <c r="AJ31" i="1"/>
  <c r="AJ38" i="1"/>
  <c r="AJ48" i="1"/>
  <c r="AI5" i="1"/>
  <c r="AI6" i="1"/>
  <c r="AI23" i="1"/>
  <c r="AI21" i="1"/>
  <c r="AI36" i="1"/>
  <c r="AD21" i="1"/>
  <c r="AE21" i="1"/>
  <c r="AF21" i="1"/>
  <c r="AG21" i="1"/>
  <c r="AH21" i="1"/>
  <c r="X4" i="1"/>
  <c r="Y4" i="1"/>
  <c r="Z4" i="1"/>
  <c r="AA4" i="1"/>
  <c r="AB4" i="1"/>
  <c r="AC4" i="1"/>
  <c r="AD4" i="1"/>
  <c r="AE4" i="1"/>
  <c r="AF4" i="1"/>
  <c r="AG4" i="1"/>
  <c r="AH4" i="1"/>
  <c r="X8" i="1"/>
  <c r="Y8" i="1"/>
  <c r="Z8" i="1"/>
  <c r="AA8" i="1"/>
  <c r="AB8" i="1"/>
  <c r="AC8" i="1"/>
  <c r="AD8" i="1"/>
  <c r="AE8" i="1"/>
  <c r="AF8" i="1"/>
  <c r="AG8" i="1"/>
  <c r="AH8" i="1"/>
  <c r="X14" i="1"/>
  <c r="Y14" i="1"/>
  <c r="Z14" i="1"/>
  <c r="AA14" i="1"/>
  <c r="AB14" i="1"/>
  <c r="AC14" i="1"/>
  <c r="AD14" i="1"/>
  <c r="AE14" i="1"/>
  <c r="AF14" i="1"/>
  <c r="AG14" i="1"/>
  <c r="AH14" i="1"/>
  <c r="X17" i="1"/>
  <c r="Y17" i="1"/>
  <c r="Z17" i="1"/>
  <c r="AA17" i="1"/>
  <c r="AB17" i="1"/>
  <c r="AC17" i="1"/>
  <c r="AD17" i="1"/>
  <c r="AE17" i="1"/>
  <c r="AF17" i="1"/>
  <c r="AG17" i="1"/>
  <c r="AH17" i="1"/>
  <c r="X21" i="1"/>
  <c r="Y21" i="1"/>
  <c r="Z21" i="1"/>
  <c r="AA21" i="1"/>
  <c r="AB21" i="1"/>
  <c r="AC21" i="1"/>
  <c r="X31" i="1"/>
  <c r="X38" i="1"/>
  <c r="Y31" i="1"/>
  <c r="Y38" i="1"/>
  <c r="Z31" i="1"/>
  <c r="Z38" i="1"/>
  <c r="AA31" i="1"/>
  <c r="AA38" i="1"/>
  <c r="AB31" i="1"/>
  <c r="AB38" i="1"/>
  <c r="AC31" i="1"/>
  <c r="AC38" i="1"/>
  <c r="AD31" i="1"/>
  <c r="AD38" i="1"/>
  <c r="AE31" i="1"/>
  <c r="AE38" i="1"/>
  <c r="AF31" i="1"/>
  <c r="AF38" i="1"/>
  <c r="AG31" i="1"/>
  <c r="AG38" i="1"/>
  <c r="AH31" i="1"/>
  <c r="AH38" i="1"/>
  <c r="X48" i="1"/>
  <c r="Y48" i="1"/>
  <c r="Z48" i="1"/>
  <c r="AA48" i="1"/>
  <c r="AB48" i="1"/>
  <c r="AC48" i="1"/>
  <c r="AD48" i="1"/>
  <c r="AE48" i="1"/>
  <c r="AF48" i="1"/>
  <c r="AG48" i="1"/>
  <c r="AG49" i="1"/>
  <c r="AH48" i="1"/>
  <c r="W8" i="1"/>
  <c r="W14" i="1"/>
  <c r="W17" i="1"/>
  <c r="W21" i="1"/>
  <c r="W31" i="1"/>
  <c r="W38" i="1"/>
  <c r="W48" i="1"/>
  <c r="BI4" i="1"/>
  <c r="AI8" i="1"/>
  <c r="AV8" i="1"/>
  <c r="BI8" i="1"/>
  <c r="AI14" i="1"/>
  <c r="AV14" i="1"/>
  <c r="S30" i="5" s="1"/>
  <c r="BI14" i="1"/>
  <c r="AF30" i="5" s="1"/>
  <c r="AI17" i="1"/>
  <c r="AV17" i="1"/>
  <c r="BI17" i="1"/>
  <c r="BI21" i="1"/>
  <c r="AF34" i="5" s="1"/>
  <c r="AI31" i="1"/>
  <c r="AV31" i="1"/>
  <c r="S5" i="5" s="1"/>
  <c r="AV38" i="1"/>
  <c r="BI31" i="1"/>
  <c r="AF5" i="5" s="1"/>
  <c r="BI38" i="1"/>
  <c r="AI48" i="1"/>
  <c r="BI48" i="1"/>
  <c r="V44" i="1"/>
  <c r="V42" i="1"/>
  <c r="V41" i="1"/>
  <c r="V48" i="1" s="1"/>
  <c r="V5" i="1"/>
  <c r="V6" i="1"/>
  <c r="V4" i="1"/>
  <c r="K4" i="1"/>
  <c r="L4" i="1"/>
  <c r="M4" i="1"/>
  <c r="N4" i="1"/>
  <c r="O4" i="1"/>
  <c r="P4" i="1"/>
  <c r="Q4" i="1"/>
  <c r="R4" i="1"/>
  <c r="S4" i="1"/>
  <c r="T4" i="1"/>
  <c r="U4" i="1"/>
  <c r="K8" i="1"/>
  <c r="L8" i="1"/>
  <c r="M8" i="1"/>
  <c r="N8" i="1"/>
  <c r="O8" i="1"/>
  <c r="P8" i="1"/>
  <c r="Q8" i="1"/>
  <c r="R8" i="1"/>
  <c r="S8" i="1"/>
  <c r="T8" i="1"/>
  <c r="U8" i="1"/>
  <c r="K14" i="1"/>
  <c r="L14" i="1"/>
  <c r="M14" i="1"/>
  <c r="N14" i="1"/>
  <c r="O14" i="1"/>
  <c r="P14" i="1"/>
  <c r="Q14" i="1"/>
  <c r="R14" i="1"/>
  <c r="S14" i="1"/>
  <c r="T14" i="1"/>
  <c r="U14" i="1"/>
  <c r="K17" i="1"/>
  <c r="L17" i="1"/>
  <c r="M17" i="1"/>
  <c r="N17" i="1"/>
  <c r="O17" i="1"/>
  <c r="P17" i="1"/>
  <c r="Q17" i="1"/>
  <c r="R17" i="1"/>
  <c r="S17" i="1"/>
  <c r="T17" i="1"/>
  <c r="U17" i="1"/>
  <c r="K21" i="1"/>
  <c r="L21" i="1"/>
  <c r="M21" i="1"/>
  <c r="N21" i="1"/>
  <c r="O21" i="1"/>
  <c r="P21" i="1"/>
  <c r="Q21" i="1"/>
  <c r="R21" i="1"/>
  <c r="S21" i="1"/>
  <c r="T21" i="1"/>
  <c r="T27" i="1"/>
  <c r="U21" i="1"/>
  <c r="K31" i="1"/>
  <c r="K38" i="1"/>
  <c r="L31" i="1"/>
  <c r="L38" i="1"/>
  <c r="M31" i="1"/>
  <c r="M38" i="1"/>
  <c r="N31" i="1"/>
  <c r="N38" i="1"/>
  <c r="O31" i="1"/>
  <c r="O38" i="1"/>
  <c r="P31" i="1"/>
  <c r="P38" i="1"/>
  <c r="Q31" i="1"/>
  <c r="Q38" i="1"/>
  <c r="R31" i="1"/>
  <c r="R38" i="1"/>
  <c r="S31" i="1"/>
  <c r="S38" i="1"/>
  <c r="T31" i="1"/>
  <c r="T38" i="1"/>
  <c r="U31" i="1"/>
  <c r="U38" i="1"/>
  <c r="K48" i="1"/>
  <c r="L48" i="1"/>
  <c r="M48" i="1"/>
  <c r="N48" i="1"/>
  <c r="O48" i="1"/>
  <c r="P48" i="1"/>
  <c r="Q48" i="1"/>
  <c r="R48" i="1"/>
  <c r="S48" i="1"/>
  <c r="T48" i="1"/>
  <c r="U48" i="1"/>
  <c r="J4" i="1"/>
  <c r="J8" i="1"/>
  <c r="J14" i="1"/>
  <c r="J17" i="1"/>
  <c r="J21" i="1"/>
  <c r="J31" i="1"/>
  <c r="J38" i="1"/>
  <c r="J48" i="1"/>
  <c r="I42" i="1"/>
  <c r="I48" i="1"/>
  <c r="I28" i="1"/>
  <c r="I31" i="1"/>
  <c r="I38" i="1"/>
  <c r="I6" i="1"/>
  <c r="I5" i="1"/>
  <c r="H42" i="1"/>
  <c r="H48" i="1"/>
  <c r="G42" i="1"/>
  <c r="G48" i="1"/>
  <c r="H36" i="1"/>
  <c r="G36" i="1"/>
  <c r="G30" i="1"/>
  <c r="H28" i="1"/>
  <c r="H31" i="1"/>
  <c r="G28" i="1"/>
  <c r="H12" i="1"/>
  <c r="H8" i="1"/>
  <c r="H5" i="1"/>
  <c r="H6" i="1"/>
  <c r="H4" i="1"/>
  <c r="C44" i="1"/>
  <c r="C48" i="1"/>
  <c r="B44" i="1"/>
  <c r="B48" i="1"/>
  <c r="B36" i="1"/>
  <c r="B7" i="1"/>
  <c r="I8" i="1"/>
  <c r="V8" i="1"/>
  <c r="I14" i="1"/>
  <c r="V14" i="1"/>
  <c r="I17" i="1"/>
  <c r="V17" i="1"/>
  <c r="I21" i="1"/>
  <c r="V21" i="1"/>
  <c r="V31" i="1"/>
  <c r="V38" i="1"/>
  <c r="C4" i="1"/>
  <c r="D4" i="1"/>
  <c r="E4" i="1"/>
  <c r="F4" i="1"/>
  <c r="G4" i="1"/>
  <c r="C8" i="1"/>
  <c r="D8" i="1"/>
  <c r="E8" i="1"/>
  <c r="F8" i="1"/>
  <c r="G8" i="1"/>
  <c r="C14" i="1"/>
  <c r="D14" i="1"/>
  <c r="E14" i="1"/>
  <c r="F14" i="1"/>
  <c r="G14" i="1"/>
  <c r="H14" i="1"/>
  <c r="C17" i="1"/>
  <c r="D17" i="1"/>
  <c r="E17" i="1"/>
  <c r="F17" i="1"/>
  <c r="G17" i="1"/>
  <c r="H17" i="1"/>
  <c r="C21" i="1"/>
  <c r="D21" i="1"/>
  <c r="E21" i="1"/>
  <c r="F21" i="1"/>
  <c r="G21" i="1"/>
  <c r="H21" i="1"/>
  <c r="C31" i="1"/>
  <c r="C38" i="1"/>
  <c r="D31" i="1"/>
  <c r="D38" i="1"/>
  <c r="E31" i="1"/>
  <c r="E38" i="1"/>
  <c r="F31" i="1"/>
  <c r="F38" i="1"/>
  <c r="D48" i="1"/>
  <c r="E48" i="1"/>
  <c r="F48" i="1"/>
  <c r="B31" i="1"/>
  <c r="B21" i="1"/>
  <c r="B17" i="1"/>
  <c r="B14" i="1"/>
  <c r="B8" i="1"/>
  <c r="B4" i="1"/>
  <c r="CH41" i="1"/>
  <c r="BG3" i="3" s="1"/>
  <c r="BF17" i="5"/>
  <c r="CH36" i="1"/>
  <c r="CH23" i="1"/>
  <c r="BF35" i="5"/>
  <c r="CH13" i="1"/>
  <c r="CH6" i="1"/>
  <c r="BV36" i="1"/>
  <c r="BV6" i="1"/>
  <c r="BV4" i="1"/>
  <c r="F40" i="11"/>
  <c r="CJ12" i="2"/>
  <c r="CK12" i="2"/>
  <c r="CH12" i="2"/>
  <c r="CI12" i="2"/>
  <c r="CI4" i="2"/>
  <c r="CJ4" i="2"/>
  <c r="CK4" i="2"/>
  <c r="CI7" i="2"/>
  <c r="CJ7" i="2"/>
  <c r="BH39" i="5" s="1"/>
  <c r="CJ3" i="2"/>
  <c r="CK7" i="2"/>
  <c r="BI39" i="5" s="1"/>
  <c r="CK3" i="2"/>
  <c r="CK19" i="2"/>
  <c r="CI20" i="2"/>
  <c r="CJ20" i="2"/>
  <c r="CK20" i="2"/>
  <c r="CI23" i="2"/>
  <c r="CJ23" i="2"/>
  <c r="CK23" i="2"/>
  <c r="CI30" i="2"/>
  <c r="CJ30" i="2"/>
  <c r="CK30" i="2"/>
  <c r="CI4" i="1"/>
  <c r="CJ4" i="1"/>
  <c r="CK4" i="1"/>
  <c r="CI8" i="1"/>
  <c r="CJ8" i="1"/>
  <c r="CK8" i="1"/>
  <c r="CI14" i="1"/>
  <c r="BG30" i="5" s="1"/>
  <c r="CJ14" i="1"/>
  <c r="BH30" i="5" s="1"/>
  <c r="CK14" i="1"/>
  <c r="BI30" i="5" s="1"/>
  <c r="CI17" i="1"/>
  <c r="CJ17" i="1"/>
  <c r="CK17" i="1"/>
  <c r="CI21" i="1"/>
  <c r="CJ21" i="1"/>
  <c r="CK21" i="1"/>
  <c r="CI31" i="1"/>
  <c r="CI38" i="1"/>
  <c r="CJ31" i="1"/>
  <c r="CJ38" i="1"/>
  <c r="CK31" i="1"/>
  <c r="CK38" i="1"/>
  <c r="CI48" i="1"/>
  <c r="CI49" i="1" s="1"/>
  <c r="CJ48" i="1"/>
  <c r="CK48" i="1"/>
  <c r="BC6" i="5"/>
  <c r="BD26" i="3" s="1"/>
  <c r="BD6" i="5"/>
  <c r="BE26" i="3" s="1"/>
  <c r="BE6" i="5"/>
  <c r="BF26" i="3" s="1"/>
  <c r="BF6" i="5"/>
  <c r="BG26" i="3" s="1"/>
  <c r="BC7" i="5"/>
  <c r="BD27" i="3" s="1"/>
  <c r="BD7" i="5"/>
  <c r="BE27" i="3" s="1"/>
  <c r="BE7" i="5"/>
  <c r="BF27" i="3" s="1"/>
  <c r="BF7" i="5"/>
  <c r="BG27" i="3" s="1"/>
  <c r="BC8" i="5"/>
  <c r="BD8" i="5"/>
  <c r="BE8" i="5"/>
  <c r="BF8" i="5"/>
  <c r="BC9" i="5"/>
  <c r="BD9" i="5"/>
  <c r="BE9" i="5"/>
  <c r="BC15" i="5"/>
  <c r="BD15" i="5"/>
  <c r="BE15" i="5"/>
  <c r="BF15" i="5"/>
  <c r="BC17" i="5"/>
  <c r="BD17" i="5"/>
  <c r="BE17" i="5"/>
  <c r="BC18" i="5"/>
  <c r="BD18" i="5"/>
  <c r="BE18" i="5"/>
  <c r="BC19" i="5"/>
  <c r="BD19" i="5"/>
  <c r="BE19" i="5"/>
  <c r="BF19" i="5"/>
  <c r="BC20" i="5"/>
  <c r="BD20" i="5"/>
  <c r="BE20" i="5"/>
  <c r="BF20" i="5"/>
  <c r="BC22" i="5"/>
  <c r="BC21" i="5"/>
  <c r="BD22" i="5"/>
  <c r="BD21" i="5"/>
  <c r="BE22" i="5"/>
  <c r="BE21" i="5"/>
  <c r="BF22" i="5"/>
  <c r="BF21" i="5"/>
  <c r="BC31" i="5"/>
  <c r="BD28" i="3" s="1"/>
  <c r="BD31" i="5"/>
  <c r="BE28" i="3" s="1"/>
  <c r="BE31" i="5"/>
  <c r="BF28" i="3" s="1"/>
  <c r="BC32" i="5"/>
  <c r="BD32" i="5"/>
  <c r="BE32" i="5"/>
  <c r="BF32" i="5"/>
  <c r="BC35" i="5"/>
  <c r="BD35" i="5"/>
  <c r="BE35" i="5"/>
  <c r="BC38" i="5"/>
  <c r="BD38" i="5"/>
  <c r="BE38" i="5"/>
  <c r="BF38" i="5"/>
  <c r="BC40" i="5"/>
  <c r="BD40" i="5"/>
  <c r="BE40" i="5"/>
  <c r="BF40" i="5"/>
  <c r="BC44" i="5"/>
  <c r="BD33" i="3" s="1"/>
  <c r="BD44" i="5"/>
  <c r="BE33" i="3" s="1"/>
  <c r="BE44" i="5"/>
  <c r="BF33" i="3" s="1"/>
  <c r="BF44" i="5"/>
  <c r="BG33" i="3" s="1"/>
  <c r="BC45" i="5"/>
  <c r="BD34" i="3" s="1"/>
  <c r="BD45" i="5"/>
  <c r="BE34" i="3" s="1"/>
  <c r="BE45" i="5"/>
  <c r="BF34" i="3" s="1"/>
  <c r="BF45" i="5"/>
  <c r="BG34" i="3" s="1"/>
  <c r="BC46" i="5"/>
  <c r="BD46" i="5"/>
  <c r="BE35" i="3" s="1"/>
  <c r="BE46" i="5"/>
  <c r="BF35" i="3" s="1"/>
  <c r="BF46" i="5"/>
  <c r="CH4" i="1"/>
  <c r="CM47" i="8"/>
  <c r="CH23" i="2"/>
  <c r="BF18" i="5"/>
  <c r="BF31" i="5"/>
  <c r="BG28" i="3" s="1"/>
  <c r="CE4" i="2"/>
  <c r="CF4" i="2"/>
  <c r="CG4" i="2"/>
  <c r="CH4" i="2"/>
  <c r="CE7" i="2"/>
  <c r="BC39" i="5"/>
  <c r="CF7" i="2"/>
  <c r="BD39" i="5"/>
  <c r="CG7" i="2"/>
  <c r="BE39" i="5"/>
  <c r="CH7" i="2"/>
  <c r="CE12" i="2"/>
  <c r="CF12" i="2"/>
  <c r="CG12" i="2"/>
  <c r="CE20" i="2"/>
  <c r="CF20" i="2"/>
  <c r="CG20" i="2"/>
  <c r="CH20" i="2"/>
  <c r="CE23" i="2"/>
  <c r="BC47" i="5"/>
  <c r="CF23" i="2"/>
  <c r="BD47" i="5"/>
  <c r="CG23" i="2"/>
  <c r="BE47" i="5"/>
  <c r="CE30" i="2"/>
  <c r="CF30" i="2"/>
  <c r="CG30" i="2"/>
  <c r="CH30" i="2"/>
  <c r="CE4" i="1"/>
  <c r="CJ52" i="8"/>
  <c r="CF4" i="1"/>
  <c r="CK52" i="8"/>
  <c r="CG4" i="1"/>
  <c r="CL52" i="8"/>
  <c r="CE8" i="1"/>
  <c r="CF8" i="1"/>
  <c r="CG8" i="1"/>
  <c r="CE14" i="1"/>
  <c r="BC30" i="5"/>
  <c r="CF14" i="1"/>
  <c r="BD30" i="5"/>
  <c r="CG14" i="1"/>
  <c r="BE30" i="5"/>
  <c r="CE17" i="1"/>
  <c r="CF17" i="1"/>
  <c r="CG17" i="1"/>
  <c r="CH17" i="1"/>
  <c r="CE21" i="1"/>
  <c r="BC34" i="5"/>
  <c r="CF21" i="1"/>
  <c r="BD34" i="5"/>
  <c r="CG21" i="1"/>
  <c r="BE34" i="5"/>
  <c r="CE31" i="1"/>
  <c r="BC5" i="5"/>
  <c r="BD25" i="3" s="1"/>
  <c r="CF31" i="1"/>
  <c r="BD5" i="5"/>
  <c r="BE25" i="3" s="1"/>
  <c r="CG31" i="1"/>
  <c r="BE5" i="5"/>
  <c r="BF25" i="3" s="1"/>
  <c r="CH31" i="1"/>
  <c r="BF5" i="5"/>
  <c r="BG25" i="3" s="1"/>
  <c r="CE48" i="1"/>
  <c r="CF48" i="1"/>
  <c r="CG48" i="1"/>
  <c r="CK63" i="8"/>
  <c r="D187" i="4"/>
  <c r="C187" i="4"/>
  <c r="D175" i="4"/>
  <c r="C175" i="4"/>
  <c r="D163" i="4"/>
  <c r="C163" i="4"/>
  <c r="D151" i="4"/>
  <c r="C151" i="4"/>
  <c r="D188" i="4"/>
  <c r="D189" i="4"/>
  <c r="F186" i="4"/>
  <c r="F185" i="4"/>
  <c r="F184" i="4"/>
  <c r="F183" i="4"/>
  <c r="F182" i="4"/>
  <c r="D138" i="4"/>
  <c r="C138" i="4"/>
  <c r="D126" i="4"/>
  <c r="C126" i="4"/>
  <c r="D176" i="4"/>
  <c r="D177" i="4"/>
  <c r="F174" i="4"/>
  <c r="F173" i="4"/>
  <c r="F172" i="4"/>
  <c r="F171" i="4"/>
  <c r="F170" i="4"/>
  <c r="D164" i="4"/>
  <c r="F162" i="4"/>
  <c r="F161" i="4"/>
  <c r="F160" i="4"/>
  <c r="F159" i="4"/>
  <c r="F158" i="4"/>
  <c r="D152" i="4"/>
  <c r="D153" i="4"/>
  <c r="F150" i="4"/>
  <c r="F149" i="4"/>
  <c r="F148" i="4"/>
  <c r="F147" i="4"/>
  <c r="F146" i="4"/>
  <c r="D139" i="4"/>
  <c r="D140" i="4"/>
  <c r="F137" i="4"/>
  <c r="F136" i="4"/>
  <c r="F135" i="4"/>
  <c r="F134" i="4"/>
  <c r="F133" i="4"/>
  <c r="D127" i="4"/>
  <c r="F125" i="4"/>
  <c r="F124" i="4"/>
  <c r="F123" i="4"/>
  <c r="F122" i="4"/>
  <c r="F121" i="4"/>
  <c r="CD16" i="8"/>
  <c r="CE16" i="8"/>
  <c r="CG16" i="8"/>
  <c r="CH16" i="8"/>
  <c r="F110" i="4"/>
  <c r="F111" i="4"/>
  <c r="F112" i="4"/>
  <c r="F113" i="4"/>
  <c r="F109" i="4"/>
  <c r="D115" i="4"/>
  <c r="D114" i="4"/>
  <c r="D116" i="4" s="1"/>
  <c r="I114" i="4"/>
  <c r="C114" i="4"/>
  <c r="AZ6" i="5"/>
  <c r="BA6" i="5"/>
  <c r="BB26" i="3"/>
  <c r="BB6" i="5"/>
  <c r="BC26" i="3"/>
  <c r="AZ7" i="5"/>
  <c r="BA27" i="3"/>
  <c r="BA7" i="5"/>
  <c r="BB7" i="5"/>
  <c r="AZ8" i="5"/>
  <c r="BA8" i="5"/>
  <c r="BB8" i="5"/>
  <c r="AZ9" i="5"/>
  <c r="BA9" i="5"/>
  <c r="BB9" i="5"/>
  <c r="AZ15" i="5"/>
  <c r="BA15" i="5"/>
  <c r="BB15" i="5"/>
  <c r="AZ17" i="5"/>
  <c r="BA17" i="5"/>
  <c r="BB17" i="5"/>
  <c r="AZ18" i="5"/>
  <c r="BA18" i="5"/>
  <c r="BB18" i="5"/>
  <c r="AZ19" i="5"/>
  <c r="BA19" i="5"/>
  <c r="BB19" i="5"/>
  <c r="AZ20" i="5"/>
  <c r="BA20" i="5"/>
  <c r="BB20" i="5"/>
  <c r="AZ22" i="5"/>
  <c r="AZ21" i="5"/>
  <c r="BA22" i="5"/>
  <c r="BA21" i="5"/>
  <c r="BB22" i="5"/>
  <c r="BB21" i="5"/>
  <c r="AZ31" i="5"/>
  <c r="BA31" i="5"/>
  <c r="BB28" i="3"/>
  <c r="BB31" i="5"/>
  <c r="AZ32" i="5"/>
  <c r="BA32" i="5"/>
  <c r="BB32" i="5"/>
  <c r="AZ35" i="5"/>
  <c r="BA35" i="5"/>
  <c r="BB35" i="5"/>
  <c r="AZ38" i="5"/>
  <c r="BA38" i="5"/>
  <c r="BB38" i="5"/>
  <c r="AZ40" i="5"/>
  <c r="BA40" i="5"/>
  <c r="BB40" i="5"/>
  <c r="AZ44" i="5"/>
  <c r="BA33" i="3"/>
  <c r="BA44" i="5"/>
  <c r="BB33" i="3"/>
  <c r="BB44" i="5"/>
  <c r="BC33" i="3"/>
  <c r="AZ45" i="5"/>
  <c r="BA34" i="3"/>
  <c r="BA45" i="5"/>
  <c r="BB34" i="3"/>
  <c r="BB45" i="5"/>
  <c r="BC34" i="3"/>
  <c r="AZ46" i="5"/>
  <c r="BA46" i="5"/>
  <c r="BB46" i="5"/>
  <c r="AS3" i="3"/>
  <c r="AS19" i="3"/>
  <c r="AU3" i="3"/>
  <c r="AU19" i="3"/>
  <c r="AV3" i="3"/>
  <c r="AW3" i="3"/>
  <c r="AW19" i="3"/>
  <c r="AX3" i="3"/>
  <c r="AX19" i="3"/>
  <c r="AY3" i="3"/>
  <c r="AY19" i="3"/>
  <c r="AZ3" i="3"/>
  <c r="AZ19" i="3"/>
  <c r="BA3" i="3"/>
  <c r="BA19" i="3"/>
  <c r="BB3" i="3"/>
  <c r="BC3" i="3"/>
  <c r="AS8" i="3"/>
  <c r="AU8" i="3"/>
  <c r="AV8" i="3"/>
  <c r="AW8" i="3"/>
  <c r="AX8" i="3"/>
  <c r="AY8" i="3"/>
  <c r="AZ8" i="3"/>
  <c r="BA8" i="3"/>
  <c r="BB8" i="3"/>
  <c r="BC8" i="3"/>
  <c r="AC3" i="3"/>
  <c r="AC19" i="3"/>
  <c r="AD3" i="3"/>
  <c r="AE3" i="3"/>
  <c r="AE5" i="3"/>
  <c r="AF3" i="3"/>
  <c r="AF5" i="3"/>
  <c r="AG3" i="3"/>
  <c r="AG19" i="3"/>
  <c r="AH3" i="3"/>
  <c r="AH5" i="3"/>
  <c r="AI3" i="3"/>
  <c r="AI19" i="3"/>
  <c r="AJ3" i="3"/>
  <c r="AJ19" i="3"/>
  <c r="AK3" i="3"/>
  <c r="AK19" i="3"/>
  <c r="AL3" i="3"/>
  <c r="AL6" i="3"/>
  <c r="AM3" i="3"/>
  <c r="AN3" i="3"/>
  <c r="AN19" i="3"/>
  <c r="AO3" i="3"/>
  <c r="AO19" i="3"/>
  <c r="AP3" i="3"/>
  <c r="AP19" i="3"/>
  <c r="AQ3" i="3"/>
  <c r="AQ19" i="3"/>
  <c r="AR3" i="3"/>
  <c r="AR19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CC4" i="2"/>
  <c r="CC7" i="2"/>
  <c r="BA39" i="5"/>
  <c r="CC12" i="2"/>
  <c r="CC20" i="2"/>
  <c r="CC23" i="2"/>
  <c r="BA47" i="5"/>
  <c r="CC30" i="2"/>
  <c r="CD4" i="2"/>
  <c r="CD7" i="2"/>
  <c r="BB39" i="5"/>
  <c r="CD12" i="2"/>
  <c r="CD20" i="2"/>
  <c r="CD23" i="2"/>
  <c r="BB47" i="5"/>
  <c r="CD30" i="2"/>
  <c r="BZ4" i="2"/>
  <c r="CA4" i="2"/>
  <c r="CB4" i="2"/>
  <c r="BZ7" i="2"/>
  <c r="BZ3" i="2" s="1"/>
  <c r="AW39" i="5"/>
  <c r="CA7" i="2"/>
  <c r="AX39" i="5"/>
  <c r="CB7" i="2"/>
  <c r="CB3" i="2" s="1"/>
  <c r="AY39" i="5"/>
  <c r="AZ39" i="5"/>
  <c r="BZ12" i="2"/>
  <c r="CA12" i="2"/>
  <c r="CB12" i="2"/>
  <c r="BZ20" i="2"/>
  <c r="CA20" i="2"/>
  <c r="CB20" i="2"/>
  <c r="BZ23" i="2"/>
  <c r="AW47" i="5"/>
  <c r="CA23" i="2"/>
  <c r="CB23" i="2"/>
  <c r="AY47" i="5"/>
  <c r="AZ47" i="5"/>
  <c r="BZ30" i="2"/>
  <c r="CA30" i="2"/>
  <c r="CB30" i="2"/>
  <c r="CC4" i="1"/>
  <c r="BB12" i="3"/>
  <c r="CC8" i="1"/>
  <c r="CC14" i="1"/>
  <c r="BB38" i="3" s="1"/>
  <c r="CC17" i="1"/>
  <c r="CC21" i="1"/>
  <c r="BA34" i="5"/>
  <c r="CC31" i="1"/>
  <c r="CC38" i="1"/>
  <c r="CC48" i="1"/>
  <c r="CD4" i="1"/>
  <c r="BC12" i="3"/>
  <c r="CD8" i="1"/>
  <c r="CD14" i="1"/>
  <c r="BC38" i="3" s="1"/>
  <c r="CD17" i="1"/>
  <c r="CD21" i="1"/>
  <c r="BB34" i="5"/>
  <c r="CD31" i="1"/>
  <c r="CD48" i="1"/>
  <c r="BZ4" i="1"/>
  <c r="CA4" i="1"/>
  <c r="CE47" i="8"/>
  <c r="CB4" i="1"/>
  <c r="AZ12" i="3"/>
  <c r="CG47" i="8"/>
  <c r="BZ8" i="1"/>
  <c r="CA8" i="1"/>
  <c r="CB8" i="1"/>
  <c r="BZ14" i="1"/>
  <c r="CA14" i="1"/>
  <c r="CB14" i="1"/>
  <c r="AY30" i="5"/>
  <c r="BZ17" i="1"/>
  <c r="CA17" i="1"/>
  <c r="CB17" i="1"/>
  <c r="BZ21" i="1"/>
  <c r="AW34" i="5"/>
  <c r="CA21" i="1"/>
  <c r="AX34" i="5"/>
  <c r="CB21" i="1"/>
  <c r="AZ34" i="5"/>
  <c r="BZ31" i="1"/>
  <c r="AX18" i="3"/>
  <c r="CA31" i="1"/>
  <c r="AY18" i="3"/>
  <c r="CB31" i="1"/>
  <c r="CB38" i="1"/>
  <c r="BA18" i="3"/>
  <c r="BZ48" i="1"/>
  <c r="CA48" i="1"/>
  <c r="CB48" i="1"/>
  <c r="C6" i="10"/>
  <c r="D6" i="10"/>
  <c r="E6" i="10"/>
  <c r="F6" i="10"/>
  <c r="G6" i="10"/>
  <c r="C7" i="10"/>
  <c r="D7" i="10"/>
  <c r="E7" i="10"/>
  <c r="F7" i="10"/>
  <c r="G7" i="10"/>
  <c r="C8" i="10"/>
  <c r="D8" i="10"/>
  <c r="E8" i="10"/>
  <c r="F8" i="10"/>
  <c r="G8" i="10"/>
  <c r="C10" i="10"/>
  <c r="D10" i="10"/>
  <c r="E10" i="10"/>
  <c r="F10" i="10"/>
  <c r="G10" i="10"/>
  <c r="C11" i="10"/>
  <c r="D11" i="10"/>
  <c r="E11" i="10"/>
  <c r="F11" i="10"/>
  <c r="G11" i="10"/>
  <c r="C12" i="10"/>
  <c r="D12" i="10"/>
  <c r="E12" i="10"/>
  <c r="F12" i="10"/>
  <c r="G12" i="10"/>
  <c r="C13" i="10"/>
  <c r="D13" i="10"/>
  <c r="E13" i="10"/>
  <c r="F13" i="10"/>
  <c r="G13" i="10"/>
  <c r="C15" i="10"/>
  <c r="D15" i="10"/>
  <c r="E15" i="10"/>
  <c r="F15" i="10"/>
  <c r="G15" i="10"/>
  <c r="C16" i="10"/>
  <c r="D16" i="10"/>
  <c r="E16" i="10"/>
  <c r="F16" i="10"/>
  <c r="G16" i="10"/>
  <c r="C17" i="10"/>
  <c r="D17" i="10"/>
  <c r="E17" i="10"/>
  <c r="F17" i="10"/>
  <c r="G17" i="10"/>
  <c r="C18" i="10"/>
  <c r="D18" i="10"/>
  <c r="E18" i="10"/>
  <c r="F18" i="10"/>
  <c r="G18" i="10"/>
  <c r="C20" i="10"/>
  <c r="D20" i="10"/>
  <c r="E20" i="10"/>
  <c r="F20" i="10"/>
  <c r="G20" i="10"/>
  <c r="C21" i="10"/>
  <c r="D21" i="10"/>
  <c r="E21" i="10"/>
  <c r="F21" i="10"/>
  <c r="G21" i="10"/>
  <c r="C22" i="10"/>
  <c r="D22" i="10"/>
  <c r="E22" i="10"/>
  <c r="F22" i="10"/>
  <c r="G22" i="10"/>
  <c r="C24" i="10"/>
  <c r="D24" i="10"/>
  <c r="E24" i="10"/>
  <c r="F24" i="10"/>
  <c r="G24" i="10"/>
  <c r="C25" i="10"/>
  <c r="D25" i="10"/>
  <c r="E25" i="10"/>
  <c r="F25" i="10"/>
  <c r="G25" i="10"/>
  <c r="C26" i="10"/>
  <c r="D26" i="10"/>
  <c r="E26" i="10"/>
  <c r="F26" i="10"/>
  <c r="G26" i="10"/>
  <c r="C27" i="10"/>
  <c r="D27" i="10"/>
  <c r="E27" i="10"/>
  <c r="F27" i="10"/>
  <c r="G27" i="10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BG16" i="8"/>
  <c r="BJ16" i="8"/>
  <c r="BK16" i="8"/>
  <c r="BL16" i="8"/>
  <c r="BN16" i="8"/>
  <c r="BO16" i="8"/>
  <c r="BQ16" i="8"/>
  <c r="BR16" i="8"/>
  <c r="BT16" i="8"/>
  <c r="BU16" i="8"/>
  <c r="BW16" i="8"/>
  <c r="BX16" i="8"/>
  <c r="CA16" i="8"/>
  <c r="CB16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E37" i="8"/>
  <c r="F37" i="8"/>
  <c r="G37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B8" i="6"/>
  <c r="C8" i="6"/>
  <c r="B12" i="6"/>
  <c r="C12" i="6"/>
  <c r="B17" i="6"/>
  <c r="C17" i="6"/>
  <c r="B19" i="6"/>
  <c r="C19" i="6"/>
  <c r="B28" i="6"/>
  <c r="C28" i="6"/>
  <c r="E28" i="6"/>
  <c r="B36" i="6"/>
  <c r="C36" i="6"/>
  <c r="B37" i="6"/>
  <c r="C37" i="6"/>
  <c r="B39" i="6"/>
  <c r="C39" i="6"/>
  <c r="C6" i="5"/>
  <c r="D6" i="5"/>
  <c r="E6" i="5"/>
  <c r="AL33" i="8"/>
  <c r="F6" i="5"/>
  <c r="G6" i="5"/>
  <c r="H6" i="5"/>
  <c r="I6" i="5"/>
  <c r="J6" i="5"/>
  <c r="K6" i="5"/>
  <c r="AR59" i="8"/>
  <c r="L6" i="5"/>
  <c r="M6" i="5"/>
  <c r="AT59" i="8"/>
  <c r="N6" i="5"/>
  <c r="O6" i="5"/>
  <c r="AV33" i="8"/>
  <c r="P6" i="5"/>
  <c r="Q6" i="5"/>
  <c r="R6" i="5"/>
  <c r="S26" i="3"/>
  <c r="T26" i="3"/>
  <c r="U26" i="3"/>
  <c r="X26" i="3"/>
  <c r="Y26" i="3"/>
  <c r="AB26" i="3"/>
  <c r="AC26" i="3"/>
  <c r="AD26" i="3"/>
  <c r="AG26" i="3"/>
  <c r="AH26" i="3"/>
  <c r="AJ26" i="3"/>
  <c r="AK26" i="3"/>
  <c r="AL26" i="3"/>
  <c r="AO26" i="3"/>
  <c r="AQ26" i="3"/>
  <c r="AR26" i="3"/>
  <c r="AS26" i="3"/>
  <c r="AS6" i="5"/>
  <c r="AT6" i="5"/>
  <c r="AU26" i="3"/>
  <c r="AU6" i="5"/>
  <c r="AV6" i="5"/>
  <c r="AW26" i="3"/>
  <c r="AW6" i="5"/>
  <c r="AX26" i="3"/>
  <c r="AX6" i="5"/>
  <c r="AY26" i="3"/>
  <c r="AY6" i="5"/>
  <c r="AZ26" i="3"/>
  <c r="C7" i="5"/>
  <c r="D7" i="5"/>
  <c r="E7" i="5"/>
  <c r="AL32" i="8"/>
  <c r="F7" i="5"/>
  <c r="AM32" i="8"/>
  <c r="G7" i="5"/>
  <c r="H7" i="5"/>
  <c r="I7" i="5"/>
  <c r="J7" i="5"/>
  <c r="AQ60" i="8"/>
  <c r="K7" i="5"/>
  <c r="L7" i="5"/>
  <c r="AS32" i="8"/>
  <c r="M7" i="5"/>
  <c r="AT60" i="8"/>
  <c r="N7" i="5"/>
  <c r="AU32" i="8"/>
  <c r="O7" i="5"/>
  <c r="AV60" i="8"/>
  <c r="P7" i="5"/>
  <c r="Q7" i="5"/>
  <c r="R7" i="5"/>
  <c r="V27" i="3"/>
  <c r="W27" i="3"/>
  <c r="Y27" i="3"/>
  <c r="Z27" i="3"/>
  <c r="AC27" i="3"/>
  <c r="AD27" i="3"/>
  <c r="AE27" i="3"/>
  <c r="AF27" i="3"/>
  <c r="AH27" i="3"/>
  <c r="AI27" i="3"/>
  <c r="AJ27" i="3"/>
  <c r="AK27" i="3"/>
  <c r="AL27" i="3"/>
  <c r="AM27" i="3"/>
  <c r="AN27" i="3"/>
  <c r="AO27" i="3"/>
  <c r="AP27" i="3"/>
  <c r="CJ32" i="8"/>
  <c r="AR27" i="3"/>
  <c r="AS7" i="5"/>
  <c r="AT27" i="3"/>
  <c r="AT7" i="5"/>
  <c r="AU27" i="3"/>
  <c r="AU7" i="5"/>
  <c r="AV27" i="3"/>
  <c r="AV7" i="5"/>
  <c r="AW7" i="5"/>
  <c r="AX7" i="5"/>
  <c r="AY27" i="3"/>
  <c r="AY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AS8" i="5"/>
  <c r="AT8" i="5"/>
  <c r="AU8" i="5"/>
  <c r="AV8" i="5"/>
  <c r="AW8" i="5"/>
  <c r="AX8" i="5"/>
  <c r="AY8" i="5"/>
  <c r="D9" i="5"/>
  <c r="F9" i="5"/>
  <c r="G9" i="5"/>
  <c r="H9" i="5"/>
  <c r="I9" i="5"/>
  <c r="J9" i="5"/>
  <c r="K9" i="5"/>
  <c r="L9" i="5"/>
  <c r="M9" i="5"/>
  <c r="N9" i="5"/>
  <c r="O9" i="5"/>
  <c r="P9" i="5"/>
  <c r="Q9" i="5"/>
  <c r="R9" i="5"/>
  <c r="AT9" i="5"/>
  <c r="AU9" i="5"/>
  <c r="AV9" i="5"/>
  <c r="AW9" i="5"/>
  <c r="AX9" i="5"/>
  <c r="AY9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AS15" i="5"/>
  <c r="AT15" i="5"/>
  <c r="AU15" i="5"/>
  <c r="AV15" i="5"/>
  <c r="AW15" i="5"/>
  <c r="AX15" i="5"/>
  <c r="AY15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AS17" i="5"/>
  <c r="AT17" i="5"/>
  <c r="AU17" i="5"/>
  <c r="AV17" i="5"/>
  <c r="AW17" i="5"/>
  <c r="AX17" i="5"/>
  <c r="AY17" i="5"/>
  <c r="C18" i="5"/>
  <c r="D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AT18" i="5"/>
  <c r="AU18" i="5"/>
  <c r="AV18" i="5"/>
  <c r="AW18" i="5"/>
  <c r="AX18" i="5"/>
  <c r="AY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AS19" i="5"/>
  <c r="AT19" i="5"/>
  <c r="AU19" i="5"/>
  <c r="AV19" i="5"/>
  <c r="AW19" i="5"/>
  <c r="AX19" i="5"/>
  <c r="AY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AS20" i="5"/>
  <c r="AT20" i="5"/>
  <c r="AU20" i="5"/>
  <c r="AV20" i="5"/>
  <c r="AW20" i="5"/>
  <c r="AX20" i="5"/>
  <c r="AY20" i="5"/>
  <c r="C22" i="5"/>
  <c r="C21" i="5"/>
  <c r="D22" i="5"/>
  <c r="D21" i="5"/>
  <c r="E22" i="5"/>
  <c r="E21" i="5"/>
  <c r="F22" i="5"/>
  <c r="F21" i="5"/>
  <c r="G22" i="5"/>
  <c r="G21" i="5"/>
  <c r="H22" i="5"/>
  <c r="H21" i="5"/>
  <c r="I22" i="5"/>
  <c r="I21" i="5"/>
  <c r="J22" i="5"/>
  <c r="J21" i="5"/>
  <c r="K22" i="5"/>
  <c r="K21" i="5"/>
  <c r="L22" i="5"/>
  <c r="L21" i="5"/>
  <c r="M22" i="5"/>
  <c r="M21" i="5"/>
  <c r="N22" i="5"/>
  <c r="N21" i="5"/>
  <c r="O22" i="5"/>
  <c r="O21" i="5"/>
  <c r="P22" i="5"/>
  <c r="P21" i="5"/>
  <c r="Q22" i="5"/>
  <c r="Q21" i="5"/>
  <c r="R22" i="5"/>
  <c r="R21" i="5"/>
  <c r="AS22" i="5"/>
  <c r="AS21" i="5"/>
  <c r="AT22" i="5"/>
  <c r="AT21" i="5"/>
  <c r="AU22" i="5"/>
  <c r="AU21" i="5"/>
  <c r="AV22" i="5"/>
  <c r="AV21" i="5"/>
  <c r="AW22" i="5"/>
  <c r="AW21" i="5"/>
  <c r="AX22" i="5"/>
  <c r="AX21" i="5"/>
  <c r="AY22" i="5"/>
  <c r="AY21" i="5"/>
  <c r="C26" i="5"/>
  <c r="D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C27" i="5"/>
  <c r="D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C31" i="5"/>
  <c r="D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T28" i="3"/>
  <c r="V28" i="3"/>
  <c r="X28" i="3"/>
  <c r="Y28" i="3"/>
  <c r="Z28" i="3"/>
  <c r="AB28" i="3"/>
  <c r="AE28" i="3"/>
  <c r="AF28" i="3"/>
  <c r="AH28" i="3"/>
  <c r="AP28" i="3"/>
  <c r="AT31" i="5"/>
  <c r="AU28" i="3"/>
  <c r="AU31" i="5"/>
  <c r="AV31" i="5"/>
  <c r="AW31" i="5"/>
  <c r="AX28" i="3"/>
  <c r="AX31" i="5"/>
  <c r="AY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AS32" i="5"/>
  <c r="AT32" i="5"/>
  <c r="AU32" i="5"/>
  <c r="AV32" i="5"/>
  <c r="AW32" i="5"/>
  <c r="AX32" i="5"/>
  <c r="AY32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AS35" i="5"/>
  <c r="F37" i="11"/>
  <c r="AT35" i="5"/>
  <c r="AU35" i="5"/>
  <c r="AV35" i="5"/>
  <c r="AW35" i="5"/>
  <c r="AX35" i="5"/>
  <c r="AY35" i="5"/>
  <c r="C38" i="5"/>
  <c r="D38" i="5"/>
  <c r="E38" i="3"/>
  <c r="F38" i="5"/>
  <c r="G38" i="5"/>
  <c r="H38" i="3"/>
  <c r="H38" i="5"/>
  <c r="I38" i="3"/>
  <c r="I38" i="5"/>
  <c r="J38" i="5"/>
  <c r="K38" i="3"/>
  <c r="K38" i="5"/>
  <c r="L38" i="3"/>
  <c r="L38" i="5"/>
  <c r="M38" i="3"/>
  <c r="M38" i="5"/>
  <c r="N38" i="3"/>
  <c r="N38" i="5"/>
  <c r="O38" i="3"/>
  <c r="O38" i="5"/>
  <c r="P38" i="3"/>
  <c r="P38" i="5"/>
  <c r="Q38" i="3"/>
  <c r="Q38" i="5"/>
  <c r="R38" i="5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5"/>
  <c r="AU38" i="5"/>
  <c r="AV38" i="5"/>
  <c r="AW38" i="5"/>
  <c r="AX38" i="5"/>
  <c r="AY38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AS40" i="5"/>
  <c r="AT40" i="5"/>
  <c r="AU40" i="5"/>
  <c r="AV40" i="5"/>
  <c r="AW40" i="5"/>
  <c r="AX40" i="5"/>
  <c r="AY40" i="5"/>
  <c r="C44" i="5"/>
  <c r="C43" i="5"/>
  <c r="D44" i="5"/>
  <c r="E33" i="3"/>
  <c r="F44" i="5"/>
  <c r="F43" i="5"/>
  <c r="G44" i="5"/>
  <c r="H33" i="3"/>
  <c r="H44" i="5"/>
  <c r="H43" i="5"/>
  <c r="I44" i="5"/>
  <c r="J33" i="3"/>
  <c r="J44" i="5"/>
  <c r="J43" i="5"/>
  <c r="K44" i="5"/>
  <c r="L33" i="3"/>
  <c r="L44" i="5"/>
  <c r="M33" i="3"/>
  <c r="M44" i="5"/>
  <c r="M43" i="5"/>
  <c r="N44" i="5"/>
  <c r="O33" i="3"/>
  <c r="O44" i="5"/>
  <c r="P33" i="3"/>
  <c r="P44" i="5"/>
  <c r="Q33" i="3"/>
  <c r="Q44" i="5"/>
  <c r="Q43" i="5"/>
  <c r="R44" i="5"/>
  <c r="S33" i="3"/>
  <c r="T33" i="3"/>
  <c r="V33" i="3"/>
  <c r="W33" i="3"/>
  <c r="X33" i="3"/>
  <c r="Z33" i="3"/>
  <c r="AA33" i="3"/>
  <c r="AB33" i="3"/>
  <c r="AC33" i="3"/>
  <c r="AD33" i="3"/>
  <c r="AH33" i="3"/>
  <c r="AI33" i="3"/>
  <c r="AJ33" i="3"/>
  <c r="AK33" i="3"/>
  <c r="AL33" i="3"/>
  <c r="AN33" i="3"/>
  <c r="AO33" i="3"/>
  <c r="AP33" i="3"/>
  <c r="AQ33" i="3"/>
  <c r="AR33" i="3"/>
  <c r="AT44" i="5"/>
  <c r="AU33" i="3"/>
  <c r="AU44" i="5"/>
  <c r="AV33" i="3"/>
  <c r="AV44" i="5"/>
  <c r="AW33" i="3"/>
  <c r="AW44" i="5"/>
  <c r="AX33" i="3"/>
  <c r="AX44" i="5"/>
  <c r="AY33" i="3"/>
  <c r="AY44" i="5"/>
  <c r="AZ33" i="3"/>
  <c r="C45" i="5"/>
  <c r="D45" i="5"/>
  <c r="E34" i="3"/>
  <c r="E45" i="5"/>
  <c r="F45" i="5"/>
  <c r="G45" i="5"/>
  <c r="H34" i="3"/>
  <c r="H45" i="5"/>
  <c r="I34" i="3"/>
  <c r="I45" i="5"/>
  <c r="J34" i="3"/>
  <c r="J45" i="5"/>
  <c r="K34" i="3"/>
  <c r="K45" i="5"/>
  <c r="L34" i="3"/>
  <c r="L45" i="5"/>
  <c r="M34" i="3"/>
  <c r="M45" i="5"/>
  <c r="N34" i="3"/>
  <c r="N45" i="5"/>
  <c r="O34" i="3"/>
  <c r="O45" i="5"/>
  <c r="P34" i="3"/>
  <c r="P45" i="5"/>
  <c r="Q34" i="3"/>
  <c r="Q45" i="5"/>
  <c r="R34" i="3"/>
  <c r="R45" i="5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S45" i="5"/>
  <c r="AT34" i="3"/>
  <c r="AT45" i="5"/>
  <c r="AU34" i="3"/>
  <c r="AU45" i="5"/>
  <c r="AV34" i="3"/>
  <c r="AV45" i="5"/>
  <c r="AW34" i="3"/>
  <c r="AW45" i="5"/>
  <c r="AX34" i="3"/>
  <c r="AX45" i="5"/>
  <c r="AY34" i="3"/>
  <c r="AY45" i="5"/>
  <c r="AZ34" i="3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AS46" i="5"/>
  <c r="AT46" i="5"/>
  <c r="AU46" i="5"/>
  <c r="AV46" i="5"/>
  <c r="AW46" i="5"/>
  <c r="AX46" i="5"/>
  <c r="AY46" i="5"/>
  <c r="D3" i="3"/>
  <c r="D4" i="3"/>
  <c r="E3" i="3"/>
  <c r="E5" i="3"/>
  <c r="G3" i="3"/>
  <c r="G19" i="3"/>
  <c r="H3" i="3"/>
  <c r="I3" i="3"/>
  <c r="I19" i="3"/>
  <c r="J3" i="3"/>
  <c r="J5" i="3"/>
  <c r="K3" i="3"/>
  <c r="K19" i="3"/>
  <c r="L3" i="3"/>
  <c r="L19" i="3"/>
  <c r="M3" i="3"/>
  <c r="M5" i="3"/>
  <c r="N3" i="3"/>
  <c r="O3" i="3"/>
  <c r="O19" i="3"/>
  <c r="P3" i="3"/>
  <c r="P19" i="3"/>
  <c r="Q3" i="3"/>
  <c r="Q6" i="3"/>
  <c r="R3" i="3"/>
  <c r="R5" i="3"/>
  <c r="S3" i="3"/>
  <c r="S5" i="3"/>
  <c r="T3" i="3"/>
  <c r="T5" i="3"/>
  <c r="U3" i="3"/>
  <c r="V3" i="3"/>
  <c r="V5" i="3"/>
  <c r="W3" i="3"/>
  <c r="W19" i="3"/>
  <c r="X3" i="3"/>
  <c r="X4" i="3"/>
  <c r="Y3" i="3"/>
  <c r="Y19" i="3"/>
  <c r="Z3" i="3"/>
  <c r="Z19" i="3"/>
  <c r="AA3" i="3"/>
  <c r="AA19" i="3"/>
  <c r="AB3" i="3"/>
  <c r="J7" i="3"/>
  <c r="M7" i="3"/>
  <c r="P7" i="3"/>
  <c r="S7" i="3"/>
  <c r="T7" i="3"/>
  <c r="V7" i="3"/>
  <c r="W7" i="3"/>
  <c r="X7" i="3"/>
  <c r="Y7" i="3"/>
  <c r="Z7" i="3"/>
  <c r="AA7" i="3"/>
  <c r="AB7" i="3"/>
  <c r="J8" i="3"/>
  <c r="M8" i="3"/>
  <c r="P8" i="3"/>
  <c r="S8" i="3"/>
  <c r="T8" i="3"/>
  <c r="V8" i="3"/>
  <c r="W8" i="3"/>
  <c r="X8" i="3"/>
  <c r="Y8" i="3"/>
  <c r="Z8" i="3"/>
  <c r="AA8" i="3"/>
  <c r="AB8" i="3"/>
  <c r="Y12" i="3"/>
  <c r="F3" i="4"/>
  <c r="F4" i="4"/>
  <c r="F5" i="4"/>
  <c r="F6" i="4"/>
  <c r="F7" i="4"/>
  <c r="C8" i="4"/>
  <c r="D8" i="4"/>
  <c r="F12" i="4"/>
  <c r="F13" i="4"/>
  <c r="F14" i="4"/>
  <c r="F15" i="4"/>
  <c r="F16" i="4"/>
  <c r="C17" i="4"/>
  <c r="D17" i="4"/>
  <c r="D18" i="4"/>
  <c r="D19" i="4"/>
  <c r="F24" i="4"/>
  <c r="F25" i="4"/>
  <c r="F26" i="4"/>
  <c r="F27" i="4"/>
  <c r="C28" i="4"/>
  <c r="D28" i="4"/>
  <c r="D29" i="4"/>
  <c r="D30" i="4"/>
  <c r="F34" i="4"/>
  <c r="F35" i="4"/>
  <c r="F36" i="4"/>
  <c r="F37" i="4"/>
  <c r="F38" i="4"/>
  <c r="U7" i="3" s="1"/>
  <c r="C39" i="4"/>
  <c r="D39" i="4"/>
  <c r="F39" i="4"/>
  <c r="D40" i="4"/>
  <c r="D41" i="4"/>
  <c r="F45" i="4"/>
  <c r="C50" i="4"/>
  <c r="D50" i="4"/>
  <c r="H47" i="4" s="1"/>
  <c r="F50" i="4"/>
  <c r="F55" i="4"/>
  <c r="F56" i="4"/>
  <c r="F57" i="4"/>
  <c r="F58" i="4"/>
  <c r="F59" i="4"/>
  <c r="I60" i="4"/>
  <c r="BC16" i="8" s="1"/>
  <c r="F65" i="4"/>
  <c r="F66" i="4"/>
  <c r="F67" i="4"/>
  <c r="F68" i="4"/>
  <c r="C69" i="4"/>
  <c r="D69" i="4"/>
  <c r="I69" i="4"/>
  <c r="BF16" i="8"/>
  <c r="D70" i="4"/>
  <c r="D71" i="4"/>
  <c r="F76" i="4"/>
  <c r="F77" i="4"/>
  <c r="F78" i="4"/>
  <c r="F79" i="4"/>
  <c r="I80" i="4"/>
  <c r="D81" i="4"/>
  <c r="D82" i="4"/>
  <c r="F86" i="4"/>
  <c r="F87" i="4"/>
  <c r="F88" i="4"/>
  <c r="F89" i="4"/>
  <c r="F90" i="4"/>
  <c r="I91" i="4"/>
  <c r="D92" i="4"/>
  <c r="D93" i="4"/>
  <c r="F97" i="4"/>
  <c r="F102" i="4"/>
  <c r="C102" i="4"/>
  <c r="D102" i="4"/>
  <c r="I102" i="4"/>
  <c r="D103" i="4"/>
  <c r="D104" i="4"/>
  <c r="F42" i="11"/>
  <c r="AH10" i="3"/>
  <c r="BW4" i="2"/>
  <c r="BX4" i="2"/>
  <c r="BY4" i="2"/>
  <c r="BV4" i="2"/>
  <c r="F48" i="11"/>
  <c r="C39" i="5"/>
  <c r="D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BW7" i="2"/>
  <c r="AT39" i="5"/>
  <c r="BX7" i="2"/>
  <c r="AU39" i="5"/>
  <c r="BY7" i="2"/>
  <c r="AV39" i="5"/>
  <c r="BV7" i="2"/>
  <c r="AS39" i="5"/>
  <c r="AB32" i="3"/>
  <c r="AK32" i="3"/>
  <c r="BW12" i="2"/>
  <c r="BX12" i="2"/>
  <c r="BY12" i="2"/>
  <c r="E44" i="5"/>
  <c r="E43" i="5"/>
  <c r="F46" i="11"/>
  <c r="BV20" i="2"/>
  <c r="BW20" i="2"/>
  <c r="BX20" i="2"/>
  <c r="BY20" i="2"/>
  <c r="G47" i="5"/>
  <c r="I47" i="5"/>
  <c r="N47" i="5"/>
  <c r="Q47" i="5"/>
  <c r="T32" i="3"/>
  <c r="BW23" i="2"/>
  <c r="BX23" i="2"/>
  <c r="AU47" i="5"/>
  <c r="BY23" i="2"/>
  <c r="BY39" i="2" s="1"/>
  <c r="AW32" i="3" s="1"/>
  <c r="BV30" i="2"/>
  <c r="BW30" i="2"/>
  <c r="BX30" i="2"/>
  <c r="BY30" i="2"/>
  <c r="AM47" i="8"/>
  <c r="G13" i="3"/>
  <c r="AN47" i="8"/>
  <c r="AO47" i="8"/>
  <c r="AP47" i="8"/>
  <c r="AQ47" i="8"/>
  <c r="AR47" i="8"/>
  <c r="AS47" i="8"/>
  <c r="AT47" i="8"/>
  <c r="N13" i="3"/>
  <c r="AU47" i="8"/>
  <c r="O12" i="3"/>
  <c r="AW47" i="8"/>
  <c r="Q12" i="3"/>
  <c r="AX47" i="8"/>
  <c r="AZ47" i="8"/>
  <c r="BB47" i="8"/>
  <c r="BD47" i="8"/>
  <c r="BE47" i="8"/>
  <c r="BF47" i="8"/>
  <c r="BG47" i="8"/>
  <c r="BH47" i="8"/>
  <c r="BI47" i="8"/>
  <c r="BK47" i="8"/>
  <c r="BY47" i="8"/>
  <c r="BW4" i="1"/>
  <c r="BX4" i="1"/>
  <c r="AV12" i="3"/>
  <c r="BY4" i="1"/>
  <c r="BW8" i="1"/>
  <c r="BX8" i="1"/>
  <c r="BY8" i="1"/>
  <c r="D30" i="5"/>
  <c r="F30" i="5"/>
  <c r="AM34" i="8"/>
  <c r="H30" i="5"/>
  <c r="AO34" i="8"/>
  <c r="I30" i="5"/>
  <c r="AP34" i="8"/>
  <c r="J30" i="5"/>
  <c r="AQ34" i="8"/>
  <c r="K30" i="5"/>
  <c r="O30" i="5"/>
  <c r="AV34" i="8"/>
  <c r="P30" i="5"/>
  <c r="R30" i="5"/>
  <c r="BW14" i="1"/>
  <c r="BX14" i="1"/>
  <c r="AV38" i="3" s="1"/>
  <c r="AU30" i="5"/>
  <c r="BY14" i="1"/>
  <c r="AV30" i="5"/>
  <c r="BV14" i="1"/>
  <c r="AS30" i="5"/>
  <c r="AF23" i="3"/>
  <c r="BV17" i="1"/>
  <c r="BW17" i="1"/>
  <c r="BX17" i="1"/>
  <c r="BY17" i="1"/>
  <c r="C34" i="5"/>
  <c r="I34" i="5"/>
  <c r="O34" i="5"/>
  <c r="S14" i="3"/>
  <c r="BW21" i="1"/>
  <c r="BX21" i="1"/>
  <c r="BX27" i="1"/>
  <c r="BY21" i="1"/>
  <c r="AV34" i="5"/>
  <c r="D23" i="3"/>
  <c r="E5" i="5"/>
  <c r="AL31" i="8"/>
  <c r="I21" i="3"/>
  <c r="Q18" i="3"/>
  <c r="AE25" i="3"/>
  <c r="AG25" i="3"/>
  <c r="AH25" i="3"/>
  <c r="AI25" i="3"/>
  <c r="AJ25" i="3"/>
  <c r="AL25" i="3"/>
  <c r="AO25" i="3"/>
  <c r="AS25" i="3"/>
  <c r="BV31" i="1"/>
  <c r="BW31" i="1"/>
  <c r="AT5" i="5"/>
  <c r="AU25" i="3"/>
  <c r="BX31" i="1"/>
  <c r="AU5" i="5"/>
  <c r="BY31" i="1"/>
  <c r="AW13" i="3"/>
  <c r="AS9" i="5"/>
  <c r="F3" i="3"/>
  <c r="F19" i="3"/>
  <c r="AT3" i="3"/>
  <c r="AT5" i="3"/>
  <c r="BW48" i="1"/>
  <c r="BX48" i="1"/>
  <c r="BY48" i="1"/>
  <c r="F114" i="4"/>
  <c r="AN32" i="3"/>
  <c r="AS44" i="5"/>
  <c r="AT33" i="3"/>
  <c r="Z32" i="3"/>
  <c r="M32" i="3"/>
  <c r="H47" i="5"/>
  <c r="M10" i="3"/>
  <c r="K10" i="3"/>
  <c r="E38" i="5"/>
  <c r="J10" i="3"/>
  <c r="Y32" i="3"/>
  <c r="J47" i="5"/>
  <c r="E39" i="5"/>
  <c r="F47" i="5"/>
  <c r="M47" i="5"/>
  <c r="L47" i="5"/>
  <c r="K47" i="5"/>
  <c r="C47" i="5"/>
  <c r="H4" i="5"/>
  <c r="I22" i="3"/>
  <c r="I23" i="3"/>
  <c r="V13" i="3"/>
  <c r="E36" i="5"/>
  <c r="F12" i="3"/>
  <c r="D5" i="5"/>
  <c r="E18" i="3"/>
  <c r="R34" i="5"/>
  <c r="J34" i="5"/>
  <c r="AW14" i="8"/>
  <c r="AO14" i="8"/>
  <c r="L36" i="5"/>
  <c r="M12" i="3"/>
  <c r="D36" i="5"/>
  <c r="E12" i="3"/>
  <c r="E13" i="3"/>
  <c r="N12" i="3"/>
  <c r="M36" i="5"/>
  <c r="AQ25" i="3"/>
  <c r="AA18" i="3"/>
  <c r="R5" i="5"/>
  <c r="S25" i="3"/>
  <c r="S18" i="3"/>
  <c r="P4" i="5"/>
  <c r="Q14" i="3"/>
  <c r="Q22" i="3"/>
  <c r="Q23" i="3"/>
  <c r="Q20" i="3"/>
  <c r="P34" i="5"/>
  <c r="Q16" i="3"/>
  <c r="Q17" i="3"/>
  <c r="H34" i="5"/>
  <c r="I16" i="3"/>
  <c r="J5" i="5"/>
  <c r="AQ31" i="8"/>
  <c r="K18" i="3"/>
  <c r="E9" i="5"/>
  <c r="Z18" i="3"/>
  <c r="I5" i="5"/>
  <c r="AP31" i="8"/>
  <c r="J18" i="3"/>
  <c r="G34" i="5"/>
  <c r="BJ55" i="8"/>
  <c r="E27" i="5"/>
  <c r="Q5" i="5"/>
  <c r="R18" i="3"/>
  <c r="V12" i="3"/>
  <c r="X12" i="3"/>
  <c r="G36" i="5"/>
  <c r="H12" i="3"/>
  <c r="H13" i="3"/>
  <c r="Y25" i="3"/>
  <c r="Q21" i="3"/>
  <c r="H5" i="5"/>
  <c r="F34" i="5"/>
  <c r="AK14" i="8"/>
  <c r="AB12" i="3"/>
  <c r="AB13" i="3"/>
  <c r="T12" i="3"/>
  <c r="T13" i="3"/>
  <c r="K36" i="5"/>
  <c r="L12" i="3"/>
  <c r="L13" i="3"/>
  <c r="D12" i="3"/>
  <c r="D13" i="3"/>
  <c r="D17" i="3"/>
  <c r="X25" i="3"/>
  <c r="O5" i="5"/>
  <c r="M34" i="5"/>
  <c r="N17" i="3"/>
  <c r="E34" i="5"/>
  <c r="AA12" i="3"/>
  <c r="AA13" i="3"/>
  <c r="S12" i="3"/>
  <c r="K12" i="3"/>
  <c r="K13" i="3"/>
  <c r="J36" i="5"/>
  <c r="H21" i="3"/>
  <c r="N5" i="5"/>
  <c r="O18" i="3"/>
  <c r="F5" i="5"/>
  <c r="AM31" i="8"/>
  <c r="G18" i="3"/>
  <c r="L34" i="5"/>
  <c r="D34" i="5"/>
  <c r="E17" i="3"/>
  <c r="Z12" i="3"/>
  <c r="R12" i="3"/>
  <c r="R13" i="3"/>
  <c r="J12" i="3"/>
  <c r="J13" i="3"/>
  <c r="I36" i="5"/>
  <c r="Y18" i="3"/>
  <c r="I18" i="3"/>
  <c r="D15" i="3"/>
  <c r="V25" i="3"/>
  <c r="V18" i="3"/>
  <c r="M5" i="5"/>
  <c r="AT31" i="8"/>
  <c r="N18" i="3"/>
  <c r="C4" i="5"/>
  <c r="D11" i="3"/>
  <c r="D20" i="3"/>
  <c r="F18" i="3"/>
  <c r="E26" i="5"/>
  <c r="Y13" i="3"/>
  <c r="Q13" i="3"/>
  <c r="Q15" i="3"/>
  <c r="I13" i="3"/>
  <c r="H36" i="5"/>
  <c r="I15" i="3"/>
  <c r="X18" i="3"/>
  <c r="AB25" i="3"/>
  <c r="AB18" i="3"/>
  <c r="T25" i="3"/>
  <c r="T18" i="3"/>
  <c r="K5" i="5"/>
  <c r="AR58" i="8"/>
  <c r="L18" i="3"/>
  <c r="C5" i="5"/>
  <c r="D18" i="3"/>
  <c r="D21" i="3"/>
  <c r="F36" i="5"/>
  <c r="D16" i="3"/>
  <c r="O13" i="3"/>
  <c r="D10" i="3"/>
  <c r="L32" i="3"/>
  <c r="E47" i="5"/>
  <c r="F32" i="3"/>
  <c r="E16" i="3"/>
  <c r="N22" i="3"/>
  <c r="E15" i="3"/>
  <c r="E20" i="3"/>
  <c r="D4" i="5"/>
  <c r="E23" i="3"/>
  <c r="E14" i="3"/>
  <c r="E22" i="3"/>
  <c r="J20" i="3"/>
  <c r="J14" i="3"/>
  <c r="J23" i="3"/>
  <c r="E21" i="3"/>
  <c r="F13" i="3"/>
  <c r="F187" i="4"/>
  <c r="D165" i="4"/>
  <c r="D128" i="4"/>
  <c r="F175" i="4"/>
  <c r="F163" i="4"/>
  <c r="F151" i="4"/>
  <c r="F138" i="4"/>
  <c r="F126" i="4"/>
  <c r="AZ5" i="5"/>
  <c r="BA25" i="3"/>
  <c r="AZ30" i="5"/>
  <c r="BA13" i="3"/>
  <c r="E11" i="3"/>
  <c r="I10" i="3"/>
  <c r="D47" i="5"/>
  <c r="V32" i="3"/>
  <c r="I9" i="3"/>
  <c r="G32" i="3"/>
  <c r="R47" i="5"/>
  <c r="U32" i="3"/>
  <c r="K32" i="3"/>
  <c r="AR55" i="8"/>
  <c r="L22" i="3"/>
  <c r="L14" i="3"/>
  <c r="K4" i="5"/>
  <c r="L20" i="3"/>
  <c r="L21" i="3"/>
  <c r="L17" i="3"/>
  <c r="L23" i="3"/>
  <c r="BG55" i="8"/>
  <c r="AA15" i="3"/>
  <c r="AA23" i="3"/>
  <c r="AA21" i="3"/>
  <c r="AA20" i="3"/>
  <c r="AA17" i="3"/>
  <c r="AA14" i="3"/>
  <c r="AQ55" i="8"/>
  <c r="AQ56" i="8"/>
  <c r="AQ14" i="8"/>
  <c r="K21" i="3"/>
  <c r="J4" i="5"/>
  <c r="AQ30" i="8"/>
  <c r="K17" i="3"/>
  <c r="K11" i="3"/>
  <c r="K16" i="3"/>
  <c r="K14" i="3"/>
  <c r="K22" i="3"/>
  <c r="J16" i="3"/>
  <c r="G5" i="5"/>
  <c r="AN31" i="8"/>
  <c r="H18" i="3"/>
  <c r="J9" i="3"/>
  <c r="J22" i="3"/>
  <c r="E31" i="5"/>
  <c r="K23" i="3"/>
  <c r="AA16" i="3"/>
  <c r="AN55" i="8"/>
  <c r="H14" i="3"/>
  <c r="H23" i="3"/>
  <c r="AN14" i="8"/>
  <c r="H20" i="3"/>
  <c r="H22" i="3"/>
  <c r="H11" i="3"/>
  <c r="H16" i="3"/>
  <c r="G4" i="5"/>
  <c r="H17" i="3"/>
  <c r="H15" i="3"/>
  <c r="J21" i="3"/>
  <c r="AY14" i="8"/>
  <c r="K20" i="3"/>
  <c r="K9" i="3"/>
  <c r="J17" i="3"/>
  <c r="I4" i="5"/>
  <c r="AP30" i="8"/>
  <c r="BG14" i="8"/>
  <c r="AA22" i="3"/>
  <c r="J11" i="3"/>
  <c r="AP56" i="8"/>
  <c r="AP55" i="8"/>
  <c r="I11" i="3"/>
  <c r="J15" i="3"/>
  <c r="AP14" i="8"/>
  <c r="AY55" i="8"/>
  <c r="S17" i="3"/>
  <c r="S22" i="3"/>
  <c r="S23" i="3"/>
  <c r="S21" i="3"/>
  <c r="R4" i="5"/>
  <c r="S20" i="3"/>
  <c r="K34" i="5"/>
  <c r="L16" i="3"/>
  <c r="AR14" i="8"/>
  <c r="E18" i="5"/>
  <c r="M18" i="3"/>
  <c r="I20" i="3"/>
  <c r="AP18" i="3"/>
  <c r="AL18" i="3"/>
  <c r="AH18" i="3"/>
  <c r="AD18" i="3"/>
  <c r="K15" i="3"/>
  <c r="BM47" i="8"/>
  <c r="AG12" i="3"/>
  <c r="AG13" i="3"/>
  <c r="AL47" i="8"/>
  <c r="I12" i="3"/>
  <c r="L5" i="5"/>
  <c r="AS58" i="8"/>
  <c r="AS18" i="3"/>
  <c r="G30" i="5"/>
  <c r="AN34" i="8"/>
  <c r="C30" i="5"/>
  <c r="CC47" i="8"/>
  <c r="AW12" i="3"/>
  <c r="AF12" i="3"/>
  <c r="AF13" i="3"/>
  <c r="BL47" i="8"/>
  <c r="AO18" i="3"/>
  <c r="AG18" i="3"/>
  <c r="AO55" i="8"/>
  <c r="AO56" i="8"/>
  <c r="BS47" i="8"/>
  <c r="AM13" i="3"/>
  <c r="AM12" i="3"/>
  <c r="BC47" i="8"/>
  <c r="W12" i="3"/>
  <c r="AT55" i="8"/>
  <c r="I14" i="3"/>
  <c r="CA47" i="8"/>
  <c r="AU12" i="3"/>
  <c r="BJ47" i="8"/>
  <c r="AD12" i="3"/>
  <c r="AD13" i="3"/>
  <c r="AD15" i="3"/>
  <c r="P5" i="5"/>
  <c r="I17" i="3"/>
  <c r="AS18" i="5"/>
  <c r="AR18" i="3"/>
  <c r="AJ18" i="3"/>
  <c r="AF18" i="3"/>
  <c r="AT14" i="8"/>
  <c r="AQ18" i="3"/>
  <c r="AI18" i="3"/>
  <c r="AW55" i="8"/>
  <c r="M30" i="5"/>
  <c r="AT34" i="8"/>
  <c r="AE18" i="3"/>
  <c r="D14" i="3"/>
  <c r="D22" i="3"/>
  <c r="S16" i="3"/>
  <c r="AQ13" i="3"/>
  <c r="BW47" i="8"/>
  <c r="AQ12" i="3"/>
  <c r="BO47" i="8"/>
  <c r="AI12" i="3"/>
  <c r="AI13" i="3"/>
  <c r="BR47" i="8"/>
  <c r="AL12" i="3"/>
  <c r="AL13" i="3"/>
  <c r="AC12" i="3"/>
  <c r="AE13" i="3"/>
  <c r="BB18" i="3"/>
  <c r="BX47" i="8"/>
  <c r="AR12" i="3"/>
  <c r="AR13" i="3"/>
  <c r="BP47" i="8"/>
  <c r="AJ12" i="3"/>
  <c r="AJ13" i="3"/>
  <c r="G12" i="3"/>
  <c r="AT26" i="3"/>
  <c r="BV47" i="8"/>
  <c r="AP12" i="3"/>
  <c r="AP13" i="3"/>
  <c r="BN47" i="8"/>
  <c r="AH12" i="3"/>
  <c r="AH13" i="3"/>
  <c r="L15" i="3"/>
  <c r="BA5" i="5"/>
  <c r="BB25" i="3"/>
  <c r="AN12" i="3"/>
  <c r="BT47" i="8"/>
  <c r="AY12" i="3"/>
  <c r="BB30" i="5"/>
  <c r="AX12" i="3"/>
  <c r="CD47" i="8"/>
  <c r="AX13" i="3"/>
  <c r="AE12" i="3"/>
  <c r="J32" i="3"/>
  <c r="I32" i="3"/>
  <c r="H32" i="3"/>
  <c r="D32" i="3"/>
  <c r="E32" i="3"/>
  <c r="U10" i="3"/>
  <c r="E10" i="3"/>
  <c r="N10" i="3"/>
  <c r="G10" i="3"/>
  <c r="N32" i="3"/>
  <c r="AM55" i="8"/>
  <c r="G16" i="3"/>
  <c r="G17" i="3"/>
  <c r="G14" i="3"/>
  <c r="G22" i="3"/>
  <c r="G11" i="3"/>
  <c r="G23" i="3"/>
  <c r="G20" i="3"/>
  <c r="G21" i="3"/>
  <c r="F4" i="5"/>
  <c r="G15" i="3"/>
  <c r="BA55" i="8"/>
  <c r="BA14" i="8"/>
  <c r="U15" i="3"/>
  <c r="S11" i="3"/>
  <c r="U17" i="3"/>
  <c r="U11" i="3"/>
  <c r="U16" i="3"/>
  <c r="U20" i="3"/>
  <c r="U22" i="3"/>
  <c r="U23" i="3"/>
  <c r="U14" i="3"/>
  <c r="AM14" i="8"/>
  <c r="E30" i="5"/>
  <c r="AL34" i="8"/>
  <c r="BL14" i="8"/>
  <c r="BD55" i="8"/>
  <c r="X11" i="3"/>
  <c r="X16" i="3"/>
  <c r="X17" i="3"/>
  <c r="X14" i="3"/>
  <c r="X22" i="3"/>
  <c r="X23" i="3"/>
  <c r="X15" i="3"/>
  <c r="BD14" i="8"/>
  <c r="X20" i="3"/>
  <c r="X21" i="3"/>
  <c r="Z16" i="3"/>
  <c r="Z20" i="3"/>
  <c r="Z14" i="3"/>
  <c r="AZ55" i="8"/>
  <c r="T14" i="3"/>
  <c r="T20" i="3"/>
  <c r="T22" i="3"/>
  <c r="T23" i="3"/>
  <c r="AZ14" i="8"/>
  <c r="T15" i="3"/>
  <c r="T17" i="3"/>
  <c r="T16" i="3"/>
  <c r="T21" i="3"/>
  <c r="F10" i="3"/>
  <c r="O10" i="3"/>
  <c r="L10" i="3"/>
  <c r="H10" i="3"/>
  <c r="E9" i="3"/>
  <c r="E4" i="5"/>
  <c r="F15" i="3"/>
  <c r="F17" i="3"/>
  <c r="F14" i="3"/>
  <c r="F11" i="3"/>
  <c r="F16" i="3"/>
  <c r="F20" i="3"/>
  <c r="F22" i="3"/>
  <c r="F23" i="3"/>
  <c r="AL14" i="8"/>
  <c r="F21" i="3"/>
  <c r="AM56" i="8"/>
  <c r="H9" i="3"/>
  <c r="AN56" i="8"/>
  <c r="L9" i="3"/>
  <c r="AR56" i="8"/>
  <c r="CG3" i="2"/>
  <c r="CG19" i="2"/>
  <c r="CG29" i="2"/>
  <c r="CG33" i="2"/>
  <c r="CG35" i="2"/>
  <c r="CG37" i="2"/>
  <c r="CB39" i="2"/>
  <c r="AZ32" i="3"/>
  <c r="BA32" i="3"/>
  <c r="AS38" i="5"/>
  <c r="AT38" i="3"/>
  <c r="AM32" i="3"/>
  <c r="AJ32" i="3"/>
  <c r="BX39" i="2"/>
  <c r="AV32" i="3"/>
  <c r="AH32" i="3"/>
  <c r="AS32" i="3"/>
  <c r="CD39" i="2"/>
  <c r="BC32" i="3"/>
  <c r="AO32" i="3"/>
  <c r="Y10" i="3"/>
  <c r="CE39" i="2"/>
  <c r="BD32" i="3" s="1"/>
  <c r="AR32" i="3"/>
  <c r="R32" i="3"/>
  <c r="BV23" i="2"/>
  <c r="AC32" i="3"/>
  <c r="AQ32" i="3"/>
  <c r="AE32" i="3"/>
  <c r="AO10" i="3"/>
  <c r="BZ39" i="2"/>
  <c r="AX32" i="3"/>
  <c r="CD3" i="2"/>
  <c r="CD19" i="2"/>
  <c r="AB10" i="3"/>
  <c r="CE3" i="2"/>
  <c r="CE19" i="2"/>
  <c r="CE29" i="2"/>
  <c r="CE33" i="2"/>
  <c r="CE35" i="2"/>
  <c r="CE37" i="2"/>
  <c r="AF32" i="3"/>
  <c r="AA32" i="3"/>
  <c r="BV12" i="2"/>
  <c r="AL32" i="3"/>
  <c r="BY3" i="2"/>
  <c r="BY19" i="2"/>
  <c r="AD32" i="3"/>
  <c r="W32" i="3"/>
  <c r="AS10" i="3"/>
  <c r="BW39" i="2"/>
  <c r="AU32" i="3"/>
  <c r="P47" i="5"/>
  <c r="S32" i="3"/>
  <c r="Q10" i="3"/>
  <c r="AL10" i="3"/>
  <c r="X9" i="3"/>
  <c r="X10" i="3"/>
  <c r="AM10" i="3"/>
  <c r="BF47" i="5"/>
  <c r="AI10" i="3"/>
  <c r="AR10" i="3"/>
  <c r="AQ10" i="3"/>
  <c r="AK10" i="3"/>
  <c r="O47" i="5"/>
  <c r="AG32" i="3"/>
  <c r="AA10" i="3"/>
  <c r="X32" i="3"/>
  <c r="BF39" i="5"/>
  <c r="AP32" i="3"/>
  <c r="AN10" i="3"/>
  <c r="O32" i="3"/>
  <c r="AI32" i="3"/>
  <c r="W10" i="3"/>
  <c r="T10" i="3"/>
  <c r="AX5" i="5"/>
  <c r="AY25" i="3"/>
  <c r="AW5" i="5"/>
  <c r="AX25" i="3"/>
  <c r="U27" i="3"/>
  <c r="AT8" i="3"/>
  <c r="CH38" i="1"/>
  <c r="F32" i="11"/>
  <c r="F10" i="11"/>
  <c r="BV21" i="1"/>
  <c r="AS34" i="5"/>
  <c r="F36" i="11"/>
  <c r="BA12" i="3"/>
  <c r="AM18" i="3"/>
  <c r="AS12" i="3"/>
  <c r="AS13" i="3"/>
  <c r="BZ38" i="1"/>
  <c r="BZ49" i="1" s="1"/>
  <c r="CE38" i="1"/>
  <c r="CE49" i="1"/>
  <c r="AC28" i="3"/>
  <c r="BV48" i="1"/>
  <c r="BA22" i="3"/>
  <c r="AO28" i="3"/>
  <c r="CH8" i="1"/>
  <c r="AN18" i="3"/>
  <c r="AN13" i="3"/>
  <c r="CG38" i="1"/>
  <c r="AN17" i="3"/>
  <c r="AG27" i="3"/>
  <c r="BQ47" i="8"/>
  <c r="AK13" i="3"/>
  <c r="AK12" i="3"/>
  <c r="AA9" i="3"/>
  <c r="BF14" i="8"/>
  <c r="BF55" i="8"/>
  <c r="Z15" i="3"/>
  <c r="Z22" i="3"/>
  <c r="Z21" i="3"/>
  <c r="Z23" i="3"/>
  <c r="Z17" i="3"/>
  <c r="AC18" i="3"/>
  <c r="AC13" i="3"/>
  <c r="AC25" i="3"/>
  <c r="BS14" i="8"/>
  <c r="BT14" i="8"/>
  <c r="AN16" i="3"/>
  <c r="CD38" i="1"/>
  <c r="CD49" i="1"/>
  <c r="BB5" i="5"/>
  <c r="BC25" i="3"/>
  <c r="BC18" i="3"/>
  <c r="AK25" i="3"/>
  <c r="AK18" i="3"/>
  <c r="BA23" i="3"/>
  <c r="AT30" i="5"/>
  <c r="F31" i="11"/>
  <c r="AT18" i="3"/>
  <c r="AS5" i="5"/>
  <c r="AK17" i="3"/>
  <c r="BU47" i="8"/>
  <c r="AO12" i="3"/>
  <c r="AO13" i="3"/>
  <c r="BY14" i="8"/>
  <c r="AF21" i="3"/>
  <c r="AF16" i="3"/>
  <c r="BL55" i="8"/>
  <c r="AF14" i="3"/>
  <c r="AF20" i="3"/>
  <c r="AF17" i="3"/>
  <c r="AF22" i="3"/>
  <c r="AF15" i="3"/>
  <c r="AD11" i="3"/>
  <c r="W13" i="3"/>
  <c r="AO21" i="3"/>
  <c r="X13" i="3"/>
  <c r="CH14" i="1"/>
  <c r="BF30" i="5"/>
  <c r="AS31" i="5"/>
  <c r="AT28" i="3"/>
  <c r="BF9" i="5"/>
  <c r="AO17" i="3"/>
  <c r="BP14" i="8"/>
  <c r="AO16" i="3"/>
  <c r="N30" i="5"/>
  <c r="U18" i="3"/>
  <c r="U25" i="3"/>
  <c r="U21" i="3"/>
  <c r="AV14" i="8"/>
  <c r="L11" i="3"/>
  <c r="L4" i="5"/>
  <c r="M21" i="3"/>
  <c r="M15" i="3"/>
  <c r="M20" i="3"/>
  <c r="M9" i="3"/>
  <c r="M22" i="3"/>
  <c r="M16" i="3"/>
  <c r="M23" i="3"/>
  <c r="AT56" i="8"/>
  <c r="M17" i="3"/>
  <c r="M11" i="3"/>
  <c r="M14" i="3"/>
  <c r="AS56" i="8"/>
  <c r="N9" i="3"/>
  <c r="AS55" i="8"/>
  <c r="W20" i="3"/>
  <c r="AK20" i="3"/>
  <c r="P12" i="3"/>
  <c r="AV47" i="8"/>
  <c r="P13" i="3"/>
  <c r="P15" i="3"/>
  <c r="AD21" i="3"/>
  <c r="W21" i="3"/>
  <c r="Q34" i="5"/>
  <c r="R17" i="3"/>
  <c r="L30" i="5"/>
  <c r="F38" i="11"/>
  <c r="N16" i="3"/>
  <c r="N14" i="3"/>
  <c r="N23" i="3"/>
  <c r="N21" i="3"/>
  <c r="N15" i="3"/>
  <c r="M4" i="5"/>
  <c r="N20" i="3"/>
  <c r="BV8" i="1"/>
  <c r="F39" i="11"/>
  <c r="AD17" i="3"/>
  <c r="AD14" i="3"/>
  <c r="AD20" i="3"/>
  <c r="AD22" i="3"/>
  <c r="BJ14" i="8"/>
  <c r="AD23" i="3"/>
  <c r="AJ22" i="3"/>
  <c r="AJ20" i="3"/>
  <c r="AJ14" i="3"/>
  <c r="AD16" i="3"/>
  <c r="N34" i="5"/>
  <c r="Q30" i="5"/>
  <c r="BA47" i="8"/>
  <c r="U12" i="3"/>
  <c r="U13" i="3"/>
  <c r="AP5" i="3"/>
  <c r="AP25" i="3"/>
  <c r="Z13" i="3"/>
  <c r="P18" i="3"/>
  <c r="S15" i="3"/>
  <c r="AY47" i="8"/>
  <c r="S13" i="3"/>
  <c r="F41" i="11"/>
  <c r="BV38" i="1"/>
  <c r="AJ23" i="3"/>
  <c r="W18" i="3"/>
  <c r="BB14" i="8"/>
  <c r="V16" i="3"/>
  <c r="W15" i="3"/>
  <c r="BC55" i="8"/>
  <c r="W17" i="3"/>
  <c r="W14" i="3"/>
  <c r="W22" i="3"/>
  <c r="BC14" i="8"/>
  <c r="W16" i="3"/>
  <c r="W23" i="3"/>
  <c r="BH14" i="8"/>
  <c r="M13" i="3"/>
  <c r="BV14" i="8"/>
  <c r="CK47" i="8"/>
  <c r="AO14" i="3"/>
  <c r="AS14" i="8"/>
  <c r="CH48" i="1"/>
  <c r="F47" i="11"/>
  <c r="BA10" i="3"/>
  <c r="S10" i="3"/>
  <c r="AS47" i="5"/>
  <c r="AP10" i="3"/>
  <c r="AJ10" i="3"/>
  <c r="P10" i="3"/>
  <c r="V10" i="3"/>
  <c r="AD10" i="3"/>
  <c r="AC10" i="3"/>
  <c r="BG56" i="8"/>
  <c r="Q32" i="3"/>
  <c r="P32" i="3"/>
  <c r="T9" i="3"/>
  <c r="AZ56" i="8"/>
  <c r="AE10" i="3"/>
  <c r="AG10" i="3"/>
  <c r="U9" i="3"/>
  <c r="BA56" i="8"/>
  <c r="BD56" i="8"/>
  <c r="Z10" i="3"/>
  <c r="CG14" i="8"/>
  <c r="BU56" i="8"/>
  <c r="AK9" i="3"/>
  <c r="AK14" i="3"/>
  <c r="BU14" i="8"/>
  <c r="BA21" i="3"/>
  <c r="AO22" i="3"/>
  <c r="AK23" i="3"/>
  <c r="AZ4" i="5"/>
  <c r="AP17" i="3"/>
  <c r="BQ55" i="8"/>
  <c r="BA15" i="3"/>
  <c r="BA20" i="3"/>
  <c r="BA14" i="3"/>
  <c r="BO55" i="8"/>
  <c r="AI22" i="3"/>
  <c r="AI21" i="3"/>
  <c r="AI23" i="3"/>
  <c r="AI14" i="3"/>
  <c r="AI16" i="3"/>
  <c r="AI20" i="3"/>
  <c r="AI17" i="3"/>
  <c r="BO14" i="8"/>
  <c r="AI15" i="3"/>
  <c r="CG55" i="8"/>
  <c r="AO23" i="3"/>
  <c r="BA16" i="3"/>
  <c r="BQ56" i="8"/>
  <c r="BA17" i="3"/>
  <c r="AN14" i="3"/>
  <c r="AO9" i="3"/>
  <c r="AN20" i="3"/>
  <c r="AN22" i="3"/>
  <c r="AN15" i="3"/>
  <c r="AN23" i="3"/>
  <c r="BT56" i="8"/>
  <c r="AN21" i="3"/>
  <c r="BT55" i="8"/>
  <c r="BS56" i="8"/>
  <c r="BS55" i="8"/>
  <c r="AN9" i="3"/>
  <c r="AM21" i="3"/>
  <c r="AM17" i="3"/>
  <c r="AM22" i="3"/>
  <c r="AM16" i="3"/>
  <c r="AM23" i="3"/>
  <c r="AM11" i="3"/>
  <c r="AM14" i="3"/>
  <c r="AM15" i="3"/>
  <c r="AM20" i="3"/>
  <c r="AL16" i="3"/>
  <c r="AL11" i="3"/>
  <c r="AL20" i="3"/>
  <c r="BR56" i="8"/>
  <c r="AL21" i="3"/>
  <c r="AL22" i="3"/>
  <c r="AL17" i="3"/>
  <c r="AL15" i="3"/>
  <c r="AL23" i="3"/>
  <c r="BR24" i="8"/>
  <c r="BR14" i="8"/>
  <c r="AM9" i="3"/>
  <c r="BR55" i="8"/>
  <c r="AL14" i="3"/>
  <c r="AK11" i="3"/>
  <c r="AQ17" i="3"/>
  <c r="AQ16" i="3"/>
  <c r="BW55" i="8"/>
  <c r="AQ15" i="3"/>
  <c r="AQ14" i="3"/>
  <c r="AQ22" i="3"/>
  <c r="AQ23" i="3"/>
  <c r="AQ11" i="3"/>
  <c r="AQ20" i="3"/>
  <c r="BW14" i="8"/>
  <c r="AQ21" i="3"/>
  <c r="AO20" i="3"/>
  <c r="AO11" i="3"/>
  <c r="BU55" i="8"/>
  <c r="AO15" i="3"/>
  <c r="AJ16" i="3"/>
  <c r="BP56" i="8"/>
  <c r="AJ17" i="3"/>
  <c r="BP55" i="8"/>
  <c r="AJ21" i="3"/>
  <c r="AJ15" i="3"/>
  <c r="AJ11" i="3"/>
  <c r="AJ9" i="3"/>
  <c r="AG16" i="3"/>
  <c r="AG11" i="3"/>
  <c r="AG14" i="3"/>
  <c r="AG20" i="3"/>
  <c r="AG23" i="3"/>
  <c r="BM14" i="8"/>
  <c r="AG21" i="3"/>
  <c r="BM55" i="8"/>
  <c r="AG22" i="3"/>
  <c r="AG17" i="3"/>
  <c r="AG15" i="3"/>
  <c r="AK16" i="3"/>
  <c r="AK21" i="3"/>
  <c r="AS17" i="3"/>
  <c r="AS21" i="3"/>
  <c r="AS23" i="3"/>
  <c r="AS20" i="3"/>
  <c r="BY55" i="8"/>
  <c r="AS22" i="3"/>
  <c r="AS15" i="3"/>
  <c r="AS16" i="3"/>
  <c r="AS14" i="3"/>
  <c r="AK22" i="3"/>
  <c r="AK15" i="3"/>
  <c r="BQ14" i="8"/>
  <c r="AI11" i="3"/>
  <c r="AL9" i="3"/>
  <c r="BI14" i="8"/>
  <c r="AD9" i="3"/>
  <c r="BI55" i="8"/>
  <c r="AA11" i="3"/>
  <c r="AC20" i="3"/>
  <c r="AC17" i="3"/>
  <c r="AC23" i="3"/>
  <c r="AC16" i="3"/>
  <c r="AC14" i="3"/>
  <c r="AC15" i="3"/>
  <c r="BJ56" i="8"/>
  <c r="AC21" i="3"/>
  <c r="AC22" i="3"/>
  <c r="N4" i="5"/>
  <c r="O15" i="3"/>
  <c r="N11" i="3"/>
  <c r="O20" i="3"/>
  <c r="O14" i="3"/>
  <c r="AU55" i="8"/>
  <c r="O17" i="3"/>
  <c r="O16" i="3"/>
  <c r="O21" i="3"/>
  <c r="P9" i="3"/>
  <c r="O22" i="3"/>
  <c r="AU14" i="8"/>
  <c r="O23" i="3"/>
  <c r="O9" i="3"/>
  <c r="O11" i="3"/>
  <c r="AU56" i="8"/>
  <c r="AH20" i="3"/>
  <c r="AI9" i="3"/>
  <c r="AH16" i="3"/>
  <c r="BN14" i="8"/>
  <c r="AH22" i="3"/>
  <c r="AH23" i="3"/>
  <c r="AH17" i="3"/>
  <c r="AF11" i="3"/>
  <c r="BN25" i="8"/>
  <c r="AH9" i="3"/>
  <c r="BN56" i="8"/>
  <c r="AH15" i="3"/>
  <c r="BN55" i="8"/>
  <c r="AH11" i="3"/>
  <c r="AH21" i="3"/>
  <c r="BO56" i="8"/>
  <c r="AH14" i="3"/>
  <c r="AR22" i="3"/>
  <c r="AR15" i="3"/>
  <c r="AR23" i="3"/>
  <c r="BX56" i="8"/>
  <c r="AR16" i="3"/>
  <c r="BX55" i="8"/>
  <c r="AR17" i="3"/>
  <c r="AR20" i="3"/>
  <c r="AR9" i="3"/>
  <c r="AR14" i="3"/>
  <c r="BX14" i="8"/>
  <c r="AR21" i="3"/>
  <c r="Y16" i="3"/>
  <c r="W11" i="3"/>
  <c r="Y15" i="3"/>
  <c r="Y22" i="3"/>
  <c r="Y20" i="3"/>
  <c r="Y21" i="3"/>
  <c r="Y17" i="3"/>
  <c r="BE56" i="8"/>
  <c r="Y14" i="3"/>
  <c r="Y23" i="3"/>
  <c r="Y11" i="3"/>
  <c r="BE55" i="8"/>
  <c r="BE14" i="8"/>
  <c r="Y9" i="3"/>
  <c r="BB25" i="8"/>
  <c r="V22" i="3"/>
  <c r="V20" i="3"/>
  <c r="V17" i="3"/>
  <c r="T11" i="3"/>
  <c r="V11" i="3"/>
  <c r="W9" i="3"/>
  <c r="BB56" i="8"/>
  <c r="V9" i="3"/>
  <c r="V21" i="3"/>
  <c r="V14" i="3"/>
  <c r="V15" i="3"/>
  <c r="V23" i="3"/>
  <c r="BB55" i="8"/>
  <c r="AB20" i="3"/>
  <c r="AB14" i="3"/>
  <c r="AB11" i="3"/>
  <c r="AB21" i="3"/>
  <c r="BH55" i="8"/>
  <c r="AB16" i="3"/>
  <c r="AB22" i="3"/>
  <c r="AB23" i="3"/>
  <c r="Z11" i="3"/>
  <c r="AB17" i="3"/>
  <c r="AB15" i="3"/>
  <c r="BI56" i="8"/>
  <c r="AB9" i="3"/>
  <c r="AX14" i="8"/>
  <c r="AN11" i="3"/>
  <c r="AP6" i="3"/>
  <c r="AP21" i="3"/>
  <c r="AP11" i="3"/>
  <c r="AP14" i="3"/>
  <c r="AP15" i="3"/>
  <c r="BV55" i="8"/>
  <c r="AQ9" i="3"/>
  <c r="AP16" i="3"/>
  <c r="AP20" i="3"/>
  <c r="AP4" i="3"/>
  <c r="BW56" i="8"/>
  <c r="AP22" i="3"/>
  <c r="AP23" i="3"/>
  <c r="BK14" i="8"/>
  <c r="AE22" i="3"/>
  <c r="BK56" i="8"/>
  <c r="AE23" i="3"/>
  <c r="AE9" i="3"/>
  <c r="AE21" i="3"/>
  <c r="AE16" i="3"/>
  <c r="BK55" i="8"/>
  <c r="AC11" i="3"/>
  <c r="AE17" i="3"/>
  <c r="AE11" i="3"/>
  <c r="AE15" i="3"/>
  <c r="AE20" i="3"/>
  <c r="AE14" i="3"/>
  <c r="R21" i="3"/>
  <c r="R14" i="3"/>
  <c r="R15" i="3"/>
  <c r="R22" i="3"/>
  <c r="R23" i="3"/>
  <c r="R11" i="3"/>
  <c r="Q11" i="3"/>
  <c r="Q4" i="5"/>
  <c r="AY56" i="8"/>
  <c r="R20" i="3"/>
  <c r="R16" i="3"/>
  <c r="AX55" i="8"/>
  <c r="P16" i="3"/>
  <c r="P14" i="3"/>
  <c r="P11" i="3"/>
  <c r="O4" i="5"/>
  <c r="P20" i="3"/>
  <c r="P23" i="3"/>
  <c r="AV55" i="8"/>
  <c r="P22" i="3"/>
  <c r="P21" i="3"/>
  <c r="P17" i="3"/>
  <c r="AV56" i="8"/>
  <c r="Q9" i="3"/>
  <c r="AW56" i="8"/>
  <c r="AS9" i="3"/>
  <c r="BY56" i="8"/>
  <c r="BH56" i="8"/>
  <c r="AG9" i="3"/>
  <c r="S9" i="3"/>
  <c r="AC9" i="3"/>
  <c r="AP9" i="3"/>
  <c r="BC56" i="8"/>
  <c r="BV56" i="8"/>
  <c r="BM56" i="8"/>
  <c r="R10" i="3"/>
  <c r="Z9" i="3"/>
  <c r="AF10" i="3"/>
  <c r="BF56" i="8"/>
  <c r="R9" i="3"/>
  <c r="AX56" i="8"/>
  <c r="BL56" i="8"/>
  <c r="AF9" i="3"/>
  <c r="CI39" i="2"/>
  <c r="BH32" i="3" s="1"/>
  <c r="CK39" i="2"/>
  <c r="BJ32" i="3" s="1"/>
  <c r="V26" i="3"/>
  <c r="AM19" i="3"/>
  <c r="AM4" i="3"/>
  <c r="AM5" i="3"/>
  <c r="AM6" i="3"/>
  <c r="BX3" i="2"/>
  <c r="BX19" i="2"/>
  <c r="CC3" i="2"/>
  <c r="CC19" i="2"/>
  <c r="BB10" i="3"/>
  <c r="AZ5" i="3"/>
  <c r="AV13" i="3"/>
  <c r="AZ18" i="3"/>
  <c r="AY5" i="5"/>
  <c r="AZ25" i="3"/>
  <c r="CH3" i="2"/>
  <c r="CM53" i="8"/>
  <c r="CM52" i="8"/>
  <c r="AT34" i="5"/>
  <c r="AW18" i="3"/>
  <c r="AW30" i="5"/>
  <c r="BZ27" i="1"/>
  <c r="CD55" i="8"/>
  <c r="BY27" i="1"/>
  <c r="CC14" i="8"/>
  <c r="BA30" i="5"/>
  <c r="AY34" i="5"/>
  <c r="I4" i="3"/>
  <c r="I5" i="3"/>
  <c r="AV5" i="5"/>
  <c r="I6" i="3"/>
  <c r="AO60" i="8"/>
  <c r="AO32" i="8"/>
  <c r="AP59" i="8"/>
  <c r="AP33" i="8"/>
  <c r="AD19" i="3"/>
  <c r="AD5" i="3"/>
  <c r="AD6" i="3"/>
  <c r="AD4" i="3"/>
  <c r="BY38" i="1"/>
  <c r="BY49" i="1"/>
  <c r="CF38" i="1"/>
  <c r="CF49" i="1"/>
  <c r="CK53" i="8"/>
  <c r="AV47" i="5"/>
  <c r="AX47" i="5"/>
  <c r="CA39" i="2"/>
  <c r="AY32" i="3"/>
  <c r="AW22" i="3"/>
  <c r="AW23" i="3"/>
  <c r="CC55" i="8"/>
  <c r="BU39" i="2"/>
  <c r="BQ29" i="2"/>
  <c r="BQ33" i="2"/>
  <c r="BQ35" i="2"/>
  <c r="BQ37" i="2"/>
  <c r="BT3" i="2"/>
  <c r="BT19" i="2"/>
  <c r="BT29" i="2"/>
  <c r="BT33" i="2"/>
  <c r="BT35" i="2"/>
  <c r="BT37" i="2"/>
  <c r="BS3" i="2"/>
  <c r="BS19" i="2"/>
  <c r="BS29" i="2"/>
  <c r="BS33" i="2"/>
  <c r="BS35" i="2"/>
  <c r="BS37" i="2"/>
  <c r="BP3" i="2"/>
  <c r="BP19" i="2"/>
  <c r="BP29" i="2"/>
  <c r="BP33" i="2"/>
  <c r="BP35" i="2"/>
  <c r="BP37" i="2"/>
  <c r="BR3" i="2"/>
  <c r="BR19" i="2"/>
  <c r="BR29" i="2"/>
  <c r="BR33" i="2"/>
  <c r="BR35" i="2"/>
  <c r="BR37" i="2"/>
  <c r="BN3" i="2"/>
  <c r="BN19" i="2"/>
  <c r="BN29" i="2"/>
  <c r="BN33" i="2"/>
  <c r="BN35" i="2"/>
  <c r="BN37" i="2"/>
  <c r="BK3" i="2"/>
  <c r="BK19" i="2"/>
  <c r="BK29" i="2"/>
  <c r="BK33" i="2"/>
  <c r="BK35" i="2"/>
  <c r="BK37" i="2"/>
  <c r="BJ39" i="2"/>
  <c r="BJ3" i="2"/>
  <c r="BJ19" i="2"/>
  <c r="BJ29" i="2"/>
  <c r="BJ33" i="2"/>
  <c r="BJ35" i="2"/>
  <c r="BJ37" i="2"/>
  <c r="BF39" i="2"/>
  <c r="BE39" i="2"/>
  <c r="BG39" i="2"/>
  <c r="BH39" i="2"/>
  <c r="BG19" i="2"/>
  <c r="BG29" i="2"/>
  <c r="BG33" i="2"/>
  <c r="BG35" i="2"/>
  <c r="BG37" i="2"/>
  <c r="BF3" i="2"/>
  <c r="BF19" i="2"/>
  <c r="BF29" i="2"/>
  <c r="BF33" i="2"/>
  <c r="BF35" i="2"/>
  <c r="BF37" i="2"/>
  <c r="BE3" i="2"/>
  <c r="BE19" i="2"/>
  <c r="BE29" i="2"/>
  <c r="BE33" i="2"/>
  <c r="BE35" i="2"/>
  <c r="BE37" i="2"/>
  <c r="BD3" i="2"/>
  <c r="BD19" i="2"/>
  <c r="BD29" i="2"/>
  <c r="BD33" i="2"/>
  <c r="BD35" i="2"/>
  <c r="BD37" i="2"/>
  <c r="BC3" i="2"/>
  <c r="BC19" i="2"/>
  <c r="BC29" i="2"/>
  <c r="BC33" i="2"/>
  <c r="BC35" i="2"/>
  <c r="BC37" i="2"/>
  <c r="BH3" i="2"/>
  <c r="BH19" i="2"/>
  <c r="BH29" i="2"/>
  <c r="BH33" i="2"/>
  <c r="BH35" i="2"/>
  <c r="BH37" i="2"/>
  <c r="BB3" i="2"/>
  <c r="BB19" i="2"/>
  <c r="BB29" i="2"/>
  <c r="BB33" i="2"/>
  <c r="BB35" i="2"/>
  <c r="BB37" i="2"/>
  <c r="BA3" i="2"/>
  <c r="BA19" i="2"/>
  <c r="BA29" i="2"/>
  <c r="BA33" i="2"/>
  <c r="BA35" i="2"/>
  <c r="BA37" i="2"/>
  <c r="AZ3" i="2"/>
  <c r="AZ19" i="2"/>
  <c r="AZ29" i="2"/>
  <c r="AZ33" i="2"/>
  <c r="AZ35" i="2"/>
  <c r="AZ37" i="2"/>
  <c r="AY3" i="2"/>
  <c r="AY19" i="2"/>
  <c r="AY29" i="2"/>
  <c r="AY33" i="2"/>
  <c r="AY35" i="2"/>
  <c r="AY37" i="2"/>
  <c r="AX3" i="2"/>
  <c r="AX19" i="2"/>
  <c r="AX29" i="2"/>
  <c r="AX33" i="2"/>
  <c r="AX35" i="2"/>
  <c r="AX37" i="2"/>
  <c r="AW3" i="2"/>
  <c r="AW19" i="2"/>
  <c r="AW29" i="2"/>
  <c r="AW33" i="2"/>
  <c r="AW35" i="2"/>
  <c r="AW37" i="2"/>
  <c r="AV3" i="2"/>
  <c r="AV19" i="2"/>
  <c r="AV29" i="2"/>
  <c r="AV33" i="2"/>
  <c r="AV35" i="2"/>
  <c r="AV37" i="2"/>
  <c r="D43" i="5"/>
  <c r="AQ39" i="2"/>
  <c r="AP39" i="2"/>
  <c r="AR39" i="2"/>
  <c r="AQ19" i="2"/>
  <c r="AQ29" i="2"/>
  <c r="AQ33" i="2"/>
  <c r="AQ35" i="2"/>
  <c r="AQ37" i="2"/>
  <c r="AP19" i="2"/>
  <c r="AP29" i="2"/>
  <c r="AP33" i="2"/>
  <c r="AP35" i="2"/>
  <c r="AP37" i="2"/>
  <c r="AT3" i="2"/>
  <c r="AT19" i="2"/>
  <c r="AT29" i="2"/>
  <c r="AT33" i="2"/>
  <c r="AT35" i="2"/>
  <c r="AT37" i="2"/>
  <c r="AJ39" i="2"/>
  <c r="AO39" i="2"/>
  <c r="AO19" i="2"/>
  <c r="AO29" i="2"/>
  <c r="AO33" i="2"/>
  <c r="AO35" i="2"/>
  <c r="AO37" i="2"/>
  <c r="AN3" i="2"/>
  <c r="AN19" i="2"/>
  <c r="AN29" i="2"/>
  <c r="AN33" i="2"/>
  <c r="AN35" i="2"/>
  <c r="AN37" i="2"/>
  <c r="AM3" i="2"/>
  <c r="AM19" i="2"/>
  <c r="AM29" i="2"/>
  <c r="AM33" i="2"/>
  <c r="AM35" i="2"/>
  <c r="AM37" i="2"/>
  <c r="AK3" i="2"/>
  <c r="AK19" i="2"/>
  <c r="AK29" i="2"/>
  <c r="AK33" i="2"/>
  <c r="AK35" i="2"/>
  <c r="AK37" i="2"/>
  <c r="K43" i="5"/>
  <c r="AE39" i="2"/>
  <c r="AF19" i="2"/>
  <c r="AF29" i="2"/>
  <c r="AF33" i="2"/>
  <c r="AF35" i="2"/>
  <c r="AF37" i="2"/>
  <c r="AH39" i="2"/>
  <c r="AH3" i="2"/>
  <c r="AH19" i="2"/>
  <c r="AH29" i="2"/>
  <c r="AH33" i="2"/>
  <c r="AH35" i="2"/>
  <c r="AH37" i="2"/>
  <c r="AE3" i="2"/>
  <c r="AE19" i="2"/>
  <c r="AE29" i="2"/>
  <c r="AE33" i="2"/>
  <c r="AE35" i="2"/>
  <c r="AE37" i="2"/>
  <c r="AD3" i="2"/>
  <c r="AD19" i="2"/>
  <c r="AD29" i="2"/>
  <c r="AD33" i="2"/>
  <c r="AD35" i="2"/>
  <c r="AD37" i="2"/>
  <c r="AC39" i="2"/>
  <c r="AB39" i="2"/>
  <c r="Z39" i="2"/>
  <c r="AA39" i="2"/>
  <c r="AB19" i="2"/>
  <c r="AB29" i="2"/>
  <c r="AB33" i="2"/>
  <c r="AB35" i="2"/>
  <c r="AB37" i="2"/>
  <c r="AC3" i="2"/>
  <c r="AC19" i="2"/>
  <c r="AC29" i="2"/>
  <c r="AC33" i="2"/>
  <c r="AC35" i="2"/>
  <c r="AC37" i="2"/>
  <c r="AA3" i="2"/>
  <c r="AA19" i="2"/>
  <c r="AA29" i="2"/>
  <c r="AA33" i="2"/>
  <c r="AA35" i="2"/>
  <c r="AA37" i="2"/>
  <c r="Y3" i="2"/>
  <c r="Y19" i="2"/>
  <c r="Y29" i="2"/>
  <c r="Y33" i="2"/>
  <c r="Y35" i="2"/>
  <c r="Y37" i="2"/>
  <c r="X3" i="2"/>
  <c r="X19" i="2"/>
  <c r="X29" i="2"/>
  <c r="X33" i="2"/>
  <c r="X35" i="2"/>
  <c r="X37" i="2"/>
  <c r="W3" i="2"/>
  <c r="W19" i="2"/>
  <c r="W29" i="2"/>
  <c r="W33" i="2"/>
  <c r="W35" i="2"/>
  <c r="W37" i="2"/>
  <c r="N43" i="5"/>
  <c r="AZ43" i="5"/>
  <c r="O43" i="5"/>
  <c r="BY29" i="2"/>
  <c r="BY33" i="2"/>
  <c r="BY35" i="2"/>
  <c r="BY37" i="2"/>
  <c r="AW10" i="3"/>
  <c r="I4" i="2"/>
  <c r="CC39" i="2"/>
  <c r="BB32" i="3"/>
  <c r="CK29" i="2"/>
  <c r="CK33" i="2"/>
  <c r="CK35" i="2"/>
  <c r="CK37" i="2"/>
  <c r="F3" i="2"/>
  <c r="P3" i="2"/>
  <c r="P19" i="2"/>
  <c r="CF39" i="2"/>
  <c r="BE32" i="3" s="1"/>
  <c r="CJ19" i="2"/>
  <c r="CJ29" i="2"/>
  <c r="CJ33" i="2"/>
  <c r="CJ35" i="2"/>
  <c r="CJ37" i="2"/>
  <c r="BW3" i="2"/>
  <c r="BW19" i="2"/>
  <c r="BW29" i="2"/>
  <c r="BW33" i="2"/>
  <c r="BW35" i="2"/>
  <c r="BW37" i="2"/>
  <c r="CF3" i="2"/>
  <c r="CF19" i="2"/>
  <c r="CF29" i="2"/>
  <c r="CF33" i="2"/>
  <c r="CF35" i="2"/>
  <c r="CF37" i="2"/>
  <c r="D3" i="2"/>
  <c r="D19" i="2"/>
  <c r="D29" i="2"/>
  <c r="D33" i="2"/>
  <c r="D35" i="2"/>
  <c r="D37" i="2"/>
  <c r="CG39" i="2"/>
  <c r="BF32" i="3" s="1"/>
  <c r="M39" i="2"/>
  <c r="CJ39" i="2"/>
  <c r="BI32" i="3" s="1"/>
  <c r="J3" i="2"/>
  <c r="J19" i="2"/>
  <c r="J29" i="2"/>
  <c r="J33" i="2"/>
  <c r="J35" i="2"/>
  <c r="J37" i="2"/>
  <c r="K39" i="2"/>
  <c r="R39" i="2"/>
  <c r="Q39" i="2"/>
  <c r="S39" i="2"/>
  <c r="R19" i="2"/>
  <c r="R29" i="2"/>
  <c r="R33" i="2"/>
  <c r="R35" i="2"/>
  <c r="R37" i="2"/>
  <c r="S3" i="2"/>
  <c r="S19" i="2"/>
  <c r="S29" i="2"/>
  <c r="S33" i="2"/>
  <c r="S35" i="2"/>
  <c r="S37" i="2"/>
  <c r="U3" i="2"/>
  <c r="U19" i="2"/>
  <c r="U29" i="2"/>
  <c r="U33" i="2"/>
  <c r="U35" i="2"/>
  <c r="U37" i="2"/>
  <c r="T3" i="2"/>
  <c r="T19" i="2"/>
  <c r="T29" i="2"/>
  <c r="T33" i="2"/>
  <c r="T35" i="2"/>
  <c r="T37" i="2"/>
  <c r="Q3" i="2"/>
  <c r="Q19" i="2"/>
  <c r="Q29" i="2"/>
  <c r="Q33" i="2"/>
  <c r="Q35" i="2"/>
  <c r="Q37" i="2"/>
  <c r="P29" i="2"/>
  <c r="P33" i="2"/>
  <c r="P35" i="2"/>
  <c r="P37" i="2"/>
  <c r="P39" i="2"/>
  <c r="O39" i="2"/>
  <c r="N39" i="2"/>
  <c r="L39" i="2"/>
  <c r="L29" i="2"/>
  <c r="L33" i="2"/>
  <c r="L35" i="2"/>
  <c r="L37" i="2"/>
  <c r="N3" i="2"/>
  <c r="N19" i="2"/>
  <c r="N29" i="2"/>
  <c r="N33" i="2"/>
  <c r="N35" i="2"/>
  <c r="N37" i="2"/>
  <c r="M3" i="2"/>
  <c r="M19" i="2"/>
  <c r="M29" i="2"/>
  <c r="M33" i="2"/>
  <c r="M35" i="2"/>
  <c r="M37" i="2"/>
  <c r="K3" i="2"/>
  <c r="K19" i="2"/>
  <c r="K29" i="2"/>
  <c r="K33" i="2"/>
  <c r="K35" i="2"/>
  <c r="K37" i="2"/>
  <c r="J39" i="2"/>
  <c r="BD43" i="5"/>
  <c r="K33" i="3"/>
  <c r="I43" i="5"/>
  <c r="N37" i="5"/>
  <c r="O39" i="3"/>
  <c r="I39" i="2"/>
  <c r="H39" i="2"/>
  <c r="BI3" i="2"/>
  <c r="BI19" i="2"/>
  <c r="BI29" i="2"/>
  <c r="BI33" i="2"/>
  <c r="BI35" i="2"/>
  <c r="BI37" i="2"/>
  <c r="AI3" i="2"/>
  <c r="AI19" i="2"/>
  <c r="AI29" i="2"/>
  <c r="AI33" i="2"/>
  <c r="AI35" i="2"/>
  <c r="AI37" i="2"/>
  <c r="V3" i="2"/>
  <c r="V19" i="2"/>
  <c r="V29" i="2"/>
  <c r="V33" i="2"/>
  <c r="V35" i="2"/>
  <c r="V37" i="2"/>
  <c r="H3" i="2"/>
  <c r="H19" i="2"/>
  <c r="H29" i="2"/>
  <c r="H33" i="2"/>
  <c r="H35" i="2"/>
  <c r="H37" i="2"/>
  <c r="I3" i="2"/>
  <c r="I19" i="2"/>
  <c r="I29" i="2"/>
  <c r="I33" i="2"/>
  <c r="I35" i="2"/>
  <c r="I37" i="2"/>
  <c r="AJ3" i="2"/>
  <c r="AJ19" i="2"/>
  <c r="AJ29" i="2"/>
  <c r="AJ33" i="2"/>
  <c r="AJ35" i="2"/>
  <c r="AJ37" i="2"/>
  <c r="G39" i="2"/>
  <c r="F39" i="2"/>
  <c r="E39" i="2"/>
  <c r="F19" i="2"/>
  <c r="F29" i="2"/>
  <c r="F33" i="2"/>
  <c r="F35" i="2"/>
  <c r="F37" i="2"/>
  <c r="G3" i="2"/>
  <c r="G19" i="2"/>
  <c r="G29" i="2"/>
  <c r="G33" i="2"/>
  <c r="G35" i="2"/>
  <c r="G37" i="2"/>
  <c r="BC10" i="3"/>
  <c r="CD29" i="2"/>
  <c r="CD33" i="2"/>
  <c r="CD35" i="2"/>
  <c r="CD37" i="2"/>
  <c r="BX29" i="2"/>
  <c r="BX33" i="2"/>
  <c r="BX35" i="2"/>
  <c r="BX37" i="2"/>
  <c r="AV10" i="3"/>
  <c r="AU10" i="3"/>
  <c r="CA3" i="2"/>
  <c r="CA19" i="2"/>
  <c r="CC29" i="2"/>
  <c r="CC33" i="2"/>
  <c r="CC35" i="2"/>
  <c r="CC37" i="2"/>
  <c r="B3" i="2"/>
  <c r="B19" i="2"/>
  <c r="B29" i="2"/>
  <c r="B33" i="2"/>
  <c r="B35" i="2"/>
  <c r="B37" i="2"/>
  <c r="D37" i="5"/>
  <c r="E39" i="3"/>
  <c r="B39" i="2"/>
  <c r="AT47" i="5"/>
  <c r="AT43" i="5"/>
  <c r="BV3" i="2"/>
  <c r="F44" i="11"/>
  <c r="F27" i="11"/>
  <c r="BC43" i="5"/>
  <c r="L43" i="5"/>
  <c r="N33" i="3"/>
  <c r="P37" i="5"/>
  <c r="Q37" i="3"/>
  <c r="K37" i="5"/>
  <c r="L39" i="3"/>
  <c r="Y33" i="3"/>
  <c r="BD41" i="5"/>
  <c r="BD37" i="5"/>
  <c r="AS43" i="5"/>
  <c r="AU43" i="5"/>
  <c r="AY43" i="5"/>
  <c r="AE33" i="3"/>
  <c r="AS33" i="3"/>
  <c r="E37" i="5"/>
  <c r="AL36" i="8"/>
  <c r="G37" i="5"/>
  <c r="AN36" i="8"/>
  <c r="G43" i="5"/>
  <c r="AV43" i="5"/>
  <c r="BF43" i="5"/>
  <c r="P43" i="5"/>
  <c r="R37" i="5"/>
  <c r="S37" i="3"/>
  <c r="BE41" i="5"/>
  <c r="BE37" i="5"/>
  <c r="AG33" i="3"/>
  <c r="U33" i="3"/>
  <c r="AW43" i="5"/>
  <c r="BE43" i="5"/>
  <c r="AM33" i="3"/>
  <c r="M37" i="5"/>
  <c r="F37" i="5"/>
  <c r="AM36" i="8"/>
  <c r="AX43" i="5"/>
  <c r="BB43" i="5"/>
  <c r="I33" i="3"/>
  <c r="L37" i="5"/>
  <c r="O37" i="5"/>
  <c r="C37" i="5"/>
  <c r="J37" i="5"/>
  <c r="H37" i="5"/>
  <c r="I37" i="3"/>
  <c r="I37" i="5"/>
  <c r="J37" i="3"/>
  <c r="Q37" i="5"/>
  <c r="R38" i="3"/>
  <c r="R43" i="5"/>
  <c r="AF33" i="3"/>
  <c r="J38" i="3"/>
  <c r="R33" i="3"/>
  <c r="BC41" i="5"/>
  <c r="BC37" i="5"/>
  <c r="AV41" i="5"/>
  <c r="C15" i="13"/>
  <c r="BB41" i="5"/>
  <c r="BB37" i="5"/>
  <c r="BC39" i="3"/>
  <c r="AZ41" i="5"/>
  <c r="AZ37" i="5"/>
  <c r="BA39" i="3"/>
  <c r="BA43" i="5"/>
  <c r="BP51" i="1"/>
  <c r="BR27" i="1"/>
  <c r="AO4" i="5" s="1"/>
  <c r="BR51" i="1"/>
  <c r="BT27" i="1"/>
  <c r="AQ4" i="5" s="1"/>
  <c r="BT51" i="1"/>
  <c r="BS27" i="1"/>
  <c r="AP4" i="5" s="1"/>
  <c r="BS51" i="1"/>
  <c r="BQ27" i="1"/>
  <c r="AN4" i="5" s="1"/>
  <c r="BQ51" i="1"/>
  <c r="BM51" i="1"/>
  <c r="BO51" i="1"/>
  <c r="BN51" i="1"/>
  <c r="BJ51" i="1"/>
  <c r="CH39" i="2"/>
  <c r="BG32" i="3" s="1"/>
  <c r="CH19" i="2"/>
  <c r="CH29" i="2"/>
  <c r="CH33" i="2"/>
  <c r="CH35" i="2"/>
  <c r="CH37" i="2"/>
  <c r="BF41" i="5"/>
  <c r="BF37" i="5"/>
  <c r="BV39" i="2"/>
  <c r="AT32" i="3"/>
  <c r="F49" i="11"/>
  <c r="BU51" i="1"/>
  <c r="X5" i="3"/>
  <c r="X19" i="3"/>
  <c r="X6" i="3"/>
  <c r="AU13" i="3"/>
  <c r="I4" i="1"/>
  <c r="I27" i="1"/>
  <c r="AV4" i="1"/>
  <c r="AV27" i="1"/>
  <c r="S4" i="5" s="1"/>
  <c r="BA38" i="3"/>
  <c r="CB49" i="1"/>
  <c r="E27" i="1"/>
  <c r="CL47" i="8"/>
  <c r="CL53" i="8"/>
  <c r="CC27" i="1"/>
  <c r="BB17" i="3"/>
  <c r="AU34" i="5"/>
  <c r="BH49" i="1"/>
  <c r="BW38" i="1"/>
  <c r="BW49" i="1"/>
  <c r="CH47" i="8"/>
  <c r="BE49" i="1"/>
  <c r="AU18" i="3"/>
  <c r="BB13" i="3"/>
  <c r="BW27" i="1"/>
  <c r="BW51" i="1" s="1"/>
  <c r="AZ49" i="1"/>
  <c r="AZ51" i="1"/>
  <c r="AV22" i="3"/>
  <c r="AV23" i="3"/>
  <c r="AV15" i="3"/>
  <c r="AV21" i="3"/>
  <c r="AU4" i="5"/>
  <c r="AV14" i="3"/>
  <c r="CB55" i="8"/>
  <c r="AV20" i="3"/>
  <c r="AU17" i="3"/>
  <c r="AT4" i="5"/>
  <c r="CA30" i="8"/>
  <c r="AU11" i="3"/>
  <c r="CA55" i="8"/>
  <c r="CA14" i="8"/>
  <c r="AU16" i="3"/>
  <c r="AU23" i="3"/>
  <c r="AU15" i="3"/>
  <c r="AU22" i="3"/>
  <c r="AU14" i="3"/>
  <c r="AU20" i="3"/>
  <c r="AS11" i="3"/>
  <c r="AU21" i="3"/>
  <c r="B38" i="1"/>
  <c r="B49" i="1"/>
  <c r="BA4" i="5"/>
  <c r="CH15" i="8"/>
  <c r="BB22" i="3"/>
  <c r="AW17" i="3"/>
  <c r="BY51" i="1"/>
  <c r="AR27" i="1"/>
  <c r="CJ53" i="8"/>
  <c r="BB23" i="3"/>
  <c r="CI47" i="8"/>
  <c r="Q49" i="1"/>
  <c r="AW14" i="3"/>
  <c r="AW21" i="3"/>
  <c r="CJ47" i="8"/>
  <c r="CB27" i="1"/>
  <c r="CG56" i="8"/>
  <c r="G31" i="1"/>
  <c r="G38" i="1"/>
  <c r="G49" i="1"/>
  <c r="O27" i="1"/>
  <c r="AW4" i="5"/>
  <c r="CD26" i="8"/>
  <c r="AW16" i="3"/>
  <c r="CB14" i="8"/>
  <c r="BX38" i="1"/>
  <c r="BX49" i="1"/>
  <c r="BX51" i="1"/>
  <c r="CB47" i="8"/>
  <c r="CE27" i="1"/>
  <c r="N27" i="1"/>
  <c r="M27" i="1"/>
  <c r="L27" i="1"/>
  <c r="BB20" i="3"/>
  <c r="BB9" i="3"/>
  <c r="AV4" i="5"/>
  <c r="C24" i="13"/>
  <c r="CC56" i="8"/>
  <c r="CG27" i="1"/>
  <c r="AV16" i="3"/>
  <c r="CH49" i="1"/>
  <c r="AW27" i="1"/>
  <c r="T4" i="5" s="1"/>
  <c r="AW51" i="1"/>
  <c r="BC13" i="3"/>
  <c r="AW20" i="3"/>
  <c r="AV18" i="3"/>
  <c r="D49" i="1"/>
  <c r="AN49" i="1"/>
  <c r="BA27" i="1"/>
  <c r="X4" i="5" s="1"/>
  <c r="BA51" i="1"/>
  <c r="AW15" i="3"/>
  <c r="AV17" i="3"/>
  <c r="CA27" i="1"/>
  <c r="AY15" i="3"/>
  <c r="CK49" i="1"/>
  <c r="AY23" i="3"/>
  <c r="AY17" i="3"/>
  <c r="AW11" i="3"/>
  <c r="AY20" i="3"/>
  <c r="AY22" i="3"/>
  <c r="AY14" i="3"/>
  <c r="AY13" i="3"/>
  <c r="AV5" i="3"/>
  <c r="L49" i="1"/>
  <c r="L51" i="1" s="1"/>
  <c r="AR49" i="1"/>
  <c r="AQ49" i="1"/>
  <c r="CD14" i="8"/>
  <c r="BE4" i="5"/>
  <c r="CL26" i="8"/>
  <c r="CF27" i="1"/>
  <c r="AV11" i="3"/>
  <c r="AX23" i="3"/>
  <c r="CG49" i="1"/>
  <c r="CJ27" i="1"/>
  <c r="G27" i="1"/>
  <c r="AI4" i="1"/>
  <c r="AI27" i="1"/>
  <c r="AN27" i="1"/>
  <c r="AM27" i="1"/>
  <c r="AX22" i="3"/>
  <c r="AX6" i="3"/>
  <c r="C49" i="1"/>
  <c r="AY51" i="1"/>
  <c r="AX21" i="3"/>
  <c r="R49" i="1"/>
  <c r="AX15" i="3"/>
  <c r="CH21" i="1"/>
  <c r="CC49" i="1"/>
  <c r="CC51" i="1"/>
  <c r="CJ49" i="1"/>
  <c r="AA27" i="1"/>
  <c r="BZ51" i="1"/>
  <c r="AX14" i="3"/>
  <c r="CA38" i="1"/>
  <c r="CA49" i="1"/>
  <c r="CA51" i="1"/>
  <c r="AZ38" i="3"/>
  <c r="AG27" i="1"/>
  <c r="AG51" i="1"/>
  <c r="AI38" i="1"/>
  <c r="AQ27" i="1"/>
  <c r="AQ51" i="1"/>
  <c r="AX20" i="3"/>
  <c r="AX17" i="3"/>
  <c r="AX4" i="3"/>
  <c r="P49" i="1"/>
  <c r="AX16" i="3"/>
  <c r="AX30" i="5"/>
  <c r="CE34" i="8"/>
  <c r="AU38" i="3"/>
  <c r="AY38" i="3"/>
  <c r="AA49" i="1"/>
  <c r="AU6" i="3"/>
  <c r="AT33" i="8"/>
  <c r="AH19" i="3"/>
  <c r="AH4" i="3"/>
  <c r="AS60" i="8"/>
  <c r="AR31" i="8"/>
  <c r="BG27" i="1"/>
  <c r="AD4" i="5" s="1"/>
  <c r="BG51" i="1"/>
  <c r="BH27" i="1"/>
  <c r="AE4" i="5" s="1"/>
  <c r="BC27" i="1"/>
  <c r="Z4" i="5" s="1"/>
  <c r="BC51" i="1"/>
  <c r="BF27" i="1"/>
  <c r="AC4" i="5" s="1"/>
  <c r="BF51" i="1"/>
  <c r="BE27" i="1"/>
  <c r="AB4" i="5" s="1"/>
  <c r="BD27" i="1"/>
  <c r="AA4" i="5" s="1"/>
  <c r="BD51" i="1"/>
  <c r="AX51" i="1"/>
  <c r="BB27" i="1"/>
  <c r="Y4" i="5" s="1"/>
  <c r="BB51" i="1"/>
  <c r="AV49" i="1"/>
  <c r="BE58" i="8"/>
  <c r="E24" i="3"/>
  <c r="AY24" i="8"/>
  <c r="AU49" i="1"/>
  <c r="AS49" i="1"/>
  <c r="AP27" i="1"/>
  <c r="AT27" i="1"/>
  <c r="AS27" i="1"/>
  <c r="AU27" i="1"/>
  <c r="AU51" i="1" s="1"/>
  <c r="AO27" i="1"/>
  <c r="AK49" i="1"/>
  <c r="AO49" i="1"/>
  <c r="AL49" i="1"/>
  <c r="AJ49" i="1"/>
  <c r="AM49" i="1"/>
  <c r="AM51" i="1"/>
  <c r="AK27" i="1"/>
  <c r="AL27" i="1"/>
  <c r="AN51" i="1"/>
  <c r="AT49" i="1"/>
  <c r="AP49" i="1"/>
  <c r="AJ4" i="1"/>
  <c r="AJ27" i="1"/>
  <c r="AH6" i="3"/>
  <c r="AR27" i="8"/>
  <c r="AU5" i="3"/>
  <c r="AL19" i="3"/>
  <c r="Q28" i="3"/>
  <c r="AL4" i="3"/>
  <c r="AL5" i="3"/>
  <c r="AS9" i="8"/>
  <c r="BD27" i="8"/>
  <c r="AX34" i="8"/>
  <c r="AU4" i="3"/>
  <c r="CL60" i="8"/>
  <c r="BD60" i="8"/>
  <c r="AQ32" i="8"/>
  <c r="L27" i="3"/>
  <c r="M26" i="3"/>
  <c r="Z27" i="1"/>
  <c r="AS59" i="8"/>
  <c r="AR32" i="8"/>
  <c r="AR28" i="3"/>
  <c r="AA6" i="3"/>
  <c r="O5" i="3"/>
  <c r="AR60" i="8"/>
  <c r="AS33" i="8"/>
  <c r="O6" i="3"/>
  <c r="BJ15" i="8"/>
  <c r="BQ60" i="8"/>
  <c r="BQ33" i="8"/>
  <c r="O4" i="3"/>
  <c r="BQ32" i="8"/>
  <c r="X27" i="3"/>
  <c r="AA5" i="3"/>
  <c r="CD59" i="8"/>
  <c r="BV15" i="8"/>
  <c r="CC59" i="8"/>
  <c r="BE60" i="8"/>
  <c r="L26" i="3"/>
  <c r="BE32" i="8"/>
  <c r="AA4" i="3"/>
  <c r="BC27" i="8"/>
  <c r="E28" i="3"/>
  <c r="AB27" i="1"/>
  <c r="AE6" i="3"/>
  <c r="E35" i="3"/>
  <c r="M6" i="3"/>
  <c r="M4" i="3"/>
  <c r="BO25" i="8"/>
  <c r="AD49" i="1"/>
  <c r="AH49" i="1"/>
  <c r="AF49" i="1"/>
  <c r="AD27" i="1"/>
  <c r="AH27" i="1"/>
  <c r="AF27" i="1"/>
  <c r="AE27" i="1"/>
  <c r="Y49" i="1"/>
  <c r="AB49" i="1"/>
  <c r="AI49" i="1"/>
  <c r="Z49" i="1"/>
  <c r="BI27" i="1"/>
  <c r="AF4" i="5" s="1"/>
  <c r="AC27" i="1"/>
  <c r="Y27" i="1"/>
  <c r="X27" i="1"/>
  <c r="AE49" i="1"/>
  <c r="AC49" i="1"/>
  <c r="X49" i="1"/>
  <c r="W49" i="1"/>
  <c r="W4" i="1"/>
  <c r="W27" i="1"/>
  <c r="BI49" i="1"/>
  <c r="BA6" i="3"/>
  <c r="AY58" i="8"/>
  <c r="E26" i="3"/>
  <c r="AV32" i="8"/>
  <c r="AX5" i="3"/>
  <c r="AM24" i="8"/>
  <c r="CH34" i="8"/>
  <c r="BA41" i="5"/>
  <c r="BA37" i="5"/>
  <c r="BB37" i="3"/>
  <c r="I26" i="3"/>
  <c r="BA4" i="3"/>
  <c r="V4" i="3"/>
  <c r="AN5" i="3"/>
  <c r="V19" i="3"/>
  <c r="CG9" i="8"/>
  <c r="V6" i="3"/>
  <c r="AN4" i="3"/>
  <c r="BA28" i="3"/>
  <c r="BA5" i="3"/>
  <c r="AN6" i="3"/>
  <c r="BO59" i="8"/>
  <c r="AY31" i="8"/>
  <c r="BB35" i="3"/>
  <c r="BB59" i="8"/>
  <c r="BX26" i="8"/>
  <c r="CH59" i="8"/>
  <c r="AZ26" i="8"/>
  <c r="AO33" i="8"/>
  <c r="BB33" i="8"/>
  <c r="AL24" i="8"/>
  <c r="AW33" i="8"/>
  <c r="AO59" i="8"/>
  <c r="CH33" i="8"/>
  <c r="BY25" i="8"/>
  <c r="H26" i="3"/>
  <c r="BK27" i="8"/>
  <c r="AC35" i="3"/>
  <c r="BM25" i="8"/>
  <c r="BA33" i="8"/>
  <c r="BN33" i="8"/>
  <c r="CK60" i="8"/>
  <c r="F26" i="3"/>
  <c r="BZ33" i="8"/>
  <c r="BZ59" i="8"/>
  <c r="AT15" i="8"/>
  <c r="V49" i="1"/>
  <c r="V27" i="1"/>
  <c r="T49" i="1"/>
  <c r="T51" i="1"/>
  <c r="S49" i="1"/>
  <c r="U49" i="1"/>
  <c r="R27" i="1"/>
  <c r="Q27" i="1"/>
  <c r="Q51" i="1"/>
  <c r="U27" i="1"/>
  <c r="S27" i="1"/>
  <c r="N49" i="1"/>
  <c r="K49" i="1"/>
  <c r="O49" i="1"/>
  <c r="P27" i="1"/>
  <c r="K27" i="1"/>
  <c r="M49" i="1"/>
  <c r="J49" i="1"/>
  <c r="J27" i="1"/>
  <c r="AF35" i="3"/>
  <c r="BV34" i="8"/>
  <c r="R35" i="3"/>
  <c r="AQ28" i="3"/>
  <c r="BG32" i="8"/>
  <c r="BT59" i="8"/>
  <c r="BU34" i="8"/>
  <c r="F4" i="3"/>
  <c r="BI21" i="8"/>
  <c r="BP24" i="8"/>
  <c r="K27" i="3"/>
  <c r="CC33" i="8"/>
  <c r="BE59" i="8"/>
  <c r="BP32" i="8"/>
  <c r="BU15" i="8"/>
  <c r="F5" i="3"/>
  <c r="H35" i="3"/>
  <c r="BE33" i="8"/>
  <c r="BP60" i="8"/>
  <c r="BE34" i="8"/>
  <c r="BO60" i="8"/>
  <c r="CB32" i="8"/>
  <c r="CB60" i="8"/>
  <c r="AR33" i="8"/>
  <c r="AR35" i="3"/>
  <c r="BQ59" i="8"/>
  <c r="J26" i="3"/>
  <c r="M27" i="3"/>
  <c r="AK15" i="8"/>
  <c r="CD32" i="8"/>
  <c r="BG59" i="8"/>
  <c r="AW31" i="8"/>
  <c r="BT15" i="8"/>
  <c r="BY27" i="8"/>
  <c r="BP33" i="8"/>
  <c r="CK32" i="8"/>
  <c r="CL32" i="8"/>
  <c r="D28" i="3"/>
  <c r="CD34" i="8"/>
  <c r="Y5" i="3"/>
  <c r="AQ4" i="3"/>
  <c r="CM32" i="8"/>
  <c r="AQ33" i="8"/>
  <c r="BQ21" i="8"/>
  <c r="AD35" i="3"/>
  <c r="AE4" i="3"/>
  <c r="AV15" i="8"/>
  <c r="AQ35" i="3"/>
  <c r="AE19" i="3"/>
  <c r="AQ6" i="3"/>
  <c r="CM60" i="8"/>
  <c r="BZ60" i="8"/>
  <c r="AI26" i="3"/>
  <c r="AT32" i="8"/>
  <c r="BO33" i="8"/>
  <c r="Y6" i="3"/>
  <c r="Y4" i="3"/>
  <c r="BZ32" i="8"/>
  <c r="BR60" i="8"/>
  <c r="AD28" i="3"/>
  <c r="AQ5" i="3"/>
  <c r="AT58" i="8"/>
  <c r="AS27" i="8"/>
  <c r="CH19" i="8"/>
  <c r="BT33" i="8"/>
  <c r="BS57" i="8"/>
  <c r="AN58" i="8"/>
  <c r="N27" i="3"/>
  <c r="AW59" i="8"/>
  <c r="AN26" i="3"/>
  <c r="W28" i="3"/>
  <c r="AW4" i="3"/>
  <c r="P26" i="3"/>
  <c r="AW5" i="3"/>
  <c r="AA26" i="3"/>
  <c r="AV59" i="8"/>
  <c r="Q4" i="3"/>
  <c r="BG60" i="8"/>
  <c r="BR32" i="8"/>
  <c r="BE27" i="8"/>
  <c r="AJ6" i="3"/>
  <c r="AX27" i="3"/>
  <c r="BF27" i="8"/>
  <c r="AY27" i="8"/>
  <c r="AA27" i="3"/>
  <c r="AJ5" i="3"/>
  <c r="BG26" i="8"/>
  <c r="AU26" i="8"/>
  <c r="BT25" i="8"/>
  <c r="F12" i="11"/>
  <c r="D19" i="3"/>
  <c r="BG33" i="8"/>
  <c r="BH32" i="8"/>
  <c r="BA34" i="8"/>
  <c r="BH25" i="8"/>
  <c r="AT26" i="8"/>
  <c r="AJ4" i="3"/>
  <c r="BU33" i="8"/>
  <c r="AU60" i="8"/>
  <c r="BU59" i="8"/>
  <c r="AT41" i="5"/>
  <c r="AT37" i="5"/>
  <c r="BM58" i="8"/>
  <c r="D6" i="3"/>
  <c r="D5" i="3"/>
  <c r="CG59" i="8"/>
  <c r="AY57" i="8"/>
  <c r="AW58" i="8"/>
  <c r="AI4" i="3"/>
  <c r="BM31" i="8"/>
  <c r="BS60" i="8"/>
  <c r="AI5" i="3"/>
  <c r="Q5" i="3"/>
  <c r="CD60" i="8"/>
  <c r="CE32" i="8"/>
  <c r="BS32" i="8"/>
  <c r="AW6" i="3"/>
  <c r="AI6" i="3"/>
  <c r="BF32" i="8"/>
  <c r="Q19" i="3"/>
  <c r="CE60" i="8"/>
  <c r="BZ58" i="8"/>
  <c r="BF60" i="8"/>
  <c r="I49" i="1"/>
  <c r="H38" i="1"/>
  <c r="H49" i="1"/>
  <c r="H27" i="1"/>
  <c r="F49" i="1"/>
  <c r="C27" i="1"/>
  <c r="C51" i="1"/>
  <c r="F27" i="1"/>
  <c r="D27" i="1"/>
  <c r="E49" i="1"/>
  <c r="E51" i="1"/>
  <c r="CJ51" i="1"/>
  <c r="BA9" i="3"/>
  <c r="CF55" i="8"/>
  <c r="AZ22" i="3"/>
  <c r="CJ55" i="8"/>
  <c r="CF34" i="8"/>
  <c r="BC4" i="5"/>
  <c r="CJ15" i="8"/>
  <c r="CK31" i="8"/>
  <c r="CI52" i="8"/>
  <c r="CL31" i="8"/>
  <c r="CD27" i="1"/>
  <c r="BC15" i="3"/>
  <c r="CJ14" i="8"/>
  <c r="BO26" i="8"/>
  <c r="BV49" i="1"/>
  <c r="CK34" i="8"/>
  <c r="CI53" i="8"/>
  <c r="AZ13" i="3"/>
  <c r="CF47" i="8"/>
  <c r="B27" i="1"/>
  <c r="CD58" i="8"/>
  <c r="BS9" i="8"/>
  <c r="AO36" i="3"/>
  <c r="AO24" i="3"/>
  <c r="AS25" i="8"/>
  <c r="T19" i="3"/>
  <c r="BU25" i="8"/>
  <c r="N36" i="3"/>
  <c r="AS26" i="8"/>
  <c r="BU21" i="8"/>
  <c r="AS57" i="8"/>
  <c r="M19" i="3"/>
  <c r="AS30" i="8"/>
  <c r="AT21" i="8"/>
  <c r="AP21" i="8"/>
  <c r="AT27" i="8"/>
  <c r="AT25" i="8"/>
  <c r="N24" i="3"/>
  <c r="AT30" i="8"/>
  <c r="CG30" i="8"/>
  <c r="AT57" i="8"/>
  <c r="AP9" i="8"/>
  <c r="AP24" i="8"/>
  <c r="BD26" i="8"/>
  <c r="AP58" i="8"/>
  <c r="AP57" i="8"/>
  <c r="AP25" i="8"/>
  <c r="BT26" i="8"/>
  <c r="AS24" i="3"/>
  <c r="BQ34" i="8"/>
  <c r="AS36" i="3"/>
  <c r="BX21" i="8"/>
  <c r="P28" i="3"/>
  <c r="E36" i="3"/>
  <c r="BO15" i="8"/>
  <c r="M28" i="3"/>
  <c r="K25" i="3"/>
  <c r="CI34" i="8"/>
  <c r="BM15" i="8"/>
  <c r="G6" i="3"/>
  <c r="BN34" i="8"/>
  <c r="BX25" i="8"/>
  <c r="BM26" i="8"/>
  <c r="G4" i="3"/>
  <c r="BR58" i="8"/>
  <c r="AQ58" i="8"/>
  <c r="BM27" i="8"/>
  <c r="AS35" i="3"/>
  <c r="G28" i="3"/>
  <c r="CC32" i="8"/>
  <c r="CD33" i="8"/>
  <c r="BF33" i="8"/>
  <c r="BR31" i="8"/>
  <c r="J25" i="3"/>
  <c r="BM24" i="8"/>
  <c r="BO30" i="8"/>
  <c r="BE31" i="8"/>
  <c r="BO9" i="8"/>
  <c r="AE35" i="3"/>
  <c r="BB60" i="8"/>
  <c r="I27" i="3"/>
  <c r="BD33" i="8"/>
  <c r="BL58" i="8"/>
  <c r="BT21" i="8"/>
  <c r="AY26" i="8"/>
  <c r="BM59" i="8"/>
  <c r="G26" i="3"/>
  <c r="CJ60" i="8"/>
  <c r="E19" i="3"/>
  <c r="AN59" i="8"/>
  <c r="T6" i="3"/>
  <c r="N35" i="3"/>
  <c r="O25" i="5"/>
  <c r="AV19" i="8"/>
  <c r="BJ9" i="8"/>
  <c r="BK32" i="8"/>
  <c r="BX33" i="8"/>
  <c r="AZ33" i="8"/>
  <c r="F15" i="11"/>
  <c r="BW9" i="8"/>
  <c r="F25" i="11"/>
  <c r="BL31" i="8"/>
  <c r="BA59" i="8"/>
  <c r="AN33" i="8"/>
  <c r="AK35" i="3"/>
  <c r="BI24" i="8"/>
  <c r="AF25" i="3"/>
  <c r="E6" i="3"/>
  <c r="CG34" i="8"/>
  <c r="BM33" i="8"/>
  <c r="T4" i="3"/>
  <c r="BV31" i="8"/>
  <c r="S27" i="3"/>
  <c r="AW41" i="5"/>
  <c r="AW37" i="5"/>
  <c r="AX39" i="3"/>
  <c r="BF58" i="8"/>
  <c r="AQ27" i="3"/>
  <c r="BX60" i="8"/>
  <c r="BM34" i="8"/>
  <c r="AM58" i="8"/>
  <c r="CK33" i="8"/>
  <c r="AK28" i="3"/>
  <c r="F43" i="11"/>
  <c r="BX32" i="8"/>
  <c r="AY9" i="8"/>
  <c r="E4" i="3"/>
  <c r="BJ59" i="8"/>
  <c r="AE36" i="3"/>
  <c r="BD25" i="8"/>
  <c r="AN25" i="8"/>
  <c r="BW26" i="8"/>
  <c r="BH21" i="8"/>
  <c r="AS24" i="8"/>
  <c r="AM60" i="8"/>
  <c r="BS15" i="8"/>
  <c r="AL15" i="8"/>
  <c r="AL30" i="8"/>
  <c r="BR34" i="8"/>
  <c r="BI58" i="8"/>
  <c r="CF31" i="8"/>
  <c r="BT34" i="8"/>
  <c r="AP35" i="3"/>
  <c r="AP15" i="8"/>
  <c r="AL21" i="8"/>
  <c r="AV35" i="3"/>
  <c r="AY30" i="8"/>
  <c r="BC34" i="8"/>
  <c r="AH35" i="3"/>
  <c r="CA19" i="8"/>
  <c r="E25" i="5"/>
  <c r="AL19" i="8"/>
  <c r="AO24" i="8"/>
  <c r="BK58" i="8"/>
  <c r="P4" i="3"/>
  <c r="P5" i="3"/>
  <c r="M25" i="3"/>
  <c r="P6" i="3"/>
  <c r="CA34" i="8"/>
  <c r="AL27" i="8"/>
  <c r="AS21" i="8"/>
  <c r="BI34" i="8"/>
  <c r="AS41" i="5"/>
  <c r="AS37" i="5"/>
  <c r="BY21" i="8"/>
  <c r="F6" i="3"/>
  <c r="BU9" i="8"/>
  <c r="BI9" i="8"/>
  <c r="BV33" i="8"/>
  <c r="CD19" i="8"/>
  <c r="AX35" i="3"/>
  <c r="BA31" i="8"/>
  <c r="M36" i="3"/>
  <c r="BI15" i="8"/>
  <c r="BK15" i="8"/>
  <c r="BA58" i="8"/>
  <c r="M24" i="3"/>
  <c r="AM25" i="3"/>
  <c r="BN21" i="8"/>
  <c r="AU35" i="3"/>
  <c r="AV58" i="8"/>
  <c r="AR25" i="8"/>
  <c r="AJ28" i="3"/>
  <c r="AI36" i="3"/>
  <c r="AY32" i="8"/>
  <c r="C25" i="13"/>
  <c r="AV31" i="8"/>
  <c r="AW28" i="3"/>
  <c r="BI31" i="8"/>
  <c r="AR26" i="8"/>
  <c r="AR24" i="8"/>
  <c r="BS24" i="8"/>
  <c r="P25" i="3"/>
  <c r="BG34" i="8"/>
  <c r="AR57" i="8"/>
  <c r="CD27" i="8"/>
  <c r="H28" i="3"/>
  <c r="BD34" i="8"/>
  <c r="I28" i="3"/>
  <c r="K25" i="5"/>
  <c r="AR19" i="8"/>
  <c r="AL9" i="8"/>
  <c r="BU27" i="8"/>
  <c r="BI27" i="8"/>
  <c r="CJ34" i="8"/>
  <c r="CK19" i="8"/>
  <c r="CF58" i="8"/>
  <c r="AN21" i="8"/>
  <c r="BQ24" i="8"/>
  <c r="H36" i="3"/>
  <c r="BK26" i="8"/>
  <c r="AR6" i="3"/>
  <c r="AK36" i="3"/>
  <c r="CB31" i="8"/>
  <c r="BB21" i="8"/>
  <c r="CF32" i="8"/>
  <c r="BQ57" i="8"/>
  <c r="BQ30" i="8"/>
  <c r="P25" i="5"/>
  <c r="AW19" i="8"/>
  <c r="BJ33" i="8"/>
  <c r="BQ25" i="8"/>
  <c r="BQ26" i="8"/>
  <c r="AN9" i="8"/>
  <c r="U28" i="3"/>
  <c r="BQ27" i="8"/>
  <c r="I36" i="3"/>
  <c r="F28" i="3"/>
  <c r="AF6" i="3"/>
  <c r="BA57" i="8"/>
  <c r="AP26" i="3"/>
  <c r="AL25" i="8"/>
  <c r="AR4" i="3"/>
  <c r="AF4" i="3"/>
  <c r="R14" i="5"/>
  <c r="R11" i="5"/>
  <c r="BH24" i="8"/>
  <c r="AR5" i="3"/>
  <c r="AN57" i="8"/>
  <c r="W6" i="3"/>
  <c r="I35" i="3"/>
  <c r="BX30" i="8"/>
  <c r="AF19" i="3"/>
  <c r="AI35" i="3"/>
  <c r="AW25" i="3"/>
  <c r="W4" i="3"/>
  <c r="CL34" i="8"/>
  <c r="CA58" i="8"/>
  <c r="AT35" i="3"/>
  <c r="AL24" i="3"/>
  <c r="BG9" i="8"/>
  <c r="BX9" i="8"/>
  <c r="AJ24" i="3"/>
  <c r="BA24" i="8"/>
  <c r="BG57" i="8"/>
  <c r="AX32" i="8"/>
  <c r="W5" i="3"/>
  <c r="AY60" i="8"/>
  <c r="CA31" i="8"/>
  <c r="AM36" i="3"/>
  <c r="CG15" i="8"/>
  <c r="BF31" i="8"/>
  <c r="BT9" i="8"/>
  <c r="BS27" i="8"/>
  <c r="BG27" i="8"/>
  <c r="AU27" i="8"/>
  <c r="O27" i="3"/>
  <c r="CI60" i="8"/>
  <c r="AM24" i="3"/>
  <c r="O36" i="3"/>
  <c r="BP25" i="8"/>
  <c r="BP27" i="8"/>
  <c r="BS31" i="8"/>
  <c r="BB34" i="8"/>
  <c r="K5" i="3"/>
  <c r="K6" i="3"/>
  <c r="BG15" i="8"/>
  <c r="I25" i="3"/>
  <c r="BR15" i="8"/>
  <c r="BP26" i="8"/>
  <c r="BG21" i="8"/>
  <c r="K4" i="3"/>
  <c r="G25" i="5"/>
  <c r="AN19" i="8"/>
  <c r="AL36" i="3"/>
  <c r="AG28" i="3"/>
  <c r="BR26" i="8"/>
  <c r="AJ36" i="3"/>
  <c r="BN58" i="8"/>
  <c r="AT9" i="8"/>
  <c r="BA21" i="8"/>
  <c r="BG25" i="8"/>
  <c r="Q25" i="5"/>
  <c r="AX19" i="8"/>
  <c r="AG35" i="3"/>
  <c r="BR9" i="8"/>
  <c r="AK24" i="3"/>
  <c r="AX9" i="8"/>
  <c r="BN31" i="8"/>
  <c r="BA25" i="8"/>
  <c r="L25" i="3"/>
  <c r="CH31" i="8"/>
  <c r="M25" i="5"/>
  <c r="AT19" i="8"/>
  <c r="BR21" i="8"/>
  <c r="AU15" i="8"/>
  <c r="BV26" i="8"/>
  <c r="AT24" i="8"/>
  <c r="BI57" i="8"/>
  <c r="BK34" i="8"/>
  <c r="BX24" i="8"/>
  <c r="BA27" i="8"/>
  <c r="BA26" i="8"/>
  <c r="AM15" i="8"/>
  <c r="AS31" i="8"/>
  <c r="AW27" i="8"/>
  <c r="BP15" i="8"/>
  <c r="BD15" i="8"/>
  <c r="AR15" i="8"/>
  <c r="AY35" i="3"/>
  <c r="N28" i="3"/>
  <c r="CE19" i="8"/>
  <c r="BS58" i="8"/>
  <c r="BT30" i="8"/>
  <c r="CG26" i="8"/>
  <c r="BT57" i="8"/>
  <c r="BG30" i="8"/>
  <c r="BA30" i="8"/>
  <c r="Z25" i="3"/>
  <c r="CJ58" i="8"/>
  <c r="AS28" i="3"/>
  <c r="CG57" i="8"/>
  <c r="CJ31" i="8"/>
  <c r="W35" i="3"/>
  <c r="V24" i="3"/>
  <c r="Q25" i="3"/>
  <c r="AO15" i="8"/>
  <c r="M35" i="3"/>
  <c r="V36" i="3"/>
  <c r="AL26" i="8"/>
  <c r="BB24" i="8"/>
  <c r="BN30" i="8"/>
  <c r="V35" i="3"/>
  <c r="AR30" i="8"/>
  <c r="BG24" i="8"/>
  <c r="AO58" i="8"/>
  <c r="N14" i="5"/>
  <c r="N11" i="5"/>
  <c r="AU7" i="8"/>
  <c r="AL28" i="3"/>
  <c r="AX15" i="8"/>
  <c r="O24" i="3"/>
  <c r="AX57" i="8"/>
  <c r="BW27" i="8"/>
  <c r="BS26" i="8"/>
  <c r="AA36" i="3"/>
  <c r="AY25" i="8"/>
  <c r="BK33" i="8"/>
  <c r="AX27" i="8"/>
  <c r="AA24" i="3"/>
  <c r="AY28" i="3"/>
  <c r="AX21" i="8"/>
  <c r="AU30" i="8"/>
  <c r="BW25" i="8"/>
  <c r="BS21" i="8"/>
  <c r="BF15" i="8"/>
  <c r="CJ33" i="8"/>
  <c r="AN15" i="8"/>
  <c r="BY34" i="8"/>
  <c r="D26" i="3"/>
  <c r="CC19" i="8"/>
  <c r="AX41" i="5"/>
  <c r="AX37" i="5"/>
  <c r="S24" i="3"/>
  <c r="AR24" i="3"/>
  <c r="BF9" i="8"/>
  <c r="BW33" i="8"/>
  <c r="BM57" i="8"/>
  <c r="CI32" i="8"/>
  <c r="AX24" i="8"/>
  <c r="D27" i="3"/>
  <c r="BB26" i="8"/>
  <c r="BS25" i="8"/>
  <c r="BF26" i="8"/>
  <c r="BO31" i="8"/>
  <c r="BW59" i="8"/>
  <c r="AN24" i="8"/>
  <c r="AN30" i="8"/>
  <c r="G5" i="3"/>
  <c r="AW14" i="5"/>
  <c r="AW11" i="5"/>
  <c r="AW12" i="5"/>
  <c r="I14" i="5"/>
  <c r="I11" i="5"/>
  <c r="BD14" i="5"/>
  <c r="BD11" i="5"/>
  <c r="BE29" i="3" s="1"/>
  <c r="BS30" i="8"/>
  <c r="BC27" i="3"/>
  <c r="CB58" i="8"/>
  <c r="AX26" i="8"/>
  <c r="AU9" i="8"/>
  <c r="AK26" i="8"/>
  <c r="BB9" i="8"/>
  <c r="AN24" i="3"/>
  <c r="BO24" i="8"/>
  <c r="BF57" i="8"/>
  <c r="AG4" i="3"/>
  <c r="BI60" i="8"/>
  <c r="S4" i="3"/>
  <c r="H25" i="5"/>
  <c r="AO19" i="8"/>
  <c r="Q14" i="5"/>
  <c r="Q11" i="5"/>
  <c r="AX8" i="8"/>
  <c r="AV25" i="3"/>
  <c r="BM21" i="8"/>
  <c r="AX60" i="8"/>
  <c r="BO57" i="8"/>
  <c r="AI24" i="3"/>
  <c r="BF30" i="8"/>
  <c r="AS4" i="3"/>
  <c r="Z6" i="3"/>
  <c r="BI32" i="8"/>
  <c r="CI19" i="8"/>
  <c r="Z35" i="3"/>
  <c r="BI26" i="8"/>
  <c r="AS6" i="3"/>
  <c r="AG6" i="3"/>
  <c r="CD31" i="8"/>
  <c r="AY59" i="8"/>
  <c r="AS5" i="3"/>
  <c r="BO21" i="8"/>
  <c r="AW34" i="8"/>
  <c r="BY9" i="8"/>
  <c r="BM9" i="8"/>
  <c r="BA9" i="8"/>
  <c r="BX27" i="8"/>
  <c r="AN27" i="8"/>
  <c r="BK59" i="8"/>
  <c r="CJ59" i="8"/>
  <c r="AG5" i="3"/>
  <c r="BQ31" i="8"/>
  <c r="AL35" i="3"/>
  <c r="AZ27" i="3"/>
  <c r="BX59" i="8"/>
  <c r="BF24" i="8"/>
  <c r="BW21" i="8"/>
  <c r="AD24" i="3"/>
  <c r="AY33" i="8"/>
  <c r="C14" i="5"/>
  <c r="C11" i="5"/>
  <c r="C12" i="5"/>
  <c r="AX30" i="8"/>
  <c r="BV60" i="8"/>
  <c r="CF60" i="8"/>
  <c r="AE26" i="3"/>
  <c r="AU57" i="8"/>
  <c r="BB27" i="8"/>
  <c r="BW24" i="8"/>
  <c r="BU26" i="8"/>
  <c r="BO58" i="8"/>
  <c r="BD21" i="8"/>
  <c r="AR21" i="8"/>
  <c r="M14" i="5"/>
  <c r="M11" i="5"/>
  <c r="BV32" i="8"/>
  <c r="S36" i="3"/>
  <c r="BF21" i="8"/>
  <c r="U35" i="3"/>
  <c r="BQ15" i="8"/>
  <c r="BE15" i="8"/>
  <c r="AS15" i="8"/>
  <c r="CF19" i="8"/>
  <c r="N25" i="5"/>
  <c r="BW32" i="8"/>
  <c r="CE58" i="8"/>
  <c r="BX58" i="8"/>
  <c r="AV24" i="8"/>
  <c r="BJ26" i="8"/>
  <c r="CA32" i="8"/>
  <c r="BH57" i="8"/>
  <c r="AB24" i="3"/>
  <c r="BI30" i="8"/>
  <c r="AC5" i="3"/>
  <c r="AK25" i="8"/>
  <c r="BN32" i="8"/>
  <c r="G25" i="3"/>
  <c r="K28" i="3"/>
  <c r="L4" i="3"/>
  <c r="L5" i="3"/>
  <c r="F25" i="5"/>
  <c r="AM19" i="8"/>
  <c r="D25" i="5"/>
  <c r="AK19" i="8"/>
  <c r="BC14" i="5"/>
  <c r="BC11" i="5"/>
  <c r="BD29" i="3" s="1"/>
  <c r="CJ6" i="8"/>
  <c r="CK58" i="8"/>
  <c r="BX31" i="8"/>
  <c r="AP32" i="8"/>
  <c r="BR25" i="8"/>
  <c r="BH30" i="8"/>
  <c r="AV27" i="8"/>
  <c r="BP30" i="8"/>
  <c r="BJ25" i="8"/>
  <c r="AO6" i="3"/>
  <c r="BZ31" i="8"/>
  <c r="AO5" i="3"/>
  <c r="BZ19" i="8"/>
  <c r="AV28" i="3"/>
  <c r="L24" i="3"/>
  <c r="BB19" i="3"/>
  <c r="BB5" i="3"/>
  <c r="Z26" i="3"/>
  <c r="AQ15" i="8"/>
  <c r="AZ60" i="8"/>
  <c r="CK59" i="8"/>
  <c r="BB4" i="3"/>
  <c r="CB15" i="8"/>
  <c r="CE31" i="8"/>
  <c r="J27" i="3"/>
  <c r="CB34" i="8"/>
  <c r="AB36" i="3"/>
  <c r="BW57" i="8"/>
  <c r="AD36" i="3"/>
  <c r="AO4" i="3"/>
  <c r="BF25" i="8"/>
  <c r="BS34" i="8"/>
  <c r="BC28" i="3"/>
  <c r="BK60" i="8"/>
  <c r="AP26" i="8"/>
  <c r="S6" i="3"/>
  <c r="AK21" i="8"/>
  <c r="AR34" i="8"/>
  <c r="S19" i="3"/>
  <c r="J19" i="3"/>
  <c r="C25" i="5"/>
  <c r="AY14" i="5"/>
  <c r="AY11" i="5"/>
  <c r="AZ29" i="3"/>
  <c r="K26" i="3"/>
  <c r="CG33" i="8"/>
  <c r="P36" i="3"/>
  <c r="BO34" i="8"/>
  <c r="BU24" i="8"/>
  <c r="AT19" i="3"/>
  <c r="L36" i="3"/>
  <c r="L6" i="3"/>
  <c r="AA35" i="3"/>
  <c r="CB21" i="8"/>
  <c r="AB35" i="3"/>
  <c r="BH9" i="8"/>
  <c r="BY26" i="8"/>
  <c r="AS34" i="8"/>
  <c r="BK31" i="8"/>
  <c r="L28" i="3"/>
  <c r="AP60" i="8"/>
  <c r="BB58" i="8"/>
  <c r="BJ32" i="8"/>
  <c r="R27" i="3"/>
  <c r="AQ59" i="8"/>
  <c r="BA15" i="8"/>
  <c r="BX15" i="8"/>
  <c r="AZ15" i="8"/>
  <c r="AA28" i="3"/>
  <c r="BU58" i="8"/>
  <c r="BO32" i="8"/>
  <c r="BC32" i="8"/>
  <c r="BU57" i="8"/>
  <c r="X36" i="3"/>
  <c r="BF34" i="8"/>
  <c r="BP31" i="8"/>
  <c r="J4" i="3"/>
  <c r="K24" i="3"/>
  <c r="AS27" i="3"/>
  <c r="BD24" i="8"/>
  <c r="BC35" i="3"/>
  <c r="BN59" i="8"/>
  <c r="AQ25" i="8"/>
  <c r="H24" i="3"/>
  <c r="K36" i="3"/>
  <c r="Q35" i="3"/>
  <c r="AV25" i="8"/>
  <c r="BC60" i="8"/>
  <c r="BU30" i="8"/>
  <c r="J6" i="3"/>
  <c r="BW60" i="8"/>
  <c r="AV26" i="3"/>
  <c r="AK27" i="8"/>
  <c r="BF59" i="8"/>
  <c r="AV21" i="8"/>
  <c r="AC24" i="3"/>
  <c r="AV26" i="8"/>
  <c r="P24" i="3"/>
  <c r="AM35" i="3"/>
  <c r="BU31" i="8"/>
  <c r="BD31" i="8"/>
  <c r="BH27" i="8"/>
  <c r="AR25" i="3"/>
  <c r="AC4" i="3"/>
  <c r="H25" i="3"/>
  <c r="BD59" i="8"/>
  <c r="L35" i="3"/>
  <c r="BW34" i="8"/>
  <c r="CB19" i="8"/>
  <c r="J25" i="5"/>
  <c r="AQ19" i="8"/>
  <c r="H14" i="5"/>
  <c r="H11" i="5"/>
  <c r="AM25" i="8"/>
  <c r="CC31" i="8"/>
  <c r="CI33" i="8"/>
  <c r="AQ24" i="8"/>
  <c r="BE21" i="8"/>
  <c r="BH26" i="8"/>
  <c r="BD30" i="8"/>
  <c r="BN60" i="8"/>
  <c r="F25" i="3"/>
  <c r="AQ9" i="8"/>
  <c r="G14" i="5"/>
  <c r="G11" i="5"/>
  <c r="AN8" i="8"/>
  <c r="CB9" i="8"/>
  <c r="BD9" i="8"/>
  <c r="AR9" i="8"/>
  <c r="BO27" i="8"/>
  <c r="CC58" i="8"/>
  <c r="CB26" i="8"/>
  <c r="CH58" i="8"/>
  <c r="BB32" i="8"/>
  <c r="CI59" i="8"/>
  <c r="BJ27" i="8"/>
  <c r="BD58" i="8"/>
  <c r="BH15" i="8"/>
  <c r="BN26" i="8"/>
  <c r="AV30" i="8"/>
  <c r="BQ58" i="8"/>
  <c r="AC6" i="3"/>
  <c r="BW30" i="8"/>
  <c r="AQ21" i="8"/>
  <c r="AQ57" i="8"/>
  <c r="BB31" i="8"/>
  <c r="S35" i="3"/>
  <c r="P14" i="5"/>
  <c r="P11" i="5"/>
  <c r="F14" i="5"/>
  <c r="F11" i="5"/>
  <c r="AM6" i="8"/>
  <c r="AC36" i="3"/>
  <c r="BE57" i="8"/>
  <c r="AV57" i="8"/>
  <c r="AT25" i="3"/>
  <c r="AQ26" i="8"/>
  <c r="AO9" i="8"/>
  <c r="AY34" i="8"/>
  <c r="E14" i="5"/>
  <c r="E11" i="5"/>
  <c r="AL6" i="8"/>
  <c r="AY6" i="3"/>
  <c r="BL34" i="8"/>
  <c r="AO26" i="8"/>
  <c r="T24" i="3"/>
  <c r="BV25" i="8"/>
  <c r="BC9" i="8"/>
  <c r="BI59" i="8"/>
  <c r="CE33" i="8"/>
  <c r="AK5" i="3"/>
  <c r="BY31" i="8"/>
  <c r="BW15" i="8"/>
  <c r="L14" i="5"/>
  <c r="L11" i="5"/>
  <c r="AS6" i="8"/>
  <c r="AP27" i="8"/>
  <c r="BE14" i="5"/>
  <c r="BE11" i="5"/>
  <c r="BF29" i="3" s="1"/>
  <c r="CL6" i="8"/>
  <c r="Q36" i="3"/>
  <c r="U36" i="3"/>
  <c r="O35" i="3"/>
  <c r="U24" i="3"/>
  <c r="AZ25" i="8"/>
  <c r="BV9" i="8"/>
  <c r="BY24" i="8"/>
  <c r="BC30" i="8"/>
  <c r="CE59" i="8"/>
  <c r="Z4" i="3"/>
  <c r="AM26" i="8"/>
  <c r="BY60" i="8"/>
  <c r="BY58" i="8"/>
  <c r="AW25" i="8"/>
  <c r="AO31" i="8"/>
  <c r="R25" i="3"/>
  <c r="BM60" i="8"/>
  <c r="AW21" i="8"/>
  <c r="AZ57" i="8"/>
  <c r="R24" i="3"/>
  <c r="AP24" i="3"/>
  <c r="BC15" i="8"/>
  <c r="AM27" i="8"/>
  <c r="AO21" i="8"/>
  <c r="AM30" i="8"/>
  <c r="R26" i="3"/>
  <c r="AI28" i="3"/>
  <c r="AM59" i="8"/>
  <c r="I25" i="5"/>
  <c r="AZ27" i="8"/>
  <c r="CA60" i="8"/>
  <c r="AT14" i="5"/>
  <c r="AT11" i="5"/>
  <c r="CA6" i="8"/>
  <c r="AU41" i="5"/>
  <c r="AU37" i="5"/>
  <c r="AV37" i="3"/>
  <c r="AZ32" i="8"/>
  <c r="AY21" i="8"/>
  <c r="AM21" i="8"/>
  <c r="X35" i="3"/>
  <c r="BJ57" i="8"/>
  <c r="AX25" i="8"/>
  <c r="AZ21" i="8"/>
  <c r="AQ24" i="3"/>
  <c r="BA26" i="3"/>
  <c r="AX33" i="8"/>
  <c r="BY32" i="8"/>
  <c r="AX59" i="8"/>
  <c r="AM33" i="8"/>
  <c r="BM32" i="8"/>
  <c r="AZ34" i="8"/>
  <c r="AW24" i="8"/>
  <c r="BM30" i="8"/>
  <c r="CG32" i="8"/>
  <c r="P35" i="3"/>
  <c r="BT60" i="8"/>
  <c r="AZ59" i="8"/>
  <c r="AZ19" i="8"/>
  <c r="CG19" i="8"/>
  <c r="W36" i="3"/>
  <c r="BL60" i="8"/>
  <c r="J36" i="3"/>
  <c r="T27" i="3"/>
  <c r="CA59" i="8"/>
  <c r="BJ21" i="8"/>
  <c r="AW57" i="8"/>
  <c r="BV57" i="8"/>
  <c r="BP9" i="8"/>
  <c r="Y35" i="3"/>
  <c r="BJ34" i="8"/>
  <c r="BT32" i="8"/>
  <c r="AW35" i="3"/>
  <c r="AO25" i="8"/>
  <c r="J24" i="3"/>
  <c r="BJ30" i="8"/>
  <c r="BV21" i="8"/>
  <c r="R36" i="3"/>
  <c r="W24" i="3"/>
  <c r="AK4" i="3"/>
  <c r="BI33" i="8"/>
  <c r="AW15" i="8"/>
  <c r="I24" i="3"/>
  <c r="AY15" i="8"/>
  <c r="BT27" i="8"/>
  <c r="AY4" i="3"/>
  <c r="BL32" i="8"/>
  <c r="BC57" i="8"/>
  <c r="AW30" i="8"/>
  <c r="CG60" i="8"/>
  <c r="AZ30" i="8"/>
  <c r="BI25" i="8"/>
  <c r="AK6" i="3"/>
  <c r="AM9" i="8"/>
  <c r="AQ27" i="8"/>
  <c r="BD32" i="8"/>
  <c r="Q26" i="3"/>
  <c r="CA33" i="8"/>
  <c r="AW27" i="3"/>
  <c r="AW9" i="8"/>
  <c r="AZ9" i="8"/>
  <c r="BV30" i="8"/>
  <c r="Q24" i="3"/>
  <c r="R4" i="3"/>
  <c r="X24" i="3"/>
  <c r="Z5" i="3"/>
  <c r="AO30" i="8"/>
  <c r="AJ35" i="3"/>
  <c r="L25" i="5"/>
  <c r="AS19" i="8"/>
  <c r="BR27" i="8"/>
  <c r="BB14" i="5"/>
  <c r="BB11" i="5"/>
  <c r="CC60" i="8"/>
  <c r="BR33" i="8"/>
  <c r="CL58" i="8"/>
  <c r="AZ24" i="8"/>
  <c r="BV27" i="8"/>
  <c r="BB30" i="8"/>
  <c r="BC21" i="8"/>
  <c r="BP57" i="8"/>
  <c r="AY5" i="3"/>
  <c r="R19" i="3"/>
  <c r="BN15" i="8"/>
  <c r="BB15" i="8"/>
  <c r="O28" i="3"/>
  <c r="BV59" i="8"/>
  <c r="BR59" i="8"/>
  <c r="BB57" i="8"/>
  <c r="R6" i="3"/>
  <c r="BC26" i="8"/>
  <c r="BK21" i="8"/>
  <c r="AO57" i="8"/>
  <c r="AO27" i="8"/>
  <c r="AM57" i="8"/>
  <c r="AS14" i="5"/>
  <c r="AS11" i="5"/>
  <c r="AS12" i="5"/>
  <c r="F34" i="11"/>
  <c r="BY15" i="8"/>
  <c r="AX14" i="5"/>
  <c r="AX11" i="5"/>
  <c r="CE8" i="8"/>
  <c r="BF14" i="5"/>
  <c r="BF11" i="5"/>
  <c r="BG29" i="3" s="1"/>
  <c r="BF12" i="5"/>
  <c r="AN32" i="8"/>
  <c r="G27" i="3"/>
  <c r="E27" i="3"/>
  <c r="BA32" i="8"/>
  <c r="AN60" i="8"/>
  <c r="BA60" i="8"/>
  <c r="H27" i="3"/>
  <c r="AN26" i="8"/>
  <c r="CL33" i="8"/>
  <c r="CL59" i="8"/>
  <c r="CD25" i="8"/>
  <c r="AX58" i="8"/>
  <c r="AK47" i="8"/>
  <c r="D25" i="3"/>
  <c r="E25" i="3"/>
  <c r="AX31" i="8"/>
  <c r="AK24" i="8"/>
  <c r="BJ60" i="8"/>
  <c r="AN25" i="3"/>
  <c r="BT24" i="8"/>
  <c r="CG58" i="8"/>
  <c r="BT58" i="8"/>
  <c r="CG31" i="8"/>
  <c r="BT31" i="8"/>
  <c r="CH57" i="8"/>
  <c r="AU34" i="8"/>
  <c r="BH34" i="8"/>
  <c r="AU21" i="8"/>
  <c r="AA25" i="3"/>
  <c r="BG58" i="8"/>
  <c r="BG31" i="8"/>
  <c r="H19" i="3"/>
  <c r="H4" i="3"/>
  <c r="H6" i="3"/>
  <c r="H5" i="3"/>
  <c r="Q27" i="3"/>
  <c r="P27" i="3"/>
  <c r="AW32" i="8"/>
  <c r="AW26" i="8"/>
  <c r="AW60" i="8"/>
  <c r="AU59" i="8"/>
  <c r="O26" i="3"/>
  <c r="AU25" i="8"/>
  <c r="AU33" i="8"/>
  <c r="BH33" i="8"/>
  <c r="N26" i="3"/>
  <c r="BH59" i="8"/>
  <c r="AV19" i="3"/>
  <c r="AV6" i="3"/>
  <c r="AV4" i="3"/>
  <c r="CH25" i="8"/>
  <c r="AU31" i="8"/>
  <c r="O25" i="3"/>
  <c r="N25" i="3"/>
  <c r="AU24" i="8"/>
  <c r="BH31" i="8"/>
  <c r="BH58" i="8"/>
  <c r="AU58" i="8"/>
  <c r="N19" i="3"/>
  <c r="N5" i="3"/>
  <c r="N6" i="3"/>
  <c r="N4" i="3"/>
  <c r="J28" i="3"/>
  <c r="J35" i="3"/>
  <c r="K35" i="3"/>
  <c r="AB27" i="3"/>
  <c r="BU60" i="8"/>
  <c r="BU32" i="8"/>
  <c r="BH60" i="8"/>
  <c r="F27" i="3"/>
  <c r="R25" i="5"/>
  <c r="U6" i="3"/>
  <c r="U4" i="3"/>
  <c r="U5" i="3"/>
  <c r="U19" i="3"/>
  <c r="AN28" i="3"/>
  <c r="AN35" i="3"/>
  <c r="AO35" i="3"/>
  <c r="S28" i="3"/>
  <c r="R28" i="3"/>
  <c r="T35" i="3"/>
  <c r="BC33" i="8"/>
  <c r="BC59" i="8"/>
  <c r="W26" i="3"/>
  <c r="BP59" i="8"/>
  <c r="BC25" i="8"/>
  <c r="AB19" i="3"/>
  <c r="AB5" i="3"/>
  <c r="AB4" i="3"/>
  <c r="AB6" i="3"/>
  <c r="AZ28" i="3"/>
  <c r="BA35" i="3"/>
  <c r="AY41" i="5"/>
  <c r="AY37" i="5"/>
  <c r="AZ35" i="3"/>
  <c r="AK9" i="8"/>
  <c r="D14" i="5"/>
  <c r="D11" i="5"/>
  <c r="BB27" i="3"/>
  <c r="CH60" i="8"/>
  <c r="CH32" i="8"/>
  <c r="CH24" i="8"/>
  <c r="AV9" i="8"/>
  <c r="O14" i="5"/>
  <c r="O11" i="5"/>
  <c r="BL33" i="8"/>
  <c r="AF26" i="3"/>
  <c r="BL25" i="8"/>
  <c r="BL59" i="8"/>
  <c r="BY59" i="8"/>
  <c r="BY33" i="8"/>
  <c r="BC5" i="3"/>
  <c r="BC19" i="3"/>
  <c r="AZ14" i="5"/>
  <c r="AZ11" i="5"/>
  <c r="CI58" i="8"/>
  <c r="CI31" i="8"/>
  <c r="BV24" i="8"/>
  <c r="BV58" i="8"/>
  <c r="CG21" i="8"/>
  <c r="CG27" i="8"/>
  <c r="CG24" i="8"/>
  <c r="CG25" i="8"/>
  <c r="BL27" i="8"/>
  <c r="BL24" i="8"/>
  <c r="BY57" i="8"/>
  <c r="BY30" i="8"/>
  <c r="BL21" i="8"/>
  <c r="AF24" i="3"/>
  <c r="BL9" i="8"/>
  <c r="BL57" i="8"/>
  <c r="AG24" i="3"/>
  <c r="BL15" i="8"/>
  <c r="AG36" i="3"/>
  <c r="BL26" i="8"/>
  <c r="BL30" i="8"/>
  <c r="BS33" i="8"/>
  <c r="AM26" i="3"/>
  <c r="CF59" i="8"/>
  <c r="BS59" i="8"/>
  <c r="CF33" i="8"/>
  <c r="BA14" i="5"/>
  <c r="BA11" i="5"/>
  <c r="CH30" i="8"/>
  <c r="BB24" i="3"/>
  <c r="CH27" i="8"/>
  <c r="AD25" i="3"/>
  <c r="BJ58" i="8"/>
  <c r="BJ31" i="8"/>
  <c r="BJ24" i="8"/>
  <c r="BW31" i="8"/>
  <c r="BW58" i="8"/>
  <c r="CC34" i="8"/>
  <c r="BP21" i="8"/>
  <c r="BP34" i="8"/>
  <c r="J14" i="5"/>
  <c r="J11" i="5"/>
  <c r="AU14" i="5"/>
  <c r="AU11" i="5"/>
  <c r="K14" i="5"/>
  <c r="K11" i="5"/>
  <c r="AV14" i="5"/>
  <c r="AV11" i="5"/>
  <c r="BQ9" i="8"/>
  <c r="BE9" i="8"/>
  <c r="CB33" i="8"/>
  <c r="CB59" i="8"/>
  <c r="AH24" i="3"/>
  <c r="Y24" i="3"/>
  <c r="BE30" i="8"/>
  <c r="BK24" i="8"/>
  <c r="AZ58" i="8"/>
  <c r="BN9" i="8"/>
  <c r="BE24" i="8"/>
  <c r="BK9" i="8"/>
  <c r="AZ31" i="8"/>
  <c r="BN57" i="8"/>
  <c r="BK30" i="8"/>
  <c r="BE26" i="8"/>
  <c r="AH36" i="3"/>
  <c r="BX34" i="8"/>
  <c r="BR30" i="8"/>
  <c r="BC24" i="8"/>
  <c r="BN24" i="8"/>
  <c r="Z36" i="3"/>
  <c r="AF36" i="3"/>
  <c r="BC58" i="8"/>
  <c r="BD57" i="8"/>
  <c r="AM28" i="3"/>
  <c r="BR57" i="8"/>
  <c r="BC31" i="8"/>
  <c r="BN27" i="8"/>
  <c r="BP58" i="8"/>
  <c r="AE24" i="3"/>
  <c r="W25" i="3"/>
  <c r="CB30" i="8"/>
  <c r="Z24" i="3"/>
  <c r="BK57" i="8"/>
  <c r="BE25" i="8"/>
  <c r="BK25" i="8"/>
  <c r="CM59" i="8"/>
  <c r="Y36" i="3"/>
  <c r="BX57" i="8"/>
  <c r="CM31" i="8"/>
  <c r="CM58" i="8"/>
  <c r="CM33" i="8"/>
  <c r="CM34" i="8"/>
  <c r="BZ34" i="8"/>
  <c r="F20" i="11"/>
  <c r="BV27" i="1"/>
  <c r="AT13" i="3"/>
  <c r="AT12" i="3"/>
  <c r="BZ47" i="8"/>
  <c r="AW9" i="3"/>
  <c r="E37" i="3"/>
  <c r="AX36" i="8"/>
  <c r="D30" i="3"/>
  <c r="N30" i="3"/>
  <c r="O30" i="3"/>
  <c r="AU36" i="8"/>
  <c r="O37" i="3"/>
  <c r="BC30" i="3"/>
  <c r="AV9" i="3"/>
  <c r="F16" i="11"/>
  <c r="CB56" i="8"/>
  <c r="BV19" i="2"/>
  <c r="F45" i="11"/>
  <c r="F18" i="11"/>
  <c r="CA29" i="2"/>
  <c r="CA33" i="2"/>
  <c r="CA35" i="2"/>
  <c r="CA37" i="2"/>
  <c r="AY10" i="3"/>
  <c r="AU37" i="3"/>
  <c r="L37" i="3"/>
  <c r="AR36" i="8"/>
  <c r="Q39" i="3"/>
  <c r="K30" i="3"/>
  <c r="L30" i="3"/>
  <c r="BA37" i="3"/>
  <c r="AP36" i="8"/>
  <c r="J30" i="3"/>
  <c r="M30" i="3"/>
  <c r="J39" i="3"/>
  <c r="AW36" i="8"/>
  <c r="S30" i="3"/>
  <c r="AY36" i="8"/>
  <c r="N37" i="3"/>
  <c r="AT36" i="8"/>
  <c r="K37" i="3"/>
  <c r="R37" i="3"/>
  <c r="H37" i="3"/>
  <c r="R39" i="3"/>
  <c r="F30" i="3"/>
  <c r="AO36" i="8"/>
  <c r="Q30" i="3"/>
  <c r="H39" i="3"/>
  <c r="E30" i="3"/>
  <c r="S39" i="3"/>
  <c r="P30" i="3"/>
  <c r="P37" i="3"/>
  <c r="N39" i="3"/>
  <c r="AV36" i="8"/>
  <c r="AV37" i="5"/>
  <c r="AW39" i="3"/>
  <c r="AS36" i="8"/>
  <c r="K39" i="3"/>
  <c r="AQ36" i="8"/>
  <c r="P39" i="3"/>
  <c r="R30" i="3"/>
  <c r="M39" i="3"/>
  <c r="G30" i="3"/>
  <c r="I39" i="3"/>
  <c r="I30" i="3"/>
  <c r="BA30" i="3"/>
  <c r="BC37" i="3"/>
  <c r="H30" i="3"/>
  <c r="M37" i="3"/>
  <c r="CD15" i="8"/>
  <c r="CA26" i="8"/>
  <c r="AV36" i="3"/>
  <c r="CA9" i="8"/>
  <c r="CA24" i="8"/>
  <c r="CA25" i="8"/>
  <c r="AV24" i="3"/>
  <c r="CA15" i="8"/>
  <c r="CA57" i="8"/>
  <c r="CL21" i="8"/>
  <c r="CA27" i="8"/>
  <c r="CA21" i="8"/>
  <c r="CL30" i="8"/>
  <c r="CH9" i="8"/>
  <c r="CC9" i="8"/>
  <c r="AW36" i="3"/>
  <c r="CC30" i="8"/>
  <c r="AX24" i="3"/>
  <c r="CC15" i="8"/>
  <c r="CC25" i="8"/>
  <c r="AW24" i="3"/>
  <c r="CB25" i="8"/>
  <c r="CB57" i="8"/>
  <c r="AZ11" i="3"/>
  <c r="CB24" i="8"/>
  <c r="CD30" i="8"/>
  <c r="CF14" i="8"/>
  <c r="AZ20" i="3"/>
  <c r="BE51" i="1"/>
  <c r="CD21" i="8"/>
  <c r="AZ21" i="3"/>
  <c r="AX11" i="3"/>
  <c r="G51" i="1"/>
  <c r="CH14" i="8"/>
  <c r="BB16" i="3"/>
  <c r="CB27" i="8"/>
  <c r="CD24" i="8"/>
  <c r="AX36" i="3"/>
  <c r="AZ23" i="3"/>
  <c r="AZ4" i="3"/>
  <c r="BH51" i="1"/>
  <c r="CH55" i="8"/>
  <c r="BB21" i="3"/>
  <c r="CD57" i="8"/>
  <c r="BB6" i="3"/>
  <c r="AZ16" i="3"/>
  <c r="BB14" i="3"/>
  <c r="CH56" i="8"/>
  <c r="CH26" i="8"/>
  <c r="CC21" i="8"/>
  <c r="CH21" i="8"/>
  <c r="CC57" i="8"/>
  <c r="AY4" i="5"/>
  <c r="CF25" i="8"/>
  <c r="AZ17" i="3"/>
  <c r="CL57" i="8"/>
  <c r="AR51" i="1"/>
  <c r="CC24" i="8"/>
  <c r="BB36" i="3"/>
  <c r="CB51" i="1"/>
  <c r="AZ6" i="3"/>
  <c r="BB11" i="3"/>
  <c r="CD10" i="8"/>
  <c r="CD9" i="8"/>
  <c r="AZ14" i="3"/>
  <c r="CL9" i="8"/>
  <c r="CC27" i="8"/>
  <c r="CL27" i="8"/>
  <c r="CC26" i="8"/>
  <c r="CL25" i="8"/>
  <c r="CL15" i="8"/>
  <c r="CL24" i="8"/>
  <c r="AZ15" i="3"/>
  <c r="BB15" i="3"/>
  <c r="O51" i="1"/>
  <c r="CE55" i="8"/>
  <c r="N51" i="1"/>
  <c r="AA51" i="1"/>
  <c r="CE56" i="8"/>
  <c r="AT51" i="1"/>
  <c r="AY11" i="3"/>
  <c r="CL14" i="8"/>
  <c r="CL55" i="8"/>
  <c r="AY21" i="3"/>
  <c r="CE14" i="8"/>
  <c r="R51" i="1"/>
  <c r="M51" i="1"/>
  <c r="AX4" i="5"/>
  <c r="CE7" i="8"/>
  <c r="AY16" i="3"/>
  <c r="CE51" i="1"/>
  <c r="CG51" i="1"/>
  <c r="D51" i="1"/>
  <c r="CK56" i="8"/>
  <c r="CK55" i="8"/>
  <c r="BD4" i="5"/>
  <c r="BE24" i="3" s="1"/>
  <c r="CK7" i="8"/>
  <c r="BF34" i="5"/>
  <c r="CH27" i="1"/>
  <c r="P51" i="1"/>
  <c r="CL56" i="8"/>
  <c r="CK14" i="8"/>
  <c r="CF51" i="1"/>
  <c r="AV51" i="1"/>
  <c r="BB30" i="3"/>
  <c r="BB39" i="3"/>
  <c r="Z51" i="1"/>
  <c r="AS51" i="1"/>
  <c r="AP51" i="1"/>
  <c r="AO51" i="1"/>
  <c r="AK51" i="1"/>
  <c r="AL51" i="1"/>
  <c r="AJ51" i="1"/>
  <c r="AB51" i="1"/>
  <c r="CH20" i="8"/>
  <c r="AD51" i="1"/>
  <c r="AF51" i="1"/>
  <c r="AH51" i="1"/>
  <c r="BI51" i="1"/>
  <c r="AE51" i="1"/>
  <c r="Y51" i="1"/>
  <c r="AI51" i="1"/>
  <c r="W51" i="1"/>
  <c r="AC51" i="1"/>
  <c r="X51" i="1"/>
  <c r="V51" i="1"/>
  <c r="AU30" i="3"/>
  <c r="AU39" i="3"/>
  <c r="S51" i="1"/>
  <c r="U51" i="1"/>
  <c r="K51" i="1"/>
  <c r="J51" i="1"/>
  <c r="CJ26" i="8"/>
  <c r="CJ57" i="8"/>
  <c r="AX30" i="3"/>
  <c r="AM7" i="8"/>
  <c r="CJ8" i="8"/>
  <c r="I51" i="1"/>
  <c r="H51" i="1"/>
  <c r="F51" i="1"/>
  <c r="CJ27" i="8"/>
  <c r="CJ24" i="8"/>
  <c r="BA11" i="3"/>
  <c r="BC9" i="3"/>
  <c r="BC20" i="3"/>
  <c r="BC23" i="3"/>
  <c r="BB4" i="5"/>
  <c r="CI7" i="8"/>
  <c r="E7" i="13"/>
  <c r="CI14" i="8"/>
  <c r="BC21" i="3"/>
  <c r="BC22" i="3"/>
  <c r="CI55" i="8"/>
  <c r="CI56" i="8"/>
  <c r="BC14" i="3"/>
  <c r="CD51" i="1"/>
  <c r="BC6" i="3"/>
  <c r="BC16" i="3"/>
  <c r="BC17" i="3"/>
  <c r="BC4" i="3"/>
  <c r="BC11" i="3"/>
  <c r="CJ30" i="8"/>
  <c r="CJ21" i="8"/>
  <c r="CJ25" i="8"/>
  <c r="CJ9" i="8"/>
  <c r="CJ56" i="8"/>
  <c r="B51" i="1"/>
  <c r="AX37" i="3"/>
  <c r="CK8" i="8"/>
  <c r="AM8" i="8"/>
  <c r="AX29" i="3"/>
  <c r="AY6" i="8"/>
  <c r="AY8" i="8"/>
  <c r="CD8" i="8"/>
  <c r="CD20" i="8"/>
  <c r="CD6" i="8"/>
  <c r="AT39" i="3"/>
  <c r="CM36" i="8"/>
  <c r="AT30" i="3"/>
  <c r="AU20" i="8"/>
  <c r="AT37" i="3"/>
  <c r="AU19" i="8"/>
  <c r="AL35" i="8"/>
  <c r="AT29" i="3"/>
  <c r="BE12" i="5"/>
  <c r="CL10" i="8"/>
  <c r="CG20" i="8"/>
  <c r="AL7" i="8"/>
  <c r="R29" i="3"/>
  <c r="F33" i="11"/>
  <c r="F6" i="11"/>
  <c r="BZ6" i="8"/>
  <c r="N12" i="5"/>
  <c r="AU10" i="8"/>
  <c r="AY7" i="8"/>
  <c r="CA20" i="8"/>
  <c r="CJ7" i="8"/>
  <c r="CF8" i="8"/>
  <c r="BZ20" i="8"/>
  <c r="F12" i="5"/>
  <c r="AM10" i="8"/>
  <c r="AX6" i="8"/>
  <c r="CK20" i="8"/>
  <c r="R12" i="5"/>
  <c r="AY10" i="8"/>
  <c r="AX20" i="8"/>
  <c r="AM35" i="8"/>
  <c r="S29" i="3"/>
  <c r="AY29" i="3"/>
  <c r="BC12" i="5"/>
  <c r="CJ10" i="8"/>
  <c r="AU8" i="8"/>
  <c r="AU35" i="8"/>
  <c r="CL7" i="8"/>
  <c r="CD7" i="8"/>
  <c r="CM20" i="8"/>
  <c r="AP35" i="8"/>
  <c r="I12" i="5"/>
  <c r="AP10" i="8"/>
  <c r="AM20" i="8"/>
  <c r="AU6" i="8"/>
  <c r="BZ8" i="8"/>
  <c r="AX7" i="8"/>
  <c r="CE20" i="8"/>
  <c r="CM19" i="8"/>
  <c r="AT8" i="8"/>
  <c r="M29" i="3"/>
  <c r="AT6" i="8"/>
  <c r="M12" i="5"/>
  <c r="AT10" i="8"/>
  <c r="N29" i="3"/>
  <c r="AT7" i="8"/>
  <c r="AT35" i="8"/>
  <c r="AT20" i="8"/>
  <c r="CI6" i="8"/>
  <c r="E6" i="13"/>
  <c r="AY35" i="8"/>
  <c r="CA8" i="8"/>
  <c r="AY12" i="5"/>
  <c r="CI8" i="8"/>
  <c r="CM35" i="8"/>
  <c r="BC29" i="3"/>
  <c r="G12" i="5"/>
  <c r="AN10" i="8"/>
  <c r="CL8" i="8"/>
  <c r="AN6" i="8"/>
  <c r="AS35" i="8"/>
  <c r="AY30" i="3"/>
  <c r="AY37" i="3"/>
  <c r="AY39" i="3"/>
  <c r="AN7" i="8"/>
  <c r="Q12" i="5"/>
  <c r="AX10" i="8"/>
  <c r="BD12" i="5"/>
  <c r="E12" i="5"/>
  <c r="AL10" i="8"/>
  <c r="AW35" i="8"/>
  <c r="CK6" i="8"/>
  <c r="H12" i="5"/>
  <c r="AO10" i="8"/>
  <c r="F29" i="3"/>
  <c r="H29" i="3"/>
  <c r="AO35" i="8"/>
  <c r="AO8" i="8"/>
  <c r="AO7" i="8"/>
  <c r="CM8" i="8"/>
  <c r="AS20" i="8"/>
  <c r="AS7" i="8"/>
  <c r="AT12" i="5"/>
  <c r="CA10" i="8"/>
  <c r="AP6" i="8"/>
  <c r="AP8" i="8"/>
  <c r="AP7" i="8"/>
  <c r="L12" i="5"/>
  <c r="AS10" i="8"/>
  <c r="AU29" i="3"/>
  <c r="AL8" i="8"/>
  <c r="CF20" i="8"/>
  <c r="AL20" i="8"/>
  <c r="CF6" i="8"/>
  <c r="D6" i="13"/>
  <c r="CM6" i="8"/>
  <c r="AN35" i="8"/>
  <c r="AN20" i="8"/>
  <c r="I29" i="3"/>
  <c r="AS8" i="8"/>
  <c r="CA7" i="8"/>
  <c r="L29" i="3"/>
  <c r="AP19" i="8"/>
  <c r="AP20" i="8"/>
  <c r="G29" i="3"/>
  <c r="AX12" i="5"/>
  <c r="CI20" i="8"/>
  <c r="CE6" i="8"/>
  <c r="BB12" i="5"/>
  <c r="AO6" i="8"/>
  <c r="AV30" i="3"/>
  <c r="AV39" i="3"/>
  <c r="AO20" i="8"/>
  <c r="AW8" i="8"/>
  <c r="AW7" i="8"/>
  <c r="P12" i="5"/>
  <c r="AW10" i="8"/>
  <c r="AW6" i="8"/>
  <c r="AW20" i="8"/>
  <c r="Q29" i="3"/>
  <c r="AV7" i="8"/>
  <c r="AV8" i="8"/>
  <c r="O12" i="5"/>
  <c r="AV10" i="8"/>
  <c r="O29" i="3"/>
  <c r="AV20" i="8"/>
  <c r="P29" i="3"/>
  <c r="AV6" i="8"/>
  <c r="AV35" i="8"/>
  <c r="AR6" i="8"/>
  <c r="K12" i="5"/>
  <c r="AR10" i="8"/>
  <c r="AR8" i="8"/>
  <c r="AR7" i="8"/>
  <c r="AR20" i="8"/>
  <c r="K29" i="3"/>
  <c r="AR35" i="8"/>
  <c r="AZ39" i="3"/>
  <c r="AZ30" i="3"/>
  <c r="AZ37" i="3"/>
  <c r="CC8" i="8"/>
  <c r="CC7" i="8"/>
  <c r="C7" i="13"/>
  <c r="CC6" i="8"/>
  <c r="C6" i="13"/>
  <c r="AV12" i="5"/>
  <c r="CC10" i="8"/>
  <c r="C8" i="13"/>
  <c r="AW29" i="3"/>
  <c r="CC20" i="8"/>
  <c r="AZ12" i="5"/>
  <c r="CG10" i="8"/>
  <c r="CG6" i="8"/>
  <c r="CG8" i="8"/>
  <c r="BA29" i="3"/>
  <c r="CG7" i="8"/>
  <c r="CB8" i="8"/>
  <c r="CB6" i="8"/>
  <c r="AU12" i="5"/>
  <c r="CB10" i="8"/>
  <c r="AV29" i="3"/>
  <c r="CB7" i="8"/>
  <c r="CB20" i="8"/>
  <c r="AQ7" i="8"/>
  <c r="AQ8" i="8"/>
  <c r="AQ35" i="8"/>
  <c r="J12" i="5"/>
  <c r="AQ10" i="8"/>
  <c r="AQ20" i="8"/>
  <c r="J29" i="3"/>
  <c r="AQ6" i="8"/>
  <c r="CJ20" i="8"/>
  <c r="CJ19" i="8"/>
  <c r="AY19" i="8"/>
  <c r="AY20" i="8"/>
  <c r="CH8" i="8"/>
  <c r="CH6" i="8"/>
  <c r="BB29" i="3"/>
  <c r="BA12" i="5"/>
  <c r="CH10" i="8"/>
  <c r="CH7" i="8"/>
  <c r="AK7" i="8"/>
  <c r="E29" i="3"/>
  <c r="D29" i="3"/>
  <c r="D12" i="5"/>
  <c r="AK10" i="8"/>
  <c r="AK8" i="8"/>
  <c r="AX35" i="8"/>
  <c r="AK20" i="8"/>
  <c r="AK6" i="8"/>
  <c r="AZ35" i="8"/>
  <c r="AZ8" i="8"/>
  <c r="AZ10" i="8"/>
  <c r="AZ6" i="8"/>
  <c r="AZ7" i="8"/>
  <c r="T29" i="3"/>
  <c r="AZ20" i="8"/>
  <c r="AT22" i="3"/>
  <c r="AT21" i="3"/>
  <c r="AS4" i="5"/>
  <c r="AT4" i="3"/>
  <c r="F29" i="11"/>
  <c r="AT17" i="3"/>
  <c r="BV51" i="1"/>
  <c r="AT23" i="3"/>
  <c r="AT15" i="3"/>
  <c r="AR11" i="3"/>
  <c r="AT20" i="3"/>
  <c r="AT16" i="3"/>
  <c r="AT14" i="3"/>
  <c r="CA56" i="8"/>
  <c r="AT11" i="3"/>
  <c r="AU9" i="3"/>
  <c r="BZ55" i="8"/>
  <c r="AT6" i="3"/>
  <c r="BZ14" i="8"/>
  <c r="BV29" i="2"/>
  <c r="BV33" i="2"/>
  <c r="BV35" i="2"/>
  <c r="BV37" i="2"/>
  <c r="F50" i="11"/>
  <c r="AT10" i="3"/>
  <c r="AY9" i="3"/>
  <c r="AW37" i="3"/>
  <c r="AW30" i="3"/>
  <c r="BA36" i="3"/>
  <c r="CF15" i="8"/>
  <c r="CF21" i="8"/>
  <c r="CF26" i="8"/>
  <c r="CF10" i="8"/>
  <c r="D8" i="13"/>
  <c r="CF30" i="8"/>
  <c r="CF27" i="8"/>
  <c r="CF7" i="8"/>
  <c r="D7" i="13"/>
  <c r="CF57" i="8"/>
  <c r="CF24" i="8"/>
  <c r="BA24" i="3"/>
  <c r="CF9" i="8"/>
  <c r="AZ24" i="3"/>
  <c r="AZ36" i="3"/>
  <c r="CE10" i="8"/>
  <c r="CE25" i="8"/>
  <c r="AY24" i="3"/>
  <c r="CE21" i="8"/>
  <c r="CE15" i="8"/>
  <c r="CE30" i="8"/>
  <c r="CE57" i="8"/>
  <c r="CE9" i="8"/>
  <c r="CE26" i="8"/>
  <c r="AY36" i="3"/>
  <c r="CE27" i="8"/>
  <c r="CE24" i="8"/>
  <c r="CK10" i="8"/>
  <c r="CM14" i="8"/>
  <c r="CM56" i="8"/>
  <c r="CM55" i="8"/>
  <c r="CH51" i="1"/>
  <c r="BF4" i="5"/>
  <c r="BG24" i="3" s="1"/>
  <c r="CM57" i="8"/>
  <c r="CK30" i="8"/>
  <c r="CK57" i="8"/>
  <c r="CK27" i="8"/>
  <c r="CK15" i="8"/>
  <c r="CK9" i="8"/>
  <c r="CK25" i="8"/>
  <c r="CK26" i="8"/>
  <c r="CK21" i="8"/>
  <c r="CK24" i="8"/>
  <c r="F13" i="11"/>
  <c r="CI10" i="8"/>
  <c r="E8" i="13"/>
  <c r="CI57" i="8"/>
  <c r="CI24" i="8"/>
  <c r="BC36" i="3"/>
  <c r="CI30" i="8"/>
  <c r="CI26" i="8"/>
  <c r="CI27" i="8"/>
  <c r="BC24" i="3"/>
  <c r="CI9" i="8"/>
  <c r="CI15" i="8"/>
  <c r="CI25" i="8"/>
  <c r="CI21" i="8"/>
  <c r="BZ7" i="8"/>
  <c r="BZ15" i="8"/>
  <c r="AT36" i="3"/>
  <c r="BZ30" i="8"/>
  <c r="BZ27" i="8"/>
  <c r="BZ26" i="8"/>
  <c r="BZ21" i="8"/>
  <c r="BZ57" i="8"/>
  <c r="CI63" i="8"/>
  <c r="AU24" i="3"/>
  <c r="AT24" i="3"/>
  <c r="BZ10" i="8"/>
  <c r="BZ9" i="8"/>
  <c r="AU36" i="3"/>
  <c r="BZ24" i="8"/>
  <c r="BZ25" i="8"/>
  <c r="F30" i="11"/>
  <c r="F7" i="11"/>
  <c r="F8" i="11"/>
  <c r="F11" i="11"/>
  <c r="F26" i="11"/>
  <c r="F21" i="11"/>
  <c r="F24" i="11"/>
  <c r="F22" i="11"/>
  <c r="BZ56" i="8"/>
  <c r="AT9" i="3"/>
  <c r="F17" i="11"/>
  <c r="CM30" i="8"/>
  <c r="CM25" i="8"/>
  <c r="CM15" i="8"/>
  <c r="CM21" i="8"/>
  <c r="CM24" i="8"/>
  <c r="CM26" i="8"/>
  <c r="CM7" i="8"/>
  <c r="CM9" i="8"/>
  <c r="CM10" i="8"/>
  <c r="CM27" i="8"/>
  <c r="CM3" i="2"/>
  <c r="CM19" i="2"/>
  <c r="CM29" i="2"/>
  <c r="CM33" i="2"/>
  <c r="CM35" i="2"/>
  <c r="CM37" i="2"/>
  <c r="CL3" i="2"/>
  <c r="CL19" i="2"/>
  <c r="CL29" i="2"/>
  <c r="CL33" i="2"/>
  <c r="CL35" i="2"/>
  <c r="CL37" i="2"/>
  <c r="CL27" i="1"/>
  <c r="CL49" i="1"/>
  <c r="CM51" i="1"/>
  <c r="CL51" i="1"/>
  <c r="CC12" i="5" l="1"/>
  <c r="CD29" i="3"/>
  <c r="CD30" i="3"/>
  <c r="CD37" i="3"/>
  <c r="CD39" i="3"/>
  <c r="DI19" i="8"/>
  <c r="DI20" i="8"/>
  <c r="CB12" i="5"/>
  <c r="CC29" i="3"/>
  <c r="CC30" i="3"/>
  <c r="CC37" i="3"/>
  <c r="CC39" i="3"/>
  <c r="DH19" i="8"/>
  <c r="DH20" i="8"/>
  <c r="CA12" i="5"/>
  <c r="CB29" i="3"/>
  <c r="CB30" i="3"/>
  <c r="CB37" i="3"/>
  <c r="CB39" i="3"/>
  <c r="DG6" i="8"/>
  <c r="DG7" i="8"/>
  <c r="DG8" i="8"/>
  <c r="DG35" i="8"/>
  <c r="DG19" i="8"/>
  <c r="DG20" i="8"/>
  <c r="BZ12" i="5"/>
  <c r="DG10" i="8" s="1"/>
  <c r="CA29" i="3"/>
  <c r="CA30" i="3"/>
  <c r="CA37" i="3"/>
  <c r="CA39" i="3"/>
  <c r="DF19" i="8"/>
  <c r="DF20" i="8"/>
  <c r="BE26" i="5"/>
  <c r="BE27" i="5"/>
  <c r="BS30" i="5"/>
  <c r="BU38" i="3"/>
  <c r="BH27" i="3"/>
  <c r="DA32" i="8"/>
  <c r="BH26" i="3"/>
  <c r="DA33" i="8"/>
  <c r="BL27" i="3"/>
  <c r="DE32" i="8"/>
  <c r="BK27" i="3"/>
  <c r="DD32" i="8"/>
  <c r="BJ27" i="3"/>
  <c r="DC32" i="8"/>
  <c r="BI27" i="3"/>
  <c r="DB32" i="8"/>
  <c r="BL26" i="3"/>
  <c r="DE33" i="8"/>
  <c r="BK26" i="3"/>
  <c r="DD33" i="8"/>
  <c r="BJ26" i="3"/>
  <c r="DC33" i="8"/>
  <c r="BI26" i="3"/>
  <c r="DB33" i="8"/>
  <c r="BT28" i="3"/>
  <c r="BU35" i="3"/>
  <c r="BR26" i="5"/>
  <c r="BR27" i="5"/>
  <c r="BV9" i="3"/>
  <c r="BT4" i="5"/>
  <c r="BU11" i="3"/>
  <c r="BU14" i="3"/>
  <c r="BU20" i="3"/>
  <c r="BU22" i="3"/>
  <c r="BU23" i="3"/>
  <c r="BU21" i="3"/>
  <c r="DA14" i="8"/>
  <c r="BU15" i="3"/>
  <c r="BU16" i="3"/>
  <c r="BU17" i="3"/>
  <c r="DB6" i="8"/>
  <c r="DB8" i="8"/>
  <c r="DC6" i="8"/>
  <c r="DC8" i="8"/>
  <c r="DD6" i="8"/>
  <c r="DD8" i="8"/>
  <c r="DB19" i="8"/>
  <c r="DB20" i="8"/>
  <c r="DC19" i="8"/>
  <c r="DC20" i="8"/>
  <c r="BX12" i="5"/>
  <c r="BY29" i="3"/>
  <c r="DE6" i="8"/>
  <c r="DE8" i="8"/>
  <c r="BY30" i="3"/>
  <c r="BY37" i="3"/>
  <c r="BY39" i="3"/>
  <c r="BY25" i="3"/>
  <c r="DE34" i="8"/>
  <c r="CZ51" i="1"/>
  <c r="BY4" i="3"/>
  <c r="BY6" i="3"/>
  <c r="BY11" i="3"/>
  <c r="BY14" i="3"/>
  <c r="BY20" i="3"/>
  <c r="BY22" i="3"/>
  <c r="BY23" i="3"/>
  <c r="BX4" i="5"/>
  <c r="BV25" i="3"/>
  <c r="BW25" i="3"/>
  <c r="BX25" i="3"/>
  <c r="DB34" i="8"/>
  <c r="DC34" i="8"/>
  <c r="DD34" i="8"/>
  <c r="CW51" i="1"/>
  <c r="BU4" i="5"/>
  <c r="BV4" i="3"/>
  <c r="BV6" i="3"/>
  <c r="BW9" i="3"/>
  <c r="BV11" i="3"/>
  <c r="BV14" i="3"/>
  <c r="BV20" i="3"/>
  <c r="BV22" i="3"/>
  <c r="BV23" i="3"/>
  <c r="CX51" i="1"/>
  <c r="BV4" i="5"/>
  <c r="BW4" i="3"/>
  <c r="BW6" i="3"/>
  <c r="BX9" i="3"/>
  <c r="BW11" i="3"/>
  <c r="BW14" i="3"/>
  <c r="BW20" i="3"/>
  <c r="BW22" i="3"/>
  <c r="BW23" i="3"/>
  <c r="CY51" i="1"/>
  <c r="BY9" i="3"/>
  <c r="BW4" i="5"/>
  <c r="BX4" i="3"/>
  <c r="BX6" i="3"/>
  <c r="BX11" i="3"/>
  <c r="BX14" i="3"/>
  <c r="BX20" i="3"/>
  <c r="BX22" i="3"/>
  <c r="BX23" i="3"/>
  <c r="BU4" i="3"/>
  <c r="BU5" i="3"/>
  <c r="BU6" i="3"/>
  <c r="BU19" i="3"/>
  <c r="DA21" i="8"/>
  <c r="DA34" i="8"/>
  <c r="DA24" i="8"/>
  <c r="BU25" i="3"/>
  <c r="DE19" i="8"/>
  <c r="DE20" i="8"/>
  <c r="DD19" i="8"/>
  <c r="DD20" i="8"/>
  <c r="BU12" i="5"/>
  <c r="DB10" i="8" s="1"/>
  <c r="BV29" i="3"/>
  <c r="BV12" i="5"/>
  <c r="DC10" i="8" s="1"/>
  <c r="BW29" i="3"/>
  <c r="BW12" i="5"/>
  <c r="DD10" i="8" s="1"/>
  <c r="BX29" i="3"/>
  <c r="BV30" i="3"/>
  <c r="BV37" i="3"/>
  <c r="BV39" i="3"/>
  <c r="BW30" i="3"/>
  <c r="BW37" i="3"/>
  <c r="BW39" i="3"/>
  <c r="BX30" i="3"/>
  <c r="BX37" i="3"/>
  <c r="BX39" i="3"/>
  <c r="BT12" i="5"/>
  <c r="DA10" i="8" s="1"/>
  <c r="DA6" i="8"/>
  <c r="DA7" i="8"/>
  <c r="DA8" i="8"/>
  <c r="BU29" i="3"/>
  <c r="DA19" i="8"/>
  <c r="DA20" i="8"/>
  <c r="BU30" i="3"/>
  <c r="BU37" i="3"/>
  <c r="BU39" i="3"/>
  <c r="BK4" i="3"/>
  <c r="BK6" i="3"/>
  <c r="BK14" i="3"/>
  <c r="BK20" i="3"/>
  <c r="BK22" i="3"/>
  <c r="BK23" i="3"/>
  <c r="BL9" i="3"/>
  <c r="BG14" i="3"/>
  <c r="BG20" i="3"/>
  <c r="BG22" i="3"/>
  <c r="BG23" i="3"/>
  <c r="BD24" i="3"/>
  <c r="BG16" i="3"/>
  <c r="BG17" i="3"/>
  <c r="BI4" i="3"/>
  <c r="BI6" i="3"/>
  <c r="BI14" i="3"/>
  <c r="BI20" i="3"/>
  <c r="BI22" i="3"/>
  <c r="BI23" i="3"/>
  <c r="BE4" i="3"/>
  <c r="BE6" i="3"/>
  <c r="BE14" i="3"/>
  <c r="BE20" i="3"/>
  <c r="BE22" i="3"/>
  <c r="BE23" i="3"/>
  <c r="BF24" i="3"/>
  <c r="BF4" i="3"/>
  <c r="BF6" i="3"/>
  <c r="BF14" i="3"/>
  <c r="BF20" i="3"/>
  <c r="BF22" i="3"/>
  <c r="BF23" i="3"/>
  <c r="BD4" i="3"/>
  <c r="BD6" i="3"/>
  <c r="BD14" i="3"/>
  <c r="BD20" i="3"/>
  <c r="BD22" i="3"/>
  <c r="BD23" i="3"/>
  <c r="BG30" i="3"/>
  <c r="BG39" i="3"/>
  <c r="BG9" i="3"/>
  <c r="BD30" i="3"/>
  <c r="BD39" i="3"/>
  <c r="BF30" i="3"/>
  <c r="BF39" i="3"/>
  <c r="BE30" i="3"/>
  <c r="BE39" i="3"/>
  <c r="BE9" i="3"/>
  <c r="BG36" i="3"/>
  <c r="BG37" i="3"/>
  <c r="BD9" i="3"/>
  <c r="BF9" i="3"/>
  <c r="BG21" i="3"/>
  <c r="BF5" i="3"/>
  <c r="BF18" i="3"/>
  <c r="BF21" i="3"/>
  <c r="BE5" i="3"/>
  <c r="BE18" i="3"/>
  <c r="BE21" i="3"/>
  <c r="BD5" i="3"/>
  <c r="BD18" i="3"/>
  <c r="BD21" i="3"/>
  <c r="BF16" i="3"/>
  <c r="BF17" i="3"/>
  <c r="BE16" i="3"/>
  <c r="BE17" i="3"/>
  <c r="BD16" i="3"/>
  <c r="BD17" i="3"/>
  <c r="BF12" i="3"/>
  <c r="BF13" i="3"/>
  <c r="BF15" i="3"/>
  <c r="BE12" i="3"/>
  <c r="BE13" i="3"/>
  <c r="BE15" i="3"/>
  <c r="BD12" i="3"/>
  <c r="BD13" i="3"/>
  <c r="BD15" i="3"/>
  <c r="BF36" i="3"/>
  <c r="BF37" i="3"/>
  <c r="BF10" i="3"/>
  <c r="BF11" i="3"/>
  <c r="BE36" i="3"/>
  <c r="BE37" i="3"/>
  <c r="BE10" i="3"/>
  <c r="BE11" i="3"/>
  <c r="BD36" i="3"/>
  <c r="BD37" i="3"/>
  <c r="BD10" i="3"/>
  <c r="BD11" i="3"/>
  <c r="BG10" i="3"/>
  <c r="BG11" i="3"/>
  <c r="BG12" i="3"/>
  <c r="BG13" i="3"/>
  <c r="BG15" i="3"/>
  <c r="BG35" i="3"/>
  <c r="BD35" i="3"/>
  <c r="BG38" i="3"/>
  <c r="BF38" i="3"/>
  <c r="BE38" i="3"/>
  <c r="BD38" i="3"/>
  <c r="BI5" i="5"/>
  <c r="BJ5" i="3"/>
  <c r="BJ18" i="3"/>
  <c r="BH5" i="5"/>
  <c r="BI5" i="3"/>
  <c r="BI18" i="3"/>
  <c r="BI21" i="3"/>
  <c r="BG5" i="5"/>
  <c r="BH5" i="3"/>
  <c r="BH18" i="3"/>
  <c r="BH34" i="5"/>
  <c r="BI16" i="3"/>
  <c r="BI17" i="3"/>
  <c r="BJ12" i="3"/>
  <c r="BJ13" i="3"/>
  <c r="BI12" i="3"/>
  <c r="BI13" i="3"/>
  <c r="BI15" i="3"/>
  <c r="BH12" i="3"/>
  <c r="BH13" i="3"/>
  <c r="BJ10" i="3"/>
  <c r="BI47" i="5"/>
  <c r="BI10" i="3"/>
  <c r="BI11" i="3"/>
  <c r="BH47" i="5"/>
  <c r="BG47" i="5"/>
  <c r="CI3" i="2"/>
  <c r="CI19" i="2" s="1"/>
  <c r="BH10" i="3" s="1"/>
  <c r="BG39" i="5"/>
  <c r="BG18" i="3"/>
  <c r="BG19" i="3"/>
  <c r="BG4" i="3"/>
  <c r="BG5" i="3"/>
  <c r="BG6" i="3"/>
  <c r="AV39" i="2"/>
  <c r="S47" i="5"/>
  <c r="BT39" i="2"/>
  <c r="AQ47" i="5"/>
  <c r="AR36" i="3" s="1"/>
  <c r="BS39" i="2"/>
  <c r="AP47" i="5"/>
  <c r="AQ36" i="3" s="1"/>
  <c r="BR39" i="2"/>
  <c r="AO47" i="5"/>
  <c r="AP36" i="3" s="1"/>
  <c r="BP39" i="2"/>
  <c r="AM47" i="5"/>
  <c r="AN36" i="3" s="1"/>
  <c r="BO3" i="2"/>
  <c r="AL39" i="5"/>
  <c r="BM3" i="2"/>
  <c r="AJ39" i="5"/>
  <c r="BL3" i="2"/>
  <c r="BL19" i="2" s="1"/>
  <c r="BL29" i="2" s="1"/>
  <c r="BL33" i="2" s="1"/>
  <c r="BL35" i="2" s="1"/>
  <c r="BL37" i="2" s="1"/>
  <c r="AI39" i="5"/>
  <c r="BU3" i="2"/>
  <c r="BU19" i="2" s="1"/>
  <c r="BU29" i="2" s="1"/>
  <c r="BU33" i="2" s="1"/>
  <c r="BU35" i="2" s="1"/>
  <c r="BU37" i="2" s="1"/>
  <c r="AR39" i="5"/>
  <c r="BK5" i="5"/>
  <c r="BL5" i="3"/>
  <c r="BL18" i="3"/>
  <c r="BL21" i="3"/>
  <c r="BJ5" i="5"/>
  <c r="BK5" i="3"/>
  <c r="BK18" i="3"/>
  <c r="BK21" i="3"/>
  <c r="BL4" i="3"/>
  <c r="BL6" i="3"/>
  <c r="BL14" i="3"/>
  <c r="BL20" i="3"/>
  <c r="BL22" i="3"/>
  <c r="BL23" i="3"/>
  <c r="BK34" i="5"/>
  <c r="BL16" i="3"/>
  <c r="BL17" i="3"/>
  <c r="BJ34" i="5"/>
  <c r="BK16" i="3"/>
  <c r="BK17" i="3"/>
  <c r="BL12" i="3"/>
  <c r="BL13" i="3"/>
  <c r="BL15" i="3"/>
  <c r="BK12" i="3"/>
  <c r="BK13" i="3"/>
  <c r="BK15" i="3"/>
  <c r="BL10" i="3"/>
  <c r="BL11" i="3"/>
  <c r="BK47" i="5"/>
  <c r="BK10" i="3"/>
  <c r="BK11" i="3"/>
  <c r="BJ47" i="5"/>
  <c r="BM12" i="3"/>
  <c r="BM13" i="3"/>
  <c r="BL34" i="5"/>
  <c r="BM5" i="3"/>
  <c r="BM18" i="3"/>
  <c r="CN35" i="2"/>
  <c r="CN37" i="2" s="1"/>
  <c r="BM10" i="3"/>
  <c r="BL47" i="5"/>
  <c r="BN11" i="3"/>
  <c r="BM47" i="5"/>
  <c r="BM5" i="5"/>
  <c r="BN25" i="3" s="1"/>
  <c r="BN5" i="3"/>
  <c r="BN18" i="3"/>
  <c r="BN21" i="3"/>
  <c r="BN4" i="3"/>
  <c r="BN6" i="3"/>
  <c r="BN14" i="3"/>
  <c r="BN20" i="3"/>
  <c r="BN22" i="3"/>
  <c r="BN23" i="3"/>
  <c r="BM34" i="5"/>
  <c r="BN16" i="3"/>
  <c r="BN17" i="3"/>
  <c r="BN12" i="3"/>
  <c r="BN13" i="3"/>
  <c r="BN15" i="3"/>
  <c r="BN5" i="5"/>
  <c r="BO25" i="3" s="1"/>
  <c r="BO5" i="3"/>
  <c r="BO18" i="3"/>
  <c r="BO21" i="3"/>
  <c r="BO4" i="3"/>
  <c r="BO6" i="3"/>
  <c r="BO14" i="3"/>
  <c r="BO20" i="3"/>
  <c r="BO22" i="3"/>
  <c r="BO23" i="3"/>
  <c r="BN34" i="5"/>
  <c r="BO16" i="3"/>
  <c r="BO17" i="3"/>
  <c r="BO12" i="3"/>
  <c r="BO13" i="3"/>
  <c r="BO15" i="3"/>
  <c r="BO11" i="3"/>
  <c r="BN47" i="5"/>
  <c r="BO47" i="5"/>
  <c r="BP11" i="3"/>
  <c r="BS47" i="5"/>
  <c r="BT11" i="3"/>
  <c r="BR47" i="5"/>
  <c r="BS11" i="3"/>
  <c r="BQ47" i="5"/>
  <c r="BR11" i="3"/>
  <c r="BP47" i="5"/>
  <c r="BQ11" i="3"/>
  <c r="BO5" i="5"/>
  <c r="BP25" i="3" s="1"/>
  <c r="BP5" i="3"/>
  <c r="BP18" i="3"/>
  <c r="BP21" i="3"/>
  <c r="BP4" i="3"/>
  <c r="BP6" i="3"/>
  <c r="BP14" i="3"/>
  <c r="BP20" i="3"/>
  <c r="BP22" i="3"/>
  <c r="BP23" i="3"/>
  <c r="BO34" i="5"/>
  <c r="BP16" i="3"/>
  <c r="BP17" i="3"/>
  <c r="BP12" i="3"/>
  <c r="BP13" i="3"/>
  <c r="BP15" i="3"/>
  <c r="BS5" i="5"/>
  <c r="BT25" i="3" s="1"/>
  <c r="BT5" i="3"/>
  <c r="BT21" i="3"/>
  <c r="BR5" i="5"/>
  <c r="BS25" i="3" s="1"/>
  <c r="BS5" i="3"/>
  <c r="BS18" i="3"/>
  <c r="BS21" i="3"/>
  <c r="BQ5" i="5"/>
  <c r="BR25" i="3" s="1"/>
  <c r="BR5" i="3"/>
  <c r="BR18" i="3"/>
  <c r="BR21" i="3"/>
  <c r="BP5" i="5"/>
  <c r="BQ25" i="3" s="1"/>
  <c r="BQ5" i="3"/>
  <c r="BQ18" i="3"/>
  <c r="BQ21" i="3"/>
  <c r="BT4" i="3"/>
  <c r="BT6" i="3"/>
  <c r="BT14" i="3"/>
  <c r="BT20" i="3"/>
  <c r="BT22" i="3"/>
  <c r="BT23" i="3"/>
  <c r="BS4" i="3"/>
  <c r="BS6" i="3"/>
  <c r="BS14" i="3"/>
  <c r="BS20" i="3"/>
  <c r="BS22" i="3"/>
  <c r="BS23" i="3"/>
  <c r="BR4" i="3"/>
  <c r="BR6" i="3"/>
  <c r="BR14" i="3"/>
  <c r="BR20" i="3"/>
  <c r="BR22" i="3"/>
  <c r="BR23" i="3"/>
  <c r="BQ4" i="3"/>
  <c r="BQ6" i="3"/>
  <c r="BQ14" i="3"/>
  <c r="BQ20" i="3"/>
  <c r="BQ22" i="3"/>
  <c r="BQ23" i="3"/>
  <c r="BS34" i="5"/>
  <c r="BT16" i="3"/>
  <c r="BT17" i="3"/>
  <c r="BR34" i="5"/>
  <c r="BS16" i="3"/>
  <c r="BS17" i="3"/>
  <c r="BQ34" i="5"/>
  <c r="BR16" i="3"/>
  <c r="BR17" i="3"/>
  <c r="BP34" i="5"/>
  <c r="BQ16" i="3"/>
  <c r="BQ17" i="3"/>
  <c r="BT12" i="3"/>
  <c r="BT13" i="3"/>
  <c r="BT15" i="3"/>
  <c r="BS12" i="3"/>
  <c r="BS13" i="3"/>
  <c r="BS15" i="3"/>
  <c r="BR12" i="3"/>
  <c r="BR13" i="3"/>
  <c r="BR15" i="3"/>
  <c r="BQ12" i="3"/>
  <c r="BQ13" i="3"/>
  <c r="BQ15" i="3"/>
  <c r="BH35" i="3"/>
  <c r="BH38" i="3"/>
  <c r="BI35" i="3"/>
  <c r="BQ38" i="3"/>
  <c r="BP38" i="3"/>
  <c r="BO38" i="3"/>
  <c r="BN38" i="3"/>
  <c r="BM38" i="3"/>
  <c r="BL38" i="3"/>
  <c r="BK38" i="3"/>
  <c r="BJ38" i="3"/>
  <c r="BI38" i="3"/>
  <c r="BR35" i="3"/>
  <c r="BT38" i="3"/>
  <c r="BS38" i="3"/>
  <c r="BR38" i="3"/>
  <c r="BT18" i="3"/>
  <c r="BT19" i="3"/>
  <c r="CV29" i="2"/>
  <c r="CV33" i="2" s="1"/>
  <c r="CV35" i="2" s="1"/>
  <c r="CV37" i="2" s="1"/>
  <c r="BJ4" i="5"/>
  <c r="CQ55" i="8"/>
  <c r="BH4" i="5"/>
  <c r="CO55" i="8"/>
  <c r="CS32" i="8"/>
  <c r="CS60" i="8"/>
  <c r="CR32" i="8"/>
  <c r="CR60" i="8"/>
  <c r="CQ32" i="8"/>
  <c r="CQ60" i="8"/>
  <c r="CP32" i="8"/>
  <c r="CP60" i="8"/>
  <c r="CO32" i="8"/>
  <c r="CO60" i="8"/>
  <c r="CN32" i="8"/>
  <c r="CN60" i="8"/>
  <c r="CS33" i="8"/>
  <c r="CS59" i="8"/>
  <c r="CR33" i="8"/>
  <c r="CR59" i="8"/>
  <c r="CQ33" i="8"/>
  <c r="CQ59" i="8"/>
  <c r="CP33" i="8"/>
  <c r="CP59" i="8"/>
  <c r="CO33" i="8"/>
  <c r="CO59" i="8"/>
  <c r="CN33" i="8"/>
  <c r="CN59" i="8"/>
  <c r="CV32" i="8"/>
  <c r="CV60" i="8"/>
  <c r="CU32" i="8"/>
  <c r="CU60" i="8"/>
  <c r="CT32" i="8"/>
  <c r="CT60" i="8"/>
  <c r="CV33" i="8"/>
  <c r="CV59" i="8"/>
  <c r="CU33" i="8"/>
  <c r="CU59" i="8"/>
  <c r="CT33" i="8"/>
  <c r="CT59" i="8"/>
  <c r="CZ32" i="8"/>
  <c r="CZ60" i="8"/>
  <c r="CY32" i="8"/>
  <c r="CY60" i="8"/>
  <c r="CX32" i="8"/>
  <c r="CX60" i="8"/>
  <c r="CW32" i="8"/>
  <c r="CW60" i="8"/>
  <c r="CZ33" i="8"/>
  <c r="CZ59" i="8"/>
  <c r="CY33" i="8"/>
  <c r="CY59" i="8"/>
  <c r="CX33" i="8"/>
  <c r="CX59" i="8"/>
  <c r="CW33" i="8"/>
  <c r="CW59" i="8"/>
  <c r="CP31" i="8"/>
  <c r="CP58" i="8"/>
  <c r="CO24" i="8"/>
  <c r="CO31" i="8"/>
  <c r="CO58" i="8"/>
  <c r="CN31" i="8"/>
  <c r="CN58" i="8"/>
  <c r="CK27" i="1"/>
  <c r="BI34" i="5"/>
  <c r="CI27" i="1"/>
  <c r="BG34" i="5"/>
  <c r="CP14" i="8"/>
  <c r="CO14" i="8"/>
  <c r="CN14" i="8"/>
  <c r="CP34" i="8"/>
  <c r="CO21" i="8"/>
  <c r="CO34" i="8"/>
  <c r="CN34" i="8"/>
  <c r="CP47" i="8"/>
  <c r="CP52" i="8"/>
  <c r="CP53" i="8"/>
  <c r="CO47" i="8"/>
  <c r="CO52" i="8"/>
  <c r="CO53" i="8"/>
  <c r="CN47" i="8"/>
  <c r="CN52" i="8"/>
  <c r="CN53" i="8"/>
  <c r="CR31" i="8"/>
  <c r="CR58" i="8"/>
  <c r="CQ24" i="8"/>
  <c r="CQ31" i="8"/>
  <c r="CQ58" i="8"/>
  <c r="BK4" i="5"/>
  <c r="BL24" i="3" s="1"/>
  <c r="CR55" i="8"/>
  <c r="CR56" i="8"/>
  <c r="CR14" i="8"/>
  <c r="CQ14" i="8"/>
  <c r="CR21" i="8"/>
  <c r="CR34" i="8"/>
  <c r="CQ21" i="8"/>
  <c r="CQ34" i="8"/>
  <c r="CR47" i="8"/>
  <c r="CR52" i="8"/>
  <c r="CR53" i="8"/>
  <c r="CQ47" i="8"/>
  <c r="CQ52" i="8"/>
  <c r="CQ53" i="8"/>
  <c r="CN27" i="1"/>
  <c r="CS47" i="8"/>
  <c r="CS52" i="8"/>
  <c r="CS53" i="8"/>
  <c r="CS34" i="8"/>
  <c r="CS14" i="8"/>
  <c r="CN38" i="1"/>
  <c r="CN49" i="1" s="1"/>
  <c r="BL5" i="5"/>
  <c r="BM25" i="3" s="1"/>
  <c r="CT31" i="8"/>
  <c r="CT58" i="8"/>
  <c r="BM4" i="5"/>
  <c r="CT55" i="8"/>
  <c r="CT14" i="8"/>
  <c r="CT21" i="8"/>
  <c r="CT34" i="8"/>
  <c r="CT47" i="8"/>
  <c r="CT52" i="8"/>
  <c r="CT53" i="8"/>
  <c r="CU31" i="8"/>
  <c r="CU58" i="8"/>
  <c r="BN4" i="5"/>
  <c r="BO24" i="3" s="1"/>
  <c r="CU55" i="8"/>
  <c r="CU14" i="8"/>
  <c r="CU21" i="8"/>
  <c r="CU34" i="8"/>
  <c r="CU47" i="8"/>
  <c r="CU52" i="8"/>
  <c r="CU53" i="8"/>
  <c r="CV31" i="8"/>
  <c r="CV58" i="8"/>
  <c r="CV34" i="8"/>
  <c r="CZ31" i="8"/>
  <c r="CZ58" i="8"/>
  <c r="CY31" i="8"/>
  <c r="CY58" i="8"/>
  <c r="CX31" i="8"/>
  <c r="CX58" i="8"/>
  <c r="CW31" i="8"/>
  <c r="CW58" i="8"/>
  <c r="CZ34" i="8"/>
  <c r="CY34" i="8"/>
  <c r="CX34" i="8"/>
  <c r="CW34" i="8"/>
  <c r="BO4" i="5"/>
  <c r="BP24" i="3" s="1"/>
  <c r="CV14" i="8"/>
  <c r="CV55" i="8"/>
  <c r="CV47" i="8"/>
  <c r="CV52" i="8"/>
  <c r="CV53" i="8"/>
  <c r="BS4" i="5"/>
  <c r="BU36" i="3" s="1"/>
  <c r="CZ14" i="8"/>
  <c r="CZ55" i="8"/>
  <c r="BR4" i="5"/>
  <c r="CY14" i="8"/>
  <c r="CY55" i="8"/>
  <c r="BQ4" i="5"/>
  <c r="CX14" i="8"/>
  <c r="CX55" i="8"/>
  <c r="BP4" i="5"/>
  <c r="BQ24" i="3" s="1"/>
  <c r="CW14" i="8"/>
  <c r="CW55" i="8"/>
  <c r="CZ47" i="8"/>
  <c r="CZ52" i="8"/>
  <c r="CZ53" i="8"/>
  <c r="CY47" i="8"/>
  <c r="CY52" i="8"/>
  <c r="CY53" i="8"/>
  <c r="CX47" i="8"/>
  <c r="CX52" i="8"/>
  <c r="CX53" i="8"/>
  <c r="CW47" i="8"/>
  <c r="CW52" i="8"/>
  <c r="CW53" i="8"/>
  <c r="BS43" i="5"/>
  <c r="BR43" i="5"/>
  <c r="BQ43" i="5"/>
  <c r="BS37" i="5"/>
  <c r="BR37" i="5"/>
  <c r="BQ37" i="5"/>
  <c r="BS14" i="5"/>
  <c r="BS11" i="5" s="1"/>
  <c r="BT29" i="3" s="1"/>
  <c r="BR14" i="5"/>
  <c r="BR11" i="5" s="1"/>
  <c r="BS29" i="3" s="1"/>
  <c r="BQ14" i="5"/>
  <c r="BQ11" i="5" s="1"/>
  <c r="BR29" i="3" s="1"/>
  <c r="BP43" i="5"/>
  <c r="BO43" i="5"/>
  <c r="BN43" i="5"/>
  <c r="BM43" i="5"/>
  <c r="BL43" i="5"/>
  <c r="BK43" i="5"/>
  <c r="BJ43" i="5"/>
  <c r="BI43" i="5"/>
  <c r="BH43" i="5"/>
  <c r="BP37" i="5"/>
  <c r="BO37" i="5"/>
  <c r="BN37" i="5"/>
  <c r="BM37" i="5"/>
  <c r="BL37" i="5"/>
  <c r="BK37" i="5"/>
  <c r="DE36" i="8" s="1"/>
  <c r="BJ37" i="5"/>
  <c r="DD36" i="8" s="1"/>
  <c r="BI37" i="5"/>
  <c r="DC36" i="8" s="1"/>
  <c r="BH37" i="5"/>
  <c r="DB36" i="8" s="1"/>
  <c r="BP14" i="5"/>
  <c r="BP11" i="5" s="1"/>
  <c r="BQ29" i="3" s="1"/>
  <c r="BO14" i="5"/>
  <c r="BO11" i="5" s="1"/>
  <c r="BP29" i="3" s="1"/>
  <c r="BN14" i="5"/>
  <c r="BN11" i="5" s="1"/>
  <c r="BO29" i="3" s="1"/>
  <c r="BM14" i="5"/>
  <c r="BM11" i="5" s="1"/>
  <c r="BN29" i="3" s="1"/>
  <c r="BL14" i="5"/>
  <c r="BL11" i="5" s="1"/>
  <c r="BM29" i="3" s="1"/>
  <c r="BK14" i="5"/>
  <c r="BK11" i="5" s="1"/>
  <c r="BJ14" i="5"/>
  <c r="BJ11" i="5" s="1"/>
  <c r="BI14" i="5"/>
  <c r="BI11" i="5" s="1"/>
  <c r="BH14" i="5"/>
  <c r="BH11" i="5" s="1"/>
  <c r="BG43" i="5"/>
  <c r="BG37" i="5"/>
  <c r="DA36" i="8" s="1"/>
  <c r="BG14" i="5"/>
  <c r="BG11" i="5" s="1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AR14" i="5"/>
  <c r="AR11" i="5" s="1"/>
  <c r="AQ14" i="5"/>
  <c r="AQ11" i="5" s="1"/>
  <c r="AP14" i="5"/>
  <c r="AP11" i="5" s="1"/>
  <c r="AO14" i="5"/>
  <c r="AO11" i="5" s="1"/>
  <c r="AN14" i="5"/>
  <c r="AN11" i="5" s="1"/>
  <c r="AM14" i="5"/>
  <c r="AM11" i="5" s="1"/>
  <c r="AL14" i="5"/>
  <c r="AL11" i="5" s="1"/>
  <c r="AK14" i="5"/>
  <c r="AK11" i="5" s="1"/>
  <c r="AJ14" i="5"/>
  <c r="AJ11" i="5" s="1"/>
  <c r="AI14" i="5"/>
  <c r="AI11" i="5" s="1"/>
  <c r="AH14" i="5"/>
  <c r="AH11" i="5" s="1"/>
  <c r="AG14" i="5"/>
  <c r="AG11" i="5" s="1"/>
  <c r="AF14" i="5"/>
  <c r="AF11" i="5" s="1"/>
  <c r="AE14" i="5"/>
  <c r="AE11" i="5" s="1"/>
  <c r="AD14" i="5"/>
  <c r="AD11" i="5" s="1"/>
  <c r="AC14" i="5"/>
  <c r="AC11" i="5" s="1"/>
  <c r="AB14" i="5"/>
  <c r="AB11" i="5" s="1"/>
  <c r="AA14" i="5"/>
  <c r="AA11" i="5" s="1"/>
  <c r="Z14" i="5"/>
  <c r="Z11" i="5" s="1"/>
  <c r="Y14" i="5"/>
  <c r="Y11" i="5" s="1"/>
  <c r="X14" i="5"/>
  <c r="X11" i="5" s="1"/>
  <c r="W14" i="5"/>
  <c r="W11" i="5" s="1"/>
  <c r="V14" i="5"/>
  <c r="V11" i="5" s="1"/>
  <c r="U14" i="5"/>
  <c r="U11" i="5" s="1"/>
  <c r="T14" i="5"/>
  <c r="T11" i="5" s="1"/>
  <c r="S41" i="5"/>
  <c r="S37" i="5" s="1"/>
  <c r="CU3" i="2"/>
  <c r="CU19" i="2" s="1"/>
  <c r="CT3" i="2"/>
  <c r="CT19" i="2" s="1"/>
  <c r="CS3" i="2"/>
  <c r="CS19" i="2" s="1"/>
  <c r="CR3" i="2"/>
  <c r="CR19" i="2" s="1"/>
  <c r="CQ3" i="2"/>
  <c r="CQ19" i="2" s="1"/>
  <c r="CP3" i="2"/>
  <c r="CP19" i="2" s="1"/>
  <c r="CO3" i="2"/>
  <c r="CO19" i="2" s="1"/>
  <c r="AW38" i="3"/>
  <c r="AX38" i="3"/>
  <c r="F91" i="4"/>
  <c r="F80" i="4"/>
  <c r="F69" i="4"/>
  <c r="F60" i="4"/>
  <c r="U8" i="3"/>
  <c r="F28" i="4"/>
  <c r="F17" i="4"/>
  <c r="F8" i="4"/>
  <c r="CB19" i="2"/>
  <c r="BZ19" i="2"/>
  <c r="CI29" i="2"/>
  <c r="CI33" i="2" s="1"/>
  <c r="E19" i="2"/>
  <c r="E29" i="2" s="1"/>
  <c r="E33" i="2" s="1"/>
  <c r="E35" i="2" s="1"/>
  <c r="E37" i="2" s="1"/>
  <c r="C3" i="2"/>
  <c r="C19" i="2" s="1"/>
  <c r="C29" i="2" s="1"/>
  <c r="C33" i="2" s="1"/>
  <c r="C35" i="2" s="1"/>
  <c r="C37" i="2" s="1"/>
  <c r="O3" i="2"/>
  <c r="O19" i="2" s="1"/>
  <c r="O29" i="2" s="1"/>
  <c r="O33" i="2" s="1"/>
  <c r="O35" i="2" s="1"/>
  <c r="O37" i="2" s="1"/>
  <c r="AG19" i="2"/>
  <c r="AG29" i="2" s="1"/>
  <c r="AG33" i="2" s="1"/>
  <c r="AG35" i="2" s="1"/>
  <c r="AG37" i="2" s="1"/>
  <c r="Z19" i="2"/>
  <c r="Z29" i="2" s="1"/>
  <c r="Z33" i="2" s="1"/>
  <c r="Z35" i="2" s="1"/>
  <c r="Z37" i="2" s="1"/>
  <c r="AS19" i="2"/>
  <c r="AS29" i="2" s="1"/>
  <c r="AS33" i="2" s="1"/>
  <c r="AS35" i="2" s="1"/>
  <c r="AS37" i="2" s="1"/>
  <c r="AL19" i="2"/>
  <c r="AL29" i="2" s="1"/>
  <c r="AL33" i="2" s="1"/>
  <c r="AL35" i="2" s="1"/>
  <c r="AL37" i="2" s="1"/>
  <c r="AU3" i="2"/>
  <c r="AU19" i="2" s="1"/>
  <c r="AU29" i="2" s="1"/>
  <c r="AU33" i="2" s="1"/>
  <c r="AU35" i="2" s="1"/>
  <c r="AU37" i="2" s="1"/>
  <c r="AR3" i="2"/>
  <c r="AR19" i="2" s="1"/>
  <c r="AR29" i="2" s="1"/>
  <c r="AR33" i="2" s="1"/>
  <c r="AR35" i="2" s="1"/>
  <c r="AR37" i="2" s="1"/>
  <c r="BO19" i="2"/>
  <c r="BO29" i="2" s="1"/>
  <c r="BO33" i="2" s="1"/>
  <c r="BO35" i="2" s="1"/>
  <c r="BO37" i="2" s="1"/>
  <c r="BM19" i="2"/>
  <c r="BM29" i="2" s="1"/>
  <c r="BM33" i="2" s="1"/>
  <c r="BM35" i="2" s="1"/>
  <c r="BM37" i="2" s="1"/>
  <c r="BH29" i="3" l="1"/>
  <c r="DA35" i="8"/>
  <c r="BI29" i="3"/>
  <c r="DB35" i="8"/>
  <c r="BJ29" i="3"/>
  <c r="DC35" i="8"/>
  <c r="BK29" i="3"/>
  <c r="DD35" i="8"/>
  <c r="BL29" i="3"/>
  <c r="DE35" i="8"/>
  <c r="BK25" i="3"/>
  <c r="DD31" i="8"/>
  <c r="BL25" i="3"/>
  <c r="DE31" i="8"/>
  <c r="BH25" i="3"/>
  <c r="DA31" i="8"/>
  <c r="BI25" i="3"/>
  <c r="DB31" i="8"/>
  <c r="BJ25" i="3"/>
  <c r="DC31" i="8"/>
  <c r="BY36" i="3"/>
  <c r="DD30" i="8"/>
  <c r="BX24" i="3"/>
  <c r="DD15" i="8"/>
  <c r="DD9" i="8"/>
  <c r="DD27" i="8"/>
  <c r="DD26" i="8"/>
  <c r="DD25" i="8"/>
  <c r="DD7" i="8"/>
  <c r="DD24" i="8"/>
  <c r="DD21" i="8"/>
  <c r="BW24" i="3"/>
  <c r="BX36" i="3"/>
  <c r="DC15" i="8"/>
  <c r="DC9" i="8"/>
  <c r="DC27" i="8"/>
  <c r="DC26" i="8"/>
  <c r="DC25" i="8"/>
  <c r="DC7" i="8"/>
  <c r="DC24" i="8"/>
  <c r="DC21" i="8"/>
  <c r="DB30" i="8"/>
  <c r="BV24" i="3"/>
  <c r="BW36" i="3"/>
  <c r="DB15" i="8"/>
  <c r="DB9" i="8"/>
  <c r="DB27" i="8"/>
  <c r="DB26" i="8"/>
  <c r="DB25" i="8"/>
  <c r="DB7" i="8"/>
  <c r="DB24" i="8"/>
  <c r="DB21" i="8"/>
  <c r="BY24" i="3"/>
  <c r="DE30" i="8"/>
  <c r="DE15" i="8"/>
  <c r="DE9" i="8"/>
  <c r="DE27" i="8"/>
  <c r="DE26" i="8"/>
  <c r="DE25" i="8"/>
  <c r="DE7" i="8"/>
  <c r="DE24" i="8"/>
  <c r="DE21" i="8"/>
  <c r="DE10" i="8"/>
  <c r="BV36" i="3"/>
  <c r="DA9" i="8"/>
  <c r="DA15" i="8"/>
  <c r="DA25" i="8"/>
  <c r="DA26" i="8"/>
  <c r="DA27" i="8"/>
  <c r="BU24" i="3"/>
  <c r="BR25" i="5"/>
  <c r="BE25" i="5"/>
  <c r="CI35" i="2"/>
  <c r="CI37" i="2" s="1"/>
  <c r="CI44" i="2" s="1"/>
  <c r="BH9" i="3"/>
  <c r="CO29" i="2"/>
  <c r="CO33" i="2" s="1"/>
  <c r="BN10" i="3"/>
  <c r="CP29" i="2"/>
  <c r="CP33" i="2" s="1"/>
  <c r="BO10" i="3"/>
  <c r="CQ29" i="2"/>
  <c r="CQ33" i="2" s="1"/>
  <c r="BP9" i="3" s="1"/>
  <c r="BP10" i="3"/>
  <c r="CR29" i="2"/>
  <c r="CR33" i="2" s="1"/>
  <c r="BQ9" i="3" s="1"/>
  <c r="BQ10" i="3"/>
  <c r="CS29" i="2"/>
  <c r="CS33" i="2" s="1"/>
  <c r="BR9" i="3" s="1"/>
  <c r="BR10" i="3"/>
  <c r="CT29" i="2"/>
  <c r="CT33" i="2" s="1"/>
  <c r="BS9" i="3" s="1"/>
  <c r="BS10" i="3"/>
  <c r="CU29" i="2"/>
  <c r="CU33" i="2" s="1"/>
  <c r="BT9" i="3" s="1"/>
  <c r="BT10" i="3"/>
  <c r="CN36" i="8"/>
  <c r="BH30" i="3"/>
  <c r="BH39" i="3"/>
  <c r="CV19" i="8"/>
  <c r="CV20" i="8"/>
  <c r="CW19" i="8"/>
  <c r="CW20" i="8"/>
  <c r="CO36" i="8"/>
  <c r="BI30" i="3"/>
  <c r="BI39" i="3"/>
  <c r="CP36" i="8"/>
  <c r="BJ30" i="3"/>
  <c r="BJ39" i="3"/>
  <c r="CQ36" i="8"/>
  <c r="BK30" i="3"/>
  <c r="BK39" i="3"/>
  <c r="CR36" i="8"/>
  <c r="BL30" i="3"/>
  <c r="BL39" i="3"/>
  <c r="CS36" i="8"/>
  <c r="BM30" i="3"/>
  <c r="BM39" i="3"/>
  <c r="CT36" i="8"/>
  <c r="BN30" i="3"/>
  <c r="BN39" i="3"/>
  <c r="CU36" i="8"/>
  <c r="BO30" i="3"/>
  <c r="BO39" i="3"/>
  <c r="CV36" i="8"/>
  <c r="BP30" i="3"/>
  <c r="BP39" i="3"/>
  <c r="CW36" i="8"/>
  <c r="BQ30" i="3"/>
  <c r="BQ39" i="3"/>
  <c r="CX19" i="8"/>
  <c r="CX20" i="8"/>
  <c r="CY19" i="8"/>
  <c r="CY20" i="8"/>
  <c r="CZ19" i="8"/>
  <c r="CZ20" i="8"/>
  <c r="CX36" i="8"/>
  <c r="BR30" i="3"/>
  <c r="BR39" i="3"/>
  <c r="CY36" i="8"/>
  <c r="BS30" i="3"/>
  <c r="BS39" i="3"/>
  <c r="CZ36" i="8"/>
  <c r="BT30" i="3"/>
  <c r="BT39" i="3"/>
  <c r="BR24" i="3"/>
  <c r="BS24" i="3"/>
  <c r="BT24" i="3"/>
  <c r="BM4" i="3"/>
  <c r="BM6" i="3"/>
  <c r="BM14" i="3"/>
  <c r="BM20" i="3"/>
  <c r="BM22" i="3"/>
  <c r="BM23" i="3"/>
  <c r="BM15" i="3"/>
  <c r="BM16" i="3"/>
  <c r="BM17" i="3"/>
  <c r="BM21" i="3"/>
  <c r="BM9" i="3"/>
  <c r="BM11" i="3"/>
  <c r="BH4" i="3"/>
  <c r="BH6" i="3"/>
  <c r="BH14" i="3"/>
  <c r="BH20" i="3"/>
  <c r="BH22" i="3"/>
  <c r="BH23" i="3"/>
  <c r="BI9" i="3"/>
  <c r="BH21" i="3"/>
  <c r="BH16" i="3"/>
  <c r="BH17" i="3"/>
  <c r="BH15" i="3"/>
  <c r="BH11" i="3"/>
  <c r="BJ4" i="3"/>
  <c r="BJ6" i="3"/>
  <c r="BJ14" i="3"/>
  <c r="BJ20" i="3"/>
  <c r="BJ22" i="3"/>
  <c r="BJ23" i="3"/>
  <c r="BK9" i="3"/>
  <c r="BJ9" i="3"/>
  <c r="BJ21" i="3"/>
  <c r="BJ16" i="3"/>
  <c r="BJ17" i="3"/>
  <c r="BJ15" i="3"/>
  <c r="BJ11" i="3"/>
  <c r="BQ36" i="3"/>
  <c r="BQ37" i="3"/>
  <c r="BR36" i="3"/>
  <c r="BR37" i="3"/>
  <c r="BS36" i="3"/>
  <c r="BS37" i="3"/>
  <c r="BT36" i="3"/>
  <c r="BT37" i="3"/>
  <c r="BP36" i="3"/>
  <c r="BP37" i="3"/>
  <c r="BO36" i="3"/>
  <c r="BO37" i="3"/>
  <c r="BN37" i="3"/>
  <c r="BM37" i="3"/>
  <c r="BK37" i="3"/>
  <c r="BL36" i="3"/>
  <c r="BL37" i="3"/>
  <c r="S43" i="5"/>
  <c r="T36" i="3"/>
  <c r="BH37" i="3"/>
  <c r="BI37" i="3"/>
  <c r="BJ37" i="3"/>
  <c r="CU9" i="8"/>
  <c r="CU15" i="8"/>
  <c r="CU25" i="8"/>
  <c r="CU26" i="8"/>
  <c r="CU27" i="8"/>
  <c r="CU30" i="8"/>
  <c r="CU57" i="8"/>
  <c r="CU24" i="8"/>
  <c r="CT9" i="8"/>
  <c r="CT15" i="8"/>
  <c r="CT25" i="8"/>
  <c r="CT26" i="8"/>
  <c r="CT27" i="8"/>
  <c r="CT30" i="8"/>
  <c r="CT57" i="8"/>
  <c r="CT24" i="8"/>
  <c r="CS31" i="8"/>
  <c r="CS58" i="8"/>
  <c r="CN51" i="1"/>
  <c r="BL4" i="5"/>
  <c r="CS55" i="8"/>
  <c r="CS56" i="8"/>
  <c r="CR9" i="8"/>
  <c r="CR15" i="8"/>
  <c r="CR25" i="8"/>
  <c r="CR26" i="8"/>
  <c r="CR27" i="8"/>
  <c r="CR30" i="8"/>
  <c r="CR57" i="8"/>
  <c r="CR24" i="8"/>
  <c r="BG4" i="5"/>
  <c r="DA30" i="8" s="1"/>
  <c r="CN55" i="8"/>
  <c r="CN56" i="8"/>
  <c r="CI51" i="1"/>
  <c r="CO56" i="8"/>
  <c r="BI4" i="5"/>
  <c r="DC30" i="8" s="1"/>
  <c r="CP55" i="8"/>
  <c r="CP56" i="8"/>
  <c r="CK51" i="1"/>
  <c r="CQ56" i="8"/>
  <c r="CO9" i="8"/>
  <c r="CO15" i="8"/>
  <c r="CO25" i="8"/>
  <c r="CO26" i="8"/>
  <c r="CO27" i="8"/>
  <c r="CO30" i="8"/>
  <c r="CO57" i="8"/>
  <c r="CQ9" i="8"/>
  <c r="CQ15" i="8"/>
  <c r="CQ25" i="8"/>
  <c r="CQ26" i="8"/>
  <c r="CQ27" i="8"/>
  <c r="CQ30" i="8"/>
  <c r="CQ57" i="8"/>
  <c r="CW9" i="8"/>
  <c r="CW15" i="8"/>
  <c r="CW21" i="8"/>
  <c r="CW24" i="8"/>
  <c r="CW25" i="8"/>
  <c r="CW26" i="8"/>
  <c r="CW27" i="8"/>
  <c r="CW30" i="8"/>
  <c r="CW57" i="8"/>
  <c r="CX9" i="8"/>
  <c r="CX15" i="8"/>
  <c r="CX21" i="8"/>
  <c r="CX24" i="8"/>
  <c r="CX25" i="8"/>
  <c r="CX26" i="8"/>
  <c r="CX27" i="8"/>
  <c r="CX30" i="8"/>
  <c r="CX57" i="8"/>
  <c r="CY9" i="8"/>
  <c r="CY15" i="8"/>
  <c r="CY21" i="8"/>
  <c r="CY24" i="8"/>
  <c r="CY25" i="8"/>
  <c r="CY26" i="8"/>
  <c r="CY27" i="8"/>
  <c r="CY30" i="8"/>
  <c r="CY57" i="8"/>
  <c r="CZ9" i="8"/>
  <c r="CZ15" i="8"/>
  <c r="CZ21" i="8"/>
  <c r="CZ24" i="8"/>
  <c r="CZ25" i="8"/>
  <c r="CZ26" i="8"/>
  <c r="CZ27" i="8"/>
  <c r="CZ30" i="8"/>
  <c r="CZ57" i="8"/>
  <c r="CV9" i="8"/>
  <c r="CV15" i="8"/>
  <c r="CV21" i="8"/>
  <c r="CV24" i="8"/>
  <c r="CV25" i="8"/>
  <c r="CV26" i="8"/>
  <c r="CV27" i="8"/>
  <c r="CV30" i="8"/>
  <c r="CV57" i="8"/>
  <c r="CU35" i="2"/>
  <c r="CU37" i="2" s="1"/>
  <c r="CZ56" i="8"/>
  <c r="CT35" i="2"/>
  <c r="CT37" i="2" s="1"/>
  <c r="CY56" i="8"/>
  <c r="CQ35" i="2"/>
  <c r="CQ37" i="2" s="1"/>
  <c r="CV56" i="8"/>
  <c r="CR35" i="2"/>
  <c r="CR37" i="2" s="1"/>
  <c r="CW56" i="8"/>
  <c r="CS35" i="2"/>
  <c r="CS37" i="2" s="1"/>
  <c r="CX56" i="8"/>
  <c r="BQ12" i="5"/>
  <c r="CX10" i="8" s="1"/>
  <c r="CX6" i="8"/>
  <c r="CX7" i="8"/>
  <c r="CX8" i="8"/>
  <c r="CX35" i="8"/>
  <c r="BR12" i="5"/>
  <c r="CY10" i="8" s="1"/>
  <c r="CY6" i="8"/>
  <c r="CY7" i="8"/>
  <c r="CY8" i="8"/>
  <c r="CY35" i="8"/>
  <c r="BS12" i="5"/>
  <c r="CZ10" i="8" s="1"/>
  <c r="CZ6" i="8"/>
  <c r="CZ7" i="8"/>
  <c r="CZ8" i="8"/>
  <c r="CZ35" i="8"/>
  <c r="BH12" i="5"/>
  <c r="CO10" i="8" s="1"/>
  <c r="CO6" i="8"/>
  <c r="CO7" i="8"/>
  <c r="CO8" i="8"/>
  <c r="CO35" i="8"/>
  <c r="BI12" i="5"/>
  <c r="CP10" i="8" s="1"/>
  <c r="CP6" i="8"/>
  <c r="CP7" i="8"/>
  <c r="CP8" i="8"/>
  <c r="CP35" i="8"/>
  <c r="BJ12" i="5"/>
  <c r="CQ10" i="8" s="1"/>
  <c r="CQ6" i="8"/>
  <c r="CQ7" i="8"/>
  <c r="CQ8" i="8"/>
  <c r="CQ35" i="8"/>
  <c r="BK12" i="5"/>
  <c r="CR10" i="8" s="1"/>
  <c r="CR6" i="8"/>
  <c r="CR7" i="8"/>
  <c r="CR8" i="8"/>
  <c r="CR35" i="8"/>
  <c r="BL12" i="5"/>
  <c r="CS10" i="8" s="1"/>
  <c r="CS6" i="8"/>
  <c r="CS7" i="8"/>
  <c r="CS8" i="8"/>
  <c r="CS35" i="8"/>
  <c r="BM12" i="5"/>
  <c r="CT10" i="8" s="1"/>
  <c r="CT6" i="8"/>
  <c r="CT7" i="8"/>
  <c r="CT8" i="8"/>
  <c r="CT35" i="8"/>
  <c r="BN12" i="5"/>
  <c r="CU10" i="8" s="1"/>
  <c r="CU6" i="8"/>
  <c r="CU7" i="8"/>
  <c r="CU8" i="8"/>
  <c r="CU35" i="8"/>
  <c r="BO12" i="5"/>
  <c r="CV10" i="8" s="1"/>
  <c r="CV6" i="8"/>
  <c r="CV7" i="8"/>
  <c r="CV8" i="8"/>
  <c r="CV35" i="8"/>
  <c r="BP12" i="5"/>
  <c r="CW10" i="8" s="1"/>
  <c r="CW6" i="8"/>
  <c r="CW7" i="8"/>
  <c r="CW8" i="8"/>
  <c r="CW35" i="8"/>
  <c r="CO19" i="8"/>
  <c r="CO20" i="8"/>
  <c r="CP19" i="8"/>
  <c r="CP20" i="8"/>
  <c r="CQ19" i="8"/>
  <c r="CQ20" i="8"/>
  <c r="CR19" i="8"/>
  <c r="CR20" i="8"/>
  <c r="CS19" i="8"/>
  <c r="CS20" i="8"/>
  <c r="CT19" i="8"/>
  <c r="CT20" i="8"/>
  <c r="CU19" i="8"/>
  <c r="CU20" i="8"/>
  <c r="BG12" i="5"/>
  <c r="CN10" i="8" s="1"/>
  <c r="CN6" i="8"/>
  <c r="CN7" i="8"/>
  <c r="CN8" i="8"/>
  <c r="CN35" i="8"/>
  <c r="CN19" i="8"/>
  <c r="CN20" i="8"/>
  <c r="T12" i="5"/>
  <c r="BA10" i="8" s="1"/>
  <c r="BA7" i="8"/>
  <c r="BA6" i="8"/>
  <c r="BA35" i="8"/>
  <c r="BA8" i="8"/>
  <c r="U29" i="3"/>
  <c r="U12" i="5"/>
  <c r="BB10" i="8" s="1"/>
  <c r="V29" i="3"/>
  <c r="BB6" i="8"/>
  <c r="BB7" i="8"/>
  <c r="BB8" i="8"/>
  <c r="BB35" i="8"/>
  <c r="V12" i="5"/>
  <c r="BC10" i="8" s="1"/>
  <c r="BC7" i="8"/>
  <c r="W29" i="3"/>
  <c r="BC8" i="8"/>
  <c r="BC35" i="8"/>
  <c r="BC6" i="8"/>
  <c r="W12" i="5"/>
  <c r="BD10" i="8" s="1"/>
  <c r="BD35" i="8"/>
  <c r="X29" i="3"/>
  <c r="BD8" i="8"/>
  <c r="BD6" i="8"/>
  <c r="BD7" i="8"/>
  <c r="X12" i="5"/>
  <c r="BE10" i="8" s="1"/>
  <c r="BE8" i="8"/>
  <c r="BE7" i="8"/>
  <c r="BE35" i="8"/>
  <c r="BE6" i="8"/>
  <c r="Y29" i="3"/>
  <c r="Y12" i="5"/>
  <c r="BF10" i="8" s="1"/>
  <c r="BF8" i="8"/>
  <c r="BF6" i="8"/>
  <c r="Z29" i="3"/>
  <c r="BF7" i="8"/>
  <c r="BF35" i="8"/>
  <c r="Z12" i="5"/>
  <c r="BG10" i="8" s="1"/>
  <c r="BG7" i="8"/>
  <c r="AA29" i="3"/>
  <c r="BG6" i="8"/>
  <c r="BG8" i="8"/>
  <c r="BG35" i="8"/>
  <c r="AA12" i="5"/>
  <c r="BH10" i="8" s="1"/>
  <c r="BH35" i="8"/>
  <c r="BH7" i="8"/>
  <c r="AB29" i="3"/>
  <c r="BH6" i="8"/>
  <c r="BH8" i="8"/>
  <c r="AB12" i="5"/>
  <c r="BI10" i="8" s="1"/>
  <c r="BI8" i="8"/>
  <c r="BI6" i="8"/>
  <c r="BI7" i="8"/>
  <c r="AC29" i="3"/>
  <c r="BI35" i="8"/>
  <c r="AC12" i="5"/>
  <c r="BJ10" i="8" s="1"/>
  <c r="BJ7" i="8"/>
  <c r="BJ35" i="8"/>
  <c r="AD29" i="3"/>
  <c r="BJ6" i="8"/>
  <c r="BJ8" i="8"/>
  <c r="AD12" i="5"/>
  <c r="BK10" i="8" s="1"/>
  <c r="BK35" i="8"/>
  <c r="BK6" i="8"/>
  <c r="AE29" i="3"/>
  <c r="BK7" i="8"/>
  <c r="BK8" i="8"/>
  <c r="AE12" i="5"/>
  <c r="BL10" i="8" s="1"/>
  <c r="AF29" i="3"/>
  <c r="BL6" i="8"/>
  <c r="BL7" i="8"/>
  <c r="BL8" i="8"/>
  <c r="BL35" i="8"/>
  <c r="AF12" i="5"/>
  <c r="BM10" i="8" s="1"/>
  <c r="BM7" i="8"/>
  <c r="BM35" i="8"/>
  <c r="AG29" i="3"/>
  <c r="BM8" i="8"/>
  <c r="BM6" i="8"/>
  <c r="BZ35" i="8"/>
  <c r="AG12" i="5"/>
  <c r="BN10" i="8" s="1"/>
  <c r="BN7" i="8"/>
  <c r="BN6" i="8"/>
  <c r="AH29" i="3"/>
  <c r="BN8" i="8"/>
  <c r="CA35" i="8"/>
  <c r="BN35" i="8"/>
  <c r="AH12" i="5"/>
  <c r="BO10" i="8" s="1"/>
  <c r="BO7" i="8"/>
  <c r="BO6" i="8"/>
  <c r="BO35" i="8"/>
  <c r="BO8" i="8"/>
  <c r="AI29" i="3"/>
  <c r="CB35" i="8"/>
  <c r="AI12" i="5"/>
  <c r="BP10" i="8" s="1"/>
  <c r="BP6" i="8"/>
  <c r="BP7" i="8"/>
  <c r="BP8" i="8"/>
  <c r="AJ29" i="3"/>
  <c r="BP35" i="8"/>
  <c r="CC35" i="8"/>
  <c r="AJ12" i="5"/>
  <c r="BQ10" i="8" s="1"/>
  <c r="BQ7" i="8"/>
  <c r="AK29" i="3"/>
  <c r="BQ8" i="8"/>
  <c r="BQ35" i="8"/>
  <c r="BQ6" i="8"/>
  <c r="CD35" i="8"/>
  <c r="AK12" i="5"/>
  <c r="BR10" i="8" s="1"/>
  <c r="BR8" i="8"/>
  <c r="BR6" i="8"/>
  <c r="BR7" i="8"/>
  <c r="AL29" i="3"/>
  <c r="CE35" i="8"/>
  <c r="BR35" i="8"/>
  <c r="AL12" i="5"/>
  <c r="BS10" i="8" s="1"/>
  <c r="BS35" i="8"/>
  <c r="CF35" i="8"/>
  <c r="BS7" i="8"/>
  <c r="BS6" i="8"/>
  <c r="AM29" i="3"/>
  <c r="BS8" i="8"/>
  <c r="AM12" i="5"/>
  <c r="BT10" i="8" s="1"/>
  <c r="BT35" i="8"/>
  <c r="BT8" i="8"/>
  <c r="BT6" i="8"/>
  <c r="AN29" i="3"/>
  <c r="BT7" i="8"/>
  <c r="CG35" i="8"/>
  <c r="AN12" i="5"/>
  <c r="BU10" i="8" s="1"/>
  <c r="BU35" i="8"/>
  <c r="BU8" i="8"/>
  <c r="AO29" i="3"/>
  <c r="BU7" i="8"/>
  <c r="BU6" i="8"/>
  <c r="CH35" i="8"/>
  <c r="AO12" i="5"/>
  <c r="BV10" i="8" s="1"/>
  <c r="BV6" i="8"/>
  <c r="BV8" i="8"/>
  <c r="BV35" i="8"/>
  <c r="BV7" i="8"/>
  <c r="AP29" i="3"/>
  <c r="CI35" i="8"/>
  <c r="AP12" i="5"/>
  <c r="BW10" i="8" s="1"/>
  <c r="BW6" i="8"/>
  <c r="BW7" i="8"/>
  <c r="BW35" i="8"/>
  <c r="BW8" i="8"/>
  <c r="AQ29" i="3"/>
  <c r="CJ35" i="8"/>
  <c r="AQ12" i="5"/>
  <c r="BX10" i="8" s="1"/>
  <c r="AR29" i="3"/>
  <c r="BX7" i="8"/>
  <c r="BX8" i="8"/>
  <c r="BX6" i="8"/>
  <c r="CK35" i="8"/>
  <c r="BX35" i="8"/>
  <c r="AR12" i="5"/>
  <c r="BY10" i="8" s="1"/>
  <c r="BY7" i="8"/>
  <c r="AS29" i="3"/>
  <c r="BY8" i="8"/>
  <c r="BY6" i="8"/>
  <c r="CL35" i="8"/>
  <c r="BY35" i="8"/>
  <c r="BA19" i="8"/>
  <c r="BA20" i="8"/>
  <c r="BB20" i="8"/>
  <c r="BB19" i="8"/>
  <c r="BC20" i="8"/>
  <c r="BC19" i="8"/>
  <c r="BD19" i="8"/>
  <c r="BD20" i="8"/>
  <c r="BE19" i="8"/>
  <c r="BE20" i="8"/>
  <c r="BF19" i="8"/>
  <c r="BF20" i="8"/>
  <c r="BG19" i="8"/>
  <c r="BG20" i="8"/>
  <c r="BH19" i="8"/>
  <c r="BH20" i="8"/>
  <c r="BI19" i="8"/>
  <c r="BI20" i="8"/>
  <c r="BJ19" i="8"/>
  <c r="BJ20" i="8"/>
  <c r="BK19" i="8"/>
  <c r="BK20" i="8"/>
  <c r="BL20" i="8"/>
  <c r="BL19" i="8"/>
  <c r="BM19" i="8"/>
  <c r="BM20" i="8"/>
  <c r="BN19" i="8"/>
  <c r="BN20" i="8"/>
  <c r="BO19" i="8"/>
  <c r="BO20" i="8"/>
  <c r="BP19" i="8"/>
  <c r="BP20" i="8"/>
  <c r="BQ19" i="8"/>
  <c r="BQ20" i="8"/>
  <c r="BR19" i="8"/>
  <c r="BR20" i="8"/>
  <c r="BS19" i="8"/>
  <c r="BS20" i="8"/>
  <c r="BT19" i="8"/>
  <c r="BT20" i="8"/>
  <c r="BU19" i="8"/>
  <c r="BU20" i="8"/>
  <c r="BV19" i="8"/>
  <c r="BV20" i="8"/>
  <c r="BW19" i="8"/>
  <c r="BW20" i="8"/>
  <c r="BX19" i="8"/>
  <c r="BX20" i="8"/>
  <c r="BY19" i="8"/>
  <c r="BY20" i="8"/>
  <c r="BA36" i="8"/>
  <c r="U30" i="3"/>
  <c r="U39" i="3"/>
  <c r="U37" i="3"/>
  <c r="V30" i="3"/>
  <c r="BB36" i="8"/>
  <c r="V37" i="3"/>
  <c r="V39" i="3"/>
  <c r="W30" i="3"/>
  <c r="W39" i="3"/>
  <c r="W37" i="3"/>
  <c r="BC36" i="8"/>
  <c r="X37" i="3"/>
  <c r="BD36" i="8"/>
  <c r="X39" i="3"/>
  <c r="X30" i="3"/>
  <c r="Y37" i="3"/>
  <c r="BE36" i="8"/>
  <c r="Y30" i="3"/>
  <c r="Y39" i="3"/>
  <c r="Z30" i="3"/>
  <c r="Z37" i="3"/>
  <c r="BF36" i="8"/>
  <c r="Z39" i="3"/>
  <c r="AA39" i="3"/>
  <c r="BG36" i="8"/>
  <c r="AA37" i="3"/>
  <c r="AA30" i="3"/>
  <c r="AB37" i="3"/>
  <c r="AB30" i="3"/>
  <c r="BH36" i="8"/>
  <c r="AB39" i="3"/>
  <c r="AC30" i="3"/>
  <c r="BI36" i="8"/>
  <c r="AC39" i="3"/>
  <c r="AC37" i="3"/>
  <c r="AD30" i="3"/>
  <c r="BJ36" i="8"/>
  <c r="AD39" i="3"/>
  <c r="AD37" i="3"/>
  <c r="AE39" i="3"/>
  <c r="AE37" i="3"/>
  <c r="BK36" i="8"/>
  <c r="AE30" i="3"/>
  <c r="AF30" i="3"/>
  <c r="AF39" i="3"/>
  <c r="BL36" i="8"/>
  <c r="AF37" i="3"/>
  <c r="AG37" i="3"/>
  <c r="BZ36" i="8"/>
  <c r="AG39" i="3"/>
  <c r="AG30" i="3"/>
  <c r="AH37" i="3"/>
  <c r="BN36" i="8"/>
  <c r="AH30" i="3"/>
  <c r="CA36" i="8"/>
  <c r="AH39" i="3"/>
  <c r="AI39" i="3"/>
  <c r="AI30" i="3"/>
  <c r="BO36" i="8"/>
  <c r="AI37" i="3"/>
  <c r="CB36" i="8"/>
  <c r="AJ39" i="3"/>
  <c r="AJ37" i="3"/>
  <c r="AJ30" i="3"/>
  <c r="BP36" i="8"/>
  <c r="CC36" i="8"/>
  <c r="AK30" i="3"/>
  <c r="AK37" i="3"/>
  <c r="AK39" i="3"/>
  <c r="CD36" i="8"/>
  <c r="BQ36" i="8"/>
  <c r="AL37" i="3"/>
  <c r="AL39" i="3"/>
  <c r="AL30" i="3"/>
  <c r="CE36" i="8"/>
  <c r="BR36" i="8"/>
  <c r="AM30" i="3"/>
  <c r="AM39" i="3"/>
  <c r="AM37" i="3"/>
  <c r="BS36" i="8"/>
  <c r="CF36" i="8"/>
  <c r="CG36" i="8"/>
  <c r="AN30" i="3"/>
  <c r="AN37" i="3"/>
  <c r="AN39" i="3"/>
  <c r="BT36" i="8"/>
  <c r="AO30" i="3"/>
  <c r="AO39" i="3"/>
  <c r="AO37" i="3"/>
  <c r="CH36" i="8"/>
  <c r="BU36" i="8"/>
  <c r="AP30" i="3"/>
  <c r="AP37" i="3"/>
  <c r="AP39" i="3"/>
  <c r="BV36" i="8"/>
  <c r="CI36" i="8"/>
  <c r="AQ37" i="3"/>
  <c r="CJ36" i="8"/>
  <c r="AQ39" i="3"/>
  <c r="AQ30" i="3"/>
  <c r="BW36" i="8"/>
  <c r="AR37" i="3"/>
  <c r="AR39" i="3"/>
  <c r="AR30" i="3"/>
  <c r="CK36" i="8"/>
  <c r="BX36" i="8"/>
  <c r="CL36" i="8"/>
  <c r="BY36" i="8"/>
  <c r="AS30" i="3"/>
  <c r="AS37" i="3"/>
  <c r="AS39" i="3"/>
  <c r="T30" i="3"/>
  <c r="AZ36" i="8"/>
  <c r="T39" i="3"/>
  <c r="T37" i="3"/>
  <c r="BM36" i="8"/>
  <c r="AX10" i="3"/>
  <c r="BZ29" i="2"/>
  <c r="BZ33" i="2" s="1"/>
  <c r="CB29" i="2"/>
  <c r="CB33" i="2" s="1"/>
  <c r="AZ10" i="3"/>
  <c r="CL19" i="8" l="1"/>
  <c r="CL20" i="8"/>
  <c r="BJ24" i="3"/>
  <c r="BK24" i="3"/>
  <c r="BK36" i="3"/>
  <c r="BJ36" i="3"/>
  <c r="BH24" i="3"/>
  <c r="BI24" i="3"/>
  <c r="BH36" i="3"/>
  <c r="BI36" i="3"/>
  <c r="BM24" i="3"/>
  <c r="BN24" i="3"/>
  <c r="BN36" i="3"/>
  <c r="BM36" i="3"/>
  <c r="CP35" i="2"/>
  <c r="CP37" i="2" s="1"/>
  <c r="BO9" i="3"/>
  <c r="CU56" i="8"/>
  <c r="CO35" i="2"/>
  <c r="CO37" i="2" s="1"/>
  <c r="BN9" i="3"/>
  <c r="CT56" i="8"/>
  <c r="CP9" i="8"/>
  <c r="CP15" i="8"/>
  <c r="CP25" i="8"/>
  <c r="CP26" i="8"/>
  <c r="CP27" i="8"/>
  <c r="CP30" i="8"/>
  <c r="CP57" i="8"/>
  <c r="CP24" i="8"/>
  <c r="CP21" i="8"/>
  <c r="CN9" i="8"/>
  <c r="CN15" i="8"/>
  <c r="CN25" i="8"/>
  <c r="CN26" i="8"/>
  <c r="CN27" i="8"/>
  <c r="CN30" i="8"/>
  <c r="CN57" i="8"/>
  <c r="CN24" i="8"/>
  <c r="CN21" i="8"/>
  <c r="CS9" i="8"/>
  <c r="CS15" i="8"/>
  <c r="CS25" i="8"/>
  <c r="CS26" i="8"/>
  <c r="CS27" i="8"/>
  <c r="CS30" i="8"/>
  <c r="CS57" i="8"/>
  <c r="CS21" i="8"/>
  <c r="CS24" i="8"/>
  <c r="CB35" i="2"/>
  <c r="CB37" i="2" s="1"/>
  <c r="CF56" i="8"/>
  <c r="AZ9" i="3"/>
  <c r="BZ35" i="2"/>
  <c r="BZ37" i="2" s="1"/>
  <c r="AX9" i="3"/>
  <c r="CD56" i="8"/>
</calcChain>
</file>

<file path=xl/sharedStrings.xml><?xml version="1.0" encoding="utf-8"?>
<sst xmlns="http://schemas.openxmlformats.org/spreadsheetml/2006/main" count="810" uniqueCount="394">
  <si>
    <t>AUDITED 2007</t>
  </si>
  <si>
    <t>AUDITED 2008</t>
  </si>
  <si>
    <t>AUDITED 2009</t>
  </si>
  <si>
    <t>AUDITED 2010</t>
  </si>
  <si>
    <t>AUDITED 2011</t>
  </si>
  <si>
    <t>AUDITED 2012</t>
  </si>
  <si>
    <t>AUDITED 2013</t>
  </si>
  <si>
    <t>AUDITED 2014</t>
  </si>
  <si>
    <t>AUDITED 2015</t>
  </si>
  <si>
    <t>AUDITED 2016</t>
  </si>
  <si>
    <t>AUDITED 2017</t>
  </si>
  <si>
    <t>AUDITED 2018</t>
  </si>
  <si>
    <t>AUDITED 2019</t>
  </si>
  <si>
    <t>Audited 2020</t>
  </si>
  <si>
    <t>AUDITED 2021</t>
  </si>
  <si>
    <t>AUDITED 2022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</si>
  <si>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</si>
  <si>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</si>
  <si>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</si>
  <si>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</si>
  <si>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</si>
  <si>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</si>
  <si>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</si>
  <si>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</si>
  <si>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</si>
  <si>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</si>
  <si>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</si>
  <si>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</si>
  <si>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</si>
  <si>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</si>
  <si>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</si>
  <si>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</si>
  <si>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</si>
  <si>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</si>
  <si>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</si>
  <si>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</si>
  <si>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</si>
  <si>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</si>
  <si>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</si>
  <si>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</si>
  <si>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</si>
  <si>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</si>
  <si>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</si>
  <si>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</si>
  <si>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</si>
  <si>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</si>
  <si>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</si>
  <si>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</si>
  <si>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</si>
  <si>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</si>
  <si>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</si>
  <si>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</si>
  <si>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</si>
  <si>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</si>
  <si>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</si>
  <si>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</si>
  <si>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 xml:space="preserve"> 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</si>
  <si>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</si>
  <si>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</si>
  <si>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</si>
  <si>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</si>
  <si>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</si>
  <si>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</si>
  <si>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"000"</t>
  </si>
  <si>
    <t>Audited 2007</t>
  </si>
  <si>
    <t>Audited 2008</t>
  </si>
  <si>
    <t>Audited 2009</t>
  </si>
  <si>
    <t>Audited 2010</t>
  </si>
  <si>
    <t>Audited 2011</t>
  </si>
  <si>
    <t>Audited 2012</t>
  </si>
  <si>
    <t>Audited 2013</t>
  </si>
  <si>
    <t>Audited 2014</t>
  </si>
  <si>
    <t>Audited 2015</t>
  </si>
  <si>
    <t>Audited 2016</t>
  </si>
  <si>
    <t>Audited 2018</t>
  </si>
  <si>
    <t>Audited 2019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</si>
  <si>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</si>
  <si>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</si>
  <si>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</si>
  <si>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</si>
  <si>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</si>
  <si>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</si>
  <si>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</si>
  <si>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</si>
  <si>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</si>
  <si>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</si>
  <si>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</si>
  <si>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</si>
  <si>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</si>
  <si>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</si>
  <si>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</si>
  <si>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</si>
  <si>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</si>
  <si>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</si>
  <si>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</si>
  <si>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</si>
  <si>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</si>
  <si>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</si>
  <si>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</si>
  <si>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</si>
  <si>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</si>
  <si>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</si>
  <si>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</si>
  <si>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</si>
  <si>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</si>
  <si>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</si>
  <si>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</si>
  <si>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</si>
  <si>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</si>
  <si>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</si>
  <si>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</si>
  <si>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</si>
  <si>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STIMA SACCO SOCIETY LIMITED     CS/NO: 2207</t>
  </si>
  <si>
    <t>PERFORMANCE AND COMPLIANCE REPORT AS AT :  30TH JUNE , 2018</t>
  </si>
  <si>
    <t>Prudential Standard</t>
  </si>
  <si>
    <t>Audited</t>
  </si>
  <si>
    <t>Returns</t>
  </si>
  <si>
    <t>Validated</t>
  </si>
  <si>
    <t>Average for all Licensed Saccos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</si>
  <si>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</si>
  <si>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</si>
  <si>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</si>
  <si>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</si>
  <si>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</si>
  <si>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t>Institutional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</si>
  <si>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</si>
  <si>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</si>
  <si>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</si>
  <si>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</si>
  <si>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Non-Earning Assets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</si>
  <si>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</si>
  <si>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</si>
  <si>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</si>
  <si>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</si>
  <si>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</si>
  <si>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</si>
  <si>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</si>
  <si>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</t>
  </si>
  <si>
    <t>Operating Expenses/Net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</si>
  <si>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</si>
  <si>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</si>
  <si>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</si>
  <si>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</si>
  <si>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</si>
  <si>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</si>
  <si>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</si>
  <si>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</si>
  <si>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</si>
  <si>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</si>
  <si>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</si>
  <si>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</si>
  <si>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</si>
  <si>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</si>
  <si>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</si>
  <si>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</si>
  <si>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Total Deposits</t>
  </si>
  <si>
    <t>Gross Loans</t>
  </si>
  <si>
    <t>Core Capital</t>
  </si>
  <si>
    <t>Institutional Capital</t>
  </si>
  <si>
    <t>Non-performing Loans</t>
  </si>
  <si>
    <t>Equity Investments</t>
  </si>
  <si>
    <t>Financial Investments</t>
  </si>
  <si>
    <t>Total Income</t>
  </si>
  <si>
    <t>Net Income</t>
  </si>
  <si>
    <t>Dividends+Interest on Deposits</t>
  </si>
  <si>
    <t>Operating Expenses</t>
  </si>
  <si>
    <t>Liquid Assets</t>
  </si>
  <si>
    <t>Short-term (Deposits + liabilities)</t>
  </si>
  <si>
    <t>External Borrowing</t>
  </si>
  <si>
    <t>G. AREAS OF IMPROVEMENT/REGULARTORY CONCERNS</t>
  </si>
  <si>
    <t>1. The ratio of NPL is above the prescribed limit</t>
  </si>
  <si>
    <t>Prepared by: Daniel Mwatu</t>
  </si>
  <si>
    <t>Checked by:</t>
  </si>
  <si>
    <t>Approved by: Peter Njuguna</t>
  </si>
  <si>
    <t>DISCLAIMER: This report is prepared based on information submitted by the Sacco as at the stated date and may change upon verification by the Authority.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</si>
  <si>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</si>
  <si>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</si>
  <si>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</si>
  <si>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</si>
  <si>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</si>
  <si>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</si>
  <si>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</si>
  <si>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</si>
  <si>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</si>
  <si>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</si>
  <si>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</si>
  <si>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NPL</t>
  </si>
  <si>
    <t>PAR</t>
  </si>
  <si>
    <t>Audited 2017</t>
  </si>
  <si>
    <t>Sub-total</t>
  </si>
  <si>
    <t>STIMA</t>
  </si>
  <si>
    <t xml:space="preserve">MOMBASA PORT </t>
  </si>
  <si>
    <t>LAINISHA  SACCO 2022 CAELS</t>
  </si>
  <si>
    <t>2013 Audited</t>
  </si>
  <si>
    <t>2014 Audited</t>
  </si>
  <si>
    <t>2015 Audited</t>
  </si>
  <si>
    <t>2016 Audited</t>
  </si>
  <si>
    <t>Audited 2021</t>
  </si>
  <si>
    <t>Audited 2022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</si>
  <si>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</si>
  <si>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</si>
  <si>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</si>
  <si>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</si>
  <si>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</si>
  <si>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</si>
  <si>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</si>
  <si>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</si>
  <si>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</si>
  <si>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</si>
  <si>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</si>
  <si>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</si>
  <si>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</si>
  <si>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</si>
  <si>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</si>
  <si>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</si>
  <si>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</si>
  <si>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</si>
  <si>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</si>
  <si>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</si>
  <si>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</si>
  <si>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</si>
  <si>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</si>
  <si>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</si>
  <si>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</si>
  <si>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</si>
  <si>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</si>
  <si>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</si>
  <si>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</si>
  <si>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</si>
  <si>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</si>
  <si>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</si>
  <si>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</si>
  <si>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</si>
  <si>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</si>
  <si>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</si>
  <si>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</si>
  <si>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</si>
  <si>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</si>
  <si>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</si>
  <si>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</si>
  <si>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</si>
  <si>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</si>
  <si>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</si>
  <si>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</si>
  <si>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</si>
  <si>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</si>
  <si>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</si>
  <si>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</si>
  <si>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</si>
  <si>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</si>
  <si>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Lainisha Sacco Financial Performance</t>
  </si>
  <si>
    <t>Year</t>
  </si>
  <si>
    <t>Deposits-Members(BOSA)</t>
  </si>
  <si>
    <t>Deposits-Customers(FOSA)</t>
  </si>
  <si>
    <t>Short term Liabilities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</si>
  <si>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</si>
  <si>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</si>
  <si>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</si>
  <si>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</si>
  <si>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</si>
  <si>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</si>
  <si>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</si>
  <si>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</si>
  <si>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</si>
  <si>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</si>
  <si>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</si>
  <si>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</si>
  <si>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</si>
  <si>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</si>
  <si>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</si>
  <si>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</si>
  <si>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</si>
  <si>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</si>
  <si>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</si>
  <si>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</si>
  <si>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</si>
  <si>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</si>
  <si>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</si>
  <si>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</si>
  <si>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</si>
  <si>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</si>
  <si>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Cash &amp; Cash Equivalents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</si>
  <si>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</si>
  <si>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</si>
  <si>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</si>
  <si>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</si>
  <si>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</si>
  <si>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</si>
  <si>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</si>
  <si>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</si>
  <si>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</si>
  <si>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STATEMENT OF CASHFLOWS FOR THE YEAR ENDED 31ST DECEMBER 2015</t>
  </si>
  <si>
    <t>Cash flows from operating activities</t>
  </si>
  <si>
    <t>Interest receipts</t>
  </si>
  <si>
    <t>Interest Payments</t>
  </si>
  <si>
    <t>Payment to employees and suppliers</t>
  </si>
  <si>
    <t>Other receipts</t>
  </si>
  <si>
    <t>(Increase)/Decrease in Operating assets</t>
  </si>
  <si>
    <t>Net loans to members</t>
  </si>
  <si>
    <t>Recievables and prepayments</t>
  </si>
  <si>
    <t>Short term investments</t>
  </si>
  <si>
    <t>Increase/(Decrease) in Operating liabilities</t>
  </si>
  <si>
    <t>Deposits from members</t>
  </si>
  <si>
    <t>Decrease/Increase Risk Fund</t>
  </si>
  <si>
    <t>Increase/decrease on Interest bearing Liabilities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</si>
  <si>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</si>
  <si>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</si>
  <si>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</si>
  <si>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</si>
  <si>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</si>
  <si>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</si>
  <si>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</si>
  <si>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Purchase of financial assets</t>
  </si>
  <si>
    <t>Movement of other reserves-</t>
  </si>
  <si>
    <t>Issue of Bonus</t>
  </si>
  <si>
    <t>Dividends Received</t>
  </si>
  <si>
    <t>Net Cash from investing activities</t>
  </si>
  <si>
    <t>Cashflow from financing activities</t>
  </si>
  <si>
    <t>Share capital contributions</t>
  </si>
  <si>
    <t>Contribution to sinking fund</t>
  </si>
  <si>
    <t>Repayments of long term borrowings</t>
  </si>
  <si>
    <t>Dividend paid</t>
  </si>
  <si>
    <t>Honorarium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</si>
  <si>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</si>
  <si>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</si>
  <si>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</si>
  <si>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</si>
  <si>
    <t>LAINISHA SACCO SOCIETY LTD</t>
  </si>
  <si>
    <t>FINANCIAL SOUNDNESS INDICATORS</t>
  </si>
  <si>
    <t>Prude.  Std</t>
  </si>
  <si>
    <t>Ref. #</t>
  </si>
  <si>
    <t>2011</t>
  </si>
  <si>
    <t>Dec 2013 audited</t>
  </si>
  <si>
    <t>CAPITAL ADEQUACY REQUIREMENTS</t>
  </si>
  <si>
    <t xml:space="preserve">Core capital </t>
  </si>
  <si>
    <t>≥ Ksh.10M</t>
  </si>
  <si>
    <t>9.a</t>
  </si>
  <si>
    <t>Core capital /Total Assets</t>
  </si>
  <si>
    <t>≥ 10%</t>
  </si>
  <si>
    <t>9.b</t>
  </si>
  <si>
    <t>Core capital /Total Deposits</t>
  </si>
  <si>
    <t>≥ 8%</t>
  </si>
  <si>
    <t>9.d</t>
  </si>
  <si>
    <t>Share Capital/Total Assets</t>
  </si>
  <si>
    <t>≤2%</t>
  </si>
  <si>
    <t>9.c</t>
  </si>
  <si>
    <t>ASSET MIX AND QUALITY</t>
  </si>
  <si>
    <t>Non Earning Assets</t>
  </si>
  <si>
    <t>Non earning Assets/Total assets</t>
  </si>
  <si>
    <t>≤ 10%</t>
  </si>
  <si>
    <t xml:space="preserve">Property and Equipment/Total Assets </t>
  </si>
  <si>
    <t>≤ 5%</t>
  </si>
  <si>
    <t xml:space="preserve">Non Performing loans/Gross Loans </t>
  </si>
  <si>
    <t>≤ 6%</t>
  </si>
  <si>
    <t>Earning Assets</t>
  </si>
  <si>
    <t>Equities &amp; Investments/Deposits</t>
  </si>
  <si>
    <t>Equities &amp; Investments/Core Capital</t>
  </si>
  <si>
    <t>≤ 40%</t>
  </si>
  <si>
    <t>Net Loans &amp; advances /Total assets</t>
  </si>
  <si>
    <t>NPR</t>
  </si>
  <si>
    <t>External Borrowing/Total assets</t>
  </si>
  <si>
    <t>≤ 25%</t>
  </si>
  <si>
    <t>GROWTH RATIOS (Annualized)</t>
  </si>
  <si>
    <t>Net Loans &amp; advances</t>
  </si>
  <si>
    <t>Total Gross Income</t>
  </si>
  <si>
    <t>FinCost-Deposits/Average Deposits</t>
  </si>
  <si>
    <t>FinCost-Shares/Average Share capital</t>
  </si>
  <si>
    <t>FinCost-Ext Loans/Average Ext Loans</t>
  </si>
  <si>
    <t>Liquidity Ratio</t>
  </si>
  <si>
    <t xml:space="preserve">Liquid Assets - ST Liabilities/ Deposits </t>
  </si>
  <si>
    <t>Loan Loss Provisions Ratios</t>
  </si>
  <si>
    <t>Actual LLP / Required LLP</t>
  </si>
  <si>
    <t>Minimum Liquidity</t>
  </si>
  <si>
    <t>Technical Liquidity</t>
  </si>
  <si>
    <t>Net Interest Margin</t>
  </si>
  <si>
    <t>Assets Growth Ratio</t>
  </si>
  <si>
    <t>Deposits Growth Ratio</t>
  </si>
  <si>
    <t>BOSA Growth Ratio</t>
  </si>
  <si>
    <t>FOSA Growth Ratio</t>
  </si>
  <si>
    <t>STIMA SACCO SOCIETY LIMITED</t>
  </si>
  <si>
    <t>PERFORMANCE AND COMPLIANCE REPORT AS AT :  30th September , 2020</t>
  </si>
  <si>
    <t>Net Income/Average Assets (ROA)</t>
  </si>
  <si>
    <t>Operating Expenses/Financial Income (OPEX)</t>
  </si>
  <si>
    <t>Short-term Liabilities)</t>
  </si>
  <si>
    <t>Average Gross Loans</t>
  </si>
  <si>
    <t>Net Financial Income/Loss</t>
  </si>
  <si>
    <t>Interest on Loan portfolio+Fees&amp;Commission on Loan</t>
  </si>
  <si>
    <t>G. AREAS OF IMPROVEMENT/REGULATORY CONCERNS</t>
  </si>
  <si>
    <t>Prepared by:</t>
  </si>
  <si>
    <t>Approved by:</t>
  </si>
  <si>
    <t>PERFORMANCE AND COMPLIANCE REPORT AS AT :  31st December , 2019</t>
  </si>
  <si>
    <t>Aggregate for all Licensed Saccos</t>
  </si>
  <si>
    <t xml:space="preserve"> 30th September  , 2019</t>
  </si>
  <si>
    <t xml:space="preserve"> 31st December  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</si>
</sst>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[$-10409]#,##0.00;\-\ #,##0.00"/>
    <numFmt numFmtId="166" formatCode="[$-10409]0.00;\-\ 0.00"/>
    <numFmt numFmtId="167" formatCode="_(* #,##0.00_);_(* \(#,##0.00\);_(* \-??_);_(@_)"/>
    <numFmt numFmtId="168" formatCode="d/mmm/yy"/>
    <numFmt numFmtId="169" formatCode="\£#,##0;&quot;-£&quot;#,##0"/>
    <numFmt numFmtId="170" formatCode="_-* #,##0.00_-;\-* #,##0.00_-;_-* \-??_-;_-@_-"/>
    <numFmt numFmtId="171" formatCode="0.0%"/>
    <numFmt numFmtId="172" formatCode="0.0"/>
    <numFmt numFmtId="173" formatCode="_(* #,##0_);_(* \(#,##0\);_(* &quot;-&quot;??_);_(@_)"/>
    <numFmt numFmtId="174" formatCode="[$-10409]#,##0;\-\ #,##0"/>
    <numFmt numFmtId="175" formatCode="[$-409]mmm\-yy;@"/>
    <numFmt numFmtId="176" formatCode="&quot;£&quot;#,##0;\-&quot;£&quot;#,##0"/>
    <numFmt numFmtId="177" formatCode="_-* #,##0_-;\-* #,##0_-;_-* &quot;-&quot;??_-;_-@_-"/>
    <numFmt numFmtId="178" formatCode="[$-10809]#,##0.00"/>
  </numFmts>
  <fonts count="9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1.95"/>
      <name val="Times New Roman"/>
      <family val="1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indexed="8"/>
      <name val="Cambria"/>
      <family val="1"/>
    </font>
    <font>
      <b/>
      <sz val="11"/>
      <color indexed="8"/>
      <name val="Cambria"/>
      <family val="1"/>
    </font>
    <font>
      <sz val="10"/>
      <color indexed="8"/>
      <name val="Cambria"/>
      <family val="1"/>
    </font>
    <font>
      <b/>
      <sz val="10"/>
      <color indexed="8"/>
      <name val="Cambria"/>
      <family val="1"/>
    </font>
    <font>
      <sz val="10"/>
      <name val="Cambria"/>
      <family val="1"/>
    </font>
    <font>
      <b/>
      <sz val="12"/>
      <name val="Cambria"/>
      <family val="1"/>
    </font>
    <font>
      <i/>
      <sz val="10"/>
      <color indexed="8"/>
      <name val="Cambria"/>
      <family val="1"/>
    </font>
    <font>
      <i/>
      <sz val="10"/>
      <name val="Cambria"/>
      <family val="1"/>
    </font>
    <font>
      <sz val="10"/>
      <name val="Arial Narrow"/>
      <family val="2"/>
    </font>
    <font>
      <b/>
      <sz val="10"/>
      <name val="Cambria"/>
      <family val="1"/>
    </font>
    <font>
      <sz val="10"/>
      <name val="Lohit Hindi"/>
      <family val="2"/>
    </font>
    <font>
      <sz val="12"/>
      <name val="Times New Roman"/>
      <family val="1"/>
    </font>
    <font>
      <b/>
      <u/>
      <sz val="10"/>
      <color indexed="11"/>
      <name val="Cambria"/>
      <family val="1"/>
    </font>
    <font>
      <sz val="11"/>
      <color indexed="8"/>
      <name val="Cambria"/>
      <family val="1"/>
    </font>
    <font>
      <sz val="8"/>
      <name val="Calibri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0"/>
      <name val="Arial"/>
      <family val="2"/>
    </font>
    <font>
      <sz val="8"/>
      <color indexed="13"/>
      <name val="Arial"/>
      <family val="2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7.5"/>
      <name val="Cambria"/>
      <family val="1"/>
    </font>
    <font>
      <b/>
      <sz val="7.5"/>
      <name val="Cambria"/>
      <family val="1"/>
    </font>
    <font>
      <sz val="9"/>
      <name val="Cambria"/>
      <family val="1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10"/>
      <color theme="1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</font>
    <font>
      <b/>
      <sz val="10"/>
      <name val="Cambria"/>
      <family val="1"/>
      <scheme val="maj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b/>
      <sz val="8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indexed="8"/>
      <name val="Cambria"/>
      <family val="1"/>
      <scheme val="major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10"/>
      <color rgb="FFFF0000"/>
      <name val="Cambria"/>
      <family val="1"/>
      <scheme val="maj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indexed="52"/>
        <bgColor indexed="51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0"/>
        <bgColor indexed="5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AA520"/>
        <bgColor rgb="FF000000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3" tint="0.39997558519241921"/>
      </right>
      <top style="thin">
        <color theme="3"/>
      </top>
      <bottom style="thin">
        <color theme="3"/>
      </bottom>
      <diagonal/>
    </border>
    <border>
      <left style="thin">
        <color theme="3" tint="0.39997558519241921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 tint="0.39997558519241921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3" tint="0.39997558519241921"/>
      </left>
      <right/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28">
    <xf numFmtId="0" fontId="0" fillId="0" borderId="0"/>
    <xf numFmtId="0" fontId="8" fillId="2" borderId="0" applyNumberFormat="0" applyBorder="0" applyAlignment="0" applyProtection="0"/>
    <xf numFmtId="0" fontId="49" fillId="1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50" fillId="16" borderId="0" applyNumberFormat="0" applyBorder="0" applyAlignment="0" applyProtection="0"/>
    <xf numFmtId="0" fontId="9" fillId="3" borderId="0" applyNumberFormat="0" applyBorder="0" applyAlignment="0" applyProtection="0"/>
    <xf numFmtId="0" fontId="50" fillId="16" borderId="0" applyNumberFormat="0" applyBorder="0" applyAlignment="0" applyProtection="0"/>
    <xf numFmtId="0" fontId="9" fillId="3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9" fillId="3" borderId="0" applyNumberFormat="0" applyBorder="0" applyAlignment="0" applyProtection="0"/>
    <xf numFmtId="0" fontId="50" fillId="16" borderId="0" applyNumberFormat="0" applyBorder="0" applyAlignment="0" applyProtection="0"/>
    <xf numFmtId="0" fontId="9" fillId="3" borderId="0" applyNumberFormat="0" applyBorder="0" applyAlignment="0" applyProtection="0"/>
    <xf numFmtId="0" fontId="50" fillId="16" borderId="0" applyNumberFormat="0" applyBorder="0" applyAlignment="0" applyProtection="0"/>
    <xf numFmtId="0" fontId="9" fillId="3" borderId="0" applyNumberFormat="0" applyBorder="0" applyAlignment="0" applyProtection="0"/>
    <xf numFmtId="0" fontId="50" fillId="16" borderId="0" applyNumberFormat="0" applyBorder="0" applyAlignment="0" applyProtection="0"/>
    <xf numFmtId="0" fontId="9" fillId="3" borderId="0" applyNumberFormat="0" applyBorder="0" applyAlignment="0" applyProtection="0"/>
    <xf numFmtId="0" fontId="50" fillId="16" borderId="0" applyNumberFormat="0" applyBorder="0" applyAlignment="0" applyProtection="0"/>
    <xf numFmtId="0" fontId="9" fillId="3" borderId="0" applyNumberFormat="0" applyBorder="0" applyAlignment="0" applyProtection="0"/>
    <xf numFmtId="0" fontId="50" fillId="16" borderId="0" applyNumberFormat="0" applyBorder="0" applyAlignment="0" applyProtection="0"/>
    <xf numFmtId="0" fontId="9" fillId="3" borderId="0" applyNumberFormat="0" applyBorder="0" applyAlignment="0" applyProtection="0"/>
    <xf numFmtId="0" fontId="50" fillId="16" borderId="0" applyNumberFormat="0" applyBorder="0" applyAlignment="0" applyProtection="0"/>
    <xf numFmtId="0" fontId="9" fillId="3" borderId="0" applyNumberFormat="0" applyBorder="0" applyAlignment="0" applyProtection="0"/>
    <xf numFmtId="0" fontId="50" fillId="16" borderId="0" applyNumberFormat="0" applyBorder="0" applyAlignment="0" applyProtection="0"/>
    <xf numFmtId="0" fontId="9" fillId="3" borderId="0" applyNumberFormat="0" applyBorder="0" applyAlignment="0" applyProtection="0"/>
    <xf numFmtId="0" fontId="50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50" fillId="17" borderId="0" applyNumberFormat="0" applyBorder="0" applyAlignment="0" applyProtection="0"/>
    <xf numFmtId="0" fontId="9" fillId="4" borderId="0" applyNumberFormat="0" applyBorder="0" applyAlignment="0" applyProtection="0"/>
    <xf numFmtId="0" fontId="50" fillId="17" borderId="0" applyNumberFormat="0" applyBorder="0" applyAlignment="0" applyProtection="0"/>
    <xf numFmtId="0" fontId="9" fillId="4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9" fillId="4" borderId="0" applyNumberFormat="0" applyBorder="0" applyAlignment="0" applyProtection="0"/>
    <xf numFmtId="0" fontId="50" fillId="17" borderId="0" applyNumberFormat="0" applyBorder="0" applyAlignment="0" applyProtection="0"/>
    <xf numFmtId="0" fontId="9" fillId="4" borderId="0" applyNumberFormat="0" applyBorder="0" applyAlignment="0" applyProtection="0"/>
    <xf numFmtId="0" fontId="50" fillId="17" borderId="0" applyNumberFormat="0" applyBorder="0" applyAlignment="0" applyProtection="0"/>
    <xf numFmtId="0" fontId="9" fillId="4" borderId="0" applyNumberFormat="0" applyBorder="0" applyAlignment="0" applyProtection="0"/>
    <xf numFmtId="0" fontId="50" fillId="17" borderId="0" applyNumberFormat="0" applyBorder="0" applyAlignment="0" applyProtection="0"/>
    <xf numFmtId="0" fontId="9" fillId="4" borderId="0" applyNumberFormat="0" applyBorder="0" applyAlignment="0" applyProtection="0"/>
    <xf numFmtId="0" fontId="50" fillId="17" borderId="0" applyNumberFormat="0" applyBorder="0" applyAlignment="0" applyProtection="0"/>
    <xf numFmtId="0" fontId="9" fillId="4" borderId="0" applyNumberFormat="0" applyBorder="0" applyAlignment="0" applyProtection="0"/>
    <xf numFmtId="0" fontId="50" fillId="17" borderId="0" applyNumberFormat="0" applyBorder="0" applyAlignment="0" applyProtection="0"/>
    <xf numFmtId="0" fontId="9" fillId="4" borderId="0" applyNumberFormat="0" applyBorder="0" applyAlignment="0" applyProtection="0"/>
    <xf numFmtId="0" fontId="50" fillId="17" borderId="0" applyNumberFormat="0" applyBorder="0" applyAlignment="0" applyProtection="0"/>
    <xf numFmtId="0" fontId="9" fillId="4" borderId="0" applyNumberFormat="0" applyBorder="0" applyAlignment="0" applyProtection="0"/>
    <xf numFmtId="0" fontId="50" fillId="17" borderId="0" applyNumberFormat="0" applyBorder="0" applyAlignment="0" applyProtection="0"/>
    <xf numFmtId="0" fontId="9" fillId="4" borderId="0" applyNumberFormat="0" applyBorder="0" applyAlignment="0" applyProtection="0"/>
    <xf numFmtId="0" fontId="50" fillId="17" borderId="0" applyNumberFormat="0" applyBorder="0" applyAlignment="0" applyProtection="0"/>
    <xf numFmtId="0" fontId="10" fillId="5" borderId="2" applyNumberFormat="0" applyAlignment="0" applyProtection="0"/>
    <xf numFmtId="0" fontId="51" fillId="18" borderId="49" applyNumberFormat="0" applyAlignment="0" applyProtection="0"/>
    <xf numFmtId="43" fontId="4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72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8" fontId="2" fillId="0" borderId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2" fillId="0" borderId="0" applyFill="0" applyBorder="0" applyAlignment="0" applyProtection="0"/>
    <xf numFmtId="176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13" fillId="0" borderId="0" applyFont="0" applyFill="0" applyBorder="0" applyAlignment="0" applyProtection="0"/>
    <xf numFmtId="170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ill="0" applyBorder="0" applyAlignment="0" applyProtection="0"/>
    <xf numFmtId="167" fontId="2" fillId="0" borderId="0" applyFill="0" applyBorder="0" applyAlignment="0" applyProtection="0"/>
    <xf numFmtId="43" fontId="19" fillId="0" borderId="0" applyFont="0" applyFill="0" applyBorder="0" applyAlignment="0" applyProtection="0"/>
    <xf numFmtId="164" fontId="4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34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8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ill="0" applyBorder="0" applyAlignment="0" applyProtection="0"/>
    <xf numFmtId="164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4" fontId="3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6" fontId="1" fillId="0" borderId="0" applyFont="0" applyFill="0" applyBorder="0" applyAlignment="0" applyProtection="0"/>
    <xf numFmtId="6" fontId="48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11" fillId="6" borderId="1" applyNumberFormat="0" applyAlignment="0" applyProtection="0"/>
    <xf numFmtId="0" fontId="52" fillId="19" borderId="48" applyNumberFormat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48" fillId="0" borderId="0"/>
    <xf numFmtId="0" fontId="12" fillId="0" borderId="0"/>
    <xf numFmtId="0" fontId="48" fillId="0" borderId="0"/>
    <xf numFmtId="0" fontId="12" fillId="0" borderId="0"/>
    <xf numFmtId="0" fontId="48" fillId="0" borderId="0"/>
    <xf numFmtId="0" fontId="12" fillId="0" borderId="0"/>
    <xf numFmtId="0" fontId="48" fillId="0" borderId="0"/>
    <xf numFmtId="0" fontId="48" fillId="0" borderId="0"/>
    <xf numFmtId="0" fontId="22" fillId="0" borderId="0"/>
    <xf numFmtId="0" fontId="48" fillId="0" borderId="0"/>
    <xf numFmtId="0" fontId="23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48" fillId="0" borderId="0"/>
    <xf numFmtId="0" fontId="2" fillId="0" borderId="0"/>
    <xf numFmtId="0" fontId="53" fillId="0" borderId="0"/>
    <xf numFmtId="0" fontId="13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2" fillId="0" borderId="0"/>
    <xf numFmtId="0" fontId="2" fillId="0" borderId="0"/>
    <xf numFmtId="0" fontId="54" fillId="0" borderId="0"/>
    <xf numFmtId="0" fontId="2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13" fillId="0" borderId="0"/>
    <xf numFmtId="0" fontId="54" fillId="0" borderId="0"/>
    <xf numFmtId="0" fontId="2" fillId="7" borderId="3" applyNumberFormat="0" applyAlignment="0" applyProtection="0"/>
    <xf numFmtId="0" fontId="2" fillId="20" borderId="50" applyNumberFormat="0" applyFont="0" applyAlignment="0" applyProtection="0"/>
    <xf numFmtId="9" fontId="48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51" applyNumberFormat="0" applyFill="0" applyAlignment="0" applyProtection="0"/>
    <xf numFmtId="0" fontId="56" fillId="0" borderId="51" applyNumberFormat="0" applyFill="0" applyAlignment="0" applyProtection="0"/>
  </cellStyleXfs>
  <cellXfs count="456">
    <xf numFmtId="0" fontId="0" fillId="0" borderId="0" xfId="0"/>
    <xf numFmtId="0" fontId="16" fillId="0" borderId="5" xfId="540" applyFont="1" applyBorder="1" applyAlignment="1">
      <alignment horizontal="left" vertical="top" wrapText="1"/>
    </xf>
    <xf numFmtId="0" fontId="0" fillId="0" borderId="6" xfId="0" applyBorder="1"/>
    <xf numFmtId="0" fontId="58" fillId="0" borderId="6" xfId="0" applyFont="1" applyBorder="1" applyAlignment="1">
      <alignment horizontal="left" vertical="top" wrapText="1"/>
    </xf>
    <xf numFmtId="0" fontId="59" fillId="0" borderId="6" xfId="0" applyFont="1" applyBorder="1" applyAlignment="1">
      <alignment horizontal="left" vertical="top" wrapText="1"/>
    </xf>
    <xf numFmtId="10" fontId="48" fillId="0" borderId="6" xfId="713" applyNumberFormat="1" applyFont="1" applyBorder="1"/>
    <xf numFmtId="17" fontId="55" fillId="0" borderId="0" xfId="0" applyNumberFormat="1" applyFont="1"/>
    <xf numFmtId="0" fontId="15" fillId="0" borderId="5" xfId="494" applyFont="1" applyBorder="1" applyAlignment="1">
      <alignment wrapText="1"/>
    </xf>
    <xf numFmtId="0" fontId="16" fillId="0" borderId="5" xfId="494" applyFont="1" applyBorder="1" applyAlignment="1">
      <alignment wrapText="1"/>
    </xf>
    <xf numFmtId="43" fontId="2" fillId="0" borderId="5" xfId="186" applyBorder="1" applyAlignment="1">
      <alignment wrapText="1"/>
    </xf>
    <xf numFmtId="43" fontId="2" fillId="0" borderId="5" xfId="186" applyBorder="1" applyAlignment="1">
      <alignment horizontal="center" wrapText="1"/>
    </xf>
    <xf numFmtId="0" fontId="58" fillId="0" borderId="6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1" fontId="15" fillId="0" borderId="5" xfId="494" applyNumberFormat="1" applyFont="1" applyBorder="1" applyAlignment="1">
      <alignment wrapText="1"/>
    </xf>
    <xf numFmtId="0" fontId="55" fillId="0" borderId="0" xfId="0" applyFont="1"/>
    <xf numFmtId="43" fontId="15" fillId="0" borderId="5" xfId="53" applyFont="1" applyBorder="1" applyAlignment="1">
      <alignment wrapText="1"/>
    </xf>
    <xf numFmtId="0" fontId="60" fillId="0" borderId="6" xfId="0" applyFont="1" applyBorder="1"/>
    <xf numFmtId="43" fontId="60" fillId="0" borderId="6" xfId="53" applyFont="1" applyBorder="1"/>
    <xf numFmtId="0" fontId="61" fillId="0" borderId="6" xfId="0" applyFont="1" applyBorder="1"/>
    <xf numFmtId="0" fontId="62" fillId="0" borderId="6" xfId="0" applyFont="1" applyBorder="1"/>
    <xf numFmtId="172" fontId="61" fillId="0" borderId="6" xfId="0" applyNumberFormat="1" applyFont="1" applyBorder="1"/>
    <xf numFmtId="9" fontId="62" fillId="0" borderId="6" xfId="713" applyFont="1" applyBorder="1"/>
    <xf numFmtId="0" fontId="63" fillId="0" borderId="6" xfId="0" applyFont="1" applyBorder="1"/>
    <xf numFmtId="0" fontId="64" fillId="0" borderId="6" xfId="0" applyFont="1" applyBorder="1"/>
    <xf numFmtId="172" fontId="61" fillId="0" borderId="6" xfId="0" applyNumberFormat="1" applyFont="1" applyBorder="1" applyAlignment="1">
      <alignment horizontal="right"/>
    </xf>
    <xf numFmtId="173" fontId="62" fillId="0" borderId="6" xfId="0" applyNumberFormat="1" applyFont="1" applyBorder="1"/>
    <xf numFmtId="0" fontId="65" fillId="0" borderId="6" xfId="0" applyFont="1" applyBorder="1"/>
    <xf numFmtId="43" fontId="0" fillId="0" borderId="0" xfId="0" applyNumberFormat="1"/>
    <xf numFmtId="172" fontId="65" fillId="0" borderId="6" xfId="0" applyNumberFormat="1" applyFont="1" applyBorder="1"/>
    <xf numFmtId="171" fontId="48" fillId="0" borderId="6" xfId="713" applyNumberFormat="1" applyFont="1" applyBorder="1"/>
    <xf numFmtId="0" fontId="0" fillId="0" borderId="6" xfId="0" applyBorder="1" applyAlignment="1">
      <alignment horizontal="center" vertical="center"/>
    </xf>
    <xf numFmtId="0" fontId="59" fillId="0" borderId="6" xfId="0" applyFont="1" applyBorder="1" applyAlignment="1">
      <alignment vertical="top" wrapText="1"/>
    </xf>
    <xf numFmtId="0" fontId="61" fillId="0" borderId="6" xfId="494" applyFont="1" applyBorder="1"/>
    <xf numFmtId="0" fontId="62" fillId="0" borderId="6" xfId="494" applyFont="1" applyBorder="1"/>
    <xf numFmtId="9" fontId="48" fillId="0" borderId="6" xfId="713" applyFont="1" applyBorder="1"/>
    <xf numFmtId="0" fontId="0" fillId="0" borderId="7" xfId="0" applyBorder="1"/>
    <xf numFmtId="0" fontId="0" fillId="0" borderId="8" xfId="0" applyBorder="1"/>
    <xf numFmtId="17" fontId="55" fillId="0" borderId="8" xfId="0" applyNumberFormat="1" applyFont="1" applyBorder="1"/>
    <xf numFmtId="9" fontId="48" fillId="0" borderId="9" xfId="713" applyFont="1" applyBorder="1"/>
    <xf numFmtId="0" fontId="0" fillId="0" borderId="9" xfId="0" applyBorder="1"/>
    <xf numFmtId="171" fontId="48" fillId="0" borderId="9" xfId="713" applyNumberFormat="1" applyFont="1" applyBorder="1"/>
    <xf numFmtId="10" fontId="48" fillId="0" borderId="9" xfId="713" applyNumberFormat="1" applyFont="1" applyBorder="1"/>
    <xf numFmtId="0" fontId="65" fillId="0" borderId="10" xfId="494" applyFont="1" applyBorder="1"/>
    <xf numFmtId="0" fontId="0" fillId="0" borderId="10" xfId="0" applyBorder="1"/>
    <xf numFmtId="0" fontId="61" fillId="0" borderId="10" xfId="494" applyFont="1" applyBorder="1"/>
    <xf numFmtId="0" fontId="65" fillId="0" borderId="11" xfId="494" applyFont="1" applyBorder="1"/>
    <xf numFmtId="0" fontId="0" fillId="0" borderId="12" xfId="0" applyBorder="1"/>
    <xf numFmtId="0" fontId="0" fillId="0" borderId="13" xfId="0" applyBorder="1"/>
    <xf numFmtId="0" fontId="60" fillId="0" borderId="14" xfId="0" applyFont="1" applyBorder="1"/>
    <xf numFmtId="0" fontId="20" fillId="21" borderId="6" xfId="0" applyFont="1" applyFill="1" applyBorder="1" applyAlignment="1" applyProtection="1">
      <alignment horizontal="center" vertical="top" readingOrder="1"/>
      <protection locked="0"/>
    </xf>
    <xf numFmtId="0" fontId="20" fillId="21" borderId="6" xfId="0" applyFont="1" applyFill="1" applyBorder="1" applyAlignment="1" applyProtection="1">
      <alignment vertical="top" readingOrder="1"/>
      <protection locked="0"/>
    </xf>
    <xf numFmtId="17" fontId="7" fillId="9" borderId="6" xfId="0" applyNumberFormat="1" applyFont="1" applyFill="1" applyBorder="1" applyAlignment="1" applyProtection="1">
      <alignment vertical="top" wrapText="1" readingOrder="1"/>
      <protection locked="0"/>
    </xf>
    <xf numFmtId="173" fontId="0" fillId="0" borderId="6" xfId="0" applyNumberFormat="1" applyBorder="1"/>
    <xf numFmtId="173" fontId="55" fillId="0" borderId="6" xfId="0" applyNumberFormat="1" applyFont="1" applyBorder="1"/>
    <xf numFmtId="9" fontId="2" fillId="0" borderId="5" xfId="713" applyFont="1" applyBorder="1" applyAlignment="1">
      <alignment horizontal="center" wrapText="1"/>
    </xf>
    <xf numFmtId="173" fontId="48" fillId="0" borderId="6" xfId="53" applyNumberFormat="1" applyFont="1" applyBorder="1"/>
    <xf numFmtId="0" fontId="66" fillId="0" borderId="0" xfId="0" applyFont="1"/>
    <xf numFmtId="0" fontId="56" fillId="0" borderId="0" xfId="0" applyFont="1"/>
    <xf numFmtId="0" fontId="56" fillId="22" borderId="52" xfId="0" applyFont="1" applyFill="1" applyBorder="1"/>
    <xf numFmtId="0" fontId="66" fillId="22" borderId="15" xfId="0" applyFont="1" applyFill="1" applyBorder="1"/>
    <xf numFmtId="0" fontId="66" fillId="22" borderId="53" xfId="0" applyFont="1" applyFill="1" applyBorder="1"/>
    <xf numFmtId="0" fontId="66" fillId="0" borderId="54" xfId="0" applyFont="1" applyBorder="1"/>
    <xf numFmtId="173" fontId="66" fillId="0" borderId="55" xfId="53" applyNumberFormat="1" applyFont="1" applyBorder="1"/>
    <xf numFmtId="173" fontId="66" fillId="0" borderId="15" xfId="53" applyNumberFormat="1" applyFont="1" applyBorder="1"/>
    <xf numFmtId="173" fontId="66" fillId="23" borderId="15" xfId="53" applyNumberFormat="1" applyFont="1" applyFill="1" applyBorder="1"/>
    <xf numFmtId="173" fontId="66" fillId="0" borderId="56" xfId="53" applyNumberFormat="1" applyFont="1" applyBorder="1"/>
    <xf numFmtId="173" fontId="67" fillId="23" borderId="15" xfId="53" applyNumberFormat="1" applyFont="1" applyFill="1" applyBorder="1"/>
    <xf numFmtId="173" fontId="67" fillId="0" borderId="56" xfId="53" applyNumberFormat="1" applyFont="1" applyBorder="1"/>
    <xf numFmtId="0" fontId="56" fillId="22" borderId="54" xfId="0" applyFont="1" applyFill="1" applyBorder="1"/>
    <xf numFmtId="173" fontId="68" fillId="22" borderId="15" xfId="53" applyNumberFormat="1" applyFont="1" applyFill="1" applyBorder="1"/>
    <xf numFmtId="173" fontId="68" fillId="22" borderId="56" xfId="53" applyNumberFormat="1" applyFont="1" applyFill="1" applyBorder="1"/>
    <xf numFmtId="0" fontId="0" fillId="0" borderId="57" xfId="0" applyBorder="1"/>
    <xf numFmtId="0" fontId="0" fillId="0" borderId="58" xfId="0" applyBorder="1"/>
    <xf numFmtId="173" fontId="67" fillId="0" borderId="15" xfId="53" applyNumberFormat="1" applyFont="1" applyBorder="1"/>
    <xf numFmtId="0" fontId="56" fillId="22" borderId="59" xfId="0" applyFont="1" applyFill="1" applyBorder="1"/>
    <xf numFmtId="173" fontId="56" fillId="22" borderId="15" xfId="53" applyNumberFormat="1" applyFont="1" applyFill="1" applyBorder="1"/>
    <xf numFmtId="173" fontId="56" fillId="22" borderId="56" xfId="53" applyNumberFormat="1" applyFont="1" applyFill="1" applyBorder="1"/>
    <xf numFmtId="0" fontId="66" fillId="0" borderId="60" xfId="0" applyFont="1" applyBorder="1"/>
    <xf numFmtId="0" fontId="56" fillId="22" borderId="60" xfId="0" applyFont="1" applyFill="1" applyBorder="1"/>
    <xf numFmtId="173" fontId="56" fillId="22" borderId="56" xfId="0" applyNumberFormat="1" applyFont="1" applyFill="1" applyBorder="1"/>
    <xf numFmtId="173" fontId="68" fillId="22" borderId="15" xfId="0" applyNumberFormat="1" applyFont="1" applyFill="1" applyBorder="1"/>
    <xf numFmtId="173" fontId="68" fillId="22" borderId="56" xfId="0" applyNumberFormat="1" applyFont="1" applyFill="1" applyBorder="1"/>
    <xf numFmtId="0" fontId="66" fillId="0" borderId="15" xfId="0" applyFont="1" applyBorder="1"/>
    <xf numFmtId="0" fontId="66" fillId="0" borderId="56" xfId="0" applyFont="1" applyBorder="1"/>
    <xf numFmtId="0" fontId="66" fillId="22" borderId="56" xfId="0" applyFont="1" applyFill="1" applyBorder="1"/>
    <xf numFmtId="173" fontId="66" fillId="22" borderId="15" xfId="0" applyNumberFormat="1" applyFont="1" applyFill="1" applyBorder="1"/>
    <xf numFmtId="173" fontId="66" fillId="22" borderId="56" xfId="0" applyNumberFormat="1" applyFont="1" applyFill="1" applyBorder="1"/>
    <xf numFmtId="173" fontId="67" fillId="0" borderId="15" xfId="0" applyNumberFormat="1" applyFont="1" applyBorder="1"/>
    <xf numFmtId="173" fontId="67" fillId="0" borderId="56" xfId="0" applyNumberFormat="1" applyFont="1" applyBorder="1"/>
    <xf numFmtId="173" fontId="68" fillId="22" borderId="61" xfId="0" applyNumberFormat="1" applyFont="1" applyFill="1" applyBorder="1"/>
    <xf numFmtId="9" fontId="58" fillId="0" borderId="6" xfId="0" applyNumberFormat="1" applyFont="1" applyBorder="1" applyAlignment="1">
      <alignment horizontal="center" vertical="center" wrapText="1"/>
    </xf>
    <xf numFmtId="9" fontId="58" fillId="0" borderId="6" xfId="713" applyFont="1" applyBorder="1" applyAlignment="1">
      <alignment horizontal="center" vertical="center" wrapText="1"/>
    </xf>
    <xf numFmtId="174" fontId="20" fillId="23" borderId="5" xfId="186" applyNumberFormat="1" applyFont="1" applyFill="1" applyBorder="1" applyAlignment="1">
      <alignment wrapText="1"/>
    </xf>
    <xf numFmtId="43" fontId="20" fillId="0" borderId="5" xfId="186" applyFont="1" applyBorder="1" applyAlignment="1">
      <alignment wrapText="1"/>
    </xf>
    <xf numFmtId="171" fontId="58" fillId="0" borderId="6" xfId="713" applyNumberFormat="1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/>
    </xf>
    <xf numFmtId="0" fontId="29" fillId="0" borderId="6" xfId="0" applyFont="1" applyBorder="1"/>
    <xf numFmtId="49" fontId="29" fillId="0" borderId="6" xfId="56" applyNumberFormat="1" applyFont="1" applyFill="1" applyBorder="1" applyAlignment="1">
      <alignment horizontal="right"/>
    </xf>
    <xf numFmtId="175" fontId="29" fillId="0" borderId="6" xfId="56" applyNumberFormat="1" applyFont="1" applyFill="1" applyBorder="1" applyAlignment="1">
      <alignment horizontal="right"/>
    </xf>
    <xf numFmtId="0" fontId="28" fillId="8" borderId="12" xfId="0" applyFont="1" applyFill="1" applyBorder="1"/>
    <xf numFmtId="0" fontId="33" fillId="0" borderId="0" xfId="672" applyFont="1"/>
    <xf numFmtId="0" fontId="28" fillId="0" borderId="0" xfId="672" applyFont="1" applyAlignment="1">
      <alignment horizontal="center"/>
    </xf>
    <xf numFmtId="0" fontId="28" fillId="0" borderId="0" xfId="672" applyFont="1"/>
    <xf numFmtId="173" fontId="28" fillId="0" borderId="0" xfId="672" applyNumberFormat="1" applyFont="1"/>
    <xf numFmtId="0" fontId="27" fillId="0" borderId="0" xfId="672" applyFont="1"/>
    <xf numFmtId="0" fontId="27" fillId="0" borderId="16" xfId="672" applyFont="1" applyBorder="1"/>
    <xf numFmtId="0" fontId="27" fillId="0" borderId="17" xfId="672" applyFont="1" applyBorder="1" applyAlignment="1">
      <alignment horizontal="center"/>
    </xf>
    <xf numFmtId="0" fontId="27" fillId="0" borderId="18" xfId="672" applyFont="1" applyBorder="1"/>
    <xf numFmtId="0" fontId="27" fillId="11" borderId="19" xfId="672" applyFont="1" applyFill="1" applyBorder="1"/>
    <xf numFmtId="0" fontId="27" fillId="11" borderId="20" xfId="672" applyFont="1" applyFill="1" applyBorder="1" applyAlignment="1">
      <alignment horizontal="center"/>
    </xf>
    <xf numFmtId="0" fontId="27" fillId="11" borderId="0" xfId="672" applyFont="1" applyFill="1" applyAlignment="1">
      <alignment horizontal="center"/>
    </xf>
    <xf numFmtId="17" fontId="29" fillId="0" borderId="6" xfId="0" applyNumberFormat="1" applyFont="1" applyBorder="1"/>
    <xf numFmtId="17" fontId="69" fillId="0" borderId="6" xfId="0" applyNumberFormat="1" applyFont="1" applyBorder="1"/>
    <xf numFmtId="14" fontId="29" fillId="0" borderId="6" xfId="0" applyNumberFormat="1" applyFont="1" applyBorder="1"/>
    <xf numFmtId="16" fontId="29" fillId="0" borderId="6" xfId="0" applyNumberFormat="1" applyFont="1" applyBorder="1"/>
    <xf numFmtId="17" fontId="24" fillId="0" borderId="6" xfId="672" applyNumberFormat="1" applyFont="1" applyBorder="1"/>
    <xf numFmtId="17" fontId="24" fillId="0" borderId="6" xfId="672" applyNumberFormat="1" applyFont="1" applyBorder="1" applyAlignment="1">
      <alignment wrapText="1"/>
    </xf>
    <xf numFmtId="0" fontId="27" fillId="0" borderId="21" xfId="672" applyFont="1" applyBorder="1"/>
    <xf numFmtId="0" fontId="27" fillId="0" borderId="22" xfId="672" applyFont="1" applyBorder="1" applyAlignment="1">
      <alignment horizontal="center"/>
    </xf>
    <xf numFmtId="0" fontId="27" fillId="0" borderId="23" xfId="672" applyFont="1" applyBorder="1"/>
    <xf numFmtId="0" fontId="27" fillId="0" borderId="6" xfId="672" applyFont="1" applyBorder="1"/>
    <xf numFmtId="0" fontId="28" fillId="0" borderId="21" xfId="672" applyFont="1" applyBorder="1"/>
    <xf numFmtId="0" fontId="26" fillId="0" borderId="22" xfId="672" applyFont="1" applyBorder="1" applyAlignment="1">
      <alignment horizontal="center"/>
    </xf>
    <xf numFmtId="0" fontId="26" fillId="0" borderId="23" xfId="672" applyFont="1" applyBorder="1" applyAlignment="1">
      <alignment horizontal="center"/>
    </xf>
    <xf numFmtId="173" fontId="28" fillId="0" borderId="6" xfId="136" applyNumberFormat="1" applyFont="1" applyBorder="1" applyAlignment="1">
      <alignment horizontal="right"/>
    </xf>
    <xf numFmtId="43" fontId="28" fillId="0" borderId="6" xfId="136" applyFont="1" applyBorder="1" applyAlignment="1">
      <alignment horizontal="right"/>
    </xf>
    <xf numFmtId="171" fontId="26" fillId="0" borderId="6" xfId="715" applyNumberFormat="1" applyFont="1" applyBorder="1"/>
    <xf numFmtId="0" fontId="28" fillId="10" borderId="21" xfId="672" applyFont="1" applyFill="1" applyBorder="1"/>
    <xf numFmtId="9" fontId="26" fillId="0" borderId="22" xfId="715" applyFont="1" applyBorder="1" applyAlignment="1">
      <alignment horizontal="center"/>
    </xf>
    <xf numFmtId="9" fontId="26" fillId="0" borderId="23" xfId="715" applyFont="1" applyBorder="1" applyAlignment="1">
      <alignment horizontal="center"/>
    </xf>
    <xf numFmtId="171" fontId="26" fillId="0" borderId="10" xfId="715" applyNumberFormat="1" applyFont="1" applyBorder="1"/>
    <xf numFmtId="171" fontId="26" fillId="0" borderId="22" xfId="715" applyNumberFormat="1" applyFont="1" applyBorder="1" applyAlignment="1">
      <alignment horizontal="center"/>
    </xf>
    <xf numFmtId="0" fontId="28" fillId="0" borderId="23" xfId="672" applyFont="1" applyBorder="1"/>
    <xf numFmtId="14" fontId="27" fillId="11" borderId="6" xfId="672" applyNumberFormat="1" applyFont="1" applyFill="1" applyBorder="1" applyAlignment="1">
      <alignment horizontal="center"/>
    </xf>
    <xf numFmtId="171" fontId="26" fillId="0" borderId="23" xfId="715" applyNumberFormat="1" applyFont="1" applyBorder="1" applyAlignment="1">
      <alignment horizontal="center"/>
    </xf>
    <xf numFmtId="0" fontId="31" fillId="0" borderId="21" xfId="672" applyFont="1" applyBorder="1"/>
    <xf numFmtId="171" fontId="30" fillId="0" borderId="22" xfId="715" applyNumberFormat="1" applyFont="1" applyBorder="1" applyAlignment="1">
      <alignment horizontal="center"/>
    </xf>
    <xf numFmtId="171" fontId="30" fillId="0" borderId="23" xfId="715" applyNumberFormat="1" applyFont="1" applyBorder="1" applyAlignment="1">
      <alignment horizontal="center"/>
    </xf>
    <xf numFmtId="171" fontId="30" fillId="0" borderId="6" xfId="715" applyNumberFormat="1" applyFont="1" applyBorder="1"/>
    <xf numFmtId="0" fontId="28" fillId="0" borderId="22" xfId="672" applyFont="1" applyBorder="1" applyAlignment="1">
      <alignment horizontal="center"/>
    </xf>
    <xf numFmtId="171" fontId="26" fillId="0" borderId="6" xfId="715" applyNumberFormat="1" applyFont="1" applyBorder="1" applyAlignment="1">
      <alignment horizontal="right"/>
    </xf>
    <xf numFmtId="0" fontId="30" fillId="10" borderId="21" xfId="672" applyFont="1" applyFill="1" applyBorder="1"/>
    <xf numFmtId="9" fontId="26" fillId="0" borderId="6" xfId="715" applyFont="1" applyBorder="1" applyAlignment="1">
      <alignment horizontal="right"/>
    </xf>
    <xf numFmtId="9" fontId="28" fillId="0" borderId="6" xfId="718" applyFont="1" applyBorder="1" applyAlignment="1">
      <alignment horizontal="right"/>
    </xf>
    <xf numFmtId="173" fontId="26" fillId="0" borderId="6" xfId="56" applyNumberFormat="1" applyFont="1" applyBorder="1" applyAlignment="1">
      <alignment horizontal="right"/>
    </xf>
    <xf numFmtId="0" fontId="33" fillId="10" borderId="21" xfId="672" applyFont="1" applyFill="1" applyBorder="1"/>
    <xf numFmtId="14" fontId="27" fillId="11" borderId="6" xfId="672" applyNumberFormat="1" applyFont="1" applyFill="1" applyBorder="1" applyAlignment="1">
      <alignment horizontal="right"/>
    </xf>
    <xf numFmtId="9" fontId="28" fillId="0" borderId="6" xfId="715" applyFont="1" applyBorder="1" applyAlignment="1">
      <alignment horizontal="right"/>
    </xf>
    <xf numFmtId="0" fontId="28" fillId="0" borderId="6" xfId="672" applyFont="1" applyBorder="1" applyAlignment="1">
      <alignment horizontal="right"/>
    </xf>
    <xf numFmtId="9" fontId="26" fillId="0" borderId="22" xfId="672" applyNumberFormat="1" applyFont="1" applyBorder="1" applyAlignment="1">
      <alignment horizontal="center"/>
    </xf>
    <xf numFmtId="171" fontId="28" fillId="10" borderId="21" xfId="715" applyNumberFormat="1" applyFont="1" applyFill="1" applyBorder="1"/>
    <xf numFmtId="171" fontId="28" fillId="0" borderId="6" xfId="715" applyNumberFormat="1" applyFont="1" applyBorder="1" applyAlignment="1">
      <alignment horizontal="right"/>
    </xf>
    <xf numFmtId="0" fontId="28" fillId="10" borderId="24" xfId="672" applyFont="1" applyFill="1" applyBorder="1"/>
    <xf numFmtId="9" fontId="26" fillId="0" borderId="25" xfId="672" applyNumberFormat="1" applyFont="1" applyBorder="1" applyAlignment="1">
      <alignment horizontal="center"/>
    </xf>
    <xf numFmtId="0" fontId="26" fillId="0" borderId="26" xfId="672" applyFont="1" applyBorder="1" applyAlignment="1">
      <alignment horizontal="center"/>
    </xf>
    <xf numFmtId="171" fontId="26" fillId="0" borderId="12" xfId="715" applyNumberFormat="1" applyFont="1" applyBorder="1" applyAlignment="1">
      <alignment horizontal="right"/>
    </xf>
    <xf numFmtId="171" fontId="28" fillId="0" borderId="0" xfId="715" applyNumberFormat="1" applyFont="1" applyBorder="1"/>
    <xf numFmtId="0" fontId="61" fillId="21" borderId="6" xfId="0" applyFont="1" applyFill="1" applyBorder="1"/>
    <xf numFmtId="175" fontId="29" fillId="0" borderId="6" xfId="56" applyNumberFormat="1" applyFont="1" applyFill="1" applyBorder="1" applyAlignment="1">
      <alignment horizontal="right" wrapText="1"/>
    </xf>
    <xf numFmtId="0" fontId="36" fillId="0" borderId="6" xfId="0" applyFont="1" applyBorder="1" applyAlignment="1" applyProtection="1">
      <alignment vertical="top" wrapText="1" readingOrder="1"/>
      <protection locked="0"/>
    </xf>
    <xf numFmtId="0" fontId="27" fillId="0" borderId="6" xfId="0" applyFont="1" applyBorder="1" applyAlignment="1" applyProtection="1">
      <alignment vertical="top" wrapText="1" readingOrder="1"/>
      <protection locked="0"/>
    </xf>
    <xf numFmtId="0" fontId="26" fillId="0" borderId="6" xfId="0" applyFont="1" applyBorder="1" applyAlignment="1" applyProtection="1">
      <alignment vertical="top" wrapText="1" readingOrder="1"/>
      <protection locked="0"/>
    </xf>
    <xf numFmtId="0" fontId="70" fillId="0" borderId="6" xfId="0" applyFont="1" applyBorder="1"/>
    <xf numFmtId="0" fontId="70" fillId="0" borderId="5" xfId="494" applyFont="1" applyBorder="1" applyAlignment="1">
      <alignment wrapText="1"/>
    </xf>
    <xf numFmtId="164" fontId="70" fillId="0" borderId="5" xfId="187" applyNumberFormat="1" applyFont="1" applyBorder="1" applyAlignment="1">
      <alignment wrapText="1"/>
    </xf>
    <xf numFmtId="0" fontId="16" fillId="0" borderId="0" xfId="494" applyFont="1" applyAlignment="1">
      <alignment wrapText="1"/>
    </xf>
    <xf numFmtId="43" fontId="2" fillId="0" borderId="0" xfId="186" applyBorder="1" applyAlignment="1">
      <alignment wrapText="1"/>
    </xf>
    <xf numFmtId="9" fontId="48" fillId="0" borderId="0" xfId="713" applyFont="1"/>
    <xf numFmtId="0" fontId="3" fillId="0" borderId="6" xfId="0" applyFont="1" applyBorder="1" applyAlignment="1" applyProtection="1">
      <alignment vertical="top" wrapText="1" readingOrder="1"/>
      <protection locked="0"/>
    </xf>
    <xf numFmtId="43" fontId="4" fillId="0" borderId="6" xfId="53" applyFont="1" applyBorder="1" applyAlignment="1" applyProtection="1">
      <alignment vertical="top" wrapText="1" readingOrder="1"/>
      <protection locked="0"/>
    </xf>
    <xf numFmtId="43" fontId="5" fillId="0" borderId="6" xfId="53" applyFont="1" applyBorder="1" applyAlignment="1" applyProtection="1">
      <alignment vertical="top" wrapText="1" readingOrder="1"/>
      <protection locked="0"/>
    </xf>
    <xf numFmtId="43" fontId="4" fillId="12" borderId="6" xfId="53" applyFont="1" applyFill="1" applyBorder="1" applyAlignment="1" applyProtection="1">
      <alignment vertical="top" wrapText="1" readingOrder="1"/>
      <protection locked="0"/>
    </xf>
    <xf numFmtId="43" fontId="48" fillId="0" borderId="6" xfId="53" applyFont="1" applyBorder="1"/>
    <xf numFmtId="0" fontId="71" fillId="0" borderId="0" xfId="0" applyFont="1"/>
    <xf numFmtId="17" fontId="69" fillId="0" borderId="0" xfId="0" applyNumberFormat="1" applyFont="1"/>
    <xf numFmtId="0" fontId="65" fillId="0" borderId="5" xfId="540" applyFont="1" applyBorder="1" applyAlignment="1">
      <alignment horizontal="left" vertical="top" wrapText="1"/>
    </xf>
    <xf numFmtId="0" fontId="61" fillId="0" borderId="5" xfId="494" applyFont="1" applyBorder="1" applyAlignment="1">
      <alignment wrapText="1"/>
    </xf>
    <xf numFmtId="9" fontId="72" fillId="0" borderId="5" xfId="713" applyFont="1" applyBorder="1" applyAlignment="1">
      <alignment horizontal="center" wrapText="1"/>
    </xf>
    <xf numFmtId="43" fontId="72" fillId="0" borderId="5" xfId="186" applyFont="1" applyBorder="1" applyAlignment="1">
      <alignment wrapText="1"/>
    </xf>
    <xf numFmtId="0" fontId="65" fillId="0" borderId="5" xfId="494" applyFont="1" applyBorder="1" applyAlignment="1">
      <alignment wrapText="1"/>
    </xf>
    <xf numFmtId="177" fontId="73" fillId="0" borderId="5" xfId="494" applyNumberFormat="1" applyFont="1" applyBorder="1" applyAlignment="1">
      <alignment wrapText="1"/>
    </xf>
    <xf numFmtId="43" fontId="74" fillId="0" borderId="5" xfId="186" applyFont="1" applyBorder="1" applyAlignment="1">
      <alignment wrapText="1"/>
    </xf>
    <xf numFmtId="43" fontId="71" fillId="0" borderId="0" xfId="0" applyNumberFormat="1" applyFont="1"/>
    <xf numFmtId="0" fontId="71" fillId="0" borderId="5" xfId="494" applyFont="1" applyBorder="1" applyAlignment="1">
      <alignment wrapText="1"/>
    </xf>
    <xf numFmtId="164" fontId="71" fillId="0" borderId="5" xfId="187" applyNumberFormat="1" applyFont="1" applyBorder="1" applyAlignment="1">
      <alignment wrapText="1"/>
    </xf>
    <xf numFmtId="174" fontId="74" fillId="23" borderId="5" xfId="186" applyNumberFormat="1" applyFont="1" applyFill="1" applyBorder="1" applyAlignment="1">
      <alignment wrapText="1"/>
    </xf>
    <xf numFmtId="0" fontId="65" fillId="0" borderId="0" xfId="494" applyFont="1" applyAlignment="1">
      <alignment wrapText="1"/>
    </xf>
    <xf numFmtId="43" fontId="72" fillId="0" borderId="0" xfId="186" applyFont="1" applyBorder="1" applyAlignment="1">
      <alignment wrapText="1"/>
    </xf>
    <xf numFmtId="9" fontId="71" fillId="0" borderId="0" xfId="713" applyFont="1"/>
    <xf numFmtId="43" fontId="72" fillId="0" borderId="5" xfId="186" applyFont="1" applyBorder="1" applyAlignment="1">
      <alignment horizontal="center" wrapText="1"/>
    </xf>
    <xf numFmtId="17" fontId="69" fillId="0" borderId="0" xfId="0" applyNumberFormat="1" applyFont="1" applyAlignment="1">
      <alignment horizontal="right"/>
    </xf>
    <xf numFmtId="1" fontId="61" fillId="0" borderId="5" xfId="494" applyNumberFormat="1" applyFont="1" applyBorder="1" applyAlignment="1">
      <alignment wrapText="1"/>
    </xf>
    <xf numFmtId="43" fontId="61" fillId="0" borderId="5" xfId="53" applyFont="1" applyBorder="1" applyAlignment="1">
      <alignment wrapText="1"/>
    </xf>
    <xf numFmtId="0" fontId="0" fillId="0" borderId="0" xfId="0" applyProtection="1">
      <protection locked="0"/>
    </xf>
    <xf numFmtId="0" fontId="0" fillId="23" borderId="0" xfId="0" applyFill="1" applyProtection="1">
      <protection locked="0"/>
    </xf>
    <xf numFmtId="171" fontId="2" fillId="0" borderId="0" xfId="715" applyNumberFormat="1" applyFont="1" applyProtection="1">
      <protection locked="0"/>
    </xf>
    <xf numFmtId="0" fontId="75" fillId="0" borderId="10" xfId="0" applyFont="1" applyBorder="1"/>
    <xf numFmtId="171" fontId="75" fillId="0" borderId="6" xfId="713" applyNumberFormat="1" applyFont="1" applyBorder="1" applyProtection="1"/>
    <xf numFmtId="171" fontId="75" fillId="0" borderId="6" xfId="713" applyNumberFormat="1" applyFont="1" applyBorder="1" applyAlignment="1" applyProtection="1">
      <alignment horizontal="right"/>
    </xf>
    <xf numFmtId="43" fontId="15" fillId="0" borderId="6" xfId="53" applyFont="1" applyBorder="1" applyProtection="1">
      <protection locked="0"/>
    </xf>
    <xf numFmtId="43" fontId="28" fillId="0" borderId="6" xfId="53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57" fillId="0" borderId="0" xfId="0" applyFont="1" applyProtection="1">
      <protection locked="0"/>
    </xf>
    <xf numFmtId="43" fontId="15" fillId="0" borderId="6" xfId="248" applyFont="1" applyBorder="1" applyProtection="1">
      <protection locked="0"/>
    </xf>
    <xf numFmtId="0" fontId="76" fillId="23" borderId="28" xfId="0" applyFont="1" applyFill="1" applyBorder="1"/>
    <xf numFmtId="9" fontId="28" fillId="0" borderId="0" xfId="713" applyFont="1" applyBorder="1"/>
    <xf numFmtId="17" fontId="24" fillId="0" borderId="6" xfId="672" applyNumberFormat="1" applyFont="1" applyBorder="1" applyAlignment="1">
      <alignment horizontal="left" wrapText="1"/>
    </xf>
    <xf numFmtId="177" fontId="70" fillId="0" borderId="5" xfId="494" applyNumberFormat="1" applyFont="1" applyBorder="1" applyAlignment="1">
      <alignment wrapText="1"/>
    </xf>
    <xf numFmtId="17" fontId="24" fillId="9" borderId="6" xfId="0" applyNumberFormat="1" applyFont="1" applyFill="1" applyBorder="1" applyAlignment="1" applyProtection="1">
      <alignment vertical="top" wrapText="1" readingOrder="1"/>
      <protection locked="0"/>
    </xf>
    <xf numFmtId="43" fontId="24" fillId="22" borderId="6" xfId="53" applyFont="1" applyFill="1" applyBorder="1" applyAlignment="1" applyProtection="1">
      <alignment vertical="top" wrapText="1" readingOrder="1"/>
      <protection locked="0"/>
    </xf>
    <xf numFmtId="17" fontId="25" fillId="9" borderId="22" xfId="0" applyNumberFormat="1" applyFont="1" applyFill="1" applyBorder="1" applyAlignment="1" applyProtection="1">
      <alignment vertical="top" wrapText="1" readingOrder="1"/>
      <protection locked="0"/>
    </xf>
    <xf numFmtId="43" fontId="25" fillId="22" borderId="22" xfId="53" applyFont="1" applyFill="1" applyBorder="1" applyAlignment="1" applyProtection="1">
      <alignment vertical="top" wrapText="1" readingOrder="1"/>
      <protection locked="0"/>
    </xf>
    <xf numFmtId="0" fontId="70" fillId="0" borderId="22" xfId="0" applyFont="1" applyBorder="1" applyAlignment="1">
      <alignment wrapText="1" readingOrder="1"/>
    </xf>
    <xf numFmtId="165" fontId="70" fillId="0" borderId="22" xfId="0" applyNumberFormat="1" applyFont="1" applyBorder="1" applyAlignment="1">
      <alignment wrapText="1" readingOrder="1"/>
    </xf>
    <xf numFmtId="43" fontId="24" fillId="0" borderId="6" xfId="53" applyFont="1" applyBorder="1" applyAlignment="1" applyProtection="1">
      <alignment vertical="top" wrapText="1" readingOrder="1"/>
      <protection locked="0"/>
    </xf>
    <xf numFmtId="43" fontId="24" fillId="24" borderId="6" xfId="53" applyFont="1" applyFill="1" applyBorder="1" applyAlignment="1" applyProtection="1">
      <alignment vertical="top" wrapText="1" readingOrder="1"/>
      <protection locked="0"/>
    </xf>
    <xf numFmtId="166" fontId="39" fillId="0" borderId="29" xfId="0" applyNumberFormat="1" applyFont="1" applyBorder="1" applyAlignment="1" applyProtection="1">
      <alignment vertical="top" wrapText="1" readingOrder="1"/>
      <protection locked="0"/>
    </xf>
    <xf numFmtId="0" fontId="15" fillId="0" borderId="5" xfId="494" applyFont="1" applyBorder="1"/>
    <xf numFmtId="43" fontId="77" fillId="0" borderId="6" xfId="53" applyFont="1" applyBorder="1"/>
    <xf numFmtId="43" fontId="24" fillId="9" borderId="6" xfId="53" applyFont="1" applyFill="1" applyBorder="1" applyAlignment="1" applyProtection="1">
      <alignment vertical="top" wrapText="1" readingOrder="1"/>
      <protection locked="0"/>
    </xf>
    <xf numFmtId="0" fontId="55" fillId="0" borderId="6" xfId="0" applyFont="1" applyBorder="1" applyAlignment="1" applyProtection="1">
      <alignment horizontal="right"/>
      <protection locked="0"/>
    </xf>
    <xf numFmtId="17" fontId="55" fillId="0" borderId="0" xfId="0" applyNumberFormat="1" applyFont="1" applyProtection="1">
      <protection locked="0"/>
    </xf>
    <xf numFmtId="17" fontId="55" fillId="0" borderId="9" xfId="0" applyNumberFormat="1" applyFont="1" applyBorder="1" applyAlignment="1" applyProtection="1">
      <alignment horizontal="right" wrapText="1"/>
      <protection locked="0"/>
    </xf>
    <xf numFmtId="0" fontId="0" fillId="0" borderId="6" xfId="0" applyBorder="1" applyAlignment="1" applyProtection="1">
      <alignment horizontal="center"/>
      <protection locked="0"/>
    </xf>
    <xf numFmtId="171" fontId="48" fillId="0" borderId="0" xfId="715" applyNumberFormat="1" applyFont="1" applyProtection="1">
      <protection locked="0"/>
    </xf>
    <xf numFmtId="0" fontId="70" fillId="23" borderId="10" xfId="0" applyFont="1" applyFill="1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0" fillId="0" borderId="6" xfId="0" applyBorder="1" applyProtection="1">
      <protection locked="0"/>
    </xf>
    <xf numFmtId="0" fontId="0" fillId="0" borderId="23" xfId="0" applyBorder="1" applyProtection="1">
      <protection locked="0"/>
    </xf>
    <xf numFmtId="0" fontId="57" fillId="0" borderId="9" xfId="0" applyFont="1" applyBorder="1" applyProtection="1">
      <protection locked="0"/>
    </xf>
    <xf numFmtId="0" fontId="57" fillId="0" borderId="9" xfId="0" applyFont="1" applyBorder="1" applyAlignment="1" applyProtection="1">
      <alignment horizontal="left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0" borderId="26" xfId="0" applyBorder="1" applyProtection="1">
      <protection locked="0"/>
    </xf>
    <xf numFmtId="0" fontId="57" fillId="0" borderId="13" xfId="0" applyFont="1" applyBorder="1" applyProtection="1">
      <protection locked="0"/>
    </xf>
    <xf numFmtId="0" fontId="70" fillId="0" borderId="10" xfId="0" applyFont="1" applyBorder="1"/>
    <xf numFmtId="0" fontId="70" fillId="0" borderId="6" xfId="0" applyFont="1" applyBorder="1" applyAlignment="1">
      <alignment horizontal="center"/>
    </xf>
    <xf numFmtId="9" fontId="70" fillId="0" borderId="6" xfId="0" applyNumberFormat="1" applyFont="1" applyBorder="1" applyAlignment="1">
      <alignment horizontal="center"/>
    </xf>
    <xf numFmtId="171" fontId="48" fillId="23" borderId="6" xfId="713" applyNumberFormat="1" applyFont="1" applyFill="1" applyBorder="1" applyAlignment="1" applyProtection="1">
      <alignment horizontal="right"/>
    </xf>
    <xf numFmtId="0" fontId="70" fillId="23" borderId="10" xfId="0" applyFont="1" applyFill="1" applyBorder="1"/>
    <xf numFmtId="0" fontId="70" fillId="23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70" fillId="23" borderId="10" xfId="0" applyFont="1" applyFill="1" applyBorder="1" applyAlignment="1">
      <alignment horizontal="left"/>
    </xf>
    <xf numFmtId="9" fontId="70" fillId="23" borderId="6" xfId="0" applyNumberFormat="1" applyFont="1" applyFill="1" applyBorder="1" applyAlignment="1">
      <alignment horizontal="center"/>
    </xf>
    <xf numFmtId="0" fontId="57" fillId="0" borderId="6" xfId="0" applyFont="1" applyBorder="1" applyAlignment="1">
      <alignment horizontal="center"/>
    </xf>
    <xf numFmtId="0" fontId="55" fillId="0" borderId="10" xfId="0" applyFont="1" applyBorder="1" applyAlignment="1">
      <alignment horizontal="center"/>
    </xf>
    <xf numFmtId="43" fontId="75" fillId="0" borderId="6" xfId="53" applyFont="1" applyBorder="1" applyAlignment="1" applyProtection="1">
      <alignment horizontal="center"/>
    </xf>
    <xf numFmtId="0" fontId="55" fillId="23" borderId="10" xfId="0" applyFont="1" applyFill="1" applyBorder="1"/>
    <xf numFmtId="0" fontId="55" fillId="23" borderId="27" xfId="0" applyFont="1" applyFill="1" applyBorder="1"/>
    <xf numFmtId="0" fontId="55" fillId="23" borderId="11" xfId="0" applyFont="1" applyFill="1" applyBorder="1"/>
    <xf numFmtId="171" fontId="70" fillId="23" borderId="6" xfId="713" applyNumberFormat="1" applyFont="1" applyFill="1" applyBorder="1" applyAlignment="1" applyProtection="1">
      <alignment horizontal="right"/>
    </xf>
    <xf numFmtId="171" fontId="70" fillId="0" borderId="6" xfId="713" applyNumberFormat="1" applyFont="1" applyFill="1" applyBorder="1" applyAlignment="1" applyProtection="1">
      <alignment horizontal="right"/>
    </xf>
    <xf numFmtId="0" fontId="55" fillId="0" borderId="23" xfId="0" applyFont="1" applyBorder="1" applyAlignment="1">
      <alignment horizontal="right"/>
    </xf>
    <xf numFmtId="0" fontId="0" fillId="0" borderId="9" xfId="0" applyBorder="1" applyProtection="1">
      <protection locked="0"/>
    </xf>
    <xf numFmtId="0" fontId="78" fillId="23" borderId="28" xfId="0" applyFont="1" applyFill="1" applyBorder="1"/>
    <xf numFmtId="43" fontId="48" fillId="0" borderId="0" xfId="53" applyFont="1"/>
    <xf numFmtId="0" fontId="15" fillId="21" borderId="5" xfId="494" applyFont="1" applyFill="1" applyBorder="1"/>
    <xf numFmtId="173" fontId="70" fillId="0" borderId="6" xfId="56" applyNumberFormat="1" applyFont="1" applyBorder="1" applyAlignment="1" applyProtection="1">
      <alignment horizontal="right"/>
    </xf>
    <xf numFmtId="171" fontId="70" fillId="0" borderId="6" xfId="713" applyNumberFormat="1" applyFont="1" applyBorder="1" applyAlignment="1" applyProtection="1">
      <alignment horizontal="right"/>
    </xf>
    <xf numFmtId="43" fontId="75" fillId="0" borderId="6" xfId="53" applyFont="1" applyBorder="1" applyProtection="1">
      <protection locked="0"/>
    </xf>
    <xf numFmtId="165" fontId="39" fillId="0" borderId="29" xfId="582" applyNumberFormat="1" applyFont="1" applyBorder="1" applyAlignment="1" applyProtection="1">
      <alignment vertical="top" wrapText="1" readingOrder="1"/>
      <protection locked="0"/>
    </xf>
    <xf numFmtId="165" fontId="39" fillId="0" borderId="29" xfId="620" applyNumberFormat="1" applyFont="1" applyBorder="1" applyAlignment="1" applyProtection="1">
      <alignment vertical="top" wrapText="1" readingOrder="1"/>
      <protection locked="0"/>
    </xf>
    <xf numFmtId="166" fontId="39" fillId="0" borderId="29" xfId="620" applyNumberFormat="1" applyFont="1" applyBorder="1" applyAlignment="1" applyProtection="1">
      <alignment vertical="top" wrapText="1" readingOrder="1"/>
      <protection locked="0"/>
    </xf>
    <xf numFmtId="43" fontId="71" fillId="0" borderId="0" xfId="53" applyFont="1"/>
    <xf numFmtId="10" fontId="71" fillId="0" borderId="0" xfId="713" applyNumberFormat="1" applyFont="1"/>
    <xf numFmtId="9" fontId="28" fillId="0" borderId="0" xfId="713" applyFont="1"/>
    <xf numFmtId="9" fontId="28" fillId="0" borderId="6" xfId="713" applyFont="1" applyBorder="1"/>
    <xf numFmtId="164" fontId="0" fillId="0" borderId="0" xfId="0" applyNumberFormat="1"/>
    <xf numFmtId="17" fontId="55" fillId="0" borderId="6" xfId="0" applyNumberFormat="1" applyFont="1" applyBorder="1" applyAlignment="1" applyProtection="1">
      <alignment horizontal="right"/>
      <protection locked="0"/>
    </xf>
    <xf numFmtId="165" fontId="43" fillId="0" borderId="29" xfId="0" applyNumberFormat="1" applyFont="1" applyBorder="1" applyAlignment="1" applyProtection="1">
      <alignment vertical="top" wrapText="1" readingOrder="1"/>
      <protection locked="0"/>
    </xf>
    <xf numFmtId="166" fontId="43" fillId="0" borderId="29" xfId="0" applyNumberFormat="1" applyFont="1" applyBorder="1" applyAlignment="1" applyProtection="1">
      <alignment vertical="top" wrapText="1" readingOrder="1"/>
      <protection locked="0"/>
    </xf>
    <xf numFmtId="43" fontId="39" fillId="0" borderId="29" xfId="53" applyFont="1" applyBorder="1" applyAlignment="1" applyProtection="1">
      <alignment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17" fillId="0" borderId="0" xfId="0" applyFont="1" applyAlignment="1" applyProtection="1">
      <alignment vertical="top" wrapText="1" readingOrder="1"/>
      <protection locked="0"/>
    </xf>
    <xf numFmtId="165" fontId="44" fillId="0" borderId="29" xfId="0" applyNumberFormat="1" applyFont="1" applyBorder="1" applyAlignment="1" applyProtection="1">
      <alignment vertical="top" wrapText="1" readingOrder="1"/>
      <protection locked="0"/>
    </xf>
    <xf numFmtId="165" fontId="44" fillId="13" borderId="29" xfId="0" applyNumberFormat="1" applyFont="1" applyFill="1" applyBorder="1" applyAlignment="1" applyProtection="1">
      <alignment vertical="top" wrapText="1" readingOrder="1"/>
      <protection locked="0"/>
    </xf>
    <xf numFmtId="165" fontId="43" fillId="0" borderId="0" xfId="0" applyNumberFormat="1" applyFont="1" applyAlignment="1" applyProtection="1">
      <alignment vertical="top" wrapText="1" readingOrder="1"/>
      <protection locked="0"/>
    </xf>
    <xf numFmtId="0" fontId="79" fillId="0" borderId="0" xfId="0" applyFont="1"/>
    <xf numFmtId="165" fontId="43" fillId="0" borderId="30" xfId="0" applyNumberFormat="1" applyFont="1" applyBorder="1" applyAlignment="1" applyProtection="1">
      <alignment vertical="top" wrapText="1" readingOrder="1"/>
      <protection locked="0"/>
    </xf>
    <xf numFmtId="165" fontId="43" fillId="0" borderId="31" xfId="0" applyNumberFormat="1" applyFont="1" applyBorder="1" applyAlignment="1" applyProtection="1">
      <alignment vertical="top" wrapText="1" readingOrder="1"/>
      <protection locked="0"/>
    </xf>
    <xf numFmtId="165" fontId="43" fillId="0" borderId="32" xfId="0" applyNumberFormat="1" applyFont="1" applyBorder="1" applyAlignment="1" applyProtection="1">
      <alignment vertical="top" wrapText="1" readingOrder="1"/>
      <protection locked="0"/>
    </xf>
    <xf numFmtId="165" fontId="43" fillId="0" borderId="33" xfId="0" applyNumberFormat="1" applyFont="1" applyBorder="1" applyAlignment="1" applyProtection="1">
      <alignment vertical="top" wrapText="1" readingOrder="1"/>
      <protection locked="0"/>
    </xf>
    <xf numFmtId="166" fontId="43" fillId="0" borderId="6" xfId="0" applyNumberFormat="1" applyFont="1" applyBorder="1" applyAlignment="1" applyProtection="1">
      <alignment vertical="top" wrapText="1" readingOrder="1"/>
      <protection locked="0"/>
    </xf>
    <xf numFmtId="43" fontId="79" fillId="0" borderId="0" xfId="53" applyFont="1" applyBorder="1"/>
    <xf numFmtId="43" fontId="43" fillId="0" borderId="29" xfId="53" applyFont="1" applyBorder="1" applyAlignment="1" applyProtection="1">
      <alignment vertical="top" wrapText="1" readingOrder="1"/>
      <protection locked="0"/>
    </xf>
    <xf numFmtId="173" fontId="79" fillId="25" borderId="6" xfId="53" applyNumberFormat="1" applyFont="1" applyFill="1" applyBorder="1" applyAlignment="1" applyProtection="1">
      <alignment horizontal="left" vertical="top" wrapText="1" readingOrder="1"/>
      <protection locked="0"/>
    </xf>
    <xf numFmtId="173" fontId="61" fillId="0" borderId="6" xfId="53" applyNumberFormat="1" applyFont="1" applyBorder="1"/>
    <xf numFmtId="173" fontId="61" fillId="0" borderId="6" xfId="53" applyNumberFormat="1" applyFont="1" applyFill="1" applyBorder="1"/>
    <xf numFmtId="43" fontId="80" fillId="0" borderId="6" xfId="53" applyFont="1" applyFill="1" applyBorder="1"/>
    <xf numFmtId="43" fontId="80" fillId="0" borderId="6" xfId="56" applyFont="1" applyFill="1" applyBorder="1"/>
    <xf numFmtId="43" fontId="81" fillId="23" borderId="6" xfId="53" applyFont="1" applyFill="1" applyBorder="1" applyAlignment="1" applyProtection="1">
      <alignment vertical="top" wrapText="1" readingOrder="1"/>
      <protection locked="0"/>
    </xf>
    <xf numFmtId="43" fontId="79" fillId="25" borderId="6" xfId="53" applyFont="1" applyFill="1" applyBorder="1" applyAlignment="1" applyProtection="1">
      <alignment horizontal="left" vertical="top" wrapText="1" readingOrder="1"/>
      <protection locked="0"/>
    </xf>
    <xf numFmtId="43" fontId="61" fillId="0" borderId="6" xfId="53" applyFont="1" applyFill="1" applyBorder="1"/>
    <xf numFmtId="173" fontId="80" fillId="0" borderId="6" xfId="53" applyNumberFormat="1" applyFont="1" applyBorder="1"/>
    <xf numFmtId="173" fontId="79" fillId="0" borderId="6" xfId="53" applyNumberFormat="1" applyFont="1" applyFill="1" applyBorder="1" applyAlignment="1" applyProtection="1">
      <alignment horizontal="left" vertical="top" wrapText="1" readingOrder="1"/>
      <protection locked="0"/>
    </xf>
    <xf numFmtId="173" fontId="80" fillId="0" borderId="6" xfId="53" applyNumberFormat="1" applyFont="1" applyFill="1" applyBorder="1"/>
    <xf numFmtId="43" fontId="61" fillId="0" borderId="6" xfId="53" applyFont="1" applyBorder="1"/>
    <xf numFmtId="43" fontId="82" fillId="23" borderId="6" xfId="53" applyFont="1" applyFill="1" applyBorder="1" applyAlignment="1" applyProtection="1">
      <alignment vertical="top" wrapText="1" readingOrder="1"/>
      <protection locked="0"/>
    </xf>
    <xf numFmtId="173" fontId="72" fillId="0" borderId="6" xfId="53" applyNumberFormat="1" applyFont="1" applyFill="1" applyBorder="1"/>
    <xf numFmtId="173" fontId="79" fillId="0" borderId="6" xfId="53" applyNumberFormat="1" applyFont="1" applyFill="1" applyBorder="1"/>
    <xf numFmtId="43" fontId="83" fillId="23" borderId="6" xfId="53" applyFont="1" applyFill="1" applyBorder="1" applyAlignment="1" applyProtection="1">
      <alignment vertical="top" wrapText="1" readingOrder="1"/>
      <protection locked="0"/>
    </xf>
    <xf numFmtId="173" fontId="79" fillId="0" borderId="6" xfId="53" applyNumberFormat="1" applyFont="1" applyBorder="1"/>
    <xf numFmtId="173" fontId="83" fillId="23" borderId="6" xfId="53" applyNumberFormat="1" applyFont="1" applyFill="1" applyBorder="1" applyAlignment="1" applyProtection="1">
      <alignment vertical="top" wrapText="1" readingOrder="1"/>
      <protection locked="0"/>
    </xf>
    <xf numFmtId="43" fontId="79" fillId="0" borderId="6" xfId="53" applyFont="1" applyBorder="1"/>
    <xf numFmtId="173" fontId="79" fillId="23" borderId="6" xfId="53" applyNumberFormat="1" applyFont="1" applyFill="1" applyBorder="1" applyAlignment="1" applyProtection="1">
      <alignment vertical="top" wrapText="1" readingOrder="1"/>
      <protection locked="0"/>
    </xf>
    <xf numFmtId="43" fontId="79" fillId="0" borderId="23" xfId="53" applyFont="1" applyBorder="1"/>
    <xf numFmtId="43" fontId="83" fillId="23" borderId="23" xfId="53" applyFont="1" applyFill="1" applyBorder="1" applyAlignment="1" applyProtection="1">
      <alignment vertical="top" wrapText="1" readingOrder="1"/>
      <protection locked="0"/>
    </xf>
    <xf numFmtId="43" fontId="79" fillId="23" borderId="23" xfId="53" applyFont="1" applyFill="1" applyBorder="1" applyAlignment="1" applyProtection="1">
      <alignment vertical="top" wrapText="1" readingOrder="1"/>
      <protection locked="0"/>
    </xf>
    <xf numFmtId="43" fontId="79" fillId="23" borderId="6" xfId="53" applyFont="1" applyFill="1" applyBorder="1"/>
    <xf numFmtId="173" fontId="79" fillId="0" borderId="23" xfId="53" applyNumberFormat="1" applyFont="1" applyBorder="1"/>
    <xf numFmtId="165" fontId="84" fillId="0" borderId="6" xfId="0" applyNumberFormat="1" applyFont="1" applyBorder="1" applyAlignment="1" applyProtection="1">
      <alignment vertical="top" wrapText="1" readingOrder="1"/>
      <protection locked="0"/>
    </xf>
    <xf numFmtId="166" fontId="84" fillId="0" borderId="6" xfId="0" applyNumberFormat="1" applyFont="1" applyBorder="1" applyAlignment="1" applyProtection="1">
      <alignment vertical="top" wrapText="1" readingOrder="1"/>
      <protection locked="0"/>
    </xf>
    <xf numFmtId="165" fontId="84" fillId="13" borderId="6" xfId="0" applyNumberFormat="1" applyFont="1" applyFill="1" applyBorder="1" applyAlignment="1" applyProtection="1">
      <alignment vertical="top" wrapText="1" readingOrder="1"/>
      <protection locked="0"/>
    </xf>
    <xf numFmtId="173" fontId="79" fillId="0" borderId="6" xfId="53" applyNumberFormat="1" applyFont="1" applyFill="1" applyBorder="1" applyAlignment="1" applyProtection="1">
      <alignment vertical="top" wrapText="1" readingOrder="1"/>
      <protection locked="0"/>
    </xf>
    <xf numFmtId="173" fontId="83" fillId="0" borderId="6" xfId="53" applyNumberFormat="1" applyFont="1" applyFill="1" applyBorder="1" applyAlignment="1" applyProtection="1">
      <alignment vertical="top" wrapText="1" readingOrder="1"/>
      <protection locked="0"/>
    </xf>
    <xf numFmtId="167" fontId="45" fillId="0" borderId="5" xfId="54" applyFont="1" applyFill="1" applyBorder="1" applyAlignment="1" applyProtection="1">
      <protection locked="0"/>
    </xf>
    <xf numFmtId="167" fontId="46" fillId="14" borderId="5" xfId="54" applyFont="1" applyFill="1" applyBorder="1" applyAlignment="1" applyProtection="1">
      <protection locked="0"/>
    </xf>
    <xf numFmtId="0" fontId="45" fillId="0" borderId="0" xfId="0" applyFont="1" applyProtection="1">
      <protection locked="0"/>
    </xf>
    <xf numFmtId="178" fontId="85" fillId="0" borderId="0" xfId="0" applyNumberFormat="1" applyFont="1" applyAlignment="1" applyProtection="1">
      <alignment vertical="center" wrapText="1" readingOrder="1"/>
      <protection locked="0"/>
    </xf>
    <xf numFmtId="167" fontId="45" fillId="0" borderId="34" xfId="54" applyFont="1" applyFill="1" applyBorder="1" applyAlignment="1" applyProtection="1">
      <protection locked="0"/>
    </xf>
    <xf numFmtId="43" fontId="39" fillId="0" borderId="31" xfId="53" applyFont="1" applyBorder="1" applyAlignment="1" applyProtection="1">
      <alignment vertical="top" wrapText="1" readingOrder="1"/>
      <protection locked="0"/>
    </xf>
    <xf numFmtId="165" fontId="5" fillId="0" borderId="29" xfId="0" applyNumberFormat="1" applyFont="1" applyBorder="1" applyAlignment="1" applyProtection="1">
      <alignment vertical="top" wrapText="1" readingOrder="1"/>
      <protection locked="0"/>
    </xf>
    <xf numFmtId="165" fontId="5" fillId="13" borderId="29" xfId="0" applyNumberFormat="1" applyFont="1" applyFill="1" applyBorder="1" applyAlignment="1" applyProtection="1">
      <alignment vertical="top" wrapText="1" readingOrder="1"/>
      <protection locked="0"/>
    </xf>
    <xf numFmtId="178" fontId="86" fillId="23" borderId="0" xfId="0" applyNumberFormat="1" applyFont="1" applyFill="1" applyAlignment="1" applyProtection="1">
      <alignment vertical="center" wrapText="1" readingOrder="1"/>
      <protection locked="0"/>
    </xf>
    <xf numFmtId="167" fontId="45" fillId="23" borderId="5" xfId="54" applyFont="1" applyFill="1" applyBorder="1" applyAlignment="1" applyProtection="1">
      <protection locked="0"/>
    </xf>
    <xf numFmtId="167" fontId="46" fillId="26" borderId="5" xfId="54" applyFont="1" applyFill="1" applyBorder="1" applyAlignment="1" applyProtection="1">
      <protection locked="0"/>
    </xf>
    <xf numFmtId="165" fontId="39" fillId="23" borderId="29" xfId="0" applyNumberFormat="1" applyFont="1" applyFill="1" applyBorder="1" applyAlignment="1" applyProtection="1">
      <alignment vertical="top" wrapText="1" readingOrder="1"/>
      <protection locked="0"/>
    </xf>
    <xf numFmtId="0" fontId="79" fillId="23" borderId="0" xfId="0" applyFont="1" applyFill="1"/>
    <xf numFmtId="167" fontId="47" fillId="23" borderId="5" xfId="54" applyFont="1" applyFill="1" applyBorder="1" applyAlignment="1" applyProtection="1">
      <protection locked="0"/>
    </xf>
    <xf numFmtId="167" fontId="28" fillId="23" borderId="5" xfId="54" applyFont="1" applyFill="1" applyBorder="1" applyAlignment="1" applyProtection="1">
      <protection locked="0"/>
    </xf>
    <xf numFmtId="166" fontId="39" fillId="23" borderId="29" xfId="0" applyNumberFormat="1" applyFont="1" applyFill="1" applyBorder="1" applyAlignment="1" applyProtection="1">
      <alignment vertical="top" wrapText="1" readingOrder="1"/>
      <protection locked="0"/>
    </xf>
    <xf numFmtId="165" fontId="39" fillId="0" borderId="31" xfId="0" applyNumberFormat="1" applyFont="1" applyBorder="1" applyAlignment="1" applyProtection="1">
      <alignment vertical="top" wrapText="1" readingOrder="1"/>
      <protection locked="0"/>
    </xf>
    <xf numFmtId="165" fontId="39" fillId="0" borderId="6" xfId="0" applyNumberFormat="1" applyFont="1" applyBorder="1" applyAlignment="1" applyProtection="1">
      <alignment vertical="top" wrapText="1" readingOrder="1"/>
      <protection locked="0"/>
    </xf>
    <xf numFmtId="165" fontId="39" fillId="0" borderId="30" xfId="0" applyNumberFormat="1" applyFont="1" applyBorder="1" applyAlignment="1" applyProtection="1">
      <alignment vertical="top" wrapText="1" readingOrder="1"/>
      <protection locked="0"/>
    </xf>
    <xf numFmtId="165" fontId="39" fillId="13" borderId="29" xfId="0" applyNumberFormat="1" applyFont="1" applyFill="1" applyBorder="1" applyAlignment="1" applyProtection="1">
      <alignment vertical="top" wrapText="1" readingOrder="1"/>
      <protection locked="0"/>
    </xf>
    <xf numFmtId="165" fontId="39" fillId="0" borderId="35" xfId="0" applyNumberFormat="1" applyFont="1" applyBorder="1" applyAlignment="1" applyProtection="1">
      <alignment vertical="top" wrapText="1" readingOrder="1"/>
      <protection locked="0"/>
    </xf>
    <xf numFmtId="165" fontId="39" fillId="0" borderId="36" xfId="0" applyNumberFormat="1" applyFont="1" applyBorder="1" applyAlignment="1" applyProtection="1">
      <alignment vertical="top" wrapText="1" readingOrder="1"/>
      <protection locked="0"/>
    </xf>
    <xf numFmtId="166" fontId="39" fillId="0" borderId="6" xfId="0" applyNumberFormat="1" applyFont="1" applyBorder="1" applyAlignment="1" applyProtection="1">
      <alignment vertical="top" wrapText="1" readingOrder="1"/>
      <protection locked="0"/>
    </xf>
    <xf numFmtId="166" fontId="39" fillId="0" borderId="31" xfId="0" applyNumberFormat="1" applyFont="1" applyBorder="1" applyAlignment="1" applyProtection="1">
      <alignment vertical="top" wrapText="1" readingOrder="1"/>
      <protection locked="0"/>
    </xf>
    <xf numFmtId="0" fontId="83" fillId="25" borderId="6" xfId="0" applyFont="1" applyFill="1" applyBorder="1" applyAlignment="1" applyProtection="1">
      <alignment horizontal="left" vertical="top" wrapText="1" readingOrder="1"/>
      <protection locked="0"/>
    </xf>
    <xf numFmtId="173" fontId="87" fillId="0" borderId="6" xfId="53" applyNumberFormat="1" applyFont="1" applyBorder="1"/>
    <xf numFmtId="173" fontId="79" fillId="23" borderId="6" xfId="53" applyNumberFormat="1" applyFont="1" applyFill="1" applyBorder="1"/>
    <xf numFmtId="17" fontId="24" fillId="9" borderId="6" xfId="53" applyNumberFormat="1" applyFont="1" applyFill="1" applyBorder="1" applyAlignment="1" applyProtection="1">
      <alignment vertical="top" wrapText="1" readingOrder="1"/>
      <protection locked="0"/>
    </xf>
    <xf numFmtId="0" fontId="79" fillId="0" borderId="6" xfId="0" applyFont="1" applyBorder="1"/>
    <xf numFmtId="0" fontId="79" fillId="0" borderId="6" xfId="0" applyFont="1" applyBorder="1" applyAlignment="1">
      <alignment horizontal="center" vertical="center"/>
    </xf>
    <xf numFmtId="43" fontId="79" fillId="0" borderId="6" xfId="53" applyFont="1" applyBorder="1" applyAlignment="1">
      <alignment horizontal="center" vertical="center"/>
    </xf>
    <xf numFmtId="43" fontId="2" fillId="0" borderId="6" xfId="53" applyFont="1" applyFill="1" applyBorder="1" applyAlignment="1" applyProtection="1">
      <protection locked="0"/>
    </xf>
    <xf numFmtId="43" fontId="15" fillId="0" borderId="6" xfId="53" applyFont="1" applyBorder="1" applyAlignment="1" applyProtection="1">
      <alignment horizontal="right" vertical="center"/>
      <protection locked="0"/>
    </xf>
    <xf numFmtId="43" fontId="5" fillId="13" borderId="6" xfId="53" applyFont="1" applyFill="1" applyBorder="1" applyAlignment="1" applyProtection="1">
      <alignment vertical="top" wrapText="1" readingOrder="1"/>
      <protection locked="0"/>
    </xf>
    <xf numFmtId="43" fontId="15" fillId="0" borderId="6" xfId="53" applyFont="1" applyFill="1" applyBorder="1" applyAlignment="1" applyProtection="1">
      <protection locked="0"/>
    </xf>
    <xf numFmtId="165" fontId="5" fillId="0" borderId="0" xfId="0" applyNumberFormat="1" applyFont="1" applyAlignment="1" applyProtection="1">
      <alignment vertical="top" wrapText="1" readingOrder="1"/>
      <protection locked="0"/>
    </xf>
    <xf numFmtId="43" fontId="37" fillId="0" borderId="6" xfId="53" applyFont="1" applyBorder="1" applyAlignment="1" applyProtection="1">
      <alignment horizontal="right" vertical="center"/>
      <protection locked="0"/>
    </xf>
    <xf numFmtId="165" fontId="5" fillId="13" borderId="0" xfId="0" applyNumberFormat="1" applyFont="1" applyFill="1" applyAlignment="1" applyProtection="1">
      <alignment vertical="top" wrapText="1" readingOrder="1"/>
      <protection locked="0"/>
    </xf>
    <xf numFmtId="0" fontId="90" fillId="0" borderId="62" xfId="0" applyFont="1" applyBorder="1" applyAlignment="1">
      <alignment wrapText="1" readingOrder="1"/>
    </xf>
    <xf numFmtId="4" fontId="90" fillId="0" borderId="62" xfId="0" applyNumberFormat="1" applyFont="1" applyBorder="1" applyAlignment="1">
      <alignment wrapText="1" readingOrder="1"/>
    </xf>
    <xf numFmtId="0" fontId="90" fillId="0" borderId="63" xfId="0" applyFont="1" applyBorder="1" applyAlignment="1">
      <alignment wrapText="1" readingOrder="1"/>
    </xf>
    <xf numFmtId="4" fontId="90" fillId="0" borderId="63" xfId="0" applyNumberFormat="1" applyFont="1" applyBorder="1" applyAlignment="1">
      <alignment wrapText="1" readingOrder="1"/>
    </xf>
    <xf numFmtId="0" fontId="91" fillId="0" borderId="62" xfId="0" applyFont="1" applyBorder="1" applyAlignment="1">
      <alignment wrapText="1" readingOrder="1"/>
    </xf>
    <xf numFmtId="4" fontId="91" fillId="0" borderId="62" xfId="0" applyNumberFormat="1" applyFont="1" applyBorder="1" applyAlignment="1">
      <alignment wrapText="1" readingOrder="1"/>
    </xf>
    <xf numFmtId="0" fontId="91" fillId="0" borderId="63" xfId="0" applyFont="1" applyBorder="1" applyAlignment="1">
      <alignment wrapText="1" readingOrder="1"/>
    </xf>
    <xf numFmtId="4" fontId="91" fillId="0" borderId="63" xfId="0" applyNumberFormat="1" applyFont="1" applyBorder="1" applyAlignment="1">
      <alignment wrapText="1" readingOrder="1"/>
    </xf>
    <xf numFmtId="4" fontId="91" fillId="29" borderId="62" xfId="0" applyNumberFormat="1" applyFont="1" applyFill="1" applyBorder="1" applyAlignment="1">
      <alignment wrapText="1" readingOrder="1"/>
    </xf>
    <xf numFmtId="0" fontId="42" fillId="9" borderId="29" xfId="0" applyFont="1" applyFill="1" applyBorder="1" applyAlignment="1" applyProtection="1">
      <alignment vertical="top" wrapText="1" readingOrder="1"/>
      <protection locked="0"/>
    </xf>
    <xf numFmtId="165" fontId="39" fillId="0" borderId="29" xfId="0" applyNumberFormat="1" applyFont="1" applyBorder="1" applyAlignment="1" applyProtection="1">
      <alignment vertical="top" wrapText="1" readingOrder="1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23" xfId="0" applyBorder="1" applyAlignment="1" applyProtection="1">
      <alignment horizontal="left"/>
      <protection locked="0"/>
    </xf>
    <xf numFmtId="4" fontId="91" fillId="29" borderId="63" xfId="0" applyNumberFormat="1" applyFont="1" applyFill="1" applyBorder="1" applyAlignment="1">
      <alignment wrapText="1" readingOrder="1"/>
    </xf>
    <xf numFmtId="4" fontId="91" fillId="0" borderId="64" xfId="0" applyNumberFormat="1" applyFont="1" applyBorder="1" applyAlignment="1">
      <alignment wrapText="1" readingOrder="1"/>
    </xf>
    <xf numFmtId="0" fontId="91" fillId="0" borderId="65" xfId="0" applyFont="1" applyBorder="1" applyAlignment="1">
      <alignment wrapText="1" readingOrder="1"/>
    </xf>
    <xf numFmtId="4" fontId="91" fillId="0" borderId="65" xfId="0" applyNumberFormat="1" applyFont="1" applyBorder="1" applyAlignment="1">
      <alignment wrapText="1" readingOrder="1"/>
    </xf>
    <xf numFmtId="0" fontId="90" fillId="0" borderId="64" xfId="0" applyFont="1" applyBorder="1" applyAlignment="1">
      <alignment wrapText="1" readingOrder="1"/>
    </xf>
    <xf numFmtId="4" fontId="90" fillId="0" borderId="64" xfId="0" applyNumberFormat="1" applyFont="1" applyBorder="1" applyAlignment="1">
      <alignment wrapText="1" readingOrder="1"/>
    </xf>
    <xf numFmtId="0" fontId="90" fillId="0" borderId="65" xfId="0" applyFont="1" applyBorder="1" applyAlignment="1">
      <alignment wrapText="1" readingOrder="1"/>
    </xf>
    <xf numFmtId="4" fontId="90" fillId="0" borderId="65" xfId="0" applyNumberFormat="1" applyFont="1" applyBorder="1" applyAlignment="1">
      <alignment wrapText="1" readingOrder="1"/>
    </xf>
    <xf numFmtId="4" fontId="90" fillId="0" borderId="66" xfId="0" applyNumberFormat="1" applyFont="1" applyBorder="1" applyAlignment="1">
      <alignment readingOrder="1"/>
    </xf>
    <xf numFmtId="0" fontId="90" fillId="0" borderId="66" xfId="0" applyFont="1" applyBorder="1" applyAlignment="1">
      <alignment wrapText="1" readingOrder="1"/>
    </xf>
    <xf numFmtId="4" fontId="90" fillId="0" borderId="66" xfId="0" applyNumberFormat="1" applyFont="1" applyBorder="1" applyAlignment="1">
      <alignment wrapText="1" readingOrder="1"/>
    </xf>
    <xf numFmtId="43" fontId="25" fillId="9" borderId="22" xfId="0" applyNumberFormat="1" applyFont="1" applyFill="1" applyBorder="1" applyAlignment="1" applyProtection="1">
      <alignment vertical="top" wrapText="1" readingOrder="1"/>
      <protection locked="0"/>
    </xf>
    <xf numFmtId="43" fontId="90" fillId="0" borderId="64" xfId="0" applyNumberFormat="1" applyFont="1" applyBorder="1" applyAlignment="1">
      <alignment readingOrder="1"/>
    </xf>
    <xf numFmtId="43" fontId="90" fillId="0" borderId="64" xfId="0" applyNumberFormat="1" applyFont="1" applyBorder="1" applyAlignment="1">
      <alignment wrapText="1" readingOrder="1"/>
    </xf>
    <xf numFmtId="43" fontId="90" fillId="0" borderId="62" xfId="0" applyNumberFormat="1" applyFont="1" applyBorder="1" applyAlignment="1">
      <alignment wrapText="1" readingOrder="1"/>
    </xf>
    <xf numFmtId="43" fontId="90" fillId="0" borderId="63" xfId="0" applyNumberFormat="1" applyFont="1" applyBorder="1" applyAlignment="1">
      <alignment wrapText="1" readingOrder="1"/>
    </xf>
    <xf numFmtId="43" fontId="91" fillId="0" borderId="62" xfId="0" applyNumberFormat="1" applyFont="1" applyBorder="1" applyAlignment="1">
      <alignment wrapText="1" readingOrder="1"/>
    </xf>
    <xf numFmtId="165" fontId="70" fillId="21" borderId="22" xfId="0" applyNumberFormat="1" applyFont="1" applyFill="1" applyBorder="1" applyAlignment="1">
      <alignment wrapText="1" readingOrder="1"/>
    </xf>
    <xf numFmtId="17" fontId="0" fillId="21" borderId="67" xfId="0" applyNumberFormat="1" applyFill="1" applyBorder="1"/>
    <xf numFmtId="43" fontId="25" fillId="9" borderId="15" xfId="0" applyNumberFormat="1" applyFont="1" applyFill="1" applyBorder="1" applyAlignment="1" applyProtection="1">
      <alignment vertical="top" wrapText="1" readingOrder="1"/>
      <protection locked="0"/>
    </xf>
    <xf numFmtId="17" fontId="24" fillId="9" borderId="23" xfId="0" applyNumberFormat="1" applyFont="1" applyFill="1" applyBorder="1" applyAlignment="1" applyProtection="1">
      <alignment vertical="top" wrapText="1" readingOrder="1"/>
      <protection locked="0"/>
    </xf>
    <xf numFmtId="17" fontId="55" fillId="21" borderId="67" xfId="0" applyNumberFormat="1" applyFont="1" applyFill="1" applyBorder="1"/>
    <xf numFmtId="0" fontId="91" fillId="0" borderId="64" xfId="0" applyFont="1" applyBorder="1" applyAlignment="1">
      <alignment wrapText="1" readingOrder="1"/>
    </xf>
    <xf numFmtId="4" fontId="91" fillId="30" borderId="62" xfId="0" applyNumberFormat="1" applyFont="1" applyFill="1" applyBorder="1" applyAlignment="1">
      <alignment wrapText="1" readingOrder="1"/>
    </xf>
    <xf numFmtId="4" fontId="91" fillId="30" borderId="64" xfId="0" applyNumberFormat="1" applyFont="1" applyFill="1" applyBorder="1" applyAlignment="1">
      <alignment wrapText="1" readingOrder="1"/>
    </xf>
    <xf numFmtId="17" fontId="7" fillId="9" borderId="23" xfId="0" applyNumberFormat="1" applyFont="1" applyFill="1" applyBorder="1" applyAlignment="1" applyProtection="1">
      <alignment vertical="top" wrapText="1" readingOrder="1"/>
      <protection locked="0"/>
    </xf>
    <xf numFmtId="17" fontId="27" fillId="0" borderId="67" xfId="672" applyNumberFormat="1" applyFont="1" applyBorder="1"/>
    <xf numFmtId="17" fontId="24" fillId="0" borderId="23" xfId="672" applyNumberFormat="1" applyFont="1" applyBorder="1" applyAlignment="1">
      <alignment wrapText="1"/>
    </xf>
    <xf numFmtId="17" fontId="0" fillId="21" borderId="0" xfId="0" applyNumberFormat="1" applyFill="1"/>
    <xf numFmtId="17" fontId="55" fillId="21" borderId="0" xfId="0" applyNumberFormat="1" applyFont="1" applyFill="1"/>
    <xf numFmtId="4" fontId="0" fillId="0" borderId="0" xfId="0" applyNumberFormat="1"/>
    <xf numFmtId="4" fontId="91" fillId="30" borderId="63" xfId="0" applyNumberFormat="1" applyFont="1" applyFill="1" applyBorder="1" applyAlignment="1">
      <alignment wrapText="1" readingOrder="1"/>
    </xf>
    <xf numFmtId="0" fontId="92" fillId="0" borderId="62" xfId="0" applyFont="1" applyBorder="1" applyAlignment="1">
      <alignment wrapText="1" readingOrder="1"/>
    </xf>
    <xf numFmtId="4" fontId="92" fillId="0" borderId="62" xfId="0" applyNumberFormat="1" applyFont="1" applyBorder="1" applyAlignment="1">
      <alignment wrapText="1" readingOrder="1"/>
    </xf>
    <xf numFmtId="0" fontId="92" fillId="0" borderId="63" xfId="0" applyFont="1" applyBorder="1" applyAlignment="1">
      <alignment wrapText="1" readingOrder="1"/>
    </xf>
    <xf numFmtId="4" fontId="92" fillId="0" borderId="63" xfId="0" applyNumberFormat="1" applyFont="1" applyBorder="1" applyAlignment="1">
      <alignment wrapText="1" readingOrder="1"/>
    </xf>
    <xf numFmtId="4" fontId="93" fillId="0" borderId="62" xfId="0" applyNumberFormat="1" applyFont="1" applyBorder="1" applyAlignment="1">
      <alignment wrapText="1" readingOrder="1"/>
    </xf>
    <xf numFmtId="0" fontId="93" fillId="0" borderId="63" xfId="0" applyFont="1" applyBorder="1" applyAlignment="1">
      <alignment wrapText="1" readingOrder="1"/>
    </xf>
    <xf numFmtId="4" fontId="93" fillId="0" borderId="63" xfId="0" applyNumberFormat="1" applyFont="1" applyBorder="1" applyAlignment="1">
      <alignment wrapText="1" readingOrder="1"/>
    </xf>
    <xf numFmtId="4" fontId="93" fillId="30" borderId="62" xfId="0" applyNumberFormat="1" applyFont="1" applyFill="1" applyBorder="1" applyAlignment="1">
      <alignment wrapText="1" readingOrder="1"/>
    </xf>
    <xf numFmtId="0" fontId="73" fillId="27" borderId="10" xfId="0" applyFont="1" applyFill="1" applyBorder="1" applyAlignment="1">
      <alignment horizontal="left"/>
    </xf>
    <xf numFmtId="0" fontId="73" fillId="27" borderId="6" xfId="0" applyFont="1" applyFill="1" applyBorder="1" applyAlignment="1">
      <alignment horizontal="left"/>
    </xf>
    <xf numFmtId="0" fontId="73" fillId="27" borderId="23" xfId="0" applyFont="1" applyFill="1" applyBorder="1" applyAlignment="1">
      <alignment horizontal="left"/>
    </xf>
    <xf numFmtId="0" fontId="73" fillId="27" borderId="9" xfId="0" applyFont="1" applyFill="1" applyBorder="1" applyAlignment="1">
      <alignment horizontal="left"/>
    </xf>
    <xf numFmtId="0" fontId="55" fillId="0" borderId="7" xfId="0" applyFont="1" applyBorder="1" applyAlignment="1" applyProtection="1">
      <alignment horizontal="center"/>
      <protection locked="0"/>
    </xf>
    <xf numFmtId="0" fontId="55" fillId="0" borderId="8" xfId="0" applyFont="1" applyBorder="1" applyAlignment="1" applyProtection="1">
      <alignment horizontal="center"/>
      <protection locked="0"/>
    </xf>
    <xf numFmtId="0" fontId="55" fillId="0" borderId="40" xfId="0" applyFont="1" applyBorder="1" applyAlignment="1" applyProtection="1">
      <alignment horizontal="center"/>
      <protection locked="0"/>
    </xf>
    <xf numFmtId="0" fontId="55" fillId="0" borderId="41" xfId="0" applyFont="1" applyBorder="1" applyAlignment="1" applyProtection="1">
      <alignment horizontal="center"/>
      <protection locked="0"/>
    </xf>
    <xf numFmtId="0" fontId="55" fillId="0" borderId="10" xfId="0" applyFont="1" applyBorder="1" applyAlignment="1" applyProtection="1">
      <alignment horizontal="center"/>
      <protection locked="0"/>
    </xf>
    <xf numFmtId="0" fontId="55" fillId="0" borderId="6" xfId="0" applyFont="1" applyBorder="1" applyAlignment="1" applyProtection="1">
      <alignment horizontal="center"/>
      <protection locked="0"/>
    </xf>
    <xf numFmtId="0" fontId="55" fillId="0" borderId="23" xfId="0" applyFont="1" applyBorder="1" applyAlignment="1" applyProtection="1">
      <alignment horizontal="center"/>
      <protection locked="0"/>
    </xf>
    <xf numFmtId="0" fontId="55" fillId="0" borderId="9" xfId="0" applyFont="1" applyBorder="1" applyAlignment="1" applyProtection="1">
      <alignment horizontal="center"/>
      <protection locked="0"/>
    </xf>
    <xf numFmtId="0" fontId="55" fillId="0" borderId="14" xfId="0" applyFont="1" applyBorder="1" applyAlignment="1">
      <alignment horizontal="center" wrapText="1"/>
    </xf>
    <xf numFmtId="0" fontId="55" fillId="0" borderId="39" xfId="0" applyFont="1" applyBorder="1" applyAlignment="1">
      <alignment horizontal="center" wrapText="1"/>
    </xf>
    <xf numFmtId="0" fontId="55" fillId="0" borderId="15" xfId="0" applyFont="1" applyBorder="1" applyAlignment="1" applyProtection="1">
      <alignment horizontal="center"/>
      <protection locked="0"/>
    </xf>
    <xf numFmtId="0" fontId="55" fillId="0" borderId="42" xfId="0" applyFont="1" applyBorder="1" applyAlignment="1" applyProtection="1">
      <alignment horizontal="center"/>
      <protection locked="0"/>
    </xf>
    <xf numFmtId="17" fontId="55" fillId="0" borderId="37" xfId="0" applyNumberFormat="1" applyFont="1" applyBorder="1" applyAlignment="1" applyProtection="1">
      <alignment horizontal="center" wrapText="1"/>
      <protection locked="0"/>
    </xf>
    <xf numFmtId="17" fontId="55" fillId="0" borderId="38" xfId="0" applyNumberFormat="1" applyFont="1" applyBorder="1" applyAlignment="1" applyProtection="1">
      <alignment horizontal="center" wrapText="1"/>
      <protection locked="0"/>
    </xf>
    <xf numFmtId="0" fontId="73" fillId="0" borderId="37" xfId="0" applyFont="1" applyBorder="1" applyAlignment="1">
      <alignment horizontal="center" wrapText="1"/>
    </xf>
    <xf numFmtId="0" fontId="73" fillId="0" borderId="38" xfId="0" applyFont="1" applyBorder="1" applyAlignment="1">
      <alignment horizontal="center" wrapText="1"/>
    </xf>
    <xf numFmtId="0" fontId="88" fillId="28" borderId="43" xfId="0" applyFont="1" applyFill="1" applyBorder="1" applyAlignment="1">
      <alignment horizontal="left"/>
    </xf>
    <xf numFmtId="0" fontId="88" fillId="28" borderId="44" xfId="0" applyFont="1" applyFill="1" applyBorder="1" applyAlignment="1">
      <alignment horizontal="left"/>
    </xf>
    <xf numFmtId="0" fontId="88" fillId="28" borderId="45" xfId="0" applyFont="1" applyFill="1" applyBorder="1" applyAlignment="1">
      <alignment horizontal="left"/>
    </xf>
    <xf numFmtId="0" fontId="0" fillId="0" borderId="6" xfId="0" applyBorder="1" applyAlignment="1" applyProtection="1">
      <alignment horizontal="left"/>
      <protection locked="0"/>
    </xf>
    <xf numFmtId="0" fontId="0" fillId="0" borderId="23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42" xfId="0" applyBorder="1" applyAlignment="1" applyProtection="1">
      <alignment horizontal="center"/>
      <protection locked="0"/>
    </xf>
    <xf numFmtId="0" fontId="42" fillId="9" borderId="29" xfId="0" applyFont="1" applyFill="1" applyBorder="1" applyAlignment="1" applyProtection="1">
      <alignment vertical="top" wrapText="1" readingOrder="1"/>
      <protection locked="0"/>
    </xf>
    <xf numFmtId="0" fontId="0" fillId="0" borderId="46" xfId="0" applyBorder="1" applyAlignment="1" applyProtection="1">
      <alignment vertical="top" wrapText="1"/>
      <protection locked="0"/>
    </xf>
    <xf numFmtId="165" fontId="39" fillId="0" borderId="29" xfId="0" applyNumberFormat="1" applyFont="1" applyBorder="1" applyAlignment="1" applyProtection="1">
      <alignment vertical="top" wrapText="1" readingOrder="1"/>
      <protection locked="0"/>
    </xf>
    <xf numFmtId="0" fontId="60" fillId="0" borderId="10" xfId="494" applyFont="1" applyBorder="1" applyAlignment="1">
      <alignment horizontal="left" vertical="top"/>
    </xf>
    <xf numFmtId="0" fontId="60" fillId="0" borderId="10" xfId="494" applyFont="1" applyBorder="1" applyAlignment="1">
      <alignment horizontal="left" vertical="top" wrapText="1"/>
    </xf>
    <xf numFmtId="0" fontId="77" fillId="0" borderId="10" xfId="0" applyFont="1" applyBorder="1" applyAlignment="1">
      <alignment horizontal="center" vertical="top" wrapText="1"/>
    </xf>
    <xf numFmtId="0" fontId="89" fillId="0" borderId="0" xfId="0" applyFont="1" applyAlignment="1">
      <alignment horizontal="center"/>
    </xf>
    <xf numFmtId="0" fontId="77" fillId="0" borderId="10" xfId="0" applyFont="1" applyBorder="1" applyAlignment="1">
      <alignment horizontal="center" vertical="top"/>
    </xf>
    <xf numFmtId="0" fontId="56" fillId="0" borderId="0" xfId="0" applyFont="1" applyAlignment="1">
      <alignment horizontal="center"/>
    </xf>
    <xf numFmtId="0" fontId="27" fillId="0" borderId="47" xfId="672" applyFont="1" applyBorder="1" applyAlignment="1">
      <alignment horizontal="center"/>
    </xf>
    <xf numFmtId="0" fontId="55" fillId="0" borderId="14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90" fillId="0" borderId="62" xfId="0" applyFont="1" applyFill="1" applyBorder="1" applyAlignment="1">
      <alignment wrapText="1" readingOrder="1"/>
    </xf>
    <xf numFmtId="4" fontId="90" fillId="0" borderId="62" xfId="0" applyNumberFormat="1" applyFont="1" applyFill="1" applyBorder="1" applyAlignment="1">
      <alignment wrapText="1" readingOrder="1"/>
    </xf>
    <xf numFmtId="0" fontId="90" fillId="0" borderId="63" xfId="0" applyFont="1" applyFill="1" applyBorder="1" applyAlignment="1">
      <alignment wrapText="1" readingOrder="1"/>
    </xf>
    <xf numFmtId="4" fontId="90" fillId="0" borderId="63" xfId="0" applyNumberFormat="1" applyFont="1" applyFill="1" applyBorder="1" applyAlignment="1">
      <alignment wrapText="1" readingOrder="1"/>
    </xf>
    <xf numFmtId="0" fontId="91" fillId="0" borderId="62" xfId="0" applyFont="1" applyFill="1" applyBorder="1" applyAlignment="1">
      <alignment wrapText="1" readingOrder="1"/>
    </xf>
    <xf numFmtId="4" fontId="91" fillId="0" borderId="62" xfId="0" applyNumberFormat="1" applyFont="1" applyFill="1" applyBorder="1" applyAlignment="1">
      <alignment wrapText="1" readingOrder="1"/>
    </xf>
    <xf numFmtId="0" fontId="91" fillId="0" borderId="63" xfId="0" applyFont="1" applyFill="1" applyBorder="1" applyAlignment="1">
      <alignment wrapText="1" readingOrder="1"/>
    </xf>
    <xf numFmtId="4" fontId="91" fillId="0" borderId="63" xfId="0" applyNumberFormat="1" applyFont="1" applyFill="1" applyBorder="1" applyAlignment="1">
      <alignment wrapText="1" readingOrder="1"/>
    </xf>
  </cellXfs>
  <cellStyles count="728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7 2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20" xfId="73" xr:uid="{00000000-0005-0000-0000-000048000000}"/>
    <cellStyle name="Comma 10 21" xfId="74" xr:uid="{00000000-0005-0000-0000-000049000000}"/>
    <cellStyle name="Comma 10 22" xfId="75" xr:uid="{00000000-0005-0000-0000-00004A000000}"/>
    <cellStyle name="Comma 10 3" xfId="76" xr:uid="{00000000-0005-0000-0000-00004B000000}"/>
    <cellStyle name="Comma 10 3 2" xfId="77" xr:uid="{00000000-0005-0000-0000-00004C000000}"/>
    <cellStyle name="Comma 10 4" xfId="78" xr:uid="{00000000-0005-0000-0000-00004D000000}"/>
    <cellStyle name="Comma 10 4 2" xfId="79" xr:uid="{00000000-0005-0000-0000-00004E000000}"/>
    <cellStyle name="Comma 10 5" xfId="80" xr:uid="{00000000-0005-0000-0000-00004F000000}"/>
    <cellStyle name="Comma 10 5 2" xfId="81" xr:uid="{00000000-0005-0000-0000-000050000000}"/>
    <cellStyle name="Comma 10 6" xfId="82" xr:uid="{00000000-0005-0000-0000-000051000000}"/>
    <cellStyle name="Comma 10 6 2" xfId="83" xr:uid="{00000000-0005-0000-0000-000052000000}"/>
    <cellStyle name="Comma 10 7" xfId="84" xr:uid="{00000000-0005-0000-0000-000053000000}"/>
    <cellStyle name="Comma 10 7 2" xfId="85" xr:uid="{00000000-0005-0000-0000-000054000000}"/>
    <cellStyle name="Comma 10 8" xfId="86" xr:uid="{00000000-0005-0000-0000-000055000000}"/>
    <cellStyle name="Comma 10 8 2" xfId="87" xr:uid="{00000000-0005-0000-0000-000056000000}"/>
    <cellStyle name="Comma 10 9" xfId="88" xr:uid="{00000000-0005-0000-0000-000057000000}"/>
    <cellStyle name="Comma 10 9 2" xfId="89" xr:uid="{00000000-0005-0000-0000-000058000000}"/>
    <cellStyle name="Comma 11" xfId="90" xr:uid="{00000000-0005-0000-0000-000059000000}"/>
    <cellStyle name="Comma 11 10" xfId="91" xr:uid="{00000000-0005-0000-0000-00005A000000}"/>
    <cellStyle name="Comma 11 10 2" xfId="92" xr:uid="{00000000-0005-0000-0000-00005B000000}"/>
    <cellStyle name="Comma 11 11" xfId="93" xr:uid="{00000000-0005-0000-0000-00005C000000}"/>
    <cellStyle name="Comma 11 11 2" xfId="94" xr:uid="{00000000-0005-0000-0000-00005D000000}"/>
    <cellStyle name="Comma 11 12" xfId="95" xr:uid="{00000000-0005-0000-0000-00005E000000}"/>
    <cellStyle name="Comma 11 12 2" xfId="96" xr:uid="{00000000-0005-0000-0000-00005F000000}"/>
    <cellStyle name="Comma 11 13" xfId="97" xr:uid="{00000000-0005-0000-0000-000060000000}"/>
    <cellStyle name="Comma 11 13 2" xfId="98" xr:uid="{00000000-0005-0000-0000-000061000000}"/>
    <cellStyle name="Comma 11 14" xfId="99" xr:uid="{00000000-0005-0000-0000-000062000000}"/>
    <cellStyle name="Comma 11 14 2" xfId="100" xr:uid="{00000000-0005-0000-0000-000063000000}"/>
    <cellStyle name="Comma 11 15" xfId="101" xr:uid="{00000000-0005-0000-0000-000064000000}"/>
    <cellStyle name="Comma 11 15 2" xfId="102" xr:uid="{00000000-0005-0000-0000-000065000000}"/>
    <cellStyle name="Comma 11 16" xfId="103" xr:uid="{00000000-0005-0000-0000-000066000000}"/>
    <cellStyle name="Comma 11 16 2" xfId="104" xr:uid="{00000000-0005-0000-0000-000067000000}"/>
    <cellStyle name="Comma 11 17" xfId="105" xr:uid="{00000000-0005-0000-0000-000068000000}"/>
    <cellStyle name="Comma 11 17 2" xfId="106" xr:uid="{00000000-0005-0000-0000-000069000000}"/>
    <cellStyle name="Comma 11 18" xfId="107" xr:uid="{00000000-0005-0000-0000-00006A000000}"/>
    <cellStyle name="Comma 11 2" xfId="108" xr:uid="{00000000-0005-0000-0000-00006B000000}"/>
    <cellStyle name="Comma 11 2 2" xfId="109" xr:uid="{00000000-0005-0000-0000-00006C000000}"/>
    <cellStyle name="Comma 11 2 2 2" xfId="110" xr:uid="{00000000-0005-0000-0000-00006D000000}"/>
    <cellStyle name="Comma 11 2 3" xfId="111" xr:uid="{00000000-0005-0000-0000-00006E000000}"/>
    <cellStyle name="Comma 11 3" xfId="112" xr:uid="{00000000-0005-0000-0000-00006F000000}"/>
    <cellStyle name="Comma 11 3 2" xfId="113" xr:uid="{00000000-0005-0000-0000-000070000000}"/>
    <cellStyle name="Comma 11 4" xfId="114" xr:uid="{00000000-0005-0000-0000-000071000000}"/>
    <cellStyle name="Comma 11 4 2" xfId="115" xr:uid="{00000000-0005-0000-0000-000072000000}"/>
    <cellStyle name="Comma 11 5" xfId="116" xr:uid="{00000000-0005-0000-0000-000073000000}"/>
    <cellStyle name="Comma 11 5 2" xfId="117" xr:uid="{00000000-0005-0000-0000-000074000000}"/>
    <cellStyle name="Comma 11 6" xfId="118" xr:uid="{00000000-0005-0000-0000-000075000000}"/>
    <cellStyle name="Comma 11 6 2" xfId="119" xr:uid="{00000000-0005-0000-0000-000076000000}"/>
    <cellStyle name="Comma 11 7" xfId="120" xr:uid="{00000000-0005-0000-0000-000077000000}"/>
    <cellStyle name="Comma 11 7 2" xfId="121" xr:uid="{00000000-0005-0000-0000-000078000000}"/>
    <cellStyle name="Comma 11 8" xfId="122" xr:uid="{00000000-0005-0000-0000-000079000000}"/>
    <cellStyle name="Comma 11 8 2" xfId="123" xr:uid="{00000000-0005-0000-0000-00007A000000}"/>
    <cellStyle name="Comma 11 9" xfId="124" xr:uid="{00000000-0005-0000-0000-00007B000000}"/>
    <cellStyle name="Comma 11 9 2" xfId="125" xr:uid="{00000000-0005-0000-0000-00007C000000}"/>
    <cellStyle name="Comma 12" xfId="126" xr:uid="{00000000-0005-0000-0000-00007D000000}"/>
    <cellStyle name="Comma 12 2" xfId="127" xr:uid="{00000000-0005-0000-0000-00007E000000}"/>
    <cellStyle name="Comma 13" xfId="128" xr:uid="{00000000-0005-0000-0000-00007F000000}"/>
    <cellStyle name="Comma 13 2" xfId="129" xr:uid="{00000000-0005-0000-0000-000080000000}"/>
    <cellStyle name="Comma 14" xfId="130" xr:uid="{00000000-0005-0000-0000-000081000000}"/>
    <cellStyle name="Comma 14 2" xfId="131" xr:uid="{00000000-0005-0000-0000-000082000000}"/>
    <cellStyle name="Comma 15" xfId="132" xr:uid="{00000000-0005-0000-0000-000083000000}"/>
    <cellStyle name="Comma 15 2" xfId="133" xr:uid="{00000000-0005-0000-0000-000084000000}"/>
    <cellStyle name="Comma 16" xfId="134" xr:uid="{00000000-0005-0000-0000-000085000000}"/>
    <cellStyle name="Comma 16 10" xfId="135" xr:uid="{00000000-0005-0000-0000-000086000000}"/>
    <cellStyle name="Comma 16 10 2" xfId="136" xr:uid="{00000000-0005-0000-0000-000087000000}"/>
    <cellStyle name="Comma 16 11" xfId="137" xr:uid="{00000000-0005-0000-0000-000088000000}"/>
    <cellStyle name="Comma 16 11 2" xfId="138" xr:uid="{00000000-0005-0000-0000-000089000000}"/>
    <cellStyle name="Comma 16 12" xfId="139" xr:uid="{00000000-0005-0000-0000-00008A000000}"/>
    <cellStyle name="Comma 16 12 2" xfId="140" xr:uid="{00000000-0005-0000-0000-00008B000000}"/>
    <cellStyle name="Comma 16 13" xfId="141" xr:uid="{00000000-0005-0000-0000-00008C000000}"/>
    <cellStyle name="Comma 16 13 2" xfId="142" xr:uid="{00000000-0005-0000-0000-00008D000000}"/>
    <cellStyle name="Comma 16 14" xfId="143" xr:uid="{00000000-0005-0000-0000-00008E000000}"/>
    <cellStyle name="Comma 16 14 2" xfId="144" xr:uid="{00000000-0005-0000-0000-00008F000000}"/>
    <cellStyle name="Comma 16 15" xfId="145" xr:uid="{00000000-0005-0000-0000-000090000000}"/>
    <cellStyle name="Comma 16 15 2" xfId="146" xr:uid="{00000000-0005-0000-0000-000091000000}"/>
    <cellStyle name="Comma 16 16" xfId="147" xr:uid="{00000000-0005-0000-0000-000092000000}"/>
    <cellStyle name="Comma 16 16 2" xfId="148" xr:uid="{00000000-0005-0000-0000-000093000000}"/>
    <cellStyle name="Comma 16 17" xfId="149" xr:uid="{00000000-0005-0000-0000-000094000000}"/>
    <cellStyle name="Comma 16 2" xfId="150" xr:uid="{00000000-0005-0000-0000-000095000000}"/>
    <cellStyle name="Comma 16 2 2" xfId="151" xr:uid="{00000000-0005-0000-0000-000096000000}"/>
    <cellStyle name="Comma 16 3" xfId="152" xr:uid="{00000000-0005-0000-0000-000097000000}"/>
    <cellStyle name="Comma 16 3 2" xfId="153" xr:uid="{00000000-0005-0000-0000-000098000000}"/>
    <cellStyle name="Comma 16 4" xfId="154" xr:uid="{00000000-0005-0000-0000-000099000000}"/>
    <cellStyle name="Comma 16 4 2" xfId="155" xr:uid="{00000000-0005-0000-0000-00009A000000}"/>
    <cellStyle name="Comma 16 5" xfId="156" xr:uid="{00000000-0005-0000-0000-00009B000000}"/>
    <cellStyle name="Comma 16 5 2" xfId="157" xr:uid="{00000000-0005-0000-0000-00009C000000}"/>
    <cellStyle name="Comma 16 6" xfId="158" xr:uid="{00000000-0005-0000-0000-00009D000000}"/>
    <cellStyle name="Comma 16 6 2" xfId="159" xr:uid="{00000000-0005-0000-0000-00009E000000}"/>
    <cellStyle name="Comma 16 7" xfId="160" xr:uid="{00000000-0005-0000-0000-00009F000000}"/>
    <cellStyle name="Comma 16 7 2" xfId="161" xr:uid="{00000000-0005-0000-0000-0000A0000000}"/>
    <cellStyle name="Comma 16 8" xfId="162" xr:uid="{00000000-0005-0000-0000-0000A1000000}"/>
    <cellStyle name="Comma 16 8 2" xfId="163" xr:uid="{00000000-0005-0000-0000-0000A2000000}"/>
    <cellStyle name="Comma 16 9" xfId="164" xr:uid="{00000000-0005-0000-0000-0000A3000000}"/>
    <cellStyle name="Comma 16 9 2" xfId="165" xr:uid="{00000000-0005-0000-0000-0000A4000000}"/>
    <cellStyle name="Comma 17" xfId="166" xr:uid="{00000000-0005-0000-0000-0000A5000000}"/>
    <cellStyle name="Comma 17 10" xfId="167" xr:uid="{00000000-0005-0000-0000-0000A6000000}"/>
    <cellStyle name="Comma 17 10 2" xfId="168" xr:uid="{00000000-0005-0000-0000-0000A7000000}"/>
    <cellStyle name="Comma 17 11" xfId="169" xr:uid="{00000000-0005-0000-0000-0000A8000000}"/>
    <cellStyle name="Comma 17 2" xfId="170" xr:uid="{00000000-0005-0000-0000-0000A9000000}"/>
    <cellStyle name="Comma 17 2 2" xfId="171" xr:uid="{00000000-0005-0000-0000-0000AA000000}"/>
    <cellStyle name="Comma 17 3" xfId="172" xr:uid="{00000000-0005-0000-0000-0000AB000000}"/>
    <cellStyle name="Comma 17 3 2" xfId="173" xr:uid="{00000000-0005-0000-0000-0000AC000000}"/>
    <cellStyle name="Comma 17 4" xfId="174" xr:uid="{00000000-0005-0000-0000-0000AD000000}"/>
    <cellStyle name="Comma 17 4 2" xfId="175" xr:uid="{00000000-0005-0000-0000-0000AE000000}"/>
    <cellStyle name="Comma 17 5" xfId="176" xr:uid="{00000000-0005-0000-0000-0000AF000000}"/>
    <cellStyle name="Comma 17 5 2" xfId="177" xr:uid="{00000000-0005-0000-0000-0000B0000000}"/>
    <cellStyle name="Comma 17 6" xfId="178" xr:uid="{00000000-0005-0000-0000-0000B1000000}"/>
    <cellStyle name="Comma 17 6 2" xfId="179" xr:uid="{00000000-0005-0000-0000-0000B2000000}"/>
    <cellStyle name="Comma 17 7" xfId="180" xr:uid="{00000000-0005-0000-0000-0000B3000000}"/>
    <cellStyle name="Comma 17 7 2" xfId="181" xr:uid="{00000000-0005-0000-0000-0000B4000000}"/>
    <cellStyle name="Comma 17 8" xfId="182" xr:uid="{00000000-0005-0000-0000-0000B5000000}"/>
    <cellStyle name="Comma 17 8 2" xfId="183" xr:uid="{00000000-0005-0000-0000-0000B6000000}"/>
    <cellStyle name="Comma 17 9" xfId="184" xr:uid="{00000000-0005-0000-0000-0000B7000000}"/>
    <cellStyle name="Comma 17 9 2" xfId="185" xr:uid="{00000000-0005-0000-0000-0000B8000000}"/>
    <cellStyle name="Comma 18" xfId="186" xr:uid="{00000000-0005-0000-0000-0000B9000000}"/>
    <cellStyle name="Comma 18 2" xfId="187" xr:uid="{00000000-0005-0000-0000-0000BA000000}"/>
    <cellStyle name="Comma 18 3" xfId="188" xr:uid="{00000000-0005-0000-0000-0000BB000000}"/>
    <cellStyle name="Comma 18 3 2" xfId="189" xr:uid="{00000000-0005-0000-0000-0000BC000000}"/>
    <cellStyle name="Comma 19" xfId="190" xr:uid="{00000000-0005-0000-0000-0000BD000000}"/>
    <cellStyle name="Comma 19 2" xfId="191" xr:uid="{00000000-0005-0000-0000-0000BE000000}"/>
    <cellStyle name="Comma 2" xfId="192" xr:uid="{00000000-0005-0000-0000-0000BF000000}"/>
    <cellStyle name="Comma 2 10" xfId="193" xr:uid="{00000000-0005-0000-0000-0000C0000000}"/>
    <cellStyle name="Comma 2 10 2" xfId="194" xr:uid="{00000000-0005-0000-0000-0000C1000000}"/>
    <cellStyle name="Comma 2 11" xfId="195" xr:uid="{00000000-0005-0000-0000-0000C2000000}"/>
    <cellStyle name="Comma 2 11 2" xfId="196" xr:uid="{00000000-0005-0000-0000-0000C3000000}"/>
    <cellStyle name="Comma 2 12" xfId="197" xr:uid="{00000000-0005-0000-0000-0000C4000000}"/>
    <cellStyle name="Comma 2 12 2" xfId="198" xr:uid="{00000000-0005-0000-0000-0000C5000000}"/>
    <cellStyle name="Comma 2 13" xfId="199" xr:uid="{00000000-0005-0000-0000-0000C6000000}"/>
    <cellStyle name="Comma 2 13 2" xfId="200" xr:uid="{00000000-0005-0000-0000-0000C7000000}"/>
    <cellStyle name="Comma 2 14" xfId="201" xr:uid="{00000000-0005-0000-0000-0000C8000000}"/>
    <cellStyle name="Comma 2 14 2" xfId="202" xr:uid="{00000000-0005-0000-0000-0000C9000000}"/>
    <cellStyle name="Comma 2 15" xfId="203" xr:uid="{00000000-0005-0000-0000-0000CA000000}"/>
    <cellStyle name="Comma 2 15 2" xfId="204" xr:uid="{00000000-0005-0000-0000-0000CB000000}"/>
    <cellStyle name="Comma 2 16" xfId="205" xr:uid="{00000000-0005-0000-0000-0000CC000000}"/>
    <cellStyle name="Comma 2 16 2" xfId="206" xr:uid="{00000000-0005-0000-0000-0000CD000000}"/>
    <cellStyle name="Comma 2 17" xfId="207" xr:uid="{00000000-0005-0000-0000-0000CE000000}"/>
    <cellStyle name="Comma 2 17 2" xfId="208" xr:uid="{00000000-0005-0000-0000-0000CF000000}"/>
    <cellStyle name="Comma 2 18" xfId="209" xr:uid="{00000000-0005-0000-0000-0000D0000000}"/>
    <cellStyle name="Comma 2 18 2" xfId="210" xr:uid="{00000000-0005-0000-0000-0000D1000000}"/>
    <cellStyle name="Comma 2 19" xfId="211" xr:uid="{00000000-0005-0000-0000-0000D2000000}"/>
    <cellStyle name="Comma 2 19 2" xfId="212" xr:uid="{00000000-0005-0000-0000-0000D3000000}"/>
    <cellStyle name="Comma 2 2" xfId="213" xr:uid="{00000000-0005-0000-0000-0000D4000000}"/>
    <cellStyle name="Comma 2 2 2" xfId="214" xr:uid="{00000000-0005-0000-0000-0000D5000000}"/>
    <cellStyle name="Comma 2 20" xfId="215" xr:uid="{00000000-0005-0000-0000-0000D6000000}"/>
    <cellStyle name="Comma 2 20 2" xfId="216" xr:uid="{00000000-0005-0000-0000-0000D7000000}"/>
    <cellStyle name="Comma 2 21" xfId="217" xr:uid="{00000000-0005-0000-0000-0000D8000000}"/>
    <cellStyle name="Comma 2 21 2" xfId="218" xr:uid="{00000000-0005-0000-0000-0000D9000000}"/>
    <cellStyle name="Comma 2 22" xfId="219" xr:uid="{00000000-0005-0000-0000-0000DA000000}"/>
    <cellStyle name="Comma 2 22 2" xfId="220" xr:uid="{00000000-0005-0000-0000-0000DB000000}"/>
    <cellStyle name="Comma 2 23" xfId="221" xr:uid="{00000000-0005-0000-0000-0000DC000000}"/>
    <cellStyle name="Comma 2 23 2" xfId="222" xr:uid="{00000000-0005-0000-0000-0000DD000000}"/>
    <cellStyle name="Comma 2 24" xfId="223" xr:uid="{00000000-0005-0000-0000-0000DE000000}"/>
    <cellStyle name="Comma 2 24 2" xfId="224" xr:uid="{00000000-0005-0000-0000-0000DF000000}"/>
    <cellStyle name="Comma 2 25" xfId="225" xr:uid="{00000000-0005-0000-0000-0000E0000000}"/>
    <cellStyle name="Comma 2 25 2" xfId="226" xr:uid="{00000000-0005-0000-0000-0000E1000000}"/>
    <cellStyle name="Comma 2 26" xfId="227" xr:uid="{00000000-0005-0000-0000-0000E2000000}"/>
    <cellStyle name="Comma 2 26 2" xfId="228" xr:uid="{00000000-0005-0000-0000-0000E3000000}"/>
    <cellStyle name="Comma 2 27" xfId="229" xr:uid="{00000000-0005-0000-0000-0000E4000000}"/>
    <cellStyle name="Comma 2 28" xfId="230" xr:uid="{00000000-0005-0000-0000-0000E5000000}"/>
    <cellStyle name="Comma 2 29" xfId="231" xr:uid="{00000000-0005-0000-0000-0000E6000000}"/>
    <cellStyle name="Comma 2 3" xfId="232" xr:uid="{00000000-0005-0000-0000-0000E7000000}"/>
    <cellStyle name="Comma 2 3 2" xfId="233" xr:uid="{00000000-0005-0000-0000-0000E8000000}"/>
    <cellStyle name="Comma 2 4" xfId="234" xr:uid="{00000000-0005-0000-0000-0000E9000000}"/>
    <cellStyle name="Comma 2 4 2" xfId="235" xr:uid="{00000000-0005-0000-0000-0000EA000000}"/>
    <cellStyle name="Comma 2 5" xfId="236" xr:uid="{00000000-0005-0000-0000-0000EB000000}"/>
    <cellStyle name="Comma 2 5 2" xfId="237" xr:uid="{00000000-0005-0000-0000-0000EC000000}"/>
    <cellStyle name="Comma 2 6" xfId="238" xr:uid="{00000000-0005-0000-0000-0000ED000000}"/>
    <cellStyle name="Comma 2 6 2" xfId="239" xr:uid="{00000000-0005-0000-0000-0000EE000000}"/>
    <cellStyle name="Comma 2 7" xfId="240" xr:uid="{00000000-0005-0000-0000-0000EF000000}"/>
    <cellStyle name="Comma 2 7 2" xfId="241" xr:uid="{00000000-0005-0000-0000-0000F0000000}"/>
    <cellStyle name="Comma 2 8" xfId="242" xr:uid="{00000000-0005-0000-0000-0000F1000000}"/>
    <cellStyle name="Comma 2 8 2" xfId="243" xr:uid="{00000000-0005-0000-0000-0000F2000000}"/>
    <cellStyle name="Comma 2 9" xfId="244" xr:uid="{00000000-0005-0000-0000-0000F3000000}"/>
    <cellStyle name="Comma 2 9 2" xfId="245" xr:uid="{00000000-0005-0000-0000-0000F4000000}"/>
    <cellStyle name="Comma 20" xfId="246" xr:uid="{00000000-0005-0000-0000-0000F5000000}"/>
    <cellStyle name="Comma 21" xfId="247" xr:uid="{00000000-0005-0000-0000-0000F6000000}"/>
    <cellStyle name="Comma 21 2" xfId="248" xr:uid="{00000000-0005-0000-0000-0000F7000000}"/>
    <cellStyle name="Comma 22" xfId="249" xr:uid="{00000000-0005-0000-0000-0000F8000000}"/>
    <cellStyle name="Comma 24" xfId="250" xr:uid="{00000000-0005-0000-0000-0000F9000000}"/>
    <cellStyle name="Comma 24 2" xfId="251" xr:uid="{00000000-0005-0000-0000-0000FA000000}"/>
    <cellStyle name="Comma 3" xfId="252" xr:uid="{00000000-0005-0000-0000-0000FB000000}"/>
    <cellStyle name="Comma 3 10" xfId="253" xr:uid="{00000000-0005-0000-0000-0000FC000000}"/>
    <cellStyle name="Comma 3 10 2" xfId="254" xr:uid="{00000000-0005-0000-0000-0000FD000000}"/>
    <cellStyle name="Comma 3 11" xfId="255" xr:uid="{00000000-0005-0000-0000-0000FE000000}"/>
    <cellStyle name="Comma 3 11 2" xfId="256" xr:uid="{00000000-0005-0000-0000-0000FF000000}"/>
    <cellStyle name="Comma 3 12" xfId="257" xr:uid="{00000000-0005-0000-0000-000000010000}"/>
    <cellStyle name="Comma 3 12 2" xfId="258" xr:uid="{00000000-0005-0000-0000-000001010000}"/>
    <cellStyle name="Comma 3 13" xfId="259" xr:uid="{00000000-0005-0000-0000-000002010000}"/>
    <cellStyle name="Comma 3 13 2" xfId="260" xr:uid="{00000000-0005-0000-0000-000003010000}"/>
    <cellStyle name="Comma 3 14" xfId="261" xr:uid="{00000000-0005-0000-0000-000004010000}"/>
    <cellStyle name="Comma 3 14 2" xfId="262" xr:uid="{00000000-0005-0000-0000-000005010000}"/>
    <cellStyle name="Comma 3 15" xfId="263" xr:uid="{00000000-0005-0000-0000-000006010000}"/>
    <cellStyle name="Comma 3 15 2" xfId="264" xr:uid="{00000000-0005-0000-0000-000007010000}"/>
    <cellStyle name="Comma 3 16" xfId="265" xr:uid="{00000000-0005-0000-0000-000008010000}"/>
    <cellStyle name="Comma 3 16 2" xfId="266" xr:uid="{00000000-0005-0000-0000-000009010000}"/>
    <cellStyle name="Comma 3 17" xfId="267" xr:uid="{00000000-0005-0000-0000-00000A010000}"/>
    <cellStyle name="Comma 3 17 2" xfId="268" xr:uid="{00000000-0005-0000-0000-00000B010000}"/>
    <cellStyle name="Comma 3 18" xfId="269" xr:uid="{00000000-0005-0000-0000-00000C010000}"/>
    <cellStyle name="Comma 3 18 2" xfId="270" xr:uid="{00000000-0005-0000-0000-00000D010000}"/>
    <cellStyle name="Comma 3 19" xfId="271" xr:uid="{00000000-0005-0000-0000-00000E010000}"/>
    <cellStyle name="Comma 3 19 2" xfId="272" xr:uid="{00000000-0005-0000-0000-00000F010000}"/>
    <cellStyle name="Comma 3 2" xfId="273" xr:uid="{00000000-0005-0000-0000-000010010000}"/>
    <cellStyle name="Comma 3 2 2" xfId="274" xr:uid="{00000000-0005-0000-0000-000011010000}"/>
    <cellStyle name="Comma 3 20" xfId="275" xr:uid="{00000000-0005-0000-0000-000012010000}"/>
    <cellStyle name="Comma 3 20 2" xfId="276" xr:uid="{00000000-0005-0000-0000-000013010000}"/>
    <cellStyle name="Comma 3 21" xfId="277" xr:uid="{00000000-0005-0000-0000-000014010000}"/>
    <cellStyle name="Comma 3 22" xfId="278" xr:uid="{00000000-0005-0000-0000-000015010000}"/>
    <cellStyle name="Comma 3 3" xfId="279" xr:uid="{00000000-0005-0000-0000-000016010000}"/>
    <cellStyle name="Comma 3 3 2" xfId="280" xr:uid="{00000000-0005-0000-0000-000017010000}"/>
    <cellStyle name="Comma 3 4" xfId="281" xr:uid="{00000000-0005-0000-0000-000018010000}"/>
    <cellStyle name="Comma 3 4 2" xfId="282" xr:uid="{00000000-0005-0000-0000-000019010000}"/>
    <cellStyle name="Comma 3 5" xfId="283" xr:uid="{00000000-0005-0000-0000-00001A010000}"/>
    <cellStyle name="Comma 3 5 2" xfId="284" xr:uid="{00000000-0005-0000-0000-00001B010000}"/>
    <cellStyle name="Comma 3 6" xfId="285" xr:uid="{00000000-0005-0000-0000-00001C010000}"/>
    <cellStyle name="Comma 3 6 2" xfId="286" xr:uid="{00000000-0005-0000-0000-00001D010000}"/>
    <cellStyle name="Comma 3 7" xfId="287" xr:uid="{00000000-0005-0000-0000-00001E010000}"/>
    <cellStyle name="Comma 3 7 2" xfId="288" xr:uid="{00000000-0005-0000-0000-00001F010000}"/>
    <cellStyle name="Comma 3 8" xfId="289" xr:uid="{00000000-0005-0000-0000-000020010000}"/>
    <cellStyle name="Comma 3 8 2" xfId="290" xr:uid="{00000000-0005-0000-0000-000021010000}"/>
    <cellStyle name="Comma 3 9" xfId="291" xr:uid="{00000000-0005-0000-0000-000022010000}"/>
    <cellStyle name="Comma 3 9 2" xfId="292" xr:uid="{00000000-0005-0000-0000-000023010000}"/>
    <cellStyle name="Comma 4" xfId="293" xr:uid="{00000000-0005-0000-0000-000024010000}"/>
    <cellStyle name="Comma 4 2" xfId="294" xr:uid="{00000000-0005-0000-0000-000025010000}"/>
    <cellStyle name="Comma 4 3" xfId="295" xr:uid="{00000000-0005-0000-0000-000026010000}"/>
    <cellStyle name="Comma 5" xfId="296" xr:uid="{00000000-0005-0000-0000-000027010000}"/>
    <cellStyle name="Comma 5 10" xfId="297" xr:uid="{00000000-0005-0000-0000-000028010000}"/>
    <cellStyle name="Comma 5 10 2" xfId="298" xr:uid="{00000000-0005-0000-0000-000029010000}"/>
    <cellStyle name="Comma 5 11" xfId="299" xr:uid="{00000000-0005-0000-0000-00002A010000}"/>
    <cellStyle name="Comma 5 11 2" xfId="300" xr:uid="{00000000-0005-0000-0000-00002B010000}"/>
    <cellStyle name="Comma 5 12" xfId="301" xr:uid="{00000000-0005-0000-0000-00002C010000}"/>
    <cellStyle name="Comma 5 12 2" xfId="302" xr:uid="{00000000-0005-0000-0000-00002D010000}"/>
    <cellStyle name="Comma 5 13" xfId="303" xr:uid="{00000000-0005-0000-0000-00002E010000}"/>
    <cellStyle name="Comma 5 13 2" xfId="304" xr:uid="{00000000-0005-0000-0000-00002F010000}"/>
    <cellStyle name="Comma 5 14" xfId="305" xr:uid="{00000000-0005-0000-0000-000030010000}"/>
    <cellStyle name="Comma 5 14 2" xfId="306" xr:uid="{00000000-0005-0000-0000-000031010000}"/>
    <cellStyle name="Comma 5 15" xfId="307" xr:uid="{00000000-0005-0000-0000-000032010000}"/>
    <cellStyle name="Comma 5 15 2" xfId="308" xr:uid="{00000000-0005-0000-0000-000033010000}"/>
    <cellStyle name="Comma 5 16" xfId="309" xr:uid="{00000000-0005-0000-0000-000034010000}"/>
    <cellStyle name="Comma 5 16 2" xfId="310" xr:uid="{00000000-0005-0000-0000-000035010000}"/>
    <cellStyle name="Comma 5 17" xfId="311" xr:uid="{00000000-0005-0000-0000-000036010000}"/>
    <cellStyle name="Comma 5 17 2" xfId="312" xr:uid="{00000000-0005-0000-0000-000037010000}"/>
    <cellStyle name="Comma 5 18" xfId="313" xr:uid="{00000000-0005-0000-0000-000038010000}"/>
    <cellStyle name="Comma 5 18 2" xfId="314" xr:uid="{00000000-0005-0000-0000-000039010000}"/>
    <cellStyle name="Comma 5 19" xfId="315" xr:uid="{00000000-0005-0000-0000-00003A010000}"/>
    <cellStyle name="Comma 5 19 2" xfId="316" xr:uid="{00000000-0005-0000-0000-00003B010000}"/>
    <cellStyle name="Comma 5 2" xfId="317" xr:uid="{00000000-0005-0000-0000-00003C010000}"/>
    <cellStyle name="Comma 5 2 2" xfId="318" xr:uid="{00000000-0005-0000-0000-00003D010000}"/>
    <cellStyle name="Comma 5 20" xfId="319" xr:uid="{00000000-0005-0000-0000-00003E010000}"/>
    <cellStyle name="Comma 5 20 2" xfId="320" xr:uid="{00000000-0005-0000-0000-00003F010000}"/>
    <cellStyle name="Comma 5 21" xfId="321" xr:uid="{00000000-0005-0000-0000-000040010000}"/>
    <cellStyle name="Comma 5 22" xfId="322" xr:uid="{00000000-0005-0000-0000-000041010000}"/>
    <cellStyle name="Comma 5 3" xfId="323" xr:uid="{00000000-0005-0000-0000-000042010000}"/>
    <cellStyle name="Comma 5 3 2" xfId="324" xr:uid="{00000000-0005-0000-0000-000043010000}"/>
    <cellStyle name="Comma 5 4" xfId="325" xr:uid="{00000000-0005-0000-0000-000044010000}"/>
    <cellStyle name="Comma 5 4 2" xfId="326" xr:uid="{00000000-0005-0000-0000-000045010000}"/>
    <cellStyle name="Comma 5 5" xfId="327" xr:uid="{00000000-0005-0000-0000-000046010000}"/>
    <cellStyle name="Comma 5 5 2" xfId="328" xr:uid="{00000000-0005-0000-0000-000047010000}"/>
    <cellStyle name="Comma 5 6" xfId="329" xr:uid="{00000000-0005-0000-0000-000048010000}"/>
    <cellStyle name="Comma 5 6 2" xfId="330" xr:uid="{00000000-0005-0000-0000-000049010000}"/>
    <cellStyle name="Comma 5 7" xfId="331" xr:uid="{00000000-0005-0000-0000-00004A010000}"/>
    <cellStyle name="Comma 5 7 2" xfId="332" xr:uid="{00000000-0005-0000-0000-00004B010000}"/>
    <cellStyle name="Comma 5 8" xfId="333" xr:uid="{00000000-0005-0000-0000-00004C010000}"/>
    <cellStyle name="Comma 5 8 2" xfId="334" xr:uid="{00000000-0005-0000-0000-00004D010000}"/>
    <cellStyle name="Comma 5 9" xfId="335" xr:uid="{00000000-0005-0000-0000-00004E010000}"/>
    <cellStyle name="Comma 5 9 2" xfId="336" xr:uid="{00000000-0005-0000-0000-00004F010000}"/>
    <cellStyle name="Comma 6" xfId="337" xr:uid="{00000000-0005-0000-0000-000050010000}"/>
    <cellStyle name="Comma 6 10" xfId="338" xr:uid="{00000000-0005-0000-0000-000051010000}"/>
    <cellStyle name="Comma 6 10 2" xfId="339" xr:uid="{00000000-0005-0000-0000-000052010000}"/>
    <cellStyle name="Comma 6 11" xfId="340" xr:uid="{00000000-0005-0000-0000-000053010000}"/>
    <cellStyle name="Comma 6 11 2" xfId="341" xr:uid="{00000000-0005-0000-0000-000054010000}"/>
    <cellStyle name="Comma 6 12" xfId="342" xr:uid="{00000000-0005-0000-0000-000055010000}"/>
    <cellStyle name="Comma 6 12 2" xfId="343" xr:uid="{00000000-0005-0000-0000-000056010000}"/>
    <cellStyle name="Comma 6 13" xfId="344" xr:uid="{00000000-0005-0000-0000-000057010000}"/>
    <cellStyle name="Comma 6 13 2" xfId="345" xr:uid="{00000000-0005-0000-0000-000058010000}"/>
    <cellStyle name="Comma 6 14" xfId="346" xr:uid="{00000000-0005-0000-0000-000059010000}"/>
    <cellStyle name="Comma 6 14 2" xfId="347" xr:uid="{00000000-0005-0000-0000-00005A010000}"/>
    <cellStyle name="Comma 6 15" xfId="348" xr:uid="{00000000-0005-0000-0000-00005B010000}"/>
    <cellStyle name="Comma 6 15 2" xfId="349" xr:uid="{00000000-0005-0000-0000-00005C010000}"/>
    <cellStyle name="Comma 6 16" xfId="350" xr:uid="{00000000-0005-0000-0000-00005D010000}"/>
    <cellStyle name="Comma 6 16 2" xfId="351" xr:uid="{00000000-0005-0000-0000-00005E010000}"/>
    <cellStyle name="Comma 6 17" xfId="352" xr:uid="{00000000-0005-0000-0000-00005F010000}"/>
    <cellStyle name="Comma 6 17 2" xfId="353" xr:uid="{00000000-0005-0000-0000-000060010000}"/>
    <cellStyle name="Comma 6 18" xfId="354" xr:uid="{00000000-0005-0000-0000-000061010000}"/>
    <cellStyle name="Comma 6 18 2" xfId="355" xr:uid="{00000000-0005-0000-0000-000062010000}"/>
    <cellStyle name="Comma 6 19" xfId="356" xr:uid="{00000000-0005-0000-0000-000063010000}"/>
    <cellStyle name="Comma 6 19 2" xfId="357" xr:uid="{00000000-0005-0000-0000-000064010000}"/>
    <cellStyle name="Comma 6 2" xfId="358" xr:uid="{00000000-0005-0000-0000-000065010000}"/>
    <cellStyle name="Comma 6 2 2" xfId="359" xr:uid="{00000000-0005-0000-0000-000066010000}"/>
    <cellStyle name="Comma 6 20" xfId="360" xr:uid="{00000000-0005-0000-0000-000067010000}"/>
    <cellStyle name="Comma 6 21" xfId="361" xr:uid="{00000000-0005-0000-0000-000068010000}"/>
    <cellStyle name="Comma 6 22" xfId="362" xr:uid="{00000000-0005-0000-0000-000069010000}"/>
    <cellStyle name="Comma 6 3" xfId="363" xr:uid="{00000000-0005-0000-0000-00006A010000}"/>
    <cellStyle name="Comma 6 3 2" xfId="364" xr:uid="{00000000-0005-0000-0000-00006B010000}"/>
    <cellStyle name="Comma 6 4" xfId="365" xr:uid="{00000000-0005-0000-0000-00006C010000}"/>
    <cellStyle name="Comma 6 4 2" xfId="366" xr:uid="{00000000-0005-0000-0000-00006D010000}"/>
    <cellStyle name="Comma 6 5" xfId="367" xr:uid="{00000000-0005-0000-0000-00006E010000}"/>
    <cellStyle name="Comma 6 5 2" xfId="368" xr:uid="{00000000-0005-0000-0000-00006F010000}"/>
    <cellStyle name="Comma 6 6" xfId="369" xr:uid="{00000000-0005-0000-0000-000070010000}"/>
    <cellStyle name="Comma 6 6 2" xfId="370" xr:uid="{00000000-0005-0000-0000-000071010000}"/>
    <cellStyle name="Comma 6 7" xfId="371" xr:uid="{00000000-0005-0000-0000-000072010000}"/>
    <cellStyle name="Comma 6 7 2" xfId="372" xr:uid="{00000000-0005-0000-0000-000073010000}"/>
    <cellStyle name="Comma 6 8" xfId="373" xr:uid="{00000000-0005-0000-0000-000074010000}"/>
    <cellStyle name="Comma 6 8 2" xfId="374" xr:uid="{00000000-0005-0000-0000-000075010000}"/>
    <cellStyle name="Comma 6 9" xfId="375" xr:uid="{00000000-0005-0000-0000-000076010000}"/>
    <cellStyle name="Comma 6 9 2" xfId="376" xr:uid="{00000000-0005-0000-0000-000077010000}"/>
    <cellStyle name="Comma 7" xfId="377" xr:uid="{00000000-0005-0000-0000-000078010000}"/>
    <cellStyle name="Comma 7 10" xfId="378" xr:uid="{00000000-0005-0000-0000-000079010000}"/>
    <cellStyle name="Comma 7 10 2" xfId="379" xr:uid="{00000000-0005-0000-0000-00007A010000}"/>
    <cellStyle name="Comma 7 11" xfId="380" xr:uid="{00000000-0005-0000-0000-00007B010000}"/>
    <cellStyle name="Comma 7 11 2" xfId="381" xr:uid="{00000000-0005-0000-0000-00007C010000}"/>
    <cellStyle name="Comma 7 12" xfId="382" xr:uid="{00000000-0005-0000-0000-00007D010000}"/>
    <cellStyle name="Comma 7 12 2" xfId="383" xr:uid="{00000000-0005-0000-0000-00007E010000}"/>
    <cellStyle name="Comma 7 13" xfId="384" xr:uid="{00000000-0005-0000-0000-00007F010000}"/>
    <cellStyle name="Comma 7 13 2" xfId="385" xr:uid="{00000000-0005-0000-0000-000080010000}"/>
    <cellStyle name="Comma 7 14" xfId="386" xr:uid="{00000000-0005-0000-0000-000081010000}"/>
    <cellStyle name="Comma 7 14 2" xfId="387" xr:uid="{00000000-0005-0000-0000-000082010000}"/>
    <cellStyle name="Comma 7 15" xfId="388" xr:uid="{00000000-0005-0000-0000-000083010000}"/>
    <cellStyle name="Comma 7 15 2" xfId="389" xr:uid="{00000000-0005-0000-0000-000084010000}"/>
    <cellStyle name="Comma 7 16" xfId="390" xr:uid="{00000000-0005-0000-0000-000085010000}"/>
    <cellStyle name="Comma 7 16 2" xfId="391" xr:uid="{00000000-0005-0000-0000-000086010000}"/>
    <cellStyle name="Comma 7 17" xfId="392" xr:uid="{00000000-0005-0000-0000-000087010000}"/>
    <cellStyle name="Comma 7 17 2" xfId="393" xr:uid="{00000000-0005-0000-0000-000088010000}"/>
    <cellStyle name="Comma 7 18" xfId="394" xr:uid="{00000000-0005-0000-0000-000089010000}"/>
    <cellStyle name="Comma 7 18 2" xfId="395" xr:uid="{00000000-0005-0000-0000-00008A010000}"/>
    <cellStyle name="Comma 7 19" xfId="396" xr:uid="{00000000-0005-0000-0000-00008B010000}"/>
    <cellStyle name="Comma 7 19 2" xfId="397" xr:uid="{00000000-0005-0000-0000-00008C010000}"/>
    <cellStyle name="Comma 7 2" xfId="398" xr:uid="{00000000-0005-0000-0000-00008D010000}"/>
    <cellStyle name="Comma 7 2 2" xfId="399" xr:uid="{00000000-0005-0000-0000-00008E010000}"/>
    <cellStyle name="Comma 7 20" xfId="400" xr:uid="{00000000-0005-0000-0000-00008F010000}"/>
    <cellStyle name="Comma 7 3" xfId="401" xr:uid="{00000000-0005-0000-0000-000090010000}"/>
    <cellStyle name="Comma 7 3 2" xfId="402" xr:uid="{00000000-0005-0000-0000-000091010000}"/>
    <cellStyle name="Comma 7 4" xfId="403" xr:uid="{00000000-0005-0000-0000-000092010000}"/>
    <cellStyle name="Comma 7 4 2" xfId="404" xr:uid="{00000000-0005-0000-0000-000093010000}"/>
    <cellStyle name="Comma 7 5" xfId="405" xr:uid="{00000000-0005-0000-0000-000094010000}"/>
    <cellStyle name="Comma 7 5 2" xfId="406" xr:uid="{00000000-0005-0000-0000-000095010000}"/>
    <cellStyle name="Comma 7 6" xfId="407" xr:uid="{00000000-0005-0000-0000-000096010000}"/>
    <cellStyle name="Comma 7 6 2" xfId="408" xr:uid="{00000000-0005-0000-0000-000097010000}"/>
    <cellStyle name="Comma 7 7" xfId="409" xr:uid="{00000000-0005-0000-0000-000098010000}"/>
    <cellStyle name="Comma 7 7 2" xfId="410" xr:uid="{00000000-0005-0000-0000-000099010000}"/>
    <cellStyle name="Comma 7 8" xfId="411" xr:uid="{00000000-0005-0000-0000-00009A010000}"/>
    <cellStyle name="Comma 7 8 2" xfId="412" xr:uid="{00000000-0005-0000-0000-00009B010000}"/>
    <cellStyle name="Comma 7 9" xfId="413" xr:uid="{00000000-0005-0000-0000-00009C010000}"/>
    <cellStyle name="Comma 7 9 2" xfId="414" xr:uid="{00000000-0005-0000-0000-00009D010000}"/>
    <cellStyle name="Comma 8" xfId="415" xr:uid="{00000000-0005-0000-0000-00009E010000}"/>
    <cellStyle name="Comma 8 10" xfId="416" xr:uid="{00000000-0005-0000-0000-00009F010000}"/>
    <cellStyle name="Comma 8 10 2" xfId="417" xr:uid="{00000000-0005-0000-0000-0000A0010000}"/>
    <cellStyle name="Comma 8 11" xfId="418" xr:uid="{00000000-0005-0000-0000-0000A1010000}"/>
    <cellStyle name="Comma 8 11 2" xfId="419" xr:uid="{00000000-0005-0000-0000-0000A2010000}"/>
    <cellStyle name="Comma 8 12" xfId="420" xr:uid="{00000000-0005-0000-0000-0000A3010000}"/>
    <cellStyle name="Comma 8 12 2" xfId="421" xr:uid="{00000000-0005-0000-0000-0000A4010000}"/>
    <cellStyle name="Comma 8 13" xfId="422" xr:uid="{00000000-0005-0000-0000-0000A5010000}"/>
    <cellStyle name="Comma 8 13 2" xfId="423" xr:uid="{00000000-0005-0000-0000-0000A6010000}"/>
    <cellStyle name="Comma 8 14" xfId="424" xr:uid="{00000000-0005-0000-0000-0000A7010000}"/>
    <cellStyle name="Comma 8 14 2" xfId="425" xr:uid="{00000000-0005-0000-0000-0000A8010000}"/>
    <cellStyle name="Comma 8 15" xfId="426" xr:uid="{00000000-0005-0000-0000-0000A9010000}"/>
    <cellStyle name="Comma 8 15 2" xfId="427" xr:uid="{00000000-0005-0000-0000-0000AA010000}"/>
    <cellStyle name="Comma 8 16" xfId="428" xr:uid="{00000000-0005-0000-0000-0000AB010000}"/>
    <cellStyle name="Comma 8 16 2" xfId="429" xr:uid="{00000000-0005-0000-0000-0000AC010000}"/>
    <cellStyle name="Comma 8 17" xfId="430" xr:uid="{00000000-0005-0000-0000-0000AD010000}"/>
    <cellStyle name="Comma 8 17 2" xfId="431" xr:uid="{00000000-0005-0000-0000-0000AE010000}"/>
    <cellStyle name="Comma 8 18" xfId="432" xr:uid="{00000000-0005-0000-0000-0000AF010000}"/>
    <cellStyle name="Comma 8 18 2" xfId="433" xr:uid="{00000000-0005-0000-0000-0000B0010000}"/>
    <cellStyle name="Comma 8 19" xfId="434" xr:uid="{00000000-0005-0000-0000-0000B1010000}"/>
    <cellStyle name="Comma 8 19 2" xfId="435" xr:uid="{00000000-0005-0000-0000-0000B2010000}"/>
    <cellStyle name="Comma 8 2" xfId="436" xr:uid="{00000000-0005-0000-0000-0000B3010000}"/>
    <cellStyle name="Comma 8 2 2" xfId="437" xr:uid="{00000000-0005-0000-0000-0000B4010000}"/>
    <cellStyle name="Comma 8 20" xfId="438" xr:uid="{00000000-0005-0000-0000-0000B5010000}"/>
    <cellStyle name="Comma 8 3" xfId="439" xr:uid="{00000000-0005-0000-0000-0000B6010000}"/>
    <cellStyle name="Comma 8 3 2" xfId="440" xr:uid="{00000000-0005-0000-0000-0000B7010000}"/>
    <cellStyle name="Comma 8 4" xfId="441" xr:uid="{00000000-0005-0000-0000-0000B8010000}"/>
    <cellStyle name="Comma 8 4 2" xfId="442" xr:uid="{00000000-0005-0000-0000-0000B9010000}"/>
    <cellStyle name="Comma 8 5" xfId="443" xr:uid="{00000000-0005-0000-0000-0000BA010000}"/>
    <cellStyle name="Comma 8 5 2" xfId="444" xr:uid="{00000000-0005-0000-0000-0000BB010000}"/>
    <cellStyle name="Comma 8 6" xfId="445" xr:uid="{00000000-0005-0000-0000-0000BC010000}"/>
    <cellStyle name="Comma 8 6 2" xfId="446" xr:uid="{00000000-0005-0000-0000-0000BD010000}"/>
    <cellStyle name="Comma 8 7" xfId="447" xr:uid="{00000000-0005-0000-0000-0000BE010000}"/>
    <cellStyle name="Comma 8 7 2" xfId="448" xr:uid="{00000000-0005-0000-0000-0000BF010000}"/>
    <cellStyle name="Comma 8 8" xfId="449" xr:uid="{00000000-0005-0000-0000-0000C0010000}"/>
    <cellStyle name="Comma 8 8 2" xfId="450" xr:uid="{00000000-0005-0000-0000-0000C1010000}"/>
    <cellStyle name="Comma 8 9" xfId="451" xr:uid="{00000000-0005-0000-0000-0000C2010000}"/>
    <cellStyle name="Comma 8 9 2" xfId="452" xr:uid="{00000000-0005-0000-0000-0000C3010000}"/>
    <cellStyle name="Comma 9" xfId="453" xr:uid="{00000000-0005-0000-0000-0000C4010000}"/>
    <cellStyle name="Comma 9 10" xfId="454" xr:uid="{00000000-0005-0000-0000-0000C5010000}"/>
    <cellStyle name="Comma 9 10 2" xfId="455" xr:uid="{00000000-0005-0000-0000-0000C6010000}"/>
    <cellStyle name="Comma 9 11" xfId="456" xr:uid="{00000000-0005-0000-0000-0000C7010000}"/>
    <cellStyle name="Comma 9 11 2" xfId="457" xr:uid="{00000000-0005-0000-0000-0000C8010000}"/>
    <cellStyle name="Comma 9 12" xfId="458" xr:uid="{00000000-0005-0000-0000-0000C9010000}"/>
    <cellStyle name="Comma 9 12 2" xfId="459" xr:uid="{00000000-0005-0000-0000-0000CA010000}"/>
    <cellStyle name="Comma 9 13" xfId="460" xr:uid="{00000000-0005-0000-0000-0000CB010000}"/>
    <cellStyle name="Comma 9 13 2" xfId="461" xr:uid="{00000000-0005-0000-0000-0000CC010000}"/>
    <cellStyle name="Comma 9 14" xfId="462" xr:uid="{00000000-0005-0000-0000-0000CD010000}"/>
    <cellStyle name="Comma 9 14 2" xfId="463" xr:uid="{00000000-0005-0000-0000-0000CE010000}"/>
    <cellStyle name="Comma 9 15" xfId="464" xr:uid="{00000000-0005-0000-0000-0000CF010000}"/>
    <cellStyle name="Comma 9 15 2" xfId="465" xr:uid="{00000000-0005-0000-0000-0000D0010000}"/>
    <cellStyle name="Comma 9 16" xfId="466" xr:uid="{00000000-0005-0000-0000-0000D1010000}"/>
    <cellStyle name="Comma 9 16 2" xfId="467" xr:uid="{00000000-0005-0000-0000-0000D2010000}"/>
    <cellStyle name="Comma 9 17" xfId="468" xr:uid="{00000000-0005-0000-0000-0000D3010000}"/>
    <cellStyle name="Comma 9 17 2" xfId="469" xr:uid="{00000000-0005-0000-0000-0000D4010000}"/>
    <cellStyle name="Comma 9 18" xfId="470" xr:uid="{00000000-0005-0000-0000-0000D5010000}"/>
    <cellStyle name="Comma 9 18 2" xfId="471" xr:uid="{00000000-0005-0000-0000-0000D6010000}"/>
    <cellStyle name="Comma 9 19" xfId="472" xr:uid="{00000000-0005-0000-0000-0000D7010000}"/>
    <cellStyle name="Comma 9 19 2" xfId="473" xr:uid="{00000000-0005-0000-0000-0000D8010000}"/>
    <cellStyle name="Comma 9 2" xfId="474" xr:uid="{00000000-0005-0000-0000-0000D9010000}"/>
    <cellStyle name="Comma 9 2 2" xfId="475" xr:uid="{00000000-0005-0000-0000-0000DA010000}"/>
    <cellStyle name="Comma 9 20" xfId="476" xr:uid="{00000000-0005-0000-0000-0000DB010000}"/>
    <cellStyle name="Comma 9 3" xfId="477" xr:uid="{00000000-0005-0000-0000-0000DC010000}"/>
    <cellStyle name="Comma 9 3 2" xfId="478" xr:uid="{00000000-0005-0000-0000-0000DD010000}"/>
    <cellStyle name="Comma 9 4" xfId="479" xr:uid="{00000000-0005-0000-0000-0000DE010000}"/>
    <cellStyle name="Comma 9 4 2" xfId="480" xr:uid="{00000000-0005-0000-0000-0000DF010000}"/>
    <cellStyle name="Comma 9 5" xfId="481" xr:uid="{00000000-0005-0000-0000-0000E0010000}"/>
    <cellStyle name="Comma 9 5 2" xfId="482" xr:uid="{00000000-0005-0000-0000-0000E1010000}"/>
    <cellStyle name="Comma 9 6" xfId="483" xr:uid="{00000000-0005-0000-0000-0000E2010000}"/>
    <cellStyle name="Comma 9 6 2" xfId="484" xr:uid="{00000000-0005-0000-0000-0000E3010000}"/>
    <cellStyle name="Comma 9 7" xfId="485" xr:uid="{00000000-0005-0000-0000-0000E4010000}"/>
    <cellStyle name="Comma 9 7 2" xfId="486" xr:uid="{00000000-0005-0000-0000-0000E5010000}"/>
    <cellStyle name="Comma 9 8" xfId="487" xr:uid="{00000000-0005-0000-0000-0000E6010000}"/>
    <cellStyle name="Comma 9 8 2" xfId="488" xr:uid="{00000000-0005-0000-0000-0000E7010000}"/>
    <cellStyle name="Comma 9 9" xfId="489" xr:uid="{00000000-0005-0000-0000-0000E8010000}"/>
    <cellStyle name="Comma 9 9 2" xfId="490" xr:uid="{00000000-0005-0000-0000-0000E9010000}"/>
    <cellStyle name="Input 2" xfId="491" xr:uid="{00000000-0005-0000-0000-0000EA010000}"/>
    <cellStyle name="Input 2 2" xfId="492" xr:uid="{00000000-0005-0000-0000-0000EB010000}"/>
    <cellStyle name="Jun" xfId="493" xr:uid="{00000000-0005-0000-0000-0000EC010000}"/>
    <cellStyle name="Normal" xfId="0" builtinId="0"/>
    <cellStyle name="Normal 10" xfId="494" xr:uid="{00000000-0005-0000-0000-0000EE010000}"/>
    <cellStyle name="Normal 10 2" xfId="495" xr:uid="{00000000-0005-0000-0000-0000EF010000}"/>
    <cellStyle name="Normal 10 2 2" xfId="496" xr:uid="{00000000-0005-0000-0000-0000F0010000}"/>
    <cellStyle name="Normal 10 3" xfId="497" xr:uid="{00000000-0005-0000-0000-0000F1010000}"/>
    <cellStyle name="Normal 10 4" xfId="498" xr:uid="{00000000-0005-0000-0000-0000F2010000}"/>
    <cellStyle name="Normal 10 5" xfId="499" xr:uid="{00000000-0005-0000-0000-0000F3010000}"/>
    <cellStyle name="Normal 11" xfId="500" xr:uid="{00000000-0005-0000-0000-0000F4010000}"/>
    <cellStyle name="Normal 12" xfId="501" xr:uid="{00000000-0005-0000-0000-0000F5010000}"/>
    <cellStyle name="Normal 12 2" xfId="502" xr:uid="{00000000-0005-0000-0000-0000F6010000}"/>
    <cellStyle name="Normal 12 3" xfId="503" xr:uid="{00000000-0005-0000-0000-0000F7010000}"/>
    <cellStyle name="Normal 12 4" xfId="504" xr:uid="{00000000-0005-0000-0000-0000F8010000}"/>
    <cellStyle name="Normal 12 5" xfId="505" xr:uid="{00000000-0005-0000-0000-0000F9010000}"/>
    <cellStyle name="Normal 13" xfId="506" xr:uid="{00000000-0005-0000-0000-0000FA010000}"/>
    <cellStyle name="Normal 13 2" xfId="507" xr:uid="{00000000-0005-0000-0000-0000FB010000}"/>
    <cellStyle name="Normal 13 3" xfId="508" xr:uid="{00000000-0005-0000-0000-0000FC010000}"/>
    <cellStyle name="Normal 13 4" xfId="509" xr:uid="{00000000-0005-0000-0000-0000FD010000}"/>
    <cellStyle name="Normal 13 5" xfId="510" xr:uid="{00000000-0005-0000-0000-0000FE010000}"/>
    <cellStyle name="Normal 14" xfId="511" xr:uid="{00000000-0005-0000-0000-0000FF010000}"/>
    <cellStyle name="Normal 14 10" xfId="512" xr:uid="{00000000-0005-0000-0000-000000020000}"/>
    <cellStyle name="Normal 14 11" xfId="513" xr:uid="{00000000-0005-0000-0000-000001020000}"/>
    <cellStyle name="Normal 14 12" xfId="514" xr:uid="{00000000-0005-0000-0000-000002020000}"/>
    <cellStyle name="Normal 14 2" xfId="515" xr:uid="{00000000-0005-0000-0000-000003020000}"/>
    <cellStyle name="Normal 14 3" xfId="516" xr:uid="{00000000-0005-0000-0000-000004020000}"/>
    <cellStyle name="Normal 14 4" xfId="517" xr:uid="{00000000-0005-0000-0000-000005020000}"/>
    <cellStyle name="Normal 14 5" xfId="518" xr:uid="{00000000-0005-0000-0000-000006020000}"/>
    <cellStyle name="Normal 14 6" xfId="519" xr:uid="{00000000-0005-0000-0000-000007020000}"/>
    <cellStyle name="Normal 14 7" xfId="520" xr:uid="{00000000-0005-0000-0000-000008020000}"/>
    <cellStyle name="Normal 14 8" xfId="521" xr:uid="{00000000-0005-0000-0000-000009020000}"/>
    <cellStyle name="Normal 14 9" xfId="522" xr:uid="{00000000-0005-0000-0000-00000A020000}"/>
    <cellStyle name="Normal 15" xfId="523" xr:uid="{00000000-0005-0000-0000-00000B020000}"/>
    <cellStyle name="Normal 15 2" xfId="524" xr:uid="{00000000-0005-0000-0000-00000C020000}"/>
    <cellStyle name="Normal 16" xfId="525" xr:uid="{00000000-0005-0000-0000-00000D020000}"/>
    <cellStyle name="Normal 17" xfId="526" xr:uid="{00000000-0005-0000-0000-00000E020000}"/>
    <cellStyle name="Normal 17 2" xfId="527" xr:uid="{00000000-0005-0000-0000-00000F020000}"/>
    <cellStyle name="Normal 17 2 2" xfId="528" xr:uid="{00000000-0005-0000-0000-000010020000}"/>
    <cellStyle name="Normal 17 3" xfId="529" xr:uid="{00000000-0005-0000-0000-000011020000}"/>
    <cellStyle name="Normal 17 3 2" xfId="530" xr:uid="{00000000-0005-0000-0000-000012020000}"/>
    <cellStyle name="Normal 17 4" xfId="531" xr:uid="{00000000-0005-0000-0000-000013020000}"/>
    <cellStyle name="Normal 17 4 2" xfId="532" xr:uid="{00000000-0005-0000-0000-000014020000}"/>
    <cellStyle name="Normal 17 5" xfId="533" xr:uid="{00000000-0005-0000-0000-000015020000}"/>
    <cellStyle name="Normal 17 5 2" xfId="534" xr:uid="{00000000-0005-0000-0000-000016020000}"/>
    <cellStyle name="Normal 17 6" xfId="535" xr:uid="{00000000-0005-0000-0000-000017020000}"/>
    <cellStyle name="Normal 18" xfId="536" xr:uid="{00000000-0005-0000-0000-000018020000}"/>
    <cellStyle name="Normal 18 2" xfId="537" xr:uid="{00000000-0005-0000-0000-000019020000}"/>
    <cellStyle name="Normal 19" xfId="538" xr:uid="{00000000-0005-0000-0000-00001A020000}"/>
    <cellStyle name="Normal 19 2" xfId="539" xr:uid="{00000000-0005-0000-0000-00001B020000}"/>
    <cellStyle name="Normal 2" xfId="540" xr:uid="{00000000-0005-0000-0000-00001C020000}"/>
    <cellStyle name="Normal 2 10" xfId="541" xr:uid="{00000000-0005-0000-0000-00001D020000}"/>
    <cellStyle name="Normal 2 11" xfId="542" xr:uid="{00000000-0005-0000-0000-00001E020000}"/>
    <cellStyle name="Normal 2 12" xfId="543" xr:uid="{00000000-0005-0000-0000-00001F020000}"/>
    <cellStyle name="Normal 2 13" xfId="544" xr:uid="{00000000-0005-0000-0000-000020020000}"/>
    <cellStyle name="Normal 2 14" xfId="545" xr:uid="{00000000-0005-0000-0000-000021020000}"/>
    <cellStyle name="Normal 2 15" xfId="546" xr:uid="{00000000-0005-0000-0000-000022020000}"/>
    <cellStyle name="Normal 2 16" xfId="547" xr:uid="{00000000-0005-0000-0000-000023020000}"/>
    <cellStyle name="Normal 2 17" xfId="548" xr:uid="{00000000-0005-0000-0000-000024020000}"/>
    <cellStyle name="Normal 2 18" xfId="549" xr:uid="{00000000-0005-0000-0000-000025020000}"/>
    <cellStyle name="Normal 2 19" xfId="550" xr:uid="{00000000-0005-0000-0000-000026020000}"/>
    <cellStyle name="Normal 2 2" xfId="551" xr:uid="{00000000-0005-0000-0000-000027020000}"/>
    <cellStyle name="Normal 2 2 2" xfId="552" xr:uid="{00000000-0005-0000-0000-000028020000}"/>
    <cellStyle name="Normal 2 20" xfId="553" xr:uid="{00000000-0005-0000-0000-000029020000}"/>
    <cellStyle name="Normal 2 21" xfId="554" xr:uid="{00000000-0005-0000-0000-00002A020000}"/>
    <cellStyle name="Normal 2 3" xfId="555" xr:uid="{00000000-0005-0000-0000-00002B020000}"/>
    <cellStyle name="Normal 2 4" xfId="556" xr:uid="{00000000-0005-0000-0000-00002C020000}"/>
    <cellStyle name="Normal 2 5" xfId="557" xr:uid="{00000000-0005-0000-0000-00002D020000}"/>
    <cellStyle name="Normal 2 6" xfId="558" xr:uid="{00000000-0005-0000-0000-00002E020000}"/>
    <cellStyle name="Normal 2 7" xfId="559" xr:uid="{00000000-0005-0000-0000-00002F020000}"/>
    <cellStyle name="Normal 2 8" xfId="560" xr:uid="{00000000-0005-0000-0000-000030020000}"/>
    <cellStyle name="Normal 2 9" xfId="561" xr:uid="{00000000-0005-0000-0000-000031020000}"/>
    <cellStyle name="Normal 2_deposits mobilized" xfId="562" xr:uid="{00000000-0005-0000-0000-000032020000}"/>
    <cellStyle name="Normal 20" xfId="563" xr:uid="{00000000-0005-0000-0000-000033020000}"/>
    <cellStyle name="Normal 21" xfId="564" xr:uid="{00000000-0005-0000-0000-000034020000}"/>
    <cellStyle name="Normal 21 10" xfId="565" xr:uid="{00000000-0005-0000-0000-000035020000}"/>
    <cellStyle name="Normal 21 11" xfId="566" xr:uid="{00000000-0005-0000-0000-000036020000}"/>
    <cellStyle name="Normal 21 12" xfId="567" xr:uid="{00000000-0005-0000-0000-000037020000}"/>
    <cellStyle name="Normal 21 13" xfId="568" xr:uid="{00000000-0005-0000-0000-000038020000}"/>
    <cellStyle name="Normal 21 14" xfId="569" xr:uid="{00000000-0005-0000-0000-000039020000}"/>
    <cellStyle name="Normal 21 15" xfId="570" xr:uid="{00000000-0005-0000-0000-00003A020000}"/>
    <cellStyle name="Normal 21 16" xfId="571" xr:uid="{00000000-0005-0000-0000-00003B020000}"/>
    <cellStyle name="Normal 21 2" xfId="572" xr:uid="{00000000-0005-0000-0000-00003C020000}"/>
    <cellStyle name="Normal 21 3" xfId="573" xr:uid="{00000000-0005-0000-0000-00003D020000}"/>
    <cellStyle name="Normal 21 4" xfId="574" xr:uid="{00000000-0005-0000-0000-00003E020000}"/>
    <cellStyle name="Normal 21 5" xfId="575" xr:uid="{00000000-0005-0000-0000-00003F020000}"/>
    <cellStyle name="Normal 21 6" xfId="576" xr:uid="{00000000-0005-0000-0000-000040020000}"/>
    <cellStyle name="Normal 21 7" xfId="577" xr:uid="{00000000-0005-0000-0000-000041020000}"/>
    <cellStyle name="Normal 21 8" xfId="578" xr:uid="{00000000-0005-0000-0000-000042020000}"/>
    <cellStyle name="Normal 21 9" xfId="579" xr:uid="{00000000-0005-0000-0000-000043020000}"/>
    <cellStyle name="Normal 22" xfId="580" xr:uid="{00000000-0005-0000-0000-000044020000}"/>
    <cellStyle name="Normal 23" xfId="581" xr:uid="{00000000-0005-0000-0000-000045020000}"/>
    <cellStyle name="Normal 24" xfId="582" xr:uid="{00000000-0005-0000-0000-000046020000}"/>
    <cellStyle name="Normal 25" xfId="583" xr:uid="{00000000-0005-0000-0000-000047020000}"/>
    <cellStyle name="Normal 26" xfId="584" xr:uid="{00000000-0005-0000-0000-000048020000}"/>
    <cellStyle name="Normal 27" xfId="585" xr:uid="{00000000-0005-0000-0000-000049020000}"/>
    <cellStyle name="Normal 28" xfId="586" xr:uid="{00000000-0005-0000-0000-00004A020000}"/>
    <cellStyle name="Normal 29" xfId="587" xr:uid="{00000000-0005-0000-0000-00004B020000}"/>
    <cellStyle name="Normal 3" xfId="588" xr:uid="{00000000-0005-0000-0000-00004C020000}"/>
    <cellStyle name="Normal 3 10" xfId="589" xr:uid="{00000000-0005-0000-0000-00004D020000}"/>
    <cellStyle name="Normal 3 11" xfId="590" xr:uid="{00000000-0005-0000-0000-00004E020000}"/>
    <cellStyle name="Normal 3 12" xfId="591" xr:uid="{00000000-0005-0000-0000-00004F020000}"/>
    <cellStyle name="Normal 3 13" xfId="592" xr:uid="{00000000-0005-0000-0000-000050020000}"/>
    <cellStyle name="Normal 3 14" xfId="593" xr:uid="{00000000-0005-0000-0000-000051020000}"/>
    <cellStyle name="Normal 3 15" xfId="594" xr:uid="{00000000-0005-0000-0000-000052020000}"/>
    <cellStyle name="Normal 3 16" xfId="595" xr:uid="{00000000-0005-0000-0000-000053020000}"/>
    <cellStyle name="Normal 3 17" xfId="596" xr:uid="{00000000-0005-0000-0000-000054020000}"/>
    <cellStyle name="Normal 3 18" xfId="597" xr:uid="{00000000-0005-0000-0000-000055020000}"/>
    <cellStyle name="Normal 3 19" xfId="598" xr:uid="{00000000-0005-0000-0000-000056020000}"/>
    <cellStyle name="Normal 3 2" xfId="599" xr:uid="{00000000-0005-0000-0000-000057020000}"/>
    <cellStyle name="Normal 3 20" xfId="600" xr:uid="{00000000-0005-0000-0000-000058020000}"/>
    <cellStyle name="Normal 3 21" xfId="601" xr:uid="{00000000-0005-0000-0000-000059020000}"/>
    <cellStyle name="Normal 3 22" xfId="602" xr:uid="{00000000-0005-0000-0000-00005A020000}"/>
    <cellStyle name="Normal 3 23" xfId="603" xr:uid="{00000000-0005-0000-0000-00005B020000}"/>
    <cellStyle name="Normal 3 24" xfId="604" xr:uid="{00000000-0005-0000-0000-00005C020000}"/>
    <cellStyle name="Normal 3 25" xfId="605" xr:uid="{00000000-0005-0000-0000-00005D020000}"/>
    <cellStyle name="Normal 3 26" xfId="606" xr:uid="{00000000-0005-0000-0000-00005E020000}"/>
    <cellStyle name="Normal 3 27" xfId="607" xr:uid="{00000000-0005-0000-0000-00005F020000}"/>
    <cellStyle name="Normal 3 28" xfId="608" xr:uid="{00000000-0005-0000-0000-000060020000}"/>
    <cellStyle name="Normal 3 29" xfId="609" xr:uid="{00000000-0005-0000-0000-000061020000}"/>
    <cellStyle name="Normal 3 3" xfId="610" xr:uid="{00000000-0005-0000-0000-000062020000}"/>
    <cellStyle name="Normal 3 30" xfId="611" xr:uid="{00000000-0005-0000-0000-000063020000}"/>
    <cellStyle name="Normal 3 4" xfId="612" xr:uid="{00000000-0005-0000-0000-000064020000}"/>
    <cellStyle name="Normal 3 5" xfId="613" xr:uid="{00000000-0005-0000-0000-000065020000}"/>
    <cellStyle name="Normal 3 6" xfId="614" xr:uid="{00000000-0005-0000-0000-000066020000}"/>
    <cellStyle name="Normal 3 7" xfId="615" xr:uid="{00000000-0005-0000-0000-000067020000}"/>
    <cellStyle name="Normal 3 8" xfId="616" xr:uid="{00000000-0005-0000-0000-000068020000}"/>
    <cellStyle name="Normal 3 9" xfId="617" xr:uid="{00000000-0005-0000-0000-000069020000}"/>
    <cellStyle name="Normal 3_deposits mobilized" xfId="618" xr:uid="{00000000-0005-0000-0000-00006A020000}"/>
    <cellStyle name="Normal 30" xfId="619" xr:uid="{00000000-0005-0000-0000-00006B020000}"/>
    <cellStyle name="Normal 31" xfId="620" xr:uid="{00000000-0005-0000-0000-00006C020000}"/>
    <cellStyle name="Normal 34" xfId="621" xr:uid="{00000000-0005-0000-0000-00006D020000}"/>
    <cellStyle name="Normal 4" xfId="622" xr:uid="{00000000-0005-0000-0000-00006E020000}"/>
    <cellStyle name="Normal 4 10" xfId="623" xr:uid="{00000000-0005-0000-0000-00006F020000}"/>
    <cellStyle name="Normal 4 11" xfId="624" xr:uid="{00000000-0005-0000-0000-000070020000}"/>
    <cellStyle name="Normal 4 12" xfId="625" xr:uid="{00000000-0005-0000-0000-000071020000}"/>
    <cellStyle name="Normal 4 13" xfId="626" xr:uid="{00000000-0005-0000-0000-000072020000}"/>
    <cellStyle name="Normal 4 14" xfId="627" xr:uid="{00000000-0005-0000-0000-000073020000}"/>
    <cellStyle name="Normal 4 15" xfId="628" xr:uid="{00000000-0005-0000-0000-000074020000}"/>
    <cellStyle name="Normal 4 16" xfId="629" xr:uid="{00000000-0005-0000-0000-000075020000}"/>
    <cellStyle name="Normal 4 17" xfId="630" xr:uid="{00000000-0005-0000-0000-000076020000}"/>
    <cellStyle name="Normal 4 18" xfId="631" xr:uid="{00000000-0005-0000-0000-000077020000}"/>
    <cellStyle name="Normal 4 19" xfId="632" xr:uid="{00000000-0005-0000-0000-000078020000}"/>
    <cellStyle name="Normal 4 2" xfId="633" xr:uid="{00000000-0005-0000-0000-000079020000}"/>
    <cellStyle name="Normal 4 20" xfId="634" xr:uid="{00000000-0005-0000-0000-00007A020000}"/>
    <cellStyle name="Normal 4 21" xfId="635" xr:uid="{00000000-0005-0000-0000-00007B020000}"/>
    <cellStyle name="Normal 4 22" xfId="636" xr:uid="{00000000-0005-0000-0000-00007C020000}"/>
    <cellStyle name="Normal 4 23" xfId="637" xr:uid="{00000000-0005-0000-0000-00007D020000}"/>
    <cellStyle name="Normal 4 24" xfId="638" xr:uid="{00000000-0005-0000-0000-00007E020000}"/>
    <cellStyle name="Normal 4 25" xfId="639" xr:uid="{00000000-0005-0000-0000-00007F020000}"/>
    <cellStyle name="Normal 4 26" xfId="640" xr:uid="{00000000-0005-0000-0000-000080020000}"/>
    <cellStyle name="Normal 4 27" xfId="641" xr:uid="{00000000-0005-0000-0000-000081020000}"/>
    <cellStyle name="Normal 4 28" xfId="642" xr:uid="{00000000-0005-0000-0000-000082020000}"/>
    <cellStyle name="Normal 4 29" xfId="643" xr:uid="{00000000-0005-0000-0000-000083020000}"/>
    <cellStyle name="Normal 4 3" xfId="644" xr:uid="{00000000-0005-0000-0000-000084020000}"/>
    <cellStyle name="Normal 4 30" xfId="645" xr:uid="{00000000-0005-0000-0000-000085020000}"/>
    <cellStyle name="Normal 4 4" xfId="646" xr:uid="{00000000-0005-0000-0000-000086020000}"/>
    <cellStyle name="Normal 4 5" xfId="647" xr:uid="{00000000-0005-0000-0000-000087020000}"/>
    <cellStyle name="Normal 4 6" xfId="648" xr:uid="{00000000-0005-0000-0000-000088020000}"/>
    <cellStyle name="Normal 4 7" xfId="649" xr:uid="{00000000-0005-0000-0000-000089020000}"/>
    <cellStyle name="Normal 4 8" xfId="650" xr:uid="{00000000-0005-0000-0000-00008A020000}"/>
    <cellStyle name="Normal 4 9" xfId="651" xr:uid="{00000000-0005-0000-0000-00008B020000}"/>
    <cellStyle name="Normal 5" xfId="652" xr:uid="{00000000-0005-0000-0000-00008C020000}"/>
    <cellStyle name="Normal 5 10" xfId="653" xr:uid="{00000000-0005-0000-0000-00008D020000}"/>
    <cellStyle name="Normal 5 11" xfId="654" xr:uid="{00000000-0005-0000-0000-00008E020000}"/>
    <cellStyle name="Normal 5 12" xfId="655" xr:uid="{00000000-0005-0000-0000-00008F020000}"/>
    <cellStyle name="Normal 5 13" xfId="656" xr:uid="{00000000-0005-0000-0000-000090020000}"/>
    <cellStyle name="Normal 5 14" xfId="657" xr:uid="{00000000-0005-0000-0000-000091020000}"/>
    <cellStyle name="Normal 5 15" xfId="658" xr:uid="{00000000-0005-0000-0000-000092020000}"/>
    <cellStyle name="Normal 5 2" xfId="659" xr:uid="{00000000-0005-0000-0000-000093020000}"/>
    <cellStyle name="Normal 5 3" xfId="660" xr:uid="{00000000-0005-0000-0000-000094020000}"/>
    <cellStyle name="Normal 5 4" xfId="661" xr:uid="{00000000-0005-0000-0000-000095020000}"/>
    <cellStyle name="Normal 5 5" xfId="662" xr:uid="{00000000-0005-0000-0000-000096020000}"/>
    <cellStyle name="Normal 5 6" xfId="663" xr:uid="{00000000-0005-0000-0000-000097020000}"/>
    <cellStyle name="Normal 5 7" xfId="664" xr:uid="{00000000-0005-0000-0000-000098020000}"/>
    <cellStyle name="Normal 5 8" xfId="665" xr:uid="{00000000-0005-0000-0000-000099020000}"/>
    <cellStyle name="Normal 5 9" xfId="666" xr:uid="{00000000-0005-0000-0000-00009A020000}"/>
    <cellStyle name="Normal 6" xfId="667" xr:uid="{00000000-0005-0000-0000-00009B020000}"/>
    <cellStyle name="Normal 6 2" xfId="668" xr:uid="{00000000-0005-0000-0000-00009C020000}"/>
    <cellStyle name="Normal 6 3" xfId="669" xr:uid="{00000000-0005-0000-0000-00009D020000}"/>
    <cellStyle name="Normal 6 4" xfId="670" xr:uid="{00000000-0005-0000-0000-00009E020000}"/>
    <cellStyle name="Normal 6 5" xfId="671" xr:uid="{00000000-0005-0000-0000-00009F020000}"/>
    <cellStyle name="Normal 7" xfId="672" xr:uid="{00000000-0005-0000-0000-0000A0020000}"/>
    <cellStyle name="Normal 7 2" xfId="673" xr:uid="{00000000-0005-0000-0000-0000A1020000}"/>
    <cellStyle name="Normal 7 3" xfId="674" xr:uid="{00000000-0005-0000-0000-0000A2020000}"/>
    <cellStyle name="Normal 7 4" xfId="675" xr:uid="{00000000-0005-0000-0000-0000A3020000}"/>
    <cellStyle name="Normal 7 5" xfId="676" xr:uid="{00000000-0005-0000-0000-0000A4020000}"/>
    <cellStyle name="Normal 7 6" xfId="677" xr:uid="{00000000-0005-0000-0000-0000A5020000}"/>
    <cellStyle name="Normal 8" xfId="678" xr:uid="{00000000-0005-0000-0000-0000A6020000}"/>
    <cellStyle name="Normal 85" xfId="679" xr:uid="{00000000-0005-0000-0000-0000A7020000}"/>
    <cellStyle name="Normal 9" xfId="680" xr:uid="{00000000-0005-0000-0000-0000A8020000}"/>
    <cellStyle name="Normal 9 10" xfId="681" xr:uid="{00000000-0005-0000-0000-0000A9020000}"/>
    <cellStyle name="Normal 9 10 2" xfId="682" xr:uid="{00000000-0005-0000-0000-0000AA020000}"/>
    <cellStyle name="Normal 9 11" xfId="683" xr:uid="{00000000-0005-0000-0000-0000AB020000}"/>
    <cellStyle name="Normal 9 11 2" xfId="684" xr:uid="{00000000-0005-0000-0000-0000AC020000}"/>
    <cellStyle name="Normal 9 12" xfId="685" xr:uid="{00000000-0005-0000-0000-0000AD020000}"/>
    <cellStyle name="Normal 9 12 2" xfId="686" xr:uid="{00000000-0005-0000-0000-0000AE020000}"/>
    <cellStyle name="Normal 9 13" xfId="687" xr:uid="{00000000-0005-0000-0000-0000AF020000}"/>
    <cellStyle name="Normal 9 14" xfId="688" xr:uid="{00000000-0005-0000-0000-0000B0020000}"/>
    <cellStyle name="Normal 9 15" xfId="689" xr:uid="{00000000-0005-0000-0000-0000B1020000}"/>
    <cellStyle name="Normal 9 2" xfId="690" xr:uid="{00000000-0005-0000-0000-0000B2020000}"/>
    <cellStyle name="Normal 9 2 2" xfId="691" xr:uid="{00000000-0005-0000-0000-0000B3020000}"/>
    <cellStyle name="Normal 9 2 2 2" xfId="692" xr:uid="{00000000-0005-0000-0000-0000B4020000}"/>
    <cellStyle name="Normal 9 2 3" xfId="693" xr:uid="{00000000-0005-0000-0000-0000B5020000}"/>
    <cellStyle name="Normal 9 2 3 2" xfId="694" xr:uid="{00000000-0005-0000-0000-0000B6020000}"/>
    <cellStyle name="Normal 9 2 4" xfId="695" xr:uid="{00000000-0005-0000-0000-0000B7020000}"/>
    <cellStyle name="Normal 9 2 4 2" xfId="696" xr:uid="{00000000-0005-0000-0000-0000B8020000}"/>
    <cellStyle name="Normal 9 3" xfId="697" xr:uid="{00000000-0005-0000-0000-0000B9020000}"/>
    <cellStyle name="Normal 9 3 2" xfId="698" xr:uid="{00000000-0005-0000-0000-0000BA020000}"/>
    <cellStyle name="Normal 9 4" xfId="699" xr:uid="{00000000-0005-0000-0000-0000BB020000}"/>
    <cellStyle name="Normal 9 4 2" xfId="700" xr:uid="{00000000-0005-0000-0000-0000BC020000}"/>
    <cellStyle name="Normal 9 5" xfId="701" xr:uid="{00000000-0005-0000-0000-0000BD020000}"/>
    <cellStyle name="Normal 9 5 2" xfId="702" xr:uid="{00000000-0005-0000-0000-0000BE020000}"/>
    <cellStyle name="Normal 9 6" xfId="703" xr:uid="{00000000-0005-0000-0000-0000BF020000}"/>
    <cellStyle name="Normal 9 6 2" xfId="704" xr:uid="{00000000-0005-0000-0000-0000C0020000}"/>
    <cellStyle name="Normal 9 7" xfId="705" xr:uid="{00000000-0005-0000-0000-0000C1020000}"/>
    <cellStyle name="Normal 9 7 2" xfId="706" xr:uid="{00000000-0005-0000-0000-0000C2020000}"/>
    <cellStyle name="Normal 9 8" xfId="707" xr:uid="{00000000-0005-0000-0000-0000C3020000}"/>
    <cellStyle name="Normal 9 8 2" xfId="708" xr:uid="{00000000-0005-0000-0000-0000C4020000}"/>
    <cellStyle name="Normal 9 9" xfId="709" xr:uid="{00000000-0005-0000-0000-0000C5020000}"/>
    <cellStyle name="Normal 9 9 2" xfId="710" xr:uid="{00000000-0005-0000-0000-0000C6020000}"/>
    <cellStyle name="Note 2" xfId="711" xr:uid="{00000000-0005-0000-0000-0000C7020000}"/>
    <cellStyle name="Note 2 2" xfId="712" xr:uid="{00000000-0005-0000-0000-0000C8020000}"/>
    <cellStyle name="Percent" xfId="713" builtinId="5"/>
    <cellStyle name="Percent 2" xfId="714" xr:uid="{00000000-0005-0000-0000-0000CA020000}"/>
    <cellStyle name="Percent 2 2" xfId="715" xr:uid="{00000000-0005-0000-0000-0000CB020000}"/>
    <cellStyle name="Percent 3" xfId="716" xr:uid="{00000000-0005-0000-0000-0000CC020000}"/>
    <cellStyle name="Percent 3 2" xfId="717" xr:uid="{00000000-0005-0000-0000-0000CD020000}"/>
    <cellStyle name="Percent 3 3" xfId="718" xr:uid="{00000000-0005-0000-0000-0000CE020000}"/>
    <cellStyle name="Percent 3 4" xfId="719" xr:uid="{00000000-0005-0000-0000-0000CF020000}"/>
    <cellStyle name="Percent 4" xfId="720" xr:uid="{00000000-0005-0000-0000-0000D0020000}"/>
    <cellStyle name="Percent 5" xfId="721" xr:uid="{00000000-0005-0000-0000-0000D1020000}"/>
    <cellStyle name="Percent 5 2" xfId="722" xr:uid="{00000000-0005-0000-0000-0000D2020000}"/>
    <cellStyle name="Percent 6" xfId="723" xr:uid="{00000000-0005-0000-0000-0000D3020000}"/>
    <cellStyle name="Total 2" xfId="724" xr:uid="{00000000-0005-0000-0000-0000D4020000}"/>
    <cellStyle name="Total 2 2" xfId="725" xr:uid="{00000000-0005-0000-0000-0000D5020000}"/>
    <cellStyle name="Total 2 2 2" xfId="726" xr:uid="{00000000-0005-0000-0000-0000D6020000}"/>
    <cellStyle name="Total 2 3" xfId="727" xr:uid="{00000000-0005-0000-0000-0000D7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supervision_\Documents%20and%20Settings\Francis\My%20Documents\Downloads\Wakenya%20Pamoja%20financials%20(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Saccos\kenya%20police\ACCOUNTS%20APPROVALS\Accounts%20Approval%202016\Kenya%20Police%20CAELS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nd"/>
      <sheetName val="Financials"/>
      <sheetName val="Form 4"/>
      <sheetName val="CAELS"/>
      <sheetName val="Liquidity"/>
      <sheetName val="Prudential Ratios"/>
      <sheetName val="Sheet1"/>
    </sheetNames>
    <sheetDataSet>
      <sheetData sheetId="0"/>
      <sheetData sheetId="1">
        <row r="4">
          <cell r="C4">
            <v>3879</v>
          </cell>
          <cell r="D4">
            <v>4029</v>
          </cell>
          <cell r="E4">
            <v>5856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8622637171.8199997</v>
          </cell>
          <cell r="K5">
            <v>9439076803</v>
          </cell>
          <cell r="L5">
            <v>9653435750</v>
          </cell>
          <cell r="M5">
            <v>10068305908</v>
          </cell>
          <cell r="N5">
            <v>10271126412</v>
          </cell>
          <cell r="O5">
            <v>10122233255</v>
          </cell>
          <cell r="P5">
            <v>10318568794</v>
          </cell>
          <cell r="Q5">
            <v>10550988667</v>
          </cell>
          <cell r="R5">
            <v>10843547824</v>
          </cell>
          <cell r="S5">
            <v>10989586561</v>
          </cell>
          <cell r="T5">
            <v>11341887880</v>
          </cell>
          <cell r="U5">
            <v>11559301102</v>
          </cell>
          <cell r="V5">
            <v>11673888528</v>
          </cell>
          <cell r="W5">
            <v>11522841000</v>
          </cell>
          <cell r="X5">
            <v>12119414091</v>
          </cell>
          <cell r="Y5">
            <v>11644780616</v>
          </cell>
          <cell r="Z5">
            <v>12429571179</v>
          </cell>
          <cell r="AA5">
            <v>12331043813</v>
          </cell>
          <cell r="AB5">
            <v>12430515421</v>
          </cell>
          <cell r="AC5">
            <v>12898144484</v>
          </cell>
          <cell r="AD5">
            <v>13116968220</v>
          </cell>
          <cell r="AE5">
            <v>13695043650</v>
          </cell>
          <cell r="AF5">
            <v>13932299945</v>
          </cell>
          <cell r="AG5">
            <v>14174150635.240002</v>
          </cell>
          <cell r="AH5">
            <v>14586021015.84</v>
          </cell>
          <cell r="AI5">
            <v>15120125821.630001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7499808341.9499998</v>
          </cell>
          <cell r="K6">
            <v>7657056272</v>
          </cell>
          <cell r="L6">
            <v>7772124469</v>
          </cell>
          <cell r="M6">
            <v>7886904308</v>
          </cell>
          <cell r="N6">
            <v>8012639661</v>
          </cell>
          <cell r="O6">
            <v>7658721099</v>
          </cell>
          <cell r="P6">
            <v>7726182320</v>
          </cell>
          <cell r="Q6">
            <v>7851894857</v>
          </cell>
          <cell r="R6">
            <v>7938196381</v>
          </cell>
          <cell r="S6">
            <v>8023544906</v>
          </cell>
          <cell r="T6">
            <v>8192589047</v>
          </cell>
          <cell r="U6">
            <v>8356616504</v>
          </cell>
          <cell r="V6">
            <v>8462449118</v>
          </cell>
          <cell r="W6">
            <v>8462973000</v>
          </cell>
          <cell r="X6">
            <v>8641894569</v>
          </cell>
          <cell r="Y6">
            <v>8710775292</v>
          </cell>
          <cell r="Z6">
            <v>8766907405</v>
          </cell>
          <cell r="AA6">
            <v>9210270961</v>
          </cell>
          <cell r="AB6">
            <v>9052556962</v>
          </cell>
          <cell r="AC6">
            <v>9182657718</v>
          </cell>
          <cell r="AD6">
            <v>9350278059</v>
          </cell>
          <cell r="AE6">
            <v>9534096845</v>
          </cell>
          <cell r="AF6">
            <v>9685745647</v>
          </cell>
          <cell r="AG6">
            <v>9881119668.4599991</v>
          </cell>
          <cell r="AH6">
            <v>10051763145.440001</v>
          </cell>
          <cell r="AI6">
            <v>10253841760.129999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6998384717.71</v>
          </cell>
          <cell r="K7">
            <v>7131161460</v>
          </cell>
          <cell r="L7">
            <v>7259891129</v>
          </cell>
          <cell r="M7">
            <v>7376090301</v>
          </cell>
          <cell r="N7">
            <v>6942661725</v>
          </cell>
          <cell r="O7">
            <v>7064066211</v>
          </cell>
          <cell r="P7">
            <v>7160656183</v>
          </cell>
          <cell r="Q7">
            <v>7281750149</v>
          </cell>
          <cell r="R7">
            <v>7342676364</v>
          </cell>
          <cell r="S7">
            <v>7456667633</v>
          </cell>
          <cell r="T7">
            <v>7587651017</v>
          </cell>
          <cell r="U7">
            <v>7718819946</v>
          </cell>
          <cell r="V7">
            <v>7827920031</v>
          </cell>
          <cell r="W7">
            <v>7828070000</v>
          </cell>
          <cell r="X7">
            <v>7960077154</v>
          </cell>
          <cell r="Y7">
            <v>8081683754</v>
          </cell>
          <cell r="Z7">
            <v>8172989961</v>
          </cell>
          <cell r="AA7">
            <v>8270741384</v>
          </cell>
          <cell r="AB7">
            <v>8382202455</v>
          </cell>
          <cell r="AC7">
            <v>8513770479</v>
          </cell>
          <cell r="AD7">
            <v>8648788303</v>
          </cell>
          <cell r="AE7">
            <v>8808884365</v>
          </cell>
          <cell r="AF7">
            <v>8975846471</v>
          </cell>
          <cell r="AG7">
            <v>9141197067.1299992</v>
          </cell>
          <cell r="AH7">
            <v>9300389957.8400002</v>
          </cell>
          <cell r="AI7">
            <v>9455324224.9799995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501423624.24000001</v>
          </cell>
          <cell r="K8">
            <v>525894812</v>
          </cell>
          <cell r="L8">
            <v>512233340</v>
          </cell>
          <cell r="M8">
            <v>510814007</v>
          </cell>
          <cell r="N8">
            <v>1069977936</v>
          </cell>
          <cell r="O8">
            <v>594654888</v>
          </cell>
          <cell r="P8">
            <v>565526137</v>
          </cell>
          <cell r="Q8">
            <v>570144708</v>
          </cell>
          <cell r="R8">
            <v>595520017</v>
          </cell>
          <cell r="S8">
            <v>566877273</v>
          </cell>
          <cell r="T8">
            <v>604938030</v>
          </cell>
          <cell r="U8">
            <v>637796558</v>
          </cell>
          <cell r="V8">
            <v>634529087</v>
          </cell>
          <cell r="W8">
            <v>634903000</v>
          </cell>
          <cell r="X8">
            <v>681817415</v>
          </cell>
          <cell r="Y8">
            <v>629091538</v>
          </cell>
          <cell r="Z8">
            <v>593917444</v>
          </cell>
          <cell r="AA8">
            <v>939529577</v>
          </cell>
          <cell r="AB8">
            <v>670354507</v>
          </cell>
          <cell r="AC8">
            <v>668887239</v>
          </cell>
          <cell r="AD8">
            <v>701489756</v>
          </cell>
          <cell r="AE8">
            <v>725212480</v>
          </cell>
          <cell r="AF8">
            <v>709899176</v>
          </cell>
          <cell r="AG8">
            <v>739922601.33000004</v>
          </cell>
          <cell r="AH8">
            <v>751373187.60000002</v>
          </cell>
          <cell r="AI8">
            <v>798517535.14999998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200000000</v>
          </cell>
          <cell r="N9">
            <v>191666667</v>
          </cell>
          <cell r="O9">
            <v>333333333</v>
          </cell>
          <cell r="P9">
            <v>325000000</v>
          </cell>
          <cell r="Q9">
            <v>358020067</v>
          </cell>
          <cell r="R9">
            <v>436407259</v>
          </cell>
          <cell r="S9">
            <v>373424504</v>
          </cell>
          <cell r="T9">
            <v>435113294</v>
          </cell>
          <cell r="U9">
            <v>412055220</v>
          </cell>
          <cell r="V9">
            <v>403994010</v>
          </cell>
          <cell r="W9">
            <v>410774000</v>
          </cell>
          <cell r="X9">
            <v>585767304</v>
          </cell>
          <cell r="Y9">
            <v>590076260</v>
          </cell>
          <cell r="Z9">
            <v>791029065</v>
          </cell>
          <cell r="AA9">
            <v>756156645</v>
          </cell>
          <cell r="AB9">
            <v>915589072</v>
          </cell>
          <cell r="AC9">
            <v>1085923242</v>
          </cell>
          <cell r="AD9">
            <v>1018363068</v>
          </cell>
          <cell r="AE9">
            <v>1251386754</v>
          </cell>
          <cell r="AF9">
            <v>1132343445</v>
          </cell>
          <cell r="AG9">
            <v>1045781061.75</v>
          </cell>
          <cell r="AH9">
            <v>975100573.19000006</v>
          </cell>
          <cell r="AI9">
            <v>1136778256.73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736957929.62</v>
          </cell>
          <cell r="K10">
            <v>207468344</v>
          </cell>
          <cell r="L10">
            <v>220047806</v>
          </cell>
          <cell r="M10">
            <v>227993481</v>
          </cell>
          <cell r="N10">
            <v>292670136</v>
          </cell>
          <cell r="O10">
            <v>271479568</v>
          </cell>
          <cell r="P10">
            <v>265553781</v>
          </cell>
          <cell r="Q10">
            <v>234811831</v>
          </cell>
          <cell r="R10">
            <v>246266916</v>
          </cell>
          <cell r="S10">
            <v>254605482</v>
          </cell>
          <cell r="T10">
            <v>256173358</v>
          </cell>
          <cell r="U10">
            <v>259308340</v>
          </cell>
          <cell r="V10">
            <v>165695135</v>
          </cell>
          <cell r="W10">
            <v>974805000</v>
          </cell>
          <cell r="X10">
            <v>133792518</v>
          </cell>
          <cell r="Y10">
            <v>392508747</v>
          </cell>
          <cell r="Z10">
            <v>1001914145</v>
          </cell>
          <cell r="AA10">
            <v>224331493</v>
          </cell>
          <cell r="AB10">
            <v>231708088</v>
          </cell>
          <cell r="AC10">
            <v>261460606</v>
          </cell>
          <cell r="AD10">
            <v>200561773</v>
          </cell>
          <cell r="AE10">
            <v>172275053</v>
          </cell>
          <cell r="AF10">
            <v>160238969</v>
          </cell>
          <cell r="AG10">
            <v>171439966.8499999</v>
          </cell>
          <cell r="AH10">
            <v>289652506.67000008</v>
          </cell>
          <cell r="AI10">
            <v>302088742.63000011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817084042.54999995</v>
          </cell>
          <cell r="K13">
            <v>1566884483</v>
          </cell>
          <cell r="L13">
            <v>1661263476</v>
          </cell>
          <cell r="M13">
            <v>1753408121</v>
          </cell>
          <cell r="N13">
            <v>1756149950</v>
          </cell>
          <cell r="O13">
            <v>1858699255</v>
          </cell>
          <cell r="P13">
            <v>2001832695</v>
          </cell>
          <cell r="Q13">
            <v>2106261913</v>
          </cell>
          <cell r="R13">
            <v>2222677271</v>
          </cell>
          <cell r="S13">
            <v>2338011669</v>
          </cell>
          <cell r="T13">
            <v>2458012182</v>
          </cell>
          <cell r="U13">
            <v>2531321039</v>
          </cell>
          <cell r="V13">
            <v>2641750266</v>
          </cell>
          <cell r="W13">
            <v>1674378000</v>
          </cell>
          <cell r="X13">
            <v>2757959700</v>
          </cell>
          <cell r="Y13">
            <v>1951420317</v>
          </cell>
          <cell r="Z13">
            <v>1869720565</v>
          </cell>
          <cell r="AA13">
            <v>2140284713</v>
          </cell>
          <cell r="AB13">
            <v>2230661298</v>
          </cell>
          <cell r="AC13">
            <v>2368102918</v>
          </cell>
          <cell r="AD13">
            <v>2547765320</v>
          </cell>
          <cell r="AE13">
            <v>2737284999</v>
          </cell>
          <cell r="AF13">
            <v>2911157896</v>
          </cell>
          <cell r="AG13">
            <v>3040407686.8299999</v>
          </cell>
          <cell r="AH13">
            <v>3108002593.8499999</v>
          </cell>
          <cell r="AI13">
            <v>3266190144.6399999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705212042.54999995</v>
          </cell>
          <cell r="K14">
            <v>1454992483</v>
          </cell>
          <cell r="L14">
            <v>1549319476</v>
          </cell>
          <cell r="M14">
            <v>1641414201</v>
          </cell>
          <cell r="N14">
            <v>1094079030</v>
          </cell>
          <cell r="O14">
            <v>1195053075</v>
          </cell>
          <cell r="P14">
            <v>1327765775</v>
          </cell>
          <cell r="Q14">
            <v>1431831993</v>
          </cell>
          <cell r="R14">
            <v>1540919351</v>
          </cell>
          <cell r="S14">
            <v>1655921869</v>
          </cell>
          <cell r="T14">
            <v>1775818382</v>
          </cell>
          <cell r="U14">
            <v>1849013239</v>
          </cell>
          <cell r="V14">
            <v>1953456466</v>
          </cell>
          <cell r="W14">
            <v>986084000</v>
          </cell>
          <cell r="X14">
            <v>2069621900</v>
          </cell>
          <cell r="Y14">
            <v>1262821517</v>
          </cell>
          <cell r="Z14">
            <v>1180988765</v>
          </cell>
          <cell r="AA14">
            <v>1445273646</v>
          </cell>
          <cell r="AB14">
            <v>1535616231</v>
          </cell>
          <cell r="AC14">
            <v>1673062209</v>
          </cell>
          <cell r="AD14">
            <v>1852505411</v>
          </cell>
          <cell r="AE14">
            <v>2041991090</v>
          </cell>
          <cell r="AF14">
            <v>2215725987</v>
          </cell>
          <cell r="AG14">
            <v>2344920778.02</v>
          </cell>
          <cell r="AH14">
            <v>2412485685.04</v>
          </cell>
          <cell r="AI14">
            <v>2570620235.8299999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111872000</v>
          </cell>
          <cell r="K17">
            <v>111892000</v>
          </cell>
          <cell r="L17">
            <v>111944000</v>
          </cell>
          <cell r="M17">
            <v>111993920</v>
          </cell>
          <cell r="N17">
            <v>662070920</v>
          </cell>
          <cell r="O17">
            <v>663646180</v>
          </cell>
          <cell r="P17">
            <v>674066920</v>
          </cell>
          <cell r="Q17">
            <v>674429920</v>
          </cell>
          <cell r="R17">
            <v>681757920</v>
          </cell>
          <cell r="S17">
            <v>682089800</v>
          </cell>
          <cell r="T17">
            <v>682193800</v>
          </cell>
          <cell r="U17">
            <v>682307800</v>
          </cell>
          <cell r="V17">
            <v>688293800</v>
          </cell>
          <cell r="W17">
            <v>688294000</v>
          </cell>
          <cell r="X17">
            <v>688337800</v>
          </cell>
          <cell r="Y17">
            <v>688598800</v>
          </cell>
          <cell r="Z17">
            <v>688731800</v>
          </cell>
          <cell r="AA17">
            <v>695011067</v>
          </cell>
          <cell r="AB17">
            <v>695045067</v>
          </cell>
          <cell r="AC17">
            <v>695040709</v>
          </cell>
          <cell r="AD17">
            <v>695259909</v>
          </cell>
          <cell r="AE17">
            <v>695293909</v>
          </cell>
          <cell r="AF17">
            <v>695431909</v>
          </cell>
          <cell r="AG17">
            <v>695486908.80999994</v>
          </cell>
          <cell r="AH17">
            <v>695516908.80999994</v>
          </cell>
          <cell r="AI17">
            <v>695569908.80999994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237486595</v>
          </cell>
          <cell r="K25">
            <v>234922302</v>
          </cell>
          <cell r="L25">
            <v>234922302</v>
          </cell>
          <cell r="M25">
            <v>234922302</v>
          </cell>
          <cell r="N25">
            <v>233036089</v>
          </cell>
          <cell r="O25">
            <v>253036089</v>
          </cell>
          <cell r="P25">
            <v>253036089</v>
          </cell>
          <cell r="Q25">
            <v>253036089</v>
          </cell>
          <cell r="R25">
            <v>253036089</v>
          </cell>
          <cell r="S25">
            <v>253036089</v>
          </cell>
          <cell r="T25">
            <v>253036089</v>
          </cell>
          <cell r="U25">
            <v>252686089</v>
          </cell>
          <cell r="V25">
            <v>252886089</v>
          </cell>
          <cell r="W25">
            <v>316943000</v>
          </cell>
          <cell r="X25">
            <v>252886089</v>
          </cell>
          <cell r="Y25">
            <v>363887108</v>
          </cell>
          <cell r="Z25">
            <v>363887108</v>
          </cell>
          <cell r="AA25">
            <v>363887108</v>
          </cell>
          <cell r="AB25">
            <v>393887108</v>
          </cell>
          <cell r="AC25">
            <v>441026231</v>
          </cell>
          <cell r="AD25">
            <v>423863969</v>
          </cell>
          <cell r="AE25">
            <v>423863969</v>
          </cell>
          <cell r="AF25">
            <v>423863969</v>
          </cell>
          <cell r="AG25">
            <v>423863969</v>
          </cell>
          <cell r="AH25">
            <v>513852821.60000002</v>
          </cell>
          <cell r="AI25">
            <v>513852821.60000002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7518407820.8100004</v>
          </cell>
          <cell r="K30">
            <v>7977839513</v>
          </cell>
          <cell r="L30">
            <v>8201549382</v>
          </cell>
          <cell r="M30">
            <v>8283962217</v>
          </cell>
          <cell r="N30">
            <v>8403122469</v>
          </cell>
          <cell r="O30">
            <v>8559550410</v>
          </cell>
          <cell r="P30">
            <v>8716910445</v>
          </cell>
          <cell r="Q30">
            <v>8905238017</v>
          </cell>
          <cell r="R30">
            <v>9213073206</v>
          </cell>
          <cell r="S30">
            <v>9410908364</v>
          </cell>
          <cell r="T30">
            <v>9624910295</v>
          </cell>
          <cell r="U30">
            <v>9898480575</v>
          </cell>
          <cell r="V30">
            <v>10096214655</v>
          </cell>
          <cell r="W30">
            <v>10135363000</v>
          </cell>
          <cell r="X30">
            <v>10598368851</v>
          </cell>
          <cell r="Y30">
            <v>10827997660</v>
          </cell>
          <cell r="Z30">
            <v>10826198178</v>
          </cell>
          <cell r="AA30">
            <v>10939546320</v>
          </cell>
          <cell r="AB30">
            <v>10989995775</v>
          </cell>
          <cell r="AC30">
            <v>11098416785</v>
          </cell>
          <cell r="AD30">
            <v>11321678585</v>
          </cell>
          <cell r="AE30">
            <v>11634666891</v>
          </cell>
          <cell r="AF30">
            <v>11923045337</v>
          </cell>
          <cell r="AG30">
            <v>12125057598.440001</v>
          </cell>
          <cell r="AH30">
            <v>12280212418.459999</v>
          </cell>
          <cell r="AI30">
            <v>12536479498.040001</v>
          </cell>
        </row>
        <row r="31">
          <cell r="AC31">
            <v>11098416785</v>
          </cell>
          <cell r="AD31">
            <v>11321678585</v>
          </cell>
          <cell r="AE31">
            <v>11634666891</v>
          </cell>
          <cell r="AF31">
            <v>11923045337</v>
          </cell>
          <cell r="AG31">
            <v>12125057598.440001</v>
          </cell>
          <cell r="AH31">
            <v>12280212418.459999</v>
          </cell>
          <cell r="AI31">
            <v>12536479498.040001</v>
          </cell>
        </row>
        <row r="34">
          <cell r="J34">
            <v>0</v>
          </cell>
          <cell r="M34">
            <v>65076151.822500005</v>
          </cell>
          <cell r="P34">
            <v>29595600.890000001</v>
          </cell>
          <cell r="S34">
            <v>24072891.017500002</v>
          </cell>
          <cell r="V34">
            <v>40084672.210000001</v>
          </cell>
          <cell r="W34">
            <v>40084672.210000001</v>
          </cell>
          <cell r="Z34">
            <v>46624706.18</v>
          </cell>
          <cell r="AC34">
            <v>33276284.835000001</v>
          </cell>
          <cell r="AD34">
            <v>0</v>
          </cell>
          <cell r="AE34">
            <v>11911981080.85</v>
          </cell>
          <cell r="AF34">
            <v>1.5</v>
          </cell>
          <cell r="AG34">
            <v>159192593.7245</v>
          </cell>
          <cell r="AH34">
            <v>0</v>
          </cell>
          <cell r="AI34">
            <v>198633837.57999998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21645179.560000002</v>
          </cell>
          <cell r="K36">
            <v>179692777</v>
          </cell>
          <cell r="L36">
            <v>89290530</v>
          </cell>
          <cell r="M36">
            <v>383895437</v>
          </cell>
          <cell r="N36">
            <v>413452777</v>
          </cell>
          <cell r="O36">
            <v>104501315</v>
          </cell>
          <cell r="P36">
            <v>125780447</v>
          </cell>
          <cell r="Q36">
            <v>114028361</v>
          </cell>
          <cell r="R36">
            <v>269318181</v>
          </cell>
          <cell r="S36">
            <v>130891820</v>
          </cell>
          <cell r="T36">
            <v>247458374</v>
          </cell>
          <cell r="U36">
            <v>97955956</v>
          </cell>
          <cell r="V36">
            <v>669580829</v>
          </cell>
          <cell r="W36">
            <v>688062000</v>
          </cell>
          <cell r="X36">
            <v>57494994</v>
          </cell>
          <cell r="Y36">
            <v>40324718</v>
          </cell>
          <cell r="Z36">
            <v>267838306</v>
          </cell>
          <cell r="AA36">
            <v>35975325</v>
          </cell>
          <cell r="AB36">
            <v>11615896</v>
          </cell>
          <cell r="AC36">
            <v>945601543</v>
          </cell>
          <cell r="AD36">
            <v>223627872</v>
          </cell>
          <cell r="AE36">
            <v>488478118</v>
          </cell>
          <cell r="AF36">
            <v>341792297</v>
          </cell>
          <cell r="AG36">
            <v>298305940.58999997</v>
          </cell>
          <cell r="AH36">
            <v>218168467.52000001</v>
          </cell>
          <cell r="AI36">
            <v>1173356520.3599999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165513808.75</v>
          </cell>
          <cell r="K38">
            <v>260499130</v>
          </cell>
          <cell r="L38">
            <v>262011225</v>
          </cell>
          <cell r="M38">
            <v>285714579</v>
          </cell>
          <cell r="N38">
            <v>308703283</v>
          </cell>
          <cell r="O38">
            <v>308888775</v>
          </cell>
          <cell r="P38">
            <v>337710076</v>
          </cell>
          <cell r="Q38">
            <v>358495224</v>
          </cell>
          <cell r="R38">
            <v>378861279</v>
          </cell>
          <cell r="S38">
            <v>398255176</v>
          </cell>
          <cell r="T38">
            <v>414268018</v>
          </cell>
          <cell r="U38">
            <v>408053985</v>
          </cell>
          <cell r="V38">
            <v>397392435</v>
          </cell>
          <cell r="W38">
            <v>368563000</v>
          </cell>
          <cell r="X38">
            <v>398084252</v>
          </cell>
          <cell r="Y38">
            <v>393181964</v>
          </cell>
          <cell r="Z38">
            <v>355314996</v>
          </cell>
          <cell r="AA38">
            <v>355777488</v>
          </cell>
          <cell r="AB38">
            <v>381173972</v>
          </cell>
          <cell r="AC38">
            <v>381173972</v>
          </cell>
          <cell r="AD38">
            <v>429823175</v>
          </cell>
          <cell r="AE38">
            <v>432589499</v>
          </cell>
          <cell r="AF38">
            <v>499649256</v>
          </cell>
          <cell r="AG38">
            <v>569491776.40999997</v>
          </cell>
          <cell r="AH38">
            <v>582550831.08000004</v>
          </cell>
          <cell r="AI38">
            <v>638809048.36000001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165513808.75</v>
          </cell>
          <cell r="K39">
            <v>260499130</v>
          </cell>
          <cell r="L39">
            <v>262011225</v>
          </cell>
          <cell r="M39">
            <v>285714579</v>
          </cell>
          <cell r="N39">
            <v>308703283</v>
          </cell>
          <cell r="O39">
            <v>308888775</v>
          </cell>
          <cell r="P39">
            <v>337710076</v>
          </cell>
          <cell r="Q39">
            <v>358495224</v>
          </cell>
          <cell r="R39">
            <v>378861279</v>
          </cell>
          <cell r="S39">
            <v>398255176</v>
          </cell>
          <cell r="T39">
            <v>414268018</v>
          </cell>
          <cell r="U39">
            <v>408053985</v>
          </cell>
          <cell r="V39">
            <v>397392435</v>
          </cell>
          <cell r="W39">
            <v>368563000</v>
          </cell>
          <cell r="X39">
            <v>398084252</v>
          </cell>
          <cell r="Y39">
            <v>393181964</v>
          </cell>
          <cell r="Z39">
            <v>355314996</v>
          </cell>
          <cell r="AA39">
            <v>355777488</v>
          </cell>
          <cell r="AB39">
            <v>381173972</v>
          </cell>
          <cell r="AC39">
            <v>381173972</v>
          </cell>
          <cell r="AD39">
            <v>429823175</v>
          </cell>
          <cell r="AE39">
            <v>432589499</v>
          </cell>
          <cell r="AF39">
            <v>499649256</v>
          </cell>
          <cell r="AG39">
            <v>569491776.40999997</v>
          </cell>
          <cell r="AH39">
            <v>582550831.08000004</v>
          </cell>
          <cell r="AI39">
            <v>638809048.36000001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1179328626.8800001</v>
          </cell>
          <cell r="K42">
            <v>118247860.28999999</v>
          </cell>
          <cell r="L42">
            <v>227374949.64999998</v>
          </cell>
          <cell r="M42">
            <v>334961295.68999994</v>
          </cell>
          <cell r="N42">
            <v>451220587</v>
          </cell>
          <cell r="O42">
            <v>573134013</v>
          </cell>
          <cell r="P42">
            <v>726007564</v>
          </cell>
          <cell r="Q42">
            <v>852064986</v>
          </cell>
          <cell r="R42">
            <v>990012760</v>
          </cell>
          <cell r="S42">
            <v>1127124455</v>
          </cell>
          <cell r="T42">
            <v>1270982730</v>
          </cell>
          <cell r="U42">
            <v>1419341653</v>
          </cell>
          <cell r="V42">
            <v>1566976776</v>
          </cell>
          <cell r="W42">
            <v>1577820000</v>
          </cell>
          <cell r="X42">
            <v>166931392.56</v>
          </cell>
          <cell r="Y42">
            <v>310834447.06999999</v>
          </cell>
          <cell r="Z42">
            <v>426417980.56999999</v>
          </cell>
          <cell r="AA42">
            <v>696993651</v>
          </cell>
          <cell r="AB42">
            <v>850055068</v>
          </cell>
          <cell r="AC42">
            <v>1011536632</v>
          </cell>
          <cell r="AD42">
            <v>1218070524</v>
          </cell>
          <cell r="AE42">
            <v>1396709858</v>
          </cell>
          <cell r="AF42">
            <v>1582193875</v>
          </cell>
          <cell r="AG42">
            <v>1750708823.4300001</v>
          </cell>
          <cell r="AH42">
            <v>1962179353.9400001</v>
          </cell>
          <cell r="AI42">
            <v>2148935192.71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603269331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1974416</v>
          </cell>
          <cell r="P49">
            <v>1974416</v>
          </cell>
          <cell r="Q49">
            <v>2420963</v>
          </cell>
          <cell r="R49">
            <v>3273405</v>
          </cell>
          <cell r="S49">
            <v>3273405</v>
          </cell>
          <cell r="T49">
            <v>3723609</v>
          </cell>
          <cell r="U49">
            <v>4693092</v>
          </cell>
          <cell r="V49">
            <v>5156598</v>
          </cell>
          <cell r="W49">
            <v>694433000</v>
          </cell>
          <cell r="X49">
            <v>7553.2</v>
          </cell>
          <cell r="Y49">
            <v>15643.4</v>
          </cell>
          <cell r="Z49">
            <v>38893.4</v>
          </cell>
          <cell r="AA49">
            <v>38926</v>
          </cell>
          <cell r="AB49">
            <v>41140903</v>
          </cell>
          <cell r="AC49">
            <v>41140903</v>
          </cell>
          <cell r="AD49">
            <v>42246818</v>
          </cell>
          <cell r="AE49">
            <v>4145469</v>
          </cell>
          <cell r="AF49">
            <v>4177019</v>
          </cell>
          <cell r="AG49">
            <v>4179519.05</v>
          </cell>
          <cell r="AH49">
            <v>4185019.05</v>
          </cell>
          <cell r="AI49">
            <v>4185019.05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83311000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17735472.850000001</v>
          </cell>
          <cell r="K51">
            <v>0</v>
          </cell>
          <cell r="L51">
            <v>0</v>
          </cell>
          <cell r="M51">
            <v>0</v>
          </cell>
          <cell r="N51">
            <v>2378082</v>
          </cell>
          <cell r="O51">
            <v>8581279</v>
          </cell>
          <cell r="P51">
            <v>10639726</v>
          </cell>
          <cell r="Q51">
            <v>14558809</v>
          </cell>
          <cell r="R51">
            <v>16996811</v>
          </cell>
          <cell r="S51">
            <v>18797671</v>
          </cell>
          <cell r="T51">
            <v>21879720</v>
          </cell>
          <cell r="U51">
            <v>27130702</v>
          </cell>
          <cell r="V51">
            <v>32854892</v>
          </cell>
          <cell r="W51">
            <v>39634000</v>
          </cell>
          <cell r="X51">
            <v>5505055.9400000004</v>
          </cell>
          <cell r="Y51">
            <v>12440324.699999999</v>
          </cell>
          <cell r="Z51">
            <v>21008575.699999999</v>
          </cell>
          <cell r="AA51">
            <v>27627245</v>
          </cell>
          <cell r="AB51">
            <v>35417247</v>
          </cell>
          <cell r="AC51">
            <v>38915118</v>
          </cell>
          <cell r="AD51">
            <v>40564433</v>
          </cell>
          <cell r="AE51">
            <v>43102417</v>
          </cell>
          <cell r="AF51">
            <v>47437216</v>
          </cell>
          <cell r="AG51">
            <v>49595531.829999998</v>
          </cell>
          <cell r="AH51">
            <v>51573834.640000001</v>
          </cell>
          <cell r="AI51">
            <v>55472399.670000002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137496741.13</v>
          </cell>
          <cell r="K53">
            <v>16988575.699999999</v>
          </cell>
          <cell r="L53">
            <v>27835041.879999999</v>
          </cell>
          <cell r="M53">
            <v>40457848.409999996</v>
          </cell>
          <cell r="N53">
            <v>63168518</v>
          </cell>
          <cell r="O53">
            <v>73106613</v>
          </cell>
          <cell r="P53">
            <v>83294767</v>
          </cell>
          <cell r="Q53">
            <v>96712410</v>
          </cell>
          <cell r="R53">
            <v>112724540</v>
          </cell>
          <cell r="S53">
            <v>128075312</v>
          </cell>
          <cell r="T53">
            <v>144766144</v>
          </cell>
          <cell r="U53">
            <v>153385995</v>
          </cell>
          <cell r="V53">
            <v>156905648</v>
          </cell>
          <cell r="W53">
            <v>209328000</v>
          </cell>
          <cell r="X53">
            <v>1440257.2000000002</v>
          </cell>
          <cell r="Y53">
            <v>8496061.7599999998</v>
          </cell>
          <cell r="Z53">
            <v>69714738.150000006</v>
          </cell>
          <cell r="AA53">
            <v>63679678</v>
          </cell>
          <cell r="AB53">
            <v>96765834</v>
          </cell>
          <cell r="AC53">
            <v>109777176</v>
          </cell>
          <cell r="AD53">
            <v>126041623</v>
          </cell>
          <cell r="AE53">
            <v>136889028</v>
          </cell>
          <cell r="AF53">
            <v>137103359</v>
          </cell>
          <cell r="AG53">
            <v>158322755.34999999</v>
          </cell>
          <cell r="AH53">
            <v>178990730.20000002</v>
          </cell>
          <cell r="AI53">
            <v>195655362.68000001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52843138</v>
          </cell>
          <cell r="K54">
            <v>2016434</v>
          </cell>
          <cell r="L54">
            <v>6512320</v>
          </cell>
          <cell r="M54">
            <v>9589390</v>
          </cell>
          <cell r="N54">
            <v>25310019</v>
          </cell>
          <cell r="O54">
            <v>28046442</v>
          </cell>
          <cell r="P54">
            <v>30746511</v>
          </cell>
          <cell r="Q54">
            <v>33726879</v>
          </cell>
          <cell r="R54">
            <v>37778396</v>
          </cell>
          <cell r="S54">
            <v>42120879</v>
          </cell>
          <cell r="T54">
            <v>46747128</v>
          </cell>
          <cell r="U54">
            <v>52146939</v>
          </cell>
          <cell r="V54">
            <v>47693123</v>
          </cell>
          <cell r="W54">
            <v>110151000</v>
          </cell>
          <cell r="X54">
            <v>3798757.1</v>
          </cell>
          <cell r="Y54">
            <v>31651713.789999999</v>
          </cell>
          <cell r="Z54">
            <v>32863444.969999999</v>
          </cell>
          <cell r="AA54">
            <v>41072449</v>
          </cell>
          <cell r="AB54">
            <v>46395476</v>
          </cell>
          <cell r="AC54">
            <v>49707976</v>
          </cell>
          <cell r="AD54">
            <v>55224358</v>
          </cell>
          <cell r="AE54">
            <v>60908281</v>
          </cell>
          <cell r="AF54">
            <v>55630238</v>
          </cell>
          <cell r="AG54">
            <v>62351002.439999998</v>
          </cell>
          <cell r="AH54">
            <v>68187119.239999995</v>
          </cell>
          <cell r="AI54">
            <v>66646982.130000003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51"/>
  <sheetViews>
    <sheetView zoomScaleNormal="100" workbookViewId="0">
      <pane xSplit="1" ySplit="3" topLeftCell="DB40" activePane="bottomRight" state="frozen"/>
      <selection pane="bottomRight" activeCell="DD3" sqref="DD3:DE4"/>
      <selection pane="bottomLeft" activeCell="A4" sqref="A4"/>
      <selection pane="topRight" activeCell="B1" sqref="B1"/>
    </sheetView>
  </sheetViews>
  <sheetFormatPr defaultRowHeight="14.45"/>
  <cols>
    <col min="1" max="1" width="40.85546875" customWidth="1"/>
    <col min="2" max="2" width="21.28515625" customWidth="1"/>
    <col min="3" max="3" width="19.7109375" customWidth="1"/>
    <col min="4" max="4" width="22.28515625" customWidth="1"/>
    <col min="5" max="5" width="21.7109375" customWidth="1"/>
    <col min="6" max="6" width="21.28515625" customWidth="1"/>
    <col min="7" max="7" width="24.5703125" customWidth="1"/>
    <col min="8" max="8" width="19" customWidth="1"/>
    <col min="9" max="21" width="20.140625" customWidth="1"/>
    <col min="22" max="34" width="19.5703125" customWidth="1"/>
    <col min="35" max="47" width="19.140625" customWidth="1"/>
    <col min="48" max="60" width="21.28515625" customWidth="1"/>
    <col min="61" max="73" width="19" customWidth="1"/>
    <col min="74" max="74" width="21.7109375" bestFit="1" customWidth="1"/>
    <col min="75" max="80" width="22.42578125" bestFit="1" customWidth="1"/>
    <col min="81" max="81" width="23.140625" customWidth="1"/>
    <col min="82" max="82" width="23" customWidth="1"/>
    <col min="83" max="83" width="22.28515625" customWidth="1"/>
    <col min="84" max="84" width="22.85546875" customWidth="1"/>
    <col min="85" max="85" width="22.5703125" customWidth="1"/>
    <col min="86" max="86" width="24" customWidth="1"/>
    <col min="87" max="87" width="22.42578125" bestFit="1" customWidth="1"/>
    <col min="88" max="88" width="23.140625" customWidth="1"/>
    <col min="89" max="89" width="22.42578125" bestFit="1" customWidth="1"/>
    <col min="90" max="91" width="19.140625" bestFit="1" customWidth="1"/>
    <col min="92" max="92" width="21.140625" bestFit="1" customWidth="1"/>
    <col min="93" max="93" width="19" bestFit="1" customWidth="1"/>
    <col min="94" max="94" width="17.85546875" customWidth="1"/>
    <col min="95" max="98" width="19" customWidth="1"/>
    <col min="99" max="99" width="19.7109375" style="27" customWidth="1"/>
    <col min="100" max="100" width="18.42578125" bestFit="1" customWidth="1"/>
    <col min="101" max="101" width="17.85546875" customWidth="1"/>
    <col min="102" max="102" width="19.7109375" customWidth="1"/>
    <col min="103" max="103" width="18" customWidth="1"/>
    <col min="104" max="105" width="18.140625" customWidth="1"/>
    <col min="106" max="106" width="17.85546875" customWidth="1"/>
    <col min="107" max="107" width="17.7109375" customWidth="1"/>
    <col min="108" max="108" width="19.85546875" customWidth="1"/>
    <col min="109" max="109" width="16.5703125" customWidth="1"/>
  </cols>
  <sheetData>
    <row r="1" spans="1:109" ht="15" customHeight="1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3"/>
      <c r="BG1" s="273"/>
      <c r="BH1" s="273"/>
      <c r="BI1" s="273"/>
      <c r="BJ1" s="273"/>
      <c r="BK1" s="273"/>
      <c r="BL1" s="273"/>
      <c r="BM1" s="273"/>
      <c r="BN1" s="273"/>
      <c r="BO1" s="273"/>
      <c r="BP1" s="273"/>
      <c r="BQ1" s="273"/>
      <c r="BR1" s="273"/>
      <c r="BS1" s="273"/>
      <c r="BT1" s="273"/>
      <c r="BU1" s="273"/>
    </row>
    <row r="3" spans="1:109" ht="12.6" customHeight="1">
      <c r="A3" s="159"/>
      <c r="B3" s="210" t="s">
        <v>0</v>
      </c>
      <c r="C3" s="210" t="s">
        <v>1</v>
      </c>
      <c r="D3" s="210" t="s">
        <v>2</v>
      </c>
      <c r="E3" s="210" t="s">
        <v>3</v>
      </c>
      <c r="F3" s="210" t="s">
        <v>4</v>
      </c>
      <c r="G3" s="210" t="s">
        <v>5</v>
      </c>
      <c r="H3" s="210" t="s">
        <v>6</v>
      </c>
      <c r="I3" s="210" t="s">
        <v>7</v>
      </c>
      <c r="J3" s="210">
        <v>42005</v>
      </c>
      <c r="K3" s="210">
        <v>42036</v>
      </c>
      <c r="L3" s="210">
        <v>42064</v>
      </c>
      <c r="M3" s="210">
        <v>42095</v>
      </c>
      <c r="N3" s="210">
        <v>42125</v>
      </c>
      <c r="O3" s="210">
        <v>42156</v>
      </c>
      <c r="P3" s="210">
        <v>42186</v>
      </c>
      <c r="Q3" s="210">
        <v>42217</v>
      </c>
      <c r="R3" s="210">
        <v>42248</v>
      </c>
      <c r="S3" s="210">
        <v>42278</v>
      </c>
      <c r="T3" s="210">
        <v>42309</v>
      </c>
      <c r="U3" s="210">
        <v>42339</v>
      </c>
      <c r="V3" s="210" t="s">
        <v>8</v>
      </c>
      <c r="W3" s="210">
        <v>42370</v>
      </c>
      <c r="X3" s="210">
        <v>42401</v>
      </c>
      <c r="Y3" s="210">
        <v>42430</v>
      </c>
      <c r="Z3" s="210">
        <v>42461</v>
      </c>
      <c r="AA3" s="210">
        <v>42491</v>
      </c>
      <c r="AB3" s="210">
        <v>42522</v>
      </c>
      <c r="AC3" s="210">
        <v>42552</v>
      </c>
      <c r="AD3" s="210">
        <v>42583</v>
      </c>
      <c r="AE3" s="210">
        <v>42614</v>
      </c>
      <c r="AF3" s="210">
        <v>42644</v>
      </c>
      <c r="AG3" s="210">
        <v>42675</v>
      </c>
      <c r="AH3" s="210">
        <v>42705</v>
      </c>
      <c r="AI3" s="210" t="s">
        <v>9</v>
      </c>
      <c r="AJ3" s="210">
        <v>42736</v>
      </c>
      <c r="AK3" s="210">
        <v>42767</v>
      </c>
      <c r="AL3" s="210">
        <v>42795</v>
      </c>
      <c r="AM3" s="210">
        <v>42826</v>
      </c>
      <c r="AN3" s="210">
        <v>42856</v>
      </c>
      <c r="AO3" s="210">
        <v>42887</v>
      </c>
      <c r="AP3" s="210">
        <v>42917</v>
      </c>
      <c r="AQ3" s="210">
        <v>42948</v>
      </c>
      <c r="AR3" s="210">
        <v>42979</v>
      </c>
      <c r="AS3" s="210">
        <v>43009</v>
      </c>
      <c r="AT3" s="210">
        <v>43040</v>
      </c>
      <c r="AU3" s="210">
        <v>43070</v>
      </c>
      <c r="AV3" s="210" t="s">
        <v>10</v>
      </c>
      <c r="AW3" s="210">
        <v>43101</v>
      </c>
      <c r="AX3" s="210">
        <v>43132</v>
      </c>
      <c r="AY3" s="210">
        <v>43160</v>
      </c>
      <c r="AZ3" s="210">
        <v>43191</v>
      </c>
      <c r="BA3" s="210">
        <v>43221</v>
      </c>
      <c r="BB3" s="210">
        <v>43252</v>
      </c>
      <c r="BC3" s="210">
        <v>43282</v>
      </c>
      <c r="BD3" s="210">
        <v>43313</v>
      </c>
      <c r="BE3" s="210">
        <v>43344</v>
      </c>
      <c r="BF3" s="210">
        <v>43374</v>
      </c>
      <c r="BG3" s="210">
        <v>43405</v>
      </c>
      <c r="BH3" s="210">
        <v>43435</v>
      </c>
      <c r="BI3" s="210" t="s">
        <v>11</v>
      </c>
      <c r="BJ3" s="210">
        <v>43466</v>
      </c>
      <c r="BK3" s="210">
        <v>43497</v>
      </c>
      <c r="BL3" s="210">
        <v>43525</v>
      </c>
      <c r="BM3" s="210">
        <v>43556</v>
      </c>
      <c r="BN3" s="210">
        <v>43586</v>
      </c>
      <c r="BO3" s="210">
        <v>43617</v>
      </c>
      <c r="BP3" s="210">
        <v>43647</v>
      </c>
      <c r="BQ3" s="210">
        <v>43678</v>
      </c>
      <c r="BR3" s="210">
        <v>43709</v>
      </c>
      <c r="BS3" s="210">
        <v>43739</v>
      </c>
      <c r="BT3" s="210">
        <v>43770</v>
      </c>
      <c r="BU3" s="210">
        <v>43800</v>
      </c>
      <c r="BV3" s="210" t="s">
        <v>12</v>
      </c>
      <c r="BW3" s="210">
        <v>43831</v>
      </c>
      <c r="BX3" s="210">
        <v>43862</v>
      </c>
      <c r="BY3" s="210">
        <v>43891</v>
      </c>
      <c r="BZ3" s="210">
        <v>43922</v>
      </c>
      <c r="CA3" s="210">
        <v>43952</v>
      </c>
      <c r="CB3" s="210">
        <v>43983</v>
      </c>
      <c r="CC3" s="210">
        <v>44044</v>
      </c>
      <c r="CD3" s="210">
        <v>44075</v>
      </c>
      <c r="CE3" s="210">
        <v>44105</v>
      </c>
      <c r="CF3" s="210">
        <v>44136</v>
      </c>
      <c r="CG3" s="210">
        <v>44166</v>
      </c>
      <c r="CH3" s="210" t="s">
        <v>13</v>
      </c>
      <c r="CI3" s="210">
        <v>44197</v>
      </c>
      <c r="CJ3" s="210">
        <v>44228</v>
      </c>
      <c r="CK3" s="210">
        <v>44256</v>
      </c>
      <c r="CL3" s="210">
        <v>44287</v>
      </c>
      <c r="CM3" s="210">
        <v>44317</v>
      </c>
      <c r="CN3" s="210">
        <v>44348</v>
      </c>
      <c r="CO3" s="210">
        <v>44378</v>
      </c>
      <c r="CP3" s="210">
        <v>44409</v>
      </c>
      <c r="CQ3" s="210">
        <v>44440</v>
      </c>
      <c r="CR3" s="210">
        <v>44470</v>
      </c>
      <c r="CS3" s="210">
        <v>44501</v>
      </c>
      <c r="CT3" s="210">
        <v>44531</v>
      </c>
      <c r="CU3" s="378" t="s">
        <v>14</v>
      </c>
      <c r="CV3" s="386" t="s">
        <v>15</v>
      </c>
      <c r="CW3" s="388">
        <v>44927</v>
      </c>
      <c r="CX3" s="388">
        <v>44958</v>
      </c>
      <c r="CY3" s="388">
        <v>44986</v>
      </c>
      <c r="CZ3" s="396">
        <v>45017</v>
      </c>
      <c r="DA3" s="396">
        <v>45047</v>
      </c>
      <c r="DB3" s="396">
        <v>45078</v>
      </c>
      <c r="DC3" s="396">
        <v>45108</v>
      </c>
      <c r="DD3" s="396">
        <v>45139</v>
      </c>
      <c r="DE3" s="396">
        <v>45170</v>
      </c>
    </row>
    <row r="4" spans="1:109" ht="15">
      <c r="A4" s="160" t="s">
        <v>16</v>
      </c>
      <c r="B4" s="211">
        <f>(B5+B6)</f>
        <v>9072837</v>
      </c>
      <c r="C4" s="211">
        <f t="shared" ref="C4:I4" si="0">(C5+C6)</f>
        <v>9652154</v>
      </c>
      <c r="D4" s="211">
        <f t="shared" si="0"/>
        <v>11606332</v>
      </c>
      <c r="E4" s="211">
        <f t="shared" si="0"/>
        <v>11999140</v>
      </c>
      <c r="F4" s="211">
        <f t="shared" si="0"/>
        <v>11850442</v>
      </c>
      <c r="G4" s="211">
        <f t="shared" si="0"/>
        <v>209631631.22999999</v>
      </c>
      <c r="H4" s="211">
        <f t="shared" si="0"/>
        <v>14295816</v>
      </c>
      <c r="I4" s="211">
        <f t="shared" si="0"/>
        <v>93164187</v>
      </c>
      <c r="J4" s="211">
        <f t="shared" ref="J4:U4" si="1">(J5+J6)</f>
        <v>97118828.650000006</v>
      </c>
      <c r="K4" s="211">
        <f t="shared" si="1"/>
        <v>94598663.900000006</v>
      </c>
      <c r="L4" s="211">
        <f t="shared" si="1"/>
        <v>95955860.700000003</v>
      </c>
      <c r="M4" s="211">
        <f t="shared" si="1"/>
        <v>93613325.700000003</v>
      </c>
      <c r="N4" s="211">
        <f t="shared" si="1"/>
        <v>90286500.510000005</v>
      </c>
      <c r="O4" s="211">
        <f t="shared" si="1"/>
        <v>155013925.78999999</v>
      </c>
      <c r="P4" s="211">
        <f t="shared" si="1"/>
        <v>131442812.66</v>
      </c>
      <c r="Q4" s="211">
        <f t="shared" si="1"/>
        <v>113112818.26000001</v>
      </c>
      <c r="R4" s="211">
        <f t="shared" si="1"/>
        <v>111591571.19000001</v>
      </c>
      <c r="S4" s="211">
        <f t="shared" si="1"/>
        <v>101472647.69</v>
      </c>
      <c r="T4" s="211">
        <f t="shared" si="1"/>
        <v>76176026.210000008</v>
      </c>
      <c r="U4" s="211">
        <f t="shared" si="1"/>
        <v>82096339.25</v>
      </c>
      <c r="V4" s="211">
        <f>(V5+V6)</f>
        <v>69012969</v>
      </c>
      <c r="W4" s="211">
        <f t="shared" ref="W4:AH4" si="2">(W5+W6)</f>
        <v>76948142.159999996</v>
      </c>
      <c r="X4" s="211">
        <f t="shared" si="2"/>
        <v>73472296.480000004</v>
      </c>
      <c r="Y4" s="211">
        <f t="shared" si="2"/>
        <v>56645569.760000005</v>
      </c>
      <c r="Z4" s="211">
        <f t="shared" si="2"/>
        <v>52087931.759999998</v>
      </c>
      <c r="AA4" s="211">
        <f t="shared" si="2"/>
        <v>51477982</v>
      </c>
      <c r="AB4" s="211">
        <f t="shared" si="2"/>
        <v>178513967</v>
      </c>
      <c r="AC4" s="211">
        <f t="shared" si="2"/>
        <v>146504365.69</v>
      </c>
      <c r="AD4" s="211">
        <f t="shared" si="2"/>
        <v>118571531</v>
      </c>
      <c r="AE4" s="211">
        <f t="shared" si="2"/>
        <v>86316022</v>
      </c>
      <c r="AF4" s="211">
        <f t="shared" si="2"/>
        <v>77292824</v>
      </c>
      <c r="AG4" s="211">
        <f t="shared" si="2"/>
        <v>68458362.469999999</v>
      </c>
      <c r="AH4" s="211">
        <f t="shared" si="2"/>
        <v>75323576.079999998</v>
      </c>
      <c r="AI4" s="211">
        <f>(AI5+AI6)</f>
        <v>75323576</v>
      </c>
      <c r="AJ4" s="211">
        <f t="shared" ref="AJ4:AU4" si="3">(AJ5+AJ6)</f>
        <v>72295387.399999991</v>
      </c>
      <c r="AK4" s="211">
        <f t="shared" si="3"/>
        <v>76719078.319999993</v>
      </c>
      <c r="AL4" s="211">
        <f t="shared" si="3"/>
        <v>85079369.349999994</v>
      </c>
      <c r="AM4" s="211">
        <f t="shared" si="3"/>
        <v>82811581.090000004</v>
      </c>
      <c r="AN4" s="211">
        <f t="shared" si="3"/>
        <v>219649962.82999998</v>
      </c>
      <c r="AO4" s="211">
        <f t="shared" si="3"/>
        <v>171326986.53999999</v>
      </c>
      <c r="AP4" s="211">
        <f t="shared" si="3"/>
        <v>139297811.34999999</v>
      </c>
      <c r="AQ4" s="211">
        <f t="shared" si="3"/>
        <v>117316681.34999999</v>
      </c>
      <c r="AR4" s="211">
        <f t="shared" si="3"/>
        <v>107043643.66</v>
      </c>
      <c r="AS4" s="211">
        <f t="shared" si="3"/>
        <v>99953979.640000001</v>
      </c>
      <c r="AT4" s="211">
        <f t="shared" si="3"/>
        <v>90371982.459999993</v>
      </c>
      <c r="AU4" s="211">
        <f t="shared" si="3"/>
        <v>90278396.299999997</v>
      </c>
      <c r="AV4" s="211">
        <f>(AV5+AV6)</f>
        <v>90278396</v>
      </c>
      <c r="AW4" s="211">
        <f t="shared" ref="AW4:BH4" si="4">(AW5+AW6)</f>
        <v>91847101.599999994</v>
      </c>
      <c r="AX4" s="211">
        <f t="shared" si="4"/>
        <v>90857192.450000003</v>
      </c>
      <c r="AY4" s="211">
        <f t="shared" si="4"/>
        <v>93553628.439999998</v>
      </c>
      <c r="AZ4" s="211">
        <f t="shared" si="4"/>
        <v>86014613.039999992</v>
      </c>
      <c r="BA4" s="211">
        <f t="shared" si="4"/>
        <v>195049760.11000001</v>
      </c>
      <c r="BB4" s="211">
        <f t="shared" si="4"/>
        <v>150132454.11000001</v>
      </c>
      <c r="BC4" s="211">
        <f t="shared" si="4"/>
        <v>121163351.45</v>
      </c>
      <c r="BD4" s="211">
        <f t="shared" si="4"/>
        <v>96599157.229999989</v>
      </c>
      <c r="BE4" s="211">
        <f t="shared" si="4"/>
        <v>90546530.449999988</v>
      </c>
      <c r="BF4" s="211">
        <f t="shared" si="4"/>
        <v>89332540.359999999</v>
      </c>
      <c r="BG4" s="211">
        <f t="shared" si="4"/>
        <v>82829930.269999996</v>
      </c>
      <c r="BH4" s="211">
        <f t="shared" si="4"/>
        <v>72166778.659999996</v>
      </c>
      <c r="BI4" s="211">
        <f>(BI5+BI6)</f>
        <v>72166778.659999996</v>
      </c>
      <c r="BJ4" s="211">
        <f t="shared" ref="BJ4:BU4" si="5">(BJ5+BJ6)</f>
        <v>85343766.010000005</v>
      </c>
      <c r="BK4" s="211">
        <f t="shared" si="5"/>
        <v>63881785.769999996</v>
      </c>
      <c r="BL4" s="211">
        <f t="shared" si="5"/>
        <v>57338666.060000002</v>
      </c>
      <c r="BM4" s="211">
        <f t="shared" si="5"/>
        <v>52201216.680000007</v>
      </c>
      <c r="BN4" s="211">
        <f t="shared" si="5"/>
        <v>49316700.850000001</v>
      </c>
      <c r="BO4" s="211">
        <f t="shared" si="5"/>
        <v>57880670.649999999</v>
      </c>
      <c r="BP4" s="211">
        <f t="shared" si="5"/>
        <v>162947429.02000001</v>
      </c>
      <c r="BQ4" s="211">
        <f t="shared" si="5"/>
        <v>144308495.72999999</v>
      </c>
      <c r="BR4" s="211">
        <f t="shared" si="5"/>
        <v>90866952.439999998</v>
      </c>
      <c r="BS4" s="211">
        <f t="shared" si="5"/>
        <v>63910435.439999998</v>
      </c>
      <c r="BT4" s="211">
        <f t="shared" si="5"/>
        <v>39391088.460000001</v>
      </c>
      <c r="BU4" s="211">
        <f t="shared" si="5"/>
        <v>23783274.369999997</v>
      </c>
      <c r="BV4" s="211">
        <f t="shared" ref="BV4:CH4" si="6">(BV5+BV6)</f>
        <v>23783274.370000001</v>
      </c>
      <c r="BW4" s="211">
        <f t="shared" si="6"/>
        <v>29813095.520000003</v>
      </c>
      <c r="BX4" s="211">
        <f t="shared" si="6"/>
        <v>30995592.43</v>
      </c>
      <c r="BY4" s="211">
        <f t="shared" si="6"/>
        <v>32332822.800000001</v>
      </c>
      <c r="BZ4" s="211">
        <f t="shared" si="6"/>
        <v>131309729.06999999</v>
      </c>
      <c r="CA4" s="211">
        <f t="shared" si="6"/>
        <v>92591323.969999999</v>
      </c>
      <c r="CB4" s="211">
        <f t="shared" si="6"/>
        <v>184938643.65000001</v>
      </c>
      <c r="CC4" s="211">
        <f t="shared" si="6"/>
        <v>82728628.359999999</v>
      </c>
      <c r="CD4" s="211">
        <f t="shared" si="6"/>
        <v>225689755.36000001</v>
      </c>
      <c r="CE4" s="211">
        <f t="shared" si="6"/>
        <v>99015582.24000001</v>
      </c>
      <c r="CF4" s="211">
        <f t="shared" si="6"/>
        <v>30558163.199999999</v>
      </c>
      <c r="CG4" s="211">
        <f t="shared" si="6"/>
        <v>43822829.760000005</v>
      </c>
      <c r="CH4" s="211">
        <f t="shared" si="6"/>
        <v>43822830</v>
      </c>
      <c r="CI4" s="211">
        <f t="shared" ref="CI4:CQ4" si="7">(CI5+CI6)</f>
        <v>18827817.700000003</v>
      </c>
      <c r="CJ4" s="211">
        <f t="shared" si="7"/>
        <v>39602615.460000001</v>
      </c>
      <c r="CK4" s="211">
        <f t="shared" si="7"/>
        <v>50417473.390000001</v>
      </c>
      <c r="CL4" s="211">
        <f t="shared" si="7"/>
        <v>69109727.289999992</v>
      </c>
      <c r="CM4" s="211">
        <f t="shared" si="7"/>
        <v>63789856.459999993</v>
      </c>
      <c r="CN4" s="211">
        <f t="shared" si="7"/>
        <v>56204402.890000001</v>
      </c>
      <c r="CO4" s="211">
        <f t="shared" si="7"/>
        <v>62413724.160000004</v>
      </c>
      <c r="CP4" s="211">
        <f t="shared" si="7"/>
        <v>49163149.539999999</v>
      </c>
      <c r="CQ4" s="211">
        <f t="shared" si="7"/>
        <v>213762037.57999998</v>
      </c>
      <c r="CR4" s="211">
        <f t="shared" ref="CR4:CU4" si="8">(CR5+CR6)</f>
        <v>322553387.87</v>
      </c>
      <c r="CS4" s="211">
        <f t="shared" si="8"/>
        <v>226516926.37</v>
      </c>
      <c r="CT4" s="211">
        <f t="shared" si="8"/>
        <v>217479244.76999998</v>
      </c>
      <c r="CU4" s="211">
        <f t="shared" si="8"/>
        <v>233362462</v>
      </c>
      <c r="CV4" s="211">
        <f t="shared" ref="CV4:DD4" si="9">(CV5+CV6)</f>
        <v>164912537</v>
      </c>
      <c r="CW4" s="211">
        <f t="shared" si="9"/>
        <v>145771684.38</v>
      </c>
      <c r="CX4" s="211">
        <f t="shared" si="9"/>
        <v>140043299.16</v>
      </c>
      <c r="CY4" s="211">
        <f t="shared" si="9"/>
        <v>147834848.17000002</v>
      </c>
      <c r="CZ4" s="211">
        <f t="shared" si="9"/>
        <v>152649813.69999999</v>
      </c>
      <c r="DA4" s="211">
        <f t="shared" si="9"/>
        <v>138455244.42000002</v>
      </c>
      <c r="DB4" s="211">
        <f t="shared" si="9"/>
        <v>164634090.88999999</v>
      </c>
      <c r="DC4" s="211">
        <f t="shared" si="9"/>
        <v>302616263.84000003</v>
      </c>
      <c r="DD4" s="211">
        <f t="shared" si="9"/>
        <v>236691968.34</v>
      </c>
      <c r="DE4" s="211">
        <f t="shared" ref="DE4" si="10">(DE5+DE6)</f>
        <v>205262327.13</v>
      </c>
    </row>
    <row r="5" spans="1:109" ht="15">
      <c r="A5" s="161" t="s">
        <v>17</v>
      </c>
      <c r="B5" s="286">
        <v>2129508</v>
      </c>
      <c r="C5" s="287">
        <v>9652154</v>
      </c>
      <c r="D5" s="287">
        <v>11606332</v>
      </c>
      <c r="E5" s="288">
        <v>11999140</v>
      </c>
      <c r="F5" s="288">
        <v>11850442</v>
      </c>
      <c r="G5" s="288">
        <v>209631631.22999999</v>
      </c>
      <c r="H5" s="299">
        <f>18750+39802</f>
        <v>58552</v>
      </c>
      <c r="I5" s="302">
        <f>1239424+9246254+36226+2337631+18452</f>
        <v>12877987</v>
      </c>
      <c r="J5" s="302">
        <v>3073882.09</v>
      </c>
      <c r="K5" s="302">
        <v>4646176.09</v>
      </c>
      <c r="L5" s="302">
        <v>2338283.09</v>
      </c>
      <c r="M5" s="304">
        <v>5020582.09</v>
      </c>
      <c r="N5" s="304">
        <v>3075818.09</v>
      </c>
      <c r="O5" s="304">
        <v>3258057.09</v>
      </c>
      <c r="P5" s="304">
        <v>866181.09</v>
      </c>
      <c r="Q5" s="304">
        <v>6631522.3600000003</v>
      </c>
      <c r="R5" s="306">
        <v>3738090.79</v>
      </c>
      <c r="S5" s="304">
        <v>3782067.49</v>
      </c>
      <c r="T5" s="304">
        <v>4504077.84</v>
      </c>
      <c r="U5" s="304">
        <v>7426930.2800000003</v>
      </c>
      <c r="V5" s="304">
        <f>9880+4051665</f>
        <v>4061545</v>
      </c>
      <c r="W5" s="311">
        <v>7907096.2999999998</v>
      </c>
      <c r="X5" s="311">
        <v>9369994.3000000007</v>
      </c>
      <c r="Y5" s="311">
        <v>9133012.3000000007</v>
      </c>
      <c r="Z5" s="311">
        <v>7563564.2999999998</v>
      </c>
      <c r="AA5" s="311">
        <v>9330171</v>
      </c>
      <c r="AB5" s="311">
        <v>21218903</v>
      </c>
      <c r="AC5" s="311">
        <v>14724428.09</v>
      </c>
      <c r="AD5" s="311">
        <v>10521856</v>
      </c>
      <c r="AE5" s="311">
        <v>14358579</v>
      </c>
      <c r="AF5" s="311">
        <v>10445879</v>
      </c>
      <c r="AG5" s="311">
        <v>8877148.4499999993</v>
      </c>
      <c r="AH5" s="311">
        <v>5635660.21</v>
      </c>
      <c r="AI5" s="311">
        <f>10476+950850+1314529+955069</f>
        <v>3230924</v>
      </c>
      <c r="AJ5" s="284">
        <v>8133853.21</v>
      </c>
      <c r="AK5" s="284">
        <v>10776230.960000001</v>
      </c>
      <c r="AL5" s="284">
        <v>6887292.25</v>
      </c>
      <c r="AM5" s="284">
        <v>6554107.0300000003</v>
      </c>
      <c r="AN5" s="284">
        <v>19436134.190000001</v>
      </c>
      <c r="AO5" s="284">
        <v>13185120.439999999</v>
      </c>
      <c r="AP5" s="284">
        <v>7499782.4400000004</v>
      </c>
      <c r="AQ5" s="284">
        <v>9338495.3800000008</v>
      </c>
      <c r="AR5" s="284">
        <v>7490234.6299999999</v>
      </c>
      <c r="AS5" s="284">
        <v>10637681.359999999</v>
      </c>
      <c r="AT5" s="284">
        <v>8842445.8800000008</v>
      </c>
      <c r="AU5" s="284">
        <v>8198740.8300000001</v>
      </c>
      <c r="AV5" s="284">
        <f>3626919+2353+1065239+721786</f>
        <v>5416297</v>
      </c>
      <c r="AW5" s="304">
        <v>6861473.8300000001</v>
      </c>
      <c r="AX5" s="304">
        <v>8049032.8300000001</v>
      </c>
      <c r="AY5" s="304">
        <v>9808796.2200000007</v>
      </c>
      <c r="AZ5" s="304">
        <v>9879877.2200000007</v>
      </c>
      <c r="BA5" s="304">
        <v>22777270.210000001</v>
      </c>
      <c r="BB5" s="316">
        <v>7115197.21</v>
      </c>
      <c r="BC5" s="272">
        <v>10666300.16</v>
      </c>
      <c r="BD5" s="272">
        <v>9414093.5399999991</v>
      </c>
      <c r="BE5" s="272">
        <v>7443119.96</v>
      </c>
      <c r="BF5" s="319">
        <v>9473993.8100000005</v>
      </c>
      <c r="BG5" s="304">
        <v>14227304.720000001</v>
      </c>
      <c r="BH5" s="304">
        <v>9952482.6099999994</v>
      </c>
      <c r="BI5" s="284">
        <v>3821043.61</v>
      </c>
      <c r="BJ5" s="284">
        <v>7753825.1100000003</v>
      </c>
      <c r="BK5" s="272">
        <v>10373715.470000001</v>
      </c>
      <c r="BL5" s="364">
        <v>5788558.3600000003</v>
      </c>
      <c r="BM5" s="364">
        <v>6894236.7300000004</v>
      </c>
      <c r="BN5" s="364">
        <v>6137764.0300000003</v>
      </c>
      <c r="BO5" s="324">
        <v>7940988.4299999997</v>
      </c>
      <c r="BP5" s="364">
        <v>15061291.25</v>
      </c>
      <c r="BQ5" s="364">
        <v>8022872.5599999996</v>
      </c>
      <c r="BR5" s="364">
        <v>8284175.0800000001</v>
      </c>
      <c r="BS5" s="332">
        <v>7927205.0800000001</v>
      </c>
      <c r="BT5" s="333">
        <v>9407027.4800000004</v>
      </c>
      <c r="BU5" s="333">
        <v>7816909.1799999997</v>
      </c>
      <c r="BV5" s="277">
        <v>5025922</v>
      </c>
      <c r="BW5" s="270">
        <v>8896704.1300000008</v>
      </c>
      <c r="BX5" s="270">
        <v>8250773.4000000004</v>
      </c>
      <c r="BY5" s="270">
        <v>6994773.7699999996</v>
      </c>
      <c r="BZ5" s="270">
        <v>10231232.630000001</v>
      </c>
      <c r="CA5" s="270">
        <v>12925229.390000001</v>
      </c>
      <c r="CB5" s="270">
        <v>6039112.6600000001</v>
      </c>
      <c r="CC5" s="270">
        <v>9491651.6699999999</v>
      </c>
      <c r="CD5" s="270">
        <v>10354059.109999999</v>
      </c>
      <c r="CE5" s="270">
        <v>11543880.26</v>
      </c>
      <c r="CF5" s="270">
        <v>5854286</v>
      </c>
      <c r="CG5" s="270">
        <v>13064693.640000001</v>
      </c>
      <c r="CH5" s="284">
        <v>11627268</v>
      </c>
      <c r="CI5" s="270">
        <v>7344350.2300000004</v>
      </c>
      <c r="CJ5" s="270">
        <v>6615362.29</v>
      </c>
      <c r="CK5" s="270">
        <v>7730487.1399999997</v>
      </c>
      <c r="CL5" s="270">
        <v>11107950.1</v>
      </c>
      <c r="CM5" s="270">
        <v>13547425.84</v>
      </c>
      <c r="CN5" s="355">
        <v>10595249.470000001</v>
      </c>
      <c r="CO5" s="355">
        <v>11012327.890000001</v>
      </c>
      <c r="CP5" s="355">
        <v>6650639.6200000001</v>
      </c>
      <c r="CQ5" s="355">
        <v>8883353.8800000008</v>
      </c>
      <c r="CR5" s="372">
        <v>7896906.6100000003</v>
      </c>
      <c r="CS5" s="372">
        <v>9786459.8599999994</v>
      </c>
      <c r="CT5" s="375">
        <v>11604849.890000001</v>
      </c>
      <c r="CU5" s="379">
        <f>233362462-CU6</f>
        <v>11604851</v>
      </c>
      <c r="CV5" s="379">
        <v>0</v>
      </c>
      <c r="CW5" s="355">
        <v>18520446.399999999</v>
      </c>
      <c r="CX5" s="372">
        <v>13683270.699999999</v>
      </c>
      <c r="CY5" s="372">
        <v>15124040.380000001</v>
      </c>
      <c r="CZ5" s="355">
        <v>25630525.170000002</v>
      </c>
      <c r="DA5" s="400">
        <v>19899521.77</v>
      </c>
      <c r="DB5" s="355">
        <v>29281101</v>
      </c>
      <c r="DC5" s="355">
        <v>21504524.170000002</v>
      </c>
      <c r="DD5" s="355">
        <v>25489446.850000001</v>
      </c>
      <c r="DE5" s="449">
        <v>20865878.390000001</v>
      </c>
    </row>
    <row r="6" spans="1:109" ht="15">
      <c r="A6" s="161" t="s">
        <v>18</v>
      </c>
      <c r="B6" s="286">
        <v>6943329</v>
      </c>
      <c r="C6" s="286"/>
      <c r="D6" s="289"/>
      <c r="E6" s="290"/>
      <c r="F6" s="277"/>
      <c r="G6" s="290"/>
      <c r="H6" s="300">
        <f>114295816-100000000-H5</f>
        <v>14237264</v>
      </c>
      <c r="I6" s="302">
        <f>93164187-12877987</f>
        <v>80286200</v>
      </c>
      <c r="J6" s="302">
        <v>94044946.560000002</v>
      </c>
      <c r="K6" s="302">
        <v>89952487.810000002</v>
      </c>
      <c r="L6" s="302">
        <v>93617577.609999999</v>
      </c>
      <c r="M6" s="304">
        <v>88592743.609999999</v>
      </c>
      <c r="N6" s="304">
        <v>87210682.420000002</v>
      </c>
      <c r="O6" s="304">
        <v>151755868.69999999</v>
      </c>
      <c r="P6" s="304">
        <v>130576631.56999999</v>
      </c>
      <c r="Q6" s="304">
        <v>106481295.90000001</v>
      </c>
      <c r="R6" s="306">
        <v>107853480.40000001</v>
      </c>
      <c r="S6" s="304">
        <v>97690580.200000003</v>
      </c>
      <c r="T6" s="304">
        <v>71671948.370000005</v>
      </c>
      <c r="U6" s="304">
        <v>74669408.969999999</v>
      </c>
      <c r="V6" s="304">
        <f>69012969-V5</f>
        <v>64951424</v>
      </c>
      <c r="W6" s="311">
        <v>69041045.859999999</v>
      </c>
      <c r="X6" s="311">
        <v>64102302.18</v>
      </c>
      <c r="Y6" s="311">
        <v>47512557.460000001</v>
      </c>
      <c r="Z6" s="311">
        <v>44524367.460000001</v>
      </c>
      <c r="AA6" s="311">
        <v>42147811</v>
      </c>
      <c r="AB6" s="311">
        <v>157295064</v>
      </c>
      <c r="AC6" s="311">
        <v>131779937.59999999</v>
      </c>
      <c r="AD6" s="311">
        <v>108049675</v>
      </c>
      <c r="AE6" s="311">
        <v>71957443</v>
      </c>
      <c r="AF6" s="311">
        <v>66846945</v>
      </c>
      <c r="AG6" s="311">
        <v>59581214.020000003</v>
      </c>
      <c r="AH6" s="311">
        <v>69687915.870000005</v>
      </c>
      <c r="AI6" s="311">
        <f>75323576-AI5</f>
        <v>72092652</v>
      </c>
      <c r="AJ6" s="284">
        <v>64161534.189999998</v>
      </c>
      <c r="AK6" s="284">
        <v>65942847.359999999</v>
      </c>
      <c r="AL6" s="284">
        <v>78192077.099999994</v>
      </c>
      <c r="AM6" s="284">
        <v>76257474.060000002</v>
      </c>
      <c r="AN6" s="284">
        <v>200213828.63999999</v>
      </c>
      <c r="AO6" s="284">
        <v>158141866.09999999</v>
      </c>
      <c r="AP6" s="284">
        <v>131798028.91</v>
      </c>
      <c r="AQ6" s="284">
        <v>107978185.97</v>
      </c>
      <c r="AR6" s="284">
        <v>99553409.030000001</v>
      </c>
      <c r="AS6" s="284">
        <v>89316298.280000001</v>
      </c>
      <c r="AT6" s="284">
        <v>81529536.579999998</v>
      </c>
      <c r="AU6" s="284">
        <v>82079655.469999999</v>
      </c>
      <c r="AV6" s="284">
        <f>90278396-5416297</f>
        <v>84862099</v>
      </c>
      <c r="AW6" s="304">
        <v>84985627.769999996</v>
      </c>
      <c r="AX6" s="304">
        <v>82808159.620000005</v>
      </c>
      <c r="AY6" s="304">
        <v>83744832.219999999</v>
      </c>
      <c r="AZ6" s="304">
        <v>76134735.819999993</v>
      </c>
      <c r="BA6" s="304">
        <v>172272489.90000001</v>
      </c>
      <c r="BB6" s="316">
        <v>143017256.90000001</v>
      </c>
      <c r="BC6" s="272">
        <v>110497051.29000001</v>
      </c>
      <c r="BD6" s="272">
        <v>87185063.689999998</v>
      </c>
      <c r="BE6" s="272">
        <v>83103410.489999995</v>
      </c>
      <c r="BF6" s="320">
        <v>79858546.549999997</v>
      </c>
      <c r="BG6" s="304">
        <v>68602625.549999997</v>
      </c>
      <c r="BH6" s="304">
        <v>62214296.049999997</v>
      </c>
      <c r="BI6" s="284">
        <v>68345735.049999997</v>
      </c>
      <c r="BJ6" s="284">
        <v>77589940.900000006</v>
      </c>
      <c r="BK6" s="272">
        <v>53508070.299999997</v>
      </c>
      <c r="BL6" s="364">
        <v>51550107.700000003</v>
      </c>
      <c r="BM6" s="364">
        <v>45306979.950000003</v>
      </c>
      <c r="BN6" s="364">
        <v>43178936.82</v>
      </c>
      <c r="BO6" s="325">
        <v>49939682.219999999</v>
      </c>
      <c r="BP6" s="364">
        <v>147886137.77000001</v>
      </c>
      <c r="BQ6" s="364">
        <v>136285623.16999999</v>
      </c>
      <c r="BR6" s="364">
        <v>82582777.359999999</v>
      </c>
      <c r="BS6" s="332">
        <v>55983230.359999999</v>
      </c>
      <c r="BT6" s="333">
        <v>29984060.98</v>
      </c>
      <c r="BU6" s="333">
        <v>15966365.189999999</v>
      </c>
      <c r="BV6" s="277">
        <f>11371837.65+1294570.79+3299956.75+6187+795862.68+524195+688497.5+112815+150740+104785+78911+150000+178994</f>
        <v>18757352.370000001</v>
      </c>
      <c r="BW6" s="270">
        <v>20916391.390000001</v>
      </c>
      <c r="BX6" s="270">
        <v>22744819.030000001</v>
      </c>
      <c r="BY6" s="270">
        <v>25338049.030000001</v>
      </c>
      <c r="BZ6" s="270">
        <v>121078496.44</v>
      </c>
      <c r="CA6" s="270">
        <v>79666094.579999998</v>
      </c>
      <c r="CB6" s="270">
        <v>178899530.99000001</v>
      </c>
      <c r="CC6" s="270">
        <v>73236976.689999998</v>
      </c>
      <c r="CD6" s="270">
        <v>215335696.25</v>
      </c>
      <c r="CE6" s="270">
        <v>87471701.980000004</v>
      </c>
      <c r="CF6" s="270">
        <v>24703877.199999999</v>
      </c>
      <c r="CG6" s="270">
        <v>30758136.120000001</v>
      </c>
      <c r="CH6" s="284">
        <f>43822830-11627268</f>
        <v>32195562</v>
      </c>
      <c r="CI6" s="270">
        <v>11483467.470000001</v>
      </c>
      <c r="CJ6" s="270">
        <v>32987253.170000002</v>
      </c>
      <c r="CK6" s="270">
        <v>42686986.25</v>
      </c>
      <c r="CL6" s="270">
        <v>58001777.189999998</v>
      </c>
      <c r="CM6" s="270">
        <v>50242430.619999997</v>
      </c>
      <c r="CN6" s="357">
        <v>45609153.420000002</v>
      </c>
      <c r="CO6" s="357">
        <v>51401396.270000003</v>
      </c>
      <c r="CP6" s="357">
        <v>42512509.920000002</v>
      </c>
      <c r="CQ6" s="357">
        <v>204878683.69999999</v>
      </c>
      <c r="CR6" s="374">
        <v>314656481.25999999</v>
      </c>
      <c r="CS6" s="374">
        <v>216730466.50999999</v>
      </c>
      <c r="CT6" s="375">
        <v>205874394.88</v>
      </c>
      <c r="CU6" s="379">
        <f>38177946+43996018+13700430+125883217</f>
        <v>221757611</v>
      </c>
      <c r="CV6" s="379">
        <f>18997845+484619+793570+10902544+1592223+71171+320190+5500+542803+300000+211749+160790+130314072+215461</f>
        <v>164912537</v>
      </c>
      <c r="CW6" s="357">
        <v>127251237.98</v>
      </c>
      <c r="CX6" s="374">
        <v>126360028.45999999</v>
      </c>
      <c r="CY6" s="374">
        <v>132710807.79000001</v>
      </c>
      <c r="CZ6" s="357">
        <v>127019288.53</v>
      </c>
      <c r="DA6" s="402">
        <v>118555722.65000001</v>
      </c>
      <c r="DB6" s="357">
        <v>135352989.88999999</v>
      </c>
      <c r="DC6" s="357">
        <v>281111739.67000002</v>
      </c>
      <c r="DD6" s="357">
        <v>211202521.49000001</v>
      </c>
      <c r="DE6" s="451">
        <v>184396448.74000001</v>
      </c>
    </row>
    <row r="7" spans="1:109" s="14" customFormat="1" ht="15">
      <c r="A7" s="160" t="s">
        <v>19</v>
      </c>
      <c r="B7" s="286">
        <f>241235</f>
        <v>241235</v>
      </c>
      <c r="C7" s="291">
        <v>210238</v>
      </c>
      <c r="D7" s="291">
        <v>23363689</v>
      </c>
      <c r="E7" s="291">
        <v>21063691</v>
      </c>
      <c r="F7" s="298">
        <v>5577314</v>
      </c>
      <c r="G7" s="291">
        <v>1759918.55</v>
      </c>
      <c r="H7" s="301">
        <v>3482697</v>
      </c>
      <c r="I7" s="303">
        <v>7204334</v>
      </c>
      <c r="J7" s="305">
        <v>1310705.02</v>
      </c>
      <c r="K7" s="305">
        <v>2948933.12</v>
      </c>
      <c r="L7" s="305">
        <v>1441059.81</v>
      </c>
      <c r="M7" s="304">
        <v>1515755.82</v>
      </c>
      <c r="N7" s="304">
        <v>1717323.02</v>
      </c>
      <c r="O7" s="304">
        <v>28325030.02</v>
      </c>
      <c r="P7" s="304">
        <v>1214917.02</v>
      </c>
      <c r="Q7" s="304">
        <v>2035161.02</v>
      </c>
      <c r="R7" s="306">
        <v>1845830.02</v>
      </c>
      <c r="S7" s="304">
        <v>1409415.14</v>
      </c>
      <c r="T7" s="304">
        <v>1409415.14</v>
      </c>
      <c r="U7" s="304">
        <v>8752385.9800000004</v>
      </c>
      <c r="V7" s="304">
        <v>24942726</v>
      </c>
      <c r="W7" s="311">
        <v>8213164.7999999998</v>
      </c>
      <c r="X7" s="311">
        <v>6948220.4299999997</v>
      </c>
      <c r="Y7" s="311">
        <v>23754253.16</v>
      </c>
      <c r="Z7" s="311">
        <v>18463212.609999999</v>
      </c>
      <c r="AA7" s="311">
        <v>21294198</v>
      </c>
      <c r="AB7" s="311">
        <v>13657950</v>
      </c>
      <c r="AC7" s="311">
        <v>13059153.869999999</v>
      </c>
      <c r="AD7" s="311">
        <v>12975869</v>
      </c>
      <c r="AE7" s="311">
        <v>23189672</v>
      </c>
      <c r="AF7" s="311">
        <v>22568136</v>
      </c>
      <c r="AG7" s="311">
        <v>23276422.829999998</v>
      </c>
      <c r="AH7" s="311">
        <v>5557216.8399999999</v>
      </c>
      <c r="AI7" s="311">
        <v>5557217</v>
      </c>
      <c r="AJ7" s="284">
        <v>6689660</v>
      </c>
      <c r="AK7" s="284">
        <v>5850693.0199999996</v>
      </c>
      <c r="AL7" s="284">
        <v>4823659.3499999996</v>
      </c>
      <c r="AM7" s="284">
        <v>5733891.8899999997</v>
      </c>
      <c r="AN7" s="284">
        <v>7700206.2400000002</v>
      </c>
      <c r="AO7" s="284">
        <v>3904046.07</v>
      </c>
      <c r="AP7" s="284">
        <v>4095944.79</v>
      </c>
      <c r="AQ7" s="284">
        <v>6431976.0899999999</v>
      </c>
      <c r="AR7" s="284">
        <v>2797303.18</v>
      </c>
      <c r="AS7" s="284">
        <v>3021492.96</v>
      </c>
      <c r="AT7" s="284">
        <v>3036333.08</v>
      </c>
      <c r="AU7" s="284">
        <v>2939722.3</v>
      </c>
      <c r="AV7" s="284">
        <v>3775087</v>
      </c>
      <c r="AW7" s="304">
        <v>4245869.47</v>
      </c>
      <c r="AX7" s="304">
        <v>4736502.79</v>
      </c>
      <c r="AY7" s="304">
        <v>4918009.91</v>
      </c>
      <c r="AZ7" s="304">
        <v>4748069.66</v>
      </c>
      <c r="BA7" s="304">
        <v>44583187.32</v>
      </c>
      <c r="BB7" s="317">
        <f>4045872.94+40000000</f>
        <v>44045872.939999998</v>
      </c>
      <c r="BC7" s="272">
        <v>33617176.030000001</v>
      </c>
      <c r="BD7" s="272">
        <v>23611041.550000001</v>
      </c>
      <c r="BE7" s="272">
        <v>15036259.6</v>
      </c>
      <c r="BF7" s="320">
        <v>15005012.449999999</v>
      </c>
      <c r="BG7" s="304">
        <v>5173387.47</v>
      </c>
      <c r="BH7" s="304">
        <v>6971773.9100000001</v>
      </c>
      <c r="BI7" s="284">
        <v>6787025</v>
      </c>
      <c r="BJ7" s="284">
        <v>6739591.5499999998</v>
      </c>
      <c r="BK7" s="272">
        <v>5064049.09</v>
      </c>
      <c r="BL7" s="364">
        <v>5241965.7300000004</v>
      </c>
      <c r="BM7" s="364">
        <v>5172855.63</v>
      </c>
      <c r="BN7" s="364">
        <v>5064954.45</v>
      </c>
      <c r="BO7" s="326">
        <v>5957568.8700000001</v>
      </c>
      <c r="BP7" s="364">
        <v>7292830.4100000001</v>
      </c>
      <c r="BQ7" s="364">
        <v>8245290</v>
      </c>
      <c r="BR7" s="364">
        <v>9035168.1799999997</v>
      </c>
      <c r="BS7" s="332">
        <v>9082646.3699999992</v>
      </c>
      <c r="BT7" s="333">
        <v>9246945.2400000002</v>
      </c>
      <c r="BU7" s="333">
        <v>12284230.07</v>
      </c>
      <c r="BV7" s="364"/>
      <c r="BW7" s="270">
        <v>12178437.779999999</v>
      </c>
      <c r="BX7" s="270">
        <v>10565508.52</v>
      </c>
      <c r="BY7" s="270">
        <v>10447542.439999999</v>
      </c>
      <c r="BZ7" s="270">
        <v>11809242.390000001</v>
      </c>
      <c r="CA7" s="270">
        <v>12059777.77</v>
      </c>
      <c r="CB7" s="270">
        <v>11951870.4</v>
      </c>
      <c r="CC7" s="270">
        <v>12889323.52</v>
      </c>
      <c r="CD7" s="270">
        <v>13074392.59</v>
      </c>
      <c r="CE7" s="270">
        <v>15885198.529999999</v>
      </c>
      <c r="CF7" s="270">
        <v>14929666.77</v>
      </c>
      <c r="CG7" s="270">
        <v>17415014.100000001</v>
      </c>
      <c r="CH7" s="284">
        <v>17053152</v>
      </c>
      <c r="CI7" s="270">
        <v>17668645.850000001</v>
      </c>
      <c r="CJ7" s="270">
        <v>17150061.890000001</v>
      </c>
      <c r="CK7" s="270">
        <v>17074630.359999999</v>
      </c>
      <c r="CL7" s="270">
        <v>18363108.760000002</v>
      </c>
      <c r="CM7" s="270">
        <v>18165302.030000001</v>
      </c>
      <c r="CN7" s="357">
        <v>18431218.359999999</v>
      </c>
      <c r="CO7" s="357">
        <v>19189431.530000001</v>
      </c>
      <c r="CP7" s="357">
        <v>18420830.260000002</v>
      </c>
      <c r="CQ7" s="357">
        <v>19626454.699999999</v>
      </c>
      <c r="CR7" s="374">
        <v>20512573.32</v>
      </c>
      <c r="CS7" s="374">
        <v>19943223.050000001</v>
      </c>
      <c r="CT7" s="375">
        <v>22171336.850000001</v>
      </c>
      <c r="CU7" s="379">
        <v>5979284</v>
      </c>
      <c r="CV7" s="379">
        <v>5029726</v>
      </c>
      <c r="CW7" s="357">
        <v>5070359.9800000004</v>
      </c>
      <c r="CX7" s="374">
        <v>5080039.2300000004</v>
      </c>
      <c r="CY7" s="374">
        <v>4750756.34</v>
      </c>
      <c r="CZ7" s="357">
        <v>4660863.45</v>
      </c>
      <c r="DA7" s="402">
        <v>3770981.86</v>
      </c>
      <c r="DB7" s="357">
        <v>4248424.76</v>
      </c>
      <c r="DC7" s="357">
        <v>3818805.38</v>
      </c>
      <c r="DD7" s="357">
        <v>5167046.8</v>
      </c>
      <c r="DE7" s="451">
        <v>5394187.9800000004</v>
      </c>
    </row>
    <row r="8" spans="1:109" ht="15">
      <c r="A8" s="160" t="s">
        <v>20</v>
      </c>
      <c r="B8" s="211">
        <f>(B9+B10+B11+B13+B12)</f>
        <v>3099100</v>
      </c>
      <c r="C8" s="211">
        <f t="shared" ref="C8:I8" si="11">(C9+C10+C11+C13+C12)</f>
        <v>3153280</v>
      </c>
      <c r="D8" s="211">
        <f t="shared" si="11"/>
        <v>3153280</v>
      </c>
      <c r="E8" s="211">
        <f t="shared" si="11"/>
        <v>3187680</v>
      </c>
      <c r="F8" s="211">
        <f t="shared" si="11"/>
        <v>3213000</v>
      </c>
      <c r="G8" s="211">
        <f t="shared" si="11"/>
        <v>3837498</v>
      </c>
      <c r="H8" s="211">
        <f t="shared" si="11"/>
        <v>109136598</v>
      </c>
      <c r="I8" s="211">
        <f t="shared" si="11"/>
        <v>13336598</v>
      </c>
      <c r="J8" s="211">
        <f t="shared" ref="J8:U8" si="12">(J9+J10+J11+J13+J12)</f>
        <v>4832498</v>
      </c>
      <c r="K8" s="211">
        <f t="shared" si="12"/>
        <v>4832498</v>
      </c>
      <c r="L8" s="211">
        <f t="shared" si="12"/>
        <v>4832498</v>
      </c>
      <c r="M8" s="211">
        <f t="shared" si="12"/>
        <v>4832498</v>
      </c>
      <c r="N8" s="211">
        <f t="shared" si="12"/>
        <v>4832498</v>
      </c>
      <c r="O8" s="211">
        <f t="shared" si="12"/>
        <v>4832498</v>
      </c>
      <c r="P8" s="211">
        <f t="shared" si="12"/>
        <v>12823062.5</v>
      </c>
      <c r="Q8" s="211">
        <f t="shared" si="12"/>
        <v>12823062.5</v>
      </c>
      <c r="R8" s="211">
        <f t="shared" si="12"/>
        <v>12823062.5</v>
      </c>
      <c r="S8" s="211">
        <f t="shared" si="12"/>
        <v>13308498</v>
      </c>
      <c r="T8" s="211">
        <f t="shared" si="12"/>
        <v>13199798</v>
      </c>
      <c r="U8" s="211">
        <f t="shared" si="12"/>
        <v>13308498</v>
      </c>
      <c r="V8" s="211">
        <f>(V9+V10+V11+V13+V12)</f>
        <v>13272498</v>
      </c>
      <c r="W8" s="211">
        <f t="shared" ref="W8:AH8" si="13">(W9+W10+W11+W13+W12)</f>
        <v>13308498</v>
      </c>
      <c r="X8" s="211">
        <f t="shared" si="13"/>
        <v>13272498</v>
      </c>
      <c r="Y8" s="211">
        <f t="shared" si="13"/>
        <v>13272498</v>
      </c>
      <c r="Z8" s="211">
        <f t="shared" si="13"/>
        <v>13272498</v>
      </c>
      <c r="AA8" s="211">
        <f t="shared" si="13"/>
        <v>13277355</v>
      </c>
      <c r="AB8" s="211">
        <f t="shared" si="13"/>
        <v>13277355</v>
      </c>
      <c r="AC8" s="211">
        <f t="shared" si="13"/>
        <v>13277355</v>
      </c>
      <c r="AD8" s="211">
        <f t="shared" si="13"/>
        <v>13277355</v>
      </c>
      <c r="AE8" s="211">
        <f t="shared" si="13"/>
        <v>13277355</v>
      </c>
      <c r="AF8" s="211">
        <f t="shared" si="13"/>
        <v>13277355</v>
      </c>
      <c r="AG8" s="211">
        <f t="shared" si="13"/>
        <v>13277355</v>
      </c>
      <c r="AH8" s="211">
        <f t="shared" si="13"/>
        <v>13277355</v>
      </c>
      <c r="AI8" s="211">
        <f>(AI9+AI10+AI11+AI13+AI12)</f>
        <v>13277355</v>
      </c>
      <c r="AJ8" s="211">
        <f t="shared" ref="AJ8:AU8" si="14">(AJ9+AJ10+AJ11+AJ13+AJ12)</f>
        <v>13277355</v>
      </c>
      <c r="AK8" s="211">
        <f t="shared" si="14"/>
        <v>13277355</v>
      </c>
      <c r="AL8" s="211">
        <f t="shared" si="14"/>
        <v>13277355</v>
      </c>
      <c r="AM8" s="211">
        <f t="shared" si="14"/>
        <v>13277355</v>
      </c>
      <c r="AN8" s="211">
        <f t="shared" si="14"/>
        <v>13277355</v>
      </c>
      <c r="AO8" s="211">
        <f t="shared" si="14"/>
        <v>13277355</v>
      </c>
      <c r="AP8" s="211">
        <f t="shared" si="14"/>
        <v>13277355</v>
      </c>
      <c r="AQ8" s="211">
        <f t="shared" si="14"/>
        <v>13277355</v>
      </c>
      <c r="AR8" s="211">
        <f t="shared" si="14"/>
        <v>14314587</v>
      </c>
      <c r="AS8" s="211">
        <f t="shared" si="14"/>
        <v>14314587</v>
      </c>
      <c r="AT8" s="211">
        <f t="shared" si="14"/>
        <v>14314587</v>
      </c>
      <c r="AU8" s="211">
        <f t="shared" si="14"/>
        <v>14314587</v>
      </c>
      <c r="AV8" s="211">
        <f>(AV9+AV10+AV11+AV13+AV12)</f>
        <v>14314587</v>
      </c>
      <c r="AW8" s="211">
        <f t="shared" ref="AW8:BH8" si="15">(AW9+AW10+AW11+AW13+AW12)</f>
        <v>14314587</v>
      </c>
      <c r="AX8" s="211">
        <f t="shared" si="15"/>
        <v>14314587</v>
      </c>
      <c r="AY8" s="211">
        <f t="shared" si="15"/>
        <v>14314587</v>
      </c>
      <c r="AZ8" s="211">
        <f t="shared" si="15"/>
        <v>14314587</v>
      </c>
      <c r="BA8" s="211">
        <f t="shared" si="15"/>
        <v>14314587</v>
      </c>
      <c r="BB8" s="211">
        <f t="shared" si="15"/>
        <v>14314587</v>
      </c>
      <c r="BC8" s="211">
        <f t="shared" si="15"/>
        <v>34314587</v>
      </c>
      <c r="BD8" s="211">
        <f t="shared" si="15"/>
        <v>34314587</v>
      </c>
      <c r="BE8" s="211">
        <f t="shared" si="15"/>
        <v>34314587</v>
      </c>
      <c r="BF8" s="211">
        <f t="shared" si="15"/>
        <v>34314587</v>
      </c>
      <c r="BG8" s="211">
        <f t="shared" si="15"/>
        <v>34314587</v>
      </c>
      <c r="BH8" s="211">
        <f t="shared" si="15"/>
        <v>34314587</v>
      </c>
      <c r="BI8" s="211">
        <f>(BI9+BI10+BI11+BI13+BI12)</f>
        <v>94611870</v>
      </c>
      <c r="BJ8" s="211">
        <f t="shared" ref="BJ8:BU8" si="16">(BJ9+BJ10+BJ11+BJ13+BJ12)</f>
        <v>14314587</v>
      </c>
      <c r="BK8" s="211">
        <f t="shared" si="16"/>
        <v>34314587</v>
      </c>
      <c r="BL8" s="211">
        <f t="shared" si="16"/>
        <v>34264587</v>
      </c>
      <c r="BM8" s="211">
        <f t="shared" si="16"/>
        <v>34264587</v>
      </c>
      <c r="BN8" s="211">
        <f t="shared" si="16"/>
        <v>34264587</v>
      </c>
      <c r="BO8" s="211">
        <f t="shared" si="16"/>
        <v>34264587</v>
      </c>
      <c r="BP8" s="211">
        <f t="shared" si="16"/>
        <v>84264587</v>
      </c>
      <c r="BQ8" s="211">
        <f t="shared" si="16"/>
        <v>84264587</v>
      </c>
      <c r="BR8" s="211">
        <f t="shared" si="16"/>
        <v>84264587</v>
      </c>
      <c r="BS8" s="211">
        <f t="shared" si="16"/>
        <v>84264587</v>
      </c>
      <c r="BT8" s="211">
        <f t="shared" si="16"/>
        <v>84264587</v>
      </c>
      <c r="BU8" s="211">
        <f t="shared" si="16"/>
        <v>84264587</v>
      </c>
      <c r="BV8" s="211">
        <f t="shared" ref="BV8:CH8" si="17">(BV9+BV10+BV11+BV13+BV12)</f>
        <v>11722912</v>
      </c>
      <c r="BW8" s="211">
        <f t="shared" si="17"/>
        <v>64264587</v>
      </c>
      <c r="BX8" s="211">
        <f t="shared" si="17"/>
        <v>64264587</v>
      </c>
      <c r="BY8" s="211">
        <f t="shared" si="17"/>
        <v>64264587</v>
      </c>
      <c r="BZ8" s="211">
        <f t="shared" si="17"/>
        <v>64264587</v>
      </c>
      <c r="CA8" s="211">
        <f t="shared" si="17"/>
        <v>66264027</v>
      </c>
      <c r="CB8" s="211">
        <f t="shared" si="17"/>
        <v>116264027</v>
      </c>
      <c r="CC8" s="211">
        <f t="shared" si="17"/>
        <v>116264027</v>
      </c>
      <c r="CD8" s="211">
        <f t="shared" si="17"/>
        <v>116940857</v>
      </c>
      <c r="CE8" s="211">
        <f t="shared" si="17"/>
        <v>116940857</v>
      </c>
      <c r="CF8" s="211">
        <f t="shared" si="17"/>
        <v>116940857</v>
      </c>
      <c r="CG8" s="211">
        <f t="shared" si="17"/>
        <v>66940857</v>
      </c>
      <c r="CH8" s="211">
        <f t="shared" si="17"/>
        <v>66940857</v>
      </c>
      <c r="CI8" s="211">
        <f t="shared" ref="CI8:CP8" si="18">(CI9+CI10+CI11+CI13+CI12)</f>
        <v>66940857</v>
      </c>
      <c r="CJ8" s="211">
        <f t="shared" si="18"/>
        <v>46940857</v>
      </c>
      <c r="CK8" s="211">
        <f t="shared" si="18"/>
        <v>46940857</v>
      </c>
      <c r="CL8" s="211">
        <f t="shared" si="18"/>
        <v>46940857</v>
      </c>
      <c r="CM8" s="211">
        <f t="shared" si="18"/>
        <v>46940857</v>
      </c>
      <c r="CN8" s="211">
        <f t="shared" si="18"/>
        <v>46940857</v>
      </c>
      <c r="CO8" s="211">
        <f t="shared" si="18"/>
        <v>16940857</v>
      </c>
      <c r="CP8" s="211">
        <f t="shared" si="18"/>
        <v>16940857</v>
      </c>
      <c r="CQ8" s="211">
        <f>(CQ9+CQ10+CQ11+CQ12+CQ13)</f>
        <v>16940857</v>
      </c>
      <c r="CR8" s="211">
        <f t="shared" ref="CR8:CU8" si="19">(CR9+CR10+CR11+CR12+CR13)</f>
        <v>16940857</v>
      </c>
      <c r="CS8" s="211">
        <f t="shared" si="19"/>
        <v>16940857</v>
      </c>
      <c r="CT8" s="211">
        <f t="shared" si="19"/>
        <v>16940857</v>
      </c>
      <c r="CU8" s="211">
        <f t="shared" si="19"/>
        <v>16940857</v>
      </c>
      <c r="CV8" s="211">
        <f t="shared" ref="CV8:DE8" si="20">(CV9+CV10+CV11+CV12+CV13)</f>
        <v>49524309</v>
      </c>
      <c r="CW8" s="211">
        <f t="shared" si="20"/>
        <v>49524308.799999997</v>
      </c>
      <c r="CX8" s="211">
        <f t="shared" si="20"/>
        <v>49524308.799999997</v>
      </c>
      <c r="CY8" s="211">
        <f t="shared" si="20"/>
        <v>49524308.799999997</v>
      </c>
      <c r="CZ8" s="211">
        <f t="shared" si="20"/>
        <v>49524308.799999997</v>
      </c>
      <c r="DA8" s="211">
        <f t="shared" si="20"/>
        <v>49524308.799999997</v>
      </c>
      <c r="DB8" s="211">
        <f t="shared" si="20"/>
        <v>49524308.799999997</v>
      </c>
      <c r="DC8" s="211">
        <f t="shared" si="20"/>
        <v>49524308.799999997</v>
      </c>
      <c r="DD8" s="211">
        <f t="shared" si="20"/>
        <v>49524308.799999997</v>
      </c>
      <c r="DE8" s="211">
        <f t="shared" si="20"/>
        <v>49524308.799999997</v>
      </c>
    </row>
    <row r="9" spans="1:109" ht="15">
      <c r="A9" s="161" t="s">
        <v>21</v>
      </c>
      <c r="B9" s="364"/>
      <c r="C9" s="364"/>
      <c r="D9" s="364"/>
      <c r="E9" s="364"/>
      <c r="F9" s="364"/>
      <c r="G9" s="364"/>
      <c r="H9" s="364"/>
      <c r="I9" s="364"/>
      <c r="J9" s="302">
        <v>0</v>
      </c>
      <c r="K9" s="302">
        <v>0</v>
      </c>
      <c r="L9" s="302">
        <v>0</v>
      </c>
      <c r="M9" s="304">
        <v>0</v>
      </c>
      <c r="N9" s="304">
        <v>0</v>
      </c>
      <c r="O9" s="304">
        <v>0</v>
      </c>
      <c r="P9" s="304">
        <v>0</v>
      </c>
      <c r="Q9" s="304">
        <v>0</v>
      </c>
      <c r="R9" s="306">
        <v>0</v>
      </c>
      <c r="S9" s="304">
        <v>0</v>
      </c>
      <c r="T9" s="304">
        <v>0</v>
      </c>
      <c r="U9" s="304">
        <v>0</v>
      </c>
      <c r="V9" s="364"/>
      <c r="W9" s="311">
        <v>0</v>
      </c>
      <c r="X9" s="311">
        <v>0</v>
      </c>
      <c r="Y9" s="311">
        <v>0</v>
      </c>
      <c r="Z9" s="311">
        <v>0</v>
      </c>
      <c r="AA9" s="311">
        <v>0</v>
      </c>
      <c r="AB9" s="311">
        <v>0</v>
      </c>
      <c r="AC9" s="311">
        <v>0</v>
      </c>
      <c r="AD9" s="311">
        <v>0</v>
      </c>
      <c r="AE9" s="311">
        <v>0</v>
      </c>
      <c r="AF9" s="311">
        <v>0</v>
      </c>
      <c r="AG9" s="311">
        <v>0</v>
      </c>
      <c r="AH9" s="311">
        <v>0</v>
      </c>
      <c r="AI9" s="311">
        <v>0</v>
      </c>
      <c r="AJ9" s="284">
        <v>0</v>
      </c>
      <c r="AK9" s="284">
        <v>0</v>
      </c>
      <c r="AL9" s="284">
        <v>0</v>
      </c>
      <c r="AM9" s="284">
        <v>0</v>
      </c>
      <c r="AN9" s="284">
        <v>0</v>
      </c>
      <c r="AO9" s="284">
        <v>0</v>
      </c>
      <c r="AP9" s="284">
        <v>0</v>
      </c>
      <c r="AQ9" s="284">
        <v>0</v>
      </c>
      <c r="AR9" s="284">
        <v>0</v>
      </c>
      <c r="AS9" s="284">
        <v>0</v>
      </c>
      <c r="AT9" s="284">
        <v>0</v>
      </c>
      <c r="AU9" s="284">
        <v>0</v>
      </c>
      <c r="AV9" s="284">
        <v>0</v>
      </c>
      <c r="AW9" s="304">
        <v>0</v>
      </c>
      <c r="AX9" s="304">
        <v>0</v>
      </c>
      <c r="AY9" s="304">
        <v>0</v>
      </c>
      <c r="AZ9" s="304">
        <v>0</v>
      </c>
      <c r="BA9" s="304">
        <v>0</v>
      </c>
      <c r="BB9" s="304">
        <v>0</v>
      </c>
      <c r="BC9" s="284">
        <v>0</v>
      </c>
      <c r="BD9" s="272">
        <v>0</v>
      </c>
      <c r="BE9" s="272">
        <v>0</v>
      </c>
      <c r="BF9" s="321">
        <v>0</v>
      </c>
      <c r="BG9" s="304">
        <v>0</v>
      </c>
      <c r="BH9" s="304">
        <v>0</v>
      </c>
      <c r="BI9" s="284"/>
      <c r="BJ9" s="284">
        <v>0</v>
      </c>
      <c r="BK9" s="272">
        <v>0</v>
      </c>
      <c r="BL9" s="364">
        <v>0</v>
      </c>
      <c r="BM9" s="364">
        <v>0</v>
      </c>
      <c r="BN9" s="364">
        <v>0</v>
      </c>
      <c r="BO9" s="327">
        <v>0</v>
      </c>
      <c r="BP9" s="364">
        <v>0</v>
      </c>
      <c r="BQ9" s="364">
        <v>0</v>
      </c>
      <c r="BR9" s="364">
        <v>0</v>
      </c>
      <c r="BS9" s="332">
        <v>0</v>
      </c>
      <c r="BT9" s="333">
        <v>0</v>
      </c>
      <c r="BU9" s="333">
        <v>0</v>
      </c>
      <c r="BV9" s="364"/>
      <c r="BW9" s="270">
        <v>0</v>
      </c>
      <c r="BX9" s="270">
        <v>0</v>
      </c>
      <c r="BY9" s="270">
        <v>0</v>
      </c>
      <c r="BZ9" s="270">
        <v>0</v>
      </c>
      <c r="CA9" s="270">
        <v>0</v>
      </c>
      <c r="CB9" s="270">
        <v>0</v>
      </c>
      <c r="CC9" s="270">
        <v>0</v>
      </c>
      <c r="CD9" s="270">
        <v>0</v>
      </c>
      <c r="CE9" s="270">
        <v>0</v>
      </c>
      <c r="CF9" s="270">
        <v>0</v>
      </c>
      <c r="CG9" s="270">
        <v>0</v>
      </c>
      <c r="CH9" s="261"/>
      <c r="CI9" s="270">
        <v>0</v>
      </c>
      <c r="CJ9" s="270">
        <v>0</v>
      </c>
      <c r="CK9" s="270">
        <v>0</v>
      </c>
      <c r="CL9" s="270">
        <v>0</v>
      </c>
      <c r="CM9" s="270">
        <v>0</v>
      </c>
      <c r="CN9" s="354">
        <v>0</v>
      </c>
      <c r="CO9" s="354">
        <v>0</v>
      </c>
      <c r="CP9" s="354">
        <v>0</v>
      </c>
      <c r="CQ9" s="354">
        <v>0</v>
      </c>
      <c r="CR9" s="371">
        <v>0</v>
      </c>
      <c r="CS9" s="371">
        <v>0</v>
      </c>
      <c r="CT9" s="376">
        <v>0</v>
      </c>
      <c r="CU9" s="380"/>
      <c r="CV9" s="380"/>
      <c r="CW9" s="354">
        <v>0</v>
      </c>
      <c r="CX9" s="371">
        <v>0</v>
      </c>
      <c r="CY9" s="371">
        <v>0</v>
      </c>
      <c r="CZ9" s="354">
        <v>0</v>
      </c>
      <c r="DA9" s="399">
        <v>0</v>
      </c>
      <c r="DB9">
        <v>0</v>
      </c>
      <c r="DC9">
        <v>0</v>
      </c>
      <c r="DD9">
        <v>0</v>
      </c>
      <c r="DE9">
        <v>0</v>
      </c>
    </row>
    <row r="10" spans="1:109" ht="15">
      <c r="A10" s="161" t="s">
        <v>22</v>
      </c>
      <c r="B10" s="364"/>
      <c r="C10" s="364"/>
      <c r="D10" s="364"/>
      <c r="E10" s="364"/>
      <c r="F10" s="364"/>
      <c r="G10" s="364"/>
      <c r="H10" s="364"/>
      <c r="I10" s="364"/>
      <c r="J10" s="302">
        <v>0</v>
      </c>
      <c r="K10" s="302">
        <v>0</v>
      </c>
      <c r="L10" s="302">
        <v>0</v>
      </c>
      <c r="M10" s="304">
        <v>0</v>
      </c>
      <c r="N10" s="304">
        <v>0</v>
      </c>
      <c r="O10" s="304">
        <v>0</v>
      </c>
      <c r="P10" s="304">
        <v>0</v>
      </c>
      <c r="Q10" s="304">
        <v>0</v>
      </c>
      <c r="R10" s="306">
        <v>0</v>
      </c>
      <c r="S10" s="304">
        <v>0</v>
      </c>
      <c r="T10" s="304">
        <v>0</v>
      </c>
      <c r="U10" s="304">
        <v>0</v>
      </c>
      <c r="V10" s="364"/>
      <c r="W10" s="311">
        <v>0</v>
      </c>
      <c r="X10" s="311">
        <v>0</v>
      </c>
      <c r="Y10" s="311">
        <v>0</v>
      </c>
      <c r="Z10" s="311">
        <v>0</v>
      </c>
      <c r="AA10" s="311">
        <v>0</v>
      </c>
      <c r="AB10" s="311">
        <v>0</v>
      </c>
      <c r="AC10" s="311">
        <v>0</v>
      </c>
      <c r="AD10" s="311">
        <v>0</v>
      </c>
      <c r="AE10" s="311">
        <v>0</v>
      </c>
      <c r="AF10" s="311">
        <v>0</v>
      </c>
      <c r="AG10" s="311">
        <v>0</v>
      </c>
      <c r="AH10" s="311">
        <v>0</v>
      </c>
      <c r="AI10" s="311">
        <v>0</v>
      </c>
      <c r="AJ10" s="284">
        <v>0</v>
      </c>
      <c r="AK10" s="284">
        <v>0</v>
      </c>
      <c r="AL10" s="284">
        <v>0</v>
      </c>
      <c r="AM10" s="284">
        <v>0</v>
      </c>
      <c r="AN10" s="284">
        <v>0</v>
      </c>
      <c r="AO10" s="284">
        <v>0</v>
      </c>
      <c r="AP10" s="284">
        <v>0</v>
      </c>
      <c r="AQ10" s="284">
        <v>0</v>
      </c>
      <c r="AR10" s="284">
        <v>0</v>
      </c>
      <c r="AS10" s="284">
        <v>0</v>
      </c>
      <c r="AT10" s="284">
        <v>0</v>
      </c>
      <c r="AU10" s="284">
        <v>0</v>
      </c>
      <c r="AV10" s="284">
        <v>0</v>
      </c>
      <c r="AW10" s="304">
        <v>0</v>
      </c>
      <c r="AX10" s="304">
        <v>0</v>
      </c>
      <c r="AY10" s="304">
        <v>0</v>
      </c>
      <c r="AZ10" s="304">
        <v>0</v>
      </c>
      <c r="BA10" s="304">
        <v>0</v>
      </c>
      <c r="BB10" s="304">
        <v>0</v>
      </c>
      <c r="BC10" s="284">
        <v>0</v>
      </c>
      <c r="BD10" s="272">
        <v>0</v>
      </c>
      <c r="BE10" s="272">
        <v>0</v>
      </c>
      <c r="BF10" s="321">
        <v>0</v>
      </c>
      <c r="BG10" s="304">
        <v>0</v>
      </c>
      <c r="BH10" s="304">
        <v>0</v>
      </c>
      <c r="BI10" s="284"/>
      <c r="BJ10" s="284">
        <v>0</v>
      </c>
      <c r="BK10" s="272">
        <v>0</v>
      </c>
      <c r="BL10" s="364">
        <v>0</v>
      </c>
      <c r="BM10" s="364">
        <v>0</v>
      </c>
      <c r="BN10" s="364">
        <v>0</v>
      </c>
      <c r="BO10" s="327">
        <v>0</v>
      </c>
      <c r="BP10" s="364">
        <v>0</v>
      </c>
      <c r="BQ10" s="364">
        <v>0</v>
      </c>
      <c r="BR10" s="364">
        <v>0</v>
      </c>
      <c r="BS10" s="332">
        <v>0</v>
      </c>
      <c r="BT10" s="333">
        <v>0</v>
      </c>
      <c r="BU10" s="333">
        <v>0</v>
      </c>
      <c r="BV10" s="364"/>
      <c r="BW10" s="270">
        <v>0</v>
      </c>
      <c r="BX10" s="270">
        <v>0</v>
      </c>
      <c r="BY10" s="270">
        <v>0</v>
      </c>
      <c r="BZ10" s="270">
        <v>0</v>
      </c>
      <c r="CA10" s="270">
        <v>0</v>
      </c>
      <c r="CB10" s="270">
        <v>0</v>
      </c>
      <c r="CC10" s="270">
        <v>0</v>
      </c>
      <c r="CD10" s="270">
        <v>0</v>
      </c>
      <c r="CE10" s="270">
        <v>0</v>
      </c>
      <c r="CF10" s="270">
        <v>0</v>
      </c>
      <c r="CG10" s="270">
        <v>0</v>
      </c>
      <c r="CH10" s="261"/>
      <c r="CI10" s="270">
        <v>0</v>
      </c>
      <c r="CJ10" s="270">
        <v>0</v>
      </c>
      <c r="CK10" s="270">
        <v>0</v>
      </c>
      <c r="CL10" s="270">
        <v>0</v>
      </c>
      <c r="CM10" s="270">
        <v>0</v>
      </c>
      <c r="CN10" s="356">
        <v>0</v>
      </c>
      <c r="CO10" s="356">
        <v>0</v>
      </c>
      <c r="CP10" s="356">
        <v>0</v>
      </c>
      <c r="CQ10" s="356">
        <v>0</v>
      </c>
      <c r="CR10" s="373">
        <v>0</v>
      </c>
      <c r="CS10" s="373">
        <v>0</v>
      </c>
      <c r="CT10" s="376">
        <v>0</v>
      </c>
      <c r="CU10" s="380"/>
      <c r="CV10" s="380"/>
      <c r="CW10" s="356">
        <v>0</v>
      </c>
      <c r="CX10" s="373">
        <v>0</v>
      </c>
      <c r="CY10" s="373">
        <v>0</v>
      </c>
      <c r="CZ10" s="356">
        <v>0</v>
      </c>
      <c r="DA10" s="401">
        <v>0</v>
      </c>
      <c r="DB10" s="354">
        <v>0</v>
      </c>
      <c r="DC10" s="354">
        <v>0</v>
      </c>
      <c r="DD10" s="354">
        <v>0</v>
      </c>
      <c r="DE10" s="448">
        <v>0</v>
      </c>
    </row>
    <row r="11" spans="1:109" ht="15">
      <c r="A11" s="217" t="s">
        <v>23</v>
      </c>
      <c r="B11" s="364"/>
      <c r="C11" s="364"/>
      <c r="D11" s="364"/>
      <c r="E11" s="364"/>
      <c r="F11" s="364"/>
      <c r="G11" s="364"/>
      <c r="H11" s="364"/>
      <c r="I11" s="364"/>
      <c r="J11" s="302">
        <v>0</v>
      </c>
      <c r="K11" s="302">
        <v>0</v>
      </c>
      <c r="L11" s="302">
        <v>0</v>
      </c>
      <c r="M11" s="304">
        <v>0</v>
      </c>
      <c r="N11" s="304">
        <v>0</v>
      </c>
      <c r="O11" s="304">
        <v>0</v>
      </c>
      <c r="P11" s="304">
        <v>0</v>
      </c>
      <c r="Q11" s="304">
        <v>0</v>
      </c>
      <c r="R11" s="306">
        <v>0</v>
      </c>
      <c r="S11" s="304">
        <v>0</v>
      </c>
      <c r="T11" s="304">
        <v>0</v>
      </c>
      <c r="U11" s="304">
        <v>0</v>
      </c>
      <c r="V11" s="364"/>
      <c r="W11" s="311">
        <v>0</v>
      </c>
      <c r="X11" s="311">
        <v>0</v>
      </c>
      <c r="Y11" s="311">
        <v>0</v>
      </c>
      <c r="Z11" s="311">
        <v>0</v>
      </c>
      <c r="AA11" s="311">
        <v>0</v>
      </c>
      <c r="AB11" s="311">
        <v>0</v>
      </c>
      <c r="AC11" s="311">
        <v>0</v>
      </c>
      <c r="AD11" s="311">
        <v>0</v>
      </c>
      <c r="AE11" s="311">
        <v>0</v>
      </c>
      <c r="AF11" s="311">
        <v>0</v>
      </c>
      <c r="AG11" s="311">
        <v>0</v>
      </c>
      <c r="AH11" s="311">
        <v>0</v>
      </c>
      <c r="AI11" s="311">
        <v>13277355</v>
      </c>
      <c r="AJ11" s="284">
        <v>0</v>
      </c>
      <c r="AK11" s="284">
        <v>0</v>
      </c>
      <c r="AL11" s="284">
        <v>0</v>
      </c>
      <c r="AM11" s="284">
        <v>0</v>
      </c>
      <c r="AN11" s="284">
        <v>0</v>
      </c>
      <c r="AO11" s="284">
        <v>0</v>
      </c>
      <c r="AP11" s="284">
        <v>0</v>
      </c>
      <c r="AQ11" s="284">
        <v>0</v>
      </c>
      <c r="AR11" s="284">
        <v>0</v>
      </c>
      <c r="AS11" s="284">
        <v>0</v>
      </c>
      <c r="AT11" s="284">
        <v>0</v>
      </c>
      <c r="AU11" s="284">
        <v>0</v>
      </c>
      <c r="AV11" s="284">
        <v>14314587</v>
      </c>
      <c r="AW11" s="304">
        <v>0</v>
      </c>
      <c r="AX11" s="304">
        <v>0</v>
      </c>
      <c r="AY11" s="304">
        <v>0</v>
      </c>
      <c r="AZ11" s="304">
        <v>0</v>
      </c>
      <c r="BA11" s="304">
        <v>0</v>
      </c>
      <c r="BB11" s="304">
        <v>0</v>
      </c>
      <c r="BC11" s="284">
        <v>0</v>
      </c>
      <c r="BD11" s="272">
        <v>0</v>
      </c>
      <c r="BE11" s="272">
        <v>0</v>
      </c>
      <c r="BF11" s="321">
        <v>0</v>
      </c>
      <c r="BG11" s="304">
        <v>0</v>
      </c>
      <c r="BH11" s="304">
        <v>0</v>
      </c>
      <c r="BI11" s="284"/>
      <c r="BJ11" s="284">
        <v>0</v>
      </c>
      <c r="BK11" s="272">
        <v>0</v>
      </c>
      <c r="BL11" s="364">
        <v>0</v>
      </c>
      <c r="BM11" s="364">
        <v>0</v>
      </c>
      <c r="BN11" s="364">
        <v>0</v>
      </c>
      <c r="BO11" s="327">
        <v>0</v>
      </c>
      <c r="BP11" s="364">
        <v>0</v>
      </c>
      <c r="BQ11" s="364">
        <v>0</v>
      </c>
      <c r="BR11" s="364">
        <v>0</v>
      </c>
      <c r="BS11" s="332">
        <v>0</v>
      </c>
      <c r="BT11" s="333">
        <v>0</v>
      </c>
      <c r="BU11" s="333">
        <v>0</v>
      </c>
      <c r="BV11" s="364"/>
      <c r="BW11" s="270">
        <v>0</v>
      </c>
      <c r="BX11" s="270">
        <v>0</v>
      </c>
      <c r="BY11" s="270">
        <v>0</v>
      </c>
      <c r="BZ11" s="270">
        <v>0</v>
      </c>
      <c r="CA11" s="270">
        <v>0</v>
      </c>
      <c r="CB11" s="270">
        <v>0</v>
      </c>
      <c r="CC11" s="270">
        <v>0</v>
      </c>
      <c r="CD11" s="270">
        <v>0</v>
      </c>
      <c r="CE11" s="270">
        <v>0</v>
      </c>
      <c r="CF11" s="270">
        <v>0</v>
      </c>
      <c r="CG11" s="270">
        <v>0</v>
      </c>
      <c r="CH11" s="261"/>
      <c r="CI11" s="270">
        <v>0</v>
      </c>
      <c r="CJ11" s="270">
        <v>0</v>
      </c>
      <c r="CK11" s="270">
        <v>0</v>
      </c>
      <c r="CL11" s="270">
        <v>0</v>
      </c>
      <c r="CM11" s="270">
        <v>0</v>
      </c>
      <c r="CN11" s="356">
        <v>0</v>
      </c>
      <c r="CO11" s="356">
        <v>0</v>
      </c>
      <c r="CP11" s="356">
        <v>0</v>
      </c>
      <c r="CQ11" s="356">
        <v>0</v>
      </c>
      <c r="CR11" s="373">
        <v>0</v>
      </c>
      <c r="CS11" s="373">
        <v>0</v>
      </c>
      <c r="CT11" s="376">
        <v>0</v>
      </c>
      <c r="CU11" s="380"/>
      <c r="CV11" s="380"/>
      <c r="CW11" s="356">
        <v>0</v>
      </c>
      <c r="CX11" s="373">
        <v>0</v>
      </c>
      <c r="CY11" s="373">
        <v>0</v>
      </c>
      <c r="CZ11" s="356">
        <v>0</v>
      </c>
      <c r="DA11" s="401">
        <v>0</v>
      </c>
      <c r="DB11" s="356">
        <v>0</v>
      </c>
      <c r="DC11" s="356">
        <v>0</v>
      </c>
      <c r="DD11" s="356">
        <v>0</v>
      </c>
      <c r="DE11" s="450">
        <v>0</v>
      </c>
    </row>
    <row r="12" spans="1:109" ht="15" customHeight="1">
      <c r="A12" s="257" t="s">
        <v>24</v>
      </c>
      <c r="B12" s="364"/>
      <c r="C12" s="364"/>
      <c r="D12" s="364"/>
      <c r="E12" s="364"/>
      <c r="F12" s="364"/>
      <c r="G12" s="293">
        <v>3837498</v>
      </c>
      <c r="H12" s="300">
        <f>100000000+9136598</f>
        <v>109136598</v>
      </c>
      <c r="I12" s="302">
        <v>13336598</v>
      </c>
      <c r="J12" s="302">
        <v>4832498</v>
      </c>
      <c r="K12" s="302">
        <v>4832498</v>
      </c>
      <c r="L12" s="302">
        <v>4832498</v>
      </c>
      <c r="M12" s="304">
        <v>4832498</v>
      </c>
      <c r="N12" s="304">
        <v>4832498</v>
      </c>
      <c r="O12" s="304">
        <v>4832498</v>
      </c>
      <c r="P12" s="304">
        <v>12823062.5</v>
      </c>
      <c r="Q12" s="304">
        <v>12823062.5</v>
      </c>
      <c r="R12" s="306">
        <v>12823062.5</v>
      </c>
      <c r="S12" s="304">
        <v>13308498</v>
      </c>
      <c r="T12" s="304">
        <v>13199798</v>
      </c>
      <c r="U12" s="304">
        <v>13308498</v>
      </c>
      <c r="V12" s="364"/>
      <c r="W12" s="311">
        <v>13308498</v>
      </c>
      <c r="X12" s="311">
        <v>13272498</v>
      </c>
      <c r="Y12" s="311">
        <v>13272498</v>
      </c>
      <c r="Z12" s="311">
        <v>13272498</v>
      </c>
      <c r="AA12" s="311">
        <v>13277355</v>
      </c>
      <c r="AB12" s="311">
        <v>13277355</v>
      </c>
      <c r="AC12" s="311">
        <v>13277355</v>
      </c>
      <c r="AD12" s="311">
        <v>13277355</v>
      </c>
      <c r="AE12" s="311">
        <v>13277355</v>
      </c>
      <c r="AF12" s="311">
        <v>13277355</v>
      </c>
      <c r="AG12" s="311">
        <v>13277355</v>
      </c>
      <c r="AH12" s="311">
        <v>13277355</v>
      </c>
      <c r="AI12" s="364"/>
      <c r="AJ12" s="284">
        <v>13277355</v>
      </c>
      <c r="AK12" s="284">
        <v>13277355</v>
      </c>
      <c r="AL12" s="284">
        <v>13277355</v>
      </c>
      <c r="AM12" s="284">
        <v>13277355</v>
      </c>
      <c r="AN12" s="284">
        <v>13277355</v>
      </c>
      <c r="AO12" s="284">
        <v>13277355</v>
      </c>
      <c r="AP12" s="284">
        <v>13277355</v>
      </c>
      <c r="AQ12" s="284">
        <v>13277355</v>
      </c>
      <c r="AR12" s="284">
        <v>14314587</v>
      </c>
      <c r="AS12" s="284">
        <v>14314587</v>
      </c>
      <c r="AT12" s="284">
        <v>14314587</v>
      </c>
      <c r="AU12" s="284">
        <v>14314587</v>
      </c>
      <c r="AV12" s="284"/>
      <c r="AW12" s="304">
        <v>14314587</v>
      </c>
      <c r="AX12" s="304">
        <v>14314587</v>
      </c>
      <c r="AY12" s="304">
        <v>14314587</v>
      </c>
      <c r="AZ12" s="304">
        <v>14314587</v>
      </c>
      <c r="BA12" s="304">
        <v>14314587</v>
      </c>
      <c r="BB12" s="316">
        <v>14314587</v>
      </c>
      <c r="BC12" s="284">
        <v>34314587</v>
      </c>
      <c r="BD12" s="272">
        <v>34314587</v>
      </c>
      <c r="BE12" s="272">
        <v>34314587</v>
      </c>
      <c r="BF12" s="320">
        <v>34314587</v>
      </c>
      <c r="BG12" s="304">
        <v>34314587</v>
      </c>
      <c r="BH12" s="304">
        <v>34314587</v>
      </c>
      <c r="BI12" s="284">
        <v>94611870</v>
      </c>
      <c r="BJ12" s="284">
        <v>14314587</v>
      </c>
      <c r="BK12" s="272">
        <v>34314587</v>
      </c>
      <c r="BL12" s="364">
        <v>34264587</v>
      </c>
      <c r="BM12" s="364">
        <v>34264587</v>
      </c>
      <c r="BN12" s="364">
        <v>34264587</v>
      </c>
      <c r="BO12" s="325">
        <v>34264587</v>
      </c>
      <c r="BP12" s="364">
        <v>84264587</v>
      </c>
      <c r="BQ12" s="364">
        <v>84264587</v>
      </c>
      <c r="BR12" s="364">
        <v>84264587</v>
      </c>
      <c r="BS12" s="332">
        <v>84264587</v>
      </c>
      <c r="BT12" s="333">
        <v>84264587</v>
      </c>
      <c r="BU12" s="333">
        <v>84264587</v>
      </c>
      <c r="BV12" s="364"/>
      <c r="BW12" s="270">
        <v>64264587</v>
      </c>
      <c r="BX12" s="270">
        <v>64264587</v>
      </c>
      <c r="BY12" s="270">
        <v>64264587</v>
      </c>
      <c r="BZ12" s="270">
        <v>64264587</v>
      </c>
      <c r="CA12" s="270">
        <v>66264027</v>
      </c>
      <c r="CB12" s="270">
        <v>116264027</v>
      </c>
      <c r="CC12" s="270">
        <v>116264027</v>
      </c>
      <c r="CD12" s="270">
        <v>116940857</v>
      </c>
      <c r="CE12" s="270">
        <v>116940857</v>
      </c>
      <c r="CF12" s="270">
        <v>116940857</v>
      </c>
      <c r="CG12" s="270">
        <v>66940857</v>
      </c>
      <c r="CH12" s="285">
        <v>50000000</v>
      </c>
      <c r="CI12" s="270">
        <v>66940857</v>
      </c>
      <c r="CJ12" s="270">
        <v>46940857</v>
      </c>
      <c r="CK12" s="270">
        <v>46940857</v>
      </c>
      <c r="CL12" s="270"/>
      <c r="CM12" s="270"/>
      <c r="CV12" s="27"/>
      <c r="CW12" s="357">
        <v>0</v>
      </c>
      <c r="CX12" s="374">
        <v>0</v>
      </c>
      <c r="CY12" s="374">
        <v>0</v>
      </c>
      <c r="CZ12" s="357">
        <v>0</v>
      </c>
      <c r="DA12">
        <v>0</v>
      </c>
      <c r="DB12" s="356">
        <v>0</v>
      </c>
      <c r="DC12" s="356">
        <v>0</v>
      </c>
      <c r="DD12" s="356">
        <v>0</v>
      </c>
      <c r="DE12" s="450">
        <v>0</v>
      </c>
    </row>
    <row r="13" spans="1:109" ht="15">
      <c r="A13" s="217" t="s">
        <v>25</v>
      </c>
      <c r="B13" s="286">
        <v>3099100</v>
      </c>
      <c r="C13" s="292">
        <v>3153280</v>
      </c>
      <c r="D13" s="290">
        <v>3153280</v>
      </c>
      <c r="E13" s="293">
        <v>3187680</v>
      </c>
      <c r="F13" s="293">
        <v>3213000</v>
      </c>
      <c r="G13" s="277"/>
      <c r="H13" s="277"/>
      <c r="I13" s="277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304">
        <v>13272498</v>
      </c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304"/>
      <c r="AH13" s="304"/>
      <c r="AI13" s="277"/>
      <c r="AJ13" s="277"/>
      <c r="AK13" s="277"/>
      <c r="AL13" s="277"/>
      <c r="AM13" s="277"/>
      <c r="AN13" s="277"/>
      <c r="AO13" s="277"/>
      <c r="AP13" s="277"/>
      <c r="AQ13" s="277"/>
      <c r="AR13" s="277"/>
      <c r="AS13" s="277"/>
      <c r="AT13" s="277"/>
      <c r="AU13" s="277"/>
      <c r="AV13" s="277"/>
      <c r="AW13" s="277"/>
      <c r="AX13" s="277"/>
      <c r="AY13" s="277"/>
      <c r="AZ13" s="277"/>
      <c r="BA13" s="277"/>
      <c r="BB13" s="277"/>
      <c r="BC13" s="277"/>
      <c r="BD13" s="277"/>
      <c r="BE13" s="277"/>
      <c r="BF13" s="277"/>
      <c r="BG13" s="277"/>
      <c r="BH13" s="277"/>
      <c r="BI13" s="277"/>
      <c r="BJ13" s="277"/>
      <c r="BK13" s="277"/>
      <c r="BL13" s="277"/>
      <c r="BM13" s="277"/>
      <c r="BN13" s="277"/>
      <c r="BO13" s="277"/>
      <c r="BP13" s="277"/>
      <c r="BQ13" s="277"/>
      <c r="BR13" s="277"/>
      <c r="BS13" s="277"/>
      <c r="BT13" s="277"/>
      <c r="BU13" s="277"/>
      <c r="BV13" s="277">
        <v>11722912</v>
      </c>
      <c r="BW13" s="270"/>
      <c r="BX13" s="270"/>
      <c r="BY13" s="270"/>
      <c r="BZ13" s="270"/>
      <c r="CA13" s="270"/>
      <c r="CB13" s="270"/>
      <c r="CC13" s="270"/>
      <c r="CD13" s="270"/>
      <c r="CE13" s="270"/>
      <c r="CF13" s="270"/>
      <c r="CG13" s="270"/>
      <c r="CH13" s="284">
        <f>125044646-58103789-50000000</f>
        <v>16940857</v>
      </c>
      <c r="CI13" s="270"/>
      <c r="CJ13" s="270"/>
      <c r="CK13" s="270"/>
      <c r="CL13" s="270">
        <v>46940857</v>
      </c>
      <c r="CM13" s="270">
        <v>46940857</v>
      </c>
      <c r="CN13" s="355">
        <v>46940857</v>
      </c>
      <c r="CO13" s="355">
        <v>16940857</v>
      </c>
      <c r="CP13" s="355">
        <v>16940857</v>
      </c>
      <c r="CQ13" s="357">
        <v>16940857</v>
      </c>
      <c r="CR13" s="374">
        <v>16940857</v>
      </c>
      <c r="CS13" s="374">
        <v>16940857</v>
      </c>
      <c r="CT13" s="377">
        <v>16940857</v>
      </c>
      <c r="CU13" s="380">
        <f>73992051-CU22</f>
        <v>16940857</v>
      </c>
      <c r="CV13" s="380">
        <v>49524309</v>
      </c>
      <c r="CW13" s="357">
        <v>49524308.799999997</v>
      </c>
      <c r="CX13" s="374">
        <v>49524308.799999997</v>
      </c>
      <c r="CY13" s="374">
        <v>49524308.799999997</v>
      </c>
      <c r="CZ13" s="357">
        <v>49524308.799999997</v>
      </c>
      <c r="DA13" s="402">
        <v>49524308.799999997</v>
      </c>
      <c r="DB13" s="357">
        <v>49524308.799999997</v>
      </c>
      <c r="DC13" s="357">
        <v>49524308.799999997</v>
      </c>
      <c r="DD13" s="357">
        <v>49524308.799999997</v>
      </c>
      <c r="DE13" s="451">
        <v>49524308.799999997</v>
      </c>
    </row>
    <row r="14" spans="1:109" ht="15">
      <c r="A14" s="160" t="s">
        <v>26</v>
      </c>
      <c r="B14" s="211">
        <f>(B15-B16)</f>
        <v>49447375</v>
      </c>
      <c r="C14" s="211">
        <f t="shared" ref="C14:I14" si="21">(C15-C16)</f>
        <v>55470816</v>
      </c>
      <c r="D14" s="211">
        <f t="shared" si="21"/>
        <v>55516677</v>
      </c>
      <c r="E14" s="211">
        <f t="shared" si="21"/>
        <v>60516357</v>
      </c>
      <c r="F14" s="211">
        <f t="shared" si="21"/>
        <v>70473718</v>
      </c>
      <c r="G14" s="211">
        <f t="shared" si="21"/>
        <v>4079328.15</v>
      </c>
      <c r="H14" s="211">
        <f t="shared" si="21"/>
        <v>80748696</v>
      </c>
      <c r="I14" s="211">
        <f t="shared" si="21"/>
        <v>102052227</v>
      </c>
      <c r="J14" s="211">
        <f t="shared" ref="J14:U14" si="22">(J15-J16)</f>
        <v>91112652.299999997</v>
      </c>
      <c r="K14" s="211">
        <f t="shared" si="22"/>
        <v>96729530.280000001</v>
      </c>
      <c r="L14" s="211">
        <f t="shared" si="22"/>
        <v>102031431.2</v>
      </c>
      <c r="M14" s="211">
        <f t="shared" si="22"/>
        <v>105933890.8</v>
      </c>
      <c r="N14" s="211">
        <f t="shared" si="22"/>
        <v>109060502.98</v>
      </c>
      <c r="O14" s="211">
        <f t="shared" si="22"/>
        <v>58954684.300000004</v>
      </c>
      <c r="P14" s="211">
        <f t="shared" si="22"/>
        <v>128467060.13</v>
      </c>
      <c r="Q14" s="211">
        <f t="shared" si="22"/>
        <v>97364750.190000013</v>
      </c>
      <c r="R14" s="211">
        <f t="shared" si="22"/>
        <v>185676715.98000002</v>
      </c>
      <c r="S14" s="211">
        <f t="shared" si="22"/>
        <v>113477677.72999999</v>
      </c>
      <c r="T14" s="211">
        <f t="shared" si="22"/>
        <v>126532811.65000001</v>
      </c>
      <c r="U14" s="211">
        <f t="shared" si="22"/>
        <v>135152493.28</v>
      </c>
      <c r="V14" s="211">
        <f>(V15-V16)</f>
        <v>136550892</v>
      </c>
      <c r="W14" s="211">
        <f t="shared" ref="W14:AH14" si="23">(W15-W16)</f>
        <v>135812719.70000002</v>
      </c>
      <c r="X14" s="211">
        <f t="shared" si="23"/>
        <v>139970763.97</v>
      </c>
      <c r="Y14" s="211">
        <f t="shared" si="23"/>
        <v>140397795.63999999</v>
      </c>
      <c r="Z14" s="211">
        <f t="shared" si="23"/>
        <v>143275149.25</v>
      </c>
      <c r="AA14" s="211">
        <f t="shared" si="23"/>
        <v>144055364</v>
      </c>
      <c r="AB14" s="211">
        <f t="shared" si="23"/>
        <v>98891418</v>
      </c>
      <c r="AC14" s="211">
        <f t="shared" si="23"/>
        <v>130976296.84</v>
      </c>
      <c r="AD14" s="211">
        <f t="shared" si="23"/>
        <v>145496214</v>
      </c>
      <c r="AE14" s="211">
        <f t="shared" si="23"/>
        <v>153110456</v>
      </c>
      <c r="AF14" s="211">
        <f t="shared" si="23"/>
        <v>156996477</v>
      </c>
      <c r="AG14" s="211">
        <f t="shared" si="23"/>
        <v>158463247</v>
      </c>
      <c r="AH14" s="211">
        <f t="shared" si="23"/>
        <v>159871011.84999999</v>
      </c>
      <c r="AI14" s="211">
        <f>(AI15-AI16)</f>
        <v>159871011.84999999</v>
      </c>
      <c r="AJ14" s="211">
        <f t="shared" ref="AJ14:AU14" si="24">(AJ15-AJ16)</f>
        <v>159599264</v>
      </c>
      <c r="AK14" s="211">
        <f t="shared" si="24"/>
        <v>158895362.79999998</v>
      </c>
      <c r="AL14" s="211">
        <f t="shared" si="24"/>
        <v>157290932.29999998</v>
      </c>
      <c r="AM14" s="211">
        <f t="shared" si="24"/>
        <v>155536242.5</v>
      </c>
      <c r="AN14" s="211">
        <f t="shared" si="24"/>
        <v>96444158.799999997</v>
      </c>
      <c r="AO14" s="211">
        <f t="shared" si="24"/>
        <v>116007510.86000001</v>
      </c>
      <c r="AP14" s="211">
        <f t="shared" si="24"/>
        <v>143606502.50999999</v>
      </c>
      <c r="AQ14" s="211">
        <f t="shared" si="24"/>
        <v>152939008.07000002</v>
      </c>
      <c r="AR14" s="211">
        <f t="shared" si="24"/>
        <v>156990222.19</v>
      </c>
      <c r="AS14" s="211">
        <f t="shared" si="24"/>
        <v>160274937.16</v>
      </c>
      <c r="AT14" s="211">
        <f t="shared" si="24"/>
        <v>169559601.93000001</v>
      </c>
      <c r="AU14" s="211">
        <f t="shared" si="24"/>
        <v>163982457.45000002</v>
      </c>
      <c r="AV14" s="211">
        <f>(AV15-AV16)</f>
        <v>162982457</v>
      </c>
      <c r="AW14" s="211">
        <f t="shared" ref="AW14:BH14" si="25">(AW15-AW16)</f>
        <v>160303693.22</v>
      </c>
      <c r="AX14" s="211">
        <f t="shared" si="25"/>
        <v>159772109.94999999</v>
      </c>
      <c r="AY14" s="211">
        <f t="shared" si="25"/>
        <v>156687478.91</v>
      </c>
      <c r="AZ14" s="211">
        <f t="shared" si="25"/>
        <v>166280122.87</v>
      </c>
      <c r="BA14" s="211">
        <f t="shared" si="25"/>
        <v>102653204.89</v>
      </c>
      <c r="BB14" s="211">
        <f t="shared" si="25"/>
        <v>121451868.86000001</v>
      </c>
      <c r="BC14" s="211">
        <f t="shared" si="25"/>
        <v>142305997.64000002</v>
      </c>
      <c r="BD14" s="211">
        <f t="shared" si="25"/>
        <v>172810225.67000002</v>
      </c>
      <c r="BE14" s="211">
        <f t="shared" si="25"/>
        <v>178718205.60000002</v>
      </c>
      <c r="BF14" s="211">
        <f t="shared" si="25"/>
        <v>177931040.10250002</v>
      </c>
      <c r="BG14" s="211">
        <f t="shared" si="25"/>
        <v>187068914.52000001</v>
      </c>
      <c r="BH14" s="211">
        <f t="shared" si="25"/>
        <v>188098063.07999998</v>
      </c>
      <c r="BI14" s="211">
        <f>(BI15-BI16)</f>
        <v>188098064</v>
      </c>
      <c r="BJ14" s="211">
        <f t="shared" ref="BJ14:BU14" si="26">(BJ15-BJ16)</f>
        <v>191382952.40000001</v>
      </c>
      <c r="BK14" s="211">
        <f t="shared" si="26"/>
        <v>193198624.86000001</v>
      </c>
      <c r="BL14" s="211">
        <f t="shared" si="26"/>
        <v>200001849.13999999</v>
      </c>
      <c r="BM14" s="211">
        <f t="shared" si="26"/>
        <v>200977478.25</v>
      </c>
      <c r="BN14" s="211">
        <f t="shared" si="26"/>
        <v>200983549.59</v>
      </c>
      <c r="BO14" s="211">
        <f t="shared" si="26"/>
        <v>200182672.96000001</v>
      </c>
      <c r="BP14" s="211">
        <f t="shared" si="26"/>
        <v>184227350.61000001</v>
      </c>
      <c r="BQ14" s="211">
        <f t="shared" si="26"/>
        <v>192049570.88</v>
      </c>
      <c r="BR14" s="211">
        <f t="shared" si="26"/>
        <v>209412666.43000001</v>
      </c>
      <c r="BS14" s="211">
        <f t="shared" si="26"/>
        <v>223753711.34999999</v>
      </c>
      <c r="BT14" s="211">
        <f t="shared" si="26"/>
        <v>224338001.93000001</v>
      </c>
      <c r="BU14" s="211">
        <f t="shared" si="26"/>
        <v>228582680.84999999</v>
      </c>
      <c r="BV14" s="211">
        <f t="shared" ref="BV14:CH14" si="27">(BV15-BV16)</f>
        <v>228582682</v>
      </c>
      <c r="BW14" s="211">
        <f t="shared" si="27"/>
        <v>232924320.95000002</v>
      </c>
      <c r="BX14" s="211">
        <f t="shared" si="27"/>
        <v>230516757.22999999</v>
      </c>
      <c r="BY14" s="211">
        <f t="shared" si="27"/>
        <v>224649943.40000001</v>
      </c>
      <c r="BZ14" s="211">
        <f t="shared" si="27"/>
        <v>178558759.90000001</v>
      </c>
      <c r="CA14" s="211">
        <f t="shared" si="27"/>
        <v>191455023.21000001</v>
      </c>
      <c r="CB14" s="211">
        <f t="shared" si="27"/>
        <v>149203301.99000001</v>
      </c>
      <c r="CC14" s="211">
        <f t="shared" si="27"/>
        <v>206708015.41000003</v>
      </c>
      <c r="CD14" s="211">
        <f t="shared" si="27"/>
        <v>234626771.17000002</v>
      </c>
      <c r="CE14" s="211">
        <f t="shared" si="27"/>
        <v>265937200.21999997</v>
      </c>
      <c r="CF14" s="211">
        <f t="shared" si="27"/>
        <v>282531170.57999998</v>
      </c>
      <c r="CG14" s="211">
        <f t="shared" si="27"/>
        <v>292778123.86000001</v>
      </c>
      <c r="CH14" s="211">
        <f t="shared" si="27"/>
        <v>292778125</v>
      </c>
      <c r="CI14" s="211">
        <f t="shared" ref="CI14:CQ14" si="28">(CI15-CI16)</f>
        <v>301980446.51999998</v>
      </c>
      <c r="CJ14" s="211">
        <f t="shared" si="28"/>
        <v>294139406.69</v>
      </c>
      <c r="CK14" s="211">
        <f t="shared" si="28"/>
        <v>283524029.88</v>
      </c>
      <c r="CL14" s="211">
        <f t="shared" si="28"/>
        <v>270392637.96000004</v>
      </c>
      <c r="CM14" s="211">
        <f t="shared" si="28"/>
        <v>267338707.38000003</v>
      </c>
      <c r="CN14" s="211">
        <f t="shared" si="28"/>
        <v>269055805.19</v>
      </c>
      <c r="CO14" s="211">
        <f t="shared" si="28"/>
        <v>286983226.66999996</v>
      </c>
      <c r="CP14" s="211">
        <f t="shared" si="28"/>
        <v>290251191.54000002</v>
      </c>
      <c r="CQ14" s="211">
        <f t="shared" si="28"/>
        <v>287154040.60000002</v>
      </c>
      <c r="CR14" s="211">
        <f t="shared" ref="CR14:CU14" si="29">(CR15-CR16)</f>
        <v>190686831.82999998</v>
      </c>
      <c r="CS14" s="211">
        <f t="shared" si="29"/>
        <v>233778781.54000002</v>
      </c>
      <c r="CT14" s="211">
        <f t="shared" si="29"/>
        <v>234419617.50999999</v>
      </c>
      <c r="CU14" s="211">
        <f t="shared" si="29"/>
        <v>234419617</v>
      </c>
      <c r="CV14" s="211">
        <f t="shared" ref="CV14:DE14" si="30">(CV15-CV16)</f>
        <v>329941033</v>
      </c>
      <c r="CW14" s="211">
        <f t="shared" si="30"/>
        <v>340545084.48000002</v>
      </c>
      <c r="CX14" s="211">
        <f t="shared" si="30"/>
        <v>343443074.76000005</v>
      </c>
      <c r="CY14" s="211">
        <f t="shared" si="30"/>
        <v>340801770.30000001</v>
      </c>
      <c r="CZ14" s="211">
        <f t="shared" si="30"/>
        <v>331794589.19</v>
      </c>
      <c r="DA14" s="211">
        <f t="shared" si="30"/>
        <v>336001093.59000003</v>
      </c>
      <c r="DB14" s="211">
        <f t="shared" si="30"/>
        <v>328189850.13</v>
      </c>
      <c r="DC14" s="211">
        <f t="shared" si="30"/>
        <v>296025268.33000004</v>
      </c>
      <c r="DD14" s="211">
        <f t="shared" si="30"/>
        <v>334423721.64999998</v>
      </c>
      <c r="DE14" s="211">
        <f t="shared" si="30"/>
        <v>350067397.01999998</v>
      </c>
    </row>
    <row r="15" spans="1:109" ht="15">
      <c r="A15" s="161" t="s">
        <v>27</v>
      </c>
      <c r="B15" s="286">
        <v>53169220</v>
      </c>
      <c r="C15" s="287">
        <v>63674472</v>
      </c>
      <c r="D15" s="287">
        <v>72197161</v>
      </c>
      <c r="E15" s="288">
        <v>78490493</v>
      </c>
      <c r="F15" s="288">
        <v>79987012</v>
      </c>
      <c r="G15" s="288">
        <v>4079328.15</v>
      </c>
      <c r="H15" s="299">
        <v>80748696</v>
      </c>
      <c r="I15" s="302">
        <v>105659865</v>
      </c>
      <c r="J15" s="302">
        <v>92638072.379999995</v>
      </c>
      <c r="K15" s="302">
        <v>94271916.260000005</v>
      </c>
      <c r="L15" s="302">
        <v>97321100.090000004</v>
      </c>
      <c r="M15" s="304">
        <v>99708968.489999995</v>
      </c>
      <c r="N15" s="304">
        <v>100789586.23</v>
      </c>
      <c r="O15" s="304">
        <v>60774670.270000003</v>
      </c>
      <c r="P15" s="304">
        <v>86671810.299999997</v>
      </c>
      <c r="Q15" s="304">
        <v>100032379.26000001</v>
      </c>
      <c r="R15" s="306">
        <v>108111918.54000001</v>
      </c>
      <c r="S15" s="304">
        <v>116671583.59999999</v>
      </c>
      <c r="T15" s="304">
        <v>129871068.56</v>
      </c>
      <c r="U15" s="304">
        <v>138889089.56</v>
      </c>
      <c r="V15" s="304">
        <v>143895127</v>
      </c>
      <c r="W15" s="311">
        <v>141124292.62</v>
      </c>
      <c r="X15" s="311">
        <v>145038005</v>
      </c>
      <c r="Y15" s="311">
        <v>145426284</v>
      </c>
      <c r="Z15" s="311">
        <v>149365274.19</v>
      </c>
      <c r="AA15" s="311">
        <v>151757044</v>
      </c>
      <c r="AB15" s="311">
        <v>106119121</v>
      </c>
      <c r="AC15" s="311">
        <v>138925262.5</v>
      </c>
      <c r="AD15" s="311">
        <v>154196845</v>
      </c>
      <c r="AE15" s="311">
        <v>162998012</v>
      </c>
      <c r="AF15" s="311">
        <v>168301782</v>
      </c>
      <c r="AG15" s="311">
        <v>170676237</v>
      </c>
      <c r="AH15" s="311">
        <v>173376620</v>
      </c>
      <c r="AI15" s="311">
        <v>173376620</v>
      </c>
      <c r="AJ15" s="284">
        <v>174327576</v>
      </c>
      <c r="AK15" s="284">
        <v>174357302.16999999</v>
      </c>
      <c r="AL15" s="284">
        <v>173960322.69999999</v>
      </c>
      <c r="AM15" s="284">
        <v>173775699.97999999</v>
      </c>
      <c r="AN15" s="284">
        <v>112950823.8</v>
      </c>
      <c r="AO15" s="284">
        <v>134614544.30000001</v>
      </c>
      <c r="AP15" s="284">
        <v>163516588.90000001</v>
      </c>
      <c r="AQ15" s="284">
        <v>173475825.11000001</v>
      </c>
      <c r="AR15" s="284">
        <v>178144995.12</v>
      </c>
      <c r="AS15" s="284">
        <v>181816144.19999999</v>
      </c>
      <c r="AT15" s="284">
        <v>188196626.06999999</v>
      </c>
      <c r="AU15" s="284">
        <v>183432718.08000001</v>
      </c>
      <c r="AV15" s="284">
        <v>183432718</v>
      </c>
      <c r="AW15" s="304">
        <v>181083967.71000001</v>
      </c>
      <c r="AX15" s="304">
        <v>178913736.28999999</v>
      </c>
      <c r="AY15" s="304">
        <v>176665648.22</v>
      </c>
      <c r="AZ15" s="304">
        <v>186350013.77000001</v>
      </c>
      <c r="BA15" s="304">
        <v>121036475.31</v>
      </c>
      <c r="BB15" s="316">
        <v>141118588.90000001</v>
      </c>
      <c r="BC15" s="284">
        <v>163208179.21000001</v>
      </c>
      <c r="BD15" s="272">
        <v>194430699.65000001</v>
      </c>
      <c r="BE15" s="272">
        <v>201494852.33000001</v>
      </c>
      <c r="BF15" s="320">
        <v>201526586.79000002</v>
      </c>
      <c r="BG15" s="304">
        <v>212052979.25</v>
      </c>
      <c r="BH15" s="304">
        <v>215562131.16999999</v>
      </c>
      <c r="BI15" s="284">
        <v>215562132</v>
      </c>
      <c r="BJ15" s="284">
        <v>220363282.03</v>
      </c>
      <c r="BK15" s="272">
        <v>223403036.36000001</v>
      </c>
      <c r="BL15" s="364">
        <v>228570028.28</v>
      </c>
      <c r="BM15" s="364">
        <v>230086944.49000001</v>
      </c>
      <c r="BN15" s="364">
        <v>231500603.30000001</v>
      </c>
      <c r="BO15" s="325">
        <v>232577766.99000001</v>
      </c>
      <c r="BP15" s="364">
        <v>210439682.28</v>
      </c>
      <c r="BQ15" s="364">
        <v>221363209.88999999</v>
      </c>
      <c r="BR15" s="364">
        <v>239126797.84999999</v>
      </c>
      <c r="BS15" s="332">
        <v>254742655.65000001</v>
      </c>
      <c r="BT15" s="333">
        <v>258287051.27000001</v>
      </c>
      <c r="BU15" s="333">
        <v>257046187.72</v>
      </c>
      <c r="BV15" s="277">
        <v>257046189</v>
      </c>
      <c r="BW15" s="270">
        <v>261878775.49000001</v>
      </c>
      <c r="BX15" s="270">
        <v>265130205.59999999</v>
      </c>
      <c r="BY15" s="270">
        <v>260754783.96000001</v>
      </c>
      <c r="BZ15" s="270">
        <v>217483276.81</v>
      </c>
      <c r="CA15" s="270">
        <v>231650447.96000001</v>
      </c>
      <c r="CB15" s="270">
        <v>181504840.59999999</v>
      </c>
      <c r="CC15" s="270">
        <v>240225613.11000001</v>
      </c>
      <c r="CD15" s="270">
        <v>267602974.08000001</v>
      </c>
      <c r="CE15" s="270">
        <v>298277475.38999999</v>
      </c>
      <c r="CF15" s="270">
        <v>316872634.31999999</v>
      </c>
      <c r="CG15" s="270">
        <v>328184247.23000002</v>
      </c>
      <c r="CH15" s="284">
        <v>328184248</v>
      </c>
      <c r="CI15" s="270">
        <v>339734942.07999998</v>
      </c>
      <c r="CJ15" s="270">
        <v>335761096.83999997</v>
      </c>
      <c r="CK15" s="270">
        <v>326596807.31999999</v>
      </c>
      <c r="CL15" s="270">
        <v>313697541.97000003</v>
      </c>
      <c r="CM15" s="270">
        <v>314653277.60000002</v>
      </c>
      <c r="CN15" s="355">
        <v>320333753.24000001</v>
      </c>
      <c r="CO15" s="355">
        <v>341985297.88999999</v>
      </c>
      <c r="CP15" s="355">
        <v>352815601.86000001</v>
      </c>
      <c r="CQ15" s="355">
        <v>355045476.97000003</v>
      </c>
      <c r="CR15" s="372">
        <v>243317908.47</v>
      </c>
      <c r="CS15" s="372">
        <v>281825669.17000002</v>
      </c>
      <c r="CT15" s="377">
        <v>270836485.26999998</v>
      </c>
      <c r="CU15" s="380">
        <v>270836485</v>
      </c>
      <c r="CV15" s="380">
        <v>366357901</v>
      </c>
      <c r="CW15" s="355">
        <v>377873023.79000002</v>
      </c>
      <c r="CX15" s="372">
        <v>383344470.66000003</v>
      </c>
      <c r="CY15" s="372">
        <v>381768695.75</v>
      </c>
      <c r="CZ15" s="355">
        <v>375760553.12</v>
      </c>
      <c r="DA15" s="400">
        <v>386530495.56</v>
      </c>
      <c r="DB15" s="355">
        <v>378706791.18000001</v>
      </c>
      <c r="DC15" s="355">
        <v>330297717.91000003</v>
      </c>
      <c r="DD15" s="355">
        <v>372883599.75</v>
      </c>
      <c r="DE15" s="449">
        <v>391328588</v>
      </c>
    </row>
    <row r="16" spans="1:109" ht="15">
      <c r="A16" s="161" t="s">
        <v>28</v>
      </c>
      <c r="B16" s="286">
        <v>3721845</v>
      </c>
      <c r="C16" s="287">
        <v>8203656</v>
      </c>
      <c r="D16" s="287">
        <v>16680484</v>
      </c>
      <c r="E16" s="288">
        <v>17974136</v>
      </c>
      <c r="F16" s="288">
        <v>9513294</v>
      </c>
      <c r="G16" s="277"/>
      <c r="H16" s="277"/>
      <c r="I16" s="302">
        <v>3607638</v>
      </c>
      <c r="J16" s="302">
        <v>1525420.08</v>
      </c>
      <c r="K16" s="302">
        <v>-2457614.02</v>
      </c>
      <c r="L16" s="302">
        <v>-4710331.1100000003</v>
      </c>
      <c r="M16" s="304">
        <v>-6224922.3099999996</v>
      </c>
      <c r="N16" s="304">
        <v>-8270916.75</v>
      </c>
      <c r="O16" s="304">
        <v>1819985.97</v>
      </c>
      <c r="P16" s="304">
        <v>-41795249.829999998</v>
      </c>
      <c r="Q16" s="304">
        <v>2667629.0699999998</v>
      </c>
      <c r="R16" s="306">
        <v>-77564797.439999998</v>
      </c>
      <c r="S16" s="304">
        <v>3193905.87</v>
      </c>
      <c r="T16" s="304">
        <v>3338256.91</v>
      </c>
      <c r="U16" s="304">
        <v>3736596.28</v>
      </c>
      <c r="V16" s="304">
        <v>7344235</v>
      </c>
      <c r="W16" s="311">
        <v>5311572.92</v>
      </c>
      <c r="X16" s="311">
        <v>5067241.03</v>
      </c>
      <c r="Y16" s="311">
        <v>5028488.3600000003</v>
      </c>
      <c r="Z16" s="311">
        <v>6090124.9400000004</v>
      </c>
      <c r="AA16" s="311">
        <v>7701680</v>
      </c>
      <c r="AB16" s="311">
        <v>7227703</v>
      </c>
      <c r="AC16" s="311">
        <v>7948965.6600000001</v>
      </c>
      <c r="AD16" s="311">
        <v>8700631</v>
      </c>
      <c r="AE16" s="311">
        <v>9887556</v>
      </c>
      <c r="AF16" s="311">
        <v>11305305</v>
      </c>
      <c r="AG16" s="311">
        <v>12212990</v>
      </c>
      <c r="AH16" s="311">
        <v>13505608.15</v>
      </c>
      <c r="AI16" s="311">
        <v>13505608.15</v>
      </c>
      <c r="AJ16" s="284">
        <v>14728312</v>
      </c>
      <c r="AK16" s="284">
        <v>15461939.369999999</v>
      </c>
      <c r="AL16" s="284">
        <v>16669390.4</v>
      </c>
      <c r="AM16" s="284">
        <v>18239457.48</v>
      </c>
      <c r="AN16" s="284">
        <v>16506665</v>
      </c>
      <c r="AO16" s="284">
        <v>18607033.440000001</v>
      </c>
      <c r="AP16" s="284">
        <v>19910086.390000001</v>
      </c>
      <c r="AQ16" s="284">
        <v>20536817.039999999</v>
      </c>
      <c r="AR16" s="284">
        <v>21154772.93</v>
      </c>
      <c r="AS16" s="284">
        <v>21541207.039999999</v>
      </c>
      <c r="AT16" s="284">
        <v>18637024.140000001</v>
      </c>
      <c r="AU16" s="284">
        <v>19450260.629999999</v>
      </c>
      <c r="AV16" s="284">
        <v>20450261</v>
      </c>
      <c r="AW16" s="304">
        <v>20780274.489999998</v>
      </c>
      <c r="AX16" s="304">
        <v>19141626.34</v>
      </c>
      <c r="AY16" s="304">
        <v>19978169.309999999</v>
      </c>
      <c r="AZ16" s="304">
        <v>20069890.899999999</v>
      </c>
      <c r="BA16" s="304">
        <v>18383270.420000002</v>
      </c>
      <c r="BB16" s="316">
        <v>19666720.039999999</v>
      </c>
      <c r="BC16" s="284">
        <v>20902181.57</v>
      </c>
      <c r="BD16" s="272">
        <v>21620473.98</v>
      </c>
      <c r="BE16" s="272">
        <v>22776646.73</v>
      </c>
      <c r="BF16" s="320">
        <v>23595546.687500007</v>
      </c>
      <c r="BG16" s="304">
        <v>24984064.73</v>
      </c>
      <c r="BH16" s="304">
        <v>27464068.09</v>
      </c>
      <c r="BI16" s="284">
        <v>27464068</v>
      </c>
      <c r="BJ16" s="284">
        <v>28980329.629999999</v>
      </c>
      <c r="BK16" s="272">
        <v>30204411.5</v>
      </c>
      <c r="BL16" s="364">
        <v>28568179.140000001</v>
      </c>
      <c r="BM16" s="364">
        <v>29109466.239999998</v>
      </c>
      <c r="BN16" s="364">
        <v>30517053.710000001</v>
      </c>
      <c r="BO16" s="325">
        <v>32395094.030000001</v>
      </c>
      <c r="BP16" s="364">
        <v>26212331.670000002</v>
      </c>
      <c r="BQ16" s="364">
        <v>29313639.010000002</v>
      </c>
      <c r="BR16" s="364">
        <v>29714131.420000002</v>
      </c>
      <c r="BS16" s="332">
        <v>30988944.300000001</v>
      </c>
      <c r="BT16" s="333">
        <v>33949049.340000004</v>
      </c>
      <c r="BU16" s="333">
        <v>28463506.870000001</v>
      </c>
      <c r="BV16" s="277">
        <v>28463507</v>
      </c>
      <c r="BW16" s="270">
        <v>28954454.539999999</v>
      </c>
      <c r="BX16" s="270">
        <v>34613448.369999997</v>
      </c>
      <c r="BY16" s="270">
        <v>36104840.560000002</v>
      </c>
      <c r="BZ16" s="270">
        <v>38924516.909999996</v>
      </c>
      <c r="CA16" s="270">
        <v>40195424.75</v>
      </c>
      <c r="CB16" s="270">
        <v>32301538.609999999</v>
      </c>
      <c r="CC16" s="270">
        <v>33517597.699999999</v>
      </c>
      <c r="CD16" s="270">
        <v>32976202.91</v>
      </c>
      <c r="CE16" s="270">
        <v>32340275.170000002</v>
      </c>
      <c r="CF16" s="270">
        <v>34341463.740000002</v>
      </c>
      <c r="CG16" s="270">
        <v>35406123.369999997</v>
      </c>
      <c r="CH16" s="284">
        <v>35406123</v>
      </c>
      <c r="CI16" s="270">
        <v>37754495.560000002</v>
      </c>
      <c r="CJ16" s="270">
        <v>41621690.149999999</v>
      </c>
      <c r="CK16" s="270">
        <v>43072777.439999998</v>
      </c>
      <c r="CL16" s="270">
        <v>43304904.009999998</v>
      </c>
      <c r="CM16" s="270">
        <v>47314570.219999999</v>
      </c>
      <c r="CN16" s="357">
        <v>51277948.049999997</v>
      </c>
      <c r="CO16" s="357">
        <v>55002071.219999999</v>
      </c>
      <c r="CP16" s="357">
        <v>62564410.32</v>
      </c>
      <c r="CQ16" s="357">
        <v>67891436.370000005</v>
      </c>
      <c r="CR16" s="374">
        <v>52631076.640000001</v>
      </c>
      <c r="CS16" s="374">
        <v>48046887.630000003</v>
      </c>
      <c r="CT16" s="377">
        <v>36416867.759999998</v>
      </c>
      <c r="CU16" s="380">
        <v>36416868</v>
      </c>
      <c r="CV16" s="380">
        <v>36416868</v>
      </c>
      <c r="CW16" s="357">
        <v>37327939.310000002</v>
      </c>
      <c r="CX16" s="374">
        <v>39901395.899999999</v>
      </c>
      <c r="CY16" s="374">
        <v>40966925.450000003</v>
      </c>
      <c r="CZ16" s="357">
        <v>43965963.93</v>
      </c>
      <c r="DA16" s="402">
        <v>50529401.969999999</v>
      </c>
      <c r="DB16" s="357">
        <v>50516941.049999997</v>
      </c>
      <c r="DC16" s="357">
        <v>34272449.579999998</v>
      </c>
      <c r="DD16" s="357">
        <v>38459878.100000001</v>
      </c>
      <c r="DE16" s="451">
        <v>41261190.979999997</v>
      </c>
    </row>
    <row r="17" spans="1:109" ht="15">
      <c r="A17" s="160" t="s">
        <v>29</v>
      </c>
      <c r="B17" s="211">
        <f>(B18+B19+B20)</f>
        <v>0</v>
      </c>
      <c r="C17" s="211">
        <f t="shared" ref="C17:I17" si="31">(C18+C19+C20)</f>
        <v>0</v>
      </c>
      <c r="D17" s="211">
        <f t="shared" si="31"/>
        <v>0</v>
      </c>
      <c r="E17" s="211">
        <f t="shared" si="31"/>
        <v>0</v>
      </c>
      <c r="F17" s="211">
        <f t="shared" si="31"/>
        <v>0</v>
      </c>
      <c r="G17" s="211">
        <f t="shared" si="31"/>
        <v>0</v>
      </c>
      <c r="H17" s="211">
        <f t="shared" si="31"/>
        <v>0</v>
      </c>
      <c r="I17" s="211">
        <f t="shared" si="31"/>
        <v>0</v>
      </c>
      <c r="J17" s="211">
        <f t="shared" ref="J17:U17" si="32">(J18+J19+J20)</f>
        <v>0</v>
      </c>
      <c r="K17" s="211">
        <f t="shared" si="32"/>
        <v>0</v>
      </c>
      <c r="L17" s="211">
        <f t="shared" si="32"/>
        <v>0</v>
      </c>
      <c r="M17" s="211">
        <f t="shared" si="32"/>
        <v>0</v>
      </c>
      <c r="N17" s="211">
        <f t="shared" si="32"/>
        <v>0</v>
      </c>
      <c r="O17" s="211">
        <f t="shared" si="32"/>
        <v>0</v>
      </c>
      <c r="P17" s="211">
        <f t="shared" si="32"/>
        <v>0</v>
      </c>
      <c r="Q17" s="211">
        <f t="shared" si="32"/>
        <v>0</v>
      </c>
      <c r="R17" s="211">
        <f t="shared" si="32"/>
        <v>0</v>
      </c>
      <c r="S17" s="211">
        <f t="shared" si="32"/>
        <v>0</v>
      </c>
      <c r="T17" s="211">
        <f t="shared" si="32"/>
        <v>0</v>
      </c>
      <c r="U17" s="211">
        <f t="shared" si="32"/>
        <v>0</v>
      </c>
      <c r="V17" s="211">
        <f>(V18+V19+V20)</f>
        <v>0</v>
      </c>
      <c r="W17" s="211">
        <f t="shared" ref="W17:AH17" si="33">(W18+W19+W20)</f>
        <v>0</v>
      </c>
      <c r="X17" s="211">
        <f t="shared" si="33"/>
        <v>0</v>
      </c>
      <c r="Y17" s="211">
        <f t="shared" si="33"/>
        <v>0</v>
      </c>
      <c r="Z17" s="211">
        <f t="shared" si="33"/>
        <v>0</v>
      </c>
      <c r="AA17" s="211">
        <f t="shared" si="33"/>
        <v>0</v>
      </c>
      <c r="AB17" s="211">
        <f t="shared" si="33"/>
        <v>0</v>
      </c>
      <c r="AC17" s="211">
        <f t="shared" si="33"/>
        <v>0</v>
      </c>
      <c r="AD17" s="211">
        <f t="shared" si="33"/>
        <v>0</v>
      </c>
      <c r="AE17" s="211">
        <f t="shared" si="33"/>
        <v>0</v>
      </c>
      <c r="AF17" s="211">
        <f t="shared" si="33"/>
        <v>0</v>
      </c>
      <c r="AG17" s="211">
        <f t="shared" si="33"/>
        <v>0</v>
      </c>
      <c r="AH17" s="211">
        <f t="shared" si="33"/>
        <v>0</v>
      </c>
      <c r="AI17" s="211">
        <f>(AI18+AI19+AI20)</f>
        <v>0</v>
      </c>
      <c r="AJ17" s="211">
        <f t="shared" ref="AJ17:AU17" si="34">(AJ18+AJ19+AJ20)</f>
        <v>0</v>
      </c>
      <c r="AK17" s="211">
        <f t="shared" si="34"/>
        <v>0</v>
      </c>
      <c r="AL17" s="211">
        <f t="shared" si="34"/>
        <v>0</v>
      </c>
      <c r="AM17" s="211">
        <f t="shared" si="34"/>
        <v>0</v>
      </c>
      <c r="AN17" s="211">
        <f t="shared" si="34"/>
        <v>0</v>
      </c>
      <c r="AO17" s="211">
        <f t="shared" si="34"/>
        <v>0</v>
      </c>
      <c r="AP17" s="211">
        <f t="shared" si="34"/>
        <v>0</v>
      </c>
      <c r="AQ17" s="211">
        <f t="shared" si="34"/>
        <v>0</v>
      </c>
      <c r="AR17" s="211">
        <f t="shared" si="34"/>
        <v>0</v>
      </c>
      <c r="AS17" s="211">
        <f t="shared" si="34"/>
        <v>0</v>
      </c>
      <c r="AT17" s="211">
        <f t="shared" si="34"/>
        <v>0</v>
      </c>
      <c r="AU17" s="211">
        <f t="shared" si="34"/>
        <v>0</v>
      </c>
      <c r="AV17" s="211">
        <f>(AV18+AV19+AV20)</f>
        <v>0</v>
      </c>
      <c r="AW17" s="211">
        <f t="shared" ref="AW17:BH17" si="35">(AW18+AW19+AW20)</f>
        <v>0</v>
      </c>
      <c r="AX17" s="211">
        <f t="shared" si="35"/>
        <v>0</v>
      </c>
      <c r="AY17" s="211">
        <f t="shared" si="35"/>
        <v>0</v>
      </c>
      <c r="AZ17" s="211">
        <f t="shared" si="35"/>
        <v>0</v>
      </c>
      <c r="BA17" s="211">
        <f t="shared" si="35"/>
        <v>0</v>
      </c>
      <c r="BB17" s="211">
        <f t="shared" si="35"/>
        <v>0</v>
      </c>
      <c r="BC17" s="211">
        <f t="shared" si="35"/>
        <v>0</v>
      </c>
      <c r="BD17" s="211">
        <f t="shared" si="35"/>
        <v>0</v>
      </c>
      <c r="BE17" s="211">
        <f t="shared" si="35"/>
        <v>0</v>
      </c>
      <c r="BF17" s="211">
        <f t="shared" si="35"/>
        <v>0</v>
      </c>
      <c r="BG17" s="211">
        <f t="shared" si="35"/>
        <v>0</v>
      </c>
      <c r="BH17" s="211">
        <f t="shared" si="35"/>
        <v>0</v>
      </c>
      <c r="BI17" s="211">
        <f>(BI18+BI19+BI20)</f>
        <v>0</v>
      </c>
      <c r="BJ17" s="211">
        <f t="shared" ref="BJ17:BU17" si="36">(BJ18+BJ19+BJ20)</f>
        <v>0</v>
      </c>
      <c r="BK17" s="211">
        <f t="shared" si="36"/>
        <v>0</v>
      </c>
      <c r="BL17" s="211">
        <f t="shared" si="36"/>
        <v>0</v>
      </c>
      <c r="BM17" s="211">
        <f t="shared" si="36"/>
        <v>0</v>
      </c>
      <c r="BN17" s="211">
        <f t="shared" si="36"/>
        <v>0</v>
      </c>
      <c r="BO17" s="211">
        <f t="shared" si="36"/>
        <v>0</v>
      </c>
      <c r="BP17" s="211">
        <f t="shared" si="36"/>
        <v>0</v>
      </c>
      <c r="BQ17" s="211">
        <f t="shared" si="36"/>
        <v>0</v>
      </c>
      <c r="BR17" s="211">
        <f t="shared" si="36"/>
        <v>0</v>
      </c>
      <c r="BS17" s="211">
        <f t="shared" si="36"/>
        <v>0</v>
      </c>
      <c r="BT17" s="211">
        <f t="shared" si="36"/>
        <v>0</v>
      </c>
      <c r="BU17" s="211">
        <f t="shared" si="36"/>
        <v>0</v>
      </c>
      <c r="BV17" s="211">
        <f t="shared" ref="BV17:CH17" si="37">(BV18+BV19+BV20)</f>
        <v>0</v>
      </c>
      <c r="BW17" s="211">
        <f t="shared" si="37"/>
        <v>0</v>
      </c>
      <c r="BX17" s="211">
        <f t="shared" si="37"/>
        <v>0</v>
      </c>
      <c r="BY17" s="211">
        <f t="shared" si="37"/>
        <v>0</v>
      </c>
      <c r="BZ17" s="211">
        <f t="shared" si="37"/>
        <v>0</v>
      </c>
      <c r="CA17" s="211">
        <f t="shared" si="37"/>
        <v>0</v>
      </c>
      <c r="CB17" s="211">
        <f t="shared" si="37"/>
        <v>0</v>
      </c>
      <c r="CC17" s="211">
        <f t="shared" si="37"/>
        <v>0</v>
      </c>
      <c r="CD17" s="211">
        <f t="shared" si="37"/>
        <v>0</v>
      </c>
      <c r="CE17" s="211">
        <f t="shared" si="37"/>
        <v>0</v>
      </c>
      <c r="CF17" s="211">
        <f t="shared" si="37"/>
        <v>0</v>
      </c>
      <c r="CG17" s="211">
        <f t="shared" si="37"/>
        <v>0</v>
      </c>
      <c r="CH17" s="211">
        <f t="shared" si="37"/>
        <v>0</v>
      </c>
      <c r="CI17" s="211">
        <f t="shared" ref="CI17:CQ17" si="38">(CI18+CI19+CI20)</f>
        <v>0</v>
      </c>
      <c r="CJ17" s="211">
        <f t="shared" si="38"/>
        <v>0</v>
      </c>
      <c r="CK17" s="211">
        <f t="shared" si="38"/>
        <v>0</v>
      </c>
      <c r="CL17" s="211">
        <f t="shared" si="38"/>
        <v>0</v>
      </c>
      <c r="CM17" s="211">
        <f t="shared" si="38"/>
        <v>0</v>
      </c>
      <c r="CN17" s="211">
        <f t="shared" si="38"/>
        <v>0</v>
      </c>
      <c r="CO17" s="211">
        <f t="shared" si="38"/>
        <v>0</v>
      </c>
      <c r="CP17" s="211">
        <f t="shared" si="38"/>
        <v>0</v>
      </c>
      <c r="CQ17" s="211">
        <f t="shared" si="38"/>
        <v>0</v>
      </c>
      <c r="CR17" s="211">
        <f t="shared" ref="CR17:CU17" si="39">(CR18+CR19+CR20)</f>
        <v>0</v>
      </c>
      <c r="CS17" s="211">
        <f t="shared" si="39"/>
        <v>0</v>
      </c>
      <c r="CT17" s="211">
        <f t="shared" si="39"/>
        <v>0</v>
      </c>
      <c r="CU17" s="211">
        <f t="shared" si="39"/>
        <v>0</v>
      </c>
      <c r="CV17" s="211">
        <f t="shared" ref="CV17:DE17" si="40">(CV18+CV19+CV20)</f>
        <v>0</v>
      </c>
      <c r="CW17" s="211">
        <f t="shared" si="40"/>
        <v>0</v>
      </c>
      <c r="CX17" s="211">
        <f t="shared" si="40"/>
        <v>0</v>
      </c>
      <c r="CY17" s="211">
        <f t="shared" si="40"/>
        <v>0</v>
      </c>
      <c r="CZ17" s="211">
        <f t="shared" si="40"/>
        <v>0</v>
      </c>
      <c r="DA17" s="211">
        <f t="shared" si="40"/>
        <v>0</v>
      </c>
      <c r="DB17" s="211">
        <f t="shared" si="40"/>
        <v>0</v>
      </c>
      <c r="DC17" s="211">
        <f t="shared" si="40"/>
        <v>0</v>
      </c>
      <c r="DD17" s="211">
        <f t="shared" si="40"/>
        <v>0</v>
      </c>
      <c r="DE17" s="211">
        <f t="shared" si="40"/>
        <v>0</v>
      </c>
    </row>
    <row r="18" spans="1:109" ht="15">
      <c r="A18" s="161" t="s">
        <v>30</v>
      </c>
      <c r="B18" s="364"/>
      <c r="C18" s="364"/>
      <c r="D18" s="364"/>
      <c r="E18" s="364"/>
      <c r="F18" s="364"/>
      <c r="G18" s="364"/>
      <c r="H18" s="364"/>
      <c r="I18" s="364"/>
      <c r="J18" s="302">
        <v>0</v>
      </c>
      <c r="K18" s="302">
        <v>0</v>
      </c>
      <c r="L18" s="302">
        <v>0</v>
      </c>
      <c r="M18" s="304">
        <v>0</v>
      </c>
      <c r="N18" s="304">
        <v>0</v>
      </c>
      <c r="O18" s="304">
        <v>0</v>
      </c>
      <c r="P18" s="304">
        <v>0</v>
      </c>
      <c r="Q18" s="304">
        <v>0</v>
      </c>
      <c r="R18" s="306">
        <v>0</v>
      </c>
      <c r="S18" s="304">
        <v>0</v>
      </c>
      <c r="T18" s="304">
        <v>0</v>
      </c>
      <c r="U18" s="304">
        <v>0</v>
      </c>
      <c r="V18" s="364"/>
      <c r="W18" s="311">
        <v>0</v>
      </c>
      <c r="X18" s="311">
        <v>0</v>
      </c>
      <c r="Y18" s="311">
        <v>0</v>
      </c>
      <c r="Z18" s="311">
        <v>0</v>
      </c>
      <c r="AA18" s="311">
        <v>0</v>
      </c>
      <c r="AB18" s="311">
        <v>0</v>
      </c>
      <c r="AC18" s="311">
        <v>0</v>
      </c>
      <c r="AD18" s="313">
        <v>0</v>
      </c>
      <c r="AE18" s="313">
        <v>0</v>
      </c>
      <c r="AF18" s="313">
        <v>0</v>
      </c>
      <c r="AG18" s="313">
        <v>0</v>
      </c>
      <c r="AH18" s="313">
        <v>0</v>
      </c>
      <c r="AI18" s="311">
        <v>0</v>
      </c>
      <c r="AJ18" s="284">
        <v>0</v>
      </c>
      <c r="AK18" s="284">
        <v>0</v>
      </c>
      <c r="AL18" s="284">
        <v>0</v>
      </c>
      <c r="AM18" s="284">
        <v>0</v>
      </c>
      <c r="AN18" s="284">
        <v>0</v>
      </c>
      <c r="AO18" s="284">
        <v>0</v>
      </c>
      <c r="AP18" s="278">
        <v>0</v>
      </c>
      <c r="AQ18" s="278">
        <v>0</v>
      </c>
      <c r="AR18" s="278">
        <v>0</v>
      </c>
      <c r="AS18" s="278">
        <v>0</v>
      </c>
      <c r="AT18" s="278">
        <v>0</v>
      </c>
      <c r="AU18" s="278">
        <v>0</v>
      </c>
      <c r="AV18" s="278">
        <v>0</v>
      </c>
      <c r="AW18" s="304">
        <v>0</v>
      </c>
      <c r="AX18" s="304">
        <v>0</v>
      </c>
      <c r="AY18" s="304">
        <v>0</v>
      </c>
      <c r="AZ18" s="304">
        <v>0</v>
      </c>
      <c r="BA18" s="304">
        <v>0</v>
      </c>
      <c r="BB18" s="304">
        <v>0</v>
      </c>
      <c r="BC18" s="284">
        <v>0</v>
      </c>
      <c r="BD18" s="272">
        <v>0</v>
      </c>
      <c r="BE18" s="272">
        <v>0</v>
      </c>
      <c r="BF18" s="321">
        <v>0</v>
      </c>
      <c r="BG18" s="304">
        <v>0</v>
      </c>
      <c r="BH18" s="304">
        <v>0</v>
      </c>
      <c r="BI18" s="364"/>
      <c r="BJ18" s="284">
        <v>0</v>
      </c>
      <c r="BK18" s="272">
        <v>0</v>
      </c>
      <c r="BL18" s="364">
        <v>0</v>
      </c>
      <c r="BM18" s="364">
        <v>0</v>
      </c>
      <c r="BN18" s="364">
        <v>0</v>
      </c>
      <c r="BO18" s="327">
        <v>0</v>
      </c>
      <c r="BP18" s="364">
        <v>0</v>
      </c>
      <c r="BQ18" s="364">
        <v>0</v>
      </c>
      <c r="BR18" s="364">
        <v>0</v>
      </c>
      <c r="BS18" s="332">
        <v>0</v>
      </c>
      <c r="BT18" s="333">
        <v>0</v>
      </c>
      <c r="BU18" s="333">
        <v>0</v>
      </c>
      <c r="BV18" s="364"/>
      <c r="BW18" s="270">
        <v>0</v>
      </c>
      <c r="BX18" s="270">
        <v>0</v>
      </c>
      <c r="BY18" s="270">
        <v>0</v>
      </c>
      <c r="BZ18" s="270">
        <v>0</v>
      </c>
      <c r="CA18" s="270">
        <v>0</v>
      </c>
      <c r="CB18" s="270">
        <v>0</v>
      </c>
      <c r="CC18" s="270">
        <v>0</v>
      </c>
      <c r="CD18" s="270">
        <v>0</v>
      </c>
      <c r="CE18" s="270">
        <v>0</v>
      </c>
      <c r="CF18" s="270">
        <v>0</v>
      </c>
      <c r="CG18" s="270">
        <v>0</v>
      </c>
      <c r="CH18" s="270"/>
      <c r="CI18" s="270">
        <v>0</v>
      </c>
      <c r="CJ18" s="270">
        <v>0</v>
      </c>
      <c r="CK18" s="270">
        <v>0</v>
      </c>
      <c r="CL18" s="270">
        <v>0</v>
      </c>
      <c r="CM18" s="270">
        <v>0</v>
      </c>
      <c r="CN18" s="354">
        <v>0</v>
      </c>
      <c r="CO18" s="354">
        <v>0</v>
      </c>
      <c r="CP18" s="354">
        <v>0</v>
      </c>
      <c r="CQ18" s="354"/>
      <c r="CR18" s="354"/>
      <c r="CS18" s="354"/>
      <c r="CT18" s="354"/>
      <c r="CU18" s="381"/>
      <c r="CV18" s="381"/>
      <c r="CW18" s="354">
        <v>0</v>
      </c>
      <c r="CX18" s="371">
        <v>0</v>
      </c>
      <c r="CY18" s="371">
        <v>0</v>
      </c>
      <c r="CZ18" s="354">
        <v>0</v>
      </c>
      <c r="DA18" s="399">
        <v>0</v>
      </c>
      <c r="DB18" s="354">
        <v>0</v>
      </c>
      <c r="DC18" s="354">
        <v>0</v>
      </c>
      <c r="DD18" s="354">
        <v>0</v>
      </c>
      <c r="DE18" s="448">
        <v>0</v>
      </c>
    </row>
    <row r="19" spans="1:109" ht="15">
      <c r="A19" s="161" t="s">
        <v>31</v>
      </c>
      <c r="B19" s="364"/>
      <c r="C19" s="364"/>
      <c r="D19" s="364"/>
      <c r="E19" s="364"/>
      <c r="F19" s="364"/>
      <c r="G19" s="364"/>
      <c r="H19" s="364"/>
      <c r="I19" s="364"/>
      <c r="J19" s="302">
        <v>0</v>
      </c>
      <c r="K19" s="302">
        <v>0</v>
      </c>
      <c r="L19" s="302">
        <v>0</v>
      </c>
      <c r="M19" s="304">
        <v>0</v>
      </c>
      <c r="N19" s="304">
        <v>0</v>
      </c>
      <c r="O19" s="304">
        <v>0</v>
      </c>
      <c r="P19" s="304">
        <v>0</v>
      </c>
      <c r="Q19" s="304">
        <v>0</v>
      </c>
      <c r="R19" s="306">
        <v>0</v>
      </c>
      <c r="S19" s="304">
        <v>0</v>
      </c>
      <c r="T19" s="304">
        <v>0</v>
      </c>
      <c r="U19" s="304">
        <v>0</v>
      </c>
      <c r="V19" s="364"/>
      <c r="W19" s="311">
        <v>0</v>
      </c>
      <c r="X19" s="311">
        <v>0</v>
      </c>
      <c r="Y19" s="311">
        <v>0</v>
      </c>
      <c r="Z19" s="311">
        <v>0</v>
      </c>
      <c r="AA19" s="311">
        <v>0</v>
      </c>
      <c r="AB19" s="311">
        <v>0</v>
      </c>
      <c r="AC19" s="311">
        <v>0</v>
      </c>
      <c r="AD19" s="311">
        <v>0</v>
      </c>
      <c r="AE19" s="311">
        <v>0</v>
      </c>
      <c r="AF19" s="311">
        <v>0</v>
      </c>
      <c r="AG19" s="311">
        <v>0</v>
      </c>
      <c r="AH19" s="311">
        <v>0</v>
      </c>
      <c r="AI19" s="311">
        <v>0</v>
      </c>
      <c r="AJ19" s="284">
        <v>0</v>
      </c>
      <c r="AK19" s="284">
        <v>0</v>
      </c>
      <c r="AL19" s="284">
        <v>0</v>
      </c>
      <c r="AM19" s="284">
        <v>0</v>
      </c>
      <c r="AN19" s="284">
        <v>0</v>
      </c>
      <c r="AO19" s="284">
        <v>0</v>
      </c>
      <c r="AP19" s="278">
        <v>0</v>
      </c>
      <c r="AQ19" s="278">
        <v>0</v>
      </c>
      <c r="AR19" s="278">
        <v>0</v>
      </c>
      <c r="AS19" s="278">
        <v>0</v>
      </c>
      <c r="AT19" s="278">
        <v>0</v>
      </c>
      <c r="AU19" s="278">
        <v>0</v>
      </c>
      <c r="AV19" s="278">
        <v>0</v>
      </c>
      <c r="AW19" s="304">
        <v>0</v>
      </c>
      <c r="AX19" s="304">
        <v>0</v>
      </c>
      <c r="AY19" s="304">
        <v>0</v>
      </c>
      <c r="AZ19" s="304">
        <v>0</v>
      </c>
      <c r="BA19" s="304">
        <v>0</v>
      </c>
      <c r="BB19" s="304">
        <v>0</v>
      </c>
      <c r="BC19" s="284">
        <v>0</v>
      </c>
      <c r="BD19" s="272">
        <v>0</v>
      </c>
      <c r="BE19" s="272">
        <v>0</v>
      </c>
      <c r="BF19" s="321">
        <v>0</v>
      </c>
      <c r="BG19" s="304">
        <v>0</v>
      </c>
      <c r="BH19" s="304">
        <v>0</v>
      </c>
      <c r="BI19" s="364"/>
      <c r="BJ19" s="284">
        <v>0</v>
      </c>
      <c r="BK19" s="272">
        <v>0</v>
      </c>
      <c r="BL19" s="364">
        <v>0</v>
      </c>
      <c r="BM19" s="364">
        <v>0</v>
      </c>
      <c r="BN19" s="364">
        <v>0</v>
      </c>
      <c r="BO19" s="327">
        <v>0</v>
      </c>
      <c r="BP19" s="364">
        <v>0</v>
      </c>
      <c r="BQ19" s="364">
        <v>0</v>
      </c>
      <c r="BR19" s="364">
        <v>0</v>
      </c>
      <c r="BS19" s="332">
        <v>0</v>
      </c>
      <c r="BT19" s="333">
        <v>0</v>
      </c>
      <c r="BU19" s="333">
        <v>0</v>
      </c>
      <c r="BV19" s="364"/>
      <c r="BW19" s="270">
        <v>0</v>
      </c>
      <c r="BX19" s="270">
        <v>0</v>
      </c>
      <c r="BY19" s="270">
        <v>0</v>
      </c>
      <c r="BZ19" s="270">
        <v>0</v>
      </c>
      <c r="CA19" s="270">
        <v>0</v>
      </c>
      <c r="CB19" s="270">
        <v>0</v>
      </c>
      <c r="CC19" s="270">
        <v>0</v>
      </c>
      <c r="CD19" s="270">
        <v>0</v>
      </c>
      <c r="CE19" s="270">
        <v>0</v>
      </c>
      <c r="CF19" s="270">
        <v>0</v>
      </c>
      <c r="CG19" s="270">
        <v>0</v>
      </c>
      <c r="CH19" s="364"/>
      <c r="CI19" s="270">
        <v>0</v>
      </c>
      <c r="CJ19" s="270">
        <v>0</v>
      </c>
      <c r="CK19" s="270">
        <v>0</v>
      </c>
      <c r="CL19" s="270">
        <v>0</v>
      </c>
      <c r="CM19" s="270">
        <v>0</v>
      </c>
      <c r="CN19" s="356">
        <v>0</v>
      </c>
      <c r="CO19" s="356">
        <v>0</v>
      </c>
      <c r="CP19" s="356">
        <v>0</v>
      </c>
      <c r="CQ19" s="356"/>
      <c r="CR19" s="356"/>
      <c r="CS19" s="356"/>
      <c r="CT19" s="356"/>
      <c r="CU19" s="382"/>
      <c r="CV19" s="382"/>
      <c r="CW19" s="356">
        <v>0</v>
      </c>
      <c r="CX19" s="373">
        <v>0</v>
      </c>
      <c r="CY19" s="373">
        <v>0</v>
      </c>
      <c r="CZ19" s="356">
        <v>0</v>
      </c>
      <c r="DA19" s="401">
        <v>0</v>
      </c>
      <c r="DB19" s="356">
        <v>0</v>
      </c>
      <c r="DC19" s="356">
        <v>0</v>
      </c>
      <c r="DD19" s="356">
        <v>0</v>
      </c>
      <c r="DE19" s="450">
        <v>0</v>
      </c>
    </row>
    <row r="20" spans="1:109" ht="15">
      <c r="A20" s="161" t="s">
        <v>32</v>
      </c>
      <c r="B20" s="364"/>
      <c r="C20" s="364"/>
      <c r="D20" s="364"/>
      <c r="E20" s="364"/>
      <c r="F20" s="364"/>
      <c r="G20" s="364"/>
      <c r="H20" s="364"/>
      <c r="I20" s="364"/>
      <c r="J20" s="302">
        <v>0</v>
      </c>
      <c r="K20" s="302">
        <v>0</v>
      </c>
      <c r="L20" s="302">
        <v>0</v>
      </c>
      <c r="M20" s="304">
        <v>0</v>
      </c>
      <c r="N20" s="304">
        <v>0</v>
      </c>
      <c r="O20" s="304">
        <v>0</v>
      </c>
      <c r="P20" s="304">
        <v>0</v>
      </c>
      <c r="Q20" s="304">
        <v>0</v>
      </c>
      <c r="R20" s="306">
        <v>0</v>
      </c>
      <c r="S20" s="304">
        <v>0</v>
      </c>
      <c r="T20" s="304">
        <v>0</v>
      </c>
      <c r="U20" s="304">
        <v>0</v>
      </c>
      <c r="V20" s="364"/>
      <c r="W20" s="311">
        <v>0</v>
      </c>
      <c r="X20" s="311">
        <v>0</v>
      </c>
      <c r="Y20" s="311">
        <v>0</v>
      </c>
      <c r="Z20" s="311">
        <v>0</v>
      </c>
      <c r="AA20" s="311">
        <v>0</v>
      </c>
      <c r="AB20" s="311">
        <v>0</v>
      </c>
      <c r="AC20" s="311">
        <v>0</v>
      </c>
      <c r="AD20" s="311">
        <v>0</v>
      </c>
      <c r="AE20" s="311">
        <v>0</v>
      </c>
      <c r="AF20" s="311">
        <v>0</v>
      </c>
      <c r="AG20" s="311">
        <v>0</v>
      </c>
      <c r="AH20" s="311">
        <v>0</v>
      </c>
      <c r="AI20" s="311">
        <v>0</v>
      </c>
      <c r="AJ20" s="284">
        <v>0</v>
      </c>
      <c r="AK20" s="284">
        <v>0</v>
      </c>
      <c r="AL20" s="284">
        <v>0</v>
      </c>
      <c r="AM20" s="284">
        <v>0</v>
      </c>
      <c r="AN20" s="284">
        <v>0</v>
      </c>
      <c r="AO20" s="284">
        <v>0</v>
      </c>
      <c r="AP20" s="278">
        <v>0</v>
      </c>
      <c r="AQ20" s="278">
        <v>0</v>
      </c>
      <c r="AR20" s="278">
        <v>0</v>
      </c>
      <c r="AS20" s="278">
        <v>0</v>
      </c>
      <c r="AT20" s="278">
        <v>0</v>
      </c>
      <c r="AU20" s="278">
        <v>0</v>
      </c>
      <c r="AV20" s="278">
        <v>0</v>
      </c>
      <c r="AW20" s="304">
        <v>0</v>
      </c>
      <c r="AX20" s="304">
        <v>0</v>
      </c>
      <c r="AY20" s="304">
        <v>0</v>
      </c>
      <c r="AZ20" s="304">
        <v>0</v>
      </c>
      <c r="BA20" s="304">
        <v>0</v>
      </c>
      <c r="BB20" s="304">
        <v>0</v>
      </c>
      <c r="BC20" s="284">
        <v>0</v>
      </c>
      <c r="BD20" s="272">
        <v>0</v>
      </c>
      <c r="BE20" s="272">
        <v>0</v>
      </c>
      <c r="BF20" s="321">
        <v>0</v>
      </c>
      <c r="BG20" s="304">
        <v>0</v>
      </c>
      <c r="BH20" s="304">
        <v>0</v>
      </c>
      <c r="BI20" s="364"/>
      <c r="BJ20" s="284">
        <v>0</v>
      </c>
      <c r="BK20" s="272">
        <v>0</v>
      </c>
      <c r="BL20" s="364">
        <v>0</v>
      </c>
      <c r="BM20" s="364">
        <v>0</v>
      </c>
      <c r="BN20" s="364">
        <v>0</v>
      </c>
      <c r="BO20" s="327">
        <v>0</v>
      </c>
      <c r="BP20" s="364">
        <v>0</v>
      </c>
      <c r="BQ20" s="364">
        <v>0</v>
      </c>
      <c r="BR20" s="364">
        <v>0</v>
      </c>
      <c r="BS20" s="332">
        <v>0</v>
      </c>
      <c r="BT20" s="333">
        <v>0</v>
      </c>
      <c r="BU20" s="333">
        <v>0</v>
      </c>
      <c r="BV20" s="364"/>
      <c r="BW20" s="270">
        <v>0</v>
      </c>
      <c r="BX20" s="270">
        <v>0</v>
      </c>
      <c r="BY20" s="270">
        <v>0</v>
      </c>
      <c r="BZ20" s="270">
        <v>0</v>
      </c>
      <c r="CA20" s="270">
        <v>0</v>
      </c>
      <c r="CB20" s="270">
        <v>0</v>
      </c>
      <c r="CC20" s="270">
        <v>0</v>
      </c>
      <c r="CD20" s="270">
        <v>0</v>
      </c>
      <c r="CE20" s="270">
        <v>0</v>
      </c>
      <c r="CF20" s="270">
        <v>0</v>
      </c>
      <c r="CG20" s="270">
        <v>0</v>
      </c>
      <c r="CH20" s="270"/>
      <c r="CI20" s="270">
        <v>0</v>
      </c>
      <c r="CJ20" s="270">
        <v>0</v>
      </c>
      <c r="CK20" s="270">
        <v>0</v>
      </c>
      <c r="CL20" s="270">
        <v>0</v>
      </c>
      <c r="CM20" s="270">
        <v>0</v>
      </c>
      <c r="CN20" s="356">
        <v>0</v>
      </c>
      <c r="CO20" s="356">
        <v>0</v>
      </c>
      <c r="CP20" s="356">
        <v>0</v>
      </c>
      <c r="CQ20" s="356"/>
      <c r="CR20" s="356"/>
      <c r="CS20" s="356"/>
      <c r="CT20" s="356"/>
      <c r="CU20" s="382"/>
      <c r="CV20" s="382"/>
      <c r="CW20" s="356">
        <v>0</v>
      </c>
      <c r="CX20" s="373">
        <v>0</v>
      </c>
      <c r="CY20" s="373">
        <v>0</v>
      </c>
      <c r="CZ20" s="356">
        <v>0</v>
      </c>
      <c r="DA20" s="401">
        <v>0</v>
      </c>
      <c r="DB20" s="356">
        <v>0</v>
      </c>
      <c r="DC20" s="356">
        <v>0</v>
      </c>
      <c r="DD20" s="356">
        <v>0</v>
      </c>
      <c r="DE20" s="450">
        <v>0</v>
      </c>
    </row>
    <row r="21" spans="1:109" ht="15">
      <c r="A21" s="160" t="s">
        <v>33</v>
      </c>
      <c r="B21" s="211">
        <f>(B22+B23+B24+B25+B26)</f>
        <v>39181612</v>
      </c>
      <c r="C21" s="211">
        <f t="shared" ref="C21:I21" si="41">(C22+C23+C24+C25+C26)</f>
        <v>38465275</v>
      </c>
      <c r="D21" s="211">
        <f t="shared" si="41"/>
        <v>37319422</v>
      </c>
      <c r="E21" s="211">
        <f t="shared" si="41"/>
        <v>36083711</v>
      </c>
      <c r="F21" s="211">
        <f t="shared" si="41"/>
        <v>35187188.079999998</v>
      </c>
      <c r="G21" s="211">
        <f t="shared" si="41"/>
        <v>34119363.709999993</v>
      </c>
      <c r="H21" s="211">
        <f t="shared" si="41"/>
        <v>35001409</v>
      </c>
      <c r="I21" s="211">
        <f t="shared" si="41"/>
        <v>68742772</v>
      </c>
      <c r="J21" s="211">
        <f t="shared" ref="J21:U21" si="42">(J22+J23+J24+J25+J26)</f>
        <v>101231157.98999999</v>
      </c>
      <c r="K21" s="211">
        <f t="shared" si="42"/>
        <v>100715111.8</v>
      </c>
      <c r="L21" s="211">
        <f t="shared" si="42"/>
        <v>95169753.560000002</v>
      </c>
      <c r="M21" s="211">
        <f t="shared" si="42"/>
        <v>94686904.960000008</v>
      </c>
      <c r="N21" s="211">
        <f t="shared" si="42"/>
        <v>94371597.269999996</v>
      </c>
      <c r="O21" s="211">
        <f t="shared" si="42"/>
        <v>112031842.89</v>
      </c>
      <c r="P21" s="211">
        <f t="shared" si="42"/>
        <v>73360705.689999998</v>
      </c>
      <c r="Q21" s="211">
        <f t="shared" si="42"/>
        <v>88158161.819999993</v>
      </c>
      <c r="R21" s="211">
        <f t="shared" si="42"/>
        <v>72899256.470000014</v>
      </c>
      <c r="S21" s="211">
        <f t="shared" si="42"/>
        <v>77306731.700000003</v>
      </c>
      <c r="T21" s="211">
        <f t="shared" si="42"/>
        <v>93214163.590000004</v>
      </c>
      <c r="U21" s="211">
        <f t="shared" si="42"/>
        <v>66765492.880000003</v>
      </c>
      <c r="V21" s="211">
        <f>(V22+V23+V24+V25+V26)</f>
        <v>67369720</v>
      </c>
      <c r="W21" s="211">
        <f t="shared" ref="W21:AH21" si="43">(W22+W23+W24+W25+W26)</f>
        <v>66867554.420000002</v>
      </c>
      <c r="X21" s="211">
        <f t="shared" si="43"/>
        <v>66694618.229999997</v>
      </c>
      <c r="Y21" s="211">
        <f t="shared" si="43"/>
        <v>66551962</v>
      </c>
      <c r="Z21" s="211">
        <f t="shared" si="43"/>
        <v>70151026.120000005</v>
      </c>
      <c r="AA21" s="211">
        <f t="shared" si="43"/>
        <v>66539090</v>
      </c>
      <c r="AB21" s="211">
        <f t="shared" si="43"/>
        <v>67061386</v>
      </c>
      <c r="AC21" s="211">
        <f t="shared" si="43"/>
        <v>66968858.740000002</v>
      </c>
      <c r="AD21" s="211">
        <f t="shared" si="43"/>
        <v>66589310</v>
      </c>
      <c r="AE21" s="211">
        <f t="shared" si="43"/>
        <v>67135670</v>
      </c>
      <c r="AF21" s="211">
        <f t="shared" si="43"/>
        <v>66744795</v>
      </c>
      <c r="AG21" s="211">
        <f t="shared" si="43"/>
        <v>68815077.689999998</v>
      </c>
      <c r="AH21" s="211">
        <f t="shared" si="43"/>
        <v>66246472.240000002</v>
      </c>
      <c r="AI21" s="211">
        <f>(AI22+AI23+AI24+AI25+AI26)</f>
        <v>66824051</v>
      </c>
      <c r="AJ21" s="211">
        <f t="shared" ref="AJ21:AU21" si="44">(AJ22+AJ23+AJ24+AJ25+AJ26)</f>
        <v>66482495.030000009</v>
      </c>
      <c r="AK21" s="211">
        <f t="shared" si="44"/>
        <v>66267530.93</v>
      </c>
      <c r="AL21" s="211">
        <f t="shared" si="44"/>
        <v>66079504</v>
      </c>
      <c r="AM21" s="211">
        <f t="shared" si="44"/>
        <v>66175711.93</v>
      </c>
      <c r="AN21" s="211">
        <f t="shared" si="44"/>
        <v>65966582.380000003</v>
      </c>
      <c r="AO21" s="211">
        <f t="shared" si="44"/>
        <v>65775927.68</v>
      </c>
      <c r="AP21" s="211">
        <f t="shared" si="44"/>
        <v>69589967.609999999</v>
      </c>
      <c r="AQ21" s="211">
        <f t="shared" si="44"/>
        <v>70044310.950000003</v>
      </c>
      <c r="AR21" s="211">
        <f t="shared" si="44"/>
        <v>69749967.939999998</v>
      </c>
      <c r="AS21" s="211">
        <f t="shared" si="44"/>
        <v>69241881.840000004</v>
      </c>
      <c r="AT21" s="211">
        <f t="shared" si="44"/>
        <v>69224195.739999995</v>
      </c>
      <c r="AU21" s="211">
        <f t="shared" si="44"/>
        <v>69302548.060000002</v>
      </c>
      <c r="AV21" s="211">
        <f>(AV22+AV23+AV24+AV25+AV26)</f>
        <v>66782225</v>
      </c>
      <c r="AW21" s="211">
        <f t="shared" ref="AW21:BH21" si="45">(AW22+AW23+AW24+AW25+AW26)</f>
        <v>69026664.429999992</v>
      </c>
      <c r="AX21" s="211">
        <f t="shared" si="45"/>
        <v>68769248.659999996</v>
      </c>
      <c r="AY21" s="211">
        <f t="shared" si="45"/>
        <v>68496369.409999996</v>
      </c>
      <c r="AZ21" s="211">
        <f t="shared" si="45"/>
        <v>69078843.450000003</v>
      </c>
      <c r="BA21" s="211">
        <f t="shared" si="45"/>
        <v>69370019.859999999</v>
      </c>
      <c r="BB21" s="211">
        <f t="shared" si="45"/>
        <v>69254429.510000005</v>
      </c>
      <c r="BC21" s="211">
        <f t="shared" si="45"/>
        <v>69846406.310000002</v>
      </c>
      <c r="BD21" s="211">
        <f t="shared" si="45"/>
        <v>69833489.11999999</v>
      </c>
      <c r="BE21" s="211">
        <f t="shared" si="45"/>
        <v>69563760.239999995</v>
      </c>
      <c r="BF21" s="211">
        <f t="shared" si="45"/>
        <v>69740720.010000005</v>
      </c>
      <c r="BG21" s="211">
        <f t="shared" si="45"/>
        <v>69573444</v>
      </c>
      <c r="BH21" s="211">
        <f t="shared" si="45"/>
        <v>67889472.450000003</v>
      </c>
      <c r="BI21" s="211">
        <f>(BI22+BI23+BI24+BI25+BI26)</f>
        <v>7776938</v>
      </c>
      <c r="BJ21" s="211">
        <f t="shared" ref="BJ21:BU21" si="46">(BJ22+BJ23+BJ24+BJ25+BJ26)</f>
        <v>68012111.679999992</v>
      </c>
      <c r="BK21" s="211">
        <f t="shared" si="46"/>
        <v>67867231.709999993</v>
      </c>
      <c r="BL21" s="211">
        <f t="shared" si="46"/>
        <v>67599855.989999995</v>
      </c>
      <c r="BM21" s="211">
        <f t="shared" si="46"/>
        <v>67387599.480000004</v>
      </c>
      <c r="BN21" s="211">
        <f t="shared" si="46"/>
        <v>67524330.040000007</v>
      </c>
      <c r="BO21" s="211">
        <f t="shared" si="46"/>
        <v>67069793.530000001</v>
      </c>
      <c r="BP21" s="211">
        <f t="shared" si="46"/>
        <v>66812337.370000005</v>
      </c>
      <c r="BQ21" s="211">
        <f t="shared" si="46"/>
        <v>66682151.909999996</v>
      </c>
      <c r="BR21" s="211">
        <f t="shared" si="46"/>
        <v>69920761.680000007</v>
      </c>
      <c r="BS21" s="211">
        <f t="shared" si="46"/>
        <v>69845971.180000007</v>
      </c>
      <c r="BT21" s="211">
        <f t="shared" si="46"/>
        <v>69591434.510000005</v>
      </c>
      <c r="BU21" s="211">
        <f t="shared" si="46"/>
        <v>68596436.030000001</v>
      </c>
      <c r="BV21" s="211">
        <f t="shared" ref="BV21:CH21" si="47">(BV22+BV23+BV24+BV25+BV26)</f>
        <v>153422341</v>
      </c>
      <c r="BW21" s="211">
        <f t="shared" si="47"/>
        <v>68628259.299999997</v>
      </c>
      <c r="BX21" s="211">
        <f t="shared" si="47"/>
        <v>68978244.459999993</v>
      </c>
      <c r="BY21" s="211">
        <f t="shared" si="47"/>
        <v>68747952.099999994</v>
      </c>
      <c r="BZ21" s="211">
        <f t="shared" si="47"/>
        <v>68471563.450000003</v>
      </c>
      <c r="CA21" s="211">
        <f t="shared" si="47"/>
        <v>68392299.930000007</v>
      </c>
      <c r="CB21" s="211">
        <f t="shared" si="47"/>
        <v>68393108.719999999</v>
      </c>
      <c r="CC21" s="211">
        <f t="shared" si="47"/>
        <v>67849224.079999998</v>
      </c>
      <c r="CD21" s="211">
        <f t="shared" si="47"/>
        <v>67664307.670000002</v>
      </c>
      <c r="CE21" s="211">
        <f t="shared" si="47"/>
        <v>67360488.969999999</v>
      </c>
      <c r="CF21" s="211">
        <f t="shared" si="47"/>
        <v>67056788.490000002</v>
      </c>
      <c r="CG21" s="211">
        <f t="shared" si="47"/>
        <v>65648318.68</v>
      </c>
      <c r="CH21" s="211">
        <f t="shared" si="47"/>
        <v>66010181</v>
      </c>
      <c r="CI21" s="211">
        <f t="shared" ref="CI21:CQ21" si="48">(CI22+CI23+CI24+CI25+CI26)</f>
        <v>65407999.82</v>
      </c>
      <c r="CJ21" s="211">
        <f t="shared" si="48"/>
        <v>65170437.960000001</v>
      </c>
      <c r="CK21" s="211">
        <f t="shared" si="48"/>
        <v>64927381.350000001</v>
      </c>
      <c r="CL21" s="211">
        <f t="shared" si="48"/>
        <v>64684327.619999997</v>
      </c>
      <c r="CM21" s="211">
        <f t="shared" si="48"/>
        <v>64581795.259999998</v>
      </c>
      <c r="CN21" s="211">
        <f t="shared" si="48"/>
        <v>64391425.130000003</v>
      </c>
      <c r="CO21" s="211">
        <f t="shared" si="48"/>
        <v>64154093.150000006</v>
      </c>
      <c r="CP21" s="211">
        <f t="shared" si="48"/>
        <v>64082261.899999999</v>
      </c>
      <c r="CQ21" s="211">
        <f t="shared" si="48"/>
        <v>63834064.729999997</v>
      </c>
      <c r="CR21" s="211">
        <f t="shared" ref="CR21:DE21" si="49">(CR22+CR23+CR24+CR25+CR26)</f>
        <v>63593004.25</v>
      </c>
      <c r="CS21" s="211">
        <f t="shared" si="49"/>
        <v>63507767.990000002</v>
      </c>
      <c r="CT21" s="211">
        <f t="shared" si="49"/>
        <v>63254717.600000001</v>
      </c>
      <c r="CU21" s="211">
        <f t="shared" si="49"/>
        <v>63563555</v>
      </c>
      <c r="CV21" s="211">
        <f t="shared" si="49"/>
        <v>75532019</v>
      </c>
      <c r="CW21" s="211">
        <f t="shared" si="49"/>
        <v>74828212.680000007</v>
      </c>
      <c r="CX21" s="211">
        <f t="shared" si="49"/>
        <v>74543655.980000004</v>
      </c>
      <c r="CY21" s="211">
        <f t="shared" si="49"/>
        <v>74256930.579999998</v>
      </c>
      <c r="CZ21" s="211">
        <f t="shared" si="49"/>
        <v>73977085.230000004</v>
      </c>
      <c r="DA21" s="211">
        <f t="shared" si="49"/>
        <v>73735867.680000007</v>
      </c>
      <c r="DB21" s="211">
        <f t="shared" si="49"/>
        <v>73596634.260000005</v>
      </c>
      <c r="DC21" s="211">
        <f t="shared" si="49"/>
        <v>73362102.289999992</v>
      </c>
      <c r="DD21" s="211">
        <f t="shared" si="49"/>
        <v>72934377.060000002</v>
      </c>
      <c r="DE21" s="211">
        <f t="shared" si="49"/>
        <v>72733533.040000007</v>
      </c>
    </row>
    <row r="22" spans="1:109" ht="15">
      <c r="A22" s="161" t="s">
        <v>34</v>
      </c>
      <c r="B22" s="277"/>
      <c r="C22" s="277"/>
      <c r="D22" s="277"/>
      <c r="E22" s="277"/>
      <c r="F22" s="277"/>
      <c r="G22" s="277"/>
      <c r="H22" s="277"/>
      <c r="I22" s="302"/>
      <c r="J22" s="302">
        <v>0</v>
      </c>
      <c r="K22" s="302">
        <v>0</v>
      </c>
      <c r="L22" s="302">
        <v>0</v>
      </c>
      <c r="M22" s="304">
        <v>0</v>
      </c>
      <c r="N22" s="304">
        <v>0</v>
      </c>
      <c r="O22" s="304">
        <v>0</v>
      </c>
      <c r="P22" s="304">
        <v>0</v>
      </c>
      <c r="Q22" s="304">
        <v>0</v>
      </c>
      <c r="R22" s="306">
        <v>0</v>
      </c>
      <c r="S22" s="304">
        <v>0</v>
      </c>
      <c r="T22" s="304">
        <v>0</v>
      </c>
      <c r="U22" s="304">
        <v>0</v>
      </c>
      <c r="V22" s="304"/>
      <c r="W22" s="311">
        <v>0</v>
      </c>
      <c r="X22" s="311">
        <v>0</v>
      </c>
      <c r="Y22" s="311">
        <v>0</v>
      </c>
      <c r="Z22" s="311">
        <v>0</v>
      </c>
      <c r="AA22" s="311">
        <v>0</v>
      </c>
      <c r="AB22" s="311">
        <v>0</v>
      </c>
      <c r="AC22" s="311">
        <v>0</v>
      </c>
      <c r="AD22" s="311">
        <v>0</v>
      </c>
      <c r="AE22" s="311">
        <v>0</v>
      </c>
      <c r="AF22" s="311">
        <v>0</v>
      </c>
      <c r="AG22" s="311">
        <v>0</v>
      </c>
      <c r="AH22" s="311">
        <v>0</v>
      </c>
      <c r="AI22" s="311">
        <v>0</v>
      </c>
      <c r="AJ22" s="284">
        <v>0</v>
      </c>
      <c r="AK22" s="284">
        <v>0</v>
      </c>
      <c r="AL22" s="284">
        <v>0</v>
      </c>
      <c r="AM22" s="284">
        <v>0</v>
      </c>
      <c r="AN22" s="284">
        <v>0</v>
      </c>
      <c r="AO22" s="284">
        <v>0</v>
      </c>
      <c r="AP22" s="278">
        <v>0</v>
      </c>
      <c r="AQ22" s="278"/>
      <c r="AR22" s="278">
        <v>0</v>
      </c>
      <c r="AS22" s="278">
        <v>0</v>
      </c>
      <c r="AT22" s="278">
        <v>0</v>
      </c>
      <c r="AU22" s="278">
        <v>60556766.43</v>
      </c>
      <c r="AV22" s="278"/>
      <c r="AW22" s="304">
        <v>60463939.829999998</v>
      </c>
      <c r="AX22" s="304">
        <v>60371113.229999997</v>
      </c>
      <c r="AY22" s="304">
        <v>60278286.630000003</v>
      </c>
      <c r="AZ22" s="304">
        <v>60605767.060000002</v>
      </c>
      <c r="BA22" s="304">
        <v>61045314.969999999</v>
      </c>
      <c r="BB22" s="316">
        <v>61096684.120000005</v>
      </c>
      <c r="BC22" s="284">
        <v>60992722.329999998</v>
      </c>
      <c r="BD22" s="272">
        <v>60898054.259999998</v>
      </c>
      <c r="BE22" s="272">
        <v>60803386.189999998</v>
      </c>
      <c r="BF22" s="320">
        <v>60708718.120000005</v>
      </c>
      <c r="BG22" s="304">
        <v>60614050.049999997</v>
      </c>
      <c r="BH22" s="304">
        <v>60297283.25</v>
      </c>
      <c r="BI22" s="284"/>
      <c r="BJ22" s="284">
        <v>60204994.479999997</v>
      </c>
      <c r="BK22" s="272">
        <v>60112493.590000004</v>
      </c>
      <c r="BL22" s="364">
        <v>59994288.210000001</v>
      </c>
      <c r="BM22" s="364">
        <v>59902468.240000002</v>
      </c>
      <c r="BN22" s="364">
        <v>59810894.140000001</v>
      </c>
      <c r="BO22" s="325">
        <v>59719510.82</v>
      </c>
      <c r="BP22" s="364">
        <v>59628317.880000003</v>
      </c>
      <c r="BQ22" s="364">
        <v>59537314.93</v>
      </c>
      <c r="BR22" s="364">
        <v>59446501.57</v>
      </c>
      <c r="BS22" s="332">
        <v>59461027.340000004</v>
      </c>
      <c r="BT22" s="333">
        <v>59370352.850000001</v>
      </c>
      <c r="BU22" s="333">
        <v>59442985.219999999</v>
      </c>
      <c r="BV22" s="277">
        <v>143707572</v>
      </c>
      <c r="BW22" s="270">
        <v>59628201.979999997</v>
      </c>
      <c r="BX22" s="270">
        <v>60172154.240000002</v>
      </c>
      <c r="BY22" s="270">
        <v>60080018.299999997</v>
      </c>
      <c r="BZ22" s="270">
        <v>59988099.810000002</v>
      </c>
      <c r="CA22" s="270">
        <v>59896347.5</v>
      </c>
      <c r="CB22" s="270">
        <v>59803338.75</v>
      </c>
      <c r="CC22" s="270">
        <v>59617167.210000001</v>
      </c>
      <c r="CD22" s="270">
        <v>59523741.130000003</v>
      </c>
      <c r="CE22" s="270">
        <v>59431334.090000004</v>
      </c>
      <c r="CF22" s="270">
        <v>59338900.520000003</v>
      </c>
      <c r="CG22" s="270">
        <v>58103788.640000001</v>
      </c>
      <c r="CH22" s="284">
        <v>58103789</v>
      </c>
      <c r="CI22" s="270">
        <v>58016072.420000002</v>
      </c>
      <c r="CJ22" s="270">
        <v>57928538.920000002</v>
      </c>
      <c r="CK22" s="270">
        <v>57840639.960000001</v>
      </c>
      <c r="CL22" s="270">
        <v>57752923.729999997</v>
      </c>
      <c r="CM22" s="270">
        <v>57665207.509999998</v>
      </c>
      <c r="CN22" s="355">
        <v>57577491.270000003</v>
      </c>
      <c r="CO22" s="355">
        <v>57489775.030000001</v>
      </c>
      <c r="CP22" s="355">
        <v>57402058.829999998</v>
      </c>
      <c r="CQ22" s="355">
        <v>57314342.609999999</v>
      </c>
      <c r="CR22" s="372">
        <v>57226626.390000001</v>
      </c>
      <c r="CS22" s="372">
        <v>57138900.170000002</v>
      </c>
      <c r="CT22" s="377">
        <v>57051193.920000002</v>
      </c>
      <c r="CU22" s="380">
        <v>57051194</v>
      </c>
      <c r="CV22" s="380">
        <v>56024914</v>
      </c>
      <c r="CW22" s="355">
        <v>55941528.380000003</v>
      </c>
      <c r="CX22" s="372">
        <v>55858143.140000001</v>
      </c>
      <c r="CY22" s="372">
        <v>55774757.909999996</v>
      </c>
      <c r="CZ22" s="355">
        <v>55691372.68</v>
      </c>
      <c r="DA22" s="400">
        <v>55607987.450000003</v>
      </c>
      <c r="DB22" s="355">
        <v>55524601.200000003</v>
      </c>
      <c r="DC22" s="355">
        <v>55441215.960000001</v>
      </c>
      <c r="DD22" s="355">
        <v>55357813</v>
      </c>
      <c r="DE22" s="449">
        <v>55274427.780000001</v>
      </c>
    </row>
    <row r="23" spans="1:109" ht="15">
      <c r="A23" s="161" t="s">
        <v>35</v>
      </c>
      <c r="B23" s="286">
        <v>38899150</v>
      </c>
      <c r="C23" s="287">
        <v>38222790</v>
      </c>
      <c r="D23" s="287">
        <v>37083833</v>
      </c>
      <c r="E23" s="288">
        <v>35801719</v>
      </c>
      <c r="F23" s="288">
        <v>34764877.079999998</v>
      </c>
      <c r="G23" s="288">
        <v>33634898.909999996</v>
      </c>
      <c r="H23" s="299">
        <v>34529467</v>
      </c>
      <c r="I23" s="302">
        <v>68602755</v>
      </c>
      <c r="J23" s="302">
        <v>81820805.159999996</v>
      </c>
      <c r="K23" s="302">
        <v>81626202.879999995</v>
      </c>
      <c r="L23" s="302">
        <v>81434967.659999996</v>
      </c>
      <c r="M23" s="304">
        <v>81275546.790000007</v>
      </c>
      <c r="N23" s="304">
        <v>81127540.239999995</v>
      </c>
      <c r="O23" s="304">
        <v>80947851.579999998</v>
      </c>
      <c r="P23" s="304">
        <v>66139055.43</v>
      </c>
      <c r="Q23" s="304">
        <v>66005430.759999998</v>
      </c>
      <c r="R23" s="306">
        <v>65942097.950000003</v>
      </c>
      <c r="S23" s="304">
        <v>66502906.310000002</v>
      </c>
      <c r="T23" s="304">
        <v>65853324.399999999</v>
      </c>
      <c r="U23" s="304">
        <v>65688133</v>
      </c>
      <c r="V23" s="304">
        <v>67183766</v>
      </c>
      <c r="W23" s="311">
        <v>65821597.640000001</v>
      </c>
      <c r="X23" s="311">
        <v>65674810.369999997</v>
      </c>
      <c r="Y23" s="311">
        <v>66551962</v>
      </c>
      <c r="Z23" s="311">
        <v>66368219.700000003</v>
      </c>
      <c r="AA23" s="311">
        <v>66332668</v>
      </c>
      <c r="AB23" s="311">
        <v>66868520</v>
      </c>
      <c r="AC23" s="311">
        <v>66752158.740000002</v>
      </c>
      <c r="AD23" s="311">
        <v>66589310</v>
      </c>
      <c r="AE23" s="311">
        <v>67135670</v>
      </c>
      <c r="AF23" s="311">
        <v>66744795</v>
      </c>
      <c r="AG23" s="311">
        <v>68815077.689999998</v>
      </c>
      <c r="AH23" s="311">
        <v>65420012.140000001</v>
      </c>
      <c r="AI23" s="311">
        <f>66635551-AI25</f>
        <v>65997590.600000001</v>
      </c>
      <c r="AJ23" s="284">
        <v>65691619.340000004</v>
      </c>
      <c r="AK23" s="284">
        <v>65661070.240000002</v>
      </c>
      <c r="AL23" s="284">
        <v>65488205</v>
      </c>
      <c r="AM23" s="284">
        <v>65599196.240000002</v>
      </c>
      <c r="AN23" s="284">
        <v>65405868.390000001</v>
      </c>
      <c r="AO23" s="284">
        <v>65230121.890000001</v>
      </c>
      <c r="AP23" s="284">
        <v>65600456.439999998</v>
      </c>
      <c r="AQ23" s="284">
        <v>65190740.090000004</v>
      </c>
      <c r="AR23" s="284">
        <v>65017736.350000001</v>
      </c>
      <c r="AS23" s="284">
        <v>64662690.490000002</v>
      </c>
      <c r="AT23" s="284">
        <v>64724749.719999999</v>
      </c>
      <c r="AU23" s="284">
        <v>4434899.8899999997</v>
      </c>
      <c r="AV23" s="284">
        <f>66635364-637961</f>
        <v>65997403</v>
      </c>
      <c r="AW23" s="304">
        <v>4358754.83</v>
      </c>
      <c r="AX23" s="304">
        <v>4301478.01</v>
      </c>
      <c r="AY23" s="304">
        <v>4228706.1900000004</v>
      </c>
      <c r="AZ23" s="304">
        <v>4590950.04</v>
      </c>
      <c r="BA23" s="304">
        <v>4549799.08</v>
      </c>
      <c r="BB23" s="316">
        <v>4490022.1600000011</v>
      </c>
      <c r="BC23" s="284">
        <v>4767228.33</v>
      </c>
      <c r="BD23" s="272">
        <v>4969646.79</v>
      </c>
      <c r="BE23" s="272">
        <v>4901768.5599999996</v>
      </c>
      <c r="BF23" s="320">
        <v>5280578.9800000004</v>
      </c>
      <c r="BG23" s="304">
        <v>5279015.25</v>
      </c>
      <c r="BH23" s="304">
        <v>4626937.91</v>
      </c>
      <c r="BI23" s="284">
        <v>7592189</v>
      </c>
      <c r="BJ23" s="284">
        <v>4906334.42</v>
      </c>
      <c r="BK23" s="272">
        <v>4936595.16</v>
      </c>
      <c r="BL23" s="364">
        <v>4857251.26</v>
      </c>
      <c r="BM23" s="364">
        <v>4809192.53</v>
      </c>
      <c r="BN23" s="364">
        <v>5067601.99</v>
      </c>
      <c r="BO23" s="325">
        <v>4771818.0499999989</v>
      </c>
      <c r="BP23" s="364">
        <v>4671285.47</v>
      </c>
      <c r="BQ23" s="364">
        <v>4695247.6399999997</v>
      </c>
      <c r="BR23" s="364">
        <v>8044766.8499999996</v>
      </c>
      <c r="BS23" s="332">
        <v>8019247.5</v>
      </c>
      <c r="BT23" s="333">
        <v>7914948.3200000003</v>
      </c>
      <c r="BU23" s="333">
        <v>7020122.9100000001</v>
      </c>
      <c r="BV23" s="277">
        <v>9153451</v>
      </c>
      <c r="BW23" s="270">
        <v>6920478.96</v>
      </c>
      <c r="BX23" s="270">
        <v>6778829.9000000004</v>
      </c>
      <c r="BY23" s="270">
        <v>6691681.3300000001</v>
      </c>
      <c r="BZ23" s="270">
        <v>6556567.4400000004</v>
      </c>
      <c r="CA23" s="270">
        <v>6617545.5599999996</v>
      </c>
      <c r="CB23" s="270">
        <v>6758640.2000000002</v>
      </c>
      <c r="CC23" s="270">
        <v>6525401.8600000003</v>
      </c>
      <c r="CD23" s="270">
        <v>6487237.4299999997</v>
      </c>
      <c r="CE23" s="270">
        <v>6329158.9900000002</v>
      </c>
      <c r="CF23" s="270">
        <v>6171225.2400000002</v>
      </c>
      <c r="CG23" s="270">
        <v>6051200.5</v>
      </c>
      <c r="CH23" s="284">
        <f>7544530-1493330</f>
        <v>6051200</v>
      </c>
      <c r="CI23" s="270">
        <v>5935931.0999999996</v>
      </c>
      <c r="CJ23" s="270">
        <v>5822302.6500000004</v>
      </c>
      <c r="CK23" s="270">
        <v>5705401.5700000003</v>
      </c>
      <c r="CL23" s="270">
        <v>5588330.6399999997</v>
      </c>
      <c r="CM23" s="270">
        <v>5609924.3899999997</v>
      </c>
      <c r="CN23" s="357">
        <v>5544603.7400000002</v>
      </c>
      <c r="CO23" s="357">
        <v>5432321.2400000002</v>
      </c>
      <c r="CP23" s="357">
        <v>5485539.4199999999</v>
      </c>
      <c r="CQ23" s="357">
        <v>5362391.71</v>
      </c>
      <c r="CR23" s="374">
        <v>5246380.6900000004</v>
      </c>
      <c r="CS23" s="374">
        <v>5286203.8899999997</v>
      </c>
      <c r="CT23" s="377">
        <v>5158193</v>
      </c>
      <c r="CU23" s="380">
        <v>6203525</v>
      </c>
      <c r="CV23" s="380">
        <v>8299778</v>
      </c>
      <c r="CW23" s="357">
        <v>8159712.3099999996</v>
      </c>
      <c r="CX23" s="374">
        <v>8023159.4900000002</v>
      </c>
      <c r="CY23" s="374">
        <v>7884534.9100000001</v>
      </c>
      <c r="CZ23" s="357">
        <v>7748104.5</v>
      </c>
      <c r="DA23" s="402">
        <v>7622913.25</v>
      </c>
      <c r="DB23" s="357">
        <v>7631502.5899999999</v>
      </c>
      <c r="DC23" s="357">
        <v>7571749.6500000004</v>
      </c>
      <c r="DD23" s="357">
        <v>7256570.5899999999</v>
      </c>
      <c r="DE23" s="451">
        <v>7196848.3499999996</v>
      </c>
    </row>
    <row r="24" spans="1:109" ht="15">
      <c r="A24" s="161" t="s">
        <v>36</v>
      </c>
      <c r="B24" s="277"/>
      <c r="C24" s="277"/>
      <c r="D24" s="277"/>
      <c r="E24" s="277"/>
      <c r="F24" s="277"/>
      <c r="G24" s="277"/>
      <c r="H24" s="277"/>
      <c r="I24" s="302"/>
      <c r="J24" s="302">
        <v>34170</v>
      </c>
      <c r="K24" s="302">
        <v>62170</v>
      </c>
      <c r="L24" s="302">
        <v>83170</v>
      </c>
      <c r="M24" s="304">
        <v>79170</v>
      </c>
      <c r="N24" s="304">
        <v>77170</v>
      </c>
      <c r="O24" s="304">
        <v>111170</v>
      </c>
      <c r="P24" s="304">
        <v>93170</v>
      </c>
      <c r="Q24" s="304">
        <v>73170</v>
      </c>
      <c r="R24" s="306">
        <v>74170</v>
      </c>
      <c r="S24" s="304">
        <v>72170</v>
      </c>
      <c r="T24" s="304">
        <v>77170</v>
      </c>
      <c r="U24" s="304">
        <v>0</v>
      </c>
      <c r="V24" s="304"/>
      <c r="W24" s="311">
        <v>0</v>
      </c>
      <c r="X24" s="311">
        <v>0</v>
      </c>
      <c r="Y24" s="311">
        <v>0</v>
      </c>
      <c r="Z24" s="311">
        <v>0</v>
      </c>
      <c r="AA24" s="311">
        <v>0</v>
      </c>
      <c r="AB24" s="311">
        <v>0</v>
      </c>
      <c r="AC24" s="311">
        <v>0</v>
      </c>
      <c r="AD24" s="311">
        <v>0</v>
      </c>
      <c r="AE24" s="311">
        <v>0</v>
      </c>
      <c r="AF24" s="311">
        <v>0</v>
      </c>
      <c r="AG24" s="311">
        <v>0</v>
      </c>
      <c r="AH24" s="311">
        <v>0</v>
      </c>
      <c r="AI24" s="311">
        <v>0</v>
      </c>
      <c r="AJ24" s="284">
        <v>0</v>
      </c>
      <c r="AK24" s="284">
        <v>0</v>
      </c>
      <c r="AL24" s="284">
        <v>0</v>
      </c>
      <c r="AM24" s="284">
        <v>0</v>
      </c>
      <c r="AN24" s="284">
        <v>0</v>
      </c>
      <c r="AO24" s="284">
        <v>0</v>
      </c>
      <c r="AP24" s="284">
        <v>0</v>
      </c>
      <c r="AQ24" s="284"/>
      <c r="AR24" s="284">
        <v>0</v>
      </c>
      <c r="AS24" s="284">
        <v>0</v>
      </c>
      <c r="AT24" s="284">
        <v>0</v>
      </c>
      <c r="AU24" s="284">
        <v>0</v>
      </c>
      <c r="AV24" s="284"/>
      <c r="AW24" s="304">
        <v>0</v>
      </c>
      <c r="AX24" s="304">
        <v>0</v>
      </c>
      <c r="AY24" s="304">
        <v>0</v>
      </c>
      <c r="AZ24" s="304">
        <v>0</v>
      </c>
      <c r="BA24" s="304">
        <v>0</v>
      </c>
      <c r="BB24" s="318">
        <v>0</v>
      </c>
      <c r="BC24" s="284">
        <v>0</v>
      </c>
      <c r="BD24" s="272">
        <v>0</v>
      </c>
      <c r="BE24" s="272">
        <v>0</v>
      </c>
      <c r="BF24" s="318"/>
      <c r="BG24" s="304">
        <v>0</v>
      </c>
      <c r="BH24" s="304">
        <v>0</v>
      </c>
      <c r="BI24" s="284"/>
      <c r="BJ24" s="284">
        <v>0</v>
      </c>
      <c r="BK24" s="272">
        <v>0</v>
      </c>
      <c r="BL24" s="364">
        <v>0</v>
      </c>
      <c r="BM24" s="364">
        <v>0</v>
      </c>
      <c r="BN24" s="364">
        <v>0</v>
      </c>
      <c r="BO24" s="327">
        <v>0</v>
      </c>
      <c r="BP24" s="364">
        <v>0</v>
      </c>
      <c r="BQ24" s="364">
        <v>0</v>
      </c>
      <c r="BR24" s="364">
        <v>0</v>
      </c>
      <c r="BS24" s="332">
        <v>0</v>
      </c>
      <c r="BT24" s="333">
        <v>0</v>
      </c>
      <c r="BU24" s="333">
        <v>0</v>
      </c>
      <c r="BV24" s="277"/>
      <c r="BW24" s="270">
        <v>0</v>
      </c>
      <c r="BX24" s="270">
        <v>0</v>
      </c>
      <c r="BY24" s="270">
        <v>0</v>
      </c>
      <c r="BZ24" s="270">
        <v>0</v>
      </c>
      <c r="CA24" s="270">
        <v>0</v>
      </c>
      <c r="CB24" s="270">
        <v>0</v>
      </c>
      <c r="CC24" s="270">
        <v>0</v>
      </c>
      <c r="CD24" s="270">
        <v>0</v>
      </c>
      <c r="CE24" s="270">
        <v>0</v>
      </c>
      <c r="CF24" s="270">
        <v>0</v>
      </c>
      <c r="CG24" s="270">
        <v>0</v>
      </c>
      <c r="CH24" s="284"/>
      <c r="CI24" s="270">
        <v>0</v>
      </c>
      <c r="CJ24" s="270">
        <v>0</v>
      </c>
      <c r="CK24" s="270">
        <v>0</v>
      </c>
      <c r="CL24" s="270">
        <v>0</v>
      </c>
      <c r="CM24" s="270">
        <v>0</v>
      </c>
      <c r="CN24" s="356">
        <v>0</v>
      </c>
      <c r="CO24" s="356">
        <v>0</v>
      </c>
      <c r="CP24" s="356">
        <v>0</v>
      </c>
      <c r="CQ24" s="356">
        <v>0</v>
      </c>
      <c r="CR24" s="373">
        <v>0</v>
      </c>
      <c r="CS24" s="373">
        <v>0</v>
      </c>
      <c r="CT24" s="376">
        <v>0</v>
      </c>
      <c r="CU24" s="380"/>
      <c r="CV24" s="380">
        <v>10122308</v>
      </c>
      <c r="CW24" s="356">
        <v>0</v>
      </c>
      <c r="CX24" s="373">
        <v>0</v>
      </c>
      <c r="CY24" s="373">
        <v>0</v>
      </c>
      <c r="CZ24" s="356">
        <v>0</v>
      </c>
      <c r="DA24" s="401">
        <v>0</v>
      </c>
      <c r="DB24" s="356">
        <v>0</v>
      </c>
      <c r="DC24" s="356">
        <v>0</v>
      </c>
      <c r="DD24" s="356">
        <v>0</v>
      </c>
      <c r="DE24" s="450">
        <v>0</v>
      </c>
    </row>
    <row r="25" spans="1:109" ht="15">
      <c r="A25" s="161" t="s">
        <v>37</v>
      </c>
      <c r="B25" s="277"/>
      <c r="C25" s="277"/>
      <c r="D25" s="277"/>
      <c r="E25" s="277"/>
      <c r="F25" s="277"/>
      <c r="G25" s="277"/>
      <c r="H25" s="277"/>
      <c r="I25" s="302"/>
      <c r="J25" s="302">
        <v>7989641.0899999999</v>
      </c>
      <c r="K25" s="302">
        <v>7876453.5099999998</v>
      </c>
      <c r="L25" s="302">
        <v>7841728.8099999996</v>
      </c>
      <c r="M25" s="304">
        <v>7652727.2300000004</v>
      </c>
      <c r="N25" s="304">
        <v>7542144.5599999996</v>
      </c>
      <c r="O25" s="304">
        <v>7464572.0599999996</v>
      </c>
      <c r="P25" s="304">
        <v>1689266.87</v>
      </c>
      <c r="Q25" s="304">
        <v>1658671.07</v>
      </c>
      <c r="R25" s="306">
        <v>1628840.18</v>
      </c>
      <c r="S25" s="304">
        <v>1128495.28</v>
      </c>
      <c r="T25" s="304">
        <v>1100282.8799999999</v>
      </c>
      <c r="U25" s="304">
        <v>1077359.8799999999</v>
      </c>
      <c r="V25" s="304"/>
      <c r="W25" s="311">
        <v>1045956.78</v>
      </c>
      <c r="X25" s="311">
        <v>1019807.86</v>
      </c>
      <c r="Y25" s="311">
        <v>0</v>
      </c>
      <c r="Z25" s="311">
        <v>0</v>
      </c>
      <c r="AA25" s="311">
        <v>0</v>
      </c>
      <c r="AB25" s="311">
        <v>0</v>
      </c>
      <c r="AC25" s="311">
        <v>0</v>
      </c>
      <c r="AD25" s="311">
        <v>0</v>
      </c>
      <c r="AE25" s="311">
        <v>0</v>
      </c>
      <c r="AF25" s="311">
        <v>0</v>
      </c>
      <c r="AG25" s="311">
        <v>0</v>
      </c>
      <c r="AH25" s="311">
        <v>637960.4</v>
      </c>
      <c r="AI25" s="311">
        <v>637960.4</v>
      </c>
      <c r="AJ25" s="284">
        <v>622010.99</v>
      </c>
      <c r="AK25" s="284">
        <v>606460.68999999994</v>
      </c>
      <c r="AL25" s="284">
        <v>591299</v>
      </c>
      <c r="AM25" s="284">
        <v>576515.68999999994</v>
      </c>
      <c r="AN25" s="284">
        <v>560713.99</v>
      </c>
      <c r="AO25" s="284">
        <v>545805.79</v>
      </c>
      <c r="AP25" s="284">
        <v>3989511.17</v>
      </c>
      <c r="AQ25" s="284">
        <v>4853570.8600000003</v>
      </c>
      <c r="AR25" s="284">
        <v>4732231.59</v>
      </c>
      <c r="AS25" s="284">
        <v>4579191.3499999996</v>
      </c>
      <c r="AT25" s="284">
        <v>4499446.0199999996</v>
      </c>
      <c r="AU25" s="284">
        <v>4310881.74</v>
      </c>
      <c r="AV25" s="284">
        <v>637961</v>
      </c>
      <c r="AW25" s="304">
        <v>4203969.7699999996</v>
      </c>
      <c r="AX25" s="304">
        <v>4096657.42</v>
      </c>
      <c r="AY25" s="304">
        <v>3989376.59</v>
      </c>
      <c r="AZ25" s="304">
        <v>3882126.35</v>
      </c>
      <c r="BA25" s="304">
        <v>3774905.81</v>
      </c>
      <c r="BB25" s="316">
        <v>3667723.23</v>
      </c>
      <c r="BC25" s="284">
        <v>4086455.65</v>
      </c>
      <c r="BD25" s="272">
        <v>3965788.07</v>
      </c>
      <c r="BE25" s="272">
        <v>3858605.49</v>
      </c>
      <c r="BF25" s="320">
        <v>3751422.91</v>
      </c>
      <c r="BG25" s="304">
        <v>3680378.7</v>
      </c>
      <c r="BH25" s="304">
        <v>2965251.29</v>
      </c>
      <c r="BI25" s="284"/>
      <c r="BJ25" s="284">
        <v>2900782.78</v>
      </c>
      <c r="BK25" s="272">
        <v>2818142.96</v>
      </c>
      <c r="BL25" s="364">
        <v>2748316.52</v>
      </c>
      <c r="BM25" s="364">
        <v>2675938.71</v>
      </c>
      <c r="BN25" s="364">
        <v>2645833.91</v>
      </c>
      <c r="BO25" s="325">
        <v>2578464.66</v>
      </c>
      <c r="BP25" s="364">
        <v>2512734.02</v>
      </c>
      <c r="BQ25" s="364">
        <v>2449589.34</v>
      </c>
      <c r="BR25" s="364">
        <v>2429493.2599999998</v>
      </c>
      <c r="BS25" s="332">
        <v>2365696.34</v>
      </c>
      <c r="BT25" s="333">
        <v>2306133.34</v>
      </c>
      <c r="BU25" s="333">
        <v>2133327.9</v>
      </c>
      <c r="BV25" s="277"/>
      <c r="BW25" s="270">
        <v>2079578.36</v>
      </c>
      <c r="BX25" s="270">
        <v>2027260.32</v>
      </c>
      <c r="BY25" s="270">
        <v>1976252.47</v>
      </c>
      <c r="BZ25" s="270">
        <v>1926896.2</v>
      </c>
      <c r="CA25" s="270">
        <v>1878406.87</v>
      </c>
      <c r="CB25" s="270">
        <v>1831129.77</v>
      </c>
      <c r="CC25" s="270">
        <v>1706655.01</v>
      </c>
      <c r="CD25" s="270">
        <v>1653329.11</v>
      </c>
      <c r="CE25" s="270">
        <v>1599995.89</v>
      </c>
      <c r="CF25" s="270">
        <v>1546662.73</v>
      </c>
      <c r="CG25" s="270">
        <v>1493329.54</v>
      </c>
      <c r="CH25" s="284">
        <v>1493330</v>
      </c>
      <c r="CI25" s="270">
        <v>1455996.3</v>
      </c>
      <c r="CJ25" s="270">
        <v>1419596.39</v>
      </c>
      <c r="CK25" s="270">
        <v>1381339.82</v>
      </c>
      <c r="CL25" s="270">
        <v>1343073.25</v>
      </c>
      <c r="CM25" s="270">
        <v>1306663.3600000001</v>
      </c>
      <c r="CN25" s="357">
        <v>1269330.1200000001</v>
      </c>
      <c r="CO25" s="357">
        <v>1231996.8799999999</v>
      </c>
      <c r="CP25" s="357">
        <v>1194663.6499999999</v>
      </c>
      <c r="CQ25" s="357">
        <v>1157330.4099999999</v>
      </c>
      <c r="CR25" s="374">
        <v>1119997.17</v>
      </c>
      <c r="CS25" s="374">
        <v>1082663.93</v>
      </c>
      <c r="CT25" s="377">
        <v>1045330.68</v>
      </c>
      <c r="CU25" s="380"/>
      <c r="CV25" s="380">
        <v>807332</v>
      </c>
      <c r="CW25" s="357">
        <v>10726971.99</v>
      </c>
      <c r="CX25" s="374">
        <v>10662353.35</v>
      </c>
      <c r="CY25" s="374">
        <v>10597637.76</v>
      </c>
      <c r="CZ25" s="357">
        <v>10537608.050000001</v>
      </c>
      <c r="DA25" s="402">
        <v>10504966.98</v>
      </c>
      <c r="DB25" s="357">
        <v>10440530.470000001</v>
      </c>
      <c r="DC25" s="357">
        <v>10349136.68</v>
      </c>
      <c r="DD25" s="357">
        <v>10319993.470000001</v>
      </c>
      <c r="DE25" s="451">
        <v>10262256.91</v>
      </c>
    </row>
    <row r="26" spans="1:109" ht="15">
      <c r="A26" s="161" t="s">
        <v>38</v>
      </c>
      <c r="B26" s="286">
        <v>282462</v>
      </c>
      <c r="C26" s="286">
        <v>242485</v>
      </c>
      <c r="D26" s="294">
        <v>235589</v>
      </c>
      <c r="E26" s="288">
        <v>281992</v>
      </c>
      <c r="F26" s="288">
        <v>422311</v>
      </c>
      <c r="G26" s="288">
        <v>484464.8</v>
      </c>
      <c r="H26" s="299">
        <v>471942</v>
      </c>
      <c r="I26" s="302">
        <v>140017</v>
      </c>
      <c r="J26" s="302">
        <v>11386541.74</v>
      </c>
      <c r="K26" s="302">
        <v>11150285.41</v>
      </c>
      <c r="L26" s="302">
        <v>5809887.0899999999</v>
      </c>
      <c r="M26" s="304">
        <v>5679460.9400000004</v>
      </c>
      <c r="N26" s="304">
        <v>5624742.4699999997</v>
      </c>
      <c r="O26" s="304">
        <v>23508249.25</v>
      </c>
      <c r="P26" s="304">
        <v>5439213.3899999997</v>
      </c>
      <c r="Q26" s="304">
        <v>20420889.989999998</v>
      </c>
      <c r="R26" s="306">
        <v>5254148.34</v>
      </c>
      <c r="S26" s="304">
        <v>9603160.1099999994</v>
      </c>
      <c r="T26" s="304">
        <v>26183386.309999999</v>
      </c>
      <c r="U26" s="304">
        <v>0</v>
      </c>
      <c r="V26" s="304">
        <v>185954</v>
      </c>
      <c r="W26" s="311">
        <v>0</v>
      </c>
      <c r="X26" s="311">
        <v>0</v>
      </c>
      <c r="Y26" s="311">
        <v>0</v>
      </c>
      <c r="Z26" s="311">
        <v>3782806.42</v>
      </c>
      <c r="AA26" s="311">
        <v>206422</v>
      </c>
      <c r="AB26" s="311">
        <v>192866</v>
      </c>
      <c r="AC26" s="311">
        <v>216700</v>
      </c>
      <c r="AD26" s="311">
        <v>0</v>
      </c>
      <c r="AE26" s="311">
        <v>0</v>
      </c>
      <c r="AF26" s="311">
        <v>0</v>
      </c>
      <c r="AG26" s="311">
        <v>0</v>
      </c>
      <c r="AH26" s="311">
        <v>188499.7</v>
      </c>
      <c r="AI26" s="311">
        <v>188500</v>
      </c>
      <c r="AJ26" s="284">
        <v>168864.7</v>
      </c>
      <c r="AK26" s="284">
        <v>0</v>
      </c>
      <c r="AL26" s="284">
        <v>0</v>
      </c>
      <c r="AM26" s="284">
        <v>0</v>
      </c>
      <c r="AN26" s="284">
        <v>0</v>
      </c>
      <c r="AO26" s="284">
        <v>0</v>
      </c>
      <c r="AP26" s="284">
        <v>0</v>
      </c>
      <c r="AQ26" s="284">
        <v>0</v>
      </c>
      <c r="AR26" s="284">
        <v>0</v>
      </c>
      <c r="AS26" s="284">
        <v>0</v>
      </c>
      <c r="AT26" s="284">
        <v>0</v>
      </c>
      <c r="AU26" s="284">
        <v>0</v>
      </c>
      <c r="AV26" s="284">
        <v>146861</v>
      </c>
      <c r="AW26" s="304">
        <v>0</v>
      </c>
      <c r="AX26" s="304">
        <v>0</v>
      </c>
      <c r="AY26" s="304">
        <v>0</v>
      </c>
      <c r="AZ26" s="304">
        <v>0</v>
      </c>
      <c r="BA26" s="304">
        <v>0</v>
      </c>
      <c r="BB26" s="278">
        <v>0</v>
      </c>
      <c r="BC26" s="284">
        <v>0</v>
      </c>
      <c r="BD26" s="272">
        <v>0</v>
      </c>
      <c r="BE26" s="272">
        <v>0</v>
      </c>
      <c r="BF26" s="278"/>
      <c r="BG26" s="304">
        <v>0</v>
      </c>
      <c r="BH26" s="304">
        <v>0</v>
      </c>
      <c r="BI26" s="284">
        <v>184749</v>
      </c>
      <c r="BJ26" s="284">
        <v>0</v>
      </c>
      <c r="BK26" s="272">
        <v>0</v>
      </c>
      <c r="BL26" s="364">
        <v>0</v>
      </c>
      <c r="BM26" s="364">
        <v>0</v>
      </c>
      <c r="BN26" s="364">
        <v>0</v>
      </c>
      <c r="BO26" s="327">
        <v>0</v>
      </c>
      <c r="BP26" s="364">
        <v>0</v>
      </c>
      <c r="BQ26" s="364">
        <v>0</v>
      </c>
      <c r="BR26" s="364">
        <v>0</v>
      </c>
      <c r="BS26" s="332">
        <v>0</v>
      </c>
      <c r="BT26" s="333">
        <v>0</v>
      </c>
      <c r="BU26" s="333">
        <v>0</v>
      </c>
      <c r="BV26" s="277">
        <v>561318</v>
      </c>
      <c r="BW26" s="270">
        <v>0</v>
      </c>
      <c r="BX26" s="270">
        <v>0</v>
      </c>
      <c r="BY26" s="270">
        <v>0</v>
      </c>
      <c r="BZ26" s="270">
        <v>0</v>
      </c>
      <c r="CA26" s="270">
        <v>0</v>
      </c>
      <c r="CB26" s="270">
        <v>0</v>
      </c>
      <c r="CC26" s="270">
        <v>0</v>
      </c>
      <c r="CD26" s="270">
        <v>0</v>
      </c>
      <c r="CE26" s="270">
        <v>0</v>
      </c>
      <c r="CF26" s="270">
        <v>0</v>
      </c>
      <c r="CG26" s="270">
        <v>0</v>
      </c>
      <c r="CH26" s="285">
        <v>361862</v>
      </c>
      <c r="CI26" s="270">
        <v>0</v>
      </c>
      <c r="CJ26" s="270">
        <v>0</v>
      </c>
      <c r="CK26" s="270">
        <v>0</v>
      </c>
      <c r="CL26" s="270">
        <v>0</v>
      </c>
      <c r="CM26" s="270">
        <v>0</v>
      </c>
      <c r="CN26" s="356">
        <v>0</v>
      </c>
      <c r="CO26" s="356">
        <v>0</v>
      </c>
      <c r="CP26" s="356">
        <v>0</v>
      </c>
      <c r="CQ26" s="356">
        <v>0</v>
      </c>
      <c r="CR26" s="373">
        <v>0</v>
      </c>
      <c r="CS26" s="373">
        <v>0</v>
      </c>
      <c r="CT26" s="376">
        <v>0</v>
      </c>
      <c r="CU26" s="380">
        <v>308836</v>
      </c>
      <c r="CV26" s="380">
        <v>277687</v>
      </c>
      <c r="CW26" s="356">
        <v>0</v>
      </c>
      <c r="CX26" s="373">
        <v>0</v>
      </c>
      <c r="CY26" s="373">
        <v>0</v>
      </c>
      <c r="CZ26" s="356">
        <v>0</v>
      </c>
      <c r="DA26" s="401">
        <v>0</v>
      </c>
      <c r="DB26" s="356">
        <v>0</v>
      </c>
      <c r="DC26" s="356">
        <v>0</v>
      </c>
      <c r="DD26" s="356">
        <v>0</v>
      </c>
      <c r="DE26" s="450">
        <v>0</v>
      </c>
    </row>
    <row r="27" spans="1:109" ht="15.75">
      <c r="A27" s="160" t="s">
        <v>39</v>
      </c>
      <c r="B27" s="209">
        <f>(B21+B17+B14+B8+B7+B4)</f>
        <v>101042159</v>
      </c>
      <c r="C27" s="209">
        <f t="shared" ref="C27:H27" si="50">(C21+C17+C14+C8+C7+C4)</f>
        <v>106951763</v>
      </c>
      <c r="D27" s="209">
        <f t="shared" si="50"/>
        <v>130959400</v>
      </c>
      <c r="E27" s="209">
        <f t="shared" si="50"/>
        <v>132850579</v>
      </c>
      <c r="F27" s="209">
        <f t="shared" si="50"/>
        <v>126301662.08</v>
      </c>
      <c r="G27" s="209">
        <f t="shared" si="50"/>
        <v>253427739.63999999</v>
      </c>
      <c r="H27" s="209">
        <f t="shared" si="50"/>
        <v>242665216</v>
      </c>
      <c r="I27" s="209">
        <f>(I21+I17+I14+I8+I7+I4)</f>
        <v>284500118</v>
      </c>
      <c r="J27" s="209">
        <f>(J21+J17+J14+J8+J7+J4)</f>
        <v>295605841.96000004</v>
      </c>
      <c r="K27" s="209">
        <f t="shared" ref="K27:U27" si="51">(K21+K17+K14+K8+K7+K4)</f>
        <v>299824737.10000002</v>
      </c>
      <c r="L27" s="209">
        <f t="shared" si="51"/>
        <v>299430603.26999998</v>
      </c>
      <c r="M27" s="209">
        <f t="shared" si="51"/>
        <v>300582375.27999997</v>
      </c>
      <c r="N27" s="209">
        <f t="shared" si="51"/>
        <v>300268421.78000003</v>
      </c>
      <c r="O27" s="209">
        <f t="shared" si="51"/>
        <v>359157981</v>
      </c>
      <c r="P27" s="209">
        <f t="shared" si="51"/>
        <v>347308558</v>
      </c>
      <c r="Q27" s="209">
        <f t="shared" si="51"/>
        <v>313493953.79000002</v>
      </c>
      <c r="R27" s="209">
        <f t="shared" si="51"/>
        <v>384836436.16000003</v>
      </c>
      <c r="S27" s="209">
        <f t="shared" si="51"/>
        <v>306974970.25999999</v>
      </c>
      <c r="T27" s="209">
        <f t="shared" si="51"/>
        <v>310532214.59000003</v>
      </c>
      <c r="U27" s="209">
        <f t="shared" si="51"/>
        <v>306075209.38999999</v>
      </c>
      <c r="V27" s="209">
        <f>(V21+V17+V14+V8+V7+V4)</f>
        <v>311148805</v>
      </c>
      <c r="W27" s="209">
        <f t="shared" ref="W27:AH27" si="52">(W21+W17+W14+W8+W7+W4)</f>
        <v>301150079.08000004</v>
      </c>
      <c r="X27" s="209">
        <f t="shared" si="52"/>
        <v>300358397.11000001</v>
      </c>
      <c r="Y27" s="209">
        <f t="shared" si="52"/>
        <v>300622078.56</v>
      </c>
      <c r="Z27" s="209">
        <f t="shared" si="52"/>
        <v>297249817.74000001</v>
      </c>
      <c r="AA27" s="209">
        <f t="shared" si="52"/>
        <v>296643989</v>
      </c>
      <c r="AB27" s="209">
        <f t="shared" si="52"/>
        <v>371402076</v>
      </c>
      <c r="AC27" s="209">
        <f t="shared" si="52"/>
        <v>370786030.13999999</v>
      </c>
      <c r="AD27" s="209">
        <f t="shared" si="52"/>
        <v>356910279</v>
      </c>
      <c r="AE27" s="209">
        <f t="shared" si="52"/>
        <v>343029175</v>
      </c>
      <c r="AF27" s="209">
        <f t="shared" si="52"/>
        <v>336879587</v>
      </c>
      <c r="AG27" s="209">
        <f t="shared" si="52"/>
        <v>332290464.99000001</v>
      </c>
      <c r="AH27" s="209">
        <f t="shared" si="52"/>
        <v>320275632.00999999</v>
      </c>
      <c r="AI27" s="209">
        <f>(AI21+AI17+AI14+AI8+AI7+AI4)</f>
        <v>320853210.85000002</v>
      </c>
      <c r="AJ27" s="209">
        <f t="shared" ref="AJ27:AU27" si="53">(AJ21+AJ17+AJ14+AJ8+AJ7+AJ4)</f>
        <v>318344161.43000001</v>
      </c>
      <c r="AK27" s="209">
        <f t="shared" si="53"/>
        <v>321010020.06999999</v>
      </c>
      <c r="AL27" s="209">
        <f t="shared" si="53"/>
        <v>326550820</v>
      </c>
      <c r="AM27" s="209">
        <f t="shared" si="53"/>
        <v>323534782.40999997</v>
      </c>
      <c r="AN27" s="209">
        <f t="shared" si="53"/>
        <v>403038265.25</v>
      </c>
      <c r="AO27" s="209">
        <f t="shared" si="53"/>
        <v>370291826.14999998</v>
      </c>
      <c r="AP27" s="209">
        <f t="shared" si="53"/>
        <v>369867581.25999999</v>
      </c>
      <c r="AQ27" s="209">
        <f t="shared" si="53"/>
        <v>360009331.46000004</v>
      </c>
      <c r="AR27" s="209">
        <f t="shared" si="53"/>
        <v>350895723.97000003</v>
      </c>
      <c r="AS27" s="209">
        <f t="shared" si="53"/>
        <v>346806878.60000002</v>
      </c>
      <c r="AT27" s="209">
        <f t="shared" si="53"/>
        <v>346506700.21000004</v>
      </c>
      <c r="AU27" s="209">
        <f t="shared" si="53"/>
        <v>340817711.11000001</v>
      </c>
      <c r="AV27" s="209">
        <f>(AV21+AV17+AV14+AV8+AV7+AV4)</f>
        <v>338132752</v>
      </c>
      <c r="AW27" s="209">
        <f t="shared" ref="AW27:BH27" si="54">(AW21+AW17+AW14+AW8+AW7+AW4)</f>
        <v>339737915.71999997</v>
      </c>
      <c r="AX27" s="209">
        <f t="shared" si="54"/>
        <v>338449640.84999996</v>
      </c>
      <c r="AY27" s="209">
        <f t="shared" si="54"/>
        <v>337970073.66999996</v>
      </c>
      <c r="AZ27" s="209">
        <f t="shared" si="54"/>
        <v>340436236.01999998</v>
      </c>
      <c r="BA27" s="209">
        <f t="shared" si="54"/>
        <v>425970759.18000001</v>
      </c>
      <c r="BB27" s="209">
        <f t="shared" si="54"/>
        <v>399199212.42000002</v>
      </c>
      <c r="BC27" s="209">
        <f t="shared" si="54"/>
        <v>401247518.43000001</v>
      </c>
      <c r="BD27" s="209">
        <f t="shared" si="54"/>
        <v>397168500.57000005</v>
      </c>
      <c r="BE27" s="209">
        <f t="shared" si="54"/>
        <v>388179342.89000005</v>
      </c>
      <c r="BF27" s="209">
        <f t="shared" si="54"/>
        <v>386323899.92250001</v>
      </c>
      <c r="BG27" s="209">
        <f t="shared" si="54"/>
        <v>378960263.25999999</v>
      </c>
      <c r="BH27" s="209">
        <f t="shared" si="54"/>
        <v>369440675.10000002</v>
      </c>
      <c r="BI27" s="209">
        <f>(BI21+BI17+BI14+BI8+BI7+BI4)</f>
        <v>369440675.65999997</v>
      </c>
      <c r="BJ27" s="209">
        <f t="shared" ref="BJ27:BU27" si="55">(BJ21+BJ17+BJ14+BJ8+BJ7+BJ4)</f>
        <v>365793008.63999999</v>
      </c>
      <c r="BK27" s="209">
        <f t="shared" si="55"/>
        <v>364326278.42999995</v>
      </c>
      <c r="BL27" s="209">
        <f t="shared" si="55"/>
        <v>364446923.92000002</v>
      </c>
      <c r="BM27" s="209">
        <f t="shared" si="55"/>
        <v>360003737.04000002</v>
      </c>
      <c r="BN27" s="209">
        <f t="shared" si="55"/>
        <v>357154121.93000001</v>
      </c>
      <c r="BO27" s="209">
        <f t="shared" si="55"/>
        <v>365355293.00999999</v>
      </c>
      <c r="BP27" s="209">
        <f t="shared" si="55"/>
        <v>505544534.41000009</v>
      </c>
      <c r="BQ27" s="209">
        <f t="shared" si="55"/>
        <v>495550095.51999998</v>
      </c>
      <c r="BR27" s="209">
        <f t="shared" si="55"/>
        <v>463500135.73000002</v>
      </c>
      <c r="BS27" s="209">
        <f t="shared" si="55"/>
        <v>450857351.33999997</v>
      </c>
      <c r="BT27" s="209">
        <f t="shared" si="55"/>
        <v>426832057.13999999</v>
      </c>
      <c r="BU27" s="209">
        <f t="shared" si="55"/>
        <v>417511208.31999999</v>
      </c>
      <c r="BV27" s="209">
        <f>(BV21+BV17+BV14+BV8+BV7+BV4)</f>
        <v>417511209.37</v>
      </c>
      <c r="BW27" s="209">
        <f t="shared" ref="BW27:CD27" si="56">(BW21+BW17+BW14+BW8+BW7+BW4)</f>
        <v>407808700.54999995</v>
      </c>
      <c r="BX27" s="209">
        <f t="shared" si="56"/>
        <v>405320689.63999999</v>
      </c>
      <c r="BY27" s="209">
        <f t="shared" si="56"/>
        <v>400442847.74000001</v>
      </c>
      <c r="BZ27" s="209">
        <f t="shared" si="56"/>
        <v>454413881.81</v>
      </c>
      <c r="CA27" s="209">
        <f t="shared" si="56"/>
        <v>430762451.88</v>
      </c>
      <c r="CB27" s="209">
        <f t="shared" si="56"/>
        <v>530750951.75999999</v>
      </c>
      <c r="CC27" s="209">
        <f t="shared" si="56"/>
        <v>486439218.37</v>
      </c>
      <c r="CD27" s="209">
        <f t="shared" si="56"/>
        <v>657996083.78999996</v>
      </c>
      <c r="CE27" s="209">
        <f t="shared" ref="CE27:CK27" si="57">(CE21+CE17+CE14+CE8+CE7+CE4)</f>
        <v>565139326.95999992</v>
      </c>
      <c r="CF27" s="209">
        <f t="shared" si="57"/>
        <v>512016646.03999996</v>
      </c>
      <c r="CG27" s="209">
        <f t="shared" si="57"/>
        <v>486605143.40000004</v>
      </c>
      <c r="CH27" s="209">
        <f t="shared" si="57"/>
        <v>486605145</v>
      </c>
      <c r="CI27" s="209">
        <f t="shared" si="57"/>
        <v>470825766.88999999</v>
      </c>
      <c r="CJ27" s="209">
        <f t="shared" si="57"/>
        <v>463003378.99999994</v>
      </c>
      <c r="CK27" s="209">
        <f t="shared" si="57"/>
        <v>462884371.98000002</v>
      </c>
      <c r="CL27" s="209">
        <f t="shared" ref="CL27:CQ27" si="58">(CL21+CL17+CL14+CL8+CL7+CL4)</f>
        <v>469490658.63</v>
      </c>
      <c r="CM27" s="209">
        <f t="shared" si="58"/>
        <v>460816518.13000005</v>
      </c>
      <c r="CN27" s="209">
        <f t="shared" si="58"/>
        <v>455023708.56999999</v>
      </c>
      <c r="CO27" s="209">
        <f t="shared" si="58"/>
        <v>449681332.50999993</v>
      </c>
      <c r="CP27" s="209">
        <f t="shared" si="58"/>
        <v>438858290.24000001</v>
      </c>
      <c r="CQ27" s="209">
        <f t="shared" si="58"/>
        <v>601317454.61000001</v>
      </c>
      <c r="CR27" s="209">
        <f t="shared" ref="CR27:DE27" si="59">(CR21+CR17+CR14+CR8+CR7+CR4)</f>
        <v>614286654.26999998</v>
      </c>
      <c r="CS27" s="209">
        <f t="shared" si="59"/>
        <v>560687555.95000005</v>
      </c>
      <c r="CT27" s="209">
        <f t="shared" si="59"/>
        <v>554265773.73000002</v>
      </c>
      <c r="CU27" s="209">
        <f t="shared" si="59"/>
        <v>554265775</v>
      </c>
      <c r="CV27" s="209">
        <f t="shared" si="59"/>
        <v>624939624</v>
      </c>
      <c r="CW27" s="209">
        <f t="shared" si="59"/>
        <v>615739650.32000005</v>
      </c>
      <c r="CX27" s="209">
        <f t="shared" si="59"/>
        <v>612634377.93000007</v>
      </c>
      <c r="CY27" s="209">
        <f t="shared" si="59"/>
        <v>617168614.19000006</v>
      </c>
      <c r="CZ27" s="209">
        <f t="shared" si="59"/>
        <v>612606660.37</v>
      </c>
      <c r="DA27" s="209">
        <f t="shared" si="59"/>
        <v>601487496.35000014</v>
      </c>
      <c r="DB27" s="209">
        <f t="shared" si="59"/>
        <v>620193308.83999991</v>
      </c>
      <c r="DC27" s="209">
        <f t="shared" si="59"/>
        <v>725346748.6400001</v>
      </c>
      <c r="DD27" s="209">
        <f t="shared" si="59"/>
        <v>698741422.64999998</v>
      </c>
      <c r="DE27" s="209">
        <f t="shared" si="59"/>
        <v>682981753.97000003</v>
      </c>
    </row>
    <row r="28" spans="1:109" ht="15">
      <c r="A28" s="161" t="s">
        <v>40</v>
      </c>
      <c r="B28" s="286">
        <v>47903083</v>
      </c>
      <c r="C28" s="287">
        <v>49187636</v>
      </c>
      <c r="D28" s="287">
        <v>48437747</v>
      </c>
      <c r="E28" s="288">
        <v>48437747</v>
      </c>
      <c r="F28" s="288">
        <v>85304630</v>
      </c>
      <c r="G28" s="288">
        <f>42085730.1+145020+28086.53+23367955.35+12503253</f>
        <v>78130044.980000004</v>
      </c>
      <c r="H28" s="299">
        <f>18227509+9386042+144353</f>
        <v>27757904</v>
      </c>
      <c r="I28" s="302">
        <f>101506537-72218472</f>
        <v>29288065</v>
      </c>
      <c r="J28" s="302">
        <v>25114982.109999999</v>
      </c>
      <c r="K28" s="302">
        <v>25462821.109999999</v>
      </c>
      <c r="L28" s="302">
        <v>24471913.640000001</v>
      </c>
      <c r="M28" s="304">
        <v>24597731.390000001</v>
      </c>
      <c r="N28" s="304">
        <v>26079997.510000002</v>
      </c>
      <c r="O28" s="304">
        <v>94663574.870000005</v>
      </c>
      <c r="P28" s="304">
        <v>61871614.579999998</v>
      </c>
      <c r="Q28" s="304">
        <v>43266174.340000004</v>
      </c>
      <c r="R28" s="306">
        <v>38620457.840000004</v>
      </c>
      <c r="S28" s="304">
        <v>36730142.850000001</v>
      </c>
      <c r="T28" s="304">
        <v>38339740.590000004</v>
      </c>
      <c r="U28" s="304">
        <v>34694880</v>
      </c>
      <c r="V28" s="304">
        <v>34968731</v>
      </c>
      <c r="W28" s="311">
        <v>31005437.440000001</v>
      </c>
      <c r="X28" s="311">
        <v>31294881</v>
      </c>
      <c r="Y28" s="311">
        <v>28693138</v>
      </c>
      <c r="Z28" s="311">
        <v>28077067</v>
      </c>
      <c r="AA28" s="311">
        <v>28152801</v>
      </c>
      <c r="AB28" s="311">
        <v>81865550</v>
      </c>
      <c r="AC28" s="311">
        <v>74456950</v>
      </c>
      <c r="AD28" s="311">
        <v>60562986</v>
      </c>
      <c r="AE28" s="311">
        <v>46909980</v>
      </c>
      <c r="AF28" s="311">
        <v>45343284</v>
      </c>
      <c r="AG28" s="311">
        <v>39478955.880000003</v>
      </c>
      <c r="AH28" s="311">
        <v>37978118</v>
      </c>
      <c r="AI28" s="311">
        <v>37978118</v>
      </c>
      <c r="AJ28" s="364">
        <v>35707716</v>
      </c>
      <c r="AK28" s="364">
        <v>39805563.060000002</v>
      </c>
      <c r="AL28" s="364">
        <v>46251171.009999998</v>
      </c>
      <c r="AM28" s="364">
        <v>45643637.990000002</v>
      </c>
      <c r="AN28" s="364">
        <v>112953546.98999999</v>
      </c>
      <c r="AO28" s="364">
        <v>81835797.670000002</v>
      </c>
      <c r="AP28" s="272">
        <v>74451397.799999997</v>
      </c>
      <c r="AQ28" s="272">
        <v>61751108.609999999</v>
      </c>
      <c r="AR28" s="284">
        <v>55872667.310000002</v>
      </c>
      <c r="AS28" s="284">
        <v>52880182.939999998</v>
      </c>
      <c r="AT28" s="284">
        <v>47979527.579999998</v>
      </c>
      <c r="AU28" s="284">
        <v>45097081</v>
      </c>
      <c r="AV28" s="284">
        <v>46990567</v>
      </c>
      <c r="AW28" s="304">
        <v>42575519.399999999</v>
      </c>
      <c r="AX28" s="304">
        <v>38973245.850000001</v>
      </c>
      <c r="AY28" s="304">
        <v>37876190.729999997</v>
      </c>
      <c r="AZ28" s="304">
        <v>42110380.890000001</v>
      </c>
      <c r="BA28" s="304">
        <v>115501485.12</v>
      </c>
      <c r="BB28" s="316">
        <v>88892029.300000012</v>
      </c>
      <c r="BC28" s="284">
        <v>81711391.560000002</v>
      </c>
      <c r="BD28" s="272">
        <v>77180552.609999999</v>
      </c>
      <c r="BE28" s="272">
        <v>73292761.709999993</v>
      </c>
      <c r="BF28" s="320">
        <v>73617815.930000022</v>
      </c>
      <c r="BG28" s="304">
        <v>65216430.960000001</v>
      </c>
      <c r="BH28" s="304">
        <v>58834887.689999998</v>
      </c>
      <c r="BI28" s="284">
        <v>60006858</v>
      </c>
      <c r="BJ28" s="284">
        <v>55246692.219999999</v>
      </c>
      <c r="BK28" s="272">
        <v>56487575.079999998</v>
      </c>
      <c r="BL28" s="364">
        <v>53595962.100000001</v>
      </c>
      <c r="BM28" s="364">
        <v>49652051.920000002</v>
      </c>
      <c r="BN28" s="364">
        <v>48949134.609999999</v>
      </c>
      <c r="BO28" s="325">
        <v>53756185.939999983</v>
      </c>
      <c r="BP28" s="364">
        <v>166630964.90000001</v>
      </c>
      <c r="BQ28" s="364">
        <v>152244838.69999999</v>
      </c>
      <c r="BR28" s="364">
        <v>116834120.3</v>
      </c>
      <c r="BS28" s="332">
        <v>105646317.64</v>
      </c>
      <c r="BT28" s="333">
        <v>85169405.730000004</v>
      </c>
      <c r="BU28" s="333">
        <v>75021438.790000007</v>
      </c>
      <c r="BV28" s="277">
        <v>77305996</v>
      </c>
      <c r="BW28" s="270">
        <v>67371608.319999993</v>
      </c>
      <c r="BX28" s="270">
        <v>68738339.170000002</v>
      </c>
      <c r="BY28" s="270">
        <v>66715777.840000004</v>
      </c>
      <c r="BZ28" s="270">
        <v>113189536.61</v>
      </c>
      <c r="CA28" s="270">
        <v>112915598.45</v>
      </c>
      <c r="CB28" s="270">
        <v>173310628.59999999</v>
      </c>
      <c r="CC28" s="270">
        <v>125120862.55</v>
      </c>
      <c r="CD28" s="270">
        <v>258231277.34</v>
      </c>
      <c r="CE28" s="270">
        <v>187206329.02000001</v>
      </c>
      <c r="CF28" s="270">
        <v>137780747.71000001</v>
      </c>
      <c r="CG28" s="270">
        <v>112580528.69</v>
      </c>
      <c r="CH28" s="284">
        <v>116282188</v>
      </c>
      <c r="CI28" s="270">
        <v>99048951.150000006</v>
      </c>
      <c r="CJ28" s="270">
        <v>91994699.890000001</v>
      </c>
      <c r="CK28" s="270">
        <v>91318467.370000005</v>
      </c>
      <c r="CL28" s="270">
        <v>97616332</v>
      </c>
      <c r="CM28" s="270">
        <v>94226502.730000004</v>
      </c>
      <c r="CN28" s="355">
        <v>92864638.799999997</v>
      </c>
      <c r="CO28" s="355">
        <v>89521525.920000002</v>
      </c>
      <c r="CP28" s="355">
        <v>86599720.840000004</v>
      </c>
      <c r="CQ28" s="355">
        <v>170382828.31999999</v>
      </c>
      <c r="CR28" s="372">
        <v>217336845.16</v>
      </c>
      <c r="CS28" s="372">
        <v>165261332.59999999</v>
      </c>
      <c r="CT28" s="377">
        <v>144814642.12</v>
      </c>
      <c r="CU28" s="380">
        <v>151885246</v>
      </c>
      <c r="CV28" s="380">
        <v>144662107</v>
      </c>
      <c r="CW28" s="355">
        <v>127648750.43000001</v>
      </c>
      <c r="CX28" s="372">
        <v>126209927.63</v>
      </c>
      <c r="CY28" s="372">
        <v>128615418.17</v>
      </c>
      <c r="CZ28" s="355">
        <v>132468651.45999999</v>
      </c>
      <c r="DA28" s="400">
        <v>127524044.37</v>
      </c>
      <c r="DB28" s="355">
        <v>135307914.71000001</v>
      </c>
      <c r="DC28" s="355">
        <v>196028598.83000001</v>
      </c>
      <c r="DD28" s="355">
        <v>163499035.87</v>
      </c>
      <c r="DE28" s="449">
        <v>151772356.00999999</v>
      </c>
    </row>
    <row r="29" spans="1:109" ht="15">
      <c r="A29" s="161" t="s">
        <v>41</v>
      </c>
      <c r="B29" s="286">
        <v>594854</v>
      </c>
      <c r="C29" s="287">
        <v>594854</v>
      </c>
      <c r="D29" s="287">
        <v>594854</v>
      </c>
      <c r="E29" s="288">
        <v>594854</v>
      </c>
      <c r="F29" s="288">
        <v>39525985</v>
      </c>
      <c r="G29" s="288"/>
      <c r="H29" s="299"/>
      <c r="I29" s="302"/>
      <c r="J29" s="302">
        <v>0</v>
      </c>
      <c r="K29" s="302">
        <v>0</v>
      </c>
      <c r="L29" s="302">
        <v>0</v>
      </c>
      <c r="M29" s="304">
        <v>0</v>
      </c>
      <c r="N29" s="304">
        <v>0</v>
      </c>
      <c r="O29" s="304">
        <v>0</v>
      </c>
      <c r="P29" s="304">
        <v>0</v>
      </c>
      <c r="Q29" s="304">
        <v>0</v>
      </c>
      <c r="R29" s="306">
        <v>0</v>
      </c>
      <c r="S29" s="304">
        <v>0</v>
      </c>
      <c r="T29" s="304">
        <v>260000</v>
      </c>
      <c r="U29" s="304">
        <v>260000</v>
      </c>
      <c r="V29" s="304"/>
      <c r="W29" s="311">
        <v>275000</v>
      </c>
      <c r="X29" s="311">
        <v>275000</v>
      </c>
      <c r="Y29" s="311">
        <v>275000</v>
      </c>
      <c r="Z29" s="311">
        <v>265000</v>
      </c>
      <c r="AA29" s="311">
        <v>265000</v>
      </c>
      <c r="AB29" s="311">
        <v>0</v>
      </c>
      <c r="AC29" s="311">
        <v>0</v>
      </c>
      <c r="AD29" s="311">
        <v>0</v>
      </c>
      <c r="AE29" s="311">
        <v>0</v>
      </c>
      <c r="AF29" s="311">
        <v>0</v>
      </c>
      <c r="AG29" s="311">
        <v>0</v>
      </c>
      <c r="AH29" s="311">
        <v>0</v>
      </c>
      <c r="AI29" s="311">
        <v>0</v>
      </c>
      <c r="AJ29" s="284">
        <v>0</v>
      </c>
      <c r="AK29" s="284">
        <v>0</v>
      </c>
      <c r="AL29" s="284">
        <v>0</v>
      </c>
      <c r="AM29" s="284">
        <v>0</v>
      </c>
      <c r="AN29" s="284">
        <v>0</v>
      </c>
      <c r="AO29" s="284">
        <v>0</v>
      </c>
      <c r="AP29" s="284">
        <v>180000</v>
      </c>
      <c r="AQ29" s="284">
        <v>790000</v>
      </c>
      <c r="AR29" s="284">
        <v>760000</v>
      </c>
      <c r="AS29" s="284">
        <v>410000</v>
      </c>
      <c r="AT29" s="284">
        <v>710000</v>
      </c>
      <c r="AU29" s="284">
        <v>710000</v>
      </c>
      <c r="AV29" s="284"/>
      <c r="AW29" s="304">
        <v>814998</v>
      </c>
      <c r="AX29" s="304">
        <v>914996</v>
      </c>
      <c r="AY29" s="304">
        <v>854996</v>
      </c>
      <c r="AZ29" s="304">
        <v>504996</v>
      </c>
      <c r="BA29" s="304">
        <v>1022182.95</v>
      </c>
      <c r="BB29" s="316">
        <v>1062182.95</v>
      </c>
      <c r="BC29" s="284">
        <v>1062182.95</v>
      </c>
      <c r="BD29" s="272">
        <v>1111980.95</v>
      </c>
      <c r="BE29" s="272">
        <v>1111970.95</v>
      </c>
      <c r="BF29" s="320">
        <v>1456970.95</v>
      </c>
      <c r="BG29" s="304">
        <v>1271970</v>
      </c>
      <c r="BH29" s="304">
        <v>1171970</v>
      </c>
      <c r="BI29" s="284"/>
      <c r="BJ29" s="284">
        <v>1066980</v>
      </c>
      <c r="BK29" s="272">
        <v>1066980</v>
      </c>
      <c r="BL29" s="364">
        <v>1237182</v>
      </c>
      <c r="BM29" s="364">
        <v>1261749</v>
      </c>
      <c r="BN29" s="364">
        <v>1304567</v>
      </c>
      <c r="BO29" s="325">
        <v>1304567</v>
      </c>
      <c r="BP29" s="364">
        <v>2281754</v>
      </c>
      <c r="BQ29" s="364">
        <v>2441754</v>
      </c>
      <c r="BR29" s="364">
        <v>2546754</v>
      </c>
      <c r="BS29" s="332">
        <v>2619754</v>
      </c>
      <c r="BT29" s="333">
        <v>2364567</v>
      </c>
      <c r="BU29" s="333">
        <v>2284557</v>
      </c>
      <c r="BV29" s="277">
        <v>109252459</v>
      </c>
      <c r="BW29" s="270">
        <v>2286157</v>
      </c>
      <c r="BX29" s="270">
        <v>3281157</v>
      </c>
      <c r="BY29" s="270">
        <v>3370167</v>
      </c>
      <c r="BZ29" s="270">
        <v>4056000</v>
      </c>
      <c r="CA29" s="270">
        <v>4554400</v>
      </c>
      <c r="CB29" s="270">
        <v>4309400</v>
      </c>
      <c r="CC29" s="270">
        <v>4116200</v>
      </c>
      <c r="CD29" s="270">
        <v>3631200</v>
      </c>
      <c r="CE29" s="270">
        <v>3782460</v>
      </c>
      <c r="CF29" s="270">
        <v>3932460</v>
      </c>
      <c r="CG29" s="270">
        <v>3701660</v>
      </c>
      <c r="CH29" s="284"/>
      <c r="CI29" s="270">
        <v>3500400</v>
      </c>
      <c r="CJ29" s="270">
        <v>4850400</v>
      </c>
      <c r="CK29" s="270">
        <v>6085000</v>
      </c>
      <c r="CL29" s="270">
        <v>6085000</v>
      </c>
      <c r="CM29" s="270">
        <v>6150000</v>
      </c>
      <c r="CN29" s="357">
        <v>5672050</v>
      </c>
      <c r="CO29" s="357">
        <v>5626800</v>
      </c>
      <c r="CP29" s="357">
        <v>5601400</v>
      </c>
      <c r="CQ29" s="357">
        <v>4255050</v>
      </c>
      <c r="CR29" s="374">
        <v>6294154</v>
      </c>
      <c r="CS29" s="374">
        <v>6220904</v>
      </c>
      <c r="CT29" s="377">
        <v>7070604</v>
      </c>
      <c r="CU29" s="380"/>
      <c r="CV29" s="380"/>
      <c r="CW29" s="357">
        <v>6503285</v>
      </c>
      <c r="CX29" s="374">
        <v>6631385</v>
      </c>
      <c r="CY29" s="374">
        <v>7004485</v>
      </c>
      <c r="CZ29" s="357">
        <v>6746193</v>
      </c>
      <c r="DA29" s="402">
        <v>7038293</v>
      </c>
      <c r="DB29" s="357">
        <v>4990693</v>
      </c>
      <c r="DC29" s="357">
        <v>5538797</v>
      </c>
      <c r="DD29" s="357">
        <v>5390497</v>
      </c>
      <c r="DE29" s="451">
        <v>5590497</v>
      </c>
    </row>
    <row r="30" spans="1:109" ht="15">
      <c r="A30" s="161" t="s">
        <v>42</v>
      </c>
      <c r="B30" s="286">
        <v>39804485</v>
      </c>
      <c r="C30" s="287">
        <v>39804485</v>
      </c>
      <c r="D30" s="287">
        <v>39525985</v>
      </c>
      <c r="E30" s="288">
        <v>39525985</v>
      </c>
      <c r="F30" s="288">
        <v>5978896</v>
      </c>
      <c r="G30" s="288">
        <f>39525985</f>
        <v>39525985</v>
      </c>
      <c r="H30" s="299">
        <v>65012036</v>
      </c>
      <c r="I30" s="302">
        <v>72218472</v>
      </c>
      <c r="J30" s="302">
        <v>72437414.75</v>
      </c>
      <c r="K30" s="302">
        <v>72746391.560000002</v>
      </c>
      <c r="L30" s="302">
        <v>73080936.890000001</v>
      </c>
      <c r="M30" s="304">
        <v>73444769.590000004</v>
      </c>
      <c r="N30" s="304">
        <v>73979692.299999997</v>
      </c>
      <c r="O30" s="304">
        <v>75456788.180000007</v>
      </c>
      <c r="P30" s="304">
        <v>77480017.670000002</v>
      </c>
      <c r="Q30" s="304">
        <v>79938926</v>
      </c>
      <c r="R30" s="306">
        <v>80414494.950000003</v>
      </c>
      <c r="S30" s="304">
        <v>81425798</v>
      </c>
      <c r="T30" s="304">
        <v>84524458.450000003</v>
      </c>
      <c r="U30" s="304">
        <v>84274209</v>
      </c>
      <c r="V30" s="304">
        <v>79759358</v>
      </c>
      <c r="W30" s="311">
        <v>79808844.659999996</v>
      </c>
      <c r="X30" s="311">
        <v>80665221</v>
      </c>
      <c r="Y30" s="311">
        <v>82086292</v>
      </c>
      <c r="Z30" s="311">
        <v>83087102</v>
      </c>
      <c r="AA30" s="311">
        <v>83685610</v>
      </c>
      <c r="AB30" s="311">
        <v>88045834</v>
      </c>
      <c r="AC30" s="311">
        <v>90935673</v>
      </c>
      <c r="AD30" s="311">
        <v>92736142</v>
      </c>
      <c r="AE30" s="311">
        <v>93486726</v>
      </c>
      <c r="AF30" s="311">
        <v>91958826</v>
      </c>
      <c r="AG30" s="311">
        <v>94543744.120000005</v>
      </c>
      <c r="AH30" s="311">
        <v>89586054</v>
      </c>
      <c r="AI30" s="311">
        <v>89650681</v>
      </c>
      <c r="AJ30" s="284">
        <v>90251415</v>
      </c>
      <c r="AK30" s="284">
        <v>90940015.239999995</v>
      </c>
      <c r="AL30" s="284">
        <v>91229289.650000006</v>
      </c>
      <c r="AM30" s="284">
        <v>91520601.670000002</v>
      </c>
      <c r="AN30" s="284">
        <v>93030413.719999999</v>
      </c>
      <c r="AO30" s="284">
        <v>95071533.719999999</v>
      </c>
      <c r="AP30" s="284">
        <v>97197282.390000001</v>
      </c>
      <c r="AQ30" s="284">
        <v>97792761.359999999</v>
      </c>
      <c r="AR30" s="284">
        <v>98354890.390000001</v>
      </c>
      <c r="AS30" s="284">
        <v>98961024.680000007</v>
      </c>
      <c r="AT30" s="284">
        <v>99553496.040000007</v>
      </c>
      <c r="AU30" s="284">
        <v>99641666.870000005</v>
      </c>
      <c r="AV30" s="284">
        <v>94380497</v>
      </c>
      <c r="AW30" s="304">
        <v>94864059.319999993</v>
      </c>
      <c r="AX30" s="304">
        <v>95534037.040000007</v>
      </c>
      <c r="AY30" s="304">
        <v>96189607.989999995</v>
      </c>
      <c r="AZ30" s="304">
        <v>96483421.069999993</v>
      </c>
      <c r="BA30" s="304">
        <v>100079962.87</v>
      </c>
      <c r="BB30" s="316">
        <v>101895607.53</v>
      </c>
      <c r="BC30" s="284">
        <v>106061157.31</v>
      </c>
      <c r="BD30" s="272">
        <v>107028181.68000001</v>
      </c>
      <c r="BE30" s="272">
        <v>106865290.95999999</v>
      </c>
      <c r="BF30" s="320">
        <v>103212546.86</v>
      </c>
      <c r="BG30" s="304">
        <v>103385531.87</v>
      </c>
      <c r="BH30" s="304">
        <v>99022261.170000002</v>
      </c>
      <c r="BI30" s="284">
        <v>99022261</v>
      </c>
      <c r="BJ30" s="284">
        <v>99345352.519999996</v>
      </c>
      <c r="BK30" s="272">
        <v>99471041.840000004</v>
      </c>
      <c r="BL30" s="364">
        <v>100738301.68000001</v>
      </c>
      <c r="BM30" s="364">
        <v>101225154.95</v>
      </c>
      <c r="BN30" s="364">
        <v>101827212</v>
      </c>
      <c r="BO30" s="325">
        <v>102782965.48</v>
      </c>
      <c r="BP30" s="364">
        <v>108545514.20999999</v>
      </c>
      <c r="BQ30" s="364">
        <v>112994352.75</v>
      </c>
      <c r="BR30" s="364">
        <v>115844626.19</v>
      </c>
      <c r="BS30" s="332">
        <v>117215583.25</v>
      </c>
      <c r="BT30" s="333">
        <v>118435417.98</v>
      </c>
      <c r="BU30" s="333">
        <v>109252459.27</v>
      </c>
      <c r="BV30" s="364"/>
      <c r="BW30" s="270">
        <v>108831292.14</v>
      </c>
      <c r="BX30" s="270">
        <v>109177687.27</v>
      </c>
      <c r="BY30" s="270">
        <v>108342477.5</v>
      </c>
      <c r="BZ30" s="270">
        <v>109093784.94</v>
      </c>
      <c r="CA30" s="270">
        <v>91930311.040000007</v>
      </c>
      <c r="CB30" s="270">
        <v>116497160.84</v>
      </c>
      <c r="CC30" s="270">
        <v>120177293.98999999</v>
      </c>
      <c r="CD30" s="270">
        <v>122603570.64</v>
      </c>
      <c r="CE30" s="270">
        <v>127994350.61</v>
      </c>
      <c r="CF30" s="270">
        <v>129946946.34999999</v>
      </c>
      <c r="CG30" s="270">
        <v>130909445.62</v>
      </c>
      <c r="CH30" s="284">
        <v>130909445</v>
      </c>
      <c r="CI30" s="270">
        <v>131317774.69</v>
      </c>
      <c r="CJ30" s="270">
        <v>132383560.73999999</v>
      </c>
      <c r="CK30" s="270">
        <v>132713498.98999999</v>
      </c>
      <c r="CL30" s="270">
        <v>133146031.09</v>
      </c>
      <c r="CM30" s="270">
        <v>133762272.06999999</v>
      </c>
      <c r="CN30" s="357">
        <v>134241315.88999999</v>
      </c>
      <c r="CO30" s="357">
        <v>135708854.61000001</v>
      </c>
      <c r="CP30" s="357">
        <v>136003881.13999999</v>
      </c>
      <c r="CQ30" s="357">
        <v>136647544.90000001</v>
      </c>
      <c r="CR30" s="374">
        <v>143132591.71000001</v>
      </c>
      <c r="CS30" s="374">
        <v>140585830.78</v>
      </c>
      <c r="CT30" s="377">
        <v>138407264.22</v>
      </c>
      <c r="CU30" s="380">
        <v>138407264</v>
      </c>
      <c r="CV30" s="380">
        <v>160511165</v>
      </c>
      <c r="CW30" s="357">
        <v>162967709.63</v>
      </c>
      <c r="CX30" s="374">
        <v>163921006.03</v>
      </c>
      <c r="CY30" s="374">
        <v>165885227.24000001</v>
      </c>
      <c r="CZ30" s="357">
        <v>167865451.94</v>
      </c>
      <c r="DA30" s="402">
        <v>170598320.71000001</v>
      </c>
      <c r="DB30" s="357">
        <v>172238126.66</v>
      </c>
      <c r="DC30" s="357">
        <v>177861351.06999999</v>
      </c>
      <c r="DD30" s="357">
        <v>181532711.66999999</v>
      </c>
      <c r="DE30" s="451">
        <v>184155227.94999999</v>
      </c>
    </row>
    <row r="31" spans="1:109" ht="15">
      <c r="A31" s="160" t="s">
        <v>43</v>
      </c>
      <c r="B31" s="211">
        <f>SUM(B28:B30)</f>
        <v>88302422</v>
      </c>
      <c r="C31" s="211">
        <f t="shared" ref="C31:I31" si="60">SUM(C28:C30)</f>
        <v>89586975</v>
      </c>
      <c r="D31" s="211">
        <f t="shared" si="60"/>
        <v>88558586</v>
      </c>
      <c r="E31" s="211">
        <f t="shared" si="60"/>
        <v>88558586</v>
      </c>
      <c r="F31" s="211">
        <f t="shared" si="60"/>
        <v>130809511</v>
      </c>
      <c r="G31" s="211">
        <f t="shared" si="60"/>
        <v>117656029.98</v>
      </c>
      <c r="H31" s="211">
        <f t="shared" si="60"/>
        <v>92769940</v>
      </c>
      <c r="I31" s="211">
        <f t="shared" si="60"/>
        <v>101506537</v>
      </c>
      <c r="J31" s="211">
        <f t="shared" ref="J31:U31" si="61">SUM(J28:J30)</f>
        <v>97552396.859999999</v>
      </c>
      <c r="K31" s="211">
        <f t="shared" si="61"/>
        <v>98209212.670000002</v>
      </c>
      <c r="L31" s="211">
        <f t="shared" si="61"/>
        <v>97552850.530000001</v>
      </c>
      <c r="M31" s="211">
        <f t="shared" si="61"/>
        <v>98042500.980000004</v>
      </c>
      <c r="N31" s="211">
        <f t="shared" si="61"/>
        <v>100059689.81</v>
      </c>
      <c r="O31" s="211">
        <f t="shared" si="61"/>
        <v>170120363.05000001</v>
      </c>
      <c r="P31" s="211">
        <f t="shared" si="61"/>
        <v>139351632.25</v>
      </c>
      <c r="Q31" s="211">
        <f t="shared" si="61"/>
        <v>123205100.34</v>
      </c>
      <c r="R31" s="211">
        <f t="shared" si="61"/>
        <v>119034952.79000001</v>
      </c>
      <c r="S31" s="211">
        <f t="shared" si="61"/>
        <v>118155940.84999999</v>
      </c>
      <c r="T31" s="211">
        <f t="shared" si="61"/>
        <v>123124199.04000001</v>
      </c>
      <c r="U31" s="211">
        <f t="shared" si="61"/>
        <v>119229089</v>
      </c>
      <c r="V31" s="211">
        <f>SUM(V28:V30)</f>
        <v>114728089</v>
      </c>
      <c r="W31" s="211">
        <f t="shared" ref="W31:AH31" si="62">SUM(W28:W30)</f>
        <v>111089282.09999999</v>
      </c>
      <c r="X31" s="211">
        <f t="shared" si="62"/>
        <v>112235102</v>
      </c>
      <c r="Y31" s="211">
        <f t="shared" si="62"/>
        <v>111054430</v>
      </c>
      <c r="Z31" s="211">
        <f t="shared" si="62"/>
        <v>111429169</v>
      </c>
      <c r="AA31" s="211">
        <f t="shared" si="62"/>
        <v>112103411</v>
      </c>
      <c r="AB31" s="211">
        <f t="shared" si="62"/>
        <v>169911384</v>
      </c>
      <c r="AC31" s="211">
        <f t="shared" si="62"/>
        <v>165392623</v>
      </c>
      <c r="AD31" s="211">
        <f t="shared" si="62"/>
        <v>153299128</v>
      </c>
      <c r="AE31" s="211">
        <f t="shared" si="62"/>
        <v>140396706</v>
      </c>
      <c r="AF31" s="211">
        <f t="shared" si="62"/>
        <v>137302110</v>
      </c>
      <c r="AG31" s="211">
        <f t="shared" si="62"/>
        <v>134022700</v>
      </c>
      <c r="AH31" s="211">
        <f t="shared" si="62"/>
        <v>127564172</v>
      </c>
      <c r="AI31" s="211">
        <f>SUM(AI28:AI30)</f>
        <v>127628799</v>
      </c>
      <c r="AJ31" s="211">
        <f t="shared" ref="AJ31:AU31" si="63">SUM(AJ28:AJ30)</f>
        <v>125959131</v>
      </c>
      <c r="AK31" s="211">
        <f t="shared" si="63"/>
        <v>130745578.3</v>
      </c>
      <c r="AL31" s="211">
        <f t="shared" si="63"/>
        <v>137480460.66</v>
      </c>
      <c r="AM31" s="211">
        <f t="shared" si="63"/>
        <v>137164239.66</v>
      </c>
      <c r="AN31" s="211">
        <f t="shared" si="63"/>
        <v>205983960.70999998</v>
      </c>
      <c r="AO31" s="211">
        <f t="shared" si="63"/>
        <v>176907331.38999999</v>
      </c>
      <c r="AP31" s="211">
        <f t="shared" si="63"/>
        <v>171828680.19</v>
      </c>
      <c r="AQ31" s="211">
        <f t="shared" si="63"/>
        <v>160333869.97</v>
      </c>
      <c r="AR31" s="211">
        <f t="shared" si="63"/>
        <v>154987557.69999999</v>
      </c>
      <c r="AS31" s="211">
        <f t="shared" si="63"/>
        <v>152251207.62</v>
      </c>
      <c r="AT31" s="211">
        <f t="shared" si="63"/>
        <v>148243023.62</v>
      </c>
      <c r="AU31" s="211">
        <f t="shared" si="63"/>
        <v>145448747.87</v>
      </c>
      <c r="AV31" s="211">
        <f>SUM(AV28:AV30)</f>
        <v>141371064</v>
      </c>
      <c r="AW31" s="211">
        <f t="shared" ref="AW31:BH31" si="64">SUM(AW28:AW30)</f>
        <v>138254576.72</v>
      </c>
      <c r="AX31" s="211">
        <f t="shared" si="64"/>
        <v>135422278.89000002</v>
      </c>
      <c r="AY31" s="211">
        <f t="shared" si="64"/>
        <v>134920794.72</v>
      </c>
      <c r="AZ31" s="211">
        <f t="shared" si="64"/>
        <v>139098797.95999998</v>
      </c>
      <c r="BA31" s="211">
        <f t="shared" si="64"/>
        <v>216603630.94</v>
      </c>
      <c r="BB31" s="211">
        <f t="shared" si="64"/>
        <v>191849819.78000003</v>
      </c>
      <c r="BC31" s="211">
        <f t="shared" si="64"/>
        <v>188834731.81999999</v>
      </c>
      <c r="BD31" s="211">
        <f t="shared" si="64"/>
        <v>185320715.24000001</v>
      </c>
      <c r="BE31" s="211">
        <f t="shared" si="64"/>
        <v>181270023.62</v>
      </c>
      <c r="BF31" s="211">
        <f t="shared" si="64"/>
        <v>178287333.74000001</v>
      </c>
      <c r="BG31" s="211">
        <f t="shared" si="64"/>
        <v>169873932.83000001</v>
      </c>
      <c r="BH31" s="211">
        <f t="shared" si="64"/>
        <v>159029118.86000001</v>
      </c>
      <c r="BI31" s="211">
        <f>SUM(BI28:BI30)</f>
        <v>159029119</v>
      </c>
      <c r="BJ31" s="211">
        <f t="shared" ref="BJ31:BU31" si="65">SUM(BJ28:BJ30)</f>
        <v>155659024.74000001</v>
      </c>
      <c r="BK31" s="211">
        <f t="shared" si="65"/>
        <v>157025596.92000002</v>
      </c>
      <c r="BL31" s="211">
        <f t="shared" si="65"/>
        <v>155571445.78</v>
      </c>
      <c r="BM31" s="211">
        <f t="shared" si="65"/>
        <v>152138955.87</v>
      </c>
      <c r="BN31" s="211">
        <f t="shared" si="65"/>
        <v>152080913.61000001</v>
      </c>
      <c r="BO31" s="211">
        <f t="shared" si="65"/>
        <v>157843718.41999999</v>
      </c>
      <c r="BP31" s="211">
        <f t="shared" si="65"/>
        <v>277458233.11000001</v>
      </c>
      <c r="BQ31" s="211">
        <f t="shared" si="65"/>
        <v>267680945.44999999</v>
      </c>
      <c r="BR31" s="211">
        <f t="shared" si="65"/>
        <v>235225500.49000001</v>
      </c>
      <c r="BS31" s="211">
        <f t="shared" si="65"/>
        <v>225481654.88999999</v>
      </c>
      <c r="BT31" s="211">
        <f t="shared" si="65"/>
        <v>205969390.71000001</v>
      </c>
      <c r="BU31" s="211">
        <f t="shared" si="65"/>
        <v>186558455.06</v>
      </c>
      <c r="BV31" s="211">
        <f t="shared" ref="BV31:CH31" si="66">SUM(BV28:BV30)</f>
        <v>186558455</v>
      </c>
      <c r="BW31" s="211">
        <f t="shared" si="66"/>
        <v>178489057.45999998</v>
      </c>
      <c r="BX31" s="211">
        <f t="shared" si="66"/>
        <v>181197183.44</v>
      </c>
      <c r="BY31" s="211">
        <f t="shared" si="66"/>
        <v>178428422.34</v>
      </c>
      <c r="BZ31" s="211">
        <f t="shared" si="66"/>
        <v>226339321.55000001</v>
      </c>
      <c r="CA31" s="211">
        <f t="shared" si="66"/>
        <v>209400309.49000001</v>
      </c>
      <c r="CB31" s="211">
        <f t="shared" si="66"/>
        <v>294117189.44</v>
      </c>
      <c r="CC31" s="211">
        <f t="shared" si="66"/>
        <v>249414356.53999999</v>
      </c>
      <c r="CD31" s="211">
        <f t="shared" si="66"/>
        <v>384466047.98000002</v>
      </c>
      <c r="CE31" s="211">
        <f t="shared" si="66"/>
        <v>318983139.63</v>
      </c>
      <c r="CF31" s="211">
        <f t="shared" si="66"/>
        <v>271660154.06</v>
      </c>
      <c r="CG31" s="211">
        <f t="shared" si="66"/>
        <v>247191634.31</v>
      </c>
      <c r="CH31" s="211">
        <f t="shared" si="66"/>
        <v>247191633</v>
      </c>
      <c r="CI31" s="211">
        <f t="shared" ref="CI31:CQ31" si="67">SUM(CI28:CI30)</f>
        <v>233867125.84</v>
      </c>
      <c r="CJ31" s="211">
        <f t="shared" si="67"/>
        <v>229228660.63</v>
      </c>
      <c r="CK31" s="211">
        <f t="shared" si="67"/>
        <v>230116966.36000001</v>
      </c>
      <c r="CL31" s="211">
        <f t="shared" si="67"/>
        <v>236847363.09</v>
      </c>
      <c r="CM31" s="211">
        <f t="shared" si="67"/>
        <v>234138774.80000001</v>
      </c>
      <c r="CN31" s="211">
        <f t="shared" si="67"/>
        <v>232778004.69</v>
      </c>
      <c r="CO31" s="211">
        <f t="shared" si="67"/>
        <v>230857180.53000003</v>
      </c>
      <c r="CP31" s="211">
        <f t="shared" si="67"/>
        <v>228205001.97999999</v>
      </c>
      <c r="CQ31" s="211">
        <f t="shared" si="67"/>
        <v>311285423.22000003</v>
      </c>
      <c r="CR31" s="211">
        <f t="shared" ref="CR31:CU31" si="68">SUM(CR28:CR30)</f>
        <v>366763590.87</v>
      </c>
      <c r="CS31" s="211">
        <f t="shared" si="68"/>
        <v>312068067.38</v>
      </c>
      <c r="CT31" s="211">
        <f t="shared" si="68"/>
        <v>290292510.34000003</v>
      </c>
      <c r="CU31" s="211">
        <f t="shared" si="68"/>
        <v>290292510</v>
      </c>
      <c r="CV31" s="211">
        <f t="shared" ref="CV31:DE31" si="69">SUM(CV28:CV30)</f>
        <v>305173272</v>
      </c>
      <c r="CW31" s="211">
        <f t="shared" si="69"/>
        <v>297119745.06</v>
      </c>
      <c r="CX31" s="211">
        <f t="shared" si="69"/>
        <v>296762318.65999997</v>
      </c>
      <c r="CY31" s="211">
        <f t="shared" si="69"/>
        <v>301505130.41000003</v>
      </c>
      <c r="CZ31" s="211">
        <f t="shared" si="69"/>
        <v>307080296.39999998</v>
      </c>
      <c r="DA31" s="211">
        <f t="shared" si="69"/>
        <v>305160658.08000004</v>
      </c>
      <c r="DB31" s="211">
        <f t="shared" si="69"/>
        <v>312536734.37</v>
      </c>
      <c r="DC31" s="211">
        <f t="shared" si="69"/>
        <v>379428746.89999998</v>
      </c>
      <c r="DD31" s="211">
        <f t="shared" si="69"/>
        <v>350422244.53999996</v>
      </c>
      <c r="DE31" s="211">
        <f t="shared" si="69"/>
        <v>341518080.95999998</v>
      </c>
    </row>
    <row r="32" spans="1:109" ht="15">
      <c r="A32" s="161" t="s">
        <v>44</v>
      </c>
      <c r="B32" s="286">
        <v>44330</v>
      </c>
      <c r="C32" s="287">
        <v>44330</v>
      </c>
      <c r="D32" s="287">
        <v>224330</v>
      </c>
      <c r="E32" s="288">
        <v>224330</v>
      </c>
      <c r="F32" s="288">
        <v>393743</v>
      </c>
      <c r="G32" s="277"/>
      <c r="H32" s="277"/>
      <c r="I32" s="277"/>
      <c r="J32" s="302">
        <v>0</v>
      </c>
      <c r="K32" s="302">
        <v>0</v>
      </c>
      <c r="L32" s="302">
        <v>0</v>
      </c>
      <c r="M32" s="304">
        <v>0</v>
      </c>
      <c r="N32" s="304">
        <v>162492</v>
      </c>
      <c r="O32" s="304">
        <v>0</v>
      </c>
      <c r="P32" s="304">
        <v>0</v>
      </c>
      <c r="Q32" s="304">
        <v>0</v>
      </c>
      <c r="R32" s="306">
        <v>0</v>
      </c>
      <c r="S32" s="307">
        <v>0</v>
      </c>
      <c r="T32" s="307">
        <v>651967</v>
      </c>
      <c r="U32" s="307">
        <v>651967</v>
      </c>
      <c r="V32" s="277"/>
      <c r="W32" s="311">
        <v>651967</v>
      </c>
      <c r="X32" s="311">
        <v>651967</v>
      </c>
      <c r="Y32" s="311">
        <v>651967</v>
      </c>
      <c r="Z32" s="311">
        <v>651967</v>
      </c>
      <c r="AA32" s="311">
        <v>651967</v>
      </c>
      <c r="AB32" s="311">
        <v>651967</v>
      </c>
      <c r="AC32" s="311">
        <v>651967</v>
      </c>
      <c r="AD32" s="311">
        <v>651967</v>
      </c>
      <c r="AE32" s="311">
        <v>353160</v>
      </c>
      <c r="AF32" s="311">
        <v>179126</v>
      </c>
      <c r="AG32" s="311">
        <v>179126</v>
      </c>
      <c r="AH32" s="311">
        <v>1716001</v>
      </c>
      <c r="AI32" s="311">
        <v>1311634</v>
      </c>
      <c r="AJ32" s="284">
        <v>1716001</v>
      </c>
      <c r="AK32" s="284">
        <v>1418808</v>
      </c>
      <c r="AL32" s="284">
        <v>0</v>
      </c>
      <c r="AM32" s="284">
        <v>0</v>
      </c>
      <c r="AN32" s="284">
        <v>0</v>
      </c>
      <c r="AO32" s="284">
        <v>0</v>
      </c>
      <c r="AP32" s="278">
        <v>0</v>
      </c>
      <c r="AQ32" s="278">
        <v>0</v>
      </c>
      <c r="AR32" s="278">
        <v>0</v>
      </c>
      <c r="AS32" s="278">
        <v>0</v>
      </c>
      <c r="AT32" s="278">
        <v>0</v>
      </c>
      <c r="AU32" s="278">
        <v>0</v>
      </c>
      <c r="AV32" s="278">
        <v>0</v>
      </c>
      <c r="AW32" s="304">
        <v>0</v>
      </c>
      <c r="AX32" s="304">
        <v>0</v>
      </c>
      <c r="AY32" s="304">
        <v>0</v>
      </c>
      <c r="AZ32" s="304">
        <v>0</v>
      </c>
      <c r="BA32" s="304">
        <v>0</v>
      </c>
      <c r="BB32" s="304">
        <v>0</v>
      </c>
      <c r="BC32" s="304">
        <v>0</v>
      </c>
      <c r="BD32" s="304">
        <v>0</v>
      </c>
      <c r="BE32" s="304">
        <v>0</v>
      </c>
      <c r="BF32" s="306">
        <v>0</v>
      </c>
      <c r="BG32" s="304">
        <v>0</v>
      </c>
      <c r="BH32" s="304">
        <v>0</v>
      </c>
      <c r="BI32" s="277"/>
      <c r="BJ32" s="304">
        <v>0</v>
      </c>
      <c r="BK32" s="272">
        <v>0</v>
      </c>
      <c r="BL32" s="364">
        <v>0</v>
      </c>
      <c r="BM32" s="364">
        <v>0</v>
      </c>
      <c r="BN32" s="364">
        <v>0</v>
      </c>
      <c r="BO32" s="327">
        <v>0</v>
      </c>
      <c r="BP32" s="364">
        <v>0</v>
      </c>
      <c r="BQ32" s="364">
        <v>0</v>
      </c>
      <c r="BR32" s="364">
        <v>0</v>
      </c>
      <c r="BS32" s="332">
        <v>0</v>
      </c>
      <c r="BT32" s="333">
        <v>0</v>
      </c>
      <c r="BU32" s="333">
        <v>0</v>
      </c>
      <c r="BV32" s="277"/>
      <c r="BW32" s="270">
        <v>0</v>
      </c>
      <c r="BX32" s="270">
        <v>0</v>
      </c>
      <c r="BY32" s="270">
        <v>0</v>
      </c>
      <c r="BZ32" s="270">
        <v>0</v>
      </c>
      <c r="CA32" s="270">
        <v>0</v>
      </c>
      <c r="CB32" s="270">
        <v>0</v>
      </c>
      <c r="CC32" s="270">
        <v>0</v>
      </c>
      <c r="CD32" s="270">
        <v>539534.94999999995</v>
      </c>
      <c r="CE32" s="270">
        <v>361223.95</v>
      </c>
      <c r="CF32" s="270">
        <v>182912.95</v>
      </c>
      <c r="CG32" s="270">
        <v>0</v>
      </c>
      <c r="CH32" s="270">
        <v>0</v>
      </c>
      <c r="CI32" s="270">
        <v>0</v>
      </c>
      <c r="CJ32" s="270">
        <v>0</v>
      </c>
      <c r="CK32" s="270">
        <v>0</v>
      </c>
      <c r="CL32" s="270">
        <v>0</v>
      </c>
      <c r="CM32" s="270">
        <v>0</v>
      </c>
      <c r="CN32" s="354">
        <v>0</v>
      </c>
      <c r="CO32" s="354">
        <v>0</v>
      </c>
      <c r="CP32" s="354">
        <v>0</v>
      </c>
      <c r="CQ32" s="354">
        <v>0</v>
      </c>
      <c r="CR32" s="371">
        <v>0</v>
      </c>
      <c r="CS32" s="371">
        <v>0</v>
      </c>
      <c r="CT32" s="376">
        <v>0</v>
      </c>
      <c r="CU32" s="380">
        <v>6543446</v>
      </c>
      <c r="CV32" s="380">
        <v>4113004</v>
      </c>
      <c r="CW32" s="354">
        <v>0</v>
      </c>
      <c r="CX32" s="371">
        <v>0</v>
      </c>
      <c r="CY32" s="371">
        <v>0</v>
      </c>
      <c r="CZ32" s="354">
        <v>0</v>
      </c>
      <c r="DA32" s="399">
        <v>0</v>
      </c>
      <c r="DB32" s="354">
        <v>0</v>
      </c>
      <c r="DC32" s="354">
        <v>0</v>
      </c>
      <c r="DD32" s="354">
        <v>0</v>
      </c>
      <c r="DE32" s="448">
        <v>0</v>
      </c>
    </row>
    <row r="33" spans="1:109" ht="15">
      <c r="A33" s="161" t="s">
        <v>45</v>
      </c>
      <c r="B33" s="286"/>
      <c r="C33" s="287"/>
      <c r="D33" s="287"/>
      <c r="E33" s="288"/>
      <c r="F33" s="288"/>
      <c r="G33" s="277"/>
      <c r="H33" s="277"/>
      <c r="I33" s="277"/>
      <c r="J33" s="302">
        <v>0</v>
      </c>
      <c r="K33" s="302">
        <v>0</v>
      </c>
      <c r="L33" s="302">
        <v>0</v>
      </c>
      <c r="M33" s="304">
        <v>0</v>
      </c>
      <c r="N33" s="304">
        <v>0</v>
      </c>
      <c r="O33" s="304">
        <v>0</v>
      </c>
      <c r="P33" s="304">
        <v>0</v>
      </c>
      <c r="Q33" s="304">
        <v>0</v>
      </c>
      <c r="R33" s="306">
        <v>0</v>
      </c>
      <c r="S33" s="304">
        <v>0</v>
      </c>
      <c r="T33" s="304">
        <v>0</v>
      </c>
      <c r="U33" s="304">
        <v>0</v>
      </c>
      <c r="V33" s="277"/>
      <c r="W33" s="311">
        <v>0</v>
      </c>
      <c r="X33" s="311">
        <v>0</v>
      </c>
      <c r="Y33" s="311">
        <v>0</v>
      </c>
      <c r="Z33" s="311">
        <v>0</v>
      </c>
      <c r="AA33" s="311">
        <v>0</v>
      </c>
      <c r="AB33" s="311">
        <v>0</v>
      </c>
      <c r="AC33" s="311">
        <v>0</v>
      </c>
      <c r="AD33" s="311">
        <v>0</v>
      </c>
      <c r="AE33" s="311">
        <v>0</v>
      </c>
      <c r="AF33" s="311">
        <v>0</v>
      </c>
      <c r="AG33" s="311">
        <v>0</v>
      </c>
      <c r="AH33" s="311">
        <v>0</v>
      </c>
      <c r="AI33" s="311">
        <v>0</v>
      </c>
      <c r="AJ33" s="284">
        <v>0</v>
      </c>
      <c r="AK33" s="284">
        <v>0</v>
      </c>
      <c r="AL33" s="284">
        <v>0</v>
      </c>
      <c r="AM33" s="284">
        <v>0</v>
      </c>
      <c r="AN33" s="284">
        <v>0</v>
      </c>
      <c r="AO33" s="284">
        <v>0</v>
      </c>
      <c r="AP33" s="278">
        <v>0</v>
      </c>
      <c r="AQ33" s="278">
        <v>0</v>
      </c>
      <c r="AR33" s="278">
        <v>0</v>
      </c>
      <c r="AS33" s="278">
        <v>0</v>
      </c>
      <c r="AT33" s="278">
        <v>0</v>
      </c>
      <c r="AU33" s="278">
        <v>0</v>
      </c>
      <c r="AV33" s="278">
        <v>4275560</v>
      </c>
      <c r="AW33" s="304">
        <v>0</v>
      </c>
      <c r="AX33" s="304">
        <v>0</v>
      </c>
      <c r="AY33" s="304">
        <v>0</v>
      </c>
      <c r="AZ33" s="304">
        <v>0</v>
      </c>
      <c r="BA33" s="304">
        <v>0</v>
      </c>
      <c r="BB33" s="304">
        <v>0</v>
      </c>
      <c r="BC33" s="304">
        <v>0</v>
      </c>
      <c r="BD33" s="304">
        <v>0</v>
      </c>
      <c r="BE33" s="304">
        <v>0</v>
      </c>
      <c r="BF33" s="306">
        <v>0</v>
      </c>
      <c r="BG33" s="304">
        <v>0</v>
      </c>
      <c r="BH33" s="304">
        <v>0</v>
      </c>
      <c r="BI33" s="304">
        <v>5000000</v>
      </c>
      <c r="BJ33" s="304">
        <v>0</v>
      </c>
      <c r="BK33" s="272">
        <v>0</v>
      </c>
      <c r="BL33" s="364">
        <v>0</v>
      </c>
      <c r="BM33" s="364">
        <v>0</v>
      </c>
      <c r="BN33" s="364">
        <v>0</v>
      </c>
      <c r="BO33" s="327">
        <v>0</v>
      </c>
      <c r="BP33" s="364">
        <v>0</v>
      </c>
      <c r="BQ33" s="364">
        <v>0</v>
      </c>
      <c r="BR33" s="364">
        <v>0</v>
      </c>
      <c r="BS33" s="332">
        <v>0</v>
      </c>
      <c r="BT33" s="333">
        <v>0</v>
      </c>
      <c r="BU33" s="333">
        <v>0</v>
      </c>
      <c r="BV33" s="277"/>
      <c r="BW33" s="270">
        <v>0</v>
      </c>
      <c r="BX33" s="270">
        <v>0</v>
      </c>
      <c r="BY33" s="270">
        <v>0</v>
      </c>
      <c r="BZ33" s="270">
        <v>0</v>
      </c>
      <c r="CA33" s="270">
        <v>0</v>
      </c>
      <c r="CB33" s="270">
        <v>0</v>
      </c>
      <c r="CC33" s="270">
        <v>0</v>
      </c>
      <c r="CD33" s="270">
        <v>0</v>
      </c>
      <c r="CE33" s="270">
        <v>0</v>
      </c>
      <c r="CF33" s="270">
        <v>0</v>
      </c>
      <c r="CG33" s="270">
        <v>0</v>
      </c>
      <c r="CH33" s="270">
        <v>0</v>
      </c>
      <c r="CI33" s="270">
        <v>7000000</v>
      </c>
      <c r="CJ33" s="270">
        <v>7000000</v>
      </c>
      <c r="CK33" s="270">
        <v>7000000</v>
      </c>
      <c r="CL33" s="270">
        <v>45029.55</v>
      </c>
      <c r="CM33" s="270">
        <v>45029.55</v>
      </c>
      <c r="CN33" s="357">
        <v>45029.55</v>
      </c>
      <c r="CO33" s="357">
        <v>45029.55</v>
      </c>
      <c r="CP33" s="356">
        <v>0</v>
      </c>
      <c r="CQ33" s="356">
        <v>0</v>
      </c>
      <c r="CR33" s="373">
        <v>0</v>
      </c>
      <c r="CS33" s="373">
        <v>0</v>
      </c>
      <c r="CT33" s="376">
        <v>0</v>
      </c>
      <c r="CU33" s="380"/>
      <c r="CV33" s="380"/>
      <c r="CW33" s="356">
        <v>0</v>
      </c>
      <c r="CX33" s="373">
        <v>0</v>
      </c>
      <c r="CY33" s="373">
        <v>0</v>
      </c>
      <c r="CZ33" s="356">
        <v>0</v>
      </c>
      <c r="DA33" s="401">
        <v>0</v>
      </c>
      <c r="DB33" s="356">
        <v>0</v>
      </c>
      <c r="DC33" s="356">
        <v>0</v>
      </c>
      <c r="DD33" s="356">
        <v>0</v>
      </c>
      <c r="DE33" s="450">
        <v>0</v>
      </c>
    </row>
    <row r="34" spans="1:109" ht="15">
      <c r="A34" s="161" t="s">
        <v>46</v>
      </c>
      <c r="B34" s="286"/>
      <c r="C34" s="287">
        <v>9039797</v>
      </c>
      <c r="D34" s="287">
        <v>31164651</v>
      </c>
      <c r="E34" s="288">
        <v>32763062</v>
      </c>
      <c r="F34" s="288">
        <v>30784235.43</v>
      </c>
      <c r="G34" s="277"/>
      <c r="H34" s="277"/>
      <c r="I34" s="277"/>
      <c r="J34" s="302"/>
      <c r="K34" s="302"/>
      <c r="L34" s="302"/>
      <c r="M34" s="304">
        <v>0</v>
      </c>
      <c r="N34" s="304">
        <v>0</v>
      </c>
      <c r="O34" s="304">
        <v>0</v>
      </c>
      <c r="P34" s="304">
        <v>0</v>
      </c>
      <c r="Q34" s="304">
        <v>0</v>
      </c>
      <c r="R34" s="306">
        <v>0</v>
      </c>
      <c r="S34" s="304">
        <v>0</v>
      </c>
      <c r="T34" s="304">
        <v>0</v>
      </c>
      <c r="U34" s="304">
        <v>0</v>
      </c>
      <c r="V34" s="277"/>
      <c r="W34" s="311">
        <v>0</v>
      </c>
      <c r="X34" s="311">
        <v>0</v>
      </c>
      <c r="Y34" s="311">
        <v>0</v>
      </c>
      <c r="Z34" s="311">
        <v>0</v>
      </c>
      <c r="AA34" s="311">
        <v>0</v>
      </c>
      <c r="AB34" s="311">
        <v>1042028</v>
      </c>
      <c r="AC34" s="311">
        <v>1159690</v>
      </c>
      <c r="AD34" s="311">
        <v>1059710</v>
      </c>
      <c r="AE34" s="311">
        <v>0</v>
      </c>
      <c r="AF34" s="311">
        <v>0</v>
      </c>
      <c r="AG34" s="311">
        <v>0</v>
      </c>
      <c r="AH34" s="311">
        <v>0</v>
      </c>
      <c r="AI34" s="311">
        <v>0</v>
      </c>
      <c r="AJ34" s="284">
        <v>0</v>
      </c>
      <c r="AK34" s="284">
        <v>0</v>
      </c>
      <c r="AL34" s="284">
        <v>0</v>
      </c>
      <c r="AM34" s="284">
        <v>0</v>
      </c>
      <c r="AN34" s="284">
        <v>0</v>
      </c>
      <c r="AO34" s="284">
        <v>0</v>
      </c>
      <c r="AP34" s="278">
        <v>0</v>
      </c>
      <c r="AQ34" s="278">
        <v>0</v>
      </c>
      <c r="AR34" s="278">
        <v>0</v>
      </c>
      <c r="AS34" s="278">
        <v>0</v>
      </c>
      <c r="AT34" s="278">
        <v>0</v>
      </c>
      <c r="AU34" s="278">
        <v>0</v>
      </c>
      <c r="AV34" s="278">
        <v>0</v>
      </c>
      <c r="AW34" s="304">
        <v>0</v>
      </c>
      <c r="AX34" s="304">
        <v>0</v>
      </c>
      <c r="AY34" s="304">
        <v>0</v>
      </c>
      <c r="AZ34" s="304">
        <v>0</v>
      </c>
      <c r="BA34" s="304">
        <v>0</v>
      </c>
      <c r="BB34" s="304">
        <v>0</v>
      </c>
      <c r="BC34" s="304">
        <v>0</v>
      </c>
      <c r="BD34" s="304">
        <v>0</v>
      </c>
      <c r="BE34" s="304">
        <v>0</v>
      </c>
      <c r="BF34" s="306">
        <v>0</v>
      </c>
      <c r="BG34" s="304">
        <v>0</v>
      </c>
      <c r="BH34" s="304">
        <v>0</v>
      </c>
      <c r="BI34" s="304"/>
      <c r="BJ34" s="304">
        <v>0</v>
      </c>
      <c r="BK34" s="272">
        <v>0</v>
      </c>
      <c r="BL34" s="364">
        <v>0</v>
      </c>
      <c r="BM34" s="364">
        <v>0</v>
      </c>
      <c r="BN34" s="364">
        <v>0</v>
      </c>
      <c r="BO34" s="327">
        <v>0</v>
      </c>
      <c r="BP34" s="364">
        <v>0</v>
      </c>
      <c r="BQ34" s="364">
        <v>0</v>
      </c>
      <c r="BR34" s="364">
        <v>0</v>
      </c>
      <c r="BS34" s="332">
        <v>0</v>
      </c>
      <c r="BT34" s="333">
        <v>0</v>
      </c>
      <c r="BU34" s="333">
        <v>0</v>
      </c>
      <c r="BV34" s="277"/>
      <c r="BW34" s="270">
        <v>0</v>
      </c>
      <c r="BX34" s="270">
        <v>0</v>
      </c>
      <c r="BY34" s="270">
        <v>0</v>
      </c>
      <c r="BZ34" s="270">
        <v>0</v>
      </c>
      <c r="CA34" s="270">
        <v>0</v>
      </c>
      <c r="CB34" s="270">
        <v>0</v>
      </c>
      <c r="CC34" s="270">
        <v>0</v>
      </c>
      <c r="CD34" s="270">
        <v>0</v>
      </c>
      <c r="CE34" s="270">
        <v>0</v>
      </c>
      <c r="CF34" s="270">
        <v>0</v>
      </c>
      <c r="CG34" s="270">
        <v>0</v>
      </c>
      <c r="CH34" s="270">
        <v>0</v>
      </c>
      <c r="CI34" s="270">
        <v>0</v>
      </c>
      <c r="CJ34" s="270">
        <v>0</v>
      </c>
      <c r="CK34" s="270">
        <v>0</v>
      </c>
      <c r="CL34" s="270">
        <v>0</v>
      </c>
      <c r="CM34" s="270">
        <v>0</v>
      </c>
      <c r="CN34" s="356">
        <v>0</v>
      </c>
      <c r="CO34" s="356">
        <v>0</v>
      </c>
      <c r="CP34" s="356">
        <v>0</v>
      </c>
      <c r="CQ34" s="356">
        <v>0</v>
      </c>
      <c r="CR34" s="373">
        <v>0</v>
      </c>
      <c r="CS34" s="373">
        <v>0</v>
      </c>
      <c r="CT34" s="376">
        <v>0</v>
      </c>
      <c r="CU34" s="380"/>
      <c r="CV34" s="380"/>
      <c r="CW34" s="356">
        <v>0</v>
      </c>
      <c r="CX34" s="373">
        <v>0</v>
      </c>
      <c r="CY34" s="373">
        <v>0</v>
      </c>
      <c r="CZ34" s="356">
        <v>0</v>
      </c>
      <c r="DA34" s="401">
        <v>0</v>
      </c>
      <c r="DB34" s="356">
        <v>0</v>
      </c>
      <c r="DC34" s="356">
        <v>0</v>
      </c>
      <c r="DD34" s="356">
        <v>0</v>
      </c>
      <c r="DE34" s="450">
        <v>0</v>
      </c>
    </row>
    <row r="35" spans="1:109" ht="15">
      <c r="A35" s="161" t="s">
        <v>47</v>
      </c>
      <c r="B35" s="286">
        <v>5005464</v>
      </c>
      <c r="C35" s="287">
        <v>5220296</v>
      </c>
      <c r="D35" s="287">
        <v>5418645</v>
      </c>
      <c r="E35" s="288">
        <v>5418645</v>
      </c>
      <c r="F35" s="288"/>
      <c r="G35" s="278"/>
      <c r="H35" s="278"/>
      <c r="I35" s="278"/>
      <c r="J35" s="302">
        <v>1223471.3</v>
      </c>
      <c r="K35" s="302">
        <v>1326475.8500000001</v>
      </c>
      <c r="L35" s="302">
        <v>993408.4</v>
      </c>
      <c r="M35" s="304">
        <v>1081892.95</v>
      </c>
      <c r="N35" s="304">
        <v>1172922.8</v>
      </c>
      <c r="O35" s="304">
        <v>1266320.3</v>
      </c>
      <c r="P35" s="304">
        <v>1001671.55</v>
      </c>
      <c r="Q35" s="304">
        <v>1105083.45</v>
      </c>
      <c r="R35" s="306">
        <v>1212035.05</v>
      </c>
      <c r="S35" s="304">
        <v>1318986.6499999999</v>
      </c>
      <c r="T35" s="304">
        <v>1011412</v>
      </c>
      <c r="U35" s="304">
        <v>1123693</v>
      </c>
      <c r="V35" s="304">
        <v>11725823</v>
      </c>
      <c r="W35" s="311">
        <v>1023241.12</v>
      </c>
      <c r="X35" s="311">
        <v>1152847</v>
      </c>
      <c r="Y35" s="311">
        <v>1024493</v>
      </c>
      <c r="Z35" s="311">
        <v>1283450</v>
      </c>
      <c r="AA35" s="311">
        <v>1408487</v>
      </c>
      <c r="AB35" s="311">
        <v>10083404</v>
      </c>
      <c r="AC35" s="311">
        <v>7085661</v>
      </c>
      <c r="AD35" s="311">
        <v>6052202</v>
      </c>
      <c r="AE35" s="311">
        <v>1059710</v>
      </c>
      <c r="AF35" s="311">
        <v>1161902</v>
      </c>
      <c r="AG35" s="311">
        <v>1264509.5900000001</v>
      </c>
      <c r="AH35" s="311">
        <v>1051361.31</v>
      </c>
      <c r="AI35" s="311"/>
      <c r="AJ35" s="284">
        <v>1168066.31</v>
      </c>
      <c r="AK35" s="284">
        <v>493414.95</v>
      </c>
      <c r="AL35" s="284">
        <v>376705.95</v>
      </c>
      <c r="AM35" s="284">
        <v>0</v>
      </c>
      <c r="AN35" s="284">
        <v>0</v>
      </c>
      <c r="AO35" s="284">
        <v>0</v>
      </c>
      <c r="AP35" s="278">
        <v>0</v>
      </c>
      <c r="AQ35" s="278">
        <v>0</v>
      </c>
      <c r="AR35" s="278">
        <v>0</v>
      </c>
      <c r="AS35" s="278">
        <v>0</v>
      </c>
      <c r="AT35" s="278">
        <v>0</v>
      </c>
      <c r="AU35" s="278">
        <v>0</v>
      </c>
      <c r="AV35" s="278">
        <v>0</v>
      </c>
      <c r="AW35" s="304">
        <v>0</v>
      </c>
      <c r="AX35" s="304">
        <v>0</v>
      </c>
      <c r="AY35" s="304">
        <v>0</v>
      </c>
      <c r="AZ35" s="304">
        <v>0</v>
      </c>
      <c r="BA35" s="304">
        <v>0</v>
      </c>
      <c r="BB35" s="304">
        <v>0</v>
      </c>
      <c r="BC35" s="304">
        <v>0</v>
      </c>
      <c r="BD35" s="304">
        <v>0</v>
      </c>
      <c r="BE35" s="304">
        <v>0</v>
      </c>
      <c r="BF35" s="306">
        <v>0</v>
      </c>
      <c r="BG35" s="278"/>
      <c r="BH35" s="278"/>
      <c r="BI35" s="278"/>
      <c r="BJ35" s="278">
        <v>7714596.71</v>
      </c>
      <c r="BK35" s="278">
        <v>7302673.0999999996</v>
      </c>
      <c r="BL35" s="364">
        <v>7461822.1699999999</v>
      </c>
      <c r="BM35" s="364">
        <v>7741287.5599999996</v>
      </c>
      <c r="BN35" s="364">
        <v>7201286.3700000001</v>
      </c>
      <c r="BO35" s="328"/>
      <c r="BP35" s="278"/>
      <c r="BQ35" s="278"/>
      <c r="BR35" s="278"/>
      <c r="BS35" s="332">
        <v>0</v>
      </c>
      <c r="BT35" s="278"/>
      <c r="BU35" s="278"/>
      <c r="BV35" s="278"/>
      <c r="BW35" s="270">
        <v>0</v>
      </c>
      <c r="BX35" s="270">
        <v>0</v>
      </c>
      <c r="BY35" s="270">
        <v>0</v>
      </c>
      <c r="BZ35" s="270">
        <v>0</v>
      </c>
      <c r="CA35" s="270">
        <v>0</v>
      </c>
      <c r="CB35" s="270">
        <v>0</v>
      </c>
      <c r="CC35" s="270">
        <v>0</v>
      </c>
      <c r="CD35" s="270">
        <v>591083.59</v>
      </c>
      <c r="CE35" s="270">
        <v>569475.89</v>
      </c>
      <c r="CF35" s="270">
        <v>601107.79</v>
      </c>
      <c r="CG35" s="270">
        <v>412846</v>
      </c>
      <c r="CH35" s="284"/>
      <c r="CI35" s="270">
        <v>0</v>
      </c>
      <c r="CJ35" s="270">
        <v>0</v>
      </c>
      <c r="CK35" s="270">
        <v>0</v>
      </c>
      <c r="CL35" s="270">
        <v>0</v>
      </c>
      <c r="CM35" s="270">
        <v>713139.85</v>
      </c>
      <c r="CN35" s="357">
        <v>731282.85</v>
      </c>
      <c r="CO35" s="357">
        <v>764363.02</v>
      </c>
      <c r="CP35" s="357">
        <v>796846.02</v>
      </c>
      <c r="CQ35" s="357">
        <v>803839.02</v>
      </c>
      <c r="CR35" s="374">
        <v>834132.02</v>
      </c>
      <c r="CS35" s="374">
        <v>838754.52</v>
      </c>
      <c r="CT35" s="377">
        <v>872447.52</v>
      </c>
      <c r="CU35" s="380"/>
      <c r="CV35" s="380"/>
      <c r="CW35" s="357">
        <v>1048167.53</v>
      </c>
      <c r="CX35" s="374">
        <v>1080029.49</v>
      </c>
      <c r="CY35" s="374">
        <v>1112527.95</v>
      </c>
      <c r="CZ35" s="357">
        <v>1144744.21</v>
      </c>
      <c r="DA35" s="402">
        <v>1110826.01</v>
      </c>
      <c r="DB35" s="357">
        <v>1141857.9099999999</v>
      </c>
      <c r="DC35" s="357">
        <v>1161726.3600000001</v>
      </c>
      <c r="DD35" s="357">
        <v>1406399.31</v>
      </c>
      <c r="DE35" s="451">
        <v>1195236.01</v>
      </c>
    </row>
    <row r="36" spans="1:109" ht="15">
      <c r="A36" s="161" t="s">
        <v>48</v>
      </c>
      <c r="B36" s="286">
        <f>33883+64158+167379+8428187+13200000</f>
        <v>21893607</v>
      </c>
      <c r="C36" s="287"/>
      <c r="D36" s="287"/>
      <c r="E36" s="288"/>
      <c r="F36" s="288"/>
      <c r="G36" s="288">
        <f>19443773.41+393743.4+178213656</f>
        <v>198051172.81</v>
      </c>
      <c r="H36" s="299">
        <f>4362880+10817111+178213656</f>
        <v>193393647</v>
      </c>
      <c r="I36" s="302">
        <v>10157592</v>
      </c>
      <c r="J36" s="302">
        <v>6727894.0700000003</v>
      </c>
      <c r="K36" s="302">
        <v>6742858.3300000001</v>
      </c>
      <c r="L36" s="302">
        <v>6277336.0300000003</v>
      </c>
      <c r="M36" s="304">
        <v>6806684.2300000004</v>
      </c>
      <c r="N36" s="304">
        <v>6331607.7800000003</v>
      </c>
      <c r="O36" s="304">
        <v>-6106433.7000000002</v>
      </c>
      <c r="P36" s="304">
        <v>24113829.030000001</v>
      </c>
      <c r="Q36" s="304">
        <v>7369849.1299999999</v>
      </c>
      <c r="R36" s="306">
        <v>10046738.289999999</v>
      </c>
      <c r="S36" s="304">
        <v>11050821.01</v>
      </c>
      <c r="T36" s="304">
        <v>9347244.4000000004</v>
      </c>
      <c r="U36" s="304">
        <v>8486407.2100000009</v>
      </c>
      <c r="V36" s="279"/>
      <c r="W36" s="311">
        <v>8394823.5</v>
      </c>
      <c r="X36" s="311">
        <v>6604477</v>
      </c>
      <c r="Y36" s="311">
        <v>7740138.5599999996</v>
      </c>
      <c r="Z36" s="311">
        <v>6533790.7400000002</v>
      </c>
      <c r="AA36" s="311">
        <v>7718599</v>
      </c>
      <c r="AB36" s="311">
        <v>0</v>
      </c>
      <c r="AC36" s="311">
        <v>0</v>
      </c>
      <c r="AD36" s="311">
        <v>0</v>
      </c>
      <c r="AE36" s="311">
        <v>7842750</v>
      </c>
      <c r="AF36" s="311">
        <v>7002474</v>
      </c>
      <c r="AG36" s="311">
        <v>6693157.6699999999</v>
      </c>
      <c r="AH36" s="311">
        <v>2893506.78</v>
      </c>
      <c r="AI36" s="311">
        <f>4034281+3999868</f>
        <v>8034149</v>
      </c>
      <c r="AJ36" s="284">
        <v>2893505.78</v>
      </c>
      <c r="AK36" s="284">
        <v>6681300.2599999998</v>
      </c>
      <c r="AL36" s="284">
        <v>8567645.2400000002</v>
      </c>
      <c r="AM36" s="284">
        <v>7669947.5700000003</v>
      </c>
      <c r="AN36" s="284">
        <v>6964469.5199999996</v>
      </c>
      <c r="AO36" s="284">
        <v>3065908.1</v>
      </c>
      <c r="AP36" s="278">
        <v>2668084.17</v>
      </c>
      <c r="AQ36" s="278">
        <v>4010665.07</v>
      </c>
      <c r="AR36" s="278">
        <v>4183358.19</v>
      </c>
      <c r="AS36" s="278">
        <v>4111078.71</v>
      </c>
      <c r="AT36" s="278">
        <v>4242112.04</v>
      </c>
      <c r="AU36" s="278">
        <v>2198262.89</v>
      </c>
      <c r="AV36" s="278">
        <v>2233621</v>
      </c>
      <c r="AW36" s="304">
        <v>2749440.02</v>
      </c>
      <c r="AX36" s="304">
        <v>2640228.2999999998</v>
      </c>
      <c r="AY36" s="304">
        <v>2759673.23</v>
      </c>
      <c r="AZ36" s="304">
        <v>1818411.34</v>
      </c>
      <c r="BA36" s="304">
        <v>1177797.1000000001</v>
      </c>
      <c r="BB36" s="316">
        <v>195312.30000000075</v>
      </c>
      <c r="BC36" s="284">
        <v>1420285.14</v>
      </c>
      <c r="BD36" s="272">
        <v>1827256.87</v>
      </c>
      <c r="BE36" s="272">
        <v>1293035.55</v>
      </c>
      <c r="BF36" s="320">
        <v>2046605.5</v>
      </c>
      <c r="BG36" s="304">
        <v>4539384.58</v>
      </c>
      <c r="BH36" s="304">
        <v>8004071.79</v>
      </c>
      <c r="BI36" s="284">
        <v>3004072</v>
      </c>
      <c r="BJ36" s="284">
        <v>0</v>
      </c>
      <c r="BK36" s="272">
        <v>0</v>
      </c>
      <c r="BL36" s="364">
        <v>0</v>
      </c>
      <c r="BM36" s="364">
        <v>0</v>
      </c>
      <c r="BN36" s="364">
        <v>0</v>
      </c>
      <c r="BO36" s="329">
        <v>6916192.0300000012</v>
      </c>
      <c r="BP36" s="364">
        <v>3366208.02</v>
      </c>
      <c r="BQ36" s="364">
        <v>3629075.96</v>
      </c>
      <c r="BR36" s="364">
        <v>6431941.8600000003</v>
      </c>
      <c r="BS36" s="364">
        <v>6291352.8099999996</v>
      </c>
      <c r="BT36" s="364">
        <v>4763249.58</v>
      </c>
      <c r="BU36" s="334">
        <v>11600951.26</v>
      </c>
      <c r="BV36" s="279">
        <f>9600951+3878837.5</f>
        <v>13479788.5</v>
      </c>
      <c r="BW36" s="270">
        <v>11464600.949999999</v>
      </c>
      <c r="BX36" s="270">
        <v>12411076.77</v>
      </c>
      <c r="BY36" s="270">
        <v>12015101.630000001</v>
      </c>
      <c r="BZ36" s="270">
        <v>10514832.24</v>
      </c>
      <c r="CA36" s="270">
        <v>5183510.25</v>
      </c>
      <c r="CB36" s="270">
        <v>4364729.54</v>
      </c>
      <c r="CC36" s="270">
        <v>3439965.77</v>
      </c>
      <c r="CD36" s="270">
        <v>34676668.590000004</v>
      </c>
      <c r="CE36" s="270">
        <v>4991838.43</v>
      </c>
      <c r="CF36" s="270">
        <v>2731401.44</v>
      </c>
      <c r="CG36" s="270">
        <v>10685643.17</v>
      </c>
      <c r="CH36" s="284">
        <f>11098489+2554227</f>
        <v>13652716</v>
      </c>
      <c r="CI36" s="270">
        <v>4161802.11</v>
      </c>
      <c r="CJ36" s="270">
        <v>4914619.47</v>
      </c>
      <c r="CK36" s="270">
        <v>5376745.1399999997</v>
      </c>
      <c r="CL36" s="270">
        <v>5387752.8700000001</v>
      </c>
      <c r="CM36" s="270">
        <v>3206020.38</v>
      </c>
      <c r="CN36" s="357">
        <v>3541266.36</v>
      </c>
      <c r="CO36" s="357">
        <v>2715412.77</v>
      </c>
      <c r="CP36" s="357">
        <v>2921561.86</v>
      </c>
      <c r="CQ36" s="357">
        <v>88544509.370000005</v>
      </c>
      <c r="CR36" s="374">
        <v>7541690.2800000003</v>
      </c>
      <c r="CS36" s="374">
        <v>3808915.68</v>
      </c>
      <c r="CT36" s="377">
        <v>11945442.25</v>
      </c>
      <c r="CU36" s="380">
        <v>12817890</v>
      </c>
      <c r="CV36" s="380">
        <v>17166685</v>
      </c>
      <c r="CW36" s="357">
        <v>15435563.41</v>
      </c>
      <c r="CX36" s="374">
        <v>15424155.890000001</v>
      </c>
      <c r="CY36" s="374">
        <v>15602245.73</v>
      </c>
      <c r="CZ36" s="357">
        <v>7820357.4100000001</v>
      </c>
      <c r="DA36" s="402">
        <v>3862057.07</v>
      </c>
      <c r="DB36" s="357">
        <v>4830228.87</v>
      </c>
      <c r="DC36" s="357">
        <v>5835191.3899999997</v>
      </c>
      <c r="DD36" s="357">
        <v>8544929.3200000003</v>
      </c>
      <c r="DE36" s="451">
        <v>8570291.2400000002</v>
      </c>
    </row>
    <row r="37" spans="1:109" ht="15">
      <c r="A37" s="161" t="s">
        <v>49</v>
      </c>
      <c r="B37" s="295">
        <v>23369140</v>
      </c>
      <c r="C37" s="295">
        <v>22592216</v>
      </c>
      <c r="D37" s="296">
        <v>21733302</v>
      </c>
      <c r="E37" s="288">
        <v>20582216</v>
      </c>
      <c r="F37" s="288">
        <v>19635543</v>
      </c>
      <c r="G37" s="288">
        <v>28914</v>
      </c>
      <c r="H37" s="300">
        <v>28914</v>
      </c>
      <c r="I37" s="280"/>
      <c r="J37" s="302">
        <v>0</v>
      </c>
      <c r="K37" s="302">
        <v>0</v>
      </c>
      <c r="L37" s="302">
        <v>0</v>
      </c>
      <c r="M37" s="304">
        <v>0</v>
      </c>
      <c r="N37" s="304">
        <v>0</v>
      </c>
      <c r="O37" s="304">
        <v>0</v>
      </c>
      <c r="P37" s="304">
        <v>0</v>
      </c>
      <c r="Q37" s="280"/>
      <c r="R37" s="280"/>
      <c r="S37" s="280"/>
      <c r="T37" s="280"/>
      <c r="U37" s="280"/>
      <c r="V37" s="280"/>
      <c r="W37" s="311">
        <v>0</v>
      </c>
      <c r="X37" s="311">
        <v>0</v>
      </c>
      <c r="Y37" s="311">
        <v>0</v>
      </c>
      <c r="Z37" s="311">
        <v>0</v>
      </c>
      <c r="AA37" s="311">
        <v>0</v>
      </c>
      <c r="AB37" s="311"/>
      <c r="AC37" s="311"/>
      <c r="AD37" s="311"/>
      <c r="AE37" s="311">
        <v>0</v>
      </c>
      <c r="AF37" s="311">
        <v>0</v>
      </c>
      <c r="AG37" s="311">
        <v>0</v>
      </c>
      <c r="AH37" s="311">
        <v>0</v>
      </c>
      <c r="AI37" s="311">
        <v>0</v>
      </c>
      <c r="AJ37" s="284">
        <v>0</v>
      </c>
      <c r="AK37" s="284">
        <v>0</v>
      </c>
      <c r="AL37" s="284">
        <v>0</v>
      </c>
      <c r="AM37" s="284">
        <v>0</v>
      </c>
      <c r="AN37" s="284">
        <v>0</v>
      </c>
      <c r="AO37" s="284">
        <v>0</v>
      </c>
      <c r="AP37" s="278">
        <v>0</v>
      </c>
      <c r="AQ37" s="278">
        <v>0</v>
      </c>
      <c r="AR37" s="278">
        <v>0</v>
      </c>
      <c r="AS37" s="278">
        <v>0</v>
      </c>
      <c r="AT37" s="278">
        <v>0</v>
      </c>
      <c r="AU37" s="278">
        <v>0</v>
      </c>
      <c r="AV37" s="278">
        <v>0</v>
      </c>
      <c r="AW37" s="304">
        <v>0</v>
      </c>
      <c r="AX37" s="304">
        <v>0</v>
      </c>
      <c r="AY37" s="304">
        <v>0</v>
      </c>
      <c r="AZ37" s="304">
        <v>0</v>
      </c>
      <c r="BA37" s="304">
        <v>0</v>
      </c>
      <c r="BB37" s="304">
        <v>0</v>
      </c>
      <c r="BC37" s="284">
        <v>0</v>
      </c>
      <c r="BD37" s="284">
        <v>0</v>
      </c>
      <c r="BE37" s="284">
        <v>0</v>
      </c>
      <c r="BF37" s="284">
        <v>0</v>
      </c>
      <c r="BG37" s="304">
        <v>0</v>
      </c>
      <c r="BH37" s="304">
        <v>0</v>
      </c>
      <c r="BI37" s="284"/>
      <c r="BJ37" s="280"/>
      <c r="BK37" s="280"/>
      <c r="BL37" s="280"/>
      <c r="BM37" s="280"/>
      <c r="BN37" s="280"/>
      <c r="BO37" s="328"/>
      <c r="BP37" s="335"/>
      <c r="BQ37" s="335"/>
      <c r="BR37" s="278"/>
      <c r="BS37" s="332">
        <v>0</v>
      </c>
      <c r="BT37" s="332">
        <v>0</v>
      </c>
      <c r="BU37" s="332">
        <v>0</v>
      </c>
      <c r="BV37" s="280"/>
      <c r="BW37" s="270">
        <v>0</v>
      </c>
      <c r="BX37" s="270">
        <v>0</v>
      </c>
      <c r="BY37" s="270">
        <v>0</v>
      </c>
      <c r="BZ37" s="270">
        <v>0</v>
      </c>
      <c r="CA37" s="270">
        <v>0</v>
      </c>
      <c r="CB37" s="270">
        <v>0</v>
      </c>
      <c r="CC37" s="270">
        <v>0</v>
      </c>
      <c r="CD37" s="270">
        <v>0</v>
      </c>
      <c r="CE37" s="270">
        <v>0</v>
      </c>
      <c r="CF37" s="270">
        <v>0</v>
      </c>
      <c r="CG37" s="270">
        <v>0</v>
      </c>
      <c r="CH37" s="270">
        <v>0</v>
      </c>
      <c r="CI37" s="270">
        <v>0</v>
      </c>
      <c r="CJ37" s="270">
        <v>0</v>
      </c>
      <c r="CK37" s="270">
        <v>0</v>
      </c>
      <c r="CL37" s="270">
        <v>0</v>
      </c>
      <c r="CM37" s="270">
        <v>0</v>
      </c>
      <c r="CN37" s="356">
        <v>0</v>
      </c>
      <c r="CO37" s="356">
        <v>0</v>
      </c>
      <c r="CP37" s="356">
        <v>0</v>
      </c>
      <c r="CQ37" s="356">
        <v>0</v>
      </c>
      <c r="CR37" s="373">
        <v>0</v>
      </c>
      <c r="CS37" s="373">
        <v>0</v>
      </c>
      <c r="CT37" s="376">
        <v>0</v>
      </c>
      <c r="CU37" s="380"/>
      <c r="CV37" s="380"/>
      <c r="CW37" s="356">
        <v>0</v>
      </c>
      <c r="CX37" s="373">
        <v>0</v>
      </c>
      <c r="CY37" s="373">
        <v>0</v>
      </c>
      <c r="CZ37" s="356">
        <v>0</v>
      </c>
      <c r="DA37" s="401">
        <v>0</v>
      </c>
      <c r="DB37" s="356">
        <v>0</v>
      </c>
      <c r="DC37" s="356">
        <v>0</v>
      </c>
      <c r="DD37" s="356">
        <v>0</v>
      </c>
      <c r="DE37" s="450">
        <v>0</v>
      </c>
    </row>
    <row r="38" spans="1:109" ht="15">
      <c r="A38" s="160" t="s">
        <v>50</v>
      </c>
      <c r="B38" s="211">
        <f>SUM(B31:B37)</f>
        <v>138614963</v>
      </c>
      <c r="C38" s="211">
        <f t="shared" ref="C38:I38" si="70">SUM(C31:C37)</f>
        <v>126483614</v>
      </c>
      <c r="D38" s="211">
        <f t="shared" si="70"/>
        <v>147099514</v>
      </c>
      <c r="E38" s="211">
        <f t="shared" si="70"/>
        <v>147546839</v>
      </c>
      <c r="F38" s="211">
        <f t="shared" si="70"/>
        <v>181623032.43000001</v>
      </c>
      <c r="G38" s="211">
        <f t="shared" si="70"/>
        <v>315736116.79000002</v>
      </c>
      <c r="H38" s="211">
        <f t="shared" si="70"/>
        <v>286192501</v>
      </c>
      <c r="I38" s="211">
        <f t="shared" si="70"/>
        <v>111664129</v>
      </c>
      <c r="J38" s="211">
        <f t="shared" ref="J38:U38" si="71">SUM(J31:J37)</f>
        <v>105503762.22999999</v>
      </c>
      <c r="K38" s="211">
        <f t="shared" si="71"/>
        <v>106278546.84999999</v>
      </c>
      <c r="L38" s="211">
        <f t="shared" si="71"/>
        <v>104823594.96000001</v>
      </c>
      <c r="M38" s="211">
        <f t="shared" si="71"/>
        <v>105931078.16000001</v>
      </c>
      <c r="N38" s="211">
        <f t="shared" si="71"/>
        <v>107726712.39</v>
      </c>
      <c r="O38" s="211">
        <f t="shared" si="71"/>
        <v>165280249.65000004</v>
      </c>
      <c r="P38" s="211">
        <f t="shared" si="71"/>
        <v>164467132.83000001</v>
      </c>
      <c r="Q38" s="211">
        <f t="shared" si="71"/>
        <v>131680032.92</v>
      </c>
      <c r="R38" s="211">
        <f t="shared" si="71"/>
        <v>130293726.13</v>
      </c>
      <c r="S38" s="211">
        <f t="shared" si="71"/>
        <v>130525748.51000001</v>
      </c>
      <c r="T38" s="211">
        <f t="shared" si="71"/>
        <v>134134822.44000001</v>
      </c>
      <c r="U38" s="211">
        <f t="shared" si="71"/>
        <v>129491156.21000001</v>
      </c>
      <c r="V38" s="211">
        <f>SUM(V31:V37)</f>
        <v>126453912</v>
      </c>
      <c r="W38" s="211">
        <f t="shared" ref="W38:AH38" si="72">SUM(W31:W37)</f>
        <v>121159313.72</v>
      </c>
      <c r="X38" s="211">
        <f t="shared" si="72"/>
        <v>120644393</v>
      </c>
      <c r="Y38" s="211">
        <f t="shared" si="72"/>
        <v>120471028.56</v>
      </c>
      <c r="Z38" s="211">
        <f t="shared" si="72"/>
        <v>119898376.73999999</v>
      </c>
      <c r="AA38" s="211">
        <f t="shared" si="72"/>
        <v>121882464</v>
      </c>
      <c r="AB38" s="211">
        <f t="shared" si="72"/>
        <v>181688783</v>
      </c>
      <c r="AC38" s="211">
        <f t="shared" si="72"/>
        <v>174289941</v>
      </c>
      <c r="AD38" s="211">
        <f t="shared" si="72"/>
        <v>161063007</v>
      </c>
      <c r="AE38" s="211">
        <f t="shared" si="72"/>
        <v>149652326</v>
      </c>
      <c r="AF38" s="211">
        <f t="shared" si="72"/>
        <v>145645612</v>
      </c>
      <c r="AG38" s="211">
        <f t="shared" si="72"/>
        <v>142159493.25999999</v>
      </c>
      <c r="AH38" s="211">
        <f t="shared" si="72"/>
        <v>133225041.09</v>
      </c>
      <c r="AI38" s="211">
        <f>SUM(AI31:AI37)</f>
        <v>136974582</v>
      </c>
      <c r="AJ38" s="211">
        <f t="shared" ref="AJ38:AU38" si="73">SUM(AJ31:AJ37)</f>
        <v>131736704.09</v>
      </c>
      <c r="AK38" s="211">
        <f t="shared" si="73"/>
        <v>139339101.50999999</v>
      </c>
      <c r="AL38" s="211">
        <f t="shared" si="73"/>
        <v>146424811.84999999</v>
      </c>
      <c r="AM38" s="211">
        <f t="shared" si="73"/>
        <v>144834187.22999999</v>
      </c>
      <c r="AN38" s="211">
        <f t="shared" si="73"/>
        <v>212948430.22999999</v>
      </c>
      <c r="AO38" s="211">
        <f t="shared" si="73"/>
        <v>179973239.48999998</v>
      </c>
      <c r="AP38" s="211">
        <f t="shared" si="73"/>
        <v>174496764.35999998</v>
      </c>
      <c r="AQ38" s="211">
        <f t="shared" si="73"/>
        <v>164344535.03999999</v>
      </c>
      <c r="AR38" s="211">
        <f t="shared" si="73"/>
        <v>159170915.88999999</v>
      </c>
      <c r="AS38" s="211">
        <f t="shared" si="73"/>
        <v>156362286.33000001</v>
      </c>
      <c r="AT38" s="211">
        <f t="shared" si="73"/>
        <v>152485135.66</v>
      </c>
      <c r="AU38" s="211">
        <f t="shared" si="73"/>
        <v>147647010.75999999</v>
      </c>
      <c r="AV38" s="211">
        <f>SUM(AV31:AV37)</f>
        <v>147880245</v>
      </c>
      <c r="AW38" s="211">
        <f t="shared" ref="AW38:BH38" si="74">SUM(AW31:AW37)</f>
        <v>141004016.74000001</v>
      </c>
      <c r="AX38" s="211">
        <f t="shared" si="74"/>
        <v>138062507.19000003</v>
      </c>
      <c r="AY38" s="211">
        <f t="shared" si="74"/>
        <v>137680467.94999999</v>
      </c>
      <c r="AZ38" s="211">
        <f t="shared" si="74"/>
        <v>140917209.29999998</v>
      </c>
      <c r="BA38" s="211">
        <f t="shared" si="74"/>
        <v>217781428.03999999</v>
      </c>
      <c r="BB38" s="211">
        <f t="shared" si="74"/>
        <v>192045132.08000004</v>
      </c>
      <c r="BC38" s="211">
        <f t="shared" si="74"/>
        <v>190255016.95999998</v>
      </c>
      <c r="BD38" s="211">
        <f t="shared" si="74"/>
        <v>187147972.11000001</v>
      </c>
      <c r="BE38" s="211">
        <f t="shared" si="74"/>
        <v>182563059.17000002</v>
      </c>
      <c r="BF38" s="211">
        <f t="shared" si="74"/>
        <v>180333939.24000001</v>
      </c>
      <c r="BG38" s="211">
        <f t="shared" si="74"/>
        <v>174413317.41000003</v>
      </c>
      <c r="BH38" s="211">
        <f t="shared" si="74"/>
        <v>167033190.65000001</v>
      </c>
      <c r="BI38" s="211">
        <f>SUM(BI31:BI37)</f>
        <v>167033191</v>
      </c>
      <c r="BJ38" s="211">
        <f t="shared" ref="BJ38:BU38" si="75">SUM(BJ31:BJ37)</f>
        <v>163373621.45000002</v>
      </c>
      <c r="BK38" s="211">
        <f t="shared" si="75"/>
        <v>164328270.02000001</v>
      </c>
      <c r="BL38" s="211">
        <f t="shared" si="75"/>
        <v>163033267.94999999</v>
      </c>
      <c r="BM38" s="211">
        <f t="shared" si="75"/>
        <v>159880243.43000001</v>
      </c>
      <c r="BN38" s="211">
        <f t="shared" si="75"/>
        <v>159282199.98000002</v>
      </c>
      <c r="BO38" s="211">
        <f t="shared" si="75"/>
        <v>164759910.44999999</v>
      </c>
      <c r="BP38" s="211">
        <f t="shared" si="75"/>
        <v>280824441.13</v>
      </c>
      <c r="BQ38" s="211">
        <f t="shared" si="75"/>
        <v>271310021.40999997</v>
      </c>
      <c r="BR38" s="211">
        <f t="shared" si="75"/>
        <v>241657442.35000002</v>
      </c>
      <c r="BS38" s="211">
        <f t="shared" si="75"/>
        <v>231773007.69999999</v>
      </c>
      <c r="BT38" s="211">
        <f t="shared" si="75"/>
        <v>210732640.29000002</v>
      </c>
      <c r="BU38" s="211">
        <f t="shared" si="75"/>
        <v>198159406.31999999</v>
      </c>
      <c r="BV38" s="211">
        <f t="shared" ref="BV38:CH38" si="76">SUM(BV31:BV37)</f>
        <v>200038243.5</v>
      </c>
      <c r="BW38" s="211">
        <f t="shared" si="76"/>
        <v>189953658.40999997</v>
      </c>
      <c r="BX38" s="211">
        <f t="shared" si="76"/>
        <v>193608260.21000001</v>
      </c>
      <c r="BY38" s="211">
        <f t="shared" si="76"/>
        <v>190443523.97</v>
      </c>
      <c r="BZ38" s="211">
        <f t="shared" si="76"/>
        <v>236854153.79000002</v>
      </c>
      <c r="CA38" s="211">
        <f t="shared" si="76"/>
        <v>214583819.74000001</v>
      </c>
      <c r="CB38" s="211">
        <f t="shared" si="76"/>
        <v>298481918.98000002</v>
      </c>
      <c r="CC38" s="211">
        <f t="shared" si="76"/>
        <v>252854322.31</v>
      </c>
      <c r="CD38" s="211">
        <f t="shared" si="76"/>
        <v>420273335.11000001</v>
      </c>
      <c r="CE38" s="211">
        <f t="shared" si="76"/>
        <v>324905677.89999998</v>
      </c>
      <c r="CF38" s="211">
        <f t="shared" si="76"/>
        <v>275175576.24000001</v>
      </c>
      <c r="CG38" s="211">
        <f t="shared" si="76"/>
        <v>258290123.47999999</v>
      </c>
      <c r="CH38" s="211">
        <f t="shared" si="76"/>
        <v>260844349</v>
      </c>
      <c r="CI38" s="211">
        <f t="shared" ref="CI38:CQ38" si="77">SUM(CI31:CI37)</f>
        <v>245028927.95000002</v>
      </c>
      <c r="CJ38" s="211">
        <f t="shared" si="77"/>
        <v>241143280.09999999</v>
      </c>
      <c r="CK38" s="211">
        <f t="shared" si="77"/>
        <v>242493711.5</v>
      </c>
      <c r="CL38" s="211">
        <f t="shared" si="77"/>
        <v>242280145.51000002</v>
      </c>
      <c r="CM38" s="211">
        <f t="shared" si="77"/>
        <v>238102964.58000001</v>
      </c>
      <c r="CN38" s="211">
        <f t="shared" si="77"/>
        <v>237095583.45000002</v>
      </c>
      <c r="CO38" s="211">
        <f t="shared" si="77"/>
        <v>234381985.87000006</v>
      </c>
      <c r="CP38" s="211">
        <f t="shared" si="77"/>
        <v>231923409.86000001</v>
      </c>
      <c r="CQ38" s="211">
        <f t="shared" si="77"/>
        <v>400633771.61000001</v>
      </c>
      <c r="CR38" s="211">
        <f t="shared" ref="CR38:CU38" si="78">SUM(CR31:CR37)</f>
        <v>375139413.16999996</v>
      </c>
      <c r="CS38" s="211">
        <f t="shared" si="78"/>
        <v>316715737.57999998</v>
      </c>
      <c r="CT38" s="211">
        <f t="shared" si="78"/>
        <v>303110400.11000001</v>
      </c>
      <c r="CU38" s="211">
        <f t="shared" si="78"/>
        <v>309653846</v>
      </c>
      <c r="CV38" s="211">
        <f t="shared" ref="CV38:DE38" si="79">SUM(CV31:CV37)</f>
        <v>326452961</v>
      </c>
      <c r="CW38" s="211">
        <f t="shared" si="79"/>
        <v>313603476</v>
      </c>
      <c r="CX38" s="211">
        <f t="shared" si="79"/>
        <v>313266504.03999996</v>
      </c>
      <c r="CY38" s="211">
        <f t="shared" si="79"/>
        <v>318219904.09000003</v>
      </c>
      <c r="CZ38" s="211">
        <f t="shared" si="79"/>
        <v>316045398.01999998</v>
      </c>
      <c r="DA38" s="211">
        <f t="shared" si="79"/>
        <v>310133541.16000003</v>
      </c>
      <c r="DB38" s="211">
        <f t="shared" si="79"/>
        <v>318508821.15000004</v>
      </c>
      <c r="DC38" s="211">
        <f t="shared" si="79"/>
        <v>386425664.64999998</v>
      </c>
      <c r="DD38" s="211">
        <f t="shared" si="79"/>
        <v>360373573.16999996</v>
      </c>
      <c r="DE38" s="211">
        <f t="shared" si="79"/>
        <v>351283608.20999998</v>
      </c>
    </row>
    <row r="39" spans="1:109" ht="15">
      <c r="A39" s="161" t="s">
        <v>51</v>
      </c>
      <c r="B39" s="286">
        <v>39654157</v>
      </c>
      <c r="C39" s="287">
        <v>42633397</v>
      </c>
      <c r="D39" s="287">
        <v>45827379</v>
      </c>
      <c r="E39" s="288">
        <v>46758589</v>
      </c>
      <c r="F39" s="288">
        <v>7234210</v>
      </c>
      <c r="G39" s="288">
        <v>6384514.9699999997</v>
      </c>
      <c r="H39" s="299">
        <v>29031754</v>
      </c>
      <c r="I39" s="302">
        <v>30295797</v>
      </c>
      <c r="J39" s="302">
        <v>30374854.260000002</v>
      </c>
      <c r="K39" s="302">
        <v>30458377.449999999</v>
      </c>
      <c r="L39" s="302">
        <v>30496327.120000001</v>
      </c>
      <c r="M39" s="304">
        <v>30601194.420000002</v>
      </c>
      <c r="N39" s="304">
        <v>30741443.710000001</v>
      </c>
      <c r="O39" s="304">
        <v>30982541.969999999</v>
      </c>
      <c r="P39" s="304">
        <v>31205331.600000001</v>
      </c>
      <c r="Q39" s="304">
        <v>31359393.77</v>
      </c>
      <c r="R39" s="306">
        <v>31478785.77</v>
      </c>
      <c r="S39" s="308">
        <v>31560785.77</v>
      </c>
      <c r="T39" s="308">
        <v>31690048</v>
      </c>
      <c r="U39" s="308">
        <v>31816457</v>
      </c>
      <c r="V39" s="304">
        <v>37302914</v>
      </c>
      <c r="W39" s="311">
        <v>37326707</v>
      </c>
      <c r="X39" s="311">
        <v>37355231</v>
      </c>
      <c r="Y39" s="311">
        <v>37499688</v>
      </c>
      <c r="Z39" s="311">
        <v>37614688</v>
      </c>
      <c r="AA39" s="311">
        <v>37739780</v>
      </c>
      <c r="AB39" s="311">
        <v>38173480</v>
      </c>
      <c r="AC39" s="311">
        <v>38695297.57</v>
      </c>
      <c r="AD39" s="311">
        <v>38894098</v>
      </c>
      <c r="AE39" s="314">
        <v>38977898</v>
      </c>
      <c r="AF39" s="314">
        <v>39026898</v>
      </c>
      <c r="AG39" s="314">
        <v>39061898</v>
      </c>
      <c r="AH39" s="314">
        <v>44659170.270000003</v>
      </c>
      <c r="AI39" s="314">
        <v>44659171.270000003</v>
      </c>
      <c r="AJ39" s="272">
        <v>44743259.149999999</v>
      </c>
      <c r="AK39" s="272">
        <v>44817259.149999999</v>
      </c>
      <c r="AL39" s="272">
        <v>44880859.149999999</v>
      </c>
      <c r="AM39" s="272">
        <v>44950459.25</v>
      </c>
      <c r="AN39" s="272">
        <v>45097359.25</v>
      </c>
      <c r="AO39" s="272">
        <v>45354840.049999997</v>
      </c>
      <c r="AP39" s="284">
        <v>45459140.049999997</v>
      </c>
      <c r="AQ39" s="284">
        <v>45598940.049999997</v>
      </c>
      <c r="AR39" s="284">
        <v>45677790.049999997</v>
      </c>
      <c r="AS39" s="284">
        <v>45771505.049999997</v>
      </c>
      <c r="AT39" s="284">
        <v>45885590.969999999</v>
      </c>
      <c r="AU39" s="284">
        <v>45958980.969999999</v>
      </c>
      <c r="AV39" s="284">
        <v>51220150</v>
      </c>
      <c r="AW39" s="304">
        <v>51274918.310000002</v>
      </c>
      <c r="AX39" s="304">
        <v>51389970.310000002</v>
      </c>
      <c r="AY39" s="304">
        <v>51449946.310000002</v>
      </c>
      <c r="AZ39" s="304">
        <v>51557960.310000002</v>
      </c>
      <c r="BA39" s="304">
        <v>52114502.130000003</v>
      </c>
      <c r="BB39" s="364">
        <v>52450928.130000003</v>
      </c>
      <c r="BC39" s="272">
        <v>52710774.130000003</v>
      </c>
      <c r="BD39" s="272">
        <v>52889882.130000003</v>
      </c>
      <c r="BE39" s="272">
        <v>52997068.130000003</v>
      </c>
      <c r="BF39" s="320">
        <v>53128365.380000003</v>
      </c>
      <c r="BG39" s="304">
        <v>53410692.380000003</v>
      </c>
      <c r="BH39" s="304">
        <v>58962033.990000002</v>
      </c>
      <c r="BI39" s="284">
        <v>58962034</v>
      </c>
      <c r="BJ39" s="364">
        <v>59174646.990000002</v>
      </c>
      <c r="BK39" s="364">
        <v>59307946.990000002</v>
      </c>
      <c r="BL39" s="364">
        <v>59510136.990000002</v>
      </c>
      <c r="BM39" s="364">
        <v>59661536.990000002</v>
      </c>
      <c r="BN39" s="364">
        <v>59793336.990000002</v>
      </c>
      <c r="BO39" s="330">
        <v>59900536.990000002</v>
      </c>
      <c r="BP39" s="364">
        <v>60573192.920000002</v>
      </c>
      <c r="BQ39" s="364">
        <v>60859092.920000002</v>
      </c>
      <c r="BR39" s="364">
        <v>61012092.920000002</v>
      </c>
      <c r="BS39" s="332">
        <v>61139609.670000002</v>
      </c>
      <c r="BT39" s="364">
        <v>61290689.670000002</v>
      </c>
      <c r="BU39" s="336">
        <v>66711729.950000003</v>
      </c>
      <c r="BV39" s="281">
        <v>66711729</v>
      </c>
      <c r="BW39" s="270">
        <v>66839129.950000003</v>
      </c>
      <c r="BX39" s="270">
        <v>66942029.950000003</v>
      </c>
      <c r="BY39" s="270">
        <v>67024729.950000003</v>
      </c>
      <c r="BZ39" s="270">
        <v>67228415.810000002</v>
      </c>
      <c r="CA39" s="270">
        <v>67195059.959999993</v>
      </c>
      <c r="CB39" s="270">
        <v>67539981.209999993</v>
      </c>
      <c r="CC39" s="270">
        <v>67783453.310000002</v>
      </c>
      <c r="CD39" s="270">
        <v>67986283.040000007</v>
      </c>
      <c r="CE39" s="270">
        <v>68176578.379999995</v>
      </c>
      <c r="CF39" s="270">
        <v>68306878.379999995</v>
      </c>
      <c r="CG39" s="270">
        <v>68433278.379999995</v>
      </c>
      <c r="CH39" s="284">
        <v>68433278</v>
      </c>
      <c r="CI39" s="270">
        <v>68636428.379999995</v>
      </c>
      <c r="CJ39" s="270">
        <v>68700328.379999995</v>
      </c>
      <c r="CK39" s="270">
        <v>68784228.379999995</v>
      </c>
      <c r="CL39" s="270">
        <v>68852728.379999995</v>
      </c>
      <c r="CM39" s="270">
        <v>68933138.379999995</v>
      </c>
      <c r="CN39" s="355">
        <v>69003738.379999995</v>
      </c>
      <c r="CO39" s="355">
        <v>69120988.379999995</v>
      </c>
      <c r="CP39" s="355">
        <v>69151988.379999995</v>
      </c>
      <c r="CQ39" s="355">
        <v>69504626.310000002</v>
      </c>
      <c r="CR39" s="372">
        <v>70390202.450000003</v>
      </c>
      <c r="CS39" s="372">
        <v>70538002.450000003</v>
      </c>
      <c r="CT39" s="377">
        <v>70707252.450000003</v>
      </c>
      <c r="CU39" s="380">
        <v>70707252</v>
      </c>
      <c r="CV39" s="380">
        <v>77017592</v>
      </c>
      <c r="CW39" s="355">
        <v>77287990.560000002</v>
      </c>
      <c r="CX39" s="372">
        <v>77557840.560000002</v>
      </c>
      <c r="CY39" s="372">
        <v>77824565.760000005</v>
      </c>
      <c r="CZ39" s="355">
        <v>78015215.760000005</v>
      </c>
      <c r="DA39" s="400">
        <v>78347332.260000005</v>
      </c>
      <c r="DB39" s="355">
        <v>78671212.260000005</v>
      </c>
      <c r="DC39" s="355">
        <v>79543392.310000002</v>
      </c>
      <c r="DD39" s="355">
        <v>80174491.459999993</v>
      </c>
      <c r="DE39" s="449">
        <v>80618050.319999993</v>
      </c>
    </row>
    <row r="40" spans="1:109" ht="15">
      <c r="A40" s="161" t="s">
        <v>52</v>
      </c>
      <c r="B40" s="282"/>
      <c r="C40" s="282"/>
      <c r="D40" s="282"/>
      <c r="E40" s="282"/>
      <c r="F40" s="282"/>
      <c r="G40" s="282"/>
      <c r="H40" s="282"/>
      <c r="I40" s="282"/>
      <c r="J40" s="302">
        <v>0</v>
      </c>
      <c r="K40" s="302">
        <v>0</v>
      </c>
      <c r="L40" s="302">
        <v>0</v>
      </c>
      <c r="M40" s="304">
        <v>0</v>
      </c>
      <c r="N40" s="304">
        <v>0</v>
      </c>
      <c r="O40" s="304">
        <v>0</v>
      </c>
      <c r="P40" s="304">
        <v>0</v>
      </c>
      <c r="Q40" s="304">
        <v>0</v>
      </c>
      <c r="R40" s="306">
        <v>0</v>
      </c>
      <c r="S40" s="304">
        <v>0</v>
      </c>
      <c r="T40" s="304">
        <v>0</v>
      </c>
      <c r="U40" s="309">
        <v>0</v>
      </c>
      <c r="V40" s="282"/>
      <c r="W40" s="311">
        <v>0</v>
      </c>
      <c r="X40" s="311">
        <v>0</v>
      </c>
      <c r="Y40" s="311">
        <v>0</v>
      </c>
      <c r="Z40" s="311">
        <v>0</v>
      </c>
      <c r="AA40" s="311">
        <v>0</v>
      </c>
      <c r="AB40" s="311">
        <v>163561391</v>
      </c>
      <c r="AC40" s="311">
        <v>163561391</v>
      </c>
      <c r="AD40" s="311">
        <v>163561391</v>
      </c>
      <c r="AE40" s="311">
        <v>163561391</v>
      </c>
      <c r="AF40" s="311">
        <v>163561391</v>
      </c>
      <c r="AG40" s="311">
        <v>163561391</v>
      </c>
      <c r="AH40" s="311">
        <v>163561391</v>
      </c>
      <c r="AI40" s="284">
        <v>79163018</v>
      </c>
      <c r="AJ40" s="272">
        <v>163561391</v>
      </c>
      <c r="AK40" s="272">
        <v>163561391</v>
      </c>
      <c r="AL40" s="272">
        <v>163561391</v>
      </c>
      <c r="AM40" s="272">
        <v>163561391</v>
      </c>
      <c r="AN40" s="272">
        <v>163561391</v>
      </c>
      <c r="AO40" s="272">
        <v>163561391</v>
      </c>
      <c r="AP40" s="284">
        <v>163561391</v>
      </c>
      <c r="AQ40" s="284">
        <v>163561391</v>
      </c>
      <c r="AR40" s="284">
        <v>163561391</v>
      </c>
      <c r="AS40" s="284">
        <v>163561391</v>
      </c>
      <c r="AT40" s="284">
        <v>163561391</v>
      </c>
      <c r="AU40" s="284">
        <v>163561391</v>
      </c>
      <c r="AV40" s="284">
        <v>163561391</v>
      </c>
      <c r="AW40" s="304">
        <v>163561391</v>
      </c>
      <c r="AX40" s="304">
        <v>163561391</v>
      </c>
      <c r="AY40" s="304">
        <v>163561391</v>
      </c>
      <c r="AZ40" s="304">
        <v>163561391</v>
      </c>
      <c r="BA40" s="304">
        <v>163561391</v>
      </c>
      <c r="BB40" s="364">
        <v>163561391</v>
      </c>
      <c r="BC40" s="272">
        <v>163561391</v>
      </c>
      <c r="BD40" s="272">
        <v>163561391</v>
      </c>
      <c r="BE40" s="272">
        <v>163561391</v>
      </c>
      <c r="BF40" s="320">
        <v>163561391</v>
      </c>
      <c r="BG40" s="304">
        <v>163561391</v>
      </c>
      <c r="BH40" s="304">
        <v>163561391</v>
      </c>
      <c r="BI40" s="284">
        <v>163561391</v>
      </c>
      <c r="BJ40" s="364">
        <v>163561391</v>
      </c>
      <c r="BK40" s="364">
        <v>163561391</v>
      </c>
      <c r="BL40" s="364">
        <v>163561391</v>
      </c>
      <c r="BM40" s="364">
        <v>163561391</v>
      </c>
      <c r="BN40" s="364">
        <v>163561391</v>
      </c>
      <c r="BO40" s="330">
        <v>163561391</v>
      </c>
      <c r="BP40" s="364">
        <v>163561391</v>
      </c>
      <c r="BQ40" s="364">
        <v>163561391</v>
      </c>
      <c r="BR40" s="364">
        <v>163561391</v>
      </c>
      <c r="BS40" s="332">
        <v>163561391</v>
      </c>
      <c r="BT40" s="364">
        <v>163561391</v>
      </c>
      <c r="BU40" s="337">
        <v>163561391</v>
      </c>
      <c r="BV40" s="282">
        <v>163561391</v>
      </c>
      <c r="BW40" s="270">
        <v>163561391</v>
      </c>
      <c r="BX40" s="270">
        <v>163561391</v>
      </c>
      <c r="BY40" s="270">
        <v>163561391</v>
      </c>
      <c r="BZ40" s="270">
        <v>163561391</v>
      </c>
      <c r="CA40" s="270">
        <v>163561391</v>
      </c>
      <c r="CB40" s="270">
        <v>163561391</v>
      </c>
      <c r="CC40" s="270">
        <v>163561391</v>
      </c>
      <c r="CD40" s="270">
        <v>163561391</v>
      </c>
      <c r="CE40" s="270">
        <v>163561391</v>
      </c>
      <c r="CF40" s="270">
        <v>163561391</v>
      </c>
      <c r="CG40" s="270">
        <v>163561391</v>
      </c>
      <c r="CH40" s="284">
        <v>163561391</v>
      </c>
      <c r="CI40" s="270">
        <v>163561391</v>
      </c>
      <c r="CJ40" s="270">
        <v>163561391</v>
      </c>
      <c r="CK40" s="270">
        <v>163561391</v>
      </c>
      <c r="CL40" s="270">
        <v>163561391</v>
      </c>
      <c r="CM40" s="270">
        <v>163561391</v>
      </c>
      <c r="CN40" s="357">
        <v>163561391</v>
      </c>
      <c r="CO40" s="357">
        <v>163561391</v>
      </c>
      <c r="CP40" s="357">
        <v>163561391</v>
      </c>
      <c r="CQ40" s="357">
        <v>163561391</v>
      </c>
      <c r="CR40" s="374">
        <v>163561391</v>
      </c>
      <c r="CS40" s="374">
        <v>163561391</v>
      </c>
      <c r="CT40" s="377">
        <v>163561391</v>
      </c>
      <c r="CU40" s="380">
        <v>163561391</v>
      </c>
      <c r="CV40" s="380">
        <v>163561391</v>
      </c>
      <c r="CW40" s="357">
        <v>163561391</v>
      </c>
      <c r="CX40" s="374">
        <v>163561391</v>
      </c>
      <c r="CY40" s="374">
        <v>163561391</v>
      </c>
      <c r="CZ40" s="357">
        <v>163561391</v>
      </c>
      <c r="DA40" s="402">
        <v>163561391</v>
      </c>
      <c r="DB40" s="357">
        <v>163561391</v>
      </c>
      <c r="DC40" s="357">
        <v>163561391</v>
      </c>
      <c r="DD40" s="357">
        <v>163561391</v>
      </c>
      <c r="DE40" s="451">
        <v>163561391</v>
      </c>
    </row>
    <row r="41" spans="1:109" ht="14.25">
      <c r="A41" s="161" t="s">
        <v>53</v>
      </c>
      <c r="B41" s="286"/>
      <c r="C41" s="286"/>
      <c r="D41" s="296"/>
      <c r="E41" s="288"/>
      <c r="F41" s="288">
        <v>-115950062</v>
      </c>
      <c r="G41" s="288">
        <v>-116905773</v>
      </c>
      <c r="H41" s="299">
        <v>-123040086</v>
      </c>
      <c r="I41" s="302">
        <v>49993382</v>
      </c>
      <c r="J41" s="302">
        <v>57092304.259999998</v>
      </c>
      <c r="K41" s="302">
        <v>57835132.240000002</v>
      </c>
      <c r="L41" s="302">
        <v>57835132.240000002</v>
      </c>
      <c r="M41" s="304">
        <v>57835132.240000002</v>
      </c>
      <c r="N41" s="304">
        <v>54585301.240000002</v>
      </c>
      <c r="O41" s="304">
        <v>54585301.240000002</v>
      </c>
      <c r="P41" s="304">
        <v>54585301.240000002</v>
      </c>
      <c r="Q41" s="304">
        <v>54585301.240000002</v>
      </c>
      <c r="R41" s="306">
        <v>54585301.240000002</v>
      </c>
      <c r="S41" s="304">
        <v>-81477078.069999993</v>
      </c>
      <c r="T41" s="304">
        <v>-82127078</v>
      </c>
      <c r="U41" s="304">
        <v>-82127078</v>
      </c>
      <c r="V41" s="304">
        <f>-82339117-27338672</f>
        <v>-109677789</v>
      </c>
      <c r="W41" s="311">
        <v>-82127078</v>
      </c>
      <c r="X41" s="311">
        <v>-82163214</v>
      </c>
      <c r="Y41" s="311">
        <v>-82224151</v>
      </c>
      <c r="Z41" s="311">
        <v>-82225841</v>
      </c>
      <c r="AA41" s="311">
        <v>-82546764</v>
      </c>
      <c r="AB41" s="311">
        <v>-106964013</v>
      </c>
      <c r="AC41" s="311">
        <v>-106963382.8</v>
      </c>
      <c r="AD41" s="311">
        <v>-106963382.8</v>
      </c>
      <c r="AE41" s="311">
        <v>-106984383</v>
      </c>
      <c r="AF41" s="311">
        <v>-106987284</v>
      </c>
      <c r="AG41" s="311">
        <v>-106987284</v>
      </c>
      <c r="AH41" s="311">
        <v>-116058311</v>
      </c>
      <c r="AI41" s="311">
        <v>-107127007</v>
      </c>
      <c r="AJ41" s="272">
        <v>-112205112</v>
      </c>
      <c r="AK41" s="272">
        <v>-115411797</v>
      </c>
      <c r="AL41" s="272">
        <v>-115411797</v>
      </c>
      <c r="AM41" s="272">
        <v>-114625565.75</v>
      </c>
      <c r="AN41" s="272">
        <v>-114625565.75</v>
      </c>
      <c r="AO41" s="272">
        <v>-113916098.05</v>
      </c>
      <c r="AP41" s="284">
        <v>-114061511.12</v>
      </c>
      <c r="AQ41" s="284">
        <v>-114058017.66</v>
      </c>
      <c r="AR41" s="284">
        <v>-114058016.09999999</v>
      </c>
      <c r="AS41" s="284">
        <v>-114278647.41</v>
      </c>
      <c r="AT41" s="316">
        <v>-114282049.5</v>
      </c>
      <c r="AU41" s="284">
        <v>-114278647.41</v>
      </c>
      <c r="AV41" s="284">
        <v>-114885111</v>
      </c>
      <c r="AW41" s="304">
        <v>-107445265.81</v>
      </c>
      <c r="AX41" s="304">
        <v>-107423315.84999999</v>
      </c>
      <c r="AY41" s="304">
        <v>-107452665.81</v>
      </c>
      <c r="AZ41" s="304">
        <v>-107440165.81999999</v>
      </c>
      <c r="BA41" s="304">
        <v>-111660812.18000001</v>
      </c>
      <c r="BB41" s="316">
        <v>-111660812.18000001</v>
      </c>
      <c r="BC41" s="284">
        <v>-113103652.18000001</v>
      </c>
      <c r="BD41" s="272">
        <v>-113188986.18000001</v>
      </c>
      <c r="BE41" s="272">
        <v>-113176770.14</v>
      </c>
      <c r="BF41" s="320">
        <v>-113160319.5</v>
      </c>
      <c r="BG41" s="304">
        <v>-113160319.5</v>
      </c>
      <c r="BH41" s="304">
        <v>-113304125.5</v>
      </c>
      <c r="BI41" s="364"/>
      <c r="BJ41" s="364">
        <v>-111313163.47</v>
      </c>
      <c r="BK41" s="364">
        <v>-111313163.47</v>
      </c>
      <c r="BL41" s="364">
        <v>-111284427.67</v>
      </c>
      <c r="BM41" s="364">
        <v>-111284427.67</v>
      </c>
      <c r="BN41" s="364">
        <v>-111289377.67</v>
      </c>
      <c r="BO41" s="330">
        <v>-111289377.67</v>
      </c>
      <c r="BP41" s="364">
        <v>-111266877.67</v>
      </c>
      <c r="BQ41" s="364">
        <v>-111266877.67</v>
      </c>
      <c r="BR41" s="364">
        <v>-111266877.67</v>
      </c>
      <c r="BS41" s="332">
        <v>-113181675.90000001</v>
      </c>
      <c r="BT41" s="364">
        <v>-113176725.90000001</v>
      </c>
      <c r="BU41" s="336">
        <v>-113457200.62</v>
      </c>
      <c r="BV41" s="364"/>
      <c r="BW41" s="270">
        <v>-102526009.88</v>
      </c>
      <c r="BX41" s="270">
        <v>-102526009.88</v>
      </c>
      <c r="BY41" s="270">
        <v>-102526009.88</v>
      </c>
      <c r="BZ41" s="270">
        <v>-102526009.88</v>
      </c>
      <c r="CA41" s="270">
        <v>-102526009.88</v>
      </c>
      <c r="CB41" s="270">
        <v>-103716301.88</v>
      </c>
      <c r="CC41" s="270">
        <v>-105481701.62</v>
      </c>
      <c r="CD41" s="270">
        <v>-105480408.62</v>
      </c>
      <c r="CE41" s="270">
        <v>-105480408.62</v>
      </c>
      <c r="CF41" s="270">
        <v>-105480408.62</v>
      </c>
      <c r="CG41" s="270">
        <v>-105610285.89</v>
      </c>
      <c r="CH41" s="284">
        <f>-100842397-8514089</f>
        <v>-109356486</v>
      </c>
      <c r="CI41" s="270">
        <v>-97094424.560000002</v>
      </c>
      <c r="CJ41" s="270">
        <v>-97094424.560000002</v>
      </c>
      <c r="CK41" s="270">
        <v>-97094424.560000002</v>
      </c>
      <c r="CL41" s="270">
        <v>-97094424.560000002</v>
      </c>
      <c r="CM41" s="270">
        <v>-97317646.560000002</v>
      </c>
      <c r="CN41" s="357">
        <v>-97316646.560000002</v>
      </c>
      <c r="CO41" s="357">
        <v>-97316646.560000002</v>
      </c>
      <c r="CP41" s="357">
        <v>-99263019.400000006</v>
      </c>
      <c r="CQ41" s="357">
        <v>-99263019.400000006</v>
      </c>
      <c r="CR41" s="374">
        <v>-99263019.400000006</v>
      </c>
      <c r="CS41" s="374">
        <v>-99449782.400000006</v>
      </c>
      <c r="CT41" s="377">
        <v>-99533275.019999996</v>
      </c>
      <c r="CU41" s="380">
        <v>-87318842</v>
      </c>
      <c r="CV41" s="380">
        <f>-87318842</f>
        <v>-87318842</v>
      </c>
      <c r="CW41" s="357">
        <v>-67562652.150000006</v>
      </c>
      <c r="CX41" s="374">
        <v>-67658261.25</v>
      </c>
      <c r="CY41" s="374">
        <v>-67759932.150000006</v>
      </c>
      <c r="CZ41" s="397">
        <v>-67859932.150000006</v>
      </c>
      <c r="DA41" s="402">
        <v>-69979228.540000007</v>
      </c>
      <c r="DB41" s="357">
        <v>-70179228.540000007</v>
      </c>
      <c r="DC41" s="357">
        <v>-70999127.540000007</v>
      </c>
      <c r="DD41" s="357">
        <v>-70366495.819999993</v>
      </c>
      <c r="DE41" s="451">
        <v>-70366495.819999993</v>
      </c>
    </row>
    <row r="42" spans="1:109" ht="24.75" customHeight="1">
      <c r="A42" s="161" t="s">
        <v>54</v>
      </c>
      <c r="B42" s="286">
        <v>-130940764</v>
      </c>
      <c r="C42" s="287">
        <v>-116486412</v>
      </c>
      <c r="D42" s="287">
        <v>-116181177</v>
      </c>
      <c r="E42" s="288">
        <v>-115950062</v>
      </c>
      <c r="F42" s="288">
        <v>-955711.15000000596</v>
      </c>
      <c r="G42" s="288">
        <f>-1402826.62-4731486.71</f>
        <v>-6134313.3300000001</v>
      </c>
      <c r="H42" s="299">
        <f>6650208-1311042-95000-4200000-6224355</f>
        <v>-5180189</v>
      </c>
      <c r="I42" s="302">
        <f>-4913141-651967+9577031-1785013</f>
        <v>2226910</v>
      </c>
      <c r="J42" s="302">
        <v>47850245.93</v>
      </c>
      <c r="K42" s="302">
        <v>45789586.065000005</v>
      </c>
      <c r="L42" s="302">
        <v>48191824.969999991</v>
      </c>
      <c r="M42" s="304">
        <v>45716944.225000001</v>
      </c>
      <c r="N42" s="304">
        <v>45642435.680000007</v>
      </c>
      <c r="O42" s="304">
        <v>109592942.05499999</v>
      </c>
      <c r="P42" s="304">
        <v>106555744.38</v>
      </c>
      <c r="Q42" s="304">
        <v>94673557.235000014</v>
      </c>
      <c r="R42" s="306">
        <v>95635874.63000001</v>
      </c>
      <c r="S42" s="308">
        <v>-177104.95</v>
      </c>
      <c r="T42" s="308">
        <v>291803.15999999997</v>
      </c>
      <c r="U42" s="308">
        <v>352055.5</v>
      </c>
      <c r="V42" s="304">
        <f>3533017-637695-344540</f>
        <v>2550782</v>
      </c>
      <c r="W42" s="311">
        <v>-1751482</v>
      </c>
      <c r="X42" s="311">
        <v>-2020632</v>
      </c>
      <c r="Y42" s="311">
        <v>-1667106</v>
      </c>
      <c r="Z42" s="311">
        <v>-4580025.5999999996</v>
      </c>
      <c r="AA42" s="311">
        <v>-6974110</v>
      </c>
      <c r="AB42" s="311">
        <v>3984840</v>
      </c>
      <c r="AC42" s="311">
        <v>10245189</v>
      </c>
      <c r="AD42" s="311">
        <v>9397571</v>
      </c>
      <c r="AE42" s="314">
        <v>6864348</v>
      </c>
      <c r="AF42" s="314">
        <v>4675375</v>
      </c>
      <c r="AG42" s="314">
        <v>3537371.73</v>
      </c>
      <c r="AH42" s="314">
        <v>3275621.61</v>
      </c>
      <c r="AI42" s="314">
        <v>-8272686</v>
      </c>
      <c r="AJ42" s="272">
        <v>-1273664.8799999999</v>
      </c>
      <c r="AK42" s="272">
        <v>-2418322.6</v>
      </c>
      <c r="AL42" s="272">
        <v>-4026833</v>
      </c>
      <c r="AM42" s="272">
        <v>-6271929.4900000002</v>
      </c>
      <c r="AN42" s="272">
        <v>4970410.0999999996</v>
      </c>
      <c r="AO42" s="272">
        <v>4232213.08</v>
      </c>
      <c r="AP42" s="284">
        <v>9325556.5399999991</v>
      </c>
      <c r="AQ42" s="284">
        <v>9476242.5999999996</v>
      </c>
      <c r="AR42" s="284">
        <v>5457402.7000000002</v>
      </c>
      <c r="AS42" s="284">
        <v>4304103.2</v>
      </c>
      <c r="AT42" s="316">
        <v>7770391.6500000004</v>
      </c>
      <c r="AU42" s="284">
        <v>6088530.0999999996</v>
      </c>
      <c r="AV42" s="284">
        <f>268110+893699-178740</f>
        <v>983069</v>
      </c>
      <c r="AW42" s="304">
        <v>256615.05</v>
      </c>
      <c r="AX42" s="304">
        <v>1772847.77</v>
      </c>
      <c r="AY42" s="304">
        <v>1644693.79</v>
      </c>
      <c r="AZ42" s="304">
        <v>753600.8</v>
      </c>
      <c r="BA42" s="304">
        <v>13088009.76</v>
      </c>
      <c r="BB42" s="316">
        <v>11716332.960000001</v>
      </c>
      <c r="BC42" s="284">
        <v>16625033.09</v>
      </c>
      <c r="BD42" s="272">
        <v>15559286.08</v>
      </c>
      <c r="BE42" s="272">
        <v>11035639.300000001</v>
      </c>
      <c r="BF42" s="320">
        <v>11261568.369999999</v>
      </c>
      <c r="BG42" s="304">
        <v>9536226.5399999991</v>
      </c>
      <c r="BH42" s="304">
        <v>1989229.53</v>
      </c>
      <c r="BI42" s="364"/>
      <c r="BJ42" s="364">
        <v>-202442.76</v>
      </c>
      <c r="BK42" s="364">
        <v>-2757121.54</v>
      </c>
      <c r="BL42" s="364">
        <v>-1572399.7</v>
      </c>
      <c r="BM42" s="364">
        <v>-3013962.14</v>
      </c>
      <c r="BN42" s="364">
        <v>-5392383.7999999998</v>
      </c>
      <c r="BO42" s="330">
        <v>-2776123.19</v>
      </c>
      <c r="BP42" s="364">
        <v>20653431.600000001</v>
      </c>
      <c r="BQ42" s="364">
        <v>19887512.43</v>
      </c>
      <c r="BR42" s="364">
        <v>17337131.699999999</v>
      </c>
      <c r="BS42" s="332">
        <v>15958595.439999999</v>
      </c>
      <c r="BT42" s="364">
        <v>12817638.65</v>
      </c>
      <c r="BU42" s="337">
        <v>10929458.24</v>
      </c>
      <c r="BV42" s="364"/>
      <c r="BW42" s="270">
        <v>-1625892.36</v>
      </c>
      <c r="BX42" s="270">
        <v>-7871405.0700000003</v>
      </c>
      <c r="BY42" s="270">
        <v>-9667210.7300000004</v>
      </c>
      <c r="BZ42" s="270">
        <v>-2310492.34</v>
      </c>
      <c r="CA42" s="270">
        <v>-3658232.37</v>
      </c>
      <c r="CB42" s="270">
        <v>13277539.02</v>
      </c>
      <c r="CC42" s="270">
        <v>14305205.77</v>
      </c>
      <c r="CD42" s="270">
        <v>18238935.66</v>
      </c>
      <c r="CE42" s="270">
        <v>20559540.699999999</v>
      </c>
      <c r="CF42" s="270">
        <v>17036661.440000001</v>
      </c>
      <c r="CG42" s="270">
        <v>8514088.8300000001</v>
      </c>
      <c r="CH42" s="284">
        <v>8514089</v>
      </c>
      <c r="CI42" s="270">
        <v>-2723103.48</v>
      </c>
      <c r="CJ42" s="270">
        <v>-6723743.5199999996</v>
      </c>
      <c r="CK42" s="270">
        <v>-8277081.9400000004</v>
      </c>
      <c r="CL42" s="270">
        <v>-1525729.3</v>
      </c>
      <c r="CM42" s="270">
        <v>-5879876.8700000001</v>
      </c>
      <c r="CN42" s="357">
        <v>-10736905.300000001</v>
      </c>
      <c r="CO42" s="357">
        <v>-13482933.779999999</v>
      </c>
      <c r="CP42" s="357">
        <v>-21123999.59</v>
      </c>
      <c r="CQ42" s="357">
        <v>-27727834.899999999</v>
      </c>
      <c r="CR42" s="374">
        <v>9850147.0600000005</v>
      </c>
      <c r="CS42" s="374">
        <v>14713687.32</v>
      </c>
      <c r="CT42" s="377">
        <v>21811485.199999999</v>
      </c>
      <c r="CU42" s="380"/>
      <c r="CV42" s="380">
        <f>13710012-1919402-4113004+4921767+494802</f>
        <v>13094175</v>
      </c>
      <c r="CW42" s="357">
        <v>-1363497.81</v>
      </c>
      <c r="CX42" s="374">
        <v>-4306039.1399999997</v>
      </c>
      <c r="CY42" s="374">
        <v>-4890257.2300000004</v>
      </c>
      <c r="CZ42" s="397">
        <v>-7368354.9800000004</v>
      </c>
      <c r="DA42" s="402">
        <v>-12707883.93</v>
      </c>
      <c r="DB42" s="357">
        <v>-2501231.4300000002</v>
      </c>
      <c r="DC42" s="357">
        <v>34683083.82</v>
      </c>
      <c r="DD42" s="357">
        <v>32866118.440000001</v>
      </c>
      <c r="DE42" s="451">
        <v>25752855.859999999</v>
      </c>
    </row>
    <row r="43" spans="1:109" ht="15">
      <c r="A43" s="161" t="s">
        <v>55</v>
      </c>
      <c r="B43" s="286">
        <v>10535391</v>
      </c>
      <c r="C43" s="297">
        <v>10848979</v>
      </c>
      <c r="D43" s="297">
        <v>11035272</v>
      </c>
      <c r="E43" s="293">
        <v>11316801</v>
      </c>
      <c r="F43" s="293">
        <v>11316801</v>
      </c>
      <c r="G43" s="293">
        <v>11316801</v>
      </c>
      <c r="H43" s="299">
        <v>12627843</v>
      </c>
      <c r="I43" s="302">
        <v>14412856</v>
      </c>
      <c r="J43" s="302">
        <v>12627843</v>
      </c>
      <c r="K43" s="302">
        <v>12627843</v>
      </c>
      <c r="L43" s="302">
        <v>12627843</v>
      </c>
      <c r="M43" s="304">
        <v>12627843</v>
      </c>
      <c r="N43" s="304">
        <v>12627843</v>
      </c>
      <c r="O43" s="304">
        <v>12627843</v>
      </c>
      <c r="P43" s="304">
        <v>14412856</v>
      </c>
      <c r="Q43" s="304">
        <v>14412856</v>
      </c>
      <c r="R43" s="306">
        <v>14412856</v>
      </c>
      <c r="S43" s="309">
        <v>14412856</v>
      </c>
      <c r="T43" s="309">
        <v>14412856</v>
      </c>
      <c r="U43" s="309">
        <v>14412856</v>
      </c>
      <c r="V43" s="304">
        <v>15050551</v>
      </c>
      <c r="W43" s="311">
        <v>14412856</v>
      </c>
      <c r="X43" s="311">
        <v>14412856</v>
      </c>
      <c r="Y43" s="311">
        <v>14412856</v>
      </c>
      <c r="Z43" s="311">
        <v>14412856</v>
      </c>
      <c r="AA43" s="311">
        <v>14412856</v>
      </c>
      <c r="AB43" s="311">
        <v>15050551</v>
      </c>
      <c r="AC43" s="311">
        <v>15050551</v>
      </c>
      <c r="AD43" s="311">
        <v>15050551</v>
      </c>
      <c r="AE43" s="311">
        <v>15050551</v>
      </c>
      <c r="AF43" s="311">
        <v>15050551</v>
      </c>
      <c r="AG43" s="311">
        <v>15050551</v>
      </c>
      <c r="AH43" s="311">
        <v>15705675</v>
      </c>
      <c r="AI43" s="311">
        <v>15215344</v>
      </c>
      <c r="AJ43" s="272">
        <v>15705675</v>
      </c>
      <c r="AK43" s="272">
        <v>15215344</v>
      </c>
      <c r="AL43" s="272">
        <v>15215344</v>
      </c>
      <c r="AM43" s="272">
        <v>15179196.43</v>
      </c>
      <c r="AN43" s="272">
        <v>15179196.43</v>
      </c>
      <c r="AO43" s="272">
        <v>15179196.43</v>
      </c>
      <c r="AP43" s="284">
        <v>15179196.43</v>
      </c>
      <c r="AQ43" s="284">
        <v>15179196.43</v>
      </c>
      <c r="AR43" s="284">
        <v>15179196.43</v>
      </c>
      <c r="AS43" s="284">
        <v>15179196.43</v>
      </c>
      <c r="AT43" s="284">
        <v>15179196.43</v>
      </c>
      <c r="AU43" s="284">
        <v>15179196.43</v>
      </c>
      <c r="AV43" s="284">
        <v>15357936</v>
      </c>
      <c r="AW43" s="304">
        <v>15179196.43</v>
      </c>
      <c r="AX43" s="304">
        <v>15179196.43</v>
      </c>
      <c r="AY43" s="304">
        <v>15179196.43</v>
      </c>
      <c r="AZ43" s="304">
        <v>15179196.43</v>
      </c>
      <c r="BA43" s="304">
        <v>15179196.43</v>
      </c>
      <c r="BB43" s="316">
        <v>15179196.43</v>
      </c>
      <c r="BC43" s="284">
        <v>15291911.43</v>
      </c>
      <c r="BD43" s="272">
        <v>15291911.43</v>
      </c>
      <c r="BE43" s="272">
        <v>15291911.43</v>
      </c>
      <c r="BF43" s="320">
        <v>15291911.43</v>
      </c>
      <c r="BG43" s="304">
        <v>15291911.43</v>
      </c>
      <c r="BH43" s="304">
        <v>15291911.43</v>
      </c>
      <c r="BI43" s="284">
        <v>15699380</v>
      </c>
      <c r="BJ43" s="364">
        <v>15291911.43</v>
      </c>
      <c r="BK43" s="364">
        <v>15291911.43</v>
      </c>
      <c r="BL43" s="364">
        <v>15291911.43</v>
      </c>
      <c r="BM43" s="364">
        <v>15291911.43</v>
      </c>
      <c r="BN43" s="364">
        <v>15291911.43</v>
      </c>
      <c r="BO43" s="325" t="s">
        <v>56</v>
      </c>
      <c r="BP43" s="364">
        <v>15291911.43</v>
      </c>
      <c r="BQ43" s="364">
        <v>15291911.43</v>
      </c>
      <c r="BR43" s="364">
        <v>15291911.43</v>
      </c>
      <c r="BS43" s="332">
        <v>15699379.43</v>
      </c>
      <c r="BT43" s="333">
        <v>15699379.43</v>
      </c>
      <c r="BU43" s="333">
        <v>15699379.43</v>
      </c>
      <c r="BV43" s="277">
        <v>17509504</v>
      </c>
      <c r="BW43" s="270">
        <v>15699379.43</v>
      </c>
      <c r="BX43" s="270">
        <v>15699379.43</v>
      </c>
      <c r="BY43" s="270">
        <v>15699379.43</v>
      </c>
      <c r="BZ43" s="270">
        <v>15699379.43</v>
      </c>
      <c r="CA43" s="270">
        <v>15699379.43</v>
      </c>
      <c r="CB43" s="270">
        <v>15699379.43</v>
      </c>
      <c r="CC43" s="270">
        <v>17509503.600000001</v>
      </c>
      <c r="CD43" s="270">
        <v>17509503.600000001</v>
      </c>
      <c r="CE43" s="270">
        <v>17509503.600000001</v>
      </c>
      <c r="CF43" s="270">
        <v>17509503.600000001</v>
      </c>
      <c r="CG43" s="270">
        <v>17509503.600000001</v>
      </c>
      <c r="CH43" s="284">
        <v>18701476</v>
      </c>
      <c r="CI43" s="270">
        <v>17509503.600000001</v>
      </c>
      <c r="CJ43" s="270">
        <v>17509503.600000001</v>
      </c>
      <c r="CK43" s="270">
        <v>17509503.600000001</v>
      </c>
      <c r="CL43" s="270">
        <v>17509503.600000001</v>
      </c>
      <c r="CM43" s="270">
        <v>17509503.600000001</v>
      </c>
      <c r="CN43" s="357">
        <v>17509503.600000001</v>
      </c>
      <c r="CO43" s="357">
        <v>17509503.600000001</v>
      </c>
      <c r="CP43" s="357">
        <v>18701475.989999998</v>
      </c>
      <c r="CQ43" s="357">
        <v>18701475.989999998</v>
      </c>
      <c r="CR43" s="374">
        <v>18701475.989999998</v>
      </c>
      <c r="CS43" s="374">
        <v>18701475.989999998</v>
      </c>
      <c r="CT43" s="377">
        <v>18701475.989999998</v>
      </c>
      <c r="CU43" s="380">
        <v>21755084</v>
      </c>
      <c r="CV43" s="380">
        <v>23674486</v>
      </c>
      <c r="CW43" s="357">
        <v>21755083.920000002</v>
      </c>
      <c r="CX43" s="374">
        <v>21755083.920000002</v>
      </c>
      <c r="CY43" s="374">
        <v>21755083.920000002</v>
      </c>
      <c r="CZ43" s="355">
        <v>21755083.920000002</v>
      </c>
      <c r="DA43" s="402">
        <v>23674485.600000001</v>
      </c>
      <c r="DB43" s="357">
        <v>23674485.600000001</v>
      </c>
      <c r="DC43" s="357">
        <v>23674485.600000001</v>
      </c>
      <c r="DD43" s="357">
        <v>23674485.600000001</v>
      </c>
      <c r="DE43" s="451">
        <v>23674485.600000001</v>
      </c>
    </row>
    <row r="44" spans="1:109" ht="15">
      <c r="A44" s="161" t="s">
        <v>57</v>
      </c>
      <c r="B44" s="286">
        <f>43033392+145020</f>
        <v>43178412</v>
      </c>
      <c r="C44" s="297">
        <f>43178412+145020</f>
        <v>43323432</v>
      </c>
      <c r="D44" s="297">
        <v>43178412</v>
      </c>
      <c r="E44" s="293">
        <v>43178412</v>
      </c>
      <c r="F44" s="293">
        <v>43033392</v>
      </c>
      <c r="G44" s="293">
        <v>43033392</v>
      </c>
      <c r="H44" s="299">
        <v>43033392</v>
      </c>
      <c r="I44" s="302">
        <v>75907044</v>
      </c>
      <c r="J44" s="302">
        <v>75907044</v>
      </c>
      <c r="K44" s="302">
        <v>75907044</v>
      </c>
      <c r="L44" s="302">
        <v>75907044</v>
      </c>
      <c r="M44" s="302">
        <v>75907044</v>
      </c>
      <c r="N44" s="302">
        <v>75907044</v>
      </c>
      <c r="O44" s="302">
        <v>75907044</v>
      </c>
      <c r="P44" s="302">
        <v>75907044</v>
      </c>
      <c r="Q44" s="302">
        <v>75907044</v>
      </c>
      <c r="R44" s="310">
        <v>75907044</v>
      </c>
      <c r="S44" s="309">
        <v>32873652</v>
      </c>
      <c r="T44" s="309">
        <v>179256111</v>
      </c>
      <c r="U44" s="309">
        <v>179256111</v>
      </c>
      <c r="V44" s="304">
        <f>163561391+75907044</f>
        <v>239468435</v>
      </c>
      <c r="W44" s="311">
        <v>179256111</v>
      </c>
      <c r="X44" s="311">
        <v>179256111</v>
      </c>
      <c r="Y44" s="311">
        <v>179256111</v>
      </c>
      <c r="Z44" s="311">
        <v>179256111</v>
      </c>
      <c r="AA44" s="311">
        <v>179256111</v>
      </c>
      <c r="AB44" s="311">
        <v>75907044</v>
      </c>
      <c r="AC44" s="311">
        <v>75907044</v>
      </c>
      <c r="AD44" s="311">
        <v>75907044</v>
      </c>
      <c r="AE44" s="311">
        <v>75907044</v>
      </c>
      <c r="AF44" s="311">
        <v>75907044</v>
      </c>
      <c r="AG44" s="311">
        <v>75907044</v>
      </c>
      <c r="AH44" s="311">
        <v>75907044</v>
      </c>
      <c r="AI44" s="311">
        <v>75907044</v>
      </c>
      <c r="AJ44" s="272">
        <v>75907044</v>
      </c>
      <c r="AK44" s="272">
        <v>75907044</v>
      </c>
      <c r="AL44" s="272">
        <v>75907044</v>
      </c>
      <c r="AM44" s="272">
        <v>75907044</v>
      </c>
      <c r="AN44" s="272">
        <v>75907044</v>
      </c>
      <c r="AO44" s="272">
        <v>75907044</v>
      </c>
      <c r="AP44" s="284">
        <v>75907044</v>
      </c>
      <c r="AQ44" s="284">
        <v>75907044</v>
      </c>
      <c r="AR44" s="284">
        <v>75907044</v>
      </c>
      <c r="AS44" s="284">
        <v>75907044</v>
      </c>
      <c r="AT44" s="284">
        <v>75907044</v>
      </c>
      <c r="AU44" s="284">
        <v>75907044</v>
      </c>
      <c r="AV44" s="284">
        <v>75907044</v>
      </c>
      <c r="AW44" s="304">
        <v>75907044</v>
      </c>
      <c r="AX44" s="304">
        <v>75907044</v>
      </c>
      <c r="AY44" s="304">
        <v>75907044</v>
      </c>
      <c r="AZ44" s="304">
        <v>75907044</v>
      </c>
      <c r="BA44" s="304">
        <v>75907044</v>
      </c>
      <c r="BB44" s="316">
        <v>75907044</v>
      </c>
      <c r="BC44" s="284">
        <v>75907044</v>
      </c>
      <c r="BD44" s="272">
        <v>75907044</v>
      </c>
      <c r="BE44" s="272">
        <v>75907044</v>
      </c>
      <c r="BF44" s="320">
        <v>75907044</v>
      </c>
      <c r="BG44" s="304">
        <v>75907044</v>
      </c>
      <c r="BH44" s="304">
        <v>75907044</v>
      </c>
      <c r="BI44" s="284">
        <v>75907044</v>
      </c>
      <c r="BJ44" s="364">
        <v>75907044</v>
      </c>
      <c r="BK44" s="364">
        <v>75907044</v>
      </c>
      <c r="BL44" s="364">
        <v>75907044</v>
      </c>
      <c r="BM44" s="364">
        <v>75907044</v>
      </c>
      <c r="BN44" s="364">
        <v>75907044</v>
      </c>
      <c r="BO44" s="325">
        <v>75907044</v>
      </c>
      <c r="BP44" s="364">
        <v>75907044</v>
      </c>
      <c r="BQ44" s="364">
        <v>75907044</v>
      </c>
      <c r="BR44" s="364">
        <v>75907044</v>
      </c>
      <c r="BS44" s="332">
        <v>75907044</v>
      </c>
      <c r="BT44" s="333">
        <v>75907044</v>
      </c>
      <c r="BU44" s="333">
        <v>75907044</v>
      </c>
      <c r="BV44" s="277">
        <v>75907044</v>
      </c>
      <c r="BW44" s="270">
        <v>75907044</v>
      </c>
      <c r="BX44" s="270">
        <v>75907044</v>
      </c>
      <c r="BY44" s="270">
        <v>75907044</v>
      </c>
      <c r="BZ44" s="270">
        <v>75907044</v>
      </c>
      <c r="CA44" s="270">
        <v>75907044</v>
      </c>
      <c r="CB44" s="270">
        <v>75907044</v>
      </c>
      <c r="CC44" s="270">
        <v>75907044</v>
      </c>
      <c r="CD44" s="270">
        <v>75907044</v>
      </c>
      <c r="CE44" s="270">
        <v>75907044</v>
      </c>
      <c r="CF44" s="270">
        <v>75907044</v>
      </c>
      <c r="CG44" s="270">
        <v>75907044</v>
      </c>
      <c r="CH44" s="284">
        <v>75907044</v>
      </c>
      <c r="CI44" s="270">
        <v>75907044</v>
      </c>
      <c r="CJ44" s="270">
        <v>75907044</v>
      </c>
      <c r="CK44" s="270">
        <v>75907044</v>
      </c>
      <c r="CL44" s="270">
        <v>75907044</v>
      </c>
      <c r="CM44" s="270">
        <v>75907044</v>
      </c>
      <c r="CN44" s="357">
        <v>75907044</v>
      </c>
      <c r="CO44" s="357">
        <v>75907044</v>
      </c>
      <c r="CP44" s="357">
        <v>75907044</v>
      </c>
      <c r="CQ44" s="357">
        <v>75907044</v>
      </c>
      <c r="CR44" s="374">
        <v>75907044</v>
      </c>
      <c r="CS44" s="374">
        <v>75907044</v>
      </c>
      <c r="CT44" s="377">
        <v>75907044</v>
      </c>
      <c r="CU44" s="380">
        <v>75907044</v>
      </c>
      <c r="CV44" s="380">
        <f>75907044</f>
        <v>75907044</v>
      </c>
      <c r="CW44" s="357">
        <v>75907044</v>
      </c>
      <c r="CX44" s="374">
        <v>75907044</v>
      </c>
      <c r="CY44" s="374">
        <v>75907044</v>
      </c>
      <c r="CZ44" s="357">
        <v>75907044</v>
      </c>
      <c r="DA44" s="402">
        <v>75907044</v>
      </c>
      <c r="DB44" s="357">
        <v>75907044</v>
      </c>
      <c r="DC44" s="357">
        <v>75907044</v>
      </c>
      <c r="DD44" s="357">
        <v>75907044</v>
      </c>
      <c r="DE44" s="451">
        <v>75907044</v>
      </c>
    </row>
    <row r="45" spans="1:109" ht="15">
      <c r="A45" s="161" t="s">
        <v>58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304"/>
      <c r="R45" s="306"/>
      <c r="S45" s="308">
        <v>179256111</v>
      </c>
      <c r="T45" s="308">
        <v>32873652</v>
      </c>
      <c r="U45" s="308">
        <v>32873652</v>
      </c>
      <c r="V45" s="283"/>
      <c r="W45" s="311">
        <v>32873652</v>
      </c>
      <c r="X45" s="311">
        <v>32873652</v>
      </c>
      <c r="Y45" s="311">
        <v>32873652</v>
      </c>
      <c r="Z45" s="311">
        <v>32873652</v>
      </c>
      <c r="AA45" s="311">
        <v>32873652</v>
      </c>
      <c r="AB45" s="311">
        <v>0</v>
      </c>
      <c r="AC45" s="311">
        <v>0</v>
      </c>
      <c r="AD45" s="311">
        <v>0</v>
      </c>
      <c r="AE45" s="315">
        <v>0</v>
      </c>
      <c r="AF45" s="315">
        <v>0</v>
      </c>
      <c r="AG45" s="315">
        <v>0</v>
      </c>
      <c r="AH45" s="315">
        <v>0</v>
      </c>
      <c r="AI45" s="315"/>
      <c r="AJ45" s="272"/>
      <c r="AK45" s="272"/>
      <c r="AL45" s="272"/>
      <c r="AM45" s="272"/>
      <c r="AN45" s="272"/>
      <c r="AO45" s="315"/>
      <c r="AP45" s="315"/>
      <c r="AQ45" s="315"/>
      <c r="AR45" s="315"/>
      <c r="AS45" s="315"/>
      <c r="AT45" s="315"/>
      <c r="AU45" s="315"/>
      <c r="AV45" s="283"/>
      <c r="AW45" s="304">
        <v>0</v>
      </c>
      <c r="AX45" s="304">
        <v>0</v>
      </c>
      <c r="AY45" s="304">
        <v>0</v>
      </c>
      <c r="AZ45" s="304">
        <v>0</v>
      </c>
      <c r="BA45" s="304"/>
      <c r="BB45" s="364">
        <v>0</v>
      </c>
      <c r="BC45" s="283"/>
      <c r="BD45" s="283"/>
      <c r="BE45" s="283"/>
      <c r="BF45" s="283"/>
      <c r="BG45" s="283"/>
      <c r="BH45" s="283"/>
      <c r="BI45" s="283"/>
      <c r="BJ45" s="304">
        <v>0</v>
      </c>
      <c r="BK45" s="304">
        <v>0</v>
      </c>
      <c r="BL45" s="304">
        <v>0</v>
      </c>
      <c r="BM45" s="304">
        <v>0</v>
      </c>
      <c r="BN45" s="216">
        <v>0</v>
      </c>
      <c r="BO45" s="331">
        <v>0</v>
      </c>
      <c r="BP45" s="216">
        <v>0</v>
      </c>
      <c r="BQ45" s="216">
        <v>0</v>
      </c>
      <c r="BR45" s="278"/>
      <c r="BS45" s="332">
        <v>0</v>
      </c>
      <c r="BT45" s="338">
        <v>0</v>
      </c>
      <c r="BU45" s="338">
        <v>0</v>
      </c>
      <c r="BV45" s="283">
        <v>-106216703</v>
      </c>
      <c r="BW45" s="270">
        <v>0</v>
      </c>
      <c r="BX45" s="270">
        <v>0</v>
      </c>
      <c r="BY45" s="270">
        <v>0</v>
      </c>
      <c r="BZ45" s="270">
        <v>0</v>
      </c>
      <c r="CA45" s="270">
        <v>0</v>
      </c>
      <c r="CB45" s="270">
        <v>0</v>
      </c>
      <c r="CC45" s="270">
        <v>0</v>
      </c>
      <c r="CD45" s="270">
        <v>0</v>
      </c>
      <c r="CE45" s="270">
        <v>0</v>
      </c>
      <c r="CF45" s="270">
        <v>0</v>
      </c>
      <c r="CG45" s="270">
        <v>0</v>
      </c>
      <c r="CH45" s="262"/>
      <c r="CI45" s="270">
        <v>0</v>
      </c>
      <c r="CJ45" s="270">
        <v>0</v>
      </c>
      <c r="CK45" s="270">
        <v>0</v>
      </c>
      <c r="CL45" s="270">
        <v>0</v>
      </c>
      <c r="CM45" s="270">
        <v>0</v>
      </c>
      <c r="CN45" s="356">
        <v>0</v>
      </c>
      <c r="CO45" s="356">
        <v>0</v>
      </c>
      <c r="CP45" s="356">
        <v>0</v>
      </c>
      <c r="CQ45" s="356">
        <v>0</v>
      </c>
      <c r="CR45" s="373">
        <v>0</v>
      </c>
      <c r="CS45" s="373">
        <v>0</v>
      </c>
      <c r="CT45" s="376">
        <v>0</v>
      </c>
      <c r="CU45" s="380"/>
      <c r="CV45" s="380">
        <v>32550815</v>
      </c>
      <c r="CW45" s="357">
        <v>32550814.800000001</v>
      </c>
      <c r="CX45" s="374">
        <v>32550814.800000001</v>
      </c>
      <c r="CY45" s="374">
        <v>32550814.800000001</v>
      </c>
      <c r="CZ45" s="357">
        <v>32550814.800000001</v>
      </c>
      <c r="DA45" s="402">
        <v>32550814.800000001</v>
      </c>
      <c r="DB45" s="357">
        <v>32550814.800000001</v>
      </c>
      <c r="DC45" s="357">
        <v>32550814.800000001</v>
      </c>
      <c r="DD45" s="357">
        <v>32550814.800000001</v>
      </c>
      <c r="DE45" s="451">
        <v>32550814.800000001</v>
      </c>
    </row>
    <row r="46" spans="1:109" ht="15">
      <c r="A46" s="161" t="s">
        <v>59</v>
      </c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312">
        <v>0</v>
      </c>
      <c r="X46" s="312">
        <v>0</v>
      </c>
      <c r="Y46" s="312">
        <v>0</v>
      </c>
      <c r="Z46" s="312">
        <v>0</v>
      </c>
      <c r="AA46" s="312">
        <v>0</v>
      </c>
      <c r="AB46" s="312">
        <v>0</v>
      </c>
      <c r="AC46" s="312">
        <v>0</v>
      </c>
      <c r="AD46" s="312">
        <v>0</v>
      </c>
      <c r="AE46" s="311">
        <v>0</v>
      </c>
      <c r="AF46" s="311">
        <v>0</v>
      </c>
      <c r="AG46" s="311">
        <v>0</v>
      </c>
      <c r="AH46" s="311">
        <v>0</v>
      </c>
      <c r="AI46" s="311">
        <v>1</v>
      </c>
      <c r="AJ46" s="272"/>
      <c r="AK46" s="272"/>
      <c r="AL46" s="272"/>
      <c r="AM46" s="272"/>
      <c r="AN46" s="272"/>
      <c r="AO46" s="311"/>
      <c r="AP46" s="311"/>
      <c r="AQ46" s="311"/>
      <c r="AR46" s="311"/>
      <c r="AS46" s="311"/>
      <c r="AT46" s="311"/>
      <c r="AU46" s="311"/>
      <c r="AV46" s="216"/>
      <c r="AW46" s="304">
        <v>0</v>
      </c>
      <c r="AX46" s="304">
        <v>0</v>
      </c>
      <c r="AY46" s="304">
        <v>0</v>
      </c>
      <c r="AZ46" s="304">
        <v>0</v>
      </c>
      <c r="BA46" s="304"/>
      <c r="BB46" s="216">
        <v>0</v>
      </c>
      <c r="BC46" s="216"/>
      <c r="BD46" s="216"/>
      <c r="BE46" s="216"/>
      <c r="BF46" s="216"/>
      <c r="BG46" s="216"/>
      <c r="BH46" s="216"/>
      <c r="BI46" s="216"/>
      <c r="BJ46" s="304">
        <v>0</v>
      </c>
      <c r="BK46" s="304">
        <v>0</v>
      </c>
      <c r="BL46" s="304">
        <v>0</v>
      </c>
      <c r="BM46" s="304">
        <v>0</v>
      </c>
      <c r="BN46" s="216">
        <v>0</v>
      </c>
      <c r="BO46" s="331">
        <v>0</v>
      </c>
      <c r="BP46" s="216">
        <v>0</v>
      </c>
      <c r="BQ46" s="216">
        <v>0</v>
      </c>
      <c r="BR46" s="278"/>
      <c r="BS46" s="339">
        <v>0</v>
      </c>
      <c r="BT46" s="278"/>
      <c r="BU46" s="278"/>
      <c r="BV46" s="216"/>
      <c r="BW46" s="271">
        <v>0</v>
      </c>
      <c r="BX46" s="271">
        <v>0</v>
      </c>
      <c r="BY46" s="271">
        <v>0</v>
      </c>
      <c r="BZ46" s="271">
        <v>0</v>
      </c>
      <c r="CA46" s="271">
        <v>0</v>
      </c>
      <c r="CB46" s="271">
        <v>0</v>
      </c>
      <c r="CC46" s="271">
        <v>0</v>
      </c>
      <c r="CD46" s="271">
        <v>0</v>
      </c>
      <c r="CE46" s="271">
        <v>0</v>
      </c>
      <c r="CF46" s="271">
        <v>0</v>
      </c>
      <c r="CG46" s="271">
        <v>0</v>
      </c>
      <c r="CH46" s="272"/>
      <c r="CI46" s="271">
        <v>0</v>
      </c>
      <c r="CJ46" s="271">
        <v>0</v>
      </c>
      <c r="CK46" s="271">
        <v>0</v>
      </c>
      <c r="CL46" s="271">
        <v>0</v>
      </c>
      <c r="CM46" s="271">
        <v>0</v>
      </c>
      <c r="CN46" s="356">
        <v>0</v>
      </c>
      <c r="CO46" s="356">
        <v>0</v>
      </c>
      <c r="CP46" s="356">
        <v>0</v>
      </c>
      <c r="CQ46" s="356">
        <v>0</v>
      </c>
      <c r="CR46" s="373">
        <v>0</v>
      </c>
      <c r="CS46" s="373">
        <v>0</v>
      </c>
      <c r="CT46" s="376">
        <v>0</v>
      </c>
      <c r="CU46" s="380"/>
      <c r="CV46" s="380"/>
      <c r="CW46" s="356">
        <v>0</v>
      </c>
      <c r="CX46" s="373">
        <v>0</v>
      </c>
      <c r="CY46" s="373">
        <v>0</v>
      </c>
      <c r="CZ46" s="356">
        <v>0</v>
      </c>
      <c r="DA46" s="401">
        <v>0</v>
      </c>
      <c r="DB46" s="356">
        <v>0</v>
      </c>
      <c r="DC46" s="356">
        <v>0</v>
      </c>
      <c r="DD46" s="356">
        <v>0</v>
      </c>
      <c r="DE46" s="450">
        <v>0</v>
      </c>
    </row>
    <row r="47" spans="1:109" ht="15">
      <c r="A47" s="161" t="s">
        <v>60</v>
      </c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  <c r="AI47" s="216"/>
      <c r="AJ47" s="216"/>
      <c r="AK47" s="216"/>
      <c r="AL47" s="216"/>
      <c r="AM47" s="216"/>
      <c r="AN47" s="216"/>
      <c r="AO47" s="216"/>
      <c r="AP47" s="216"/>
      <c r="AQ47" s="216"/>
      <c r="AR47" s="216"/>
      <c r="AS47" s="216"/>
      <c r="AT47" s="216"/>
      <c r="AU47" s="216"/>
      <c r="AV47" s="216"/>
      <c r="AW47" s="216"/>
      <c r="AX47" s="216"/>
      <c r="AY47" s="216"/>
      <c r="AZ47" s="216"/>
      <c r="BA47" s="216"/>
      <c r="BB47" s="216"/>
      <c r="BC47" s="216"/>
      <c r="BD47" s="216"/>
      <c r="BE47" s="216"/>
      <c r="BF47" s="216"/>
      <c r="BG47" s="216"/>
      <c r="BH47" s="216"/>
      <c r="BI47" s="216"/>
      <c r="BJ47" s="216"/>
      <c r="BK47" s="216"/>
      <c r="BL47" s="216"/>
      <c r="BM47" s="216"/>
      <c r="BN47" s="216"/>
      <c r="BO47" s="216"/>
      <c r="BP47" s="216"/>
      <c r="BQ47" s="216"/>
      <c r="BR47" s="216"/>
      <c r="BS47" s="216"/>
      <c r="BT47" s="216"/>
      <c r="BU47" s="216"/>
      <c r="BV47" s="216"/>
      <c r="BW47" s="271">
        <v>0</v>
      </c>
      <c r="BX47" s="271">
        <v>0</v>
      </c>
      <c r="BY47" s="271">
        <v>0</v>
      </c>
      <c r="BZ47" s="271">
        <v>0</v>
      </c>
      <c r="CA47" s="271">
        <v>0</v>
      </c>
      <c r="CB47" s="271">
        <v>0</v>
      </c>
      <c r="CC47" s="271">
        <v>0</v>
      </c>
      <c r="CD47" s="271">
        <v>0</v>
      </c>
      <c r="CE47" s="271">
        <v>0</v>
      </c>
      <c r="CF47" s="271">
        <v>0</v>
      </c>
      <c r="CG47" s="271">
        <v>0</v>
      </c>
      <c r="CH47" s="263"/>
      <c r="CI47" s="271">
        <v>0</v>
      </c>
      <c r="CJ47" s="271">
        <v>0</v>
      </c>
      <c r="CK47" s="271">
        <v>0</v>
      </c>
      <c r="CL47" s="271">
        <v>0</v>
      </c>
      <c r="CM47" s="271">
        <v>0</v>
      </c>
      <c r="CN47" s="356">
        <v>0</v>
      </c>
      <c r="CO47" s="356">
        <v>0</v>
      </c>
      <c r="CP47" s="356">
        <v>0</v>
      </c>
      <c r="CQ47" s="356">
        <v>0</v>
      </c>
      <c r="CR47" s="373">
        <v>0</v>
      </c>
      <c r="CS47" s="373">
        <v>0</v>
      </c>
      <c r="CT47" s="376">
        <v>0</v>
      </c>
      <c r="CU47" s="380"/>
      <c r="CV47" s="380"/>
      <c r="CW47" s="356">
        <v>0</v>
      </c>
      <c r="CX47" s="373">
        <v>0</v>
      </c>
      <c r="CY47" s="373">
        <v>0</v>
      </c>
      <c r="CZ47" s="356">
        <v>0</v>
      </c>
      <c r="DA47" s="401">
        <v>0</v>
      </c>
      <c r="DB47" s="356">
        <v>0</v>
      </c>
      <c r="DC47" s="356">
        <v>0</v>
      </c>
      <c r="DD47" s="356">
        <v>0</v>
      </c>
      <c r="DE47" s="450">
        <v>0</v>
      </c>
    </row>
    <row r="48" spans="1:109" ht="15">
      <c r="A48" s="160" t="s">
        <v>61</v>
      </c>
      <c r="B48" s="211">
        <f>SUM(B39:B47)</f>
        <v>-37572804</v>
      </c>
      <c r="C48" s="211">
        <f t="shared" ref="C48:I48" si="80">SUM(C39:C47)</f>
        <v>-19680604</v>
      </c>
      <c r="D48" s="211">
        <f t="shared" si="80"/>
        <v>-16140114</v>
      </c>
      <c r="E48" s="211">
        <f t="shared" si="80"/>
        <v>-14696260</v>
      </c>
      <c r="F48" s="211">
        <f t="shared" si="80"/>
        <v>-55321370.150000006</v>
      </c>
      <c r="G48" s="211">
        <f t="shared" si="80"/>
        <v>-62305378.359999999</v>
      </c>
      <c r="H48" s="211">
        <f t="shared" si="80"/>
        <v>-43527286</v>
      </c>
      <c r="I48" s="211">
        <f t="shared" si="80"/>
        <v>172835989</v>
      </c>
      <c r="J48" s="211">
        <f t="shared" ref="J48:U48" si="81">SUM(J39:J47)</f>
        <v>223852291.44999999</v>
      </c>
      <c r="K48" s="211">
        <f t="shared" si="81"/>
        <v>222617982.755</v>
      </c>
      <c r="L48" s="211">
        <f t="shared" si="81"/>
        <v>225058171.32999998</v>
      </c>
      <c r="M48" s="211">
        <f t="shared" si="81"/>
        <v>222688157.88499999</v>
      </c>
      <c r="N48" s="211">
        <f t="shared" si="81"/>
        <v>219504067.63</v>
      </c>
      <c r="O48" s="211">
        <f t="shared" si="81"/>
        <v>283695672.26499999</v>
      </c>
      <c r="P48" s="211">
        <f t="shared" si="81"/>
        <v>282666277.22000003</v>
      </c>
      <c r="Q48" s="211">
        <f t="shared" si="81"/>
        <v>270938152.245</v>
      </c>
      <c r="R48" s="211">
        <f t="shared" si="81"/>
        <v>272019861.63999999</v>
      </c>
      <c r="S48" s="211">
        <f t="shared" si="81"/>
        <v>176449221.75</v>
      </c>
      <c r="T48" s="211">
        <f t="shared" si="81"/>
        <v>176397392.16</v>
      </c>
      <c r="U48" s="211">
        <f t="shared" si="81"/>
        <v>176584053.5</v>
      </c>
      <c r="V48" s="211">
        <f>SUM(V39:V47)</f>
        <v>184694893</v>
      </c>
      <c r="W48" s="211">
        <f t="shared" ref="W48:AH48" si="82">SUM(W39:W47)</f>
        <v>179990766</v>
      </c>
      <c r="X48" s="211">
        <f t="shared" si="82"/>
        <v>179714004</v>
      </c>
      <c r="Y48" s="211">
        <f t="shared" si="82"/>
        <v>180151050</v>
      </c>
      <c r="Z48" s="211">
        <f t="shared" si="82"/>
        <v>177351440.40000001</v>
      </c>
      <c r="AA48" s="211">
        <f t="shared" si="82"/>
        <v>174761525</v>
      </c>
      <c r="AB48" s="211">
        <f t="shared" si="82"/>
        <v>189713293</v>
      </c>
      <c r="AC48" s="211">
        <f t="shared" si="82"/>
        <v>196496089.76999998</v>
      </c>
      <c r="AD48" s="211">
        <f t="shared" si="82"/>
        <v>195847272.19999999</v>
      </c>
      <c r="AE48" s="211">
        <f t="shared" si="82"/>
        <v>193376849</v>
      </c>
      <c r="AF48" s="211">
        <f t="shared" si="82"/>
        <v>191233975</v>
      </c>
      <c r="AG48" s="211">
        <f t="shared" si="82"/>
        <v>190130971.73000002</v>
      </c>
      <c r="AH48" s="211">
        <f t="shared" si="82"/>
        <v>187050590.88</v>
      </c>
      <c r="AI48" s="211">
        <f>SUM(AI39:AI47)</f>
        <v>99544885.270000011</v>
      </c>
      <c r="AJ48" s="211">
        <f t="shared" ref="AJ48:AU48" si="83">SUM(AJ39:AJ47)</f>
        <v>186438592.27000001</v>
      </c>
      <c r="AK48" s="211">
        <f t="shared" si="83"/>
        <v>181670918.55000001</v>
      </c>
      <c r="AL48" s="211">
        <f t="shared" si="83"/>
        <v>180126008.15000001</v>
      </c>
      <c r="AM48" s="211">
        <f t="shared" si="83"/>
        <v>178700595.44</v>
      </c>
      <c r="AN48" s="211">
        <f t="shared" si="83"/>
        <v>190089835.03</v>
      </c>
      <c r="AO48" s="211">
        <f t="shared" si="83"/>
        <v>190318586.51000002</v>
      </c>
      <c r="AP48" s="211">
        <f t="shared" si="83"/>
        <v>195370816.90000001</v>
      </c>
      <c r="AQ48" s="211">
        <f t="shared" si="83"/>
        <v>195664796.42000002</v>
      </c>
      <c r="AR48" s="211">
        <f t="shared" si="83"/>
        <v>191724808.08000001</v>
      </c>
      <c r="AS48" s="211">
        <f t="shared" si="83"/>
        <v>190444592.27000001</v>
      </c>
      <c r="AT48" s="211">
        <f t="shared" si="83"/>
        <v>194021564.55000001</v>
      </c>
      <c r="AU48" s="211">
        <f t="shared" si="83"/>
        <v>192416495.09</v>
      </c>
      <c r="AV48" s="211">
        <f>SUM(AV39:AV47)</f>
        <v>192144479</v>
      </c>
      <c r="AW48" s="211">
        <f t="shared" ref="AW48:BH48" si="84">SUM(AW39:AW47)</f>
        <v>198733898.97999999</v>
      </c>
      <c r="AX48" s="211">
        <f t="shared" si="84"/>
        <v>200387133.66</v>
      </c>
      <c r="AY48" s="211">
        <f t="shared" si="84"/>
        <v>200289605.72</v>
      </c>
      <c r="AZ48" s="211">
        <f t="shared" si="84"/>
        <v>199519026.72</v>
      </c>
      <c r="BA48" s="211">
        <f t="shared" si="84"/>
        <v>208189331.13999999</v>
      </c>
      <c r="BB48" s="211">
        <f t="shared" si="84"/>
        <v>207154080.34</v>
      </c>
      <c r="BC48" s="211">
        <f t="shared" si="84"/>
        <v>210992501.47</v>
      </c>
      <c r="BD48" s="211">
        <f t="shared" si="84"/>
        <v>210020528.45999998</v>
      </c>
      <c r="BE48" s="211">
        <f t="shared" si="84"/>
        <v>205616283.72</v>
      </c>
      <c r="BF48" s="211">
        <f t="shared" si="84"/>
        <v>205989960.68000001</v>
      </c>
      <c r="BG48" s="211">
        <f t="shared" si="84"/>
        <v>204546945.84999999</v>
      </c>
      <c r="BH48" s="211">
        <f t="shared" si="84"/>
        <v>202407484.45000002</v>
      </c>
      <c r="BI48" s="211">
        <f>SUM(BI39:BI47)</f>
        <v>314129849</v>
      </c>
      <c r="BJ48" s="211">
        <f t="shared" ref="BJ48:BU48" si="85">SUM(BJ39:BJ47)</f>
        <v>202419387.19</v>
      </c>
      <c r="BK48" s="211">
        <f t="shared" si="85"/>
        <v>199998008.41</v>
      </c>
      <c r="BL48" s="211">
        <f t="shared" si="85"/>
        <v>201413656.05000001</v>
      </c>
      <c r="BM48" s="211">
        <f t="shared" si="85"/>
        <v>200123493.61000001</v>
      </c>
      <c r="BN48" s="211">
        <f t="shared" si="85"/>
        <v>197871921.95000002</v>
      </c>
      <c r="BO48" s="211">
        <f t="shared" si="85"/>
        <v>185303471.13</v>
      </c>
      <c r="BP48" s="211">
        <f t="shared" si="85"/>
        <v>224720093.28000003</v>
      </c>
      <c r="BQ48" s="211">
        <f t="shared" si="85"/>
        <v>224240074.11000001</v>
      </c>
      <c r="BR48" s="211">
        <f t="shared" si="85"/>
        <v>221842693.38000003</v>
      </c>
      <c r="BS48" s="211">
        <f t="shared" si="85"/>
        <v>219084343.64000002</v>
      </c>
      <c r="BT48" s="211">
        <f t="shared" si="85"/>
        <v>216099416.85000002</v>
      </c>
      <c r="BU48" s="211">
        <f t="shared" si="85"/>
        <v>219351801.99999997</v>
      </c>
      <c r="BV48" s="211">
        <f t="shared" ref="BV48:CH48" si="86">SUM(BV39:BV47)</f>
        <v>217472965</v>
      </c>
      <c r="BW48" s="211">
        <f t="shared" si="86"/>
        <v>217855042.13999999</v>
      </c>
      <c r="BX48" s="211">
        <f t="shared" si="86"/>
        <v>211712429.43000001</v>
      </c>
      <c r="BY48" s="211">
        <f t="shared" si="86"/>
        <v>209999323.76999998</v>
      </c>
      <c r="BZ48" s="211">
        <f t="shared" si="86"/>
        <v>217559728.02000001</v>
      </c>
      <c r="CA48" s="211">
        <f t="shared" si="86"/>
        <v>216178632.13999999</v>
      </c>
      <c r="CB48" s="211">
        <f t="shared" si="86"/>
        <v>232269032.78</v>
      </c>
      <c r="CC48" s="211">
        <f t="shared" si="86"/>
        <v>233584896.06</v>
      </c>
      <c r="CD48" s="211">
        <f t="shared" si="86"/>
        <v>237722748.68000001</v>
      </c>
      <c r="CE48" s="211">
        <f t="shared" si="86"/>
        <v>240233649.05999997</v>
      </c>
      <c r="CF48" s="211">
        <f t="shared" si="86"/>
        <v>236841069.79999998</v>
      </c>
      <c r="CG48" s="211">
        <f t="shared" si="86"/>
        <v>228315019.91999999</v>
      </c>
      <c r="CH48" s="211">
        <f t="shared" si="86"/>
        <v>225760792</v>
      </c>
      <c r="CI48" s="211">
        <f t="shared" ref="CI48:CQ48" si="87">SUM(CI39:CI47)</f>
        <v>225796838.94</v>
      </c>
      <c r="CJ48" s="211">
        <f t="shared" si="87"/>
        <v>221860098.90000001</v>
      </c>
      <c r="CK48" s="211">
        <f t="shared" si="87"/>
        <v>220390660.47999999</v>
      </c>
      <c r="CL48" s="211">
        <f t="shared" si="87"/>
        <v>227210513.12</v>
      </c>
      <c r="CM48" s="211">
        <f t="shared" si="87"/>
        <v>222713553.54999998</v>
      </c>
      <c r="CN48" s="211">
        <f t="shared" si="87"/>
        <v>217928125.12</v>
      </c>
      <c r="CO48" s="211">
        <f t="shared" si="87"/>
        <v>215299346.63999999</v>
      </c>
      <c r="CP48" s="211">
        <f t="shared" si="87"/>
        <v>206934880.38</v>
      </c>
      <c r="CQ48" s="211">
        <f t="shared" si="87"/>
        <v>200683683</v>
      </c>
      <c r="CR48" s="211">
        <f t="shared" ref="CR48:CU48" si="88">SUM(CR39:CR47)</f>
        <v>239147241.09999999</v>
      </c>
      <c r="CS48" s="211">
        <f t="shared" si="88"/>
        <v>243971818.35999998</v>
      </c>
      <c r="CT48" s="211">
        <f t="shared" si="88"/>
        <v>251155373.62</v>
      </c>
      <c r="CU48" s="211">
        <f t="shared" si="88"/>
        <v>244611929</v>
      </c>
      <c r="CV48" s="211">
        <f t="shared" ref="CV48:DC48" si="89">SUM(CV39:CV47)</f>
        <v>298486661</v>
      </c>
      <c r="CW48" s="211">
        <f t="shared" si="89"/>
        <v>302136174.31999999</v>
      </c>
      <c r="CX48" s="211">
        <f t="shared" si="89"/>
        <v>299367873.89000005</v>
      </c>
      <c r="CY48" s="211">
        <f t="shared" si="89"/>
        <v>298948710.10000002</v>
      </c>
      <c r="CZ48" s="211">
        <f t="shared" si="89"/>
        <v>296561262.35000002</v>
      </c>
      <c r="DA48" s="211">
        <f t="shared" si="89"/>
        <v>291353955.18999994</v>
      </c>
      <c r="DB48" s="211">
        <f t="shared" si="89"/>
        <v>301684487.69</v>
      </c>
      <c r="DC48" s="211">
        <f t="shared" si="89"/>
        <v>338921083.98999995</v>
      </c>
      <c r="DD48" s="211">
        <f t="shared" ref="DD48:DE48" si="90">SUM(DD39:DD47)</f>
        <v>338367849.47999996</v>
      </c>
      <c r="DE48" s="211">
        <f t="shared" si="90"/>
        <v>331698145.76000005</v>
      </c>
    </row>
    <row r="49" spans="1:109" ht="15">
      <c r="A49" s="160" t="s">
        <v>62</v>
      </c>
      <c r="B49" s="211">
        <f>SUM(B48+B38)</f>
        <v>101042159</v>
      </c>
      <c r="C49" s="211">
        <f t="shared" ref="C49:I49" si="91">SUM(C48+C38)</f>
        <v>106803010</v>
      </c>
      <c r="D49" s="211">
        <f t="shared" si="91"/>
        <v>130959400</v>
      </c>
      <c r="E49" s="211">
        <f t="shared" si="91"/>
        <v>132850579</v>
      </c>
      <c r="F49" s="211">
        <f t="shared" si="91"/>
        <v>126301662.28</v>
      </c>
      <c r="G49" s="211">
        <f t="shared" si="91"/>
        <v>253430738.43000001</v>
      </c>
      <c r="H49" s="211">
        <f t="shared" si="91"/>
        <v>242665215</v>
      </c>
      <c r="I49" s="211">
        <f t="shared" si="91"/>
        <v>284500118</v>
      </c>
      <c r="J49" s="211">
        <f t="shared" ref="J49:U49" si="92">SUM(J48+J38)</f>
        <v>329356053.67999995</v>
      </c>
      <c r="K49" s="211">
        <f t="shared" si="92"/>
        <v>328896529.60500002</v>
      </c>
      <c r="L49" s="211">
        <f t="shared" si="92"/>
        <v>329881766.28999996</v>
      </c>
      <c r="M49" s="211">
        <f t="shared" si="92"/>
        <v>328619236.04500002</v>
      </c>
      <c r="N49" s="211">
        <f t="shared" si="92"/>
        <v>327230780.01999998</v>
      </c>
      <c r="O49" s="211">
        <f t="shared" si="92"/>
        <v>448975921.91500002</v>
      </c>
      <c r="P49" s="211">
        <f t="shared" si="92"/>
        <v>447133410.05000007</v>
      </c>
      <c r="Q49" s="211">
        <f t="shared" si="92"/>
        <v>402618185.16500002</v>
      </c>
      <c r="R49" s="211">
        <f t="shared" si="92"/>
        <v>402313587.76999998</v>
      </c>
      <c r="S49" s="211">
        <f t="shared" si="92"/>
        <v>306974970.25999999</v>
      </c>
      <c r="T49" s="211">
        <f t="shared" si="92"/>
        <v>310532214.60000002</v>
      </c>
      <c r="U49" s="211">
        <f t="shared" si="92"/>
        <v>306075209.71000004</v>
      </c>
      <c r="V49" s="211">
        <f>SUM(V48+V38)</f>
        <v>311148805</v>
      </c>
      <c r="W49" s="211">
        <f t="shared" ref="W49:AH49" si="93">SUM(W48+W38)</f>
        <v>301150079.72000003</v>
      </c>
      <c r="X49" s="211">
        <f t="shared" si="93"/>
        <v>300358397</v>
      </c>
      <c r="Y49" s="211">
        <f t="shared" si="93"/>
        <v>300622078.56</v>
      </c>
      <c r="Z49" s="211">
        <f t="shared" si="93"/>
        <v>297249817.13999999</v>
      </c>
      <c r="AA49" s="211">
        <f t="shared" si="93"/>
        <v>296643989</v>
      </c>
      <c r="AB49" s="211">
        <f t="shared" si="93"/>
        <v>371402076</v>
      </c>
      <c r="AC49" s="211">
        <f t="shared" si="93"/>
        <v>370786030.76999998</v>
      </c>
      <c r="AD49" s="211">
        <f t="shared" si="93"/>
        <v>356910279.19999999</v>
      </c>
      <c r="AE49" s="211">
        <f t="shared" si="93"/>
        <v>343029175</v>
      </c>
      <c r="AF49" s="211">
        <f t="shared" si="93"/>
        <v>336879587</v>
      </c>
      <c r="AG49" s="211">
        <f t="shared" si="93"/>
        <v>332290464.99000001</v>
      </c>
      <c r="AH49" s="211">
        <f t="shared" si="93"/>
        <v>320275631.97000003</v>
      </c>
      <c r="AI49" s="211">
        <f>SUM(AI48+AI38)</f>
        <v>236519467.27000001</v>
      </c>
      <c r="AJ49" s="211">
        <f t="shared" ref="AJ49:AU49" si="94">SUM(AJ48+AJ38)</f>
        <v>318175296.36000001</v>
      </c>
      <c r="AK49" s="211">
        <f t="shared" si="94"/>
        <v>321010020.06</v>
      </c>
      <c r="AL49" s="211">
        <f t="shared" si="94"/>
        <v>326550820</v>
      </c>
      <c r="AM49" s="211">
        <f t="shared" si="94"/>
        <v>323534782.66999996</v>
      </c>
      <c r="AN49" s="211">
        <f t="shared" si="94"/>
        <v>403038265.25999999</v>
      </c>
      <c r="AO49" s="211">
        <f t="shared" si="94"/>
        <v>370291826</v>
      </c>
      <c r="AP49" s="211">
        <f t="shared" si="94"/>
        <v>369867581.25999999</v>
      </c>
      <c r="AQ49" s="211">
        <f t="shared" si="94"/>
        <v>360009331.46000004</v>
      </c>
      <c r="AR49" s="211">
        <f t="shared" si="94"/>
        <v>350895723.97000003</v>
      </c>
      <c r="AS49" s="211">
        <f t="shared" si="94"/>
        <v>346806878.60000002</v>
      </c>
      <c r="AT49" s="211">
        <f t="shared" si="94"/>
        <v>346506700.21000004</v>
      </c>
      <c r="AU49" s="211">
        <f t="shared" si="94"/>
        <v>340063505.85000002</v>
      </c>
      <c r="AV49" s="211">
        <f>SUM(AV48+AV38)</f>
        <v>340024724</v>
      </c>
      <c r="AW49" s="211">
        <f t="shared" ref="AW49:BH49" si="95">SUM(AW48+AW38)</f>
        <v>339737915.72000003</v>
      </c>
      <c r="AX49" s="211">
        <f t="shared" si="95"/>
        <v>338449640.85000002</v>
      </c>
      <c r="AY49" s="211">
        <f t="shared" si="95"/>
        <v>337970073.66999996</v>
      </c>
      <c r="AZ49" s="211">
        <f t="shared" si="95"/>
        <v>340436236.01999998</v>
      </c>
      <c r="BA49" s="211">
        <f t="shared" si="95"/>
        <v>425970759.17999995</v>
      </c>
      <c r="BB49" s="211">
        <f t="shared" si="95"/>
        <v>399199212.42000008</v>
      </c>
      <c r="BC49" s="211">
        <f t="shared" si="95"/>
        <v>401247518.42999995</v>
      </c>
      <c r="BD49" s="211">
        <f t="shared" si="95"/>
        <v>397168500.56999999</v>
      </c>
      <c r="BE49" s="211">
        <f t="shared" si="95"/>
        <v>388179342.88999999</v>
      </c>
      <c r="BF49" s="211">
        <f t="shared" si="95"/>
        <v>386323899.92000002</v>
      </c>
      <c r="BG49" s="211">
        <f t="shared" si="95"/>
        <v>378960263.25999999</v>
      </c>
      <c r="BH49" s="211">
        <f t="shared" si="95"/>
        <v>369440675.10000002</v>
      </c>
      <c r="BI49" s="211">
        <f>SUM(BI48+BI38)</f>
        <v>481163040</v>
      </c>
      <c r="BJ49" s="211">
        <f t="shared" ref="BJ49:BU49" si="96">SUM(BJ48+BJ38)</f>
        <v>365793008.63999999</v>
      </c>
      <c r="BK49" s="211">
        <f t="shared" si="96"/>
        <v>364326278.43000001</v>
      </c>
      <c r="BL49" s="211">
        <f t="shared" si="96"/>
        <v>364446924</v>
      </c>
      <c r="BM49" s="211">
        <f t="shared" si="96"/>
        <v>360003737.04000002</v>
      </c>
      <c r="BN49" s="211">
        <f t="shared" si="96"/>
        <v>357154121.93000007</v>
      </c>
      <c r="BO49" s="211">
        <f t="shared" si="96"/>
        <v>350063381.57999998</v>
      </c>
      <c r="BP49" s="211">
        <f t="shared" si="96"/>
        <v>505544534.41000003</v>
      </c>
      <c r="BQ49" s="211">
        <f t="shared" si="96"/>
        <v>495550095.51999998</v>
      </c>
      <c r="BR49" s="211">
        <f t="shared" si="96"/>
        <v>463500135.73000002</v>
      </c>
      <c r="BS49" s="211">
        <f t="shared" si="96"/>
        <v>450857351.34000003</v>
      </c>
      <c r="BT49" s="211">
        <f t="shared" si="96"/>
        <v>426832057.14000005</v>
      </c>
      <c r="BU49" s="211">
        <f t="shared" si="96"/>
        <v>417511208.31999993</v>
      </c>
      <c r="BV49" s="211">
        <f t="shared" ref="BV49:CH49" si="97">SUM(BV48+BV38)</f>
        <v>417511208.5</v>
      </c>
      <c r="BW49" s="211">
        <f t="shared" si="97"/>
        <v>407808700.54999995</v>
      </c>
      <c r="BX49" s="211">
        <f t="shared" si="97"/>
        <v>405320689.63999999</v>
      </c>
      <c r="BY49" s="211">
        <f t="shared" si="97"/>
        <v>400442847.74000001</v>
      </c>
      <c r="BZ49" s="211">
        <f t="shared" si="97"/>
        <v>454413881.81000006</v>
      </c>
      <c r="CA49" s="211">
        <f t="shared" si="97"/>
        <v>430762451.88</v>
      </c>
      <c r="CB49" s="211">
        <f t="shared" si="97"/>
        <v>530750951.75999999</v>
      </c>
      <c r="CC49" s="211">
        <f t="shared" si="97"/>
        <v>486439218.37</v>
      </c>
      <c r="CD49" s="211">
        <f t="shared" si="97"/>
        <v>657996083.78999996</v>
      </c>
      <c r="CE49" s="211">
        <f t="shared" si="97"/>
        <v>565139326.95999992</v>
      </c>
      <c r="CF49" s="211">
        <f t="shared" si="97"/>
        <v>512016646.03999996</v>
      </c>
      <c r="CG49" s="211">
        <f t="shared" si="97"/>
        <v>486605143.39999998</v>
      </c>
      <c r="CH49" s="211">
        <f t="shared" si="97"/>
        <v>486605141</v>
      </c>
      <c r="CI49" s="211">
        <f t="shared" ref="CI49:CQ49" si="98">SUM(CI48+CI38)</f>
        <v>470825766.88999999</v>
      </c>
      <c r="CJ49" s="211">
        <f t="shared" si="98"/>
        <v>463003379</v>
      </c>
      <c r="CK49" s="211">
        <f t="shared" si="98"/>
        <v>462884371.98000002</v>
      </c>
      <c r="CL49" s="211">
        <f t="shared" si="98"/>
        <v>469490658.63</v>
      </c>
      <c r="CM49" s="211">
        <f t="shared" si="98"/>
        <v>460816518.13</v>
      </c>
      <c r="CN49" s="211">
        <f t="shared" si="98"/>
        <v>455023708.57000005</v>
      </c>
      <c r="CO49" s="211">
        <f t="shared" si="98"/>
        <v>449681332.51000005</v>
      </c>
      <c r="CP49" s="211">
        <f t="shared" si="98"/>
        <v>438858290.24000001</v>
      </c>
      <c r="CQ49" s="211">
        <f t="shared" si="98"/>
        <v>601317454.61000001</v>
      </c>
      <c r="CR49" s="211">
        <f t="shared" ref="CR49:CU49" si="99">SUM(CR48+CR38)</f>
        <v>614286654.26999998</v>
      </c>
      <c r="CS49" s="211">
        <f t="shared" si="99"/>
        <v>560687555.93999994</v>
      </c>
      <c r="CT49" s="211">
        <f t="shared" si="99"/>
        <v>554265773.73000002</v>
      </c>
      <c r="CU49" s="211">
        <f t="shared" si="99"/>
        <v>554265775</v>
      </c>
      <c r="CV49" s="211">
        <f t="shared" ref="CV49:DC49" si="100">SUM(CV48+CV38)</f>
        <v>624939622</v>
      </c>
      <c r="CW49" s="211">
        <f t="shared" si="100"/>
        <v>615739650.31999993</v>
      </c>
      <c r="CX49" s="211">
        <f t="shared" si="100"/>
        <v>612634377.93000007</v>
      </c>
      <c r="CY49" s="211">
        <f t="shared" si="100"/>
        <v>617168614.19000006</v>
      </c>
      <c r="CZ49" s="211">
        <f t="shared" si="100"/>
        <v>612606660.37</v>
      </c>
      <c r="DA49" s="211">
        <f t="shared" si="100"/>
        <v>601487496.3499999</v>
      </c>
      <c r="DB49" s="211">
        <f t="shared" si="100"/>
        <v>620193308.84000003</v>
      </c>
      <c r="DC49" s="211">
        <f t="shared" si="100"/>
        <v>725346748.63999987</v>
      </c>
      <c r="DD49" s="211">
        <f t="shared" ref="DD49:DE49" si="101">SUM(DD48+DD38)</f>
        <v>698741422.64999986</v>
      </c>
      <c r="DE49" s="211">
        <f t="shared" si="101"/>
        <v>682981753.97000003</v>
      </c>
    </row>
    <row r="50" spans="1:109">
      <c r="A50" s="162"/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  <c r="BC50" s="212"/>
      <c r="BD50" s="212"/>
      <c r="BE50" s="212"/>
      <c r="BF50" s="212"/>
      <c r="BG50" s="212"/>
      <c r="BH50" s="212"/>
      <c r="BI50" s="212"/>
      <c r="BJ50" s="212"/>
      <c r="BK50" s="212"/>
      <c r="BL50" s="212"/>
      <c r="BM50" s="212"/>
      <c r="BN50" s="212"/>
      <c r="BO50" s="212"/>
      <c r="BP50" s="212"/>
      <c r="BQ50" s="212"/>
      <c r="BR50" s="212"/>
      <c r="BS50" s="212"/>
      <c r="BT50" s="212"/>
      <c r="BU50" s="212"/>
      <c r="BV50" s="212"/>
      <c r="BW50" s="212"/>
      <c r="BX50" s="212"/>
      <c r="BY50" s="212"/>
      <c r="BZ50" s="212"/>
      <c r="CA50" s="212"/>
      <c r="CB50" s="212"/>
      <c r="CC50" s="212"/>
      <c r="CD50" s="212"/>
      <c r="CV50" s="27"/>
    </row>
    <row r="51" spans="1:109" ht="15">
      <c r="A51" s="162"/>
      <c r="B51" s="213">
        <f>B49-B27</f>
        <v>0</v>
      </c>
      <c r="C51" s="213">
        <f t="shared" ref="C51:H51" si="102">C49-C27</f>
        <v>-148753</v>
      </c>
      <c r="D51" s="213">
        <f t="shared" si="102"/>
        <v>0</v>
      </c>
      <c r="E51" s="213">
        <f t="shared" si="102"/>
        <v>0</v>
      </c>
      <c r="F51" s="213">
        <f t="shared" si="102"/>
        <v>0.20000000298023224</v>
      </c>
      <c r="G51" s="213">
        <f t="shared" si="102"/>
        <v>2998.7900000214577</v>
      </c>
      <c r="H51" s="213">
        <f t="shared" si="102"/>
        <v>-1</v>
      </c>
      <c r="I51" s="213">
        <f>I49-I27</f>
        <v>0</v>
      </c>
      <c r="J51" s="213">
        <f>J49-J27</f>
        <v>33750211.719999909</v>
      </c>
      <c r="K51" s="213">
        <f t="shared" ref="K51:U51" si="103">K49-K27</f>
        <v>29071792.504999995</v>
      </c>
      <c r="L51" s="213">
        <f t="shared" si="103"/>
        <v>30451163.019999981</v>
      </c>
      <c r="M51" s="213">
        <f t="shared" si="103"/>
        <v>28036860.765000045</v>
      </c>
      <c r="N51" s="213">
        <f t="shared" si="103"/>
        <v>26962358.23999995</v>
      </c>
      <c r="O51" s="213">
        <f t="shared" si="103"/>
        <v>89817940.915000021</v>
      </c>
      <c r="P51" s="213">
        <f t="shared" si="103"/>
        <v>99824852.050000072</v>
      </c>
      <c r="Q51" s="213">
        <f t="shared" si="103"/>
        <v>89124231.375</v>
      </c>
      <c r="R51" s="213">
        <f t="shared" si="103"/>
        <v>17477151.609999955</v>
      </c>
      <c r="S51" s="213">
        <f t="shared" si="103"/>
        <v>0</v>
      </c>
      <c r="T51" s="213">
        <f t="shared" si="103"/>
        <v>9.9999904632568359E-3</v>
      </c>
      <c r="U51" s="213">
        <f t="shared" si="103"/>
        <v>0.3200000524520874</v>
      </c>
      <c r="V51" s="213">
        <f>V49-V27</f>
        <v>0</v>
      </c>
      <c r="W51" s="213">
        <f t="shared" ref="W51:AH51" si="104">W49-W27</f>
        <v>0.63999998569488525</v>
      </c>
      <c r="X51" s="213">
        <f t="shared" si="104"/>
        <v>-0.11000001430511475</v>
      </c>
      <c r="Y51" s="213">
        <f t="shared" si="104"/>
        <v>0</v>
      </c>
      <c r="Z51" s="213">
        <f t="shared" si="104"/>
        <v>-0.60000002384185791</v>
      </c>
      <c r="AA51" s="213">
        <f t="shared" si="104"/>
        <v>0</v>
      </c>
      <c r="AB51" s="213">
        <f t="shared" si="104"/>
        <v>0</v>
      </c>
      <c r="AC51" s="213">
        <f t="shared" si="104"/>
        <v>0.62999999523162842</v>
      </c>
      <c r="AD51" s="213">
        <f t="shared" si="104"/>
        <v>0.19999998807907104</v>
      </c>
      <c r="AE51" s="213">
        <f t="shared" si="104"/>
        <v>0</v>
      </c>
      <c r="AF51" s="213">
        <f t="shared" si="104"/>
        <v>0</v>
      </c>
      <c r="AG51" s="213">
        <f t="shared" si="104"/>
        <v>0</v>
      </c>
      <c r="AH51" s="213">
        <f t="shared" si="104"/>
        <v>-3.9999961853027344E-2</v>
      </c>
      <c r="AI51" s="213">
        <f>AI49-AI27</f>
        <v>-84333743.580000013</v>
      </c>
      <c r="AJ51" s="213">
        <f t="shared" ref="AJ51:AU51" si="105">AJ49-AJ27</f>
        <v>-168865.06999999285</v>
      </c>
      <c r="AK51" s="213">
        <f t="shared" si="105"/>
        <v>-9.9999904632568359E-3</v>
      </c>
      <c r="AL51" s="213">
        <f t="shared" si="105"/>
        <v>0</v>
      </c>
      <c r="AM51" s="213">
        <f t="shared" si="105"/>
        <v>0.25999999046325684</v>
      </c>
      <c r="AN51" s="213">
        <f t="shared" si="105"/>
        <v>9.9999904632568359E-3</v>
      </c>
      <c r="AO51" s="213">
        <f t="shared" si="105"/>
        <v>-0.14999997615814209</v>
      </c>
      <c r="AP51" s="213">
        <f t="shared" si="105"/>
        <v>0</v>
      </c>
      <c r="AQ51" s="213">
        <f t="shared" si="105"/>
        <v>0</v>
      </c>
      <c r="AR51" s="213">
        <f t="shared" si="105"/>
        <v>0</v>
      </c>
      <c r="AS51" s="213">
        <f t="shared" si="105"/>
        <v>0</v>
      </c>
      <c r="AT51" s="213">
        <f t="shared" si="105"/>
        <v>0</v>
      </c>
      <c r="AU51" s="213">
        <f t="shared" si="105"/>
        <v>-754205.25999999046</v>
      </c>
      <c r="AV51" s="213">
        <f>AV49-AV27</f>
        <v>1891972</v>
      </c>
      <c r="AW51" s="213">
        <f t="shared" ref="AW51:BH51" si="106">AW49-AW27</f>
        <v>0</v>
      </c>
      <c r="AX51" s="213">
        <f t="shared" si="106"/>
        <v>0</v>
      </c>
      <c r="AY51" s="213">
        <f t="shared" si="106"/>
        <v>0</v>
      </c>
      <c r="AZ51" s="213">
        <f t="shared" si="106"/>
        <v>0</v>
      </c>
      <c r="BA51" s="213">
        <f t="shared" si="106"/>
        <v>0</v>
      </c>
      <c r="BB51" s="213">
        <f t="shared" si="106"/>
        <v>0</v>
      </c>
      <c r="BC51" s="213">
        <f t="shared" si="106"/>
        <v>0</v>
      </c>
      <c r="BD51" s="213">
        <f t="shared" si="106"/>
        <v>0</v>
      </c>
      <c r="BE51" s="213">
        <f t="shared" si="106"/>
        <v>0</v>
      </c>
      <c r="BF51" s="213">
        <f t="shared" si="106"/>
        <v>-2.499997615814209E-3</v>
      </c>
      <c r="BG51" s="213">
        <f t="shared" si="106"/>
        <v>0</v>
      </c>
      <c r="BH51" s="213">
        <f t="shared" si="106"/>
        <v>0</v>
      </c>
      <c r="BI51" s="213">
        <f>BI49-BI27</f>
        <v>111722364.34000003</v>
      </c>
      <c r="BJ51" s="213">
        <f t="shared" ref="BJ51:BU51" si="107">BJ49-BJ27</f>
        <v>0</v>
      </c>
      <c r="BK51" s="213">
        <f t="shared" si="107"/>
        <v>0</v>
      </c>
      <c r="BL51" s="213">
        <f t="shared" si="107"/>
        <v>7.9999983310699463E-2</v>
      </c>
      <c r="BM51" s="213">
        <f t="shared" si="107"/>
        <v>0</v>
      </c>
      <c r="BN51" s="213">
        <f t="shared" si="107"/>
        <v>0</v>
      </c>
      <c r="BO51" s="213">
        <f t="shared" si="107"/>
        <v>-15291911.430000007</v>
      </c>
      <c r="BP51" s="213">
        <f t="shared" si="107"/>
        <v>0</v>
      </c>
      <c r="BQ51" s="213">
        <f t="shared" si="107"/>
        <v>0</v>
      </c>
      <c r="BR51" s="213">
        <f t="shared" si="107"/>
        <v>0</v>
      </c>
      <c r="BS51" s="213">
        <f t="shared" si="107"/>
        <v>0</v>
      </c>
      <c r="BT51" s="213">
        <f t="shared" si="107"/>
        <v>0</v>
      </c>
      <c r="BU51" s="213">
        <f t="shared" si="107"/>
        <v>0</v>
      </c>
      <c r="BV51" s="213">
        <f>BV49-BV27</f>
        <v>-0.87000000476837158</v>
      </c>
      <c r="BW51" s="213">
        <f>BW49-BW27</f>
        <v>0</v>
      </c>
      <c r="BX51" s="213">
        <f>BX49-BX27</f>
        <v>0</v>
      </c>
      <c r="BY51" s="213">
        <f>BY49-BY27</f>
        <v>0</v>
      </c>
      <c r="BZ51" s="213">
        <f t="shared" ref="BZ51:CH51" si="108">BZ49-BZ27</f>
        <v>0</v>
      </c>
      <c r="CA51" s="213">
        <f t="shared" si="108"/>
        <v>0</v>
      </c>
      <c r="CB51" s="213">
        <f t="shared" si="108"/>
        <v>0</v>
      </c>
      <c r="CC51" s="213">
        <f t="shared" si="108"/>
        <v>0</v>
      </c>
      <c r="CD51" s="213">
        <f t="shared" si="108"/>
        <v>0</v>
      </c>
      <c r="CE51" s="213">
        <f t="shared" si="108"/>
        <v>0</v>
      </c>
      <c r="CF51" s="213">
        <f t="shared" si="108"/>
        <v>0</v>
      </c>
      <c r="CG51" s="213">
        <f t="shared" si="108"/>
        <v>0</v>
      </c>
      <c r="CH51" s="213">
        <f t="shared" si="108"/>
        <v>-4</v>
      </c>
      <c r="CI51" s="213">
        <f t="shared" ref="CI51:CQ51" si="109">CI49-CI27</f>
        <v>0</v>
      </c>
      <c r="CJ51" s="213">
        <f t="shared" si="109"/>
        <v>0</v>
      </c>
      <c r="CK51" s="213">
        <f t="shared" si="109"/>
        <v>0</v>
      </c>
      <c r="CL51" s="213">
        <f t="shared" si="109"/>
        <v>0</v>
      </c>
      <c r="CM51" s="213">
        <f t="shared" si="109"/>
        <v>0</v>
      </c>
      <c r="CN51" s="213">
        <f t="shared" si="109"/>
        <v>0</v>
      </c>
      <c r="CO51" s="213">
        <f t="shared" si="109"/>
        <v>0</v>
      </c>
      <c r="CP51" s="213">
        <f t="shared" si="109"/>
        <v>0</v>
      </c>
      <c r="CQ51" s="213">
        <f t="shared" si="109"/>
        <v>0</v>
      </c>
      <c r="CR51" s="213">
        <f t="shared" ref="CR51:CZ51" si="110">CR49-CR27</f>
        <v>0</v>
      </c>
      <c r="CS51" s="213">
        <f t="shared" si="110"/>
        <v>-1.0000109672546387E-2</v>
      </c>
      <c r="CT51" s="213">
        <f t="shared" si="110"/>
        <v>0</v>
      </c>
      <c r="CU51" s="213">
        <f t="shared" si="110"/>
        <v>0</v>
      </c>
      <c r="CV51" s="384">
        <f t="shared" si="110"/>
        <v>-2</v>
      </c>
      <c r="CW51" s="384">
        <f t="shared" si="110"/>
        <v>0</v>
      </c>
      <c r="CX51" s="384">
        <f>CX49-CX27</f>
        <v>0</v>
      </c>
      <c r="CY51" s="384">
        <f>CY49-CY27</f>
        <v>0</v>
      </c>
      <c r="CZ51" s="384">
        <f>CZ49-CZ27</f>
        <v>0</v>
      </c>
      <c r="DA51" s="384">
        <f>DA49-DA27</f>
        <v>0</v>
      </c>
      <c r="DB51" s="384">
        <f>DB49-DB27</f>
        <v>0</v>
      </c>
      <c r="DC51" s="384">
        <f>DC49-DC27</f>
        <v>0</v>
      </c>
      <c r="DD51" s="384">
        <f>DD49-DD27</f>
        <v>0</v>
      </c>
      <c r="DE51" s="384">
        <f>DE49-DE27</f>
        <v>0</v>
      </c>
    </row>
  </sheetData>
  <phoneticPr fontId="3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E44"/>
  <sheetViews>
    <sheetView workbookViewId="0">
      <pane xSplit="1" ySplit="2" topLeftCell="DB3" activePane="bottomRight" state="frozen"/>
      <selection pane="bottomRight" activeCell="DD7" sqref="DD7:DE7"/>
      <selection pane="bottomLeft" activeCell="A3" sqref="A3"/>
      <selection pane="topRight" activeCell="B1" sqref="B1"/>
    </sheetView>
  </sheetViews>
  <sheetFormatPr defaultRowHeight="14.45"/>
  <cols>
    <col min="1" max="1" width="41" customWidth="1"/>
    <col min="2" max="2" width="20" customWidth="1"/>
    <col min="3" max="3" width="22.140625" customWidth="1"/>
    <col min="4" max="4" width="18.85546875" customWidth="1"/>
    <col min="5" max="5" width="18.7109375" customWidth="1"/>
    <col min="6" max="6" width="17.140625" bestFit="1" customWidth="1"/>
    <col min="7" max="7" width="19.5703125" customWidth="1"/>
    <col min="8" max="8" width="20.42578125" customWidth="1"/>
    <col min="9" max="21" width="19" customWidth="1"/>
    <col min="22" max="34" width="21.28515625" customWidth="1"/>
    <col min="35" max="35" width="21.7109375" customWidth="1"/>
    <col min="36" max="60" width="19.140625" customWidth="1"/>
    <col min="61" max="73" width="22.7109375" customWidth="1"/>
    <col min="74" max="74" width="21.7109375" style="256" bestFit="1" customWidth="1"/>
    <col min="75" max="79" width="21.28515625" customWidth="1"/>
    <col min="80" max="85" width="21.28515625" hidden="1" customWidth="1"/>
    <col min="86" max="86" width="21.28515625" bestFit="1" customWidth="1"/>
    <col min="87" max="87" width="19.42578125" bestFit="1" customWidth="1"/>
    <col min="88" max="88" width="20.42578125" bestFit="1" customWidth="1"/>
    <col min="89" max="89" width="21.28515625" bestFit="1" customWidth="1"/>
    <col min="90" max="91" width="18.140625" bestFit="1" customWidth="1"/>
    <col min="92" max="92" width="20.140625" customWidth="1"/>
    <col min="93" max="93" width="20" customWidth="1"/>
    <col min="94" max="94" width="19.42578125" customWidth="1"/>
    <col min="95" max="95" width="17.7109375" customWidth="1"/>
    <col min="96" max="96" width="18.28515625" customWidth="1"/>
    <col min="97" max="97" width="18.140625" customWidth="1"/>
    <col min="98" max="98" width="17.28515625" customWidth="1"/>
    <col min="99" max="99" width="18.42578125" customWidth="1"/>
    <col min="100" max="100" width="18" bestFit="1" customWidth="1"/>
    <col min="101" max="101" width="19.42578125" customWidth="1"/>
    <col min="102" max="102" width="17.85546875" customWidth="1"/>
    <col min="103" max="103" width="17.42578125" customWidth="1"/>
    <col min="104" max="104" width="17.85546875" customWidth="1"/>
    <col min="105" max="105" width="18.5703125" customWidth="1"/>
    <col min="106" max="106" width="17.7109375" bestFit="1" customWidth="1"/>
    <col min="107" max="107" width="17.85546875" customWidth="1"/>
    <col min="108" max="108" width="16" customWidth="1"/>
    <col min="109" max="109" width="17.5703125" customWidth="1"/>
  </cols>
  <sheetData>
    <row r="1" spans="1:109" ht="15" customHeight="1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4"/>
      <c r="AP1" s="274"/>
      <c r="AQ1" s="274"/>
      <c r="AR1" s="274"/>
      <c r="AS1" s="274"/>
      <c r="AT1" s="274"/>
      <c r="AU1" s="274"/>
      <c r="AV1" s="274"/>
      <c r="AW1" s="274"/>
      <c r="AX1" s="274"/>
      <c r="AY1" s="274"/>
      <c r="AZ1" s="274"/>
      <c r="BA1" s="274"/>
      <c r="BB1" s="274"/>
      <c r="BC1" s="274"/>
      <c r="BD1" s="274"/>
      <c r="BE1" s="274"/>
      <c r="BF1" s="274"/>
      <c r="BG1" s="274"/>
      <c r="BH1" s="274"/>
      <c r="BI1" s="274"/>
      <c r="BJ1" s="274"/>
      <c r="BK1" s="274"/>
      <c r="BL1" s="274"/>
      <c r="BM1" s="274"/>
      <c r="BN1" s="274"/>
      <c r="BO1" s="274"/>
      <c r="BP1" s="274"/>
      <c r="BQ1" s="274"/>
      <c r="BR1" s="274"/>
      <c r="BS1" s="274"/>
      <c r="BT1" s="274"/>
      <c r="BU1" s="274"/>
      <c r="BV1" s="256" t="s">
        <v>63</v>
      </c>
    </row>
    <row r="2" spans="1:109" ht="24.6" customHeight="1">
      <c r="A2" s="168"/>
      <c r="B2" s="219" t="s">
        <v>64</v>
      </c>
      <c r="C2" s="219" t="s">
        <v>65</v>
      </c>
      <c r="D2" s="219" t="s">
        <v>66</v>
      </c>
      <c r="E2" s="219" t="s">
        <v>67</v>
      </c>
      <c r="F2" s="219" t="s">
        <v>68</v>
      </c>
      <c r="G2" s="219" t="s">
        <v>69</v>
      </c>
      <c r="H2" s="219" t="s">
        <v>70</v>
      </c>
      <c r="I2" s="219" t="s">
        <v>71</v>
      </c>
      <c r="J2" s="343">
        <v>42005</v>
      </c>
      <c r="K2" s="343">
        <v>42036</v>
      </c>
      <c r="L2" s="343">
        <v>42064</v>
      </c>
      <c r="M2" s="343">
        <v>42095</v>
      </c>
      <c r="N2" s="343">
        <v>42125</v>
      </c>
      <c r="O2" s="343">
        <v>42156</v>
      </c>
      <c r="P2" s="343">
        <v>42186</v>
      </c>
      <c r="Q2" s="343">
        <v>42217</v>
      </c>
      <c r="R2" s="343">
        <v>42248</v>
      </c>
      <c r="S2" s="343">
        <v>42278</v>
      </c>
      <c r="T2" s="343">
        <v>42309</v>
      </c>
      <c r="U2" s="343">
        <v>42339</v>
      </c>
      <c r="V2" s="219" t="s">
        <v>72</v>
      </c>
      <c r="W2" s="343">
        <v>42370</v>
      </c>
      <c r="X2" s="343">
        <v>42401</v>
      </c>
      <c r="Y2" s="343">
        <v>42430</v>
      </c>
      <c r="Z2" s="343">
        <v>42461</v>
      </c>
      <c r="AA2" s="343">
        <v>42491</v>
      </c>
      <c r="AB2" s="343">
        <v>42522</v>
      </c>
      <c r="AC2" s="343">
        <v>42552</v>
      </c>
      <c r="AD2" s="343">
        <v>42583</v>
      </c>
      <c r="AE2" s="343">
        <v>42614</v>
      </c>
      <c r="AF2" s="343">
        <v>42644</v>
      </c>
      <c r="AG2" s="343">
        <v>42675</v>
      </c>
      <c r="AH2" s="343">
        <v>42705</v>
      </c>
      <c r="AI2" s="219" t="s">
        <v>73</v>
      </c>
      <c r="AJ2" s="343">
        <v>42736</v>
      </c>
      <c r="AK2" s="343">
        <v>42767</v>
      </c>
      <c r="AL2" s="343">
        <v>42795</v>
      </c>
      <c r="AM2" s="343">
        <v>42826</v>
      </c>
      <c r="AN2" s="343">
        <v>42856</v>
      </c>
      <c r="AO2" s="343">
        <v>42887</v>
      </c>
      <c r="AP2" s="343">
        <v>42917</v>
      </c>
      <c r="AQ2" s="343">
        <v>42948</v>
      </c>
      <c r="AR2" s="343">
        <v>42979</v>
      </c>
      <c r="AS2" s="343">
        <v>43009</v>
      </c>
      <c r="AT2" s="343">
        <v>43040</v>
      </c>
      <c r="AU2" s="343">
        <v>43070</v>
      </c>
      <c r="AV2" s="343" t="s">
        <v>10</v>
      </c>
      <c r="AW2" s="343">
        <v>43101</v>
      </c>
      <c r="AX2" s="343">
        <v>43132</v>
      </c>
      <c r="AY2" s="343">
        <v>43160</v>
      </c>
      <c r="AZ2" s="343">
        <v>43191</v>
      </c>
      <c r="BA2" s="343">
        <v>43221</v>
      </c>
      <c r="BB2" s="343">
        <v>43252</v>
      </c>
      <c r="BC2" s="343">
        <v>43282</v>
      </c>
      <c r="BD2" s="343">
        <v>43313</v>
      </c>
      <c r="BE2" s="343">
        <v>43344</v>
      </c>
      <c r="BF2" s="343">
        <v>43374</v>
      </c>
      <c r="BG2" s="343">
        <v>43405</v>
      </c>
      <c r="BH2" s="343">
        <v>43435</v>
      </c>
      <c r="BI2" s="219" t="s">
        <v>74</v>
      </c>
      <c r="BJ2" s="343">
        <v>43466</v>
      </c>
      <c r="BK2" s="343">
        <v>43497</v>
      </c>
      <c r="BL2" s="343">
        <v>43525</v>
      </c>
      <c r="BM2" s="343">
        <v>43556</v>
      </c>
      <c r="BN2" s="343">
        <v>43586</v>
      </c>
      <c r="BO2" s="343">
        <v>43617</v>
      </c>
      <c r="BP2" s="343">
        <v>43647</v>
      </c>
      <c r="BQ2" s="343">
        <v>43678</v>
      </c>
      <c r="BR2" s="343">
        <v>43709</v>
      </c>
      <c r="BS2" s="343">
        <v>43739</v>
      </c>
      <c r="BT2" s="343">
        <v>43770</v>
      </c>
      <c r="BU2" s="343">
        <v>43800</v>
      </c>
      <c r="BV2" s="219" t="s">
        <v>75</v>
      </c>
      <c r="BW2" s="208">
        <v>43831</v>
      </c>
      <c r="BX2" s="208">
        <v>43862</v>
      </c>
      <c r="BY2" s="208">
        <v>43891</v>
      </c>
      <c r="BZ2" s="208">
        <v>43922</v>
      </c>
      <c r="CA2" s="208">
        <v>43952</v>
      </c>
      <c r="CB2" s="208">
        <v>43983</v>
      </c>
      <c r="CC2" s="208">
        <v>44044</v>
      </c>
      <c r="CD2" s="208">
        <v>44075</v>
      </c>
      <c r="CE2" s="208">
        <v>44105</v>
      </c>
      <c r="CF2" s="208">
        <v>44136</v>
      </c>
      <c r="CG2" s="208">
        <v>44166</v>
      </c>
      <c r="CH2" s="208" t="s">
        <v>13</v>
      </c>
      <c r="CI2" s="208">
        <v>44197</v>
      </c>
      <c r="CJ2" s="208">
        <v>44228</v>
      </c>
      <c r="CK2" s="208">
        <v>44256</v>
      </c>
      <c r="CL2" s="208">
        <v>44287</v>
      </c>
      <c r="CM2" s="208">
        <v>44317</v>
      </c>
      <c r="CN2" s="208">
        <v>44348</v>
      </c>
      <c r="CO2" s="208">
        <v>44378</v>
      </c>
      <c r="CP2" s="208">
        <v>44409</v>
      </c>
      <c r="CQ2" s="208">
        <v>44440</v>
      </c>
      <c r="CR2" s="208">
        <v>44470</v>
      </c>
      <c r="CS2" s="208">
        <v>44501</v>
      </c>
      <c r="CT2" s="208">
        <v>44531</v>
      </c>
      <c r="CU2" s="208" t="s">
        <v>14</v>
      </c>
      <c r="CV2" s="387" t="s">
        <v>15</v>
      </c>
      <c r="CW2" s="385">
        <v>44927</v>
      </c>
      <c r="CX2" s="385">
        <v>44958</v>
      </c>
      <c r="CY2" s="385">
        <v>44986</v>
      </c>
      <c r="CZ2" s="395">
        <v>45017</v>
      </c>
      <c r="DA2" s="395">
        <v>45047</v>
      </c>
      <c r="DB2" s="395">
        <v>45078</v>
      </c>
      <c r="DC2" s="395">
        <v>45108</v>
      </c>
      <c r="DD2" s="395">
        <v>45139</v>
      </c>
      <c r="DE2" s="395">
        <v>45170</v>
      </c>
    </row>
    <row r="3" spans="1:109" ht="20.45" customHeight="1">
      <c r="A3" s="169" t="s">
        <v>76</v>
      </c>
      <c r="B3" s="209">
        <f t="shared" ref="B3:G3" si="0">B4+B7</f>
        <v>13158687</v>
      </c>
      <c r="C3" s="209">
        <f t="shared" si="0"/>
        <v>11857416</v>
      </c>
      <c r="D3" s="209">
        <f t="shared" si="0"/>
        <v>15384310</v>
      </c>
      <c r="E3" s="209">
        <f t="shared" si="0"/>
        <v>15961562</v>
      </c>
      <c r="F3" s="209">
        <f t="shared" si="0"/>
        <v>11480293.83</v>
      </c>
      <c r="G3" s="209">
        <f t="shared" si="0"/>
        <v>8973589.5899999999</v>
      </c>
      <c r="H3" s="209">
        <f>H4+H7</f>
        <v>22684355</v>
      </c>
      <c r="I3" s="209">
        <f>I4+I7</f>
        <v>20513783</v>
      </c>
      <c r="J3" s="209">
        <f t="shared" ref="J3:U3" si="1">J4+J7</f>
        <v>1943543.42</v>
      </c>
      <c r="K3" s="209">
        <f t="shared" si="1"/>
        <v>3377541.5</v>
      </c>
      <c r="L3" s="209">
        <f t="shared" si="1"/>
        <v>4532428.83</v>
      </c>
      <c r="M3" s="209">
        <f t="shared" si="1"/>
        <v>5355560.3899999997</v>
      </c>
      <c r="N3" s="209">
        <f t="shared" si="1"/>
        <v>6517447.1300000008</v>
      </c>
      <c r="O3" s="209">
        <f t="shared" si="1"/>
        <v>18894145.359999999</v>
      </c>
      <c r="P3" s="209">
        <f t="shared" si="1"/>
        <v>23029359.510000002</v>
      </c>
      <c r="Q3" s="209">
        <f t="shared" si="1"/>
        <v>24551062.359999999</v>
      </c>
      <c r="R3" s="209">
        <f t="shared" si="1"/>
        <v>26009787</v>
      </c>
      <c r="S3" s="209">
        <f t="shared" si="1"/>
        <v>27182386.09</v>
      </c>
      <c r="T3" s="209">
        <f t="shared" si="1"/>
        <v>30365920.890000001</v>
      </c>
      <c r="U3" s="209">
        <f t="shared" si="1"/>
        <v>34331555.799999997</v>
      </c>
      <c r="V3" s="209">
        <f>V4+V7</f>
        <v>36118142</v>
      </c>
      <c r="W3" s="209">
        <f t="shared" ref="W3:AH3" si="2">W4+W7</f>
        <v>1679326.37</v>
      </c>
      <c r="X3" s="209">
        <f t="shared" si="2"/>
        <v>7731031.1200000001</v>
      </c>
      <c r="Y3" s="209">
        <f t="shared" si="2"/>
        <v>4790911</v>
      </c>
      <c r="Z3" s="209">
        <f t="shared" si="2"/>
        <v>6824588.96</v>
      </c>
      <c r="AA3" s="209">
        <f t="shared" si="2"/>
        <v>8540491</v>
      </c>
      <c r="AB3" s="209">
        <f t="shared" si="2"/>
        <v>20820004</v>
      </c>
      <c r="AC3" s="209">
        <f t="shared" si="2"/>
        <v>30136374.829999998</v>
      </c>
      <c r="AD3" s="209">
        <f t="shared" si="2"/>
        <v>33377059</v>
      </c>
      <c r="AE3" s="209">
        <f t="shared" si="2"/>
        <v>36248181</v>
      </c>
      <c r="AF3" s="209">
        <f t="shared" si="2"/>
        <v>38124733</v>
      </c>
      <c r="AG3" s="209">
        <f t="shared" si="2"/>
        <v>40350513.390000001</v>
      </c>
      <c r="AH3" s="209">
        <f t="shared" si="2"/>
        <v>46207575.100000001</v>
      </c>
      <c r="AI3" s="209">
        <f>AI4+AI7</f>
        <v>44773482</v>
      </c>
      <c r="AJ3" s="209">
        <f>AJ4+AJ7</f>
        <v>2062897.8733000001</v>
      </c>
      <c r="AK3" s="209">
        <f t="shared" ref="AK3:AU3" si="3">AK4+AK7</f>
        <v>3463020.8832999999</v>
      </c>
      <c r="AL3" s="209">
        <f t="shared" si="3"/>
        <v>5439860.043300001</v>
      </c>
      <c r="AM3" s="209">
        <f t="shared" si="3"/>
        <v>7763321.3432999998</v>
      </c>
      <c r="AN3" s="209">
        <f t="shared" si="3"/>
        <v>19517993.193</v>
      </c>
      <c r="AO3" s="209">
        <f t="shared" si="3"/>
        <v>23088960.562999997</v>
      </c>
      <c r="AP3" s="209">
        <f t="shared" si="3"/>
        <v>31543795.719999999</v>
      </c>
      <c r="AQ3" s="209">
        <f t="shared" si="3"/>
        <v>34856023.890000001</v>
      </c>
      <c r="AR3" s="209">
        <f t="shared" si="3"/>
        <v>34870538.400000006</v>
      </c>
      <c r="AS3" s="209">
        <f t="shared" si="3"/>
        <v>36222831</v>
      </c>
      <c r="AT3" s="209">
        <f t="shared" si="3"/>
        <v>38439968.519999996</v>
      </c>
      <c r="AU3" s="209">
        <f t="shared" si="3"/>
        <v>40817949.159999996</v>
      </c>
      <c r="AV3" s="209">
        <f t="shared" ref="AV3:BH3" si="4">AV4+AV7</f>
        <v>40817948</v>
      </c>
      <c r="AW3" s="209">
        <f t="shared" si="4"/>
        <v>2464031.38</v>
      </c>
      <c r="AX3" s="209">
        <f t="shared" si="4"/>
        <v>4531810.4800000004</v>
      </c>
      <c r="AY3" s="209">
        <f t="shared" si="4"/>
        <v>7597231.9100000001</v>
      </c>
      <c r="AZ3" s="209">
        <f t="shared" si="4"/>
        <v>9950683.8399999999</v>
      </c>
      <c r="BA3" s="209">
        <f t="shared" si="4"/>
        <v>23192939.870000001</v>
      </c>
      <c r="BB3" s="209">
        <f t="shared" si="4"/>
        <v>26651569.290000003</v>
      </c>
      <c r="BC3" s="209">
        <f t="shared" si="4"/>
        <v>34413091.440000005</v>
      </c>
      <c r="BD3" s="209">
        <f t="shared" si="4"/>
        <v>36292207.980000004</v>
      </c>
      <c r="BE3" s="209">
        <f t="shared" si="4"/>
        <v>38286170.219999999</v>
      </c>
      <c r="BF3" s="209">
        <f t="shared" si="4"/>
        <v>41953339.209999993</v>
      </c>
      <c r="BG3" s="209">
        <f t="shared" si="4"/>
        <v>43866256.200000003</v>
      </c>
      <c r="BH3" s="209">
        <f t="shared" si="4"/>
        <v>47511881.159999996</v>
      </c>
      <c r="BI3" s="209">
        <f>BI4+BI7</f>
        <v>47511882</v>
      </c>
      <c r="BJ3" s="209">
        <f t="shared" ref="BJ3:BT3" si="5">BJ4+BJ7</f>
        <v>3580426.38</v>
      </c>
      <c r="BK3" s="209">
        <f t="shared" si="5"/>
        <v>5044803.18</v>
      </c>
      <c r="BL3" s="209">
        <f t="shared" si="5"/>
        <v>7321851.2300000004</v>
      </c>
      <c r="BM3" s="209">
        <f t="shared" si="5"/>
        <v>9295692.2599999998</v>
      </c>
      <c r="BN3" s="209">
        <f t="shared" si="5"/>
        <v>11735869.050000001</v>
      </c>
      <c r="BO3" s="209">
        <f t="shared" si="5"/>
        <v>18988097.039999999</v>
      </c>
      <c r="BP3" s="209">
        <f t="shared" si="5"/>
        <v>39504198.700000003</v>
      </c>
      <c r="BQ3" s="209">
        <f t="shared" si="5"/>
        <v>44671138.939999998</v>
      </c>
      <c r="BR3" s="209">
        <f t="shared" si="5"/>
        <v>47007140.060000002</v>
      </c>
      <c r="BS3" s="209">
        <f t="shared" si="5"/>
        <v>50403756.439999998</v>
      </c>
      <c r="BT3" s="209">
        <f t="shared" si="5"/>
        <v>53218881.950000003</v>
      </c>
      <c r="BU3" s="209">
        <f>BU4+BU7</f>
        <v>58640436.68</v>
      </c>
      <c r="BV3" s="209">
        <f t="shared" ref="BV3:CH3" si="6">BV4+BV7</f>
        <v>58639936</v>
      </c>
      <c r="BW3" s="209">
        <f t="shared" si="6"/>
        <v>1654095.55</v>
      </c>
      <c r="BX3" s="209">
        <f t="shared" si="6"/>
        <v>4368496.2</v>
      </c>
      <c r="BY3" s="209">
        <f t="shared" si="6"/>
        <v>6687457.4500000002</v>
      </c>
      <c r="BZ3" s="209">
        <f t="shared" si="6"/>
        <v>19587044.119999997</v>
      </c>
      <c r="CA3" s="209">
        <f t="shared" si="6"/>
        <v>22238943.170000002</v>
      </c>
      <c r="CB3" s="209">
        <f t="shared" si="6"/>
        <v>34201400.649999999</v>
      </c>
      <c r="CC3" s="209">
        <f t="shared" si="6"/>
        <v>42192310.670000002</v>
      </c>
      <c r="CD3" s="209">
        <f t="shared" si="6"/>
        <v>48864465.390000001</v>
      </c>
      <c r="CE3" s="209">
        <f t="shared" si="6"/>
        <v>54205689.780000001</v>
      </c>
      <c r="CF3" s="209">
        <f t="shared" si="6"/>
        <v>57023682.649999999</v>
      </c>
      <c r="CG3" s="209">
        <f t="shared" si="6"/>
        <v>60256144.899999999</v>
      </c>
      <c r="CH3" s="209">
        <f t="shared" si="6"/>
        <v>60256145</v>
      </c>
      <c r="CI3" s="209">
        <f t="shared" ref="CI3:CQ3" si="7">CI4+CI7</f>
        <v>2281475.4300000002</v>
      </c>
      <c r="CJ3" s="209">
        <f t="shared" si="7"/>
        <v>5184018.38</v>
      </c>
      <c r="CK3" s="209">
        <f t="shared" si="7"/>
        <v>7961652.2299999995</v>
      </c>
      <c r="CL3" s="209">
        <f t="shared" si="7"/>
        <v>18263978.09</v>
      </c>
      <c r="CM3" s="209">
        <f t="shared" si="7"/>
        <v>20550312.41</v>
      </c>
      <c r="CN3" s="209">
        <f t="shared" si="7"/>
        <v>22478328.640000001</v>
      </c>
      <c r="CO3" s="209">
        <f t="shared" si="7"/>
        <v>26066191.310000002</v>
      </c>
      <c r="CP3" s="209">
        <f t="shared" si="7"/>
        <v>28818839.469999999</v>
      </c>
      <c r="CQ3" s="209">
        <f t="shared" si="7"/>
        <v>30755890.579999998</v>
      </c>
      <c r="CR3" s="209">
        <f t="shared" ref="CR3:CU3" si="8">CR4+CR7</f>
        <v>57822788.399999999</v>
      </c>
      <c r="CS3" s="209">
        <f t="shared" si="8"/>
        <v>62913917.700000003</v>
      </c>
      <c r="CT3" s="209">
        <f t="shared" si="8"/>
        <v>70086207.539999992</v>
      </c>
      <c r="CU3" s="209">
        <f t="shared" si="8"/>
        <v>70086207</v>
      </c>
      <c r="CV3" s="209">
        <f t="shared" ref="CV3:DC3" si="9">CV4+CV7</f>
        <v>70075011</v>
      </c>
      <c r="CW3" s="209">
        <f t="shared" si="9"/>
        <v>3766669.62</v>
      </c>
      <c r="CX3" s="209">
        <f t="shared" si="9"/>
        <v>7257392.3399999999</v>
      </c>
      <c r="CY3" s="209">
        <f t="shared" si="9"/>
        <v>11494922.16</v>
      </c>
      <c r="CZ3" s="209">
        <f t="shared" si="9"/>
        <v>16724751.670000002</v>
      </c>
      <c r="DA3" s="209">
        <f t="shared" si="9"/>
        <v>22178668.550000001</v>
      </c>
      <c r="DB3" s="209">
        <f t="shared" si="9"/>
        <v>36537253.200000003</v>
      </c>
      <c r="DC3" s="209">
        <f t="shared" si="9"/>
        <v>62786188.859999999</v>
      </c>
      <c r="DD3" s="209">
        <f t="shared" ref="DD3:DE3" si="10">DD4+DD7</f>
        <v>69891104.13000001</v>
      </c>
      <c r="DE3" s="209">
        <f t="shared" si="10"/>
        <v>73275129.150000006</v>
      </c>
    </row>
    <row r="4" spans="1:109" ht="15.75">
      <c r="A4" s="169" t="s">
        <v>77</v>
      </c>
      <c r="B4" s="209">
        <f t="shared" ref="B4:G4" si="11">SUM(B5:B6)</f>
        <v>11379426</v>
      </c>
      <c r="C4" s="209">
        <f t="shared" si="11"/>
        <v>11438776</v>
      </c>
      <c r="D4" s="209">
        <f t="shared" si="11"/>
        <v>13726979</v>
      </c>
      <c r="E4" s="209">
        <f t="shared" si="11"/>
        <v>9328665</v>
      </c>
      <c r="F4" s="209">
        <f t="shared" si="11"/>
        <v>6088928</v>
      </c>
      <c r="G4" s="209">
        <f t="shared" si="11"/>
        <v>2789845.9</v>
      </c>
      <c r="H4" s="209">
        <f>SUM(H5:H6)</f>
        <v>12329678</v>
      </c>
      <c r="I4" s="209">
        <f>SUM(I5:I6)</f>
        <v>18685473</v>
      </c>
      <c r="J4" s="209">
        <f t="shared" ref="J4:U4" si="12">SUM(J5:J6)</f>
        <v>1307117.1399999999</v>
      </c>
      <c r="K4" s="209">
        <f t="shared" si="12"/>
        <v>1510859.1700000002</v>
      </c>
      <c r="L4" s="209">
        <f t="shared" si="12"/>
        <v>2114612.5</v>
      </c>
      <c r="M4" s="209">
        <f t="shared" si="12"/>
        <v>2424365.6799999997</v>
      </c>
      <c r="N4" s="209">
        <f t="shared" si="12"/>
        <v>2750382.45</v>
      </c>
      <c r="O4" s="209">
        <f t="shared" si="12"/>
        <v>13017849.199999999</v>
      </c>
      <c r="P4" s="209">
        <f t="shared" si="12"/>
        <v>14114298.48</v>
      </c>
      <c r="Q4" s="209">
        <f t="shared" si="12"/>
        <v>14852048.68</v>
      </c>
      <c r="R4" s="209">
        <f t="shared" si="12"/>
        <v>15571940.32</v>
      </c>
      <c r="S4" s="209">
        <f t="shared" si="12"/>
        <v>16131345.41</v>
      </c>
      <c r="T4" s="209">
        <f t="shared" si="12"/>
        <v>19426086.649999999</v>
      </c>
      <c r="U4" s="209">
        <f t="shared" si="12"/>
        <v>18010091.350000001</v>
      </c>
      <c r="V4" s="209">
        <f>SUM(V5:V6)</f>
        <v>19575641</v>
      </c>
      <c r="W4" s="209">
        <f t="shared" ref="W4:AH4" si="13">SUM(W5:W6)</f>
        <v>982659.04</v>
      </c>
      <c r="X4" s="209">
        <f t="shared" si="13"/>
        <v>2663614</v>
      </c>
      <c r="Y4" s="209">
        <f t="shared" si="13"/>
        <v>2499126</v>
      </c>
      <c r="Z4" s="209">
        <f t="shared" si="13"/>
        <v>3328156.91</v>
      </c>
      <c r="AA4" s="209">
        <f t="shared" si="13"/>
        <v>4335716</v>
      </c>
      <c r="AB4" s="209">
        <f t="shared" si="13"/>
        <v>15553237</v>
      </c>
      <c r="AC4" s="209">
        <f t="shared" si="13"/>
        <v>19345437.669999998</v>
      </c>
      <c r="AD4" s="209">
        <f t="shared" si="13"/>
        <v>21625446</v>
      </c>
      <c r="AE4" s="209">
        <f t="shared" si="13"/>
        <v>23326477</v>
      </c>
      <c r="AF4" s="209">
        <f t="shared" si="13"/>
        <v>24527104</v>
      </c>
      <c r="AG4" s="209">
        <f t="shared" si="13"/>
        <v>26069119.07</v>
      </c>
      <c r="AH4" s="209">
        <f t="shared" si="13"/>
        <v>30606403.5</v>
      </c>
      <c r="AI4" s="209">
        <f>SUM(AI5:AI6)</f>
        <v>30606403</v>
      </c>
      <c r="AJ4" s="209">
        <f>SUM(AJ5:AJ6)</f>
        <v>1399867.3733000001</v>
      </c>
      <c r="AK4" s="209">
        <f t="shared" ref="AK4:AU4" si="14">SUM(AK5:AK6)</f>
        <v>2300971.3032999998</v>
      </c>
      <c r="AL4" s="209">
        <f t="shared" si="14"/>
        <v>3077926.6333000003</v>
      </c>
      <c r="AM4" s="209">
        <f t="shared" si="14"/>
        <v>4480091.6432999996</v>
      </c>
      <c r="AN4" s="209">
        <f t="shared" si="14"/>
        <v>15535659.183</v>
      </c>
      <c r="AO4" s="209">
        <f t="shared" si="14"/>
        <v>17708043.612999998</v>
      </c>
      <c r="AP4" s="209">
        <f t="shared" si="14"/>
        <v>21865106.129999999</v>
      </c>
      <c r="AQ4" s="209">
        <f t="shared" si="14"/>
        <v>24223537.109999999</v>
      </c>
      <c r="AR4" s="209">
        <f t="shared" si="14"/>
        <v>21589611.560000002</v>
      </c>
      <c r="AS4" s="209">
        <f t="shared" si="14"/>
        <v>22085014.629999999</v>
      </c>
      <c r="AT4" s="209">
        <f t="shared" si="14"/>
        <v>23652351.129999999</v>
      </c>
      <c r="AU4" s="209">
        <f t="shared" si="14"/>
        <v>24468239.93</v>
      </c>
      <c r="AV4" s="209">
        <f t="shared" ref="AV4:BH4" si="15">SUM(AV5:AV6)</f>
        <v>23774703</v>
      </c>
      <c r="AW4" s="209">
        <f t="shared" si="15"/>
        <v>1804274.88</v>
      </c>
      <c r="AX4" s="209">
        <f t="shared" si="15"/>
        <v>3016022.48</v>
      </c>
      <c r="AY4" s="209">
        <f t="shared" si="15"/>
        <v>4451644.4700000007</v>
      </c>
      <c r="AZ4" s="209">
        <f t="shared" si="15"/>
        <v>6315281.8399999999</v>
      </c>
      <c r="BA4" s="209">
        <f t="shared" si="15"/>
        <v>17315690.41</v>
      </c>
      <c r="BB4" s="209">
        <f t="shared" si="15"/>
        <v>21478354.760000002</v>
      </c>
      <c r="BC4" s="209">
        <f t="shared" si="15"/>
        <v>22337852.970000003</v>
      </c>
      <c r="BD4" s="209">
        <f t="shared" si="15"/>
        <v>23869508.370000001</v>
      </c>
      <c r="BE4" s="209">
        <f t="shared" si="15"/>
        <v>25007721.560000002</v>
      </c>
      <c r="BF4" s="209">
        <f t="shared" si="15"/>
        <v>26944500.809999999</v>
      </c>
      <c r="BG4" s="209">
        <f t="shared" si="15"/>
        <v>28349761.100000001</v>
      </c>
      <c r="BH4" s="209">
        <f t="shared" si="15"/>
        <v>30056842.259999998</v>
      </c>
      <c r="BI4" s="209">
        <f>SUM(BI5:BI6)</f>
        <v>30029398</v>
      </c>
      <c r="BJ4" s="209">
        <f t="shared" ref="BJ4:BT4" si="16">SUM(BJ5:BJ6)</f>
        <v>2496678.73</v>
      </c>
      <c r="BK4" s="209">
        <f t="shared" si="16"/>
        <v>3358273.33</v>
      </c>
      <c r="BL4" s="209">
        <f t="shared" si="16"/>
        <v>5006334.07</v>
      </c>
      <c r="BM4" s="209">
        <f t="shared" si="16"/>
        <v>6272298.2999999998</v>
      </c>
      <c r="BN4" s="209">
        <f t="shared" si="16"/>
        <v>7836943.9699999997</v>
      </c>
      <c r="BO4" s="209">
        <f t="shared" si="16"/>
        <v>8780165.3499999996</v>
      </c>
      <c r="BP4" s="209">
        <f t="shared" si="16"/>
        <v>27107512.93</v>
      </c>
      <c r="BQ4" s="209">
        <f t="shared" si="16"/>
        <v>30972125.169999998</v>
      </c>
      <c r="BR4" s="209">
        <f t="shared" si="16"/>
        <v>32281025.100000001</v>
      </c>
      <c r="BS4" s="209">
        <f t="shared" si="16"/>
        <v>33841686.710000001</v>
      </c>
      <c r="BT4" s="209">
        <f t="shared" si="16"/>
        <v>35614107.359999999</v>
      </c>
      <c r="BU4" s="209">
        <f>SUM(BU5:BU6)</f>
        <v>38481632</v>
      </c>
      <c r="BV4" s="209">
        <f t="shared" ref="BV4:CH4" si="17">SUM(BV5:BV6)</f>
        <v>32292356</v>
      </c>
      <c r="BW4" s="209">
        <f t="shared" si="17"/>
        <v>1184089.79</v>
      </c>
      <c r="BX4" s="209">
        <f t="shared" si="17"/>
        <v>3220257.45</v>
      </c>
      <c r="BY4" s="209">
        <f t="shared" si="17"/>
        <v>4915649.82</v>
      </c>
      <c r="BZ4" s="209">
        <f t="shared" si="17"/>
        <v>9792289.8399999999</v>
      </c>
      <c r="CA4" s="209">
        <f t="shared" si="17"/>
        <v>11530500.220000001</v>
      </c>
      <c r="CB4" s="209">
        <f t="shared" si="17"/>
        <v>22474452.800000001</v>
      </c>
      <c r="CC4" s="209">
        <f t="shared" si="17"/>
        <v>27570370.690000001</v>
      </c>
      <c r="CD4" s="209">
        <f t="shared" si="17"/>
        <v>33231562.169999998</v>
      </c>
      <c r="CE4" s="209">
        <f t="shared" si="17"/>
        <v>35254285.960000001</v>
      </c>
      <c r="CF4" s="209">
        <f t="shared" si="17"/>
        <v>37389665.07</v>
      </c>
      <c r="CG4" s="209">
        <f t="shared" si="17"/>
        <v>39088981.57</v>
      </c>
      <c r="CH4" s="209">
        <f t="shared" si="17"/>
        <v>32014808</v>
      </c>
      <c r="CI4" s="209">
        <f t="shared" ref="CI4:CQ4" si="18">SUM(CI5:CI6)</f>
        <v>1678679.6</v>
      </c>
      <c r="CJ4" s="209">
        <f t="shared" si="18"/>
        <v>3942115.5</v>
      </c>
      <c r="CK4" s="209">
        <f t="shared" si="18"/>
        <v>5884702.1999999993</v>
      </c>
      <c r="CL4" s="209">
        <f t="shared" si="18"/>
        <v>8083170.2000000002</v>
      </c>
      <c r="CM4" s="209">
        <f t="shared" si="18"/>
        <v>9728762.4000000004</v>
      </c>
      <c r="CN4" s="209">
        <f t="shared" si="18"/>
        <v>11069237.399999999</v>
      </c>
      <c r="CO4" s="209">
        <f t="shared" si="18"/>
        <v>13070647.600000001</v>
      </c>
      <c r="CP4" s="209">
        <f t="shared" si="18"/>
        <v>15094142.4</v>
      </c>
      <c r="CQ4" s="209">
        <f t="shared" si="18"/>
        <v>16383963.5</v>
      </c>
      <c r="CR4" s="209">
        <f t="shared" ref="CR4:CU4" si="19">SUM(CR5:CR6)</f>
        <v>41483600.299999997</v>
      </c>
      <c r="CS4" s="209">
        <f t="shared" si="19"/>
        <v>45608308.600000001</v>
      </c>
      <c r="CT4" s="209">
        <f t="shared" si="19"/>
        <v>50487961.399999999</v>
      </c>
      <c r="CU4" s="209">
        <f t="shared" si="19"/>
        <v>47983647</v>
      </c>
      <c r="CV4" s="209">
        <f t="shared" ref="CV4:DC4" si="20">SUM(CV5:CV6)</f>
        <v>46280437</v>
      </c>
      <c r="CW4" s="209">
        <f t="shared" si="20"/>
        <v>2809649</v>
      </c>
      <c r="CX4" s="209">
        <f t="shared" si="20"/>
        <v>4764901.4000000004</v>
      </c>
      <c r="CY4" s="209">
        <f t="shared" si="20"/>
        <v>7681711.8000000007</v>
      </c>
      <c r="CZ4" s="209">
        <f t="shared" si="20"/>
        <v>11359056.800000001</v>
      </c>
      <c r="DA4" s="209">
        <f t="shared" si="20"/>
        <v>15207336.100000001</v>
      </c>
      <c r="DB4" s="209">
        <f t="shared" si="20"/>
        <v>19095104.699999999</v>
      </c>
      <c r="DC4" s="209">
        <f t="shared" si="20"/>
        <v>43590724.399999999</v>
      </c>
      <c r="DD4" s="209">
        <f t="shared" ref="DD4:DE4" si="21">SUM(DD5:DD6)</f>
        <v>48599377.900000006</v>
      </c>
      <c r="DE4" s="209">
        <f t="shared" si="21"/>
        <v>50915900.5</v>
      </c>
    </row>
    <row r="5" spans="1:109" ht="15">
      <c r="A5" s="170" t="s">
        <v>78</v>
      </c>
      <c r="B5" s="286">
        <v>10152482</v>
      </c>
      <c r="C5" s="294">
        <v>10211832</v>
      </c>
      <c r="D5" s="294">
        <v>12399467</v>
      </c>
      <c r="E5" s="294">
        <v>9281285</v>
      </c>
      <c r="F5" s="294">
        <v>6040159</v>
      </c>
      <c r="G5" s="294">
        <v>2789845.9</v>
      </c>
      <c r="H5" s="300">
        <v>7897863</v>
      </c>
      <c r="I5" s="302">
        <f>17456381+2277287</f>
        <v>19733668</v>
      </c>
      <c r="J5" s="302">
        <v>1162807.6399999999</v>
      </c>
      <c r="K5" s="302">
        <v>1216044.3700000001</v>
      </c>
      <c r="L5" s="310">
        <v>1586685.7</v>
      </c>
      <c r="M5" s="304">
        <v>1711984.88</v>
      </c>
      <c r="N5" s="304">
        <v>1921596.85</v>
      </c>
      <c r="O5" s="304">
        <v>9601630.0999999996</v>
      </c>
      <c r="P5" s="304">
        <v>9767452.3800000008</v>
      </c>
      <c r="Q5" s="304">
        <v>9953573.9800000004</v>
      </c>
      <c r="R5" s="304">
        <v>10138156.619999999</v>
      </c>
      <c r="S5" s="304">
        <v>10316476.710000001</v>
      </c>
      <c r="T5" s="304">
        <v>11347332.35</v>
      </c>
      <c r="U5" s="304">
        <v>12517818.15</v>
      </c>
      <c r="V5" s="304">
        <v>19575641</v>
      </c>
      <c r="W5" s="342">
        <v>649462.04</v>
      </c>
      <c r="X5" s="309">
        <v>2663614</v>
      </c>
      <c r="Y5" s="344">
        <v>1947234</v>
      </c>
      <c r="Z5" s="304">
        <v>2636333.91</v>
      </c>
      <c r="AA5" s="304">
        <v>3491603</v>
      </c>
      <c r="AB5" s="304">
        <v>14227993</v>
      </c>
      <c r="AC5" s="304">
        <v>16738051.77</v>
      </c>
      <c r="AD5" s="304">
        <v>18333463</v>
      </c>
      <c r="AE5" s="304">
        <v>19694355</v>
      </c>
      <c r="AF5" s="304">
        <v>20684019</v>
      </c>
      <c r="AG5" s="304">
        <v>22023584.27</v>
      </c>
      <c r="AH5" s="304">
        <v>26354998.699999999</v>
      </c>
      <c r="AI5" s="304">
        <v>26354999</v>
      </c>
      <c r="AJ5" s="284">
        <v>1210333.3733000001</v>
      </c>
      <c r="AK5" s="284">
        <v>1998296.3033</v>
      </c>
      <c r="AL5" s="284">
        <v>2653801.4333000001</v>
      </c>
      <c r="AM5" s="284">
        <v>3930006.4432999999</v>
      </c>
      <c r="AN5" s="284">
        <v>14840284.183</v>
      </c>
      <c r="AO5" s="284">
        <v>16274654.613</v>
      </c>
      <c r="AP5" s="278">
        <v>19234638.829999998</v>
      </c>
      <c r="AQ5" s="278">
        <v>21208747.41</v>
      </c>
      <c r="AR5" s="278">
        <v>18337605.760000002</v>
      </c>
      <c r="AS5" s="278">
        <v>18668439.23</v>
      </c>
      <c r="AT5" s="278">
        <v>19907076.73</v>
      </c>
      <c r="AU5" s="278">
        <v>20641121.530000001</v>
      </c>
      <c r="AV5" s="284">
        <v>20641122</v>
      </c>
      <c r="AW5" s="304">
        <v>1521953.88</v>
      </c>
      <c r="AX5" s="304">
        <v>2792545.48</v>
      </c>
      <c r="AY5" s="304">
        <v>4105261.47</v>
      </c>
      <c r="AZ5" s="304">
        <v>5683462.54</v>
      </c>
      <c r="BA5" s="304">
        <v>16508988.109999999</v>
      </c>
      <c r="BB5" s="347">
        <v>18350278.82</v>
      </c>
      <c r="BC5" s="304">
        <v>19604597.870000001</v>
      </c>
      <c r="BD5" s="304">
        <v>20262501.27</v>
      </c>
      <c r="BE5" s="304">
        <v>21089272.460000001</v>
      </c>
      <c r="BF5" s="347">
        <v>22786412.25</v>
      </c>
      <c r="BG5" s="322">
        <v>23785976.5</v>
      </c>
      <c r="BH5" s="322">
        <v>25234231.66</v>
      </c>
      <c r="BI5" s="351">
        <v>25234232</v>
      </c>
      <c r="BJ5" s="322">
        <v>2147516.73</v>
      </c>
      <c r="BK5" s="322">
        <v>2796959.33</v>
      </c>
      <c r="BL5" s="322">
        <v>4053433.07</v>
      </c>
      <c r="BM5" s="322">
        <v>5168948</v>
      </c>
      <c r="BN5" s="322">
        <v>6568291.7699999996</v>
      </c>
      <c r="BO5" s="322">
        <v>7360664.3499999996</v>
      </c>
      <c r="BP5" s="322">
        <v>24339366.329999998</v>
      </c>
      <c r="BQ5" s="322">
        <v>26791528.77</v>
      </c>
      <c r="BR5" s="322">
        <v>27459300.600000001</v>
      </c>
      <c r="BS5" s="322">
        <v>28478076.309999999</v>
      </c>
      <c r="BT5" s="322">
        <v>29740382.359999999</v>
      </c>
      <c r="BU5" s="322">
        <v>32292356.199999999</v>
      </c>
      <c r="BV5" s="322">
        <v>32292356</v>
      </c>
      <c r="BW5" s="275">
        <v>885005.09</v>
      </c>
      <c r="BX5" s="275">
        <v>2669645.85</v>
      </c>
      <c r="BY5" s="275">
        <v>4156606.22</v>
      </c>
      <c r="BZ5" s="275">
        <v>8922644.2400000002</v>
      </c>
      <c r="CA5" s="275">
        <v>10198917.82</v>
      </c>
      <c r="CB5" s="275">
        <v>20458899.800000001</v>
      </c>
      <c r="CC5" s="275">
        <v>23151979.190000001</v>
      </c>
      <c r="CD5" s="275">
        <v>28027804.969999999</v>
      </c>
      <c r="CE5" s="275">
        <v>29207337.66</v>
      </c>
      <c r="CF5" s="275">
        <v>30722944.07</v>
      </c>
      <c r="CG5" s="275">
        <v>32014808.07</v>
      </c>
      <c r="CH5" s="284">
        <v>32014808</v>
      </c>
      <c r="CI5" s="275">
        <v>1290259.8</v>
      </c>
      <c r="CJ5" s="275">
        <v>3189198.6</v>
      </c>
      <c r="CK5" s="275">
        <v>4721226.8</v>
      </c>
      <c r="CL5" s="275">
        <v>6563958.4000000004</v>
      </c>
      <c r="CM5" s="275">
        <v>7907017.2000000002</v>
      </c>
      <c r="CN5" s="359">
        <v>8963019.6999999993</v>
      </c>
      <c r="CO5" s="359">
        <v>9991014.4000000004</v>
      </c>
      <c r="CP5" s="359">
        <v>11381187.800000001</v>
      </c>
      <c r="CQ5" s="359">
        <v>12440411.4</v>
      </c>
      <c r="CR5" s="368">
        <v>36404952.299999997</v>
      </c>
      <c r="CS5" s="368">
        <v>38936870.399999999</v>
      </c>
      <c r="CT5" s="368">
        <v>43172690.299999997</v>
      </c>
      <c r="CU5" s="359">
        <v>43172690</v>
      </c>
      <c r="CV5" s="359">
        <f>526780+3135093+1595106+25864+15413073+770044+5505486+190780+30383+739704+733782+10417+768033+161850+1238588+489138</f>
        <v>31334121</v>
      </c>
      <c r="CW5" s="359">
        <v>2100203.5</v>
      </c>
      <c r="CX5" s="368">
        <v>3624906.6</v>
      </c>
      <c r="CY5" s="368">
        <v>6165554.7000000002</v>
      </c>
      <c r="CZ5" s="359">
        <v>9360454.8000000007</v>
      </c>
      <c r="DA5" s="403">
        <v>12293422.9</v>
      </c>
      <c r="DB5" s="359">
        <v>15773278.300000001</v>
      </c>
      <c r="DC5" s="359">
        <v>37460626.799999997</v>
      </c>
      <c r="DD5" s="359">
        <v>39790891.200000003</v>
      </c>
      <c r="DE5" s="453">
        <v>41082932.100000001</v>
      </c>
    </row>
    <row r="6" spans="1:109" ht="15">
      <c r="A6" s="170" t="s">
        <v>79</v>
      </c>
      <c r="B6" s="286">
        <f>1166114+60830</f>
        <v>1226944</v>
      </c>
      <c r="C6" s="294">
        <v>1226944</v>
      </c>
      <c r="D6" s="294">
        <v>1327512</v>
      </c>
      <c r="E6" s="294">
        <v>47380</v>
      </c>
      <c r="F6" s="294">
        <v>48769</v>
      </c>
      <c r="G6" s="294"/>
      <c r="H6" s="300">
        <v>4431815</v>
      </c>
      <c r="I6" s="302">
        <f>28901-3205-147756-926135</f>
        <v>-1048195</v>
      </c>
      <c r="J6" s="302">
        <v>144309.5</v>
      </c>
      <c r="K6" s="302">
        <v>294814.8</v>
      </c>
      <c r="L6" s="310">
        <v>527926.80000000005</v>
      </c>
      <c r="M6" s="304">
        <v>712380.8</v>
      </c>
      <c r="N6" s="304">
        <v>828785.6</v>
      </c>
      <c r="O6" s="304">
        <v>3416219.1</v>
      </c>
      <c r="P6" s="304">
        <v>4346846.0999999996</v>
      </c>
      <c r="Q6" s="304">
        <v>4898474.7</v>
      </c>
      <c r="R6" s="304">
        <v>5433783.7000000002</v>
      </c>
      <c r="S6" s="304">
        <v>5814868.7000000002</v>
      </c>
      <c r="T6" s="304">
        <v>8078754.2999999998</v>
      </c>
      <c r="U6" s="304">
        <v>5492273.2000000002</v>
      </c>
      <c r="V6" s="304"/>
      <c r="W6" s="342">
        <v>333197</v>
      </c>
      <c r="X6" s="309">
        <v>0</v>
      </c>
      <c r="Y6" s="344">
        <v>551892</v>
      </c>
      <c r="Z6" s="304">
        <v>691823</v>
      </c>
      <c r="AA6" s="304">
        <v>844113</v>
      </c>
      <c r="AB6" s="304">
        <v>1325244</v>
      </c>
      <c r="AC6" s="304">
        <v>2607385.9</v>
      </c>
      <c r="AD6" s="304">
        <v>3291983</v>
      </c>
      <c r="AE6" s="304">
        <v>3632122</v>
      </c>
      <c r="AF6" s="304">
        <v>3843085</v>
      </c>
      <c r="AG6" s="304">
        <v>4045534.8</v>
      </c>
      <c r="AH6" s="304">
        <v>4251404.8</v>
      </c>
      <c r="AI6" s="284">
        <f>4251404</f>
        <v>4251404</v>
      </c>
      <c r="AJ6" s="284">
        <v>189534</v>
      </c>
      <c r="AK6" s="284">
        <v>302675</v>
      </c>
      <c r="AL6" s="284">
        <v>424125.2</v>
      </c>
      <c r="AM6" s="284">
        <v>550085.19999999995</v>
      </c>
      <c r="AN6" s="284">
        <v>695375</v>
      </c>
      <c r="AO6" s="284">
        <v>1433389</v>
      </c>
      <c r="AP6" s="278">
        <v>2630467.2999999998</v>
      </c>
      <c r="AQ6" s="278">
        <v>3014789.7</v>
      </c>
      <c r="AR6" s="278">
        <v>3252005.8</v>
      </c>
      <c r="AS6" s="278">
        <v>3416575.4</v>
      </c>
      <c r="AT6" s="278">
        <v>3745274.4</v>
      </c>
      <c r="AU6" s="278">
        <v>3827118.4</v>
      </c>
      <c r="AV6" s="284">
        <v>3133581</v>
      </c>
      <c r="AW6" s="304">
        <v>282321</v>
      </c>
      <c r="AX6" s="304">
        <v>223477</v>
      </c>
      <c r="AY6" s="304">
        <v>346383</v>
      </c>
      <c r="AZ6" s="304">
        <v>631819.30000000005</v>
      </c>
      <c r="BA6" s="304">
        <v>806702.3</v>
      </c>
      <c r="BB6" s="348">
        <v>3128075.94</v>
      </c>
      <c r="BC6" s="304">
        <v>2733255.1</v>
      </c>
      <c r="BD6" s="304">
        <v>3607007.1</v>
      </c>
      <c r="BE6" s="304">
        <v>3918449.1</v>
      </c>
      <c r="BF6" s="348">
        <v>4158088.56</v>
      </c>
      <c r="BG6" s="322">
        <v>4563784.5999999996</v>
      </c>
      <c r="BH6" s="322">
        <v>4822610.5999999996</v>
      </c>
      <c r="BI6" s="351">
        <v>4795166</v>
      </c>
      <c r="BJ6" s="322">
        <v>349162</v>
      </c>
      <c r="BK6" s="322">
        <v>561314</v>
      </c>
      <c r="BL6" s="322">
        <v>952901</v>
      </c>
      <c r="BM6" s="322">
        <v>1103350.3</v>
      </c>
      <c r="BN6" s="322">
        <v>1268652.2</v>
      </c>
      <c r="BO6" s="322">
        <v>1419501</v>
      </c>
      <c r="BP6" s="322">
        <v>2768146.6</v>
      </c>
      <c r="BQ6" s="322">
        <v>4180596.4</v>
      </c>
      <c r="BR6" s="322">
        <v>4821724.5</v>
      </c>
      <c r="BS6" s="322">
        <v>5363610.4000000004</v>
      </c>
      <c r="BT6" s="322">
        <v>5873725</v>
      </c>
      <c r="BU6" s="322">
        <v>6189275.7999999998</v>
      </c>
      <c r="BV6" s="322"/>
      <c r="BW6" s="275">
        <v>299084.7</v>
      </c>
      <c r="BX6" s="275">
        <v>550611.6</v>
      </c>
      <c r="BY6" s="275">
        <v>759043.6</v>
      </c>
      <c r="BZ6" s="275">
        <v>869645.6</v>
      </c>
      <c r="CA6" s="275">
        <v>1331582.3999999999</v>
      </c>
      <c r="CB6" s="275">
        <v>2015553</v>
      </c>
      <c r="CC6" s="275">
        <v>4418391.5</v>
      </c>
      <c r="CD6" s="275">
        <v>5203757.2</v>
      </c>
      <c r="CE6" s="275">
        <v>6046948.2999999998</v>
      </c>
      <c r="CF6" s="275">
        <v>6666721</v>
      </c>
      <c r="CG6" s="275">
        <v>7074173.5</v>
      </c>
      <c r="CH6" s="284"/>
      <c r="CI6" s="275">
        <v>388419.8</v>
      </c>
      <c r="CJ6" s="275">
        <v>752916.9</v>
      </c>
      <c r="CK6" s="275">
        <v>1163475.3999999999</v>
      </c>
      <c r="CL6" s="275">
        <v>1519211.8</v>
      </c>
      <c r="CM6" s="275">
        <v>1821745.2</v>
      </c>
      <c r="CN6" s="361">
        <v>2106217.7000000002</v>
      </c>
      <c r="CO6" s="361">
        <v>3079633.2</v>
      </c>
      <c r="CP6" s="361">
        <v>3712954.6</v>
      </c>
      <c r="CQ6" s="361">
        <v>3943552.1</v>
      </c>
      <c r="CR6" s="370">
        <v>5078648</v>
      </c>
      <c r="CS6" s="370">
        <v>6671438.2000000002</v>
      </c>
      <c r="CT6" s="370">
        <v>7315271.0999999996</v>
      </c>
      <c r="CU6" s="361">
        <v>4810957</v>
      </c>
      <c r="CV6" s="361">
        <v>14946316</v>
      </c>
      <c r="CW6" s="361">
        <v>709445.5</v>
      </c>
      <c r="CX6" s="370">
        <v>1139994.8</v>
      </c>
      <c r="CY6" s="370">
        <v>1516157.1</v>
      </c>
      <c r="CZ6" s="361">
        <v>1998602</v>
      </c>
      <c r="DA6" s="405">
        <v>2913913.2</v>
      </c>
      <c r="DB6" s="361">
        <v>3321826.4</v>
      </c>
      <c r="DC6" s="361">
        <v>6130097.5999999996</v>
      </c>
      <c r="DD6" s="361">
        <v>8808486.6999999993</v>
      </c>
      <c r="DE6" s="455">
        <v>9832968.4000000004</v>
      </c>
    </row>
    <row r="7" spans="1:109" ht="15.75">
      <c r="A7" s="169" t="s">
        <v>80</v>
      </c>
      <c r="B7" s="209">
        <f t="shared" ref="B7:AG7" si="22">SUM(B8:B11)</f>
        <v>1779261</v>
      </c>
      <c r="C7" s="209">
        <f t="shared" si="22"/>
        <v>418640</v>
      </c>
      <c r="D7" s="209">
        <f t="shared" si="22"/>
        <v>1657331</v>
      </c>
      <c r="E7" s="209">
        <f t="shared" si="22"/>
        <v>6632897</v>
      </c>
      <c r="F7" s="209">
        <f t="shared" si="22"/>
        <v>5391365.8300000001</v>
      </c>
      <c r="G7" s="209">
        <f t="shared" si="22"/>
        <v>6183743.6900000004</v>
      </c>
      <c r="H7" s="209">
        <f t="shared" si="22"/>
        <v>10354677</v>
      </c>
      <c r="I7" s="209">
        <f t="shared" si="22"/>
        <v>1828310</v>
      </c>
      <c r="J7" s="209">
        <f t="shared" si="22"/>
        <v>636426.28</v>
      </c>
      <c r="K7" s="209">
        <f t="shared" si="22"/>
        <v>1866682.33</v>
      </c>
      <c r="L7" s="209">
        <f t="shared" si="22"/>
        <v>2417816.33</v>
      </c>
      <c r="M7" s="209">
        <f t="shared" si="22"/>
        <v>2931194.71</v>
      </c>
      <c r="N7" s="209">
        <f t="shared" si="22"/>
        <v>3767064.68</v>
      </c>
      <c r="O7" s="209">
        <f t="shared" si="22"/>
        <v>5876296.1600000001</v>
      </c>
      <c r="P7" s="209">
        <f t="shared" si="22"/>
        <v>8915061.0300000012</v>
      </c>
      <c r="Q7" s="209">
        <f t="shared" si="22"/>
        <v>9699013.6799999997</v>
      </c>
      <c r="R7" s="209">
        <f t="shared" si="22"/>
        <v>10437846.68</v>
      </c>
      <c r="S7" s="209">
        <f t="shared" si="22"/>
        <v>11051040.68</v>
      </c>
      <c r="T7" s="209">
        <f t="shared" si="22"/>
        <v>10939834.24</v>
      </c>
      <c r="U7" s="209">
        <f t="shared" si="22"/>
        <v>16321464.449999999</v>
      </c>
      <c r="V7" s="209">
        <f t="shared" si="22"/>
        <v>16542501</v>
      </c>
      <c r="W7" s="209">
        <f t="shared" si="22"/>
        <v>696667.33</v>
      </c>
      <c r="X7" s="209">
        <f t="shared" si="22"/>
        <v>5067417.12</v>
      </c>
      <c r="Y7" s="209">
        <f t="shared" si="22"/>
        <v>2291785</v>
      </c>
      <c r="Z7" s="209">
        <f t="shared" si="22"/>
        <v>3496432.05</v>
      </c>
      <c r="AA7" s="209">
        <f t="shared" si="22"/>
        <v>4204775</v>
      </c>
      <c r="AB7" s="209">
        <f t="shared" si="22"/>
        <v>5266767</v>
      </c>
      <c r="AC7" s="209">
        <f t="shared" si="22"/>
        <v>10790937.16</v>
      </c>
      <c r="AD7" s="209">
        <f t="shared" si="22"/>
        <v>11751613</v>
      </c>
      <c r="AE7" s="209">
        <f t="shared" si="22"/>
        <v>12921704</v>
      </c>
      <c r="AF7" s="209">
        <f t="shared" si="22"/>
        <v>13597629</v>
      </c>
      <c r="AG7" s="209">
        <f t="shared" si="22"/>
        <v>14281394.32</v>
      </c>
      <c r="AH7" s="209">
        <f t="shared" ref="AH7:BJ7" si="23">SUM(AH8:AH11)</f>
        <v>15601171.6</v>
      </c>
      <c r="AI7" s="209">
        <f t="shared" si="23"/>
        <v>14167079</v>
      </c>
      <c r="AJ7" s="209">
        <f t="shared" si="23"/>
        <v>663030.5</v>
      </c>
      <c r="AK7" s="209">
        <f t="shared" si="23"/>
        <v>1162049.58</v>
      </c>
      <c r="AL7" s="209">
        <f t="shared" si="23"/>
        <v>2361933.41</v>
      </c>
      <c r="AM7" s="209">
        <f t="shared" si="23"/>
        <v>3283229.7</v>
      </c>
      <c r="AN7" s="209">
        <f t="shared" si="23"/>
        <v>3982334.01</v>
      </c>
      <c r="AO7" s="209">
        <f t="shared" si="23"/>
        <v>5380916.9500000002</v>
      </c>
      <c r="AP7" s="209">
        <f t="shared" si="23"/>
        <v>9678689.5899999999</v>
      </c>
      <c r="AQ7" s="209">
        <f t="shared" si="23"/>
        <v>10632486.779999999</v>
      </c>
      <c r="AR7" s="209">
        <f t="shared" si="23"/>
        <v>13280926.84</v>
      </c>
      <c r="AS7" s="209">
        <f t="shared" si="23"/>
        <v>14137816.369999999</v>
      </c>
      <c r="AT7" s="209">
        <f t="shared" si="23"/>
        <v>14787617.390000001</v>
      </c>
      <c r="AU7" s="209">
        <f t="shared" si="23"/>
        <v>16349709.23</v>
      </c>
      <c r="AV7" s="209">
        <f t="shared" si="23"/>
        <v>17043245</v>
      </c>
      <c r="AW7" s="209">
        <f t="shared" si="23"/>
        <v>659756.5</v>
      </c>
      <c r="AX7" s="209">
        <f t="shared" si="23"/>
        <v>1515788</v>
      </c>
      <c r="AY7" s="209">
        <f t="shared" si="23"/>
        <v>3145587.44</v>
      </c>
      <c r="AZ7" s="209">
        <f t="shared" si="23"/>
        <v>3635402</v>
      </c>
      <c r="BA7" s="209">
        <f t="shared" si="23"/>
        <v>5877249.46</v>
      </c>
      <c r="BB7" s="209">
        <f t="shared" si="23"/>
        <v>5173214.53</v>
      </c>
      <c r="BC7" s="209">
        <f t="shared" si="23"/>
        <v>12075238.470000001</v>
      </c>
      <c r="BD7" s="209">
        <f t="shared" si="23"/>
        <v>12422699.609999999</v>
      </c>
      <c r="BE7" s="209">
        <f t="shared" si="23"/>
        <v>13278448.66</v>
      </c>
      <c r="BF7" s="209">
        <f t="shared" si="23"/>
        <v>15008838.399999999</v>
      </c>
      <c r="BG7" s="209">
        <f t="shared" si="23"/>
        <v>15516495.1</v>
      </c>
      <c r="BH7" s="209">
        <f t="shared" si="23"/>
        <v>17455038.899999999</v>
      </c>
      <c r="BI7" s="209">
        <f t="shared" si="23"/>
        <v>17482484</v>
      </c>
      <c r="BJ7" s="209">
        <f t="shared" si="23"/>
        <v>1083747.6499999999</v>
      </c>
      <c r="BK7" s="209">
        <f t="shared" ref="BK7:BT7" si="24">SUM(BK8:BK11)</f>
        <v>1686529.85</v>
      </c>
      <c r="BL7" s="209">
        <f t="shared" si="24"/>
        <v>2315517.16</v>
      </c>
      <c r="BM7" s="209">
        <f t="shared" si="24"/>
        <v>3023393.96</v>
      </c>
      <c r="BN7" s="209">
        <f t="shared" si="24"/>
        <v>3898925.08</v>
      </c>
      <c r="BO7" s="209">
        <f t="shared" si="24"/>
        <v>10207931.689999999</v>
      </c>
      <c r="BP7" s="209">
        <f t="shared" si="24"/>
        <v>12396685.77</v>
      </c>
      <c r="BQ7" s="209">
        <f t="shared" si="24"/>
        <v>13699013.77</v>
      </c>
      <c r="BR7" s="209">
        <f t="shared" si="24"/>
        <v>14726114.960000001</v>
      </c>
      <c r="BS7" s="209">
        <f t="shared" si="24"/>
        <v>16562069.73</v>
      </c>
      <c r="BT7" s="209">
        <f t="shared" si="24"/>
        <v>17604774.59</v>
      </c>
      <c r="BU7" s="209">
        <f>SUM(BU8:BU11)</f>
        <v>20158804.68</v>
      </c>
      <c r="BV7" s="209">
        <f>SUM(BV8:BV11)</f>
        <v>26347580</v>
      </c>
      <c r="BW7" s="209">
        <f t="shared" ref="BW7:CD7" si="25">SUM(BW8:BW11)</f>
        <v>470005.76000000001</v>
      </c>
      <c r="BX7" s="209">
        <f t="shared" si="25"/>
        <v>1148238.75</v>
      </c>
      <c r="BY7" s="209">
        <f t="shared" si="25"/>
        <v>1771807.63</v>
      </c>
      <c r="BZ7" s="209">
        <f t="shared" si="25"/>
        <v>9794754.2799999993</v>
      </c>
      <c r="CA7" s="209">
        <f t="shared" si="25"/>
        <v>10708442.949999999</v>
      </c>
      <c r="CB7" s="209">
        <f t="shared" si="25"/>
        <v>11726947.85</v>
      </c>
      <c r="CC7" s="209">
        <f t="shared" si="25"/>
        <v>14621939.98</v>
      </c>
      <c r="CD7" s="209">
        <f t="shared" si="25"/>
        <v>15632903.219999999</v>
      </c>
      <c r="CE7" s="209">
        <f t="shared" ref="CE7:CK7" si="26">SUM(CE8:CE11)</f>
        <v>18951403.82</v>
      </c>
      <c r="CF7" s="209">
        <f t="shared" si="26"/>
        <v>19634017.579999998</v>
      </c>
      <c r="CG7" s="209">
        <f t="shared" si="26"/>
        <v>21167163.329999998</v>
      </c>
      <c r="CH7" s="209">
        <f t="shared" si="26"/>
        <v>28241337</v>
      </c>
      <c r="CI7" s="209">
        <f t="shared" si="26"/>
        <v>602795.82999999996</v>
      </c>
      <c r="CJ7" s="209">
        <f t="shared" si="26"/>
        <v>1241902.8799999999</v>
      </c>
      <c r="CK7" s="209">
        <f t="shared" si="26"/>
        <v>2076950.03</v>
      </c>
      <c r="CL7" s="209">
        <f t="shared" ref="CL7:CQ7" si="27">SUM(CL8:CL11)</f>
        <v>10180807.890000001</v>
      </c>
      <c r="CM7" s="209">
        <f t="shared" si="27"/>
        <v>10821550.01</v>
      </c>
      <c r="CN7" s="209">
        <f t="shared" si="27"/>
        <v>11409091.24</v>
      </c>
      <c r="CO7" s="209">
        <f t="shared" si="27"/>
        <v>12995543.710000001</v>
      </c>
      <c r="CP7" s="209">
        <f t="shared" si="27"/>
        <v>13724697.07</v>
      </c>
      <c r="CQ7" s="209">
        <f t="shared" si="27"/>
        <v>14371927.08</v>
      </c>
      <c r="CR7" s="209">
        <f t="shared" ref="CR7:CU7" si="28">SUM(CR8:CR11)</f>
        <v>16339188.1</v>
      </c>
      <c r="CS7" s="209">
        <f t="shared" si="28"/>
        <v>17305609.100000001</v>
      </c>
      <c r="CT7" s="209">
        <f t="shared" si="28"/>
        <v>19598246.140000001</v>
      </c>
      <c r="CU7" s="209">
        <f t="shared" si="28"/>
        <v>22102560</v>
      </c>
      <c r="CV7" s="209">
        <f t="shared" ref="CV7:DE7" si="29">SUM(CV8:CV11)</f>
        <v>23794574</v>
      </c>
      <c r="CW7" s="209">
        <f t="shared" si="29"/>
        <v>957020.62</v>
      </c>
      <c r="CX7" s="209">
        <f t="shared" si="29"/>
        <v>2492490.94</v>
      </c>
      <c r="CY7" s="209">
        <f t="shared" si="29"/>
        <v>3813210.36</v>
      </c>
      <c r="CZ7" s="209">
        <f t="shared" si="29"/>
        <v>5365694.87</v>
      </c>
      <c r="DA7" s="209">
        <f t="shared" si="29"/>
        <v>6971332.4500000002</v>
      </c>
      <c r="DB7" s="209">
        <f t="shared" si="29"/>
        <v>17442148.5</v>
      </c>
      <c r="DC7" s="209">
        <f t="shared" si="29"/>
        <v>19195464.460000001</v>
      </c>
      <c r="DD7" s="209">
        <f t="shared" si="29"/>
        <v>21291726.23</v>
      </c>
      <c r="DE7" s="209">
        <f t="shared" si="29"/>
        <v>22359228.649999999</v>
      </c>
    </row>
    <row r="8" spans="1:109" ht="14.25">
      <c r="A8" s="170" t="s">
        <v>81</v>
      </c>
      <c r="B8" s="286"/>
      <c r="C8" s="294"/>
      <c r="D8" s="294"/>
      <c r="E8" s="296"/>
      <c r="F8" s="296"/>
      <c r="G8" s="296"/>
      <c r="H8" s="300"/>
      <c r="I8" s="302"/>
      <c r="J8" s="302">
        <v>0</v>
      </c>
      <c r="K8" s="302">
        <v>0</v>
      </c>
      <c r="L8" s="310">
        <v>0</v>
      </c>
      <c r="M8" s="304">
        <v>0</v>
      </c>
      <c r="N8" s="304">
        <v>0</v>
      </c>
      <c r="O8" s="304">
        <v>0</v>
      </c>
      <c r="P8" s="304">
        <v>0</v>
      </c>
      <c r="Q8" s="304">
        <v>0</v>
      </c>
      <c r="R8" s="304">
        <v>0</v>
      </c>
      <c r="S8" s="304">
        <v>0</v>
      </c>
      <c r="T8" s="304">
        <v>0</v>
      </c>
      <c r="U8" s="304">
        <v>0</v>
      </c>
      <c r="V8" s="304">
        <v>0</v>
      </c>
      <c r="W8" s="342">
        <v>0</v>
      </c>
      <c r="X8" s="309">
        <v>0</v>
      </c>
      <c r="Y8" s="345">
        <v>0</v>
      </c>
      <c r="Z8" s="345">
        <v>0</v>
      </c>
      <c r="AA8" s="345">
        <v>0</v>
      </c>
      <c r="AB8" s="304">
        <v>0</v>
      </c>
      <c r="AC8" s="304">
        <v>0</v>
      </c>
      <c r="AD8" s="304">
        <v>0</v>
      </c>
      <c r="AE8" s="304">
        <v>0</v>
      </c>
      <c r="AF8" s="304">
        <v>0</v>
      </c>
      <c r="AG8" s="304">
        <v>0</v>
      </c>
      <c r="AH8" s="304">
        <v>0</v>
      </c>
      <c r="AI8" s="304">
        <v>0</v>
      </c>
      <c r="AJ8" s="284">
        <v>0</v>
      </c>
      <c r="AK8" s="284">
        <v>0</v>
      </c>
      <c r="AL8" s="284">
        <v>0</v>
      </c>
      <c r="AM8" s="284">
        <v>0</v>
      </c>
      <c r="AN8" s="284">
        <v>0</v>
      </c>
      <c r="AO8" s="284">
        <v>0</v>
      </c>
      <c r="AP8" s="278">
        <v>0</v>
      </c>
      <c r="AQ8" s="278">
        <v>0</v>
      </c>
      <c r="AR8" s="278">
        <v>0</v>
      </c>
      <c r="AS8" s="278">
        <v>0</v>
      </c>
      <c r="AT8" s="278">
        <v>0</v>
      </c>
      <c r="AU8" s="278">
        <v>0</v>
      </c>
      <c r="AV8" s="284">
        <v>0</v>
      </c>
      <c r="AW8" s="304">
        <v>0</v>
      </c>
      <c r="AX8" s="304">
        <v>0</v>
      </c>
      <c r="AY8" s="304">
        <v>0</v>
      </c>
      <c r="AZ8" s="304">
        <v>0</v>
      </c>
      <c r="BA8" s="304">
        <v>0</v>
      </c>
      <c r="BB8" s="304">
        <v>0</v>
      </c>
      <c r="BC8" s="304">
        <v>0</v>
      </c>
      <c r="BD8" s="304">
        <v>0</v>
      </c>
      <c r="BE8" s="304">
        <v>0</v>
      </c>
      <c r="BF8" s="304">
        <v>0</v>
      </c>
      <c r="BG8" s="304">
        <v>0</v>
      </c>
      <c r="BH8" s="304">
        <v>0</v>
      </c>
      <c r="BI8" s="304"/>
      <c r="BJ8" s="322">
        <v>0</v>
      </c>
      <c r="BK8" s="322">
        <v>0</v>
      </c>
      <c r="BL8" s="322">
        <v>0</v>
      </c>
      <c r="BM8" s="322">
        <v>0</v>
      </c>
      <c r="BN8" s="322">
        <v>0</v>
      </c>
      <c r="BO8" s="322">
        <v>0</v>
      </c>
      <c r="BP8" s="322">
        <v>0</v>
      </c>
      <c r="BQ8" s="322">
        <v>0</v>
      </c>
      <c r="BR8" s="322">
        <v>0</v>
      </c>
      <c r="BS8" s="322">
        <v>0</v>
      </c>
      <c r="BT8" s="322">
        <v>0</v>
      </c>
      <c r="BU8" s="322">
        <v>0</v>
      </c>
      <c r="BV8" s="322"/>
      <c r="BW8" s="275">
        <v>0</v>
      </c>
      <c r="BX8" s="275">
        <v>0</v>
      </c>
      <c r="BY8" s="275">
        <v>0</v>
      </c>
      <c r="BZ8" s="275">
        <v>0</v>
      </c>
      <c r="CA8" s="275">
        <v>0</v>
      </c>
      <c r="CB8" s="275">
        <v>0</v>
      </c>
      <c r="CC8" s="275">
        <v>0</v>
      </c>
      <c r="CD8" s="275">
        <v>0</v>
      </c>
      <c r="CE8" s="275">
        <v>0</v>
      </c>
      <c r="CF8" s="275">
        <v>0</v>
      </c>
      <c r="CG8" s="275">
        <v>0</v>
      </c>
      <c r="CH8" s="322"/>
      <c r="CI8" s="275">
        <v>0</v>
      </c>
      <c r="CJ8" s="275">
        <v>0</v>
      </c>
      <c r="CK8" s="275">
        <v>0</v>
      </c>
      <c r="CL8" s="275">
        <v>0</v>
      </c>
      <c r="CM8" s="275">
        <v>0</v>
      </c>
      <c r="CN8" s="358">
        <v>0</v>
      </c>
      <c r="CO8" s="358">
        <v>0</v>
      </c>
      <c r="CP8" s="358">
        <v>0</v>
      </c>
      <c r="CQ8" s="358"/>
      <c r="CR8" s="358"/>
      <c r="CS8" s="358"/>
      <c r="CT8" s="358"/>
      <c r="CU8" s="358"/>
      <c r="CV8" s="358"/>
      <c r="CW8" s="358">
        <v>0</v>
      </c>
      <c r="CX8" s="389">
        <v>0</v>
      </c>
      <c r="CY8" s="389">
        <v>0</v>
      </c>
      <c r="CZ8" s="358">
        <v>0</v>
      </c>
      <c r="DA8">
        <v>0</v>
      </c>
      <c r="DB8" s="358">
        <v>0</v>
      </c>
      <c r="DC8" s="358">
        <v>0</v>
      </c>
      <c r="DD8" s="358">
        <v>0</v>
      </c>
      <c r="DE8" s="452">
        <v>0</v>
      </c>
    </row>
    <row r="9" spans="1:109" ht="14.25">
      <c r="A9" s="170" t="s">
        <v>82</v>
      </c>
      <c r="B9" s="286"/>
      <c r="C9" s="294"/>
      <c r="D9" s="294"/>
      <c r="E9" s="294">
        <v>145384</v>
      </c>
      <c r="F9" s="294">
        <v>841581</v>
      </c>
      <c r="G9" s="294"/>
      <c r="H9" s="300"/>
      <c r="I9" s="302">
        <v>1824740</v>
      </c>
      <c r="J9" s="302"/>
      <c r="K9" s="302"/>
      <c r="L9" s="310"/>
      <c r="M9" s="304"/>
      <c r="N9" s="304"/>
      <c r="O9" s="304"/>
      <c r="P9" s="304"/>
      <c r="Q9" s="304"/>
      <c r="R9" s="304"/>
      <c r="S9" s="304"/>
      <c r="T9" s="304">
        <v>0</v>
      </c>
      <c r="U9" s="304">
        <v>0</v>
      </c>
      <c r="V9" s="304">
        <v>0</v>
      </c>
      <c r="W9" s="342">
        <v>0</v>
      </c>
      <c r="X9" s="309">
        <v>0</v>
      </c>
      <c r="Y9" s="344">
        <v>0</v>
      </c>
      <c r="Z9" s="344">
        <v>0</v>
      </c>
      <c r="AA9" s="344">
        <v>0</v>
      </c>
      <c r="AB9" s="346">
        <v>0</v>
      </c>
      <c r="AC9" s="346">
        <v>0</v>
      </c>
      <c r="AD9" s="346">
        <v>0</v>
      </c>
      <c r="AE9" s="346">
        <v>0</v>
      </c>
      <c r="AF9" s="346">
        <v>0</v>
      </c>
      <c r="AG9" s="346">
        <v>0</v>
      </c>
      <c r="AH9" s="346">
        <v>0</v>
      </c>
      <c r="AI9" s="346">
        <v>0</v>
      </c>
      <c r="AJ9" s="284">
        <v>0</v>
      </c>
      <c r="AK9" s="284">
        <v>0</v>
      </c>
      <c r="AL9" s="284">
        <v>0</v>
      </c>
      <c r="AM9" s="284">
        <v>0</v>
      </c>
      <c r="AN9" s="284">
        <v>0</v>
      </c>
      <c r="AO9" s="284">
        <v>0</v>
      </c>
      <c r="AP9" s="278">
        <v>0</v>
      </c>
      <c r="AQ9" s="278">
        <v>0</v>
      </c>
      <c r="AR9" s="278">
        <v>0</v>
      </c>
      <c r="AS9" s="278">
        <v>0</v>
      </c>
      <c r="AT9" s="278">
        <v>0</v>
      </c>
      <c r="AU9" s="278">
        <v>0</v>
      </c>
      <c r="AV9" s="284">
        <v>4604960</v>
      </c>
      <c r="AW9" s="304">
        <v>0</v>
      </c>
      <c r="AX9" s="304">
        <v>0</v>
      </c>
      <c r="AY9" s="304">
        <v>0</v>
      </c>
      <c r="AZ9" s="304">
        <v>0</v>
      </c>
      <c r="BA9" s="304">
        <v>0</v>
      </c>
      <c r="BB9" s="304">
        <v>0</v>
      </c>
      <c r="BC9" s="304">
        <v>0</v>
      </c>
      <c r="BD9" s="304">
        <v>0</v>
      </c>
      <c r="BE9" s="304">
        <v>0</v>
      </c>
      <c r="BF9" s="304">
        <v>0</v>
      </c>
      <c r="BG9" s="304">
        <v>0</v>
      </c>
      <c r="BH9" s="304">
        <v>0</v>
      </c>
      <c r="BI9" s="304">
        <v>4597538</v>
      </c>
      <c r="BJ9" s="322">
        <v>0</v>
      </c>
      <c r="BK9" s="322">
        <v>0</v>
      </c>
      <c r="BL9" s="322">
        <v>0</v>
      </c>
      <c r="BM9" s="322">
        <v>0</v>
      </c>
      <c r="BN9" s="322">
        <v>0</v>
      </c>
      <c r="BO9" s="322">
        <v>0</v>
      </c>
      <c r="BP9" s="322">
        <v>0</v>
      </c>
      <c r="BQ9" s="322">
        <v>0</v>
      </c>
      <c r="BR9" s="322">
        <v>0</v>
      </c>
      <c r="BS9" s="322">
        <v>0</v>
      </c>
      <c r="BT9" s="322">
        <v>0</v>
      </c>
      <c r="BU9" s="322">
        <v>0</v>
      </c>
      <c r="BV9" s="322">
        <v>5415233</v>
      </c>
      <c r="BW9" s="275">
        <v>0</v>
      </c>
      <c r="BX9" s="275">
        <v>0</v>
      </c>
      <c r="BY9" s="275">
        <v>0</v>
      </c>
      <c r="BZ9" s="275">
        <v>0</v>
      </c>
      <c r="CA9" s="275">
        <v>0</v>
      </c>
      <c r="CB9" s="275">
        <v>0</v>
      </c>
      <c r="CC9" s="275">
        <v>0</v>
      </c>
      <c r="CD9" s="275">
        <v>0</v>
      </c>
      <c r="CE9" s="275">
        <v>0</v>
      </c>
      <c r="CF9" s="275">
        <v>0</v>
      </c>
      <c r="CG9" s="275">
        <v>0</v>
      </c>
      <c r="CH9" s="284">
        <v>7298266</v>
      </c>
      <c r="CI9" s="275">
        <v>0</v>
      </c>
      <c r="CJ9" s="275">
        <v>0</v>
      </c>
      <c r="CK9" s="275">
        <v>0</v>
      </c>
      <c r="CL9" s="275">
        <v>0</v>
      </c>
      <c r="CM9" s="275">
        <v>0</v>
      </c>
      <c r="CN9" s="360">
        <v>0</v>
      </c>
      <c r="CO9" s="360">
        <v>0</v>
      </c>
      <c r="CP9" s="360">
        <v>0</v>
      </c>
      <c r="CQ9" s="360"/>
      <c r="CR9" s="360"/>
      <c r="CS9" s="360"/>
      <c r="CT9" s="360"/>
      <c r="CU9" s="360"/>
      <c r="CV9" s="360"/>
      <c r="CW9" s="360">
        <v>0</v>
      </c>
      <c r="CX9" s="369">
        <v>0</v>
      </c>
      <c r="CY9" s="369">
        <v>0</v>
      </c>
      <c r="CZ9" s="360">
        <v>0</v>
      </c>
      <c r="DA9">
        <v>0</v>
      </c>
      <c r="DB9" s="360">
        <v>0</v>
      </c>
      <c r="DC9" s="360">
        <v>0</v>
      </c>
      <c r="DD9" s="360">
        <v>0</v>
      </c>
      <c r="DE9" s="454">
        <v>0</v>
      </c>
    </row>
    <row r="10" spans="1:109" ht="14.25">
      <c r="A10" s="170" t="s">
        <v>83</v>
      </c>
      <c r="B10" s="286"/>
      <c r="C10" s="294">
        <v>242821</v>
      </c>
      <c r="D10" s="294">
        <v>263308</v>
      </c>
      <c r="E10" s="294">
        <v>540680</v>
      </c>
      <c r="F10" s="294">
        <v>1030283</v>
      </c>
      <c r="G10" s="294"/>
      <c r="H10" s="300">
        <f>734825+52145+706662-391551-113296+52497+1752874+8820</f>
        <v>2802976</v>
      </c>
      <c r="I10" s="302"/>
      <c r="J10" s="302">
        <v>0</v>
      </c>
      <c r="K10" s="302">
        <v>0</v>
      </c>
      <c r="L10" s="310">
        <v>0</v>
      </c>
      <c r="M10" s="304">
        <v>0</v>
      </c>
      <c r="N10" s="304">
        <v>0</v>
      </c>
      <c r="O10" s="304">
        <v>0</v>
      </c>
      <c r="P10" s="304">
        <v>2296935</v>
      </c>
      <c r="Q10" s="304">
        <v>2296935</v>
      </c>
      <c r="R10" s="304">
        <v>2296935</v>
      </c>
      <c r="S10" s="304">
        <v>2296935</v>
      </c>
      <c r="T10" s="304">
        <v>2296935</v>
      </c>
      <c r="U10" s="304">
        <v>2296935</v>
      </c>
      <c r="V10" s="304">
        <v>0</v>
      </c>
      <c r="W10" s="342"/>
      <c r="X10" s="309"/>
      <c r="Y10" s="344"/>
      <c r="Z10" s="344"/>
      <c r="AA10" s="344"/>
      <c r="AB10" s="304">
        <v>0</v>
      </c>
      <c r="AC10" s="304">
        <v>0</v>
      </c>
      <c r="AD10" s="304">
        <v>0</v>
      </c>
      <c r="AE10" s="304">
        <v>0</v>
      </c>
      <c r="AF10" s="304">
        <v>0</v>
      </c>
      <c r="AG10" s="304">
        <v>0</v>
      </c>
      <c r="AH10" s="304">
        <v>0</v>
      </c>
      <c r="AI10" s="304"/>
      <c r="AJ10" s="284">
        <v>0</v>
      </c>
      <c r="AK10" s="284">
        <v>0</v>
      </c>
      <c r="AL10" s="284">
        <v>0</v>
      </c>
      <c r="AM10" s="284">
        <v>0</v>
      </c>
      <c r="AN10" s="284">
        <v>0</v>
      </c>
      <c r="AO10" s="284">
        <v>0</v>
      </c>
      <c r="AP10" s="278">
        <v>0</v>
      </c>
      <c r="AQ10" s="278">
        <v>0</v>
      </c>
      <c r="AR10" s="278">
        <v>0</v>
      </c>
      <c r="AS10" s="278">
        <v>0</v>
      </c>
      <c r="AT10" s="278">
        <v>0</v>
      </c>
      <c r="AU10" s="278">
        <v>0</v>
      </c>
      <c r="AV10" s="284">
        <v>0</v>
      </c>
      <c r="AW10" s="304">
        <v>0</v>
      </c>
      <c r="AX10" s="304">
        <v>0</v>
      </c>
      <c r="AY10" s="304">
        <v>0</v>
      </c>
      <c r="AZ10" s="304">
        <v>0</v>
      </c>
      <c r="BA10" s="304">
        <v>0</v>
      </c>
      <c r="BB10" s="304">
        <v>0</v>
      </c>
      <c r="BC10" s="304">
        <v>0</v>
      </c>
      <c r="BD10" s="304">
        <v>0</v>
      </c>
      <c r="BE10" s="304">
        <v>0</v>
      </c>
      <c r="BF10" s="304">
        <v>0</v>
      </c>
      <c r="BG10" s="304">
        <v>0</v>
      </c>
      <c r="BH10" s="304">
        <v>0</v>
      </c>
      <c r="BI10" s="304"/>
      <c r="BJ10" s="322">
        <v>0</v>
      </c>
      <c r="BK10" s="322">
        <v>0</v>
      </c>
      <c r="BL10" s="322">
        <v>0</v>
      </c>
      <c r="BM10" s="322">
        <v>0</v>
      </c>
      <c r="BN10" s="322">
        <v>0</v>
      </c>
      <c r="BO10" s="322">
        <v>0</v>
      </c>
      <c r="BP10" s="322">
        <v>0</v>
      </c>
      <c r="BQ10" s="322">
        <v>0</v>
      </c>
      <c r="BR10" s="322">
        <v>0</v>
      </c>
      <c r="BS10" s="322">
        <v>0</v>
      </c>
      <c r="BT10" s="322">
        <v>0</v>
      </c>
      <c r="BU10" s="322">
        <v>0</v>
      </c>
      <c r="BV10" s="322"/>
      <c r="BW10" s="275">
        <v>0</v>
      </c>
      <c r="BX10" s="275">
        <v>0</v>
      </c>
      <c r="BY10" s="275">
        <v>0</v>
      </c>
      <c r="BZ10" s="275">
        <v>0</v>
      </c>
      <c r="CA10" s="275">
        <v>0</v>
      </c>
      <c r="CB10" s="275">
        <v>0</v>
      </c>
      <c r="CC10" s="275">
        <v>0</v>
      </c>
      <c r="CD10" s="275">
        <v>8497655.0999999996</v>
      </c>
      <c r="CE10" s="275">
        <v>10938596.93</v>
      </c>
      <c r="CF10" s="275">
        <v>10944519.93</v>
      </c>
      <c r="CG10" s="275">
        <v>13091734.57</v>
      </c>
      <c r="CH10" s="284"/>
      <c r="CI10" s="275">
        <v>0</v>
      </c>
      <c r="CJ10" s="275">
        <v>0</v>
      </c>
      <c r="CK10" s="275">
        <v>0</v>
      </c>
      <c r="CL10" s="275">
        <v>0</v>
      </c>
      <c r="CM10" s="275">
        <v>0</v>
      </c>
      <c r="CN10" s="360">
        <v>0</v>
      </c>
      <c r="CO10" s="360">
        <v>0</v>
      </c>
      <c r="CP10" s="360">
        <v>0</v>
      </c>
      <c r="CQ10" s="360"/>
      <c r="CR10" s="360"/>
      <c r="CS10" s="360"/>
      <c r="CT10" s="360"/>
      <c r="CU10" s="360"/>
      <c r="CV10" s="360"/>
      <c r="CW10" s="360">
        <v>0</v>
      </c>
      <c r="CX10" s="369">
        <v>0</v>
      </c>
      <c r="CY10" s="369">
        <v>0</v>
      </c>
      <c r="CZ10" s="360">
        <v>0</v>
      </c>
      <c r="DA10">
        <v>0</v>
      </c>
      <c r="DB10" s="360">
        <v>0</v>
      </c>
      <c r="DC10" s="360">
        <v>0</v>
      </c>
      <c r="DD10" s="360">
        <v>0</v>
      </c>
      <c r="DE10" s="454">
        <v>0</v>
      </c>
    </row>
    <row r="11" spans="1:109" s="14" customFormat="1" ht="15">
      <c r="A11" s="169" t="s">
        <v>84</v>
      </c>
      <c r="B11" s="295">
        <f>1360424+240267+89013+89557</f>
        <v>1779261</v>
      </c>
      <c r="C11" s="294">
        <v>175819</v>
      </c>
      <c r="D11" s="294">
        <v>1394023</v>
      </c>
      <c r="E11" s="294">
        <v>5946833</v>
      </c>
      <c r="F11" s="294">
        <v>3519501.83</v>
      </c>
      <c r="G11" s="294">
        <v>6183743.6900000004</v>
      </c>
      <c r="H11" s="300">
        <v>7551701</v>
      </c>
      <c r="I11" s="302">
        <v>3570</v>
      </c>
      <c r="J11" s="302">
        <v>636426.28</v>
      </c>
      <c r="K11" s="302">
        <v>1866682.33</v>
      </c>
      <c r="L11" s="310">
        <v>2417816.33</v>
      </c>
      <c r="M11" s="304">
        <v>2931194.71</v>
      </c>
      <c r="N11" s="304">
        <v>3767064.68</v>
      </c>
      <c r="O11" s="304">
        <v>5876296.1600000001</v>
      </c>
      <c r="P11" s="304">
        <v>6618126.0300000003</v>
      </c>
      <c r="Q11" s="304">
        <v>7402078.6799999997</v>
      </c>
      <c r="R11" s="304">
        <v>8140911.6799999997</v>
      </c>
      <c r="S11" s="304">
        <v>8754105.6799999997</v>
      </c>
      <c r="T11" s="304">
        <v>8642899.2400000002</v>
      </c>
      <c r="U11" s="304">
        <v>14024529.449999999</v>
      </c>
      <c r="V11" s="304">
        <v>16542501</v>
      </c>
      <c r="W11" s="342">
        <v>696667.33</v>
      </c>
      <c r="X11" s="309">
        <v>5067417.12</v>
      </c>
      <c r="Y11" s="344">
        <v>2291785</v>
      </c>
      <c r="Z11" s="344">
        <v>3496432.05</v>
      </c>
      <c r="AA11" s="344">
        <v>4204775</v>
      </c>
      <c r="AB11" s="304">
        <v>5266767</v>
      </c>
      <c r="AC11" s="304">
        <v>10790937.16</v>
      </c>
      <c r="AD11" s="304">
        <v>11751613</v>
      </c>
      <c r="AE11" s="304">
        <v>12921704</v>
      </c>
      <c r="AF11" s="304">
        <v>13597629</v>
      </c>
      <c r="AG11" s="304">
        <v>14281394.32</v>
      </c>
      <c r="AH11" s="304">
        <v>15601171.6</v>
      </c>
      <c r="AI11" s="304">
        <v>14167079</v>
      </c>
      <c r="AJ11" s="284">
        <v>663030.5</v>
      </c>
      <c r="AK11" s="284">
        <v>1162049.58</v>
      </c>
      <c r="AL11" s="284">
        <v>2361933.41</v>
      </c>
      <c r="AM11" s="284">
        <v>3283229.7</v>
      </c>
      <c r="AN11" s="284">
        <v>3982334.01</v>
      </c>
      <c r="AO11" s="284">
        <v>5380916.9500000002</v>
      </c>
      <c r="AP11" s="278">
        <v>9678689.5899999999</v>
      </c>
      <c r="AQ11" s="278">
        <v>10632486.779999999</v>
      </c>
      <c r="AR11" s="278">
        <v>13280926.84</v>
      </c>
      <c r="AS11" s="278">
        <v>14137816.369999999</v>
      </c>
      <c r="AT11" s="278">
        <v>14787617.390000001</v>
      </c>
      <c r="AU11" s="278">
        <v>16349709.23</v>
      </c>
      <c r="AV11" s="284">
        <f>17043245-4604960</f>
        <v>12438285</v>
      </c>
      <c r="AW11" s="304">
        <v>659756.5</v>
      </c>
      <c r="AX11" s="304">
        <v>1515788</v>
      </c>
      <c r="AY11" s="304">
        <v>3145587.44</v>
      </c>
      <c r="AZ11" s="304">
        <v>3635402</v>
      </c>
      <c r="BA11" s="304">
        <v>5877249.46</v>
      </c>
      <c r="BB11" s="349">
        <v>5173214.53</v>
      </c>
      <c r="BC11" s="349">
        <v>12075238.470000001</v>
      </c>
      <c r="BD11" s="304">
        <v>12422699.609999999</v>
      </c>
      <c r="BE11" s="304">
        <v>13278448.66</v>
      </c>
      <c r="BF11" s="352">
        <v>15008838.399999999</v>
      </c>
      <c r="BG11" s="323">
        <v>15516495.1</v>
      </c>
      <c r="BH11" s="323">
        <v>17455038.899999999</v>
      </c>
      <c r="BI11" s="353">
        <v>12884946</v>
      </c>
      <c r="BJ11" s="323">
        <v>1083747.6499999999</v>
      </c>
      <c r="BK11" s="323">
        <v>1686529.85</v>
      </c>
      <c r="BL11" s="323">
        <v>2315517.16</v>
      </c>
      <c r="BM11" s="323">
        <v>3023393.96</v>
      </c>
      <c r="BN11" s="323">
        <v>3898925.08</v>
      </c>
      <c r="BO11" s="323">
        <v>10207931.689999999</v>
      </c>
      <c r="BP11" s="323">
        <v>12396685.77</v>
      </c>
      <c r="BQ11" s="323">
        <v>13699013.77</v>
      </c>
      <c r="BR11" s="323">
        <v>14726114.960000001</v>
      </c>
      <c r="BS11" s="323">
        <v>16562069.73</v>
      </c>
      <c r="BT11" s="323">
        <v>17604774.59</v>
      </c>
      <c r="BU11" s="323">
        <v>20158804.68</v>
      </c>
      <c r="BV11" s="323">
        <v>20932347</v>
      </c>
      <c r="BW11" s="276">
        <v>470005.76000000001</v>
      </c>
      <c r="BX11" s="276">
        <v>1148238.75</v>
      </c>
      <c r="BY11" s="276">
        <v>1771807.63</v>
      </c>
      <c r="BZ11" s="276">
        <v>9794754.2799999993</v>
      </c>
      <c r="CA11" s="276">
        <v>10708442.949999999</v>
      </c>
      <c r="CB11" s="276">
        <v>11726947.85</v>
      </c>
      <c r="CC11" s="276">
        <v>14621939.98</v>
      </c>
      <c r="CD11" s="276">
        <v>7135248.1200000001</v>
      </c>
      <c r="CE11" s="276">
        <v>8012806.8899999997</v>
      </c>
      <c r="CF11" s="276">
        <v>8689497.6500000004</v>
      </c>
      <c r="CG11" s="276">
        <v>8075428.7599999998</v>
      </c>
      <c r="CH11" s="284">
        <v>20943071</v>
      </c>
      <c r="CI11" s="276">
        <v>602795.82999999996</v>
      </c>
      <c r="CJ11" s="276">
        <v>1241902.8799999999</v>
      </c>
      <c r="CK11" s="276">
        <v>2076950.03</v>
      </c>
      <c r="CL11" s="276">
        <v>10180807.890000001</v>
      </c>
      <c r="CM11" s="276">
        <v>10821550.01</v>
      </c>
      <c r="CN11" s="362">
        <v>11409091.24</v>
      </c>
      <c r="CO11" s="367">
        <v>12995543.710000001</v>
      </c>
      <c r="CP11" s="362">
        <v>13724697.07</v>
      </c>
      <c r="CQ11" s="360">
        <v>14371927.08</v>
      </c>
      <c r="CR11" s="360">
        <v>16339188.1</v>
      </c>
      <c r="CS11" s="360">
        <v>17305609.100000001</v>
      </c>
      <c r="CT11" s="362">
        <v>19598246.140000001</v>
      </c>
      <c r="CU11" s="367">
        <v>22102560</v>
      </c>
      <c r="CV11" s="367">
        <f>770746+1625219+136480+129230+820+7413+5809104+17490+35575+2500+605376+548325+88729+30009+9610+4083509+9894439</f>
        <v>23794574</v>
      </c>
      <c r="CW11" s="390">
        <v>957020.62</v>
      </c>
      <c r="CX11" s="391">
        <v>2492490.94</v>
      </c>
      <c r="CY11" s="391">
        <v>3813210.36</v>
      </c>
      <c r="CZ11" s="398">
        <v>5365694.87</v>
      </c>
      <c r="DA11" s="406">
        <v>6971332.4500000002</v>
      </c>
      <c r="DB11" s="398">
        <v>17442148.5</v>
      </c>
      <c r="DC11" s="398">
        <v>19195464.460000001</v>
      </c>
      <c r="DD11" s="398">
        <v>21291726.23</v>
      </c>
      <c r="DE11" s="398">
        <v>22359228.649999999</v>
      </c>
    </row>
    <row r="12" spans="1:109" ht="15.75">
      <c r="A12" s="169" t="s">
        <v>85</v>
      </c>
      <c r="B12" s="209">
        <f t="shared" ref="B12:AG12" si="30">SUM(B13:B18)</f>
        <v>2779329</v>
      </c>
      <c r="C12" s="209">
        <f t="shared" si="30"/>
        <v>622913</v>
      </c>
      <c r="D12" s="209">
        <f t="shared" si="30"/>
        <v>168581</v>
      </c>
      <c r="E12" s="209">
        <f t="shared" si="30"/>
        <v>3153250</v>
      </c>
      <c r="F12" s="209">
        <f t="shared" si="30"/>
        <v>1625181</v>
      </c>
      <c r="G12" s="209">
        <f t="shared" si="30"/>
        <v>0</v>
      </c>
      <c r="H12" s="209">
        <f t="shared" si="30"/>
        <v>51517</v>
      </c>
      <c r="I12" s="209">
        <f t="shared" si="30"/>
        <v>6737881</v>
      </c>
      <c r="J12" s="209">
        <f t="shared" si="30"/>
        <v>455480.9</v>
      </c>
      <c r="K12" s="209">
        <f t="shared" si="30"/>
        <v>1344386.8</v>
      </c>
      <c r="L12" s="209">
        <f t="shared" si="30"/>
        <v>1946103.9</v>
      </c>
      <c r="M12" s="209">
        <f t="shared" si="30"/>
        <v>2534395.6</v>
      </c>
      <c r="N12" s="209">
        <f t="shared" si="30"/>
        <v>3005754.6</v>
      </c>
      <c r="O12" s="209">
        <f t="shared" si="30"/>
        <v>3630549.1</v>
      </c>
      <c r="P12" s="209">
        <f t="shared" si="30"/>
        <v>4662843.4000000004</v>
      </c>
      <c r="Q12" s="209">
        <f t="shared" si="30"/>
        <v>5404484.9000000004</v>
      </c>
      <c r="R12" s="209">
        <f t="shared" si="30"/>
        <v>6008811.7999999998</v>
      </c>
      <c r="S12" s="209">
        <f t="shared" si="30"/>
        <v>6816159.9000000004</v>
      </c>
      <c r="T12" s="209">
        <f t="shared" si="30"/>
        <v>1054294</v>
      </c>
      <c r="U12" s="209">
        <f t="shared" si="30"/>
        <v>8712934.4000000004</v>
      </c>
      <c r="V12" s="209">
        <f t="shared" si="30"/>
        <v>3690448</v>
      </c>
      <c r="W12" s="209">
        <f t="shared" si="30"/>
        <v>0</v>
      </c>
      <c r="X12" s="209">
        <f t="shared" si="30"/>
        <v>0</v>
      </c>
      <c r="Y12" s="209">
        <f t="shared" si="30"/>
        <v>0</v>
      </c>
      <c r="Z12" s="209">
        <f t="shared" si="30"/>
        <v>7800</v>
      </c>
      <c r="AA12" s="209">
        <f t="shared" si="30"/>
        <v>7800</v>
      </c>
      <c r="AB12" s="209">
        <f t="shared" si="30"/>
        <v>7800</v>
      </c>
      <c r="AC12" s="209">
        <f t="shared" si="30"/>
        <v>8175</v>
      </c>
      <c r="AD12" s="209">
        <f t="shared" si="30"/>
        <v>8175</v>
      </c>
      <c r="AE12" s="209">
        <f t="shared" si="30"/>
        <v>8175</v>
      </c>
      <c r="AF12" s="209">
        <f t="shared" si="30"/>
        <v>14425</v>
      </c>
      <c r="AG12" s="209">
        <f t="shared" si="30"/>
        <v>14425</v>
      </c>
      <c r="AH12" s="209">
        <f t="shared" ref="AH12:BJ12" si="31">SUM(AH13:AH18)</f>
        <v>14425</v>
      </c>
      <c r="AI12" s="209">
        <f t="shared" si="31"/>
        <v>4048705</v>
      </c>
      <c r="AJ12" s="209">
        <f t="shared" si="31"/>
        <v>0</v>
      </c>
      <c r="AK12" s="209">
        <f t="shared" si="31"/>
        <v>0</v>
      </c>
      <c r="AL12" s="209">
        <f t="shared" si="31"/>
        <v>0</v>
      </c>
      <c r="AM12" s="209">
        <f t="shared" si="31"/>
        <v>0</v>
      </c>
      <c r="AN12" s="209">
        <f t="shared" si="31"/>
        <v>0</v>
      </c>
      <c r="AO12" s="209">
        <f t="shared" si="31"/>
        <v>0</v>
      </c>
      <c r="AP12" s="209">
        <f t="shared" si="31"/>
        <v>0</v>
      </c>
      <c r="AQ12" s="209">
        <f t="shared" si="31"/>
        <v>0</v>
      </c>
      <c r="AR12" s="209">
        <f t="shared" si="31"/>
        <v>0</v>
      </c>
      <c r="AS12" s="209">
        <f t="shared" si="31"/>
        <v>0</v>
      </c>
      <c r="AT12" s="209">
        <f t="shared" si="31"/>
        <v>0</v>
      </c>
      <c r="AU12" s="209">
        <f t="shared" si="31"/>
        <v>0</v>
      </c>
      <c r="AV12" s="209">
        <f t="shared" si="31"/>
        <v>4275560</v>
      </c>
      <c r="AW12" s="209">
        <f t="shared" si="31"/>
        <v>0</v>
      </c>
      <c r="AX12" s="209">
        <f t="shared" si="31"/>
        <v>0</v>
      </c>
      <c r="AY12" s="209">
        <f t="shared" si="31"/>
        <v>0</v>
      </c>
      <c r="AZ12" s="209">
        <f t="shared" si="31"/>
        <v>0</v>
      </c>
      <c r="BA12" s="209">
        <f t="shared" si="31"/>
        <v>0</v>
      </c>
      <c r="BB12" s="209">
        <f t="shared" si="31"/>
        <v>0</v>
      </c>
      <c r="BC12" s="209">
        <f t="shared" si="31"/>
        <v>0</v>
      </c>
      <c r="BD12" s="209">
        <f t="shared" si="31"/>
        <v>0</v>
      </c>
      <c r="BE12" s="209">
        <f t="shared" si="31"/>
        <v>0</v>
      </c>
      <c r="BF12" s="209">
        <f t="shared" si="31"/>
        <v>0</v>
      </c>
      <c r="BG12" s="209">
        <f t="shared" si="31"/>
        <v>0</v>
      </c>
      <c r="BH12" s="209">
        <f t="shared" si="31"/>
        <v>0</v>
      </c>
      <c r="BI12" s="209">
        <f t="shared" si="31"/>
        <v>5041448</v>
      </c>
      <c r="BJ12" s="209">
        <f t="shared" si="31"/>
        <v>0</v>
      </c>
      <c r="BK12" s="209">
        <f t="shared" ref="BK12:BT12" si="32">SUM(BK13:BK18)</f>
        <v>0</v>
      </c>
      <c r="BL12" s="209">
        <f t="shared" si="32"/>
        <v>0</v>
      </c>
      <c r="BM12" s="209">
        <f t="shared" si="32"/>
        <v>0</v>
      </c>
      <c r="BN12" s="209">
        <f t="shared" si="32"/>
        <v>0</v>
      </c>
      <c r="BO12" s="209">
        <f t="shared" si="32"/>
        <v>0</v>
      </c>
      <c r="BP12" s="209">
        <f t="shared" si="32"/>
        <v>0</v>
      </c>
      <c r="BQ12" s="209">
        <f t="shared" si="32"/>
        <v>0</v>
      </c>
      <c r="BR12" s="209">
        <f t="shared" si="32"/>
        <v>0</v>
      </c>
      <c r="BS12" s="209">
        <f t="shared" si="32"/>
        <v>0</v>
      </c>
      <c r="BT12" s="209">
        <f t="shared" si="32"/>
        <v>0</v>
      </c>
      <c r="BU12" s="209">
        <f>SUM(BU13:BU18)</f>
        <v>0</v>
      </c>
      <c r="BV12" s="209">
        <f>SUM(BV13:BV18)</f>
        <v>6105198</v>
      </c>
      <c r="BW12" s="209">
        <f t="shared" ref="BW12:CD12" si="33">SUM(BW13:BW18)</f>
        <v>0</v>
      </c>
      <c r="BX12" s="209">
        <f t="shared" si="33"/>
        <v>0</v>
      </c>
      <c r="BY12" s="209">
        <f t="shared" si="33"/>
        <v>0</v>
      </c>
      <c r="BZ12" s="209">
        <f t="shared" si="33"/>
        <v>0</v>
      </c>
      <c r="CA12" s="209">
        <f t="shared" si="33"/>
        <v>0</v>
      </c>
      <c r="CB12" s="209">
        <f t="shared" si="33"/>
        <v>75860</v>
      </c>
      <c r="CC12" s="209">
        <f t="shared" si="33"/>
        <v>78380</v>
      </c>
      <c r="CD12" s="209">
        <f t="shared" si="33"/>
        <v>78380</v>
      </c>
      <c r="CE12" s="209">
        <f t="shared" ref="CE12:CK12" si="34">SUM(CE13:CE18)</f>
        <v>114544</v>
      </c>
      <c r="CF12" s="209">
        <f t="shared" si="34"/>
        <v>144049</v>
      </c>
      <c r="CG12" s="209">
        <f t="shared" si="34"/>
        <v>7000000</v>
      </c>
      <c r="CH12" s="209">
        <f t="shared" si="34"/>
        <v>7169807</v>
      </c>
      <c r="CI12" s="209">
        <f t="shared" si="34"/>
        <v>0</v>
      </c>
      <c r="CJ12" s="209">
        <f t="shared" si="34"/>
        <v>0</v>
      </c>
      <c r="CK12" s="209">
        <f t="shared" si="34"/>
        <v>0</v>
      </c>
      <c r="CL12" s="209">
        <f t="shared" ref="CL12:CQ12" si="35">SUM(CL13:CL18)</f>
        <v>0</v>
      </c>
      <c r="CM12" s="209">
        <f t="shared" si="35"/>
        <v>0</v>
      </c>
      <c r="CN12" s="209">
        <f t="shared" si="35"/>
        <v>0</v>
      </c>
      <c r="CO12" s="209">
        <f t="shared" si="35"/>
        <v>0</v>
      </c>
      <c r="CP12" s="209">
        <f t="shared" si="35"/>
        <v>0</v>
      </c>
      <c r="CQ12" s="209">
        <f t="shared" si="35"/>
        <v>0</v>
      </c>
      <c r="CR12" s="209">
        <f t="shared" ref="CR12:CU12" si="36">SUM(CR13:CR18)</f>
        <v>0</v>
      </c>
      <c r="CS12" s="209">
        <f t="shared" si="36"/>
        <v>0</v>
      </c>
      <c r="CT12" s="209">
        <f t="shared" si="36"/>
        <v>0</v>
      </c>
      <c r="CU12" s="209">
        <f t="shared" si="36"/>
        <v>7785466</v>
      </c>
      <c r="CV12" s="209">
        <f t="shared" ref="CV12:DE12" si="37">SUM(CV13:CV18)</f>
        <v>9800792</v>
      </c>
      <c r="CW12" s="209">
        <f t="shared" si="37"/>
        <v>0</v>
      </c>
      <c r="CX12" s="209">
        <f t="shared" si="37"/>
        <v>0</v>
      </c>
      <c r="CY12" s="209">
        <f t="shared" si="37"/>
        <v>0</v>
      </c>
      <c r="CZ12" s="209">
        <f t="shared" si="37"/>
        <v>0</v>
      </c>
      <c r="DA12" s="209">
        <f t="shared" si="37"/>
        <v>0</v>
      </c>
      <c r="DB12" s="209">
        <f t="shared" si="37"/>
        <v>0</v>
      </c>
      <c r="DC12" s="209">
        <f t="shared" si="37"/>
        <v>0</v>
      </c>
      <c r="DD12" s="209">
        <f t="shared" si="37"/>
        <v>0</v>
      </c>
      <c r="DE12" s="209">
        <f t="shared" si="37"/>
        <v>0</v>
      </c>
    </row>
    <row r="13" spans="1:109" ht="14.25">
      <c r="A13" s="170" t="s">
        <v>86</v>
      </c>
      <c r="B13" s="286"/>
      <c r="C13" s="294"/>
      <c r="D13" s="294"/>
      <c r="E13" s="294">
        <v>2968189</v>
      </c>
      <c r="F13" s="294">
        <v>1625181</v>
      </c>
      <c r="G13" s="294"/>
      <c r="H13" s="322"/>
      <c r="I13" s="341">
        <f>1824740</f>
        <v>1824740</v>
      </c>
      <c r="J13" s="302">
        <v>0</v>
      </c>
      <c r="K13" s="302">
        <v>0</v>
      </c>
      <c r="L13" s="310">
        <v>0</v>
      </c>
      <c r="M13" s="304">
        <v>0</v>
      </c>
      <c r="N13" s="304">
        <v>0</v>
      </c>
      <c r="O13" s="304">
        <v>0</v>
      </c>
      <c r="P13" s="304">
        <v>0</v>
      </c>
      <c r="Q13" s="304">
        <v>0</v>
      </c>
      <c r="R13" s="304">
        <v>0</v>
      </c>
      <c r="S13" s="304">
        <v>0</v>
      </c>
      <c r="T13" s="304">
        <v>0</v>
      </c>
      <c r="U13" s="304">
        <v>0</v>
      </c>
      <c r="V13" s="304">
        <v>3589171</v>
      </c>
      <c r="W13" s="342">
        <v>0</v>
      </c>
      <c r="X13" s="309">
        <v>0</v>
      </c>
      <c r="Y13" s="344">
        <v>0</v>
      </c>
      <c r="Z13" s="344">
        <v>7800</v>
      </c>
      <c r="AA13" s="344">
        <v>7800</v>
      </c>
      <c r="AB13" s="304">
        <v>7800</v>
      </c>
      <c r="AC13" s="304">
        <v>8175</v>
      </c>
      <c r="AD13" s="304">
        <v>8175</v>
      </c>
      <c r="AE13" s="304">
        <v>8175</v>
      </c>
      <c r="AF13" s="304">
        <v>14425</v>
      </c>
      <c r="AG13" s="304">
        <v>14425</v>
      </c>
      <c r="AH13" s="304">
        <v>14425</v>
      </c>
      <c r="AI13" s="304">
        <v>4048705</v>
      </c>
      <c r="AJ13" s="284">
        <v>0</v>
      </c>
      <c r="AK13" s="284">
        <v>0</v>
      </c>
      <c r="AL13" s="284">
        <v>0</v>
      </c>
      <c r="AM13" s="284">
        <v>0</v>
      </c>
      <c r="AN13" s="284">
        <v>0</v>
      </c>
      <c r="AO13" s="284">
        <v>0</v>
      </c>
      <c r="AP13" s="278">
        <v>0</v>
      </c>
      <c r="AQ13" s="278">
        <v>0</v>
      </c>
      <c r="AR13" s="278">
        <v>0</v>
      </c>
      <c r="AS13" s="278">
        <v>0</v>
      </c>
      <c r="AT13" s="278">
        <v>0</v>
      </c>
      <c r="AU13" s="278">
        <v>0</v>
      </c>
      <c r="AV13" s="284">
        <v>4275560</v>
      </c>
      <c r="AW13" s="304">
        <v>0</v>
      </c>
      <c r="AX13" s="304">
        <v>0</v>
      </c>
      <c r="AY13" s="304">
        <v>0</v>
      </c>
      <c r="AZ13" s="304">
        <v>0</v>
      </c>
      <c r="BA13" s="304">
        <v>0</v>
      </c>
      <c r="BB13" s="304">
        <v>0</v>
      </c>
      <c r="BC13" s="304">
        <v>0</v>
      </c>
      <c r="BD13" s="304">
        <v>0</v>
      </c>
      <c r="BE13" s="304">
        <v>0</v>
      </c>
      <c r="BF13" s="304">
        <v>0</v>
      </c>
      <c r="BG13" s="304">
        <v>0</v>
      </c>
      <c r="BH13" s="304">
        <v>0</v>
      </c>
      <c r="BI13" s="304">
        <v>5041448</v>
      </c>
      <c r="BJ13" s="322">
        <v>0</v>
      </c>
      <c r="BK13" s="322">
        <v>0</v>
      </c>
      <c r="BL13" s="322">
        <v>0</v>
      </c>
      <c r="BM13" s="322">
        <v>0</v>
      </c>
      <c r="BN13" s="322">
        <v>0</v>
      </c>
      <c r="BO13" s="322">
        <v>0</v>
      </c>
      <c r="BP13" s="322">
        <v>0</v>
      </c>
      <c r="BQ13" s="322">
        <v>0</v>
      </c>
      <c r="BR13" s="322">
        <v>0</v>
      </c>
      <c r="BS13" s="322">
        <v>0</v>
      </c>
      <c r="BT13" s="322">
        <v>0</v>
      </c>
      <c r="BU13" s="322">
        <v>0</v>
      </c>
      <c r="BV13" s="322">
        <v>6105198</v>
      </c>
      <c r="BW13" s="275">
        <v>0</v>
      </c>
      <c r="BX13" s="275">
        <v>0</v>
      </c>
      <c r="BY13" s="275">
        <v>0</v>
      </c>
      <c r="BZ13" s="275">
        <v>0</v>
      </c>
      <c r="CA13" s="275">
        <v>0</v>
      </c>
      <c r="CB13" s="275">
        <v>75860</v>
      </c>
      <c r="CC13" s="275">
        <v>78380</v>
      </c>
      <c r="CD13" s="275">
        <v>78380</v>
      </c>
      <c r="CE13" s="275">
        <v>114544</v>
      </c>
      <c r="CF13" s="275">
        <v>144049</v>
      </c>
      <c r="CG13" s="275">
        <v>7000000</v>
      </c>
      <c r="CH13" s="284">
        <v>7169807</v>
      </c>
      <c r="CI13" s="275">
        <v>0</v>
      </c>
      <c r="CJ13" s="275">
        <v>0</v>
      </c>
      <c r="CK13" s="275">
        <v>0</v>
      </c>
      <c r="CL13" s="275">
        <v>0</v>
      </c>
      <c r="CM13" s="275">
        <v>0</v>
      </c>
      <c r="CN13" s="358">
        <v>0</v>
      </c>
      <c r="CO13" s="358">
        <v>0</v>
      </c>
      <c r="CP13" s="358">
        <v>0</v>
      </c>
      <c r="CQ13" s="358">
        <v>0</v>
      </c>
      <c r="CR13" s="358">
        <v>0</v>
      </c>
      <c r="CS13" s="358">
        <v>0</v>
      </c>
      <c r="CT13" s="358">
        <v>0</v>
      </c>
      <c r="CU13" s="383">
        <v>7785466</v>
      </c>
      <c r="CV13" s="383">
        <f>9300000+500792</f>
        <v>9800792</v>
      </c>
      <c r="CW13" s="358">
        <v>0</v>
      </c>
      <c r="CX13" s="389">
        <v>0</v>
      </c>
      <c r="CY13" s="389">
        <v>0</v>
      </c>
      <c r="CZ13" s="358">
        <v>0</v>
      </c>
      <c r="DA13">
        <v>0</v>
      </c>
      <c r="DB13" s="358">
        <v>0</v>
      </c>
      <c r="DC13" s="358">
        <v>0</v>
      </c>
      <c r="DD13" s="358">
        <v>0</v>
      </c>
      <c r="DE13" s="452">
        <v>0</v>
      </c>
    </row>
    <row r="14" spans="1:109" ht="14.25">
      <c r="A14" s="170" t="s">
        <v>87</v>
      </c>
      <c r="B14" s="286">
        <v>2586917</v>
      </c>
      <c r="C14" s="294">
        <v>404095</v>
      </c>
      <c r="D14" s="294"/>
      <c r="E14" s="294"/>
      <c r="F14" s="294"/>
      <c r="G14" s="294"/>
      <c r="H14" s="322"/>
      <c r="I14" s="302"/>
      <c r="J14" s="302">
        <v>0</v>
      </c>
      <c r="K14" s="302">
        <v>0</v>
      </c>
      <c r="L14" s="310">
        <v>0</v>
      </c>
      <c r="M14" s="304">
        <v>0</v>
      </c>
      <c r="N14" s="304">
        <v>0</v>
      </c>
      <c r="O14" s="304">
        <v>0</v>
      </c>
      <c r="P14" s="304">
        <v>0</v>
      </c>
      <c r="Q14" s="304">
        <v>0</v>
      </c>
      <c r="R14" s="304">
        <v>0</v>
      </c>
      <c r="S14" s="304">
        <v>0</v>
      </c>
      <c r="T14" s="304">
        <v>0</v>
      </c>
      <c r="U14" s="304">
        <v>0</v>
      </c>
      <c r="V14" s="304"/>
      <c r="W14" s="342">
        <v>0</v>
      </c>
      <c r="X14" s="309">
        <v>0</v>
      </c>
      <c r="Y14" s="344">
        <v>0</v>
      </c>
      <c r="Z14" s="344">
        <v>0</v>
      </c>
      <c r="AA14" s="344">
        <v>0</v>
      </c>
      <c r="AB14" s="304">
        <v>0</v>
      </c>
      <c r="AC14" s="304">
        <v>0</v>
      </c>
      <c r="AD14" s="304">
        <v>0</v>
      </c>
      <c r="AE14" s="304">
        <v>0</v>
      </c>
      <c r="AF14" s="304">
        <v>0</v>
      </c>
      <c r="AG14" s="304">
        <v>0</v>
      </c>
      <c r="AH14" s="304">
        <v>0</v>
      </c>
      <c r="AI14" s="304">
        <v>0</v>
      </c>
      <c r="AJ14" s="284">
        <v>0</v>
      </c>
      <c r="AK14" s="284">
        <v>0</v>
      </c>
      <c r="AL14" s="284">
        <v>0</v>
      </c>
      <c r="AM14" s="284">
        <v>0</v>
      </c>
      <c r="AN14" s="284">
        <v>0</v>
      </c>
      <c r="AO14" s="284">
        <v>0</v>
      </c>
      <c r="AP14" s="278">
        <v>0</v>
      </c>
      <c r="AQ14" s="278">
        <v>0</v>
      </c>
      <c r="AR14" s="278">
        <v>0</v>
      </c>
      <c r="AS14" s="278">
        <v>0</v>
      </c>
      <c r="AT14" s="278">
        <v>0</v>
      </c>
      <c r="AU14" s="278">
        <v>0</v>
      </c>
      <c r="AV14" s="284">
        <v>0</v>
      </c>
      <c r="AW14" s="304">
        <v>0</v>
      </c>
      <c r="AX14" s="304">
        <v>0</v>
      </c>
      <c r="AY14" s="304">
        <v>0</v>
      </c>
      <c r="AZ14" s="304">
        <v>0</v>
      </c>
      <c r="BA14" s="304">
        <v>0</v>
      </c>
      <c r="BB14" s="304">
        <v>0</v>
      </c>
      <c r="BC14" s="304">
        <v>0</v>
      </c>
      <c r="BD14" s="304">
        <v>0</v>
      </c>
      <c r="BE14" s="304">
        <v>0</v>
      </c>
      <c r="BF14" s="304">
        <v>0</v>
      </c>
      <c r="BG14" s="304">
        <v>0</v>
      </c>
      <c r="BH14" s="304">
        <v>0</v>
      </c>
      <c r="BI14" s="304">
        <v>0</v>
      </c>
      <c r="BJ14" s="322">
        <v>0</v>
      </c>
      <c r="BK14" s="322">
        <v>0</v>
      </c>
      <c r="BL14" s="322">
        <v>0</v>
      </c>
      <c r="BM14" s="322">
        <v>0</v>
      </c>
      <c r="BN14" s="322">
        <v>0</v>
      </c>
      <c r="BO14" s="322">
        <v>0</v>
      </c>
      <c r="BP14" s="322">
        <v>0</v>
      </c>
      <c r="BQ14" s="322">
        <v>0</v>
      </c>
      <c r="BR14" s="322">
        <v>0</v>
      </c>
      <c r="BS14" s="322">
        <v>0</v>
      </c>
      <c r="BT14" s="322">
        <v>0</v>
      </c>
      <c r="BU14" s="322">
        <v>0</v>
      </c>
      <c r="BV14" s="322"/>
      <c r="BW14" s="275">
        <v>0</v>
      </c>
      <c r="BX14" s="275">
        <v>0</v>
      </c>
      <c r="BY14" s="275">
        <v>0</v>
      </c>
      <c r="BZ14" s="275">
        <v>0</v>
      </c>
      <c r="CA14" s="275">
        <v>0</v>
      </c>
      <c r="CB14" s="275">
        <v>0</v>
      </c>
      <c r="CC14" s="275">
        <v>0</v>
      </c>
      <c r="CD14" s="275">
        <v>0</v>
      </c>
      <c r="CE14" s="275">
        <v>0</v>
      </c>
      <c r="CF14" s="275">
        <v>0</v>
      </c>
      <c r="CG14" s="275">
        <v>0</v>
      </c>
      <c r="CH14" s="322"/>
      <c r="CI14" s="275">
        <v>0</v>
      </c>
      <c r="CJ14" s="275">
        <v>0</v>
      </c>
      <c r="CK14" s="275">
        <v>0</v>
      </c>
      <c r="CL14" s="275">
        <v>0</v>
      </c>
      <c r="CM14" s="275">
        <v>0</v>
      </c>
      <c r="CN14" s="360">
        <v>0</v>
      </c>
      <c r="CO14" s="360">
        <v>0</v>
      </c>
      <c r="CP14" s="360">
        <v>0</v>
      </c>
      <c r="CQ14" s="360">
        <v>0</v>
      </c>
      <c r="CR14" s="360">
        <v>0</v>
      </c>
      <c r="CS14" s="360">
        <v>0</v>
      </c>
      <c r="CT14" s="360">
        <v>0</v>
      </c>
      <c r="CU14" s="360">
        <v>0</v>
      </c>
      <c r="CV14" s="360">
        <v>0</v>
      </c>
      <c r="CW14" s="360">
        <v>0</v>
      </c>
      <c r="CX14" s="369">
        <v>0</v>
      </c>
      <c r="CY14" s="369">
        <v>0</v>
      </c>
      <c r="CZ14" s="360">
        <v>0</v>
      </c>
      <c r="DA14">
        <v>0</v>
      </c>
      <c r="DB14" s="360">
        <v>0</v>
      </c>
      <c r="DC14" s="360">
        <v>0</v>
      </c>
      <c r="DD14" s="360">
        <v>0</v>
      </c>
      <c r="DE14" s="454">
        <v>0</v>
      </c>
    </row>
    <row r="15" spans="1:109" ht="14.25">
      <c r="A15" s="170" t="s">
        <v>88</v>
      </c>
      <c r="B15" s="286"/>
      <c r="C15" s="286"/>
      <c r="D15" s="296"/>
      <c r="E15" s="296"/>
      <c r="F15" s="296"/>
      <c r="G15" s="296"/>
      <c r="H15" s="322"/>
      <c r="I15" s="342">
        <v>4913141</v>
      </c>
      <c r="J15" s="302">
        <v>0</v>
      </c>
      <c r="K15" s="302">
        <v>0</v>
      </c>
      <c r="L15" s="310">
        <v>0</v>
      </c>
      <c r="M15" s="304">
        <v>0</v>
      </c>
      <c r="N15" s="304">
        <v>0</v>
      </c>
      <c r="O15" s="304">
        <v>0</v>
      </c>
      <c r="P15" s="304">
        <v>0</v>
      </c>
      <c r="Q15" s="304">
        <v>0</v>
      </c>
      <c r="R15" s="304">
        <v>0</v>
      </c>
      <c r="S15" s="304">
        <v>0</v>
      </c>
      <c r="T15" s="304">
        <v>0</v>
      </c>
      <c r="U15" s="304">
        <v>0</v>
      </c>
      <c r="V15" s="304"/>
      <c r="W15" s="342">
        <v>0</v>
      </c>
      <c r="X15" s="309">
        <v>0</v>
      </c>
      <c r="Y15" s="344">
        <v>0</v>
      </c>
      <c r="Z15" s="344">
        <v>0</v>
      </c>
      <c r="AA15" s="344">
        <v>0</v>
      </c>
      <c r="AB15" s="304">
        <v>0</v>
      </c>
      <c r="AC15" s="304">
        <v>0</v>
      </c>
      <c r="AD15" s="304">
        <v>0</v>
      </c>
      <c r="AE15" s="304">
        <v>0</v>
      </c>
      <c r="AF15" s="304">
        <v>0</v>
      </c>
      <c r="AG15" s="304">
        <v>0</v>
      </c>
      <c r="AH15" s="304">
        <v>0</v>
      </c>
      <c r="AI15" s="304">
        <v>0</v>
      </c>
      <c r="AJ15" s="284">
        <v>0</v>
      </c>
      <c r="AK15" s="284">
        <v>0</v>
      </c>
      <c r="AL15" s="284">
        <v>0</v>
      </c>
      <c r="AM15" s="284">
        <v>0</v>
      </c>
      <c r="AN15" s="284">
        <v>0</v>
      </c>
      <c r="AO15" s="284">
        <v>0</v>
      </c>
      <c r="AP15" s="278">
        <v>0</v>
      </c>
      <c r="AQ15" s="278">
        <v>0</v>
      </c>
      <c r="AR15" s="278">
        <v>0</v>
      </c>
      <c r="AS15" s="278">
        <v>0</v>
      </c>
      <c r="AT15" s="278">
        <v>0</v>
      </c>
      <c r="AU15" s="278">
        <v>0</v>
      </c>
      <c r="AV15" s="284">
        <v>0</v>
      </c>
      <c r="AW15" s="304">
        <v>0</v>
      </c>
      <c r="AX15" s="304">
        <v>0</v>
      </c>
      <c r="AY15" s="304">
        <v>0</v>
      </c>
      <c r="AZ15" s="304">
        <v>0</v>
      </c>
      <c r="BA15" s="304">
        <v>0</v>
      </c>
      <c r="BB15" s="304">
        <v>0</v>
      </c>
      <c r="BC15" s="304">
        <v>0</v>
      </c>
      <c r="BD15" s="304">
        <v>0</v>
      </c>
      <c r="BE15" s="304">
        <v>0</v>
      </c>
      <c r="BF15" s="304">
        <v>0</v>
      </c>
      <c r="BG15" s="304">
        <v>0</v>
      </c>
      <c r="BH15" s="304">
        <v>0</v>
      </c>
      <c r="BI15" s="304">
        <v>0</v>
      </c>
      <c r="BJ15" s="322">
        <v>0</v>
      </c>
      <c r="BK15" s="322">
        <v>0</v>
      </c>
      <c r="BL15" s="322">
        <v>0</v>
      </c>
      <c r="BM15" s="322">
        <v>0</v>
      </c>
      <c r="BN15" s="322">
        <v>0</v>
      </c>
      <c r="BO15" s="322">
        <v>0</v>
      </c>
      <c r="BP15" s="322">
        <v>0</v>
      </c>
      <c r="BQ15" s="322">
        <v>0</v>
      </c>
      <c r="BR15" s="322">
        <v>0</v>
      </c>
      <c r="BS15" s="322">
        <v>0</v>
      </c>
      <c r="BT15" s="322">
        <v>0</v>
      </c>
      <c r="BU15" s="322">
        <v>0</v>
      </c>
      <c r="BV15" s="322"/>
      <c r="BW15" s="275">
        <v>0</v>
      </c>
      <c r="BX15" s="275">
        <v>0</v>
      </c>
      <c r="BY15" s="275">
        <v>0</v>
      </c>
      <c r="BZ15" s="275">
        <v>0</v>
      </c>
      <c r="CA15" s="275">
        <v>0</v>
      </c>
      <c r="CB15" s="275">
        <v>0</v>
      </c>
      <c r="CC15" s="275">
        <v>0</v>
      </c>
      <c r="CD15" s="275">
        <v>0</v>
      </c>
      <c r="CE15" s="275">
        <v>0</v>
      </c>
      <c r="CF15" s="275">
        <v>0</v>
      </c>
      <c r="CG15" s="275">
        <v>0</v>
      </c>
      <c r="CH15" s="322"/>
      <c r="CI15" s="275">
        <v>0</v>
      </c>
      <c r="CJ15" s="275">
        <v>0</v>
      </c>
      <c r="CK15" s="275">
        <v>0</v>
      </c>
      <c r="CL15" s="275">
        <v>0</v>
      </c>
      <c r="CM15" s="275">
        <v>0</v>
      </c>
      <c r="CN15" s="360">
        <v>0</v>
      </c>
      <c r="CO15" s="360">
        <v>0</v>
      </c>
      <c r="CP15" s="360">
        <v>0</v>
      </c>
      <c r="CQ15" s="360">
        <v>0</v>
      </c>
      <c r="CR15" s="360">
        <v>0</v>
      </c>
      <c r="CS15" s="360">
        <v>0</v>
      </c>
      <c r="CT15" s="360">
        <v>0</v>
      </c>
      <c r="CU15" s="360">
        <v>0</v>
      </c>
      <c r="CV15" s="360">
        <v>0</v>
      </c>
      <c r="CW15" s="360">
        <v>0</v>
      </c>
      <c r="CX15" s="369">
        <v>0</v>
      </c>
      <c r="CY15" s="369">
        <v>0</v>
      </c>
      <c r="CZ15" s="360">
        <v>0</v>
      </c>
      <c r="DA15">
        <v>0</v>
      </c>
      <c r="DB15" s="360">
        <v>0</v>
      </c>
      <c r="DC15" s="360">
        <v>0</v>
      </c>
      <c r="DD15" s="360">
        <v>0</v>
      </c>
      <c r="DE15" s="454">
        <v>0</v>
      </c>
    </row>
    <row r="16" spans="1:109" ht="14.25">
      <c r="A16" s="170" t="s">
        <v>89</v>
      </c>
      <c r="B16" s="286">
        <f>71521+120891</f>
        <v>192412</v>
      </c>
      <c r="C16" s="286">
        <v>218818</v>
      </c>
      <c r="D16" s="296">
        <v>168581</v>
      </c>
      <c r="E16" s="296">
        <v>185061</v>
      </c>
      <c r="F16" s="296"/>
      <c r="G16" s="296"/>
      <c r="H16" s="300">
        <v>51517</v>
      </c>
      <c r="I16" s="302"/>
      <c r="J16" s="302">
        <v>0</v>
      </c>
      <c r="K16" s="302">
        <v>0</v>
      </c>
      <c r="L16" s="310">
        <v>0</v>
      </c>
      <c r="M16" s="304">
        <v>0</v>
      </c>
      <c r="N16" s="304">
        <v>0</v>
      </c>
      <c r="O16" s="304">
        <v>2195</v>
      </c>
      <c r="P16" s="304">
        <v>0</v>
      </c>
      <c r="Q16" s="304">
        <v>2195</v>
      </c>
      <c r="R16" s="304">
        <v>2855</v>
      </c>
      <c r="S16" s="304">
        <v>71214</v>
      </c>
      <c r="T16" s="304">
        <v>71214</v>
      </c>
      <c r="U16" s="304">
        <v>76631.5</v>
      </c>
      <c r="V16" s="304"/>
      <c r="W16" s="342">
        <v>0</v>
      </c>
      <c r="X16" s="309">
        <v>0</v>
      </c>
      <c r="Y16" s="344">
        <v>0</v>
      </c>
      <c r="Z16" s="344">
        <v>0</v>
      </c>
      <c r="AA16" s="344">
        <v>0</v>
      </c>
      <c r="AB16" s="304">
        <v>0</v>
      </c>
      <c r="AC16" s="304">
        <v>0</v>
      </c>
      <c r="AD16" s="304">
        <v>0</v>
      </c>
      <c r="AE16" s="304">
        <v>0</v>
      </c>
      <c r="AF16" s="304">
        <v>0</v>
      </c>
      <c r="AG16" s="304">
        <v>0</v>
      </c>
      <c r="AH16" s="304">
        <v>0</v>
      </c>
      <c r="AI16" s="304">
        <v>0</v>
      </c>
      <c r="AJ16" s="284">
        <v>0</v>
      </c>
      <c r="AK16" s="284">
        <v>0</v>
      </c>
      <c r="AL16" s="284">
        <v>0</v>
      </c>
      <c r="AM16" s="284">
        <v>0</v>
      </c>
      <c r="AN16" s="284">
        <v>0</v>
      </c>
      <c r="AO16" s="284">
        <v>0</v>
      </c>
      <c r="AP16" s="278">
        <v>0</v>
      </c>
      <c r="AQ16" s="278">
        <v>0</v>
      </c>
      <c r="AR16" s="278">
        <v>0</v>
      </c>
      <c r="AS16" s="278">
        <v>0</v>
      </c>
      <c r="AT16" s="278">
        <v>0</v>
      </c>
      <c r="AU16" s="278">
        <v>0</v>
      </c>
      <c r="AV16" s="284">
        <v>0</v>
      </c>
      <c r="AW16" s="304">
        <v>0</v>
      </c>
      <c r="AX16" s="304">
        <v>0</v>
      </c>
      <c r="AY16" s="304">
        <v>0</v>
      </c>
      <c r="AZ16" s="304">
        <v>0</v>
      </c>
      <c r="BA16" s="304">
        <v>0</v>
      </c>
      <c r="BB16" s="304">
        <v>0</v>
      </c>
      <c r="BC16" s="304">
        <v>0</v>
      </c>
      <c r="BD16" s="304">
        <v>0</v>
      </c>
      <c r="BE16" s="304">
        <v>0</v>
      </c>
      <c r="BF16" s="304">
        <v>0</v>
      </c>
      <c r="BG16" s="304">
        <v>0</v>
      </c>
      <c r="BH16" s="304">
        <v>0</v>
      </c>
      <c r="BI16" s="304">
        <v>0</v>
      </c>
      <c r="BJ16" s="322">
        <v>0</v>
      </c>
      <c r="BK16" s="322">
        <v>0</v>
      </c>
      <c r="BL16" s="322">
        <v>0</v>
      </c>
      <c r="BM16" s="322">
        <v>0</v>
      </c>
      <c r="BN16" s="322">
        <v>0</v>
      </c>
      <c r="BO16" s="322">
        <v>0</v>
      </c>
      <c r="BP16" s="322">
        <v>0</v>
      </c>
      <c r="BQ16" s="322">
        <v>0</v>
      </c>
      <c r="BR16" s="322">
        <v>0</v>
      </c>
      <c r="BS16" s="322">
        <v>0</v>
      </c>
      <c r="BT16" s="322">
        <v>0</v>
      </c>
      <c r="BU16" s="322">
        <v>0</v>
      </c>
      <c r="BV16" s="322"/>
      <c r="BW16" s="275">
        <v>0</v>
      </c>
      <c r="BX16" s="275">
        <v>0</v>
      </c>
      <c r="BY16" s="275">
        <v>0</v>
      </c>
      <c r="BZ16" s="275">
        <v>0</v>
      </c>
      <c r="CA16" s="275">
        <v>0</v>
      </c>
      <c r="CB16" s="275">
        <v>0</v>
      </c>
      <c r="CC16" s="275">
        <v>0</v>
      </c>
      <c r="CD16" s="275">
        <v>0</v>
      </c>
      <c r="CE16" s="275">
        <v>0</v>
      </c>
      <c r="CF16" s="275">
        <v>0</v>
      </c>
      <c r="CG16" s="275">
        <v>0</v>
      </c>
      <c r="CH16" s="322"/>
      <c r="CI16" s="275">
        <v>0</v>
      </c>
      <c r="CJ16" s="275">
        <v>0</v>
      </c>
      <c r="CK16" s="275">
        <v>0</v>
      </c>
      <c r="CL16" s="275">
        <v>0</v>
      </c>
      <c r="CM16" s="275">
        <v>0</v>
      </c>
      <c r="CN16" s="360">
        <v>0</v>
      </c>
      <c r="CO16" s="360">
        <v>0</v>
      </c>
      <c r="CP16" s="360">
        <v>0</v>
      </c>
      <c r="CQ16" s="360">
        <v>0</v>
      </c>
      <c r="CR16" s="360">
        <v>0</v>
      </c>
      <c r="CS16" s="360">
        <v>0</v>
      </c>
      <c r="CT16" s="360">
        <v>0</v>
      </c>
      <c r="CU16" s="360">
        <v>0</v>
      </c>
      <c r="CV16" s="360">
        <v>0</v>
      </c>
      <c r="CW16" s="360">
        <v>0</v>
      </c>
      <c r="CX16" s="369">
        <v>0</v>
      </c>
      <c r="CY16" s="369">
        <v>0</v>
      </c>
      <c r="CZ16" s="360">
        <v>0</v>
      </c>
      <c r="DA16">
        <v>0</v>
      </c>
      <c r="DB16" s="360">
        <v>0</v>
      </c>
      <c r="DC16" s="360">
        <v>0</v>
      </c>
      <c r="DD16" s="360">
        <v>0</v>
      </c>
      <c r="DE16" s="454">
        <v>0</v>
      </c>
    </row>
    <row r="17" spans="1:109" ht="14.25">
      <c r="A17" s="170" t="s">
        <v>90</v>
      </c>
      <c r="B17" s="286"/>
      <c r="C17" s="286"/>
      <c r="D17" s="296"/>
      <c r="E17" s="296"/>
      <c r="F17" s="296"/>
      <c r="G17" s="296"/>
      <c r="H17" s="322"/>
      <c r="I17" s="302"/>
      <c r="J17" s="302">
        <v>8390</v>
      </c>
      <c r="K17" s="302">
        <v>648930</v>
      </c>
      <c r="L17" s="310">
        <v>674820</v>
      </c>
      <c r="M17" s="304">
        <v>683210</v>
      </c>
      <c r="N17" s="304">
        <v>699660</v>
      </c>
      <c r="O17" s="304">
        <v>716110</v>
      </c>
      <c r="P17" s="304">
        <v>795490</v>
      </c>
      <c r="Q17" s="304">
        <v>884130</v>
      </c>
      <c r="R17" s="304">
        <v>901610</v>
      </c>
      <c r="S17" s="304">
        <v>911640</v>
      </c>
      <c r="T17" s="304">
        <v>983080</v>
      </c>
      <c r="U17" s="304">
        <v>981840</v>
      </c>
      <c r="V17" s="304"/>
      <c r="W17" s="342">
        <v>0</v>
      </c>
      <c r="X17" s="309">
        <v>0</v>
      </c>
      <c r="Y17" s="344">
        <v>0</v>
      </c>
      <c r="Z17" s="344">
        <v>0</v>
      </c>
      <c r="AA17" s="344">
        <v>0</v>
      </c>
      <c r="AB17" s="304">
        <v>0</v>
      </c>
      <c r="AC17" s="304">
        <v>0</v>
      </c>
      <c r="AD17" s="304">
        <v>0</v>
      </c>
      <c r="AE17" s="304">
        <v>0</v>
      </c>
      <c r="AF17" s="304">
        <v>0</v>
      </c>
      <c r="AG17" s="304">
        <v>0</v>
      </c>
      <c r="AH17" s="304">
        <v>0</v>
      </c>
      <c r="AI17" s="304">
        <v>0</v>
      </c>
      <c r="AJ17" s="284">
        <v>0</v>
      </c>
      <c r="AK17" s="284">
        <v>0</v>
      </c>
      <c r="AL17" s="284">
        <v>0</v>
      </c>
      <c r="AM17" s="284">
        <v>0</v>
      </c>
      <c r="AN17" s="284">
        <v>0</v>
      </c>
      <c r="AO17" s="284">
        <v>0</v>
      </c>
      <c r="AP17" s="278">
        <v>0</v>
      </c>
      <c r="AQ17" s="278">
        <v>0</v>
      </c>
      <c r="AR17" s="278">
        <v>0</v>
      </c>
      <c r="AS17" s="278">
        <v>0</v>
      </c>
      <c r="AT17" s="278">
        <v>0</v>
      </c>
      <c r="AU17" s="278">
        <v>0</v>
      </c>
      <c r="AV17" s="284">
        <v>0</v>
      </c>
      <c r="AW17" s="304">
        <v>0</v>
      </c>
      <c r="AX17" s="304">
        <v>0</v>
      </c>
      <c r="AY17" s="304">
        <v>0</v>
      </c>
      <c r="AZ17" s="304">
        <v>0</v>
      </c>
      <c r="BA17" s="304">
        <v>0</v>
      </c>
      <c r="BB17" s="304">
        <v>0</v>
      </c>
      <c r="BC17" s="304">
        <v>0</v>
      </c>
      <c r="BD17" s="304">
        <v>0</v>
      </c>
      <c r="BE17" s="304">
        <v>0</v>
      </c>
      <c r="BF17" s="304">
        <v>0</v>
      </c>
      <c r="BG17" s="304">
        <v>0</v>
      </c>
      <c r="BH17" s="304">
        <v>0</v>
      </c>
      <c r="BI17" s="304">
        <v>0</v>
      </c>
      <c r="BJ17" s="322">
        <v>0</v>
      </c>
      <c r="BK17" s="322">
        <v>0</v>
      </c>
      <c r="BL17" s="322">
        <v>0</v>
      </c>
      <c r="BM17" s="322">
        <v>0</v>
      </c>
      <c r="BN17" s="322">
        <v>0</v>
      </c>
      <c r="BO17" s="322">
        <v>0</v>
      </c>
      <c r="BP17" s="322">
        <v>0</v>
      </c>
      <c r="BQ17" s="322">
        <v>0</v>
      </c>
      <c r="BR17" s="322">
        <v>0</v>
      </c>
      <c r="BS17" s="322">
        <v>0</v>
      </c>
      <c r="BT17" s="322">
        <v>0</v>
      </c>
      <c r="BU17" s="322">
        <v>0</v>
      </c>
      <c r="BV17" s="322"/>
      <c r="BW17" s="275">
        <v>0</v>
      </c>
      <c r="BX17" s="275">
        <v>0</v>
      </c>
      <c r="BY17" s="275">
        <v>0</v>
      </c>
      <c r="BZ17" s="275">
        <v>0</v>
      </c>
      <c r="CA17" s="275">
        <v>0</v>
      </c>
      <c r="CB17" s="275">
        <v>0</v>
      </c>
      <c r="CC17" s="275">
        <v>0</v>
      </c>
      <c r="CD17" s="275">
        <v>0</v>
      </c>
      <c r="CE17" s="275">
        <v>0</v>
      </c>
      <c r="CF17" s="275">
        <v>0</v>
      </c>
      <c r="CG17" s="275">
        <v>0</v>
      </c>
      <c r="CH17" s="322"/>
      <c r="CI17" s="275">
        <v>0</v>
      </c>
      <c r="CJ17" s="275">
        <v>0</v>
      </c>
      <c r="CK17" s="275">
        <v>0</v>
      </c>
      <c r="CL17" s="275">
        <v>0</v>
      </c>
      <c r="CM17" s="275">
        <v>0</v>
      </c>
      <c r="CN17" s="360">
        <v>0</v>
      </c>
      <c r="CO17" s="360">
        <v>0</v>
      </c>
      <c r="CP17" s="360">
        <v>0</v>
      </c>
      <c r="CQ17" s="360">
        <v>0</v>
      </c>
      <c r="CR17" s="360">
        <v>0</v>
      </c>
      <c r="CS17" s="360">
        <v>0</v>
      </c>
      <c r="CT17" s="360">
        <v>0</v>
      </c>
      <c r="CU17" s="360">
        <v>0</v>
      </c>
      <c r="CV17" s="360">
        <v>0</v>
      </c>
      <c r="CW17" s="360">
        <v>0</v>
      </c>
      <c r="CX17" s="369">
        <v>0</v>
      </c>
      <c r="CY17" s="369">
        <v>0</v>
      </c>
      <c r="CZ17" s="360">
        <v>0</v>
      </c>
      <c r="DA17">
        <v>0</v>
      </c>
      <c r="DB17" s="360">
        <v>0</v>
      </c>
      <c r="DC17" s="360">
        <v>0</v>
      </c>
      <c r="DD17" s="360">
        <v>0</v>
      </c>
      <c r="DE17" s="454">
        <v>0</v>
      </c>
    </row>
    <row r="18" spans="1:109" ht="14.25">
      <c r="A18" s="170" t="s">
        <v>91</v>
      </c>
      <c r="B18" s="286"/>
      <c r="C18" s="294"/>
      <c r="D18" s="294"/>
      <c r="E18" s="294"/>
      <c r="F18" s="294"/>
      <c r="G18" s="294"/>
      <c r="H18" s="256"/>
      <c r="I18" s="302"/>
      <c r="J18" s="302">
        <v>447090.9</v>
      </c>
      <c r="K18" s="302">
        <v>695456.8</v>
      </c>
      <c r="L18" s="310">
        <v>1271283.8999999999</v>
      </c>
      <c r="M18" s="304">
        <v>1851185.6</v>
      </c>
      <c r="N18" s="304">
        <v>2306094.6</v>
      </c>
      <c r="O18" s="304">
        <v>2912244.1</v>
      </c>
      <c r="P18" s="304">
        <v>3867353.4</v>
      </c>
      <c r="Q18" s="304">
        <v>4518159.9000000004</v>
      </c>
      <c r="R18" s="304">
        <v>5104346.8</v>
      </c>
      <c r="S18" s="304">
        <v>5833305.9000000004</v>
      </c>
      <c r="T18" s="304">
        <v>0</v>
      </c>
      <c r="U18" s="304">
        <v>7654462.9000000004</v>
      </c>
      <c r="V18" s="304">
        <f>76277+25000</f>
        <v>101277</v>
      </c>
      <c r="W18" s="342">
        <v>0</v>
      </c>
      <c r="X18" s="309">
        <v>0</v>
      </c>
      <c r="Y18" s="344">
        <v>0</v>
      </c>
      <c r="Z18" s="344">
        <v>0</v>
      </c>
      <c r="AA18" s="344">
        <v>0</v>
      </c>
      <c r="AB18" s="304">
        <v>0</v>
      </c>
      <c r="AC18" s="304">
        <v>0</v>
      </c>
      <c r="AD18" s="304">
        <v>0</v>
      </c>
      <c r="AE18" s="304">
        <v>0</v>
      </c>
      <c r="AF18" s="304">
        <v>0</v>
      </c>
      <c r="AG18" s="304">
        <v>0</v>
      </c>
      <c r="AH18" s="304">
        <v>0</v>
      </c>
      <c r="AI18" s="304">
        <v>0</v>
      </c>
      <c r="AJ18" s="284">
        <v>0</v>
      </c>
      <c r="AK18" s="284">
        <v>0</v>
      </c>
      <c r="AL18" s="284">
        <v>0</v>
      </c>
      <c r="AM18" s="284">
        <v>0</v>
      </c>
      <c r="AN18" s="284">
        <v>0</v>
      </c>
      <c r="AO18" s="284">
        <v>0</v>
      </c>
      <c r="AP18" s="278">
        <v>0</v>
      </c>
      <c r="AQ18" s="278">
        <v>0</v>
      </c>
      <c r="AR18" s="278">
        <v>0</v>
      </c>
      <c r="AS18" s="278">
        <v>0</v>
      </c>
      <c r="AT18" s="278">
        <v>0</v>
      </c>
      <c r="AU18" s="278">
        <v>0</v>
      </c>
      <c r="AV18" s="284">
        <v>0</v>
      </c>
      <c r="AW18" s="304">
        <v>0</v>
      </c>
      <c r="AX18" s="304">
        <v>0</v>
      </c>
      <c r="AY18" s="304">
        <v>0</v>
      </c>
      <c r="AZ18" s="304">
        <v>0</v>
      </c>
      <c r="BA18" s="304">
        <v>0</v>
      </c>
      <c r="BB18" s="304">
        <v>0</v>
      </c>
      <c r="BC18" s="304">
        <v>0</v>
      </c>
      <c r="BD18" s="304">
        <v>0</v>
      </c>
      <c r="BE18" s="304">
        <v>0</v>
      </c>
      <c r="BF18" s="304">
        <v>0</v>
      </c>
      <c r="BG18" s="304">
        <v>0</v>
      </c>
      <c r="BH18" s="304">
        <v>0</v>
      </c>
      <c r="BI18" s="304">
        <v>0</v>
      </c>
      <c r="BJ18" s="322">
        <v>0</v>
      </c>
      <c r="BK18" s="322">
        <v>0</v>
      </c>
      <c r="BL18" s="322">
        <v>0</v>
      </c>
      <c r="BM18" s="322">
        <v>0</v>
      </c>
      <c r="BN18" s="322">
        <v>0</v>
      </c>
      <c r="BO18" s="322">
        <v>0</v>
      </c>
      <c r="BP18" s="322">
        <v>0</v>
      </c>
      <c r="BQ18" s="322">
        <v>0</v>
      </c>
      <c r="BR18" s="322">
        <v>0</v>
      </c>
      <c r="BS18" s="322">
        <v>0</v>
      </c>
      <c r="BT18" s="322">
        <v>0</v>
      </c>
      <c r="BU18" s="322">
        <v>0</v>
      </c>
      <c r="BW18" s="275">
        <v>0</v>
      </c>
      <c r="BX18" s="275">
        <v>0</v>
      </c>
      <c r="BY18" s="275">
        <v>0</v>
      </c>
      <c r="BZ18" s="275">
        <v>0</v>
      </c>
      <c r="CA18" s="275">
        <v>0</v>
      </c>
      <c r="CB18" s="275">
        <v>0</v>
      </c>
      <c r="CC18" s="275">
        <v>0</v>
      </c>
      <c r="CD18" s="275">
        <v>0</v>
      </c>
      <c r="CE18" s="275">
        <v>0</v>
      </c>
      <c r="CF18" s="275">
        <v>0</v>
      </c>
      <c r="CG18" s="275">
        <v>0</v>
      </c>
      <c r="CH18" s="322"/>
      <c r="CI18" s="275">
        <v>0</v>
      </c>
      <c r="CJ18" s="275">
        <v>0</v>
      </c>
      <c r="CK18" s="275">
        <v>0</v>
      </c>
      <c r="CL18" s="275">
        <v>0</v>
      </c>
      <c r="CM18" s="275">
        <v>0</v>
      </c>
      <c r="CN18" s="360">
        <v>0</v>
      </c>
      <c r="CO18" s="360">
        <v>0</v>
      </c>
      <c r="CP18" s="360">
        <v>0</v>
      </c>
      <c r="CQ18" s="360">
        <v>0</v>
      </c>
      <c r="CR18" s="360">
        <v>0</v>
      </c>
      <c r="CS18" s="360">
        <v>0</v>
      </c>
      <c r="CT18" s="360">
        <v>0</v>
      </c>
      <c r="CU18" s="360">
        <v>0</v>
      </c>
      <c r="CV18" s="360">
        <v>0</v>
      </c>
      <c r="CW18" s="360">
        <v>0</v>
      </c>
      <c r="CX18" s="369">
        <v>0</v>
      </c>
      <c r="CY18" s="369">
        <v>0</v>
      </c>
      <c r="CZ18" s="360">
        <v>0</v>
      </c>
      <c r="DA18">
        <v>0</v>
      </c>
      <c r="DB18" s="360">
        <v>0</v>
      </c>
      <c r="DC18" s="360">
        <v>0</v>
      </c>
      <c r="DD18" s="360">
        <v>0</v>
      </c>
      <c r="DE18" s="454">
        <v>0</v>
      </c>
    </row>
    <row r="19" spans="1:109" ht="15.75">
      <c r="A19" s="169" t="s">
        <v>92</v>
      </c>
      <c r="B19" s="209">
        <f t="shared" ref="B19:G19" si="38">B3-B12</f>
        <v>10379358</v>
      </c>
      <c r="C19" s="209">
        <f t="shared" si="38"/>
        <v>11234503</v>
      </c>
      <c r="D19" s="209">
        <f t="shared" si="38"/>
        <v>15215729</v>
      </c>
      <c r="E19" s="209">
        <f t="shared" si="38"/>
        <v>12808312</v>
      </c>
      <c r="F19" s="209">
        <f t="shared" si="38"/>
        <v>9855112.8300000001</v>
      </c>
      <c r="G19" s="209">
        <f t="shared" si="38"/>
        <v>8973589.5899999999</v>
      </c>
      <c r="H19" s="209">
        <f>H3-H12</f>
        <v>22632838</v>
      </c>
      <c r="I19" s="209">
        <f>I3-I12</f>
        <v>13775902</v>
      </c>
      <c r="J19" s="209">
        <f t="shared" ref="J19:U19" si="39">J3-J12</f>
        <v>1488062.52</v>
      </c>
      <c r="K19" s="209">
        <f t="shared" si="39"/>
        <v>2033154.7</v>
      </c>
      <c r="L19" s="209">
        <f t="shared" si="39"/>
        <v>2586324.9300000002</v>
      </c>
      <c r="M19" s="209">
        <f t="shared" si="39"/>
        <v>2821164.7899999996</v>
      </c>
      <c r="N19" s="209">
        <f t="shared" si="39"/>
        <v>3511692.5300000007</v>
      </c>
      <c r="O19" s="209">
        <f t="shared" si="39"/>
        <v>15263596.26</v>
      </c>
      <c r="P19" s="209">
        <f t="shared" si="39"/>
        <v>18366516.109999999</v>
      </c>
      <c r="Q19" s="209">
        <f t="shared" si="39"/>
        <v>19146577.460000001</v>
      </c>
      <c r="R19" s="209">
        <f t="shared" si="39"/>
        <v>20000975.199999999</v>
      </c>
      <c r="S19" s="209">
        <f t="shared" si="39"/>
        <v>20366226.189999998</v>
      </c>
      <c r="T19" s="209">
        <f t="shared" si="39"/>
        <v>29311626.890000001</v>
      </c>
      <c r="U19" s="209">
        <f t="shared" si="39"/>
        <v>25618621.399999999</v>
      </c>
      <c r="V19" s="209">
        <f>V3-V12</f>
        <v>32427694</v>
      </c>
      <c r="W19" s="209">
        <f t="shared" ref="W19:AH19" si="40">W3-W12</f>
        <v>1679326.37</v>
      </c>
      <c r="X19" s="209">
        <f t="shared" si="40"/>
        <v>7731031.1200000001</v>
      </c>
      <c r="Y19" s="209">
        <f t="shared" si="40"/>
        <v>4790911</v>
      </c>
      <c r="Z19" s="209">
        <f t="shared" si="40"/>
        <v>6816788.96</v>
      </c>
      <c r="AA19" s="209">
        <f t="shared" si="40"/>
        <v>8532691</v>
      </c>
      <c r="AB19" s="209">
        <f t="shared" si="40"/>
        <v>20812204</v>
      </c>
      <c r="AC19" s="209">
        <f t="shared" si="40"/>
        <v>30128199.829999998</v>
      </c>
      <c r="AD19" s="209">
        <f t="shared" si="40"/>
        <v>33368884</v>
      </c>
      <c r="AE19" s="209">
        <f t="shared" si="40"/>
        <v>36240006</v>
      </c>
      <c r="AF19" s="209">
        <f t="shared" si="40"/>
        <v>38110308</v>
      </c>
      <c r="AG19" s="209">
        <f t="shared" si="40"/>
        <v>40336088.390000001</v>
      </c>
      <c r="AH19" s="209">
        <f t="shared" si="40"/>
        <v>46193150.100000001</v>
      </c>
      <c r="AI19" s="209">
        <f>AI3-AI12</f>
        <v>40724777</v>
      </c>
      <c r="AJ19" s="209">
        <f>AJ3-AJ12</f>
        <v>2062897.8733000001</v>
      </c>
      <c r="AK19" s="209">
        <f t="shared" ref="AK19:AU19" si="41">AK3-AK12</f>
        <v>3463020.8832999999</v>
      </c>
      <c r="AL19" s="209">
        <f t="shared" si="41"/>
        <v>5439860.043300001</v>
      </c>
      <c r="AM19" s="209">
        <f t="shared" si="41"/>
        <v>7763321.3432999998</v>
      </c>
      <c r="AN19" s="209">
        <f t="shared" si="41"/>
        <v>19517993.193</v>
      </c>
      <c r="AO19" s="209">
        <f t="shared" si="41"/>
        <v>23088960.562999997</v>
      </c>
      <c r="AP19" s="209">
        <f t="shared" si="41"/>
        <v>31543795.719999999</v>
      </c>
      <c r="AQ19" s="209">
        <f t="shared" si="41"/>
        <v>34856023.890000001</v>
      </c>
      <c r="AR19" s="209">
        <f t="shared" si="41"/>
        <v>34870538.400000006</v>
      </c>
      <c r="AS19" s="209">
        <f t="shared" si="41"/>
        <v>36222831</v>
      </c>
      <c r="AT19" s="209">
        <f t="shared" si="41"/>
        <v>38439968.519999996</v>
      </c>
      <c r="AU19" s="209">
        <f t="shared" si="41"/>
        <v>40817949.159999996</v>
      </c>
      <c r="AV19" s="209">
        <f t="shared" ref="AV19:BH19" si="42">AV3-AV12</f>
        <v>36542388</v>
      </c>
      <c r="AW19" s="209">
        <f t="shared" si="42"/>
        <v>2464031.38</v>
      </c>
      <c r="AX19" s="209">
        <f t="shared" si="42"/>
        <v>4531810.4800000004</v>
      </c>
      <c r="AY19" s="209">
        <f t="shared" si="42"/>
        <v>7597231.9100000001</v>
      </c>
      <c r="AZ19" s="209">
        <f t="shared" si="42"/>
        <v>9950683.8399999999</v>
      </c>
      <c r="BA19" s="209">
        <f t="shared" si="42"/>
        <v>23192939.870000001</v>
      </c>
      <c r="BB19" s="209">
        <f t="shared" si="42"/>
        <v>26651569.290000003</v>
      </c>
      <c r="BC19" s="209">
        <f t="shared" si="42"/>
        <v>34413091.440000005</v>
      </c>
      <c r="BD19" s="209">
        <f t="shared" si="42"/>
        <v>36292207.980000004</v>
      </c>
      <c r="BE19" s="209">
        <f t="shared" si="42"/>
        <v>38286170.219999999</v>
      </c>
      <c r="BF19" s="209">
        <f t="shared" si="42"/>
        <v>41953339.209999993</v>
      </c>
      <c r="BG19" s="209">
        <f t="shared" si="42"/>
        <v>43866256.200000003</v>
      </c>
      <c r="BH19" s="209">
        <f t="shared" si="42"/>
        <v>47511881.159999996</v>
      </c>
      <c r="BI19" s="209">
        <f>BI3-BI12</f>
        <v>42470434</v>
      </c>
      <c r="BJ19" s="209">
        <f t="shared" ref="BJ19:BT19" si="43">BJ3-BJ12</f>
        <v>3580426.38</v>
      </c>
      <c r="BK19" s="209">
        <f t="shared" si="43"/>
        <v>5044803.18</v>
      </c>
      <c r="BL19" s="209">
        <f t="shared" si="43"/>
        <v>7321851.2300000004</v>
      </c>
      <c r="BM19" s="209">
        <f t="shared" si="43"/>
        <v>9295692.2599999998</v>
      </c>
      <c r="BN19" s="209">
        <f t="shared" si="43"/>
        <v>11735869.050000001</v>
      </c>
      <c r="BO19" s="209">
        <f t="shared" si="43"/>
        <v>18988097.039999999</v>
      </c>
      <c r="BP19" s="209">
        <f t="shared" si="43"/>
        <v>39504198.700000003</v>
      </c>
      <c r="BQ19" s="209">
        <f t="shared" si="43"/>
        <v>44671138.939999998</v>
      </c>
      <c r="BR19" s="209">
        <f t="shared" si="43"/>
        <v>47007140.060000002</v>
      </c>
      <c r="BS19" s="209">
        <f t="shared" si="43"/>
        <v>50403756.439999998</v>
      </c>
      <c r="BT19" s="209">
        <f t="shared" si="43"/>
        <v>53218881.950000003</v>
      </c>
      <c r="BU19" s="209">
        <f>BU3-BU12</f>
        <v>58640436.68</v>
      </c>
      <c r="BV19" s="209">
        <f t="shared" ref="BV19:CH19" si="44">BV3-BV12</f>
        <v>52534738</v>
      </c>
      <c r="BW19" s="209">
        <f t="shared" si="44"/>
        <v>1654095.55</v>
      </c>
      <c r="BX19" s="209">
        <f t="shared" si="44"/>
        <v>4368496.2</v>
      </c>
      <c r="BY19" s="209">
        <f t="shared" si="44"/>
        <v>6687457.4500000002</v>
      </c>
      <c r="BZ19" s="209">
        <f t="shared" si="44"/>
        <v>19587044.119999997</v>
      </c>
      <c r="CA19" s="209">
        <f t="shared" si="44"/>
        <v>22238943.170000002</v>
      </c>
      <c r="CB19" s="209">
        <f t="shared" si="44"/>
        <v>34125540.649999999</v>
      </c>
      <c r="CC19" s="209">
        <f t="shared" si="44"/>
        <v>42113930.670000002</v>
      </c>
      <c r="CD19" s="209">
        <f t="shared" si="44"/>
        <v>48786085.390000001</v>
      </c>
      <c r="CE19" s="209">
        <f t="shared" si="44"/>
        <v>54091145.780000001</v>
      </c>
      <c r="CF19" s="209">
        <f t="shared" si="44"/>
        <v>56879633.649999999</v>
      </c>
      <c r="CG19" s="209">
        <f t="shared" si="44"/>
        <v>53256144.899999999</v>
      </c>
      <c r="CH19" s="209">
        <f t="shared" si="44"/>
        <v>53086338</v>
      </c>
      <c r="CI19" s="209">
        <f t="shared" ref="CI19:CQ19" si="45">CI3-CI12</f>
        <v>2281475.4300000002</v>
      </c>
      <c r="CJ19" s="209">
        <f t="shared" si="45"/>
        <v>5184018.38</v>
      </c>
      <c r="CK19" s="209">
        <f t="shared" si="45"/>
        <v>7961652.2299999995</v>
      </c>
      <c r="CL19" s="209">
        <f t="shared" si="45"/>
        <v>18263978.09</v>
      </c>
      <c r="CM19" s="209">
        <f t="shared" si="45"/>
        <v>20550312.41</v>
      </c>
      <c r="CN19" s="209">
        <f t="shared" si="45"/>
        <v>22478328.640000001</v>
      </c>
      <c r="CO19" s="209">
        <f t="shared" si="45"/>
        <v>26066191.310000002</v>
      </c>
      <c r="CP19" s="209">
        <f t="shared" si="45"/>
        <v>28818839.469999999</v>
      </c>
      <c r="CQ19" s="209">
        <f t="shared" si="45"/>
        <v>30755890.579999998</v>
      </c>
      <c r="CR19" s="209">
        <f t="shared" ref="CR19:CU19" si="46">CR3-CR12</f>
        <v>57822788.399999999</v>
      </c>
      <c r="CS19" s="209">
        <f t="shared" si="46"/>
        <v>62913917.700000003</v>
      </c>
      <c r="CT19" s="209">
        <f t="shared" si="46"/>
        <v>70086207.539999992</v>
      </c>
      <c r="CU19" s="209">
        <f t="shared" si="46"/>
        <v>62300741</v>
      </c>
      <c r="CV19" s="209">
        <f t="shared" ref="CV19:DC19" si="47">CV3-CV12</f>
        <v>60274219</v>
      </c>
      <c r="CW19" s="209">
        <f t="shared" si="47"/>
        <v>3766669.62</v>
      </c>
      <c r="CX19" s="209">
        <f t="shared" si="47"/>
        <v>7257392.3399999999</v>
      </c>
      <c r="CY19" s="209">
        <f t="shared" si="47"/>
        <v>11494922.16</v>
      </c>
      <c r="CZ19" s="209">
        <f t="shared" si="47"/>
        <v>16724751.670000002</v>
      </c>
      <c r="DA19" s="209">
        <f t="shared" si="47"/>
        <v>22178668.550000001</v>
      </c>
      <c r="DB19" s="209">
        <f t="shared" si="47"/>
        <v>36537253.200000003</v>
      </c>
      <c r="DC19" s="209">
        <f t="shared" si="47"/>
        <v>62786188.859999999</v>
      </c>
      <c r="DD19" s="209">
        <f t="shared" ref="DD19:DE19" si="48">DD3-DD12</f>
        <v>69891104.13000001</v>
      </c>
      <c r="DE19" s="209">
        <f t="shared" si="48"/>
        <v>73275129.150000006</v>
      </c>
    </row>
    <row r="20" spans="1:109" ht="15.75">
      <c r="A20" s="169" t="s">
        <v>93</v>
      </c>
      <c r="B20" s="209">
        <f t="shared" ref="B20:G20" si="49">B21-B22</f>
        <v>3721845</v>
      </c>
      <c r="C20" s="209">
        <f t="shared" si="49"/>
        <v>4860905</v>
      </c>
      <c r="D20" s="209">
        <f t="shared" si="49"/>
        <v>8476830</v>
      </c>
      <c r="E20" s="209">
        <f t="shared" si="49"/>
        <v>0</v>
      </c>
      <c r="F20" s="209">
        <f t="shared" si="49"/>
        <v>458650</v>
      </c>
      <c r="G20" s="209">
        <f t="shared" si="49"/>
        <v>0</v>
      </c>
      <c r="H20" s="209">
        <f>H21-H22</f>
        <v>1330352</v>
      </c>
      <c r="I20" s="209">
        <f>I21-I22</f>
        <v>2277287</v>
      </c>
      <c r="J20" s="209">
        <f t="shared" ref="J20:U20" si="50">J21-J22</f>
        <v>-1122900.1999999997</v>
      </c>
      <c r="K20" s="209">
        <f t="shared" si="50"/>
        <v>-2457614</v>
      </c>
      <c r="L20" s="209">
        <f t="shared" si="50"/>
        <v>-4710331.1000000006</v>
      </c>
      <c r="M20" s="209">
        <f t="shared" si="50"/>
        <v>-6224922.3000000007</v>
      </c>
      <c r="N20" s="209">
        <f t="shared" si="50"/>
        <v>-8270916.7999999998</v>
      </c>
      <c r="O20" s="209">
        <f t="shared" si="50"/>
        <v>-71252526.799999997</v>
      </c>
      <c r="P20" s="209">
        <f t="shared" si="50"/>
        <v>-74620457.200000003</v>
      </c>
      <c r="Q20" s="209">
        <f t="shared" si="50"/>
        <v>-76028220</v>
      </c>
      <c r="R20" s="209">
        <f t="shared" si="50"/>
        <v>-77564797.5</v>
      </c>
      <c r="S20" s="209">
        <f t="shared" si="50"/>
        <v>-78848223.799999997</v>
      </c>
      <c r="T20" s="209">
        <f t="shared" si="50"/>
        <v>3338256.9</v>
      </c>
      <c r="U20" s="209">
        <f t="shared" si="50"/>
        <v>3736596.3</v>
      </c>
      <c r="V20" s="209">
        <f>V21-V22</f>
        <v>3736596</v>
      </c>
      <c r="W20" s="209">
        <f t="shared" ref="W20:AH20" si="51">W21-W22</f>
        <v>1574976.6</v>
      </c>
      <c r="X20" s="209">
        <f t="shared" si="51"/>
        <v>3638617</v>
      </c>
      <c r="Y20" s="209">
        <f t="shared" si="51"/>
        <v>1291892.1000000001</v>
      </c>
      <c r="Z20" s="209">
        <f t="shared" si="51"/>
        <v>2353528.7000000002</v>
      </c>
      <c r="AA20" s="209">
        <f t="shared" si="51"/>
        <v>3965084</v>
      </c>
      <c r="AB20" s="209">
        <f t="shared" si="51"/>
        <v>3491281</v>
      </c>
      <c r="AC20" s="209">
        <f t="shared" si="51"/>
        <v>4248542.9000000004</v>
      </c>
      <c r="AD20" s="209">
        <f t="shared" si="51"/>
        <v>4964208</v>
      </c>
      <c r="AE20" s="209">
        <f t="shared" si="51"/>
        <v>6151133</v>
      </c>
      <c r="AF20" s="209">
        <f t="shared" si="51"/>
        <v>7568882</v>
      </c>
      <c r="AG20" s="209">
        <f t="shared" si="51"/>
        <v>8476568</v>
      </c>
      <c r="AH20" s="209">
        <f t="shared" si="51"/>
        <v>9769186</v>
      </c>
      <c r="AI20" s="209">
        <f>AI21-AI22</f>
        <v>9769186</v>
      </c>
      <c r="AJ20" s="209">
        <f>AJ21-AJ22</f>
        <v>1222704</v>
      </c>
      <c r="AK20" s="209">
        <f t="shared" ref="AK20:AU20" si="52">AK21-AK22</f>
        <v>1956331</v>
      </c>
      <c r="AL20" s="209">
        <f t="shared" si="52"/>
        <v>3165035.1</v>
      </c>
      <c r="AM20" s="209">
        <f t="shared" si="52"/>
        <v>4733849.0999999996</v>
      </c>
      <c r="AN20" s="209">
        <f t="shared" si="52"/>
        <v>3001056.8</v>
      </c>
      <c r="AO20" s="209">
        <f t="shared" si="52"/>
        <v>5101425.0999999996</v>
      </c>
      <c r="AP20" s="209">
        <f t="shared" si="52"/>
        <v>6404478</v>
      </c>
      <c r="AQ20" s="209">
        <f t="shared" si="52"/>
        <v>7031208.7000000002</v>
      </c>
      <c r="AR20" s="209">
        <f t="shared" si="52"/>
        <v>7649164.5999999996</v>
      </c>
      <c r="AS20" s="209">
        <f t="shared" si="52"/>
        <v>8035598.7000000002</v>
      </c>
      <c r="AT20" s="209">
        <f t="shared" si="52"/>
        <v>5131415.8</v>
      </c>
      <c r="AU20" s="209">
        <f t="shared" si="52"/>
        <v>5944652.2999999998</v>
      </c>
      <c r="AV20" s="209">
        <f t="shared" ref="AV20:BH20" si="53">AV21-AV22</f>
        <v>6944652</v>
      </c>
      <c r="AW20" s="209">
        <f t="shared" si="53"/>
        <v>330013.90000000002</v>
      </c>
      <c r="AX20" s="209">
        <f t="shared" si="53"/>
        <v>-1308634.3</v>
      </c>
      <c r="AY20" s="209">
        <f t="shared" si="53"/>
        <v>-472091.3</v>
      </c>
      <c r="AZ20" s="209">
        <f t="shared" si="53"/>
        <v>-380369.7</v>
      </c>
      <c r="BA20" s="209">
        <f t="shared" si="53"/>
        <v>-2066990.2</v>
      </c>
      <c r="BB20" s="209">
        <f t="shared" si="53"/>
        <v>-783540.59</v>
      </c>
      <c r="BC20" s="209">
        <f t="shared" si="53"/>
        <v>451920.9</v>
      </c>
      <c r="BD20" s="209">
        <f t="shared" si="53"/>
        <v>1170213.3999999999</v>
      </c>
      <c r="BE20" s="209">
        <f t="shared" si="53"/>
        <v>2326386.1</v>
      </c>
      <c r="BF20" s="209">
        <f t="shared" si="53"/>
        <v>15008838.399999999</v>
      </c>
      <c r="BG20" s="209">
        <f t="shared" si="53"/>
        <v>4533804.0999999996</v>
      </c>
      <c r="BH20" s="209">
        <f t="shared" si="53"/>
        <v>7013807.5</v>
      </c>
      <c r="BI20" s="209">
        <f>BI21-BI22</f>
        <v>7013807.46</v>
      </c>
      <c r="BJ20" s="209">
        <f t="shared" ref="BJ20:BT20" si="54">BJ21-BJ22</f>
        <v>1516261.5</v>
      </c>
      <c r="BK20" s="209">
        <f t="shared" si="54"/>
        <v>2740343.4</v>
      </c>
      <c r="BL20" s="209">
        <f t="shared" si="54"/>
        <v>1140921.3999999999</v>
      </c>
      <c r="BM20" s="209">
        <f t="shared" si="54"/>
        <v>1682208.5</v>
      </c>
      <c r="BN20" s="209">
        <f t="shared" si="54"/>
        <v>3089796</v>
      </c>
      <c r="BO20" s="209">
        <f t="shared" si="54"/>
        <v>4967836.3</v>
      </c>
      <c r="BP20" s="209">
        <f t="shared" si="54"/>
        <v>-1214926</v>
      </c>
      <c r="BQ20" s="209">
        <f t="shared" si="54"/>
        <v>1886381.3</v>
      </c>
      <c r="BR20" s="209">
        <f t="shared" si="54"/>
        <v>2286873.7000000002</v>
      </c>
      <c r="BS20" s="209">
        <f t="shared" si="54"/>
        <v>3561686.6</v>
      </c>
      <c r="BT20" s="209">
        <f t="shared" si="54"/>
        <v>6521791.5999999996</v>
      </c>
      <c r="BU20" s="209">
        <f>BU21-BU22</f>
        <v>1036249.2</v>
      </c>
      <c r="BV20" s="209">
        <f t="shared" ref="BV20:CH20" si="55">BV21-BV22</f>
        <v>1036246.17</v>
      </c>
      <c r="BW20" s="209">
        <f t="shared" si="55"/>
        <v>515553.9</v>
      </c>
      <c r="BX20" s="209">
        <f t="shared" si="55"/>
        <v>6174547.7999999998</v>
      </c>
      <c r="BY20" s="209">
        <f t="shared" si="55"/>
        <v>7665939.9000000004</v>
      </c>
      <c r="BZ20" s="209">
        <f t="shared" si="55"/>
        <v>10485616.300000001</v>
      </c>
      <c r="CA20" s="209">
        <f t="shared" si="55"/>
        <v>11756524.1</v>
      </c>
      <c r="CB20" s="209">
        <f t="shared" si="55"/>
        <v>3862638</v>
      </c>
      <c r="CC20" s="209">
        <f t="shared" si="55"/>
        <v>5078697.0999999996</v>
      </c>
      <c r="CD20" s="209">
        <f t="shared" si="55"/>
        <v>4537302.3</v>
      </c>
      <c r="CE20" s="209">
        <f t="shared" si="55"/>
        <v>3901374.6</v>
      </c>
      <c r="CF20" s="209">
        <f t="shared" si="55"/>
        <v>5902563.0999999996</v>
      </c>
      <c r="CG20" s="209">
        <f t="shared" si="55"/>
        <v>6967222.7999999998</v>
      </c>
      <c r="CH20" s="209">
        <f t="shared" si="55"/>
        <v>6967223</v>
      </c>
      <c r="CI20" s="209">
        <f t="shared" ref="CI20:CQ20" si="56">CI21-CI22</f>
        <v>2348372.2000000002</v>
      </c>
      <c r="CJ20" s="209">
        <f t="shared" si="56"/>
        <v>6215566.7999999998</v>
      </c>
      <c r="CK20" s="209">
        <f t="shared" si="56"/>
        <v>7666654.0999999996</v>
      </c>
      <c r="CL20" s="209">
        <f t="shared" si="56"/>
        <v>7898780.5999999996</v>
      </c>
      <c r="CM20" s="209">
        <f t="shared" si="56"/>
        <v>11908446.9</v>
      </c>
      <c r="CN20" s="209">
        <f t="shared" si="56"/>
        <v>15871824.699999999</v>
      </c>
      <c r="CO20" s="209">
        <f t="shared" si="56"/>
        <v>19595947.899999999</v>
      </c>
      <c r="CP20" s="209">
        <f t="shared" si="56"/>
        <v>27158287</v>
      </c>
      <c r="CQ20" s="209">
        <f t="shared" si="56"/>
        <v>32485313</v>
      </c>
      <c r="CR20" s="209">
        <f t="shared" ref="CR20:CU20" si="57">CR21-CR22</f>
        <v>17224953.300000001</v>
      </c>
      <c r="CS20" s="209">
        <f t="shared" si="57"/>
        <v>12640764.300000001</v>
      </c>
      <c r="CT20" s="209">
        <f t="shared" si="57"/>
        <v>1010744.4</v>
      </c>
      <c r="CU20" s="209">
        <f t="shared" si="57"/>
        <v>1010744</v>
      </c>
      <c r="CV20" s="209">
        <f t="shared" ref="CV20:DC20" si="58">CV21-CV22</f>
        <v>0</v>
      </c>
      <c r="CW20" s="209">
        <f t="shared" si="58"/>
        <v>1661066.4</v>
      </c>
      <c r="CX20" s="209">
        <f t="shared" si="58"/>
        <v>4234523</v>
      </c>
      <c r="CY20" s="209">
        <f t="shared" si="58"/>
        <v>5300052.5999999996</v>
      </c>
      <c r="CZ20" s="209">
        <f t="shared" si="58"/>
        <v>8299091</v>
      </c>
      <c r="DA20" s="209">
        <f t="shared" si="58"/>
        <v>14862529.1</v>
      </c>
      <c r="DB20" s="209">
        <f t="shared" si="58"/>
        <v>14850068.199999999</v>
      </c>
      <c r="DC20" s="209">
        <f t="shared" si="58"/>
        <v>-1394423.3</v>
      </c>
      <c r="DD20" s="209">
        <f t="shared" ref="DD20:DE20" si="59">DD21-DD22</f>
        <v>2793005.2</v>
      </c>
      <c r="DE20" s="209">
        <f t="shared" si="59"/>
        <v>5594318.0999999996</v>
      </c>
    </row>
    <row r="21" spans="1:109" ht="14.25">
      <c r="A21" s="170" t="s">
        <v>94</v>
      </c>
      <c r="B21" s="286">
        <v>3721845</v>
      </c>
      <c r="C21" s="286">
        <v>4860905</v>
      </c>
      <c r="D21" s="296">
        <v>8476830</v>
      </c>
      <c r="E21" s="296"/>
      <c r="F21" s="296">
        <v>458650</v>
      </c>
      <c r="G21" s="290"/>
      <c r="H21" s="300">
        <v>1330352</v>
      </c>
      <c r="I21" s="302">
        <v>2277287</v>
      </c>
      <c r="J21" s="302">
        <v>1525420.1</v>
      </c>
      <c r="K21" s="302">
        <v>1715254.6</v>
      </c>
      <c r="L21" s="310">
        <v>1581353.3</v>
      </c>
      <c r="M21" s="304">
        <v>1560645.6</v>
      </c>
      <c r="N21" s="304">
        <v>1329634.7</v>
      </c>
      <c r="O21" s="304">
        <v>1819986</v>
      </c>
      <c r="P21" s="304">
        <v>2355463.6</v>
      </c>
      <c r="Q21" s="304">
        <v>2667629.1</v>
      </c>
      <c r="R21" s="304">
        <v>3049289.1</v>
      </c>
      <c r="S21" s="304">
        <v>3193905.9</v>
      </c>
      <c r="T21" s="304">
        <v>3338256.9</v>
      </c>
      <c r="U21" s="304">
        <v>3736596.3</v>
      </c>
      <c r="V21" s="304">
        <v>3736596</v>
      </c>
      <c r="W21" s="342">
        <v>1574976.6</v>
      </c>
      <c r="X21" s="309">
        <v>3638617</v>
      </c>
      <c r="Y21" s="344">
        <v>1291892.1000000001</v>
      </c>
      <c r="Z21" s="344">
        <v>2353528.7000000002</v>
      </c>
      <c r="AA21" s="344">
        <v>3965084</v>
      </c>
      <c r="AB21" s="304">
        <v>3491281</v>
      </c>
      <c r="AC21" s="304">
        <v>4248542.9000000004</v>
      </c>
      <c r="AD21" s="304">
        <v>4964208</v>
      </c>
      <c r="AE21" s="304">
        <v>6151133</v>
      </c>
      <c r="AF21" s="304">
        <v>7568882</v>
      </c>
      <c r="AG21" s="304">
        <v>8476568</v>
      </c>
      <c r="AH21" s="304">
        <v>9769186</v>
      </c>
      <c r="AI21" s="304">
        <v>9769186</v>
      </c>
      <c r="AJ21" s="284">
        <v>1222704</v>
      </c>
      <c r="AK21" s="284">
        <v>1956331</v>
      </c>
      <c r="AL21" s="284">
        <v>3165035.1</v>
      </c>
      <c r="AM21" s="284">
        <v>4733849.0999999996</v>
      </c>
      <c r="AN21" s="284">
        <v>3001056.8</v>
      </c>
      <c r="AO21" s="284">
        <v>5101425.0999999996</v>
      </c>
      <c r="AP21" s="278">
        <v>6404478</v>
      </c>
      <c r="AQ21" s="278">
        <v>7031208.7000000002</v>
      </c>
      <c r="AR21" s="278">
        <v>7649164.5999999996</v>
      </c>
      <c r="AS21" s="278">
        <v>8035598.7000000002</v>
      </c>
      <c r="AT21" s="278">
        <v>5131415.8</v>
      </c>
      <c r="AU21" s="278">
        <v>5944652.2999999998</v>
      </c>
      <c r="AV21" s="284">
        <v>6944652</v>
      </c>
      <c r="AW21" s="304">
        <v>330013.90000000002</v>
      </c>
      <c r="AX21" s="304">
        <v>-1308634.3</v>
      </c>
      <c r="AY21" s="304">
        <v>-472091.3</v>
      </c>
      <c r="AZ21" s="304">
        <v>-380369.7</v>
      </c>
      <c r="BA21" s="304">
        <v>-2066990.2</v>
      </c>
      <c r="BB21" s="350">
        <v>-783540.59</v>
      </c>
      <c r="BC21" s="304">
        <v>451920.9</v>
      </c>
      <c r="BD21" s="304">
        <v>1170213.3999999999</v>
      </c>
      <c r="BE21" s="304">
        <v>2326386.1</v>
      </c>
      <c r="BF21" s="352">
        <v>15008838.399999999</v>
      </c>
      <c r="BG21" s="322">
        <v>4533804.0999999996</v>
      </c>
      <c r="BH21" s="322">
        <v>7013807.5</v>
      </c>
      <c r="BI21" s="351">
        <v>7013807.46</v>
      </c>
      <c r="BJ21" s="322">
        <v>1516261.5</v>
      </c>
      <c r="BK21" s="322">
        <v>2740343.4</v>
      </c>
      <c r="BL21" s="322">
        <v>1140921.3999999999</v>
      </c>
      <c r="BM21" s="322">
        <v>1682208.5</v>
      </c>
      <c r="BN21" s="322">
        <v>3089796</v>
      </c>
      <c r="BO21" s="322">
        <v>4967836.3</v>
      </c>
      <c r="BP21" s="322">
        <v>-1214926</v>
      </c>
      <c r="BQ21" s="322">
        <v>1886381.3</v>
      </c>
      <c r="BR21" s="322">
        <v>2286873.7000000002</v>
      </c>
      <c r="BS21" s="322">
        <v>3561686.6</v>
      </c>
      <c r="BT21" s="322">
        <v>6521791.5999999996</v>
      </c>
      <c r="BU21" s="322">
        <v>1036249.2</v>
      </c>
      <c r="BV21" s="322">
        <v>1036246.17</v>
      </c>
      <c r="BW21" s="275">
        <v>515553.9</v>
      </c>
      <c r="BX21" s="275">
        <v>6174547.7999999998</v>
      </c>
      <c r="BY21" s="275">
        <v>7665939.9000000004</v>
      </c>
      <c r="BZ21" s="275">
        <v>10485616.300000001</v>
      </c>
      <c r="CA21" s="275">
        <v>11756524.1</v>
      </c>
      <c r="CB21" s="275">
        <v>3862638</v>
      </c>
      <c r="CC21" s="275">
        <v>5078697.0999999996</v>
      </c>
      <c r="CD21" s="275">
        <v>4537302.3</v>
      </c>
      <c r="CE21" s="275">
        <v>3901374.6</v>
      </c>
      <c r="CF21" s="275">
        <v>5902563.0999999996</v>
      </c>
      <c r="CG21" s="275">
        <v>6967222.7999999998</v>
      </c>
      <c r="CH21" s="284">
        <v>6967223</v>
      </c>
      <c r="CI21" s="275">
        <v>2348372.2000000002</v>
      </c>
      <c r="CJ21" s="275">
        <v>6215566.7999999998</v>
      </c>
      <c r="CK21" s="275">
        <v>7666654.0999999996</v>
      </c>
      <c r="CL21" s="275">
        <v>7898780.5999999996</v>
      </c>
      <c r="CM21" s="275">
        <v>11908446.9</v>
      </c>
      <c r="CN21" s="359">
        <v>15871824.699999999</v>
      </c>
      <c r="CO21" s="359">
        <v>19595947.899999999</v>
      </c>
      <c r="CP21" s="359">
        <v>27158287</v>
      </c>
      <c r="CQ21" s="359">
        <v>32485313</v>
      </c>
      <c r="CR21" s="368">
        <v>17224953.300000001</v>
      </c>
      <c r="CS21" s="368">
        <v>12640764.300000001</v>
      </c>
      <c r="CT21" s="368">
        <v>1010744.4</v>
      </c>
      <c r="CU21" s="359">
        <v>1010744</v>
      </c>
      <c r="CV21" s="359">
        <v>0</v>
      </c>
      <c r="CW21" s="359">
        <v>1661066.4</v>
      </c>
      <c r="CX21" s="368">
        <v>4234523</v>
      </c>
      <c r="CY21" s="368">
        <v>5300052.5999999996</v>
      </c>
      <c r="CZ21" s="359">
        <v>8299091</v>
      </c>
      <c r="DA21" s="403">
        <v>14862529.1</v>
      </c>
      <c r="DB21" s="359">
        <v>14850068.199999999</v>
      </c>
      <c r="DC21" s="397">
        <v>-1394423.3</v>
      </c>
      <c r="DD21" s="359">
        <v>2793005.2</v>
      </c>
      <c r="DE21" s="453">
        <v>5594318.0999999996</v>
      </c>
    </row>
    <row r="22" spans="1:109" ht="14.25">
      <c r="A22" s="170" t="s">
        <v>95</v>
      </c>
      <c r="B22" s="340"/>
      <c r="C22" s="340"/>
      <c r="D22" s="302"/>
      <c r="E22" s="302"/>
      <c r="F22" s="302"/>
      <c r="G22" s="302"/>
      <c r="H22" s="256"/>
      <c r="I22" s="256"/>
      <c r="J22" s="302">
        <v>2648320.2999999998</v>
      </c>
      <c r="K22" s="302">
        <v>4172868.6</v>
      </c>
      <c r="L22" s="310">
        <v>6291684.4000000004</v>
      </c>
      <c r="M22" s="304">
        <v>7785567.9000000004</v>
      </c>
      <c r="N22" s="304">
        <v>9600551.5</v>
      </c>
      <c r="O22" s="304">
        <v>73072512.799999997</v>
      </c>
      <c r="P22" s="304">
        <v>76975920.799999997</v>
      </c>
      <c r="Q22" s="304">
        <v>78695849.099999994</v>
      </c>
      <c r="R22" s="304">
        <v>80614086.599999994</v>
      </c>
      <c r="S22" s="304">
        <v>82042129.700000003</v>
      </c>
      <c r="T22" s="304">
        <v>0</v>
      </c>
      <c r="U22" s="304">
        <v>0</v>
      </c>
      <c r="V22" s="304"/>
      <c r="W22" s="342">
        <v>0</v>
      </c>
      <c r="X22" s="309">
        <v>0</v>
      </c>
      <c r="Y22" s="344">
        <v>0</v>
      </c>
      <c r="Z22" s="344">
        <v>0</v>
      </c>
      <c r="AA22" s="344">
        <v>0</v>
      </c>
      <c r="AB22" s="304">
        <v>0</v>
      </c>
      <c r="AC22" s="304">
        <v>0</v>
      </c>
      <c r="AD22" s="304">
        <v>0</v>
      </c>
      <c r="AE22" s="304">
        <v>0</v>
      </c>
      <c r="AF22" s="304">
        <v>0</v>
      </c>
      <c r="AG22" s="304">
        <v>0</v>
      </c>
      <c r="AH22" s="304">
        <v>0</v>
      </c>
      <c r="AI22" s="304">
        <v>0</v>
      </c>
      <c r="AJ22" s="284">
        <v>0</v>
      </c>
      <c r="AK22" s="284">
        <v>0</v>
      </c>
      <c r="AL22" s="284">
        <v>0</v>
      </c>
      <c r="AM22" s="284">
        <v>0</v>
      </c>
      <c r="AN22" s="284">
        <v>0</v>
      </c>
      <c r="AO22" s="284">
        <v>0</v>
      </c>
      <c r="AP22" s="278">
        <v>0</v>
      </c>
      <c r="AQ22" s="278">
        <v>0</v>
      </c>
      <c r="AR22" s="278">
        <v>0</v>
      </c>
      <c r="AS22" s="278">
        <v>0</v>
      </c>
      <c r="AT22" s="278">
        <v>0</v>
      </c>
      <c r="AU22" s="278">
        <v>0</v>
      </c>
      <c r="AV22" s="284">
        <v>0</v>
      </c>
      <c r="AW22" s="304">
        <v>0</v>
      </c>
      <c r="AX22" s="304">
        <v>0</v>
      </c>
      <c r="AY22" s="304">
        <v>0</v>
      </c>
      <c r="AZ22" s="304">
        <v>0</v>
      </c>
      <c r="BA22" s="304">
        <v>0</v>
      </c>
      <c r="BB22" s="304">
        <v>0</v>
      </c>
      <c r="BC22" s="304">
        <v>0</v>
      </c>
      <c r="BD22" s="304">
        <v>0</v>
      </c>
      <c r="BE22" s="304">
        <v>0</v>
      </c>
      <c r="BF22" s="304">
        <v>0</v>
      </c>
      <c r="BG22" s="322">
        <v>0</v>
      </c>
      <c r="BH22" s="322">
        <v>0</v>
      </c>
      <c r="BI22" s="351"/>
      <c r="BJ22" s="322">
        <v>0</v>
      </c>
      <c r="BK22" s="322">
        <v>0</v>
      </c>
      <c r="BL22" s="322">
        <v>0</v>
      </c>
      <c r="BM22" s="322">
        <v>0</v>
      </c>
      <c r="BN22" s="322">
        <v>0</v>
      </c>
      <c r="BO22" s="322">
        <v>0</v>
      </c>
      <c r="BP22" s="322">
        <v>0</v>
      </c>
      <c r="BQ22" s="322">
        <v>0</v>
      </c>
      <c r="BR22" s="322">
        <v>0</v>
      </c>
      <c r="BS22" s="322">
        <v>0</v>
      </c>
      <c r="BT22" s="322">
        <v>0</v>
      </c>
      <c r="BU22" s="322">
        <v>0</v>
      </c>
      <c r="BW22" s="275">
        <v>0</v>
      </c>
      <c r="BX22" s="275">
        <v>0</v>
      </c>
      <c r="BY22" s="275">
        <v>0</v>
      </c>
      <c r="BZ22" s="275">
        <v>0</v>
      </c>
      <c r="CA22" s="275">
        <v>0</v>
      </c>
      <c r="CB22" s="275">
        <v>0</v>
      </c>
      <c r="CC22" s="275">
        <v>0</v>
      </c>
      <c r="CD22" s="275">
        <v>0</v>
      </c>
      <c r="CE22" s="275">
        <v>0</v>
      </c>
      <c r="CF22" s="275">
        <v>0</v>
      </c>
      <c r="CG22" s="275">
        <v>0</v>
      </c>
      <c r="CH22" s="284"/>
      <c r="CI22" s="275">
        <v>0</v>
      </c>
      <c r="CJ22" s="275">
        <v>0</v>
      </c>
      <c r="CK22" s="275">
        <v>0</v>
      </c>
      <c r="CL22" s="275">
        <v>0</v>
      </c>
      <c r="CM22" s="275">
        <v>0</v>
      </c>
      <c r="CN22" s="360">
        <v>0</v>
      </c>
      <c r="CO22" s="360">
        <v>0</v>
      </c>
      <c r="CP22" s="360">
        <v>0</v>
      </c>
      <c r="CQ22" s="360">
        <v>0</v>
      </c>
      <c r="CR22" s="369">
        <v>0</v>
      </c>
      <c r="CS22" s="369">
        <v>0</v>
      </c>
      <c r="CT22" s="369">
        <v>0</v>
      </c>
      <c r="CU22" s="360"/>
      <c r="CV22" s="360"/>
      <c r="CW22" s="360">
        <v>0</v>
      </c>
      <c r="CX22" s="369">
        <v>0</v>
      </c>
      <c r="CY22" s="369">
        <v>0</v>
      </c>
      <c r="CZ22" s="360">
        <v>0</v>
      </c>
      <c r="DA22" s="404">
        <v>0</v>
      </c>
      <c r="DB22" s="360">
        <v>0</v>
      </c>
      <c r="DC22">
        <v>0</v>
      </c>
      <c r="DD22" s="360">
        <v>0</v>
      </c>
      <c r="DE22" s="454">
        <v>0</v>
      </c>
    </row>
    <row r="23" spans="1:109" ht="15.75">
      <c r="A23" s="169" t="s">
        <v>96</v>
      </c>
      <c r="B23" s="209">
        <f t="shared" ref="B23:AG23" si="60">SUM(B24:B28)</f>
        <v>2142646</v>
      </c>
      <c r="C23" s="209">
        <f t="shared" si="60"/>
        <v>4805658</v>
      </c>
      <c r="D23" s="209">
        <f t="shared" si="60"/>
        <v>5807436</v>
      </c>
      <c r="E23" s="209">
        <f t="shared" si="60"/>
        <v>11147282</v>
      </c>
      <c r="F23" s="209">
        <f t="shared" si="60"/>
        <v>10803260</v>
      </c>
      <c r="G23" s="209">
        <f t="shared" si="60"/>
        <v>13705076.330000002</v>
      </c>
      <c r="H23" s="209">
        <f t="shared" si="60"/>
        <v>14652953</v>
      </c>
      <c r="I23" s="209">
        <f t="shared" si="60"/>
        <v>8659465</v>
      </c>
      <c r="J23" s="209">
        <f t="shared" si="60"/>
        <v>955417.41999999993</v>
      </c>
      <c r="K23" s="209">
        <f t="shared" si="60"/>
        <v>2864084.38</v>
      </c>
      <c r="L23" s="209">
        <f t="shared" si="60"/>
        <v>4530583.7</v>
      </c>
      <c r="M23" s="209">
        <f t="shared" si="60"/>
        <v>6204942.25</v>
      </c>
      <c r="N23" s="209">
        <f t="shared" si="60"/>
        <v>7708420.3899999997</v>
      </c>
      <c r="O23" s="209">
        <f t="shared" si="60"/>
        <v>9086107.6500000004</v>
      </c>
      <c r="P23" s="209">
        <f t="shared" si="60"/>
        <v>10452116.119999999</v>
      </c>
      <c r="Q23" s="209">
        <f t="shared" si="60"/>
        <v>12308978.889999999</v>
      </c>
      <c r="R23" s="209">
        <f t="shared" si="60"/>
        <v>14147503.84</v>
      </c>
      <c r="S23" s="209">
        <f t="shared" si="60"/>
        <v>15811550.949999999</v>
      </c>
      <c r="T23" s="209">
        <f t="shared" si="60"/>
        <v>25825917.859999999</v>
      </c>
      <c r="U23" s="209">
        <f t="shared" si="60"/>
        <v>21529969.649999999</v>
      </c>
      <c r="V23" s="209">
        <f t="shared" si="60"/>
        <v>25158081</v>
      </c>
      <c r="W23" s="209">
        <f t="shared" si="60"/>
        <v>1855831.97</v>
      </c>
      <c r="X23" s="209">
        <f t="shared" si="60"/>
        <v>8133677.5</v>
      </c>
      <c r="Y23" s="209">
        <f t="shared" si="60"/>
        <v>5166125.49</v>
      </c>
      <c r="Z23" s="209">
        <f t="shared" si="60"/>
        <v>9043285.8699999992</v>
      </c>
      <c r="AA23" s="209">
        <f t="shared" si="60"/>
        <v>11541717</v>
      </c>
      <c r="AB23" s="209">
        <f t="shared" si="60"/>
        <v>13336083</v>
      </c>
      <c r="AC23" s="209">
        <f t="shared" si="60"/>
        <v>15634467.879999999</v>
      </c>
      <c r="AD23" s="209">
        <f t="shared" si="60"/>
        <v>19007106</v>
      </c>
      <c r="AE23" s="209">
        <f t="shared" si="60"/>
        <v>23224525</v>
      </c>
      <c r="AF23" s="209">
        <f t="shared" si="60"/>
        <v>25866051.199999999</v>
      </c>
      <c r="AG23" s="209">
        <f t="shared" si="60"/>
        <v>28322148.689999998</v>
      </c>
      <c r="AH23" s="209">
        <f t="shared" ref="AH23:BJ23" si="61">SUM(AH24:AH28)</f>
        <v>33148342.52</v>
      </c>
      <c r="AI23" s="209">
        <f t="shared" si="61"/>
        <v>30810681.600000001</v>
      </c>
      <c r="AJ23" s="209">
        <f t="shared" si="61"/>
        <v>2113858.75</v>
      </c>
      <c r="AK23" s="209">
        <f t="shared" si="61"/>
        <v>3925012.4899999998</v>
      </c>
      <c r="AL23" s="209">
        <f t="shared" si="61"/>
        <v>6301657.4299999997</v>
      </c>
      <c r="AM23" s="209">
        <f t="shared" si="61"/>
        <v>9301401.7300000004</v>
      </c>
      <c r="AN23" s="209">
        <f t="shared" si="61"/>
        <v>11546526.290000001</v>
      </c>
      <c r="AO23" s="209">
        <f t="shared" si="61"/>
        <v>13755322.43</v>
      </c>
      <c r="AP23" s="209">
        <f t="shared" si="61"/>
        <v>15813761.109999999</v>
      </c>
      <c r="AQ23" s="209">
        <f t="shared" si="61"/>
        <v>18348572.719999999</v>
      </c>
      <c r="AR23" s="209">
        <f t="shared" si="61"/>
        <v>21763971.189999998</v>
      </c>
      <c r="AS23" s="209">
        <f t="shared" si="61"/>
        <v>23883129.090000004</v>
      </c>
      <c r="AT23" s="209">
        <f t="shared" si="61"/>
        <v>25538160.780000001</v>
      </c>
      <c r="AU23" s="209">
        <f t="shared" si="61"/>
        <v>28784766.880000003</v>
      </c>
      <c r="AV23" s="209">
        <f t="shared" si="61"/>
        <v>28704035</v>
      </c>
      <c r="AW23" s="209">
        <f t="shared" si="61"/>
        <v>1877402.52</v>
      </c>
      <c r="AX23" s="209">
        <f t="shared" si="61"/>
        <v>4067597.0399999996</v>
      </c>
      <c r="AY23" s="209">
        <f t="shared" si="61"/>
        <v>6424629.4900000002</v>
      </c>
      <c r="AZ23" s="209">
        <f t="shared" si="61"/>
        <v>9577452.7800000012</v>
      </c>
      <c r="BA23" s="209">
        <f t="shared" si="61"/>
        <v>12171920.370000001</v>
      </c>
      <c r="BB23" s="209">
        <f t="shared" si="61"/>
        <v>15718776.920000002</v>
      </c>
      <c r="BC23" s="209">
        <f t="shared" si="61"/>
        <v>17336137.370000001</v>
      </c>
      <c r="BD23" s="209">
        <f t="shared" si="61"/>
        <v>19562708.530000001</v>
      </c>
      <c r="BE23" s="209">
        <f t="shared" si="61"/>
        <v>24924144.760000002</v>
      </c>
      <c r="BF23" s="209">
        <f t="shared" si="61"/>
        <v>27570597.09</v>
      </c>
      <c r="BG23" s="209">
        <f t="shared" si="61"/>
        <v>29796225.509999998</v>
      </c>
      <c r="BH23" s="209">
        <f t="shared" si="61"/>
        <v>38508844.170000002</v>
      </c>
      <c r="BI23" s="209">
        <f t="shared" si="61"/>
        <v>32546138.280000001</v>
      </c>
      <c r="BJ23" s="209">
        <f t="shared" si="61"/>
        <v>2266607.56</v>
      </c>
      <c r="BK23" s="209">
        <f t="shared" ref="BK23:BT23" si="62">SUM(BK24:BK28)</f>
        <v>5061581.29</v>
      </c>
      <c r="BL23" s="209">
        <f t="shared" si="62"/>
        <v>7753329.4900000002</v>
      </c>
      <c r="BM23" s="209">
        <f t="shared" si="62"/>
        <v>10627445.899999999</v>
      </c>
      <c r="BN23" s="209">
        <f t="shared" si="62"/>
        <v>14038456.870000001</v>
      </c>
      <c r="BO23" s="209">
        <f t="shared" si="62"/>
        <v>16796383.940000001</v>
      </c>
      <c r="BP23" s="209">
        <f t="shared" si="62"/>
        <v>20065693.129999999</v>
      </c>
      <c r="BQ23" s="209">
        <f t="shared" si="62"/>
        <v>22897245.190000001</v>
      </c>
      <c r="BR23" s="209">
        <f t="shared" si="62"/>
        <v>27383134.550000001</v>
      </c>
      <c r="BS23" s="209">
        <f t="shared" si="62"/>
        <v>30883474.399999999</v>
      </c>
      <c r="BT23" s="209">
        <f t="shared" si="62"/>
        <v>33879451.629999995</v>
      </c>
      <c r="BU23" s="209">
        <f>SUM(BU24:BU28)</f>
        <v>46674729.18</v>
      </c>
      <c r="BV23" s="209">
        <f>SUM(BV24:BV28)</f>
        <v>38569530.829999998</v>
      </c>
      <c r="BW23" s="209">
        <f t="shared" ref="BW23:CD23" si="63">SUM(BW24:BW28)</f>
        <v>2764433.97</v>
      </c>
      <c r="BX23" s="209">
        <f t="shared" si="63"/>
        <v>6065353.4800000004</v>
      </c>
      <c r="BY23" s="209">
        <f t="shared" si="63"/>
        <v>8688728.1999999993</v>
      </c>
      <c r="BZ23" s="209">
        <f t="shared" si="63"/>
        <v>11411920.17</v>
      </c>
      <c r="CA23" s="209">
        <f t="shared" si="63"/>
        <v>14140651.360000001</v>
      </c>
      <c r="CB23" s="209">
        <f t="shared" si="63"/>
        <v>16985363.620000001</v>
      </c>
      <c r="CC23" s="209">
        <f t="shared" si="63"/>
        <v>22730027.780000001</v>
      </c>
      <c r="CD23" s="209">
        <f t="shared" si="63"/>
        <v>26009847.489999998</v>
      </c>
      <c r="CE23" s="209">
        <f t="shared" ref="CE23:CK23" si="64">SUM(CE24:CE28)</f>
        <v>29630230.539999999</v>
      </c>
      <c r="CF23" s="209">
        <f t="shared" si="64"/>
        <v>33940409.119999997</v>
      </c>
      <c r="CG23" s="209">
        <f t="shared" si="64"/>
        <v>37774833.270000003</v>
      </c>
      <c r="CH23" s="209">
        <f t="shared" si="64"/>
        <v>37605027</v>
      </c>
      <c r="CI23" s="209">
        <f t="shared" si="64"/>
        <v>2656206.7199999997</v>
      </c>
      <c r="CJ23" s="209">
        <f t="shared" si="64"/>
        <v>5692195.1600000001</v>
      </c>
      <c r="CK23" s="209">
        <f t="shared" si="64"/>
        <v>8572080.0800000001</v>
      </c>
      <c r="CL23" s="209">
        <f t="shared" ref="CL23:CQ23" si="65">SUM(CL24:CL28)</f>
        <v>11890926.800000001</v>
      </c>
      <c r="CM23" s="209">
        <f t="shared" si="65"/>
        <v>14521742.460000001</v>
      </c>
      <c r="CN23" s="209">
        <f t="shared" si="65"/>
        <v>17343409.140000001</v>
      </c>
      <c r="CO23" s="209">
        <f t="shared" si="65"/>
        <v>19953177.18</v>
      </c>
      <c r="CP23" s="209">
        <f t="shared" si="65"/>
        <v>22784552.050000001</v>
      </c>
      <c r="CQ23" s="209">
        <f t="shared" si="65"/>
        <v>25998412.400000002</v>
      </c>
      <c r="CR23" s="209">
        <f t="shared" ref="CR23:CU23" si="66">SUM(CR24:CR28)</f>
        <v>30747688.080000002</v>
      </c>
      <c r="CS23" s="209">
        <f t="shared" si="66"/>
        <v>35559466.099999994</v>
      </c>
      <c r="CT23" s="209">
        <f t="shared" si="66"/>
        <v>47263977.980000004</v>
      </c>
      <c r="CU23" s="209">
        <f t="shared" si="66"/>
        <v>39478511</v>
      </c>
      <c r="CV23" s="209">
        <f t="shared" ref="CV23:DE23" si="67">SUM(CV24:CV28)</f>
        <v>46564209</v>
      </c>
      <c r="CW23" s="209">
        <f t="shared" si="67"/>
        <v>3469100.9699999997</v>
      </c>
      <c r="CX23" s="209">
        <f t="shared" si="67"/>
        <v>7328908.3399999999</v>
      </c>
      <c r="CY23" s="209">
        <f t="shared" si="67"/>
        <v>11085126.859999999</v>
      </c>
      <c r="CZ23" s="209">
        <f t="shared" si="67"/>
        <v>15794015.699999999</v>
      </c>
      <c r="DA23" s="209">
        <f t="shared" si="67"/>
        <v>20024023.400000002</v>
      </c>
      <c r="DB23" s="209">
        <f t="shared" si="67"/>
        <v>24188416.489999998</v>
      </c>
      <c r="DC23" s="209">
        <f t="shared" si="67"/>
        <v>29497528.32</v>
      </c>
      <c r="DD23" s="209">
        <f t="shared" si="67"/>
        <v>34231980.43</v>
      </c>
      <c r="DE23" s="209">
        <f t="shared" si="67"/>
        <v>41927955.099999994</v>
      </c>
    </row>
    <row r="24" spans="1:109" ht="15">
      <c r="A24" s="170" t="s">
        <v>97</v>
      </c>
      <c r="B24" s="286">
        <f>351364+320110+105532+11600+41880+37234</f>
        <v>867720</v>
      </c>
      <c r="C24" s="294">
        <v>1660110</v>
      </c>
      <c r="D24" s="294">
        <v>1969819</v>
      </c>
      <c r="E24" s="294">
        <v>2577933</v>
      </c>
      <c r="F24" s="294">
        <v>3233358</v>
      </c>
      <c r="G24" s="294">
        <f>505056+14400+151152+4800+113800+279644+44000+1273925.73+184964+390651+26000+76900+93305+645165</f>
        <v>3803762.73</v>
      </c>
      <c r="H24" s="300">
        <f>1357152+1917462+440906+558884+30400+138890+163548+844910</f>
        <v>5452152</v>
      </c>
      <c r="I24" s="302">
        <v>1488847</v>
      </c>
      <c r="J24" s="302">
        <v>292210</v>
      </c>
      <c r="K24" s="302">
        <v>1209634.3999999999</v>
      </c>
      <c r="L24" s="310">
        <v>1830507.1</v>
      </c>
      <c r="M24" s="304">
        <v>2209498.2000000002</v>
      </c>
      <c r="N24" s="304">
        <v>2969589.4</v>
      </c>
      <c r="O24" s="304">
        <v>3594698.2</v>
      </c>
      <c r="P24" s="304">
        <v>4299333.8</v>
      </c>
      <c r="Q24" s="304">
        <v>5019258.2</v>
      </c>
      <c r="R24" s="304">
        <v>5715644.0999999996</v>
      </c>
      <c r="S24" s="304">
        <v>6578008</v>
      </c>
      <c r="T24" s="304">
        <v>7202740.4000000004</v>
      </c>
      <c r="U24" s="304">
        <v>8048948.9000000004</v>
      </c>
      <c r="V24" s="304">
        <v>9764166</v>
      </c>
      <c r="W24" s="342">
        <v>923355.7</v>
      </c>
      <c r="X24" s="309">
        <v>3659091.8</v>
      </c>
      <c r="Y24" s="304">
        <v>1873735.9</v>
      </c>
      <c r="Z24" s="304">
        <v>3871782.1</v>
      </c>
      <c r="AA24" s="304">
        <v>5000461</v>
      </c>
      <c r="AB24" s="304">
        <v>6081812</v>
      </c>
      <c r="AC24" s="304">
        <v>7074015.7000000002</v>
      </c>
      <c r="AD24" s="304">
        <v>6749759</v>
      </c>
      <c r="AE24" s="304">
        <v>8792458</v>
      </c>
      <c r="AF24" s="304">
        <v>9952909</v>
      </c>
      <c r="AG24" s="304">
        <v>10699402.4</v>
      </c>
      <c r="AH24" s="304">
        <v>11673198.6</v>
      </c>
      <c r="AI24" s="304">
        <v>11673198.6</v>
      </c>
      <c r="AJ24" s="284">
        <v>876695</v>
      </c>
      <c r="AK24" s="284">
        <v>1898445.9</v>
      </c>
      <c r="AL24" s="284">
        <v>2812347.9</v>
      </c>
      <c r="AM24" s="284">
        <v>3871896.9</v>
      </c>
      <c r="AN24" s="284">
        <v>4763377.9000000004</v>
      </c>
      <c r="AO24" s="284">
        <v>5587562.4000000004</v>
      </c>
      <c r="AP24" s="278">
        <v>6736788.9000000004</v>
      </c>
      <c r="AQ24" s="278">
        <v>7825088.9000000004</v>
      </c>
      <c r="AR24" s="278">
        <v>8735354.6999999993</v>
      </c>
      <c r="AS24" s="278">
        <v>9799230.4000000004</v>
      </c>
      <c r="AT24" s="278">
        <v>10825402.300000001</v>
      </c>
      <c r="AU24" s="278">
        <v>11868293.1</v>
      </c>
      <c r="AV24" s="284">
        <v>11868293</v>
      </c>
      <c r="AW24" s="304">
        <v>968581.3</v>
      </c>
      <c r="AX24" s="304">
        <v>2043442.5</v>
      </c>
      <c r="AY24" s="304">
        <v>3155683.8</v>
      </c>
      <c r="AZ24" s="304">
        <v>4351472.4000000004</v>
      </c>
      <c r="BA24" s="304">
        <v>5645517.0999999996</v>
      </c>
      <c r="BB24" s="304">
        <v>7553147</v>
      </c>
      <c r="BC24" s="304">
        <v>8956997.5</v>
      </c>
      <c r="BD24" s="304">
        <v>10126088.800000001</v>
      </c>
      <c r="BE24" s="304">
        <v>11368042.699999999</v>
      </c>
      <c r="BF24" s="350">
        <v>12652553.890000001</v>
      </c>
      <c r="BG24" s="322">
        <v>13804863.199999999</v>
      </c>
      <c r="BH24" s="322">
        <v>15041825.300000001</v>
      </c>
      <c r="BI24" s="351">
        <v>15041825.26</v>
      </c>
      <c r="BJ24" s="322">
        <v>1281570.6000000001</v>
      </c>
      <c r="BK24" s="322">
        <v>2656253.7999999998</v>
      </c>
      <c r="BL24" s="322">
        <v>4023744.4</v>
      </c>
      <c r="BM24" s="322">
        <v>5489840.5999999996</v>
      </c>
      <c r="BN24" s="322">
        <v>6882798.2999999998</v>
      </c>
      <c r="BO24" s="322">
        <v>8279955.5</v>
      </c>
      <c r="BP24" s="322">
        <v>9964709.6999999993</v>
      </c>
      <c r="BQ24" s="322">
        <v>11507099.9</v>
      </c>
      <c r="BR24" s="322">
        <v>12800386.4</v>
      </c>
      <c r="BS24" s="322">
        <v>14559783.300000001</v>
      </c>
      <c r="BT24" s="322">
        <v>15930439.300000001</v>
      </c>
      <c r="BU24" s="322">
        <v>17536646.399999999</v>
      </c>
      <c r="BV24" s="322">
        <v>17536646.440000001</v>
      </c>
      <c r="BW24" s="275">
        <v>1410258</v>
      </c>
      <c r="BX24" s="275">
        <v>2942785.6</v>
      </c>
      <c r="BY24" s="275">
        <v>4454751.8</v>
      </c>
      <c r="BZ24" s="275">
        <v>5966166.5</v>
      </c>
      <c r="CA24" s="275">
        <v>7471253.2000000002</v>
      </c>
      <c r="CB24" s="275">
        <v>8933622.9000000004</v>
      </c>
      <c r="CC24" s="275">
        <v>11990948.4</v>
      </c>
      <c r="CD24" s="275">
        <v>13377234.199999999</v>
      </c>
      <c r="CE24" s="275">
        <v>14872019.800000001</v>
      </c>
      <c r="CF24" s="275">
        <v>16369413</v>
      </c>
      <c r="CG24" s="275">
        <v>18207692.100000001</v>
      </c>
      <c r="CH24" s="284">
        <v>18207692</v>
      </c>
      <c r="CI24" s="275">
        <v>1562958.6</v>
      </c>
      <c r="CJ24" s="275">
        <v>3087263.2</v>
      </c>
      <c r="CK24" s="275">
        <v>4662153</v>
      </c>
      <c r="CL24" s="275">
        <v>6169586.5999999996</v>
      </c>
      <c r="CM24" s="275">
        <v>7686677.7000000002</v>
      </c>
      <c r="CN24" s="359">
        <v>9273684.9000000004</v>
      </c>
      <c r="CO24" s="359">
        <v>10838664.6</v>
      </c>
      <c r="CP24" s="359">
        <v>12414813.4</v>
      </c>
      <c r="CQ24" s="359">
        <v>14125215.6</v>
      </c>
      <c r="CR24" s="368">
        <v>15921024.6</v>
      </c>
      <c r="CS24" s="368">
        <v>17693475.699999999</v>
      </c>
      <c r="CT24" s="368">
        <v>20218637.5</v>
      </c>
      <c r="CU24" s="359">
        <v>20218637</v>
      </c>
      <c r="CV24" s="359">
        <f>17807684+155950+1614900+467039+383730+1618526</f>
        <v>22047829</v>
      </c>
      <c r="CW24" s="359">
        <v>1935573.5</v>
      </c>
      <c r="CX24" s="368">
        <v>3866452.8</v>
      </c>
      <c r="CY24" s="368">
        <v>5906308</v>
      </c>
      <c r="CZ24" s="359">
        <v>7905959.2999999998</v>
      </c>
      <c r="DA24" s="403">
        <v>10194016.300000001</v>
      </c>
      <c r="DB24" s="359">
        <v>12326211.6</v>
      </c>
      <c r="DC24" s="359">
        <v>14426259.800000001</v>
      </c>
      <c r="DD24" s="359">
        <v>16523687</v>
      </c>
      <c r="DE24" s="453">
        <v>19102588.800000001</v>
      </c>
    </row>
    <row r="25" spans="1:109" ht="13.9" customHeight="1">
      <c r="A25" s="170" t="s">
        <v>98</v>
      </c>
      <c r="B25" s="286"/>
      <c r="C25" s="294">
        <v>816499</v>
      </c>
      <c r="D25" s="294">
        <v>785969</v>
      </c>
      <c r="E25" s="294">
        <v>919202</v>
      </c>
      <c r="F25" s="294">
        <v>1260108</v>
      </c>
      <c r="G25" s="294">
        <f>812271+369464+802961</f>
        <v>1984696</v>
      </c>
      <c r="H25" s="300">
        <v>1713793</v>
      </c>
      <c r="I25" s="302">
        <v>1567604</v>
      </c>
      <c r="J25" s="302">
        <v>131669</v>
      </c>
      <c r="K25" s="302">
        <v>663533</v>
      </c>
      <c r="L25" s="310">
        <v>1029191</v>
      </c>
      <c r="M25" s="304">
        <v>1516174</v>
      </c>
      <c r="N25" s="304">
        <v>1723337</v>
      </c>
      <c r="O25" s="304">
        <v>1943375</v>
      </c>
      <c r="P25" s="304">
        <v>2705939</v>
      </c>
      <c r="Q25" s="304">
        <v>2731493</v>
      </c>
      <c r="R25" s="304">
        <v>3316442</v>
      </c>
      <c r="S25" s="304">
        <v>3663294</v>
      </c>
      <c r="T25" s="304">
        <v>4301094.3</v>
      </c>
      <c r="U25" s="304">
        <v>4222795</v>
      </c>
      <c r="V25" s="304">
        <v>6193300</v>
      </c>
      <c r="W25" s="342">
        <v>133347</v>
      </c>
      <c r="X25" s="309">
        <v>534750</v>
      </c>
      <c r="Y25" s="304">
        <v>402423</v>
      </c>
      <c r="Z25" s="304">
        <v>1169945</v>
      </c>
      <c r="AA25" s="304">
        <v>1405285</v>
      </c>
      <c r="AB25" s="304">
        <v>1519670</v>
      </c>
      <c r="AC25" s="304">
        <v>1774723</v>
      </c>
      <c r="AD25" s="304">
        <v>2179204</v>
      </c>
      <c r="AE25" s="304">
        <v>5475782</v>
      </c>
      <c r="AF25" s="304">
        <v>5586992</v>
      </c>
      <c r="AG25" s="304">
        <v>5883435</v>
      </c>
      <c r="AH25" s="304">
        <v>6333379</v>
      </c>
      <c r="AI25" s="304">
        <v>6333379</v>
      </c>
      <c r="AJ25" s="284">
        <v>168353</v>
      </c>
      <c r="AK25" s="284">
        <v>311595</v>
      </c>
      <c r="AL25" s="284">
        <v>821708</v>
      </c>
      <c r="AM25" s="284">
        <v>1816521</v>
      </c>
      <c r="AN25" s="284">
        <v>2170860</v>
      </c>
      <c r="AO25" s="284">
        <v>2601131</v>
      </c>
      <c r="AP25" s="278">
        <v>3182919</v>
      </c>
      <c r="AQ25" s="278">
        <v>3303069.3</v>
      </c>
      <c r="AR25" s="278">
        <v>4768605.2</v>
      </c>
      <c r="AS25" s="278">
        <v>5006012.7</v>
      </c>
      <c r="AT25" s="278">
        <v>5227704.2</v>
      </c>
      <c r="AU25" s="278">
        <v>5515965.4000000004</v>
      </c>
      <c r="AV25" s="284">
        <v>5515965</v>
      </c>
      <c r="AW25" s="304">
        <v>159433</v>
      </c>
      <c r="AX25" s="304">
        <v>349938.3</v>
      </c>
      <c r="AY25" s="304">
        <v>521994.45</v>
      </c>
      <c r="AZ25" s="304">
        <v>1418650.45</v>
      </c>
      <c r="BA25" s="304">
        <v>1780295.7</v>
      </c>
      <c r="BB25" s="304">
        <v>2228254.25</v>
      </c>
      <c r="BC25" s="304">
        <v>2554111.4</v>
      </c>
      <c r="BD25" s="304">
        <v>3008650.41</v>
      </c>
      <c r="BE25" s="304">
        <v>5766849.5099999998</v>
      </c>
      <c r="BF25" s="352">
        <v>6299803.0099999998</v>
      </c>
      <c r="BG25" s="322">
        <v>6448644.5599999996</v>
      </c>
      <c r="BH25" s="322">
        <v>6853374.5599999996</v>
      </c>
      <c r="BI25" s="351">
        <v>6853374.5599999996</v>
      </c>
      <c r="BJ25" s="322">
        <v>271461.05</v>
      </c>
      <c r="BK25" s="322">
        <v>747080.75</v>
      </c>
      <c r="BL25" s="322">
        <v>913152.75</v>
      </c>
      <c r="BM25" s="322">
        <v>1444682.75</v>
      </c>
      <c r="BN25" s="322">
        <v>1700049</v>
      </c>
      <c r="BO25" s="322">
        <v>2251123.5499999998</v>
      </c>
      <c r="BP25" s="322">
        <v>2610083.4500000002</v>
      </c>
      <c r="BQ25" s="322">
        <v>3083631.45</v>
      </c>
      <c r="BR25" s="322">
        <v>5543509.2000000002</v>
      </c>
      <c r="BS25" s="322">
        <v>5839539.2000000002</v>
      </c>
      <c r="BT25" s="322">
        <v>6522340.2000000002</v>
      </c>
      <c r="BU25" s="322">
        <v>7070378.2999999998</v>
      </c>
      <c r="BV25" s="322">
        <v>7070378.2999999998</v>
      </c>
      <c r="BW25" s="275">
        <v>232605.1</v>
      </c>
      <c r="BX25" s="275">
        <v>569972.30000000005</v>
      </c>
      <c r="BY25" s="275">
        <v>775920.9</v>
      </c>
      <c r="BZ25" s="275">
        <v>992104.4</v>
      </c>
      <c r="CA25" s="275">
        <v>1205420.05</v>
      </c>
      <c r="CB25" s="275">
        <v>1436379.65</v>
      </c>
      <c r="CC25" s="275">
        <v>1931383.7</v>
      </c>
      <c r="CD25" s="275">
        <v>2183601.75</v>
      </c>
      <c r="CE25" s="275">
        <v>3472336.45</v>
      </c>
      <c r="CF25" s="275">
        <v>5135865.2</v>
      </c>
      <c r="CG25" s="275">
        <v>5905635.75</v>
      </c>
      <c r="CH25" s="284">
        <v>5905636</v>
      </c>
      <c r="CI25" s="275">
        <v>331662.7</v>
      </c>
      <c r="CJ25" s="275">
        <v>619739.4</v>
      </c>
      <c r="CK25" s="275">
        <v>1224382.7</v>
      </c>
      <c r="CL25" s="275">
        <v>2031772.7</v>
      </c>
      <c r="CM25" s="275">
        <v>2283887.7000000002</v>
      </c>
      <c r="CN25" s="361">
        <v>2567069.0499999998</v>
      </c>
      <c r="CO25" s="361">
        <v>2845213.35</v>
      </c>
      <c r="CP25" s="361">
        <v>3346623.95</v>
      </c>
      <c r="CQ25" s="361">
        <v>3911538.65</v>
      </c>
      <c r="CR25" s="370">
        <v>5964564.5</v>
      </c>
      <c r="CS25" s="370">
        <v>6628927.5999999996</v>
      </c>
      <c r="CT25" s="370">
        <v>7399778.5499999998</v>
      </c>
      <c r="CU25" s="361">
        <v>7399779</v>
      </c>
      <c r="CV25" s="361">
        <f>1107820+4175880+1006417+1063950+276175+743473</f>
        <v>8373715</v>
      </c>
      <c r="CW25" s="361">
        <v>333600</v>
      </c>
      <c r="CX25" s="370">
        <v>533151.05000000005</v>
      </c>
      <c r="CY25" s="370">
        <v>891351.05</v>
      </c>
      <c r="CZ25" s="361">
        <v>2062191.05</v>
      </c>
      <c r="DA25" s="405">
        <v>2696858.05</v>
      </c>
      <c r="DB25" s="361">
        <v>3040608.05</v>
      </c>
      <c r="DC25" s="361">
        <v>3577474.35</v>
      </c>
      <c r="DD25" s="361">
        <v>4292718</v>
      </c>
      <c r="DE25" s="455">
        <v>7874479.0999999996</v>
      </c>
    </row>
    <row r="26" spans="1:109" ht="15">
      <c r="A26" s="170" t="s">
        <v>99</v>
      </c>
      <c r="B26" s="286"/>
      <c r="C26" s="294"/>
      <c r="D26" s="294"/>
      <c r="E26" s="294"/>
      <c r="F26" s="294">
        <v>60350</v>
      </c>
      <c r="G26" s="294"/>
      <c r="H26" s="300">
        <v>135400</v>
      </c>
      <c r="I26" s="302">
        <v>891573</v>
      </c>
      <c r="J26" s="302">
        <v>100832</v>
      </c>
      <c r="K26" s="302">
        <v>129972</v>
      </c>
      <c r="L26" s="310">
        <v>458532</v>
      </c>
      <c r="M26" s="304">
        <v>774767</v>
      </c>
      <c r="N26" s="304">
        <v>889622</v>
      </c>
      <c r="O26" s="304">
        <v>1037417</v>
      </c>
      <c r="P26" s="304">
        <v>1021052</v>
      </c>
      <c r="Q26" s="304">
        <v>1826457</v>
      </c>
      <c r="R26" s="304">
        <v>1791222</v>
      </c>
      <c r="S26" s="304">
        <v>1920587</v>
      </c>
      <c r="T26" s="304">
        <v>5891170</v>
      </c>
      <c r="U26" s="304">
        <v>4989209</v>
      </c>
      <c r="V26" s="304">
        <v>2446302</v>
      </c>
      <c r="W26" s="342">
        <v>91815.02</v>
      </c>
      <c r="X26" s="309">
        <v>338040</v>
      </c>
      <c r="Y26" s="304">
        <v>146655</v>
      </c>
      <c r="Z26" s="304">
        <v>251970</v>
      </c>
      <c r="AA26" s="304">
        <v>447822</v>
      </c>
      <c r="AB26" s="304">
        <v>572450</v>
      </c>
      <c r="AC26" s="304">
        <v>671138</v>
      </c>
      <c r="AD26" s="304">
        <v>696263</v>
      </c>
      <c r="AE26" s="304">
        <v>758628</v>
      </c>
      <c r="AF26" s="304">
        <v>1367073</v>
      </c>
      <c r="AG26" s="304">
        <v>1408798</v>
      </c>
      <c r="AH26" s="304">
        <v>2003348</v>
      </c>
      <c r="AI26" s="304">
        <v>2003348</v>
      </c>
      <c r="AJ26" s="284">
        <v>206498</v>
      </c>
      <c r="AK26" s="284">
        <v>282430</v>
      </c>
      <c r="AL26" s="284">
        <v>318452</v>
      </c>
      <c r="AM26" s="284">
        <v>403284</v>
      </c>
      <c r="AN26" s="284">
        <v>486902</v>
      </c>
      <c r="AO26" s="284">
        <v>510874</v>
      </c>
      <c r="AP26" s="278">
        <v>883146</v>
      </c>
      <c r="AQ26" s="278">
        <v>906438</v>
      </c>
      <c r="AR26" s="278">
        <v>1000613</v>
      </c>
      <c r="AS26" s="278">
        <v>1098222</v>
      </c>
      <c r="AT26" s="278">
        <v>1132094</v>
      </c>
      <c r="AU26" s="278">
        <v>1528826</v>
      </c>
      <c r="AV26" s="284">
        <v>1528826</v>
      </c>
      <c r="AW26" s="304">
        <v>117323</v>
      </c>
      <c r="AX26" s="304">
        <v>246205</v>
      </c>
      <c r="AY26" s="304">
        <v>321353</v>
      </c>
      <c r="AZ26" s="304">
        <v>414215</v>
      </c>
      <c r="BA26" s="304">
        <v>622042</v>
      </c>
      <c r="BB26" s="304">
        <v>976838</v>
      </c>
      <c r="BC26" s="304">
        <v>945955</v>
      </c>
      <c r="BD26" s="304">
        <v>1061815</v>
      </c>
      <c r="BE26" s="304">
        <v>1108215</v>
      </c>
      <c r="BF26" s="352">
        <v>1236032</v>
      </c>
      <c r="BG26" s="322">
        <v>1415326</v>
      </c>
      <c r="BH26" s="322">
        <v>1775042</v>
      </c>
      <c r="BI26" s="351">
        <v>1775042</v>
      </c>
      <c r="BJ26" s="322">
        <v>113114</v>
      </c>
      <c r="BK26" s="322">
        <v>140869</v>
      </c>
      <c r="BL26" s="322">
        <v>275763</v>
      </c>
      <c r="BM26" s="322">
        <v>305338</v>
      </c>
      <c r="BN26" s="322">
        <v>686307</v>
      </c>
      <c r="BO26" s="322">
        <v>752121</v>
      </c>
      <c r="BP26" s="322">
        <v>1729865</v>
      </c>
      <c r="BQ26" s="322">
        <v>1771294</v>
      </c>
      <c r="BR26" s="322">
        <v>1764456</v>
      </c>
      <c r="BS26" s="322">
        <v>1903556</v>
      </c>
      <c r="BT26" s="322">
        <v>1977256</v>
      </c>
      <c r="BU26" s="322">
        <v>2476068</v>
      </c>
      <c r="BV26" s="322">
        <v>2476068</v>
      </c>
      <c r="BW26" s="275">
        <v>250741</v>
      </c>
      <c r="BX26" s="275">
        <v>287041</v>
      </c>
      <c r="BY26" s="275">
        <v>333046</v>
      </c>
      <c r="BZ26" s="275">
        <v>466083</v>
      </c>
      <c r="CA26" s="275">
        <v>729181</v>
      </c>
      <c r="CB26" s="275">
        <v>799712</v>
      </c>
      <c r="CC26" s="275">
        <v>1040767</v>
      </c>
      <c r="CD26" s="275">
        <v>1222148</v>
      </c>
      <c r="CE26" s="275">
        <v>1242838</v>
      </c>
      <c r="CF26" s="275">
        <v>1340867</v>
      </c>
      <c r="CG26" s="275">
        <v>1687546</v>
      </c>
      <c r="CH26" s="284">
        <v>1687546</v>
      </c>
      <c r="CI26" s="275">
        <v>6950</v>
      </c>
      <c r="CJ26" s="275">
        <v>69269</v>
      </c>
      <c r="CK26" s="275">
        <v>161975</v>
      </c>
      <c r="CL26" s="275">
        <v>214502</v>
      </c>
      <c r="CM26" s="275">
        <v>303696</v>
      </c>
      <c r="CN26" s="361">
        <v>338566</v>
      </c>
      <c r="CO26" s="361">
        <v>415820</v>
      </c>
      <c r="CP26" s="361">
        <v>525343</v>
      </c>
      <c r="CQ26" s="361">
        <v>505325</v>
      </c>
      <c r="CR26" s="370">
        <v>622834</v>
      </c>
      <c r="CS26" s="370">
        <v>1084433</v>
      </c>
      <c r="CT26" s="370">
        <v>1516164</v>
      </c>
      <c r="CU26" s="361">
        <v>1516164</v>
      </c>
      <c r="CV26" s="361">
        <v>2109891</v>
      </c>
      <c r="CW26" s="361">
        <v>34000</v>
      </c>
      <c r="CX26" s="370">
        <v>68783</v>
      </c>
      <c r="CY26" s="370">
        <v>135753</v>
      </c>
      <c r="CZ26" s="361">
        <v>213168</v>
      </c>
      <c r="DA26" s="405">
        <v>567633</v>
      </c>
      <c r="DB26" s="361">
        <v>635729</v>
      </c>
      <c r="DC26" s="361">
        <v>734992</v>
      </c>
      <c r="DD26" s="361">
        <v>1033492</v>
      </c>
      <c r="DE26" s="455">
        <v>1194580</v>
      </c>
    </row>
    <row r="27" spans="1:109" ht="15">
      <c r="A27" s="170" t="s">
        <v>100</v>
      </c>
      <c r="B27" s="286">
        <v>585711</v>
      </c>
      <c r="C27" s="294">
        <v>501634</v>
      </c>
      <c r="D27" s="294">
        <v>500963</v>
      </c>
      <c r="E27" s="294">
        <v>418766</v>
      </c>
      <c r="F27" s="294">
        <v>1502177</v>
      </c>
      <c r="G27" s="294">
        <v>375444</v>
      </c>
      <c r="H27" s="300">
        <v>548504</v>
      </c>
      <c r="I27" s="302"/>
      <c r="J27" s="302">
        <v>306657.42</v>
      </c>
      <c r="K27" s="302">
        <v>614447.28</v>
      </c>
      <c r="L27" s="310">
        <v>840407.2</v>
      </c>
      <c r="M27" s="304">
        <v>1219431.6499999999</v>
      </c>
      <c r="N27" s="304">
        <v>1521051.89</v>
      </c>
      <c r="O27" s="304">
        <v>1788348.65</v>
      </c>
      <c r="P27" s="304">
        <v>1588173.82</v>
      </c>
      <c r="Q27" s="304">
        <v>1779604.49</v>
      </c>
      <c r="R27" s="304">
        <v>1983380.84</v>
      </c>
      <c r="S27" s="304">
        <v>2190398.35</v>
      </c>
      <c r="T27" s="304">
        <v>2387941.75</v>
      </c>
      <c r="U27" s="304">
        <v>2576055.75</v>
      </c>
      <c r="V27" s="304">
        <v>990241</v>
      </c>
      <c r="W27" s="342">
        <v>200446</v>
      </c>
      <c r="X27" s="309">
        <v>798020</v>
      </c>
      <c r="Y27" s="304">
        <v>588168.59</v>
      </c>
      <c r="Z27" s="304">
        <v>790681.72</v>
      </c>
      <c r="AA27" s="304">
        <v>983148</v>
      </c>
      <c r="AB27" s="304">
        <v>1156511</v>
      </c>
      <c r="AC27" s="304">
        <v>1351602.68</v>
      </c>
      <c r="AD27" s="304">
        <v>1542546</v>
      </c>
      <c r="AE27" s="304">
        <v>1542546</v>
      </c>
      <c r="AF27" s="304">
        <v>1933421.2</v>
      </c>
      <c r="AG27" s="304">
        <v>2125259.73</v>
      </c>
      <c r="AH27" s="304">
        <v>3167243.88</v>
      </c>
      <c r="AI27" s="304">
        <v>2593160</v>
      </c>
      <c r="AJ27" s="284">
        <v>185908.81</v>
      </c>
      <c r="AK27" s="284">
        <v>374508.21</v>
      </c>
      <c r="AL27" s="284">
        <v>562825.21</v>
      </c>
      <c r="AM27" s="284">
        <v>756327.21</v>
      </c>
      <c r="AN27" s="284">
        <v>968241.75</v>
      </c>
      <c r="AO27" s="284">
        <v>1158896.45</v>
      </c>
      <c r="AP27" s="278">
        <v>974596.75</v>
      </c>
      <c r="AQ27" s="278">
        <v>1792112.45</v>
      </c>
      <c r="AR27" s="278">
        <v>2056655.47</v>
      </c>
      <c r="AS27" s="278">
        <v>2344111.75</v>
      </c>
      <c r="AT27" s="278">
        <v>2407272.38</v>
      </c>
      <c r="AU27" s="278">
        <v>3117011.23</v>
      </c>
      <c r="AV27" s="284">
        <v>3899892</v>
      </c>
      <c r="AW27" s="304">
        <v>284360.05</v>
      </c>
      <c r="AX27" s="304">
        <v>569267.81999999995</v>
      </c>
      <c r="AY27" s="304">
        <v>853647.07</v>
      </c>
      <c r="AZ27" s="304">
        <v>1069122.03</v>
      </c>
      <c r="BA27" s="304">
        <v>1311576.6200000001</v>
      </c>
      <c r="BB27" s="304">
        <v>1504320.97</v>
      </c>
      <c r="BC27" s="304">
        <v>1474329.86</v>
      </c>
      <c r="BD27" s="304">
        <v>1585520.19</v>
      </c>
      <c r="BE27" s="304">
        <v>1788081</v>
      </c>
      <c r="BF27" s="352">
        <v>2018041.16</v>
      </c>
      <c r="BG27" s="322">
        <v>2237714.1</v>
      </c>
      <c r="BH27" s="322">
        <v>3575053.85</v>
      </c>
      <c r="BI27" s="351">
        <v>2653796</v>
      </c>
      <c r="BJ27" s="322">
        <v>148272</v>
      </c>
      <c r="BK27" s="322">
        <v>354251.1</v>
      </c>
      <c r="BL27" s="322">
        <v>528416.42000000004</v>
      </c>
      <c r="BM27" s="322">
        <v>704033.96</v>
      </c>
      <c r="BN27" s="322">
        <v>872449.3</v>
      </c>
      <c r="BO27" s="322">
        <v>1042742.49</v>
      </c>
      <c r="BP27" s="322">
        <v>1245740.71</v>
      </c>
      <c r="BQ27" s="322">
        <v>1410203.22</v>
      </c>
      <c r="BR27" s="322">
        <v>1582020.09</v>
      </c>
      <c r="BS27" s="322">
        <v>1750426.36</v>
      </c>
      <c r="BT27" s="322">
        <v>1914288.54</v>
      </c>
      <c r="BU27" s="322">
        <v>3138119.39</v>
      </c>
      <c r="BV27" s="322">
        <v>3138119</v>
      </c>
      <c r="BW27" s="275">
        <v>198633.49</v>
      </c>
      <c r="BX27" s="275">
        <v>392600.59</v>
      </c>
      <c r="BY27" s="275">
        <v>582727.01</v>
      </c>
      <c r="BZ27" s="275">
        <v>767197.17</v>
      </c>
      <c r="CA27" s="275">
        <v>944108.38</v>
      </c>
      <c r="CB27" s="275">
        <v>1204180.8400000001</v>
      </c>
      <c r="CC27" s="275">
        <v>1675447.94</v>
      </c>
      <c r="CD27" s="275">
        <v>1930123.27</v>
      </c>
      <c r="CE27" s="275">
        <v>2141534.9300000002</v>
      </c>
      <c r="CF27" s="275">
        <v>2403061.84</v>
      </c>
      <c r="CG27" s="275">
        <v>2499320.77</v>
      </c>
      <c r="CH27" s="284">
        <v>2499321</v>
      </c>
      <c r="CI27" s="275">
        <v>152602.64000000001</v>
      </c>
      <c r="CJ27" s="275">
        <v>306631</v>
      </c>
      <c r="CK27" s="275">
        <v>461788.65</v>
      </c>
      <c r="CL27" s="275">
        <v>619626.15</v>
      </c>
      <c r="CM27" s="275">
        <v>776942.29</v>
      </c>
      <c r="CN27" s="361">
        <v>939571.18</v>
      </c>
      <c r="CO27" s="361">
        <v>1089636.92</v>
      </c>
      <c r="CP27" s="361">
        <v>1291031.97</v>
      </c>
      <c r="CQ27" s="361">
        <v>1451512.92</v>
      </c>
      <c r="CR27" s="370">
        <v>1612857.18</v>
      </c>
      <c r="CS27" s="370">
        <v>1836567.22</v>
      </c>
      <c r="CT27" s="370">
        <v>1994961.36</v>
      </c>
      <c r="CU27" s="361">
        <v>1994960</v>
      </c>
      <c r="CV27" s="361">
        <v>3080929</v>
      </c>
      <c r="CW27" s="361">
        <v>342731.84</v>
      </c>
      <c r="CX27" s="370">
        <v>543903.30000000005</v>
      </c>
      <c r="CY27" s="370">
        <v>750543.47</v>
      </c>
      <c r="CZ27" s="361">
        <v>968003.59</v>
      </c>
      <c r="DA27" s="405">
        <v>1128535.9099999999</v>
      </c>
      <c r="DB27" s="361">
        <v>1328590.68</v>
      </c>
      <c r="DC27" s="361">
        <v>1524237.41</v>
      </c>
      <c r="DD27" s="361">
        <v>1760852.08</v>
      </c>
      <c r="DE27" s="455">
        <v>1938630.88</v>
      </c>
    </row>
    <row r="28" spans="1:109" ht="15">
      <c r="A28" s="170" t="s">
        <v>101</v>
      </c>
      <c r="B28" s="286">
        <f>100+194402+38950+104691+40067+60986+228000+22019</f>
        <v>689215</v>
      </c>
      <c r="C28" s="294">
        <v>1827415</v>
      </c>
      <c r="D28" s="294">
        <v>2550685</v>
      </c>
      <c r="E28" s="294">
        <v>7231381</v>
      </c>
      <c r="F28" s="294">
        <v>4747267</v>
      </c>
      <c r="G28" s="294">
        <f>8420624.05+5284452.28-G24-G25-G27</f>
        <v>7541173.6000000015</v>
      </c>
      <c r="H28" s="300">
        <f>3829793+640980+8405+233528+79625+37100+103400+398810+186751+265577+307189+421500+290446</f>
        <v>6803104</v>
      </c>
      <c r="I28" s="302">
        <f>5603014-891573</f>
        <v>4711441</v>
      </c>
      <c r="J28" s="302">
        <v>124049</v>
      </c>
      <c r="K28" s="302">
        <v>246497.7</v>
      </c>
      <c r="L28" s="310">
        <v>371946.4</v>
      </c>
      <c r="M28" s="304">
        <v>485071.4</v>
      </c>
      <c r="N28" s="304">
        <v>604820.1</v>
      </c>
      <c r="O28" s="304">
        <v>722268.8</v>
      </c>
      <c r="P28" s="304">
        <v>837617.5</v>
      </c>
      <c r="Q28" s="304">
        <v>952166.2</v>
      </c>
      <c r="R28" s="304">
        <v>1340814.8999999999</v>
      </c>
      <c r="S28" s="304">
        <v>1459263.6</v>
      </c>
      <c r="T28" s="304">
        <v>6042971.4100000001</v>
      </c>
      <c r="U28" s="304">
        <v>1692961</v>
      </c>
      <c r="V28" s="304">
        <v>5764072</v>
      </c>
      <c r="W28" s="342">
        <v>506868.25</v>
      </c>
      <c r="X28" s="309">
        <v>2803775.7</v>
      </c>
      <c r="Y28" s="304">
        <v>2155143</v>
      </c>
      <c r="Z28" s="304">
        <v>2958907.05</v>
      </c>
      <c r="AA28" s="304">
        <v>3705001</v>
      </c>
      <c r="AB28" s="304">
        <v>4005640</v>
      </c>
      <c r="AC28" s="304">
        <v>4762988.5</v>
      </c>
      <c r="AD28" s="304">
        <v>7839334</v>
      </c>
      <c r="AE28" s="304">
        <v>6655111</v>
      </c>
      <c r="AF28" s="304">
        <v>7025656</v>
      </c>
      <c r="AG28" s="304">
        <v>8205253.5599999996</v>
      </c>
      <c r="AH28" s="304">
        <v>9971173.0399999991</v>
      </c>
      <c r="AI28" s="304">
        <v>8207596</v>
      </c>
      <c r="AJ28" s="284">
        <v>676403.94</v>
      </c>
      <c r="AK28" s="284">
        <v>1058033.3799999999</v>
      </c>
      <c r="AL28" s="284">
        <v>1786324.32</v>
      </c>
      <c r="AM28" s="284">
        <v>2453372.62</v>
      </c>
      <c r="AN28" s="284">
        <v>3157144.64</v>
      </c>
      <c r="AO28" s="284">
        <v>3896858.58</v>
      </c>
      <c r="AP28" s="278">
        <v>4036310.46</v>
      </c>
      <c r="AQ28" s="278">
        <v>4521864.07</v>
      </c>
      <c r="AR28" s="278">
        <v>5202742.82</v>
      </c>
      <c r="AS28" s="278">
        <v>5635552.2400000002</v>
      </c>
      <c r="AT28" s="278">
        <v>5945687.9000000004</v>
      </c>
      <c r="AU28" s="278">
        <v>6754671.1500000004</v>
      </c>
      <c r="AV28" s="284">
        <v>5891059</v>
      </c>
      <c r="AW28" s="304">
        <v>347705.17</v>
      </c>
      <c r="AX28" s="304">
        <v>858743.42</v>
      </c>
      <c r="AY28" s="304">
        <v>1571951.17</v>
      </c>
      <c r="AZ28" s="304">
        <v>2323992.9</v>
      </c>
      <c r="BA28" s="304">
        <v>2812488.95</v>
      </c>
      <c r="BB28" s="304">
        <v>3456216.7</v>
      </c>
      <c r="BC28" s="304">
        <v>3404743.61</v>
      </c>
      <c r="BD28" s="304">
        <v>3780634.13</v>
      </c>
      <c r="BE28" s="304">
        <v>4892956.55</v>
      </c>
      <c r="BF28" s="352">
        <v>5364167.03</v>
      </c>
      <c r="BG28" s="322">
        <v>5889677.6500000004</v>
      </c>
      <c r="BH28" s="322">
        <v>11263548.460000001</v>
      </c>
      <c r="BI28" s="351">
        <v>6222100.46</v>
      </c>
      <c r="BJ28" s="322">
        <v>452189.91</v>
      </c>
      <c r="BK28" s="322">
        <v>1163126.6399999999</v>
      </c>
      <c r="BL28" s="322">
        <v>2012252.92</v>
      </c>
      <c r="BM28" s="322">
        <v>2683550.59</v>
      </c>
      <c r="BN28" s="322">
        <v>3896853.27</v>
      </c>
      <c r="BO28" s="322">
        <v>4470441.4000000004</v>
      </c>
      <c r="BP28" s="322">
        <v>4515294.2699999996</v>
      </c>
      <c r="BQ28" s="322">
        <v>5125016.62</v>
      </c>
      <c r="BR28" s="322">
        <v>5692762.8600000003</v>
      </c>
      <c r="BS28" s="322">
        <v>6830169.54</v>
      </c>
      <c r="BT28" s="322">
        <v>7535127.5899999999</v>
      </c>
      <c r="BU28" s="322">
        <v>16453517.09</v>
      </c>
      <c r="BV28" s="322">
        <v>8348319.0899999999</v>
      </c>
      <c r="BW28" s="275">
        <v>672196.38</v>
      </c>
      <c r="BX28" s="275">
        <v>1872953.99</v>
      </c>
      <c r="BY28" s="275">
        <v>2542282.4900000002</v>
      </c>
      <c r="BZ28" s="275">
        <v>3220369.1</v>
      </c>
      <c r="CA28" s="275">
        <v>3790688.73</v>
      </c>
      <c r="CB28" s="275">
        <v>4611468.2300000004</v>
      </c>
      <c r="CC28" s="275">
        <v>6091480.7400000002</v>
      </c>
      <c r="CD28" s="275">
        <v>7296740.2699999996</v>
      </c>
      <c r="CE28" s="275">
        <v>7901501.3600000003</v>
      </c>
      <c r="CF28" s="275">
        <v>8691202.0800000001</v>
      </c>
      <c r="CG28" s="275">
        <v>9474638.6500000004</v>
      </c>
      <c r="CH28" s="284">
        <v>9304832</v>
      </c>
      <c r="CI28" s="275">
        <v>602032.78</v>
      </c>
      <c r="CJ28" s="275">
        <v>1609292.56</v>
      </c>
      <c r="CK28" s="275">
        <v>2061780.73</v>
      </c>
      <c r="CL28" s="275">
        <v>2855439.35</v>
      </c>
      <c r="CM28" s="275">
        <v>3470538.77</v>
      </c>
      <c r="CN28" s="361">
        <v>4224518.01</v>
      </c>
      <c r="CO28" s="361">
        <v>4763842.3099999996</v>
      </c>
      <c r="CP28" s="361">
        <v>5206739.7300000004</v>
      </c>
      <c r="CQ28" s="361">
        <v>6004820.2300000004</v>
      </c>
      <c r="CR28" s="370">
        <v>6626407.7999999998</v>
      </c>
      <c r="CS28" s="370">
        <v>8316062.5800000001</v>
      </c>
      <c r="CT28" s="370">
        <v>16134436.57</v>
      </c>
      <c r="CU28" s="361">
        <v>8348971</v>
      </c>
      <c r="CV28" s="361">
        <f>186593+653035+132469+683413+139119+442871+325905+784367+8000+921663+1144965+332244+46800+300400+684957+402500+1000987+346784+1199000+173650+202798+61265+12615+520000+245445</f>
        <v>10951845</v>
      </c>
      <c r="CW28" s="361">
        <v>823195.63</v>
      </c>
      <c r="CX28" s="370">
        <v>2316618.19</v>
      </c>
      <c r="CY28" s="370">
        <v>3401171.34</v>
      </c>
      <c r="CZ28" s="361">
        <v>4644693.76</v>
      </c>
      <c r="DA28" s="405">
        <v>5436980.1399999997</v>
      </c>
      <c r="DB28" s="361">
        <v>6857277.1600000001</v>
      </c>
      <c r="DC28" s="361">
        <v>9234564.7599999998</v>
      </c>
      <c r="DD28" s="361">
        <v>10621231.35</v>
      </c>
      <c r="DE28" s="455">
        <v>11817676.32</v>
      </c>
    </row>
    <row r="29" spans="1:109" ht="15.75">
      <c r="A29" s="169" t="s">
        <v>102</v>
      </c>
      <c r="B29" s="209">
        <f t="shared" ref="B29:G29" si="68">B19-B20-B23</f>
        <v>4514867</v>
      </c>
      <c r="C29" s="209">
        <f t="shared" si="68"/>
        <v>1567940</v>
      </c>
      <c r="D29" s="209">
        <f t="shared" si="68"/>
        <v>931463</v>
      </c>
      <c r="E29" s="209">
        <f t="shared" si="68"/>
        <v>1661030</v>
      </c>
      <c r="F29" s="209">
        <f t="shared" si="68"/>
        <v>-1406797.17</v>
      </c>
      <c r="G29" s="209">
        <f t="shared" si="68"/>
        <v>-4731486.7400000021</v>
      </c>
      <c r="H29" s="209">
        <f>H19-H20-H23</f>
        <v>6649533</v>
      </c>
      <c r="I29" s="209">
        <f>I19-I20-I23</f>
        <v>2839150</v>
      </c>
      <c r="J29" s="209">
        <f t="shared" ref="J29:U29" si="69">J19-J20-J23</f>
        <v>1655545.2999999998</v>
      </c>
      <c r="K29" s="209">
        <f t="shared" si="69"/>
        <v>1626684.3200000003</v>
      </c>
      <c r="L29" s="209">
        <f t="shared" si="69"/>
        <v>2766072.330000001</v>
      </c>
      <c r="M29" s="209">
        <f t="shared" si="69"/>
        <v>2841144.84</v>
      </c>
      <c r="N29" s="209">
        <f t="shared" si="69"/>
        <v>4074188.9400000004</v>
      </c>
      <c r="O29" s="209">
        <f t="shared" si="69"/>
        <v>77430015.409999996</v>
      </c>
      <c r="P29" s="209">
        <f t="shared" si="69"/>
        <v>82534857.189999998</v>
      </c>
      <c r="Q29" s="209">
        <f t="shared" si="69"/>
        <v>82865818.570000008</v>
      </c>
      <c r="R29" s="209">
        <f t="shared" si="69"/>
        <v>83418268.859999999</v>
      </c>
      <c r="S29" s="209">
        <f t="shared" si="69"/>
        <v>83402899.039999992</v>
      </c>
      <c r="T29" s="209">
        <f t="shared" si="69"/>
        <v>147452.13000000268</v>
      </c>
      <c r="U29" s="209">
        <f t="shared" si="69"/>
        <v>352055.44999999925</v>
      </c>
      <c r="V29" s="209">
        <f>V19-V20-V23</f>
        <v>3533017</v>
      </c>
      <c r="W29" s="209">
        <f t="shared" ref="W29:AH29" si="70">W19-W20-W23</f>
        <v>-1751482.2</v>
      </c>
      <c r="X29" s="209">
        <f t="shared" si="70"/>
        <v>-4041263.38</v>
      </c>
      <c r="Y29" s="209">
        <f t="shared" si="70"/>
        <v>-1667106.5900000003</v>
      </c>
      <c r="Z29" s="209">
        <f t="shared" si="70"/>
        <v>-4580025.6099999994</v>
      </c>
      <c r="AA29" s="209">
        <f t="shared" si="70"/>
        <v>-6974110</v>
      </c>
      <c r="AB29" s="209">
        <f t="shared" si="70"/>
        <v>3984840</v>
      </c>
      <c r="AC29" s="209">
        <f t="shared" si="70"/>
        <v>10245189.050000001</v>
      </c>
      <c r="AD29" s="209">
        <f t="shared" si="70"/>
        <v>9397570</v>
      </c>
      <c r="AE29" s="209">
        <f t="shared" si="70"/>
        <v>6864348</v>
      </c>
      <c r="AF29" s="209">
        <f t="shared" si="70"/>
        <v>4675374.8000000007</v>
      </c>
      <c r="AG29" s="209">
        <f t="shared" si="70"/>
        <v>3537371.700000003</v>
      </c>
      <c r="AH29" s="209">
        <f t="shared" si="70"/>
        <v>3275621.5800000019</v>
      </c>
      <c r="AI29" s="209">
        <f>AI19-AI20-AI23</f>
        <v>144909.39999999851</v>
      </c>
      <c r="AJ29" s="209">
        <f>AJ19-AJ20-AJ23</f>
        <v>-1273664.8766999999</v>
      </c>
      <c r="AK29" s="209">
        <f t="shared" ref="AK29:AU29" si="71">AK19-AK20-AK23</f>
        <v>-2418322.6066999999</v>
      </c>
      <c r="AL29" s="209">
        <f t="shared" si="71"/>
        <v>-4026832.4866999988</v>
      </c>
      <c r="AM29" s="209">
        <f t="shared" si="71"/>
        <v>-6271929.4867000002</v>
      </c>
      <c r="AN29" s="209">
        <f t="shared" si="71"/>
        <v>4970410.1029999983</v>
      </c>
      <c r="AO29" s="209">
        <f t="shared" si="71"/>
        <v>4232213.0329999998</v>
      </c>
      <c r="AP29" s="209">
        <f t="shared" si="71"/>
        <v>9325556.6099999994</v>
      </c>
      <c r="AQ29" s="209">
        <f t="shared" si="71"/>
        <v>9476242.4700000025</v>
      </c>
      <c r="AR29" s="209">
        <f t="shared" si="71"/>
        <v>5457402.6100000069</v>
      </c>
      <c r="AS29" s="209">
        <f t="shared" si="71"/>
        <v>4304103.2099999972</v>
      </c>
      <c r="AT29" s="209">
        <f t="shared" si="71"/>
        <v>7770391.9399999939</v>
      </c>
      <c r="AU29" s="209">
        <f t="shared" si="71"/>
        <v>6088529.9799999967</v>
      </c>
      <c r="AV29" s="209">
        <f t="shared" ref="AV29:BH29" si="72">AV19-AV20-AV23</f>
        <v>893701</v>
      </c>
      <c r="AW29" s="209">
        <f t="shared" si="72"/>
        <v>256614.95999999996</v>
      </c>
      <c r="AX29" s="209">
        <f t="shared" si="72"/>
        <v>1772847.7400000007</v>
      </c>
      <c r="AY29" s="209">
        <f t="shared" si="72"/>
        <v>1644693.7199999997</v>
      </c>
      <c r="AZ29" s="209">
        <f t="shared" si="72"/>
        <v>753600.75999999791</v>
      </c>
      <c r="BA29" s="209">
        <f t="shared" si="72"/>
        <v>13088009.699999999</v>
      </c>
      <c r="BB29" s="209">
        <f t="shared" si="72"/>
        <v>11716332.960000001</v>
      </c>
      <c r="BC29" s="209">
        <f t="shared" si="72"/>
        <v>16625033.170000006</v>
      </c>
      <c r="BD29" s="209">
        <f t="shared" si="72"/>
        <v>15559286.050000004</v>
      </c>
      <c r="BE29" s="209">
        <f t="shared" si="72"/>
        <v>11035639.359999996</v>
      </c>
      <c r="BF29" s="209">
        <f t="shared" si="72"/>
        <v>-626096.28000000492</v>
      </c>
      <c r="BG29" s="209">
        <f t="shared" si="72"/>
        <v>9536226.5900000036</v>
      </c>
      <c r="BH29" s="209">
        <f t="shared" si="72"/>
        <v>1989229.4899999946</v>
      </c>
      <c r="BI29" s="209">
        <f>BI19-BI20-BI23</f>
        <v>2910488.2599999979</v>
      </c>
      <c r="BJ29" s="209">
        <f t="shared" ref="BJ29:BT29" si="73">BJ19-BJ20-BJ23</f>
        <v>-202442.68000000017</v>
      </c>
      <c r="BK29" s="209">
        <f t="shared" si="73"/>
        <v>-2757121.5100000002</v>
      </c>
      <c r="BL29" s="209">
        <f t="shared" si="73"/>
        <v>-1572399.6600000001</v>
      </c>
      <c r="BM29" s="209">
        <f t="shared" si="73"/>
        <v>-3013962.1399999987</v>
      </c>
      <c r="BN29" s="209">
        <f t="shared" si="73"/>
        <v>-5392383.8200000003</v>
      </c>
      <c r="BO29" s="209">
        <f t="shared" si="73"/>
        <v>-2776123.200000003</v>
      </c>
      <c r="BP29" s="209">
        <f t="shared" si="73"/>
        <v>20653431.570000004</v>
      </c>
      <c r="BQ29" s="209">
        <f t="shared" si="73"/>
        <v>19887512.449999999</v>
      </c>
      <c r="BR29" s="209">
        <f t="shared" si="73"/>
        <v>17337131.809999999</v>
      </c>
      <c r="BS29" s="209">
        <f t="shared" si="73"/>
        <v>15958595.439999998</v>
      </c>
      <c r="BT29" s="209">
        <f t="shared" si="73"/>
        <v>12817638.720000006</v>
      </c>
      <c r="BU29" s="209">
        <f>BU19-BU20-BU23</f>
        <v>10929458.299999997</v>
      </c>
      <c r="BV29" s="209">
        <f t="shared" ref="BV29:CH29" si="74">BV19-BV20-BV23</f>
        <v>12928961</v>
      </c>
      <c r="BW29" s="209">
        <f t="shared" si="74"/>
        <v>-1625892.3200000003</v>
      </c>
      <c r="BX29" s="209">
        <f t="shared" si="74"/>
        <v>-7871405.0800000001</v>
      </c>
      <c r="BY29" s="209">
        <f t="shared" si="74"/>
        <v>-9667210.6499999985</v>
      </c>
      <c r="BZ29" s="209">
        <f t="shared" si="74"/>
        <v>-2310492.3500000034</v>
      </c>
      <c r="CA29" s="209">
        <f t="shared" si="74"/>
        <v>-3658232.2899999991</v>
      </c>
      <c r="CB29" s="209">
        <f t="shared" si="74"/>
        <v>13277539.029999997</v>
      </c>
      <c r="CC29" s="209">
        <f t="shared" si="74"/>
        <v>14305205.789999999</v>
      </c>
      <c r="CD29" s="209">
        <f t="shared" si="74"/>
        <v>18238935.600000005</v>
      </c>
      <c r="CE29" s="209">
        <f t="shared" si="74"/>
        <v>20559540.640000001</v>
      </c>
      <c r="CF29" s="209">
        <f t="shared" si="74"/>
        <v>17036661.43</v>
      </c>
      <c r="CG29" s="209">
        <f t="shared" si="74"/>
        <v>8514088.8299999982</v>
      </c>
      <c r="CH29" s="209">
        <f t="shared" si="74"/>
        <v>8514088</v>
      </c>
      <c r="CI29" s="209">
        <f t="shared" ref="CI29:CQ29" si="75">CI19-CI20-CI23</f>
        <v>-2723103.4899999998</v>
      </c>
      <c r="CJ29" s="209">
        <f t="shared" si="75"/>
        <v>-6723743.5800000001</v>
      </c>
      <c r="CK29" s="209">
        <f t="shared" si="75"/>
        <v>-8277081.9500000002</v>
      </c>
      <c r="CL29" s="209">
        <f t="shared" si="75"/>
        <v>-1525729.3100000005</v>
      </c>
      <c r="CM29" s="209">
        <f t="shared" si="75"/>
        <v>-5879876.9500000011</v>
      </c>
      <c r="CN29" s="209">
        <f t="shared" si="75"/>
        <v>-10736905.199999999</v>
      </c>
      <c r="CO29" s="209">
        <f t="shared" si="75"/>
        <v>-13482933.769999996</v>
      </c>
      <c r="CP29" s="209">
        <f t="shared" si="75"/>
        <v>-21123999.580000002</v>
      </c>
      <c r="CQ29" s="209">
        <f t="shared" si="75"/>
        <v>-27727834.820000004</v>
      </c>
      <c r="CR29" s="209">
        <f t="shared" ref="CR29:CU29" si="76">CR19-CR20-CR23</f>
        <v>9850147.0199999921</v>
      </c>
      <c r="CS29" s="209">
        <f t="shared" si="76"/>
        <v>14713687.300000012</v>
      </c>
      <c r="CT29" s="209">
        <f t="shared" si="76"/>
        <v>21811485.159999982</v>
      </c>
      <c r="CU29" s="209">
        <f t="shared" si="76"/>
        <v>21811486</v>
      </c>
      <c r="CV29" s="209">
        <f t="shared" ref="CV29:DC29" si="77">CV19-CV20-CV23</f>
        <v>13710010</v>
      </c>
      <c r="CW29" s="209">
        <f t="shared" si="77"/>
        <v>-1363497.7499999995</v>
      </c>
      <c r="CX29" s="209">
        <f t="shared" si="77"/>
        <v>-4306039</v>
      </c>
      <c r="CY29" s="209">
        <f t="shared" si="77"/>
        <v>-4890257.2999999989</v>
      </c>
      <c r="CZ29" s="209">
        <f t="shared" si="77"/>
        <v>-7368355.0299999975</v>
      </c>
      <c r="DA29" s="209">
        <f t="shared" si="77"/>
        <v>-12707883.950000001</v>
      </c>
      <c r="DB29" s="209">
        <f t="shared" si="77"/>
        <v>-2501231.4899999946</v>
      </c>
      <c r="DC29" s="209">
        <f t="shared" si="77"/>
        <v>34683083.839999996</v>
      </c>
      <c r="DD29" s="209">
        <f t="shared" ref="DD29:DE29" si="78">DD19-DD20-DD23</f>
        <v>32866118.500000007</v>
      </c>
      <c r="DE29" s="209">
        <f t="shared" si="78"/>
        <v>25752855.950000018</v>
      </c>
    </row>
    <row r="30" spans="1:109" ht="15.75">
      <c r="A30" s="169" t="s">
        <v>103</v>
      </c>
      <c r="B30" s="209">
        <f t="shared" ref="B30:G30" si="79">B31-B32</f>
        <v>0</v>
      </c>
      <c r="C30" s="209">
        <f t="shared" si="79"/>
        <v>0</v>
      </c>
      <c r="D30" s="209">
        <f t="shared" si="79"/>
        <v>0</v>
      </c>
      <c r="E30" s="209">
        <f t="shared" si="79"/>
        <v>0</v>
      </c>
      <c r="F30" s="209">
        <f t="shared" si="79"/>
        <v>0</v>
      </c>
      <c r="G30" s="209">
        <f t="shared" si="79"/>
        <v>0</v>
      </c>
      <c r="H30" s="209">
        <f>H31-H32</f>
        <v>0</v>
      </c>
      <c r="I30" s="209">
        <f>I31-I32</f>
        <v>0</v>
      </c>
      <c r="J30" s="209">
        <f t="shared" ref="J30:U30" si="80">J31-J32</f>
        <v>0</v>
      </c>
      <c r="K30" s="209">
        <f t="shared" si="80"/>
        <v>0</v>
      </c>
      <c r="L30" s="209">
        <f t="shared" si="80"/>
        <v>0</v>
      </c>
      <c r="M30" s="209">
        <f t="shared" si="80"/>
        <v>0</v>
      </c>
      <c r="N30" s="209">
        <f t="shared" si="80"/>
        <v>0</v>
      </c>
      <c r="O30" s="209">
        <f t="shared" si="80"/>
        <v>0</v>
      </c>
      <c r="P30" s="209">
        <f t="shared" si="80"/>
        <v>0</v>
      </c>
      <c r="Q30" s="209">
        <f t="shared" si="80"/>
        <v>0</v>
      </c>
      <c r="R30" s="209">
        <f t="shared" si="80"/>
        <v>0</v>
      </c>
      <c r="S30" s="209">
        <f t="shared" si="80"/>
        <v>0</v>
      </c>
      <c r="T30" s="209">
        <f t="shared" si="80"/>
        <v>0</v>
      </c>
      <c r="U30" s="209">
        <f t="shared" si="80"/>
        <v>0</v>
      </c>
      <c r="V30" s="209">
        <f>V31-V32</f>
        <v>0</v>
      </c>
      <c r="W30" s="209">
        <f t="shared" ref="W30:AH30" si="81">W31-W32</f>
        <v>0</v>
      </c>
      <c r="X30" s="209">
        <f t="shared" si="81"/>
        <v>0</v>
      </c>
      <c r="Y30" s="209">
        <f t="shared" si="81"/>
        <v>0</v>
      </c>
      <c r="Z30" s="209">
        <f t="shared" si="81"/>
        <v>0</v>
      </c>
      <c r="AA30" s="209">
        <f t="shared" si="81"/>
        <v>0</v>
      </c>
      <c r="AB30" s="209">
        <f t="shared" si="81"/>
        <v>0</v>
      </c>
      <c r="AC30" s="209">
        <f t="shared" si="81"/>
        <v>0</v>
      </c>
      <c r="AD30" s="209">
        <f t="shared" si="81"/>
        <v>0</v>
      </c>
      <c r="AE30" s="209">
        <f t="shared" si="81"/>
        <v>0</v>
      </c>
      <c r="AF30" s="209">
        <f t="shared" si="81"/>
        <v>0</v>
      </c>
      <c r="AG30" s="209">
        <f t="shared" si="81"/>
        <v>0</v>
      </c>
      <c r="AH30" s="209">
        <f t="shared" si="81"/>
        <v>0</v>
      </c>
      <c r="AI30" s="209">
        <f>AI31-AI32</f>
        <v>0</v>
      </c>
      <c r="AJ30" s="209">
        <f>AJ31-AJ32</f>
        <v>0</v>
      </c>
      <c r="AK30" s="209">
        <f t="shared" ref="AK30:AU30" si="82">AK31-AK32</f>
        <v>0</v>
      </c>
      <c r="AL30" s="209">
        <f t="shared" si="82"/>
        <v>0</v>
      </c>
      <c r="AM30" s="209">
        <f t="shared" si="82"/>
        <v>0</v>
      </c>
      <c r="AN30" s="209">
        <f t="shared" si="82"/>
        <v>0</v>
      </c>
      <c r="AO30" s="209">
        <f t="shared" si="82"/>
        <v>0</v>
      </c>
      <c r="AP30" s="209">
        <f t="shared" si="82"/>
        <v>0</v>
      </c>
      <c r="AQ30" s="209">
        <f t="shared" si="82"/>
        <v>0</v>
      </c>
      <c r="AR30" s="209">
        <f t="shared" si="82"/>
        <v>0</v>
      </c>
      <c r="AS30" s="209">
        <f t="shared" si="82"/>
        <v>0</v>
      </c>
      <c r="AT30" s="209">
        <f t="shared" si="82"/>
        <v>0</v>
      </c>
      <c r="AU30" s="209">
        <f t="shared" si="82"/>
        <v>0</v>
      </c>
      <c r="AV30" s="209">
        <f t="shared" ref="AV30:BH30" si="83">AV31-AV32</f>
        <v>0</v>
      </c>
      <c r="AW30" s="209">
        <f t="shared" si="83"/>
        <v>0</v>
      </c>
      <c r="AX30" s="209">
        <f t="shared" si="83"/>
        <v>0</v>
      </c>
      <c r="AY30" s="209">
        <f t="shared" si="83"/>
        <v>0</v>
      </c>
      <c r="AZ30" s="209">
        <f t="shared" si="83"/>
        <v>0</v>
      </c>
      <c r="BA30" s="209">
        <f t="shared" si="83"/>
        <v>0</v>
      </c>
      <c r="BB30" s="209">
        <f t="shared" si="83"/>
        <v>0</v>
      </c>
      <c r="BC30" s="209">
        <f t="shared" si="83"/>
        <v>0</v>
      </c>
      <c r="BD30" s="209">
        <f t="shared" si="83"/>
        <v>0</v>
      </c>
      <c r="BE30" s="209">
        <f t="shared" si="83"/>
        <v>0</v>
      </c>
      <c r="BF30" s="209">
        <f t="shared" si="83"/>
        <v>0</v>
      </c>
      <c r="BG30" s="209">
        <f t="shared" si="83"/>
        <v>0</v>
      </c>
      <c r="BH30" s="209">
        <f t="shared" si="83"/>
        <v>0</v>
      </c>
      <c r="BI30" s="209">
        <f>BI31-BI32</f>
        <v>0</v>
      </c>
      <c r="BJ30" s="209">
        <f t="shared" ref="BJ30:BT30" si="84">BJ31-BJ32</f>
        <v>0</v>
      </c>
      <c r="BK30" s="209">
        <f t="shared" si="84"/>
        <v>0</v>
      </c>
      <c r="BL30" s="209">
        <f t="shared" si="84"/>
        <v>0</v>
      </c>
      <c r="BM30" s="209">
        <f t="shared" si="84"/>
        <v>0</v>
      </c>
      <c r="BN30" s="209">
        <f t="shared" si="84"/>
        <v>0</v>
      </c>
      <c r="BO30" s="209">
        <f t="shared" si="84"/>
        <v>0</v>
      </c>
      <c r="BP30" s="209">
        <f t="shared" si="84"/>
        <v>0</v>
      </c>
      <c r="BQ30" s="209">
        <f t="shared" si="84"/>
        <v>0</v>
      </c>
      <c r="BR30" s="209">
        <f t="shared" si="84"/>
        <v>0</v>
      </c>
      <c r="BS30" s="209">
        <f t="shared" si="84"/>
        <v>0</v>
      </c>
      <c r="BT30" s="209">
        <f t="shared" si="84"/>
        <v>0</v>
      </c>
      <c r="BU30" s="209">
        <f>BU31-BU32</f>
        <v>0</v>
      </c>
      <c r="BV30" s="209">
        <f t="shared" ref="BV30:CH30" si="85">BV31-BV32</f>
        <v>0</v>
      </c>
      <c r="BW30" s="209">
        <f t="shared" si="85"/>
        <v>0</v>
      </c>
      <c r="BX30" s="209">
        <f t="shared" si="85"/>
        <v>0</v>
      </c>
      <c r="BY30" s="209">
        <f t="shared" si="85"/>
        <v>0</v>
      </c>
      <c r="BZ30" s="209">
        <f t="shared" si="85"/>
        <v>0</v>
      </c>
      <c r="CA30" s="209">
        <f t="shared" si="85"/>
        <v>0</v>
      </c>
      <c r="CB30" s="209">
        <f t="shared" si="85"/>
        <v>0</v>
      </c>
      <c r="CC30" s="209">
        <f t="shared" si="85"/>
        <v>0</v>
      </c>
      <c r="CD30" s="209">
        <f t="shared" si="85"/>
        <v>0</v>
      </c>
      <c r="CE30" s="209">
        <f t="shared" si="85"/>
        <v>0</v>
      </c>
      <c r="CF30" s="209">
        <f t="shared" si="85"/>
        <v>0</v>
      </c>
      <c r="CG30" s="209">
        <f t="shared" si="85"/>
        <v>0</v>
      </c>
      <c r="CH30" s="209">
        <f t="shared" si="85"/>
        <v>0</v>
      </c>
      <c r="CI30" s="209">
        <f t="shared" ref="CI30:CQ30" si="86">CI31-CI32</f>
        <v>0</v>
      </c>
      <c r="CJ30" s="209">
        <f t="shared" si="86"/>
        <v>0</v>
      </c>
      <c r="CK30" s="209">
        <f t="shared" si="86"/>
        <v>0</v>
      </c>
      <c r="CL30" s="209">
        <f t="shared" si="86"/>
        <v>0</v>
      </c>
      <c r="CM30" s="209">
        <f t="shared" si="86"/>
        <v>0</v>
      </c>
      <c r="CN30" s="209">
        <f t="shared" si="86"/>
        <v>0</v>
      </c>
      <c r="CO30" s="209">
        <f t="shared" si="86"/>
        <v>0</v>
      </c>
      <c r="CP30" s="209">
        <f t="shared" si="86"/>
        <v>0</v>
      </c>
      <c r="CQ30" s="209">
        <f t="shared" si="86"/>
        <v>0</v>
      </c>
      <c r="CR30" s="209">
        <f t="shared" ref="CR30:CU30" si="87">CR31-CR32</f>
        <v>0</v>
      </c>
      <c r="CS30" s="209">
        <f t="shared" si="87"/>
        <v>0</v>
      </c>
      <c r="CT30" s="209">
        <f t="shared" si="87"/>
        <v>0</v>
      </c>
      <c r="CU30" s="209">
        <f t="shared" si="87"/>
        <v>0</v>
      </c>
      <c r="CV30" s="209">
        <f t="shared" ref="CV30:DC30" si="88">CV31-CV32</f>
        <v>0</v>
      </c>
      <c r="CW30" s="209">
        <f t="shared" si="88"/>
        <v>0</v>
      </c>
      <c r="CX30" s="209">
        <f t="shared" si="88"/>
        <v>0</v>
      </c>
      <c r="CY30" s="209">
        <f t="shared" si="88"/>
        <v>0</v>
      </c>
      <c r="CZ30" s="209">
        <f t="shared" si="88"/>
        <v>0</v>
      </c>
      <c r="DA30" s="209">
        <f t="shared" si="88"/>
        <v>0</v>
      </c>
      <c r="DB30" s="209">
        <f t="shared" si="88"/>
        <v>0</v>
      </c>
      <c r="DC30" s="209">
        <f t="shared" si="88"/>
        <v>0</v>
      </c>
      <c r="DD30" s="209">
        <f t="shared" ref="DD30:DE30" si="89">DD31-DD32</f>
        <v>0</v>
      </c>
      <c r="DE30" s="209">
        <f t="shared" si="89"/>
        <v>0</v>
      </c>
    </row>
    <row r="31" spans="1:109" ht="14.25">
      <c r="A31" s="170" t="s">
        <v>104</v>
      </c>
      <c r="B31" s="322"/>
      <c r="C31" s="322"/>
      <c r="D31" s="322"/>
      <c r="E31" s="322"/>
      <c r="F31" s="322"/>
      <c r="G31" s="322"/>
      <c r="H31" s="322"/>
      <c r="I31" s="322"/>
      <c r="J31" s="302">
        <v>0</v>
      </c>
      <c r="K31" s="302">
        <v>0</v>
      </c>
      <c r="L31" s="310">
        <v>0</v>
      </c>
      <c r="M31" s="304">
        <v>0</v>
      </c>
      <c r="N31" s="304">
        <v>0</v>
      </c>
      <c r="O31" s="304">
        <v>0</v>
      </c>
      <c r="P31" s="304">
        <v>0</v>
      </c>
      <c r="Q31" s="304">
        <v>0</v>
      </c>
      <c r="R31" s="304">
        <v>0</v>
      </c>
      <c r="S31" s="304">
        <v>0</v>
      </c>
      <c r="T31" s="304">
        <v>0</v>
      </c>
      <c r="U31" s="304">
        <v>0</v>
      </c>
      <c r="V31" s="304">
        <v>0</v>
      </c>
      <c r="W31" s="342">
        <v>0</v>
      </c>
      <c r="X31" s="309">
        <v>0</v>
      </c>
      <c r="Y31" s="344">
        <v>0</v>
      </c>
      <c r="Z31" s="344">
        <v>0</v>
      </c>
      <c r="AA31" s="344">
        <v>0</v>
      </c>
      <c r="AB31" s="304">
        <v>0</v>
      </c>
      <c r="AC31" s="304">
        <v>0</v>
      </c>
      <c r="AD31" s="304">
        <v>0</v>
      </c>
      <c r="AE31" s="304">
        <v>0</v>
      </c>
      <c r="AF31" s="304">
        <v>0</v>
      </c>
      <c r="AG31" s="304">
        <v>0</v>
      </c>
      <c r="AH31" s="304">
        <v>0</v>
      </c>
      <c r="AI31" s="304">
        <v>0</v>
      </c>
      <c r="AJ31" s="284">
        <v>0</v>
      </c>
      <c r="AK31" s="284">
        <v>0</v>
      </c>
      <c r="AL31" s="284">
        <v>0</v>
      </c>
      <c r="AM31" s="284">
        <v>0</v>
      </c>
      <c r="AN31" s="284">
        <v>0</v>
      </c>
      <c r="AO31" s="284">
        <v>0</v>
      </c>
      <c r="AP31" s="278">
        <v>0</v>
      </c>
      <c r="AQ31" s="278">
        <v>0</v>
      </c>
      <c r="AR31" s="278">
        <v>0</v>
      </c>
      <c r="AS31" s="278">
        <v>0</v>
      </c>
      <c r="AT31" s="278">
        <v>0</v>
      </c>
      <c r="AU31" s="278">
        <v>0</v>
      </c>
      <c r="AV31" s="284">
        <v>0</v>
      </c>
      <c r="AW31" s="304">
        <v>0</v>
      </c>
      <c r="AX31" s="304">
        <v>0</v>
      </c>
      <c r="AY31" s="304">
        <v>0</v>
      </c>
      <c r="AZ31" s="304">
        <v>0</v>
      </c>
      <c r="BA31" s="304">
        <v>0</v>
      </c>
      <c r="BB31" s="304">
        <v>0</v>
      </c>
      <c r="BC31" s="304">
        <v>0</v>
      </c>
      <c r="BD31" s="304">
        <v>0</v>
      </c>
      <c r="BE31" s="304">
        <v>0</v>
      </c>
      <c r="BF31" s="304">
        <v>0</v>
      </c>
      <c r="BG31" s="304">
        <v>0</v>
      </c>
      <c r="BH31" s="304">
        <v>0</v>
      </c>
      <c r="BI31" s="304"/>
      <c r="BJ31" s="322">
        <v>0</v>
      </c>
      <c r="BK31" s="322">
        <v>0</v>
      </c>
      <c r="BL31" s="322">
        <v>0</v>
      </c>
      <c r="BM31" s="322">
        <v>0</v>
      </c>
      <c r="BN31" s="322">
        <v>0</v>
      </c>
      <c r="BO31" s="322">
        <v>0</v>
      </c>
      <c r="BP31" s="322">
        <v>0</v>
      </c>
      <c r="BQ31" s="322">
        <v>0</v>
      </c>
      <c r="BR31" s="322">
        <v>0</v>
      </c>
      <c r="BS31" s="322">
        <v>0</v>
      </c>
      <c r="BT31" s="322">
        <v>0</v>
      </c>
      <c r="BU31" s="322">
        <v>0</v>
      </c>
      <c r="BV31" s="322"/>
      <c r="BW31" s="275">
        <v>0</v>
      </c>
      <c r="BX31" s="275">
        <v>0</v>
      </c>
      <c r="BY31" s="275">
        <v>0</v>
      </c>
      <c r="BZ31" s="275">
        <v>0</v>
      </c>
      <c r="CA31" s="275">
        <v>0</v>
      </c>
      <c r="CB31" s="275">
        <v>0</v>
      </c>
      <c r="CC31" s="275">
        <v>0</v>
      </c>
      <c r="CD31" s="275">
        <v>0</v>
      </c>
      <c r="CE31" s="275">
        <v>0</v>
      </c>
      <c r="CF31" s="275">
        <v>0</v>
      </c>
      <c r="CG31" s="275">
        <v>0</v>
      </c>
      <c r="CH31" s="322"/>
      <c r="CI31" s="275">
        <v>0</v>
      </c>
      <c r="CJ31" s="275">
        <v>0</v>
      </c>
      <c r="CK31" s="275">
        <v>0</v>
      </c>
      <c r="CL31" s="275">
        <v>0</v>
      </c>
      <c r="CM31" s="275">
        <v>0</v>
      </c>
      <c r="CN31" s="358">
        <v>0</v>
      </c>
      <c r="CO31" s="358">
        <v>0</v>
      </c>
      <c r="CP31" s="358">
        <v>0</v>
      </c>
      <c r="CQ31" s="358">
        <v>0</v>
      </c>
      <c r="CR31" s="358">
        <v>0</v>
      </c>
      <c r="CS31" s="358">
        <v>0</v>
      </c>
      <c r="CT31" s="358">
        <v>0</v>
      </c>
      <c r="CU31" s="358">
        <v>0</v>
      </c>
      <c r="CV31" s="358">
        <v>0</v>
      </c>
      <c r="CW31" s="358">
        <v>0</v>
      </c>
      <c r="CX31" s="389">
        <v>0</v>
      </c>
      <c r="CY31" s="389">
        <v>0</v>
      </c>
      <c r="CZ31" s="358">
        <v>0</v>
      </c>
      <c r="DA31">
        <v>0</v>
      </c>
      <c r="DB31" s="358">
        <v>0</v>
      </c>
      <c r="DC31" s="358">
        <v>0</v>
      </c>
      <c r="DD31" s="358">
        <v>0</v>
      </c>
      <c r="DE31" s="452">
        <v>0</v>
      </c>
    </row>
    <row r="32" spans="1:109" ht="14.25">
      <c r="A32" s="170" t="s">
        <v>105</v>
      </c>
      <c r="B32" s="322"/>
      <c r="C32" s="322"/>
      <c r="D32" s="322"/>
      <c r="E32" s="322"/>
      <c r="F32" s="322"/>
      <c r="G32" s="322"/>
      <c r="H32" s="322"/>
      <c r="I32" s="322"/>
      <c r="J32" s="302">
        <v>0</v>
      </c>
      <c r="K32" s="302">
        <v>0</v>
      </c>
      <c r="L32" s="310">
        <v>0</v>
      </c>
      <c r="M32" s="304">
        <v>0</v>
      </c>
      <c r="N32" s="304">
        <v>0</v>
      </c>
      <c r="O32" s="304">
        <v>0</v>
      </c>
      <c r="P32" s="304">
        <v>0</v>
      </c>
      <c r="Q32" s="304">
        <v>0</v>
      </c>
      <c r="R32" s="304">
        <v>0</v>
      </c>
      <c r="S32" s="304">
        <v>0</v>
      </c>
      <c r="T32" s="304">
        <v>0</v>
      </c>
      <c r="U32" s="304">
        <v>0</v>
      </c>
      <c r="V32" s="304">
        <v>0</v>
      </c>
      <c r="W32" s="342">
        <v>0</v>
      </c>
      <c r="X32" s="309">
        <v>0</v>
      </c>
      <c r="Y32" s="344">
        <v>0</v>
      </c>
      <c r="Z32" s="344">
        <v>0</v>
      </c>
      <c r="AA32" s="344">
        <v>0</v>
      </c>
      <c r="AB32" s="304">
        <v>0</v>
      </c>
      <c r="AC32" s="304">
        <v>0</v>
      </c>
      <c r="AD32" s="304">
        <v>0</v>
      </c>
      <c r="AE32" s="304">
        <v>0</v>
      </c>
      <c r="AF32" s="304">
        <v>0</v>
      </c>
      <c r="AG32" s="304">
        <v>0</v>
      </c>
      <c r="AH32" s="304">
        <v>0</v>
      </c>
      <c r="AI32" s="304">
        <v>0</v>
      </c>
      <c r="AJ32" s="284">
        <v>0</v>
      </c>
      <c r="AK32" s="284">
        <v>0</v>
      </c>
      <c r="AL32" s="284">
        <v>0</v>
      </c>
      <c r="AM32" s="284">
        <v>0</v>
      </c>
      <c r="AN32" s="284">
        <v>0</v>
      </c>
      <c r="AO32" s="284">
        <v>0</v>
      </c>
      <c r="AP32" s="278">
        <v>0</v>
      </c>
      <c r="AQ32" s="278">
        <v>0</v>
      </c>
      <c r="AR32" s="278">
        <v>0</v>
      </c>
      <c r="AS32" s="278">
        <v>0</v>
      </c>
      <c r="AT32" s="278">
        <v>0</v>
      </c>
      <c r="AU32" s="278">
        <v>0</v>
      </c>
      <c r="AV32" s="284">
        <v>0</v>
      </c>
      <c r="AW32" s="304">
        <v>0</v>
      </c>
      <c r="AX32" s="304">
        <v>0</v>
      </c>
      <c r="AY32" s="304">
        <v>0</v>
      </c>
      <c r="AZ32" s="304">
        <v>0</v>
      </c>
      <c r="BA32" s="304">
        <v>0</v>
      </c>
      <c r="BB32" s="304">
        <v>0</v>
      </c>
      <c r="BC32" s="304">
        <v>0</v>
      </c>
      <c r="BD32" s="304">
        <v>0</v>
      </c>
      <c r="BE32" s="304">
        <v>0</v>
      </c>
      <c r="BF32" s="304">
        <v>0</v>
      </c>
      <c r="BG32" s="304">
        <v>0</v>
      </c>
      <c r="BH32" s="304">
        <v>0</v>
      </c>
      <c r="BI32" s="304"/>
      <c r="BJ32" s="322">
        <v>0</v>
      </c>
      <c r="BK32" s="322">
        <v>0</v>
      </c>
      <c r="BL32" s="322">
        <v>0</v>
      </c>
      <c r="BM32" s="322">
        <v>0</v>
      </c>
      <c r="BN32" s="322">
        <v>0</v>
      </c>
      <c r="BO32" s="322">
        <v>0</v>
      </c>
      <c r="BP32" s="322">
        <v>0</v>
      </c>
      <c r="BQ32" s="322">
        <v>0</v>
      </c>
      <c r="BR32" s="322">
        <v>0</v>
      </c>
      <c r="BS32" s="322">
        <v>0</v>
      </c>
      <c r="BT32" s="322">
        <v>0</v>
      </c>
      <c r="BU32" s="322">
        <v>0</v>
      </c>
      <c r="BV32" s="322"/>
      <c r="BW32" s="275">
        <v>0</v>
      </c>
      <c r="BX32" s="275">
        <v>0</v>
      </c>
      <c r="BY32" s="275">
        <v>0</v>
      </c>
      <c r="BZ32" s="275">
        <v>0</v>
      </c>
      <c r="CA32" s="275">
        <v>0</v>
      </c>
      <c r="CB32" s="275">
        <v>0</v>
      </c>
      <c r="CC32" s="275">
        <v>0</v>
      </c>
      <c r="CD32" s="275">
        <v>0</v>
      </c>
      <c r="CE32" s="275">
        <v>0</v>
      </c>
      <c r="CF32" s="275">
        <v>0</v>
      </c>
      <c r="CG32" s="275">
        <v>0</v>
      </c>
      <c r="CH32" s="322"/>
      <c r="CI32" s="275">
        <v>0</v>
      </c>
      <c r="CJ32" s="275">
        <v>0</v>
      </c>
      <c r="CK32" s="275">
        <v>0</v>
      </c>
      <c r="CL32" s="275">
        <v>0</v>
      </c>
      <c r="CM32" s="275">
        <v>0</v>
      </c>
      <c r="CN32" s="360">
        <v>0</v>
      </c>
      <c r="CO32" s="360">
        <v>0</v>
      </c>
      <c r="CP32" s="360">
        <v>0</v>
      </c>
      <c r="CQ32" s="360">
        <v>0</v>
      </c>
      <c r="CR32" s="360">
        <v>0</v>
      </c>
      <c r="CS32" s="360">
        <v>0</v>
      </c>
      <c r="CT32" s="360">
        <v>0</v>
      </c>
      <c r="CU32" s="360">
        <v>0</v>
      </c>
      <c r="CV32" s="360">
        <v>0</v>
      </c>
      <c r="CW32" s="360">
        <v>0</v>
      </c>
      <c r="CX32" s="369">
        <v>0</v>
      </c>
      <c r="CY32" s="369">
        <v>0</v>
      </c>
      <c r="CZ32" s="360">
        <v>0</v>
      </c>
      <c r="DA32">
        <v>0</v>
      </c>
      <c r="DB32" s="360">
        <v>0</v>
      </c>
      <c r="DC32" s="360">
        <v>0</v>
      </c>
      <c r="DD32" s="360">
        <v>0</v>
      </c>
      <c r="DE32" s="454">
        <v>0</v>
      </c>
    </row>
    <row r="33" spans="1:109" ht="15.75">
      <c r="A33" s="171" t="s">
        <v>106</v>
      </c>
      <c r="B33" s="215">
        <f t="shared" ref="B33:I33" si="90">B29+B30</f>
        <v>4514867</v>
      </c>
      <c r="C33" s="215">
        <f t="shared" si="90"/>
        <v>1567940</v>
      </c>
      <c r="D33" s="215">
        <f t="shared" si="90"/>
        <v>931463</v>
      </c>
      <c r="E33" s="215">
        <f t="shared" si="90"/>
        <v>1661030</v>
      </c>
      <c r="F33" s="215">
        <f t="shared" si="90"/>
        <v>-1406797.17</v>
      </c>
      <c r="G33" s="215">
        <f t="shared" si="90"/>
        <v>-4731486.7400000021</v>
      </c>
      <c r="H33" s="215">
        <f t="shared" si="90"/>
        <v>6649533</v>
      </c>
      <c r="I33" s="215">
        <f t="shared" si="90"/>
        <v>2839150</v>
      </c>
      <c r="J33" s="215">
        <f t="shared" ref="J33:U33" si="91">J29+J30</f>
        <v>1655545.2999999998</v>
      </c>
      <c r="K33" s="215">
        <f t="shared" si="91"/>
        <v>1626684.3200000003</v>
      </c>
      <c r="L33" s="215">
        <f t="shared" si="91"/>
        <v>2766072.330000001</v>
      </c>
      <c r="M33" s="215">
        <f t="shared" si="91"/>
        <v>2841144.84</v>
      </c>
      <c r="N33" s="215">
        <f t="shared" si="91"/>
        <v>4074188.9400000004</v>
      </c>
      <c r="O33" s="215">
        <f t="shared" si="91"/>
        <v>77430015.409999996</v>
      </c>
      <c r="P33" s="215">
        <f t="shared" si="91"/>
        <v>82534857.189999998</v>
      </c>
      <c r="Q33" s="215">
        <f t="shared" si="91"/>
        <v>82865818.570000008</v>
      </c>
      <c r="R33" s="215">
        <f t="shared" si="91"/>
        <v>83418268.859999999</v>
      </c>
      <c r="S33" s="215">
        <f t="shared" si="91"/>
        <v>83402899.039999992</v>
      </c>
      <c r="T33" s="215">
        <f t="shared" si="91"/>
        <v>147452.13000000268</v>
      </c>
      <c r="U33" s="215">
        <f t="shared" si="91"/>
        <v>352055.44999999925</v>
      </c>
      <c r="V33" s="215">
        <f>V29+V30</f>
        <v>3533017</v>
      </c>
      <c r="W33" s="215">
        <f t="shared" ref="W33:AH33" si="92">W29+W30</f>
        <v>-1751482.2</v>
      </c>
      <c r="X33" s="215">
        <f t="shared" si="92"/>
        <v>-4041263.38</v>
      </c>
      <c r="Y33" s="215">
        <f t="shared" si="92"/>
        <v>-1667106.5900000003</v>
      </c>
      <c r="Z33" s="215">
        <f t="shared" si="92"/>
        <v>-4580025.6099999994</v>
      </c>
      <c r="AA33" s="215">
        <f t="shared" si="92"/>
        <v>-6974110</v>
      </c>
      <c r="AB33" s="215">
        <f t="shared" si="92"/>
        <v>3984840</v>
      </c>
      <c r="AC33" s="215">
        <f t="shared" si="92"/>
        <v>10245189.050000001</v>
      </c>
      <c r="AD33" s="215">
        <f t="shared" si="92"/>
        <v>9397570</v>
      </c>
      <c r="AE33" s="215">
        <f t="shared" si="92"/>
        <v>6864348</v>
      </c>
      <c r="AF33" s="215">
        <f t="shared" si="92"/>
        <v>4675374.8000000007</v>
      </c>
      <c r="AG33" s="215">
        <f t="shared" si="92"/>
        <v>3537371.700000003</v>
      </c>
      <c r="AH33" s="215">
        <f t="shared" si="92"/>
        <v>3275621.5800000019</v>
      </c>
      <c r="AI33" s="215">
        <f>AI29+AI30</f>
        <v>144909.39999999851</v>
      </c>
      <c r="AJ33" s="215">
        <f>AJ29+AJ30</f>
        <v>-1273664.8766999999</v>
      </c>
      <c r="AK33" s="215">
        <f t="shared" ref="AK33:AU33" si="93">AK29+AK30</f>
        <v>-2418322.6066999999</v>
      </c>
      <c r="AL33" s="215">
        <f t="shared" si="93"/>
        <v>-4026832.4866999988</v>
      </c>
      <c r="AM33" s="215">
        <f t="shared" si="93"/>
        <v>-6271929.4867000002</v>
      </c>
      <c r="AN33" s="215">
        <f t="shared" si="93"/>
        <v>4970410.1029999983</v>
      </c>
      <c r="AO33" s="215">
        <f t="shared" si="93"/>
        <v>4232213.0329999998</v>
      </c>
      <c r="AP33" s="215">
        <f t="shared" si="93"/>
        <v>9325556.6099999994</v>
      </c>
      <c r="AQ33" s="215">
        <f t="shared" si="93"/>
        <v>9476242.4700000025</v>
      </c>
      <c r="AR33" s="215">
        <f t="shared" si="93"/>
        <v>5457402.6100000069</v>
      </c>
      <c r="AS33" s="215">
        <f t="shared" si="93"/>
        <v>4304103.2099999972</v>
      </c>
      <c r="AT33" s="215">
        <f t="shared" si="93"/>
        <v>7770391.9399999939</v>
      </c>
      <c r="AU33" s="215">
        <f t="shared" si="93"/>
        <v>6088529.9799999967</v>
      </c>
      <c r="AV33" s="215">
        <f t="shared" ref="AV33:BH33" si="94">AV29+AV30</f>
        <v>893701</v>
      </c>
      <c r="AW33" s="215">
        <f t="shared" si="94"/>
        <v>256614.95999999996</v>
      </c>
      <c r="AX33" s="215">
        <f t="shared" si="94"/>
        <v>1772847.7400000007</v>
      </c>
      <c r="AY33" s="215">
        <f t="shared" si="94"/>
        <v>1644693.7199999997</v>
      </c>
      <c r="AZ33" s="215">
        <f t="shared" si="94"/>
        <v>753600.75999999791</v>
      </c>
      <c r="BA33" s="215">
        <f t="shared" si="94"/>
        <v>13088009.699999999</v>
      </c>
      <c r="BB33" s="215">
        <f t="shared" si="94"/>
        <v>11716332.960000001</v>
      </c>
      <c r="BC33" s="215">
        <f t="shared" si="94"/>
        <v>16625033.170000006</v>
      </c>
      <c r="BD33" s="215">
        <f t="shared" si="94"/>
        <v>15559286.050000004</v>
      </c>
      <c r="BE33" s="215">
        <f t="shared" si="94"/>
        <v>11035639.359999996</v>
      </c>
      <c r="BF33" s="215">
        <f t="shared" si="94"/>
        <v>-626096.28000000492</v>
      </c>
      <c r="BG33" s="215">
        <f t="shared" si="94"/>
        <v>9536226.5900000036</v>
      </c>
      <c r="BH33" s="215">
        <f t="shared" si="94"/>
        <v>1989229.4899999946</v>
      </c>
      <c r="BI33" s="215">
        <f>BI29+BI30</f>
        <v>2910488.2599999979</v>
      </c>
      <c r="BJ33" s="215">
        <f>BJ29+BJ30</f>
        <v>-202442.68000000017</v>
      </c>
      <c r="BK33" s="215">
        <f t="shared" ref="BK33:BT33" si="95">BK29+BK30</f>
        <v>-2757121.5100000002</v>
      </c>
      <c r="BL33" s="215">
        <f t="shared" si="95"/>
        <v>-1572399.6600000001</v>
      </c>
      <c r="BM33" s="215">
        <f t="shared" si="95"/>
        <v>-3013962.1399999987</v>
      </c>
      <c r="BN33" s="215">
        <f t="shared" si="95"/>
        <v>-5392383.8200000003</v>
      </c>
      <c r="BO33" s="215">
        <f t="shared" si="95"/>
        <v>-2776123.200000003</v>
      </c>
      <c r="BP33" s="215">
        <f t="shared" si="95"/>
        <v>20653431.570000004</v>
      </c>
      <c r="BQ33" s="215">
        <f t="shared" si="95"/>
        <v>19887512.449999999</v>
      </c>
      <c r="BR33" s="215">
        <f t="shared" si="95"/>
        <v>17337131.809999999</v>
      </c>
      <c r="BS33" s="215">
        <f t="shared" si="95"/>
        <v>15958595.439999998</v>
      </c>
      <c r="BT33" s="215">
        <f t="shared" si="95"/>
        <v>12817638.720000006</v>
      </c>
      <c r="BU33" s="215">
        <f>BU29+BU30</f>
        <v>10929458.299999997</v>
      </c>
      <c r="BV33" s="215">
        <f>BV29+BV30</f>
        <v>12928961</v>
      </c>
      <c r="BW33" s="215">
        <f t="shared" ref="BW33:CD33" si="96">BW29+BW30</f>
        <v>-1625892.3200000003</v>
      </c>
      <c r="BX33" s="215">
        <f t="shared" si="96"/>
        <v>-7871405.0800000001</v>
      </c>
      <c r="BY33" s="215">
        <f t="shared" si="96"/>
        <v>-9667210.6499999985</v>
      </c>
      <c r="BZ33" s="215">
        <f t="shared" si="96"/>
        <v>-2310492.3500000034</v>
      </c>
      <c r="CA33" s="215">
        <f t="shared" si="96"/>
        <v>-3658232.2899999991</v>
      </c>
      <c r="CB33" s="215">
        <f t="shared" si="96"/>
        <v>13277539.029999997</v>
      </c>
      <c r="CC33" s="215">
        <f t="shared" si="96"/>
        <v>14305205.789999999</v>
      </c>
      <c r="CD33" s="215">
        <f t="shared" si="96"/>
        <v>18238935.600000005</v>
      </c>
      <c r="CE33" s="215">
        <f t="shared" ref="CE33:CK33" si="97">CE29+CE30</f>
        <v>20559540.640000001</v>
      </c>
      <c r="CF33" s="215">
        <f t="shared" si="97"/>
        <v>17036661.43</v>
      </c>
      <c r="CG33" s="215">
        <f t="shared" si="97"/>
        <v>8514088.8299999982</v>
      </c>
      <c r="CH33" s="215">
        <f t="shared" si="97"/>
        <v>8514088</v>
      </c>
      <c r="CI33" s="215">
        <f t="shared" si="97"/>
        <v>-2723103.4899999998</v>
      </c>
      <c r="CJ33" s="215">
        <f t="shared" si="97"/>
        <v>-6723743.5800000001</v>
      </c>
      <c r="CK33" s="215">
        <f t="shared" si="97"/>
        <v>-8277081.9500000002</v>
      </c>
      <c r="CL33" s="215">
        <f t="shared" ref="CL33:CQ33" si="98">CL29+CL30</f>
        <v>-1525729.3100000005</v>
      </c>
      <c r="CM33" s="215">
        <f t="shared" si="98"/>
        <v>-5879876.9500000011</v>
      </c>
      <c r="CN33" s="215">
        <f t="shared" si="98"/>
        <v>-10736905.199999999</v>
      </c>
      <c r="CO33" s="215">
        <f t="shared" si="98"/>
        <v>-13482933.769999996</v>
      </c>
      <c r="CP33" s="215">
        <f t="shared" si="98"/>
        <v>-21123999.580000002</v>
      </c>
      <c r="CQ33" s="215">
        <f t="shared" si="98"/>
        <v>-27727834.820000004</v>
      </c>
      <c r="CR33" s="215">
        <f t="shared" ref="CR33:CU33" si="99">CR29+CR30</f>
        <v>9850147.0199999921</v>
      </c>
      <c r="CS33" s="215">
        <f t="shared" si="99"/>
        <v>14713687.300000012</v>
      </c>
      <c r="CT33" s="215">
        <f t="shared" si="99"/>
        <v>21811485.159999982</v>
      </c>
      <c r="CU33" s="215">
        <f t="shared" si="99"/>
        <v>21811486</v>
      </c>
      <c r="CV33" s="215">
        <f t="shared" ref="CV33:DE33" si="100">CV29+CV30</f>
        <v>13710010</v>
      </c>
      <c r="CW33" s="215">
        <f t="shared" si="100"/>
        <v>-1363497.7499999995</v>
      </c>
      <c r="CX33" s="215">
        <f t="shared" si="100"/>
        <v>-4306039</v>
      </c>
      <c r="CY33" s="215">
        <f t="shared" si="100"/>
        <v>-4890257.2999999989</v>
      </c>
      <c r="CZ33" s="215">
        <f t="shared" si="100"/>
        <v>-7368355.0299999975</v>
      </c>
      <c r="DA33" s="215">
        <f t="shared" si="100"/>
        <v>-12707883.950000001</v>
      </c>
      <c r="DB33" s="215">
        <f t="shared" si="100"/>
        <v>-2501231.4899999946</v>
      </c>
      <c r="DC33" s="215">
        <f t="shared" si="100"/>
        <v>34683083.839999996</v>
      </c>
      <c r="DD33" s="215">
        <f t="shared" si="100"/>
        <v>32866118.500000007</v>
      </c>
      <c r="DE33" s="215">
        <f t="shared" si="100"/>
        <v>25752855.950000018</v>
      </c>
    </row>
    <row r="34" spans="1:109" ht="14.25">
      <c r="A34" s="170" t="s">
        <v>107</v>
      </c>
      <c r="B34" s="256"/>
      <c r="C34" s="256"/>
      <c r="D34" s="256"/>
      <c r="E34" s="256"/>
      <c r="F34" s="256"/>
      <c r="G34" s="256"/>
      <c r="H34" s="300">
        <v>95000</v>
      </c>
      <c r="I34" s="302">
        <v>651967</v>
      </c>
      <c r="J34" s="302">
        <v>0</v>
      </c>
      <c r="K34" s="302">
        <v>0</v>
      </c>
      <c r="L34" s="310">
        <v>0</v>
      </c>
      <c r="M34" s="304">
        <v>0</v>
      </c>
      <c r="N34" s="304">
        <v>0</v>
      </c>
      <c r="O34" s="304">
        <v>0</v>
      </c>
      <c r="P34" s="304">
        <v>0</v>
      </c>
      <c r="Q34" s="304">
        <v>0</v>
      </c>
      <c r="R34" s="304">
        <v>0</v>
      </c>
      <c r="S34" s="304">
        <v>0</v>
      </c>
      <c r="T34" s="304">
        <v>0</v>
      </c>
      <c r="U34" s="304">
        <v>0</v>
      </c>
      <c r="V34" s="304">
        <v>344540</v>
      </c>
      <c r="W34" s="342">
        <v>0</v>
      </c>
      <c r="X34" s="309">
        <v>0</v>
      </c>
      <c r="Y34" s="344">
        <v>0</v>
      </c>
      <c r="Z34" s="344">
        <v>0</v>
      </c>
      <c r="AA34" s="344">
        <v>0</v>
      </c>
      <c r="AB34" s="304">
        <v>0</v>
      </c>
      <c r="AC34" s="304">
        <v>0</v>
      </c>
      <c r="AD34" s="304">
        <v>0</v>
      </c>
      <c r="AE34" s="304">
        <v>0</v>
      </c>
      <c r="AF34" s="304">
        <v>0</v>
      </c>
      <c r="AG34" s="304">
        <v>0</v>
      </c>
      <c r="AH34" s="304">
        <v>0</v>
      </c>
      <c r="AI34" s="304">
        <v>1414209</v>
      </c>
      <c r="AJ34" s="284">
        <v>0</v>
      </c>
      <c r="AK34" s="284">
        <v>0</v>
      </c>
      <c r="AL34" s="284">
        <v>0</v>
      </c>
      <c r="AM34" s="284">
        <v>0</v>
      </c>
      <c r="AN34" s="284">
        <v>0</v>
      </c>
      <c r="AO34" s="284">
        <v>0</v>
      </c>
      <c r="AP34" s="278">
        <v>0</v>
      </c>
      <c r="AQ34" s="278">
        <v>0</v>
      </c>
      <c r="AR34" s="278">
        <v>0</v>
      </c>
      <c r="AS34" s="278">
        <v>0</v>
      </c>
      <c r="AT34" s="278">
        <v>0</v>
      </c>
      <c r="AU34" s="278">
        <v>0</v>
      </c>
      <c r="AV34" s="284">
        <v>268110</v>
      </c>
      <c r="AW34" s="304">
        <v>0</v>
      </c>
      <c r="AX34" s="304">
        <v>0</v>
      </c>
      <c r="AY34" s="304">
        <v>0</v>
      </c>
      <c r="AZ34" s="304">
        <v>0</v>
      </c>
      <c r="BA34" s="304"/>
      <c r="BB34" s="304"/>
      <c r="BC34" s="304"/>
      <c r="BD34" s="304">
        <v>0</v>
      </c>
      <c r="BE34" s="304">
        <v>0</v>
      </c>
      <c r="BF34" s="304">
        <v>0</v>
      </c>
      <c r="BG34" s="304">
        <v>0</v>
      </c>
      <c r="BH34" s="304">
        <v>0</v>
      </c>
      <c r="BI34" s="304">
        <v>873146.35</v>
      </c>
      <c r="BJ34" s="322">
        <v>0</v>
      </c>
      <c r="BK34" s="322">
        <v>0</v>
      </c>
      <c r="BL34" s="322">
        <v>0</v>
      </c>
      <c r="BM34" s="322">
        <v>0</v>
      </c>
      <c r="BN34" s="322">
        <v>0</v>
      </c>
      <c r="BO34" s="322">
        <v>0</v>
      </c>
      <c r="BP34" s="322">
        <v>0</v>
      </c>
      <c r="BQ34" s="322">
        <v>0</v>
      </c>
      <c r="BR34" s="322">
        <v>0</v>
      </c>
      <c r="BS34" s="322">
        <v>0</v>
      </c>
      <c r="BT34" s="322">
        <v>0</v>
      </c>
      <c r="BU34" s="322">
        <v>0</v>
      </c>
      <c r="BW34" s="275">
        <v>0</v>
      </c>
      <c r="BX34" s="275">
        <v>0</v>
      </c>
      <c r="BY34" s="275">
        <v>0</v>
      </c>
      <c r="BZ34" s="275">
        <v>0</v>
      </c>
      <c r="CA34" s="275">
        <v>0</v>
      </c>
      <c r="CB34" s="275">
        <v>0</v>
      </c>
      <c r="CC34" s="275">
        <v>0</v>
      </c>
      <c r="CD34" s="275">
        <v>0</v>
      </c>
      <c r="CE34" s="275">
        <v>0</v>
      </c>
      <c r="CF34" s="275">
        <v>0</v>
      </c>
      <c r="CG34" s="275">
        <v>0</v>
      </c>
      <c r="CH34" s="284">
        <v>-2554226.56</v>
      </c>
      <c r="CI34" s="275">
        <v>0</v>
      </c>
      <c r="CJ34" s="275">
        <v>0</v>
      </c>
      <c r="CK34" s="275">
        <v>0</v>
      </c>
      <c r="CL34" s="275">
        <v>0</v>
      </c>
      <c r="CM34" s="275">
        <v>0</v>
      </c>
      <c r="CN34" s="358">
        <v>0</v>
      </c>
      <c r="CO34" s="358">
        <v>0</v>
      </c>
      <c r="CP34" s="358">
        <v>0</v>
      </c>
      <c r="CQ34" s="358"/>
      <c r="CR34" s="358"/>
      <c r="CS34" s="358"/>
      <c r="CT34" s="358"/>
      <c r="CU34" s="358">
        <v>6543446</v>
      </c>
      <c r="CV34" s="358">
        <v>4113004</v>
      </c>
      <c r="CW34" s="358">
        <v>0</v>
      </c>
      <c r="CX34" s="389">
        <v>0</v>
      </c>
      <c r="CY34" s="389">
        <v>0</v>
      </c>
      <c r="CZ34">
        <v>0</v>
      </c>
      <c r="DA34">
        <v>0</v>
      </c>
      <c r="DB34" s="358">
        <v>0</v>
      </c>
      <c r="DC34" s="358">
        <v>0</v>
      </c>
      <c r="DD34" s="358">
        <v>0</v>
      </c>
      <c r="DE34" s="358">
        <v>0</v>
      </c>
    </row>
    <row r="35" spans="1:109" ht="15.75">
      <c r="A35" s="169" t="s">
        <v>108</v>
      </c>
      <c r="B35" s="209">
        <f t="shared" ref="B35:G35" si="101">B33-B34</f>
        <v>4514867</v>
      </c>
      <c r="C35" s="209">
        <f t="shared" si="101"/>
        <v>1567940</v>
      </c>
      <c r="D35" s="209">
        <f t="shared" si="101"/>
        <v>931463</v>
      </c>
      <c r="E35" s="209">
        <f t="shared" si="101"/>
        <v>1661030</v>
      </c>
      <c r="F35" s="209">
        <f t="shared" si="101"/>
        <v>-1406797.17</v>
      </c>
      <c r="G35" s="209">
        <f t="shared" si="101"/>
        <v>-4731486.7400000021</v>
      </c>
      <c r="H35" s="209">
        <f>H33-H34</f>
        <v>6554533</v>
      </c>
      <c r="I35" s="209">
        <f>I33-I34</f>
        <v>2187183</v>
      </c>
      <c r="J35" s="209">
        <f t="shared" ref="J35:U35" si="102">J33-J34</f>
        <v>1655545.2999999998</v>
      </c>
      <c r="K35" s="209">
        <f t="shared" si="102"/>
        <v>1626684.3200000003</v>
      </c>
      <c r="L35" s="209">
        <f t="shared" si="102"/>
        <v>2766072.330000001</v>
      </c>
      <c r="M35" s="209">
        <f t="shared" si="102"/>
        <v>2841144.84</v>
      </c>
      <c r="N35" s="209">
        <f t="shared" si="102"/>
        <v>4074188.9400000004</v>
      </c>
      <c r="O35" s="209">
        <f t="shared" si="102"/>
        <v>77430015.409999996</v>
      </c>
      <c r="P35" s="209">
        <f t="shared" si="102"/>
        <v>82534857.189999998</v>
      </c>
      <c r="Q35" s="209">
        <f t="shared" si="102"/>
        <v>82865818.570000008</v>
      </c>
      <c r="R35" s="209">
        <f t="shared" si="102"/>
        <v>83418268.859999999</v>
      </c>
      <c r="S35" s="209">
        <f t="shared" si="102"/>
        <v>83402899.039999992</v>
      </c>
      <c r="T35" s="209">
        <f t="shared" si="102"/>
        <v>147452.13000000268</v>
      </c>
      <c r="U35" s="209">
        <f t="shared" si="102"/>
        <v>352055.44999999925</v>
      </c>
      <c r="V35" s="209">
        <f>V33-V34</f>
        <v>3188477</v>
      </c>
      <c r="W35" s="209">
        <f t="shared" ref="W35:AH35" si="103">W33-W34</f>
        <v>-1751482.2</v>
      </c>
      <c r="X35" s="209">
        <f t="shared" si="103"/>
        <v>-4041263.38</v>
      </c>
      <c r="Y35" s="209">
        <f t="shared" si="103"/>
        <v>-1667106.5900000003</v>
      </c>
      <c r="Z35" s="209">
        <f t="shared" si="103"/>
        <v>-4580025.6099999994</v>
      </c>
      <c r="AA35" s="209">
        <f t="shared" si="103"/>
        <v>-6974110</v>
      </c>
      <c r="AB35" s="209">
        <f t="shared" si="103"/>
        <v>3984840</v>
      </c>
      <c r="AC35" s="209">
        <f t="shared" si="103"/>
        <v>10245189.050000001</v>
      </c>
      <c r="AD35" s="209">
        <f t="shared" si="103"/>
        <v>9397570</v>
      </c>
      <c r="AE35" s="209">
        <f t="shared" si="103"/>
        <v>6864348</v>
      </c>
      <c r="AF35" s="209">
        <f t="shared" si="103"/>
        <v>4675374.8000000007</v>
      </c>
      <c r="AG35" s="209">
        <f t="shared" si="103"/>
        <v>3537371.700000003</v>
      </c>
      <c r="AH35" s="209">
        <f t="shared" si="103"/>
        <v>3275621.5800000019</v>
      </c>
      <c r="AI35" s="209">
        <f>AI33-AI34</f>
        <v>-1269299.6000000015</v>
      </c>
      <c r="AJ35" s="209">
        <f>AJ33-AJ34</f>
        <v>-1273664.8766999999</v>
      </c>
      <c r="AK35" s="209">
        <f t="shared" ref="AK35:AU35" si="104">AK33-AK34</f>
        <v>-2418322.6066999999</v>
      </c>
      <c r="AL35" s="209">
        <f t="shared" si="104"/>
        <v>-4026832.4866999988</v>
      </c>
      <c r="AM35" s="209">
        <f t="shared" si="104"/>
        <v>-6271929.4867000002</v>
      </c>
      <c r="AN35" s="209">
        <f t="shared" si="104"/>
        <v>4970410.1029999983</v>
      </c>
      <c r="AO35" s="209">
        <f t="shared" si="104"/>
        <v>4232213.0329999998</v>
      </c>
      <c r="AP35" s="209">
        <f t="shared" si="104"/>
        <v>9325556.6099999994</v>
      </c>
      <c r="AQ35" s="209">
        <f t="shared" si="104"/>
        <v>9476242.4700000025</v>
      </c>
      <c r="AR35" s="209">
        <f t="shared" si="104"/>
        <v>5457402.6100000069</v>
      </c>
      <c r="AS35" s="209">
        <f t="shared" si="104"/>
        <v>4304103.2099999972</v>
      </c>
      <c r="AT35" s="209">
        <f t="shared" si="104"/>
        <v>7770391.9399999939</v>
      </c>
      <c r="AU35" s="209">
        <f t="shared" si="104"/>
        <v>6088529.9799999967</v>
      </c>
      <c r="AV35" s="209">
        <f t="shared" ref="AV35:BH35" si="105">AV33-AV34</f>
        <v>625591</v>
      </c>
      <c r="AW35" s="209">
        <f t="shared" si="105"/>
        <v>256614.95999999996</v>
      </c>
      <c r="AX35" s="209">
        <f t="shared" si="105"/>
        <v>1772847.7400000007</v>
      </c>
      <c r="AY35" s="209">
        <f t="shared" si="105"/>
        <v>1644693.7199999997</v>
      </c>
      <c r="AZ35" s="209">
        <f t="shared" si="105"/>
        <v>753600.75999999791</v>
      </c>
      <c r="BA35" s="209">
        <f t="shared" si="105"/>
        <v>13088009.699999999</v>
      </c>
      <c r="BB35" s="209">
        <f t="shared" si="105"/>
        <v>11716332.960000001</v>
      </c>
      <c r="BC35" s="209">
        <f t="shared" si="105"/>
        <v>16625033.170000006</v>
      </c>
      <c r="BD35" s="209">
        <f t="shared" si="105"/>
        <v>15559286.050000004</v>
      </c>
      <c r="BE35" s="209">
        <f t="shared" si="105"/>
        <v>11035639.359999996</v>
      </c>
      <c r="BF35" s="209">
        <f t="shared" si="105"/>
        <v>-626096.28000000492</v>
      </c>
      <c r="BG35" s="209">
        <f t="shared" si="105"/>
        <v>9536226.5900000036</v>
      </c>
      <c r="BH35" s="209">
        <f t="shared" si="105"/>
        <v>1989229.4899999946</v>
      </c>
      <c r="BI35" s="209">
        <f>BI33-BI34</f>
        <v>2037341.9099999978</v>
      </c>
      <c r="BJ35" s="209">
        <f t="shared" ref="BJ35:BT35" si="106">BJ33-BJ34</f>
        <v>-202442.68000000017</v>
      </c>
      <c r="BK35" s="209">
        <f t="shared" si="106"/>
        <v>-2757121.5100000002</v>
      </c>
      <c r="BL35" s="209">
        <f t="shared" si="106"/>
        <v>-1572399.6600000001</v>
      </c>
      <c r="BM35" s="209">
        <f t="shared" si="106"/>
        <v>-3013962.1399999987</v>
      </c>
      <c r="BN35" s="209">
        <f t="shared" si="106"/>
        <v>-5392383.8200000003</v>
      </c>
      <c r="BO35" s="209">
        <f t="shared" si="106"/>
        <v>-2776123.200000003</v>
      </c>
      <c r="BP35" s="209">
        <f t="shared" si="106"/>
        <v>20653431.570000004</v>
      </c>
      <c r="BQ35" s="209">
        <f t="shared" si="106"/>
        <v>19887512.449999999</v>
      </c>
      <c r="BR35" s="209">
        <f t="shared" si="106"/>
        <v>17337131.809999999</v>
      </c>
      <c r="BS35" s="209">
        <f t="shared" si="106"/>
        <v>15958595.439999998</v>
      </c>
      <c r="BT35" s="209">
        <f t="shared" si="106"/>
        <v>12817638.720000006</v>
      </c>
      <c r="BU35" s="209">
        <f>BU33-BU34</f>
        <v>10929458.299999997</v>
      </c>
      <c r="BV35" s="209">
        <f t="shared" ref="BV35:CH35" si="107">BV33-BV34</f>
        <v>12928961</v>
      </c>
      <c r="BW35" s="209">
        <f t="shared" si="107"/>
        <v>-1625892.3200000003</v>
      </c>
      <c r="BX35" s="209">
        <f t="shared" si="107"/>
        <v>-7871405.0800000001</v>
      </c>
      <c r="BY35" s="209">
        <f t="shared" si="107"/>
        <v>-9667210.6499999985</v>
      </c>
      <c r="BZ35" s="209">
        <f t="shared" si="107"/>
        <v>-2310492.3500000034</v>
      </c>
      <c r="CA35" s="209">
        <f t="shared" si="107"/>
        <v>-3658232.2899999991</v>
      </c>
      <c r="CB35" s="209">
        <f t="shared" si="107"/>
        <v>13277539.029999997</v>
      </c>
      <c r="CC35" s="209">
        <f t="shared" si="107"/>
        <v>14305205.789999999</v>
      </c>
      <c r="CD35" s="209">
        <f t="shared" si="107"/>
        <v>18238935.600000005</v>
      </c>
      <c r="CE35" s="209">
        <f t="shared" si="107"/>
        <v>20559540.640000001</v>
      </c>
      <c r="CF35" s="209">
        <f t="shared" si="107"/>
        <v>17036661.43</v>
      </c>
      <c r="CG35" s="209">
        <f t="shared" si="107"/>
        <v>8514088.8299999982</v>
      </c>
      <c r="CH35" s="209">
        <f t="shared" si="107"/>
        <v>11068314.560000001</v>
      </c>
      <c r="CI35" s="209">
        <f t="shared" ref="CI35:CQ35" si="108">CI33-CI34</f>
        <v>-2723103.4899999998</v>
      </c>
      <c r="CJ35" s="209">
        <f t="shared" si="108"/>
        <v>-6723743.5800000001</v>
      </c>
      <c r="CK35" s="209">
        <f t="shared" si="108"/>
        <v>-8277081.9500000002</v>
      </c>
      <c r="CL35" s="209">
        <f t="shared" si="108"/>
        <v>-1525729.3100000005</v>
      </c>
      <c r="CM35" s="209">
        <f t="shared" si="108"/>
        <v>-5879876.9500000011</v>
      </c>
      <c r="CN35" s="209">
        <f t="shared" si="108"/>
        <v>-10736905.199999999</v>
      </c>
      <c r="CO35" s="209">
        <f t="shared" si="108"/>
        <v>-13482933.769999996</v>
      </c>
      <c r="CP35" s="209">
        <f t="shared" si="108"/>
        <v>-21123999.580000002</v>
      </c>
      <c r="CQ35" s="209">
        <f t="shared" si="108"/>
        <v>-27727834.820000004</v>
      </c>
      <c r="CR35" s="209">
        <f t="shared" ref="CR35:CU35" si="109">CR33-CR34</f>
        <v>9850147.0199999921</v>
      </c>
      <c r="CS35" s="209">
        <f t="shared" si="109"/>
        <v>14713687.300000012</v>
      </c>
      <c r="CT35" s="209">
        <f t="shared" si="109"/>
        <v>21811485.159999982</v>
      </c>
      <c r="CU35" s="209">
        <f t="shared" si="109"/>
        <v>15268040</v>
      </c>
      <c r="CV35" s="209">
        <f t="shared" ref="CV35:DE35" si="110">CV33-CV34</f>
        <v>9597006</v>
      </c>
      <c r="CW35" s="209">
        <f t="shared" si="110"/>
        <v>-1363497.7499999995</v>
      </c>
      <c r="CX35" s="209">
        <f t="shared" si="110"/>
        <v>-4306039</v>
      </c>
      <c r="CY35" s="209">
        <f t="shared" si="110"/>
        <v>-4890257.2999999989</v>
      </c>
      <c r="CZ35" s="209">
        <f t="shared" si="110"/>
        <v>-7368355.0299999975</v>
      </c>
      <c r="DA35" s="209">
        <f t="shared" si="110"/>
        <v>-12707883.950000001</v>
      </c>
      <c r="DB35" s="209">
        <f t="shared" si="110"/>
        <v>-2501231.4899999946</v>
      </c>
      <c r="DC35" s="209">
        <f t="shared" si="110"/>
        <v>34683083.839999996</v>
      </c>
      <c r="DD35" s="209">
        <f t="shared" si="110"/>
        <v>32866118.500000007</v>
      </c>
      <c r="DE35" s="209">
        <f t="shared" si="110"/>
        <v>25752855.950000018</v>
      </c>
    </row>
    <row r="36" spans="1:109" ht="15.75">
      <c r="A36" s="170" t="s">
        <v>109</v>
      </c>
      <c r="B36" s="214"/>
      <c r="C36" s="214"/>
      <c r="D36" s="214"/>
      <c r="E36" s="214"/>
      <c r="F36" s="214"/>
      <c r="G36" s="214"/>
      <c r="H36" s="214"/>
      <c r="I36" s="214"/>
      <c r="J36" s="302">
        <v>0</v>
      </c>
      <c r="K36" s="302">
        <v>0</v>
      </c>
      <c r="L36" s="310">
        <v>0</v>
      </c>
      <c r="M36" s="304">
        <v>0</v>
      </c>
      <c r="N36" s="304">
        <v>0</v>
      </c>
      <c r="O36" s="304">
        <v>0</v>
      </c>
      <c r="P36" s="304">
        <v>0</v>
      </c>
      <c r="Q36" s="304">
        <v>0</v>
      </c>
      <c r="R36" s="304">
        <v>0</v>
      </c>
      <c r="S36" s="304">
        <v>0</v>
      </c>
      <c r="T36" s="304">
        <v>0</v>
      </c>
      <c r="U36" s="304">
        <v>0</v>
      </c>
      <c r="V36" s="304"/>
      <c r="W36" s="342">
        <v>0</v>
      </c>
      <c r="X36" s="309">
        <v>0</v>
      </c>
      <c r="Y36" s="344">
        <v>0</v>
      </c>
      <c r="Z36" s="344">
        <v>0</v>
      </c>
      <c r="AA36" s="344">
        <v>0</v>
      </c>
      <c r="AB36" s="304">
        <v>0</v>
      </c>
      <c r="AC36" s="304">
        <v>0</v>
      </c>
      <c r="AD36" s="304">
        <v>0</v>
      </c>
      <c r="AE36" s="304">
        <v>0</v>
      </c>
      <c r="AF36" s="304">
        <v>0</v>
      </c>
      <c r="AG36" s="304">
        <v>0</v>
      </c>
      <c r="AH36" s="304">
        <v>0</v>
      </c>
      <c r="AI36" s="304">
        <v>0</v>
      </c>
      <c r="AJ36" s="284">
        <v>0</v>
      </c>
      <c r="AK36" s="284">
        <v>0</v>
      </c>
      <c r="AL36" s="284">
        <v>0</v>
      </c>
      <c r="AM36" s="284">
        <v>0</v>
      </c>
      <c r="AN36" s="284">
        <v>0</v>
      </c>
      <c r="AO36" s="284">
        <v>0</v>
      </c>
      <c r="AP36" s="284">
        <v>0</v>
      </c>
      <c r="AQ36" s="284">
        <v>0</v>
      </c>
      <c r="AR36" s="284">
        <v>0</v>
      </c>
      <c r="AS36" s="284">
        <v>0</v>
      </c>
      <c r="AT36" s="284">
        <v>0</v>
      </c>
      <c r="AU36" s="284">
        <v>0</v>
      </c>
      <c r="AV36" s="214"/>
      <c r="AW36" s="304">
        <v>0</v>
      </c>
      <c r="AX36" s="304">
        <v>0</v>
      </c>
      <c r="AY36" s="304">
        <v>0</v>
      </c>
      <c r="AZ36" s="304">
        <v>0</v>
      </c>
      <c r="BA36" s="304">
        <v>0</v>
      </c>
      <c r="BB36" s="304">
        <v>0</v>
      </c>
      <c r="BC36" s="304">
        <v>0</v>
      </c>
      <c r="BD36" s="304">
        <v>0</v>
      </c>
      <c r="BE36" s="304">
        <v>0</v>
      </c>
      <c r="BF36" s="304">
        <v>0</v>
      </c>
      <c r="BG36" s="322">
        <v>0</v>
      </c>
      <c r="BH36" s="322">
        <v>0</v>
      </c>
      <c r="BI36" s="351"/>
      <c r="BJ36" s="322">
        <v>0</v>
      </c>
      <c r="BK36" s="322">
        <v>0</v>
      </c>
      <c r="BL36" s="322">
        <v>0</v>
      </c>
      <c r="BM36" s="322">
        <v>0</v>
      </c>
      <c r="BN36" s="322">
        <v>0</v>
      </c>
      <c r="BO36" s="322">
        <v>0</v>
      </c>
      <c r="BP36" s="322">
        <v>0</v>
      </c>
      <c r="BQ36" s="322">
        <v>0</v>
      </c>
      <c r="BR36" s="322">
        <v>0</v>
      </c>
      <c r="BS36" s="322">
        <v>0</v>
      </c>
      <c r="BT36" s="322">
        <v>0</v>
      </c>
      <c r="BU36" s="322">
        <v>0</v>
      </c>
      <c r="BV36" s="214"/>
      <c r="BW36" s="275">
        <v>0</v>
      </c>
      <c r="BX36" s="275">
        <v>0</v>
      </c>
      <c r="BY36" s="275">
        <v>0</v>
      </c>
      <c r="BZ36" s="275">
        <v>0</v>
      </c>
      <c r="CA36" s="275">
        <v>0</v>
      </c>
      <c r="CB36" s="275">
        <v>0</v>
      </c>
      <c r="CC36" s="275">
        <v>0</v>
      </c>
      <c r="CD36" s="275">
        <v>0</v>
      </c>
      <c r="CE36" s="275">
        <v>0</v>
      </c>
      <c r="CF36" s="275">
        <v>0</v>
      </c>
      <c r="CG36" s="275">
        <v>0</v>
      </c>
      <c r="CH36" s="322"/>
      <c r="CI36" s="275">
        <v>0</v>
      </c>
      <c r="CJ36" s="275">
        <v>0</v>
      </c>
      <c r="CK36" s="275">
        <v>0</v>
      </c>
      <c r="CL36" s="275">
        <v>0</v>
      </c>
      <c r="CM36" s="275">
        <v>0</v>
      </c>
      <c r="CN36" s="358">
        <v>0</v>
      </c>
      <c r="CO36" s="358">
        <v>0</v>
      </c>
      <c r="CP36" s="358">
        <v>0</v>
      </c>
      <c r="CQ36" s="358"/>
      <c r="CR36" s="358"/>
      <c r="CS36" s="358"/>
      <c r="CT36" s="358"/>
      <c r="CU36" s="358"/>
      <c r="CV36" s="358"/>
      <c r="CW36" s="358">
        <v>0</v>
      </c>
      <c r="CX36" s="389">
        <v>0</v>
      </c>
      <c r="CY36" s="389">
        <v>0</v>
      </c>
      <c r="CZ36">
        <v>0</v>
      </c>
      <c r="DA36">
        <v>0</v>
      </c>
      <c r="DB36" s="358">
        <v>0</v>
      </c>
      <c r="DC36" s="358">
        <v>0</v>
      </c>
      <c r="DD36" s="358">
        <v>0</v>
      </c>
      <c r="DE36" s="358">
        <v>0</v>
      </c>
    </row>
    <row r="37" spans="1:109" ht="15.75">
      <c r="A37" s="169" t="s">
        <v>110</v>
      </c>
      <c r="B37" s="209">
        <f t="shared" ref="B37:G37" si="111">B35-B36</f>
        <v>4514867</v>
      </c>
      <c r="C37" s="209">
        <f t="shared" si="111"/>
        <v>1567940</v>
      </c>
      <c r="D37" s="209">
        <f t="shared" si="111"/>
        <v>931463</v>
      </c>
      <c r="E37" s="209">
        <f t="shared" si="111"/>
        <v>1661030</v>
      </c>
      <c r="F37" s="209">
        <f t="shared" si="111"/>
        <v>-1406797.17</v>
      </c>
      <c r="G37" s="209">
        <f t="shared" si="111"/>
        <v>-4731486.7400000021</v>
      </c>
      <c r="H37" s="209">
        <f>H35-H36</f>
        <v>6554533</v>
      </c>
      <c r="I37" s="209">
        <f>I35-I36</f>
        <v>2187183</v>
      </c>
      <c r="J37" s="209">
        <f t="shared" ref="J37:U37" si="112">J35-J36</f>
        <v>1655545.2999999998</v>
      </c>
      <c r="K37" s="209">
        <f t="shared" si="112"/>
        <v>1626684.3200000003</v>
      </c>
      <c r="L37" s="209">
        <f t="shared" si="112"/>
        <v>2766072.330000001</v>
      </c>
      <c r="M37" s="209">
        <f t="shared" si="112"/>
        <v>2841144.84</v>
      </c>
      <c r="N37" s="209">
        <f t="shared" si="112"/>
        <v>4074188.9400000004</v>
      </c>
      <c r="O37" s="209">
        <f t="shared" si="112"/>
        <v>77430015.409999996</v>
      </c>
      <c r="P37" s="209">
        <f t="shared" si="112"/>
        <v>82534857.189999998</v>
      </c>
      <c r="Q37" s="209">
        <f t="shared" si="112"/>
        <v>82865818.570000008</v>
      </c>
      <c r="R37" s="209">
        <f t="shared" si="112"/>
        <v>83418268.859999999</v>
      </c>
      <c r="S37" s="209">
        <f t="shared" si="112"/>
        <v>83402899.039999992</v>
      </c>
      <c r="T37" s="209">
        <f t="shared" si="112"/>
        <v>147452.13000000268</v>
      </c>
      <c r="U37" s="209">
        <f t="shared" si="112"/>
        <v>352055.44999999925</v>
      </c>
      <c r="V37" s="209">
        <f>V35-V36</f>
        <v>3188477</v>
      </c>
      <c r="W37" s="209">
        <f t="shared" ref="W37:AH37" si="113">W35-W36</f>
        <v>-1751482.2</v>
      </c>
      <c r="X37" s="209">
        <f t="shared" si="113"/>
        <v>-4041263.38</v>
      </c>
      <c r="Y37" s="209">
        <f t="shared" si="113"/>
        <v>-1667106.5900000003</v>
      </c>
      <c r="Z37" s="209">
        <f t="shared" si="113"/>
        <v>-4580025.6099999994</v>
      </c>
      <c r="AA37" s="209">
        <f t="shared" si="113"/>
        <v>-6974110</v>
      </c>
      <c r="AB37" s="209">
        <f t="shared" si="113"/>
        <v>3984840</v>
      </c>
      <c r="AC37" s="209">
        <f t="shared" si="113"/>
        <v>10245189.050000001</v>
      </c>
      <c r="AD37" s="209">
        <f t="shared" si="113"/>
        <v>9397570</v>
      </c>
      <c r="AE37" s="209">
        <f t="shared" si="113"/>
        <v>6864348</v>
      </c>
      <c r="AF37" s="209">
        <f t="shared" si="113"/>
        <v>4675374.8000000007</v>
      </c>
      <c r="AG37" s="209">
        <f t="shared" si="113"/>
        <v>3537371.700000003</v>
      </c>
      <c r="AH37" s="209">
        <f t="shared" si="113"/>
        <v>3275621.5800000019</v>
      </c>
      <c r="AI37" s="209">
        <f>AI35-AI36</f>
        <v>-1269299.6000000015</v>
      </c>
      <c r="AJ37" s="209">
        <f>AJ35-AJ36</f>
        <v>-1273664.8766999999</v>
      </c>
      <c r="AK37" s="209">
        <f t="shared" ref="AK37:AU37" si="114">AK35-AK36</f>
        <v>-2418322.6066999999</v>
      </c>
      <c r="AL37" s="209">
        <f t="shared" si="114"/>
        <v>-4026832.4866999988</v>
      </c>
      <c r="AM37" s="209">
        <f t="shared" si="114"/>
        <v>-6271929.4867000002</v>
      </c>
      <c r="AN37" s="209">
        <f t="shared" si="114"/>
        <v>4970410.1029999983</v>
      </c>
      <c r="AO37" s="209">
        <f t="shared" si="114"/>
        <v>4232213.0329999998</v>
      </c>
      <c r="AP37" s="209">
        <f t="shared" si="114"/>
        <v>9325556.6099999994</v>
      </c>
      <c r="AQ37" s="209">
        <f t="shared" si="114"/>
        <v>9476242.4700000025</v>
      </c>
      <c r="AR37" s="209">
        <f t="shared" si="114"/>
        <v>5457402.6100000069</v>
      </c>
      <c r="AS37" s="209">
        <f t="shared" si="114"/>
        <v>4304103.2099999972</v>
      </c>
      <c r="AT37" s="209">
        <f t="shared" si="114"/>
        <v>7770391.9399999939</v>
      </c>
      <c r="AU37" s="209">
        <f t="shared" si="114"/>
        <v>6088529.9799999967</v>
      </c>
      <c r="AV37" s="209">
        <f t="shared" ref="AV37:BH37" si="115">AV35-AV36</f>
        <v>625591</v>
      </c>
      <c r="AW37" s="209">
        <f t="shared" si="115"/>
        <v>256614.95999999996</v>
      </c>
      <c r="AX37" s="209">
        <f t="shared" si="115"/>
        <v>1772847.7400000007</v>
      </c>
      <c r="AY37" s="209">
        <f t="shared" si="115"/>
        <v>1644693.7199999997</v>
      </c>
      <c r="AZ37" s="209">
        <f t="shared" si="115"/>
        <v>753600.75999999791</v>
      </c>
      <c r="BA37" s="209">
        <f t="shared" si="115"/>
        <v>13088009.699999999</v>
      </c>
      <c r="BB37" s="209">
        <f t="shared" si="115"/>
        <v>11716332.960000001</v>
      </c>
      <c r="BC37" s="209">
        <f t="shared" si="115"/>
        <v>16625033.170000006</v>
      </c>
      <c r="BD37" s="209">
        <f t="shared" si="115"/>
        <v>15559286.050000004</v>
      </c>
      <c r="BE37" s="209">
        <f t="shared" si="115"/>
        <v>11035639.359999996</v>
      </c>
      <c r="BF37" s="209">
        <f t="shared" si="115"/>
        <v>-626096.28000000492</v>
      </c>
      <c r="BG37" s="209">
        <f t="shared" si="115"/>
        <v>9536226.5900000036</v>
      </c>
      <c r="BH37" s="209">
        <f t="shared" si="115"/>
        <v>1989229.4899999946</v>
      </c>
      <c r="BI37" s="209">
        <f>BI35-BI36</f>
        <v>2037341.9099999978</v>
      </c>
      <c r="BJ37" s="209">
        <f t="shared" ref="BJ37:BT37" si="116">BJ35-BJ36</f>
        <v>-202442.68000000017</v>
      </c>
      <c r="BK37" s="209">
        <f t="shared" si="116"/>
        <v>-2757121.5100000002</v>
      </c>
      <c r="BL37" s="209">
        <f t="shared" si="116"/>
        <v>-1572399.6600000001</v>
      </c>
      <c r="BM37" s="209">
        <f t="shared" si="116"/>
        <v>-3013962.1399999987</v>
      </c>
      <c r="BN37" s="209">
        <f t="shared" si="116"/>
        <v>-5392383.8200000003</v>
      </c>
      <c r="BO37" s="209">
        <f t="shared" si="116"/>
        <v>-2776123.200000003</v>
      </c>
      <c r="BP37" s="209">
        <f t="shared" si="116"/>
        <v>20653431.570000004</v>
      </c>
      <c r="BQ37" s="209">
        <f t="shared" si="116"/>
        <v>19887512.449999999</v>
      </c>
      <c r="BR37" s="209">
        <f t="shared" si="116"/>
        <v>17337131.809999999</v>
      </c>
      <c r="BS37" s="209">
        <f t="shared" si="116"/>
        <v>15958595.439999998</v>
      </c>
      <c r="BT37" s="209">
        <f t="shared" si="116"/>
        <v>12817638.720000006</v>
      </c>
      <c r="BU37" s="209">
        <f>BU35-BU36</f>
        <v>10929458.299999997</v>
      </c>
      <c r="BV37" s="209">
        <f t="shared" ref="BV37:CH37" si="117">BV35-BV36</f>
        <v>12928961</v>
      </c>
      <c r="BW37" s="209">
        <f t="shared" si="117"/>
        <v>-1625892.3200000003</v>
      </c>
      <c r="BX37" s="209">
        <f t="shared" si="117"/>
        <v>-7871405.0800000001</v>
      </c>
      <c r="BY37" s="209">
        <f t="shared" si="117"/>
        <v>-9667210.6499999985</v>
      </c>
      <c r="BZ37" s="209">
        <f t="shared" si="117"/>
        <v>-2310492.3500000034</v>
      </c>
      <c r="CA37" s="209">
        <f t="shared" si="117"/>
        <v>-3658232.2899999991</v>
      </c>
      <c r="CB37" s="209">
        <f t="shared" si="117"/>
        <v>13277539.029999997</v>
      </c>
      <c r="CC37" s="209">
        <f t="shared" si="117"/>
        <v>14305205.789999999</v>
      </c>
      <c r="CD37" s="209">
        <f t="shared" si="117"/>
        <v>18238935.600000005</v>
      </c>
      <c r="CE37" s="209">
        <f t="shared" si="117"/>
        <v>20559540.640000001</v>
      </c>
      <c r="CF37" s="209">
        <f t="shared" si="117"/>
        <v>17036661.43</v>
      </c>
      <c r="CG37" s="209">
        <f t="shared" si="117"/>
        <v>8514088.8299999982</v>
      </c>
      <c r="CH37" s="209">
        <f t="shared" si="117"/>
        <v>11068314.560000001</v>
      </c>
      <c r="CI37" s="209">
        <f t="shared" ref="CI37:CQ37" si="118">CI35-CI36</f>
        <v>-2723103.4899999998</v>
      </c>
      <c r="CJ37" s="209">
        <f t="shared" si="118"/>
        <v>-6723743.5800000001</v>
      </c>
      <c r="CK37" s="209">
        <f t="shared" si="118"/>
        <v>-8277081.9500000002</v>
      </c>
      <c r="CL37" s="209">
        <f t="shared" si="118"/>
        <v>-1525729.3100000005</v>
      </c>
      <c r="CM37" s="209">
        <f t="shared" si="118"/>
        <v>-5879876.9500000011</v>
      </c>
      <c r="CN37" s="209">
        <f t="shared" si="118"/>
        <v>-10736905.199999999</v>
      </c>
      <c r="CO37" s="209">
        <f t="shared" si="118"/>
        <v>-13482933.769999996</v>
      </c>
      <c r="CP37" s="209">
        <f t="shared" si="118"/>
        <v>-21123999.580000002</v>
      </c>
      <c r="CQ37" s="209">
        <f t="shared" si="118"/>
        <v>-27727834.820000004</v>
      </c>
      <c r="CR37" s="209">
        <f t="shared" ref="CR37:CU37" si="119">CR35-CR36</f>
        <v>9850147.0199999921</v>
      </c>
      <c r="CS37" s="209">
        <f t="shared" si="119"/>
        <v>14713687.300000012</v>
      </c>
      <c r="CT37" s="209">
        <f t="shared" si="119"/>
        <v>21811485.159999982</v>
      </c>
      <c r="CU37" s="209">
        <f t="shared" si="119"/>
        <v>15268040</v>
      </c>
      <c r="CV37" s="209">
        <f t="shared" ref="CV37:DE37" si="120">CV35-CV36</f>
        <v>9597006</v>
      </c>
      <c r="CW37" s="209">
        <f t="shared" si="120"/>
        <v>-1363497.7499999995</v>
      </c>
      <c r="CX37" s="209">
        <f t="shared" si="120"/>
        <v>-4306039</v>
      </c>
      <c r="CY37" s="209">
        <f t="shared" si="120"/>
        <v>-4890257.2999999989</v>
      </c>
      <c r="CZ37" s="209">
        <f t="shared" si="120"/>
        <v>-7368355.0299999975</v>
      </c>
      <c r="DA37" s="209">
        <f t="shared" si="120"/>
        <v>-12707883.950000001</v>
      </c>
      <c r="DB37" s="209">
        <f t="shared" si="120"/>
        <v>-2501231.4899999946</v>
      </c>
      <c r="DC37" s="209">
        <f t="shared" si="120"/>
        <v>34683083.839999996</v>
      </c>
      <c r="DD37" s="209">
        <f t="shared" si="120"/>
        <v>32866118.500000007</v>
      </c>
      <c r="DE37" s="209">
        <f t="shared" si="120"/>
        <v>25752855.950000018</v>
      </c>
    </row>
    <row r="38" spans="1:109">
      <c r="B38" s="256"/>
      <c r="C38" s="256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256"/>
      <c r="BF38" s="256"/>
      <c r="BG38" s="256"/>
      <c r="BH38" s="256"/>
      <c r="BI38" s="256"/>
      <c r="BJ38" s="256"/>
      <c r="BK38" s="256"/>
      <c r="BL38" s="256"/>
      <c r="BM38" s="256"/>
      <c r="BN38" s="256"/>
      <c r="BO38" s="256"/>
      <c r="BP38" s="256"/>
      <c r="BQ38" s="256"/>
      <c r="BR38" s="256"/>
      <c r="BS38" s="256"/>
      <c r="BT38" s="256"/>
      <c r="BU38" s="256"/>
      <c r="BW38" s="256"/>
      <c r="BX38" s="256"/>
      <c r="BY38" s="256"/>
      <c r="BZ38" s="256"/>
      <c r="CA38" s="256"/>
      <c r="CB38" s="256"/>
      <c r="CC38" s="256"/>
      <c r="CD38" s="256"/>
      <c r="CE38" s="256"/>
      <c r="CF38" s="256"/>
      <c r="CG38" s="256"/>
      <c r="CH38" s="256"/>
      <c r="CI38" s="256"/>
      <c r="CJ38" s="256"/>
      <c r="CK38" s="256"/>
      <c r="CL38" s="256"/>
      <c r="CM38" s="256"/>
    </row>
    <row r="39" spans="1:109" ht="15.75">
      <c r="A39" t="s">
        <v>111</v>
      </c>
      <c r="B39" s="218">
        <f t="shared" ref="B39:I39" si="121">B12+B23</f>
        <v>4921975</v>
      </c>
      <c r="C39" s="218">
        <f t="shared" si="121"/>
        <v>5428571</v>
      </c>
      <c r="D39" s="218">
        <f t="shared" si="121"/>
        <v>5976017</v>
      </c>
      <c r="E39" s="218">
        <f t="shared" si="121"/>
        <v>14300532</v>
      </c>
      <c r="F39" s="218">
        <f t="shared" si="121"/>
        <v>12428441</v>
      </c>
      <c r="G39" s="218">
        <f t="shared" si="121"/>
        <v>13705076.330000002</v>
      </c>
      <c r="H39" s="218">
        <f t="shared" si="121"/>
        <v>14704470</v>
      </c>
      <c r="I39" s="218">
        <f t="shared" si="121"/>
        <v>15397346</v>
      </c>
      <c r="J39" s="218">
        <f t="shared" ref="J39:U39" si="122">J12+J23</f>
        <v>1410898.3199999998</v>
      </c>
      <c r="K39" s="218">
        <f t="shared" si="122"/>
        <v>4208471.18</v>
      </c>
      <c r="L39" s="218">
        <f t="shared" si="122"/>
        <v>6476687.5999999996</v>
      </c>
      <c r="M39" s="218">
        <f t="shared" si="122"/>
        <v>8739337.8499999996</v>
      </c>
      <c r="N39" s="218">
        <f t="shared" si="122"/>
        <v>10714174.99</v>
      </c>
      <c r="O39" s="218">
        <f t="shared" si="122"/>
        <v>12716656.75</v>
      </c>
      <c r="P39" s="218">
        <f t="shared" si="122"/>
        <v>15114959.52</v>
      </c>
      <c r="Q39" s="218">
        <f t="shared" si="122"/>
        <v>17713463.789999999</v>
      </c>
      <c r="R39" s="218">
        <f t="shared" si="122"/>
        <v>20156315.640000001</v>
      </c>
      <c r="S39" s="218">
        <f t="shared" si="122"/>
        <v>22627710.850000001</v>
      </c>
      <c r="T39" s="218">
        <f t="shared" si="122"/>
        <v>26880211.859999999</v>
      </c>
      <c r="U39" s="218">
        <f t="shared" si="122"/>
        <v>30242904.049999997</v>
      </c>
      <c r="V39" s="218">
        <f>V12+V23</f>
        <v>28848529</v>
      </c>
      <c r="W39" s="218">
        <f t="shared" ref="W39:AH39" si="123">W12+W23</f>
        <v>1855831.97</v>
      </c>
      <c r="X39" s="218">
        <f t="shared" si="123"/>
        <v>8133677.5</v>
      </c>
      <c r="Y39" s="218">
        <f t="shared" si="123"/>
        <v>5166125.49</v>
      </c>
      <c r="Z39" s="218">
        <f t="shared" si="123"/>
        <v>9051085.8699999992</v>
      </c>
      <c r="AA39" s="218">
        <f t="shared" si="123"/>
        <v>11549517</v>
      </c>
      <c r="AB39" s="218">
        <f t="shared" si="123"/>
        <v>13343883</v>
      </c>
      <c r="AC39" s="218">
        <f t="shared" si="123"/>
        <v>15642642.879999999</v>
      </c>
      <c r="AD39" s="218">
        <f t="shared" si="123"/>
        <v>19015281</v>
      </c>
      <c r="AE39" s="218">
        <f t="shared" si="123"/>
        <v>23232700</v>
      </c>
      <c r="AF39" s="218">
        <f t="shared" si="123"/>
        <v>25880476.199999999</v>
      </c>
      <c r="AG39" s="218">
        <f t="shared" si="123"/>
        <v>28336573.689999998</v>
      </c>
      <c r="AH39" s="218">
        <f t="shared" si="123"/>
        <v>33162767.52</v>
      </c>
      <c r="AI39" s="218">
        <f>AI12+AI23</f>
        <v>34859386.600000001</v>
      </c>
      <c r="AJ39" s="218">
        <f>AJ12+AJ23</f>
        <v>2113858.75</v>
      </c>
      <c r="AK39" s="218">
        <f t="shared" ref="AK39:AU39" si="124">AK12+AK23</f>
        <v>3925012.4899999998</v>
      </c>
      <c r="AL39" s="218">
        <f t="shared" si="124"/>
        <v>6301657.4299999997</v>
      </c>
      <c r="AM39" s="218">
        <f t="shared" si="124"/>
        <v>9301401.7300000004</v>
      </c>
      <c r="AN39" s="218">
        <f t="shared" si="124"/>
        <v>11546526.290000001</v>
      </c>
      <c r="AO39" s="218">
        <f t="shared" si="124"/>
        <v>13755322.43</v>
      </c>
      <c r="AP39" s="218">
        <f t="shared" si="124"/>
        <v>15813761.109999999</v>
      </c>
      <c r="AQ39" s="218">
        <f t="shared" si="124"/>
        <v>18348572.719999999</v>
      </c>
      <c r="AR39" s="218">
        <f t="shared" si="124"/>
        <v>21763971.189999998</v>
      </c>
      <c r="AS39" s="218">
        <f t="shared" si="124"/>
        <v>23883129.090000004</v>
      </c>
      <c r="AT39" s="218">
        <f t="shared" si="124"/>
        <v>25538160.780000001</v>
      </c>
      <c r="AU39" s="218">
        <f t="shared" si="124"/>
        <v>28784766.880000003</v>
      </c>
      <c r="AV39" s="218">
        <f t="shared" ref="AV39:BH39" si="125">AV12+AV23</f>
        <v>32979595</v>
      </c>
      <c r="AW39" s="218">
        <f t="shared" si="125"/>
        <v>1877402.52</v>
      </c>
      <c r="AX39" s="218">
        <f t="shared" si="125"/>
        <v>4067597.0399999996</v>
      </c>
      <c r="AY39" s="218">
        <f t="shared" si="125"/>
        <v>6424629.4900000002</v>
      </c>
      <c r="AZ39" s="218">
        <f t="shared" si="125"/>
        <v>9577452.7800000012</v>
      </c>
      <c r="BA39" s="218">
        <f t="shared" si="125"/>
        <v>12171920.370000001</v>
      </c>
      <c r="BB39" s="218">
        <f t="shared" si="125"/>
        <v>15718776.920000002</v>
      </c>
      <c r="BC39" s="218">
        <f t="shared" si="125"/>
        <v>17336137.370000001</v>
      </c>
      <c r="BD39" s="218">
        <f t="shared" si="125"/>
        <v>19562708.530000001</v>
      </c>
      <c r="BE39" s="218">
        <f t="shared" si="125"/>
        <v>24924144.760000002</v>
      </c>
      <c r="BF39" s="218">
        <f t="shared" si="125"/>
        <v>27570597.09</v>
      </c>
      <c r="BG39" s="218">
        <f t="shared" si="125"/>
        <v>29796225.509999998</v>
      </c>
      <c r="BH39" s="218">
        <f t="shared" si="125"/>
        <v>38508844.170000002</v>
      </c>
      <c r="BI39" s="218">
        <f>BI12+BI23</f>
        <v>37587586.280000001</v>
      </c>
      <c r="BJ39" s="218">
        <f>BJ12+BJ23</f>
        <v>2266607.56</v>
      </c>
      <c r="BK39" s="218">
        <f t="shared" ref="BK39:BT39" si="126">BK12+BK23</f>
        <v>5061581.29</v>
      </c>
      <c r="BL39" s="218">
        <f t="shared" si="126"/>
        <v>7753329.4900000002</v>
      </c>
      <c r="BM39" s="218">
        <f t="shared" si="126"/>
        <v>10627445.899999999</v>
      </c>
      <c r="BN39" s="218">
        <f t="shared" si="126"/>
        <v>14038456.870000001</v>
      </c>
      <c r="BO39" s="218">
        <f t="shared" si="126"/>
        <v>16796383.940000001</v>
      </c>
      <c r="BP39" s="218">
        <f t="shared" si="126"/>
        <v>20065693.129999999</v>
      </c>
      <c r="BQ39" s="218">
        <f t="shared" si="126"/>
        <v>22897245.190000001</v>
      </c>
      <c r="BR39" s="218">
        <f t="shared" si="126"/>
        <v>27383134.550000001</v>
      </c>
      <c r="BS39" s="218">
        <f t="shared" si="126"/>
        <v>30883474.399999999</v>
      </c>
      <c r="BT39" s="218">
        <f t="shared" si="126"/>
        <v>33879451.629999995</v>
      </c>
      <c r="BU39" s="218">
        <f>BU12+BU23</f>
        <v>46674729.18</v>
      </c>
      <c r="BV39" s="218">
        <f>BV12+BV23</f>
        <v>44674728.829999998</v>
      </c>
      <c r="BW39" s="218">
        <f t="shared" ref="BW39:CD39" si="127">BW12+BW23</f>
        <v>2764433.97</v>
      </c>
      <c r="BX39" s="218">
        <f t="shared" si="127"/>
        <v>6065353.4800000004</v>
      </c>
      <c r="BY39" s="218">
        <f t="shared" si="127"/>
        <v>8688728.1999999993</v>
      </c>
      <c r="BZ39" s="218">
        <f t="shared" si="127"/>
        <v>11411920.17</v>
      </c>
      <c r="CA39" s="218">
        <f t="shared" si="127"/>
        <v>14140651.360000001</v>
      </c>
      <c r="CB39" s="218">
        <f t="shared" si="127"/>
        <v>17061223.620000001</v>
      </c>
      <c r="CC39" s="218">
        <f t="shared" si="127"/>
        <v>22808407.780000001</v>
      </c>
      <c r="CD39" s="218">
        <f t="shared" si="127"/>
        <v>26088227.489999998</v>
      </c>
      <c r="CE39" s="218">
        <f t="shared" ref="CE39:CK39" si="128">CE12+CE23</f>
        <v>29744774.539999999</v>
      </c>
      <c r="CF39" s="218">
        <f t="shared" si="128"/>
        <v>34084458.119999997</v>
      </c>
      <c r="CG39" s="218">
        <f t="shared" si="128"/>
        <v>44774833.270000003</v>
      </c>
      <c r="CH39" s="218">
        <f t="shared" si="128"/>
        <v>44774834</v>
      </c>
      <c r="CI39" s="218">
        <f t="shared" si="128"/>
        <v>2656206.7199999997</v>
      </c>
      <c r="CJ39" s="218">
        <f t="shared" si="128"/>
        <v>5692195.1600000001</v>
      </c>
      <c r="CK39" s="218">
        <f t="shared" si="128"/>
        <v>8572080.0800000001</v>
      </c>
      <c r="CL39" s="218">
        <f t="shared" ref="CL39:CQ39" si="129">CL12+CL23</f>
        <v>11890926.800000001</v>
      </c>
      <c r="CM39" s="218">
        <f t="shared" si="129"/>
        <v>14521742.460000001</v>
      </c>
      <c r="CN39" s="218">
        <f t="shared" si="129"/>
        <v>17343409.140000001</v>
      </c>
      <c r="CO39" s="218">
        <f t="shared" si="129"/>
        <v>19953177.18</v>
      </c>
      <c r="CP39" s="218">
        <f t="shared" si="129"/>
        <v>22784552.050000001</v>
      </c>
      <c r="CQ39" s="218">
        <f t="shared" si="129"/>
        <v>25998412.400000002</v>
      </c>
      <c r="CR39" s="218">
        <f t="shared" ref="CR39:CU39" si="130">CR12+CR23</f>
        <v>30747688.080000002</v>
      </c>
      <c r="CS39" s="218">
        <f t="shared" si="130"/>
        <v>35559466.099999994</v>
      </c>
      <c r="CT39" s="218">
        <f t="shared" si="130"/>
        <v>47263977.980000004</v>
      </c>
      <c r="CU39" s="218">
        <f t="shared" si="130"/>
        <v>47263977</v>
      </c>
      <c r="CV39" s="218">
        <f t="shared" ref="CV39:DE39" si="131">CV12+CV23</f>
        <v>56365001</v>
      </c>
      <c r="CW39" s="218">
        <f t="shared" si="131"/>
        <v>3469100.9699999997</v>
      </c>
      <c r="CX39" s="218">
        <f t="shared" si="131"/>
        <v>7328908.3399999999</v>
      </c>
      <c r="CY39" s="218">
        <f t="shared" si="131"/>
        <v>11085126.859999999</v>
      </c>
      <c r="CZ39" s="218">
        <f t="shared" si="131"/>
        <v>15794015.699999999</v>
      </c>
      <c r="DA39" s="218">
        <f t="shared" si="131"/>
        <v>20024023.400000002</v>
      </c>
      <c r="DB39" s="218">
        <f t="shared" si="131"/>
        <v>24188416.489999998</v>
      </c>
      <c r="DC39" s="218">
        <f t="shared" si="131"/>
        <v>29497528.32</v>
      </c>
      <c r="DD39" s="218">
        <f t="shared" si="131"/>
        <v>34231980.43</v>
      </c>
      <c r="DE39" s="218">
        <f t="shared" si="131"/>
        <v>41927955.099999994</v>
      </c>
    </row>
    <row r="44" spans="1:109">
      <c r="CI44" s="268">
        <f>CI37-164292468.04</f>
        <v>-167015571.53</v>
      </c>
    </row>
  </sheetData>
  <phoneticPr fontId="3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2"/>
  <sheetViews>
    <sheetView zoomScaleNormal="100" workbookViewId="0">
      <selection activeCell="C42" sqref="C42"/>
    </sheetView>
  </sheetViews>
  <sheetFormatPr defaultColWidth="9.140625" defaultRowHeight="14.45"/>
  <cols>
    <col min="1" max="1" width="36.85546875" style="193" customWidth="1"/>
    <col min="2" max="2" width="13" style="201" customWidth="1"/>
    <col min="3" max="5" width="18.42578125" style="193" bestFit="1" customWidth="1"/>
    <col min="6" max="6" width="10.42578125" style="193" hidden="1" customWidth="1"/>
    <col min="7" max="7" width="21.28515625" style="202" customWidth="1"/>
    <col min="8" max="8" width="13.7109375" style="193" bestFit="1" customWidth="1"/>
    <col min="9" max="16384" width="9.140625" style="193"/>
  </cols>
  <sheetData>
    <row r="1" spans="1:7">
      <c r="A1" s="411" t="s">
        <v>112</v>
      </c>
      <c r="B1" s="412"/>
      <c r="C1" s="412"/>
      <c r="D1" s="412"/>
      <c r="E1" s="412"/>
      <c r="F1" s="413"/>
      <c r="G1" s="414"/>
    </row>
    <row r="2" spans="1:7">
      <c r="A2" s="415" t="s">
        <v>113</v>
      </c>
      <c r="B2" s="416"/>
      <c r="C2" s="416"/>
      <c r="D2" s="416"/>
      <c r="E2" s="416"/>
      <c r="F2" s="417"/>
      <c r="G2" s="418"/>
    </row>
    <row r="3" spans="1:7">
      <c r="A3" s="246"/>
      <c r="B3" s="419" t="s">
        <v>114</v>
      </c>
      <c r="C3" s="253" t="s">
        <v>115</v>
      </c>
      <c r="D3" s="421" t="s">
        <v>116</v>
      </c>
      <c r="E3" s="422"/>
      <c r="F3" s="423" t="s">
        <v>117</v>
      </c>
      <c r="G3" s="425" t="s">
        <v>118</v>
      </c>
    </row>
    <row r="4" spans="1:7" ht="21.75" customHeight="1">
      <c r="A4" s="43"/>
      <c r="B4" s="420"/>
      <c r="C4" s="220">
        <v>2017</v>
      </c>
      <c r="D4" s="221">
        <v>43160</v>
      </c>
      <c r="E4" s="222">
        <v>43252</v>
      </c>
      <c r="F4" s="424"/>
      <c r="G4" s="426"/>
    </row>
    <row r="5" spans="1:7">
      <c r="A5" s="407" t="s">
        <v>119</v>
      </c>
      <c r="B5" s="408"/>
      <c r="C5" s="408"/>
      <c r="D5" s="408"/>
      <c r="E5" s="408"/>
      <c r="F5" s="409"/>
      <c r="G5" s="410"/>
    </row>
    <row r="6" spans="1:7">
      <c r="A6" s="236" t="s">
        <v>120</v>
      </c>
      <c r="B6" s="237" t="s">
        <v>121</v>
      </c>
      <c r="C6" s="258">
        <f>C33</f>
        <v>3575294000</v>
      </c>
      <c r="D6" s="258">
        <f>D33</f>
        <v>3638388109.2157083</v>
      </c>
      <c r="E6" s="258">
        <f>E33</f>
        <v>3850883587.7828484</v>
      </c>
      <c r="F6" s="258">
        <f>F33</f>
        <v>0</v>
      </c>
      <c r="G6" s="258">
        <f>G33</f>
        <v>69326567615.863998</v>
      </c>
    </row>
    <row r="7" spans="1:7">
      <c r="A7" s="236" t="s">
        <v>122</v>
      </c>
      <c r="B7" s="238" t="s">
        <v>123</v>
      </c>
      <c r="C7" s="259">
        <f>C33/C29</f>
        <v>0.12516246590040864</v>
      </c>
      <c r="D7" s="259">
        <f>D33/D29</f>
        <v>0.12404378252661359</v>
      </c>
      <c r="E7" s="259">
        <f>E33/E29</f>
        <v>0.12810105414315853</v>
      </c>
      <c r="F7" s="259" t="e">
        <f>F33/F29</f>
        <v>#DIV/0!</v>
      </c>
      <c r="G7" s="259">
        <f>G33/G29</f>
        <v>0.15142618549789269</v>
      </c>
    </row>
    <row r="8" spans="1:7">
      <c r="A8" s="236" t="s">
        <v>124</v>
      </c>
      <c r="B8" s="238" t="s">
        <v>125</v>
      </c>
      <c r="C8" s="259">
        <f>C34/C29</f>
        <v>8.4655345791955078E-2</v>
      </c>
      <c r="D8" s="259">
        <f>D34/D29</f>
        <v>8.042760202256892E-2</v>
      </c>
      <c r="E8" s="259">
        <f>E34/E29</f>
        <v>8.2116799218848416E-2</v>
      </c>
      <c r="F8" s="259" t="e">
        <f>F34/F29</f>
        <v>#DIV/0!</v>
      </c>
      <c r="G8" s="259">
        <f>G34/G29</f>
        <v>8.6793276578618864E-2</v>
      </c>
    </row>
    <row r="9" spans="1:7">
      <c r="A9" s="407" t="s">
        <v>126</v>
      </c>
      <c r="B9" s="408"/>
      <c r="C9" s="408"/>
      <c r="D9" s="408"/>
      <c r="E9" s="408"/>
      <c r="F9" s="409"/>
      <c r="G9" s="410"/>
    </row>
    <row r="10" spans="1:7">
      <c r="A10" s="236" t="s">
        <v>127</v>
      </c>
      <c r="B10" s="237" t="s">
        <v>128</v>
      </c>
      <c r="C10" s="259">
        <f>C35/C32</f>
        <v>8.3758751660342134E-2</v>
      </c>
      <c r="D10" s="259">
        <f>D35/D32</f>
        <v>6.990596473643039E-2</v>
      </c>
      <c r="E10" s="259">
        <f>E35/E32</f>
        <v>6.4128918777493063E-2</v>
      </c>
      <c r="F10" s="259" t="e">
        <f>F35/F32</f>
        <v>#DIV/0!</v>
      </c>
      <c r="G10" s="259">
        <f>G35/G32</f>
        <v>6.4216555660073046E-2</v>
      </c>
    </row>
    <row r="11" spans="1:7">
      <c r="A11" s="236" t="s">
        <v>129</v>
      </c>
      <c r="B11" s="237" t="s">
        <v>130</v>
      </c>
      <c r="C11" s="259">
        <f>C36/C29</f>
        <v>7.8233551459860717E-2</v>
      </c>
      <c r="D11" s="259">
        <f>D36/D29</f>
        <v>7.0771560179866924E-2</v>
      </c>
      <c r="E11" s="259">
        <f>E36/E29</f>
        <v>7.3871285467047465E-2</v>
      </c>
      <c r="F11" s="259" t="e">
        <f>F36/F29</f>
        <v>#DIV/0!</v>
      </c>
      <c r="G11" s="259">
        <f>G36/G29</f>
        <v>0.21105591650727981</v>
      </c>
    </row>
    <row r="12" spans="1:7">
      <c r="A12" s="236" t="s">
        <v>131</v>
      </c>
      <c r="B12" s="237" t="s">
        <v>128</v>
      </c>
      <c r="C12" s="239">
        <f>C38/C31</f>
        <v>3.9319754241610334E-2</v>
      </c>
      <c r="D12" s="239">
        <f>D38/D31</f>
        <v>3.5325791682766637E-2</v>
      </c>
      <c r="E12" s="239">
        <f>E38/E31</f>
        <v>3.7197617219539458E-2</v>
      </c>
      <c r="F12" s="239" t="e">
        <f>F38/F31</f>
        <v>#DIV/0!</v>
      </c>
      <c r="G12" s="239">
        <f>G38/G31</f>
        <v>4.1240427366101499E-2</v>
      </c>
    </row>
    <row r="13" spans="1:7" s="194" customFormat="1">
      <c r="A13" s="240" t="s">
        <v>132</v>
      </c>
      <c r="B13" s="237" t="s">
        <v>133</v>
      </c>
      <c r="C13" s="251">
        <f>C38/C33</f>
        <v>0.24098997173379308</v>
      </c>
      <c r="D13" s="251">
        <f>D38/D33</f>
        <v>0.22956689395624905</v>
      </c>
      <c r="E13" s="251">
        <f>E38/E33</f>
        <v>0.22930110535447146</v>
      </c>
      <c r="F13" s="251" t="e">
        <f>F38/F33</f>
        <v>#DIV/0!</v>
      </c>
      <c r="G13" s="251">
        <f>G38/G33</f>
        <v>0.19351902642905425</v>
      </c>
    </row>
    <row r="14" spans="1:7">
      <c r="A14" s="407" t="s">
        <v>134</v>
      </c>
      <c r="B14" s="408"/>
      <c r="C14" s="408"/>
      <c r="D14" s="408"/>
      <c r="E14" s="408"/>
      <c r="F14" s="409"/>
      <c r="G14" s="410"/>
    </row>
    <row r="15" spans="1:7">
      <c r="A15" s="236" t="s">
        <v>135</v>
      </c>
      <c r="B15" s="237"/>
      <c r="C15" s="252">
        <f>C41/C32</f>
        <v>7.6755321619858249E-2</v>
      </c>
      <c r="D15" s="259">
        <f>D41/D32</f>
        <v>1.9738298154250281E-2</v>
      </c>
      <c r="E15" s="259">
        <f>E41/E32</f>
        <v>3.8638319225778109E-2</v>
      </c>
      <c r="F15" s="259" t="e">
        <f>F41/F32</f>
        <v>#DIV/0!</v>
      </c>
      <c r="G15" s="259">
        <f>G41/G32</f>
        <v>6.0128915991312128E-2</v>
      </c>
    </row>
    <row r="16" spans="1:7">
      <c r="A16" s="236" t="s">
        <v>136</v>
      </c>
      <c r="B16" s="237"/>
      <c r="C16" s="252">
        <f>C44/C40</f>
        <v>0.86029119555425726</v>
      </c>
      <c r="D16" s="251">
        <f>D44/D40</f>
        <v>0.91284222053722508</v>
      </c>
      <c r="E16" s="251">
        <f>E44/E40</f>
        <v>0.88209002620604382</v>
      </c>
      <c r="F16" s="251" t="e">
        <f>F44/F40</f>
        <v>#DIV/0!</v>
      </c>
      <c r="G16" s="251">
        <f>G44/G40</f>
        <v>0.79898157254733526</v>
      </c>
    </row>
    <row r="17" spans="1:9">
      <c r="A17" s="236" t="s">
        <v>137</v>
      </c>
      <c r="B17" s="237"/>
      <c r="C17" s="251">
        <f>C42/C30</f>
        <v>2.1114194279738794E-2</v>
      </c>
      <c r="D17" s="251">
        <f>D42/D30</f>
        <v>3.2004404024709877E-3</v>
      </c>
      <c r="E17" s="251">
        <f>E42/E30</f>
        <v>8.5246189240273697E-3</v>
      </c>
      <c r="F17" s="251" t="e">
        <f>F42/F30</f>
        <v>#DIV/0!</v>
      </c>
      <c r="G17" s="251">
        <f>G42/G30</f>
        <v>1.4471496280025024E-2</v>
      </c>
    </row>
    <row r="18" spans="1:9">
      <c r="A18" s="240" t="s">
        <v>138</v>
      </c>
      <c r="B18" s="241"/>
      <c r="C18" s="251">
        <f>C45/C42</f>
        <v>1.8241432510035285</v>
      </c>
      <c r="D18" s="251">
        <f>D45/D42</f>
        <v>2.5388456697716548</v>
      </c>
      <c r="E18" s="251">
        <f>E45/E42</f>
        <v>2.0792721396963407</v>
      </c>
      <c r="F18" s="251" t="e">
        <f>F45/F42</f>
        <v>#DIV/0!</v>
      </c>
      <c r="G18" s="251">
        <f>G45/G42</f>
        <v>1.6778104875343056</v>
      </c>
    </row>
    <row r="19" spans="1:9">
      <c r="A19" s="407" t="s">
        <v>139</v>
      </c>
      <c r="B19" s="408"/>
      <c r="C19" s="408"/>
      <c r="D19" s="408"/>
      <c r="E19" s="408"/>
      <c r="F19" s="409"/>
      <c r="G19" s="410"/>
    </row>
    <row r="20" spans="1:9">
      <c r="A20" s="236" t="s">
        <v>140</v>
      </c>
      <c r="B20" s="242" t="s">
        <v>141</v>
      </c>
      <c r="C20" s="259">
        <f>C46/C47</f>
        <v>0.33588266230535635</v>
      </c>
      <c r="D20" s="259">
        <f>D46/D47</f>
        <v>0.4454413297462288</v>
      </c>
      <c r="E20" s="259">
        <f>E46/E47</f>
        <v>0.45759283090446018</v>
      </c>
      <c r="F20" s="259" t="e">
        <f>F46/F47</f>
        <v>#DIV/0!</v>
      </c>
      <c r="G20" s="259">
        <f>G46/G47</f>
        <v>0.53762832801063953</v>
      </c>
      <c r="I20" s="195"/>
    </row>
    <row r="21" spans="1:9">
      <c r="A21" s="236" t="s">
        <v>142</v>
      </c>
      <c r="B21" s="237" t="s">
        <v>143</v>
      </c>
      <c r="C21" s="259">
        <f>C48/C29</f>
        <v>1.5941271248519837E-2</v>
      </c>
      <c r="D21" s="259">
        <f>D48/D29</f>
        <v>1.415577054217552E-2</v>
      </c>
      <c r="E21" s="259">
        <f>E48/E29</f>
        <v>1.2698777397005291E-2</v>
      </c>
      <c r="F21" s="259" t="e">
        <f>F48/F29</f>
        <v>#DIV/0!</v>
      </c>
      <c r="G21" s="259">
        <f>G48/G29</f>
        <v>4.885822210180283E-2</v>
      </c>
      <c r="I21" s="224"/>
    </row>
    <row r="22" spans="1:9">
      <c r="A22" s="236" t="s">
        <v>144</v>
      </c>
      <c r="B22" s="237"/>
      <c r="C22" s="259">
        <f>C46/C29</f>
        <v>8.9409237980796585E-2</v>
      </c>
      <c r="D22" s="259">
        <f>D46/D29</f>
        <v>0.11709895139952284</v>
      </c>
      <c r="E22" s="259">
        <f>E46/E29</f>
        <v>0.11553873104851002</v>
      </c>
      <c r="F22" s="259" t="e">
        <f>F46/F29</f>
        <v>#DIV/0!</v>
      </c>
      <c r="G22" s="259">
        <f>G46/G29</f>
        <v>0.10366677035926812</v>
      </c>
    </row>
    <row r="23" spans="1:9">
      <c r="A23" s="407" t="s">
        <v>145</v>
      </c>
      <c r="B23" s="408"/>
      <c r="C23" s="408"/>
      <c r="D23" s="408"/>
      <c r="E23" s="408"/>
      <c r="F23" s="409"/>
      <c r="G23" s="410"/>
    </row>
    <row r="24" spans="1:9">
      <c r="A24" s="243" t="s">
        <v>146</v>
      </c>
      <c r="B24" s="241" t="s">
        <v>147</v>
      </c>
      <c r="C24" s="251">
        <f>C32/C29</f>
        <v>0.81615737316964942</v>
      </c>
      <c r="D24" s="251">
        <f>D32/D29</f>
        <v>0.80219752120140031</v>
      </c>
      <c r="E24" s="251">
        <f>E32/E29</f>
        <v>0.80146236854830355</v>
      </c>
      <c r="F24" s="251" t="e">
        <f>F32/F29</f>
        <v>#DIV/0!</v>
      </c>
      <c r="G24" s="251">
        <f>G32/G29</f>
        <v>0.7574673642475942</v>
      </c>
    </row>
    <row r="25" spans="1:9">
      <c r="A25" s="243" t="s">
        <v>148</v>
      </c>
      <c r="B25" s="244" t="s">
        <v>149</v>
      </c>
      <c r="C25" s="251">
        <f>C32/C31</f>
        <v>1.0639264882463775</v>
      </c>
      <c r="D25" s="251">
        <f>D32/D31</f>
        <v>0.99515094571962126</v>
      </c>
      <c r="E25" s="251">
        <f>E32/E31</f>
        <v>1.0149377466976661</v>
      </c>
      <c r="F25" s="251" t="e">
        <f>F32/F31</f>
        <v>#DIV/0!</v>
      </c>
      <c r="G25" s="251">
        <f>G32/G31</f>
        <v>1.0660128261811286</v>
      </c>
    </row>
    <row r="26" spans="1:9">
      <c r="A26" s="243" t="s">
        <v>150</v>
      </c>
      <c r="B26" s="244"/>
      <c r="C26" s="251">
        <f>C39/C29</f>
        <v>3.8223399255563367E-2</v>
      </c>
      <c r="D26" s="251">
        <f>D39/D29</f>
        <v>2.9374880113870454E-2</v>
      </c>
      <c r="E26" s="251">
        <f>E39/E29</f>
        <v>3.0250433424650686E-2</v>
      </c>
      <c r="F26" s="251" t="e">
        <f>F39/F29</f>
        <v>#DIV/0!</v>
      </c>
      <c r="G26" s="251">
        <f>G39/G29</f>
        <v>4.3658487304164585E-2</v>
      </c>
    </row>
    <row r="27" spans="1:9">
      <c r="A27" s="196" t="s">
        <v>151</v>
      </c>
      <c r="B27" s="245"/>
      <c r="C27" s="197">
        <f>C43/C40</f>
        <v>0.95525792757356909</v>
      </c>
      <c r="D27" s="197">
        <f>D43/D40</f>
        <v>0.54694557621917517</v>
      </c>
      <c r="E27" s="197">
        <f>E43/E40</f>
        <v>0.54728258705267863</v>
      </c>
      <c r="F27" s="197" t="e">
        <f>F43/F40</f>
        <v>#DIV/0!</v>
      </c>
      <c r="G27" s="198">
        <f>G43/G40</f>
        <v>0.27724022592509417</v>
      </c>
    </row>
    <row r="28" spans="1:9">
      <c r="A28" s="407" t="s">
        <v>152</v>
      </c>
      <c r="B28" s="408"/>
      <c r="C28" s="408">
        <v>2015</v>
      </c>
      <c r="D28" s="408">
        <v>2016</v>
      </c>
      <c r="E28" s="408">
        <v>2017</v>
      </c>
      <c r="F28" s="409"/>
      <c r="G28" s="410" t="s">
        <v>153</v>
      </c>
    </row>
    <row r="29" spans="1:9">
      <c r="A29" s="196" t="s">
        <v>39</v>
      </c>
      <c r="B29" s="247"/>
      <c r="C29" s="52">
        <v>28565225000</v>
      </c>
      <c r="D29" s="52">
        <v>29331483086.909996</v>
      </c>
      <c r="E29" s="52">
        <v>30061295073.179626</v>
      </c>
      <c r="F29" s="260"/>
      <c r="G29" s="203">
        <v>457824169498.27197</v>
      </c>
    </row>
    <row r="30" spans="1:9">
      <c r="A30" s="196" t="s">
        <v>154</v>
      </c>
      <c r="B30" s="247"/>
      <c r="C30" s="260">
        <v>26523579000</v>
      </c>
      <c r="D30" s="260">
        <v>28948354043.454998</v>
      </c>
      <c r="E30" s="260">
        <v>29313260036.589813</v>
      </c>
      <c r="F30" s="260"/>
      <c r="G30" s="203">
        <v>450050648721.08301</v>
      </c>
    </row>
    <row r="31" spans="1:9">
      <c r="A31" s="196" t="s">
        <v>155</v>
      </c>
      <c r="B31" s="247"/>
      <c r="C31" s="52">
        <v>21912904000</v>
      </c>
      <c r="D31" s="52">
        <v>23644295497.769997</v>
      </c>
      <c r="E31" s="52">
        <v>23738398566.190002</v>
      </c>
      <c r="F31" s="199"/>
      <c r="G31" s="203">
        <v>325312096103.96991</v>
      </c>
    </row>
    <row r="32" spans="1:9">
      <c r="A32" s="196" t="s">
        <v>156</v>
      </c>
      <c r="B32" s="247"/>
      <c r="C32" s="52">
        <v>23313719000</v>
      </c>
      <c r="D32" s="52">
        <v>23529643025.479996</v>
      </c>
      <c r="E32" s="52">
        <v>24092996750.979992</v>
      </c>
      <c r="F32" s="200"/>
      <c r="G32" s="203">
        <v>346786866958.69989</v>
      </c>
    </row>
    <row r="33" spans="1:7">
      <c r="A33" s="196" t="s">
        <v>157</v>
      </c>
      <c r="B33" s="247"/>
      <c r="C33" s="52">
        <v>3575294000</v>
      </c>
      <c r="D33" s="52">
        <v>3638388109.2157083</v>
      </c>
      <c r="E33" s="52">
        <v>3850883587.7828484</v>
      </c>
      <c r="F33" s="260"/>
      <c r="G33" s="203">
        <v>69326567615.863998</v>
      </c>
    </row>
    <row r="34" spans="1:7">
      <c r="A34" s="196" t="s">
        <v>158</v>
      </c>
      <c r="B34" s="247"/>
      <c r="C34" s="52">
        <v>2418199000</v>
      </c>
      <c r="D34" s="52">
        <v>2359060848.4457083</v>
      </c>
      <c r="E34" s="52">
        <v>2468537331.7828484</v>
      </c>
      <c r="F34" s="260"/>
      <c r="G34" s="203">
        <v>39736059767.639999</v>
      </c>
    </row>
    <row r="35" spans="1:7">
      <c r="A35" s="196" t="s">
        <v>159</v>
      </c>
      <c r="B35" s="247"/>
      <c r="C35" s="199">
        <v>1952728000</v>
      </c>
      <c r="D35" s="199">
        <v>1644862395.5999999</v>
      </c>
      <c r="E35" s="199">
        <v>1545057831.75</v>
      </c>
      <c r="F35" s="199"/>
      <c r="G35" s="203">
        <v>22269458144.235699</v>
      </c>
    </row>
    <row r="36" spans="1:7">
      <c r="A36" s="196" t="s">
        <v>129</v>
      </c>
      <c r="B36" s="247"/>
      <c r="C36" s="172">
        <v>2234759000</v>
      </c>
      <c r="D36" s="172">
        <v>2075834820.4499998</v>
      </c>
      <c r="E36" s="172">
        <v>2220666509.8599997</v>
      </c>
      <c r="F36" s="200"/>
      <c r="G36" s="203">
        <v>96626499692.642014</v>
      </c>
    </row>
    <row r="37" spans="1:7">
      <c r="A37" s="196" t="s">
        <v>35</v>
      </c>
      <c r="B37" s="247"/>
      <c r="C37" s="260">
        <v>235465000</v>
      </c>
      <c r="D37" s="52">
        <v>234856882.59999996</v>
      </c>
      <c r="E37" s="52">
        <v>226150949.63</v>
      </c>
      <c r="F37" s="260"/>
      <c r="G37" s="203">
        <v>15408701421.012005</v>
      </c>
    </row>
    <row r="38" spans="1:7">
      <c r="A38" s="196" t="s">
        <v>160</v>
      </c>
      <c r="B38" s="247"/>
      <c r="C38" s="172">
        <v>861610000</v>
      </c>
      <c r="D38" s="172">
        <v>835253457.24000001</v>
      </c>
      <c r="E38" s="172">
        <v>883011863.26999998</v>
      </c>
      <c r="F38" s="260"/>
      <c r="G38" s="203">
        <v>13416009870.690001</v>
      </c>
    </row>
    <row r="39" spans="1:7">
      <c r="A39" s="196" t="s">
        <v>161</v>
      </c>
      <c r="B39" s="247"/>
      <c r="C39" s="172">
        <v>1091860000</v>
      </c>
      <c r="D39" s="172">
        <v>861608799.24000001</v>
      </c>
      <c r="E39" s="172">
        <v>909367205.26999998</v>
      </c>
      <c r="F39" s="260"/>
      <c r="G39" s="203">
        <v>19987910691.580002</v>
      </c>
    </row>
    <row r="40" spans="1:7">
      <c r="A40" s="196" t="s">
        <v>162</v>
      </c>
      <c r="B40" s="247"/>
      <c r="C40" s="172">
        <v>4008509000</v>
      </c>
      <c r="D40" s="172">
        <v>1062985799.2799999</v>
      </c>
      <c r="E40" s="172">
        <v>2119281034.4399998</v>
      </c>
      <c r="F40" s="260"/>
      <c r="G40" s="203">
        <v>32399548495.73999</v>
      </c>
    </row>
    <row r="41" spans="1:7">
      <c r="A41" s="196" t="s">
        <v>92</v>
      </c>
      <c r="B41" s="247"/>
      <c r="C41" s="172">
        <v>1789452000</v>
      </c>
      <c r="D41" s="172">
        <v>464435109.49999976</v>
      </c>
      <c r="E41" s="172">
        <v>930912899.56999969</v>
      </c>
      <c r="F41" s="260"/>
      <c r="G41" s="203">
        <v>20851918390.25</v>
      </c>
    </row>
    <row r="42" spans="1:7">
      <c r="A42" s="196" t="s">
        <v>163</v>
      </c>
      <c r="B42" s="247"/>
      <c r="C42" s="172">
        <v>560024000</v>
      </c>
      <c r="D42" s="172">
        <v>92647481.865707755</v>
      </c>
      <c r="E42" s="172">
        <v>249884371.23284873</v>
      </c>
      <c r="F42" s="260"/>
      <c r="G42" s="203">
        <v>6512906288.7900019</v>
      </c>
    </row>
    <row r="43" spans="1:7">
      <c r="A43" s="196" t="s">
        <v>164</v>
      </c>
      <c r="B43" s="247"/>
      <c r="C43" s="172">
        <v>3829160000</v>
      </c>
      <c r="D43" s="172">
        <v>581395380.5</v>
      </c>
      <c r="E43" s="172">
        <v>1159845607.22</v>
      </c>
      <c r="F43" s="260"/>
      <c r="G43" s="203">
        <v>8982458144.8299999</v>
      </c>
    </row>
    <row r="44" spans="1:7">
      <c r="A44" s="196" t="s">
        <v>111</v>
      </c>
      <c r="B44" s="247"/>
      <c r="C44" s="172">
        <v>3448485000</v>
      </c>
      <c r="D44" s="172">
        <v>970338317.4142921</v>
      </c>
      <c r="E44" s="172">
        <v>1869396663.2071512</v>
      </c>
      <c r="F44" s="260"/>
      <c r="G44" s="203">
        <v>25886642206.949989</v>
      </c>
    </row>
    <row r="45" spans="1:7">
      <c r="A45" s="196" t="s">
        <v>165</v>
      </c>
      <c r="B45" s="247"/>
      <c r="C45" s="172">
        <v>1021564000</v>
      </c>
      <c r="D45" s="172">
        <v>235217658.15000004</v>
      </c>
      <c r="E45" s="172">
        <v>519577611.25000012</v>
      </c>
      <c r="F45" s="260"/>
      <c r="G45" s="203">
        <v>10927422475.659998</v>
      </c>
    </row>
    <row r="46" spans="1:7">
      <c r="A46" s="196" t="s">
        <v>166</v>
      </c>
      <c r="B46" s="247"/>
      <c r="C46" s="172">
        <v>2553995000</v>
      </c>
      <c r="D46" s="172">
        <v>3434685912.4699998</v>
      </c>
      <c r="E46" s="172">
        <v>3473243886.4300003</v>
      </c>
      <c r="F46" s="260"/>
      <c r="G46" s="203">
        <v>47461153044.300003</v>
      </c>
    </row>
    <row r="47" spans="1:7">
      <c r="A47" s="196" t="s">
        <v>167</v>
      </c>
      <c r="B47" s="247"/>
      <c r="C47" s="172">
        <v>7603831000</v>
      </c>
      <c r="D47" s="172">
        <v>7710748157.1742916</v>
      </c>
      <c r="E47" s="172">
        <v>7590249785.0871515</v>
      </c>
      <c r="F47" s="260"/>
      <c r="G47" s="203">
        <v>88278743086.173019</v>
      </c>
    </row>
    <row r="48" spans="1:7">
      <c r="A48" s="196" t="s">
        <v>168</v>
      </c>
      <c r="B48" s="247"/>
      <c r="C48" s="260">
        <v>455366000</v>
      </c>
      <c r="D48" s="52">
        <v>415209744.24000001</v>
      </c>
      <c r="E48" s="52">
        <v>381741694.39999998</v>
      </c>
      <c r="F48" s="260"/>
      <c r="G48" s="203">
        <v>22368474956.919998</v>
      </c>
    </row>
    <row r="49" spans="1:7">
      <c r="A49" s="427" t="s">
        <v>169</v>
      </c>
      <c r="B49" s="428"/>
      <c r="C49" s="428"/>
      <c r="D49" s="428"/>
      <c r="E49" s="428"/>
      <c r="F49" s="428"/>
      <c r="G49" s="429"/>
    </row>
    <row r="50" spans="1:7">
      <c r="A50" s="226" t="s">
        <v>170</v>
      </c>
      <c r="B50" s="223"/>
      <c r="C50" s="227"/>
      <c r="D50" s="227"/>
      <c r="E50" s="227"/>
      <c r="F50" s="228"/>
      <c r="G50" s="229"/>
    </row>
    <row r="51" spans="1:7">
      <c r="A51" s="226">
        <v>2</v>
      </c>
      <c r="B51" s="223"/>
      <c r="C51" s="227"/>
      <c r="D51" s="227"/>
      <c r="E51" s="227"/>
      <c r="F51" s="228"/>
      <c r="G51" s="229"/>
    </row>
    <row r="52" spans="1:7">
      <c r="A52" s="226">
        <v>3</v>
      </c>
      <c r="B52" s="223"/>
      <c r="C52" s="227"/>
      <c r="D52" s="227"/>
      <c r="E52" s="227"/>
      <c r="F52" s="228"/>
      <c r="G52" s="229"/>
    </row>
    <row r="53" spans="1:7">
      <c r="A53" s="225">
        <v>4</v>
      </c>
      <c r="B53" s="430"/>
      <c r="C53" s="430"/>
      <c r="D53" s="430"/>
      <c r="E53" s="431"/>
      <c r="F53" s="431"/>
      <c r="G53" s="432"/>
    </row>
    <row r="54" spans="1:7">
      <c r="A54" s="248" t="s">
        <v>171</v>
      </c>
      <c r="B54" s="223"/>
      <c r="C54" s="433"/>
      <c r="D54" s="434"/>
      <c r="E54" s="434"/>
      <c r="F54" s="434"/>
      <c r="G54" s="435"/>
    </row>
    <row r="55" spans="1:7">
      <c r="A55" s="248"/>
      <c r="B55" s="223"/>
      <c r="C55" s="365"/>
      <c r="D55" s="365"/>
      <c r="E55" s="366"/>
      <c r="F55" s="366"/>
      <c r="G55" s="230"/>
    </row>
    <row r="56" spans="1:7">
      <c r="A56" s="249" t="s">
        <v>172</v>
      </c>
      <c r="B56" s="231"/>
      <c r="C56" s="433"/>
      <c r="D56" s="434"/>
      <c r="E56" s="434"/>
      <c r="F56" s="434"/>
      <c r="G56" s="435"/>
    </row>
    <row r="57" spans="1:7">
      <c r="A57" s="43"/>
      <c r="B57" s="223"/>
      <c r="C57" s="227"/>
      <c r="D57" s="227"/>
      <c r="E57" s="227"/>
      <c r="F57" s="228"/>
      <c r="G57" s="229"/>
    </row>
    <row r="58" spans="1:7">
      <c r="A58" s="248" t="s">
        <v>173</v>
      </c>
      <c r="B58" s="223"/>
      <c r="C58" s="433"/>
      <c r="D58" s="434"/>
      <c r="E58" s="434"/>
      <c r="F58" s="434"/>
      <c r="G58" s="435"/>
    </row>
    <row r="59" spans="1:7" ht="15" thickBot="1">
      <c r="A59" s="250"/>
      <c r="B59" s="232"/>
      <c r="C59" s="233"/>
      <c r="D59" s="233"/>
      <c r="E59" s="233"/>
      <c r="F59" s="234"/>
      <c r="G59" s="235"/>
    </row>
    <row r="60" spans="1:7">
      <c r="A60" s="204" t="s">
        <v>174</v>
      </c>
    </row>
    <row r="61" spans="1:7">
      <c r="A61" s="194"/>
    </row>
    <row r="62" spans="1:7">
      <c r="A62" s="194"/>
    </row>
  </sheetData>
  <mergeCells count="17">
    <mergeCell ref="A49:G49"/>
    <mergeCell ref="B53:G53"/>
    <mergeCell ref="C54:G54"/>
    <mergeCell ref="C56:G56"/>
    <mergeCell ref="C58:G58"/>
    <mergeCell ref="A28:G28"/>
    <mergeCell ref="A1:G1"/>
    <mergeCell ref="A2:G2"/>
    <mergeCell ref="B3:B4"/>
    <mergeCell ref="D3:E3"/>
    <mergeCell ref="F3:F4"/>
    <mergeCell ref="G3:G4"/>
    <mergeCell ref="A5:G5"/>
    <mergeCell ref="A9:G9"/>
    <mergeCell ref="A14:G14"/>
    <mergeCell ref="A19:G19"/>
    <mergeCell ref="A23:G2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91"/>
  <sheetViews>
    <sheetView topLeftCell="A174" workbookViewId="0">
      <selection activeCell="I186" sqref="I186"/>
    </sheetView>
  </sheetViews>
  <sheetFormatPr defaultRowHeight="14.45"/>
  <cols>
    <col min="2" max="2" width="19.42578125" customWidth="1"/>
    <col min="3" max="3" width="10.28515625" bestFit="1" customWidth="1"/>
    <col min="4" max="4" width="19.28515625" customWidth="1"/>
    <col min="5" max="5" width="15.28515625" bestFit="1" customWidth="1"/>
    <col min="6" max="6" width="16.7109375" customWidth="1"/>
    <col min="7" max="7" width="16.28515625" bestFit="1" customWidth="1"/>
    <col min="8" max="8" width="15.28515625" bestFit="1" customWidth="1"/>
    <col min="10" max="10" width="18" bestFit="1" customWidth="1"/>
    <col min="11" max="11" width="15.28515625" bestFit="1" customWidth="1"/>
  </cols>
  <sheetData>
    <row r="1" spans="2:6">
      <c r="D1" s="6">
        <v>42795</v>
      </c>
    </row>
    <row r="2" spans="2:6" ht="41.45">
      <c r="B2" s="1" t="s">
        <v>175</v>
      </c>
      <c r="C2" s="1" t="s">
        <v>176</v>
      </c>
      <c r="D2" s="1" t="s">
        <v>177</v>
      </c>
      <c r="E2" s="1" t="s">
        <v>178</v>
      </c>
      <c r="F2" s="1" t="s">
        <v>179</v>
      </c>
    </row>
    <row r="3" spans="2:6">
      <c r="B3" s="7" t="s">
        <v>180</v>
      </c>
      <c r="C3" s="163">
        <v>56175</v>
      </c>
      <c r="D3" s="164">
        <v>19937009805.419998</v>
      </c>
      <c r="E3" s="54">
        <v>0</v>
      </c>
      <c r="F3" s="9">
        <f>D3*E3</f>
        <v>0</v>
      </c>
    </row>
    <row r="4" spans="2:6">
      <c r="B4" s="7" t="s">
        <v>181</v>
      </c>
      <c r="C4" s="163">
        <v>342</v>
      </c>
      <c r="D4" s="164">
        <v>609646086.78999996</v>
      </c>
      <c r="E4" s="54">
        <v>0.05</v>
      </c>
      <c r="F4" s="9">
        <f>D4*E4</f>
        <v>30482304.339499999</v>
      </c>
    </row>
    <row r="5" spans="2:6">
      <c r="B5" s="7" t="s">
        <v>182</v>
      </c>
      <c r="C5" s="163">
        <v>721</v>
      </c>
      <c r="D5" s="164">
        <v>531767556.41000003</v>
      </c>
      <c r="E5" s="54">
        <v>0.25</v>
      </c>
      <c r="F5" s="9">
        <f>D5*E5</f>
        <v>132941889.10250001</v>
      </c>
    </row>
    <row r="6" spans="2:6">
      <c r="B6" s="7" t="s">
        <v>183</v>
      </c>
      <c r="C6" s="163">
        <v>182</v>
      </c>
      <c r="D6" s="164">
        <v>133021988.66</v>
      </c>
      <c r="E6" s="54">
        <v>0.5</v>
      </c>
      <c r="F6" s="9">
        <f>D6*E6</f>
        <v>66510994.329999998</v>
      </c>
    </row>
    <row r="7" spans="2:6">
      <c r="B7" s="7" t="s">
        <v>184</v>
      </c>
      <c r="C7" s="163">
        <v>285</v>
      </c>
      <c r="D7" s="164">
        <v>53640300.170000002</v>
      </c>
      <c r="E7" s="54">
        <v>1</v>
      </c>
      <c r="F7" s="9">
        <f>D7*E7</f>
        <v>53640300.170000002</v>
      </c>
    </row>
    <row r="8" spans="2:6">
      <c r="B8" s="8" t="s">
        <v>185</v>
      </c>
      <c r="C8" s="9">
        <f>SUM(C3:C7)</f>
        <v>57705</v>
      </c>
      <c r="D8" s="9">
        <f>SUM(D3:D7)</f>
        <v>21265085737.449997</v>
      </c>
      <c r="E8" s="9"/>
      <c r="F8" s="9">
        <f>SUM(F3:F7)</f>
        <v>283575487.94200003</v>
      </c>
    </row>
    <row r="10" spans="2:6">
      <c r="D10" s="6">
        <v>42887</v>
      </c>
    </row>
    <row r="11" spans="2:6" ht="41.45">
      <c r="B11" s="1" t="s">
        <v>175</v>
      </c>
      <c r="C11" s="1" t="s">
        <v>176</v>
      </c>
      <c r="D11" s="1" t="s">
        <v>177</v>
      </c>
      <c r="E11" s="1" t="s">
        <v>178</v>
      </c>
      <c r="F11" s="1" t="s">
        <v>179</v>
      </c>
    </row>
    <row r="12" spans="2:6">
      <c r="B12" s="7" t="s">
        <v>180</v>
      </c>
      <c r="C12" s="163">
        <v>52931</v>
      </c>
      <c r="D12" s="164">
        <v>20932768544.220001</v>
      </c>
      <c r="E12" s="54">
        <v>0.01</v>
      </c>
      <c r="F12" s="9">
        <f>D12*E12</f>
        <v>209327685.44220001</v>
      </c>
    </row>
    <row r="13" spans="2:6">
      <c r="B13" s="7" t="s">
        <v>181</v>
      </c>
      <c r="C13" s="163">
        <v>1072</v>
      </c>
      <c r="D13" s="164">
        <v>693028461.50999999</v>
      </c>
      <c r="E13" s="54">
        <v>0.05</v>
      </c>
      <c r="F13" s="9">
        <f>D13*E13</f>
        <v>34651423.075500004</v>
      </c>
    </row>
    <row r="14" spans="2:6">
      <c r="B14" s="7" t="s">
        <v>182</v>
      </c>
      <c r="C14" s="163">
        <v>237</v>
      </c>
      <c r="D14" s="164">
        <v>211014184.63</v>
      </c>
      <c r="E14" s="54">
        <v>0.25</v>
      </c>
      <c r="F14" s="9">
        <f>D14*E14</f>
        <v>52753546.157499999</v>
      </c>
    </row>
    <row r="15" spans="2:6">
      <c r="B15" s="7" t="s">
        <v>183</v>
      </c>
      <c r="C15" s="163">
        <v>75</v>
      </c>
      <c r="D15" s="164">
        <v>31560414.329999998</v>
      </c>
      <c r="E15" s="54">
        <v>0.5</v>
      </c>
      <c r="F15" s="9">
        <f>D15*E15</f>
        <v>15780207.164999999</v>
      </c>
    </row>
    <row r="16" spans="2:6">
      <c r="B16" s="7" t="s">
        <v>184</v>
      </c>
      <c r="C16" s="163">
        <v>16</v>
      </c>
      <c r="D16" s="164">
        <v>4449341.3099999996</v>
      </c>
      <c r="E16" s="54">
        <v>1</v>
      </c>
      <c r="F16" s="9">
        <f>D16*E16</f>
        <v>4449341.3099999996</v>
      </c>
    </row>
    <row r="17" spans="2:7">
      <c r="B17" s="8" t="s">
        <v>185</v>
      </c>
      <c r="C17" s="92">
        <f>SUM(C12:C16)</f>
        <v>54331</v>
      </c>
      <c r="D17" s="93">
        <f>SUM(D12:D16)</f>
        <v>21872820946.000004</v>
      </c>
      <c r="E17" s="9">
        <v>1.81</v>
      </c>
      <c r="F17" s="9">
        <f>SUM(F12:F16)</f>
        <v>316962203.15020001</v>
      </c>
    </row>
    <row r="18" spans="2:7">
      <c r="B18" s="165"/>
      <c r="C18" s="166" t="s">
        <v>186</v>
      </c>
      <c r="D18" s="166">
        <f>SUM(D14:D16)</f>
        <v>247023940.26999998</v>
      </c>
      <c r="E18" s="166"/>
      <c r="F18" s="166"/>
    </row>
    <row r="19" spans="2:7">
      <c r="B19" s="165"/>
      <c r="C19" t="s">
        <v>187</v>
      </c>
      <c r="D19" s="167">
        <f>D18/D17</f>
        <v>1.1293647988060476E-2</v>
      </c>
      <c r="E19" s="166"/>
      <c r="F19" s="166"/>
    </row>
    <row r="21" spans="2:7">
      <c r="D21" s="6">
        <v>42979</v>
      </c>
    </row>
    <row r="22" spans="2:7" ht="41.45">
      <c r="B22" s="1" t="s">
        <v>175</v>
      </c>
      <c r="C22" s="1" t="s">
        <v>176</v>
      </c>
      <c r="D22" s="1" t="s">
        <v>177</v>
      </c>
      <c r="E22" s="1" t="s">
        <v>178</v>
      </c>
      <c r="F22" s="1" t="s">
        <v>179</v>
      </c>
    </row>
    <row r="23" spans="2:7">
      <c r="B23" s="7" t="s">
        <v>180</v>
      </c>
      <c r="C23" s="163">
        <v>48840</v>
      </c>
      <c r="D23" s="164">
        <v>19551006671</v>
      </c>
      <c r="E23" s="54">
        <v>0.01</v>
      </c>
      <c r="F23" s="9"/>
    </row>
    <row r="24" spans="2:7">
      <c r="B24" s="7" t="s">
        <v>181</v>
      </c>
      <c r="C24" s="163">
        <v>2088</v>
      </c>
      <c r="D24" s="164">
        <v>1043706144.11</v>
      </c>
      <c r="E24" s="54">
        <v>0.05</v>
      </c>
      <c r="F24" s="9">
        <f>D24*E24</f>
        <v>52185307.205500007</v>
      </c>
    </row>
    <row r="25" spans="2:7">
      <c r="B25" s="7" t="s">
        <v>182</v>
      </c>
      <c r="C25" s="163">
        <v>4389</v>
      </c>
      <c r="D25" s="164">
        <v>1512518495.1099999</v>
      </c>
      <c r="E25" s="54">
        <v>0.25</v>
      </c>
      <c r="F25" s="9">
        <f>D25*E25</f>
        <v>378129623.77749997</v>
      </c>
      <c r="G25" s="27"/>
    </row>
    <row r="26" spans="2:7">
      <c r="B26" s="7" t="s">
        <v>183</v>
      </c>
      <c r="C26" s="163">
        <v>927</v>
      </c>
      <c r="D26" s="164">
        <v>421150238.88</v>
      </c>
      <c r="E26" s="54">
        <v>0.5</v>
      </c>
      <c r="F26" s="9">
        <f>D26*E26</f>
        <v>210575119.44</v>
      </c>
      <c r="G26" s="167"/>
    </row>
    <row r="27" spans="2:7">
      <c r="B27" s="7" t="s">
        <v>184</v>
      </c>
      <c r="C27" s="163">
        <v>1102</v>
      </c>
      <c r="D27" s="164">
        <v>229316298</v>
      </c>
      <c r="E27" s="54">
        <v>1</v>
      </c>
      <c r="F27" s="9">
        <f>D27*E27</f>
        <v>229316298</v>
      </c>
    </row>
    <row r="28" spans="2:7">
      <c r="B28" s="8" t="s">
        <v>185</v>
      </c>
      <c r="C28" s="9">
        <f>SUM(C23:C27)</f>
        <v>57346</v>
      </c>
      <c r="D28" s="9">
        <f>SUM(D23:D27)</f>
        <v>22757697847.100002</v>
      </c>
      <c r="E28" s="9"/>
      <c r="F28" s="9">
        <f>SUM(F23:F27)</f>
        <v>870206348.42299998</v>
      </c>
    </row>
    <row r="29" spans="2:7">
      <c r="B29" s="165"/>
      <c r="C29" s="166" t="s">
        <v>186</v>
      </c>
      <c r="D29" s="166">
        <f>SUM(D25:D27)</f>
        <v>2162985031.9899998</v>
      </c>
      <c r="E29" s="166"/>
      <c r="F29" s="166"/>
    </row>
    <row r="30" spans="2:7">
      <c r="C30" t="s">
        <v>187</v>
      </c>
      <c r="D30" s="167">
        <f>D29/D28</f>
        <v>9.5044105362600523E-2</v>
      </c>
    </row>
    <row r="31" spans="2:7">
      <c r="D31" s="167"/>
    </row>
    <row r="32" spans="2:7">
      <c r="D32" s="6">
        <v>43070</v>
      </c>
    </row>
    <row r="33" spans="2:8" ht="41.45">
      <c r="B33" s="1" t="s">
        <v>175</v>
      </c>
      <c r="C33" s="1" t="s">
        <v>176</v>
      </c>
      <c r="D33" s="1" t="s">
        <v>177</v>
      </c>
      <c r="E33" s="1" t="s">
        <v>178</v>
      </c>
      <c r="F33" s="1" t="s">
        <v>179</v>
      </c>
    </row>
    <row r="34" spans="2:8">
      <c r="B34" s="7" t="s">
        <v>180</v>
      </c>
      <c r="C34" s="163">
        <v>50625</v>
      </c>
      <c r="D34" s="164">
        <v>20056569306.52</v>
      </c>
      <c r="E34" s="10">
        <v>0</v>
      </c>
      <c r="F34" s="9">
        <f>D34*E34</f>
        <v>0</v>
      </c>
    </row>
    <row r="35" spans="2:8">
      <c r="B35" s="7" t="s">
        <v>181</v>
      </c>
      <c r="C35" s="163">
        <v>1985</v>
      </c>
      <c r="D35" s="164">
        <v>817339191</v>
      </c>
      <c r="E35" s="10">
        <v>0.05</v>
      </c>
      <c r="F35" s="9">
        <f>D35*E35</f>
        <v>40866959.550000004</v>
      </c>
    </row>
    <row r="36" spans="2:8">
      <c r="B36" s="7" t="s">
        <v>182</v>
      </c>
      <c r="C36" s="163">
        <v>4389</v>
      </c>
      <c r="D36" s="164">
        <v>1210704621.0999999</v>
      </c>
      <c r="E36" s="10">
        <v>0.25</v>
      </c>
      <c r="F36" s="9">
        <f>D36*E36</f>
        <v>302676155.27499998</v>
      </c>
    </row>
    <row r="37" spans="2:8">
      <c r="B37" s="7" t="s">
        <v>183</v>
      </c>
      <c r="C37" s="163">
        <v>1012</v>
      </c>
      <c r="D37" s="164">
        <v>640418237.69000006</v>
      </c>
      <c r="E37" s="10">
        <v>0.5</v>
      </c>
      <c r="F37" s="9">
        <f>D37*E37</f>
        <v>320209118.84500003</v>
      </c>
    </row>
    <row r="38" spans="2:8">
      <c r="B38" s="7" t="s">
        <v>184</v>
      </c>
      <c r="C38" s="163">
        <v>1121</v>
      </c>
      <c r="D38" s="164">
        <v>481248640.63</v>
      </c>
      <c r="E38" s="10">
        <v>1</v>
      </c>
      <c r="F38" s="9">
        <f>D38*E38</f>
        <v>481248640.63</v>
      </c>
    </row>
    <row r="39" spans="2:8">
      <c r="B39" s="8" t="s">
        <v>185</v>
      </c>
      <c r="C39" s="9">
        <f>SUM(C34:C38)</f>
        <v>59132</v>
      </c>
      <c r="D39" s="9">
        <f>SUM(D34:D38)</f>
        <v>23206279996.939999</v>
      </c>
      <c r="E39" s="9">
        <v>1.81</v>
      </c>
      <c r="F39" s="9">
        <f>SUM(F34:F38)</f>
        <v>1145000874.3000002</v>
      </c>
    </row>
    <row r="40" spans="2:8">
      <c r="C40" s="166" t="s">
        <v>186</v>
      </c>
      <c r="D40" s="166">
        <f>SUM(D36:D38)</f>
        <v>2332371499.4200001</v>
      </c>
    </row>
    <row r="41" spans="2:8">
      <c r="C41" t="s">
        <v>187</v>
      </c>
      <c r="D41" s="167">
        <f>D40/D39</f>
        <v>0.10050604835103036</v>
      </c>
    </row>
    <row r="43" spans="2:8">
      <c r="D43" s="6" t="s">
        <v>188</v>
      </c>
    </row>
    <row r="44" spans="2:8" ht="41.45">
      <c r="B44" s="1" t="s">
        <v>175</v>
      </c>
      <c r="C44" s="1" t="s">
        <v>176</v>
      </c>
      <c r="D44" s="1" t="s">
        <v>177</v>
      </c>
      <c r="E44" s="1" t="s">
        <v>178</v>
      </c>
      <c r="F44" s="1" t="s">
        <v>179</v>
      </c>
      <c r="H44" s="256"/>
    </row>
    <row r="45" spans="2:8">
      <c r="B45" s="7" t="s">
        <v>180</v>
      </c>
      <c r="C45" s="13"/>
      <c r="D45" s="15"/>
      <c r="E45" s="10">
        <v>0</v>
      </c>
      <c r="F45" s="9">
        <f>D45*E45</f>
        <v>0</v>
      </c>
    </row>
    <row r="46" spans="2:8">
      <c r="B46" s="7" t="s">
        <v>181</v>
      </c>
      <c r="C46" s="13"/>
      <c r="D46" s="15"/>
      <c r="E46" s="10">
        <v>0.05</v>
      </c>
      <c r="F46" s="9">
        <v>6739000</v>
      </c>
    </row>
    <row r="47" spans="2:8">
      <c r="B47" s="7" t="s">
        <v>182</v>
      </c>
      <c r="C47" s="13"/>
      <c r="D47" s="15"/>
      <c r="E47" s="10">
        <v>0.25</v>
      </c>
      <c r="F47" s="9">
        <v>54183000</v>
      </c>
      <c r="H47" s="167" t="e">
        <f>SUM(D47:D49)/D50</f>
        <v>#DIV/0!</v>
      </c>
    </row>
    <row r="48" spans="2:8">
      <c r="B48" s="7" t="s">
        <v>183</v>
      </c>
      <c r="C48" s="13"/>
      <c r="D48" s="15"/>
      <c r="E48" s="10">
        <v>0.5</v>
      </c>
      <c r="F48" s="9">
        <v>33315000</v>
      </c>
    </row>
    <row r="49" spans="2:10">
      <c r="B49" s="7" t="s">
        <v>184</v>
      </c>
      <c r="C49" s="13"/>
      <c r="D49" s="15"/>
      <c r="E49" s="10">
        <v>1</v>
      </c>
      <c r="F49" s="9">
        <v>11377000</v>
      </c>
    </row>
    <row r="50" spans="2:10">
      <c r="B50" s="8" t="s">
        <v>185</v>
      </c>
      <c r="C50" s="9">
        <f>SUM(C45:C49)</f>
        <v>0</v>
      </c>
      <c r="D50" s="9">
        <f>SUM(D45:D49)</f>
        <v>0</v>
      </c>
      <c r="E50" s="9">
        <v>1.81</v>
      </c>
      <c r="F50" s="9">
        <f>SUM(F45:F49)</f>
        <v>105614000</v>
      </c>
      <c r="J50" s="27"/>
    </row>
    <row r="53" spans="2:10" ht="15.6">
      <c r="B53" s="173"/>
      <c r="C53" s="173"/>
      <c r="D53" s="174">
        <v>43160</v>
      </c>
      <c r="E53" s="173"/>
      <c r="F53" s="173"/>
      <c r="G53" s="173"/>
      <c r="H53" s="173"/>
      <c r="I53" s="173"/>
    </row>
    <row r="54" spans="2:10" ht="41.45">
      <c r="B54" s="175" t="s">
        <v>175</v>
      </c>
      <c r="C54" s="175" t="s">
        <v>176</v>
      </c>
      <c r="D54" s="175" t="s">
        <v>177</v>
      </c>
      <c r="E54" s="175" t="s">
        <v>178</v>
      </c>
      <c r="F54" s="175" t="s">
        <v>179</v>
      </c>
      <c r="G54" s="173"/>
      <c r="H54" s="173"/>
      <c r="I54" s="173"/>
    </row>
    <row r="55" spans="2:10">
      <c r="B55" s="176" t="s">
        <v>180</v>
      </c>
      <c r="C55" s="163">
        <v>47697</v>
      </c>
      <c r="D55" s="164">
        <v>21205446512.380001</v>
      </c>
      <c r="E55" s="177">
        <v>0</v>
      </c>
      <c r="F55" s="178">
        <f>D55*E55</f>
        <v>0</v>
      </c>
      <c r="G55" s="173"/>
      <c r="H55" s="173"/>
      <c r="I55" s="173"/>
    </row>
    <row r="56" spans="2:10">
      <c r="B56" s="176" t="s">
        <v>181</v>
      </c>
      <c r="C56" s="163">
        <v>26917</v>
      </c>
      <c r="D56" s="164">
        <v>679334117.84000003</v>
      </c>
      <c r="E56" s="177">
        <v>0.05</v>
      </c>
      <c r="F56" s="178">
        <f>D56*E56</f>
        <v>33966705.892000005</v>
      </c>
      <c r="G56" s="173"/>
      <c r="H56" s="173"/>
      <c r="I56" s="173"/>
    </row>
    <row r="57" spans="2:10">
      <c r="B57" s="176" t="s">
        <v>182</v>
      </c>
      <c r="C57" s="163">
        <v>3726</v>
      </c>
      <c r="D57" s="164">
        <v>1003759004.14</v>
      </c>
      <c r="E57" s="177">
        <v>0.25</v>
      </c>
      <c r="F57" s="178">
        <f>D57*E57</f>
        <v>250939751.035</v>
      </c>
      <c r="G57" s="173"/>
      <c r="H57" s="173"/>
      <c r="I57" s="173"/>
    </row>
    <row r="58" spans="2:10">
      <c r="B58" s="176" t="s">
        <v>183</v>
      </c>
      <c r="C58" s="163">
        <v>2799</v>
      </c>
      <c r="D58" s="164">
        <v>349180885.67000002</v>
      </c>
      <c r="E58" s="177">
        <v>0.5</v>
      </c>
      <c r="F58" s="178">
        <f>D58*E58</f>
        <v>174590442.83500001</v>
      </c>
      <c r="G58" s="173"/>
      <c r="H58" s="173"/>
      <c r="I58" s="173"/>
    </row>
    <row r="59" spans="2:10">
      <c r="B59" s="176" t="s">
        <v>184</v>
      </c>
      <c r="C59" s="163">
        <v>1768</v>
      </c>
      <c r="D59" s="164">
        <v>291922505.44999999</v>
      </c>
      <c r="E59" s="177">
        <v>1</v>
      </c>
      <c r="F59" s="178">
        <f>D59*E59</f>
        <v>291922505.44999999</v>
      </c>
      <c r="G59" s="173"/>
      <c r="H59" s="173"/>
      <c r="I59" s="173"/>
    </row>
    <row r="60" spans="2:10">
      <c r="B60" s="179" t="s">
        <v>185</v>
      </c>
      <c r="C60" s="180">
        <v>82907</v>
      </c>
      <c r="D60" s="180">
        <v>23529643025.48</v>
      </c>
      <c r="E60" s="181"/>
      <c r="F60" s="181">
        <f>SUM(F55:F59)</f>
        <v>751419405.21199989</v>
      </c>
      <c r="G60" s="173"/>
      <c r="H60" s="173" t="s">
        <v>186</v>
      </c>
      <c r="I60" s="188">
        <f>(D57+D58+D59)/D60</f>
        <v>6.9905964721980532E-2</v>
      </c>
    </row>
    <row r="61" spans="2:10">
      <c r="B61" s="173"/>
      <c r="C61" s="173"/>
      <c r="D61" s="173"/>
      <c r="E61" s="173"/>
      <c r="F61" s="173"/>
      <c r="G61" s="173"/>
      <c r="H61" s="173"/>
      <c r="I61" s="173"/>
    </row>
    <row r="62" spans="2:10" ht="15.6">
      <c r="B62" s="173"/>
      <c r="C62" s="173"/>
      <c r="D62" s="174">
        <v>43252</v>
      </c>
      <c r="E62" s="173"/>
      <c r="F62" s="173"/>
      <c r="G62" s="173"/>
      <c r="H62" s="173"/>
      <c r="I62" s="173"/>
    </row>
    <row r="63" spans="2:10" ht="41.45">
      <c r="B63" s="175" t="s">
        <v>175</v>
      </c>
      <c r="C63" s="175" t="s">
        <v>176</v>
      </c>
      <c r="D63" s="175" t="s">
        <v>177</v>
      </c>
      <c r="E63" s="175" t="s">
        <v>178</v>
      </c>
      <c r="F63" s="175" t="s">
        <v>179</v>
      </c>
      <c r="G63" s="173"/>
      <c r="H63" s="173"/>
      <c r="I63" s="173"/>
    </row>
    <row r="64" spans="2:10">
      <c r="B64" s="176" t="s">
        <v>180</v>
      </c>
      <c r="C64" s="183">
        <v>49406</v>
      </c>
      <c r="D64" s="184">
        <v>21905083798.699989</v>
      </c>
      <c r="E64" s="177">
        <v>0.01</v>
      </c>
      <c r="F64" s="178"/>
      <c r="G64" s="173"/>
      <c r="H64" s="173"/>
      <c r="I64" s="173"/>
    </row>
    <row r="65" spans="2:9">
      <c r="B65" s="176" t="s">
        <v>181</v>
      </c>
      <c r="C65" s="183">
        <v>3346</v>
      </c>
      <c r="D65" s="184">
        <v>642855120.53000247</v>
      </c>
      <c r="E65" s="177">
        <v>0.05</v>
      </c>
      <c r="F65" s="178">
        <f>D65*E65</f>
        <v>32142756.026500124</v>
      </c>
      <c r="G65" s="173"/>
      <c r="H65" s="173"/>
      <c r="I65" s="173"/>
    </row>
    <row r="66" spans="2:9">
      <c r="B66" s="176" t="s">
        <v>182</v>
      </c>
      <c r="C66" s="183">
        <v>4337</v>
      </c>
      <c r="D66" s="184">
        <v>983189685.46000159</v>
      </c>
      <c r="E66" s="177">
        <v>0.25</v>
      </c>
      <c r="F66" s="178">
        <f>D66*E66</f>
        <v>245797421.3650004</v>
      </c>
      <c r="G66" s="173"/>
      <c r="H66" s="173"/>
      <c r="I66" s="173"/>
    </row>
    <row r="67" spans="2:9">
      <c r="B67" s="176" t="s">
        <v>183</v>
      </c>
      <c r="C67" s="183">
        <v>1945</v>
      </c>
      <c r="D67" s="184">
        <v>206613780.05999917</v>
      </c>
      <c r="E67" s="177">
        <v>0.5</v>
      </c>
      <c r="F67" s="178">
        <f>D67*E67</f>
        <v>103306890.02999958</v>
      </c>
      <c r="G67" s="173"/>
      <c r="H67" s="173"/>
      <c r="I67" s="173"/>
    </row>
    <row r="68" spans="2:9">
      <c r="B68" s="176" t="s">
        <v>184</v>
      </c>
      <c r="C68" s="183">
        <v>2419</v>
      </c>
      <c r="D68" s="184">
        <v>355254366.22999889</v>
      </c>
      <c r="E68" s="177">
        <v>1</v>
      </c>
      <c r="F68" s="178">
        <f>D68*E68</f>
        <v>355254366.22999889</v>
      </c>
      <c r="G68" s="173"/>
      <c r="H68" s="173"/>
      <c r="I68" s="173"/>
    </row>
    <row r="69" spans="2:9">
      <c r="B69" s="179" t="s">
        <v>185</v>
      </c>
      <c r="C69" s="185">
        <f>SUM(C64:C68)</f>
        <v>61453</v>
      </c>
      <c r="D69" s="185">
        <f>SUM(D64:D68)</f>
        <v>24092996750.979992</v>
      </c>
      <c r="E69" s="185"/>
      <c r="F69" s="185">
        <f>SUM(F64:F68)</f>
        <v>736501433.65149903</v>
      </c>
      <c r="G69" s="173"/>
      <c r="H69" s="173" t="s">
        <v>186</v>
      </c>
      <c r="I69" s="182">
        <f>(D66+D67+D68)/D69</f>
        <v>6.4128918777493035E-2</v>
      </c>
    </row>
    <row r="70" spans="2:9">
      <c r="B70" s="186"/>
      <c r="C70" s="187" t="s">
        <v>186</v>
      </c>
      <c r="D70" s="187">
        <f>SUM(D66:D68)</f>
        <v>1545057831.7499995</v>
      </c>
      <c r="E70" s="187"/>
      <c r="F70" s="187"/>
      <c r="G70" s="173"/>
      <c r="H70" s="173"/>
      <c r="I70" s="173"/>
    </row>
    <row r="71" spans="2:9">
      <c r="B71" s="186"/>
      <c r="C71" s="173" t="s">
        <v>187</v>
      </c>
      <c r="D71" s="188">
        <f>D70/D69</f>
        <v>6.4128918777493035E-2</v>
      </c>
      <c r="E71" s="187"/>
      <c r="F71" s="187"/>
      <c r="G71" s="173"/>
      <c r="H71" s="173"/>
      <c r="I71" s="173"/>
    </row>
    <row r="72" spans="2:9">
      <c r="B72" s="173"/>
      <c r="C72" s="173"/>
      <c r="D72" s="173"/>
      <c r="E72" s="173"/>
      <c r="F72" s="173"/>
      <c r="G72" s="173"/>
      <c r="H72" s="173"/>
      <c r="I72" s="173"/>
    </row>
    <row r="73" spans="2:9" ht="15.6">
      <c r="B73" s="173"/>
      <c r="C73" s="173"/>
      <c r="D73" s="174">
        <v>43344</v>
      </c>
      <c r="E73" s="173"/>
      <c r="F73" s="173"/>
      <c r="G73" s="173"/>
      <c r="H73" s="173"/>
      <c r="I73" s="173"/>
    </row>
    <row r="74" spans="2:9" ht="41.45">
      <c r="B74" s="175" t="s">
        <v>175</v>
      </c>
      <c r="C74" s="175" t="s">
        <v>176</v>
      </c>
      <c r="D74" s="175" t="s">
        <v>177</v>
      </c>
      <c r="E74" s="175" t="s">
        <v>178</v>
      </c>
      <c r="F74" s="175" t="s">
        <v>179</v>
      </c>
      <c r="G74" s="173"/>
      <c r="H74" s="173"/>
      <c r="I74" s="173"/>
    </row>
    <row r="75" spans="2:9">
      <c r="B75" s="176" t="s">
        <v>180</v>
      </c>
      <c r="C75" s="163">
        <v>52325</v>
      </c>
      <c r="D75" s="164">
        <v>23771722681.889999</v>
      </c>
      <c r="E75" s="177">
        <v>0.01</v>
      </c>
      <c r="F75" s="178"/>
      <c r="G75" s="173"/>
      <c r="H75" s="173"/>
      <c r="I75" s="173"/>
    </row>
    <row r="76" spans="2:9">
      <c r="B76" s="176" t="s">
        <v>181</v>
      </c>
      <c r="C76" s="163">
        <v>3425</v>
      </c>
      <c r="D76" s="164">
        <v>570533993.13999999</v>
      </c>
      <c r="E76" s="177">
        <v>0.05</v>
      </c>
      <c r="F76" s="178">
        <f>D76*E76</f>
        <v>28526699.657000002</v>
      </c>
      <c r="G76" s="173"/>
      <c r="H76" s="173"/>
      <c r="I76" s="173"/>
    </row>
    <row r="77" spans="2:9">
      <c r="B77" s="176" t="s">
        <v>182</v>
      </c>
      <c r="C77" s="163">
        <v>3825</v>
      </c>
      <c r="D77" s="164">
        <v>290218253.19</v>
      </c>
      <c r="E77" s="177">
        <v>0.25</v>
      </c>
      <c r="F77" s="178">
        <f>D77*E77</f>
        <v>72554563.297499999</v>
      </c>
      <c r="G77" s="173"/>
      <c r="H77" s="173"/>
      <c r="I77" s="173"/>
    </row>
    <row r="78" spans="2:9">
      <c r="B78" s="176" t="s">
        <v>183</v>
      </c>
      <c r="C78" s="163">
        <v>1852</v>
      </c>
      <c r="D78" s="164">
        <v>27072771.289999999</v>
      </c>
      <c r="E78" s="177">
        <v>0.5</v>
      </c>
      <c r="F78" s="178">
        <f>D78*E78</f>
        <v>13536385.645</v>
      </c>
      <c r="G78" s="173"/>
      <c r="H78" s="173"/>
      <c r="I78" s="173"/>
    </row>
    <row r="79" spans="2:9">
      <c r="B79" s="176" t="s">
        <v>184</v>
      </c>
      <c r="C79" s="163">
        <v>2325</v>
      </c>
      <c r="D79" s="164">
        <v>150751465.06999999</v>
      </c>
      <c r="E79" s="177">
        <v>1</v>
      </c>
      <c r="F79" s="178">
        <f>D79*E79</f>
        <v>150751465.06999999</v>
      </c>
      <c r="G79" s="173"/>
      <c r="H79" s="173"/>
      <c r="I79" s="173"/>
    </row>
    <row r="80" spans="2:9">
      <c r="B80" s="179" t="s">
        <v>185</v>
      </c>
      <c r="C80" s="207">
        <v>63752</v>
      </c>
      <c r="D80" s="207">
        <v>24810299164.579998</v>
      </c>
      <c r="E80" s="178"/>
      <c r="F80" s="178">
        <f>SUM(F75:F79)</f>
        <v>265369113.66949999</v>
      </c>
      <c r="G80" s="173"/>
      <c r="H80" s="173" t="s">
        <v>186</v>
      </c>
      <c r="I80" s="182">
        <f>(D77+D78+D79)/D80</f>
        <v>1.8864846668926627E-2</v>
      </c>
    </row>
    <row r="81" spans="2:9">
      <c r="B81" s="186"/>
      <c r="C81" s="187" t="s">
        <v>186</v>
      </c>
      <c r="D81" s="187">
        <f>SUM(D77:D79)</f>
        <v>468042489.55000001</v>
      </c>
      <c r="E81" s="187"/>
      <c r="F81" s="187"/>
      <c r="G81" s="173"/>
      <c r="H81" s="173"/>
      <c r="I81" s="173"/>
    </row>
    <row r="82" spans="2:9">
      <c r="B82" s="173"/>
      <c r="C82" s="173" t="s">
        <v>187</v>
      </c>
      <c r="D82" s="188">
        <f>D81/D80</f>
        <v>1.8864846668926627E-2</v>
      </c>
      <c r="E82" s="173"/>
      <c r="F82" s="173"/>
      <c r="G82" s="173"/>
      <c r="H82" s="173"/>
      <c r="I82" s="173"/>
    </row>
    <row r="83" spans="2:9">
      <c r="B83" s="173"/>
      <c r="C83" s="173"/>
      <c r="D83" s="188"/>
      <c r="E83" s="173"/>
      <c r="F83" s="173"/>
      <c r="G83" s="173"/>
      <c r="H83" s="173"/>
      <c r="I83" s="173"/>
    </row>
    <row r="84" spans="2:9" ht="15.6">
      <c r="B84" s="173"/>
      <c r="C84" s="173"/>
      <c r="D84" s="174">
        <v>43435</v>
      </c>
      <c r="E84" s="173"/>
      <c r="F84" s="173"/>
      <c r="G84" s="173"/>
      <c r="H84" s="173"/>
      <c r="I84" s="173"/>
    </row>
    <row r="85" spans="2:9" ht="41.45">
      <c r="B85" s="175" t="s">
        <v>175</v>
      </c>
      <c r="C85" s="175" t="s">
        <v>176</v>
      </c>
      <c r="D85" s="175" t="s">
        <v>177</v>
      </c>
      <c r="E85" s="175" t="s">
        <v>178</v>
      </c>
      <c r="F85" s="175" t="s">
        <v>179</v>
      </c>
      <c r="G85" s="173"/>
      <c r="H85" s="173"/>
      <c r="I85" s="173"/>
    </row>
    <row r="86" spans="2:9">
      <c r="B86" s="176" t="s">
        <v>180</v>
      </c>
      <c r="C86" s="183"/>
      <c r="D86" s="184"/>
      <c r="E86" s="189">
        <v>0</v>
      </c>
      <c r="F86" s="178">
        <f>D86*E86</f>
        <v>0</v>
      </c>
      <c r="G86" s="173"/>
      <c r="H86" s="173"/>
      <c r="I86" s="173"/>
    </row>
    <row r="87" spans="2:9">
      <c r="B87" s="176" t="s">
        <v>181</v>
      </c>
      <c r="C87" s="183"/>
      <c r="D87" s="184"/>
      <c r="E87" s="189">
        <v>0.05</v>
      </c>
      <c r="F87" s="178">
        <f>D87*E87</f>
        <v>0</v>
      </c>
      <c r="G87" s="173"/>
      <c r="H87" s="173"/>
      <c r="I87" s="173"/>
    </row>
    <row r="88" spans="2:9">
      <c r="B88" s="176" t="s">
        <v>182</v>
      </c>
      <c r="C88" s="183"/>
      <c r="D88" s="184"/>
      <c r="E88" s="189">
        <v>0.25</v>
      </c>
      <c r="F88" s="178">
        <f>D88*E88</f>
        <v>0</v>
      </c>
      <c r="G88" s="173"/>
      <c r="H88" s="173"/>
      <c r="I88" s="173"/>
    </row>
    <row r="89" spans="2:9">
      <c r="B89" s="176" t="s">
        <v>183</v>
      </c>
      <c r="C89" s="183"/>
      <c r="D89" s="184"/>
      <c r="E89" s="189">
        <v>0.5</v>
      </c>
      <c r="F89" s="178">
        <f>D89*E89</f>
        <v>0</v>
      </c>
      <c r="G89" s="173"/>
      <c r="H89" s="173"/>
      <c r="I89" s="173"/>
    </row>
    <row r="90" spans="2:9">
      <c r="B90" s="176" t="s">
        <v>184</v>
      </c>
      <c r="C90" s="183"/>
      <c r="D90" s="184"/>
      <c r="E90" s="189">
        <v>1</v>
      </c>
      <c r="F90" s="178">
        <f>D90*E90</f>
        <v>0</v>
      </c>
      <c r="G90" s="173"/>
      <c r="H90" s="173"/>
      <c r="I90" s="173"/>
    </row>
    <row r="91" spans="2:9">
      <c r="B91" s="179" t="s">
        <v>185</v>
      </c>
      <c r="C91" s="178"/>
      <c r="D91" s="178"/>
      <c r="E91" s="178">
        <v>1.81</v>
      </c>
      <c r="F91" s="178">
        <f>SUM(F86:F90)</f>
        <v>0</v>
      </c>
      <c r="G91" s="173"/>
      <c r="H91" s="173" t="s">
        <v>186</v>
      </c>
      <c r="I91" s="182" t="e">
        <f>(D88+D89+D90)/D91</f>
        <v>#DIV/0!</v>
      </c>
    </row>
    <row r="92" spans="2:9">
      <c r="B92" s="173"/>
      <c r="C92" s="187" t="s">
        <v>186</v>
      </c>
      <c r="D92" s="187">
        <f>SUM(D88:D90)</f>
        <v>0</v>
      </c>
      <c r="E92" s="173"/>
      <c r="F92" s="173"/>
      <c r="G92" s="173"/>
      <c r="H92" s="173"/>
      <c r="I92" s="173"/>
    </row>
    <row r="93" spans="2:9">
      <c r="B93" s="173"/>
      <c r="C93" s="173" t="s">
        <v>187</v>
      </c>
      <c r="D93" s="188" t="e">
        <f>D92/D91</f>
        <v>#DIV/0!</v>
      </c>
      <c r="E93" s="173"/>
      <c r="F93" s="173"/>
      <c r="G93" s="173"/>
      <c r="H93" s="173"/>
      <c r="I93" s="173"/>
    </row>
    <row r="94" spans="2:9">
      <c r="B94" s="173"/>
      <c r="C94" s="173"/>
      <c r="D94" s="173"/>
      <c r="E94" s="173"/>
      <c r="F94" s="173"/>
      <c r="G94" s="173"/>
      <c r="H94" s="173"/>
      <c r="I94" s="173"/>
    </row>
    <row r="95" spans="2:9" ht="15.6">
      <c r="B95" s="173"/>
      <c r="C95" s="173"/>
      <c r="D95" s="190" t="s">
        <v>74</v>
      </c>
      <c r="E95" s="173"/>
      <c r="F95" s="173"/>
      <c r="G95" s="173"/>
      <c r="H95" s="173"/>
      <c r="I95" s="173"/>
    </row>
    <row r="96" spans="2:9" ht="41.45">
      <c r="B96" s="175" t="s">
        <v>175</v>
      </c>
      <c r="C96" s="175" t="s">
        <v>176</v>
      </c>
      <c r="D96" s="175" t="s">
        <v>177</v>
      </c>
      <c r="E96" s="175" t="s">
        <v>178</v>
      </c>
      <c r="F96" s="175" t="s">
        <v>179</v>
      </c>
      <c r="G96" s="173"/>
      <c r="H96" s="173"/>
      <c r="I96" s="173"/>
    </row>
    <row r="97" spans="2:9">
      <c r="B97" s="176" t="s">
        <v>180</v>
      </c>
      <c r="C97" s="191">
        <v>61808</v>
      </c>
      <c r="D97" s="192">
        <v>23864790000</v>
      </c>
      <c r="E97" s="189">
        <v>0</v>
      </c>
      <c r="F97" s="178">
        <f>D97*E97</f>
        <v>0</v>
      </c>
      <c r="G97" s="173"/>
      <c r="H97" s="173"/>
      <c r="I97" s="173"/>
    </row>
    <row r="98" spans="2:9">
      <c r="B98" s="176" t="s">
        <v>181</v>
      </c>
      <c r="C98" s="191">
        <v>2558</v>
      </c>
      <c r="D98" s="192">
        <v>543816000</v>
      </c>
      <c r="E98" s="189">
        <v>0.05</v>
      </c>
      <c r="F98" s="178">
        <v>6739000</v>
      </c>
      <c r="G98" s="173"/>
      <c r="H98" s="173"/>
      <c r="I98" s="173"/>
    </row>
    <row r="99" spans="2:9">
      <c r="B99" s="176" t="s">
        <v>182</v>
      </c>
      <c r="C99" s="191">
        <v>3972</v>
      </c>
      <c r="D99" s="192">
        <v>838253000</v>
      </c>
      <c r="E99" s="189">
        <v>0.25</v>
      </c>
      <c r="F99" s="178">
        <v>54183000</v>
      </c>
      <c r="G99" s="173"/>
      <c r="H99" s="173"/>
      <c r="I99" s="173"/>
    </row>
    <row r="100" spans="2:9">
      <c r="B100" s="176" t="s">
        <v>183</v>
      </c>
      <c r="C100" s="191">
        <v>2510</v>
      </c>
      <c r="D100" s="192">
        <v>373254000</v>
      </c>
      <c r="E100" s="189">
        <v>0.5</v>
      </c>
      <c r="F100" s="178">
        <v>33315000</v>
      </c>
      <c r="G100" s="173"/>
      <c r="H100" s="173"/>
      <c r="I100" s="173"/>
    </row>
    <row r="101" spans="2:9">
      <c r="B101" s="176" t="s">
        <v>184</v>
      </c>
      <c r="C101" s="191">
        <v>2139</v>
      </c>
      <c r="D101" s="192">
        <v>210209000</v>
      </c>
      <c r="E101" s="189">
        <v>1</v>
      </c>
      <c r="F101" s="178">
        <v>11377000</v>
      </c>
      <c r="G101" s="173"/>
      <c r="H101" s="173"/>
      <c r="I101" s="173"/>
    </row>
    <row r="102" spans="2:9">
      <c r="B102" s="179" t="s">
        <v>185</v>
      </c>
      <c r="C102" s="178">
        <f>SUM(C97:C101)</f>
        <v>72987</v>
      </c>
      <c r="D102" s="178">
        <f>SUM(D97:D101)</f>
        <v>25830322000</v>
      </c>
      <c r="E102" s="178">
        <v>1.81</v>
      </c>
      <c r="F102" s="178">
        <f>SUM(F97:F101)</f>
        <v>105614000</v>
      </c>
      <c r="G102" s="173"/>
      <c r="H102" s="173" t="s">
        <v>186</v>
      </c>
      <c r="I102" s="182">
        <f>(D99+D100+D101)/D102</f>
        <v>5.5040583698492025E-2</v>
      </c>
    </row>
    <row r="103" spans="2:9">
      <c r="C103" s="187" t="s">
        <v>186</v>
      </c>
      <c r="D103" s="187">
        <f>SUM(D99:D101)</f>
        <v>1421716000</v>
      </c>
    </row>
    <row r="104" spans="2:9">
      <c r="C104" s="173" t="s">
        <v>187</v>
      </c>
      <c r="D104" s="188">
        <f>D103/D102</f>
        <v>5.5040583698492025E-2</v>
      </c>
    </row>
    <row r="107" spans="2:9" ht="15.6">
      <c r="B107" s="173"/>
      <c r="C107" s="173"/>
      <c r="D107" s="190">
        <v>44075</v>
      </c>
      <c r="E107" s="173"/>
      <c r="F107" s="173"/>
      <c r="G107" s="173"/>
      <c r="H107" s="173"/>
      <c r="I107" s="173"/>
    </row>
    <row r="108" spans="2:9" ht="41.45">
      <c r="B108" s="175" t="s">
        <v>175</v>
      </c>
      <c r="C108" s="175" t="s">
        <v>176</v>
      </c>
      <c r="D108" s="175" t="s">
        <v>177</v>
      </c>
      <c r="E108" s="175" t="s">
        <v>178</v>
      </c>
      <c r="F108" s="175" t="s">
        <v>179</v>
      </c>
      <c r="G108" s="173"/>
      <c r="H108" s="173"/>
      <c r="I108" s="173"/>
    </row>
    <row r="109" spans="2:9">
      <c r="B109" s="176" t="s">
        <v>180</v>
      </c>
      <c r="C109" s="191">
        <v>56618</v>
      </c>
      <c r="D109" s="192">
        <v>31475040558.970001</v>
      </c>
      <c r="E109" s="189">
        <v>0.01</v>
      </c>
      <c r="F109" s="178">
        <f>D109*E109</f>
        <v>314750405.58970004</v>
      </c>
      <c r="G109" s="264"/>
      <c r="H109" s="173"/>
      <c r="I109" s="173"/>
    </row>
    <row r="110" spans="2:9">
      <c r="B110" s="176" t="s">
        <v>181</v>
      </c>
      <c r="C110" s="191">
        <v>2064</v>
      </c>
      <c r="D110" s="192">
        <v>472657639.95999998</v>
      </c>
      <c r="E110" s="189">
        <v>0.05</v>
      </c>
      <c r="F110" s="178">
        <f>D110*E110</f>
        <v>23632881.998</v>
      </c>
      <c r="G110" s="264"/>
      <c r="H110" s="173"/>
      <c r="I110" s="173"/>
    </row>
    <row r="111" spans="2:9">
      <c r="B111" s="176" t="s">
        <v>182</v>
      </c>
      <c r="C111" s="191">
        <v>4931</v>
      </c>
      <c r="D111" s="192">
        <v>800139813.21000004</v>
      </c>
      <c r="E111" s="189">
        <v>0.25</v>
      </c>
      <c r="F111" s="178">
        <f>D111*E111</f>
        <v>200034953.30250001</v>
      </c>
      <c r="G111" s="264"/>
      <c r="H111" s="173"/>
      <c r="I111" s="173"/>
    </row>
    <row r="112" spans="2:9">
      <c r="B112" s="176" t="s">
        <v>183</v>
      </c>
      <c r="C112" s="191">
        <v>2310</v>
      </c>
      <c r="D112" s="192">
        <v>131644844.06999999</v>
      </c>
      <c r="E112" s="189">
        <v>0.5</v>
      </c>
      <c r="F112" s="178">
        <f>D112*E112</f>
        <v>65822422.034999996</v>
      </c>
      <c r="G112" s="264"/>
      <c r="H112" s="173"/>
      <c r="I112" s="173"/>
    </row>
    <row r="113" spans="2:9">
      <c r="B113" s="176" t="s">
        <v>184</v>
      </c>
      <c r="C113" s="191">
        <v>6478</v>
      </c>
      <c r="D113" s="192">
        <v>564712671.96000004</v>
      </c>
      <c r="E113" s="189">
        <v>1</v>
      </c>
      <c r="F113" s="178">
        <f>D113*E113</f>
        <v>564712671.96000004</v>
      </c>
      <c r="G113" s="264"/>
      <c r="H113" s="173"/>
      <c r="I113" s="173"/>
    </row>
    <row r="114" spans="2:9">
      <c r="B114" s="179" t="s">
        <v>189</v>
      </c>
      <c r="C114" s="178">
        <f>SUM(C109:C113)</f>
        <v>72401</v>
      </c>
      <c r="D114" s="178">
        <f>SUM(D109:D113)</f>
        <v>33444195528.169998</v>
      </c>
      <c r="E114" s="178">
        <v>1.81</v>
      </c>
      <c r="F114" s="178">
        <f>SUM(F109:F113)</f>
        <v>1168953334.8852</v>
      </c>
      <c r="G114" s="173"/>
      <c r="H114" s="173" t="s">
        <v>186</v>
      </c>
      <c r="I114" s="182">
        <f>(D111+D112+D113)/D114</f>
        <v>4.4746100350343376E-2</v>
      </c>
    </row>
    <row r="115" spans="2:9">
      <c r="C115" s="187" t="s">
        <v>186</v>
      </c>
      <c r="D115" s="187">
        <f>SUM(D111:D113)</f>
        <v>1496497329.24</v>
      </c>
    </row>
    <row r="116" spans="2:9">
      <c r="C116" s="173" t="s">
        <v>187</v>
      </c>
      <c r="D116" s="265">
        <f>D115/D114</f>
        <v>4.4746100350343376E-2</v>
      </c>
    </row>
    <row r="119" spans="2:9" ht="15.6">
      <c r="B119" s="173"/>
      <c r="C119" s="173"/>
      <c r="D119" s="190">
        <v>43525</v>
      </c>
      <c r="E119" s="173"/>
      <c r="F119" s="173"/>
    </row>
    <row r="120" spans="2:9" ht="41.45">
      <c r="B120" s="175" t="s">
        <v>175</v>
      </c>
      <c r="C120" s="175" t="s">
        <v>176</v>
      </c>
      <c r="D120" s="175" t="s">
        <v>177</v>
      </c>
      <c r="E120" s="175" t="s">
        <v>178</v>
      </c>
      <c r="F120" s="175" t="s">
        <v>179</v>
      </c>
    </row>
    <row r="121" spans="2:9">
      <c r="B121" s="176" t="s">
        <v>180</v>
      </c>
      <c r="C121" s="364">
        <v>59498</v>
      </c>
      <c r="D121" s="364">
        <v>24048389842.73</v>
      </c>
      <c r="E121" s="189">
        <v>0.01</v>
      </c>
      <c r="F121" s="178">
        <f>D121*E121</f>
        <v>240483898.42730001</v>
      </c>
      <c r="I121" s="364"/>
    </row>
    <row r="122" spans="2:9">
      <c r="B122" s="176" t="s">
        <v>181</v>
      </c>
      <c r="C122" s="364">
        <v>2175</v>
      </c>
      <c r="D122" s="364">
        <v>700103518.71000004</v>
      </c>
      <c r="E122" s="189">
        <v>0.05</v>
      </c>
      <c r="F122" s="178">
        <f>D122*E122</f>
        <v>35005175.935500003</v>
      </c>
      <c r="I122" s="364"/>
    </row>
    <row r="123" spans="2:9">
      <c r="B123" s="176" t="s">
        <v>182</v>
      </c>
      <c r="C123" s="364">
        <v>3526</v>
      </c>
      <c r="D123" s="364">
        <v>761289032.15999997</v>
      </c>
      <c r="E123" s="189">
        <v>0.25</v>
      </c>
      <c r="F123" s="178">
        <f>D123*E123</f>
        <v>190322258.03999999</v>
      </c>
      <c r="I123" s="364"/>
    </row>
    <row r="124" spans="2:9">
      <c r="B124" s="176" t="s">
        <v>183</v>
      </c>
      <c r="C124" s="364">
        <v>1925</v>
      </c>
      <c r="D124" s="364">
        <v>213567817.93000001</v>
      </c>
      <c r="E124" s="189">
        <v>0.5</v>
      </c>
      <c r="F124" s="178">
        <f>D124*E124</f>
        <v>106783908.965</v>
      </c>
      <c r="I124" s="364"/>
    </row>
    <row r="125" spans="2:9">
      <c r="B125" s="176" t="s">
        <v>184</v>
      </c>
      <c r="C125" s="364">
        <v>2210</v>
      </c>
      <c r="D125" s="364">
        <v>264038576.66</v>
      </c>
      <c r="E125" s="189">
        <v>1</v>
      </c>
      <c r="F125" s="178">
        <f>D125*E125</f>
        <v>264038576.66</v>
      </c>
      <c r="I125" s="364"/>
    </row>
    <row r="126" spans="2:9">
      <c r="B126" s="179" t="s">
        <v>189</v>
      </c>
      <c r="C126" s="178">
        <f>SUM(C121:C125)</f>
        <v>69334</v>
      </c>
      <c r="D126" s="178">
        <f>SUM(D121:D125)</f>
        <v>25987388788.189999</v>
      </c>
      <c r="E126" s="178">
        <v>1.81</v>
      </c>
      <c r="F126" s="178">
        <f>SUM(F121:F125)</f>
        <v>836633818.02779996</v>
      </c>
      <c r="I126" s="363"/>
    </row>
    <row r="127" spans="2:9">
      <c r="C127" s="187" t="s">
        <v>186</v>
      </c>
      <c r="D127" s="187">
        <f>SUM(D123:D125)</f>
        <v>1238895426.75</v>
      </c>
      <c r="I127" s="364"/>
    </row>
    <row r="128" spans="2:9">
      <c r="C128" s="173" t="s">
        <v>187</v>
      </c>
      <c r="D128" s="265">
        <f>D127/D126</f>
        <v>4.7672947707351712E-2</v>
      </c>
      <c r="I128" s="364"/>
    </row>
    <row r="129" spans="2:9">
      <c r="I129" s="364"/>
    </row>
    <row r="130" spans="2:9">
      <c r="I130" s="364"/>
    </row>
    <row r="131" spans="2:9" ht="15.6">
      <c r="B131" s="173"/>
      <c r="C131" s="173"/>
      <c r="D131" s="190">
        <v>43617</v>
      </c>
      <c r="E131" s="173"/>
      <c r="F131" s="173"/>
      <c r="I131" s="364"/>
    </row>
    <row r="132" spans="2:9" ht="41.45">
      <c r="B132" s="175" t="s">
        <v>175</v>
      </c>
      <c r="C132" s="175" t="s">
        <v>176</v>
      </c>
      <c r="D132" s="175" t="s">
        <v>177</v>
      </c>
      <c r="E132" s="175" t="s">
        <v>178</v>
      </c>
      <c r="F132" s="175" t="s">
        <v>179</v>
      </c>
      <c r="I132" s="436"/>
    </row>
    <row r="133" spans="2:9">
      <c r="B133" s="176" t="s">
        <v>180</v>
      </c>
      <c r="C133" s="364">
        <v>58864</v>
      </c>
      <c r="D133" s="364">
        <v>24325389616.130001</v>
      </c>
      <c r="E133" s="189">
        <v>0.01</v>
      </c>
      <c r="F133" s="178">
        <f>D133*E133</f>
        <v>243253896.1613</v>
      </c>
      <c r="I133" s="437"/>
    </row>
    <row r="134" spans="2:9">
      <c r="B134" s="176" t="s">
        <v>181</v>
      </c>
      <c r="C134" s="364">
        <v>2382</v>
      </c>
      <c r="D134" s="364">
        <v>604049242.45000005</v>
      </c>
      <c r="E134" s="189">
        <v>0.05</v>
      </c>
      <c r="F134" s="178">
        <f>D134*E134</f>
        <v>30202462.122500002</v>
      </c>
      <c r="I134" s="438"/>
    </row>
    <row r="135" spans="2:9">
      <c r="B135" s="176" t="s">
        <v>182</v>
      </c>
      <c r="C135" s="364">
        <v>6259</v>
      </c>
      <c r="D135" s="364">
        <v>791440638.92999995</v>
      </c>
      <c r="E135" s="189">
        <v>0.25</v>
      </c>
      <c r="F135" s="178">
        <f>D135*E135</f>
        <v>197860159.73249999</v>
      </c>
      <c r="I135" s="437"/>
    </row>
    <row r="136" spans="2:9">
      <c r="B136" s="176" t="s">
        <v>183</v>
      </c>
      <c r="C136" s="364">
        <v>2030</v>
      </c>
      <c r="D136" s="364">
        <v>288666784.00999999</v>
      </c>
      <c r="E136" s="189">
        <v>0.5</v>
      </c>
      <c r="F136" s="178">
        <f>D136*E136</f>
        <v>144333392.005</v>
      </c>
      <c r="I136" s="364"/>
    </row>
    <row r="137" spans="2:9">
      <c r="B137" s="176" t="s">
        <v>184</v>
      </c>
      <c r="C137" s="364">
        <v>1942</v>
      </c>
      <c r="D137" s="364">
        <v>303371549.05000001</v>
      </c>
      <c r="E137" s="189">
        <v>1</v>
      </c>
      <c r="F137" s="178">
        <f>D137*E137</f>
        <v>303371549.05000001</v>
      </c>
      <c r="I137" s="364"/>
    </row>
    <row r="138" spans="2:9">
      <c r="B138" s="179" t="s">
        <v>189</v>
      </c>
      <c r="C138" s="178">
        <f>SUM(C133:C137)</f>
        <v>71477</v>
      </c>
      <c r="D138" s="178">
        <f>SUM(D133:D137)</f>
        <v>26312917830.57</v>
      </c>
      <c r="E138" s="178">
        <v>1.81</v>
      </c>
      <c r="F138" s="178">
        <f>SUM(F133:F137)</f>
        <v>919021459.07130003</v>
      </c>
      <c r="I138" s="364"/>
    </row>
    <row r="139" spans="2:9">
      <c r="C139" s="187" t="s">
        <v>186</v>
      </c>
      <c r="D139" s="187">
        <f>SUM(D135:D137)</f>
        <v>1383478971.99</v>
      </c>
      <c r="I139" s="364"/>
    </row>
    <row r="140" spans="2:9">
      <c r="C140" s="173" t="s">
        <v>187</v>
      </c>
      <c r="D140" s="265">
        <f>D139/D138</f>
        <v>5.2577938368457658E-2</v>
      </c>
    </row>
    <row r="142" spans="2:9">
      <c r="I142" s="364">
        <v>58059</v>
      </c>
    </row>
    <row r="143" spans="2:9">
      <c r="I143" s="364">
        <v>2213</v>
      </c>
    </row>
    <row r="144" spans="2:9" ht="15.6">
      <c r="B144" s="173"/>
      <c r="C144" s="173"/>
      <c r="D144" s="190">
        <v>43709</v>
      </c>
      <c r="E144" s="173"/>
      <c r="F144" s="173"/>
      <c r="I144" s="364">
        <v>5719</v>
      </c>
    </row>
    <row r="145" spans="2:9" ht="41.45">
      <c r="B145" s="175" t="s">
        <v>175</v>
      </c>
      <c r="C145" s="175" t="s">
        <v>176</v>
      </c>
      <c r="D145" s="175" t="s">
        <v>177</v>
      </c>
      <c r="E145" s="175" t="s">
        <v>178</v>
      </c>
      <c r="F145" s="175" t="s">
        <v>179</v>
      </c>
      <c r="I145" s="364">
        <v>3375</v>
      </c>
    </row>
    <row r="146" spans="2:9">
      <c r="B146" s="176" t="s">
        <v>180</v>
      </c>
      <c r="C146" s="364">
        <v>58059</v>
      </c>
      <c r="D146" s="364">
        <v>24955003513.07</v>
      </c>
      <c r="E146" s="189">
        <v>0.01</v>
      </c>
      <c r="F146" s="178">
        <f>D146*E146</f>
        <v>249550035.13069999</v>
      </c>
      <c r="I146" s="364">
        <v>2831</v>
      </c>
    </row>
    <row r="147" spans="2:9">
      <c r="B147" s="176" t="s">
        <v>181</v>
      </c>
      <c r="C147" s="364">
        <v>2213</v>
      </c>
      <c r="D147" s="364">
        <v>514753153.87</v>
      </c>
      <c r="E147" s="189">
        <v>0.05</v>
      </c>
      <c r="F147" s="178">
        <f>D147*E147</f>
        <v>25737657.693500001</v>
      </c>
      <c r="I147" s="363" t="s">
        <v>190</v>
      </c>
    </row>
    <row r="148" spans="2:9">
      <c r="B148" s="176" t="s">
        <v>182</v>
      </c>
      <c r="C148" s="364">
        <v>5719</v>
      </c>
      <c r="D148" s="364">
        <v>808477948.41999996</v>
      </c>
      <c r="E148" s="189">
        <v>0.25</v>
      </c>
      <c r="F148" s="178">
        <f>D148*E148</f>
        <v>202119487.10499999</v>
      </c>
      <c r="I148" s="364">
        <v>24955003513.07</v>
      </c>
    </row>
    <row r="149" spans="2:9">
      <c r="B149" s="176" t="s">
        <v>183</v>
      </c>
      <c r="C149" s="364">
        <v>3375</v>
      </c>
      <c r="D149" s="364">
        <v>230363099.72999999</v>
      </c>
      <c r="E149" s="189">
        <v>0.5</v>
      </c>
      <c r="F149" s="178">
        <f>D149*E149</f>
        <v>115181549.86499999</v>
      </c>
      <c r="I149" s="364">
        <v>514753153.87</v>
      </c>
    </row>
    <row r="150" spans="2:9">
      <c r="B150" s="176" t="s">
        <v>184</v>
      </c>
      <c r="C150" s="364">
        <v>2831</v>
      </c>
      <c r="D150" s="364">
        <v>422605818.20999998</v>
      </c>
      <c r="E150" s="189">
        <v>1</v>
      </c>
      <c r="F150" s="178">
        <f>D150*E150</f>
        <v>422605818.20999998</v>
      </c>
      <c r="I150" s="364">
        <v>808477948.41999996</v>
      </c>
    </row>
    <row r="151" spans="2:9">
      <c r="B151" s="179" t="s">
        <v>189</v>
      </c>
      <c r="C151" s="178">
        <f>SUM(C146:C150)</f>
        <v>72197</v>
      </c>
      <c r="D151" s="178">
        <f>SUM(D146:D150)</f>
        <v>26931203533.299995</v>
      </c>
      <c r="E151" s="178">
        <v>1.81</v>
      </c>
      <c r="F151" s="178">
        <f>SUM(F146:F150)</f>
        <v>1015194548.0042</v>
      </c>
      <c r="I151" s="364">
        <v>230363099.72999999</v>
      </c>
    </row>
    <row r="152" spans="2:9">
      <c r="C152" s="187" t="s">
        <v>186</v>
      </c>
      <c r="D152" s="187">
        <f>SUM(D148:D150)</f>
        <v>1461446866.3599999</v>
      </c>
      <c r="I152" s="364">
        <v>422605818.20999998</v>
      </c>
    </row>
    <row r="153" spans="2:9">
      <c r="C153" s="173" t="s">
        <v>187</v>
      </c>
      <c r="D153" s="265">
        <f>D152/D151</f>
        <v>5.4265932250407767E-2</v>
      </c>
    </row>
    <row r="156" spans="2:9" ht="15.6">
      <c r="B156" s="173"/>
      <c r="C156" s="173"/>
      <c r="D156" s="190">
        <v>43800</v>
      </c>
      <c r="E156" s="173"/>
      <c r="F156" s="173"/>
    </row>
    <row r="157" spans="2:9" ht="41.45">
      <c r="B157" s="175" t="s">
        <v>175</v>
      </c>
      <c r="C157" s="175" t="s">
        <v>176</v>
      </c>
      <c r="D157" s="175" t="s">
        <v>177</v>
      </c>
      <c r="E157" s="175" t="s">
        <v>178</v>
      </c>
      <c r="F157" s="175" t="s">
        <v>179</v>
      </c>
      <c r="I157" s="364">
        <v>60961</v>
      </c>
    </row>
    <row r="158" spans="2:9">
      <c r="B158" s="176" t="s">
        <v>180</v>
      </c>
      <c r="C158" s="364">
        <v>60961</v>
      </c>
      <c r="D158" s="364">
        <v>28334470802.610001</v>
      </c>
      <c r="E158" s="189">
        <v>0.01</v>
      </c>
      <c r="F158" s="178">
        <f>D158*E158</f>
        <v>283344708.02610004</v>
      </c>
      <c r="I158" s="364">
        <v>2605</v>
      </c>
    </row>
    <row r="159" spans="2:9">
      <c r="B159" s="176" t="s">
        <v>181</v>
      </c>
      <c r="C159" s="364">
        <v>2605</v>
      </c>
      <c r="D159" s="364">
        <v>620546912.94000006</v>
      </c>
      <c r="E159" s="189">
        <v>0.05</v>
      </c>
      <c r="F159" s="178">
        <f>D159*E159</f>
        <v>31027345.647000004</v>
      </c>
      <c r="I159" s="364">
        <v>4524</v>
      </c>
    </row>
    <row r="160" spans="2:9">
      <c r="B160" s="176" t="s">
        <v>182</v>
      </c>
      <c r="C160" s="364">
        <v>4524</v>
      </c>
      <c r="D160" s="364">
        <v>711891933.12</v>
      </c>
      <c r="E160" s="189">
        <v>0.25</v>
      </c>
      <c r="F160" s="178">
        <f>D160*E160</f>
        <v>177972983.28</v>
      </c>
      <c r="I160" s="364">
        <v>4616</v>
      </c>
    </row>
    <row r="161" spans="2:9">
      <c r="B161" s="176" t="s">
        <v>183</v>
      </c>
      <c r="C161" s="364">
        <v>4616</v>
      </c>
      <c r="D161" s="364">
        <v>275129720.85000002</v>
      </c>
      <c r="E161" s="189">
        <v>0.5</v>
      </c>
      <c r="F161" s="178">
        <f>D161*E161</f>
        <v>137564860.42500001</v>
      </c>
      <c r="I161" s="364">
        <v>3841</v>
      </c>
    </row>
    <row r="162" spans="2:9">
      <c r="B162" s="176" t="s">
        <v>184</v>
      </c>
      <c r="C162" s="364">
        <v>3841</v>
      </c>
      <c r="D162" s="364">
        <v>461324074.77999997</v>
      </c>
      <c r="E162" s="189">
        <v>1</v>
      </c>
      <c r="F162" s="178">
        <f>D162*E162</f>
        <v>461324074.77999997</v>
      </c>
      <c r="I162" s="363" t="s">
        <v>190</v>
      </c>
    </row>
    <row r="163" spans="2:9">
      <c r="B163" s="179" t="s">
        <v>189</v>
      </c>
      <c r="C163" s="178">
        <f>SUM(C158:C162)</f>
        <v>76547</v>
      </c>
      <c r="D163" s="178">
        <f>SUM(D158:D162)</f>
        <v>30403363444.299995</v>
      </c>
      <c r="E163" s="178">
        <v>1.81</v>
      </c>
      <c r="F163" s="178">
        <f>SUM(F158:F162)</f>
        <v>1091233972.1581001</v>
      </c>
      <c r="I163" s="364">
        <v>28334470802.610001</v>
      </c>
    </row>
    <row r="164" spans="2:9">
      <c r="C164" s="187" t="s">
        <v>186</v>
      </c>
      <c r="D164" s="187">
        <f>SUM(D160:D162)</f>
        <v>1448345728.75</v>
      </c>
      <c r="I164" s="364">
        <v>620546912.94000006</v>
      </c>
    </row>
    <row r="165" spans="2:9">
      <c r="C165" s="173" t="s">
        <v>187</v>
      </c>
      <c r="D165" s="265">
        <f>D164/D163</f>
        <v>4.7637680988928052E-2</v>
      </c>
      <c r="I165" s="364">
        <v>711891933.12</v>
      </c>
    </row>
    <row r="166" spans="2:9">
      <c r="I166" s="364">
        <v>275129720.85000002</v>
      </c>
    </row>
    <row r="167" spans="2:9">
      <c r="I167" s="364">
        <v>461324074.77999997</v>
      </c>
    </row>
    <row r="168" spans="2:9" ht="15.6">
      <c r="B168" s="173"/>
      <c r="C168" s="173"/>
      <c r="D168" s="190">
        <v>43891</v>
      </c>
      <c r="E168" s="173"/>
      <c r="F168" s="173"/>
    </row>
    <row r="169" spans="2:9" ht="41.45">
      <c r="B169" s="175" t="s">
        <v>175</v>
      </c>
      <c r="C169" s="175" t="s">
        <v>176</v>
      </c>
      <c r="D169" s="175" t="s">
        <v>177</v>
      </c>
      <c r="E169" s="175" t="s">
        <v>178</v>
      </c>
      <c r="F169" s="175" t="s">
        <v>179</v>
      </c>
      <c r="I169" s="364">
        <v>56758</v>
      </c>
    </row>
    <row r="170" spans="2:9">
      <c r="B170" s="176" t="s">
        <v>180</v>
      </c>
      <c r="C170" s="364">
        <v>56758</v>
      </c>
      <c r="D170" s="364">
        <v>30056177689.529999</v>
      </c>
      <c r="E170" s="189">
        <v>0.01</v>
      </c>
      <c r="F170" s="178">
        <f>D170*E170</f>
        <v>300561776.89529997</v>
      </c>
      <c r="I170" s="364">
        <v>2568</v>
      </c>
    </row>
    <row r="171" spans="2:9">
      <c r="B171" s="176" t="s">
        <v>181</v>
      </c>
      <c r="C171" s="364">
        <v>2568</v>
      </c>
      <c r="D171" s="364">
        <v>405982466.37</v>
      </c>
      <c r="E171" s="189">
        <v>0.05</v>
      </c>
      <c r="F171" s="178">
        <f>D171*E171</f>
        <v>20299123.318500001</v>
      </c>
      <c r="I171" s="364">
        <v>3414</v>
      </c>
    </row>
    <row r="172" spans="2:9">
      <c r="B172" s="176" t="s">
        <v>182</v>
      </c>
      <c r="C172" s="364">
        <v>3414</v>
      </c>
      <c r="D172" s="364">
        <v>466168711.44999999</v>
      </c>
      <c r="E172" s="189">
        <v>0.25</v>
      </c>
      <c r="F172" s="178">
        <f>D172*E172</f>
        <v>116542177.8625</v>
      </c>
      <c r="I172" s="364">
        <v>3444</v>
      </c>
    </row>
    <row r="173" spans="2:9">
      <c r="B173" s="176" t="s">
        <v>183</v>
      </c>
      <c r="C173" s="364">
        <v>3444</v>
      </c>
      <c r="D173" s="364">
        <v>265834595.13</v>
      </c>
      <c r="E173" s="189">
        <v>0.5</v>
      </c>
      <c r="F173" s="178">
        <f>D173*E173</f>
        <v>132917297.565</v>
      </c>
      <c r="I173" s="364">
        <v>4405</v>
      </c>
    </row>
    <row r="174" spans="2:9">
      <c r="B174" s="176" t="s">
        <v>184</v>
      </c>
      <c r="C174" s="364">
        <v>4405</v>
      </c>
      <c r="D174" s="364">
        <v>508511168.82999998</v>
      </c>
      <c r="E174" s="189">
        <v>1</v>
      </c>
      <c r="F174" s="178">
        <f>D174*E174</f>
        <v>508511168.82999998</v>
      </c>
      <c r="I174" s="363" t="s">
        <v>190</v>
      </c>
    </row>
    <row r="175" spans="2:9">
      <c r="B175" s="179" t="s">
        <v>189</v>
      </c>
      <c r="C175" s="178">
        <f>SUM(C170:C174)</f>
        <v>70589</v>
      </c>
      <c r="D175" s="178">
        <f>SUM(D170:D174)</f>
        <v>31702674631.310001</v>
      </c>
      <c r="E175" s="178">
        <v>1.81</v>
      </c>
      <c r="F175" s="178">
        <f>SUM(F170:F174)</f>
        <v>1078831544.4712999</v>
      </c>
      <c r="I175" s="364">
        <v>30056177689.529999</v>
      </c>
    </row>
    <row r="176" spans="2:9">
      <c r="C176" s="187" t="s">
        <v>186</v>
      </c>
      <c r="D176" s="187">
        <f>SUM(D172:D174)</f>
        <v>1240514475.4099998</v>
      </c>
      <c r="I176" s="364">
        <v>405982466.37</v>
      </c>
    </row>
    <row r="177" spans="2:11">
      <c r="C177" s="173" t="s">
        <v>187</v>
      </c>
      <c r="D177" s="265">
        <f>D176/D175</f>
        <v>3.9129647256476288E-2</v>
      </c>
      <c r="I177" s="364">
        <v>466168711.44999999</v>
      </c>
    </row>
    <row r="178" spans="2:11">
      <c r="I178" s="364">
        <v>265834595.13</v>
      </c>
    </row>
    <row r="179" spans="2:11">
      <c r="I179" s="364">
        <v>508511168.82999998</v>
      </c>
      <c r="K179" s="364">
        <v>9442</v>
      </c>
    </row>
    <row r="180" spans="2:11" ht="15.6">
      <c r="B180" s="173"/>
      <c r="C180" s="173"/>
      <c r="D180" s="190">
        <v>43983</v>
      </c>
      <c r="E180" s="173"/>
      <c r="F180" s="173"/>
      <c r="K180" s="364">
        <v>489</v>
      </c>
    </row>
    <row r="181" spans="2:11" ht="41.45">
      <c r="B181" s="175" t="s">
        <v>175</v>
      </c>
      <c r="C181" s="175" t="s">
        <v>176</v>
      </c>
      <c r="D181" s="175" t="s">
        <v>177</v>
      </c>
      <c r="E181" s="175" t="s">
        <v>178</v>
      </c>
      <c r="F181" s="175" t="s">
        <v>179</v>
      </c>
      <c r="I181" s="364">
        <v>54032</v>
      </c>
      <c r="K181" s="364">
        <v>334</v>
      </c>
    </row>
    <row r="182" spans="2:11">
      <c r="B182" s="176" t="s">
        <v>180</v>
      </c>
      <c r="C182" s="191">
        <v>54032</v>
      </c>
      <c r="D182" s="364">
        <v>31136802305.599998</v>
      </c>
      <c r="E182" s="189">
        <v>0.01</v>
      </c>
      <c r="F182" s="178">
        <f>D182*E182</f>
        <v>311368023.05599999</v>
      </c>
      <c r="I182" s="364">
        <v>2868</v>
      </c>
      <c r="K182" s="364">
        <v>213</v>
      </c>
    </row>
    <row r="183" spans="2:11">
      <c r="B183" s="176" t="s">
        <v>181</v>
      </c>
      <c r="C183" s="191">
        <v>2868</v>
      </c>
      <c r="D183" s="364">
        <v>556851603.25</v>
      </c>
      <c r="E183" s="189">
        <v>0.05</v>
      </c>
      <c r="F183" s="178">
        <f>D183*E183</f>
        <v>27842580.162500001</v>
      </c>
      <c r="I183" s="364">
        <v>5490</v>
      </c>
      <c r="K183" s="364">
        <v>179</v>
      </c>
    </row>
    <row r="184" spans="2:11">
      <c r="B184" s="176" t="s">
        <v>182</v>
      </c>
      <c r="C184" s="191">
        <v>5490</v>
      </c>
      <c r="D184" s="364">
        <v>939774847.50999999</v>
      </c>
      <c r="E184" s="189">
        <v>0.25</v>
      </c>
      <c r="F184" s="178">
        <f>D184*E184</f>
        <v>234943711.8775</v>
      </c>
      <c r="I184" s="364">
        <v>2090</v>
      </c>
      <c r="K184" s="363" t="s">
        <v>191</v>
      </c>
    </row>
    <row r="185" spans="2:11">
      <c r="B185" s="176" t="s">
        <v>183</v>
      </c>
      <c r="C185" s="191">
        <v>2090</v>
      </c>
      <c r="D185" s="364">
        <v>166560152.63</v>
      </c>
      <c r="E185" s="189">
        <v>0.5</v>
      </c>
      <c r="F185" s="178">
        <f>D185*E185</f>
        <v>83280076.314999998</v>
      </c>
      <c r="I185" s="364">
        <v>6252</v>
      </c>
      <c r="K185" s="364">
        <v>3881544668.5</v>
      </c>
    </row>
    <row r="186" spans="2:11">
      <c r="B186" s="176" t="s">
        <v>184</v>
      </c>
      <c r="C186" s="191">
        <v>6252</v>
      </c>
      <c r="D186" s="364">
        <v>566668718.28999996</v>
      </c>
      <c r="E186" s="189">
        <v>1</v>
      </c>
      <c r="F186" s="178">
        <f>D186*E186</f>
        <v>566668718.28999996</v>
      </c>
      <c r="I186" s="363" t="s">
        <v>190</v>
      </c>
      <c r="K186" s="364">
        <v>160468933.56999999</v>
      </c>
    </row>
    <row r="187" spans="2:11">
      <c r="B187" s="179" t="s">
        <v>189</v>
      </c>
      <c r="C187" s="178">
        <f>SUM(C182:C186)</f>
        <v>70732</v>
      </c>
      <c r="D187" s="178">
        <f>SUM(D182:D186)</f>
        <v>33366657627.279999</v>
      </c>
      <c r="E187" s="178">
        <v>1.81</v>
      </c>
      <c r="F187" s="178">
        <f>SUM(F182:F186)</f>
        <v>1224103109.701</v>
      </c>
      <c r="I187" s="364">
        <v>31136802305.599998</v>
      </c>
      <c r="K187" s="364">
        <v>89254258.359999999</v>
      </c>
    </row>
    <row r="188" spans="2:11">
      <c r="C188" s="187" t="s">
        <v>186</v>
      </c>
      <c r="D188" s="187">
        <f>SUM(D184:D186)</f>
        <v>1673003718.4299998</v>
      </c>
      <c r="I188" s="364">
        <v>556851603.25</v>
      </c>
      <c r="K188" s="364">
        <v>65250224.869999997</v>
      </c>
    </row>
    <row r="189" spans="2:11">
      <c r="C189" s="173" t="s">
        <v>187</v>
      </c>
      <c r="D189" s="265">
        <f>D188/D187</f>
        <v>5.0139985164776621E-2</v>
      </c>
      <c r="I189" s="364">
        <v>939774847.50999999</v>
      </c>
      <c r="K189" s="364">
        <v>64838378.710000001</v>
      </c>
    </row>
    <row r="190" spans="2:11">
      <c r="I190" s="364">
        <v>166560152.63</v>
      </c>
    </row>
    <row r="191" spans="2:11">
      <c r="I191" s="364">
        <v>566668718.28999996</v>
      </c>
    </row>
  </sheetData>
  <mergeCells count="2">
    <mergeCell ref="I132:I133"/>
    <mergeCell ref="I134:I135"/>
  </mergeCells>
  <dataValidations count="2">
    <dataValidation type="decimal" showErrorMessage="1" errorTitle="Error Msg" error="Enter a NO" sqref="C3:C7 C12:C16 C23:C27 C34:C38 C86:C90 C64:C68 C55:C59 C75:C79" xr:uid="{00000000-0002-0000-0300-000000000000}">
      <formula1>0</formula1>
      <formula2>999999999999</formula2>
    </dataValidation>
    <dataValidation type="decimal" showErrorMessage="1" errorTitle="Error Msg" error="Enter a number" sqref="D3:D7 D12:D16 D23:D27 D34:D38 D86:D90 D64:D68 D55:D59 D75:D79" xr:uid="{00000000-0002-0000-0300-000001000000}">
      <formula1>0</formula1>
      <formula2>999999999999</formula2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D42"/>
  <sheetViews>
    <sheetView workbookViewId="0">
      <pane xSplit="3" ySplit="2" topLeftCell="CB3" activePane="bottomRight" state="frozen"/>
      <selection pane="bottomRight" activeCell="CC3" sqref="CC3:CD41"/>
      <selection pane="bottomLeft" activeCell="A3" sqref="A3"/>
      <selection pane="topRight" activeCell="D1" sqref="D1"/>
    </sheetView>
  </sheetViews>
  <sheetFormatPr defaultRowHeight="14.45"/>
  <cols>
    <col min="1" max="1" width="25.42578125" bestFit="1" customWidth="1"/>
    <col min="2" max="2" width="31.42578125" bestFit="1" customWidth="1"/>
    <col min="3" max="3" width="10.5703125" bestFit="1" customWidth="1"/>
    <col min="4" max="7" width="12.5703125" hidden="1" customWidth="1"/>
    <col min="8" max="16" width="9.5703125" hidden="1" customWidth="1"/>
    <col min="17" max="17" width="10.42578125" hidden="1" customWidth="1"/>
    <col min="18" max="19" width="9.5703125" hidden="1" customWidth="1"/>
    <col min="20" max="20" width="13.7109375" hidden="1" customWidth="1"/>
    <col min="21" max="27" width="9.5703125" hidden="1" customWidth="1"/>
    <col min="28" max="45" width="0" hidden="1" customWidth="1"/>
    <col min="46" max="46" width="12.140625" bestFit="1" customWidth="1"/>
    <col min="47" max="54" width="0" hidden="1" customWidth="1"/>
    <col min="55" max="55" width="9.85546875" hidden="1" customWidth="1"/>
    <col min="56" max="58" width="0" hidden="1" customWidth="1"/>
    <col min="59" max="59" width="14" customWidth="1"/>
    <col min="60" max="71" width="0" hidden="1" customWidth="1"/>
    <col min="72" max="72" width="16.5703125" customWidth="1"/>
    <col min="73" max="73" width="13.5703125" customWidth="1"/>
    <col min="80" max="80" width="12.7109375" customWidth="1"/>
  </cols>
  <sheetData>
    <row r="1" spans="1:82" ht="18">
      <c r="A1" s="442" t="s">
        <v>192</v>
      </c>
      <c r="B1" s="442"/>
    </row>
    <row r="2" spans="1:82" ht="15">
      <c r="A2" s="35"/>
      <c r="B2" s="36"/>
      <c r="C2" s="36"/>
      <c r="D2" s="37" t="s">
        <v>193</v>
      </c>
      <c r="E2" s="37" t="s">
        <v>194</v>
      </c>
      <c r="F2" s="37" t="s">
        <v>195</v>
      </c>
      <c r="G2" s="37" t="s">
        <v>196</v>
      </c>
      <c r="H2" s="37">
        <v>42736</v>
      </c>
      <c r="I2" s="37">
        <v>42767</v>
      </c>
      <c r="J2" s="37">
        <v>42795</v>
      </c>
      <c r="K2" s="37">
        <v>42826</v>
      </c>
      <c r="L2" s="37">
        <v>42856</v>
      </c>
      <c r="M2" s="37">
        <v>42887</v>
      </c>
      <c r="N2" s="37">
        <v>42917</v>
      </c>
      <c r="O2" s="37">
        <v>42948</v>
      </c>
      <c r="P2" s="37">
        <v>42979</v>
      </c>
      <c r="Q2" s="37">
        <v>43009</v>
      </c>
      <c r="R2" s="37">
        <v>43040</v>
      </c>
      <c r="S2" s="37">
        <v>43070</v>
      </c>
      <c r="T2" s="37" t="s">
        <v>188</v>
      </c>
      <c r="U2" s="37">
        <v>43101</v>
      </c>
      <c r="V2" s="37">
        <v>43132</v>
      </c>
      <c r="W2" s="37">
        <v>43160</v>
      </c>
      <c r="X2" s="37">
        <v>43191</v>
      </c>
      <c r="Y2" s="37">
        <v>43221</v>
      </c>
      <c r="Z2" s="37">
        <v>43252</v>
      </c>
      <c r="AA2" s="37">
        <v>43282</v>
      </c>
      <c r="AB2" s="37">
        <v>43313</v>
      </c>
      <c r="AC2" s="37">
        <v>43344</v>
      </c>
      <c r="AD2" s="37">
        <v>43374</v>
      </c>
      <c r="AE2" s="37">
        <v>43405</v>
      </c>
      <c r="AF2" s="37">
        <v>43435</v>
      </c>
      <c r="AG2" s="37" t="s">
        <v>74</v>
      </c>
      <c r="AH2" s="37">
        <v>43466</v>
      </c>
      <c r="AI2" s="37">
        <v>43497</v>
      </c>
      <c r="AJ2" s="37">
        <v>43525</v>
      </c>
      <c r="AK2" s="37">
        <v>43556</v>
      </c>
      <c r="AL2" s="37">
        <v>43586</v>
      </c>
      <c r="AM2" s="37">
        <v>43617</v>
      </c>
      <c r="AN2" s="37">
        <v>43647</v>
      </c>
      <c r="AO2" s="37">
        <v>43678</v>
      </c>
      <c r="AP2" s="37">
        <v>43709</v>
      </c>
      <c r="AQ2" s="37">
        <v>43739</v>
      </c>
      <c r="AR2" s="37">
        <v>43770</v>
      </c>
      <c r="AS2" s="37">
        <v>43800</v>
      </c>
      <c r="AT2" s="37" t="s">
        <v>75</v>
      </c>
      <c r="AU2" s="37">
        <v>43831</v>
      </c>
      <c r="AV2" s="37">
        <v>43862</v>
      </c>
      <c r="AW2" s="37">
        <v>43891</v>
      </c>
      <c r="AX2" s="37">
        <v>43922</v>
      </c>
      <c r="AY2" s="37">
        <v>43952</v>
      </c>
      <c r="AZ2" s="37">
        <v>43983</v>
      </c>
      <c r="BA2" s="37">
        <v>44013</v>
      </c>
      <c r="BB2" s="37">
        <v>44044</v>
      </c>
      <c r="BC2" s="37">
        <v>44075</v>
      </c>
      <c r="BD2" s="37">
        <v>44105</v>
      </c>
      <c r="BE2" s="37">
        <v>44136</v>
      </c>
      <c r="BF2" s="37">
        <v>44166</v>
      </c>
      <c r="BG2" s="37" t="s">
        <v>13</v>
      </c>
      <c r="BH2" s="37">
        <v>44197</v>
      </c>
      <c r="BI2" s="37">
        <v>44228</v>
      </c>
      <c r="BJ2" s="37">
        <v>44256</v>
      </c>
      <c r="BK2" s="37">
        <v>44287</v>
      </c>
      <c r="BL2" s="37">
        <v>44317</v>
      </c>
      <c r="BM2" s="37">
        <v>44348</v>
      </c>
      <c r="BN2" s="37">
        <v>44378</v>
      </c>
      <c r="BO2" s="37">
        <v>44409</v>
      </c>
      <c r="BP2" s="37">
        <v>44440</v>
      </c>
      <c r="BQ2" s="37">
        <v>44470</v>
      </c>
      <c r="BR2" s="37">
        <v>44501</v>
      </c>
      <c r="BS2" s="37">
        <v>44531</v>
      </c>
      <c r="BT2" s="14" t="s">
        <v>197</v>
      </c>
      <c r="BU2" s="14" t="s">
        <v>198</v>
      </c>
      <c r="BV2" s="6">
        <v>44927</v>
      </c>
      <c r="BW2" s="6">
        <v>44958</v>
      </c>
      <c r="BX2" s="6">
        <v>44986</v>
      </c>
      <c r="BY2" s="6">
        <v>45017</v>
      </c>
      <c r="BZ2" s="6">
        <v>45047</v>
      </c>
      <c r="CA2" s="6">
        <v>45078</v>
      </c>
      <c r="CB2" s="6">
        <v>45108</v>
      </c>
      <c r="CC2" s="6">
        <v>45139</v>
      </c>
      <c r="CD2" s="6">
        <v>45170</v>
      </c>
    </row>
    <row r="3" spans="1:82" ht="15.75">
      <c r="A3" s="443" t="s">
        <v>199</v>
      </c>
      <c r="B3" s="3" t="s">
        <v>157</v>
      </c>
      <c r="C3" s="11" t="s">
        <v>200</v>
      </c>
      <c r="D3" s="172" t="e">
        <f>(('Evolutive SFP'!#REF!+'Evolutive SFP'!#REF!+'Evolutive SFP'!#REF!+'Evolutive SFP'!#REF!+'Evolutive SFP'!#REF!+'Evolutive SFP'!#REF!)-'Evolutive SFP'!#REF!)/1000000</f>
        <v>#REF!</v>
      </c>
      <c r="E3" s="172" t="e">
        <f>(('Evolutive SFP'!#REF!+'Evolutive SFP'!#REF!+'Evolutive SFP'!#REF!+'Evolutive SFP'!#REF!+'Evolutive SFP'!#REF!+'Evolutive SFP'!#REF!)-'Evolutive SFP'!#REF!)/1000000</f>
        <v>#REF!</v>
      </c>
      <c r="F3" s="172" t="e">
        <f>(('Evolutive SFP'!#REF!+'Evolutive SFP'!#REF!+'Evolutive SFP'!#REF!+'Evolutive SFP'!#REF!+'Evolutive SFP'!#REF!+'Evolutive SFP'!#REF!)-'Evolutive SFP'!#REF!)/1000000</f>
        <v>#REF!</v>
      </c>
      <c r="G3" s="172" t="e">
        <f>(('Evolutive SFP'!#REF!+'Evolutive SFP'!#REF!+'Evolutive SFP'!#REF!+'Evolutive SFP'!#REF!+'Evolutive SFP'!#REF!+'Evolutive SFP'!#REF!)-'Evolutive SFP'!#REF!)/1000000</f>
        <v>#REF!</v>
      </c>
      <c r="H3" s="172" t="e">
        <f>(('Evolutive SFP'!#REF!+'Evolutive SFP'!#REF!+'Evolutive SFP'!#REF!+'Evolutive SFP'!#REF!+'Evolutive SFP'!#REF!+'Evolutive SFP'!#REF!)-'Evolutive SFP'!#REF!)/1000000</f>
        <v>#REF!</v>
      </c>
      <c r="I3" s="172" t="e">
        <f>(('Evolutive SFP'!#REF!+'Evolutive SFP'!#REF!+'Evolutive SFP'!#REF!+'Evolutive SFP'!#REF!+'Evolutive SFP'!#REF!+'Evolutive SFP'!#REF!)-'Evolutive SFP'!#REF!)/1000000</f>
        <v>#REF!</v>
      </c>
      <c r="J3" s="172" t="e">
        <f>(('Evolutive SFP'!#REF!+'Evolutive SFP'!#REF!+'Evolutive SFP'!#REF!+'Evolutive SFP'!#REF!+'Evolutive SFP'!#REF!+'Evolutive SFP'!#REF!)-'Evolutive SFP'!#REF!)/1000000</f>
        <v>#REF!</v>
      </c>
      <c r="K3" s="172" t="e">
        <f>(('Evolutive SFP'!#REF!+'Evolutive SFP'!#REF!+'Evolutive SFP'!#REF!+'Evolutive SFP'!#REF!+'Evolutive SFP'!#REF!+'Evolutive SFP'!#REF!)-'Evolutive SFP'!#REF!)/1000000</f>
        <v>#REF!</v>
      </c>
      <c r="L3" s="172" t="e">
        <f>(('Evolutive SFP'!#REF!+'Evolutive SFP'!#REF!+'Evolutive SFP'!#REF!+'Evolutive SFP'!#REF!+'Evolutive SFP'!#REF!+'Evolutive SFP'!#REF!)-'Evolutive SFP'!#REF!)/1000000</f>
        <v>#REF!</v>
      </c>
      <c r="M3" s="172" t="e">
        <f>(('Evolutive SFP'!#REF!+'Evolutive SFP'!#REF!+'Evolutive SFP'!#REF!+'Evolutive SFP'!#REF!+'Evolutive SFP'!#REF!+'Evolutive SFP'!#REF!)-'Evolutive SFP'!#REF!)/1000000</f>
        <v>#REF!</v>
      </c>
      <c r="N3" s="172" t="e">
        <f>(('Evolutive SFP'!#REF!+'Evolutive SFP'!#REF!+'Evolutive SFP'!#REF!+'Evolutive SFP'!#REF!+'Evolutive SFP'!#REF!+'Evolutive SFP'!#REF!)-'Evolutive SFP'!#REF!)/1000000</f>
        <v>#REF!</v>
      </c>
      <c r="O3" s="172" t="e">
        <f>(('Evolutive SFP'!#REF!+'Evolutive SFP'!#REF!+'Evolutive SFP'!#REF!+'Evolutive SFP'!#REF!+'Evolutive SFP'!#REF!+'Evolutive SFP'!#REF!)-'Evolutive SFP'!#REF!)/1000000</f>
        <v>#REF!</v>
      </c>
      <c r="P3" s="172" t="e">
        <f>(('Evolutive SFP'!#REF!+'Evolutive SFP'!#REF!+'Evolutive SFP'!#REF!+'Evolutive SFP'!#REF!+'Evolutive SFP'!#REF!+'Evolutive SFP'!#REF!)-'Evolutive SFP'!#REF!)/1000000</f>
        <v>#REF!</v>
      </c>
      <c r="Q3" s="172" t="e">
        <f>(('Evolutive SFP'!#REF!+'Evolutive SFP'!#REF!+'Evolutive SFP'!#REF!+'Evolutive SFP'!#REF!+'Evolutive SFP'!#REF!+'Evolutive SFP'!#REF!)-'Evolutive SFP'!#REF!)/1000000</f>
        <v>#REF!</v>
      </c>
      <c r="R3" s="172" t="e">
        <f>(('Evolutive SFP'!#REF!+'Evolutive SFP'!#REF!+'Evolutive SFP'!#REF!+'Evolutive SFP'!#REF!+'Evolutive SFP'!#REF!+'Evolutive SFP'!#REF!)-'Evolutive SFP'!#REF!)/1000000</f>
        <v>#REF!</v>
      </c>
      <c r="S3" s="172" t="e">
        <f>(('Evolutive SFP'!#REF!+'Evolutive SFP'!#REF!+'Evolutive SFP'!#REF!+'Evolutive SFP'!#REF!+'Evolutive SFP'!#REF!+'Evolutive SFP'!#REF!)-'Evolutive SFP'!#REF!)/1000000</f>
        <v>#REF!</v>
      </c>
      <c r="T3" s="172" t="e">
        <f>(('Evolutive SFP'!#REF!+'Evolutive SFP'!#REF!+'Evolutive SFP'!#REF!+'Evolutive SFP'!#REF!+'Evolutive SFP'!#REF!+'Evolutive SFP'!#REF!)-'Evolutive SFP'!#REF!)/1000000</f>
        <v>#REF!</v>
      </c>
      <c r="U3" s="172" t="e">
        <f>(('Evolutive SFP'!#REF!+'Evolutive SFP'!#REF!+'Evolutive SFP'!#REF!+'Evolutive SFP'!#REF!+'Evolutive SFP'!#REF!+'Evolutive SFP'!#REF!)-'Evolutive SFP'!#REF!)/1000000</f>
        <v>#REF!</v>
      </c>
      <c r="V3" s="172" t="e">
        <f>(('Evolutive SFP'!#REF!+'Evolutive SFP'!#REF!+'Evolutive SFP'!#REF!+'Evolutive SFP'!#REF!+'Evolutive SFP'!#REF!+'Evolutive SFP'!#REF!)-'Evolutive SFP'!#REF!)/1000000</f>
        <v>#REF!</v>
      </c>
      <c r="W3" s="172" t="e">
        <f>(('Evolutive SFP'!#REF!+'Evolutive SFP'!#REF!+'Evolutive SFP'!#REF!+'Evolutive SFP'!#REF!+'Evolutive SFP'!#REF!+'Evolutive SFP'!#REF!)-'Evolutive SFP'!#REF!)/1000000</f>
        <v>#REF!</v>
      </c>
      <c r="X3" s="172" t="e">
        <f>(('Evolutive SFP'!#REF!+'Evolutive SFP'!#REF!+'Evolutive SFP'!#REF!+'Evolutive SFP'!#REF!+'Evolutive SFP'!#REF!+'Evolutive SFP'!#REF!)-'Evolutive SFP'!#REF!)/1000000</f>
        <v>#REF!</v>
      </c>
      <c r="Y3" s="172" t="e">
        <f>(('Evolutive SFP'!#REF!+'Evolutive SFP'!#REF!+'Evolutive SFP'!#REF!+'Evolutive SFP'!#REF!+'Evolutive SFP'!#REF!+'Evolutive SFP'!#REF!)-'Evolutive SFP'!#REF!)/1000000</f>
        <v>#REF!</v>
      </c>
      <c r="Z3" s="172" t="e">
        <f>(('Evolutive SFP'!#REF!+'Evolutive SFP'!#REF!+'Evolutive SFP'!#REF!+'Evolutive SFP'!#REF!+'Evolutive SFP'!#REF!+'Evolutive SFP'!#REF!)-'Evolutive SFP'!#REF!)/1000000</f>
        <v>#REF!</v>
      </c>
      <c r="AA3" s="172" t="e">
        <f>(('Evolutive SFP'!#REF!+'Evolutive SFP'!#REF!+'Evolutive SFP'!#REF!+'Evolutive SFP'!#REF!+'Evolutive SFP'!#REF!+'Evolutive SFP'!#REF!)-'Evolutive SFP'!#REF!)/1000000</f>
        <v>#REF!</v>
      </c>
      <c r="AB3" s="172" t="e">
        <f>(('Evolutive SFP'!#REF!+'Evolutive SFP'!#REF!+'Evolutive SFP'!#REF!+'Evolutive SFP'!#REF!+'Evolutive SFP'!#REF!+'Evolutive SFP'!#REF!)-'Evolutive SFP'!#REF!)/1000000</f>
        <v>#REF!</v>
      </c>
      <c r="AC3" s="172" t="e">
        <f>(('Evolutive SFP'!#REF!+'Evolutive SFP'!#REF!+'Evolutive SFP'!#REF!+'Evolutive SFP'!#REF!+'Evolutive SFP'!#REF!+'Evolutive SFP'!#REF!)-'Evolutive SFP'!#REF!)/1000000</f>
        <v>#REF!</v>
      </c>
      <c r="AD3" s="172" t="e">
        <f>(('Evolutive SFP'!#REF!+'Evolutive SFP'!#REF!+'Evolutive SFP'!#REF!+'Evolutive SFP'!#REF!+'Evolutive SFP'!#REF!+'Evolutive SFP'!#REF!)-'Evolutive SFP'!#REF!)/1000000</f>
        <v>#REF!</v>
      </c>
      <c r="AE3" s="172" t="e">
        <f>(('Evolutive SFP'!#REF!+'Evolutive SFP'!#REF!+'Evolutive SFP'!#REF!+'Evolutive SFP'!#REF!+'Evolutive SFP'!#REF!+'Evolutive SFP'!#REF!)-'Evolutive SFP'!#REF!)/1000000</f>
        <v>#REF!</v>
      </c>
      <c r="AF3" s="172" t="e">
        <f>(('Evolutive SFP'!#REF!+'Evolutive SFP'!#REF!+'Evolutive SFP'!#REF!+'Evolutive SFP'!#REF!+'Evolutive SFP'!#REF!+'Evolutive SFP'!#REF!)-'Evolutive SFP'!#REF!)/1000000</f>
        <v>#REF!</v>
      </c>
      <c r="AG3" s="172" t="e">
        <f>(('Evolutive SFP'!#REF!+'Evolutive SFP'!#REF!+'Evolutive SFP'!#REF!+'Evolutive SFP'!#REF!+'Evolutive SFP'!#REF!+'Evolutive SFP'!#REF!)-'Evolutive SFP'!#REF!)/1000000</f>
        <v>#REF!</v>
      </c>
      <c r="AH3" s="172" t="e">
        <f>(('Evolutive SFP'!#REF!+'Evolutive SFP'!#REF!+'Evolutive SFP'!#REF!+'Evolutive SFP'!#REF!+'Evolutive SFP'!#REF!+'Evolutive SFP'!#REF!)-'Evolutive SFP'!#REF!)/1000000</f>
        <v>#REF!</v>
      </c>
      <c r="AI3" s="172" t="e">
        <f>(('Evolutive SFP'!#REF!+'Evolutive SFP'!#REF!+'Evolutive SFP'!#REF!+'Evolutive SFP'!#REF!+'Evolutive SFP'!#REF!+'Evolutive SFP'!#REF!)-'Evolutive SFP'!#REF!)/1000000</f>
        <v>#REF!</v>
      </c>
      <c r="AJ3" s="172" t="e">
        <f>(('Evolutive SFP'!#REF!+'Evolutive SFP'!#REF!+'Evolutive SFP'!#REF!+'Evolutive SFP'!#REF!+'Evolutive SFP'!#REF!+'Evolutive SFP'!#REF!)-'Evolutive SFP'!#REF!)/1000000</f>
        <v>#REF!</v>
      </c>
      <c r="AK3" s="172" t="e">
        <f>(('Evolutive SFP'!#REF!+'Evolutive SFP'!#REF!+'Evolutive SFP'!#REF!+'Evolutive SFP'!#REF!+'Evolutive SFP'!#REF!+'Evolutive SFP'!#REF!)-'Evolutive SFP'!#REF!)/1000000</f>
        <v>#REF!</v>
      </c>
      <c r="AL3" s="172" t="e">
        <f>(('Evolutive SFP'!#REF!+'Evolutive SFP'!#REF!+'Evolutive SFP'!#REF!+'Evolutive SFP'!#REF!+'Evolutive SFP'!#REF!+'Evolutive SFP'!#REF!)-'Evolutive SFP'!#REF!)/1000000</f>
        <v>#REF!</v>
      </c>
      <c r="AM3" s="172" t="e">
        <f>(('Evolutive SFP'!#REF!+'Evolutive SFP'!#REF!+'Evolutive SFP'!#REF!+'Evolutive SFP'!#REF!+'Evolutive SFP'!#REF!+'Evolutive SFP'!#REF!)-'Evolutive SFP'!#REF!)/1000000</f>
        <v>#REF!</v>
      </c>
      <c r="AN3" s="172" t="e">
        <f>(('Evolutive SFP'!#REF!+'Evolutive SFP'!#REF!+'Evolutive SFP'!#REF!+'Evolutive SFP'!#REF!+'Evolutive SFP'!#REF!+'Evolutive SFP'!#REF!)-'Evolutive SFP'!#REF!)/1000000</f>
        <v>#REF!</v>
      </c>
      <c r="AO3" s="172" t="e">
        <f>(('Evolutive SFP'!#REF!+'Evolutive SFP'!#REF!+'Evolutive SFP'!#REF!+'Evolutive SFP'!#REF!+'Evolutive SFP'!#REF!+'Evolutive SFP'!#REF!)-'Evolutive SFP'!#REF!)/1000000</f>
        <v>#REF!</v>
      </c>
      <c r="AP3" s="172" t="e">
        <f>(('Evolutive SFP'!#REF!+'Evolutive SFP'!#REF!+'Evolutive SFP'!#REF!+'Evolutive SFP'!#REF!+'Evolutive SFP'!#REF!+'Evolutive SFP'!#REF!)-'Evolutive SFP'!#REF!)/1000000</f>
        <v>#REF!</v>
      </c>
      <c r="AQ3" s="172" t="e">
        <f>(('Evolutive SFP'!#REF!+'Evolutive SFP'!#REF!+'Evolutive SFP'!#REF!+'Evolutive SFP'!#REF!+'Evolutive SFP'!#REF!+'Evolutive SFP'!#REF!)-'Evolutive SFP'!#REF!)/1000000</f>
        <v>#REF!</v>
      </c>
      <c r="AR3" s="172" t="e">
        <f>(('Evolutive SFP'!#REF!+'Evolutive SFP'!#REF!+'Evolutive SFP'!#REF!+'Evolutive SFP'!#REF!+'Evolutive SFP'!#REF!+'Evolutive SFP'!#REF!)-'Evolutive SFP'!#REF!)/1000000</f>
        <v>#REF!</v>
      </c>
      <c r="AS3" s="172" t="e">
        <f>(('Evolutive SFP'!#REF!+'Evolutive SFP'!#REF!+'Evolutive SFP'!#REF!+'Evolutive SFP'!#REF!+'Evolutive SFP'!#REF!+'Evolutive SFP'!#REF!)-'Evolutive SFP'!#REF!)/1000000</f>
        <v>#REF!</v>
      </c>
      <c r="AT3" s="172">
        <f>(('Evolutive SFP'!BV39+'Evolutive SFP'!BV40+'Evolutive SFP'!BV41+'Evolutive SFP'!BV42+'Evolutive SFP'!BV43+'Evolutive SFP'!BV44)-'Evolutive SFP'!BV10)/1000000</f>
        <v>323.68966799999998</v>
      </c>
      <c r="AU3" s="172">
        <f>(('Evolutive SFP'!BW39+'Evolutive SFP'!BW40+'Evolutive SFP'!BW41+'Evolutive SFP'!BW42+'Evolutive SFP'!BW43+'Evolutive SFP'!BW44)-'Evolutive SFP'!BW10)/1000000</f>
        <v>217.85504213999999</v>
      </c>
      <c r="AV3" s="172">
        <f>(('Evolutive SFP'!BX39+'Evolutive SFP'!BX40+'Evolutive SFP'!BX41+'Evolutive SFP'!BX42+'Evolutive SFP'!BX43+'Evolutive SFP'!BX44)-'Evolutive SFP'!BX10)/1000000</f>
        <v>211.71242943000001</v>
      </c>
      <c r="AW3" s="172">
        <f>(('Evolutive SFP'!BY39+'Evolutive SFP'!BY40+'Evolutive SFP'!BY41+'Evolutive SFP'!BY42+'Evolutive SFP'!BY43+'Evolutive SFP'!BY44)-'Evolutive SFP'!BY10)/1000000</f>
        <v>209.99932376999999</v>
      </c>
      <c r="AX3" s="172">
        <f>(('Evolutive SFP'!BZ39+'Evolutive SFP'!BZ40+'Evolutive SFP'!BZ41+'Evolutive SFP'!BZ42+'Evolutive SFP'!BZ43+'Evolutive SFP'!BZ44)-'Evolutive SFP'!BZ10)/1000000</f>
        <v>217.55972802000002</v>
      </c>
      <c r="AY3" s="172">
        <f>(('Evolutive SFP'!CA39+'Evolutive SFP'!CA40+'Evolutive SFP'!CA41+'Evolutive SFP'!CA42+'Evolutive SFP'!CA43+'Evolutive SFP'!CA44)-'Evolutive SFP'!CA10)/1000000</f>
        <v>216.17863213999999</v>
      </c>
      <c r="AZ3" s="172">
        <f>(('Evolutive SFP'!CB39+'Evolutive SFP'!CB40+'Evolutive SFP'!CB41+'Evolutive SFP'!CB42+'Evolutive SFP'!CB43+'Evolutive SFP'!CB44)-'Evolutive SFP'!CB10)/1000000</f>
        <v>232.26903278</v>
      </c>
      <c r="BA3" s="172" t="e">
        <f>(('Evolutive SFP'!#REF!+'Evolutive SFP'!#REF!+'Evolutive SFP'!#REF!+'Evolutive SFP'!#REF!+'Evolutive SFP'!#REF!+'Evolutive SFP'!#REF!)-'Evolutive SFP'!#REF!)/1000000</f>
        <v>#REF!</v>
      </c>
      <c r="BB3" s="172">
        <f>(('Evolutive SFP'!CC39+'Evolutive SFP'!CC40+'Evolutive SFP'!CC41+'Evolutive SFP'!CC42+'Evolutive SFP'!CC43+'Evolutive SFP'!CC44)-'Evolutive SFP'!CC10)/1000000</f>
        <v>233.58489606000001</v>
      </c>
      <c r="BC3" s="172">
        <f>(('Evolutive SFP'!CD39+'Evolutive SFP'!CD40+'Evolutive SFP'!CD41+'Evolutive SFP'!CD42+'Evolutive SFP'!CD43+'Evolutive SFP'!CD44)-'Evolutive SFP'!CD10)/1000000</f>
        <v>237.72274868</v>
      </c>
      <c r="BD3" s="172">
        <f>(('Evolutive SFP'!CE39+'Evolutive SFP'!CE40+'Evolutive SFP'!CE41+'Evolutive SFP'!CE42+'Evolutive SFP'!CE43+'Evolutive SFP'!CE44)-'Evolutive SFP'!CE10)/1000000</f>
        <v>240.23364905999998</v>
      </c>
      <c r="BE3" s="172">
        <f>(('Evolutive SFP'!CF39+'Evolutive SFP'!CF40+'Evolutive SFP'!CF41+'Evolutive SFP'!CF42+'Evolutive SFP'!CF43+'Evolutive SFP'!CF44)-'Evolutive SFP'!CF10)/1000000</f>
        <v>236.84106979999999</v>
      </c>
      <c r="BF3" s="172">
        <f>(('Evolutive SFP'!CG39+'Evolutive SFP'!CG40+'Evolutive SFP'!CG41+'Evolutive SFP'!CG42+'Evolutive SFP'!CG43+'Evolutive SFP'!CG44)-'Evolutive SFP'!CG10)/1000000</f>
        <v>228.31501992</v>
      </c>
      <c r="BG3" s="172">
        <f>(('Evolutive SFP'!CH39+'Evolutive SFP'!CH40+'Evolutive SFP'!CH41+'Evolutive SFP'!CH42+'Evolutive SFP'!CH43+'Evolutive SFP'!CH44)-'Evolutive SFP'!CH10)/1000000</f>
        <v>225.76079200000001</v>
      </c>
      <c r="BH3" s="172">
        <f>(('Evolutive SFP'!CI39+'Evolutive SFP'!CI40+'Evolutive SFP'!CI41+'Evolutive SFP'!CI42+'Evolutive SFP'!CI43+'Evolutive SFP'!CI44)-'Evolutive SFP'!CI10)/1000000</f>
        <v>225.79683893999999</v>
      </c>
      <c r="BI3" s="172">
        <f>(('Evolutive SFP'!CJ39+'Evolutive SFP'!CJ40+'Evolutive SFP'!CJ41+'Evolutive SFP'!CJ42+'Evolutive SFP'!CJ43+'Evolutive SFP'!CJ44)-'Evolutive SFP'!CJ10)/1000000</f>
        <v>221.8600989</v>
      </c>
      <c r="BJ3" s="172">
        <f>(('Evolutive SFP'!CK39+'Evolutive SFP'!CK40+'Evolutive SFP'!CK41+'Evolutive SFP'!CK42+'Evolutive SFP'!CK43+'Evolutive SFP'!CK44)-'Evolutive SFP'!CK10)/1000000</f>
        <v>220.39066047999998</v>
      </c>
      <c r="BK3" s="172">
        <f>(('Evolutive SFP'!CL39+'Evolutive SFP'!CL40+'Evolutive SFP'!CL41+'Evolutive SFP'!CL42+'Evolutive SFP'!CL43+'Evolutive SFP'!CL44)-'Evolutive SFP'!CL10)/1000000</f>
        <v>227.21051312</v>
      </c>
      <c r="BL3" s="172">
        <f>(('Evolutive SFP'!CM39+'Evolutive SFP'!CM40+'Evolutive SFP'!CM41+'Evolutive SFP'!CM42+'Evolutive SFP'!CM43+'Evolutive SFP'!CM44)-'Evolutive SFP'!CM10)/1000000</f>
        <v>222.71355354999997</v>
      </c>
      <c r="BM3" s="172">
        <f>(('Evolutive SFP'!CN39+'Evolutive SFP'!CN40+'Evolutive SFP'!CN41+'Evolutive SFP'!CN42+'Evolutive SFP'!CN43+'Evolutive SFP'!CN44)-'Evolutive SFP'!CN10)/1000000</f>
        <v>217.92812512</v>
      </c>
      <c r="BN3" s="172">
        <f>(('Evolutive SFP'!CO39+'Evolutive SFP'!CO40+'Evolutive SFP'!CO41+'Evolutive SFP'!CO42+'Evolutive SFP'!CO43+'Evolutive SFP'!CO44)-'Evolutive SFP'!CO10)/1000000</f>
        <v>215.29934663999998</v>
      </c>
      <c r="BO3" s="172">
        <f>(('Evolutive SFP'!CP39+'Evolutive SFP'!CP40+'Evolutive SFP'!CP41+'Evolutive SFP'!CP42+'Evolutive SFP'!CP43+'Evolutive SFP'!CP44)-'Evolutive SFP'!CP10)/1000000</f>
        <v>206.93488037999998</v>
      </c>
      <c r="BP3" s="172">
        <f>(('Evolutive SFP'!CQ39+'Evolutive SFP'!CQ40+'Evolutive SFP'!CQ41+'Evolutive SFP'!CQ42+'Evolutive SFP'!CQ43+'Evolutive SFP'!CQ44)-'Evolutive SFP'!CQ10)/1000000</f>
        <v>200.683683</v>
      </c>
      <c r="BQ3" s="172">
        <f>(('Evolutive SFP'!CR39+'Evolutive SFP'!CR40+'Evolutive SFP'!CR41+'Evolutive SFP'!CR42+'Evolutive SFP'!CR43+'Evolutive SFP'!CR44)-'Evolutive SFP'!CR10)/1000000</f>
        <v>239.1472411</v>
      </c>
      <c r="BR3" s="172">
        <f>(('Evolutive SFP'!CS39+'Evolutive SFP'!CS40+'Evolutive SFP'!CS41+'Evolutive SFP'!CS42+'Evolutive SFP'!CS43+'Evolutive SFP'!CS44)-'Evolutive SFP'!CS10)/1000000</f>
        <v>243.97181835999999</v>
      </c>
      <c r="BS3" s="172">
        <f>(('Evolutive SFP'!CT39+'Evolutive SFP'!CT40+'Evolutive SFP'!CT41+'Evolutive SFP'!CT42+'Evolutive SFP'!CT43+'Evolutive SFP'!CT44)-'Evolutive SFP'!CT10)/1000000</f>
        <v>251.15537362000001</v>
      </c>
      <c r="BT3" s="172">
        <f>(('Evolutive SFP'!CU39+'Evolutive SFP'!CU40+'Evolutive SFP'!CU41+'Evolutive SFP'!CU42+'Evolutive SFP'!CU43+'Evolutive SFP'!CU44)-'Evolutive SFP'!CU10)/1000000</f>
        <v>244.611929</v>
      </c>
      <c r="BU3" s="172">
        <f>(('Evolutive SFP'!CV39+'Evolutive SFP'!CV40+'Evolutive SFP'!CV41+'Evolutive SFP'!CV42+'Evolutive SFP'!CV43+'Evolutive SFP'!CV44)-'Evolutive SFP'!CV10)/1000000</f>
        <v>265.93584600000003</v>
      </c>
      <c r="BV3" s="172">
        <f>(('Evolutive SFP'!CW39+'Evolutive SFP'!CW40+'Evolutive SFP'!CW41+'Evolutive SFP'!CW42+'Evolutive SFP'!CW43+'Evolutive SFP'!CW44)-'Evolutive SFP'!CW10)/1000000</f>
        <v>269.58535952</v>
      </c>
      <c r="BW3" s="172">
        <f>(('Evolutive SFP'!CX39+'Evolutive SFP'!CX40+'Evolutive SFP'!CX41+'Evolutive SFP'!CX42+'Evolutive SFP'!CX43+'Evolutive SFP'!CX44)-'Evolutive SFP'!CX10)/1000000</f>
        <v>266.81705909000004</v>
      </c>
      <c r="BX3" s="172">
        <f>(('Evolutive SFP'!CY39+'Evolutive SFP'!CY40+'Evolutive SFP'!CY41+'Evolutive SFP'!CY42+'Evolutive SFP'!CY43+'Evolutive SFP'!CY44)-'Evolutive SFP'!CY10)/1000000</f>
        <v>266.39789530000002</v>
      </c>
      <c r="BY3" s="172">
        <f>(('Evolutive SFP'!CZ39+'Evolutive SFP'!CZ40+'Evolutive SFP'!CZ41+'Evolutive SFP'!CZ42+'Evolutive SFP'!CZ43+'Evolutive SFP'!CZ44)-'Evolutive SFP'!CZ10)/1000000</f>
        <v>264.01044755000004</v>
      </c>
      <c r="BZ3" s="172">
        <f>(('Evolutive SFP'!DA39+'Evolutive SFP'!DA40+'Evolutive SFP'!DA41+'Evolutive SFP'!DA42+'Evolutive SFP'!DA43+'Evolutive SFP'!DA44)-'Evolutive SFP'!DA10)/1000000</f>
        <v>258.80314038999995</v>
      </c>
      <c r="CA3" s="172">
        <f>(('Evolutive SFP'!DB39+'Evolutive SFP'!DB40+'Evolutive SFP'!DB41+'Evolutive SFP'!DB42+'Evolutive SFP'!DB43+'Evolutive SFP'!DB44)-'Evolutive SFP'!DB10)/1000000</f>
        <v>269.13367289000001</v>
      </c>
      <c r="CB3" s="172">
        <f>(('Evolutive SFP'!DC39+'Evolutive SFP'!DC40+'Evolutive SFP'!DC41+'Evolutive SFP'!DC42+'Evolutive SFP'!DC43+'Evolutive SFP'!DC44)-'Evolutive SFP'!DC10)/1000000</f>
        <v>306.37026918999993</v>
      </c>
      <c r="CC3" s="172">
        <f>(('Evolutive SFP'!DD39+'Evolutive SFP'!DD40+'Evolutive SFP'!DD41+'Evolutive SFP'!DD42+'Evolutive SFP'!DD43+'Evolutive SFP'!DD44)-'Evolutive SFP'!DD10)/1000000</f>
        <v>305.81703467999995</v>
      </c>
      <c r="CD3" s="172">
        <f>(('Evolutive SFP'!DE39+'Evolutive SFP'!DE40+'Evolutive SFP'!DE41+'Evolutive SFP'!DE42+'Evolutive SFP'!DE43+'Evolutive SFP'!DE44)-'Evolutive SFP'!DE10)/1000000</f>
        <v>299.14733096000003</v>
      </c>
    </row>
    <row r="4" spans="1:82" ht="15.75">
      <c r="A4" s="443"/>
      <c r="B4" s="3" t="s">
        <v>201</v>
      </c>
      <c r="C4" s="11" t="s">
        <v>202</v>
      </c>
      <c r="D4" s="34" t="e">
        <f>D3/(('Evolutive SFP'!#REF!)/1000000)</f>
        <v>#REF!</v>
      </c>
      <c r="E4" s="34" t="e">
        <f>E3/(('Evolutive SFP'!#REF!)/1000000)</f>
        <v>#REF!</v>
      </c>
      <c r="F4" s="34" t="e">
        <f>F3/(('Evolutive SFP'!#REF!)/1000000)</f>
        <v>#REF!</v>
      </c>
      <c r="G4" s="34" t="e">
        <f>G3/(('Evolutive SFP'!#REF!)/1000000)</f>
        <v>#REF!</v>
      </c>
      <c r="H4" s="34" t="e">
        <f>H3/(('Evolutive SFP'!#REF!)/1000000)</f>
        <v>#REF!</v>
      </c>
      <c r="I4" s="34" t="e">
        <f>I3/(('Evolutive SFP'!#REF!)/1000000)</f>
        <v>#REF!</v>
      </c>
      <c r="J4" s="34" t="e">
        <f>J3/(('Evolutive SFP'!#REF!)/1000000)</f>
        <v>#REF!</v>
      </c>
      <c r="K4" s="34" t="e">
        <f>K3/(('Evolutive SFP'!#REF!)/1000000)</f>
        <v>#REF!</v>
      </c>
      <c r="L4" s="34" t="e">
        <f>L3/(('Evolutive SFP'!#REF!)/1000000)</f>
        <v>#REF!</v>
      </c>
      <c r="M4" s="34" t="e">
        <f>M3/(('Evolutive SFP'!#REF!)/1000000)</f>
        <v>#REF!</v>
      </c>
      <c r="N4" s="34" t="e">
        <f>N3/(('Evolutive SFP'!#REF!)/1000000)</f>
        <v>#REF!</v>
      </c>
      <c r="O4" s="34" t="e">
        <f>O3/(('Evolutive SFP'!#REF!)/1000000)</f>
        <v>#REF!</v>
      </c>
      <c r="P4" s="34" t="e">
        <f>P3/(('Evolutive SFP'!#REF!)/1000000)</f>
        <v>#REF!</v>
      </c>
      <c r="Q4" s="34" t="e">
        <f>Q3/(('Evolutive SFP'!#REF!)/1000000)</f>
        <v>#REF!</v>
      </c>
      <c r="R4" s="34" t="e">
        <f>R3/(('Evolutive SFP'!#REF!)/1000000)</f>
        <v>#REF!</v>
      </c>
      <c r="S4" s="38" t="e">
        <f>S3/(('Evolutive SFP'!#REF!)/1000000)</f>
        <v>#REF!</v>
      </c>
      <c r="T4" s="38" t="e">
        <f>T3/(('Evolutive SFP'!#REF!)/1000000)</f>
        <v>#REF!</v>
      </c>
      <c r="U4" s="38" t="e">
        <f>U3/(('Evolutive SFP'!#REF!)/1000000)</f>
        <v>#REF!</v>
      </c>
      <c r="V4" s="38" t="e">
        <f>V3/(('Evolutive SFP'!#REF!)/1000000)</f>
        <v>#REF!</v>
      </c>
      <c r="W4" s="38" t="e">
        <f>W3/(('Evolutive SFP'!#REF!)/1000000)</f>
        <v>#REF!</v>
      </c>
      <c r="X4" s="38" t="e">
        <f>X3/(('Evolutive SFP'!#REF!)/1000000)</f>
        <v>#REF!</v>
      </c>
      <c r="Y4" s="38" t="e">
        <f>Y3/(('Evolutive SFP'!#REF!)/1000000)</f>
        <v>#REF!</v>
      </c>
      <c r="Z4" s="38" t="e">
        <f>Z3/(('Evolutive SFP'!#REF!)/1000000)</f>
        <v>#REF!</v>
      </c>
      <c r="AA4" s="38" t="e">
        <f>AA3/(('Evolutive SFP'!#REF!)/1000000)</f>
        <v>#REF!</v>
      </c>
      <c r="AB4" s="38" t="e">
        <f>AB3/(('Evolutive SFP'!#REF!)/1000000)</f>
        <v>#REF!</v>
      </c>
      <c r="AC4" s="38" t="e">
        <f>AC3/(('Evolutive SFP'!#REF!)/1000000)</f>
        <v>#REF!</v>
      </c>
      <c r="AD4" s="38" t="e">
        <f>AD3/(('Evolutive SFP'!#REF!)/1000000)</f>
        <v>#REF!</v>
      </c>
      <c r="AE4" s="38" t="e">
        <f>AE3/(('Evolutive SFP'!#REF!)/1000000)</f>
        <v>#REF!</v>
      </c>
      <c r="AF4" s="38" t="e">
        <f>AF3/(('Evolutive SFP'!#REF!)/1000000)</f>
        <v>#REF!</v>
      </c>
      <c r="AG4" s="38" t="e">
        <f>AG3/(('Evolutive SFP'!#REF!)/1000000)</f>
        <v>#REF!</v>
      </c>
      <c r="AH4" s="38" t="e">
        <f>AH3/(('Evolutive SFP'!#REF!)/1000000)</f>
        <v>#REF!</v>
      </c>
      <c r="AI4" s="38" t="e">
        <f>AI3/(('Evolutive SFP'!#REF!)/1000000)</f>
        <v>#REF!</v>
      </c>
      <c r="AJ4" s="38" t="e">
        <f>AJ3/(('Evolutive SFP'!#REF!)/1000000)</f>
        <v>#REF!</v>
      </c>
      <c r="AK4" s="38" t="e">
        <f>AK3/(('Evolutive SFP'!#REF!)/1000000)</f>
        <v>#REF!</v>
      </c>
      <c r="AL4" s="38" t="e">
        <f>AL3/(('Evolutive SFP'!#REF!)/1000000)</f>
        <v>#REF!</v>
      </c>
      <c r="AM4" s="38" t="e">
        <f>AM3/(('Evolutive SFP'!#REF!)/1000000)</f>
        <v>#REF!</v>
      </c>
      <c r="AN4" s="38" t="e">
        <f>AN3/(('Evolutive SFP'!#REF!)/1000000)</f>
        <v>#REF!</v>
      </c>
      <c r="AO4" s="38" t="e">
        <f>AO3/(('Evolutive SFP'!#REF!)/1000000)</f>
        <v>#REF!</v>
      </c>
      <c r="AP4" s="38" t="e">
        <f>AP3/(('Evolutive SFP'!#REF!)/1000000)</f>
        <v>#REF!</v>
      </c>
      <c r="AQ4" s="38" t="e">
        <f>AQ3/(('Evolutive SFP'!#REF!)/1000000)</f>
        <v>#REF!</v>
      </c>
      <c r="AR4" s="38" t="e">
        <f>AR3/(('Evolutive SFP'!#REF!)/1000000)</f>
        <v>#REF!</v>
      </c>
      <c r="AS4" s="38" t="e">
        <f>AS3/(('Evolutive SFP'!#REF!)/1000000)</f>
        <v>#REF!</v>
      </c>
      <c r="AT4" s="38">
        <f>AT3/(('Evolutive SFP'!BV27)/1000000)</f>
        <v>0.77528377858028952</v>
      </c>
      <c r="AU4" s="38">
        <f>AU3/(('Evolutive SFP'!BW27)/1000000)</f>
        <v>0.53420891179169328</v>
      </c>
      <c r="AV4" s="38">
        <f>AV3/(('Evolutive SFP'!BX27)/1000000)</f>
        <v>0.52233314222878668</v>
      </c>
      <c r="AW4" s="38">
        <f>AW3/(('Evolutive SFP'!BY27)/1000000)</f>
        <v>0.52441771642366453</v>
      </c>
      <c r="AX4" s="38">
        <f>AX3/(('Evolutive SFP'!BZ27)/1000000)</f>
        <v>0.47876998641288498</v>
      </c>
      <c r="AY4" s="38">
        <f>AY3/(('Evolutive SFP'!CA27)/1000000)</f>
        <v>0.50185115066673014</v>
      </c>
      <c r="AZ4" s="38">
        <f>AZ3/(('Evolutive SFP'!CB27)/1000000)</f>
        <v>0.43762339381546622</v>
      </c>
      <c r="BA4" s="38" t="e">
        <f>BA3/(('Evolutive SFP'!#REF!)/1000000)</f>
        <v>#REF!</v>
      </c>
      <c r="BB4" s="38">
        <f>BB3/(('Evolutive SFP'!CC27)/1000000)</f>
        <v>0.48019338745489154</v>
      </c>
      <c r="BC4" s="38">
        <f>BC3/(('Evolutive SFP'!CD27)/1000000)</f>
        <v>0.36128292331276157</v>
      </c>
      <c r="BD4" s="38">
        <f>BD3/(('Evolutive SFP'!CE27)/1000000)</f>
        <v>0.42508747418493403</v>
      </c>
      <c r="BE4" s="38">
        <f>BE3/(('Evolutive SFP'!CF27)/1000000)</f>
        <v>0.46256517562809352</v>
      </c>
      <c r="BF4" s="38">
        <f>BF3/(('Evolutive SFP'!CG27)/1000000)</f>
        <v>0.46919976703230215</v>
      </c>
      <c r="BG4" s="38">
        <f>BG3/(('Evolutive SFP'!CH27)/1000000)</f>
        <v>0.46395068839644105</v>
      </c>
      <c r="BH4" s="38">
        <f>BH3/(('Evolutive SFP'!CI27)/1000000)</f>
        <v>0.47957621442743459</v>
      </c>
      <c r="BI4" s="38">
        <f>BI3/(('Evolutive SFP'!CJ27)/1000000)</f>
        <v>0.47917598221243224</v>
      </c>
      <c r="BJ4" s="38">
        <f>BJ3/(('Evolutive SFP'!CK27)/1000000)</f>
        <v>0.47612465190231668</v>
      </c>
      <c r="BK4" s="38">
        <f>BK3/(('Evolutive SFP'!CL27)/1000000)</f>
        <v>0.48395108388953467</v>
      </c>
      <c r="BL4" s="38">
        <f>BL3/(('Evolutive SFP'!CM27)/1000000)</f>
        <v>0.48330201888980612</v>
      </c>
      <c r="BM4" s="38">
        <f>BM3/(('Evolutive SFP'!CN27)/1000000)</f>
        <v>0.47893795645260173</v>
      </c>
      <c r="BN4" s="38">
        <f>BN3/(('Evolutive SFP'!CO27)/1000000)</f>
        <v>0.47878204202575431</v>
      </c>
      <c r="BO4" s="38">
        <f>BO3/(('Evolutive SFP'!CP27)/1000000)</f>
        <v>0.47153007014367382</v>
      </c>
      <c r="BP4" s="38">
        <f>BP3/(('Evolutive SFP'!CQ27)/1000000)</f>
        <v>0.33373999284647171</v>
      </c>
      <c r="BQ4" s="38">
        <f>BQ3/(('Evolutive SFP'!CR27)/1000000)</f>
        <v>0.38930886653267027</v>
      </c>
      <c r="BR4" s="38">
        <f>BR3/(('Evolutive SFP'!CS27)/1000000)</f>
        <v>0.43512971845188669</v>
      </c>
      <c r="BS4" s="38">
        <f>BS3/(('Evolutive SFP'!CT27)/1000000)</f>
        <v>0.45313166629398549</v>
      </c>
      <c r="BT4" s="38">
        <f>BT3/(('Evolutive SFP'!CU27)/1000000)</f>
        <v>0.4413260569805163</v>
      </c>
      <c r="BU4" s="38">
        <f>BU3/(('Evolutive SFP'!CV27)/1000000)</f>
        <v>0.4255384612962228</v>
      </c>
      <c r="BV4" s="38">
        <f>BV3/(('Evolutive SFP'!CW27)/1000000)</f>
        <v>0.437823614866927</v>
      </c>
      <c r="BW4" s="38">
        <f>BW3/(('Evolutive SFP'!CX27)/1000000)</f>
        <v>0.43552413756396596</v>
      </c>
      <c r="BX4" s="38">
        <f>BX3/(('Evolutive SFP'!CY27)/1000000)</f>
        <v>0.431645241146348</v>
      </c>
      <c r="BY4" s="38">
        <f>BY3/(('Evolutive SFP'!CZ27)/1000000)</f>
        <v>0.4309624178596817</v>
      </c>
      <c r="BZ4" s="38">
        <f>BZ3/(('Evolutive SFP'!DA27)/1000000)</f>
        <v>0.43027185429537967</v>
      </c>
      <c r="CA4" s="38">
        <f>CA3/(('Evolutive SFP'!DB27)/1000000)</f>
        <v>0.4339512681834371</v>
      </c>
      <c r="CB4" s="38">
        <f>CB3/(('Evolutive SFP'!DC27)/1000000)</f>
        <v>0.42237766938975535</v>
      </c>
      <c r="CC4" s="38">
        <f>CC3/(('Evolutive SFP'!DD27)/1000000)</f>
        <v>0.43766839172090116</v>
      </c>
      <c r="CD4" s="38">
        <f>CD3/(('Evolutive SFP'!DE27)/1000000)</f>
        <v>0.43800193668591048</v>
      </c>
    </row>
    <row r="5" spans="1:82" ht="15.75">
      <c r="A5" s="443"/>
      <c r="B5" s="3" t="s">
        <v>203</v>
      </c>
      <c r="C5" s="11" t="s">
        <v>204</v>
      </c>
      <c r="D5" s="34" t="e">
        <f>D3/('Evolutive SFP'!#REF!/1000000)</f>
        <v>#REF!</v>
      </c>
      <c r="E5" s="34" t="e">
        <f>E3/('Evolutive SFP'!#REF!/1000000)</f>
        <v>#REF!</v>
      </c>
      <c r="F5" s="34" t="e">
        <f>F3/('Evolutive SFP'!#REF!/1000000)</f>
        <v>#REF!</v>
      </c>
      <c r="G5" s="34" t="e">
        <f>G3/('Evolutive SFP'!#REF!/1000000)</f>
        <v>#REF!</v>
      </c>
      <c r="H5" s="34" t="e">
        <f>H3/('Evolutive SFP'!#REF!/1000000)</f>
        <v>#REF!</v>
      </c>
      <c r="I5" s="34" t="e">
        <f>I3/('Evolutive SFP'!#REF!/1000000)</f>
        <v>#REF!</v>
      </c>
      <c r="J5" s="34" t="e">
        <f>J3/('Evolutive SFP'!#REF!/1000000)</f>
        <v>#REF!</v>
      </c>
      <c r="K5" s="34" t="e">
        <f>K3/('Evolutive SFP'!#REF!/1000000)</f>
        <v>#REF!</v>
      </c>
      <c r="L5" s="34" t="e">
        <f>L3/('Evolutive SFP'!#REF!/1000000)</f>
        <v>#REF!</v>
      </c>
      <c r="M5" s="34" t="e">
        <f>M3/('Evolutive SFP'!#REF!/1000000)</f>
        <v>#REF!</v>
      </c>
      <c r="N5" s="34" t="e">
        <f>N3/('Evolutive SFP'!#REF!/1000000)</f>
        <v>#REF!</v>
      </c>
      <c r="O5" s="34" t="e">
        <f>O3/('Evolutive SFP'!#REF!/1000000)</f>
        <v>#REF!</v>
      </c>
      <c r="P5" s="34" t="e">
        <f>P3/('Evolutive SFP'!#REF!/1000000)</f>
        <v>#REF!</v>
      </c>
      <c r="Q5" s="34" t="e">
        <f>Q3/('Evolutive SFP'!#REF!/1000000)</f>
        <v>#REF!</v>
      </c>
      <c r="R5" s="34" t="e">
        <f>R3/('Evolutive SFP'!#REF!/1000000)</f>
        <v>#REF!</v>
      </c>
      <c r="S5" s="38" t="e">
        <f>S3/('Evolutive SFP'!#REF!/1000000)</f>
        <v>#REF!</v>
      </c>
      <c r="T5" s="38" t="e">
        <f>T3/('Evolutive SFP'!#REF!/1000000)</f>
        <v>#REF!</v>
      </c>
      <c r="U5" s="38" t="e">
        <f>U3/('Evolutive SFP'!#REF!/1000000)</f>
        <v>#REF!</v>
      </c>
      <c r="V5" s="38" t="e">
        <f>V3/('Evolutive SFP'!#REF!/1000000)</f>
        <v>#REF!</v>
      </c>
      <c r="W5" s="38" t="e">
        <f>W3/('Evolutive SFP'!#REF!/1000000)</f>
        <v>#REF!</v>
      </c>
      <c r="X5" s="38" t="e">
        <f>X3/('Evolutive SFP'!#REF!/1000000)</f>
        <v>#REF!</v>
      </c>
      <c r="Y5" s="38" t="e">
        <f>Y3/('Evolutive SFP'!#REF!/1000000)</f>
        <v>#REF!</v>
      </c>
      <c r="Z5" s="38" t="e">
        <f>Z3/('Evolutive SFP'!#REF!/1000000)</f>
        <v>#REF!</v>
      </c>
      <c r="AA5" s="38" t="e">
        <f>AA3/('Evolutive SFP'!#REF!/1000000)</f>
        <v>#REF!</v>
      </c>
      <c r="AB5" s="38" t="e">
        <f>AB3/('Evolutive SFP'!#REF!/1000000)</f>
        <v>#REF!</v>
      </c>
      <c r="AC5" s="38" t="e">
        <f>AC3/('Evolutive SFP'!#REF!/1000000)</f>
        <v>#REF!</v>
      </c>
      <c r="AD5" s="38" t="e">
        <f>AD3/('Evolutive SFP'!#REF!/1000000)</f>
        <v>#REF!</v>
      </c>
      <c r="AE5" s="38" t="e">
        <f>AE3/('Evolutive SFP'!#REF!/1000000)</f>
        <v>#REF!</v>
      </c>
      <c r="AF5" s="38" t="e">
        <f>AF3/('Evolutive SFP'!#REF!/1000000)</f>
        <v>#REF!</v>
      </c>
      <c r="AG5" s="38" t="e">
        <f>AG3/('Evolutive SFP'!#REF!/1000000)</f>
        <v>#REF!</v>
      </c>
      <c r="AH5" s="38" t="e">
        <f>AH3/('Evolutive SFP'!#REF!/1000000)</f>
        <v>#REF!</v>
      </c>
      <c r="AI5" s="38" t="e">
        <f>AI3/('Evolutive SFP'!#REF!/1000000)</f>
        <v>#REF!</v>
      </c>
      <c r="AJ5" s="38" t="e">
        <f>AJ3/('Evolutive SFP'!#REF!/1000000)</f>
        <v>#REF!</v>
      </c>
      <c r="AK5" s="38" t="e">
        <f>AK3/('Evolutive SFP'!#REF!/1000000)</f>
        <v>#REF!</v>
      </c>
      <c r="AL5" s="38" t="e">
        <f>AL3/('Evolutive SFP'!#REF!/1000000)</f>
        <v>#REF!</v>
      </c>
      <c r="AM5" s="38" t="e">
        <f>AM3/('Evolutive SFP'!#REF!/1000000)</f>
        <v>#REF!</v>
      </c>
      <c r="AN5" s="38" t="e">
        <f>AN3/('Evolutive SFP'!#REF!/1000000)</f>
        <v>#REF!</v>
      </c>
      <c r="AO5" s="38" t="e">
        <f>AO3/('Evolutive SFP'!#REF!/1000000)</f>
        <v>#REF!</v>
      </c>
      <c r="AP5" s="38" t="e">
        <f>AP3/('Evolutive SFP'!#REF!/1000000)</f>
        <v>#REF!</v>
      </c>
      <c r="AQ5" s="38" t="e">
        <f>AQ3/('Evolutive SFP'!#REF!/1000000)</f>
        <v>#REF!</v>
      </c>
      <c r="AR5" s="38" t="e">
        <f>AR3/('Evolutive SFP'!#REF!/1000000)</f>
        <v>#REF!</v>
      </c>
      <c r="AS5" s="38" t="e">
        <f>AS3/('Evolutive SFP'!#REF!/1000000)</f>
        <v>#REF!</v>
      </c>
      <c r="AT5" s="38">
        <f>AT3/('Evolutive SFP'!BV31/1000000)</f>
        <v>1.7350576150515395</v>
      </c>
      <c r="AU5" s="38">
        <f>AU3/('Evolutive SFP'!BW31/1000000)</f>
        <v>1.2205512496967612</v>
      </c>
      <c r="AV5" s="38">
        <f>AV3/('Evolutive SFP'!BX31/1000000)</f>
        <v>1.1684090525618163</v>
      </c>
      <c r="AW5" s="38">
        <f>AW3/('Evolutive SFP'!BY31/1000000)</f>
        <v>1.1769387467308365</v>
      </c>
      <c r="AX5" s="38">
        <f>AX3/('Evolutive SFP'!BZ31/1000000)</f>
        <v>0.9612104804862176</v>
      </c>
      <c r="AY5" s="38">
        <f>AY3/('Evolutive SFP'!CA31/1000000)</f>
        <v>1.0323701653856614</v>
      </c>
      <c r="AZ5" s="38">
        <f>AZ3/('Evolutive SFP'!CB31/1000000)</f>
        <v>0.78971594017419022</v>
      </c>
      <c r="BA5" s="38" t="e">
        <f>BA3/('Evolutive SFP'!#REF!/1000000)</f>
        <v>#REF!</v>
      </c>
      <c r="BB5" s="38">
        <f>BB3/('Evolutive SFP'!CC31/1000000)</f>
        <v>0.93653348307774198</v>
      </c>
      <c r="BC5" s="38">
        <f>BC3/('Evolutive SFP'!CD31/1000000)</f>
        <v>0.61831922462075595</v>
      </c>
      <c r="BD5" s="38">
        <f>BD3/('Evolutive SFP'!CE31/1000000)</f>
        <v>0.7531233448220982</v>
      </c>
      <c r="BE5" s="38">
        <f>BE3/('Evolutive SFP'!CF31/1000000)</f>
        <v>0.87182851905359027</v>
      </c>
      <c r="BF5" s="38">
        <f>BF3/('Evolutive SFP'!CG31/1000000)</f>
        <v>0.92363570699837239</v>
      </c>
      <c r="BG5" s="38">
        <f>BG3/('Evolutive SFP'!CH31/1000000)</f>
        <v>0.91330272493486875</v>
      </c>
      <c r="BH5" s="38">
        <f>BH3/('Evolutive SFP'!CI31/1000000)</f>
        <v>0.96549199948041742</v>
      </c>
      <c r="BI5" s="38">
        <f>BI3/('Evolutive SFP'!CJ31/1000000)</f>
        <v>0.9678549719317443</v>
      </c>
      <c r="BJ5" s="38">
        <f>BJ3/('Evolutive SFP'!CK31/1000000)</f>
        <v>0.9577332083164003</v>
      </c>
      <c r="BK5" s="38">
        <f>BK3/('Evolutive SFP'!CL31/1000000)</f>
        <v>0.95931198116679861</v>
      </c>
      <c r="BL5" s="38">
        <f>BL3/('Evolutive SFP'!CM31/1000000)</f>
        <v>0.95120320732967267</v>
      </c>
      <c r="BM5" s="38">
        <f>BM3/('Evolutive SFP'!CN31/1000000)</f>
        <v>0.93620583014371916</v>
      </c>
      <c r="BN5" s="38">
        <f>BN3/('Evolutive SFP'!CO31/1000000)</f>
        <v>0.93260840380064203</v>
      </c>
      <c r="BO5" s="38">
        <f>BO3/('Evolutive SFP'!CP31/1000000)</f>
        <v>0.90679379761419898</v>
      </c>
      <c r="BP5" s="38">
        <f>BP3/('Evolutive SFP'!CQ31/1000000)</f>
        <v>0.6446934807421657</v>
      </c>
      <c r="BQ5" s="38">
        <f>BQ3/('Evolutive SFP'!CR31/1000000)</f>
        <v>0.65204738707219756</v>
      </c>
      <c r="BR5" s="38">
        <f>BR3/('Evolutive SFP'!CS31/1000000)</f>
        <v>0.78179039723061328</v>
      </c>
      <c r="BS5" s="38">
        <f>BS3/('Evolutive SFP'!CT31/1000000)</f>
        <v>0.86518034284053236</v>
      </c>
      <c r="BT5" s="38">
        <f>BT3/('Evolutive SFP'!CU31/1000000)</f>
        <v>0.8426394776771885</v>
      </c>
      <c r="BU5" s="38">
        <f>BU3/('Evolutive SFP'!CV31/1000000)</f>
        <v>0.87142574530576855</v>
      </c>
      <c r="BV5" s="38">
        <f>BV3/('Evolutive SFP'!CW31/1000000)</f>
        <v>0.90732899446167825</v>
      </c>
      <c r="BW5" s="38">
        <f>BW3/('Evolutive SFP'!CX31/1000000)</f>
        <v>0.89909345733240431</v>
      </c>
      <c r="BX5" s="38">
        <f>BX3/('Evolutive SFP'!CY31/1000000)</f>
        <v>0.88356007387914215</v>
      </c>
      <c r="BY5" s="38">
        <f>BY3/('Evolutive SFP'!CZ31/1000000)</f>
        <v>0.85974401693979896</v>
      </c>
      <c r="BZ5" s="38">
        <f>BZ3/('Evolutive SFP'!DA31/1000000)</f>
        <v>0.84808815795040293</v>
      </c>
      <c r="CA5" s="38">
        <f>CA3/('Evolutive SFP'!DB31/1000000)</f>
        <v>0.86112652783843069</v>
      </c>
      <c r="CB5" s="38">
        <f>CB3/('Evolutive SFP'!DC31/1000000)</f>
        <v>0.80745139026259682</v>
      </c>
      <c r="CC5" s="38">
        <f>CC3/('Evolutive SFP'!DD31/1000000)</f>
        <v>0.87271010743466537</v>
      </c>
      <c r="CD5" s="38">
        <f>CD3/('Evolutive SFP'!DE31/1000000)</f>
        <v>0.87593409437972758</v>
      </c>
    </row>
    <row r="6" spans="1:82" ht="15.75">
      <c r="A6" s="443"/>
      <c r="B6" s="3" t="s">
        <v>205</v>
      </c>
      <c r="C6" s="11" t="s">
        <v>204</v>
      </c>
      <c r="D6" s="34" t="e">
        <f>((D3*1000000)-'Evolutive SFP'!#REF!)/'Evolutive SFP'!#REF!</f>
        <v>#REF!</v>
      </c>
      <c r="E6" s="34" t="e">
        <f>((E3*1000000)-'Evolutive SFP'!#REF!)/'Evolutive SFP'!#REF!</f>
        <v>#REF!</v>
      </c>
      <c r="F6" s="34" t="e">
        <f>((F3*1000000)-'Evolutive SFP'!#REF!)/'Evolutive SFP'!#REF!</f>
        <v>#REF!</v>
      </c>
      <c r="G6" s="34" t="e">
        <f>((G3*1000000)-'Evolutive SFP'!#REF!)/'Evolutive SFP'!#REF!</f>
        <v>#REF!</v>
      </c>
      <c r="H6" s="34" t="e">
        <f>((H3*1000000)-'Evolutive SFP'!#REF!)/'Evolutive SFP'!#REF!</f>
        <v>#REF!</v>
      </c>
      <c r="I6" s="34" t="e">
        <f>((I3*1000000)-'Evolutive SFP'!#REF!)/'Evolutive SFP'!#REF!</f>
        <v>#REF!</v>
      </c>
      <c r="J6" s="34" t="e">
        <f>((J3*1000000)-'Evolutive SFP'!#REF!)/'Evolutive SFP'!#REF!</f>
        <v>#REF!</v>
      </c>
      <c r="K6" s="34" t="e">
        <f>((K3*1000000)-'Evolutive SFP'!#REF!)/'Evolutive SFP'!#REF!</f>
        <v>#REF!</v>
      </c>
      <c r="L6" s="34" t="e">
        <f>((L3*1000000)-'Evolutive SFP'!#REF!)/'Evolutive SFP'!#REF!</f>
        <v>#REF!</v>
      </c>
      <c r="M6" s="34" t="e">
        <f>((M3*1000000)-'Evolutive SFP'!#REF!)/'Evolutive SFP'!#REF!</f>
        <v>#REF!</v>
      </c>
      <c r="N6" s="34" t="e">
        <f>((N3*1000000)-'Evolutive SFP'!#REF!)/'Evolutive SFP'!#REF!</f>
        <v>#REF!</v>
      </c>
      <c r="O6" s="34" t="e">
        <f>((O3*1000000)-'Evolutive SFP'!#REF!)/'Evolutive SFP'!#REF!</f>
        <v>#REF!</v>
      </c>
      <c r="P6" s="34" t="e">
        <f>((P3*1000000)-'Evolutive SFP'!#REF!)/'Evolutive SFP'!#REF!</f>
        <v>#REF!</v>
      </c>
      <c r="Q6" s="34" t="e">
        <f>((Q3*1000000)-'Evolutive SFP'!#REF!)/'Evolutive SFP'!#REF!</f>
        <v>#REF!</v>
      </c>
      <c r="R6" s="34" t="e">
        <f>((R3*1000000)-'Evolutive SFP'!#REF!)/'Evolutive SFP'!#REF!</f>
        <v>#REF!</v>
      </c>
      <c r="S6" s="38" t="e">
        <f>((S3*1000000)-'Evolutive SFP'!#REF!)/'Evolutive SFP'!#REF!</f>
        <v>#REF!</v>
      </c>
      <c r="T6" s="38" t="e">
        <f>((T3*1000000)-'Evolutive SFP'!#REF!)/'Evolutive SFP'!#REF!</f>
        <v>#REF!</v>
      </c>
      <c r="U6" s="38" t="e">
        <f>((U3*1000000)-'Evolutive SFP'!#REF!)/'Evolutive SFP'!#REF!</f>
        <v>#REF!</v>
      </c>
      <c r="V6" s="38" t="e">
        <f>((V3*1000000)-'Evolutive SFP'!#REF!)/'Evolutive SFP'!#REF!</f>
        <v>#REF!</v>
      </c>
      <c r="W6" s="38" t="e">
        <f>((W3*1000000)-'Evolutive SFP'!#REF!)/'Evolutive SFP'!#REF!</f>
        <v>#REF!</v>
      </c>
      <c r="X6" s="38" t="e">
        <f>((X3*1000000)-'Evolutive SFP'!#REF!)/'Evolutive SFP'!#REF!</f>
        <v>#REF!</v>
      </c>
      <c r="Y6" s="38" t="e">
        <f>((Y3*1000000)-'Evolutive SFP'!#REF!)/'Evolutive SFP'!#REF!</f>
        <v>#REF!</v>
      </c>
      <c r="Z6" s="38" t="e">
        <f>((Z3*1000000)-'Evolutive SFP'!#REF!)/'Evolutive SFP'!#REF!</f>
        <v>#REF!</v>
      </c>
      <c r="AA6" s="38" t="e">
        <f>((AA3*1000000)-'Evolutive SFP'!#REF!)/'Evolutive SFP'!#REF!</f>
        <v>#REF!</v>
      </c>
      <c r="AB6" s="38" t="e">
        <f>((AB3*1000000)-'Evolutive SFP'!#REF!)/'Evolutive SFP'!#REF!</f>
        <v>#REF!</v>
      </c>
      <c r="AC6" s="38" t="e">
        <f>((AC3*1000000)-'Evolutive SFP'!#REF!)/'Evolutive SFP'!#REF!</f>
        <v>#REF!</v>
      </c>
      <c r="AD6" s="38" t="e">
        <f>((AD3*1000000)-'Evolutive SFP'!#REF!)/'Evolutive SFP'!#REF!</f>
        <v>#REF!</v>
      </c>
      <c r="AE6" s="38" t="e">
        <f>((AE3*1000000)-'Evolutive SFP'!#REF!)/'Evolutive SFP'!#REF!</f>
        <v>#REF!</v>
      </c>
      <c r="AF6" s="38" t="e">
        <f>((AF3*1000000)-'Evolutive SFP'!#REF!)/'Evolutive SFP'!#REF!</f>
        <v>#REF!</v>
      </c>
      <c r="AG6" s="38" t="e">
        <f>((AG3*1000000)-'Evolutive SFP'!#REF!)/'Evolutive SFP'!#REF!</f>
        <v>#REF!</v>
      </c>
      <c r="AH6" s="38" t="e">
        <f>((AH3*1000000)-'Evolutive SFP'!#REF!)/'Evolutive SFP'!#REF!</f>
        <v>#REF!</v>
      </c>
      <c r="AI6" s="38" t="e">
        <f>((AI3*1000000)-'Evolutive SFP'!#REF!)/'Evolutive SFP'!#REF!</f>
        <v>#REF!</v>
      </c>
      <c r="AJ6" s="38" t="e">
        <f>((AJ3*1000000)-'Evolutive SFP'!#REF!)/'Evolutive SFP'!#REF!</f>
        <v>#REF!</v>
      </c>
      <c r="AK6" s="38" t="e">
        <f>((AK3*1000000)-'Evolutive SFP'!#REF!)/'Evolutive SFP'!#REF!</f>
        <v>#REF!</v>
      </c>
      <c r="AL6" s="38" t="e">
        <f>((AL3*1000000)-'Evolutive SFP'!#REF!)/'Evolutive SFP'!#REF!</f>
        <v>#REF!</v>
      </c>
      <c r="AM6" s="38" t="e">
        <f>((AM3*1000000)-'Evolutive SFP'!#REF!)/'Evolutive SFP'!#REF!</f>
        <v>#REF!</v>
      </c>
      <c r="AN6" s="38" t="e">
        <f>((AN3*1000000)-'Evolutive SFP'!#REF!)/'Evolutive SFP'!#REF!</f>
        <v>#REF!</v>
      </c>
      <c r="AO6" s="38" t="e">
        <f>((AO3*1000000)-'Evolutive SFP'!#REF!)/'Evolutive SFP'!#REF!</f>
        <v>#REF!</v>
      </c>
      <c r="AP6" s="38" t="e">
        <f>((AP3*1000000)-'Evolutive SFP'!#REF!)/'Evolutive SFP'!#REF!</f>
        <v>#REF!</v>
      </c>
      <c r="AQ6" s="38" t="e">
        <f>((AQ3*1000000)-'Evolutive SFP'!#REF!)/'Evolutive SFP'!#REF!</f>
        <v>#REF!</v>
      </c>
      <c r="AR6" s="38" t="e">
        <f>((AR3*1000000)-'Evolutive SFP'!#REF!)/'Evolutive SFP'!#REF!</f>
        <v>#REF!</v>
      </c>
      <c r="AS6" s="38" t="e">
        <f>((AS3*1000000)-'Evolutive SFP'!#REF!)/'Evolutive SFP'!#REF!</f>
        <v>#REF!</v>
      </c>
      <c r="AT6" s="38">
        <f>((AT3*1000000)-'Evolutive SFP'!BV39)/'Evolutive SFP'!BV27</f>
        <v>0.61549949613991128</v>
      </c>
      <c r="AU6" s="38">
        <f>((AU3*1000000)-'Evolutive SFP'!BW39)/'Evolutive SFP'!BW27</f>
        <v>0.37031066768886772</v>
      </c>
      <c r="AV6" s="38">
        <f>((AV3*1000000)-'Evolutive SFP'!BX39)/'Evolutive SFP'!BX27</f>
        <v>0.35717495598012283</v>
      </c>
      <c r="AW6" s="38">
        <f>((AW3*1000000)-'Evolutive SFP'!BY39)/'Evolutive SFP'!BY27</f>
        <v>0.35704119733168688</v>
      </c>
      <c r="AX6" s="38">
        <f>((AX3*1000000)-'Evolutive SFP'!BZ39)/'Evolutive SFP'!BZ27</f>
        <v>0.3308246473703827</v>
      </c>
      <c r="AY6" s="38">
        <f>((AY3*1000000)-'Evolutive SFP'!CA39)/'Evolutive SFP'!CA27</f>
        <v>0.34586016383225349</v>
      </c>
      <c r="AZ6" s="38">
        <f>((AZ3*1000000)-'Evolutive SFP'!CB39)/'Evolutive SFP'!CB27</f>
        <v>0.31036977140361066</v>
      </c>
      <c r="BA6" s="38" t="e">
        <f>((BA3*1000000)-'Evolutive SFP'!#REF!)/'Evolutive SFP'!#REF!</f>
        <v>#REF!</v>
      </c>
      <c r="BB6" s="38">
        <f>((BB3*1000000)-'Evolutive SFP'!CC39)/'Evolutive SFP'!CC27</f>
        <v>0.34084719424058968</v>
      </c>
      <c r="BC6" s="38">
        <f>((BC3*1000000)-'Evolutive SFP'!CD39)/'Evolutive SFP'!CD27</f>
        <v>0.25795968976339917</v>
      </c>
      <c r="BD6" s="38">
        <f>((BD3*1000000)-'Evolutive SFP'!CE39)/'Evolutive SFP'!CE27</f>
        <v>0.30445071236774507</v>
      </c>
      <c r="BE6" s="38">
        <f>((BE3*1000000)-'Evolutive SFP'!CF39)/'Evolutive SFP'!CF27</f>
        <v>0.32915764111081985</v>
      </c>
      <c r="BF6" s="38">
        <f>((BF3*1000000)-'Evolutive SFP'!CG39)/'Evolutive SFP'!CG27</f>
        <v>0.32856566295801298</v>
      </c>
      <c r="BG6" s="38">
        <f>((BG3*1000000)-'Evolutive SFP'!CH39)/'Evolutive SFP'!CH27</f>
        <v>0.32331658556548964</v>
      </c>
      <c r="BH6" s="38">
        <f>((BH3*1000000)-'Evolutive SFP'!CI39)/'Evolutive SFP'!CI27</f>
        <v>0.33379738665984632</v>
      </c>
      <c r="BI6" s="38">
        <f>((BI3*1000000)-'Evolutive SFP'!CJ39)/'Evolutive SFP'!CJ27</f>
        <v>0.33079622626253019</v>
      </c>
      <c r="BJ6" s="38">
        <f>((BJ3*1000000)-'Evolutive SFP'!CK39)/'Evolutive SFP'!CK27</f>
        <v>0.32752549292493827</v>
      </c>
      <c r="BK6" s="38">
        <f>((BK3*1000000)-'Evolutive SFP'!CL39)/'Evolutive SFP'!CL27</f>
        <v>0.33729698733963503</v>
      </c>
      <c r="BL6" s="38">
        <f>((BL3*1000000)-'Evolutive SFP'!CM39)/'Evolutive SFP'!CM27</f>
        <v>0.33371289682505978</v>
      </c>
      <c r="BM6" s="38">
        <f>((BM3*1000000)-'Evolutive SFP'!CN39)/'Evolutive SFP'!CN27</f>
        <v>0.32728929050317773</v>
      </c>
      <c r="BN6" s="38">
        <f>((BN3*1000000)-'Evolutive SFP'!CO39)/'Evolutive SFP'!CO27</f>
        <v>0.32507099515132598</v>
      </c>
      <c r="BO6" s="38">
        <f>((BO3*1000000)-'Evolutive SFP'!CP39)/'Evolutive SFP'!CP27</f>
        <v>0.31395759192483336</v>
      </c>
      <c r="BP6" s="38">
        <f>((BP3*1000000)-'Evolutive SFP'!CQ39)/'Evolutive SFP'!CQ27</f>
        <v>0.21815275057179168</v>
      </c>
      <c r="BQ6" s="38">
        <f>((BQ3*1000000)-'Evolutive SFP'!CR39)/'Evolutive SFP'!CR27</f>
        <v>0.27472034021404196</v>
      </c>
      <c r="BR6" s="38">
        <f>((BR3*1000000)-'Evolutive SFP'!CS39)/'Evolutive SFP'!CS27</f>
        <v>0.30932346200575589</v>
      </c>
      <c r="BS6" s="38">
        <f>((BS3*1000000)-'Evolutive SFP'!CT39)/'Evolutive SFP'!CT27</f>
        <v>0.32556244625326958</v>
      </c>
      <c r="BT6" s="38">
        <f>((BT3*1000000)-'Evolutive SFP'!CU39)/'Evolutive SFP'!CU27</f>
        <v>0.31375683804398713</v>
      </c>
      <c r="BU6" s="38">
        <f>((BU3*1000000)-'Evolutive SFP'!CV39)/'Evolutive SFP'!CV27</f>
        <v>0.30229840890997822</v>
      </c>
      <c r="BV6" s="38">
        <f>((BV3*1000000)-'Evolutive SFP'!CW39)/'Evolutive SFP'!CW27</f>
        <v>0.31230304701031186</v>
      </c>
      <c r="BW6" s="38">
        <f>((BW3*1000000)-'Evolutive SFP'!CX39)/'Evolutive SFP'!CX27</f>
        <v>0.30892686624847698</v>
      </c>
      <c r="BX6" s="38">
        <f>((BX3*1000000)-'Evolutive SFP'!CY39)/'Evolutive SFP'!CY27</f>
        <v>0.30554588357914503</v>
      </c>
      <c r="BY6" s="38">
        <f>((BY3*1000000)-'Evolutive SFP'!CZ39)/'Evolutive SFP'!CZ27</f>
        <v>0.30361281360810422</v>
      </c>
      <c r="BZ6" s="38">
        <f>((BZ3*1000000)-'Evolutive SFP'!DA39)/'Evolutive SFP'!DA27</f>
        <v>0.30001589264125672</v>
      </c>
      <c r="CA6" s="38">
        <f>((CA3*1000000)-'Evolutive SFP'!DB39)/'Evolutive SFP'!DB27</f>
        <v>0.30710176636094005</v>
      </c>
      <c r="CB6" s="38">
        <f>((CB3*1000000)-'Evolutive SFP'!DC39)/'Evolutive SFP'!DC27</f>
        <v>0.3127150942708331</v>
      </c>
      <c r="CC6" s="38">
        <f>((CC3*1000000)-'Evolutive SFP'!DD39)/'Evolutive SFP'!DD27</f>
        <v>0.3229271027961147</v>
      </c>
      <c r="CD6" s="38">
        <f>((CD3*1000000)-'Evolutive SFP'!DE39)/'Evolutive SFP'!DE27</f>
        <v>0.3199635705781958</v>
      </c>
    </row>
    <row r="7" spans="1:82" ht="15.75">
      <c r="A7" s="443" t="s">
        <v>206</v>
      </c>
      <c r="B7" s="3" t="s">
        <v>207</v>
      </c>
      <c r="C7" s="11"/>
      <c r="D7" s="11"/>
      <c r="E7" s="11"/>
      <c r="F7" s="91">
        <v>0.36</v>
      </c>
      <c r="G7" s="94">
        <v>0.52149976577094925</v>
      </c>
      <c r="H7" s="2"/>
      <c r="I7" s="2"/>
      <c r="J7" s="34" t="e">
        <f>'Evolutive SFP'!#REF!/('FORM 4'!D5+'FORM 4'!D6+'FORM 4'!D7)</f>
        <v>#REF!</v>
      </c>
      <c r="K7" s="2"/>
      <c r="L7" s="2"/>
      <c r="M7" s="34" t="e">
        <f>'Evolutive SFP'!#REF!/('FORM 4'!D14+'FORM 4'!D15+'FORM 4'!D16)</f>
        <v>#REF!</v>
      </c>
      <c r="N7" s="2"/>
      <c r="O7" s="2"/>
      <c r="P7" s="34" t="e">
        <f>'Evolutive SFP'!#REF!/('FORM 4'!D25+'FORM 4'!D26+'FORM 4'!D27)</f>
        <v>#REF!</v>
      </c>
      <c r="Q7" s="2"/>
      <c r="R7" s="2"/>
      <c r="S7" s="38" t="e">
        <f>'Evolutive SFP'!#REF!/('FORM 4'!D36+'FORM 4'!D37+'FORM 4'!D38)</f>
        <v>#REF!</v>
      </c>
      <c r="T7" s="38" t="e">
        <f>'Evolutive SFP'!#REF!/('FORM 4'!E36+'FORM 4'!E37+'FORM 4'!E38)</f>
        <v>#REF!</v>
      </c>
      <c r="U7" s="38" t="e">
        <f>'Evolutive SFP'!#REF!/('FORM 4'!F36+'FORM 4'!F37+'FORM 4'!F38)</f>
        <v>#REF!</v>
      </c>
      <c r="V7" s="38" t="e">
        <f>'Evolutive SFP'!#REF!/('FORM 4'!G36+'FORM 4'!G37+'FORM 4'!G38)</f>
        <v>#REF!</v>
      </c>
      <c r="W7" s="38" t="e">
        <f>'Evolutive SFP'!#REF!/('FORM 4'!H36+'FORM 4'!H37+'FORM 4'!H38)</f>
        <v>#REF!</v>
      </c>
      <c r="X7" s="38" t="e">
        <f>'Evolutive SFP'!#REF!/('FORM 4'!I36+'FORM 4'!I37+'FORM 4'!I38)</f>
        <v>#REF!</v>
      </c>
      <c r="Y7" s="38" t="e">
        <f>'Evolutive SFP'!#REF!/('FORM 4'!J36+'FORM 4'!J37+'FORM 4'!J38)</f>
        <v>#REF!</v>
      </c>
      <c r="Z7" s="38" t="e">
        <f>'Evolutive SFP'!#REF!/('FORM 4'!#REF!+'FORM 4'!#REF!+'FORM 4'!#REF!)</f>
        <v>#REF!</v>
      </c>
      <c r="AA7" s="38" t="e">
        <f>'Evolutive SFP'!#REF!/('FORM 4'!K36+'FORM 4'!K37+'FORM 4'!K38)</f>
        <v>#REF!</v>
      </c>
      <c r="AB7" s="38" t="e">
        <f>'Evolutive SFP'!#REF!/('FORM 4'!L36+'FORM 4'!L37+'FORM 4'!L38)</f>
        <v>#REF!</v>
      </c>
      <c r="AC7" s="38" t="e">
        <f>'Evolutive SFP'!#REF!/('FORM 4'!M36+'FORM 4'!M37+'FORM 4'!M38)</f>
        <v>#REF!</v>
      </c>
      <c r="AD7" s="38" t="e">
        <f>'Evolutive SFP'!#REF!/('FORM 4'!N36+'FORM 4'!N37+'FORM 4'!N38)</f>
        <v>#REF!</v>
      </c>
      <c r="AE7" s="38" t="e">
        <f>'Evolutive SFP'!#REF!/('FORM 4'!O36+'FORM 4'!O37+'FORM 4'!O38)</f>
        <v>#REF!</v>
      </c>
      <c r="AF7" s="38" t="e">
        <f>'Evolutive SFP'!#REF!/('FORM 4'!P36+'FORM 4'!P37+'FORM 4'!P38)</f>
        <v>#REF!</v>
      </c>
      <c r="AG7" s="38" t="e">
        <f>'Evolutive SFP'!#REF!/('FORM 4'!Q36+'FORM 4'!Q37+'FORM 4'!Q38)</f>
        <v>#REF!</v>
      </c>
      <c r="AH7" s="38" t="e">
        <f>'Evolutive SFP'!#REF!/('FORM 4'!R36+'FORM 4'!R37+'FORM 4'!R38)</f>
        <v>#REF!</v>
      </c>
      <c r="AI7" s="38" t="e">
        <f>'Evolutive SFP'!#REF!/('FORM 4'!S36+'FORM 4'!S37+'FORM 4'!S38)</f>
        <v>#REF!</v>
      </c>
      <c r="AJ7" s="38" t="e">
        <f>'Evolutive SFP'!#REF!/('FORM 4'!T36+'FORM 4'!T37+'FORM 4'!T38)</f>
        <v>#REF!</v>
      </c>
      <c r="AK7" s="38" t="e">
        <f>'Evolutive SFP'!#REF!/('FORM 4'!U36+'FORM 4'!U37+'FORM 4'!U38)</f>
        <v>#REF!</v>
      </c>
      <c r="AL7" s="38" t="e">
        <f>'Evolutive SFP'!#REF!/('FORM 4'!V36+'FORM 4'!V37+'FORM 4'!V38)</f>
        <v>#REF!</v>
      </c>
      <c r="AM7" s="38" t="e">
        <f>'Evolutive SFP'!#REF!/('FORM 4'!W36+'FORM 4'!W37+'FORM 4'!W38)</f>
        <v>#REF!</v>
      </c>
      <c r="AN7" s="38" t="e">
        <f>'Evolutive SFP'!#REF!/('FORM 4'!X36+'FORM 4'!X37+'FORM 4'!X38)</f>
        <v>#REF!</v>
      </c>
      <c r="AO7" s="38" t="e">
        <f>'Evolutive SFP'!#REF!/('FORM 4'!Y36+'FORM 4'!Y37+'FORM 4'!Y38)</f>
        <v>#REF!</v>
      </c>
      <c r="AP7" s="38" t="e">
        <f>'Evolutive SFP'!#REF!/('FORM 4'!Z36+'FORM 4'!Z37+'FORM 4'!Z38)</f>
        <v>#REF!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</row>
    <row r="8" spans="1:82" ht="15.75">
      <c r="A8" s="443"/>
      <c r="B8" s="3" t="s">
        <v>208</v>
      </c>
      <c r="C8" s="11"/>
      <c r="D8" s="11"/>
      <c r="E8" s="11"/>
      <c r="F8" s="90">
        <v>0.02</v>
      </c>
      <c r="G8" s="94">
        <v>5.1294613851202153E-2</v>
      </c>
      <c r="H8" s="2"/>
      <c r="I8" s="2"/>
      <c r="J8" s="34" t="e">
        <f>('FORM 4'!D5+'FORM 4'!D6+'FORM 4'!D7)/'Evolutive SFP'!#REF!</f>
        <v>#REF!</v>
      </c>
      <c r="K8" s="2"/>
      <c r="L8" s="2"/>
      <c r="M8" s="34" t="e">
        <f>('FORM 4'!D14+'FORM 4'!D15+'FORM 4'!D16)/'Evolutive SFP'!#REF!</f>
        <v>#REF!</v>
      </c>
      <c r="N8" s="2"/>
      <c r="O8" s="2"/>
      <c r="P8" s="29" t="e">
        <f>('FORM 4'!D25+'FORM 4'!D26+'FORM 4'!D27)/'Evolutive SFP'!#REF!</f>
        <v>#REF!</v>
      </c>
      <c r="Q8" s="2"/>
      <c r="R8" s="2"/>
      <c r="S8" s="40" t="e">
        <f>('FORM 4'!D36+'FORM 4'!D37+'FORM 4'!D38)/'Evolutive SFP'!#REF!</f>
        <v>#REF!</v>
      </c>
      <c r="T8" s="40" t="e">
        <f>('FORM 4'!E36+'FORM 4'!E37+'FORM 4'!E38)/'Evolutive SFP'!#REF!</f>
        <v>#REF!</v>
      </c>
      <c r="U8" s="40" t="e">
        <f>('FORM 4'!F36+'FORM 4'!F37+'FORM 4'!F38)/'Evolutive SFP'!#REF!</f>
        <v>#REF!</v>
      </c>
      <c r="V8" s="40" t="e">
        <f>('FORM 4'!G36+'FORM 4'!G37+'FORM 4'!G38)/'Evolutive SFP'!#REF!</f>
        <v>#REF!</v>
      </c>
      <c r="W8" s="40" t="e">
        <f>('FORM 4'!H36+'FORM 4'!H37+'FORM 4'!H38)/'Evolutive SFP'!#REF!</f>
        <v>#REF!</v>
      </c>
      <c r="X8" s="40" t="e">
        <f>('FORM 4'!I36+'FORM 4'!I37+'FORM 4'!I38)/'Evolutive SFP'!#REF!</f>
        <v>#REF!</v>
      </c>
      <c r="Y8" s="40" t="e">
        <f>('FORM 4'!J36+'FORM 4'!J37+'FORM 4'!J38)/'Evolutive SFP'!#REF!</f>
        <v>#REF!</v>
      </c>
      <c r="Z8" s="40" t="e">
        <f>('FORM 4'!#REF!+'FORM 4'!#REF!+'FORM 4'!#REF!)/'Evolutive SFP'!#REF!</f>
        <v>#REF!</v>
      </c>
      <c r="AA8" s="40" t="e">
        <f>('FORM 4'!K36+'FORM 4'!K37+'FORM 4'!K38)/'Evolutive SFP'!#REF!</f>
        <v>#REF!</v>
      </c>
      <c r="AB8" s="40" t="e">
        <f>('FORM 4'!L36+'FORM 4'!L37+'FORM 4'!L38)/'Evolutive SFP'!#REF!</f>
        <v>#REF!</v>
      </c>
      <c r="AC8" s="40" t="e">
        <f>('FORM 4'!M36+'FORM 4'!M37+'FORM 4'!M38)/'Evolutive SFP'!#REF!</f>
        <v>#REF!</v>
      </c>
      <c r="AD8" s="40" t="e">
        <f>('FORM 4'!N36+'FORM 4'!N37+'FORM 4'!N38)/'Evolutive SFP'!#REF!</f>
        <v>#REF!</v>
      </c>
      <c r="AE8" s="40" t="e">
        <f>('FORM 4'!O36+'FORM 4'!O37+'FORM 4'!O38)/'Evolutive SFP'!#REF!</f>
        <v>#REF!</v>
      </c>
      <c r="AF8" s="40" t="e">
        <f>('FORM 4'!P36+'FORM 4'!P37+'FORM 4'!P38)/'Evolutive SFP'!#REF!</f>
        <v>#REF!</v>
      </c>
      <c r="AG8" s="40" t="e">
        <f>('FORM 4'!Q36+'FORM 4'!Q37+'FORM 4'!Q38)/'Evolutive SFP'!#REF!</f>
        <v>#REF!</v>
      </c>
      <c r="AH8" s="40" t="e">
        <f>('FORM 4'!R36+'FORM 4'!R37+'FORM 4'!R38)/'Evolutive SFP'!#REF!</f>
        <v>#REF!</v>
      </c>
      <c r="AI8" s="40" t="e">
        <f>('FORM 4'!S36+'FORM 4'!S37+'FORM 4'!S38)/'Evolutive SFP'!#REF!</f>
        <v>#REF!</v>
      </c>
      <c r="AJ8" s="40" t="e">
        <f>('FORM 4'!T36+'FORM 4'!T37+'FORM 4'!T38)/'Evolutive SFP'!#REF!</f>
        <v>#REF!</v>
      </c>
      <c r="AK8" s="40" t="e">
        <f>('FORM 4'!U36+'FORM 4'!U37+'FORM 4'!U38)/'Evolutive SFP'!#REF!</f>
        <v>#REF!</v>
      </c>
      <c r="AL8" s="40" t="e">
        <f>('FORM 4'!V36+'FORM 4'!V37+'FORM 4'!V38)/'Evolutive SFP'!#REF!</f>
        <v>#REF!</v>
      </c>
      <c r="AM8" s="40" t="e">
        <f>('FORM 4'!W36+'FORM 4'!W37+'FORM 4'!W38)/'Evolutive SFP'!#REF!</f>
        <v>#REF!</v>
      </c>
      <c r="AN8" s="40" t="e">
        <f>('FORM 4'!X36+'FORM 4'!X37+'FORM 4'!X38)/'Evolutive SFP'!#REF!</f>
        <v>#REF!</v>
      </c>
      <c r="AO8" s="40" t="e">
        <f>('FORM 4'!Y36+'FORM 4'!Y37+'FORM 4'!Y38)/'Evolutive SFP'!#REF!</f>
        <v>#REF!</v>
      </c>
      <c r="AP8" s="40" t="e">
        <f>('FORM 4'!Z36+'FORM 4'!Z37+'FORM 4'!Z38)/'Evolutive SFP'!#REF!</f>
        <v>#REF!</v>
      </c>
      <c r="AQ8" s="40" t="e">
        <f>('FORM 4'!AA36+'FORM 4'!AA37+'FORM 4'!AA38)/'Evolutive SFP'!#REF!</f>
        <v>#REF!</v>
      </c>
      <c r="AR8" s="40" t="e">
        <f>('FORM 4'!AB36+'FORM 4'!AB37+'FORM 4'!AB38)/'Evolutive SFP'!#REF!</f>
        <v>#REF!</v>
      </c>
      <c r="AS8" s="40" t="e">
        <f>('FORM 4'!AC36+'FORM 4'!AC37+'FORM 4'!AC38)/'Evolutive SFP'!#REF!</f>
        <v>#REF!</v>
      </c>
      <c r="AT8" s="40">
        <f>('FORM 4'!AD36+'FORM 4'!AD37+'FORM 4'!AD38)/'Evolutive SFP'!BV15</f>
        <v>0</v>
      </c>
      <c r="AU8" s="40">
        <f>('FORM 4'!AE36+'FORM 4'!AE37+'FORM 4'!AE38)/'Evolutive SFP'!BW15</f>
        <v>0</v>
      </c>
      <c r="AV8" s="40">
        <f>('FORM 4'!AF36+'FORM 4'!AF37+'FORM 4'!AF38)/'Evolutive SFP'!BX15</f>
        <v>0</v>
      </c>
      <c r="AW8" s="40">
        <f>('FORM 4'!AG36+'FORM 4'!AG37+'FORM 4'!AG38)/'Evolutive SFP'!BY15</f>
        <v>0</v>
      </c>
      <c r="AX8" s="40">
        <f>('FORM 4'!AH36+'FORM 4'!AH37+'FORM 4'!AH38)/'Evolutive SFP'!BZ15</f>
        <v>0</v>
      </c>
      <c r="AY8" s="40">
        <f>('FORM 4'!AI36+'FORM 4'!AI37+'FORM 4'!AI38)/'Evolutive SFP'!CA15</f>
        <v>0</v>
      </c>
      <c r="AZ8" s="40">
        <f>('FORM 4'!AJ36+'FORM 4'!AJ37+'FORM 4'!AJ38)/'Evolutive SFP'!CB15</f>
        <v>0</v>
      </c>
      <c r="BA8" s="40" t="e">
        <f>('FORM 4'!AK36+'FORM 4'!AK37+'FORM 4'!AK38)/'Evolutive SFP'!#REF!</f>
        <v>#REF!</v>
      </c>
      <c r="BB8" s="40">
        <f>('FORM 4'!AL36+'FORM 4'!AL37+'FORM 4'!AL38)/'Evolutive SFP'!CC15</f>
        <v>0</v>
      </c>
      <c r="BC8" s="40">
        <f>('FORM 4'!AM36+'FORM 4'!AM37+'FORM 4'!AM38)/'Evolutive SFP'!CD15</f>
        <v>0</v>
      </c>
      <c r="BD8" s="40">
        <f>('FORM 4'!AN36+'FORM 4'!AN37+'FORM 4'!AN38)/'Evolutive SFP'!CE15</f>
        <v>0</v>
      </c>
      <c r="BE8" s="40">
        <f>('FORM 4'!AO36+'FORM 4'!AO37+'FORM 4'!AO38)/'Evolutive SFP'!CF15</f>
        <v>0</v>
      </c>
      <c r="BF8" s="40">
        <f>('FORM 4'!AP36+'FORM 4'!AP37+'FORM 4'!AP38)/'Evolutive SFP'!CG15</f>
        <v>0</v>
      </c>
      <c r="BG8" s="40">
        <f>('FORM 4'!AQ36+'FORM 4'!AQ37+'FORM 4'!AQ38)/'Evolutive SFP'!CH15</f>
        <v>0</v>
      </c>
      <c r="BH8" s="40">
        <f>('FORM 4'!AR36+'FORM 4'!AR37+'FORM 4'!AR38)/'Evolutive SFP'!CI15</f>
        <v>0</v>
      </c>
      <c r="BI8" s="40">
        <f>('FORM 4'!AS36+'FORM 4'!AS37+'FORM 4'!AS38)/'Evolutive SFP'!CJ15</f>
        <v>0</v>
      </c>
      <c r="BJ8" s="40">
        <f>('FORM 4'!AT36+'FORM 4'!AT37+'FORM 4'!AT38)/'Evolutive SFP'!CK15</f>
        <v>0</v>
      </c>
      <c r="BK8" s="40">
        <f>('FORM 4'!AU36+'FORM 4'!AU37+'FORM 4'!AU38)/'Evolutive SFP'!CL15</f>
        <v>0</v>
      </c>
      <c r="BL8" s="40">
        <f>('FORM 4'!AV36+'FORM 4'!AV37+'FORM 4'!AV38)/'Evolutive SFP'!CM15</f>
        <v>0</v>
      </c>
      <c r="BM8" s="40">
        <f>('FORM 4'!AW36+'FORM 4'!AW37+'FORM 4'!AW38)/'Evolutive SFP'!CN15</f>
        <v>0</v>
      </c>
      <c r="BN8" s="40">
        <f>('FORM 4'!AX36+'FORM 4'!AX37+'FORM 4'!AX38)/'Evolutive SFP'!CO15</f>
        <v>0</v>
      </c>
      <c r="BO8" s="40">
        <f>('FORM 4'!AY36+'FORM 4'!AY37+'FORM 4'!AY38)/'Evolutive SFP'!CP15</f>
        <v>0</v>
      </c>
      <c r="BP8" s="40">
        <f>('FORM 4'!AZ36+'FORM 4'!AZ37+'FORM 4'!AZ38)/'Evolutive SFP'!CQ15</f>
        <v>0</v>
      </c>
      <c r="BQ8" s="40">
        <f>('FORM 4'!BA36+'FORM 4'!BA37+'FORM 4'!BA38)/'Evolutive SFP'!CR15</f>
        <v>0</v>
      </c>
      <c r="BR8" s="40">
        <f>('FORM 4'!BB36+'FORM 4'!BB37+'FORM 4'!BB38)/'Evolutive SFP'!CS15</f>
        <v>0</v>
      </c>
      <c r="BS8" s="40">
        <f>('FORM 4'!BC36+'FORM 4'!BC37+'FORM 4'!BC38)/'Evolutive SFP'!CT15</f>
        <v>0</v>
      </c>
      <c r="BT8" s="40">
        <f>('FORM 4'!BD36+'FORM 4'!BD37+'FORM 4'!BD38)/'Evolutive SFP'!CU15</f>
        <v>0</v>
      </c>
      <c r="BU8" s="40">
        <f>('FORM 4'!BE36+'FORM 4'!BE37+'FORM 4'!BE38)/'Evolutive SFP'!CV15</f>
        <v>0</v>
      </c>
      <c r="BV8" s="40">
        <f>('FORM 4'!BF36+'FORM 4'!BF37+'FORM 4'!BF38)/'Evolutive SFP'!CW15</f>
        <v>0</v>
      </c>
      <c r="BW8" s="40">
        <f>('FORM 4'!BG36+'FORM 4'!BG37+'FORM 4'!BG38)/'Evolutive SFP'!CX15</f>
        <v>0</v>
      </c>
      <c r="BX8" s="40">
        <f>('FORM 4'!BH36+'FORM 4'!BH37+'FORM 4'!BH38)/'Evolutive SFP'!CY15</f>
        <v>0</v>
      </c>
      <c r="BY8" s="40">
        <f>('FORM 4'!BI36+'FORM 4'!BI37+'FORM 4'!BI38)/'Evolutive SFP'!CZ15</f>
        <v>0</v>
      </c>
      <c r="BZ8" s="40">
        <f>('FORM 4'!BJ36+'FORM 4'!BJ37+'FORM 4'!BJ38)/'Evolutive SFP'!DA15</f>
        <v>0</v>
      </c>
      <c r="CA8" s="40">
        <f>('FORM 4'!BK36+'FORM 4'!BK37+'FORM 4'!BK38)/'Evolutive SFP'!DB15</f>
        <v>0</v>
      </c>
      <c r="CB8" s="40">
        <f>('FORM 4'!BL36+'FORM 4'!BL37+'FORM 4'!BL38)/'Evolutive SFP'!DC15</f>
        <v>0</v>
      </c>
      <c r="CC8" s="40">
        <f>('FORM 4'!BM36+'FORM 4'!BM37+'FORM 4'!BM38)/'Evolutive SFP'!DD15</f>
        <v>0</v>
      </c>
      <c r="CD8" s="40">
        <f>('FORM 4'!BN36+'FORM 4'!BN37+'FORM 4'!BN38)/'Evolutive SFP'!DE15</f>
        <v>0</v>
      </c>
    </row>
    <row r="9" spans="1:82" ht="15.75">
      <c r="A9" s="441" t="s">
        <v>209</v>
      </c>
      <c r="B9" s="3" t="s">
        <v>210</v>
      </c>
      <c r="C9" s="11"/>
      <c r="D9" s="11"/>
      <c r="E9" s="5" t="e">
        <f>'Evolutitve SCI'!#REF!/(('Evolutive SFP'!#REF!+'Evolutive SFP'!#REF!)/2)</f>
        <v>#REF!</v>
      </c>
      <c r="F9" s="5"/>
      <c r="G9" s="11"/>
      <c r="H9" s="5" t="e">
        <f>'Evolutitve SCI'!#REF!/(('Evolutive SFP'!#REF!+'Evolutive SFP'!#REF!)/2)</f>
        <v>#REF!</v>
      </c>
      <c r="I9" s="5" t="e">
        <f>'Evolutitve SCI'!#REF!/(('Evolutive SFP'!#REF!+'Evolutive SFP'!#REF!)/2)</f>
        <v>#REF!</v>
      </c>
      <c r="J9" s="5" t="e">
        <f>'Evolutitve SCI'!#REF!/(('Evolutive SFP'!#REF!+'Evolutive SFP'!#REF!)/2)</f>
        <v>#REF!</v>
      </c>
      <c r="K9" s="5" t="e">
        <f>'Evolutitve SCI'!#REF!/(('Evolutive SFP'!#REF!+'Evolutive SFP'!#REF!)/2)</f>
        <v>#REF!</v>
      </c>
      <c r="L9" s="5" t="e">
        <f>'Evolutitve SCI'!#REF!/(('Evolutive SFP'!#REF!+'Evolutive SFP'!#REF!)/2)</f>
        <v>#REF!</v>
      </c>
      <c r="M9" s="5" t="e">
        <f>'Evolutitve SCI'!#REF!/(('Evolutive SFP'!#REF!+'Evolutive SFP'!#REF!)/2)</f>
        <v>#REF!</v>
      </c>
      <c r="N9" s="5" t="e">
        <f>'Evolutitve SCI'!#REF!/(('Evolutive SFP'!#REF!+'Evolutive SFP'!#REF!)/2)</f>
        <v>#REF!</v>
      </c>
      <c r="O9" s="5" t="e">
        <f>'Evolutitve SCI'!#REF!/(('Evolutive SFP'!#REF!+'Evolutive SFP'!#REF!)/2)</f>
        <v>#REF!</v>
      </c>
      <c r="P9" s="5" t="e">
        <f>'Evolutitve SCI'!#REF!/(('Evolutive SFP'!#REF!+'Evolutive SFP'!#REF!)/2)</f>
        <v>#REF!</v>
      </c>
      <c r="Q9" s="5" t="e">
        <f>'Evolutitve SCI'!#REF!/(('Evolutive SFP'!#REF!+'Evolutive SFP'!#REF!)/2)</f>
        <v>#REF!</v>
      </c>
      <c r="R9" s="5" t="e">
        <f>'Evolutitve SCI'!#REF!/(('Evolutive SFP'!#REF!+'Evolutive SFP'!#REF!)/2)</f>
        <v>#REF!</v>
      </c>
      <c r="S9" s="41" t="e">
        <f>'Evolutitve SCI'!#REF!/(('Evolutive SFP'!#REF!+'Evolutive SFP'!#REF!)/2)</f>
        <v>#REF!</v>
      </c>
      <c r="T9" s="41" t="e">
        <f>'Evolutitve SCI'!#REF!/(('Evolutive SFP'!#REF!+'Evolutive SFP'!#REF!)/2)</f>
        <v>#REF!</v>
      </c>
      <c r="U9" s="41" t="e">
        <f>'Evolutitve SCI'!#REF!/(('Evolutive SFP'!#REF!+'Evolutive SFP'!#REF!)/2)</f>
        <v>#REF!</v>
      </c>
      <c r="V9" s="41" t="e">
        <f>'Evolutitve SCI'!#REF!/(('Evolutive SFP'!#REF!+'Evolutive SFP'!#REF!)/2)</f>
        <v>#REF!</v>
      </c>
      <c r="W9" s="41" t="e">
        <f>'Evolutitve SCI'!#REF!/(('Evolutive SFP'!#REF!+'Evolutive SFP'!#REF!)/2)</f>
        <v>#REF!</v>
      </c>
      <c r="X9" s="41" t="e">
        <f>'Evolutitve SCI'!#REF!/(('Evolutive SFP'!#REF!+'Evolutive SFP'!#REF!)/2)</f>
        <v>#REF!</v>
      </c>
      <c r="Y9" s="41" t="e">
        <f>'Evolutitve SCI'!#REF!/(('Evolutive SFP'!#REF!+'Evolutive SFP'!#REF!)/2)</f>
        <v>#REF!</v>
      </c>
      <c r="Z9" s="41" t="e">
        <f>'Evolutitve SCI'!#REF!/(('Evolutive SFP'!#REF!+'Evolutive SFP'!#REF!)/2)</f>
        <v>#REF!</v>
      </c>
      <c r="AA9" s="41" t="e">
        <f>'Evolutitve SCI'!#REF!/(('Evolutive SFP'!#REF!+'Evolutive SFP'!#REF!)/2)</f>
        <v>#REF!</v>
      </c>
      <c r="AB9" s="41" t="e">
        <f>'Evolutitve SCI'!#REF!/(('Evolutive SFP'!#REF!+'Evolutive SFP'!#REF!)/2)</f>
        <v>#REF!</v>
      </c>
      <c r="AC9" s="41" t="e">
        <f>'Evolutitve SCI'!#REF!/(('Evolutive SFP'!#REF!+'Evolutive SFP'!#REF!)/2)</f>
        <v>#REF!</v>
      </c>
      <c r="AD9" s="41" t="e">
        <f>'Evolutitve SCI'!#REF!/(('Evolutive SFP'!#REF!+'Evolutive SFP'!#REF!)/2)</f>
        <v>#REF!</v>
      </c>
      <c r="AE9" s="41" t="e">
        <f>'Evolutitve SCI'!#REF!/(('Evolutive SFP'!#REF!+'Evolutive SFP'!#REF!)/2)</f>
        <v>#REF!</v>
      </c>
      <c r="AF9" s="41" t="e">
        <f>'Evolutitve SCI'!#REF!/(('Evolutive SFP'!#REF!+'Evolutive SFP'!#REF!)/2)</f>
        <v>#REF!</v>
      </c>
      <c r="AG9" s="41" t="e">
        <f>'Evolutitve SCI'!#REF!/(('Evolutive SFP'!#REF!+'Evolutive SFP'!#REF!)/2)</f>
        <v>#REF!</v>
      </c>
      <c r="AH9" s="41" t="e">
        <f>'Evolutitve SCI'!#REF!/(('Evolutive SFP'!#REF!+'Evolutive SFP'!#REF!)/2)</f>
        <v>#REF!</v>
      </c>
      <c r="AI9" s="41" t="e">
        <f>'Evolutitve SCI'!#REF!/(('Evolutive SFP'!#REF!+'Evolutive SFP'!#REF!)/2)</f>
        <v>#REF!</v>
      </c>
      <c r="AJ9" s="41" t="e">
        <f>'Evolutitve SCI'!#REF!/(('Evolutive SFP'!#REF!+'Evolutive SFP'!#REF!)/2)</f>
        <v>#REF!</v>
      </c>
      <c r="AK9" s="41" t="e">
        <f>'Evolutitve SCI'!#REF!/(('Evolutive SFP'!#REF!+'Evolutive SFP'!#REF!)/2)</f>
        <v>#REF!</v>
      </c>
      <c r="AL9" s="41" t="e">
        <f>'Evolutitve SCI'!#REF!/(('Evolutive SFP'!#REF!+'Evolutive SFP'!#REF!)/2)</f>
        <v>#REF!</v>
      </c>
      <c r="AM9" s="41" t="e">
        <f>'Evolutitve SCI'!#REF!/(('Evolutive SFP'!#REF!+'Evolutive SFP'!#REF!)/2)</f>
        <v>#REF!</v>
      </c>
      <c r="AN9" s="41" t="e">
        <f>'Evolutitve SCI'!#REF!/(('Evolutive SFP'!#REF!+'Evolutive SFP'!#REF!)/2)</f>
        <v>#REF!</v>
      </c>
      <c r="AO9" s="41" t="e">
        <f>'Evolutitve SCI'!#REF!/(('Evolutive SFP'!#REF!+'Evolutive SFP'!#REF!)/2)</f>
        <v>#REF!</v>
      </c>
      <c r="AP9" s="41" t="e">
        <f>'Evolutitve SCI'!#REF!/(('Evolutive SFP'!#REF!+'Evolutive SFP'!#REF!)/2)</f>
        <v>#REF!</v>
      </c>
      <c r="AQ9" s="41" t="e">
        <f>'Evolutitve SCI'!#REF!/(('Evolutive SFP'!#REF!+'Evolutive SFP'!#REF!)/2)</f>
        <v>#REF!</v>
      </c>
      <c r="AR9" s="41" t="e">
        <f>'Evolutitve SCI'!#REF!/(('Evolutive SFP'!#REF!+'Evolutive SFP'!#REF!)/2)</f>
        <v>#REF!</v>
      </c>
      <c r="AS9" s="41" t="e">
        <f>'Evolutitve SCI'!#REF!/(('Evolutive SFP'!#REF!+'Evolutive SFP'!#REF!)/2)</f>
        <v>#REF!</v>
      </c>
      <c r="AT9" s="41" t="e">
        <f>'Evolutitve SCI'!BV33/(('Evolutive SFP'!#REF!+'Evolutive SFP'!BV27)/2)</f>
        <v>#REF!</v>
      </c>
      <c r="AU9" s="41">
        <f>'Evolutitve SCI'!BW33/(('Evolutive SFP'!BV27+'Evolutive SFP'!BW27)/2)</f>
        <v>-3.9400293158021633E-3</v>
      </c>
      <c r="AV9" s="41">
        <f>'Evolutitve SCI'!BX33/(('Evolutive SFP'!BW27+'Evolutive SFP'!BX27)/2)</f>
        <v>-1.9360768839411222E-2</v>
      </c>
      <c r="AW9" s="41">
        <f>'Evolutitve SCI'!BY33/(('Evolutive SFP'!BX27+'Evolutive SFP'!BY27)/2)</f>
        <v>-2.3995155406097556E-2</v>
      </c>
      <c r="AX9" s="41">
        <f>'Evolutitve SCI'!BZ33/(('Evolutive SFP'!BY27+'Evolutive SFP'!BZ27)/2)</f>
        <v>-5.4055662665631844E-3</v>
      </c>
      <c r="AY9" s="41">
        <f>'Evolutitve SCI'!CA33/(('Evolutive SFP'!BZ27+'Evolutive SFP'!CA27)/2)</f>
        <v>-8.2655447299411385E-3</v>
      </c>
      <c r="AZ9" s="41">
        <f>'Evolutitve SCI'!CB33/(('Evolutive SFP'!CA27+'Evolutive SFP'!CB27)/2)</f>
        <v>2.76180009134251E-2</v>
      </c>
      <c r="BA9" s="41" t="e">
        <f>'Evolutitve SCI'!#REF!/(('Evolutive SFP'!CB27+'Evolutive SFP'!#REF!)/2)</f>
        <v>#REF!</v>
      </c>
      <c r="BB9" s="41" t="e">
        <f>'Evolutitve SCI'!CC33/(('Evolutive SFP'!#REF!+'Evolutive SFP'!CC27)/2)</f>
        <v>#REF!</v>
      </c>
      <c r="BC9" s="41">
        <f>'Evolutitve SCI'!CD33/(('Evolutive SFP'!CC27+'Evolutive SFP'!CD27)/2)</f>
        <v>3.1874122662200223E-2</v>
      </c>
      <c r="BD9" s="41">
        <f>'Evolutitve SCI'!CE33/(('Evolutive SFP'!CD27+'Evolutive SFP'!CE27)/2)</f>
        <v>3.3617767026127281E-2</v>
      </c>
      <c r="BE9" s="41">
        <f>'Evolutitve SCI'!CF33/(('Evolutive SFP'!CE27+'Evolutive SFP'!CF27)/2)</f>
        <v>3.1632673182048071E-2</v>
      </c>
      <c r="BF9" s="41">
        <f>'Evolutitve SCI'!CG33/(('Evolutive SFP'!CF27+'Evolutive SFP'!CG27)/2)</f>
        <v>1.7051678463323873E-2</v>
      </c>
      <c r="BG9" s="41">
        <f>'Evolutitve SCI'!CH33/(('Evolutive SFP'!CG27+'Evolutive SFP'!CH27)/2)</f>
        <v>1.749691326012907E-2</v>
      </c>
      <c r="BH9" s="41">
        <f>'Evolutitve SCI'!CI33/(('Evolutive SFP'!CH27+'Evolutive SFP'!CI27)/2)</f>
        <v>-5.688355068094687E-3</v>
      </c>
      <c r="BI9" s="41">
        <f>'Evolutitve SCI'!CJ33/(('Evolutive SFP'!CI27+'Evolutive SFP'!CJ27)/2)</f>
        <v>-1.4400372080037908E-2</v>
      </c>
      <c r="BJ9" s="41">
        <f>'Evolutitve SCI'!CK33/(('Evolutive SFP'!CJ27+'Evolutive SFP'!CK27)/2)</f>
        <v>-1.7879234153900785E-2</v>
      </c>
      <c r="BK9" s="41">
        <f>'Evolutitve SCI'!CL33/(('Evolutive SFP'!CK27+'Evolutive SFP'!CL27)/2)</f>
        <v>-3.2727802867088848E-3</v>
      </c>
      <c r="BL9" s="41">
        <f>'Evolutitve SCI'!CM33/(('Evolutive SFP'!CL27+'Evolutive SFP'!CM27)/2)</f>
        <v>-1.264072146681265E-2</v>
      </c>
      <c r="BM9" s="41">
        <f>'Evolutitve SCI'!CN33/(('Evolutive SFP'!CM27+'Evolutive SFP'!CN27)/2)</f>
        <v>-2.3447114217045775E-2</v>
      </c>
      <c r="BN9" s="41">
        <f>'Evolutitve SCI'!CO33/(('Evolutive SFP'!CN27+'Evolutive SFP'!CO27)/2)</f>
        <v>-2.980625321575443E-2</v>
      </c>
      <c r="BO9" s="41">
        <f>'Evolutitve SCI'!CP33/(('Evolutive SFP'!CO27+'Evolutive SFP'!CP27)/2)</f>
        <v>-4.7547681699600386E-2</v>
      </c>
      <c r="BP9" s="41">
        <f>'Evolutitve SCI'!CQ33/(('Evolutive SFP'!CP27+'Evolutive SFP'!CQ27)/2)</f>
        <v>-5.3313750022114838E-2</v>
      </c>
      <c r="BQ9" s="41">
        <f>'Evolutitve SCI'!CR33/(('Evolutive SFP'!CQ27+'Evolutive SFP'!CR27)/2)</f>
        <v>1.6206175921987382E-2</v>
      </c>
      <c r="BR9" s="41">
        <f>'Evolutitve SCI'!CS33/(('Evolutive SFP'!CR27+'Evolutive SFP'!CS27)/2)</f>
        <v>2.5045123836794764E-2</v>
      </c>
      <c r="BS9" s="41">
        <f>'Evolutitve SCI'!CT33/(('Evolutive SFP'!CS27+'Evolutive SFP'!CT27)/2)</f>
        <v>3.9125377860004314E-2</v>
      </c>
      <c r="BT9" s="41">
        <f>'Evolutitve SCI'!CU33/(('Evolutive SFP'!CT27+'Evolutive SFP'!CU27)/2)</f>
        <v>3.9352034725558406E-2</v>
      </c>
      <c r="BU9" s="41">
        <f>'Evolutitve SCI'!CV33/(('Evolutive SFP'!CU27+'Evolutive SFP'!CV27)/2)</f>
        <v>2.3252963413543531E-2</v>
      </c>
      <c r="BV9" s="41">
        <f>'Evolutitve SCI'!CW33/(('Evolutive SFP'!CV27+'Evolutive SFP'!CW27)/2)</f>
        <v>-2.197985858589142E-3</v>
      </c>
      <c r="BW9" s="41">
        <f>'Evolutitve SCI'!CX33/(('Evolutive SFP'!CW27+'Evolutive SFP'!CX27)/2)</f>
        <v>-7.010957413573108E-3</v>
      </c>
      <c r="BX9" s="41">
        <f>'Evolutitve SCI'!CY33/(('Evolutive SFP'!CX27+'Evolutive SFP'!CY27)/2)</f>
        <v>-7.9529116961569793E-3</v>
      </c>
      <c r="BY9" s="41">
        <f>'Evolutitve SCI'!CZ33/(('Evolutive SFP'!CY27+'Evolutive SFP'!CZ27)/2)</f>
        <v>-1.1983254473279786E-2</v>
      </c>
      <c r="BZ9" s="41">
        <f>'Evolutitve SCI'!DA33/(('Evolutive SFP'!CZ27+'Evolutive SFP'!DA27)/2)</f>
        <v>-2.0933934785308004E-2</v>
      </c>
      <c r="CA9" s="41">
        <f>'Evolutitve SCI'!DB33/(('Evolutive SFP'!DA27+'Evolutive SFP'!DB27)/2)</f>
        <v>-4.0947381335192448E-3</v>
      </c>
      <c r="CB9" s="41">
        <f>'Evolutitve SCI'!DC33/(('Evolutive SFP'!DB27+'Evolutive SFP'!DC27)/2)</f>
        <v>5.1552658944924085E-2</v>
      </c>
      <c r="CC9" s="41">
        <f>'Evolutitve SCI'!DD33/(('Evolutive SFP'!DC27+'Evolutive SFP'!DD27)/2)</f>
        <v>4.6157420815072805E-2</v>
      </c>
      <c r="CD9" s="41">
        <f>'Evolutitve SCI'!DE33/(('Evolutive SFP'!DD27+'Evolutive SFP'!DE27)/2)</f>
        <v>3.7276433348968192E-2</v>
      </c>
    </row>
    <row r="10" spans="1:82" ht="15.75">
      <c r="A10" s="441"/>
      <c r="B10" s="3" t="s">
        <v>211</v>
      </c>
      <c r="C10" s="11"/>
      <c r="D10" s="34" t="e">
        <f>'Evolutitve SCI'!#REF!/'Evolutitve SCI'!#REF!</f>
        <v>#REF!</v>
      </c>
      <c r="E10" s="34" t="e">
        <f>'Evolutitve SCI'!#REF!/'Evolutitve SCI'!#REF!</f>
        <v>#REF!</v>
      </c>
      <c r="F10" s="34" t="e">
        <f>'Evolutitve SCI'!#REF!/'Evolutitve SCI'!#REF!</f>
        <v>#REF!</v>
      </c>
      <c r="G10" s="34" t="e">
        <f>'Evolutitve SCI'!#REF!/'Evolutitve SCI'!#REF!</f>
        <v>#REF!</v>
      </c>
      <c r="H10" s="34" t="e">
        <f>'Evolutitve SCI'!#REF!/'Evolutitve SCI'!#REF!</f>
        <v>#REF!</v>
      </c>
      <c r="I10" s="34" t="e">
        <f>'Evolutitve SCI'!#REF!/'Evolutitve SCI'!#REF!</f>
        <v>#REF!</v>
      </c>
      <c r="J10" s="34" t="e">
        <f>'Evolutitve SCI'!#REF!/'Evolutitve SCI'!#REF!</f>
        <v>#REF!</v>
      </c>
      <c r="K10" s="34" t="e">
        <f>'Evolutitve SCI'!#REF!/'Evolutitve SCI'!#REF!</f>
        <v>#REF!</v>
      </c>
      <c r="L10" s="34" t="e">
        <f>'Evolutitve SCI'!#REF!/'Evolutitve SCI'!#REF!</f>
        <v>#REF!</v>
      </c>
      <c r="M10" s="34" t="e">
        <f>'Evolutitve SCI'!#REF!/'Evolutitve SCI'!#REF!</f>
        <v>#REF!</v>
      </c>
      <c r="N10" s="34" t="e">
        <f>'Evolutitve SCI'!#REF!/'Evolutitve SCI'!#REF!</f>
        <v>#REF!</v>
      </c>
      <c r="O10" s="34" t="e">
        <f>'Evolutitve SCI'!#REF!/'Evolutitve SCI'!#REF!</f>
        <v>#REF!</v>
      </c>
      <c r="P10" s="34" t="e">
        <f>'Evolutitve SCI'!#REF!/'Evolutitve SCI'!#REF!</f>
        <v>#REF!</v>
      </c>
      <c r="Q10" s="34" t="e">
        <f>'Evolutitve SCI'!#REF!/'Evolutitve SCI'!#REF!</f>
        <v>#REF!</v>
      </c>
      <c r="R10" s="34" t="e">
        <f>'Evolutitve SCI'!#REF!/'Evolutitve SCI'!#REF!</f>
        <v>#REF!</v>
      </c>
      <c r="S10" s="38" t="e">
        <f>'Evolutitve SCI'!#REF!/'Evolutitve SCI'!#REF!</f>
        <v>#REF!</v>
      </c>
      <c r="T10" s="38" t="e">
        <f>'Evolutitve SCI'!#REF!/'Evolutitve SCI'!#REF!</f>
        <v>#REF!</v>
      </c>
      <c r="U10" s="38" t="e">
        <f>'Evolutitve SCI'!#REF!/'Evolutitve SCI'!#REF!</f>
        <v>#REF!</v>
      </c>
      <c r="V10" s="38" t="e">
        <f>'Evolutitve SCI'!#REF!/'Evolutitve SCI'!#REF!</f>
        <v>#REF!</v>
      </c>
      <c r="W10" s="38" t="e">
        <f>'Evolutitve SCI'!#REF!/'Evolutitve SCI'!#REF!</f>
        <v>#REF!</v>
      </c>
      <c r="X10" s="38" t="e">
        <f>'Evolutitve SCI'!#REF!/'Evolutitve SCI'!#REF!</f>
        <v>#REF!</v>
      </c>
      <c r="Y10" s="38" t="e">
        <f>'Evolutitve SCI'!#REF!/'Evolutitve SCI'!#REF!</f>
        <v>#REF!</v>
      </c>
      <c r="Z10" s="38" t="e">
        <f>'Evolutitve SCI'!#REF!/'Evolutitve SCI'!#REF!</f>
        <v>#REF!</v>
      </c>
      <c r="AA10" s="38" t="e">
        <f>'Evolutitve SCI'!#REF!/'Evolutitve SCI'!#REF!</f>
        <v>#REF!</v>
      </c>
      <c r="AB10" s="38" t="e">
        <f>'Evolutitve SCI'!#REF!/'Evolutitve SCI'!#REF!</f>
        <v>#REF!</v>
      </c>
      <c r="AC10" s="38" t="e">
        <f>'Evolutitve SCI'!#REF!/'Evolutitve SCI'!#REF!</f>
        <v>#REF!</v>
      </c>
      <c r="AD10" s="38" t="e">
        <f>'Evolutitve SCI'!#REF!/'Evolutitve SCI'!#REF!</f>
        <v>#REF!</v>
      </c>
      <c r="AE10" s="38" t="e">
        <f>'Evolutitve SCI'!#REF!/'Evolutitve SCI'!#REF!</f>
        <v>#REF!</v>
      </c>
      <c r="AF10" s="38" t="e">
        <f>'Evolutitve SCI'!#REF!/'Evolutitve SCI'!#REF!</f>
        <v>#REF!</v>
      </c>
      <c r="AG10" s="38" t="e">
        <f>'Evolutitve SCI'!#REF!/'Evolutitve SCI'!#REF!</f>
        <v>#REF!</v>
      </c>
      <c r="AH10" s="38" t="e">
        <f>'Evolutitve SCI'!#REF!/'Evolutitve SCI'!#REF!</f>
        <v>#REF!</v>
      </c>
      <c r="AI10" s="38" t="e">
        <f>'Evolutitve SCI'!#REF!/'Evolutitve SCI'!#REF!</f>
        <v>#REF!</v>
      </c>
      <c r="AJ10" s="38" t="e">
        <f>'Evolutitve SCI'!#REF!/'Evolutitve SCI'!#REF!</f>
        <v>#REF!</v>
      </c>
      <c r="AK10" s="38" t="e">
        <f>'Evolutitve SCI'!#REF!/'Evolutitve SCI'!#REF!</f>
        <v>#REF!</v>
      </c>
      <c r="AL10" s="38" t="e">
        <f>'Evolutitve SCI'!#REF!/'Evolutitve SCI'!#REF!</f>
        <v>#REF!</v>
      </c>
      <c r="AM10" s="38" t="e">
        <f>'Evolutitve SCI'!#REF!/'Evolutitve SCI'!#REF!</f>
        <v>#REF!</v>
      </c>
      <c r="AN10" s="38" t="e">
        <f>'Evolutitve SCI'!#REF!/'Evolutitve SCI'!#REF!</f>
        <v>#REF!</v>
      </c>
      <c r="AO10" s="38" t="e">
        <f>'Evolutitve SCI'!#REF!/'Evolutitve SCI'!#REF!</f>
        <v>#REF!</v>
      </c>
      <c r="AP10" s="38" t="e">
        <f>'Evolutitve SCI'!#REF!/'Evolutitve SCI'!#REF!</f>
        <v>#REF!</v>
      </c>
      <c r="AQ10" s="38" t="e">
        <f>'Evolutitve SCI'!#REF!/'Evolutitve SCI'!#REF!</f>
        <v>#REF!</v>
      </c>
      <c r="AR10" s="38" t="e">
        <f>'Evolutitve SCI'!#REF!/'Evolutitve SCI'!#REF!</f>
        <v>#REF!</v>
      </c>
      <c r="AS10" s="38" t="e">
        <f>'Evolutitve SCI'!#REF!/'Evolutitve SCI'!#REF!</f>
        <v>#REF!</v>
      </c>
      <c r="AT10" s="38">
        <f>'Evolutitve SCI'!BV23/'Evolutitve SCI'!BV19</f>
        <v>0.73417194599885505</v>
      </c>
      <c r="AU10" s="38">
        <f>'Evolutitve SCI'!BW23/'Evolutitve SCI'!BW19</f>
        <v>1.6712661913636127</v>
      </c>
      <c r="AV10" s="38">
        <f>'Evolutitve SCI'!BX23/'Evolutitve SCI'!BX19</f>
        <v>1.3884305267336619</v>
      </c>
      <c r="AW10" s="38">
        <f>'Evolutitve SCI'!BY23/'Evolutitve SCI'!BY19</f>
        <v>1.299257343312143</v>
      </c>
      <c r="AX10" s="38">
        <f>'Evolutitve SCI'!BZ23/'Evolutitve SCI'!BZ19</f>
        <v>0.58262594907556686</v>
      </c>
      <c r="AY10" s="38">
        <f>'Evolutitve SCI'!CA23/'Evolutitve SCI'!CA19</f>
        <v>0.63585086988645778</v>
      </c>
      <c r="AZ10" s="38">
        <f>'Evolutitve SCI'!CB23/'Evolutitve SCI'!CB19</f>
        <v>0.49773170758541524</v>
      </c>
      <c r="BA10" s="38" t="e">
        <f>'Evolutitve SCI'!#REF!/'Evolutitve SCI'!#REF!</f>
        <v>#REF!</v>
      </c>
      <c r="BB10" s="38">
        <f>'Evolutitve SCI'!CC23/'Evolutitve SCI'!CC19</f>
        <v>0.53972705511888519</v>
      </c>
      <c r="BC10" s="38">
        <f>'Evolutitve SCI'!CD23/'Evolutitve SCI'!CD19</f>
        <v>0.53314069538629971</v>
      </c>
      <c r="BD10" s="38">
        <f>'Evolutitve SCI'!CE23/'Evolutitve SCI'!CE19</f>
        <v>0.54778337771790486</v>
      </c>
      <c r="BE10" s="38">
        <f>'Evolutitve SCI'!CF23/'Evolutitve SCI'!CF19</f>
        <v>0.59670583198279792</v>
      </c>
      <c r="BF10" s="38">
        <f>'Evolutitve SCI'!CG23/'Evolutitve SCI'!CG19</f>
        <v>0.70930468851867656</v>
      </c>
      <c r="BG10" s="38">
        <f>'Evolutitve SCI'!CH23/'Evolutitve SCI'!CH19</f>
        <v>0.70837485531588185</v>
      </c>
      <c r="BH10" s="38">
        <f>'Evolutitve SCI'!CI23/'Evolutitve SCI'!CI19</f>
        <v>1.164249540044356</v>
      </c>
      <c r="BI10" s="38">
        <f>'Evolutitve SCI'!CJ23/'Evolutitve SCI'!CJ19</f>
        <v>1.0980275806815329</v>
      </c>
      <c r="BJ10" s="38">
        <f>'Evolutitve SCI'!CK23/'Evolutitve SCI'!CK19</f>
        <v>1.0766710014913576</v>
      </c>
      <c r="BK10" s="38">
        <f>'Evolutitve SCI'!CL23/'Evolutitve SCI'!CL19</f>
        <v>0.65105897200515095</v>
      </c>
      <c r="BL10" s="38">
        <f>'Evolutitve SCI'!CM23/'Evolutitve SCI'!CM19</f>
        <v>0.70664339160768996</v>
      </c>
      <c r="BM10" s="38">
        <f>'Evolutitve SCI'!CN23/'Evolutitve SCI'!CN19</f>
        <v>0.77156132992635174</v>
      </c>
      <c r="BN10" s="38">
        <f>'Evolutitve SCI'!CO23/'Evolutitve SCI'!CO19</f>
        <v>0.76548111470144808</v>
      </c>
      <c r="BO10" s="38">
        <f>'Evolutitve SCI'!CP23/'Evolutitve SCI'!CP19</f>
        <v>0.79061310132624862</v>
      </c>
      <c r="BP10" s="38">
        <f>'Evolutitve SCI'!CQ23/'Evolutitve SCI'!CQ19</f>
        <v>0.84531489447118469</v>
      </c>
      <c r="BQ10" s="38">
        <f>'Evolutitve SCI'!CR23/'Evolutitve SCI'!CR19</f>
        <v>0.53175726959580527</v>
      </c>
      <c r="BR10" s="38">
        <f>'Evolutitve SCI'!CS23/'Evolutitve SCI'!CS19</f>
        <v>0.56520826233652255</v>
      </c>
      <c r="BS10" s="38">
        <f>'Evolutitve SCI'!CT23/'Evolutitve SCI'!CT19</f>
        <v>0.67436917531919871</v>
      </c>
      <c r="BT10" s="38">
        <f>'Evolutitve SCI'!CU23/'Evolutitve SCI'!CU19</f>
        <v>0.63367642770091615</v>
      </c>
      <c r="BU10" s="38">
        <f>'Evolutitve SCI'!CV23/'Evolutitve SCI'!CV19</f>
        <v>0.77253940030313795</v>
      </c>
      <c r="BV10" s="38">
        <f>'Evolutitve SCI'!CW23/'Evolutitve SCI'!CW19</f>
        <v>0.9209995353932845</v>
      </c>
      <c r="BW10" s="38">
        <f>'Evolutitve SCI'!CX23/'Evolutitve SCI'!CX19</f>
        <v>1.0098542281648233</v>
      </c>
      <c r="BX10" s="38">
        <f>'Evolutitve SCI'!CY23/'Evolutitve SCI'!CY19</f>
        <v>0.96434988473205974</v>
      </c>
      <c r="BY10" s="38">
        <f>'Evolutitve SCI'!CZ23/'Evolutitve SCI'!CZ19</f>
        <v>0.94434978836370354</v>
      </c>
      <c r="BZ10" s="38">
        <f>'Evolutitve SCI'!DA23/'Evolutitve SCI'!DA19</f>
        <v>0.90285056358804738</v>
      </c>
      <c r="CA10" s="38">
        <f>'Evolutitve SCI'!DB23/'Evolutitve SCI'!DB19</f>
        <v>0.66202066032703288</v>
      </c>
      <c r="CB10" s="38">
        <f>'Evolutitve SCI'!DC23/'Evolutitve SCI'!DC19</f>
        <v>0.46980918663136706</v>
      </c>
      <c r="CC10" s="38">
        <f>'Evolutitve SCI'!DD23/'Evolutitve SCI'!DD19</f>
        <v>0.48979023662764382</v>
      </c>
      <c r="CD10" s="38">
        <f>'Evolutitve SCI'!DE23/'Evolutitve SCI'!DE19</f>
        <v>0.57219899284203435</v>
      </c>
    </row>
    <row r="11" spans="1:82" ht="18.75" customHeight="1">
      <c r="A11" s="441"/>
      <c r="B11" s="3" t="s">
        <v>212</v>
      </c>
      <c r="C11" s="11"/>
      <c r="D11" s="34" t="e">
        <f>('Evolutitve SCI'!#REF!+'Evolutitve SCI'!#REF!)/(('Evolutive SFP'!#REF!+'Evolutive SFP'!#REF!)/2)</f>
        <v>#REF!</v>
      </c>
      <c r="E11" s="34" t="e">
        <f>('Evolutitve SCI'!#REF!+'Evolutitve SCI'!#REF!)/(('Evolutive SFP'!#REF!+'Evolutive SFP'!#REF!)/2)</f>
        <v>#REF!</v>
      </c>
      <c r="F11" s="34" t="e">
        <f>('Evolutitve SCI'!#REF!+'Evolutitve SCI'!#REF!)/(('Evolutive SFP'!#REF!+'Evolutive SFP'!#REF!)/2)</f>
        <v>#REF!</v>
      </c>
      <c r="G11" s="34" t="e">
        <f>('Evolutitve SCI'!#REF!+'Evolutitve SCI'!#REF!)/(('Evolutive SFP'!#REF!+'Evolutive SFP'!#REF!)/2)</f>
        <v>#REF!</v>
      </c>
      <c r="H11" s="34" t="e">
        <f>('Evolutitve SCI'!#REF!+'Evolutitve SCI'!#REF!)/(('Evolutive SFP'!#REF!+'Evolutive SFP'!#REF!)/2)</f>
        <v>#REF!</v>
      </c>
      <c r="I11" s="34" t="e">
        <f>('Evolutitve SCI'!#REF!+'Evolutitve SCI'!#REF!)/(('Evolutive SFP'!#REF!+'Evolutive SFP'!#REF!)/2)</f>
        <v>#REF!</v>
      </c>
      <c r="J11" s="34" t="e">
        <f>('Evolutitve SCI'!#REF!+'Evolutitve SCI'!#REF!)/(('Evolutive SFP'!#REF!+'Evolutive SFP'!#REF!)/2)</f>
        <v>#REF!</v>
      </c>
      <c r="K11" s="34" t="e">
        <f>('Evolutitve SCI'!#REF!+'Evolutitve SCI'!#REF!)/(('Evolutive SFP'!#REF!+'Evolutive SFP'!#REF!)/2)</f>
        <v>#REF!</v>
      </c>
      <c r="L11" s="34" t="e">
        <f>('Evolutitve SCI'!#REF!+'Evolutitve SCI'!#REF!)/(('Evolutive SFP'!#REF!+'Evolutive SFP'!#REF!)/2)</f>
        <v>#REF!</v>
      </c>
      <c r="M11" s="34" t="e">
        <f>('Evolutitve SCI'!#REF!+'Evolutitve SCI'!#REF!)/(('Evolutive SFP'!#REF!+'Evolutive SFP'!#REF!)/2)</f>
        <v>#REF!</v>
      </c>
      <c r="N11" s="34" t="e">
        <f>('Evolutitve SCI'!#REF!+'Evolutitve SCI'!#REF!)/(('Evolutive SFP'!#REF!+'Evolutive SFP'!#REF!)/2)</f>
        <v>#REF!</v>
      </c>
      <c r="O11" s="34" t="e">
        <f>('Evolutitve SCI'!#REF!+'Evolutitve SCI'!#REF!)/(('Evolutive SFP'!#REF!+'Evolutive SFP'!#REF!)/2)</f>
        <v>#REF!</v>
      </c>
      <c r="P11" s="34" t="e">
        <f>('Evolutitve SCI'!#REF!+'Evolutitve SCI'!#REF!)/(('Evolutive SFP'!#REF!+'Evolutive SFP'!#REF!)/2)</f>
        <v>#REF!</v>
      </c>
      <c r="Q11" s="34" t="e">
        <f>('Evolutitve SCI'!#REF!+'Evolutitve SCI'!#REF!)/(('Evolutive SFP'!#REF!+'Evolutive SFP'!#REF!)/2)</f>
        <v>#REF!</v>
      </c>
      <c r="R11" s="34" t="e">
        <f>('Evolutitve SCI'!#REF!+'Evolutitve SCI'!#REF!)/(('Evolutive SFP'!#REF!+'Evolutive SFP'!#REF!)/2)</f>
        <v>#REF!</v>
      </c>
      <c r="S11" s="34" t="e">
        <f>('Evolutitve SCI'!#REF!+'Evolutitve SCI'!#REF!)/(('Evolutive SFP'!#REF!+'Evolutive SFP'!#REF!)/2)</f>
        <v>#REF!</v>
      </c>
      <c r="T11" s="34" t="e">
        <f>('Evolutitve SCI'!#REF!+'Evolutitve SCI'!#REF!)/(('Evolutive SFP'!#REF!+'Evolutive SFP'!#REF!)/2)</f>
        <v>#REF!</v>
      </c>
      <c r="U11" s="34" t="e">
        <f>('Evolutitve SCI'!#REF!+'Evolutitve SCI'!#REF!)/(('Evolutive SFP'!#REF!+'Evolutive SFP'!#REF!)/2)</f>
        <v>#REF!</v>
      </c>
      <c r="V11" s="34" t="e">
        <f>('Evolutitve SCI'!#REF!+'Evolutitve SCI'!#REF!)/(('Evolutive SFP'!#REF!+'Evolutive SFP'!#REF!)/2)</f>
        <v>#REF!</v>
      </c>
      <c r="W11" s="34" t="e">
        <f>('Evolutitve SCI'!#REF!+'Evolutitve SCI'!#REF!)/(('Evolutive SFP'!#REF!+'Evolutive SFP'!#REF!)/2)</f>
        <v>#REF!</v>
      </c>
      <c r="X11" s="34" t="e">
        <f>('Evolutitve SCI'!#REF!+'Evolutitve SCI'!#REF!)/(('Evolutive SFP'!#REF!+'Evolutive SFP'!#REF!)/2)</f>
        <v>#REF!</v>
      </c>
      <c r="Y11" s="34" t="e">
        <f>('Evolutitve SCI'!#REF!+'Evolutitve SCI'!#REF!)/(('Evolutive SFP'!#REF!+'Evolutive SFP'!#REF!)/2)</f>
        <v>#REF!</v>
      </c>
      <c r="Z11" s="34" t="e">
        <f>('Evolutitve SCI'!#REF!+'Evolutitve SCI'!#REF!)/(('Evolutive SFP'!#REF!+'Evolutive SFP'!#REF!)/2)</f>
        <v>#REF!</v>
      </c>
      <c r="AA11" s="34" t="e">
        <f>('Evolutitve SCI'!#REF!+'Evolutitve SCI'!#REF!)/(('Evolutive SFP'!#REF!+'Evolutive SFP'!#REF!)/2)</f>
        <v>#REF!</v>
      </c>
      <c r="AB11" s="34" t="e">
        <f>('Evolutitve SCI'!#REF!+'Evolutitve SCI'!#REF!)/(('Evolutive SFP'!#REF!+'Evolutive SFP'!#REF!)/2)</f>
        <v>#REF!</v>
      </c>
      <c r="AC11" s="34" t="e">
        <f>('Evolutitve SCI'!#REF!+'Evolutitve SCI'!#REF!)/(('Evolutive SFP'!#REF!+'Evolutive SFP'!#REF!)/2)</f>
        <v>#REF!</v>
      </c>
      <c r="AD11" s="34" t="e">
        <f>('Evolutitve SCI'!#REF!+'Evolutitve SCI'!#REF!)/(('Evolutive SFP'!#REF!+'Evolutive SFP'!#REF!)/2)</f>
        <v>#REF!</v>
      </c>
      <c r="AE11" s="34" t="e">
        <f>('Evolutitve SCI'!#REF!+'Evolutitve SCI'!#REF!)/(('Evolutive SFP'!#REF!+'Evolutive SFP'!#REF!)/2)</f>
        <v>#REF!</v>
      </c>
      <c r="AF11" s="34" t="e">
        <f>('Evolutitve SCI'!#REF!+'Evolutitve SCI'!#REF!)/(('Evolutive SFP'!#REF!+'Evolutive SFP'!#REF!)/2)</f>
        <v>#REF!</v>
      </c>
      <c r="AG11" s="34" t="e">
        <f>('Evolutitve SCI'!#REF!+'Evolutitve SCI'!#REF!)/(('Evolutive SFP'!#REF!+'Evolutive SFP'!#REF!)/2)</f>
        <v>#REF!</v>
      </c>
      <c r="AH11" s="34" t="e">
        <f>('Evolutitve SCI'!#REF!+'Evolutitve SCI'!#REF!)/(('Evolutive SFP'!#REF!+'Evolutive SFP'!#REF!)/2)</f>
        <v>#REF!</v>
      </c>
      <c r="AI11" s="34" t="e">
        <f>('Evolutitve SCI'!#REF!+'Evolutitve SCI'!#REF!)/(('Evolutive SFP'!#REF!+'Evolutive SFP'!#REF!)/2)</f>
        <v>#REF!</v>
      </c>
      <c r="AJ11" s="34" t="e">
        <f>('Evolutitve SCI'!#REF!+'Evolutitve SCI'!#REF!)/(('Evolutive SFP'!#REF!+'Evolutive SFP'!#REF!)/2)</f>
        <v>#REF!</v>
      </c>
      <c r="AK11" s="34" t="e">
        <f>('Evolutitve SCI'!#REF!+'Evolutitve SCI'!#REF!)/(('Evolutive SFP'!#REF!+'Evolutive SFP'!#REF!)/2)</f>
        <v>#REF!</v>
      </c>
      <c r="AL11" s="34" t="e">
        <f>('Evolutitve SCI'!#REF!+'Evolutitve SCI'!#REF!)/(('Evolutive SFP'!#REF!+'Evolutive SFP'!#REF!)/2)</f>
        <v>#REF!</v>
      </c>
      <c r="AM11" s="34" t="e">
        <f>('Evolutitve SCI'!#REF!+'Evolutitve SCI'!#REF!)/(('Evolutive SFP'!#REF!+'Evolutive SFP'!#REF!)/2)</f>
        <v>#REF!</v>
      </c>
      <c r="AN11" s="34" t="e">
        <f>('Evolutitve SCI'!#REF!+'Evolutitve SCI'!#REF!)/(('Evolutive SFP'!#REF!+'Evolutive SFP'!#REF!)/2)</f>
        <v>#REF!</v>
      </c>
      <c r="AO11" s="34" t="e">
        <f>('Evolutitve SCI'!#REF!+'Evolutitve SCI'!#REF!)/(('Evolutive SFP'!#REF!+'Evolutive SFP'!#REF!)/2)</f>
        <v>#REF!</v>
      </c>
      <c r="AP11" s="34" t="e">
        <f>('Evolutitve SCI'!#REF!+'Evolutitve SCI'!#REF!)/(('Evolutive SFP'!#REF!+'Evolutive SFP'!#REF!)/2)</f>
        <v>#REF!</v>
      </c>
      <c r="AQ11" s="34" t="e">
        <f>('Evolutitve SCI'!#REF!+'Evolutitve SCI'!#REF!)/(('Evolutive SFP'!#REF!+'Evolutive SFP'!#REF!)/2)</f>
        <v>#REF!</v>
      </c>
      <c r="AR11" s="34" t="e">
        <f>('Evolutitve SCI'!#REF!+'Evolutitve SCI'!#REF!)/(('Evolutive SFP'!#REF!+'Evolutive SFP'!BV27)/2)</f>
        <v>#REF!</v>
      </c>
      <c r="AS11" s="34" t="e">
        <f>('Evolutitve SCI'!#REF!+'Evolutitve SCI'!#REF!)/(('Evolutive SFP'!#REF!+'Evolutive SFP'!BW27)/2)</f>
        <v>#REF!</v>
      </c>
      <c r="AT11" s="34">
        <f>('Evolutitve SCI'!BV23+'Evolutitve SCI'!BV12)/(('Evolutive SFP'!BV27+'Evolutive SFP'!BX27)/2)</f>
        <v>0.10858774163653823</v>
      </c>
      <c r="AU11" s="34">
        <f>('Evolutitve SCI'!BW23+'Evolutitve SCI'!BW12)/(('Evolutive SFP'!BW27+'Evolutive SFP'!BY27)/2)</f>
        <v>6.8405287335326541E-3</v>
      </c>
      <c r="AV11" s="34">
        <f>('Evolutitve SCI'!BX23+'Evolutitve SCI'!BX12)/(('Evolutive SFP'!BX27+'Evolutive SFP'!BZ27)/2)</f>
        <v>1.4109828036274905E-2</v>
      </c>
      <c r="AW11" s="34">
        <f>('Evolutitve SCI'!BY23+'Evolutitve SCI'!BY12)/(('Evolutive SFP'!BY27+'Evolutive SFP'!CA27)/2)</f>
        <v>2.0906334942696354E-2</v>
      </c>
      <c r="AX11" s="34">
        <f>('Evolutitve SCI'!BZ23+'Evolutitve SCI'!BZ12)/(('Evolutive SFP'!BZ27+'Evolutive SFP'!CB27)/2)</f>
        <v>2.3167534571135576E-2</v>
      </c>
      <c r="AY11" s="34" t="e">
        <f>('Evolutitve SCI'!CA23+'Evolutitve SCI'!CA12)/(('Evolutive SFP'!CA27+'Evolutive SFP'!#REF!)/2)</f>
        <v>#REF!</v>
      </c>
      <c r="AZ11" s="34">
        <f>('Evolutitve SCI'!CB23+'Evolutitve SCI'!CB12)/(('Evolutive SFP'!CB27+'Evolutive SFP'!CC27)/2)</f>
        <v>3.3545789412847991E-2</v>
      </c>
      <c r="BA11" s="34" t="e">
        <f>('Evolutitve SCI'!#REF!+'Evolutitve SCI'!#REF!)/(('Evolutive SFP'!#REF!+'Evolutive SFP'!CD27)/2)</f>
        <v>#REF!</v>
      </c>
      <c r="BB11" s="34">
        <f>('Evolutitve SCI'!CC23+'Evolutitve SCI'!CC12)/(('Evolutive SFP'!CC27+'Evolutive SFP'!CE27)/2)</f>
        <v>4.3379370720885914E-2</v>
      </c>
      <c r="BC11" s="34" t="e">
        <f>('Evolutitve SCI'!CD23+'Evolutitve SCI'!CD12)/(('Evolutive SFP'!CD27+'Evolutive SFP'!#REF!)/2)</f>
        <v>#REF!</v>
      </c>
      <c r="BD11" s="34" t="e">
        <f>('Evolutitve SCI'!CE23+'Evolutitve SCI'!CE12)/(('Evolutive SFP'!CE27+'Evolutive SFP'!#REF!)/2)</f>
        <v>#REF!</v>
      </c>
      <c r="BE11" s="34" t="e">
        <f>('Evolutitve SCI'!CF23+'Evolutitve SCI'!CF12)/(('Evolutive SFP'!CF27+'Evolutive SFP'!#REF!)/2)</f>
        <v>#REF!</v>
      </c>
      <c r="BF11" s="34" t="e">
        <f>('Evolutitve SCI'!CG23+'Evolutitve SCI'!CG12)/(('Evolutive SFP'!CG27+'Evolutive SFP'!#REF!)/2)</f>
        <v>#REF!</v>
      </c>
      <c r="BG11" s="34" t="e">
        <f>('Evolutitve SCI'!CH23+'Evolutitve SCI'!CH12)/(('Evolutive SFP'!CH27+'Evolutive SFP'!#REF!)/2)</f>
        <v>#REF!</v>
      </c>
      <c r="BH11" s="34" t="e">
        <f>('Evolutitve SCI'!CI23+'Evolutitve SCI'!CI12)/(('Evolutive SFP'!CI27+'Evolutive SFP'!#REF!)/2)</f>
        <v>#REF!</v>
      </c>
      <c r="BI11" s="34" t="e">
        <f>('Evolutitve SCI'!CJ23+'Evolutitve SCI'!CJ12)/(('Evolutive SFP'!CJ27+'Evolutive SFP'!#REF!)/2)</f>
        <v>#REF!</v>
      </c>
      <c r="BJ11" s="34" t="e">
        <f>('Evolutitve SCI'!CK23+'Evolutitve SCI'!CK12)/(('Evolutive SFP'!CK27+'Evolutive SFP'!#REF!)/2)</f>
        <v>#REF!</v>
      </c>
      <c r="BK11" s="34" t="e">
        <f>('Evolutitve SCI'!CL23+'Evolutitve SCI'!CL12)/(('Evolutive SFP'!CL27+'Evolutive SFP'!#REF!)/2)</f>
        <v>#REF!</v>
      </c>
      <c r="BL11" s="34" t="e">
        <f>('Evolutitve SCI'!CM23+'Evolutitve SCI'!CM12)/(('Evolutive SFP'!CM27+'Evolutive SFP'!#REF!)/2)</f>
        <v>#REF!</v>
      </c>
      <c r="BM11" s="34" t="e">
        <f>('Evolutitve SCI'!CN23+'Evolutitve SCI'!CN12)/(('Evolutive SFP'!CN27+'Evolutive SFP'!#REF!)/2)</f>
        <v>#REF!</v>
      </c>
      <c r="BN11" s="34" t="e">
        <f>('Evolutitve SCI'!CO23+'Evolutitve SCI'!CO12)/(('Evolutive SFP'!CO27+'Evolutive SFP'!#REF!)/2)</f>
        <v>#REF!</v>
      </c>
      <c r="BO11" s="34" t="e">
        <f>('Evolutitve SCI'!CP23+'Evolutitve SCI'!CP12)/(('Evolutive SFP'!CP27+'Evolutive SFP'!#REF!)/2)</f>
        <v>#REF!</v>
      </c>
      <c r="BP11" s="34" t="e">
        <f>('Evolutitve SCI'!CQ23+'Evolutitve SCI'!CQ12)/(('Evolutive SFP'!CQ27+'Evolutive SFP'!#REF!)/2)</f>
        <v>#REF!</v>
      </c>
      <c r="BQ11" s="34" t="e">
        <f>('Evolutitve SCI'!CR23+'Evolutitve SCI'!CR12)/(('Evolutive SFP'!CR27+'Evolutive SFP'!#REF!)/2)</f>
        <v>#REF!</v>
      </c>
      <c r="BR11" s="34" t="e">
        <f>('Evolutitve SCI'!CS23+'Evolutitve SCI'!CS12)/(('Evolutive SFP'!CS27+'Evolutive SFP'!#REF!)/2)</f>
        <v>#REF!</v>
      </c>
      <c r="BS11" s="34" t="e">
        <f>('Evolutitve SCI'!CT23+'Evolutitve SCI'!CT12)/(('Evolutive SFP'!CT27+'Evolutive SFP'!#REF!)/2)</f>
        <v>#REF!</v>
      </c>
      <c r="BT11" s="34" t="e">
        <f>('Evolutitve SCI'!CU23+'Evolutitve SCI'!CU12)/(('Evolutive SFP'!CU27+'Evolutive SFP'!#REF!)/2)</f>
        <v>#REF!</v>
      </c>
      <c r="BU11" s="34" t="e">
        <f>('Evolutitve SCI'!CV23+'Evolutitve SCI'!CV12)/(('Evolutive SFP'!CV27+'Evolutive SFP'!#REF!)/2)</f>
        <v>#REF!</v>
      </c>
      <c r="BV11" s="34" t="e">
        <f>('Evolutitve SCI'!CW23+'Evolutitve SCI'!CW12)/(('Evolutive SFP'!CW27+'Evolutive SFP'!#REF!)/2)</f>
        <v>#REF!</v>
      </c>
      <c r="BW11" s="34" t="e">
        <f>('Evolutitve SCI'!CX23+'Evolutitve SCI'!CX12)/(('Evolutive SFP'!CX27+'Evolutive SFP'!#REF!)/2)</f>
        <v>#REF!</v>
      </c>
      <c r="BX11" s="34" t="e">
        <f>('Evolutitve SCI'!CY23+'Evolutitve SCI'!CY12)/(('Evolutive SFP'!CY27+'Evolutive SFP'!#REF!)/2)</f>
        <v>#REF!</v>
      </c>
      <c r="BY11" s="34" t="e">
        <f>('Evolutitve SCI'!CZ23+'Evolutitve SCI'!CZ12)/(('Evolutive SFP'!CZ27+'Evolutive SFP'!#REF!)/2)</f>
        <v>#REF!</v>
      </c>
      <c r="BZ11" s="34" t="e">
        <f>('Evolutitve SCI'!DA23+'Evolutitve SCI'!DA12)/(('Evolutive SFP'!DA27+'Evolutive SFP'!#REF!)/2)</f>
        <v>#REF!</v>
      </c>
      <c r="CA11" s="34" t="e">
        <f>('Evolutitve SCI'!DB23+'Evolutitve SCI'!DB12)/(('Evolutive SFP'!DB27+'Evolutive SFP'!#REF!)/2)</f>
        <v>#REF!</v>
      </c>
      <c r="CB11" s="34" t="e">
        <f>('Evolutitve SCI'!DC23+'Evolutitve SCI'!DC12)/(('Evolutive SFP'!DC27+'Evolutive SFP'!#REF!)/2)</f>
        <v>#REF!</v>
      </c>
      <c r="CC11" s="34" t="e">
        <f>('Evolutitve SCI'!DD23+'Evolutitve SCI'!DD12)/(('Evolutive SFP'!DD27+'Evolutive SFP'!#REF!)/2)</f>
        <v>#REF!</v>
      </c>
      <c r="CD11" s="34" t="e">
        <f>('Evolutitve SCI'!DE23+'Evolutitve SCI'!DE12)/(('Evolutive SFP'!DE27+'Evolutive SFP'!#REF!)/2)</f>
        <v>#REF!</v>
      </c>
    </row>
    <row r="12" spans="1:82" ht="15.75">
      <c r="A12" s="441" t="s">
        <v>213</v>
      </c>
      <c r="B12" s="3" t="s">
        <v>214</v>
      </c>
      <c r="C12" s="11" t="s">
        <v>215</v>
      </c>
      <c r="D12" s="34" t="e">
        <f>('Evolutive SFP'!#REF!)/('Evolutive SFP'!#REF!+'Evolutive SFP'!#REF!+'Evolutive SFP'!#REF!+'Evolutive SFP'!#REF!+'Evolutive SFP'!#REF!+'Evolutive SFP'!#REF!+'Evolutive SFP'!#REF!)</f>
        <v>#REF!</v>
      </c>
      <c r="E12" s="34" t="e">
        <f>('Evolutive SFP'!#REF!)/('Evolutive SFP'!#REF!+'Evolutive SFP'!#REF!+'Evolutive SFP'!#REF!+'Evolutive SFP'!#REF!+'Evolutive SFP'!#REF!+'Evolutive SFP'!#REF!+'Evolutive SFP'!#REF!)</f>
        <v>#REF!</v>
      </c>
      <c r="F12" s="34" t="e">
        <f>('Evolutive SFP'!#REF!)/('Evolutive SFP'!#REF!+'Evolutive SFP'!#REF!+'Evolutive SFP'!#REF!+'Evolutive SFP'!#REF!+'Evolutive SFP'!#REF!+'Evolutive SFP'!#REF!+'Evolutive SFP'!#REF!)</f>
        <v>#REF!</v>
      </c>
      <c r="G12" s="34" t="e">
        <f>('Evolutive SFP'!#REF!)/('Evolutive SFP'!#REF!+'Evolutive SFP'!#REF!+'Evolutive SFP'!#REF!+'Evolutive SFP'!#REF!+'Evolutive SFP'!#REF!+'Evolutive SFP'!#REF!+'Evolutive SFP'!#REF!)</f>
        <v>#REF!</v>
      </c>
      <c r="H12" s="34" t="e">
        <f>('Evolutive SFP'!#REF!)/('Evolutive SFP'!#REF!+'Evolutive SFP'!#REF!+'Evolutive SFP'!#REF!+'Evolutive SFP'!#REF!+'Evolutive SFP'!#REF!+'Evolutive SFP'!#REF!+'Evolutive SFP'!#REF!)</f>
        <v>#REF!</v>
      </c>
      <c r="I12" s="34" t="e">
        <f>('Evolutive SFP'!#REF!)/('Evolutive SFP'!#REF!+'Evolutive SFP'!#REF!+'Evolutive SFP'!#REF!+'Evolutive SFP'!#REF!+'Evolutive SFP'!#REF!+'Evolutive SFP'!#REF!+'Evolutive SFP'!#REF!)</f>
        <v>#REF!</v>
      </c>
      <c r="J12" s="34" t="e">
        <f>('Evolutive SFP'!#REF!)/('Evolutive SFP'!#REF!+'Evolutive SFP'!#REF!+'Evolutive SFP'!#REF!+'Evolutive SFP'!#REF!+'Evolutive SFP'!#REF!+'Evolutive SFP'!#REF!+'Evolutive SFP'!#REF!)</f>
        <v>#REF!</v>
      </c>
      <c r="K12" s="34" t="e">
        <f>('Evolutive SFP'!#REF!)/('Evolutive SFP'!#REF!+'Evolutive SFP'!#REF!+'Evolutive SFP'!#REF!+'Evolutive SFP'!#REF!+'Evolutive SFP'!#REF!+'Evolutive SFP'!#REF!+'Evolutive SFP'!#REF!)</f>
        <v>#REF!</v>
      </c>
      <c r="L12" s="34" t="e">
        <f>('Evolutive SFP'!#REF!)/('Evolutive SFP'!#REF!+'Evolutive SFP'!#REF!+'Evolutive SFP'!#REF!+'Evolutive SFP'!#REF!+'Evolutive SFP'!#REF!+'Evolutive SFP'!#REF!+'Evolutive SFP'!#REF!)</f>
        <v>#REF!</v>
      </c>
      <c r="M12" s="34" t="e">
        <f>('Evolutive SFP'!#REF!)/('Evolutive SFP'!#REF!+'Evolutive SFP'!#REF!+'Evolutive SFP'!#REF!+'Evolutive SFP'!#REF!+'Evolutive SFP'!#REF!+'Evolutive SFP'!#REF!+'Evolutive SFP'!#REF!)</f>
        <v>#REF!</v>
      </c>
      <c r="N12" s="34" t="e">
        <f>('Evolutive SFP'!#REF!)/('Evolutive SFP'!#REF!+'Evolutive SFP'!#REF!+'Evolutive SFP'!#REF!+'Evolutive SFP'!#REF!+'Evolutive SFP'!#REF!+'Evolutive SFP'!#REF!+'Evolutive SFP'!#REF!)</f>
        <v>#REF!</v>
      </c>
      <c r="O12" s="34" t="e">
        <f>('Evolutive SFP'!#REF!)/('Evolutive SFP'!#REF!+'Evolutive SFP'!#REF!+'Evolutive SFP'!#REF!+'Evolutive SFP'!#REF!+'Evolutive SFP'!#REF!+'Evolutive SFP'!#REF!+'Evolutive SFP'!#REF!)</f>
        <v>#REF!</v>
      </c>
      <c r="P12" s="34" t="e">
        <f>('Evolutive SFP'!#REF!)/('Evolutive SFP'!#REF!+'Evolutive SFP'!#REF!+'Evolutive SFP'!#REF!+'Evolutive SFP'!#REF!+'Evolutive SFP'!#REF!+'Evolutive SFP'!#REF!+'Evolutive SFP'!#REF!)</f>
        <v>#REF!</v>
      </c>
      <c r="Q12" s="34" t="e">
        <f>('Evolutive SFP'!#REF!)/('Evolutive SFP'!#REF!+'Evolutive SFP'!#REF!+'Evolutive SFP'!#REF!+'Evolutive SFP'!#REF!+'Evolutive SFP'!#REF!+'Evolutive SFP'!#REF!+'Evolutive SFP'!#REF!)</f>
        <v>#REF!</v>
      </c>
      <c r="R12" s="34" t="e">
        <f>('Evolutive SFP'!#REF!)/('Evolutive SFP'!#REF!+'Evolutive SFP'!#REF!+'Evolutive SFP'!#REF!+'Evolutive SFP'!#REF!+'Evolutive SFP'!#REF!+'Evolutive SFP'!#REF!+'Evolutive SFP'!#REF!)</f>
        <v>#REF!</v>
      </c>
      <c r="S12" s="38" t="e">
        <f>('Evolutive SFP'!#REF!)/('Evolutive SFP'!#REF!+'Evolutive SFP'!#REF!+'Evolutive SFP'!#REF!+'Evolutive SFP'!#REF!+'Evolutive SFP'!#REF!+'Evolutive SFP'!#REF!+'Evolutive SFP'!#REF!)</f>
        <v>#REF!</v>
      </c>
      <c r="T12" s="38" t="e">
        <f>('Evolutive SFP'!#REF!)/('Evolutive SFP'!#REF!+'Evolutive SFP'!#REF!+'Evolutive SFP'!#REF!+'Evolutive SFP'!#REF!+'Evolutive SFP'!#REF!+'Evolutive SFP'!#REF!+'Evolutive SFP'!#REF!)</f>
        <v>#REF!</v>
      </c>
      <c r="U12" s="38" t="e">
        <f>('Evolutive SFP'!#REF!)/('Evolutive SFP'!#REF!+'Evolutive SFP'!#REF!+'Evolutive SFP'!#REF!+'Evolutive SFP'!#REF!+'Evolutive SFP'!#REF!+'Evolutive SFP'!#REF!+'Evolutive SFP'!#REF!)</f>
        <v>#REF!</v>
      </c>
      <c r="V12" s="38" t="e">
        <f>('Evolutive SFP'!#REF!)/('Evolutive SFP'!#REF!+'Evolutive SFP'!#REF!+'Evolutive SFP'!#REF!+'Evolutive SFP'!#REF!+'Evolutive SFP'!#REF!+'Evolutive SFP'!#REF!+'Evolutive SFP'!#REF!)</f>
        <v>#REF!</v>
      </c>
      <c r="W12" s="38" t="e">
        <f>('Evolutive SFP'!#REF!)/('Evolutive SFP'!#REF!+'Evolutive SFP'!#REF!+'Evolutive SFP'!#REF!+'Evolutive SFP'!#REF!+'Evolutive SFP'!#REF!+'Evolutive SFP'!#REF!+'Evolutive SFP'!#REF!)</f>
        <v>#REF!</v>
      </c>
      <c r="X12" s="38" t="e">
        <f>('Evolutive SFP'!#REF!)/('Evolutive SFP'!#REF!+'Evolutive SFP'!#REF!+'Evolutive SFP'!#REF!+'Evolutive SFP'!#REF!+'Evolutive SFP'!#REF!+'Evolutive SFP'!#REF!+'Evolutive SFP'!#REF!)</f>
        <v>#REF!</v>
      </c>
      <c r="Y12" s="38" t="e">
        <f>('Evolutive SFP'!#REF!)/('Evolutive SFP'!#REF!+'Evolutive SFP'!#REF!+'Evolutive SFP'!#REF!+'Evolutive SFP'!#REF!+'Evolutive SFP'!#REF!+'Evolutive SFP'!#REF!+'Evolutive SFP'!#REF!)</f>
        <v>#REF!</v>
      </c>
      <c r="Z12" s="38" t="e">
        <f>('Evolutive SFP'!#REF!)/('Evolutive SFP'!#REF!+'Evolutive SFP'!#REF!+'Evolutive SFP'!#REF!+'Evolutive SFP'!#REF!+'Evolutive SFP'!#REF!+'Evolutive SFP'!#REF!+'Evolutive SFP'!#REF!)</f>
        <v>#REF!</v>
      </c>
      <c r="AA12" s="38" t="e">
        <f>('Evolutive SFP'!#REF!)/('Evolutive SFP'!#REF!+'Evolutive SFP'!#REF!+'Evolutive SFP'!#REF!+'Evolutive SFP'!#REF!+'Evolutive SFP'!#REF!+'Evolutive SFP'!#REF!+'Evolutive SFP'!#REF!)</f>
        <v>#REF!</v>
      </c>
      <c r="AB12" s="38" t="e">
        <f>('Evolutive SFP'!#REF!)/('Evolutive SFP'!#REF!+'Evolutive SFP'!#REF!+'Evolutive SFP'!#REF!+'Evolutive SFP'!#REF!+'Evolutive SFP'!#REF!+'Evolutive SFP'!#REF!+'Evolutive SFP'!#REF!)</f>
        <v>#REF!</v>
      </c>
      <c r="AC12" s="38" t="e">
        <f>('Evolutive SFP'!#REF!)/('Evolutive SFP'!#REF!+'Evolutive SFP'!#REF!+'Evolutive SFP'!#REF!+'Evolutive SFP'!#REF!+'Evolutive SFP'!#REF!+'Evolutive SFP'!#REF!+'Evolutive SFP'!#REF!)</f>
        <v>#REF!</v>
      </c>
      <c r="AD12" s="38" t="e">
        <f>('Evolutive SFP'!#REF!)/('Evolutive SFP'!#REF!+'Evolutive SFP'!#REF!+'Evolutive SFP'!#REF!+'Evolutive SFP'!#REF!+'Evolutive SFP'!#REF!+'Evolutive SFP'!#REF!+'Evolutive SFP'!#REF!)</f>
        <v>#REF!</v>
      </c>
      <c r="AE12" s="38" t="e">
        <f>('Evolutive SFP'!#REF!)/('Evolutive SFP'!#REF!+'Evolutive SFP'!#REF!+'Evolutive SFP'!#REF!+'Evolutive SFP'!#REF!+'Evolutive SFP'!#REF!+'Evolutive SFP'!#REF!+'Evolutive SFP'!#REF!)</f>
        <v>#REF!</v>
      </c>
      <c r="AF12" s="38" t="e">
        <f>('Evolutive SFP'!#REF!)/('Evolutive SFP'!#REF!+'Evolutive SFP'!#REF!+'Evolutive SFP'!#REF!+'Evolutive SFP'!#REF!+'Evolutive SFP'!#REF!+'Evolutive SFP'!#REF!+'Evolutive SFP'!#REF!)</f>
        <v>#REF!</v>
      </c>
      <c r="AG12" s="38" t="e">
        <f>('Evolutive SFP'!#REF!)/('Evolutive SFP'!#REF!+'Evolutive SFP'!#REF!+'Evolutive SFP'!#REF!+'Evolutive SFP'!#REF!+'Evolutive SFP'!#REF!+'Evolutive SFP'!#REF!+'Evolutive SFP'!#REF!)</f>
        <v>#REF!</v>
      </c>
      <c r="AH12" s="38" t="e">
        <f>('Evolutive SFP'!#REF!)/('Evolutive SFP'!#REF!+'Evolutive SFP'!#REF!+'Evolutive SFP'!#REF!+'Evolutive SFP'!#REF!+'Evolutive SFP'!#REF!+'Evolutive SFP'!#REF!+'Evolutive SFP'!#REF!)</f>
        <v>#REF!</v>
      </c>
      <c r="AI12" s="38" t="e">
        <f>('Evolutive SFP'!#REF!)/('Evolutive SFP'!#REF!+'Evolutive SFP'!#REF!+'Evolutive SFP'!#REF!+'Evolutive SFP'!#REF!+'Evolutive SFP'!#REF!+'Evolutive SFP'!#REF!+'Evolutive SFP'!#REF!)</f>
        <v>#REF!</v>
      </c>
      <c r="AJ12" s="38" t="e">
        <f>('Evolutive SFP'!#REF!)/('Evolutive SFP'!#REF!+'Evolutive SFP'!#REF!+'Evolutive SFP'!#REF!+'Evolutive SFP'!#REF!+'Evolutive SFP'!#REF!+'Evolutive SFP'!#REF!+'Evolutive SFP'!#REF!)</f>
        <v>#REF!</v>
      </c>
      <c r="AK12" s="38" t="e">
        <f>('Evolutive SFP'!#REF!)/('Evolutive SFP'!#REF!+'Evolutive SFP'!#REF!+'Evolutive SFP'!#REF!+'Evolutive SFP'!#REF!+'Evolutive SFP'!#REF!+'Evolutive SFP'!#REF!+'Evolutive SFP'!#REF!)</f>
        <v>#REF!</v>
      </c>
      <c r="AL12" s="38" t="e">
        <f>('Evolutive SFP'!#REF!)/('Evolutive SFP'!#REF!+'Evolutive SFP'!#REF!+'Evolutive SFP'!#REF!+'Evolutive SFP'!#REF!+'Evolutive SFP'!#REF!+'Evolutive SFP'!#REF!+'Evolutive SFP'!#REF!)</f>
        <v>#REF!</v>
      </c>
      <c r="AM12" s="38" t="e">
        <f>('Evolutive SFP'!#REF!)/('Evolutive SFP'!#REF!+'Evolutive SFP'!#REF!+'Evolutive SFP'!#REF!+'Evolutive SFP'!#REF!+'Evolutive SFP'!#REF!+'Evolutive SFP'!#REF!+'Evolutive SFP'!#REF!)</f>
        <v>#REF!</v>
      </c>
      <c r="AN12" s="38" t="e">
        <f>('Evolutive SFP'!#REF!)/('Evolutive SFP'!#REF!+'Evolutive SFP'!#REF!+'Evolutive SFP'!#REF!+'Evolutive SFP'!#REF!+'Evolutive SFP'!#REF!+'Evolutive SFP'!#REF!+'Evolutive SFP'!#REF!)</f>
        <v>#REF!</v>
      </c>
      <c r="AO12" s="38" t="e">
        <f>('Evolutive SFP'!#REF!)/('Evolutive SFP'!#REF!+'Evolutive SFP'!#REF!+'Evolutive SFP'!#REF!+'Evolutive SFP'!#REF!+'Evolutive SFP'!#REF!+'Evolutive SFP'!#REF!+'Evolutive SFP'!#REF!)</f>
        <v>#REF!</v>
      </c>
      <c r="AP12" s="38" t="e">
        <f>('Evolutive SFP'!#REF!)/('Evolutive SFP'!#REF!+'Evolutive SFP'!#REF!+'Evolutive SFP'!#REF!+'Evolutive SFP'!#REF!+'Evolutive SFP'!#REF!+'Evolutive SFP'!#REF!+'Evolutive SFP'!#REF!)</f>
        <v>#REF!</v>
      </c>
      <c r="AQ12" s="38" t="e">
        <f>('Evolutive SFP'!#REF!)/('Evolutive SFP'!#REF!+'Evolutive SFP'!#REF!+'Evolutive SFP'!#REF!+'Evolutive SFP'!#REF!+'Evolutive SFP'!#REF!+'Evolutive SFP'!#REF!+'Evolutive SFP'!#REF!)</f>
        <v>#REF!</v>
      </c>
      <c r="AR12" s="38" t="e">
        <f>('Evolutive SFP'!#REF!)/('Evolutive SFP'!#REF!+'Evolutive SFP'!#REF!+'Evolutive SFP'!#REF!+'Evolutive SFP'!#REF!+'Evolutive SFP'!#REF!+'Evolutive SFP'!#REF!+'Evolutive SFP'!#REF!)</f>
        <v>#REF!</v>
      </c>
      <c r="AS12" s="38" t="e">
        <f>('Evolutive SFP'!#REF!)/('Evolutive SFP'!#REF!+'Evolutive SFP'!#REF!+'Evolutive SFP'!#REF!+'Evolutive SFP'!#REF!+'Evolutive SFP'!#REF!+'Evolutive SFP'!#REF!+'Evolutive SFP'!#REF!)</f>
        <v>#REF!</v>
      </c>
      <c r="AT12" s="38">
        <f>('Evolutive SFP'!BV4)/('Evolutive SFP'!BV28+'Evolutive SFP'!BV29+'Evolutive SFP'!BV32+'Evolutive SFP'!BV33+'Evolutive SFP'!BV34+'Evolutive SFP'!BV35+'Evolutive SFP'!BV36)</f>
        <v>0.11889363730590846</v>
      </c>
      <c r="AU12" s="38">
        <f>('Evolutive SFP'!BW4)/('Evolutive SFP'!BW28+'Evolutive SFP'!BW29+'Evolutive SFP'!BW32+'Evolutive SFP'!BW33+'Evolutive SFP'!BW34+'Evolutive SFP'!BW35+'Evolutive SFP'!BW36)</f>
        <v>0.36750771569918117</v>
      </c>
      <c r="AV12" s="38">
        <f>('Evolutive SFP'!BX4)/('Evolutive SFP'!BX28+'Evolutive SFP'!BX29+'Evolutive SFP'!BX32+'Evolutive SFP'!BX33+'Evolutive SFP'!BX34+'Evolutive SFP'!BX35+'Evolutive SFP'!BX36)</f>
        <v>0.36711337316195641</v>
      </c>
      <c r="AW12" s="38">
        <f>('Evolutive SFP'!BY4)/('Evolutive SFP'!BY28+'Evolutive SFP'!BY29+'Evolutive SFP'!BY32+'Evolutive SFP'!BY33+'Evolutive SFP'!BY34+'Evolutive SFP'!BY35+'Evolutive SFP'!BY36)</f>
        <v>0.3938174260886495</v>
      </c>
      <c r="AX12" s="38">
        <f>('Evolutive SFP'!BZ4)/('Evolutive SFP'!BZ28+'Evolutive SFP'!BZ29+'Evolutive SFP'!BZ32+'Evolutive SFP'!BZ33+'Evolutive SFP'!BZ34+'Evolutive SFP'!BZ35+'Evolutive SFP'!BZ36)</f>
        <v>1.0277813867629577</v>
      </c>
      <c r="AY12" s="38">
        <f>('Evolutive SFP'!CA4)/('Evolutive SFP'!CA28+'Evolutive SFP'!CA29+'Evolutive SFP'!CA32+'Evolutive SFP'!CA33+'Evolutive SFP'!CA34+'Evolutive SFP'!CA35+'Evolutive SFP'!CA36)</f>
        <v>0.75490155113679192</v>
      </c>
      <c r="AZ12" s="38">
        <f>('Evolutive SFP'!CB4)/('Evolutive SFP'!CB28+'Evolutive SFP'!CB29+'Evolutive SFP'!CB32+'Evolutive SFP'!CB33+'Evolutive SFP'!CB34+'Evolutive SFP'!CB35+'Evolutive SFP'!CB36)</f>
        <v>1.0162314994958404</v>
      </c>
      <c r="BA12" s="38" t="e">
        <f>('Evolutive SFP'!#REF!)/('Evolutive SFP'!#REF!+'Evolutive SFP'!#REF!+'Evolutive SFP'!#REF!+'Evolutive SFP'!#REF!+'Evolutive SFP'!#REF!+'Evolutive SFP'!#REF!+'Evolutive SFP'!#REF!)</f>
        <v>#REF!</v>
      </c>
      <c r="BB12" s="38">
        <f>('Evolutive SFP'!CC4)/('Evolutive SFP'!CC28+'Evolutive SFP'!CC29+'Evolutive SFP'!CC32+'Evolutive SFP'!CC33+'Evolutive SFP'!CC34+'Evolutive SFP'!CC35+'Evolutive SFP'!CC36)</f>
        <v>0.62353392601218915</v>
      </c>
      <c r="BC12" s="38">
        <f>('Evolutive SFP'!CD4)/('Evolutive SFP'!CD28+'Evolutive SFP'!CD29+'Evolutive SFP'!CD32+'Evolutive SFP'!CD33+'Evolutive SFP'!CD34+'Evolutive SFP'!CD35+'Evolutive SFP'!CD36)</f>
        <v>0.75818837617532242</v>
      </c>
      <c r="BD12" s="38">
        <f>('Evolutive SFP'!CE4)/('Evolutive SFP'!CE28+'Evolutive SFP'!CE29+'Evolutive SFP'!CE32+'Evolutive SFP'!CE33+'Evolutive SFP'!CE34+'Evolutive SFP'!CE35+'Evolutive SFP'!CE36)</f>
        <v>0.5028435062761798</v>
      </c>
      <c r="BE12" s="38">
        <f>('Evolutive SFP'!CF4)/('Evolutive SFP'!CF28+'Evolutive SFP'!CF29+'Evolutive SFP'!CF32+'Evolutive SFP'!CF33+'Evolutive SFP'!CF34+'Evolutive SFP'!CF35+'Evolutive SFP'!CF36)</f>
        <v>0.21041418088944006</v>
      </c>
      <c r="BF12" s="38">
        <f>('Evolutive SFP'!CG4)/('Evolutive SFP'!CG28+'Evolutive SFP'!CG29+'Evolutive SFP'!CG32+'Evolutive SFP'!CG33+'Evolutive SFP'!CG34+'Evolutive SFP'!CG35+'Evolutive SFP'!CG36)</f>
        <v>0.34403043299992692</v>
      </c>
      <c r="BG12" s="38">
        <f>('Evolutive SFP'!CH4)/('Evolutive SFP'!CH28+'Evolutive SFP'!CH29+'Evolutive SFP'!CH32+'Evolutive SFP'!CH33+'Evolutive SFP'!CH34+'Evolutive SFP'!CH35+'Evolutive SFP'!CH36)</f>
        <v>0.33726757515440192</v>
      </c>
      <c r="BH12" s="38">
        <f>('Evolutive SFP'!CI4)/('Evolutive SFP'!CI28+'Evolutive SFP'!CI29+'Evolutive SFP'!CI32+'Evolutive SFP'!CI33+'Evolutive SFP'!CI34+'Evolutive SFP'!CI35+'Evolutive SFP'!CI36)</f>
        <v>0.16557582224982179</v>
      </c>
      <c r="BI12" s="38">
        <f>('Evolutive SFP'!CJ4)/('Evolutive SFP'!CJ28+'Evolutive SFP'!CJ29+'Evolutive SFP'!CJ32+'Evolutive SFP'!CJ33+'Evolutive SFP'!CJ34+'Evolutive SFP'!CJ35+'Evolutive SFP'!CJ36)</f>
        <v>0.36412943774627998</v>
      </c>
      <c r="BJ12" s="38">
        <f>('Evolutive SFP'!CK4)/('Evolutive SFP'!CK28+'Evolutive SFP'!CK29+'Evolutive SFP'!CK32+'Evolutive SFP'!CK33+'Evolutive SFP'!CK34+'Evolutive SFP'!CK35+'Evolutive SFP'!CK36)</f>
        <v>0.45925829652959921</v>
      </c>
      <c r="BK12" s="38">
        <f>('Evolutive SFP'!CL4)/('Evolutive SFP'!CL28+'Evolutive SFP'!CL29+'Evolutive SFP'!CL32+'Evolutive SFP'!CL33+'Evolutive SFP'!CL34+'Evolutive SFP'!CL35+'Evolutive SFP'!CL36)</f>
        <v>0.63325503356386692</v>
      </c>
      <c r="BL12" s="38">
        <f>('Evolutive SFP'!CM4)/('Evolutive SFP'!CM28+'Evolutive SFP'!CM29+'Evolutive SFP'!CM32+'Evolutive SFP'!CM33+'Evolutive SFP'!CM34+'Evolutive SFP'!CM35+'Evolutive SFP'!CM36)</f>
        <v>0.61136125250353679</v>
      </c>
      <c r="BM12" s="38">
        <f>('Evolutive SFP'!CN4)/('Evolutive SFP'!CN28+'Evolutive SFP'!CN29+'Evolutive SFP'!CN32+'Evolutive SFP'!CN33+'Evolutive SFP'!CN34+'Evolutive SFP'!CN35+'Evolutive SFP'!CN36)</f>
        <v>0.54644697029428735</v>
      </c>
      <c r="BN12" s="38">
        <f>('Evolutive SFP'!CO4)/('Evolutive SFP'!CO28+'Evolutive SFP'!CO29+'Evolutive SFP'!CO32+'Evolutive SFP'!CO33+'Evolutive SFP'!CO34+'Evolutive SFP'!CO35+'Evolutive SFP'!CO36)</f>
        <v>0.63253008557661139</v>
      </c>
      <c r="BO12" s="38">
        <f>('Evolutive SFP'!CP4)/('Evolutive SFP'!CP28+'Evolutive SFP'!CP29+'Evolutive SFP'!CP32+'Evolutive SFP'!CP33+'Evolutive SFP'!CP34+'Evolutive SFP'!CP35+'Evolutive SFP'!CP36)</f>
        <v>0.5125457786965657</v>
      </c>
      <c r="BP12" s="38">
        <f>('Evolutive SFP'!CQ4)/('Evolutive SFP'!CQ28+'Evolutive SFP'!CQ29+'Evolutive SFP'!CQ32+'Evolutive SFP'!CQ33+'Evolutive SFP'!CQ34+'Evolutive SFP'!CQ35+'Evolutive SFP'!CQ36)</f>
        <v>0.80974693355811544</v>
      </c>
      <c r="BQ12" s="38">
        <f>('Evolutive SFP'!CR4)/('Evolutive SFP'!CR28+'Evolutive SFP'!CR29+'Evolutive SFP'!CR32+'Evolutive SFP'!CR33+'Evolutive SFP'!CR34+'Evolutive SFP'!CR35+'Evolutive SFP'!CR36)</f>
        <v>1.3902754489725684</v>
      </c>
      <c r="BR12" s="38">
        <f>('Evolutive SFP'!CS4)/('Evolutive SFP'!CS28+'Evolutive SFP'!CS29+'Evolutive SFP'!CS32+'Evolutive SFP'!CS33+'Evolutive SFP'!CS34+'Evolutive SFP'!CS35+'Evolutive SFP'!CS36)</f>
        <v>1.2860787272613261</v>
      </c>
      <c r="BS12" s="38">
        <f>('Evolutive SFP'!CT4)/('Evolutive SFP'!CT28+'Evolutive SFP'!CT29+'Evolutive SFP'!CT32+'Evolutive SFP'!CT33+'Evolutive SFP'!CT34+'Evolutive SFP'!CT35+'Evolutive SFP'!CT36)</f>
        <v>1.3204317185268861</v>
      </c>
      <c r="BT12" s="38">
        <f>('Evolutive SFP'!CU4)/('Evolutive SFP'!CU28+'Evolutive SFP'!CU29+'Evolutive SFP'!CU32+'Evolutive SFP'!CU33+'Evolutive SFP'!CU34+'Evolutive SFP'!CU35+'Evolutive SFP'!CU36)</f>
        <v>1.3627277068805963</v>
      </c>
      <c r="BU12" s="38">
        <f>('Evolutive SFP'!CV4)/('Evolutive SFP'!CV28+'Evolutive SFP'!CV29+'Evolutive SFP'!CV32+'Evolutive SFP'!CV33+'Evolutive SFP'!CV34+'Evolutive SFP'!CV35+'Evolutive SFP'!CV36)</f>
        <v>0.99379746980682315</v>
      </c>
      <c r="BV12" s="38">
        <f>('Evolutive SFP'!CW4)/('Evolutive SFP'!CW28+'Evolutive SFP'!CW29+'Evolutive SFP'!CW32+'Evolutive SFP'!CW33+'Evolutive SFP'!CW34+'Evolutive SFP'!CW35+'Evolutive SFP'!CW36)</f>
        <v>0.96770964753448674</v>
      </c>
      <c r="BW12" s="38">
        <f>('Evolutive SFP'!CX4)/('Evolutive SFP'!CX28+'Evolutive SFP'!CX29+'Evolutive SFP'!CX32+'Evolutive SFP'!CX33+'Evolutive SFP'!CX34+'Evolutive SFP'!CX35+'Evolutive SFP'!CX36)</f>
        <v>0.93771356368990022</v>
      </c>
      <c r="BX12" s="38">
        <f>('Evolutive SFP'!CY4)/('Evolutive SFP'!CY28+'Evolutive SFP'!CY29+'Evolutive SFP'!CY32+'Evolutive SFP'!CY33+'Evolutive SFP'!CY34+'Evolutive SFP'!CY35+'Evolutive SFP'!CY36)</f>
        <v>0.97046090376105998</v>
      </c>
      <c r="BY12" s="38">
        <f>('Evolutive SFP'!CZ4)/('Evolutive SFP'!CZ28+'Evolutive SFP'!CZ29+'Evolutive SFP'!CZ32+'Evolutive SFP'!CZ33+'Evolutive SFP'!CZ34+'Evolutive SFP'!CZ35+'Evolutive SFP'!CZ36)</f>
        <v>1.0301651319105407</v>
      </c>
      <c r="BZ12" s="38">
        <f>('Evolutive SFP'!DA4)/('Evolutive SFP'!DA28+'Evolutive SFP'!DA29+'Evolutive SFP'!DA32+'Evolutive SFP'!DA33+'Evolutive SFP'!DA34+'Evolutive SFP'!DA35+'Evolutive SFP'!DA36)</f>
        <v>0.99226019046290204</v>
      </c>
      <c r="CA12" s="38">
        <f>('Evolutive SFP'!DB4)/('Evolutive SFP'!DB28+'Evolutive SFP'!DB29+'Evolutive SFP'!DB32+'Evolutive SFP'!DB33+'Evolutive SFP'!DB34+'Evolutive SFP'!DB35+'Evolutive SFP'!DB36)</f>
        <v>1.1255439202228947</v>
      </c>
      <c r="CB12" s="38">
        <f>('Evolutive SFP'!DC4)/('Evolutive SFP'!DC28+'Evolutive SFP'!DC29+'Evolutive SFP'!DC32+'Evolutive SFP'!DC33+'Evolutive SFP'!DC34+'Evolutive SFP'!DC35+'Evolutive SFP'!DC36)</f>
        <v>1.4509493913201219</v>
      </c>
      <c r="CC12" s="38">
        <f>('Evolutive SFP'!DD4)/('Evolutive SFP'!DD28+'Evolutive SFP'!DD29+'Evolutive SFP'!DD32+'Evolutive SFP'!DD33+'Evolutive SFP'!DD34+'Evolutive SFP'!DD35+'Evolutive SFP'!DD36)</f>
        <v>1.323478126613699</v>
      </c>
      <c r="CD12" s="38">
        <f>('Evolutive SFP'!DE4)/('Evolutive SFP'!DE28+'Evolutive SFP'!DE29+'Evolutive SFP'!DE32+'Evolutive SFP'!DE33+'Evolutive SFP'!DE34+'Evolutive SFP'!DE35+'Evolutive SFP'!DE36)</f>
        <v>1.2281715816947152</v>
      </c>
    </row>
    <row r="13" spans="1:82" ht="15.75">
      <c r="A13" s="441"/>
      <c r="B13" s="3" t="s">
        <v>216</v>
      </c>
      <c r="C13" s="30"/>
      <c r="D13" s="34" t="e">
        <f>('Evolutive SFP'!#REF!+'Evolutive SFP'!#REF!)/('Evolutive SFP'!#REF!+'Evolutive SFP'!#REF!+'Evolutive SFP'!#REF!+'Evolutive SFP'!#REF!+'Evolutive SFP'!#REF!+'Evolutive SFP'!#REF!)</f>
        <v>#REF!</v>
      </c>
      <c r="E13" s="34" t="e">
        <f>('Evolutive SFP'!#REF!+'Evolutive SFP'!#REF!)/('Evolutive SFP'!#REF!+'Evolutive SFP'!#REF!+'Evolutive SFP'!#REF!+'Evolutive SFP'!#REF!+'Evolutive SFP'!#REF!+'Evolutive SFP'!#REF!)</f>
        <v>#REF!</v>
      </c>
      <c r="F13" s="34" t="e">
        <f>('Evolutive SFP'!#REF!+'Evolutive SFP'!#REF!)/('Evolutive SFP'!#REF!+'Evolutive SFP'!#REF!+'Evolutive SFP'!#REF!+'Evolutive SFP'!#REF!+'Evolutive SFP'!#REF!+'Evolutive SFP'!#REF!)</f>
        <v>#REF!</v>
      </c>
      <c r="G13" s="34" t="e">
        <f>('Evolutive SFP'!#REF!+'Evolutive SFP'!#REF!)/('Evolutive SFP'!#REF!+'Evolutive SFP'!#REF!+'Evolutive SFP'!#REF!+'Evolutive SFP'!#REF!+'Evolutive SFP'!#REF!+'Evolutive SFP'!#REF!)</f>
        <v>#REF!</v>
      </c>
      <c r="H13" s="34" t="e">
        <f>('Evolutive SFP'!#REF!+'Evolutive SFP'!#REF!)/('Evolutive SFP'!#REF!+'Evolutive SFP'!#REF!+'Evolutive SFP'!#REF!+'Evolutive SFP'!#REF!+'Evolutive SFP'!#REF!+'Evolutive SFP'!#REF!)</f>
        <v>#REF!</v>
      </c>
      <c r="I13" s="34" t="e">
        <f>('Evolutive SFP'!#REF!+'Evolutive SFP'!#REF!)/('Evolutive SFP'!#REF!+'Evolutive SFP'!#REF!+'Evolutive SFP'!#REF!+'Evolutive SFP'!#REF!+'Evolutive SFP'!#REF!+'Evolutive SFP'!#REF!)</f>
        <v>#REF!</v>
      </c>
      <c r="J13" s="34" t="e">
        <f>('Evolutive SFP'!#REF!+'Evolutive SFP'!#REF!)/('Evolutive SFP'!#REF!+'Evolutive SFP'!#REF!+'Evolutive SFP'!#REF!+'Evolutive SFP'!#REF!+'Evolutive SFP'!#REF!+'Evolutive SFP'!#REF!)</f>
        <v>#REF!</v>
      </c>
      <c r="K13" s="34" t="e">
        <f>('Evolutive SFP'!#REF!+'Evolutive SFP'!#REF!)/('Evolutive SFP'!#REF!+'Evolutive SFP'!#REF!+'Evolutive SFP'!#REF!+'Evolutive SFP'!#REF!+'Evolutive SFP'!#REF!+'Evolutive SFP'!#REF!)</f>
        <v>#REF!</v>
      </c>
      <c r="L13" s="34" t="e">
        <f>('Evolutive SFP'!#REF!+'Evolutive SFP'!#REF!)/('Evolutive SFP'!#REF!+'Evolutive SFP'!#REF!+'Evolutive SFP'!#REF!+'Evolutive SFP'!#REF!+'Evolutive SFP'!#REF!+'Evolutive SFP'!#REF!)</f>
        <v>#REF!</v>
      </c>
      <c r="M13" s="34" t="e">
        <f>('Evolutive SFP'!#REF!+'Evolutive SFP'!#REF!)/('Evolutive SFP'!#REF!+'Evolutive SFP'!#REF!+'Evolutive SFP'!#REF!+'Evolutive SFP'!#REF!+'Evolutive SFP'!#REF!+'Evolutive SFP'!#REF!)</f>
        <v>#REF!</v>
      </c>
      <c r="N13" s="34" t="e">
        <f>('Evolutive SFP'!#REF!+'Evolutive SFP'!#REF!)/('Evolutive SFP'!#REF!+'Evolutive SFP'!#REF!+'Evolutive SFP'!#REF!+'Evolutive SFP'!#REF!+'Evolutive SFP'!#REF!+'Evolutive SFP'!#REF!)</f>
        <v>#REF!</v>
      </c>
      <c r="O13" s="34" t="e">
        <f>('Evolutive SFP'!#REF!+'Evolutive SFP'!#REF!)/('Evolutive SFP'!#REF!+'Evolutive SFP'!#REF!+'Evolutive SFP'!#REF!+'Evolutive SFP'!#REF!+'Evolutive SFP'!#REF!+'Evolutive SFP'!#REF!)</f>
        <v>#REF!</v>
      </c>
      <c r="P13" s="34" t="e">
        <f>'Evolutive SFP'!#REF!/('Evolutive SFP'!#REF!+'Evolutive SFP'!#REF!)</f>
        <v>#REF!</v>
      </c>
      <c r="Q13" s="34" t="e">
        <f>'Evolutive SFP'!#REF!/('Evolutive SFP'!#REF!+'Evolutive SFP'!#REF!)</f>
        <v>#REF!</v>
      </c>
      <c r="R13" s="34" t="e">
        <f>'Evolutive SFP'!#REF!/('Evolutive SFP'!#REF!+'Evolutive SFP'!#REF!)</f>
        <v>#REF!</v>
      </c>
      <c r="S13" s="38" t="e">
        <f>'Evolutive SFP'!#REF!/('Evolutive SFP'!#REF!+'Evolutive SFP'!#REF!)</f>
        <v>#REF!</v>
      </c>
      <c r="T13" s="38" t="e">
        <f>'Evolutive SFP'!#REF!/('Evolutive SFP'!#REF!+'Evolutive SFP'!#REF!)</f>
        <v>#REF!</v>
      </c>
      <c r="U13" s="38" t="e">
        <f>'Evolutive SFP'!#REF!/('Evolutive SFP'!#REF!+'Evolutive SFP'!#REF!)</f>
        <v>#REF!</v>
      </c>
      <c r="V13" s="38" t="e">
        <f>'Evolutive SFP'!#REF!/('Evolutive SFP'!#REF!+'Evolutive SFP'!#REF!)</f>
        <v>#REF!</v>
      </c>
      <c r="W13" s="38" t="e">
        <f>'Evolutive SFP'!#REF!/('Evolutive SFP'!#REF!+'Evolutive SFP'!#REF!)</f>
        <v>#REF!</v>
      </c>
      <c r="X13" s="38" t="e">
        <f>'Evolutive SFP'!#REF!/('Evolutive SFP'!#REF!+'Evolutive SFP'!#REF!)</f>
        <v>#REF!</v>
      </c>
      <c r="Y13" s="38" t="e">
        <f>'Evolutive SFP'!#REF!/('Evolutive SFP'!#REF!+'Evolutive SFP'!#REF!)</f>
        <v>#REF!</v>
      </c>
      <c r="Z13" s="38" t="e">
        <f>'Evolutive SFP'!#REF!/('Evolutive SFP'!#REF!+'Evolutive SFP'!#REF!)</f>
        <v>#REF!</v>
      </c>
      <c r="AA13" s="38" t="e">
        <f>'Evolutive SFP'!#REF!/('Evolutive SFP'!#REF!+'Evolutive SFP'!#REF!)</f>
        <v>#REF!</v>
      </c>
      <c r="AB13" s="38" t="e">
        <f>'Evolutive SFP'!#REF!/('Evolutive SFP'!#REF!+'Evolutive SFP'!#REF!)</f>
        <v>#REF!</v>
      </c>
      <c r="AC13" s="38" t="e">
        <f>'Evolutive SFP'!#REF!/('Evolutive SFP'!#REF!+'Evolutive SFP'!#REF!)</f>
        <v>#REF!</v>
      </c>
      <c r="AD13" s="38" t="e">
        <f>'Evolutive SFP'!#REF!/('Evolutive SFP'!#REF!+'Evolutive SFP'!#REF!)</f>
        <v>#REF!</v>
      </c>
      <c r="AE13" s="38" t="e">
        <f>'Evolutive SFP'!#REF!/('Evolutive SFP'!#REF!+'Evolutive SFP'!#REF!)</f>
        <v>#REF!</v>
      </c>
      <c r="AF13" s="38" t="e">
        <f>'Evolutive SFP'!#REF!/('Evolutive SFP'!#REF!+'Evolutive SFP'!#REF!)</f>
        <v>#REF!</v>
      </c>
      <c r="AG13" s="38" t="e">
        <f>'Evolutive SFP'!#REF!/('Evolutive SFP'!#REF!+'Evolutive SFP'!#REF!)</f>
        <v>#REF!</v>
      </c>
      <c r="AH13" s="38" t="e">
        <f>'Evolutive SFP'!#REF!/('Evolutive SFP'!#REF!+'Evolutive SFP'!#REF!)</f>
        <v>#REF!</v>
      </c>
      <c r="AI13" s="38" t="e">
        <f>'Evolutive SFP'!#REF!/('Evolutive SFP'!#REF!+'Evolutive SFP'!#REF!)</f>
        <v>#REF!</v>
      </c>
      <c r="AJ13" s="38" t="e">
        <f>'Evolutive SFP'!#REF!/('Evolutive SFP'!#REF!+'Evolutive SFP'!#REF!)</f>
        <v>#REF!</v>
      </c>
      <c r="AK13" s="38" t="e">
        <f>'Evolutive SFP'!#REF!/('Evolutive SFP'!#REF!+'Evolutive SFP'!#REF!)</f>
        <v>#REF!</v>
      </c>
      <c r="AL13" s="38" t="e">
        <f>'Evolutive SFP'!#REF!/('Evolutive SFP'!#REF!+'Evolutive SFP'!#REF!)</f>
        <v>#REF!</v>
      </c>
      <c r="AM13" s="38" t="e">
        <f>'Evolutive SFP'!#REF!/('Evolutive SFP'!#REF!+'Evolutive SFP'!#REF!)</f>
        <v>#REF!</v>
      </c>
      <c r="AN13" s="38" t="e">
        <f>'Evolutive SFP'!#REF!/('Evolutive SFP'!#REF!+'Evolutive SFP'!#REF!)</f>
        <v>#REF!</v>
      </c>
      <c r="AO13" s="38" t="e">
        <f>'Evolutive SFP'!#REF!/('Evolutive SFP'!#REF!+'Evolutive SFP'!#REF!)</f>
        <v>#REF!</v>
      </c>
      <c r="AP13" s="38" t="e">
        <f>'Evolutive SFP'!#REF!/('Evolutive SFP'!#REF!+'Evolutive SFP'!#REF!)</f>
        <v>#REF!</v>
      </c>
      <c r="AQ13" s="38" t="e">
        <f>'Evolutive SFP'!#REF!/('Evolutive SFP'!#REF!+'Evolutive SFP'!#REF!)</f>
        <v>#REF!</v>
      </c>
      <c r="AR13" s="38" t="e">
        <f>'Evolutive SFP'!#REF!/('Evolutive SFP'!#REF!+'Evolutive SFP'!#REF!)</f>
        <v>#REF!</v>
      </c>
      <c r="AS13" s="38" t="e">
        <f>'Evolutive SFP'!#REF!/('Evolutive SFP'!#REF!+'Evolutive SFP'!#REF!)</f>
        <v>#REF!</v>
      </c>
      <c r="AT13" s="38">
        <f>'Evolutive SFP'!BV4/('Evolutive SFP'!BV31+'Evolutive SFP'!BV36)</f>
        <v>0.11889363730590846</v>
      </c>
      <c r="AU13" s="38">
        <f>'Evolutive SFP'!BW4/('Evolutive SFP'!BW31+'Evolutive SFP'!BW36)</f>
        <v>0.15694930947658187</v>
      </c>
      <c r="AV13" s="38">
        <f>'Evolutive SFP'!BX4/('Evolutive SFP'!BX31+'Evolutive SFP'!BX36)</f>
        <v>0.16009436992192472</v>
      </c>
      <c r="AW13" s="38">
        <f>'Evolutive SFP'!BY4/('Evolutive SFP'!BY31+'Evolutive SFP'!BY36)</f>
        <v>0.16977643621577437</v>
      </c>
      <c r="AX13" s="38">
        <f>'Evolutive SFP'!BZ4/('Evolutive SFP'!BZ31+'Evolutive SFP'!BZ36)</f>
        <v>0.55439065335717952</v>
      </c>
      <c r="AY13" s="38">
        <f>'Evolutive SFP'!CA4/('Evolutive SFP'!CA31+'Evolutive SFP'!CA36)</f>
        <v>0.43149257051248346</v>
      </c>
      <c r="AZ13" s="38">
        <f>'Evolutive SFP'!CB4/('Evolutive SFP'!CB31+'Evolutive SFP'!CB36)</f>
        <v>0.61959747606149618</v>
      </c>
      <c r="BA13" s="38" t="e">
        <f>'Evolutive SFP'!#REF!/('Evolutive SFP'!#REF!+'Evolutive SFP'!#REF!)</f>
        <v>#REF!</v>
      </c>
      <c r="BB13" s="38">
        <f>'Evolutive SFP'!CC4/('Evolutive SFP'!CC31+'Evolutive SFP'!CC36)</f>
        <v>0.32717901598128313</v>
      </c>
      <c r="BC13" s="38">
        <f>'Evolutive SFP'!CD4/('Evolutive SFP'!CD31+'Evolutive SFP'!CD36)</f>
        <v>0.5384556296406694</v>
      </c>
      <c r="BD13" s="38">
        <f>'Evolutive SFP'!CE4/('Evolutive SFP'!CE31+'Evolutive SFP'!CE36)</f>
        <v>0.30562725193444529</v>
      </c>
      <c r="BE13" s="38">
        <f>'Evolutive SFP'!CF4/('Evolutive SFP'!CF31+'Evolutive SFP'!CF36)</f>
        <v>0.11136699576747724</v>
      </c>
      <c r="BF13" s="38">
        <f>'Evolutive SFP'!CG4/('Evolutive SFP'!CG31+'Evolutive SFP'!CG36)</f>
        <v>0.1699367628983858</v>
      </c>
      <c r="BG13" s="38">
        <f>'Evolutive SFP'!CH4/('Evolutive SFP'!CH31+'Evolutive SFP'!CH36)</f>
        <v>0.16800375460692843</v>
      </c>
      <c r="BH13" s="38">
        <f>'Evolutive SFP'!CI4/('Evolutive SFP'!CI31+'Evolutive SFP'!CI36)</f>
        <v>7.9098863579955062E-2</v>
      </c>
      <c r="BI13" s="38">
        <f>'Evolutive SFP'!CJ4/('Evolutive SFP'!CJ31+'Evolutive SFP'!CJ36)</f>
        <v>0.16913838160585332</v>
      </c>
      <c r="BJ13" s="38">
        <f>'Evolutive SFP'!CK4/('Evolutive SFP'!CK31+'Evolutive SFP'!CK36)</f>
        <v>0.21409265270338226</v>
      </c>
      <c r="BK13" s="38">
        <f>'Evolutive SFP'!CL4/('Evolutive SFP'!CL31+'Evolutive SFP'!CL36)</f>
        <v>0.28530020107163984</v>
      </c>
      <c r="BL13" s="38">
        <f>'Evolutive SFP'!CM4/('Evolutive SFP'!CM31+'Evolutive SFP'!CM36)</f>
        <v>0.2687645052912257</v>
      </c>
      <c r="BM13" s="38">
        <f>'Evolutive SFP'!CN4/('Evolutive SFP'!CN31+'Evolutive SFP'!CN36)</f>
        <v>0.23783249939912168</v>
      </c>
      <c r="BN13" s="38">
        <f>'Evolutive SFP'!CO4/('Evolutive SFP'!CO31+'Evolutive SFP'!CO36)</f>
        <v>0.26721338868655697</v>
      </c>
      <c r="BO13" s="38">
        <f>'Evolutive SFP'!CP4/('Evolutive SFP'!CP31+'Evolutive SFP'!CP36)</f>
        <v>0.21271094383609557</v>
      </c>
      <c r="BP13" s="38">
        <f>'Evolutive SFP'!CQ4/('Evolutive SFP'!CQ31+'Evolutive SFP'!CQ36)</f>
        <v>0.53463240282012414</v>
      </c>
      <c r="BQ13" s="38">
        <f>'Evolutive SFP'!CR4/('Evolutive SFP'!CR31+'Evolutive SFP'!CR36)</f>
        <v>0.86173881084178239</v>
      </c>
      <c r="BR13" s="38">
        <f>'Evolutive SFP'!CS4/('Evolutive SFP'!CS31+'Evolutive SFP'!CS36)</f>
        <v>0.71710488107002623</v>
      </c>
      <c r="BS13" s="38">
        <f>'Evolutive SFP'!CT4/('Evolutive SFP'!CT31+'Evolutive SFP'!CT36)</f>
        <v>0.71956298971168842</v>
      </c>
      <c r="BT13" s="38">
        <f>'Evolutive SFP'!CU4/('Evolutive SFP'!CU31+'Evolutive SFP'!CU36)</f>
        <v>0.76989262658094215</v>
      </c>
      <c r="BU13" s="38">
        <f>'Evolutive SFP'!CV4/('Evolutive SFP'!CV31+'Evolutive SFP'!CV36)</f>
        <v>0.51161059440111545</v>
      </c>
      <c r="BV13" s="38">
        <f>'Evolutive SFP'!CW4/('Evolutive SFP'!CW31+'Evolutive SFP'!CW36)</f>
        <v>0.46638684555886079</v>
      </c>
      <c r="BW13" s="38">
        <f>'Evolutive SFP'!CX4/('Evolutive SFP'!CX31+'Evolutive SFP'!CX36)</f>
        <v>0.44858861794658111</v>
      </c>
      <c r="BX13" s="38">
        <f>'Evolutive SFP'!CY4/('Evolutive SFP'!CY31+'Evolutive SFP'!CY36)</f>
        <v>0.46619807451193523</v>
      </c>
      <c r="BY13" s="38">
        <f>'Evolutive SFP'!CZ4/('Evolutive SFP'!CZ31+'Evolutive SFP'!CZ36)</f>
        <v>0.48475546764695993</v>
      </c>
      <c r="BZ13" s="38">
        <f>'Evolutive SFP'!DA4/('Evolutive SFP'!DA31+'Evolutive SFP'!DA36)</f>
        <v>0.44804228825959819</v>
      </c>
      <c r="CA13" s="38">
        <f>'Evolutive SFP'!DB4/('Evolutive SFP'!DB31+'Evolutive SFP'!DB36)</f>
        <v>0.51874993291440985</v>
      </c>
      <c r="CB13" s="38">
        <f>'Evolutive SFP'!DC4/('Evolutive SFP'!DC31+'Evolutive SFP'!DC36)</f>
        <v>0.78547778227873355</v>
      </c>
      <c r="CC13" s="38">
        <f>'Evolutive SFP'!DD4/('Evolutive SFP'!DD31+'Evolutive SFP'!DD36)</f>
        <v>0.65936939524256266</v>
      </c>
      <c r="CD13" s="38">
        <f>'Evolutive SFP'!DE4/('Evolutive SFP'!DE31+'Evolutive SFP'!DE36)</f>
        <v>0.58631575176320583</v>
      </c>
    </row>
    <row r="14" spans="1:82" ht="15.75">
      <c r="A14" s="441"/>
      <c r="B14" s="3" t="s">
        <v>217</v>
      </c>
      <c r="C14" s="11" t="s">
        <v>218</v>
      </c>
      <c r="D14" s="34" t="e">
        <f>'Evolutive SFP'!#REF!/'Evolutive SFP'!#REF!</f>
        <v>#REF!</v>
      </c>
      <c r="E14" s="34" t="e">
        <f>'Evolutive SFP'!#REF!/'Evolutive SFP'!#REF!</f>
        <v>#REF!</v>
      </c>
      <c r="F14" s="34" t="e">
        <f>'Evolutive SFP'!#REF!/'Evolutive SFP'!#REF!</f>
        <v>#REF!</v>
      </c>
      <c r="G14" s="34" t="e">
        <f>'Evolutive SFP'!#REF!/'Evolutive SFP'!#REF!</f>
        <v>#REF!</v>
      </c>
      <c r="H14" s="34" t="e">
        <f>'Evolutive SFP'!#REF!/'Evolutive SFP'!#REF!</f>
        <v>#REF!</v>
      </c>
      <c r="I14" s="34" t="e">
        <f>'Evolutive SFP'!#REF!/'Evolutive SFP'!#REF!</f>
        <v>#REF!</v>
      </c>
      <c r="J14" s="34" t="e">
        <f>'Evolutive SFP'!#REF!/'Evolutive SFP'!#REF!</f>
        <v>#REF!</v>
      </c>
      <c r="K14" s="34" t="e">
        <f>'Evolutive SFP'!#REF!/'Evolutive SFP'!#REF!</f>
        <v>#REF!</v>
      </c>
      <c r="L14" s="34" t="e">
        <f>'Evolutive SFP'!#REF!/'Evolutive SFP'!#REF!</f>
        <v>#REF!</v>
      </c>
      <c r="M14" s="34" t="e">
        <f>'Evolutive SFP'!#REF!/'Evolutive SFP'!#REF!</f>
        <v>#REF!</v>
      </c>
      <c r="N14" s="34" t="e">
        <f>'Evolutive SFP'!#REF!/'Evolutive SFP'!#REF!</f>
        <v>#REF!</v>
      </c>
      <c r="O14" s="34" t="e">
        <f>'Evolutive SFP'!#REF!/'Evolutive SFP'!#REF!</f>
        <v>#REF!</v>
      </c>
      <c r="P14" s="34" t="e">
        <f>'Evolutive SFP'!#REF!/'Evolutive SFP'!#REF!</f>
        <v>#REF!</v>
      </c>
      <c r="Q14" s="34" t="e">
        <f>'Evolutive SFP'!#REF!/'Evolutive SFP'!#REF!</f>
        <v>#REF!</v>
      </c>
      <c r="R14" s="34" t="e">
        <f>'Evolutive SFP'!#REF!/'Evolutive SFP'!#REF!</f>
        <v>#REF!</v>
      </c>
      <c r="S14" s="38" t="e">
        <f>'Evolutive SFP'!#REF!/'Evolutive SFP'!#REF!</f>
        <v>#REF!</v>
      </c>
      <c r="T14" s="38" t="e">
        <f>'Evolutive SFP'!#REF!/'Evolutive SFP'!#REF!</f>
        <v>#REF!</v>
      </c>
      <c r="U14" s="38" t="e">
        <f>'Evolutive SFP'!#REF!/'Evolutive SFP'!#REF!</f>
        <v>#REF!</v>
      </c>
      <c r="V14" s="38" t="e">
        <f>'Evolutive SFP'!#REF!/'Evolutive SFP'!#REF!</f>
        <v>#REF!</v>
      </c>
      <c r="W14" s="38" t="e">
        <f>'Evolutive SFP'!#REF!/'Evolutive SFP'!#REF!</f>
        <v>#REF!</v>
      </c>
      <c r="X14" s="38" t="e">
        <f>'Evolutive SFP'!#REF!/'Evolutive SFP'!#REF!</f>
        <v>#REF!</v>
      </c>
      <c r="Y14" s="38" t="e">
        <f>'Evolutive SFP'!#REF!/'Evolutive SFP'!#REF!</f>
        <v>#REF!</v>
      </c>
      <c r="Z14" s="38" t="e">
        <f>'Evolutive SFP'!#REF!/'Evolutive SFP'!#REF!</f>
        <v>#REF!</v>
      </c>
      <c r="AA14" s="38" t="e">
        <f>'Evolutive SFP'!#REF!/'Evolutive SFP'!#REF!</f>
        <v>#REF!</v>
      </c>
      <c r="AB14" s="38" t="e">
        <f>'Evolutive SFP'!#REF!/'Evolutive SFP'!#REF!</f>
        <v>#REF!</v>
      </c>
      <c r="AC14" s="38" t="e">
        <f>'Evolutive SFP'!#REF!/'Evolutive SFP'!#REF!</f>
        <v>#REF!</v>
      </c>
      <c r="AD14" s="38" t="e">
        <f>'Evolutive SFP'!#REF!/'Evolutive SFP'!#REF!</f>
        <v>#REF!</v>
      </c>
      <c r="AE14" s="38" t="e">
        <f>'Evolutive SFP'!#REF!/'Evolutive SFP'!#REF!</f>
        <v>#REF!</v>
      </c>
      <c r="AF14" s="38" t="e">
        <f>'Evolutive SFP'!#REF!/'Evolutive SFP'!#REF!</f>
        <v>#REF!</v>
      </c>
      <c r="AG14" s="38" t="e">
        <f>'Evolutive SFP'!#REF!/'Evolutive SFP'!#REF!</f>
        <v>#REF!</v>
      </c>
      <c r="AH14" s="38" t="e">
        <f>'Evolutive SFP'!#REF!/'Evolutive SFP'!#REF!</f>
        <v>#REF!</v>
      </c>
      <c r="AI14" s="38" t="e">
        <f>'Evolutive SFP'!#REF!/'Evolutive SFP'!#REF!</f>
        <v>#REF!</v>
      </c>
      <c r="AJ14" s="38" t="e">
        <f>'Evolutive SFP'!#REF!/'Evolutive SFP'!#REF!</f>
        <v>#REF!</v>
      </c>
      <c r="AK14" s="38" t="e">
        <f>'Evolutive SFP'!#REF!/'Evolutive SFP'!#REF!</f>
        <v>#REF!</v>
      </c>
      <c r="AL14" s="38" t="e">
        <f>'Evolutive SFP'!#REF!/'Evolutive SFP'!#REF!</f>
        <v>#REF!</v>
      </c>
      <c r="AM14" s="38" t="e">
        <f>'Evolutive SFP'!#REF!/'Evolutive SFP'!#REF!</f>
        <v>#REF!</v>
      </c>
      <c r="AN14" s="38" t="e">
        <f>'Evolutive SFP'!#REF!/'Evolutive SFP'!#REF!</f>
        <v>#REF!</v>
      </c>
      <c r="AO14" s="38" t="e">
        <f>'Evolutive SFP'!#REF!/'Evolutive SFP'!#REF!</f>
        <v>#REF!</v>
      </c>
      <c r="AP14" s="38" t="e">
        <f>'Evolutive SFP'!#REF!/'Evolutive SFP'!#REF!</f>
        <v>#REF!</v>
      </c>
      <c r="AQ14" s="38" t="e">
        <f>'Evolutive SFP'!#REF!/'Evolutive SFP'!#REF!</f>
        <v>#REF!</v>
      </c>
      <c r="AR14" s="38" t="e">
        <f>'Evolutive SFP'!#REF!/'Evolutive SFP'!#REF!</f>
        <v>#REF!</v>
      </c>
      <c r="AS14" s="38" t="e">
        <f>'Evolutive SFP'!#REF!/'Evolutive SFP'!#REF!</f>
        <v>#REF!</v>
      </c>
      <c r="AT14" s="38">
        <f>'Evolutive SFP'!BV37/'Evolutive SFP'!BV27</f>
        <v>0</v>
      </c>
      <c r="AU14" s="38">
        <f>'Evolutive SFP'!BW37/'Evolutive SFP'!BW27</f>
        <v>0</v>
      </c>
      <c r="AV14" s="38">
        <f>'Evolutive SFP'!BX37/'Evolutive SFP'!BX27</f>
        <v>0</v>
      </c>
      <c r="AW14" s="38">
        <f>'Evolutive SFP'!BY37/'Evolutive SFP'!BY27</f>
        <v>0</v>
      </c>
      <c r="AX14" s="38">
        <f>'Evolutive SFP'!BZ37/'Evolutive SFP'!BZ27</f>
        <v>0</v>
      </c>
      <c r="AY14" s="38">
        <f>'Evolutive SFP'!CA37/'Evolutive SFP'!CA27</f>
        <v>0</v>
      </c>
      <c r="AZ14" s="38">
        <f>'Evolutive SFP'!CB37/'Evolutive SFP'!CB27</f>
        <v>0</v>
      </c>
      <c r="BA14" s="38" t="e">
        <f>'Evolutive SFP'!#REF!/'Evolutive SFP'!#REF!</f>
        <v>#REF!</v>
      </c>
      <c r="BB14" s="38">
        <f>'Evolutive SFP'!CC37/'Evolutive SFP'!CC27</f>
        <v>0</v>
      </c>
      <c r="BC14" s="38">
        <f>'Evolutive SFP'!CD37/'Evolutive SFP'!CD27</f>
        <v>0</v>
      </c>
      <c r="BD14" s="38">
        <f>'Evolutive SFP'!CE37/'Evolutive SFP'!CE27</f>
        <v>0</v>
      </c>
      <c r="BE14" s="38">
        <f>'Evolutive SFP'!CF37/'Evolutive SFP'!CF27</f>
        <v>0</v>
      </c>
      <c r="BF14" s="38">
        <f>'Evolutive SFP'!CG37/'Evolutive SFP'!CG27</f>
        <v>0</v>
      </c>
      <c r="BG14" s="38">
        <f>'Evolutive SFP'!CH37/'Evolutive SFP'!CH27</f>
        <v>0</v>
      </c>
      <c r="BH14" s="38">
        <f>'Evolutive SFP'!CI37/'Evolutive SFP'!CI27</f>
        <v>0</v>
      </c>
      <c r="BI14" s="38">
        <f>'Evolutive SFP'!CJ37/'Evolutive SFP'!CJ27</f>
        <v>0</v>
      </c>
      <c r="BJ14" s="38">
        <f>'Evolutive SFP'!CK37/'Evolutive SFP'!CK27</f>
        <v>0</v>
      </c>
      <c r="BK14" s="38">
        <f>'Evolutive SFP'!CL37/'Evolutive SFP'!CL27</f>
        <v>0</v>
      </c>
      <c r="BL14" s="38">
        <f>'Evolutive SFP'!CM37/'Evolutive SFP'!CM27</f>
        <v>0</v>
      </c>
      <c r="BM14" s="38">
        <f>'Evolutive SFP'!CN37/'Evolutive SFP'!CN27</f>
        <v>0</v>
      </c>
      <c r="BN14" s="38">
        <f>'Evolutive SFP'!CO37/'Evolutive SFP'!CO27</f>
        <v>0</v>
      </c>
      <c r="BO14" s="38">
        <f>'Evolutive SFP'!CP37/'Evolutive SFP'!CP27</f>
        <v>0</v>
      </c>
      <c r="BP14" s="38">
        <f>'Evolutive SFP'!CQ37/'Evolutive SFP'!CQ27</f>
        <v>0</v>
      </c>
      <c r="BQ14" s="38">
        <f>'Evolutive SFP'!CR37/'Evolutive SFP'!CR27</f>
        <v>0</v>
      </c>
      <c r="BR14" s="38">
        <f>'Evolutive SFP'!CS37/'Evolutive SFP'!CS27</f>
        <v>0</v>
      </c>
      <c r="BS14" s="38">
        <f>'Evolutive SFP'!CT37/'Evolutive SFP'!CT27</f>
        <v>0</v>
      </c>
      <c r="BT14" s="38">
        <f>'Evolutive SFP'!CU37/'Evolutive SFP'!CU27</f>
        <v>0</v>
      </c>
      <c r="BU14" s="38">
        <f>'Evolutive SFP'!CV37/'Evolutive SFP'!CV27</f>
        <v>0</v>
      </c>
      <c r="BV14" s="38">
        <f>'Evolutive SFP'!CW37/'Evolutive SFP'!CW27</f>
        <v>0</v>
      </c>
      <c r="BW14" s="38">
        <f>'Evolutive SFP'!CX37/'Evolutive SFP'!CX27</f>
        <v>0</v>
      </c>
      <c r="BX14" s="38">
        <f>'Evolutive SFP'!CY37/'Evolutive SFP'!CY27</f>
        <v>0</v>
      </c>
      <c r="BY14" s="38">
        <f>'Evolutive SFP'!CZ37/'Evolutive SFP'!CZ27</f>
        <v>0</v>
      </c>
      <c r="BZ14" s="38">
        <f>'Evolutive SFP'!DA37/'Evolutive SFP'!DA27</f>
        <v>0</v>
      </c>
      <c r="CA14" s="38">
        <f>'Evolutive SFP'!DB37/'Evolutive SFP'!DB27</f>
        <v>0</v>
      </c>
      <c r="CB14" s="38">
        <f>'Evolutive SFP'!DC37/'Evolutive SFP'!DC27</f>
        <v>0</v>
      </c>
      <c r="CC14" s="38">
        <f>'Evolutive SFP'!DD37/'Evolutive SFP'!DD27</f>
        <v>0</v>
      </c>
      <c r="CD14" s="38">
        <f>'Evolutive SFP'!DE37/'Evolutive SFP'!DE27</f>
        <v>0</v>
      </c>
    </row>
    <row r="15" spans="1:82" ht="15.75">
      <c r="A15" s="441"/>
      <c r="B15" s="3" t="s">
        <v>219</v>
      </c>
      <c r="C15" s="11"/>
      <c r="D15" s="34" t="e">
        <f>'Evolutive SFP'!#REF!/'Evolutive SFP'!#REF!</f>
        <v>#REF!</v>
      </c>
      <c r="E15" s="34" t="e">
        <f>'Evolutive SFP'!#REF!/'Evolutive SFP'!#REF!</f>
        <v>#REF!</v>
      </c>
      <c r="F15" s="34" t="e">
        <f>'Evolutive SFP'!#REF!/'Evolutive SFP'!#REF!</f>
        <v>#REF!</v>
      </c>
      <c r="G15" s="34" t="e">
        <f>'Evolutive SFP'!#REF!/'Evolutive SFP'!#REF!</f>
        <v>#REF!</v>
      </c>
      <c r="H15" s="34" t="e">
        <f>'Evolutive SFP'!#REF!/'Evolutive SFP'!#REF!</f>
        <v>#REF!</v>
      </c>
      <c r="I15" s="34" t="e">
        <f>'Evolutive SFP'!#REF!/'Evolutive SFP'!#REF!</f>
        <v>#REF!</v>
      </c>
      <c r="J15" s="34" t="e">
        <f>'Evolutive SFP'!#REF!/'Evolutive SFP'!#REF!</f>
        <v>#REF!</v>
      </c>
      <c r="K15" s="34" t="e">
        <f>'Evolutive SFP'!#REF!/'Evolutive SFP'!#REF!</f>
        <v>#REF!</v>
      </c>
      <c r="L15" s="34" t="e">
        <f>'Evolutive SFP'!#REF!/'Evolutive SFP'!#REF!</f>
        <v>#REF!</v>
      </c>
      <c r="M15" s="34" t="e">
        <f>'Evolutive SFP'!#REF!/'Evolutive SFP'!#REF!</f>
        <v>#REF!</v>
      </c>
      <c r="N15" s="34" t="e">
        <f>'Evolutive SFP'!#REF!/'Evolutive SFP'!#REF!</f>
        <v>#REF!</v>
      </c>
      <c r="O15" s="34" t="e">
        <f>'Evolutive SFP'!#REF!/'Evolutive SFP'!#REF!</f>
        <v>#REF!</v>
      </c>
      <c r="P15" s="34" t="e">
        <f>'Evolutive SFP'!#REF!/'Evolutive SFP'!#REF!</f>
        <v>#REF!</v>
      </c>
      <c r="Q15" s="34" t="e">
        <f>'Evolutive SFP'!#REF!/'Evolutive SFP'!#REF!</f>
        <v>#REF!</v>
      </c>
      <c r="R15" s="34" t="e">
        <f>'Evolutive SFP'!#REF!/'Evolutive SFP'!#REF!</f>
        <v>#REF!</v>
      </c>
      <c r="S15" s="38" t="e">
        <f>'Evolutive SFP'!#REF!/'Evolutive SFP'!#REF!</f>
        <v>#REF!</v>
      </c>
      <c r="T15" s="38" t="e">
        <f>'Evolutive SFP'!#REF!/'Evolutive SFP'!#REF!</f>
        <v>#REF!</v>
      </c>
      <c r="U15" s="38" t="e">
        <f>'Evolutive SFP'!#REF!/'Evolutive SFP'!#REF!</f>
        <v>#REF!</v>
      </c>
      <c r="V15" s="38" t="e">
        <f>'Evolutive SFP'!#REF!/'Evolutive SFP'!#REF!</f>
        <v>#REF!</v>
      </c>
      <c r="W15" s="38" t="e">
        <f>'Evolutive SFP'!#REF!/'Evolutive SFP'!#REF!</f>
        <v>#REF!</v>
      </c>
      <c r="X15" s="38" t="e">
        <f>'Evolutive SFP'!#REF!/'Evolutive SFP'!#REF!</f>
        <v>#REF!</v>
      </c>
      <c r="Y15" s="38" t="e">
        <f>'Evolutive SFP'!#REF!/'Evolutive SFP'!#REF!</f>
        <v>#REF!</v>
      </c>
      <c r="Z15" s="38" t="e">
        <f>'Evolutive SFP'!#REF!/'Evolutive SFP'!#REF!</f>
        <v>#REF!</v>
      </c>
      <c r="AA15" s="38" t="e">
        <f>'Evolutive SFP'!#REF!/'Evolutive SFP'!#REF!</f>
        <v>#REF!</v>
      </c>
      <c r="AB15" s="38" t="e">
        <f>'Evolutive SFP'!#REF!/'Evolutive SFP'!#REF!</f>
        <v>#REF!</v>
      </c>
      <c r="AC15" s="38" t="e">
        <f>'Evolutive SFP'!#REF!/'Evolutive SFP'!#REF!</f>
        <v>#REF!</v>
      </c>
      <c r="AD15" s="38" t="e">
        <f>'Evolutive SFP'!#REF!/'Evolutive SFP'!#REF!</f>
        <v>#REF!</v>
      </c>
      <c r="AE15" s="38" t="e">
        <f>'Evolutive SFP'!#REF!/'Evolutive SFP'!#REF!</f>
        <v>#REF!</v>
      </c>
      <c r="AF15" s="38" t="e">
        <f>'Evolutive SFP'!#REF!/'Evolutive SFP'!#REF!</f>
        <v>#REF!</v>
      </c>
      <c r="AG15" s="38" t="e">
        <f>'Evolutive SFP'!#REF!/'Evolutive SFP'!#REF!</f>
        <v>#REF!</v>
      </c>
      <c r="AH15" s="38" t="e">
        <f>'Evolutive SFP'!#REF!/'Evolutive SFP'!#REF!</f>
        <v>#REF!</v>
      </c>
      <c r="AI15" s="38" t="e">
        <f>'Evolutive SFP'!#REF!/'Evolutive SFP'!#REF!</f>
        <v>#REF!</v>
      </c>
      <c r="AJ15" s="38" t="e">
        <f>'Evolutive SFP'!#REF!/'Evolutive SFP'!#REF!</f>
        <v>#REF!</v>
      </c>
      <c r="AK15" s="38" t="e">
        <f>'Evolutive SFP'!#REF!/'Evolutive SFP'!#REF!</f>
        <v>#REF!</v>
      </c>
      <c r="AL15" s="38" t="e">
        <f>'Evolutive SFP'!#REF!/'Evolutive SFP'!#REF!</f>
        <v>#REF!</v>
      </c>
      <c r="AM15" s="38" t="e">
        <f>'Evolutive SFP'!#REF!/'Evolutive SFP'!#REF!</f>
        <v>#REF!</v>
      </c>
      <c r="AN15" s="38" t="e">
        <f>'Evolutive SFP'!#REF!/'Evolutive SFP'!#REF!</f>
        <v>#REF!</v>
      </c>
      <c r="AO15" s="38" t="e">
        <f>'Evolutive SFP'!#REF!/'Evolutive SFP'!#REF!</f>
        <v>#REF!</v>
      </c>
      <c r="AP15" s="38" t="e">
        <f>'Evolutive SFP'!#REF!/'Evolutive SFP'!#REF!</f>
        <v>#REF!</v>
      </c>
      <c r="AQ15" s="38" t="e">
        <f>'Evolutive SFP'!#REF!/'Evolutive SFP'!#REF!</f>
        <v>#REF!</v>
      </c>
      <c r="AR15" s="38" t="e">
        <f>'Evolutive SFP'!#REF!/'Evolutive SFP'!#REF!</f>
        <v>#REF!</v>
      </c>
      <c r="AS15" s="38" t="e">
        <f>'Evolutive SFP'!#REF!/'Evolutive SFP'!#REF!</f>
        <v>#REF!</v>
      </c>
      <c r="AT15" s="38">
        <f>'Evolutive SFP'!BV4/'Evolutive SFP'!BV27</f>
        <v>5.6964397209568508E-2</v>
      </c>
      <c r="AU15" s="38">
        <f>'Evolutive SFP'!BW4/'Evolutive SFP'!BW27</f>
        <v>7.3105589654639369E-2</v>
      </c>
      <c r="AV15" s="38">
        <f>'Evolutive SFP'!BX4/'Evolutive SFP'!BX27</f>
        <v>7.6471774627468042E-2</v>
      </c>
      <c r="AW15" s="38">
        <f>'Evolutive SFP'!BY4/'Evolutive SFP'!BY27</f>
        <v>8.0742665232950026E-2</v>
      </c>
      <c r="AX15" s="38">
        <f>'Evolutive SFP'!BZ4/'Evolutive SFP'!BZ27</f>
        <v>0.28896504778193233</v>
      </c>
      <c r="AY15" s="38">
        <f>'Evolutive SFP'!CA4/'Evolutive SFP'!CA27</f>
        <v>0.21494752749664844</v>
      </c>
      <c r="AZ15" s="38">
        <f>'Evolutive SFP'!CB4/'Evolutive SFP'!CB27</f>
        <v>0.34844712578796716</v>
      </c>
      <c r="BA15" s="38" t="e">
        <f>'Evolutive SFP'!#REF!/'Evolutive SFP'!#REF!</f>
        <v>#REF!</v>
      </c>
      <c r="BB15" s="38">
        <f>'Evolutive SFP'!CC4/'Evolutive SFP'!CC27</f>
        <v>0.17006981599307266</v>
      </c>
      <c r="BC15" s="38">
        <f>'Evolutive SFP'!CD4/'Evolutive SFP'!CD27</f>
        <v>0.34299559058170487</v>
      </c>
      <c r="BD15" s="38">
        <f>'Evolutive SFP'!CE4/'Evolutive SFP'!CE27</f>
        <v>0.17520561305231594</v>
      </c>
      <c r="BE15" s="38">
        <f>'Evolutive SFP'!CF4/'Evolutive SFP'!CF27</f>
        <v>5.9681972131844951E-2</v>
      </c>
      <c r="BF15" s="38">
        <f>'Evolutive SFP'!CG4/'Evolutive SFP'!CG27</f>
        <v>9.0058295425736359E-2</v>
      </c>
      <c r="BG15" s="38">
        <f>'Evolutive SFP'!CH4/'Evolutive SFP'!CH27</f>
        <v>9.0058295622829881E-2</v>
      </c>
      <c r="BH15" s="38">
        <f>'Evolutive SFP'!CI4/'Evolutive SFP'!CI27</f>
        <v>3.9988928015485578E-2</v>
      </c>
      <c r="BI15" s="38">
        <f>'Evolutive SFP'!CJ4/'Evolutive SFP'!CJ27</f>
        <v>8.5534182375805096E-2</v>
      </c>
      <c r="BJ15" s="38">
        <f>'Evolutive SFP'!CK4/'Evolutive SFP'!CK27</f>
        <v>0.10892023244236555</v>
      </c>
      <c r="BK15" s="38">
        <f>'Evolutive SFP'!CL4/'Evolutive SFP'!CL27</f>
        <v>0.14720149596089099</v>
      </c>
      <c r="BL15" s="38">
        <f>'Evolutive SFP'!CM4/'Evolutive SFP'!CM27</f>
        <v>0.13842788604640333</v>
      </c>
      <c r="BM15" s="38">
        <f>'Evolutive SFP'!CN4/'Evolutive SFP'!CN27</f>
        <v>0.1235197239867637</v>
      </c>
      <c r="BN15" s="38">
        <f>'Evolutive SFP'!CO4/'Evolutive SFP'!CO27</f>
        <v>0.13879545279681374</v>
      </c>
      <c r="BO15" s="38">
        <f>'Evolutive SFP'!CP4/'Evolutive SFP'!CP27</f>
        <v>0.11202511296554059</v>
      </c>
      <c r="BP15" s="38">
        <f>'Evolutive SFP'!CQ4/'Evolutive SFP'!CQ27</f>
        <v>0.35548949384587691</v>
      </c>
      <c r="BQ15" s="38">
        <f>'Evolutive SFP'!CR4/'Evolutive SFP'!CR27</f>
        <v>0.52508610699562219</v>
      </c>
      <c r="BR15" s="38">
        <f>'Evolutive SFP'!CS4/'Evolutive SFP'!CS27</f>
        <v>0.40399849072127419</v>
      </c>
      <c r="BS15" s="38">
        <f>'Evolutive SFP'!CT4/'Evolutive SFP'!CT27</f>
        <v>0.39237357794338723</v>
      </c>
      <c r="BT15" s="38">
        <f>'Evolutive SFP'!CU4/'Evolutive SFP'!CU27</f>
        <v>0.42102989671335922</v>
      </c>
      <c r="BU15" s="38">
        <f>'Evolutive SFP'!CV4/'Evolutive SFP'!CV27</f>
        <v>0.26388555096644023</v>
      </c>
      <c r="BV15" s="38">
        <f>'Evolutive SFP'!CW4/'Evolutive SFP'!CW27</f>
        <v>0.23674240290395854</v>
      </c>
      <c r="BW15" s="38">
        <f>'Evolutive SFP'!CX4/'Evolutive SFP'!CX27</f>
        <v>0.22859196970497372</v>
      </c>
      <c r="BX15" s="38">
        <f>'Evolutive SFP'!CY4/'Evolutive SFP'!CY27</f>
        <v>0.23953721036839365</v>
      </c>
      <c r="BY15" s="38">
        <f>'Evolutive SFP'!CZ4/'Evolutive SFP'!CZ27</f>
        <v>0.24918079344387653</v>
      </c>
      <c r="BZ15" s="38">
        <f>'Evolutive SFP'!DA4/'Evolutive SFP'!DA27</f>
        <v>0.23018806751625998</v>
      </c>
      <c r="CA15" s="38">
        <f>'Evolutive SFP'!DB4/'Evolutive SFP'!DB27</f>
        <v>0.26545609013088045</v>
      </c>
      <c r="CB15" s="38">
        <f>'Evolutive SFP'!DC4/'Evolutive SFP'!DC27</f>
        <v>0.41720220626534138</v>
      </c>
      <c r="CC15" s="38">
        <f>'Evolutive SFP'!DD4/'Evolutive SFP'!DD27</f>
        <v>0.33874042767113743</v>
      </c>
      <c r="CD15" s="38">
        <f>'Evolutive SFP'!DE4/'Evolutive SFP'!DE27</f>
        <v>0.30053852234977296</v>
      </c>
    </row>
    <row r="16" spans="1:82" ht="15.75">
      <c r="A16" s="441" t="s">
        <v>220</v>
      </c>
      <c r="B16" s="3" t="s">
        <v>221</v>
      </c>
      <c r="C16" s="11" t="s">
        <v>222</v>
      </c>
      <c r="D16" s="34" t="e">
        <f>('Evolutive SFP'!#REF!+'Evolutive SFP'!#REF!)/'Evolutive SFP'!#REF!</f>
        <v>#REF!</v>
      </c>
      <c r="E16" s="34" t="e">
        <f>('Evolutive SFP'!#REF!+'Evolutive SFP'!#REF!)/'Evolutive SFP'!#REF!</f>
        <v>#REF!</v>
      </c>
      <c r="F16" s="34" t="e">
        <f>('Evolutive SFP'!#REF!+'Evolutive SFP'!#REF!)/'Evolutive SFP'!#REF!</f>
        <v>#REF!</v>
      </c>
      <c r="G16" s="34" t="e">
        <f>('Evolutive SFP'!#REF!+'Evolutive SFP'!#REF!)/'Evolutive SFP'!#REF!</f>
        <v>#REF!</v>
      </c>
      <c r="H16" s="34" t="e">
        <f>('Evolutive SFP'!#REF!+'Evolutive SFP'!#REF!)/'Evolutive SFP'!#REF!</f>
        <v>#REF!</v>
      </c>
      <c r="I16" s="34" t="e">
        <f>('Evolutive SFP'!#REF!+'Evolutive SFP'!#REF!)/'Evolutive SFP'!#REF!</f>
        <v>#REF!</v>
      </c>
      <c r="J16" s="34" t="e">
        <f>('Evolutive SFP'!#REF!+'Evolutive SFP'!#REF!)/'Evolutive SFP'!#REF!</f>
        <v>#REF!</v>
      </c>
      <c r="K16" s="34" t="e">
        <f>('Evolutive SFP'!#REF!+'Evolutive SFP'!#REF!)/'Evolutive SFP'!#REF!</f>
        <v>#REF!</v>
      </c>
      <c r="L16" s="34" t="e">
        <f>('Evolutive SFP'!#REF!+'Evolutive SFP'!#REF!)/'Evolutive SFP'!#REF!</f>
        <v>#REF!</v>
      </c>
      <c r="M16" s="34" t="e">
        <f>('Evolutive SFP'!#REF!+'Evolutive SFP'!#REF!)/'Evolutive SFP'!#REF!</f>
        <v>#REF!</v>
      </c>
      <c r="N16" s="34" t="e">
        <f>('Evolutive SFP'!#REF!+'Evolutive SFP'!#REF!)/'Evolutive SFP'!#REF!</f>
        <v>#REF!</v>
      </c>
      <c r="O16" s="34" t="e">
        <f>('Evolutive SFP'!#REF!+'Evolutive SFP'!#REF!)/'Evolutive SFP'!#REF!</f>
        <v>#REF!</v>
      </c>
      <c r="P16" s="34" t="e">
        <f>('Evolutive SFP'!#REF!+'Evolutive SFP'!#REF!)/'Evolutive SFP'!#REF!</f>
        <v>#REF!</v>
      </c>
      <c r="Q16" s="34" t="e">
        <f>('Evolutive SFP'!#REF!+'Evolutive SFP'!#REF!)/'Evolutive SFP'!#REF!</f>
        <v>#REF!</v>
      </c>
      <c r="R16" s="34" t="e">
        <f>('Evolutive SFP'!#REF!+'Evolutive SFP'!#REF!)/'Evolutive SFP'!#REF!</f>
        <v>#REF!</v>
      </c>
      <c r="S16" s="38" t="e">
        <f>('Evolutive SFP'!#REF!+'Evolutive SFP'!#REF!)/'Evolutive SFP'!#REF!</f>
        <v>#REF!</v>
      </c>
      <c r="T16" s="38" t="e">
        <f>('Evolutive SFP'!#REF!+'Evolutive SFP'!#REF!)/'Evolutive SFP'!#REF!</f>
        <v>#REF!</v>
      </c>
      <c r="U16" s="38" t="e">
        <f>('Evolutive SFP'!#REF!+'Evolutive SFP'!#REF!)/'Evolutive SFP'!#REF!</f>
        <v>#REF!</v>
      </c>
      <c r="V16" s="38" t="e">
        <f>('Evolutive SFP'!#REF!+'Evolutive SFP'!#REF!)/'Evolutive SFP'!#REF!</f>
        <v>#REF!</v>
      </c>
      <c r="W16" s="38" t="e">
        <f>('Evolutive SFP'!#REF!+'Evolutive SFP'!#REF!)/'Evolutive SFP'!#REF!</f>
        <v>#REF!</v>
      </c>
      <c r="X16" s="38" t="e">
        <f>('Evolutive SFP'!#REF!+'Evolutive SFP'!#REF!)/'Evolutive SFP'!#REF!</f>
        <v>#REF!</v>
      </c>
      <c r="Y16" s="38" t="e">
        <f>('Evolutive SFP'!#REF!+'Evolutive SFP'!#REF!)/'Evolutive SFP'!#REF!</f>
        <v>#REF!</v>
      </c>
      <c r="Z16" s="38" t="e">
        <f>('Evolutive SFP'!#REF!+'Evolutive SFP'!#REF!)/'Evolutive SFP'!#REF!</f>
        <v>#REF!</v>
      </c>
      <c r="AA16" s="38" t="e">
        <f>('Evolutive SFP'!#REF!+'Evolutive SFP'!#REF!)/'Evolutive SFP'!#REF!</f>
        <v>#REF!</v>
      </c>
      <c r="AB16" s="38" t="e">
        <f>('Evolutive SFP'!#REF!+'Evolutive SFP'!#REF!)/'Evolutive SFP'!#REF!</f>
        <v>#REF!</v>
      </c>
      <c r="AC16" s="38" t="e">
        <f>('Evolutive SFP'!#REF!+'Evolutive SFP'!#REF!)/'Evolutive SFP'!#REF!</f>
        <v>#REF!</v>
      </c>
      <c r="AD16" s="38" t="e">
        <f>('Evolutive SFP'!#REF!+'Evolutive SFP'!#REF!)/'Evolutive SFP'!#REF!</f>
        <v>#REF!</v>
      </c>
      <c r="AE16" s="38" t="e">
        <f>('Evolutive SFP'!#REF!+'Evolutive SFP'!#REF!)/'Evolutive SFP'!#REF!</f>
        <v>#REF!</v>
      </c>
      <c r="AF16" s="38" t="e">
        <f>('Evolutive SFP'!#REF!+'Evolutive SFP'!#REF!)/'Evolutive SFP'!#REF!</f>
        <v>#REF!</v>
      </c>
      <c r="AG16" s="38" t="e">
        <f>('Evolutive SFP'!#REF!+'Evolutive SFP'!#REF!)/'Evolutive SFP'!#REF!</f>
        <v>#REF!</v>
      </c>
      <c r="AH16" s="38" t="e">
        <f>('Evolutive SFP'!#REF!+'Evolutive SFP'!#REF!)/'Evolutive SFP'!#REF!</f>
        <v>#REF!</v>
      </c>
      <c r="AI16" s="38" t="e">
        <f>('Evolutive SFP'!#REF!+'Evolutive SFP'!#REF!)/'Evolutive SFP'!#REF!</f>
        <v>#REF!</v>
      </c>
      <c r="AJ16" s="38" t="e">
        <f>('Evolutive SFP'!#REF!+'Evolutive SFP'!#REF!)/'Evolutive SFP'!#REF!</f>
        <v>#REF!</v>
      </c>
      <c r="AK16" s="38" t="e">
        <f>('Evolutive SFP'!#REF!+'Evolutive SFP'!#REF!)/'Evolutive SFP'!#REF!</f>
        <v>#REF!</v>
      </c>
      <c r="AL16" s="38" t="e">
        <f>('Evolutive SFP'!#REF!+'Evolutive SFP'!#REF!)/'Evolutive SFP'!#REF!</f>
        <v>#REF!</v>
      </c>
      <c r="AM16" s="38" t="e">
        <f>('Evolutive SFP'!#REF!+'Evolutive SFP'!#REF!)/'Evolutive SFP'!#REF!</f>
        <v>#REF!</v>
      </c>
      <c r="AN16" s="38" t="e">
        <f>('Evolutive SFP'!#REF!+'Evolutive SFP'!#REF!)/'Evolutive SFP'!#REF!</f>
        <v>#REF!</v>
      </c>
      <c r="AO16" s="38" t="e">
        <f>('Evolutive SFP'!#REF!+'Evolutive SFP'!#REF!)/'Evolutive SFP'!#REF!</f>
        <v>#REF!</v>
      </c>
      <c r="AP16" s="38" t="e">
        <f>('Evolutive SFP'!#REF!+'Evolutive SFP'!#REF!)/'Evolutive SFP'!#REF!</f>
        <v>#REF!</v>
      </c>
      <c r="AQ16" s="38" t="e">
        <f>('Evolutive SFP'!#REF!+'Evolutive SFP'!#REF!)/'Evolutive SFP'!#REF!</f>
        <v>#REF!</v>
      </c>
      <c r="AR16" s="38" t="e">
        <f>('Evolutive SFP'!#REF!+'Evolutive SFP'!#REF!)/'Evolutive SFP'!#REF!</f>
        <v>#REF!</v>
      </c>
      <c r="AS16" s="38" t="e">
        <f>('Evolutive SFP'!#REF!+'Evolutive SFP'!#REF!)/'Evolutive SFP'!#REF!</f>
        <v>#REF!</v>
      </c>
      <c r="AT16" s="38">
        <f>('Evolutive SFP'!BV7+'Evolutive SFP'!BV21)/'Evolutive SFP'!BV27</f>
        <v>0.36746879498518215</v>
      </c>
      <c r="AU16" s="38">
        <f>('Evolutive SFP'!BW7+'Evolutive SFP'!BW21)/'Evolutive SFP'!BW27</f>
        <v>0.19814853624019868</v>
      </c>
      <c r="AV16" s="38">
        <f>('Evolutive SFP'!BX7+'Evolutive SFP'!BX21)/'Evolutive SFP'!BX27</f>
        <v>0.19624893328452986</v>
      </c>
      <c r="AW16" s="38">
        <f>('Evolutive SFP'!BY7+'Evolutive SFP'!BY21)/'Evolutive SFP'!BY27</f>
        <v>0.19776978159794761</v>
      </c>
      <c r="AX16" s="38">
        <f>('Evolutive SFP'!BZ7+'Evolutive SFP'!BZ21)/'Evolutive SFP'!BZ27</f>
        <v>0.17666891143428382</v>
      </c>
      <c r="AY16" s="38">
        <f>('Evolutive SFP'!CA7+'Evolutive SFP'!CA21)/'Evolutive SFP'!CA27</f>
        <v>0.18676669089629011</v>
      </c>
      <c r="AZ16" s="38">
        <f>('Evolutive SFP'!CB7+'Evolutive SFP'!CB21)/'Evolutive SFP'!CB27</f>
        <v>0.15137981166792361</v>
      </c>
      <c r="BA16" s="38" t="e">
        <f>('Evolutive SFP'!#REF!+'Evolutive SFP'!#REF!)/'Evolutive SFP'!#REF!</f>
        <v>#REF!</v>
      </c>
      <c r="BB16" s="38">
        <f>('Evolutive SFP'!CC7+'Evolutive SFP'!CC21)/'Evolutive SFP'!CC27</f>
        <v>0.16597869692856029</v>
      </c>
      <c r="BC16" s="38">
        <f>('Evolutive SFP'!CD7+'Evolutive SFP'!CD21)/'Evolutive SFP'!CD27</f>
        <v>0.12270392217982841</v>
      </c>
      <c r="BD16" s="38">
        <f>('Evolutive SFP'!CE7+'Evolutive SFP'!CE21)/'Evolutive SFP'!CE27</f>
        <v>0.14730117606183166</v>
      </c>
      <c r="BE16" s="38">
        <f>('Evolutive SFP'!CF7+'Evolutive SFP'!CF21)/'Evolutive SFP'!CF27</f>
        <v>0.16012458949155928</v>
      </c>
      <c r="BF16" s="38">
        <f>('Evolutive SFP'!CG7+'Evolutive SFP'!CG21)/'Evolutive SFP'!CG27</f>
        <v>0.17069966050835622</v>
      </c>
      <c r="BG16" s="38">
        <f>('Evolutive SFP'!CH7+'Evolutive SFP'!CH21)/'Evolutive SFP'!CH27</f>
        <v>0.17069966039919285</v>
      </c>
      <c r="BH16" s="38">
        <f>('Evolutive SFP'!CI7+'Evolutive SFP'!CI21)/'Evolutive SFP'!CI27</f>
        <v>0.17644880869361887</v>
      </c>
      <c r="BI16" s="38">
        <f>('Evolutive SFP'!CJ7+'Evolutive SFP'!CJ21)/'Evolutive SFP'!CJ27</f>
        <v>0.17779675826080743</v>
      </c>
      <c r="BJ16" s="38">
        <f>('Evolutive SFP'!CK7+'Evolutive SFP'!CK21)/'Evolutive SFP'!CK27</f>
        <v>0.1771544184117391</v>
      </c>
      <c r="BK16" s="38">
        <f>('Evolutive SFP'!CL7+'Evolutive SFP'!CL21)/'Evolutive SFP'!CL27</f>
        <v>0.17688836796526913</v>
      </c>
      <c r="BL16" s="38">
        <f>('Evolutive SFP'!CM7+'Evolutive SFP'!CM21)/'Evolutive SFP'!CM27</f>
        <v>0.17956625692540035</v>
      </c>
      <c r="BM16" s="38">
        <f>('Evolutive SFP'!CN7+'Evolutive SFP'!CN21)/'Evolutive SFP'!CN27</f>
        <v>0.18201830350837364</v>
      </c>
      <c r="BN16" s="38">
        <f>('Evolutive SFP'!CO7+'Evolutive SFP'!CO21)/'Evolutive SFP'!CO27</f>
        <v>0.18533908048795117</v>
      </c>
      <c r="BO16" s="38">
        <f>('Evolutive SFP'!CP7+'Evolutive SFP'!CP21)/'Evolutive SFP'!CP27</f>
        <v>0.18799483567891867</v>
      </c>
      <c r="BP16" s="38">
        <f>('Evolutive SFP'!CQ7+'Evolutive SFP'!CQ21)/'Evolutive SFP'!CQ27</f>
        <v>0.13879610310685306</v>
      </c>
      <c r="BQ16" s="38">
        <f>('Evolutive SFP'!CR7+'Evolutive SFP'!CR21)/'Evolutive SFP'!CR27</f>
        <v>0.13691584699971801</v>
      </c>
      <c r="BR16" s="38">
        <f>('Evolutive SFP'!CS7+'Evolutive SFP'!CS21)/'Evolutive SFP'!CS27</f>
        <v>0.14883688812854953</v>
      </c>
      <c r="BS16" s="38">
        <f>('Evolutive SFP'!CT7+'Evolutive SFP'!CT21)/'Evolutive SFP'!CT27</f>
        <v>0.15412471507146258</v>
      </c>
      <c r="BT16" s="38">
        <f>('Evolutive SFP'!CU7+'Evolutive SFP'!CU21)/'Evolutive SFP'!CU27</f>
        <v>0.12546839826074413</v>
      </c>
      <c r="BU16" s="38">
        <f>('Evolutive SFP'!CV7+'Evolutive SFP'!CV21)/'Evolutive SFP'!CV27</f>
        <v>0.12891124503252813</v>
      </c>
      <c r="BV16" s="38">
        <f>('Evolutive SFP'!CW7+'Evolutive SFP'!CW21)/'Evolutive SFP'!CW27</f>
        <v>0.12976031772272048</v>
      </c>
      <c r="BW16" s="38">
        <f>('Evolutive SFP'!CX7+'Evolutive SFP'!CX21)/'Evolutive SFP'!CX27</f>
        <v>0.12996935542376281</v>
      </c>
      <c r="BX16" s="38">
        <f>('Evolutive SFP'!CY7+'Evolutive SFP'!CY21)/'Evolutive SFP'!CY27</f>
        <v>0.12801637203099392</v>
      </c>
      <c r="BY16" s="38">
        <f>('Evolutive SFP'!CZ7+'Evolutive SFP'!CZ21)/'Evolutive SFP'!CZ27</f>
        <v>0.12836613404187369</v>
      </c>
      <c r="BZ16" s="38">
        <f>('Evolutive SFP'!DA7+'Evolutive SFP'!DA21)/'Evolutive SFP'!DA27</f>
        <v>0.1288586213517886</v>
      </c>
      <c r="CA16" s="38">
        <f>('Evolutive SFP'!DB7+'Evolutive SFP'!DB21)/'Evolutive SFP'!DB27</f>
        <v>0.1255174119269365</v>
      </c>
      <c r="CB16" s="38">
        <f>('Evolutive SFP'!DC7+'Evolutive SFP'!DC21)/'Evolutive SFP'!DC27</f>
        <v>0.10640553337381259</v>
      </c>
      <c r="CC16" s="38">
        <f>('Evolutive SFP'!DD7+'Evolutive SFP'!DD21)/'Evolutive SFP'!DD27</f>
        <v>0.11177442946461906</v>
      </c>
      <c r="CD16" s="38">
        <f>('Evolutive SFP'!DE7+'Evolutive SFP'!DE21)/'Evolutive SFP'!DE27</f>
        <v>0.11439210574201045</v>
      </c>
    </row>
    <row r="17" spans="1:82" ht="15.75">
      <c r="A17" s="441"/>
      <c r="B17" s="3" t="s">
        <v>223</v>
      </c>
      <c r="C17" s="11" t="s">
        <v>224</v>
      </c>
      <c r="D17" s="34" t="e">
        <f>'Evolutive SFP'!#REF!/'Evolutive SFP'!#REF!</f>
        <v>#REF!</v>
      </c>
      <c r="E17" s="34" t="e">
        <f>'Evolutive SFP'!#REF!/'Evolutive SFP'!#REF!</f>
        <v>#REF!</v>
      </c>
      <c r="F17" s="34" t="e">
        <f>'Evolutive SFP'!#REF!/'Evolutive SFP'!#REF!</f>
        <v>#REF!</v>
      </c>
      <c r="G17" s="34" t="e">
        <f>'Evolutive SFP'!#REF!/'Evolutive SFP'!#REF!</f>
        <v>#REF!</v>
      </c>
      <c r="H17" s="34" t="e">
        <f>'Evolutive SFP'!#REF!/'Evolutive SFP'!#REF!</f>
        <v>#REF!</v>
      </c>
      <c r="I17" s="34" t="e">
        <f>'Evolutive SFP'!#REF!/'Evolutive SFP'!#REF!</f>
        <v>#REF!</v>
      </c>
      <c r="J17" s="34" t="e">
        <f>'Evolutive SFP'!#REF!/'Evolutive SFP'!#REF!</f>
        <v>#REF!</v>
      </c>
      <c r="K17" s="34" t="e">
        <f>'Evolutive SFP'!#REF!/'Evolutive SFP'!#REF!</f>
        <v>#REF!</v>
      </c>
      <c r="L17" s="34" t="e">
        <f>'Evolutive SFP'!#REF!/'Evolutive SFP'!#REF!</f>
        <v>#REF!</v>
      </c>
      <c r="M17" s="34" t="e">
        <f>'Evolutive SFP'!#REF!/'Evolutive SFP'!#REF!</f>
        <v>#REF!</v>
      </c>
      <c r="N17" s="34" t="e">
        <f>'Evolutive SFP'!#REF!/'Evolutive SFP'!#REF!</f>
        <v>#REF!</v>
      </c>
      <c r="O17" s="34" t="e">
        <f>'Evolutive SFP'!#REF!/'Evolutive SFP'!#REF!</f>
        <v>#REF!</v>
      </c>
      <c r="P17" s="34" t="e">
        <f>'Evolutive SFP'!#REF!/'Evolutive SFP'!#REF!</f>
        <v>#REF!</v>
      </c>
      <c r="Q17" s="34" t="e">
        <f>'Evolutive SFP'!#REF!/'Evolutive SFP'!#REF!</f>
        <v>#REF!</v>
      </c>
      <c r="R17" s="34" t="e">
        <f>'Evolutive SFP'!#REF!/'Evolutive SFP'!#REF!</f>
        <v>#REF!</v>
      </c>
      <c r="S17" s="38" t="e">
        <f>'Evolutive SFP'!#REF!/'Evolutive SFP'!#REF!</f>
        <v>#REF!</v>
      </c>
      <c r="T17" s="38" t="e">
        <f>'Evolutive SFP'!#REF!/'Evolutive SFP'!#REF!</f>
        <v>#REF!</v>
      </c>
      <c r="U17" s="38" t="e">
        <f>'Evolutive SFP'!#REF!/'Evolutive SFP'!#REF!</f>
        <v>#REF!</v>
      </c>
      <c r="V17" s="38" t="e">
        <f>'Evolutive SFP'!#REF!/'Evolutive SFP'!#REF!</f>
        <v>#REF!</v>
      </c>
      <c r="W17" s="38" t="e">
        <f>'Evolutive SFP'!#REF!/'Evolutive SFP'!#REF!</f>
        <v>#REF!</v>
      </c>
      <c r="X17" s="38" t="e">
        <f>'Evolutive SFP'!#REF!/'Evolutive SFP'!#REF!</f>
        <v>#REF!</v>
      </c>
      <c r="Y17" s="38" t="e">
        <f>'Evolutive SFP'!#REF!/'Evolutive SFP'!#REF!</f>
        <v>#REF!</v>
      </c>
      <c r="Z17" s="38" t="e">
        <f>'Evolutive SFP'!#REF!/'Evolutive SFP'!#REF!</f>
        <v>#REF!</v>
      </c>
      <c r="AA17" s="38" t="e">
        <f>'Evolutive SFP'!#REF!/'Evolutive SFP'!#REF!</f>
        <v>#REF!</v>
      </c>
      <c r="AB17" s="38" t="e">
        <f>'Evolutive SFP'!#REF!/'Evolutive SFP'!#REF!</f>
        <v>#REF!</v>
      </c>
      <c r="AC17" s="38" t="e">
        <f>'Evolutive SFP'!#REF!/'Evolutive SFP'!#REF!</f>
        <v>#REF!</v>
      </c>
      <c r="AD17" s="38" t="e">
        <f>'Evolutive SFP'!#REF!/'Evolutive SFP'!#REF!</f>
        <v>#REF!</v>
      </c>
      <c r="AE17" s="38" t="e">
        <f>'Evolutive SFP'!#REF!/'Evolutive SFP'!#REF!</f>
        <v>#REF!</v>
      </c>
      <c r="AF17" s="38" t="e">
        <f>'Evolutive SFP'!#REF!/'Evolutive SFP'!#REF!</f>
        <v>#REF!</v>
      </c>
      <c r="AG17" s="38" t="e">
        <f>'Evolutive SFP'!#REF!/'Evolutive SFP'!#REF!</f>
        <v>#REF!</v>
      </c>
      <c r="AH17" s="38" t="e">
        <f>'Evolutive SFP'!#REF!/'Evolutive SFP'!#REF!</f>
        <v>#REF!</v>
      </c>
      <c r="AI17" s="38" t="e">
        <f>'Evolutive SFP'!#REF!/'Evolutive SFP'!#REF!</f>
        <v>#REF!</v>
      </c>
      <c r="AJ17" s="38" t="e">
        <f>'Evolutive SFP'!#REF!/'Evolutive SFP'!#REF!</f>
        <v>#REF!</v>
      </c>
      <c r="AK17" s="38" t="e">
        <f>'Evolutive SFP'!#REF!/'Evolutive SFP'!#REF!</f>
        <v>#REF!</v>
      </c>
      <c r="AL17" s="38" t="e">
        <f>'Evolutive SFP'!#REF!/'Evolutive SFP'!#REF!</f>
        <v>#REF!</v>
      </c>
      <c r="AM17" s="38" t="e">
        <f>'Evolutive SFP'!#REF!/'Evolutive SFP'!#REF!</f>
        <v>#REF!</v>
      </c>
      <c r="AN17" s="38" t="e">
        <f>'Evolutive SFP'!#REF!/'Evolutive SFP'!#REF!</f>
        <v>#REF!</v>
      </c>
      <c r="AO17" s="38" t="e">
        <f>'Evolutive SFP'!#REF!/'Evolutive SFP'!#REF!</f>
        <v>#REF!</v>
      </c>
      <c r="AP17" s="38" t="e">
        <f>'Evolutive SFP'!#REF!/'Evolutive SFP'!#REF!</f>
        <v>#REF!</v>
      </c>
      <c r="AQ17" s="38" t="e">
        <f>'Evolutive SFP'!#REF!/'Evolutive SFP'!#REF!</f>
        <v>#REF!</v>
      </c>
      <c r="AR17" s="38" t="e">
        <f>'Evolutive SFP'!#REF!/'Evolutive SFP'!#REF!</f>
        <v>#REF!</v>
      </c>
      <c r="AS17" s="38" t="e">
        <f>'Evolutive SFP'!#REF!/'Evolutive SFP'!#REF!</f>
        <v>#REF!</v>
      </c>
      <c r="AT17" s="38">
        <f>'Evolutive SFP'!BV21/'Evolutive SFP'!BV27</f>
        <v>0.36746879498518215</v>
      </c>
      <c r="AU17" s="38">
        <f>'Evolutive SFP'!BW21/'Evolutive SFP'!BW27</f>
        <v>0.16828542208011507</v>
      </c>
      <c r="AV17" s="38">
        <f>'Evolutive SFP'!BX21/'Evolutive SFP'!BX27</f>
        <v>0.17018189848947873</v>
      </c>
      <c r="AW17" s="38">
        <f>'Evolutive SFP'!BY21/'Evolutive SFP'!BY27</f>
        <v>0.17167981021011203</v>
      </c>
      <c r="AX17" s="38">
        <f>'Evolutive SFP'!BZ21/'Evolutive SFP'!BZ27</f>
        <v>0.15068105573110419</v>
      </c>
      <c r="AY17" s="38">
        <f>'Evolutive SFP'!CA21/'Evolutive SFP'!CA27</f>
        <v>0.15877033764552081</v>
      </c>
      <c r="AZ17" s="38">
        <f>'Evolutive SFP'!CB21/'Evolutive SFP'!CB27</f>
        <v>0.12886101945404829</v>
      </c>
      <c r="BA17" s="38" t="e">
        <f>'Evolutive SFP'!#REF!/'Evolutive SFP'!#REF!</f>
        <v>#REF!</v>
      </c>
      <c r="BB17" s="38">
        <f>'Evolutive SFP'!CC21/'Evolutive SFP'!CC27</f>
        <v>0.13948140182313976</v>
      </c>
      <c r="BC17" s="38">
        <f>'Evolutive SFP'!CD21/'Evolutive SFP'!CD27</f>
        <v>0.10283390636652349</v>
      </c>
      <c r="BD17" s="38">
        <f>'Evolutive SFP'!CE21/'Evolutive SFP'!CE27</f>
        <v>0.11919271187929152</v>
      </c>
      <c r="BE17" s="38">
        <f>'Evolutive SFP'!CF21/'Evolutive SFP'!CF27</f>
        <v>0.1309660320784988</v>
      </c>
      <c r="BF17" s="38">
        <f>'Evolutive SFP'!CG21/'Evolutive SFP'!CG27</f>
        <v>0.13491086062367338</v>
      </c>
      <c r="BG17" s="38">
        <f>'Evolutive SFP'!CH21/'Evolutive SFP'!CH27</f>
        <v>0.13565450690004521</v>
      </c>
      <c r="BH17" s="38">
        <f>'Evolutive SFP'!CI21/'Evolutive SFP'!CI27</f>
        <v>0.13892187815473023</v>
      </c>
      <c r="BI17" s="38">
        <f>'Evolutive SFP'!CJ21/'Evolutive SFP'!CJ27</f>
        <v>0.14075585819860725</v>
      </c>
      <c r="BJ17" s="38">
        <f>'Evolutive SFP'!CK21/'Evolutive SFP'!CK27</f>
        <v>0.14026695494659158</v>
      </c>
      <c r="BK17" s="38">
        <f>'Evolutive SFP'!CL21/'Evolutive SFP'!CL27</f>
        <v>0.13777553702293563</v>
      </c>
      <c r="BL17" s="38">
        <f>'Evolutive SFP'!CM21/'Evolutive SFP'!CM27</f>
        <v>0.14014644162946641</v>
      </c>
      <c r="BM17" s="38">
        <f>'Evolutive SFP'!CN21/'Evolutive SFP'!CN27</f>
        <v>0.14151224192770639</v>
      </c>
      <c r="BN17" s="38">
        <f>'Evolutive SFP'!CO21/'Evolutive SFP'!CO27</f>
        <v>0.14266568014266717</v>
      </c>
      <c r="BO17" s="38">
        <f>'Evolutive SFP'!CP21/'Evolutive SFP'!CP27</f>
        <v>0.14602039730172375</v>
      </c>
      <c r="BP17" s="38">
        <f>'Evolutive SFP'!CQ21/'Evolutive SFP'!CQ27</f>
        <v>0.10615701280682303</v>
      </c>
      <c r="BQ17" s="38">
        <f>'Evolutive SFP'!CR21/'Evolutive SFP'!CR27</f>
        <v>0.10352333687856533</v>
      </c>
      <c r="BR17" s="38">
        <f>'Evolutive SFP'!CS21/'Evolutive SFP'!CS27</f>
        <v>0.11326766095672611</v>
      </c>
      <c r="BS17" s="38">
        <f>'Evolutive SFP'!CT21/'Evolutive SFP'!CT27</f>
        <v>0.11412344149327418</v>
      </c>
      <c r="BT17" s="38">
        <f>'Evolutive SFP'!CU21/'Evolutive SFP'!CU27</f>
        <v>0.11468064215222382</v>
      </c>
      <c r="BU17" s="38">
        <f>'Evolutive SFP'!CV21/'Evolutive SFP'!CV27</f>
        <v>0.12086290595009543</v>
      </c>
      <c r="BV17" s="38">
        <f>'Evolutive SFP'!CW21/'Evolutive SFP'!CW27</f>
        <v>0.12152573354844334</v>
      </c>
      <c r="BW17" s="38">
        <f>'Evolutive SFP'!CX21/'Evolutive SFP'!CX27</f>
        <v>0.12167723305354144</v>
      </c>
      <c r="BX17" s="38">
        <f>'Evolutive SFP'!CY21/'Evolutive SFP'!CY27</f>
        <v>0.12031870849015572</v>
      </c>
      <c r="BY17" s="38">
        <f>'Evolutive SFP'!CZ21/'Evolutive SFP'!CZ27</f>
        <v>0.12075788595788296</v>
      </c>
      <c r="BZ17" s="38">
        <f>'Evolutive SFP'!DA21/'Evolutive SFP'!DA27</f>
        <v>0.12258919450105039</v>
      </c>
      <c r="CA17" s="38">
        <f>'Evolutive SFP'!DB21/'Evolutive SFP'!DB27</f>
        <v>0.11866724972840166</v>
      </c>
      <c r="CB17" s="38">
        <f>'Evolutive SFP'!DC21/'Evolutive SFP'!DC27</f>
        <v>0.10114073362505778</v>
      </c>
      <c r="CC17" s="38">
        <f>'Evolutive SFP'!DD21/'Evolutive SFP'!DD27</f>
        <v>0.10437963844106159</v>
      </c>
      <c r="CD17" s="38">
        <f>'Evolutive SFP'!DE21/'Evolutive SFP'!DE27</f>
        <v>0.10649410854275153</v>
      </c>
    </row>
    <row r="18" spans="1:82" ht="15.75">
      <c r="A18" s="441"/>
      <c r="B18" s="3" t="s">
        <v>225</v>
      </c>
      <c r="C18" s="11" t="s">
        <v>224</v>
      </c>
      <c r="D18" s="34" t="e">
        <f>'Evolutive SFP'!#REF!/'Evolutive SFP'!#REF!</f>
        <v>#REF!</v>
      </c>
      <c r="E18" s="34" t="e">
        <f>'Evolutive SFP'!#REF!/'Evolutive SFP'!#REF!</f>
        <v>#REF!</v>
      </c>
      <c r="F18" s="34" t="e">
        <f>'Evolutive SFP'!#REF!/'Evolutive SFP'!#REF!</f>
        <v>#REF!</v>
      </c>
      <c r="G18" s="34" t="e">
        <f>'Evolutive SFP'!#REF!/'Evolutive SFP'!#REF!</f>
        <v>#REF!</v>
      </c>
      <c r="H18" s="34" t="e">
        <f>'Evolutive SFP'!#REF!/'Evolutive SFP'!#REF!</f>
        <v>#REF!</v>
      </c>
      <c r="I18" s="34" t="e">
        <f>'Evolutive SFP'!#REF!/'Evolutive SFP'!#REF!</f>
        <v>#REF!</v>
      </c>
      <c r="J18" s="34" t="e">
        <f>'Evolutive SFP'!#REF!/'Evolutive SFP'!#REF!</f>
        <v>#REF!</v>
      </c>
      <c r="K18" s="34" t="e">
        <f>'Evolutive SFP'!#REF!/'Evolutive SFP'!#REF!</f>
        <v>#REF!</v>
      </c>
      <c r="L18" s="34" t="e">
        <f>'Evolutive SFP'!#REF!/'Evolutive SFP'!#REF!</f>
        <v>#REF!</v>
      </c>
      <c r="M18" s="34" t="e">
        <f>'Evolutive SFP'!#REF!/'Evolutive SFP'!#REF!</f>
        <v>#REF!</v>
      </c>
      <c r="N18" s="34" t="e">
        <f>'Evolutive SFP'!#REF!/'Evolutive SFP'!#REF!</f>
        <v>#REF!</v>
      </c>
      <c r="O18" s="34" t="e">
        <f>'Evolutive SFP'!#REF!/'Evolutive SFP'!#REF!</f>
        <v>#REF!</v>
      </c>
      <c r="P18" s="34" t="e">
        <f>'Evolutive SFP'!#REF!/'Evolutive SFP'!#REF!</f>
        <v>#REF!</v>
      </c>
      <c r="Q18" s="34" t="e">
        <f>'Evolutive SFP'!#REF!/'Evolutive SFP'!#REF!</f>
        <v>#REF!</v>
      </c>
      <c r="R18" s="34" t="e">
        <f>'Evolutive SFP'!#REF!/'Evolutive SFP'!#REF!</f>
        <v>#REF!</v>
      </c>
      <c r="S18" s="38" t="e">
        <f>'Evolutive SFP'!#REF!/'Evolutive SFP'!#REF!</f>
        <v>#REF!</v>
      </c>
      <c r="T18" s="38" t="e">
        <f>'Evolutive SFP'!#REF!/'Evolutive SFP'!#REF!</f>
        <v>#REF!</v>
      </c>
      <c r="U18" s="38" t="e">
        <f>'Evolutive SFP'!#REF!/'Evolutive SFP'!#REF!</f>
        <v>#REF!</v>
      </c>
      <c r="V18" s="38" t="e">
        <f>'Evolutive SFP'!#REF!/'Evolutive SFP'!#REF!</f>
        <v>#REF!</v>
      </c>
      <c r="W18" s="38" t="e">
        <f>'Evolutive SFP'!#REF!/'Evolutive SFP'!#REF!</f>
        <v>#REF!</v>
      </c>
      <c r="X18" s="38" t="e">
        <f>'Evolutive SFP'!#REF!/'Evolutive SFP'!#REF!</f>
        <v>#REF!</v>
      </c>
      <c r="Y18" s="38" t="e">
        <f>'Evolutive SFP'!#REF!/'Evolutive SFP'!#REF!</f>
        <v>#REF!</v>
      </c>
      <c r="Z18" s="38" t="e">
        <f>'Evolutive SFP'!#REF!/'Evolutive SFP'!#REF!</f>
        <v>#REF!</v>
      </c>
      <c r="AA18" s="38" t="e">
        <f>'Evolutive SFP'!#REF!/'Evolutive SFP'!#REF!</f>
        <v>#REF!</v>
      </c>
      <c r="AB18" s="38" t="e">
        <f>'Evolutive SFP'!#REF!/'Evolutive SFP'!#REF!</f>
        <v>#REF!</v>
      </c>
      <c r="AC18" s="38" t="e">
        <f>'Evolutive SFP'!#REF!/'Evolutive SFP'!#REF!</f>
        <v>#REF!</v>
      </c>
      <c r="AD18" s="38" t="e">
        <f>'Evolutive SFP'!#REF!/'Evolutive SFP'!#REF!</f>
        <v>#REF!</v>
      </c>
      <c r="AE18" s="38" t="e">
        <f>'Evolutive SFP'!#REF!/'Evolutive SFP'!#REF!</f>
        <v>#REF!</v>
      </c>
      <c r="AF18" s="38" t="e">
        <f>'Evolutive SFP'!#REF!/'Evolutive SFP'!#REF!</f>
        <v>#REF!</v>
      </c>
      <c r="AG18" s="38" t="e">
        <f>'Evolutive SFP'!#REF!/'Evolutive SFP'!#REF!</f>
        <v>#REF!</v>
      </c>
      <c r="AH18" s="38" t="e">
        <f>'Evolutive SFP'!#REF!/'Evolutive SFP'!#REF!</f>
        <v>#REF!</v>
      </c>
      <c r="AI18" s="38" t="e">
        <f>'Evolutive SFP'!#REF!/'Evolutive SFP'!#REF!</f>
        <v>#REF!</v>
      </c>
      <c r="AJ18" s="38" t="e">
        <f>'Evolutive SFP'!#REF!/'Evolutive SFP'!#REF!</f>
        <v>#REF!</v>
      </c>
      <c r="AK18" s="38" t="e">
        <f>'Evolutive SFP'!#REF!/'Evolutive SFP'!#REF!</f>
        <v>#REF!</v>
      </c>
      <c r="AL18" s="38" t="e">
        <f>'Evolutive SFP'!#REF!/'Evolutive SFP'!#REF!</f>
        <v>#REF!</v>
      </c>
      <c r="AM18" s="38" t="e">
        <f>'Evolutive SFP'!#REF!/'Evolutive SFP'!#REF!</f>
        <v>#REF!</v>
      </c>
      <c r="AN18" s="38" t="e">
        <f>'Evolutive SFP'!#REF!/'Evolutive SFP'!#REF!</f>
        <v>#REF!</v>
      </c>
      <c r="AO18" s="38" t="e">
        <f>'Evolutive SFP'!#REF!/'Evolutive SFP'!#REF!</f>
        <v>#REF!</v>
      </c>
      <c r="AP18" s="38" t="e">
        <f>'Evolutive SFP'!#REF!/'Evolutive SFP'!#REF!</f>
        <v>#REF!</v>
      </c>
      <c r="AQ18" s="38" t="e">
        <f>'Evolutive SFP'!#REF!/'Evolutive SFP'!#REF!</f>
        <v>#REF!</v>
      </c>
      <c r="AR18" s="38" t="e">
        <f>'Evolutive SFP'!#REF!/'Evolutive SFP'!#REF!</f>
        <v>#REF!</v>
      </c>
      <c r="AS18" s="38" t="e">
        <f>'Evolutive SFP'!#REF!/'Evolutive SFP'!#REF!</f>
        <v>#REF!</v>
      </c>
      <c r="AT18" s="38">
        <f>'Evolutive SFP'!BV13/'Evolutive SFP'!BV31</f>
        <v>6.2837741661186039E-2</v>
      </c>
      <c r="AU18" s="38">
        <f>'Evolutive SFP'!BW13/'Evolutive SFP'!BW31</f>
        <v>0</v>
      </c>
      <c r="AV18" s="38">
        <f>'Evolutive SFP'!BX13/'Evolutive SFP'!BX31</f>
        <v>0</v>
      </c>
      <c r="AW18" s="38">
        <f>'Evolutive SFP'!BY13/'Evolutive SFP'!BY31</f>
        <v>0</v>
      </c>
      <c r="AX18" s="38">
        <f>'Evolutive SFP'!BZ13/'Evolutive SFP'!BZ31</f>
        <v>0</v>
      </c>
      <c r="AY18" s="38">
        <f>'Evolutive SFP'!CA13/'Evolutive SFP'!CA31</f>
        <v>0</v>
      </c>
      <c r="AZ18" s="38">
        <f>'Evolutive SFP'!CB13/'Evolutive SFP'!CB31</f>
        <v>0</v>
      </c>
      <c r="BA18" s="38" t="e">
        <f>'Evolutive SFP'!#REF!/'Evolutive SFP'!#REF!</f>
        <v>#REF!</v>
      </c>
      <c r="BB18" s="38">
        <f>'Evolutive SFP'!CC13/'Evolutive SFP'!CC31</f>
        <v>0</v>
      </c>
      <c r="BC18" s="38">
        <f>'Evolutive SFP'!CD13/'Evolutive SFP'!CD31</f>
        <v>0</v>
      </c>
      <c r="BD18" s="38">
        <f>'Evolutive SFP'!CE13/'Evolutive SFP'!CE31</f>
        <v>0</v>
      </c>
      <c r="BE18" s="38">
        <f>'Evolutive SFP'!CF13/'Evolutive SFP'!CF31</f>
        <v>0</v>
      </c>
      <c r="BF18" s="38">
        <f>'Evolutive SFP'!CG13/'Evolutive SFP'!CG31</f>
        <v>0</v>
      </c>
      <c r="BG18" s="38">
        <f>'Evolutive SFP'!CH13/'Evolutive SFP'!CH31</f>
        <v>6.8533294571503561E-2</v>
      </c>
      <c r="BH18" s="38">
        <f>'Evolutive SFP'!CI13/'Evolutive SFP'!CI31</f>
        <v>0</v>
      </c>
      <c r="BI18" s="38">
        <f>'Evolutive SFP'!CJ13/'Evolutive SFP'!CJ31</f>
        <v>0</v>
      </c>
      <c r="BJ18" s="38">
        <f>'Evolutive SFP'!CK13/'Evolutive SFP'!CK31</f>
        <v>0</v>
      </c>
      <c r="BK18" s="38">
        <f>'Evolutive SFP'!CL13/'Evolutive SFP'!CL31</f>
        <v>0.19819032978704884</v>
      </c>
      <c r="BL18" s="38">
        <f>'Evolutive SFP'!CM13/'Evolutive SFP'!CM31</f>
        <v>0.20048305557290375</v>
      </c>
      <c r="BM18" s="38">
        <f>'Evolutive SFP'!CN13/'Evolutive SFP'!CN31</f>
        <v>0.2016550363618464</v>
      </c>
      <c r="BN18" s="38">
        <f>'Evolutive SFP'!CO13/'Evolutive SFP'!CO31</f>
        <v>7.3382413148715228E-2</v>
      </c>
      <c r="BO18" s="38">
        <f>'Evolutive SFP'!CP13/'Evolutive SFP'!CP31</f>
        <v>7.4235257128521248E-2</v>
      </c>
      <c r="BP18" s="38">
        <f>'Evolutive SFP'!CQ13/'Evolutive SFP'!CQ31</f>
        <v>5.4422262452126134E-2</v>
      </c>
      <c r="BQ18" s="38">
        <f>'Evolutive SFP'!CR13/'Evolutive SFP'!CR31</f>
        <v>4.619012743280921E-2</v>
      </c>
      <c r="BR18" s="38">
        <f>'Evolutive SFP'!CS13/'Evolutive SFP'!CS31</f>
        <v>5.4285775350963433E-2</v>
      </c>
      <c r="BS18" s="38">
        <f>'Evolutive SFP'!CT13/'Evolutive SFP'!CT31</f>
        <v>5.8357885224659491E-2</v>
      </c>
      <c r="BT18" s="38">
        <f>'Evolutive SFP'!CU13/'Evolutive SFP'!CU31</f>
        <v>5.8357885293010142E-2</v>
      </c>
      <c r="BU18" s="38">
        <f>'Evolutive SFP'!CV13/'Evolutive SFP'!CV31</f>
        <v>0.16228259006902807</v>
      </c>
      <c r="BV18" s="38">
        <f>'Evolutive SFP'!CW13/'Evolutive SFP'!CW31</f>
        <v>0.16668131157018568</v>
      </c>
      <c r="BW18" s="38">
        <f>'Evolutive SFP'!CX13/'Evolutive SFP'!CX31</f>
        <v>0.16688206583511669</v>
      </c>
      <c r="BX18" s="38">
        <f>'Evolutive SFP'!CY13/'Evolutive SFP'!CY31</f>
        <v>0.16425693563706412</v>
      </c>
      <c r="BY18" s="38">
        <f>'Evolutive SFP'!CZ13/'Evolutive SFP'!CZ31</f>
        <v>0.16127478506628146</v>
      </c>
      <c r="BZ18" s="38">
        <f>'Evolutive SFP'!DA13/'Evolutive SFP'!DA31</f>
        <v>0.16228929741990805</v>
      </c>
      <c r="CA18" s="38">
        <f>'Evolutive SFP'!DB13/'Evolutive SFP'!DB31</f>
        <v>0.15845916128812593</v>
      </c>
      <c r="CB18" s="38">
        <f>'Evolutive SFP'!DC13/'Evolutive SFP'!DC31</f>
        <v>0.13052334385473521</v>
      </c>
      <c r="CC18" s="38">
        <f>'Evolutive SFP'!DD13/'Evolutive SFP'!DD31</f>
        <v>0.14132752578253319</v>
      </c>
      <c r="CD18" s="38">
        <f>'Evolutive SFP'!DE13/'Evolutive SFP'!DE31</f>
        <v>0.14501226014385016</v>
      </c>
    </row>
    <row r="19" spans="1:82" ht="15">
      <c r="A19" s="441"/>
      <c r="B19" s="31" t="s">
        <v>226</v>
      </c>
      <c r="C19" s="12" t="s">
        <v>227</v>
      </c>
      <c r="D19" s="34" t="e">
        <f>'Evolutive SFP'!#REF!/(CAELS!D3*1000000)</f>
        <v>#REF!</v>
      </c>
      <c r="E19" s="34" t="e">
        <f>'Evolutive SFP'!#REF!/(CAELS!E3*1000000)</f>
        <v>#REF!</v>
      </c>
      <c r="F19" s="34" t="e">
        <f>'Evolutive SFP'!#REF!/(CAELS!F3*1000000)</f>
        <v>#REF!</v>
      </c>
      <c r="G19" s="34" t="e">
        <f>'Evolutive SFP'!#REF!/(CAELS!G3*1000000)</f>
        <v>#REF!</v>
      </c>
      <c r="H19" s="34" t="e">
        <f>'Evolutive SFP'!#REF!/(CAELS!H3*1000000)</f>
        <v>#REF!</v>
      </c>
      <c r="I19" s="34" t="e">
        <f>'Evolutive SFP'!#REF!/(CAELS!I3*1000000)</f>
        <v>#REF!</v>
      </c>
      <c r="J19" s="34" t="e">
        <f>'Evolutive SFP'!#REF!/(CAELS!J3*1000000)</f>
        <v>#REF!</v>
      </c>
      <c r="K19" s="34" t="e">
        <f>'Evolutive SFP'!#REF!/(CAELS!K3*1000000)</f>
        <v>#REF!</v>
      </c>
      <c r="L19" s="34" t="e">
        <f>'Evolutive SFP'!#REF!/(CAELS!L3*1000000)</f>
        <v>#REF!</v>
      </c>
      <c r="M19" s="34" t="e">
        <f>'Evolutive SFP'!#REF!/(CAELS!M3*1000000)</f>
        <v>#REF!</v>
      </c>
      <c r="N19" s="34" t="e">
        <f>'Evolutive SFP'!#REF!/(CAELS!N3*1000000)</f>
        <v>#REF!</v>
      </c>
      <c r="O19" s="34" t="e">
        <f>'Evolutive SFP'!#REF!/(CAELS!O3*1000000)</f>
        <v>#REF!</v>
      </c>
      <c r="P19" s="34" t="e">
        <f>'Evolutive SFP'!#REF!/(CAELS!P3*1000000)</f>
        <v>#REF!</v>
      </c>
      <c r="Q19" s="34" t="e">
        <f>'Evolutive SFP'!#REF!/(CAELS!Q3*1000000)</f>
        <v>#REF!</v>
      </c>
      <c r="R19" s="34" t="e">
        <f>'Evolutive SFP'!#REF!/(CAELS!R3*1000000)</f>
        <v>#REF!</v>
      </c>
      <c r="S19" s="38" t="e">
        <f>'Evolutive SFP'!#REF!/(CAELS!S3*1000000)</f>
        <v>#REF!</v>
      </c>
      <c r="T19" s="38" t="e">
        <f>'Evolutive SFP'!#REF!/(CAELS!T3*1000000)</f>
        <v>#REF!</v>
      </c>
      <c r="U19" s="38" t="e">
        <f>'Evolutive SFP'!#REF!/(CAELS!U3*1000000)</f>
        <v>#REF!</v>
      </c>
      <c r="V19" s="38" t="e">
        <f>'Evolutive SFP'!#REF!/(CAELS!V3*1000000)</f>
        <v>#REF!</v>
      </c>
      <c r="W19" s="38" t="e">
        <f>'Evolutive SFP'!#REF!/(CAELS!W3*1000000)</f>
        <v>#REF!</v>
      </c>
      <c r="X19" s="38" t="e">
        <f>'Evolutive SFP'!#REF!/(CAELS!X3*1000000)</f>
        <v>#REF!</v>
      </c>
      <c r="Y19" s="38" t="e">
        <f>'Evolutive SFP'!#REF!/(CAELS!Y3*1000000)</f>
        <v>#REF!</v>
      </c>
      <c r="Z19" s="38" t="e">
        <f>'Evolutive SFP'!#REF!/(CAELS!Z3*1000000)</f>
        <v>#REF!</v>
      </c>
      <c r="AA19" s="38" t="e">
        <f>'Evolutive SFP'!#REF!/(CAELS!AA3*1000000)</f>
        <v>#REF!</v>
      </c>
      <c r="AB19" s="38" t="e">
        <f>'Evolutive SFP'!#REF!/(CAELS!AB3*1000000)</f>
        <v>#REF!</v>
      </c>
      <c r="AC19" s="38" t="e">
        <f>'Evolutive SFP'!#REF!/(CAELS!AC3*1000000)</f>
        <v>#REF!</v>
      </c>
      <c r="AD19" s="38" t="e">
        <f>'Evolutive SFP'!#REF!/(CAELS!AD3*1000000)</f>
        <v>#REF!</v>
      </c>
      <c r="AE19" s="38" t="e">
        <f>'Evolutive SFP'!#REF!/(CAELS!AE3*1000000)</f>
        <v>#REF!</v>
      </c>
      <c r="AF19" s="38" t="e">
        <f>'Evolutive SFP'!#REF!/(CAELS!AF3*1000000)</f>
        <v>#REF!</v>
      </c>
      <c r="AG19" s="38" t="e">
        <f>'Evolutive SFP'!#REF!/(CAELS!AG3*1000000)</f>
        <v>#REF!</v>
      </c>
      <c r="AH19" s="38" t="e">
        <f>'Evolutive SFP'!#REF!/(CAELS!AH3*1000000)</f>
        <v>#REF!</v>
      </c>
      <c r="AI19" s="38" t="e">
        <f>'Evolutive SFP'!#REF!/(CAELS!AI3*1000000)</f>
        <v>#REF!</v>
      </c>
      <c r="AJ19" s="38" t="e">
        <f>'Evolutive SFP'!#REF!/(CAELS!AJ3*1000000)</f>
        <v>#REF!</v>
      </c>
      <c r="AK19" s="38" t="e">
        <f>'Evolutive SFP'!#REF!/(CAELS!AK3*1000000)</f>
        <v>#REF!</v>
      </c>
      <c r="AL19" s="38" t="e">
        <f>'Evolutive SFP'!#REF!/(CAELS!AL3*1000000)</f>
        <v>#REF!</v>
      </c>
      <c r="AM19" s="38" t="e">
        <f>'Evolutive SFP'!#REF!/(CAELS!AM3*1000000)</f>
        <v>#REF!</v>
      </c>
      <c r="AN19" s="38" t="e">
        <f>'Evolutive SFP'!#REF!/(CAELS!AN3*1000000)</f>
        <v>#REF!</v>
      </c>
      <c r="AO19" s="38" t="e">
        <f>'Evolutive SFP'!#REF!/(CAELS!AO3*1000000)</f>
        <v>#REF!</v>
      </c>
      <c r="AP19" s="38" t="e">
        <f>'Evolutive SFP'!#REF!/(CAELS!AP3*1000000)</f>
        <v>#REF!</v>
      </c>
      <c r="AQ19" s="38" t="e">
        <f>'Evolutive SFP'!#REF!/(CAELS!AQ3*1000000)</f>
        <v>#REF!</v>
      </c>
      <c r="AR19" s="38" t="e">
        <f>'Evolutive SFP'!#REF!/(CAELS!AR3*1000000)</f>
        <v>#REF!</v>
      </c>
      <c r="AS19" s="38" t="e">
        <f>'Evolutive SFP'!#REF!/(CAELS!AS3*1000000)</f>
        <v>#REF!</v>
      </c>
      <c r="AT19" s="38">
        <f>'Evolutive SFP'!BV13/(CAELS!AT3*1000000)</f>
        <v>3.6216515875940776E-2</v>
      </c>
      <c r="AU19" s="38">
        <f>'Evolutive SFP'!BW13/(CAELS!AU3*1000000)</f>
        <v>0</v>
      </c>
      <c r="AV19" s="38">
        <f>'Evolutive SFP'!BX13/(CAELS!AV3*1000000)</f>
        <v>0</v>
      </c>
      <c r="AW19" s="38">
        <f>'Evolutive SFP'!BY13/(CAELS!AW3*1000000)</f>
        <v>0</v>
      </c>
      <c r="AX19" s="38">
        <f>'Evolutive SFP'!BZ13/(CAELS!AX3*1000000)</f>
        <v>0</v>
      </c>
      <c r="AY19" s="38">
        <f>'Evolutive SFP'!CA13/(CAELS!AY3*1000000)</f>
        <v>0</v>
      </c>
      <c r="AZ19" s="38">
        <f>'Evolutive SFP'!CB13/(CAELS!AZ3*1000000)</f>
        <v>0</v>
      </c>
      <c r="BA19" s="38" t="e">
        <f>'Evolutive SFP'!#REF!/(CAELS!BA3*1000000)</f>
        <v>#REF!</v>
      </c>
      <c r="BB19" s="38">
        <f>'Evolutive SFP'!CC13/(CAELS!BB3*1000000)</f>
        <v>0</v>
      </c>
      <c r="BC19" s="38">
        <f>'Evolutive SFP'!CD13/(CAELS!BC3*1000000)</f>
        <v>0</v>
      </c>
      <c r="BD19" s="38">
        <f>'Evolutive SFP'!CE13/(CAELS!BD3*1000000)</f>
        <v>0</v>
      </c>
      <c r="BE19" s="38">
        <f>'Evolutive SFP'!CF13/(CAELS!BE3*1000000)</f>
        <v>0</v>
      </c>
      <c r="BF19" s="38">
        <f>'Evolutive SFP'!CG13/(CAELS!BF3*1000000)</f>
        <v>0</v>
      </c>
      <c r="BG19" s="38">
        <f>'Evolutive SFP'!CH13/(CAELS!BG3*1000000)</f>
        <v>7.5038968679734253E-2</v>
      </c>
      <c r="BH19" s="38">
        <f>'Evolutive SFP'!CI13/(CAELS!BH3*1000000)</f>
        <v>0</v>
      </c>
      <c r="BI19" s="38">
        <f>'Evolutive SFP'!CJ13/(CAELS!BI3*1000000)</f>
        <v>0</v>
      </c>
      <c r="BJ19" s="38">
        <f>'Evolutive SFP'!CK13/(CAELS!BJ3*1000000)</f>
        <v>0</v>
      </c>
      <c r="BK19" s="38">
        <f>'Evolutive SFP'!CL13/(CAELS!BK3*1000000)</f>
        <v>0.20659632494737795</v>
      </c>
      <c r="BL19" s="38">
        <f>'Evolutive SFP'!CM13/(CAELS!BL3*1000000)</f>
        <v>0.21076785068431683</v>
      </c>
      <c r="BM19" s="38">
        <f>'Evolutive SFP'!CN13/(CAELS!BM3*1000000)</f>
        <v>0.21539604846392577</v>
      </c>
      <c r="BN19" s="38">
        <f>'Evolutive SFP'!CO13/(CAELS!BN3*1000000)</f>
        <v>7.8685129631752421E-2</v>
      </c>
      <c r="BO19" s="38">
        <f>'Evolutive SFP'!CP13/(CAELS!BO3*1000000)</f>
        <v>8.1865642799759303E-2</v>
      </c>
      <c r="BP19" s="38">
        <f>'Evolutive SFP'!CQ13/(CAELS!BP3*1000000)</f>
        <v>8.4415717046612104E-2</v>
      </c>
      <c r="BQ19" s="38">
        <f>'Evolutive SFP'!CR13/(CAELS!BQ3*1000000)</f>
        <v>7.0838605212744807E-2</v>
      </c>
      <c r="BR19" s="38">
        <f>'Evolutive SFP'!CS13/(CAELS!BR3*1000000)</f>
        <v>6.9437761762313088E-2</v>
      </c>
      <c r="BS19" s="38">
        <f>'Evolutive SFP'!CT13/(CAELS!BS3*1000000)</f>
        <v>6.7451700339215701E-2</v>
      </c>
      <c r="BT19" s="38">
        <f>'Evolutive SFP'!CU13/(CAELS!BT3*1000000)</f>
        <v>6.9256054147710841E-2</v>
      </c>
      <c r="BU19" s="38">
        <f>'Evolutive SFP'!CV13/(CAELS!BU3*1000000)</f>
        <v>0.18622652697974382</v>
      </c>
      <c r="BV19" s="38">
        <f>'Evolutive SFP'!CW13/(CAELS!BV3*1000000)</f>
        <v>0.18370548344382881</v>
      </c>
      <c r="BW19" s="38">
        <f>'Evolutive SFP'!CX13/(CAELS!BW3*1000000)</f>
        <v>0.18561147839986858</v>
      </c>
      <c r="BX19" s="38">
        <f>'Evolutive SFP'!CY13/(CAELS!BX3*1000000)</f>
        <v>0.18590352879563457</v>
      </c>
      <c r="BY19" s="38">
        <f>'Evolutive SFP'!CZ13/(CAELS!BY3*1000000)</f>
        <v>0.18758465530278212</v>
      </c>
      <c r="BZ19" s="38">
        <f>'Evolutive SFP'!DA13/(CAELS!BZ3*1000000)</f>
        <v>0.19135899481501653</v>
      </c>
      <c r="CA19" s="38">
        <f>'Evolutive SFP'!DB13/(CAELS!CA3*1000000)</f>
        <v>0.18401379607464249</v>
      </c>
      <c r="CB19" s="38">
        <f>'Evolutive SFP'!DC13/(CAELS!CB3*1000000)</f>
        <v>0.16164854680885105</v>
      </c>
      <c r="CC19" s="38">
        <f>'Evolutive SFP'!DD13/(CAELS!CC3*1000000)</f>
        <v>0.16194097510565791</v>
      </c>
      <c r="CD19" s="38">
        <f>'Evolutive SFP'!DE13/(CAELS!CD3*1000000)</f>
        <v>0.16555156497993978</v>
      </c>
    </row>
    <row r="20" spans="1:82" ht="15">
      <c r="A20" s="441"/>
      <c r="B20" s="4" t="s">
        <v>228</v>
      </c>
      <c r="C20" s="12"/>
      <c r="D20" s="34" t="e">
        <f>'Evolutive SFP'!#REF!/'Evolutive SFP'!#REF!</f>
        <v>#REF!</v>
      </c>
      <c r="E20" s="34" t="e">
        <f>'Evolutive SFP'!#REF!/'Evolutive SFP'!#REF!</f>
        <v>#REF!</v>
      </c>
      <c r="F20" s="34" t="e">
        <f>'Evolutive SFP'!#REF!/'Evolutive SFP'!#REF!</f>
        <v>#REF!</v>
      </c>
      <c r="G20" s="34" t="e">
        <f>'Evolutive SFP'!#REF!/'Evolutive SFP'!#REF!</f>
        <v>#REF!</v>
      </c>
      <c r="H20" s="34" t="e">
        <f>'Evolutive SFP'!#REF!/'Evolutive SFP'!#REF!</f>
        <v>#REF!</v>
      </c>
      <c r="I20" s="34" t="e">
        <f>'Evolutive SFP'!#REF!/'Evolutive SFP'!#REF!</f>
        <v>#REF!</v>
      </c>
      <c r="J20" s="34" t="e">
        <f>'Evolutive SFP'!#REF!/'Evolutive SFP'!#REF!</f>
        <v>#REF!</v>
      </c>
      <c r="K20" s="34" t="e">
        <f>'Evolutive SFP'!#REF!/'Evolutive SFP'!#REF!</f>
        <v>#REF!</v>
      </c>
      <c r="L20" s="34" t="e">
        <f>'Evolutive SFP'!#REF!/'Evolutive SFP'!#REF!</f>
        <v>#REF!</v>
      </c>
      <c r="M20" s="34" t="e">
        <f>'Evolutive SFP'!#REF!/'Evolutive SFP'!#REF!</f>
        <v>#REF!</v>
      </c>
      <c r="N20" s="34" t="e">
        <f>'Evolutive SFP'!#REF!/'Evolutive SFP'!#REF!</f>
        <v>#REF!</v>
      </c>
      <c r="O20" s="34" t="e">
        <f>'Evolutive SFP'!#REF!/'Evolutive SFP'!#REF!</f>
        <v>#REF!</v>
      </c>
      <c r="P20" s="34" t="e">
        <f>'Evolutive SFP'!#REF!/'Evolutive SFP'!#REF!</f>
        <v>#REF!</v>
      </c>
      <c r="Q20" s="34" t="e">
        <f>'Evolutive SFP'!#REF!/'Evolutive SFP'!#REF!</f>
        <v>#REF!</v>
      </c>
      <c r="R20" s="34" t="e">
        <f>'Evolutive SFP'!#REF!/'Evolutive SFP'!#REF!</f>
        <v>#REF!</v>
      </c>
      <c r="S20" s="38" t="e">
        <f>'Evolutive SFP'!#REF!/'Evolutive SFP'!#REF!</f>
        <v>#REF!</v>
      </c>
      <c r="T20" s="38" t="e">
        <f>'Evolutive SFP'!#REF!/'Evolutive SFP'!#REF!</f>
        <v>#REF!</v>
      </c>
      <c r="U20" s="38" t="e">
        <f>'Evolutive SFP'!#REF!/'Evolutive SFP'!#REF!</f>
        <v>#REF!</v>
      </c>
      <c r="V20" s="38" t="e">
        <f>'Evolutive SFP'!#REF!/'Evolutive SFP'!#REF!</f>
        <v>#REF!</v>
      </c>
      <c r="W20" s="38" t="e">
        <f>'Evolutive SFP'!#REF!/'Evolutive SFP'!#REF!</f>
        <v>#REF!</v>
      </c>
      <c r="X20" s="38" t="e">
        <f>'Evolutive SFP'!#REF!/'Evolutive SFP'!#REF!</f>
        <v>#REF!</v>
      </c>
      <c r="Y20" s="38" t="e">
        <f>'Evolutive SFP'!#REF!/'Evolutive SFP'!#REF!</f>
        <v>#REF!</v>
      </c>
      <c r="Z20" s="38" t="e">
        <f>'Evolutive SFP'!#REF!/'Evolutive SFP'!#REF!</f>
        <v>#REF!</v>
      </c>
      <c r="AA20" s="38" t="e">
        <f>'Evolutive SFP'!#REF!/'Evolutive SFP'!#REF!</f>
        <v>#REF!</v>
      </c>
      <c r="AB20" s="38" t="e">
        <f>'Evolutive SFP'!#REF!/'Evolutive SFP'!#REF!</f>
        <v>#REF!</v>
      </c>
      <c r="AC20" s="38" t="e">
        <f>'Evolutive SFP'!#REF!/'Evolutive SFP'!#REF!</f>
        <v>#REF!</v>
      </c>
      <c r="AD20" s="38" t="e">
        <f>'Evolutive SFP'!#REF!/'Evolutive SFP'!#REF!</f>
        <v>#REF!</v>
      </c>
      <c r="AE20" s="38" t="e">
        <f>'Evolutive SFP'!#REF!/'Evolutive SFP'!#REF!</f>
        <v>#REF!</v>
      </c>
      <c r="AF20" s="38" t="e">
        <f>'Evolutive SFP'!#REF!/'Evolutive SFP'!#REF!</f>
        <v>#REF!</v>
      </c>
      <c r="AG20" s="38" t="e">
        <f>'Evolutive SFP'!#REF!/'Evolutive SFP'!#REF!</f>
        <v>#REF!</v>
      </c>
      <c r="AH20" s="38" t="e">
        <f>'Evolutive SFP'!#REF!/'Evolutive SFP'!#REF!</f>
        <v>#REF!</v>
      </c>
      <c r="AI20" s="38" t="e">
        <f>'Evolutive SFP'!#REF!/'Evolutive SFP'!#REF!</f>
        <v>#REF!</v>
      </c>
      <c r="AJ20" s="38" t="e">
        <f>'Evolutive SFP'!#REF!/'Evolutive SFP'!#REF!</f>
        <v>#REF!</v>
      </c>
      <c r="AK20" s="38" t="e">
        <f>'Evolutive SFP'!#REF!/'Evolutive SFP'!#REF!</f>
        <v>#REF!</v>
      </c>
      <c r="AL20" s="38" t="e">
        <f>'Evolutive SFP'!#REF!/'Evolutive SFP'!#REF!</f>
        <v>#REF!</v>
      </c>
      <c r="AM20" s="38" t="e">
        <f>'Evolutive SFP'!#REF!/'Evolutive SFP'!#REF!</f>
        <v>#REF!</v>
      </c>
      <c r="AN20" s="38" t="e">
        <f>'Evolutive SFP'!#REF!/'Evolutive SFP'!#REF!</f>
        <v>#REF!</v>
      </c>
      <c r="AO20" s="38" t="e">
        <f>'Evolutive SFP'!#REF!/'Evolutive SFP'!#REF!</f>
        <v>#REF!</v>
      </c>
      <c r="AP20" s="38" t="e">
        <f>'Evolutive SFP'!#REF!/'Evolutive SFP'!#REF!</f>
        <v>#REF!</v>
      </c>
      <c r="AQ20" s="38" t="e">
        <f>'Evolutive SFP'!#REF!/'Evolutive SFP'!#REF!</f>
        <v>#REF!</v>
      </c>
      <c r="AR20" s="38" t="e">
        <f>'Evolutive SFP'!#REF!/'Evolutive SFP'!#REF!</f>
        <v>#REF!</v>
      </c>
      <c r="AS20" s="38" t="e">
        <f>'Evolutive SFP'!#REF!/'Evolutive SFP'!#REF!</f>
        <v>#REF!</v>
      </c>
      <c r="AT20" s="38">
        <f>'Evolutive SFP'!BV15/'Evolutive SFP'!BV27</f>
        <v>0.6156629648048676</v>
      </c>
      <c r="AU20" s="38">
        <f>'Evolutive SFP'!BW15/'Evolutive SFP'!BW27</f>
        <v>0.64216083456976658</v>
      </c>
      <c r="AV20" s="38">
        <f>'Evolutive SFP'!BX15/'Evolutive SFP'!BX27</f>
        <v>0.65412452997522741</v>
      </c>
      <c r="AW20" s="38">
        <f>'Evolutive SFP'!BY15/'Evolutive SFP'!BY27</f>
        <v>0.65116604137553025</v>
      </c>
      <c r="AX20" s="38">
        <f>'Evolutive SFP'!BZ15/'Evolutive SFP'!BZ27</f>
        <v>0.47860174505173753</v>
      </c>
      <c r="AY20" s="38">
        <f>'Evolutive SFP'!CA15/'Evolutive SFP'!CA27</f>
        <v>0.53776843118288364</v>
      </c>
      <c r="AZ20" s="38">
        <f>'Evolutive SFP'!CB15/'Evolutive SFP'!CB27</f>
        <v>0.34197741897234424</v>
      </c>
      <c r="BA20" s="38" t="e">
        <f>'Evolutive SFP'!#REF!/'Evolutive SFP'!#REF!</f>
        <v>#REF!</v>
      </c>
      <c r="BB20" s="38">
        <f>'Evolutive SFP'!CC15/'Evolutive SFP'!CC27</f>
        <v>0.49384507670859162</v>
      </c>
      <c r="BC20" s="38">
        <f>'Evolutive SFP'!CD15/'Evolutive SFP'!CD27</f>
        <v>0.40669387048419842</v>
      </c>
      <c r="BD20" s="38">
        <f>'Evolutive SFP'!CE15/'Evolutive SFP'!CE27</f>
        <v>0.52779458296504611</v>
      </c>
      <c r="BE20" s="38">
        <f>'Evolutive SFP'!CF15/'Evolutive SFP'!CF27</f>
        <v>0.61887174327384109</v>
      </c>
      <c r="BF20" s="38">
        <f>'Evolutive SFP'!CG15/'Evolutive SFP'!CG27</f>
        <v>0.67443645362421789</v>
      </c>
      <c r="BG20" s="38">
        <f>'Evolutive SFP'!CH15/'Evolutive SFP'!CH27</f>
        <v>0.67443645298900401</v>
      </c>
      <c r="BH20" s="38">
        <f>'Evolutive SFP'!CI15/'Evolutive SFP'!CI27</f>
        <v>0.72157253483404393</v>
      </c>
      <c r="BI20" s="38">
        <f>'Evolutive SFP'!CJ15/'Evolutive SFP'!CJ27</f>
        <v>0.72518066188886288</v>
      </c>
      <c r="BJ20" s="38">
        <f>'Evolutive SFP'!CK15/'Evolutive SFP'!CK27</f>
        <v>0.70556887873093144</v>
      </c>
      <c r="BK20" s="38">
        <f>'Evolutive SFP'!CL15/'Evolutive SFP'!CL27</f>
        <v>0.66816567316884856</v>
      </c>
      <c r="BL20" s="38">
        <f>'Evolutive SFP'!CM15/'Evolutive SFP'!CM27</f>
        <v>0.68281683754928635</v>
      </c>
      <c r="BM20" s="38">
        <f>'Evolutive SFP'!CN15/'Evolutive SFP'!CN27</f>
        <v>0.70399354408742965</v>
      </c>
      <c r="BN20" s="38">
        <f>'Evolutive SFP'!CO15/'Evolutive SFP'!CO27</f>
        <v>0.76050588086708037</v>
      </c>
      <c r="BO20" s="38">
        <f>'Evolutive SFP'!CP15/'Evolutive SFP'!CP27</f>
        <v>0.80393969922968633</v>
      </c>
      <c r="BP20" s="38">
        <f>'Evolutive SFP'!CQ15/'Evolutive SFP'!CQ27</f>
        <v>0.59044598530783365</v>
      </c>
      <c r="BQ20" s="38">
        <f>'Evolutive SFP'!CR15/'Evolutive SFP'!CR27</f>
        <v>0.39609831465271172</v>
      </c>
      <c r="BR20" s="38">
        <f>'Evolutive SFP'!CS15/'Evolutive SFP'!CS27</f>
        <v>0.5026429892714297</v>
      </c>
      <c r="BS20" s="38">
        <f>'Evolutive SFP'!CT15/'Evolutive SFP'!CT27</f>
        <v>0.48864010391147261</v>
      </c>
      <c r="BT20" s="38">
        <f>'Evolutive SFP'!CU15/'Evolutive SFP'!CU27</f>
        <v>0.48864010230471111</v>
      </c>
      <c r="BU20" s="38">
        <f>'Evolutive SFP'!CV15/'Evolutive SFP'!CV27</f>
        <v>0.58622927228566968</v>
      </c>
      <c r="BV20" s="38">
        <f>'Evolutive SFP'!CW15/'Evolutive SFP'!CW27</f>
        <v>0.61368960662776761</v>
      </c>
      <c r="BW20" s="38">
        <f>'Evolutive SFP'!CX15/'Evolutive SFP'!CX27</f>
        <v>0.62573124276059022</v>
      </c>
      <c r="BX20" s="38">
        <f>'Evolutive SFP'!CY15/'Evolutive SFP'!CY27</f>
        <v>0.61858086586442906</v>
      </c>
      <c r="BY20" s="38">
        <f>'Evolutive SFP'!CZ15/'Evolutive SFP'!CZ27</f>
        <v>0.61337980376029455</v>
      </c>
      <c r="BZ20" s="38">
        <f>'Evolutive SFP'!DA15/'Evolutive SFP'!DA27</f>
        <v>0.6426243237067748</v>
      </c>
      <c r="CA20" s="38">
        <f>'Evolutive SFP'!DB15/'Evolutive SFP'!DB27</f>
        <v>0.61062701867636626</v>
      </c>
      <c r="CB20" s="38">
        <f>'Evolutive SFP'!DC15/'Evolutive SFP'!DC27</f>
        <v>0.45536526982342823</v>
      </c>
      <c r="CC20" s="38">
        <f>'Evolutive SFP'!DD15/'Evolutive SFP'!DD27</f>
        <v>0.53365034283473078</v>
      </c>
      <c r="CD20" s="38">
        <f>'Evolutive SFP'!DE15/'Evolutive SFP'!DE27</f>
        <v>0.57297077956373799</v>
      </c>
    </row>
    <row r="21" spans="1:82" ht="15">
      <c r="A21" s="440" t="s">
        <v>229</v>
      </c>
      <c r="B21" s="32" t="s">
        <v>230</v>
      </c>
      <c r="C21" s="2"/>
      <c r="D21" s="34" t="e">
        <f>'Evolutive SFP'!#REF!/'Evolutive SFP'!#REF!</f>
        <v>#REF!</v>
      </c>
      <c r="E21" s="34" t="e">
        <f>'Evolutive SFP'!#REF!/'Evolutive SFP'!#REF!</f>
        <v>#REF!</v>
      </c>
      <c r="F21" s="34" t="e">
        <f>'Evolutive SFP'!#REF!/'Evolutive SFP'!#REF!</f>
        <v>#REF!</v>
      </c>
      <c r="G21" s="34" t="e">
        <f>'Evolutive SFP'!#REF!/'Evolutive SFP'!#REF!</f>
        <v>#REF!</v>
      </c>
      <c r="H21" s="34" t="e">
        <f>'Evolutive SFP'!#REF!/'Evolutive SFP'!#REF!</f>
        <v>#REF!</v>
      </c>
      <c r="I21" s="34" t="e">
        <f>'Evolutive SFP'!#REF!/'Evolutive SFP'!#REF!</f>
        <v>#REF!</v>
      </c>
      <c r="J21" s="34" t="e">
        <f>'Evolutive SFP'!#REF!/'Evolutive SFP'!#REF!</f>
        <v>#REF!</v>
      </c>
      <c r="K21" s="34" t="e">
        <f>'Evolutive SFP'!#REF!/'Evolutive SFP'!#REF!</f>
        <v>#REF!</v>
      </c>
      <c r="L21" s="34" t="e">
        <f>'Evolutive SFP'!#REF!/'Evolutive SFP'!#REF!</f>
        <v>#REF!</v>
      </c>
      <c r="M21" s="34" t="e">
        <f>'Evolutive SFP'!#REF!/'Evolutive SFP'!#REF!</f>
        <v>#REF!</v>
      </c>
      <c r="N21" s="34" t="e">
        <f>'Evolutive SFP'!#REF!/'Evolutive SFP'!#REF!</f>
        <v>#REF!</v>
      </c>
      <c r="O21" s="34" t="e">
        <f>'Evolutive SFP'!#REF!/'Evolutive SFP'!#REF!</f>
        <v>#REF!</v>
      </c>
      <c r="P21" s="34" t="e">
        <f>'Evolutive SFP'!#REF!/'Evolutive SFP'!#REF!</f>
        <v>#REF!</v>
      </c>
      <c r="Q21" s="34" t="e">
        <f>'Evolutive SFP'!#REF!/'Evolutive SFP'!#REF!</f>
        <v>#REF!</v>
      </c>
      <c r="R21" s="34" t="e">
        <f>'Evolutive SFP'!#REF!/'Evolutive SFP'!#REF!</f>
        <v>#REF!</v>
      </c>
      <c r="S21" s="38" t="e">
        <f>'Evolutive SFP'!#REF!/'Evolutive SFP'!#REF!</f>
        <v>#REF!</v>
      </c>
      <c r="T21" s="38" t="e">
        <f>'Evolutive SFP'!#REF!/'Evolutive SFP'!#REF!</f>
        <v>#REF!</v>
      </c>
      <c r="U21" s="38" t="e">
        <f>'Evolutive SFP'!#REF!/'Evolutive SFP'!#REF!</f>
        <v>#REF!</v>
      </c>
      <c r="V21" s="38" t="e">
        <f>'Evolutive SFP'!#REF!/'Evolutive SFP'!#REF!</f>
        <v>#REF!</v>
      </c>
      <c r="W21" s="38" t="e">
        <f>'Evolutive SFP'!#REF!/'Evolutive SFP'!#REF!</f>
        <v>#REF!</v>
      </c>
      <c r="X21" s="38" t="e">
        <f>'Evolutive SFP'!#REF!/'Evolutive SFP'!#REF!</f>
        <v>#REF!</v>
      </c>
      <c r="Y21" s="38" t="e">
        <f>'Evolutive SFP'!#REF!/'Evolutive SFP'!#REF!</f>
        <v>#REF!</v>
      </c>
      <c r="Z21" s="38" t="e">
        <f>'Evolutive SFP'!#REF!/'Evolutive SFP'!#REF!</f>
        <v>#REF!</v>
      </c>
      <c r="AA21" s="38" t="e">
        <f>'Evolutive SFP'!#REF!/'Evolutive SFP'!#REF!</f>
        <v>#REF!</v>
      </c>
      <c r="AB21" s="38" t="e">
        <f>'Evolutive SFP'!#REF!/'Evolutive SFP'!#REF!</f>
        <v>#REF!</v>
      </c>
      <c r="AC21" s="38" t="e">
        <f>'Evolutive SFP'!#REF!/'Evolutive SFP'!#REF!</f>
        <v>#REF!</v>
      </c>
      <c r="AD21" s="38" t="e">
        <f>'Evolutive SFP'!#REF!/'Evolutive SFP'!#REF!</f>
        <v>#REF!</v>
      </c>
      <c r="AE21" s="38" t="e">
        <f>'Evolutive SFP'!#REF!/'Evolutive SFP'!#REF!</f>
        <v>#REF!</v>
      </c>
      <c r="AF21" s="38" t="e">
        <f>'Evolutive SFP'!#REF!/'Evolutive SFP'!#REF!</f>
        <v>#REF!</v>
      </c>
      <c r="AG21" s="38" t="e">
        <f>'Evolutive SFP'!#REF!/'Evolutive SFP'!#REF!</f>
        <v>#REF!</v>
      </c>
      <c r="AH21" s="38" t="e">
        <f>'Evolutive SFP'!#REF!/'Evolutive SFP'!#REF!</f>
        <v>#REF!</v>
      </c>
      <c r="AI21" s="38" t="e">
        <f>'Evolutive SFP'!#REF!/'Evolutive SFP'!#REF!</f>
        <v>#REF!</v>
      </c>
      <c r="AJ21" s="38" t="e">
        <f>'Evolutive SFP'!#REF!/'Evolutive SFP'!#REF!</f>
        <v>#REF!</v>
      </c>
      <c r="AK21" s="38" t="e">
        <f>'Evolutive SFP'!#REF!/'Evolutive SFP'!#REF!</f>
        <v>#REF!</v>
      </c>
      <c r="AL21" s="38" t="e">
        <f>'Evolutive SFP'!#REF!/'Evolutive SFP'!#REF!</f>
        <v>#REF!</v>
      </c>
      <c r="AM21" s="38" t="e">
        <f>'Evolutive SFP'!#REF!/'Evolutive SFP'!#REF!</f>
        <v>#REF!</v>
      </c>
      <c r="AN21" s="38" t="e">
        <f>'Evolutive SFP'!#REF!/'Evolutive SFP'!#REF!</f>
        <v>#REF!</v>
      </c>
      <c r="AO21" s="38" t="e">
        <f>'Evolutive SFP'!#REF!/'Evolutive SFP'!#REF!</f>
        <v>#REF!</v>
      </c>
      <c r="AP21" s="38" t="e">
        <f>'Evolutive SFP'!#REF!/'Evolutive SFP'!#REF!</f>
        <v>#REF!</v>
      </c>
      <c r="AQ21" s="38" t="e">
        <f>'Evolutive SFP'!#REF!/'Evolutive SFP'!#REF!</f>
        <v>#REF!</v>
      </c>
      <c r="AR21" s="38" t="e">
        <f>'Evolutive SFP'!#REF!/'Evolutive SFP'!#REF!</f>
        <v>#REF!</v>
      </c>
      <c r="AS21" s="38" t="e">
        <f>'Evolutive SFP'!#REF!/'Evolutive SFP'!#REF!</f>
        <v>#REF!</v>
      </c>
      <c r="AT21" s="38">
        <f>'Evolutive SFP'!BV31/'Evolutive SFP'!BV27</f>
        <v>0.44683460183381851</v>
      </c>
      <c r="AU21" s="38">
        <f>'Evolutive SFP'!BW31/'Evolutive SFP'!BW27</f>
        <v>0.43767839484365312</v>
      </c>
      <c r="AV21" s="38">
        <f>'Evolutive SFP'!BX31/'Evolutive SFP'!BX27</f>
        <v>0.44704646979885665</v>
      </c>
      <c r="AW21" s="38">
        <f>'Evolutive SFP'!BY31/'Evolutive SFP'!BY27</f>
        <v>0.4455777481031456</v>
      </c>
      <c r="AX21" s="38">
        <f>'Evolutive SFP'!BZ31/'Evolutive SFP'!BZ27</f>
        <v>0.49809068474857299</v>
      </c>
      <c r="AY21" s="38">
        <f>'Evolutive SFP'!CA31/'Evolutive SFP'!CA27</f>
        <v>0.48611551117350837</v>
      </c>
      <c r="AZ21" s="38">
        <f>'Evolutive SFP'!CB31/'Evolutive SFP'!CB27</f>
        <v>0.55415291949018808</v>
      </c>
      <c r="BA21" s="38" t="e">
        <f>'Evolutive SFP'!#REF!/'Evolutive SFP'!#REF!</f>
        <v>#REF!</v>
      </c>
      <c r="BB21" s="38">
        <f>'Evolutive SFP'!CC31/'Evolutive SFP'!CC27</f>
        <v>0.5127348846907489</v>
      </c>
      <c r="BC21" s="38">
        <f>'Evolutive SFP'!CD31/'Evolutive SFP'!CD27</f>
        <v>0.58429838330573214</v>
      </c>
      <c r="BD21" s="38">
        <f>'Evolutive SFP'!CE31/'Evolutive SFP'!CE27</f>
        <v>0.56443274147257738</v>
      </c>
      <c r="BE21" s="38">
        <f>'Evolutive SFP'!CF31/'Evolutive SFP'!CF27</f>
        <v>0.53056898864725044</v>
      </c>
      <c r="BF21" s="38">
        <f>'Evolutive SFP'!CG31/'Evolutive SFP'!CG27</f>
        <v>0.50799223490082002</v>
      </c>
      <c r="BG21" s="38">
        <f>'Evolutive SFP'!CH31/'Evolutive SFP'!CH27</f>
        <v>0.50799223053837628</v>
      </c>
      <c r="BH21" s="38">
        <f>'Evolutive SFP'!CI31/'Evolutive SFP'!CI27</f>
        <v>0.49671692223811292</v>
      </c>
      <c r="BI21" s="38">
        <f>'Evolutive SFP'!CJ31/'Evolutive SFP'!CJ27</f>
        <v>0.49509068621721664</v>
      </c>
      <c r="BJ21" s="38">
        <f>'Evolutive SFP'!CK31/'Evolutive SFP'!CK27</f>
        <v>0.49713703959299527</v>
      </c>
      <c r="BK21" s="38">
        <f>'Evolutive SFP'!CL31/'Evolutive SFP'!CL27</f>
        <v>0.50447726432115569</v>
      </c>
      <c r="BL21" s="38">
        <f>'Evolutive SFP'!CM31/'Evolutive SFP'!CM27</f>
        <v>0.50809544707758847</v>
      </c>
      <c r="BM21" s="38">
        <f>'Evolutive SFP'!CN31/'Evolutive SFP'!CN27</f>
        <v>0.51157335388424019</v>
      </c>
      <c r="BN21" s="38">
        <f>'Evolutive SFP'!CO31/'Evolutive SFP'!CO27</f>
        <v>0.51337950641939589</v>
      </c>
      <c r="BO21" s="38">
        <f>'Evolutive SFP'!CP31/'Evolutive SFP'!CP27</f>
        <v>0.51999701738618331</v>
      </c>
      <c r="BP21" s="38">
        <f>'Evolutive SFP'!CQ31/'Evolutive SFP'!CQ27</f>
        <v>0.51767235564763747</v>
      </c>
      <c r="BQ21" s="38">
        <f>'Evolutive SFP'!CR31/'Evolutive SFP'!CR27</f>
        <v>0.59705609477362154</v>
      </c>
      <c r="BR21" s="38">
        <f>'Evolutive SFP'!CS31/'Evolutive SFP'!CS27</f>
        <v>0.55658104780165485</v>
      </c>
      <c r="BS21" s="38">
        <f>'Evolutive SFP'!CT31/'Evolutive SFP'!CT27</f>
        <v>0.52374244288338556</v>
      </c>
      <c r="BT21" s="38">
        <f>'Evolutive SFP'!CU31/'Evolutive SFP'!CU27</f>
        <v>0.52374244106990009</v>
      </c>
      <c r="BU21" s="38">
        <f>'Evolutive SFP'!CV31/'Evolutive SFP'!CV27</f>
        <v>0.48832440811914335</v>
      </c>
      <c r="BV21" s="38">
        <f>'Evolutive SFP'!CW31/'Evolutive SFP'!CW27</f>
        <v>0.48254119237828325</v>
      </c>
      <c r="BW21" s="38">
        <f>'Evolutive SFP'!CX31/'Evolutive SFP'!CX27</f>
        <v>0.48440363347338661</v>
      </c>
      <c r="BX21" s="38">
        <f>'Evolutive SFP'!CY31/'Evolutive SFP'!CY27</f>
        <v>0.48852959058151224</v>
      </c>
      <c r="BY21" s="38">
        <f>'Evolutive SFP'!CZ31/'Evolutive SFP'!CZ27</f>
        <v>0.50126829540921203</v>
      </c>
      <c r="BZ21" s="38">
        <f>'Evolutive SFP'!DA31/'Evolutive SFP'!DA27</f>
        <v>0.50734331126050514</v>
      </c>
      <c r="CA21" s="38">
        <f>'Evolutive SFP'!DB31/'Evolutive SFP'!DB27</f>
        <v>0.50393438612642227</v>
      </c>
      <c r="CB21" s="38">
        <f>'Evolutive SFP'!DC31/'Evolutive SFP'!DC27</f>
        <v>0.52309981069249389</v>
      </c>
      <c r="CC21" s="38">
        <f>'Evolutive SFP'!DD31/'Evolutive SFP'!DD27</f>
        <v>0.50150489606156734</v>
      </c>
      <c r="CD21" s="38">
        <f>'Evolutive SFP'!DE31/'Evolutive SFP'!DE27</f>
        <v>0.50003983118852269</v>
      </c>
    </row>
    <row r="22" spans="1:82" ht="15">
      <c r="A22" s="440"/>
      <c r="B22" s="32" t="s">
        <v>231</v>
      </c>
      <c r="C22" s="2"/>
      <c r="D22" s="34" t="e">
        <f>'Evolutive SFP'!#REF!/'Evolutive SFP'!#REF!</f>
        <v>#REF!</v>
      </c>
      <c r="E22" s="34" t="e">
        <f>'Evolutive SFP'!#REF!/'Evolutive SFP'!#REF!</f>
        <v>#REF!</v>
      </c>
      <c r="F22" s="34" t="e">
        <f>'Evolutive SFP'!#REF!/'Evolutive SFP'!#REF!</f>
        <v>#REF!</v>
      </c>
      <c r="G22" s="34" t="e">
        <f>'Evolutive SFP'!#REF!/'Evolutive SFP'!#REF!</f>
        <v>#REF!</v>
      </c>
      <c r="H22" s="34" t="e">
        <f>'Evolutive SFP'!#REF!/'Evolutive SFP'!#REF!</f>
        <v>#REF!</v>
      </c>
      <c r="I22" s="34" t="e">
        <f>'Evolutive SFP'!#REF!/'Evolutive SFP'!#REF!</f>
        <v>#REF!</v>
      </c>
      <c r="J22" s="34" t="e">
        <f>'Evolutive SFP'!#REF!/'Evolutive SFP'!#REF!</f>
        <v>#REF!</v>
      </c>
      <c r="K22" s="34" t="e">
        <f>'Evolutive SFP'!#REF!/'Evolutive SFP'!#REF!</f>
        <v>#REF!</v>
      </c>
      <c r="L22" s="34" t="e">
        <f>'Evolutive SFP'!#REF!/'Evolutive SFP'!#REF!</f>
        <v>#REF!</v>
      </c>
      <c r="M22" s="34" t="e">
        <f>'Evolutive SFP'!#REF!/'Evolutive SFP'!#REF!</f>
        <v>#REF!</v>
      </c>
      <c r="N22" s="34" t="e">
        <f>'Evolutive SFP'!#REF!/'Evolutive SFP'!#REF!</f>
        <v>#REF!</v>
      </c>
      <c r="O22" s="34" t="e">
        <f>'Evolutive SFP'!#REF!/'Evolutive SFP'!#REF!</f>
        <v>#REF!</v>
      </c>
      <c r="P22" s="34" t="e">
        <f>'Evolutive SFP'!#REF!/'Evolutive SFP'!#REF!</f>
        <v>#REF!</v>
      </c>
      <c r="Q22" s="34" t="e">
        <f>'Evolutive SFP'!#REF!/'Evolutive SFP'!#REF!</f>
        <v>#REF!</v>
      </c>
      <c r="R22" s="34" t="e">
        <f>'Evolutive SFP'!#REF!/'Evolutive SFP'!#REF!</f>
        <v>#REF!</v>
      </c>
      <c r="S22" s="38" t="e">
        <f>'Evolutive SFP'!#REF!/'Evolutive SFP'!#REF!</f>
        <v>#REF!</v>
      </c>
      <c r="T22" s="38" t="e">
        <f>'Evolutive SFP'!#REF!/'Evolutive SFP'!#REF!</f>
        <v>#REF!</v>
      </c>
      <c r="U22" s="38" t="e">
        <f>'Evolutive SFP'!#REF!/'Evolutive SFP'!#REF!</f>
        <v>#REF!</v>
      </c>
      <c r="V22" s="38" t="e">
        <f>'Evolutive SFP'!#REF!/'Evolutive SFP'!#REF!</f>
        <v>#REF!</v>
      </c>
      <c r="W22" s="38" t="e">
        <f>'Evolutive SFP'!#REF!/'Evolutive SFP'!#REF!</f>
        <v>#REF!</v>
      </c>
      <c r="X22" s="38" t="e">
        <f>'Evolutive SFP'!#REF!/'Evolutive SFP'!#REF!</f>
        <v>#REF!</v>
      </c>
      <c r="Y22" s="38" t="e">
        <f>'Evolutive SFP'!#REF!/'Evolutive SFP'!#REF!</f>
        <v>#REF!</v>
      </c>
      <c r="Z22" s="38" t="e">
        <f>'Evolutive SFP'!#REF!/'Evolutive SFP'!#REF!</f>
        <v>#REF!</v>
      </c>
      <c r="AA22" s="38" t="e">
        <f>'Evolutive SFP'!#REF!/'Evolutive SFP'!#REF!</f>
        <v>#REF!</v>
      </c>
      <c r="AB22" s="38" t="e">
        <f>'Evolutive SFP'!#REF!/'Evolutive SFP'!#REF!</f>
        <v>#REF!</v>
      </c>
      <c r="AC22" s="38" t="e">
        <f>'Evolutive SFP'!#REF!/'Evolutive SFP'!#REF!</f>
        <v>#REF!</v>
      </c>
      <c r="AD22" s="38" t="e">
        <f>'Evolutive SFP'!#REF!/'Evolutive SFP'!#REF!</f>
        <v>#REF!</v>
      </c>
      <c r="AE22" s="38" t="e">
        <f>'Evolutive SFP'!#REF!/'Evolutive SFP'!#REF!</f>
        <v>#REF!</v>
      </c>
      <c r="AF22" s="38" t="e">
        <f>'Evolutive SFP'!#REF!/'Evolutive SFP'!#REF!</f>
        <v>#REF!</v>
      </c>
      <c r="AG22" s="38" t="e">
        <f>'Evolutive SFP'!#REF!/'Evolutive SFP'!#REF!</f>
        <v>#REF!</v>
      </c>
      <c r="AH22" s="38" t="e">
        <f>'Evolutive SFP'!#REF!/'Evolutive SFP'!#REF!</f>
        <v>#REF!</v>
      </c>
      <c r="AI22" s="38" t="e">
        <f>'Evolutive SFP'!#REF!/'Evolutive SFP'!#REF!</f>
        <v>#REF!</v>
      </c>
      <c r="AJ22" s="38" t="e">
        <f>'Evolutive SFP'!#REF!/'Evolutive SFP'!#REF!</f>
        <v>#REF!</v>
      </c>
      <c r="AK22" s="38" t="e">
        <f>'Evolutive SFP'!#REF!/'Evolutive SFP'!#REF!</f>
        <v>#REF!</v>
      </c>
      <c r="AL22" s="38" t="e">
        <f>'Evolutive SFP'!#REF!/'Evolutive SFP'!#REF!</f>
        <v>#REF!</v>
      </c>
      <c r="AM22" s="38" t="e">
        <f>'Evolutive SFP'!#REF!/'Evolutive SFP'!#REF!</f>
        <v>#REF!</v>
      </c>
      <c r="AN22" s="38" t="e">
        <f>'Evolutive SFP'!#REF!/'Evolutive SFP'!#REF!</f>
        <v>#REF!</v>
      </c>
      <c r="AO22" s="38" t="e">
        <f>'Evolutive SFP'!#REF!/'Evolutive SFP'!#REF!</f>
        <v>#REF!</v>
      </c>
      <c r="AP22" s="38" t="e">
        <f>'Evolutive SFP'!#REF!/'Evolutive SFP'!#REF!</f>
        <v>#REF!</v>
      </c>
      <c r="AQ22" s="38" t="e">
        <f>'Evolutive SFP'!#REF!/'Evolutive SFP'!#REF!</f>
        <v>#REF!</v>
      </c>
      <c r="AR22" s="38" t="e">
        <f>'Evolutive SFP'!#REF!/'Evolutive SFP'!#REF!</f>
        <v>#REF!</v>
      </c>
      <c r="AS22" s="38" t="e">
        <f>'Evolutive SFP'!#REF!/'Evolutive SFP'!#REF!</f>
        <v>#REF!</v>
      </c>
      <c r="AT22" s="38">
        <f>'Evolutive SFP'!BV30/'Evolutive SFP'!BV27</f>
        <v>0</v>
      </c>
      <c r="AU22" s="38">
        <f>'Evolutive SFP'!BW30/'Evolutive SFP'!BW27</f>
        <v>0.26686849003766311</v>
      </c>
      <c r="AV22" s="38">
        <f>'Evolutive SFP'!BX30/'Evolutive SFP'!BX27</f>
        <v>0.26936124915550214</v>
      </c>
      <c r="AW22" s="38">
        <f>'Evolutive SFP'!BY30/'Evolutive SFP'!BY27</f>
        <v>0.27055665524171063</v>
      </c>
      <c r="AX22" s="38">
        <f>'Evolutive SFP'!BZ30/'Evolutive SFP'!BZ27</f>
        <v>0.24007581921895246</v>
      </c>
      <c r="AY22" s="38">
        <f>'Evolutive SFP'!CA30/'Evolutive SFP'!CA27</f>
        <v>0.2134130090465953</v>
      </c>
      <c r="AZ22" s="38">
        <f>'Evolutive SFP'!CB30/'Evolutive SFP'!CB27</f>
        <v>0.21949496360522552</v>
      </c>
      <c r="BA22" s="38" t="e">
        <f>'Evolutive SFP'!#REF!/'Evolutive SFP'!#REF!</f>
        <v>#REF!</v>
      </c>
      <c r="BB22" s="38">
        <f>'Evolutive SFP'!CC30/'Evolutive SFP'!CC27</f>
        <v>0.24705510874040917</v>
      </c>
      <c r="BC22" s="38">
        <f>'Evolutive SFP'!CD30/'Evolutive SFP'!CD27</f>
        <v>0.1863287239246382</v>
      </c>
      <c r="BD22" s="38">
        <f>'Evolutive SFP'!CE30/'Evolutive SFP'!CE27</f>
        <v>0.22648282379941209</v>
      </c>
      <c r="BE22" s="38">
        <f>'Evolutive SFP'!CF30/'Evolutive SFP'!CF27</f>
        <v>0.25379437827856915</v>
      </c>
      <c r="BF22" s="38">
        <f>'Evolutive SFP'!CG30/'Evolutive SFP'!CG27</f>
        <v>0.26902602119104524</v>
      </c>
      <c r="BG22" s="38">
        <f>'Evolutive SFP'!CH30/'Evolutive SFP'!CH27</f>
        <v>0.26902601903233064</v>
      </c>
      <c r="BH22" s="38">
        <f>'Evolutive SFP'!CI30/'Evolutive SFP'!CI27</f>
        <v>0.27890949035650386</v>
      </c>
      <c r="BI22" s="38">
        <f>'Evolutive SFP'!CJ30/'Evolutive SFP'!CJ27</f>
        <v>0.28592353046304658</v>
      </c>
      <c r="BJ22" s="38">
        <f>'Evolutive SFP'!CK30/'Evolutive SFP'!CK27</f>
        <v>0.28670982868208433</v>
      </c>
      <c r="BK22" s="38">
        <f>'Evolutive SFP'!CL30/'Evolutive SFP'!CL27</f>
        <v>0.2835967630932798</v>
      </c>
      <c r="BL22" s="38">
        <f>'Evolutive SFP'!CM30/'Evolutive SFP'!CM27</f>
        <v>0.29027230319956671</v>
      </c>
      <c r="BM22" s="38">
        <f>'Evolutive SFP'!CN30/'Evolutive SFP'!CN27</f>
        <v>0.29502048654097451</v>
      </c>
      <c r="BN22" s="38">
        <f>'Evolutive SFP'!CO30/'Evolutive SFP'!CO27</f>
        <v>0.301788944300867</v>
      </c>
      <c r="BO22" s="38">
        <f>'Evolutive SFP'!CP30/'Evolutive SFP'!CP27</f>
        <v>0.30990386683961935</v>
      </c>
      <c r="BP22" s="38">
        <f>'Evolutive SFP'!CQ30/'Evolutive SFP'!CQ27</f>
        <v>0.22724692897635293</v>
      </c>
      <c r="BQ22" s="38">
        <f>'Evolutive SFP'!CR30/'Evolutive SFP'!CR27</f>
        <v>0.23300618809649143</v>
      </c>
      <c r="BR22" s="38">
        <f>'Evolutive SFP'!CS30/'Evolutive SFP'!CS27</f>
        <v>0.25073827533375276</v>
      </c>
      <c r="BS22" s="38">
        <f>'Evolutive SFP'!CT30/'Evolutive SFP'!CT27</f>
        <v>0.2497128106766745</v>
      </c>
      <c r="BT22" s="38">
        <f>'Evolutive SFP'!CU30/'Evolutive SFP'!CU27</f>
        <v>0.24971280970758117</v>
      </c>
      <c r="BU22" s="38">
        <f>'Evolutive SFP'!CV30/'Evolutive SFP'!CV27</f>
        <v>0.25684267541339323</v>
      </c>
      <c r="BV22" s="38">
        <f>'Evolutive SFP'!CW30/'Evolutive SFP'!CW27</f>
        <v>0.26466983171427344</v>
      </c>
      <c r="BW22" s="38">
        <f>'Evolutive SFP'!CX30/'Evolutive SFP'!CX27</f>
        <v>0.26756742999611705</v>
      </c>
      <c r="BX22" s="38">
        <f>'Evolutive SFP'!CY30/'Evolutive SFP'!CY27</f>
        <v>0.26878428913258212</v>
      </c>
      <c r="BY22" s="38">
        <f>'Evolutive SFP'!CZ30/'Evolutive SFP'!CZ27</f>
        <v>0.27401832660228215</v>
      </c>
      <c r="BZ22" s="38">
        <f>'Evolutive SFP'!DA30/'Evolutive SFP'!DA27</f>
        <v>0.28362737670398785</v>
      </c>
      <c r="CA22" s="38">
        <f>'Evolutive SFP'!DB30/'Evolutive SFP'!DB27</f>
        <v>0.27771684119287188</v>
      </c>
      <c r="CB22" s="38">
        <f>'Evolutive SFP'!DC30/'Evolutive SFP'!DC27</f>
        <v>0.24520872452173231</v>
      </c>
      <c r="CC22" s="38">
        <f>'Evolutive SFP'!DD30/'Evolutive SFP'!DD27</f>
        <v>0.25979955643896302</v>
      </c>
      <c r="CD22" s="38">
        <f>'Evolutive SFP'!DE30/'Evolutive SFP'!DE27</f>
        <v>0.26963418404598993</v>
      </c>
    </row>
    <row r="23" spans="1:82" ht="15">
      <c r="A23" s="440"/>
      <c r="B23" s="32" t="s">
        <v>232</v>
      </c>
      <c r="C23" s="2"/>
      <c r="D23" s="34" t="e">
        <f>('Evolutive SFP'!#REF!+'Evolutive SFP'!#REF!)/'Evolutive SFP'!#REF!</f>
        <v>#REF!</v>
      </c>
      <c r="E23" s="34" t="e">
        <f>('Evolutive SFP'!#REF!+'Evolutive SFP'!#REF!)/'Evolutive SFP'!#REF!</f>
        <v>#REF!</v>
      </c>
      <c r="F23" s="34" t="e">
        <f>('Evolutive SFP'!#REF!+'Evolutive SFP'!#REF!)/'Evolutive SFP'!#REF!</f>
        <v>#REF!</v>
      </c>
      <c r="G23" s="34" t="e">
        <f>('Evolutive SFP'!#REF!+'Evolutive SFP'!#REF!)/'Evolutive SFP'!#REF!</f>
        <v>#REF!</v>
      </c>
      <c r="H23" s="34" t="e">
        <f>('Evolutive SFP'!#REF!+'Evolutive SFP'!#REF!)/'Evolutive SFP'!#REF!</f>
        <v>#REF!</v>
      </c>
      <c r="I23" s="34" t="e">
        <f>('Evolutive SFP'!#REF!+'Evolutive SFP'!#REF!)/'Evolutive SFP'!#REF!</f>
        <v>#REF!</v>
      </c>
      <c r="J23" s="34" t="e">
        <f>('Evolutive SFP'!#REF!+'Evolutive SFP'!#REF!)/'Evolutive SFP'!#REF!</f>
        <v>#REF!</v>
      </c>
      <c r="K23" s="34" t="e">
        <f>('Evolutive SFP'!#REF!+'Evolutive SFP'!#REF!)/'Evolutive SFP'!#REF!</f>
        <v>#REF!</v>
      </c>
      <c r="L23" s="34" t="e">
        <f>('Evolutive SFP'!#REF!+'Evolutive SFP'!#REF!)/'Evolutive SFP'!#REF!</f>
        <v>#REF!</v>
      </c>
      <c r="M23" s="34" t="e">
        <f>('Evolutive SFP'!#REF!+'Evolutive SFP'!#REF!)/'Evolutive SFP'!#REF!</f>
        <v>#REF!</v>
      </c>
      <c r="N23" s="34" t="e">
        <f>('Evolutive SFP'!#REF!+'Evolutive SFP'!#REF!)/'Evolutive SFP'!#REF!</f>
        <v>#REF!</v>
      </c>
      <c r="O23" s="34" t="e">
        <f>('Evolutive SFP'!#REF!+'Evolutive SFP'!#REF!)/'Evolutive SFP'!#REF!</f>
        <v>#REF!</v>
      </c>
      <c r="P23" s="34" t="e">
        <f>('Evolutive SFP'!#REF!+'Evolutive SFP'!#REF!)/'Evolutive SFP'!#REF!</f>
        <v>#REF!</v>
      </c>
      <c r="Q23" s="34" t="e">
        <f>('Evolutive SFP'!#REF!+'Evolutive SFP'!#REF!)/'Evolutive SFP'!#REF!</f>
        <v>#REF!</v>
      </c>
      <c r="R23" s="34" t="e">
        <f>('Evolutive SFP'!#REF!+'Evolutive SFP'!#REF!)/'Evolutive SFP'!#REF!</f>
        <v>#REF!</v>
      </c>
      <c r="S23" s="38" t="e">
        <f>('Evolutive SFP'!#REF!+'Evolutive SFP'!#REF!)/'Evolutive SFP'!#REF!</f>
        <v>#REF!</v>
      </c>
      <c r="T23" s="38" t="e">
        <f>('Evolutive SFP'!#REF!+'Evolutive SFP'!#REF!)/'Evolutive SFP'!#REF!</f>
        <v>#REF!</v>
      </c>
      <c r="U23" s="38" t="e">
        <f>('Evolutive SFP'!#REF!+'Evolutive SFP'!#REF!)/'Evolutive SFP'!#REF!</f>
        <v>#REF!</v>
      </c>
      <c r="V23" s="38" t="e">
        <f>('Evolutive SFP'!#REF!+'Evolutive SFP'!#REF!)/'Evolutive SFP'!#REF!</f>
        <v>#REF!</v>
      </c>
      <c r="W23" s="38" t="e">
        <f>('Evolutive SFP'!#REF!+'Evolutive SFP'!#REF!)/'Evolutive SFP'!#REF!</f>
        <v>#REF!</v>
      </c>
      <c r="X23" s="38" t="e">
        <f>('Evolutive SFP'!#REF!+'Evolutive SFP'!#REF!)/'Evolutive SFP'!#REF!</f>
        <v>#REF!</v>
      </c>
      <c r="Y23" s="38" t="e">
        <f>('Evolutive SFP'!#REF!+'Evolutive SFP'!#REF!)/'Evolutive SFP'!#REF!</f>
        <v>#REF!</v>
      </c>
      <c r="Z23" s="38" t="e">
        <f>('Evolutive SFP'!#REF!+'Evolutive SFP'!#REF!)/'Evolutive SFP'!#REF!</f>
        <v>#REF!</v>
      </c>
      <c r="AA23" s="38" t="e">
        <f>('Evolutive SFP'!#REF!+'Evolutive SFP'!#REF!)/'Evolutive SFP'!#REF!</f>
        <v>#REF!</v>
      </c>
      <c r="AB23" s="38" t="e">
        <f>('Evolutive SFP'!#REF!+'Evolutive SFP'!#REF!)/'Evolutive SFP'!#REF!</f>
        <v>#REF!</v>
      </c>
      <c r="AC23" s="38" t="e">
        <f>('Evolutive SFP'!#REF!+'Evolutive SFP'!#REF!)/'Evolutive SFP'!#REF!</f>
        <v>#REF!</v>
      </c>
      <c r="AD23" s="38" t="e">
        <f>('Evolutive SFP'!#REF!+'Evolutive SFP'!#REF!)/'Evolutive SFP'!#REF!</f>
        <v>#REF!</v>
      </c>
      <c r="AE23" s="38" t="e">
        <f>('Evolutive SFP'!#REF!+'Evolutive SFP'!#REF!)/'Evolutive SFP'!#REF!</f>
        <v>#REF!</v>
      </c>
      <c r="AF23" s="38" t="e">
        <f>('Evolutive SFP'!#REF!+'Evolutive SFP'!#REF!)/'Evolutive SFP'!#REF!</f>
        <v>#REF!</v>
      </c>
      <c r="AG23" s="38" t="e">
        <f>('Evolutive SFP'!#REF!+'Evolutive SFP'!#REF!)/'Evolutive SFP'!#REF!</f>
        <v>#REF!</v>
      </c>
      <c r="AH23" s="38" t="e">
        <f>('Evolutive SFP'!#REF!+'Evolutive SFP'!#REF!)/'Evolutive SFP'!#REF!</f>
        <v>#REF!</v>
      </c>
      <c r="AI23" s="38" t="e">
        <f>('Evolutive SFP'!#REF!+'Evolutive SFP'!#REF!)/'Evolutive SFP'!#REF!</f>
        <v>#REF!</v>
      </c>
      <c r="AJ23" s="38" t="e">
        <f>('Evolutive SFP'!#REF!+'Evolutive SFP'!#REF!)/'Evolutive SFP'!#REF!</f>
        <v>#REF!</v>
      </c>
      <c r="AK23" s="38" t="e">
        <f>('Evolutive SFP'!#REF!+'Evolutive SFP'!#REF!)/'Evolutive SFP'!#REF!</f>
        <v>#REF!</v>
      </c>
      <c r="AL23" s="38" t="e">
        <f>('Evolutive SFP'!#REF!+'Evolutive SFP'!#REF!)/'Evolutive SFP'!#REF!</f>
        <v>#REF!</v>
      </c>
      <c r="AM23" s="38" t="e">
        <f>('Evolutive SFP'!#REF!+'Evolutive SFP'!#REF!)/'Evolutive SFP'!#REF!</f>
        <v>#REF!</v>
      </c>
      <c r="AN23" s="38" t="e">
        <f>('Evolutive SFP'!#REF!+'Evolutive SFP'!#REF!)/'Evolutive SFP'!#REF!</f>
        <v>#REF!</v>
      </c>
      <c r="AO23" s="38" t="e">
        <f>('Evolutive SFP'!#REF!+'Evolutive SFP'!#REF!)/'Evolutive SFP'!#REF!</f>
        <v>#REF!</v>
      </c>
      <c r="AP23" s="38" t="e">
        <f>('Evolutive SFP'!#REF!+'Evolutive SFP'!#REF!)/'Evolutive SFP'!#REF!</f>
        <v>#REF!</v>
      </c>
      <c r="AQ23" s="38" t="e">
        <f>('Evolutive SFP'!#REF!+'Evolutive SFP'!#REF!)/'Evolutive SFP'!#REF!</f>
        <v>#REF!</v>
      </c>
      <c r="AR23" s="38" t="e">
        <f>('Evolutive SFP'!#REF!+'Evolutive SFP'!#REF!)/'Evolutive SFP'!#REF!</f>
        <v>#REF!</v>
      </c>
      <c r="AS23" s="38" t="e">
        <f>('Evolutive SFP'!#REF!+'Evolutive SFP'!#REF!)/'Evolutive SFP'!#REF!</f>
        <v>#REF!</v>
      </c>
      <c r="AT23" s="38">
        <f>('Evolutive SFP'!BV28+'Evolutive SFP'!BV29)/'Evolutive SFP'!BV27</f>
        <v>0.44683460183381851</v>
      </c>
      <c r="AU23" s="38">
        <f>('Evolutive SFP'!BW28+'Evolutive SFP'!BW29)/'Evolutive SFP'!BW27</f>
        <v>0.17080990480599004</v>
      </c>
      <c r="AV23" s="38">
        <f>('Evolutive SFP'!BX28+'Evolutive SFP'!BX29)/'Evolutive SFP'!BX27</f>
        <v>0.17768522064335449</v>
      </c>
      <c r="AW23" s="38">
        <f>('Evolutive SFP'!BY28+'Evolutive SFP'!BY29)/'Evolutive SFP'!BY27</f>
        <v>0.17502109286143497</v>
      </c>
      <c r="AX23" s="38">
        <f>('Evolutive SFP'!BZ28+'Evolutive SFP'!BZ29)/'Evolutive SFP'!BZ27</f>
        <v>0.2580148655296205</v>
      </c>
      <c r="AY23" s="38">
        <f>('Evolutive SFP'!CA28+'Evolutive SFP'!CA29)/'Evolutive SFP'!CA27</f>
        <v>0.2727025021269131</v>
      </c>
      <c r="AZ23" s="38">
        <f>('Evolutive SFP'!CB28+'Evolutive SFP'!CB29)/'Evolutive SFP'!CB27</f>
        <v>0.33465795588496261</v>
      </c>
      <c r="BA23" s="38" t="e">
        <f>('Evolutive SFP'!#REF!+'Evolutive SFP'!#REF!)/'Evolutive SFP'!#REF!</f>
        <v>#REF!</v>
      </c>
      <c r="BB23" s="38">
        <f>('Evolutive SFP'!CC28+'Evolutive SFP'!CC29)/'Evolutive SFP'!CC27</f>
        <v>0.26567977595033976</v>
      </c>
      <c r="BC23" s="38">
        <f>('Evolutive SFP'!CD28+'Evolutive SFP'!CD29)/'Evolutive SFP'!CD27</f>
        <v>0.39796965938109391</v>
      </c>
      <c r="BD23" s="38">
        <f>('Evolutive SFP'!CE28+'Evolutive SFP'!CE29)/'Evolutive SFP'!CE27</f>
        <v>0.33794991767316529</v>
      </c>
      <c r="BE23" s="38">
        <f>('Evolutive SFP'!CF28+'Evolutive SFP'!CF29)/'Evolutive SFP'!CF27</f>
        <v>0.27677461036868134</v>
      </c>
      <c r="BF23" s="38">
        <f>('Evolutive SFP'!CG28+'Evolutive SFP'!CG29)/'Evolutive SFP'!CG27</f>
        <v>0.23896621370977475</v>
      </c>
      <c r="BG23" s="38">
        <f>('Evolutive SFP'!CH28+'Evolutive SFP'!CH29)/'Evolutive SFP'!CH27</f>
        <v>0.23896621150604563</v>
      </c>
      <c r="BH23" s="38">
        <f>('Evolutive SFP'!CI28+'Evolutive SFP'!CI29)/'Evolutive SFP'!CI27</f>
        <v>0.21780743188160903</v>
      </c>
      <c r="BI23" s="38">
        <f>('Evolutive SFP'!CJ28+'Evolutive SFP'!CJ29)/'Evolutive SFP'!CJ27</f>
        <v>0.20916715575417003</v>
      </c>
      <c r="BJ23" s="38">
        <f>('Evolutive SFP'!CK28+'Evolutive SFP'!CK29)/'Evolutive SFP'!CK27</f>
        <v>0.21042721091091091</v>
      </c>
      <c r="BK23" s="38">
        <f>('Evolutive SFP'!CL28+'Evolutive SFP'!CL29)/'Evolutive SFP'!CL27</f>
        <v>0.22088050122787595</v>
      </c>
      <c r="BL23" s="38">
        <f>('Evolutive SFP'!CM28+'Evolutive SFP'!CM29)/'Evolutive SFP'!CM27</f>
        <v>0.21782314387802171</v>
      </c>
      <c r="BM23" s="38">
        <f>('Evolutive SFP'!CN28+'Evolutive SFP'!CN29)/'Evolutive SFP'!CN27</f>
        <v>0.2165528673432657</v>
      </c>
      <c r="BN23" s="38">
        <f>('Evolutive SFP'!CO28+'Evolutive SFP'!CO29)/'Evolutive SFP'!CO27</f>
        <v>0.21159056211852892</v>
      </c>
      <c r="BO23" s="38">
        <f>('Evolutive SFP'!CP28+'Evolutive SFP'!CP29)/'Evolutive SFP'!CP27</f>
        <v>0.21009315054656399</v>
      </c>
      <c r="BP23" s="38">
        <f>('Evolutive SFP'!CQ28+'Evolutive SFP'!CQ29)/'Evolutive SFP'!CQ27</f>
        <v>0.29042542667128446</v>
      </c>
      <c r="BQ23" s="38">
        <f>('Evolutive SFP'!CR28+'Evolutive SFP'!CR29)/'Evolutive SFP'!CR27</f>
        <v>0.36404990667713011</v>
      </c>
      <c r="BR23" s="38">
        <f>('Evolutive SFP'!CS28+'Evolutive SFP'!CS29)/'Evolutive SFP'!CS27</f>
        <v>0.30584277246790209</v>
      </c>
      <c r="BS23" s="38">
        <f>('Evolutive SFP'!CT28+'Evolutive SFP'!CT29)/'Evolutive SFP'!CT27</f>
        <v>0.274029632206711</v>
      </c>
      <c r="BT23" s="38">
        <f>('Evolutive SFP'!CU28+'Evolutive SFP'!CU29)/'Evolutive SFP'!CU27</f>
        <v>0.27402963136231889</v>
      </c>
      <c r="BU23" s="38">
        <f>('Evolutive SFP'!CV28+'Evolutive SFP'!CV29)/'Evolutive SFP'!CV27</f>
        <v>0.23148173270575015</v>
      </c>
      <c r="BV23" s="38">
        <f>('Evolutive SFP'!CW28+'Evolutive SFP'!CW29)/'Evolutive SFP'!CW27</f>
        <v>0.21787136066400981</v>
      </c>
      <c r="BW23" s="38">
        <f>('Evolutive SFP'!CX28+'Evolutive SFP'!CX29)/'Evolutive SFP'!CX27</f>
        <v>0.21683620347726962</v>
      </c>
      <c r="BX23" s="38">
        <f>('Evolutive SFP'!CY28+'Evolutive SFP'!CY29)/'Evolutive SFP'!CY27</f>
        <v>0.21974530144893012</v>
      </c>
      <c r="BY23" s="38">
        <f>('Evolutive SFP'!CZ28+'Evolutive SFP'!CZ29)/'Evolutive SFP'!CZ27</f>
        <v>0.22724996880692985</v>
      </c>
      <c r="BZ23" s="38">
        <f>('Evolutive SFP'!DA28+'Evolutive SFP'!DA29)/'Evolutive SFP'!DA27</f>
        <v>0.2237159345565172</v>
      </c>
      <c r="CA23" s="38">
        <f>('Evolutive SFP'!DB28+'Evolutive SFP'!DB29)/'Evolutive SFP'!DB27</f>
        <v>0.22621754493355045</v>
      </c>
      <c r="CB23" s="38">
        <f>('Evolutive SFP'!DC28+'Evolutive SFP'!DC29)/'Evolutive SFP'!DC27</f>
        <v>0.27789108617076158</v>
      </c>
      <c r="CC23" s="38">
        <f>('Evolutive SFP'!DD28+'Evolutive SFP'!DD29)/'Evolutive SFP'!DD27</f>
        <v>0.2417053396226044</v>
      </c>
      <c r="CD23" s="38">
        <f>('Evolutive SFP'!DE28+'Evolutive SFP'!DE29)/'Evolutive SFP'!DE27</f>
        <v>0.23040564714253281</v>
      </c>
    </row>
    <row r="24" spans="1:82" ht="15">
      <c r="A24" s="439" t="s">
        <v>233</v>
      </c>
      <c r="B24" s="32" t="s">
        <v>39</v>
      </c>
      <c r="C24" s="2"/>
      <c r="D24" s="2"/>
      <c r="E24" s="34" t="e">
        <f>(Financials!D4-Financials!C4)/Financials!C4</f>
        <v>#REF!</v>
      </c>
      <c r="F24" s="2"/>
      <c r="G24" s="2"/>
      <c r="H24" s="34" t="e">
        <f>(Financials!G4-Financials!D4)/Financials!D4</f>
        <v>#REF!</v>
      </c>
      <c r="I24" s="34" t="e">
        <f>(Financials!H4-Financials!G4)/Financials!G4</f>
        <v>#REF!</v>
      </c>
      <c r="J24" s="34" t="e">
        <f>(Financials!I4-Financials!H4)/Financials!H4</f>
        <v>#REF!</v>
      </c>
      <c r="K24" s="34" t="e">
        <f>(Financials!J4-Financials!I4)/Financials!I4</f>
        <v>#REF!</v>
      </c>
      <c r="L24" s="34" t="e">
        <f>(Financials!K4-Financials!J4)/Financials!J4</f>
        <v>#REF!</v>
      </c>
      <c r="M24" s="34" t="e">
        <f>(Financials!L4-Financials!K4)/Financials!K4</f>
        <v>#REF!</v>
      </c>
      <c r="N24" s="34" t="e">
        <f>(Financials!M4-Financials!L4)/Financials!L4</f>
        <v>#REF!</v>
      </c>
      <c r="O24" s="34" t="e">
        <f>(Financials!N4-Financials!M4)/Financials!M4</f>
        <v>#REF!</v>
      </c>
      <c r="P24" s="34" t="e">
        <f>(Financials!O4-Financials!N4)/Financials!N4</f>
        <v>#REF!</v>
      </c>
      <c r="Q24" s="34" t="e">
        <f>(Financials!P4-Financials!O4)/Financials!O4</f>
        <v>#REF!</v>
      </c>
      <c r="R24" s="34" t="e">
        <f>(Financials!Q4-Financials!P4)/Financials!P4</f>
        <v>#REF!</v>
      </c>
      <c r="S24" s="38" t="e">
        <f>(Financials!R4-Financials!Q4)/Financials!Q4</f>
        <v>#REF!</v>
      </c>
      <c r="T24" s="38" t="e">
        <f>(Financials!S4-Financials!R4)/Financials!R4</f>
        <v>#REF!</v>
      </c>
      <c r="U24" s="38">
        <f>(Financials!T4-Financials!S4)/Financials!S4</f>
        <v>4.7471406141691031E-3</v>
      </c>
      <c r="V24" s="38">
        <f>(Financials!U4-Financials!T4)/Financials!T4</f>
        <v>-3.7919667201989772E-3</v>
      </c>
      <c r="W24" s="38">
        <f>(Financials!V4-Financials!U4)/Financials!U4</f>
        <v>-1.4169528405927607E-3</v>
      </c>
      <c r="X24" s="38">
        <f>(Financials!W4-Financials!V4)/Financials!V4</f>
        <v>7.2969843845050878E-3</v>
      </c>
      <c r="Y24" s="38">
        <f>(Financials!X4-Financials!W4)/Financials!W4</f>
        <v>0.25124976165867091</v>
      </c>
      <c r="Z24" s="38">
        <f>(Financials!Y4-Financials!X4)/Financials!X4</f>
        <v>-6.2848320414142067E-2</v>
      </c>
      <c r="AA24" s="38">
        <f>(Financials!Z4-Financials!Y4)/Financials!Y4</f>
        <v>5.1310372021599951E-3</v>
      </c>
      <c r="AB24" s="38">
        <f>(Financials!AA4-Financials!Z4)/Financials!Z4</f>
        <v>-1.0165839469762511E-2</v>
      </c>
      <c r="AC24" s="38">
        <f>(Financials!AB4-Financials!AA4)/Financials!AA4</f>
        <v>-2.2633108283006166E-2</v>
      </c>
      <c r="AD24" s="38">
        <f>(Financials!AC4-Financials!AB4)/Financials!AB4</f>
        <v>-4.7798601380646252E-3</v>
      </c>
      <c r="AE24" s="38">
        <f>(Financials!AD4-Financials!AC4)/Financials!AC4</f>
        <v>-1.9060784652404975E-2</v>
      </c>
      <c r="AF24" s="38">
        <f>(Financials!AE4-Financials!AD4)/Financials!AD4</f>
        <v>-2.5120280628126684E-2</v>
      </c>
      <c r="AG24" s="38">
        <f>(Financials!AF4-Financials!AE4)/Financials!AE4</f>
        <v>1.5158047841590818E-9</v>
      </c>
      <c r="AH24" s="38">
        <f>(Financials!AG4-Financials!AF4)/Financials!AF4</f>
        <v>-9.873485136641982E-3</v>
      </c>
      <c r="AI24" s="38">
        <f>(Financials!AH4-Financials!AG4)/Financials!AG4</f>
        <v>-4.0097272920914138E-3</v>
      </c>
      <c r="AJ24" s="38">
        <f>(Financials!AI4-Financials!AH4)/Financials!AH4</f>
        <v>3.311468239951553E-4</v>
      </c>
      <c r="AK24" s="38">
        <f>(Financials!AJ4-Financials!AI4)/Financials!AI4</f>
        <v>-1.2191588372345056E-2</v>
      </c>
      <c r="AL24" s="38">
        <f>(Financials!AK4-Financials!AJ4)/Financials!AJ4</f>
        <v>-7.9155153594513764E-3</v>
      </c>
      <c r="AM24" s="38">
        <f>(Financials!AL4-Financials!AK4)/Financials!AK4</f>
        <v>2.2962554752783623E-2</v>
      </c>
      <c r="AN24" s="38">
        <f>(Financials!AM4-Financials!AL4)/Financials!AL4</f>
        <v>0.38370661129620759</v>
      </c>
      <c r="AO24" s="38">
        <f>(Financials!AN4-Financials!AM4)/Financials!AM4</f>
        <v>-1.9769650762151345E-2</v>
      </c>
      <c r="AP24" s="38">
        <f>(Financials!AO4-Financials!AN4)/Financials!AN4</f>
        <v>-6.4675519346573215E-2</v>
      </c>
      <c r="AQ24" s="38">
        <f>(Financials!AP4-Financials!AO4)/Financials!AO4</f>
        <v>-2.7276765237809492E-2</v>
      </c>
      <c r="AR24" s="38">
        <f>(Financials!AQ4-Financials!AP4)/Financials!AP4</f>
        <v>-5.3288016993831969E-2</v>
      </c>
      <c r="AS24" s="38">
        <f>(Financials!AR4-Financials!AQ4)/Financials!AQ4</f>
        <v>-2.1837274553496752E-2</v>
      </c>
      <c r="AT24" s="38">
        <f>(Financials!AS4-Financials!AR4)/Financials!AR4</f>
        <v>2.5149025726661695E-9</v>
      </c>
      <c r="AU24" s="38">
        <f>(Financials!AT4-Financials!AS4)/Financials!AS4</f>
        <v>-2.3238918146989564E-2</v>
      </c>
      <c r="AV24" s="38">
        <f>(Financials!AU4-Financials!AT4)/Financials!AT4</f>
        <v>-6.1009265046195861E-3</v>
      </c>
      <c r="AW24" s="38">
        <f>(Financials!AV4-Financials!AU4)/Financials!AU4</f>
        <v>-1.2034524821154344E-2</v>
      </c>
      <c r="AX24" s="38">
        <f>(Financials!AW4-Financials!AV4)/Financials!AV4</f>
        <v>0.13477836943423788</v>
      </c>
      <c r="AY24" s="38">
        <f>(Financials!AX4-Financials!AW4)/Financials!AW4</f>
        <v>-5.2048211722302021E-2</v>
      </c>
      <c r="AZ24" s="38">
        <f>(Financials!AY4-Financials!AX4)/Financials!AX4</f>
        <v>0.23211981323723724</v>
      </c>
      <c r="BA24" s="38" t="e">
        <f>(Financials!AZ4-Financials!AY4)/Financials!AY4</f>
        <v>#REF!</v>
      </c>
      <c r="BB24" s="38" t="e">
        <f>(Financials!BA4-Financials!AZ4)/Financials!AZ4</f>
        <v>#REF!</v>
      </c>
      <c r="BC24" s="38">
        <f>(Financials!BB4-Financials!BA4)/Financials!BA4</f>
        <v>0.35267893488289581</v>
      </c>
      <c r="BD24" s="38">
        <f>(Financials!BC4-Financials!BB4)/Financials!BB4</f>
        <v>-0.14112053113622383</v>
      </c>
      <c r="BE24" s="38">
        <f>(Financials!BD4-Financials!BC4)/Financials!BC4</f>
        <v>-9.3999264227031809E-2</v>
      </c>
      <c r="BF24" s="38">
        <f>(Financials!BE4-Financials!BD4)/Financials!BD4</f>
        <v>-4.9630227525873677E-2</v>
      </c>
      <c r="BG24" s="38">
        <f>(Financials!BF4-Financials!BE4)/Financials!BE4</f>
        <v>3.2880868316716052E-9</v>
      </c>
      <c r="BH24" s="38">
        <f>(Financials!BG4-Financials!BF4)/Financials!BF4</f>
        <v>-3.2427478977847667E-2</v>
      </c>
      <c r="BI24" s="38">
        <f>(Financials!BH4-Financials!BG4)/Financials!BG4</f>
        <v>-1.6614188177656825E-2</v>
      </c>
      <c r="BJ24" s="38">
        <f>(Financials!BI4-Financials!BH4)/Financials!BH4</f>
        <v>-2.5703272459253769E-4</v>
      </c>
      <c r="BK24" s="38">
        <f>(Financials!BJ4-Financials!BI4)/Financials!BI4</f>
        <v>1.4272001929426591E-2</v>
      </c>
      <c r="BL24" s="38">
        <f>(Financials!BK4-Financials!BJ4)/Financials!BJ4</f>
        <v>-1.8475640229587458E-2</v>
      </c>
      <c r="BM24" s="38">
        <f>(Financials!BL4-Financials!BK4)/Financials!BK4</f>
        <v>-1.2570750682955909E-2</v>
      </c>
      <c r="BN24" s="38">
        <f>(Financials!BM4-Financials!BL4)/Financials!BL4</f>
        <v>-1.1740874067396427E-2</v>
      </c>
      <c r="BO24" s="38">
        <f>(Financials!BN4-Financials!BM4)/Financials!BM4</f>
        <v>-2.4068248974420659E-2</v>
      </c>
      <c r="BP24" s="38">
        <f>(Financials!BO4-Financials!BN4)/Financials!BN4</f>
        <v>0.37018593013511347</v>
      </c>
      <c r="BQ24" s="38">
        <f>(Financials!BP4-Financials!BO4)/Financials!BO4</f>
        <v>2.1567974720460219E-2</v>
      </c>
      <c r="BR24" s="38">
        <f>(Financials!BQ4-Financials!BP4)/Financials!BP4</f>
        <v>-8.7254212585320623E-2</v>
      </c>
      <c r="BS24" s="38">
        <f>(Financials!BR4-Financials!BQ4)/Financials!BQ4</f>
        <v>-1.1453406004560405E-2</v>
      </c>
      <c r="BT24" s="38">
        <f>(Financials!BS4-Financials!BR4)/Financials!BR4</f>
        <v>2.2913195097360818E-9</v>
      </c>
      <c r="BU24" s="38">
        <f>(Financials!BT4-Financials!BS4)/Financials!BS4</f>
        <v>0.12750895362427889</v>
      </c>
      <c r="BV24" s="38">
        <f>(Financials!BU4-Financials!BT4)/Financials!BT4</f>
        <v>-1.472137999686182E-2</v>
      </c>
      <c r="BW24" s="38">
        <f>(Financials!BV4-Financials!BU4)/Financials!BU4</f>
        <v>-5.0431580756350102E-3</v>
      </c>
      <c r="BX24" s="38">
        <f>(Financials!BW4-Financials!BV4)/Financials!BV4</f>
        <v>7.4012109397459816E-3</v>
      </c>
      <c r="BY24" s="38">
        <f>(Financials!BX4-Financials!BW4)/Financials!BW4</f>
        <v>-7.3917462993275613E-3</v>
      </c>
      <c r="BZ24" s="38">
        <f>(Financials!BY4-Financials!BX4)/Financials!BX4</f>
        <v>-1.8150576445388544E-2</v>
      </c>
      <c r="CA24" s="38">
        <f>(Financials!BZ4-Financials!BY4)/Financials!BY4</f>
        <v>3.1099254105051301E-2</v>
      </c>
      <c r="CB24" s="38">
        <f>(Financials!CA4-Financials!BZ4)/Financials!BZ4</f>
        <v>0.16954945869486657</v>
      </c>
      <c r="CC24" s="38">
        <f>(Financials!CB4-Financials!CA4)/Financials!CA4</f>
        <v>-3.6679458534672124E-2</v>
      </c>
      <c r="CD24" s="38">
        <f>(Financials!CC4-Financials!CB4)/Financials!CB4</f>
        <v>-2.2554364417427669E-2</v>
      </c>
    </row>
    <row r="25" spans="1:82" ht="15">
      <c r="A25" s="439"/>
      <c r="B25" s="32" t="s">
        <v>155</v>
      </c>
      <c r="C25" s="2"/>
      <c r="D25" s="34" t="e">
        <f>Financials!D5/Financials!C5-1</f>
        <v>#REF!</v>
      </c>
      <c r="E25" s="34" t="e">
        <f>Financials!G5/Financials!D5-1</f>
        <v>#REF!</v>
      </c>
      <c r="F25" s="34" t="e">
        <f>Financials!H5/Financials!G5-1</f>
        <v>#REF!</v>
      </c>
      <c r="G25" s="34" t="e">
        <f>Financials!H5/Financials!G5-1</f>
        <v>#REF!</v>
      </c>
      <c r="H25" s="34" t="e">
        <f>Financials!H5/Financials!G5-1</f>
        <v>#REF!</v>
      </c>
      <c r="I25" s="34" t="e">
        <f>Financials!I5/Financials!H5-1</f>
        <v>#REF!</v>
      </c>
      <c r="J25" s="34" t="e">
        <f>Financials!J5/Financials!I5-1</f>
        <v>#REF!</v>
      </c>
      <c r="K25" s="34" t="e">
        <f>Financials!K5/Financials!J5-1</f>
        <v>#REF!</v>
      </c>
      <c r="L25" s="34" t="e">
        <f>Financials!L5/Financials!K5-1</f>
        <v>#REF!</v>
      </c>
      <c r="M25" s="34" t="e">
        <f>Financials!M5/Financials!L5-1</f>
        <v>#REF!</v>
      </c>
      <c r="N25" s="34" t="e">
        <f>Financials!N5/Financials!M5-1</f>
        <v>#REF!</v>
      </c>
      <c r="O25" s="34" t="e">
        <f>Financials!O5/Financials!N5-1</f>
        <v>#REF!</v>
      </c>
      <c r="P25" s="34" t="e">
        <f>Financials!P5/Financials!O5-1</f>
        <v>#REF!</v>
      </c>
      <c r="Q25" s="34" t="e">
        <f>Financials!Q5/Financials!P5-1</f>
        <v>#REF!</v>
      </c>
      <c r="R25" s="34" t="e">
        <f>Financials!R5/Financials!Q5-1</f>
        <v>#REF!</v>
      </c>
      <c r="S25" s="38" t="e">
        <f>Financials!#REF!/Financials!R5-1</f>
        <v>#REF!</v>
      </c>
      <c r="T25" s="38" t="e">
        <f>Financials!#REF!/Financials!S5-1</f>
        <v>#REF!</v>
      </c>
      <c r="U25" s="38" t="e">
        <f>Financials!#REF!/Financials!T5-1</f>
        <v>#REF!</v>
      </c>
      <c r="V25" s="38" t="e">
        <f>Financials!#REF!/Financials!U5-1</f>
        <v>#REF!</v>
      </c>
      <c r="W25" s="38" t="e">
        <f>Financials!#REF!/Financials!V5-1</f>
        <v>#REF!</v>
      </c>
      <c r="X25" s="38" t="e">
        <f>Financials!#REF!/Financials!W5-1</f>
        <v>#REF!</v>
      </c>
      <c r="Y25" s="38" t="e">
        <f>Financials!#REF!/Financials!X5-1</f>
        <v>#REF!</v>
      </c>
      <c r="Z25" s="38" t="e">
        <f>Financials!#REF!/Financials!Y5-1</f>
        <v>#REF!</v>
      </c>
      <c r="AA25" s="38" t="e">
        <f>Financials!#REF!/Financials!Z5-1</f>
        <v>#REF!</v>
      </c>
      <c r="AB25" s="38" t="e">
        <f>Financials!#REF!/Financials!AA5-1</f>
        <v>#REF!</v>
      </c>
      <c r="AC25" s="38" t="e">
        <f>Financials!#REF!/Financials!AB5-1</f>
        <v>#REF!</v>
      </c>
      <c r="AD25" s="38" t="e">
        <f>Financials!#REF!/Financials!AC5-1</f>
        <v>#REF!</v>
      </c>
      <c r="AE25" s="38" t="e">
        <f>Financials!#REF!/Financials!AD5-1</f>
        <v>#REF!</v>
      </c>
      <c r="AF25" s="38" t="e">
        <f>Financials!#REF!/Financials!AE5-1</f>
        <v>#REF!</v>
      </c>
      <c r="AG25" s="38" t="e">
        <f>Financials!#REF!/Financials!AF5-1</f>
        <v>#REF!</v>
      </c>
      <c r="AH25" s="38" t="e">
        <f>Financials!#REF!/Financials!AG5-1</f>
        <v>#REF!</v>
      </c>
      <c r="AI25" s="38" t="e">
        <f>Financials!#REF!/Financials!AH5-1</f>
        <v>#REF!</v>
      </c>
      <c r="AJ25" s="38" t="e">
        <f>Financials!#REF!/Financials!AI5-1</f>
        <v>#REF!</v>
      </c>
      <c r="AK25" s="38" t="e">
        <f>Financials!#REF!/Financials!AJ5-1</f>
        <v>#REF!</v>
      </c>
      <c r="AL25" s="38" t="e">
        <f>Financials!#REF!/Financials!AK5-1</f>
        <v>#REF!</v>
      </c>
      <c r="AM25" s="38" t="e">
        <f>Financials!#REF!/Financials!AL5-1</f>
        <v>#REF!</v>
      </c>
      <c r="AN25" s="38" t="e">
        <f>Financials!#REF!/Financials!AM5-1</f>
        <v>#REF!</v>
      </c>
      <c r="AO25" s="38" t="e">
        <f>Financials!#REF!/Financials!AN5-1</f>
        <v>#REF!</v>
      </c>
      <c r="AP25" s="38" t="e">
        <f>Financials!#REF!/Financials!AO5-1</f>
        <v>#REF!</v>
      </c>
      <c r="AQ25" s="38" t="e">
        <f>Financials!#REF!/Financials!AP5-1</f>
        <v>#REF!</v>
      </c>
      <c r="AR25" s="38" t="e">
        <f>Financials!#REF!/Financials!AQ5-1</f>
        <v>#REF!</v>
      </c>
      <c r="AS25" s="38" t="e">
        <f>Financials!#REF!/Financials!AR5-1</f>
        <v>#REF!</v>
      </c>
      <c r="AT25" s="38" t="e">
        <f>Financials!#REF!/Financials!AS5-1</f>
        <v>#REF!</v>
      </c>
      <c r="AU25" s="38" t="e">
        <f>Financials!#REF!/Financials!AT5-1</f>
        <v>#REF!</v>
      </c>
      <c r="AV25" s="38" t="e">
        <f>Financials!#REF!/Financials!AU5-1</f>
        <v>#REF!</v>
      </c>
      <c r="AW25" s="38" t="e">
        <f>Financials!#REF!/Financials!AV5-1</f>
        <v>#REF!</v>
      </c>
      <c r="AX25" s="38" t="e">
        <f>Financials!#REF!/Financials!AW5-1</f>
        <v>#REF!</v>
      </c>
      <c r="AY25" s="38" t="e">
        <f>Financials!#REF!/Financials!AX5-1</f>
        <v>#REF!</v>
      </c>
      <c r="AZ25" s="38" t="e">
        <f>Financials!#REF!/Financials!AY5-1</f>
        <v>#REF!</v>
      </c>
      <c r="BA25" s="38" t="e">
        <f>Financials!#REF!/Financials!AZ5-1</f>
        <v>#REF!</v>
      </c>
      <c r="BB25" s="38" t="e">
        <f>Financials!#REF!/Financials!BA5-1</f>
        <v>#REF!</v>
      </c>
      <c r="BC25" s="38" t="e">
        <f>Financials!#REF!/Financials!BB5-1</f>
        <v>#REF!</v>
      </c>
      <c r="BD25" s="38" t="e">
        <f>Financials!#REF!/Financials!BC5-1</f>
        <v>#REF!</v>
      </c>
      <c r="BE25" s="38" t="e">
        <f>Financials!#REF!/Financials!BD5-1</f>
        <v>#REF!</v>
      </c>
      <c r="BF25" s="38" t="e">
        <f>Financials!#REF!/Financials!BE5-1</f>
        <v>#REF!</v>
      </c>
      <c r="BG25" s="38" t="e">
        <f>Financials!#REF!/Financials!BF5-1</f>
        <v>#REF!</v>
      </c>
      <c r="BH25" s="38" t="e">
        <f>Financials!#REF!/Financials!BG5-1</f>
        <v>#REF!</v>
      </c>
      <c r="BI25" s="38" t="e">
        <f>Financials!#REF!/Financials!BH5-1</f>
        <v>#REF!</v>
      </c>
      <c r="BJ25" s="38" t="e">
        <f>Financials!#REF!/Financials!BI5-1</f>
        <v>#REF!</v>
      </c>
      <c r="BK25" s="38" t="e">
        <f>Financials!#REF!/Financials!BJ5-1</f>
        <v>#REF!</v>
      </c>
      <c r="BL25" s="38" t="e">
        <f>Financials!#REF!/Financials!BK5-1</f>
        <v>#REF!</v>
      </c>
      <c r="BM25" s="38" t="e">
        <f>Financials!#REF!/Financials!BL5-1</f>
        <v>#REF!</v>
      </c>
      <c r="BN25" s="38" t="e">
        <f>Financials!#REF!/Financials!BM5-1</f>
        <v>#REF!</v>
      </c>
      <c r="BO25" s="38" t="e">
        <f>Financials!#REF!/Financials!BN5-1</f>
        <v>#REF!</v>
      </c>
      <c r="BP25" s="38" t="e">
        <f>Financials!#REF!/Financials!BO5-1</f>
        <v>#REF!</v>
      </c>
      <c r="BQ25" s="38" t="e">
        <f>Financials!#REF!/Financials!BP5-1</f>
        <v>#REF!</v>
      </c>
      <c r="BR25" s="38" t="e">
        <f>Financials!#REF!/Financials!BQ5-1</f>
        <v>#REF!</v>
      </c>
      <c r="BS25" s="38" t="e">
        <f>Financials!#REF!/Financials!BR5-1</f>
        <v>#REF!</v>
      </c>
      <c r="BT25" s="38" t="e">
        <f>Financials!#REF!/Financials!BS5-1</f>
        <v>#REF!</v>
      </c>
      <c r="BU25" s="38" t="e">
        <f>Financials!#REF!/Financials!BT5-1</f>
        <v>#REF!</v>
      </c>
      <c r="BV25" s="38" t="e">
        <f>Financials!#REF!/Financials!BU5-1</f>
        <v>#REF!</v>
      </c>
      <c r="BW25" s="38" t="e">
        <f>Financials!#REF!/Financials!BV5-1</f>
        <v>#REF!</v>
      </c>
      <c r="BX25" s="38" t="e">
        <f>Financials!#REF!/Financials!BW5-1</f>
        <v>#REF!</v>
      </c>
      <c r="BY25" s="38" t="e">
        <f>Financials!#REF!/Financials!BX5-1</f>
        <v>#REF!</v>
      </c>
      <c r="BZ25" s="38" t="e">
        <f>Financials!#REF!/Financials!BY5-1</f>
        <v>#REF!</v>
      </c>
      <c r="CA25" s="38" t="e">
        <f>Financials!#REF!/Financials!BZ5-1</f>
        <v>#REF!</v>
      </c>
      <c r="CB25" s="38" t="e">
        <f>Financials!#REF!/Financials!CA5-1</f>
        <v>#REF!</v>
      </c>
      <c r="CC25" s="38" t="e">
        <f>Financials!#REF!/Financials!CB5-1</f>
        <v>#REF!</v>
      </c>
      <c r="CD25" s="38" t="e">
        <f>Financials!#REF!/Financials!CC5-1</f>
        <v>#REF!</v>
      </c>
    </row>
    <row r="26" spans="1:82" ht="15">
      <c r="A26" s="439"/>
      <c r="B26" s="33" t="s">
        <v>234</v>
      </c>
      <c r="C26" s="2"/>
      <c r="D26" s="34" t="e">
        <f>Financials!D6/Financials!C6-1</f>
        <v>#REF!</v>
      </c>
      <c r="E26" s="34" t="e">
        <f>Financials!G6/Financials!D6-1</f>
        <v>#REF!</v>
      </c>
      <c r="F26" s="34" t="e">
        <f>Financials!H6/Financials!G6-1</f>
        <v>#REF!</v>
      </c>
      <c r="G26" s="34" t="e">
        <f>Financials!H6/Financials!G6-1</f>
        <v>#REF!</v>
      </c>
      <c r="H26" s="34" t="e">
        <f>Financials!H6/Financials!G6-1</f>
        <v>#REF!</v>
      </c>
      <c r="I26" s="34" t="e">
        <f>Financials!I6/Financials!H6-1</f>
        <v>#REF!</v>
      </c>
      <c r="J26" s="34" t="e">
        <f>Financials!J6/Financials!I6-1</f>
        <v>#REF!</v>
      </c>
      <c r="K26" s="34" t="e">
        <f>Financials!K6/Financials!J6-1</f>
        <v>#REF!</v>
      </c>
      <c r="L26" s="34" t="e">
        <f>Financials!L6/Financials!K6-1</f>
        <v>#REF!</v>
      </c>
      <c r="M26" s="34" t="e">
        <f>Financials!M6/Financials!L6-1</f>
        <v>#REF!</v>
      </c>
      <c r="N26" s="34" t="e">
        <f>Financials!N6/Financials!M6-1</f>
        <v>#REF!</v>
      </c>
      <c r="O26" s="34" t="e">
        <f>Financials!O6/Financials!N6-1</f>
        <v>#REF!</v>
      </c>
      <c r="P26" s="34" t="e">
        <f>Financials!P6/Financials!O6-1</f>
        <v>#REF!</v>
      </c>
      <c r="Q26" s="34" t="e">
        <f>Financials!Q6/Financials!P6-1</f>
        <v>#REF!</v>
      </c>
      <c r="R26" s="34" t="e">
        <f>Financials!R6/Financials!Q6-1</f>
        <v>#REF!</v>
      </c>
      <c r="S26" s="38" t="e">
        <f>Financials!#REF!/Financials!R6-1</f>
        <v>#REF!</v>
      </c>
      <c r="T26" s="38" t="e">
        <f>Financials!#REF!/Financials!S6-1</f>
        <v>#REF!</v>
      </c>
      <c r="U26" s="38" t="e">
        <f>Financials!#REF!/Financials!T6-1</f>
        <v>#REF!</v>
      </c>
      <c r="V26" s="38" t="e">
        <f>Financials!#REF!/Financials!U6-1</f>
        <v>#REF!</v>
      </c>
      <c r="W26" s="38" t="e">
        <f>Financials!#REF!/Financials!V6-1</f>
        <v>#REF!</v>
      </c>
      <c r="X26" s="38" t="e">
        <f>Financials!#REF!/Financials!W6-1</f>
        <v>#REF!</v>
      </c>
      <c r="Y26" s="38" t="e">
        <f>Financials!#REF!/Financials!X6-1</f>
        <v>#REF!</v>
      </c>
      <c r="Z26" s="38" t="e">
        <f>Financials!#REF!/Financials!Y6-1</f>
        <v>#REF!</v>
      </c>
      <c r="AA26" s="38" t="e">
        <f>Financials!#REF!/Financials!Z6-1</f>
        <v>#REF!</v>
      </c>
      <c r="AB26" s="38" t="e">
        <f>Financials!#REF!/Financials!AA6-1</f>
        <v>#REF!</v>
      </c>
      <c r="AC26" s="38" t="e">
        <f>Financials!#REF!/Financials!AB6-1</f>
        <v>#REF!</v>
      </c>
      <c r="AD26" s="38" t="e">
        <f>Financials!#REF!/Financials!AC6-1</f>
        <v>#REF!</v>
      </c>
      <c r="AE26" s="38" t="e">
        <f>Financials!#REF!/Financials!AD6-1</f>
        <v>#REF!</v>
      </c>
      <c r="AF26" s="38" t="e">
        <f>Financials!#REF!/Financials!AE6-1</f>
        <v>#REF!</v>
      </c>
      <c r="AG26" s="38" t="e">
        <f>Financials!#REF!/Financials!AF6-1</f>
        <v>#REF!</v>
      </c>
      <c r="AH26" s="38" t="e">
        <f>Financials!#REF!/Financials!AG6-1</f>
        <v>#REF!</v>
      </c>
      <c r="AI26" s="38" t="e">
        <f>Financials!#REF!/Financials!AH6-1</f>
        <v>#REF!</v>
      </c>
      <c r="AJ26" s="38" t="e">
        <f>Financials!#REF!/Financials!AI6-1</f>
        <v>#REF!</v>
      </c>
      <c r="AK26" s="38" t="e">
        <f>Financials!#REF!/Financials!AJ6-1</f>
        <v>#REF!</v>
      </c>
      <c r="AL26" s="38" t="e">
        <f>Financials!#REF!/Financials!AK6-1</f>
        <v>#REF!</v>
      </c>
      <c r="AM26" s="38" t="e">
        <f>Financials!#REF!/Financials!AL6-1</f>
        <v>#REF!</v>
      </c>
      <c r="AN26" s="38" t="e">
        <f>Financials!#REF!/Financials!AM6-1</f>
        <v>#REF!</v>
      </c>
      <c r="AO26" s="38" t="e">
        <f>Financials!#REF!/Financials!AN6-1</f>
        <v>#REF!</v>
      </c>
      <c r="AP26" s="38" t="e">
        <f>Financials!#REF!/Financials!AO6-1</f>
        <v>#REF!</v>
      </c>
      <c r="AQ26" s="38" t="e">
        <f>Financials!#REF!/Financials!AP6-1</f>
        <v>#REF!</v>
      </c>
      <c r="AR26" s="38" t="e">
        <f>Financials!#REF!/Financials!AQ6-1</f>
        <v>#REF!</v>
      </c>
      <c r="AS26" s="38" t="e">
        <f>Financials!#REF!/Financials!AR6-1</f>
        <v>#REF!</v>
      </c>
      <c r="AT26" s="38" t="e">
        <f>Financials!#REF!/Financials!AS6-1</f>
        <v>#REF!</v>
      </c>
      <c r="AU26" s="38" t="e">
        <f>Financials!#REF!/Financials!AT6-1</f>
        <v>#REF!</v>
      </c>
      <c r="AV26" s="38" t="e">
        <f>Financials!#REF!/Financials!AU6-1</f>
        <v>#REF!</v>
      </c>
      <c r="AW26" s="38" t="e">
        <f>Financials!#REF!/Financials!AV6-1</f>
        <v>#REF!</v>
      </c>
      <c r="AX26" s="38" t="e">
        <f>Financials!#REF!/Financials!AW6-1</f>
        <v>#REF!</v>
      </c>
      <c r="AY26" s="38" t="e">
        <f>Financials!#REF!/Financials!AX6-1</f>
        <v>#REF!</v>
      </c>
      <c r="AZ26" s="38" t="e">
        <f>Financials!#REF!/Financials!AY6-1</f>
        <v>#REF!</v>
      </c>
      <c r="BA26" s="38" t="e">
        <f>Financials!#REF!/Financials!AZ6-1</f>
        <v>#REF!</v>
      </c>
      <c r="BB26" s="38" t="e">
        <f>Financials!#REF!/Financials!BA6-1</f>
        <v>#REF!</v>
      </c>
      <c r="BC26" s="38" t="e">
        <f>Financials!#REF!/Financials!BB6-1</f>
        <v>#REF!</v>
      </c>
      <c r="BD26" s="38" t="e">
        <f>Financials!#REF!/Financials!BC6-1</f>
        <v>#REF!</v>
      </c>
      <c r="BE26" s="38" t="e">
        <f>Financials!#REF!/Financials!BD6-1</f>
        <v>#REF!</v>
      </c>
      <c r="BF26" s="38" t="e">
        <f>Financials!#REF!/Financials!BE6-1</f>
        <v>#REF!</v>
      </c>
      <c r="BG26" s="38" t="e">
        <f>Financials!#REF!/Financials!BF6-1</f>
        <v>#REF!</v>
      </c>
      <c r="BH26" s="38" t="e">
        <f>Financials!#REF!/Financials!BG6-1</f>
        <v>#REF!</v>
      </c>
      <c r="BI26" s="38" t="e">
        <f>Financials!#REF!/Financials!BH6-1</f>
        <v>#REF!</v>
      </c>
      <c r="BJ26" s="38" t="e">
        <f>Financials!#REF!/Financials!BI6-1</f>
        <v>#REF!</v>
      </c>
      <c r="BK26" s="38" t="e">
        <f>Financials!#REF!/Financials!BJ6-1</f>
        <v>#REF!</v>
      </c>
      <c r="BL26" s="38" t="e">
        <f>Financials!#REF!/Financials!BK6-1</f>
        <v>#REF!</v>
      </c>
      <c r="BM26" s="38" t="e">
        <f>Financials!#REF!/Financials!BL6-1</f>
        <v>#REF!</v>
      </c>
      <c r="BN26" s="38" t="e">
        <f>Financials!#REF!/Financials!BM6-1</f>
        <v>#REF!</v>
      </c>
      <c r="BO26" s="38" t="e">
        <f>Financials!#REF!/Financials!BN6-1</f>
        <v>#REF!</v>
      </c>
      <c r="BP26" s="38" t="e">
        <f>Financials!#REF!/Financials!BO6-1</f>
        <v>#REF!</v>
      </c>
      <c r="BQ26" s="38" t="e">
        <f>Financials!#REF!/Financials!BP6-1</f>
        <v>#REF!</v>
      </c>
      <c r="BR26" s="38" t="e">
        <f>Financials!#REF!/Financials!BQ6-1</f>
        <v>#REF!</v>
      </c>
      <c r="BS26" s="38" t="e">
        <f>Financials!#REF!/Financials!BR6-1</f>
        <v>#REF!</v>
      </c>
      <c r="BT26" s="38" t="e">
        <f>Financials!#REF!/Financials!BS6-1</f>
        <v>#REF!</v>
      </c>
      <c r="BU26" s="38" t="e">
        <f>Financials!#REF!/Financials!BT6-1</f>
        <v>#REF!</v>
      </c>
      <c r="BV26" s="38" t="e">
        <f>Financials!#REF!/Financials!BU6-1</f>
        <v>#REF!</v>
      </c>
      <c r="BW26" s="38" t="e">
        <f>Financials!#REF!/Financials!BV6-1</f>
        <v>#REF!</v>
      </c>
      <c r="BX26" s="38" t="e">
        <f>Financials!#REF!/Financials!BW6-1</f>
        <v>#REF!</v>
      </c>
      <c r="BY26" s="38" t="e">
        <f>Financials!#REF!/Financials!BX6-1</f>
        <v>#REF!</v>
      </c>
      <c r="BZ26" s="38" t="e">
        <f>Financials!#REF!/Financials!BY6-1</f>
        <v>#REF!</v>
      </c>
      <c r="CA26" s="38" t="e">
        <f>Financials!#REF!/Financials!BZ6-1</f>
        <v>#REF!</v>
      </c>
      <c r="CB26" s="38" t="e">
        <f>Financials!#REF!/Financials!CA6-1</f>
        <v>#REF!</v>
      </c>
      <c r="CC26" s="38" t="e">
        <f>Financials!#REF!/Financials!CB6-1</f>
        <v>#REF!</v>
      </c>
      <c r="CD26" s="38" t="e">
        <f>Financials!#REF!/Financials!CC6-1</f>
        <v>#REF!</v>
      </c>
    </row>
    <row r="27" spans="1:82" ht="15">
      <c r="A27" s="439"/>
      <c r="B27" s="33" t="s">
        <v>235</v>
      </c>
      <c r="C27" s="2"/>
      <c r="D27" s="34" t="e">
        <f>Financials!D7/Financials!C7-1</f>
        <v>#REF!</v>
      </c>
      <c r="E27" s="34" t="e">
        <f>Financials!G7/Financials!D7-1</f>
        <v>#REF!</v>
      </c>
      <c r="F27" s="34" t="e">
        <f>Financials!H7/Financials!G7-1</f>
        <v>#REF!</v>
      </c>
      <c r="G27" s="34" t="e">
        <f>Financials!H7/Financials!G7-1</f>
        <v>#REF!</v>
      </c>
      <c r="H27" s="34" t="e">
        <f>Financials!H7/Financials!G7-1</f>
        <v>#REF!</v>
      </c>
      <c r="I27" s="34" t="e">
        <f>Financials!I7/Financials!H7-1</f>
        <v>#REF!</v>
      </c>
      <c r="J27" s="34" t="e">
        <f>Financials!J7/Financials!I7-1</f>
        <v>#REF!</v>
      </c>
      <c r="K27" s="34" t="e">
        <f>Financials!K7/Financials!J7-1</f>
        <v>#REF!</v>
      </c>
      <c r="L27" s="34" t="e">
        <f>Financials!L7/Financials!K7-1</f>
        <v>#REF!</v>
      </c>
      <c r="M27" s="34" t="e">
        <f>Financials!M7/Financials!L7-1</f>
        <v>#REF!</v>
      </c>
      <c r="N27" s="34" t="e">
        <f>Financials!N7/Financials!M7-1</f>
        <v>#REF!</v>
      </c>
      <c r="O27" s="34" t="e">
        <f>Financials!O7/Financials!N7-1</f>
        <v>#REF!</v>
      </c>
      <c r="P27" s="34" t="e">
        <f>Financials!P7/Financials!O7-1</f>
        <v>#REF!</v>
      </c>
      <c r="Q27" s="34" t="e">
        <f>Financials!Q7/Financials!P7-1</f>
        <v>#REF!</v>
      </c>
      <c r="R27" s="34" t="e">
        <f>Financials!R7/Financials!Q7-1</f>
        <v>#REF!</v>
      </c>
      <c r="S27" s="38" t="e">
        <f>Financials!#REF!/Financials!R7-1</f>
        <v>#REF!</v>
      </c>
      <c r="T27" s="38" t="e">
        <f>Financials!#REF!/Financials!S7-1</f>
        <v>#REF!</v>
      </c>
      <c r="U27" s="38" t="e">
        <f>Financials!#REF!/Financials!T7-1</f>
        <v>#REF!</v>
      </c>
      <c r="V27" s="38" t="e">
        <f>Financials!#REF!/Financials!U7-1</f>
        <v>#REF!</v>
      </c>
      <c r="W27" s="38" t="e">
        <f>Financials!#REF!/Financials!V7-1</f>
        <v>#REF!</v>
      </c>
      <c r="X27" s="38" t="e">
        <f>Financials!#REF!/Financials!W7-1</f>
        <v>#REF!</v>
      </c>
      <c r="Y27" s="38" t="e">
        <f>Financials!#REF!/Financials!X7-1</f>
        <v>#REF!</v>
      </c>
      <c r="Z27" s="38" t="e">
        <f>Financials!#REF!/Financials!Y7-1</f>
        <v>#REF!</v>
      </c>
      <c r="AA27" s="38" t="e">
        <f>Financials!#REF!/Financials!Z7-1</f>
        <v>#REF!</v>
      </c>
      <c r="AB27" s="38" t="e">
        <f>Financials!#REF!/Financials!AA7-1</f>
        <v>#REF!</v>
      </c>
      <c r="AC27" s="38" t="e">
        <f>Financials!#REF!/Financials!AB7-1</f>
        <v>#REF!</v>
      </c>
      <c r="AD27" s="38" t="e">
        <f>Financials!#REF!/Financials!AC7-1</f>
        <v>#REF!</v>
      </c>
      <c r="AE27" s="38" t="e">
        <f>Financials!#REF!/Financials!AD7-1</f>
        <v>#REF!</v>
      </c>
      <c r="AF27" s="38" t="e">
        <f>Financials!#REF!/Financials!AE7-1</f>
        <v>#REF!</v>
      </c>
      <c r="AG27" s="38" t="e">
        <f>Financials!#REF!/Financials!AF7-1</f>
        <v>#REF!</v>
      </c>
      <c r="AH27" s="38" t="e">
        <f>Financials!#REF!/Financials!AG7-1</f>
        <v>#REF!</v>
      </c>
      <c r="AI27" s="38" t="e">
        <f>Financials!#REF!/Financials!AH7-1</f>
        <v>#REF!</v>
      </c>
      <c r="AJ27" s="38" t="e">
        <f>Financials!#REF!/Financials!AI7-1</f>
        <v>#REF!</v>
      </c>
      <c r="AK27" s="38" t="e">
        <f>Financials!#REF!/Financials!AJ7-1</f>
        <v>#REF!</v>
      </c>
      <c r="AL27" s="38" t="e">
        <f>Financials!#REF!/Financials!AK7-1</f>
        <v>#REF!</v>
      </c>
      <c r="AM27" s="38" t="e">
        <f>Financials!#REF!/Financials!AL7-1</f>
        <v>#REF!</v>
      </c>
      <c r="AN27" s="38" t="e">
        <f>Financials!#REF!/Financials!AM7-1</f>
        <v>#REF!</v>
      </c>
      <c r="AO27" s="38" t="e">
        <f>Financials!#REF!/Financials!AN7-1</f>
        <v>#REF!</v>
      </c>
      <c r="AP27" s="38" t="e">
        <f>Financials!#REF!/Financials!AO7-1</f>
        <v>#REF!</v>
      </c>
      <c r="AQ27" s="38" t="e">
        <f>Financials!#REF!/Financials!AP7-1</f>
        <v>#REF!</v>
      </c>
      <c r="AR27" s="38" t="e">
        <f>Financials!#REF!/Financials!AQ7-1</f>
        <v>#REF!</v>
      </c>
      <c r="AS27" s="38" t="e">
        <f>Financials!#REF!/Financials!AR7-1</f>
        <v>#REF!</v>
      </c>
      <c r="AT27" s="38" t="e">
        <f>Financials!#REF!/Financials!AS7-1</f>
        <v>#REF!</v>
      </c>
      <c r="AU27" s="38" t="e">
        <f>Financials!#REF!/Financials!AT7-1</f>
        <v>#REF!</v>
      </c>
      <c r="AV27" s="38" t="e">
        <f>Financials!#REF!/Financials!AU7-1</f>
        <v>#REF!</v>
      </c>
      <c r="AW27" s="38" t="e">
        <f>Financials!#REF!/Financials!AV7-1</f>
        <v>#REF!</v>
      </c>
      <c r="AX27" s="38" t="e">
        <f>Financials!#REF!/Financials!AW7-1</f>
        <v>#REF!</v>
      </c>
      <c r="AY27" s="38" t="e">
        <f>Financials!#REF!/Financials!AX7-1</f>
        <v>#REF!</v>
      </c>
      <c r="AZ27" s="38" t="e">
        <f>Financials!#REF!/Financials!AY7-1</f>
        <v>#REF!</v>
      </c>
      <c r="BA27" s="38" t="e">
        <f>Financials!#REF!/Financials!AZ7-1</f>
        <v>#REF!</v>
      </c>
      <c r="BB27" s="38" t="e">
        <f>Financials!#REF!/Financials!BA7-1</f>
        <v>#REF!</v>
      </c>
      <c r="BC27" s="38" t="e">
        <f>Financials!#REF!/Financials!BB7-1</f>
        <v>#REF!</v>
      </c>
      <c r="BD27" s="38" t="e">
        <f>Financials!#REF!/Financials!BC7-1</f>
        <v>#REF!</v>
      </c>
      <c r="BE27" s="38" t="e">
        <f>Financials!#REF!/Financials!BD7-1</f>
        <v>#REF!</v>
      </c>
      <c r="BF27" s="38" t="e">
        <f>Financials!#REF!/Financials!BE7-1</f>
        <v>#REF!</v>
      </c>
      <c r="BG27" s="38" t="e">
        <f>Financials!#REF!/Financials!BF7-1</f>
        <v>#REF!</v>
      </c>
      <c r="BH27" s="38" t="e">
        <f>Financials!#REF!/Financials!BG7-1</f>
        <v>#REF!</v>
      </c>
      <c r="BI27" s="38" t="e">
        <f>Financials!#REF!/Financials!BH7-1</f>
        <v>#REF!</v>
      </c>
      <c r="BJ27" s="38" t="e">
        <f>Financials!#REF!/Financials!BI7-1</f>
        <v>#REF!</v>
      </c>
      <c r="BK27" s="38" t="e">
        <f>Financials!#REF!/Financials!BJ7-1</f>
        <v>#REF!</v>
      </c>
      <c r="BL27" s="38" t="e">
        <f>Financials!#REF!/Financials!BK7-1</f>
        <v>#REF!</v>
      </c>
      <c r="BM27" s="38" t="e">
        <f>Financials!#REF!/Financials!BL7-1</f>
        <v>#REF!</v>
      </c>
      <c r="BN27" s="38" t="e">
        <f>Financials!#REF!/Financials!BM7-1</f>
        <v>#REF!</v>
      </c>
      <c r="BO27" s="38" t="e">
        <f>Financials!#REF!/Financials!BN7-1</f>
        <v>#REF!</v>
      </c>
      <c r="BP27" s="38" t="e">
        <f>Financials!#REF!/Financials!BO7-1</f>
        <v>#REF!</v>
      </c>
      <c r="BQ27" s="38" t="e">
        <f>Financials!#REF!/Financials!BP7-1</f>
        <v>#REF!</v>
      </c>
      <c r="BR27" s="38" t="e">
        <f>Financials!#REF!/Financials!BQ7-1</f>
        <v>#REF!</v>
      </c>
      <c r="BS27" s="38" t="e">
        <f>Financials!#REF!/Financials!BR7-1</f>
        <v>#REF!</v>
      </c>
      <c r="BT27" s="38" t="e">
        <f>Financials!#REF!/Financials!BS7-1</f>
        <v>#REF!</v>
      </c>
      <c r="BU27" s="38" t="e">
        <f>Financials!#REF!/Financials!BT7-1</f>
        <v>#REF!</v>
      </c>
      <c r="BV27" s="38" t="e">
        <f>Financials!#REF!/Financials!BU7-1</f>
        <v>#REF!</v>
      </c>
      <c r="BW27" s="38" t="e">
        <f>Financials!#REF!/Financials!BV7-1</f>
        <v>#REF!</v>
      </c>
      <c r="BX27" s="38" t="e">
        <f>Financials!#REF!/Financials!BW7-1</f>
        <v>#REF!</v>
      </c>
      <c r="BY27" s="38" t="e">
        <f>Financials!#REF!/Financials!BX7-1</f>
        <v>#REF!</v>
      </c>
      <c r="BZ27" s="38" t="e">
        <f>Financials!#REF!/Financials!BY7-1</f>
        <v>#REF!</v>
      </c>
      <c r="CA27" s="38" t="e">
        <f>Financials!#REF!/Financials!BZ7-1</f>
        <v>#REF!</v>
      </c>
      <c r="CB27" s="38" t="e">
        <f>Financials!#REF!/Financials!CA7-1</f>
        <v>#REF!</v>
      </c>
      <c r="CC27" s="38" t="e">
        <f>Financials!#REF!/Financials!CB7-1</f>
        <v>#REF!</v>
      </c>
      <c r="CD27" s="38" t="e">
        <f>Financials!#REF!/Financials!CC7-1</f>
        <v>#REF!</v>
      </c>
    </row>
    <row r="28" spans="1:82" ht="15">
      <c r="A28" s="439"/>
      <c r="B28" s="32" t="s">
        <v>236</v>
      </c>
      <c r="C28" s="2"/>
      <c r="D28" s="34" t="e">
        <f>Financials!D31/Financials!C31-1</f>
        <v>#REF!</v>
      </c>
      <c r="E28" s="34" t="e">
        <f>Financials!G31/Financials!D31-1</f>
        <v>#REF!</v>
      </c>
      <c r="F28" s="34" t="e">
        <f>Financials!H31/Financials!G31-1</f>
        <v>#REF!</v>
      </c>
      <c r="G28" s="34" t="e">
        <f>Financials!H31/Financials!G31-1</f>
        <v>#REF!</v>
      </c>
      <c r="H28" s="34" t="e">
        <f>Financials!H31/Financials!G31-1</f>
        <v>#REF!</v>
      </c>
      <c r="I28" s="34" t="e">
        <f>Financials!I31/Financials!H31-1</f>
        <v>#REF!</v>
      </c>
      <c r="J28" s="34" t="e">
        <f>Financials!J31/Financials!I31-1</f>
        <v>#REF!</v>
      </c>
      <c r="K28" s="34" t="e">
        <f>Financials!K31/Financials!J31-1</f>
        <v>#REF!</v>
      </c>
      <c r="L28" s="34" t="e">
        <f>Financials!L31/Financials!K31-1</f>
        <v>#REF!</v>
      </c>
      <c r="M28" s="34" t="e">
        <f>Financials!M31/Financials!L31-1</f>
        <v>#REF!</v>
      </c>
      <c r="N28" s="34" t="e">
        <f>Financials!N31/Financials!M31-1</f>
        <v>#REF!</v>
      </c>
      <c r="O28" s="34" t="e">
        <f>Financials!O31/Financials!N31-1</f>
        <v>#REF!</v>
      </c>
      <c r="P28" s="34" t="e">
        <f>Financials!P31/Financials!O31-1</f>
        <v>#REF!</v>
      </c>
      <c r="Q28" s="34" t="e">
        <f>Financials!Q31/Financials!P31-1</f>
        <v>#REF!</v>
      </c>
      <c r="R28" s="34" t="e">
        <f>Financials!R31/Financials!Q31-1</f>
        <v>#REF!</v>
      </c>
      <c r="S28" s="38" t="e">
        <f>Financials!#REF!/Financials!R31-1</f>
        <v>#REF!</v>
      </c>
      <c r="T28" s="38" t="e">
        <f>Financials!#REF!/Financials!S31-1</f>
        <v>#REF!</v>
      </c>
      <c r="U28" s="38" t="e">
        <f>Financials!#REF!/Financials!T31-1</f>
        <v>#REF!</v>
      </c>
      <c r="V28" s="38" t="e">
        <f>Financials!#REF!/Financials!U31-1</f>
        <v>#REF!</v>
      </c>
      <c r="W28" s="38" t="e">
        <f>Financials!#REF!/Financials!V31-1</f>
        <v>#REF!</v>
      </c>
      <c r="X28" s="38" t="e">
        <f>Financials!#REF!/Financials!W31-1</f>
        <v>#REF!</v>
      </c>
      <c r="Y28" s="38" t="e">
        <f>Financials!#REF!/Financials!X31-1</f>
        <v>#REF!</v>
      </c>
      <c r="Z28" s="38" t="e">
        <f>Financials!#REF!/Financials!Y31-1</f>
        <v>#REF!</v>
      </c>
      <c r="AA28" s="38" t="e">
        <f>Financials!#REF!/Financials!Z31-1</f>
        <v>#REF!</v>
      </c>
      <c r="AB28" s="38" t="e">
        <f>Financials!#REF!/Financials!AA31-1</f>
        <v>#REF!</v>
      </c>
      <c r="AC28" s="38" t="e">
        <f>Financials!#REF!/Financials!AB31-1</f>
        <v>#REF!</v>
      </c>
      <c r="AD28" s="38" t="e">
        <f>Financials!#REF!/Financials!AC31-1</f>
        <v>#REF!</v>
      </c>
      <c r="AE28" s="38" t="e">
        <f>Financials!#REF!/Financials!AD31-1</f>
        <v>#REF!</v>
      </c>
      <c r="AF28" s="38" t="e">
        <f>Financials!#REF!/Financials!AE31-1</f>
        <v>#REF!</v>
      </c>
      <c r="AG28" s="38" t="e">
        <f>Financials!#REF!/Financials!AF31-1</f>
        <v>#REF!</v>
      </c>
      <c r="AH28" s="38" t="e">
        <f>Financials!#REF!/Financials!AG31-1</f>
        <v>#REF!</v>
      </c>
      <c r="AI28" s="38" t="e">
        <f>Financials!#REF!/Financials!AH31-1</f>
        <v>#REF!</v>
      </c>
      <c r="AJ28" s="38" t="e">
        <f>Financials!#REF!/Financials!AI31-1</f>
        <v>#REF!</v>
      </c>
      <c r="AK28" s="38" t="e">
        <f>Financials!#REF!/Financials!AJ31-1</f>
        <v>#REF!</v>
      </c>
      <c r="AL28" s="38" t="e">
        <f>Financials!#REF!/Financials!AK31-1</f>
        <v>#REF!</v>
      </c>
      <c r="AM28" s="38" t="e">
        <f>Financials!#REF!/Financials!AL31-1</f>
        <v>#REF!</v>
      </c>
      <c r="AN28" s="38" t="e">
        <f>Financials!#REF!/Financials!AM31-1</f>
        <v>#REF!</v>
      </c>
      <c r="AO28" s="38" t="e">
        <f>Financials!#REF!/Financials!AN31-1</f>
        <v>#REF!</v>
      </c>
      <c r="AP28" s="38" t="e">
        <f>Financials!#REF!/Financials!AO31-1</f>
        <v>#REF!</v>
      </c>
      <c r="AQ28" s="38" t="e">
        <f>Financials!#REF!/Financials!AP31-1</f>
        <v>#REF!</v>
      </c>
      <c r="AR28" s="38" t="e">
        <f>Financials!#REF!/Financials!AQ31-1</f>
        <v>#REF!</v>
      </c>
      <c r="AS28" s="38" t="e">
        <f>Financials!#REF!/Financials!AR31-1</f>
        <v>#REF!</v>
      </c>
      <c r="AT28" s="38" t="e">
        <f>Financials!#REF!/Financials!AS31-1</f>
        <v>#REF!</v>
      </c>
      <c r="AU28" s="38" t="e">
        <f>Financials!#REF!/Financials!AT31-1</f>
        <v>#REF!</v>
      </c>
      <c r="AV28" s="38" t="e">
        <f>Financials!#REF!/Financials!AU31-1</f>
        <v>#REF!</v>
      </c>
      <c r="AW28" s="38" t="e">
        <f>Financials!#REF!/Financials!AV31-1</f>
        <v>#REF!</v>
      </c>
      <c r="AX28" s="38" t="e">
        <f>Financials!#REF!/Financials!AW31-1</f>
        <v>#REF!</v>
      </c>
      <c r="AY28" s="38" t="e">
        <f>Financials!#REF!/Financials!AX31-1</f>
        <v>#REF!</v>
      </c>
      <c r="AZ28" s="38" t="e">
        <f>Financials!#REF!/Financials!AY31-1</f>
        <v>#REF!</v>
      </c>
      <c r="BA28" s="38" t="e">
        <f>Financials!#REF!/Financials!AZ31-1</f>
        <v>#REF!</v>
      </c>
      <c r="BB28" s="38" t="e">
        <f>Financials!#REF!/Financials!BA31-1</f>
        <v>#REF!</v>
      </c>
      <c r="BC28" s="38" t="e">
        <f>Financials!#REF!/Financials!BB31-1</f>
        <v>#REF!</v>
      </c>
      <c r="BD28" s="38" t="e">
        <f>Financials!#REF!/Financials!BC31-1</f>
        <v>#REF!</v>
      </c>
      <c r="BE28" s="38" t="e">
        <f>Financials!#REF!/Financials!BD31-1</f>
        <v>#REF!</v>
      </c>
      <c r="BF28" s="38" t="e">
        <f>Financials!#REF!/Financials!BE31-1</f>
        <v>#REF!</v>
      </c>
      <c r="BG28" s="38" t="e">
        <f>Financials!#REF!/Financials!BF31-1</f>
        <v>#REF!</v>
      </c>
      <c r="BH28" s="38" t="e">
        <f>Financials!#REF!/Financials!BG31-1</f>
        <v>#REF!</v>
      </c>
      <c r="BI28" s="38" t="e">
        <f>Financials!#REF!/Financials!BH31-1</f>
        <v>#REF!</v>
      </c>
      <c r="BJ28" s="38" t="e">
        <f>Financials!#REF!/Financials!BI31-1</f>
        <v>#REF!</v>
      </c>
      <c r="BK28" s="38" t="e">
        <f>Financials!#REF!/Financials!BJ31-1</f>
        <v>#REF!</v>
      </c>
      <c r="BL28" s="38" t="e">
        <f>Financials!#REF!/Financials!BK31-1</f>
        <v>#REF!</v>
      </c>
      <c r="BM28" s="38" t="e">
        <f>Financials!#REF!/Financials!BL31-1</f>
        <v>#REF!</v>
      </c>
      <c r="BN28" s="38" t="e">
        <f>Financials!#REF!/Financials!BM31-1</f>
        <v>#REF!</v>
      </c>
      <c r="BO28" s="38" t="e">
        <f>Financials!#REF!/Financials!BN31-1</f>
        <v>#REF!</v>
      </c>
      <c r="BP28" s="38" t="e">
        <f>Financials!#REF!/Financials!BO31-1</f>
        <v>#REF!</v>
      </c>
      <c r="BQ28" s="38" t="e">
        <f>Financials!#REF!/Financials!BP31-1</f>
        <v>#REF!</v>
      </c>
      <c r="BR28" s="38" t="e">
        <f>Financials!#REF!/Financials!BQ31-1</f>
        <v>#REF!</v>
      </c>
      <c r="BS28" s="38" t="e">
        <f>Financials!#REF!/Financials!BR31-1</f>
        <v>#REF!</v>
      </c>
      <c r="BT28" s="38" t="e">
        <f>Financials!#REF!/Financials!BS31-1</f>
        <v>#REF!</v>
      </c>
      <c r="BU28" s="38" t="e">
        <f>Financials!#REF!/Financials!BT31-1</f>
        <v>#REF!</v>
      </c>
      <c r="BV28" s="38" t="e">
        <f>Financials!#REF!/Financials!BU31-1</f>
        <v>#REF!</v>
      </c>
      <c r="BW28" s="38" t="e">
        <f>Financials!#REF!/Financials!BV31-1</f>
        <v>#REF!</v>
      </c>
      <c r="BX28" s="38" t="e">
        <f>Financials!#REF!/Financials!BW31-1</f>
        <v>#REF!</v>
      </c>
      <c r="BY28" s="38" t="e">
        <f>Financials!#REF!/Financials!BX31-1</f>
        <v>#REF!</v>
      </c>
      <c r="BZ28" s="38" t="e">
        <f>Financials!#REF!/Financials!BY31-1</f>
        <v>#REF!</v>
      </c>
      <c r="CA28" s="38" t="e">
        <f>Financials!#REF!/Financials!BZ31-1</f>
        <v>#REF!</v>
      </c>
      <c r="CB28" s="38" t="e">
        <f>Financials!#REF!/Financials!CA31-1</f>
        <v>#REF!</v>
      </c>
      <c r="CC28" s="38" t="e">
        <f>Financials!#REF!/Financials!CB31-1</f>
        <v>#REF!</v>
      </c>
      <c r="CD28" s="38" t="e">
        <f>Financials!#REF!/Financials!CC31-1</f>
        <v>#REF!</v>
      </c>
    </row>
    <row r="29" spans="1:82" ht="15">
      <c r="A29" s="439"/>
      <c r="B29" s="32" t="s">
        <v>237</v>
      </c>
      <c r="C29" s="2"/>
      <c r="D29" s="34" t="e">
        <f>Financials!D11/Financials!C11-1</f>
        <v>#REF!</v>
      </c>
      <c r="E29" s="34" t="e">
        <f>Financials!G11/Financials!D11-1</f>
        <v>#REF!</v>
      </c>
      <c r="F29" s="34" t="e">
        <f>Financials!H11/Financials!G11-1</f>
        <v>#REF!</v>
      </c>
      <c r="G29" s="34" t="e">
        <f>Financials!H11/Financials!G11-1</f>
        <v>#REF!</v>
      </c>
      <c r="H29" s="34" t="e">
        <f>Financials!H11/Financials!G11-1</f>
        <v>#REF!</v>
      </c>
      <c r="I29" s="34" t="e">
        <f>Financials!I11/Financials!H11-1</f>
        <v>#REF!</v>
      </c>
      <c r="J29" s="34" t="e">
        <f>Financials!J11/Financials!I11-1</f>
        <v>#REF!</v>
      </c>
      <c r="K29" s="34" t="e">
        <f>Financials!K11/Financials!J11-1</f>
        <v>#REF!</v>
      </c>
      <c r="L29" s="34" t="e">
        <f>Financials!L11/Financials!K11-1</f>
        <v>#REF!</v>
      </c>
      <c r="M29" s="34" t="e">
        <f>Financials!M11/Financials!L11-1</f>
        <v>#REF!</v>
      </c>
      <c r="N29" s="34" t="e">
        <f>Financials!N11/Financials!M11-1</f>
        <v>#REF!</v>
      </c>
      <c r="O29" s="34" t="e">
        <f>Financials!O11/Financials!N11-1</f>
        <v>#REF!</v>
      </c>
      <c r="P29" s="34" t="e">
        <f>Financials!P11/Financials!O11-1</f>
        <v>#REF!</v>
      </c>
      <c r="Q29" s="34" t="e">
        <f>Financials!Q11/Financials!P11-1</f>
        <v>#REF!</v>
      </c>
      <c r="R29" s="34" t="e">
        <f>Financials!R11/Financials!Q11-1</f>
        <v>#REF!</v>
      </c>
      <c r="S29" s="38" t="e">
        <f>Financials!#REF!/Financials!R11-1</f>
        <v>#REF!</v>
      </c>
      <c r="T29" s="38" t="e">
        <f>Financials!#REF!/Financials!S11-1</f>
        <v>#REF!</v>
      </c>
      <c r="U29" s="38" t="e">
        <f>Financials!#REF!/Financials!T11-1</f>
        <v>#REF!</v>
      </c>
      <c r="V29" s="38" t="e">
        <f>Financials!#REF!/Financials!U11-1</f>
        <v>#REF!</v>
      </c>
      <c r="W29" s="38" t="e">
        <f>Financials!#REF!/Financials!V11-1</f>
        <v>#REF!</v>
      </c>
      <c r="X29" s="38" t="e">
        <f>Financials!#REF!/Financials!W11-1</f>
        <v>#REF!</v>
      </c>
      <c r="Y29" s="38" t="e">
        <f>Financials!#REF!/Financials!X11-1</f>
        <v>#REF!</v>
      </c>
      <c r="Z29" s="38" t="e">
        <f>Financials!#REF!/Financials!Y11-1</f>
        <v>#REF!</v>
      </c>
      <c r="AA29" s="38" t="e">
        <f>Financials!#REF!/Financials!Z11-1</f>
        <v>#REF!</v>
      </c>
      <c r="AB29" s="38" t="e">
        <f>Financials!#REF!/Financials!AA11-1</f>
        <v>#REF!</v>
      </c>
      <c r="AC29" s="38" t="e">
        <f>Financials!#REF!/Financials!AB11-1</f>
        <v>#REF!</v>
      </c>
      <c r="AD29" s="38" t="e">
        <f>Financials!#REF!/Financials!AC11-1</f>
        <v>#REF!</v>
      </c>
      <c r="AE29" s="38" t="e">
        <f>Financials!#REF!/Financials!AD11-1</f>
        <v>#REF!</v>
      </c>
      <c r="AF29" s="38" t="e">
        <f>Financials!#REF!/Financials!AE11-1</f>
        <v>#REF!</v>
      </c>
      <c r="AG29" s="38" t="e">
        <f>Financials!#REF!/Financials!AF11-1</f>
        <v>#REF!</v>
      </c>
      <c r="AH29" s="38" t="e">
        <f>Financials!#REF!/Financials!AG11-1</f>
        <v>#REF!</v>
      </c>
      <c r="AI29" s="38" t="e">
        <f>Financials!#REF!/Financials!AH11-1</f>
        <v>#REF!</v>
      </c>
      <c r="AJ29" s="38" t="e">
        <f>Financials!#REF!/Financials!AI11-1</f>
        <v>#REF!</v>
      </c>
      <c r="AK29" s="38" t="e">
        <f>Financials!#REF!/Financials!AJ11-1</f>
        <v>#REF!</v>
      </c>
      <c r="AL29" s="38" t="e">
        <f>Financials!#REF!/Financials!AK11-1</f>
        <v>#REF!</v>
      </c>
      <c r="AM29" s="38" t="e">
        <f>Financials!#REF!/Financials!AL11-1</f>
        <v>#REF!</v>
      </c>
      <c r="AN29" s="38" t="e">
        <f>Financials!#REF!/Financials!AM11-1</f>
        <v>#REF!</v>
      </c>
      <c r="AO29" s="38" t="e">
        <f>Financials!#REF!/Financials!AN11-1</f>
        <v>#REF!</v>
      </c>
      <c r="AP29" s="38" t="e">
        <f>Financials!#REF!/Financials!AO11-1</f>
        <v>#REF!</v>
      </c>
      <c r="AQ29" s="38" t="e">
        <f>Financials!#REF!/Financials!AP11-1</f>
        <v>#REF!</v>
      </c>
      <c r="AR29" s="38" t="e">
        <f>Financials!#REF!/Financials!AQ11-1</f>
        <v>#REF!</v>
      </c>
      <c r="AS29" s="38" t="e">
        <f>Financials!#REF!/Financials!AR11-1</f>
        <v>#REF!</v>
      </c>
      <c r="AT29" s="38" t="e">
        <f>Financials!#REF!/Financials!AS11-1</f>
        <v>#REF!</v>
      </c>
      <c r="AU29" s="38" t="e">
        <f>Financials!#REF!/Financials!AT11-1</f>
        <v>#REF!</v>
      </c>
      <c r="AV29" s="38" t="e">
        <f>Financials!#REF!/Financials!AU11-1</f>
        <v>#REF!</v>
      </c>
      <c r="AW29" s="38" t="e">
        <f>Financials!#REF!/Financials!AV11-1</f>
        <v>#REF!</v>
      </c>
      <c r="AX29" s="38" t="e">
        <f>Financials!#REF!/Financials!AW11-1</f>
        <v>#REF!</v>
      </c>
      <c r="AY29" s="38" t="e">
        <f>Financials!#REF!/Financials!AX11-1</f>
        <v>#REF!</v>
      </c>
      <c r="AZ29" s="38" t="e">
        <f>Financials!#REF!/Financials!AY11-1</f>
        <v>#REF!</v>
      </c>
      <c r="BA29" s="38" t="e">
        <f>Financials!#REF!/Financials!AZ11-1</f>
        <v>#REF!</v>
      </c>
      <c r="BB29" s="38" t="e">
        <f>Financials!#REF!/Financials!BA11-1</f>
        <v>#REF!</v>
      </c>
      <c r="BC29" s="38" t="e">
        <f>Financials!#REF!/Financials!BB11-1</f>
        <v>#REF!</v>
      </c>
      <c r="BD29" s="38" t="e">
        <f>Financials!#REF!/Financials!BC11-1</f>
        <v>#REF!</v>
      </c>
      <c r="BE29" s="38" t="e">
        <f>Financials!#REF!/Financials!BD11-1</f>
        <v>#REF!</v>
      </c>
      <c r="BF29" s="38" t="e">
        <f>Financials!#REF!/Financials!BE11-1</f>
        <v>#REF!</v>
      </c>
      <c r="BG29" s="38" t="e">
        <f>Financials!#REF!/Financials!BF11-1</f>
        <v>#REF!</v>
      </c>
      <c r="BH29" s="38" t="e">
        <f>Financials!#REF!/Financials!BG11-1</f>
        <v>#REF!</v>
      </c>
      <c r="BI29" s="38" t="e">
        <f>Financials!#REF!/Financials!BH11-1</f>
        <v>#REF!</v>
      </c>
      <c r="BJ29" s="38" t="e">
        <f>Financials!#REF!/Financials!BI11-1</f>
        <v>#REF!</v>
      </c>
      <c r="BK29" s="38" t="e">
        <f>Financials!#REF!/Financials!BJ11-1</f>
        <v>#REF!</v>
      </c>
      <c r="BL29" s="38" t="e">
        <f>Financials!#REF!/Financials!BK11-1</f>
        <v>#REF!</v>
      </c>
      <c r="BM29" s="38" t="e">
        <f>Financials!#REF!/Financials!BL11-1</f>
        <v>#REF!</v>
      </c>
      <c r="BN29" s="38" t="e">
        <f>Financials!#REF!/Financials!BM11-1</f>
        <v>#REF!</v>
      </c>
      <c r="BO29" s="38" t="e">
        <f>Financials!#REF!/Financials!BN11-1</f>
        <v>#REF!</v>
      </c>
      <c r="BP29" s="38" t="e">
        <f>Financials!#REF!/Financials!BO11-1</f>
        <v>#REF!</v>
      </c>
      <c r="BQ29" s="38" t="e">
        <f>Financials!#REF!/Financials!BP11-1</f>
        <v>#REF!</v>
      </c>
      <c r="BR29" s="38" t="e">
        <f>Financials!#REF!/Financials!BQ11-1</f>
        <v>#REF!</v>
      </c>
      <c r="BS29" s="38" t="e">
        <f>Financials!#REF!/Financials!BR11-1</f>
        <v>#REF!</v>
      </c>
      <c r="BT29" s="38" t="e">
        <f>Financials!#REF!/Financials!BS11-1</f>
        <v>#REF!</v>
      </c>
      <c r="BU29" s="38" t="e">
        <f>Financials!#REF!/Financials!BT11-1</f>
        <v>#REF!</v>
      </c>
      <c r="BV29" s="38" t="e">
        <f>Financials!#REF!/Financials!BU11-1</f>
        <v>#REF!</v>
      </c>
      <c r="BW29" s="38" t="e">
        <f>Financials!#REF!/Financials!BV11-1</f>
        <v>#REF!</v>
      </c>
      <c r="BX29" s="38" t="e">
        <f>Financials!#REF!/Financials!BW11-1</f>
        <v>#REF!</v>
      </c>
      <c r="BY29" s="38" t="e">
        <f>Financials!#REF!/Financials!BX11-1</f>
        <v>#REF!</v>
      </c>
      <c r="BZ29" s="38" t="e">
        <f>Financials!#REF!/Financials!BY11-1</f>
        <v>#REF!</v>
      </c>
      <c r="CA29" s="38" t="e">
        <f>Financials!#REF!/Financials!BZ11-1</f>
        <v>#REF!</v>
      </c>
      <c r="CB29" s="38" t="e">
        <f>Financials!#REF!/Financials!CA11-1</f>
        <v>#REF!</v>
      </c>
      <c r="CC29" s="38" t="e">
        <f>Financials!#REF!/Financials!CB11-1</f>
        <v>#REF!</v>
      </c>
      <c r="CD29" s="38" t="e">
        <f>Financials!#REF!/Financials!CC11-1</f>
        <v>#REF!</v>
      </c>
    </row>
    <row r="30" spans="1:82" ht="15">
      <c r="A30" s="439"/>
      <c r="B30" s="32" t="s">
        <v>238</v>
      </c>
      <c r="C30" s="2"/>
      <c r="D30" s="34" t="e">
        <f>Financials!D37/Financials!C37-1</f>
        <v>#REF!</v>
      </c>
      <c r="E30" s="34" t="e">
        <f>Financials!G37/Financials!D37-1</f>
        <v>#REF!</v>
      </c>
      <c r="F30" s="34" t="e">
        <f>Financials!H37/Financials!G37-1</f>
        <v>#REF!</v>
      </c>
      <c r="G30" s="34" t="e">
        <f>Financials!H37/Financials!G37-1</f>
        <v>#REF!</v>
      </c>
      <c r="H30" s="34" t="e">
        <f>Financials!H37/Financials!G37-1</f>
        <v>#REF!</v>
      </c>
      <c r="I30" s="34" t="e">
        <f>Financials!I37/Financials!H37-1</f>
        <v>#REF!</v>
      </c>
      <c r="J30" s="34" t="e">
        <f>Financials!J37/Financials!I37-1</f>
        <v>#REF!</v>
      </c>
      <c r="K30" s="34" t="e">
        <f>Financials!K37/Financials!J37-1</f>
        <v>#REF!</v>
      </c>
      <c r="L30" s="34" t="e">
        <f>Financials!L37/Financials!K37-1</f>
        <v>#REF!</v>
      </c>
      <c r="M30" s="34" t="e">
        <f>Financials!M37/Financials!L37-1</f>
        <v>#REF!</v>
      </c>
      <c r="N30" s="34" t="e">
        <f>Financials!N37/Financials!M37-1</f>
        <v>#REF!</v>
      </c>
      <c r="O30" s="34" t="e">
        <f>Financials!O37/Financials!N37-1</f>
        <v>#REF!</v>
      </c>
      <c r="P30" s="34" t="e">
        <f>Financials!P37/Financials!O37-1</f>
        <v>#REF!</v>
      </c>
      <c r="Q30" s="34" t="e">
        <f>Financials!Q37/Financials!P37-1</f>
        <v>#REF!</v>
      </c>
      <c r="R30" s="34" t="e">
        <f>Financials!R37/Financials!Q37-1</f>
        <v>#REF!</v>
      </c>
      <c r="S30" s="38" t="e">
        <f>Financials!#REF!/Financials!R37-1</f>
        <v>#REF!</v>
      </c>
      <c r="T30" s="38" t="e">
        <f>Financials!#REF!/Financials!S37-1</f>
        <v>#REF!</v>
      </c>
      <c r="U30" s="38" t="e">
        <f>Financials!#REF!/Financials!T37-1</f>
        <v>#REF!</v>
      </c>
      <c r="V30" s="38" t="e">
        <f>Financials!#REF!/Financials!U37-1</f>
        <v>#REF!</v>
      </c>
      <c r="W30" s="38" t="e">
        <f>Financials!#REF!/Financials!V37-1</f>
        <v>#REF!</v>
      </c>
      <c r="X30" s="38" t="e">
        <f>Financials!#REF!/Financials!W37-1</f>
        <v>#REF!</v>
      </c>
      <c r="Y30" s="38" t="e">
        <f>Financials!#REF!/Financials!X37-1</f>
        <v>#REF!</v>
      </c>
      <c r="Z30" s="38" t="e">
        <f>Financials!#REF!/Financials!Y37-1</f>
        <v>#REF!</v>
      </c>
      <c r="AA30" s="38" t="e">
        <f>Financials!#REF!/Financials!Z37-1</f>
        <v>#REF!</v>
      </c>
      <c r="AB30" s="38" t="e">
        <f>Financials!#REF!/Financials!AA37-1</f>
        <v>#REF!</v>
      </c>
      <c r="AC30" s="38" t="e">
        <f>Financials!#REF!/Financials!AB37-1</f>
        <v>#REF!</v>
      </c>
      <c r="AD30" s="38" t="e">
        <f>Financials!#REF!/Financials!AC37-1</f>
        <v>#REF!</v>
      </c>
      <c r="AE30" s="38" t="e">
        <f>Financials!#REF!/Financials!AD37-1</f>
        <v>#REF!</v>
      </c>
      <c r="AF30" s="38" t="e">
        <f>Financials!#REF!/Financials!AE37-1</f>
        <v>#REF!</v>
      </c>
      <c r="AG30" s="38" t="e">
        <f>Financials!#REF!/Financials!AF37-1</f>
        <v>#REF!</v>
      </c>
      <c r="AH30" s="38" t="e">
        <f>Financials!#REF!/Financials!AG37-1</f>
        <v>#REF!</v>
      </c>
      <c r="AI30" s="38" t="e">
        <f>Financials!#REF!/Financials!AH37-1</f>
        <v>#REF!</v>
      </c>
      <c r="AJ30" s="38" t="e">
        <f>Financials!#REF!/Financials!AI37-1</f>
        <v>#REF!</v>
      </c>
      <c r="AK30" s="38" t="e">
        <f>Financials!#REF!/Financials!AJ37-1</f>
        <v>#REF!</v>
      </c>
      <c r="AL30" s="38" t="e">
        <f>Financials!#REF!/Financials!AK37-1</f>
        <v>#REF!</v>
      </c>
      <c r="AM30" s="38" t="e">
        <f>Financials!#REF!/Financials!AL37-1</f>
        <v>#REF!</v>
      </c>
      <c r="AN30" s="38" t="e">
        <f>Financials!#REF!/Financials!AM37-1</f>
        <v>#REF!</v>
      </c>
      <c r="AO30" s="38" t="e">
        <f>Financials!#REF!/Financials!AN37-1</f>
        <v>#REF!</v>
      </c>
      <c r="AP30" s="38" t="e">
        <f>Financials!#REF!/Financials!AO37-1</f>
        <v>#REF!</v>
      </c>
      <c r="AQ30" s="38" t="e">
        <f>Financials!#REF!/Financials!AP37-1</f>
        <v>#REF!</v>
      </c>
      <c r="AR30" s="38" t="e">
        <f>Financials!#REF!/Financials!AQ37-1</f>
        <v>#REF!</v>
      </c>
      <c r="AS30" s="38" t="e">
        <f>Financials!#REF!/Financials!AR37-1</f>
        <v>#REF!</v>
      </c>
      <c r="AT30" s="38" t="e">
        <f>Financials!#REF!/Financials!AS37-1</f>
        <v>#REF!</v>
      </c>
      <c r="AU30" s="38" t="e">
        <f>Financials!#REF!/Financials!AT37-1</f>
        <v>#REF!</v>
      </c>
      <c r="AV30" s="38" t="e">
        <f>Financials!#REF!/Financials!AU37-1</f>
        <v>#REF!</v>
      </c>
      <c r="AW30" s="38" t="e">
        <f>Financials!#REF!/Financials!AV37-1</f>
        <v>#REF!</v>
      </c>
      <c r="AX30" s="38" t="e">
        <f>Financials!#REF!/Financials!AW37-1</f>
        <v>#REF!</v>
      </c>
      <c r="AY30" s="38" t="e">
        <f>Financials!#REF!/Financials!AX37-1</f>
        <v>#REF!</v>
      </c>
      <c r="AZ30" s="38" t="e">
        <f>Financials!#REF!/Financials!AY37-1</f>
        <v>#REF!</v>
      </c>
      <c r="BA30" s="38" t="e">
        <f>Financials!#REF!/Financials!AZ37-1</f>
        <v>#REF!</v>
      </c>
      <c r="BB30" s="38" t="e">
        <f>Financials!#REF!/Financials!BA37-1</f>
        <v>#REF!</v>
      </c>
      <c r="BC30" s="38" t="e">
        <f>Financials!#REF!/Financials!BB37-1</f>
        <v>#REF!</v>
      </c>
      <c r="BD30" s="38" t="e">
        <f>Financials!#REF!/Financials!BC37-1</f>
        <v>#REF!</v>
      </c>
      <c r="BE30" s="38" t="e">
        <f>Financials!#REF!/Financials!BD37-1</f>
        <v>#REF!</v>
      </c>
      <c r="BF30" s="38" t="e">
        <f>Financials!#REF!/Financials!BE37-1</f>
        <v>#REF!</v>
      </c>
      <c r="BG30" s="38" t="e">
        <f>Financials!#REF!/Financials!BF37-1</f>
        <v>#REF!</v>
      </c>
      <c r="BH30" s="38" t="e">
        <f>Financials!#REF!/Financials!BG37-1</f>
        <v>#REF!</v>
      </c>
      <c r="BI30" s="38" t="e">
        <f>Financials!#REF!/Financials!BH37-1</f>
        <v>#REF!</v>
      </c>
      <c r="BJ30" s="38" t="e">
        <f>Financials!#REF!/Financials!BI37-1</f>
        <v>#REF!</v>
      </c>
      <c r="BK30" s="38" t="e">
        <f>Financials!#REF!/Financials!BJ37-1</f>
        <v>#REF!</v>
      </c>
      <c r="BL30" s="38" t="e">
        <f>Financials!#REF!/Financials!BK37-1</f>
        <v>#REF!</v>
      </c>
      <c r="BM30" s="38" t="e">
        <f>Financials!#REF!/Financials!BL37-1</f>
        <v>#REF!</v>
      </c>
      <c r="BN30" s="38" t="e">
        <f>Financials!#REF!/Financials!BM37-1</f>
        <v>#REF!</v>
      </c>
      <c r="BO30" s="38" t="e">
        <f>Financials!#REF!/Financials!BN37-1</f>
        <v>#REF!</v>
      </c>
      <c r="BP30" s="38" t="e">
        <f>Financials!#REF!/Financials!BO37-1</f>
        <v>#REF!</v>
      </c>
      <c r="BQ30" s="38" t="e">
        <f>Financials!#REF!/Financials!BP37-1</f>
        <v>#REF!</v>
      </c>
      <c r="BR30" s="38" t="e">
        <f>Financials!#REF!/Financials!BQ37-1</f>
        <v>#REF!</v>
      </c>
      <c r="BS30" s="38" t="e">
        <f>Financials!#REF!/Financials!BR37-1</f>
        <v>#REF!</v>
      </c>
      <c r="BT30" s="38" t="e">
        <f>Financials!#REF!/Financials!BS37-1</f>
        <v>#REF!</v>
      </c>
      <c r="BU30" s="38" t="e">
        <f>Financials!#REF!/Financials!BT37-1</f>
        <v>#REF!</v>
      </c>
      <c r="BV30" s="38" t="e">
        <f>Financials!#REF!/Financials!BU37-1</f>
        <v>#REF!</v>
      </c>
      <c r="BW30" s="38" t="e">
        <f>Financials!#REF!/Financials!BV37-1</f>
        <v>#REF!</v>
      </c>
      <c r="BX30" s="38" t="e">
        <f>Financials!#REF!/Financials!BW37-1</f>
        <v>#REF!</v>
      </c>
      <c r="BY30" s="38" t="e">
        <f>Financials!#REF!/Financials!BX37-1</f>
        <v>#REF!</v>
      </c>
      <c r="BZ30" s="38" t="e">
        <f>Financials!#REF!/Financials!BY37-1</f>
        <v>#REF!</v>
      </c>
      <c r="CA30" s="38" t="e">
        <f>Financials!#REF!/Financials!BZ37-1</f>
        <v>#REF!</v>
      </c>
      <c r="CB30" s="38" t="e">
        <f>Financials!#REF!/Financials!CA37-1</f>
        <v>#REF!</v>
      </c>
      <c r="CC30" s="38" t="e">
        <f>Financials!#REF!/Financials!CB37-1</f>
        <v>#REF!</v>
      </c>
      <c r="CD30" s="38" t="e">
        <f>Financials!#REF!/Financials!CC37-1</f>
        <v>#REF!</v>
      </c>
    </row>
    <row r="31" spans="1:82" ht="15">
      <c r="A31" s="439"/>
      <c r="B31" s="32" t="s">
        <v>239</v>
      </c>
      <c r="C31" s="2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</row>
    <row r="32" spans="1:82" ht="15">
      <c r="A32" s="439"/>
      <c r="B32" s="32" t="s">
        <v>240</v>
      </c>
      <c r="C32" s="2"/>
      <c r="D32" s="34" t="e">
        <f>'Evolutitve SCI'!#REF!/'Evolutitve SCI'!#REF!-1</f>
        <v>#REF!</v>
      </c>
      <c r="E32" s="34" t="e">
        <f>'Evolutitve SCI'!#REF!/'Evolutitve SCI'!#REF!-1</f>
        <v>#REF!</v>
      </c>
      <c r="F32" s="34" t="e">
        <f>'Evolutitve SCI'!#REF!/'Evolutitve SCI'!#REF!-1</f>
        <v>#REF!</v>
      </c>
      <c r="G32" s="34" t="e">
        <f>'Evolutitve SCI'!#REF!/'Evolutitve SCI'!#REF!-1</f>
        <v>#REF!</v>
      </c>
      <c r="H32" s="34" t="e">
        <f>'Evolutitve SCI'!#REF!/'Evolutitve SCI'!#REF!-1</f>
        <v>#REF!</v>
      </c>
      <c r="I32" s="34" t="e">
        <f>'Evolutitve SCI'!#REF!/'Evolutitve SCI'!#REF!-1</f>
        <v>#REF!</v>
      </c>
      <c r="J32" s="34" t="e">
        <f>'Evolutitve SCI'!#REF!/'Evolutitve SCI'!#REF!-1</f>
        <v>#REF!</v>
      </c>
      <c r="K32" s="34" t="e">
        <f>'Evolutitve SCI'!#REF!/'Evolutitve SCI'!#REF!-1</f>
        <v>#REF!</v>
      </c>
      <c r="L32" s="34" t="e">
        <f>'Evolutitve SCI'!#REF!/'Evolutitve SCI'!#REF!-1</f>
        <v>#REF!</v>
      </c>
      <c r="M32" s="34" t="e">
        <f>'Evolutitve SCI'!#REF!/'Evolutitve SCI'!#REF!-1</f>
        <v>#REF!</v>
      </c>
      <c r="N32" s="34" t="e">
        <f>'Evolutitve SCI'!#REF!/'Evolutitve SCI'!#REF!-1</f>
        <v>#REF!</v>
      </c>
      <c r="O32" s="34" t="e">
        <f>'Evolutitve SCI'!#REF!/'Evolutitve SCI'!#REF!-1</f>
        <v>#REF!</v>
      </c>
      <c r="P32" s="34" t="e">
        <f>'Evolutitve SCI'!#REF!/'Evolutitve SCI'!#REF!-1</f>
        <v>#REF!</v>
      </c>
      <c r="Q32" s="34" t="e">
        <f>'Evolutitve SCI'!#REF!/'Evolutitve SCI'!#REF!-1</f>
        <v>#REF!</v>
      </c>
      <c r="R32" s="34" t="e">
        <f>'Evolutitve SCI'!#REF!/'Evolutitve SCI'!#REF!-1</f>
        <v>#REF!</v>
      </c>
      <c r="S32" s="38" t="e">
        <f>'Evolutitve SCI'!#REF!/'Evolutitve SCI'!#REF!-1</f>
        <v>#REF!</v>
      </c>
      <c r="T32" s="38" t="e">
        <f>'Evolutitve SCI'!#REF!/'Evolutitve SCI'!#REF!-1</f>
        <v>#REF!</v>
      </c>
      <c r="U32" s="38" t="e">
        <f>'Evolutitve SCI'!#REF!/'Evolutitve SCI'!#REF!-1</f>
        <v>#REF!</v>
      </c>
      <c r="V32" s="38" t="e">
        <f>'Evolutitve SCI'!#REF!/'Evolutitve SCI'!#REF!-1</f>
        <v>#REF!</v>
      </c>
      <c r="W32" s="38" t="e">
        <f>'Evolutitve SCI'!#REF!/'Evolutitve SCI'!#REF!-1</f>
        <v>#REF!</v>
      </c>
      <c r="X32" s="38" t="e">
        <f>'Evolutitve SCI'!#REF!/'Evolutitve SCI'!#REF!-1</f>
        <v>#REF!</v>
      </c>
      <c r="Y32" s="38" t="e">
        <f>'Evolutitve SCI'!#REF!/'Evolutitve SCI'!#REF!-1</f>
        <v>#REF!</v>
      </c>
      <c r="Z32" s="38" t="e">
        <f>'Evolutitve SCI'!#REF!/'Evolutitve SCI'!#REF!-1</f>
        <v>#REF!</v>
      </c>
      <c r="AA32" s="38" t="e">
        <f>'Evolutitve SCI'!#REF!/'Evolutitve SCI'!#REF!-1</f>
        <v>#REF!</v>
      </c>
      <c r="AB32" s="38" t="e">
        <f>'Evolutitve SCI'!#REF!/'Evolutitve SCI'!#REF!-1</f>
        <v>#REF!</v>
      </c>
      <c r="AC32" s="38" t="e">
        <f>'Evolutitve SCI'!#REF!/'Evolutitve SCI'!#REF!-1</f>
        <v>#REF!</v>
      </c>
      <c r="AD32" s="38" t="e">
        <f>'Evolutitve SCI'!#REF!/'Evolutitve SCI'!#REF!-1</f>
        <v>#REF!</v>
      </c>
      <c r="AE32" s="38" t="e">
        <f>'Evolutitve SCI'!#REF!/'Evolutitve SCI'!#REF!-1</f>
        <v>#REF!</v>
      </c>
      <c r="AF32" s="38" t="e">
        <f>'Evolutitve SCI'!#REF!/'Evolutitve SCI'!#REF!-1</f>
        <v>#REF!</v>
      </c>
      <c r="AG32" s="38" t="e">
        <f>'Evolutitve SCI'!#REF!/'Evolutitve SCI'!#REF!-1</f>
        <v>#REF!</v>
      </c>
      <c r="AH32" s="38" t="e">
        <f>'Evolutitve SCI'!#REF!/'Evolutitve SCI'!#REF!-1</f>
        <v>#REF!</v>
      </c>
      <c r="AI32" s="38" t="e">
        <f>'Evolutitve SCI'!#REF!/'Evolutitve SCI'!#REF!-1</f>
        <v>#REF!</v>
      </c>
      <c r="AJ32" s="38" t="e">
        <f>'Evolutitve SCI'!#REF!/'Evolutitve SCI'!#REF!-1</f>
        <v>#REF!</v>
      </c>
      <c r="AK32" s="38" t="e">
        <f>'Evolutitve SCI'!#REF!/'Evolutitve SCI'!#REF!-1</f>
        <v>#REF!</v>
      </c>
      <c r="AL32" s="38" t="e">
        <f>'Evolutitve SCI'!#REF!/'Evolutitve SCI'!#REF!-1</f>
        <v>#REF!</v>
      </c>
      <c r="AM32" s="38" t="e">
        <f>'Evolutitve SCI'!#REF!/'Evolutitve SCI'!#REF!-1</f>
        <v>#REF!</v>
      </c>
      <c r="AN32" s="38" t="e">
        <f>'Evolutitve SCI'!#REF!/'Evolutitve SCI'!#REF!-1</f>
        <v>#REF!</v>
      </c>
      <c r="AO32" s="38" t="e">
        <f>'Evolutitve SCI'!#REF!/'Evolutitve SCI'!#REF!-1</f>
        <v>#REF!</v>
      </c>
      <c r="AP32" s="38" t="e">
        <f>'Evolutitve SCI'!#REF!/'Evolutitve SCI'!#REF!-1</f>
        <v>#REF!</v>
      </c>
      <c r="AQ32" s="38" t="e">
        <f>'Evolutitve SCI'!#REF!/'Evolutitve SCI'!#REF!-1</f>
        <v>#REF!</v>
      </c>
      <c r="AR32" s="38" t="e">
        <f>'Evolutitve SCI'!#REF!/'Evolutitve SCI'!#REF!-1</f>
        <v>#REF!</v>
      </c>
      <c r="AS32" s="38" t="e">
        <f>'Evolutitve SCI'!#REF!/'Evolutitve SCI'!#REF!-1</f>
        <v>#REF!</v>
      </c>
      <c r="AT32" s="38" t="e">
        <f>'Evolutitve SCI'!#REF!/'Evolutitve SCI'!BV39-1</f>
        <v>#REF!</v>
      </c>
      <c r="AU32" s="38" t="e">
        <f>'Evolutitve SCI'!#REF!/'Evolutitve SCI'!BW39-1</f>
        <v>#REF!</v>
      </c>
      <c r="AV32" s="38" t="e">
        <f>'Evolutitve SCI'!#REF!/'Evolutitve SCI'!BX39-1</f>
        <v>#REF!</v>
      </c>
      <c r="AW32" s="38" t="e">
        <f>'Evolutitve SCI'!#REF!/'Evolutitve SCI'!BY39-1</f>
        <v>#REF!</v>
      </c>
      <c r="AX32" s="38" t="e">
        <f>'Evolutitve SCI'!#REF!/'Evolutitve SCI'!BZ39-1</f>
        <v>#REF!</v>
      </c>
      <c r="AY32" s="38" t="e">
        <f>'Evolutitve SCI'!#REF!/'Evolutitve SCI'!CA39-1</f>
        <v>#REF!</v>
      </c>
      <c r="AZ32" s="38" t="e">
        <f>'Evolutitve SCI'!#REF!/'Evolutitve SCI'!CB39-1</f>
        <v>#REF!</v>
      </c>
      <c r="BA32" s="38" t="e">
        <f>'Evolutitve SCI'!#REF!/'Evolutitve SCI'!#REF!-1</f>
        <v>#REF!</v>
      </c>
      <c r="BB32" s="38" t="e">
        <f>'Evolutitve SCI'!#REF!/'Evolutitve SCI'!CC39-1</f>
        <v>#REF!</v>
      </c>
      <c r="BC32" s="38" t="e">
        <f>'Evolutitve SCI'!#REF!/'Evolutitve SCI'!CD39-1</f>
        <v>#REF!</v>
      </c>
      <c r="BD32" s="38" t="e">
        <f>'Evolutitve SCI'!#REF!/'Evolutitve SCI'!CE39-1</f>
        <v>#REF!</v>
      </c>
      <c r="BE32" s="38" t="e">
        <f>'Evolutitve SCI'!#REF!/'Evolutitve SCI'!CF39-1</f>
        <v>#REF!</v>
      </c>
      <c r="BF32" s="38" t="e">
        <f>'Evolutitve SCI'!#REF!/'Evolutitve SCI'!CG39-1</f>
        <v>#REF!</v>
      </c>
      <c r="BG32" s="38" t="e">
        <f>'Evolutitve SCI'!#REF!/'Evolutitve SCI'!CH39-1</f>
        <v>#REF!</v>
      </c>
      <c r="BH32" s="38" t="e">
        <f>'Evolutitve SCI'!#REF!/'Evolutitve SCI'!CI39-1</f>
        <v>#REF!</v>
      </c>
      <c r="BI32" s="38" t="e">
        <f>'Evolutitve SCI'!#REF!/'Evolutitve SCI'!CJ39-1</f>
        <v>#REF!</v>
      </c>
      <c r="BJ32" s="38" t="e">
        <f>'Evolutitve SCI'!#REF!/'Evolutitve SCI'!CK39-1</f>
        <v>#REF!</v>
      </c>
      <c r="BK32" s="38" t="e">
        <f>'Evolutitve SCI'!#REF!/'Evolutitve SCI'!CL39-1</f>
        <v>#REF!</v>
      </c>
      <c r="BL32" s="38" t="e">
        <f>'Evolutitve SCI'!#REF!/'Evolutitve SCI'!CM39-1</f>
        <v>#REF!</v>
      </c>
      <c r="BM32" s="38" t="e">
        <f>'Evolutitve SCI'!#REF!/'Evolutitve SCI'!CN39-1</f>
        <v>#REF!</v>
      </c>
      <c r="BN32" s="38" t="e">
        <f>'Evolutitve SCI'!#REF!/'Evolutitve SCI'!CO39-1</f>
        <v>#REF!</v>
      </c>
      <c r="BO32" s="38" t="e">
        <f>'Evolutitve SCI'!#REF!/'Evolutitve SCI'!CP39-1</f>
        <v>#REF!</v>
      </c>
      <c r="BP32" s="38" t="e">
        <f>'Evolutitve SCI'!#REF!/'Evolutitve SCI'!CQ39-1</f>
        <v>#REF!</v>
      </c>
      <c r="BQ32" s="38" t="e">
        <f>'Evolutitve SCI'!#REF!/'Evolutitve SCI'!CR39-1</f>
        <v>#REF!</v>
      </c>
      <c r="BR32" s="38" t="e">
        <f>'Evolutitve SCI'!#REF!/'Evolutitve SCI'!CS39-1</f>
        <v>#REF!</v>
      </c>
      <c r="BS32" s="38" t="e">
        <f>'Evolutitve SCI'!#REF!/'Evolutitve SCI'!CT39-1</f>
        <v>#REF!</v>
      </c>
      <c r="BT32" s="38" t="e">
        <f>'Evolutitve SCI'!#REF!/'Evolutitve SCI'!CU39-1</f>
        <v>#REF!</v>
      </c>
      <c r="BU32" s="38" t="e">
        <f>'Evolutitve SCI'!#REF!/'Evolutitve SCI'!CV39-1</f>
        <v>#REF!</v>
      </c>
      <c r="BV32" s="38" t="e">
        <f>'Evolutitve SCI'!#REF!/'Evolutitve SCI'!CW39-1</f>
        <v>#REF!</v>
      </c>
      <c r="BW32" s="38" t="e">
        <f>'Evolutitve SCI'!#REF!/'Evolutitve SCI'!CX39-1</f>
        <v>#REF!</v>
      </c>
      <c r="BX32" s="38" t="e">
        <f>'Evolutitve SCI'!#REF!/'Evolutitve SCI'!CY39-1</f>
        <v>#REF!</v>
      </c>
      <c r="BY32" s="38" t="e">
        <f>'Evolutitve SCI'!#REF!/'Evolutitve SCI'!CZ39-1</f>
        <v>#REF!</v>
      </c>
      <c r="BZ32" s="38" t="e">
        <f>'Evolutitve SCI'!#REF!/'Evolutitve SCI'!DA39-1</f>
        <v>#REF!</v>
      </c>
      <c r="CA32" s="38" t="e">
        <f>'Evolutitve SCI'!#REF!/'Evolutitve SCI'!DB39-1</f>
        <v>#REF!</v>
      </c>
      <c r="CB32" s="38" t="e">
        <f>'Evolutitve SCI'!#REF!/'Evolutitve SCI'!DC39-1</f>
        <v>#REF!</v>
      </c>
      <c r="CC32" s="38" t="e">
        <f>'Evolutitve SCI'!#REF!/'Evolutitve SCI'!DD39-1</f>
        <v>#REF!</v>
      </c>
      <c r="CD32" s="38" t="e">
        <f>'Evolutitve SCI'!#REF!/'Evolutitve SCI'!DE39-1</f>
        <v>#REF!</v>
      </c>
    </row>
    <row r="33" spans="1:82" ht="15">
      <c r="A33" s="42" t="s">
        <v>241</v>
      </c>
      <c r="B33" s="32" t="s">
        <v>242</v>
      </c>
      <c r="C33" s="2"/>
      <c r="D33" s="34"/>
      <c r="E33" s="34" t="e">
        <f>Financials!D44/('Evolutive SFP'!#REF!+'Evolutive SFP'!#REF!)/2</f>
        <v>#REF!</v>
      </c>
      <c r="F33" s="34"/>
      <c r="G33" s="34"/>
      <c r="H33" s="34" t="e">
        <f>Financials!G44/('Evolutive SFP'!#REF!+'Evolutive SFP'!#REF!)/2</f>
        <v>#REF!</v>
      </c>
      <c r="I33" s="34" t="e">
        <f>Financials!H44/('Evolutive SFP'!#REF!+'Evolutive SFP'!#REF!)/2</f>
        <v>#REF!</v>
      </c>
      <c r="J33" s="34" t="e">
        <f>Financials!I44/('Evolutive SFP'!#REF!+'Evolutive SFP'!#REF!)/2</f>
        <v>#REF!</v>
      </c>
      <c r="K33" s="34" t="e">
        <f>Financials!J44/('Evolutive SFP'!#REF!+'Evolutive SFP'!#REF!)/2</f>
        <v>#REF!</v>
      </c>
      <c r="L33" s="34" t="e">
        <f>Financials!K44/('Evolutive SFP'!#REF!+'Evolutive SFP'!#REF!)/2</f>
        <v>#REF!</v>
      </c>
      <c r="M33" s="34" t="e">
        <f>Financials!L44/('Evolutive SFP'!#REF!+'Evolutive SFP'!#REF!)/2</f>
        <v>#REF!</v>
      </c>
      <c r="N33" s="34" t="e">
        <f>Financials!M44/('Evolutive SFP'!#REF!+'Evolutive SFP'!#REF!)/2</f>
        <v>#REF!</v>
      </c>
      <c r="O33" s="34" t="e">
        <f>Financials!N44/('Evolutive SFP'!#REF!+'Evolutive SFP'!#REF!)/2</f>
        <v>#REF!</v>
      </c>
      <c r="P33" s="34" t="e">
        <f>Financials!O44/('Evolutive SFP'!#REF!+'Evolutive SFP'!#REF!)/2</f>
        <v>#REF!</v>
      </c>
      <c r="Q33" s="34" t="e">
        <f>Financials!P44/('Evolutive SFP'!#REF!+'Evolutive SFP'!#REF!)/2</f>
        <v>#REF!</v>
      </c>
      <c r="R33" s="34" t="e">
        <f>Financials!Q44/('Evolutive SFP'!#REF!+'Evolutive SFP'!#REF!)/2</f>
        <v>#REF!</v>
      </c>
      <c r="S33" s="38" t="e">
        <f>Financials!R44/('Evolutive SFP'!#REF!+'Evolutive SFP'!#REF!)/2</f>
        <v>#REF!</v>
      </c>
      <c r="T33" s="38" t="e">
        <f>Financials!S44/('Evolutive SFP'!#REF!+'Evolutive SFP'!#REF!)/2</f>
        <v>#REF!</v>
      </c>
      <c r="U33" s="38" t="e">
        <f>Financials!T44/('Evolutive SFP'!#REF!+'Evolutive SFP'!#REF!)/2</f>
        <v>#REF!</v>
      </c>
      <c r="V33" s="38" t="e">
        <f>Financials!U44/('Evolutive SFP'!#REF!+'Evolutive SFP'!#REF!)/2</f>
        <v>#REF!</v>
      </c>
      <c r="W33" s="38" t="e">
        <f>Financials!V44/('Evolutive SFP'!#REF!+'Evolutive SFP'!#REF!)/2</f>
        <v>#REF!</v>
      </c>
      <c r="X33" s="38" t="e">
        <f>Financials!W44/('Evolutive SFP'!#REF!+'Evolutive SFP'!#REF!)/2</f>
        <v>#REF!</v>
      </c>
      <c r="Y33" s="38" t="e">
        <f>Financials!X44/('Evolutive SFP'!#REF!+'Evolutive SFP'!#REF!)/2</f>
        <v>#REF!</v>
      </c>
      <c r="Z33" s="38" t="e">
        <f>Financials!Y44/('Evolutive SFP'!#REF!+'Evolutive SFP'!#REF!)/2</f>
        <v>#REF!</v>
      </c>
      <c r="AA33" s="38" t="e">
        <f>Financials!Z44/('Evolutive SFP'!#REF!+'Evolutive SFP'!#REF!)/2</f>
        <v>#REF!</v>
      </c>
      <c r="AB33" s="38" t="e">
        <f>Financials!AA44/('Evolutive SFP'!#REF!+'Evolutive SFP'!#REF!)/2</f>
        <v>#REF!</v>
      </c>
      <c r="AC33" s="38" t="e">
        <f>Financials!AB44/('Evolutive SFP'!#REF!+'Evolutive SFP'!#REF!)/2</f>
        <v>#REF!</v>
      </c>
      <c r="AD33" s="38" t="e">
        <f>Financials!AC44/('Evolutive SFP'!#REF!+'Evolutive SFP'!#REF!)/2</f>
        <v>#REF!</v>
      </c>
      <c r="AE33" s="38" t="e">
        <f>Financials!AD44/('Evolutive SFP'!#REF!+'Evolutive SFP'!#REF!)/2</f>
        <v>#REF!</v>
      </c>
      <c r="AF33" s="38" t="e">
        <f>Financials!AE44/('Evolutive SFP'!#REF!+'Evolutive SFP'!#REF!)/2</f>
        <v>#REF!</v>
      </c>
      <c r="AG33" s="38" t="e">
        <f>Financials!AF44/('Evolutive SFP'!#REF!+'Evolutive SFP'!#REF!)/2</f>
        <v>#REF!</v>
      </c>
      <c r="AH33" s="38" t="e">
        <f>Financials!AG44/('Evolutive SFP'!#REF!+'Evolutive SFP'!#REF!)/2</f>
        <v>#REF!</v>
      </c>
      <c r="AI33" s="38" t="e">
        <f>Financials!AH44/('Evolutive SFP'!#REF!+'Evolutive SFP'!#REF!)/2</f>
        <v>#REF!</v>
      </c>
      <c r="AJ33" s="38" t="e">
        <f>Financials!AI44/('Evolutive SFP'!#REF!+'Evolutive SFP'!#REF!)/2</f>
        <v>#REF!</v>
      </c>
      <c r="AK33" s="38" t="e">
        <f>Financials!AJ44/('Evolutive SFP'!#REF!+'Evolutive SFP'!#REF!)/2</f>
        <v>#REF!</v>
      </c>
      <c r="AL33" s="38" t="e">
        <f>Financials!AK44/('Evolutive SFP'!#REF!+'Evolutive SFP'!#REF!)/2</f>
        <v>#REF!</v>
      </c>
      <c r="AM33" s="38" t="e">
        <f>Financials!AL44/('Evolutive SFP'!#REF!+'Evolutive SFP'!#REF!)/2</f>
        <v>#REF!</v>
      </c>
      <c r="AN33" s="38" t="e">
        <f>Financials!AM44/('Evolutive SFP'!#REF!+'Evolutive SFP'!#REF!)/2</f>
        <v>#REF!</v>
      </c>
      <c r="AO33" s="38" t="e">
        <f>Financials!AN44/('Evolutive SFP'!#REF!+'Evolutive SFP'!#REF!)/2</f>
        <v>#REF!</v>
      </c>
      <c r="AP33" s="38" t="e">
        <f>Financials!AO44/('Evolutive SFP'!#REF!+'Evolutive SFP'!#REF!)/2</f>
        <v>#REF!</v>
      </c>
      <c r="AQ33" s="38" t="e">
        <f>Financials!AP44/('Evolutive SFP'!#REF!+'Evolutive SFP'!#REF!)/2</f>
        <v>#REF!</v>
      </c>
      <c r="AR33" s="38" t="e">
        <f>Financials!AQ44/('Evolutive SFP'!#REF!+'Evolutive SFP'!#REF!)/2</f>
        <v>#REF!</v>
      </c>
      <c r="AS33" s="38" t="e">
        <f>Financials!AR44/('Evolutive SFP'!#REF!+'Evolutive SFP'!#REF!)/2</f>
        <v>#REF!</v>
      </c>
      <c r="AT33" s="38" t="e">
        <f>Financials!AS44/('Evolutive SFP'!#REF!+'Evolutive SFP'!BV30)/2</f>
        <v>#REF!</v>
      </c>
      <c r="AU33" s="38">
        <f>Financials!AT44/('Evolutive SFP'!BV30+'Evolutive SFP'!BW30)/2</f>
        <v>0</v>
      </c>
      <c r="AV33" s="38">
        <f>Financials!AU44/('Evolutive SFP'!BW30+'Evolutive SFP'!BX30)/2</f>
        <v>0</v>
      </c>
      <c r="AW33" s="38">
        <f>Financials!AV44/('Evolutive SFP'!BX30+'Evolutive SFP'!BY30)/2</f>
        <v>0</v>
      </c>
      <c r="AX33" s="38">
        <f>Financials!AW44/('Evolutive SFP'!BY30+'Evolutive SFP'!BZ30)/2</f>
        <v>0</v>
      </c>
      <c r="AY33" s="38">
        <f>Financials!AX44/('Evolutive SFP'!BZ30+'Evolutive SFP'!CA30)/2</f>
        <v>0</v>
      </c>
      <c r="AZ33" s="38">
        <f>Financials!AY44/('Evolutive SFP'!CA30+'Evolutive SFP'!CB30)/2</f>
        <v>1.8198176880367196E-4</v>
      </c>
      <c r="BA33" s="38" t="e">
        <f>Financials!AZ44/('Evolutive SFP'!CB30+'Evolutive SFP'!#REF!)/2</f>
        <v>#REF!</v>
      </c>
      <c r="BB33" s="38" t="e">
        <f>Financials!BA44/('Evolutive SFP'!#REF!+'Evolutive SFP'!CC30)/2</f>
        <v>#REF!</v>
      </c>
      <c r="BC33" s="38">
        <f>Financials!BB44/('Evolutive SFP'!CC30+'Evolutive SFP'!CD30)/2</f>
        <v>1.6142128853411029E-4</v>
      </c>
      <c r="BD33" s="38">
        <f>Financials!BC44/('Evolutive SFP'!CD30+'Evolutive SFP'!CE30)/2</f>
        <v>2.285414009594463E-4</v>
      </c>
      <c r="BE33" s="38">
        <f>Financials!BD44/('Evolutive SFP'!CE30+'Evolutive SFP'!CF30)/2</f>
        <v>2.7922826181326499E-4</v>
      </c>
      <c r="BF33" s="38">
        <f>Financials!BE44/('Evolutive SFP'!CF30+'Evolutive SFP'!CG30)/2</f>
        <v>1.3417344208312596E-2</v>
      </c>
      <c r="BG33" s="38">
        <f>Financials!BF44/('Evolutive SFP'!CG30+'Evolutive SFP'!CH30)/2</f>
        <v>1.3692302688743246E-2</v>
      </c>
      <c r="BH33" s="38">
        <f>Financials!BG44/('Evolutive SFP'!CH30+'Evolutive SFP'!CI30)/2</f>
        <v>0</v>
      </c>
      <c r="BI33" s="38">
        <f>Financials!BH44/('Evolutive SFP'!CI30+'Evolutive SFP'!CJ30)/2</f>
        <v>0</v>
      </c>
      <c r="BJ33" s="38">
        <f>Financials!BI44/('Evolutive SFP'!CJ30+'Evolutive SFP'!CK30)/2</f>
        <v>0</v>
      </c>
      <c r="BK33" s="38">
        <f>Financials!BJ44/('Evolutive SFP'!CK30+'Evolutive SFP'!CL30)/2</f>
        <v>0</v>
      </c>
      <c r="BL33" s="38">
        <f>Financials!BK44/('Evolutive SFP'!CL30+'Evolutive SFP'!CM30)/2</f>
        <v>0</v>
      </c>
      <c r="BM33" s="38">
        <f>Financials!BL44/('Evolutive SFP'!CM30+'Evolutive SFP'!CN30)/2</f>
        <v>0</v>
      </c>
      <c r="BN33" s="38">
        <f>Financials!BM44/('Evolutive SFP'!CN30+'Evolutive SFP'!CO30)/2</f>
        <v>0</v>
      </c>
      <c r="BO33" s="38">
        <f>Financials!BN44/('Evolutive SFP'!CO30+'Evolutive SFP'!CP30)/2</f>
        <v>0</v>
      </c>
      <c r="BP33" s="38">
        <f>Financials!BO44/('Evolutive SFP'!CP30+'Evolutive SFP'!CQ30)/2</f>
        <v>0</v>
      </c>
      <c r="BQ33" s="38">
        <f>Financials!BP44/('Evolutive SFP'!CQ30+'Evolutive SFP'!CR30)/2</f>
        <v>0</v>
      </c>
      <c r="BR33" s="38">
        <f>Financials!BQ44/('Evolutive SFP'!CR30+'Evolutive SFP'!CS30)/2</f>
        <v>0</v>
      </c>
      <c r="BS33" s="38">
        <f>Financials!BR44/('Evolutive SFP'!CS30+'Evolutive SFP'!CT30)/2</f>
        <v>0</v>
      </c>
      <c r="BT33" s="38">
        <f>Financials!BS44/('Evolutive SFP'!CT30+'Evolutive SFP'!CU30)/2</f>
        <v>1.4062603668353081E-2</v>
      </c>
      <c r="BU33" s="38">
        <f>Financials!BT44/('Evolutive SFP'!CU30+'Evolutive SFP'!CV30)/2</f>
        <v>1.6393756706114631E-2</v>
      </c>
      <c r="BV33" s="38">
        <f>Financials!BU44/('Evolutive SFP'!CV30+'Evolutive SFP'!CW30)/2</f>
        <v>0</v>
      </c>
      <c r="BW33" s="38">
        <f>Financials!BV44/('Evolutive SFP'!CW30+'Evolutive SFP'!CX30)/2</f>
        <v>0</v>
      </c>
      <c r="BX33" s="38">
        <f>Financials!BW44/('Evolutive SFP'!CX30+'Evolutive SFP'!CY30)/2</f>
        <v>0</v>
      </c>
      <c r="BY33" s="38">
        <f>Financials!BX44/('Evolutive SFP'!CY30+'Evolutive SFP'!CZ30)/2</f>
        <v>0</v>
      </c>
      <c r="BZ33" s="38">
        <f>Financials!BY44/('Evolutive SFP'!CZ30+'Evolutive SFP'!DA30)/2</f>
        <v>0</v>
      </c>
      <c r="CA33" s="38">
        <f>Financials!BZ44/('Evolutive SFP'!DA30+'Evolutive SFP'!DB30)/2</f>
        <v>0</v>
      </c>
      <c r="CB33" s="38">
        <f>Financials!CA44/('Evolutive SFP'!DB30+'Evolutive SFP'!DC30)/2</f>
        <v>0</v>
      </c>
      <c r="CC33" s="38">
        <f>Financials!CB44/('Evolutive SFP'!DC30+'Evolutive SFP'!DD30)/2</f>
        <v>0</v>
      </c>
      <c r="CD33" s="38">
        <f>Financials!CC44/('Evolutive SFP'!DD30+'Evolutive SFP'!DE30)/2</f>
        <v>0</v>
      </c>
    </row>
    <row r="34" spans="1:82" ht="15">
      <c r="A34" s="43"/>
      <c r="B34" s="32" t="s">
        <v>243</v>
      </c>
      <c r="C34" s="2"/>
      <c r="D34" s="34"/>
      <c r="E34" s="34" t="e">
        <f>Financials!D45/('Evolutive SFP'!#REF!+'Evolutive SFP'!#REF!)/2</f>
        <v>#REF!</v>
      </c>
      <c r="F34" s="34"/>
      <c r="G34" s="34"/>
      <c r="H34" s="34" t="e">
        <f>Financials!G45/('Evolutive SFP'!#REF!+'Evolutive SFP'!#REF!)/2</f>
        <v>#REF!</v>
      </c>
      <c r="I34" s="34" t="e">
        <f>Financials!H45/('Evolutive SFP'!#REF!+'Evolutive SFP'!#REF!)/2</f>
        <v>#REF!</v>
      </c>
      <c r="J34" s="34" t="e">
        <f>Financials!I45/('Evolutive SFP'!#REF!+'Evolutive SFP'!#REF!)/2</f>
        <v>#REF!</v>
      </c>
      <c r="K34" s="34" t="e">
        <f>Financials!J45/('Evolutive SFP'!#REF!+'Evolutive SFP'!#REF!)/2</f>
        <v>#REF!</v>
      </c>
      <c r="L34" s="34" t="e">
        <f>Financials!K45/('Evolutive SFP'!#REF!+'Evolutive SFP'!#REF!)/2</f>
        <v>#REF!</v>
      </c>
      <c r="M34" s="34" t="e">
        <f>Financials!L45/('Evolutive SFP'!#REF!+'Evolutive SFP'!#REF!)/2</f>
        <v>#REF!</v>
      </c>
      <c r="N34" s="34" t="e">
        <f>Financials!M45/('Evolutive SFP'!#REF!+'Evolutive SFP'!#REF!)/2</f>
        <v>#REF!</v>
      </c>
      <c r="O34" s="34" t="e">
        <f>Financials!N45/('Evolutive SFP'!#REF!+'Evolutive SFP'!#REF!)/2</f>
        <v>#REF!</v>
      </c>
      <c r="P34" s="34" t="e">
        <f>Financials!O45/('Evolutive SFP'!#REF!+'Evolutive SFP'!#REF!)/2</f>
        <v>#REF!</v>
      </c>
      <c r="Q34" s="34" t="e">
        <f>Financials!P45/('Evolutive SFP'!#REF!+'Evolutive SFP'!#REF!)/2</f>
        <v>#REF!</v>
      </c>
      <c r="R34" s="34" t="e">
        <f>Financials!Q45/('Evolutive SFP'!#REF!+'Evolutive SFP'!#REF!)/2</f>
        <v>#REF!</v>
      </c>
      <c r="S34" s="38" t="e">
        <f>Financials!R45/('Evolutive SFP'!#REF!+'Evolutive SFP'!#REF!)/2</f>
        <v>#REF!</v>
      </c>
      <c r="T34" s="38" t="e">
        <f>Financials!S45/('Evolutive SFP'!#REF!+'Evolutive SFP'!#REF!)/2</f>
        <v>#REF!</v>
      </c>
      <c r="U34" s="38" t="e">
        <f>Financials!T45/('Evolutive SFP'!#REF!+'Evolutive SFP'!#REF!)/2</f>
        <v>#REF!</v>
      </c>
      <c r="V34" s="38" t="e">
        <f>Financials!U45/('Evolutive SFP'!#REF!+'Evolutive SFP'!#REF!)/2</f>
        <v>#REF!</v>
      </c>
      <c r="W34" s="38" t="e">
        <f>Financials!V45/('Evolutive SFP'!#REF!+'Evolutive SFP'!#REF!)/2</f>
        <v>#REF!</v>
      </c>
      <c r="X34" s="38" t="e">
        <f>Financials!W45/('Evolutive SFP'!#REF!+'Evolutive SFP'!#REF!)/2</f>
        <v>#REF!</v>
      </c>
      <c r="Y34" s="38" t="e">
        <f>Financials!X45/('Evolutive SFP'!#REF!+'Evolutive SFP'!#REF!)/2</f>
        <v>#REF!</v>
      </c>
      <c r="Z34" s="38" t="e">
        <f>Financials!Y45/('Evolutive SFP'!#REF!+'Evolutive SFP'!#REF!)/2</f>
        <v>#REF!</v>
      </c>
      <c r="AA34" s="38" t="e">
        <f>Financials!Z45/('Evolutive SFP'!#REF!+'Evolutive SFP'!#REF!)/2</f>
        <v>#REF!</v>
      </c>
      <c r="AB34" s="38" t="e">
        <f>Financials!AA45/('Evolutive SFP'!#REF!+'Evolutive SFP'!#REF!)/2</f>
        <v>#REF!</v>
      </c>
      <c r="AC34" s="38" t="e">
        <f>Financials!AB45/('Evolutive SFP'!#REF!+'Evolutive SFP'!#REF!)/2</f>
        <v>#REF!</v>
      </c>
      <c r="AD34" s="38" t="e">
        <f>Financials!AC45/('Evolutive SFP'!#REF!+'Evolutive SFP'!#REF!)/2</f>
        <v>#REF!</v>
      </c>
      <c r="AE34" s="38" t="e">
        <f>Financials!AD45/('Evolutive SFP'!#REF!+'Evolutive SFP'!#REF!)/2</f>
        <v>#REF!</v>
      </c>
      <c r="AF34" s="38" t="e">
        <f>Financials!AE45/('Evolutive SFP'!#REF!+'Evolutive SFP'!#REF!)/2</f>
        <v>#REF!</v>
      </c>
      <c r="AG34" s="38" t="e">
        <f>Financials!AF45/('Evolutive SFP'!#REF!+'Evolutive SFP'!#REF!)/2</f>
        <v>#REF!</v>
      </c>
      <c r="AH34" s="38" t="e">
        <f>Financials!AG45/('Evolutive SFP'!#REF!+'Evolutive SFP'!#REF!)/2</f>
        <v>#REF!</v>
      </c>
      <c r="AI34" s="38" t="e">
        <f>Financials!AH45/('Evolutive SFP'!#REF!+'Evolutive SFP'!#REF!)/2</f>
        <v>#REF!</v>
      </c>
      <c r="AJ34" s="38" t="e">
        <f>Financials!AI45/('Evolutive SFP'!#REF!+'Evolutive SFP'!#REF!)/2</f>
        <v>#REF!</v>
      </c>
      <c r="AK34" s="38" t="e">
        <f>Financials!AJ45/('Evolutive SFP'!#REF!+'Evolutive SFP'!#REF!)/2</f>
        <v>#REF!</v>
      </c>
      <c r="AL34" s="38" t="e">
        <f>Financials!AK45/('Evolutive SFP'!#REF!+'Evolutive SFP'!#REF!)/2</f>
        <v>#REF!</v>
      </c>
      <c r="AM34" s="38" t="e">
        <f>Financials!AL45/('Evolutive SFP'!#REF!+'Evolutive SFP'!#REF!)/2</f>
        <v>#REF!</v>
      </c>
      <c r="AN34" s="38" t="e">
        <f>Financials!AM45/('Evolutive SFP'!#REF!+'Evolutive SFP'!#REF!)/2</f>
        <v>#REF!</v>
      </c>
      <c r="AO34" s="38" t="e">
        <f>Financials!AN45/('Evolutive SFP'!#REF!+'Evolutive SFP'!#REF!)/2</f>
        <v>#REF!</v>
      </c>
      <c r="AP34" s="38" t="e">
        <f>Financials!AO45/('Evolutive SFP'!#REF!+'Evolutive SFP'!#REF!)/2</f>
        <v>#REF!</v>
      </c>
      <c r="AQ34" s="38" t="e">
        <f>Financials!AP45/('Evolutive SFP'!#REF!+'Evolutive SFP'!#REF!)/2</f>
        <v>#REF!</v>
      </c>
      <c r="AR34" s="38" t="e">
        <f>Financials!AQ45/('Evolutive SFP'!#REF!+'Evolutive SFP'!#REF!)/2</f>
        <v>#REF!</v>
      </c>
      <c r="AS34" s="38" t="e">
        <f>Financials!AR45/('Evolutive SFP'!#REF!+'Evolutive SFP'!#REF!)/2</f>
        <v>#REF!</v>
      </c>
      <c r="AT34" s="38" t="e">
        <f>Financials!AS45/('Evolutive SFP'!#REF!+'Evolutive SFP'!BV39)/2</f>
        <v>#REF!</v>
      </c>
      <c r="AU34" s="38">
        <f>Financials!AT45/('Evolutive SFP'!BV39+'Evolutive SFP'!BW39)/2</f>
        <v>0</v>
      </c>
      <c r="AV34" s="38">
        <f>Financials!AU45/('Evolutive SFP'!BW39+'Evolutive SFP'!BX39)/2</f>
        <v>0</v>
      </c>
      <c r="AW34" s="38">
        <f>Financials!AV45/('Evolutive SFP'!BX39+'Evolutive SFP'!BY39)/2</f>
        <v>0</v>
      </c>
      <c r="AX34" s="38">
        <f>Financials!AW45/('Evolutive SFP'!BY39+'Evolutive SFP'!BZ39)/2</f>
        <v>0</v>
      </c>
      <c r="AY34" s="38">
        <f>Financials!AX45/('Evolutive SFP'!BZ39+'Evolutive SFP'!CA39)/2</f>
        <v>0</v>
      </c>
      <c r="AZ34" s="38">
        <f>Financials!AY45/('Evolutive SFP'!CA39+'Evolutive SFP'!CB39)/2</f>
        <v>0</v>
      </c>
      <c r="BA34" s="38" t="e">
        <f>Financials!AZ45/('Evolutive SFP'!CB39+'Evolutive SFP'!#REF!)/2</f>
        <v>#REF!</v>
      </c>
      <c r="BB34" s="38" t="e">
        <f>Financials!BA45/('Evolutive SFP'!#REF!+'Evolutive SFP'!CC39)/2</f>
        <v>#REF!</v>
      </c>
      <c r="BC34" s="38">
        <f>Financials!BB45/('Evolutive SFP'!CC39+'Evolutive SFP'!CD39)/2</f>
        <v>0</v>
      </c>
      <c r="BD34" s="38">
        <f>Financials!BC45/('Evolutive SFP'!CD39+'Evolutive SFP'!CE39)/2</f>
        <v>0</v>
      </c>
      <c r="BE34" s="38">
        <f>Financials!BD45/('Evolutive SFP'!CE39+'Evolutive SFP'!CF39)/2</f>
        <v>0</v>
      </c>
      <c r="BF34" s="38">
        <f>Financials!BE45/('Evolutive SFP'!CF39+'Evolutive SFP'!CG39)/2</f>
        <v>0</v>
      </c>
      <c r="BG34" s="38">
        <f>Financials!BF45/('Evolutive SFP'!CG39+'Evolutive SFP'!CH39)/2</f>
        <v>0</v>
      </c>
      <c r="BH34" s="38">
        <f>Financials!BG45/('Evolutive SFP'!CH39+'Evolutive SFP'!CI39)/2</f>
        <v>0</v>
      </c>
      <c r="BI34" s="38">
        <f>Financials!BH45/('Evolutive SFP'!CI39+'Evolutive SFP'!CJ39)/2</f>
        <v>0</v>
      </c>
      <c r="BJ34" s="38">
        <f>Financials!BI45/('Evolutive SFP'!CJ39+'Evolutive SFP'!CK39)/2</f>
        <v>0</v>
      </c>
      <c r="BK34" s="38">
        <f>Financials!BJ45/('Evolutive SFP'!CK39+'Evolutive SFP'!CL39)/2</f>
        <v>0</v>
      </c>
      <c r="BL34" s="38">
        <f>Financials!BK45/('Evolutive SFP'!CL39+'Evolutive SFP'!CM39)/2</f>
        <v>0</v>
      </c>
      <c r="BM34" s="38">
        <f>Financials!BL45/('Evolutive SFP'!CM39+'Evolutive SFP'!CN39)/2</f>
        <v>0</v>
      </c>
      <c r="BN34" s="38">
        <f>Financials!BM45/('Evolutive SFP'!CN39+'Evolutive SFP'!CO39)/2</f>
        <v>0</v>
      </c>
      <c r="BO34" s="38">
        <f>Financials!BN45/('Evolutive SFP'!CO39+'Evolutive SFP'!CP39)/2</f>
        <v>0</v>
      </c>
      <c r="BP34" s="38">
        <f>Financials!BO45/('Evolutive SFP'!CP39+'Evolutive SFP'!CQ39)/2</f>
        <v>0</v>
      </c>
      <c r="BQ34" s="38">
        <f>Financials!BP45/('Evolutive SFP'!CQ39+'Evolutive SFP'!CR39)/2</f>
        <v>0</v>
      </c>
      <c r="BR34" s="38">
        <f>Financials!BQ45/('Evolutive SFP'!CR39+'Evolutive SFP'!CS39)/2</f>
        <v>0</v>
      </c>
      <c r="BS34" s="38">
        <f>Financials!BR45/('Evolutive SFP'!CS39+'Evolutive SFP'!CT39)/2</f>
        <v>0</v>
      </c>
      <c r="BT34" s="38">
        <f>Financials!BS45/('Evolutive SFP'!CT39+'Evolutive SFP'!CU39)/2</f>
        <v>0</v>
      </c>
      <c r="BU34" s="38">
        <f>Financials!BT45/('Evolutive SFP'!CU39+'Evolutive SFP'!CV39)/2</f>
        <v>0</v>
      </c>
      <c r="BV34" s="38">
        <f>Financials!BU45/('Evolutive SFP'!CV39+'Evolutive SFP'!CW39)/2</f>
        <v>0</v>
      </c>
      <c r="BW34" s="38">
        <f>Financials!BV45/('Evolutive SFP'!CW39+'Evolutive SFP'!CX39)/2</f>
        <v>0</v>
      </c>
      <c r="BX34" s="38">
        <f>Financials!BW45/('Evolutive SFP'!CX39+'Evolutive SFP'!CY39)/2</f>
        <v>0</v>
      </c>
      <c r="BY34" s="38">
        <f>Financials!BX45/('Evolutive SFP'!CY39+'Evolutive SFP'!CZ39)/2</f>
        <v>0</v>
      </c>
      <c r="BZ34" s="38">
        <f>Financials!BY45/('Evolutive SFP'!CZ39+'Evolutive SFP'!DA39)/2</f>
        <v>0</v>
      </c>
      <c r="CA34" s="38">
        <f>Financials!BZ45/('Evolutive SFP'!DA39+'Evolutive SFP'!DB39)/2</f>
        <v>0</v>
      </c>
      <c r="CB34" s="38">
        <f>Financials!CA45/('Evolutive SFP'!DB39+'Evolutive SFP'!DC39)/2</f>
        <v>0</v>
      </c>
      <c r="CC34" s="38">
        <f>Financials!CB45/('Evolutive SFP'!DC39+'Evolutive SFP'!DD39)/2</f>
        <v>0</v>
      </c>
      <c r="CD34" s="38">
        <f>Financials!CC45/('Evolutive SFP'!DD39+'Evolutive SFP'!DE39)/2</f>
        <v>0</v>
      </c>
    </row>
    <row r="35" spans="1:82" ht="15">
      <c r="A35" s="43"/>
      <c r="B35" s="32" t="s">
        <v>244</v>
      </c>
      <c r="C35" s="2"/>
      <c r="D35" s="34"/>
      <c r="E35" s="34" t="e">
        <f>Financials!D46/(Financials!C31+Financials!D31)/2</f>
        <v>#REF!</v>
      </c>
      <c r="F35" s="34"/>
      <c r="G35" s="34"/>
      <c r="H35" s="34" t="e">
        <f>Financials!G46/(Financials!D31+Financials!G31)/2</f>
        <v>#REF!</v>
      </c>
      <c r="I35" s="34" t="e">
        <f>Financials!H46/(Financials!G31+Financials!H31)/2</f>
        <v>#REF!</v>
      </c>
      <c r="J35" s="34" t="e">
        <f>Financials!I46/(Financials!H31+Financials!I31)/2</f>
        <v>#REF!</v>
      </c>
      <c r="K35" s="34" t="e">
        <f>Financials!J46/(Financials!I31+Financials!J31)/2</f>
        <v>#REF!</v>
      </c>
      <c r="L35" s="34" t="e">
        <f>Financials!K46/(Financials!J31+Financials!K31)/2</f>
        <v>#REF!</v>
      </c>
      <c r="M35" s="34" t="e">
        <f>Financials!L46/(Financials!K31+Financials!L31)/2</f>
        <v>#REF!</v>
      </c>
      <c r="N35" s="34" t="e">
        <f>Financials!M46/(Financials!L31+Financials!M31)/2</f>
        <v>#REF!</v>
      </c>
      <c r="O35" s="34" t="e">
        <f>Financials!N46/(Financials!M31+Financials!N31)/2</f>
        <v>#REF!</v>
      </c>
      <c r="P35" s="34" t="e">
        <f>Financials!O46/(Financials!N31+Financials!O31)/2</f>
        <v>#REF!</v>
      </c>
      <c r="Q35" s="34" t="e">
        <f>Financials!P46/(Financials!O31+Financials!P31)/2</f>
        <v>#REF!</v>
      </c>
      <c r="R35" s="34" t="e">
        <f>Financials!Q46/(Financials!P31+Financials!Q31)/2</f>
        <v>#REF!</v>
      </c>
      <c r="S35" s="38" t="e">
        <f>Financials!R46/(Financials!Q31+Financials!R31)/2</f>
        <v>#REF!</v>
      </c>
      <c r="T35" s="38" t="e">
        <f>Financials!S46/(Financials!R31+Financials!S31)/2</f>
        <v>#REF!</v>
      </c>
      <c r="U35" s="38">
        <f>Financials!T46/(Financials!S31+Financials!T31)/2</f>
        <v>0</v>
      </c>
      <c r="V35" s="38">
        <f>Financials!U46/(Financials!T31+Financials!U31)/2</f>
        <v>0</v>
      </c>
      <c r="W35" s="38">
        <f>Financials!V46/(Financials!U31+Financials!V31)/2</f>
        <v>0</v>
      </c>
      <c r="X35" s="38">
        <f>Financials!W46/(Financials!V31+Financials!W31)/2</f>
        <v>0</v>
      </c>
      <c r="Y35" s="38">
        <f>Financials!X46/(Financials!W31+Financials!X31)/2</f>
        <v>0</v>
      </c>
      <c r="Z35" s="38">
        <f>Financials!Y46/(Financials!X31+Financials!Y31)/2</f>
        <v>0</v>
      </c>
      <c r="AA35" s="38">
        <f>Financials!Z46/(Financials!Y31+Financials!Z31)/2</f>
        <v>0</v>
      </c>
      <c r="AB35" s="38">
        <f>Financials!AA46/(Financials!Z31+Financials!AA31)/2</f>
        <v>0</v>
      </c>
      <c r="AC35" s="38">
        <f>Financials!AB46/(Financials!AA31+Financials!AB31)/2</f>
        <v>0</v>
      </c>
      <c r="AD35" s="38">
        <f>Financials!AC46/(Financials!AB31+Financials!AC31)/2</f>
        <v>0</v>
      </c>
      <c r="AE35" s="38">
        <f>Financials!AD46/(Financials!AC31+Financials!AD31)/2</f>
        <v>0</v>
      </c>
      <c r="AF35" s="38">
        <f>Financials!AE46/(Financials!AD31+Financials!AE31)/2</f>
        <v>0</v>
      </c>
      <c r="AG35" s="38">
        <f>Financials!AF46/(Financials!AE31+Financials!AF31)/2</f>
        <v>0</v>
      </c>
      <c r="AH35" s="38">
        <f>Financials!AG46/(Financials!AF31+Financials!AG31)/2</f>
        <v>0</v>
      </c>
      <c r="AI35" s="38">
        <f>Financials!AH46/(Financials!AG31+Financials!AH31)/2</f>
        <v>0</v>
      </c>
      <c r="AJ35" s="38">
        <f>Financials!AI46/(Financials!AH31+Financials!AI31)/2</f>
        <v>0</v>
      </c>
      <c r="AK35" s="38">
        <f>Financials!AJ46/(Financials!AI31+Financials!AJ31)/2</f>
        <v>0</v>
      </c>
      <c r="AL35" s="38">
        <f>Financials!AK46/(Financials!AJ31+Financials!AK31)/2</f>
        <v>0</v>
      </c>
      <c r="AM35" s="38">
        <f>Financials!AL46/(Financials!AK31+Financials!AL31)/2</f>
        <v>0</v>
      </c>
      <c r="AN35" s="38">
        <f>Financials!AM46/(Financials!AL31+Financials!AM31)/2</f>
        <v>0</v>
      </c>
      <c r="AO35" s="38">
        <f>Financials!AN46/(Financials!AM31+Financials!AN31)/2</f>
        <v>0</v>
      </c>
      <c r="AP35" s="38">
        <f>Financials!AO46/(Financials!AN31+Financials!AO31)/2</f>
        <v>0</v>
      </c>
      <c r="AQ35" s="38">
        <f>Financials!AP46/(Financials!AO31+Financials!AP31)/2</f>
        <v>0</v>
      </c>
      <c r="AR35" s="38">
        <f>Financials!AQ46/(Financials!AP31+Financials!AQ31)/2</f>
        <v>0</v>
      </c>
      <c r="AS35" s="38">
        <f>Financials!AR46/(Financials!AQ31+Financials!AR31)/2</f>
        <v>0</v>
      </c>
      <c r="AT35" s="38">
        <f>Financials!AS46/(Financials!AR31+Financials!AS31)/2</f>
        <v>0</v>
      </c>
      <c r="AU35" s="38">
        <f>Financials!AT46/(Financials!AS31+Financials!AT31)/2</f>
        <v>0</v>
      </c>
      <c r="AV35" s="38">
        <f>Financials!AU46/(Financials!AT31+Financials!AU31)/2</f>
        <v>0</v>
      </c>
      <c r="AW35" s="38">
        <f>Financials!AV46/(Financials!AU31+Financials!AV31)/2</f>
        <v>0</v>
      </c>
      <c r="AX35" s="38">
        <f>Financials!AW46/(Financials!AV31+Financials!AW31)/2</f>
        <v>0</v>
      </c>
      <c r="AY35" s="38">
        <f>Financials!AX46/(Financials!AW31+Financials!AX31)/2</f>
        <v>0</v>
      </c>
      <c r="AZ35" s="38">
        <f>Financials!AY46/(Financials!AX31+Financials!AY31)/2</f>
        <v>0</v>
      </c>
      <c r="BA35" s="38" t="e">
        <f>Financials!AZ46/(Financials!AY31+Financials!AZ31)/2</f>
        <v>#REF!</v>
      </c>
      <c r="BB35" s="38" t="e">
        <f>Financials!BA46/(Financials!AZ31+Financials!BA31)/2</f>
        <v>#REF!</v>
      </c>
      <c r="BC35" s="38">
        <f>Financials!BB46/(Financials!BA31+Financials!BB31)/2</f>
        <v>0</v>
      </c>
      <c r="BD35" s="38">
        <f>Financials!BC46/(Financials!BB31+Financials!BC31)/2</f>
        <v>0</v>
      </c>
      <c r="BE35" s="38">
        <f>Financials!BD46/(Financials!BC31+Financials!BD31)/2</f>
        <v>0</v>
      </c>
      <c r="BF35" s="38">
        <f>Financials!BE46/(Financials!BD31+Financials!BE31)/2</f>
        <v>0</v>
      </c>
      <c r="BG35" s="38">
        <f>Financials!BF46/(Financials!BE31+Financials!BF31)/2</f>
        <v>0</v>
      </c>
      <c r="BH35" s="38">
        <f>Financials!BG46/(Financials!BF31+Financials!BG31)/2</f>
        <v>0</v>
      </c>
      <c r="BI35" s="38">
        <f>Financials!BH46/(Financials!BG31+Financials!BH31)/2</f>
        <v>0</v>
      </c>
      <c r="BJ35" s="38">
        <f>Financials!BI46/(Financials!BH31+Financials!BI31)/2</f>
        <v>0</v>
      </c>
      <c r="BK35" s="38">
        <f>Financials!BJ46/(Financials!BI31+Financials!BJ31)/2</f>
        <v>0</v>
      </c>
      <c r="BL35" s="38">
        <f>Financials!BK46/(Financials!BJ31+Financials!BK31)/2</f>
        <v>0</v>
      </c>
      <c r="BM35" s="38">
        <f>Financials!BL46/(Financials!BK31+Financials!BL31)/2</f>
        <v>0</v>
      </c>
      <c r="BN35" s="38">
        <f>Financials!BM46/(Financials!BL31+Financials!BM31)/2</f>
        <v>0</v>
      </c>
      <c r="BO35" s="38">
        <f>Financials!BN46/(Financials!BM31+Financials!BN31)/2</f>
        <v>0</v>
      </c>
      <c r="BP35" s="38">
        <f>Financials!BO46/(Financials!BN31+Financials!BO31)/2</f>
        <v>0</v>
      </c>
      <c r="BQ35" s="38">
        <f>Financials!BP46/(Financials!BO31+Financials!BP31)/2</f>
        <v>0</v>
      </c>
      <c r="BR35" s="38">
        <f>Financials!BQ46/(Financials!BP31+Financials!BQ31)/2</f>
        <v>0</v>
      </c>
      <c r="BS35" s="38">
        <f>Financials!BR46/(Financials!BQ31+Financials!BR31)/2</f>
        <v>0</v>
      </c>
      <c r="BT35" s="38">
        <f>Financials!BS46/(Financials!BR31+Financials!BS31)/2</f>
        <v>0</v>
      </c>
      <c r="BU35" s="38">
        <f>Financials!BT46/(Financials!BS31+Financials!BT31)/2</f>
        <v>0</v>
      </c>
      <c r="BV35" s="38">
        <f>Financials!BU46/(Financials!BT31+Financials!BU31)/2</f>
        <v>0</v>
      </c>
      <c r="BW35" s="38">
        <f>Financials!BV46/(Financials!BU31+Financials!BV31)/2</f>
        <v>0</v>
      </c>
      <c r="BX35" s="38">
        <f>Financials!BW46/(Financials!BV31+Financials!BW31)/2</f>
        <v>0</v>
      </c>
      <c r="BY35" s="38">
        <f>Financials!BX46/(Financials!BW31+Financials!BX31)/2</f>
        <v>0</v>
      </c>
      <c r="BZ35" s="38">
        <f>Financials!BY46/(Financials!BX31+Financials!BY31)/2</f>
        <v>0</v>
      </c>
      <c r="CA35" s="38">
        <f>Financials!BZ46/(Financials!BY31+Financials!BZ31)/2</f>
        <v>0</v>
      </c>
      <c r="CB35" s="38">
        <f>Financials!CA46/(Financials!BZ31+Financials!CA31)/2</f>
        <v>0</v>
      </c>
      <c r="CC35" s="38">
        <f>Financials!CB46/(Financials!CA31+Financials!CB31)/2</f>
        <v>0</v>
      </c>
      <c r="CD35" s="38">
        <f>Financials!CC46/(Financials!CB31+Financials!CC31)/2</f>
        <v>0</v>
      </c>
    </row>
    <row r="36" spans="1:82" ht="15">
      <c r="A36" s="43"/>
      <c r="B36" s="32" t="s">
        <v>245</v>
      </c>
      <c r="C36" s="2"/>
      <c r="D36" s="34"/>
      <c r="E36" s="34" t="e">
        <f>Financials!D47/(Financials!C4+Financials!D4)/2</f>
        <v>#REF!</v>
      </c>
      <c r="F36" s="34"/>
      <c r="G36" s="34"/>
      <c r="H36" s="34" t="e">
        <f>Financials!G47/(Financials!D4+Financials!G4)/2</f>
        <v>#REF!</v>
      </c>
      <c r="I36" s="34" t="e">
        <f>Financials!H47/(Financials!G4+Financials!H4)/2</f>
        <v>#REF!</v>
      </c>
      <c r="J36" s="34" t="e">
        <f>Financials!I47/(Financials!H4+Financials!I4)/2</f>
        <v>#REF!</v>
      </c>
      <c r="K36" s="34" t="e">
        <f>Financials!J47/(Financials!I4+Financials!J4)/2</f>
        <v>#REF!</v>
      </c>
      <c r="L36" s="34" t="e">
        <f>Financials!K47/(Financials!J4+Financials!K4)/2</f>
        <v>#REF!</v>
      </c>
      <c r="M36" s="34" t="e">
        <f>Financials!L47/(Financials!K4+Financials!L4)/2</f>
        <v>#REF!</v>
      </c>
      <c r="N36" s="34" t="e">
        <f>Financials!M47/(Financials!L4+Financials!M4)/2</f>
        <v>#REF!</v>
      </c>
      <c r="O36" s="34" t="e">
        <f>Financials!N47/(Financials!M4+Financials!N4)/2</f>
        <v>#REF!</v>
      </c>
      <c r="P36" s="34" t="e">
        <f>Financials!O47/(Financials!N4+Financials!O4)/2</f>
        <v>#REF!</v>
      </c>
      <c r="Q36" s="34" t="e">
        <f>Financials!P47/(Financials!O4+Financials!P4)/2</f>
        <v>#REF!</v>
      </c>
      <c r="R36" s="34" t="e">
        <f>Financials!Q47/(Financials!P4+Financials!Q4)/2</f>
        <v>#REF!</v>
      </c>
      <c r="S36" s="38" t="e">
        <f>Financials!R47/(Financials!Q4+Financials!R4)/2</f>
        <v>#REF!</v>
      </c>
      <c r="T36" s="38" t="e">
        <f>Financials!S47/(Financials!R4+Financials!S4)/2</f>
        <v>#REF!</v>
      </c>
      <c r="U36" s="38">
        <f>Financials!T47/(Financials!S4+Financials!T4)/2</f>
        <v>1.3847792871128305E-3</v>
      </c>
      <c r="V36" s="38">
        <f>Financials!U47/(Financials!T4+Financials!U4)/2</f>
        <v>2.9988732472269694E-3</v>
      </c>
      <c r="W36" s="38">
        <f>Financials!V47/(Financials!U4+Financials!V4)/2</f>
        <v>4.7489963347379935E-3</v>
      </c>
      <c r="X36" s="38">
        <f>Financials!W47/(Financials!V4+Financials!W4)/2</f>
        <v>7.0587881061840736E-3</v>
      </c>
      <c r="Y36" s="38">
        <f>Financials!X47/(Financials!W4+Financials!X4)/2</f>
        <v>7.9408985344814349E-3</v>
      </c>
      <c r="Z36" s="38">
        <f>Financials!Y47/(Financials!X4+Financials!Y4)/2</f>
        <v>9.5245691560499838E-3</v>
      </c>
      <c r="AA36" s="38">
        <f>Financials!Z47/(Financials!Y4+Financials!Z4)/2</f>
        <v>1.0829038774129688E-2</v>
      </c>
      <c r="AB36" s="38">
        <f>Financials!AA47/(Financials!Z4+Financials!AA4)/2</f>
        <v>1.2250949420141833E-2</v>
      </c>
      <c r="AC36" s="38">
        <f>Financials!AB47/(Financials!AA4+Financials!AB4)/2</f>
        <v>1.5868220029860856E-2</v>
      </c>
      <c r="AD36" s="38">
        <f>Financials!AC47/(Financials!AB4+Financials!AC4)/2</f>
        <v>1.7798890673382618E-2</v>
      </c>
      <c r="AE36" s="38">
        <f>Financials!AD47/(Financials!AC4+Financials!AD4)/2</f>
        <v>1.9467425920647458E-2</v>
      </c>
      <c r="AF36" s="38">
        <f>Financials!AE47/(Financials!AD4+Financials!AE4)/2</f>
        <v>2.5727415744818495E-2</v>
      </c>
      <c r="AG36" s="38">
        <f>Financials!AF47/(Financials!AE4+Financials!AF4)/2</f>
        <v>2.2023927283131205E-2</v>
      </c>
      <c r="AH36" s="38">
        <f>Financials!AG47/(Financials!AF4+Financials!AG4)/2</f>
        <v>1.5414198290969136E-3</v>
      </c>
      <c r="AI36" s="38">
        <f>Financials!AH47/(Financials!AG4+Financials!AH4)/2</f>
        <v>3.4662700873937624E-3</v>
      </c>
      <c r="AJ36" s="38">
        <f>Financials!AI47/(Financials!AH4+Financials!AI4)/2</f>
        <v>5.3194392061883151E-3</v>
      </c>
      <c r="AK36" s="38">
        <f>Financials!AJ47/(Financials!AI4+Financials!AJ4)/2</f>
        <v>7.3348307018707964E-3</v>
      </c>
      <c r="AL36" s="38">
        <f>Financials!AK47/(Financials!AJ4+Financials!AK4)/2</f>
        <v>9.7875639891629868E-3</v>
      </c>
      <c r="AM36" s="38">
        <f>Financials!AL47/(Financials!AK4+Financials!AL4)/2</f>
        <v>1.162364364580276E-2</v>
      </c>
      <c r="AN36" s="38">
        <f>Financials!AM47/(Financials!AL4+Financials!AM4)/2</f>
        <v>1.1520092494129707E-2</v>
      </c>
      <c r="AO36" s="38">
        <f>Financials!AN47/(Financials!AM4+Financials!AN4)/2</f>
        <v>1.1436104292958327E-2</v>
      </c>
      <c r="AP36" s="38">
        <f>Financials!AO47/(Financials!AN4+Financials!AO4)/2</f>
        <v>1.4276173269000502E-2</v>
      </c>
      <c r="AQ36" s="38">
        <f>Financials!AP47/(Financials!AO4+Financials!AP4)/2</f>
        <v>1.6888074323623749E-2</v>
      </c>
      <c r="AR36" s="38">
        <f>Financials!AQ47/(Financials!AP4+Financials!AQ4)/2</f>
        <v>1.9300364857240959E-2</v>
      </c>
      <c r="AS36" s="38">
        <f>Financials!AR47/(Financials!AQ4+Financials!AR4)/2</f>
        <v>2.7639664511667245E-2</v>
      </c>
      <c r="AT36" s="38">
        <f>Financials!AS47/(Financials!AR4+Financials!AS4)/2</f>
        <v>2.3094907401826688E-2</v>
      </c>
      <c r="AU36" s="38">
        <f>Financials!AT47/(Financials!AS4+Financials!AT4)/2</f>
        <v>1.6747651042781477E-3</v>
      </c>
      <c r="AV36" s="38">
        <f>Financials!AU47/(Financials!AT4+Financials!AU4)/2</f>
        <v>3.7296361152206903E-3</v>
      </c>
      <c r="AW36" s="38">
        <f>Financials!AV47/(Financials!AU4+Financials!AV4)/2</f>
        <v>5.3916116806749809E-3</v>
      </c>
      <c r="AX36" s="38">
        <f>Financials!AW47/(Financials!AV4+Financials!AW4)/2</f>
        <v>6.6747560003459763E-3</v>
      </c>
      <c r="AY36" s="38">
        <f>Financials!AX47/(Financials!AW4+Financials!AX4)/2</f>
        <v>7.9874770832679288E-3</v>
      </c>
      <c r="AZ36" s="38">
        <f>Financials!AY47/(Financials!AX4+Financials!AY4)/2</f>
        <v>8.8326192623516906E-3</v>
      </c>
      <c r="BA36" s="38" t="e">
        <f>Financials!AZ47/(Financials!AY4+Financials!AZ4)/2</f>
        <v>#REF!</v>
      </c>
      <c r="BB36" s="38" t="e">
        <f>Financials!BA47/(Financials!AZ4+Financials!BA4)/2</f>
        <v>#REF!</v>
      </c>
      <c r="BC36" s="38">
        <f>Financials!BB47/(Financials!BA4+Financials!BB4)/2</f>
        <v>1.1363616379584402E-2</v>
      </c>
      <c r="BD36" s="38">
        <f>Financials!BC47/(Financials!BB4+Financials!BC4)/2</f>
        <v>1.2112408110983961E-2</v>
      </c>
      <c r="BE36" s="38">
        <f>Financials!BD47/(Financials!BC4+Financials!BD4)/2</f>
        <v>1.5754639982857893E-2</v>
      </c>
      <c r="BF36" s="38">
        <f>Financials!BE47/(Financials!BD4+Financials!BE4)/2</f>
        <v>1.8913483397544881E-2</v>
      </c>
      <c r="BG36" s="38">
        <f>Financials!BF47/(Financials!BE4+Financials!BF4)/2</f>
        <v>1.9320093225598908E-2</v>
      </c>
      <c r="BH36" s="38">
        <f>Financials!BG47/(Financials!BF4+Financials!BG4)/2</f>
        <v>1.3871532070948915E-3</v>
      </c>
      <c r="BI36" s="38">
        <f>Financials!BH47/(Financials!BG4+Financials!BH4)/2</f>
        <v>3.0477712036793242E-3</v>
      </c>
      <c r="BJ36" s="38">
        <f>Financials!BI47/(Financials!BH4+Financials!BI4)/2</f>
        <v>4.6291140966747517E-3</v>
      </c>
      <c r="BK36" s="38">
        <f>Financials!BJ47/(Financials!BI4+Financials!BJ4)/2</f>
        <v>6.3766866387554603E-3</v>
      </c>
      <c r="BL36" s="38">
        <f>Financials!BK47/(Financials!BJ4+Financials!BK4)/2</f>
        <v>7.8048105092423199E-3</v>
      </c>
      <c r="BM36" s="38">
        <f>Financials!BL47/(Financials!BK4+Financials!BL4)/2</f>
        <v>9.4685779431706203E-3</v>
      </c>
      <c r="BN36" s="38">
        <f>Financials!BM47/(Financials!BL4+Financials!BM4)/2</f>
        <v>1.10274488778026E-2</v>
      </c>
      <c r="BO36" s="38">
        <f>Financials!BN47/(Financials!BM4+Financials!BN4)/2</f>
        <v>1.2821348348812283E-2</v>
      </c>
      <c r="BP36" s="38">
        <f>Financials!BO47/(Financials!BN4+Financials!BO4)/2</f>
        <v>1.2497124898710812E-2</v>
      </c>
      <c r="BQ36" s="38">
        <f>Financials!BP47/(Financials!BO4+Financials!BP4)/2</f>
        <v>1.2647081338154353E-2</v>
      </c>
      <c r="BR36" s="38">
        <f>Financials!BQ47/(Financials!BP4+Financials!BQ4)/2</f>
        <v>1.5132019831031825E-2</v>
      </c>
      <c r="BS36" s="38">
        <f>Financials!BR47/(Financials!BQ4+Financials!BR4)/2</f>
        <v>2.119549613505577E-2</v>
      </c>
      <c r="BT36" s="38">
        <f>Financials!BS47/(Financials!BR4+Financials!BS4)/2</f>
        <v>1.7806670024515289E-2</v>
      </c>
      <c r="BU36" s="38">
        <f>Financials!BT47/(Financials!BS4+Financials!BT4)/2</f>
        <v>1.9743892386978462E-2</v>
      </c>
      <c r="BV36" s="38">
        <f>Financials!BU47/(Financials!BT4+Financials!BU4)/2</f>
        <v>1.3980651735725044E-3</v>
      </c>
      <c r="BW36" s="38">
        <f>Financials!BV47/(Financials!BU4+Financials!BV4)/2</f>
        <v>2.9831745752721224E-3</v>
      </c>
      <c r="BX36" s="38">
        <f>Financials!BW47/(Financials!BV4+Financials!BW4)/2</f>
        <v>4.506870991137721E-3</v>
      </c>
      <c r="BY36" s="38">
        <f>Financials!BX47/(Financials!BW4+Financials!BX4)/2</f>
        <v>6.4215048174760727E-3</v>
      </c>
      <c r="BZ36" s="38">
        <f>Financials!BY47/(Financials!BX4+Financials!BY4)/2</f>
        <v>8.2464870163352702E-3</v>
      </c>
      <c r="CA36" s="38">
        <f>Financials!BZ47/(Financials!BY4+Financials!BZ4)/2</f>
        <v>9.8996466127820228E-3</v>
      </c>
      <c r="CB36" s="38">
        <f>Financials!CA47/(Financials!BZ4+Financials!CA4)/2</f>
        <v>1.0961222654063739E-2</v>
      </c>
      <c r="CC36" s="38">
        <f>Financials!CB47/(Financials!CA4+Financials!CB4)/2</f>
        <v>1.2018911862385321E-2</v>
      </c>
      <c r="CD36" s="38">
        <f>Financials!CC47/(Financials!CB4+Financials!CC4)/2</f>
        <v>1.517234269839963E-2</v>
      </c>
    </row>
    <row r="37" spans="1:82" ht="15">
      <c r="A37" s="43"/>
      <c r="B37" s="32" t="s">
        <v>246</v>
      </c>
      <c r="C37" s="2"/>
      <c r="D37" s="34"/>
      <c r="E37" s="34" t="e">
        <f>Financials!D47/Financials!D37</f>
        <v>#REF!</v>
      </c>
      <c r="F37" s="34"/>
      <c r="G37" s="34"/>
      <c r="H37" s="34" t="e">
        <f>Financials!G47/Financials!G37</f>
        <v>#REF!</v>
      </c>
      <c r="I37" s="34" t="e">
        <f>Financials!H47/Financials!H37</f>
        <v>#REF!</v>
      </c>
      <c r="J37" s="34" t="e">
        <f>Financials!I47/Financials!I37</f>
        <v>#REF!</v>
      </c>
      <c r="K37" s="34" t="e">
        <f>Financials!J47/Financials!J37</f>
        <v>#REF!</v>
      </c>
      <c r="L37" s="34" t="e">
        <f>Financials!K47/Financials!K37</f>
        <v>#REF!</v>
      </c>
      <c r="M37" s="34" t="e">
        <f>Financials!L47/Financials!L37</f>
        <v>#REF!</v>
      </c>
      <c r="N37" s="34" t="e">
        <f>Financials!M47/Financials!M37</f>
        <v>#REF!</v>
      </c>
      <c r="O37" s="34" t="e">
        <f>Financials!N47/Financials!N37</f>
        <v>#REF!</v>
      </c>
      <c r="P37" s="34" t="e">
        <f>Financials!O47/Financials!O37</f>
        <v>#REF!</v>
      </c>
      <c r="Q37" s="34" t="e">
        <f>Financials!P47/Financials!P37</f>
        <v>#REF!</v>
      </c>
      <c r="R37" s="34" t="e">
        <f>Financials!Q47/Financials!Q37</f>
        <v>#REF!</v>
      </c>
      <c r="S37" s="38" t="e">
        <f>Financials!R47/Financials!R37</f>
        <v>#REF!</v>
      </c>
      <c r="T37" s="38">
        <f>Financials!S47/Financials!S37</f>
        <v>0.7032209194070389</v>
      </c>
      <c r="U37" s="38">
        <f>Financials!T47/Financials!T37</f>
        <v>0.76192313492220032</v>
      </c>
      <c r="V37" s="38">
        <f>Financials!U47/Financials!U37</f>
        <v>0.89756556324272752</v>
      </c>
      <c r="W37" s="38">
        <f>Financials!V47/Financials!V37</f>
        <v>0.8456539890394299</v>
      </c>
      <c r="X37" s="38">
        <f>Financials!W47/Financials!W37</f>
        <v>0.96249191559533021</v>
      </c>
      <c r="Y37" s="38">
        <f>Financials!X47/Financials!X37</f>
        <v>0.52481144549345127</v>
      </c>
      <c r="Z37" s="38">
        <f>Financials!Y47/Financials!Y37</f>
        <v>0.58978804108188532</v>
      </c>
      <c r="AA37" s="38">
        <f>Financials!Z47/Financials!Z37</f>
        <v>0.50376576425031461</v>
      </c>
      <c r="AB37" s="38">
        <f>Financials!AA47/Financials!AA37</f>
        <v>0.53903329564863001</v>
      </c>
      <c r="AC37" s="38">
        <f>Financials!AB47/Financials!AB37</f>
        <v>0.65099602672831924</v>
      </c>
      <c r="AD37" s="38">
        <f>Financials!AC47/Financials!AC37</f>
        <v>0.65717288623172054</v>
      </c>
      <c r="AE37" s="38">
        <f>Financials!AD47/Financials!AD37</f>
        <v>0.67925161650353827</v>
      </c>
      <c r="AF37" s="38">
        <f>Financials!AE47/Financials!AE37</f>
        <v>0.81050977429073323</v>
      </c>
      <c r="AG37" s="38">
        <f>Financials!AF47/Financials!AF37</f>
        <v>0.68501050326339397</v>
      </c>
      <c r="AH37" s="38">
        <f>Financials!AG47/Financials!AG37</f>
        <v>0.63305520440016905</v>
      </c>
      <c r="AI37" s="38">
        <f>Financials!AH47/Financials!AH37</f>
        <v>1.0033258180428302</v>
      </c>
      <c r="AJ37" s="38">
        <f>Financials!AI47/Financials!AI37</f>
        <v>1.058930211454332</v>
      </c>
      <c r="AK37" s="38">
        <f>Financials!AJ47/Financials!AJ37</f>
        <v>1.1432656737193139</v>
      </c>
      <c r="AL37" s="38">
        <f>Financials!AK47/Financials!AK37</f>
        <v>1.1962008758150366</v>
      </c>
      <c r="AM37" s="38">
        <f>Financials!AL47/Financials!AL37</f>
        <v>0.88457436659512823</v>
      </c>
      <c r="AN37" s="38">
        <f>Financials!AM47/Financials!AM37</f>
        <v>0.50793823774615821</v>
      </c>
      <c r="AO37" s="38">
        <f>Financials!AN47/Financials!AN37</f>
        <v>0.51257356922817165</v>
      </c>
      <c r="AP37" s="38">
        <f>Financials!AO47/Financials!AO37</f>
        <v>0.58253138668200477</v>
      </c>
      <c r="AQ37" s="38">
        <f>Financials!AP47/Financials!AP37</f>
        <v>0.61272168014433992</v>
      </c>
      <c r="AR37" s="38">
        <f>Financials!AQ47/Financials!AQ37</f>
        <v>0.63660584956535726</v>
      </c>
      <c r="AS37" s="38">
        <f>Financials!AR47/Financials!AR37</f>
        <v>0.79594784286327014</v>
      </c>
      <c r="AT37" s="38">
        <f>Financials!AS47/Financials!AS37</f>
        <v>0.65773487111871476</v>
      </c>
      <c r="AU37" s="38">
        <f>Financials!AT47/Financials!AT37</f>
        <v>1.671266187949086</v>
      </c>
      <c r="AV37" s="38">
        <f>Financials!AU47/Financials!AU37</f>
        <v>1.3884305235333918</v>
      </c>
      <c r="AW37" s="38">
        <f>Financials!AV47/Financials!AV37</f>
        <v>1.2992573402151466</v>
      </c>
      <c r="AX37" s="38">
        <f>Financials!AW47/Financials!AW37</f>
        <v>0.58262594785520494</v>
      </c>
      <c r="AY37" s="38">
        <f>Financials!AX47/Financials!AX37</f>
        <v>0.63585086862764251</v>
      </c>
      <c r="AZ37" s="38">
        <f>Financials!AY47/Financials!AY37</f>
        <v>0.49662771819905038</v>
      </c>
      <c r="BA37" s="38" t="e">
        <f>Financials!AZ47/Financials!AZ37</f>
        <v>#REF!</v>
      </c>
      <c r="BB37" s="38">
        <f>Financials!BA47/Financials!BA37</f>
        <v>0.53872441132364057</v>
      </c>
      <c r="BC37" s="38">
        <f>Financials!BB47/Financials!BB37</f>
        <v>0.53228552132227192</v>
      </c>
      <c r="BD37" s="38">
        <f>Financials!BC47/Financials!BC37</f>
        <v>0.54662583589900005</v>
      </c>
      <c r="BE37" s="38">
        <f>Financials!BD47/Financials!BD37</f>
        <v>0.59519847693125938</v>
      </c>
      <c r="BF37" s="38">
        <f>Financials!BE47/Financials!BE37</f>
        <v>0.62690424804864453</v>
      </c>
      <c r="BG37" s="38">
        <f>Financials!BF47/Financials!BF37</f>
        <v>0.62408617310515913</v>
      </c>
      <c r="BH37" s="38">
        <f>Financials!BG47/Financials!BG37</f>
        <v>1.1642495381062963</v>
      </c>
      <c r="BI37" s="38">
        <f>Financials!BH47/Financials!BH37</f>
        <v>1.098027578669672</v>
      </c>
      <c r="BJ37" s="38">
        <f>Financials!BI47/Financials!BI37</f>
        <v>1.0766709995364656</v>
      </c>
      <c r="BK37" s="38">
        <f>Financials!BJ47/Financials!BJ37</f>
        <v>0.65105897125925261</v>
      </c>
      <c r="BL37" s="38">
        <f>Financials!BK47/Financials!BK37</f>
        <v>0.70664339074359328</v>
      </c>
      <c r="BM37" s="38">
        <f>Financials!BL47/Financials!BL37</f>
        <v>0.77156132896593876</v>
      </c>
      <c r="BN37" s="38">
        <f>Financials!BM47/Financials!BM37</f>
        <v>0.76548111384350392</v>
      </c>
      <c r="BO37" s="38">
        <f>Financials!BN47/Financials!BN37</f>
        <v>0.79061310044128097</v>
      </c>
      <c r="BP37" s="38">
        <f>Financials!BO47/Financials!BO37</f>
        <v>0.84531489350815214</v>
      </c>
      <c r="BQ37" s="38">
        <f>Financials!BP47/Financials!BP37</f>
        <v>0.53175726821986113</v>
      </c>
      <c r="BR37" s="38">
        <f>Financials!BQ47/Financials!BQ37</f>
        <v>0.56520826109532118</v>
      </c>
      <c r="BS37" s="38">
        <f>Financials!BR47/Financials!BR37</f>
        <v>0.67436917378540451</v>
      </c>
      <c r="BT37" s="38">
        <f>Financials!BS47/Financials!BS37</f>
        <v>0.56328502568571803</v>
      </c>
      <c r="BU37" s="38">
        <f>Financials!BT47/Financials!BT37</f>
        <v>0.66449092591889769</v>
      </c>
      <c r="BV37" s="38">
        <f>Financials!BU47/Financials!BU37</f>
        <v>0.92099953403429113</v>
      </c>
      <c r="BW37" s="38">
        <f>Financials!BV47/Financials!BV37</f>
        <v>1.0098542268490358</v>
      </c>
      <c r="BX37" s="38">
        <f>Financials!BW47/Financials!BW37</f>
        <v>0.96434988337718086</v>
      </c>
      <c r="BY37" s="38">
        <f>Financials!BX47/Financials!BX37</f>
        <v>0.94434978695714122</v>
      </c>
      <c r="BZ37" s="38">
        <f>Financials!BY47/Financials!BY37</f>
        <v>0.90285056229334648</v>
      </c>
      <c r="CA37" s="38">
        <f>Financials!BZ47/Financials!BZ37</f>
        <v>0.66202065957236744</v>
      </c>
      <c r="CB37" s="38">
        <f>Financials!CA47/Financials!CA37</f>
        <v>0.46980918578272052</v>
      </c>
      <c r="CC37" s="38">
        <f>Financials!CB47/Financials!CB37</f>
        <v>0.48979023587982118</v>
      </c>
      <c r="CD37" s="38">
        <f>Financials!CC47/Financials!CC37</f>
        <v>0.57219899202222968</v>
      </c>
    </row>
    <row r="38" spans="1:82" ht="15">
      <c r="A38" s="43"/>
      <c r="B38" s="32" t="s">
        <v>247</v>
      </c>
      <c r="C38" s="2"/>
      <c r="D38" s="34"/>
      <c r="E38" s="34" t="e">
        <f>Financials!D38/('Evolutive SFP'!#REF!+'Evolutive SFP'!#REF!)/2</f>
        <v>#REF!</v>
      </c>
      <c r="F38" s="34"/>
      <c r="G38" s="34"/>
      <c r="H38" s="34" t="e">
        <f>Financials!G38/('Evolutive SFP'!#REF!+'Evolutive SFP'!#REF!)/2</f>
        <v>#REF!</v>
      </c>
      <c r="I38" s="34" t="e">
        <f>Financials!H38/('Evolutive SFP'!#REF!+'Evolutive SFP'!#REF!)/2</f>
        <v>#REF!</v>
      </c>
      <c r="J38" s="34" t="e">
        <f>Financials!I38/('Evolutive SFP'!#REF!+'Evolutive SFP'!#REF!)/2</f>
        <v>#REF!</v>
      </c>
      <c r="K38" s="34" t="e">
        <f>Financials!J38/('Evolutive SFP'!#REF!+'Evolutive SFP'!#REF!)/2</f>
        <v>#REF!</v>
      </c>
      <c r="L38" s="34" t="e">
        <f>Financials!K38/('Evolutive SFP'!#REF!+'Evolutive SFP'!#REF!)/2</f>
        <v>#REF!</v>
      </c>
      <c r="M38" s="34" t="e">
        <f>Financials!L38/('Evolutive SFP'!#REF!+'Evolutive SFP'!#REF!)/2</f>
        <v>#REF!</v>
      </c>
      <c r="N38" s="34" t="e">
        <f>Financials!M38/('Evolutive SFP'!#REF!+'Evolutive SFP'!#REF!)/2</f>
        <v>#REF!</v>
      </c>
      <c r="O38" s="34" t="e">
        <f>Financials!N38/('Evolutive SFP'!#REF!+'Evolutive SFP'!#REF!)/2</f>
        <v>#REF!</v>
      </c>
      <c r="P38" s="34" t="e">
        <f>Financials!O38/('Evolutive SFP'!#REF!+'Evolutive SFP'!#REF!)/2</f>
        <v>#REF!</v>
      </c>
      <c r="Q38" s="34" t="e">
        <f>Financials!P38/('Evolutive SFP'!#REF!+'Evolutive SFP'!#REF!)/2</f>
        <v>#REF!</v>
      </c>
      <c r="R38" s="34" t="e">
        <f>Financials!Q38/('Evolutive SFP'!#REF!+'Evolutive SFP'!#REF!)/2</f>
        <v>#REF!</v>
      </c>
      <c r="S38" s="38" t="e">
        <f>Financials!R38/('Evolutive SFP'!#REF!+'Evolutive SFP'!#REF!)/2</f>
        <v>#REF!</v>
      </c>
      <c r="T38" s="38" t="e">
        <f>Financials!S38/('Evolutive SFP'!#REF!+'Evolutive SFP'!#REF!)/2</f>
        <v>#REF!</v>
      </c>
      <c r="U38" s="38" t="e">
        <f>Financials!T38/('Evolutive SFP'!#REF!+'Evolutive SFP'!#REF!)/2</f>
        <v>#REF!</v>
      </c>
      <c r="V38" s="38" t="e">
        <f>Financials!U38/('Evolutive SFP'!#REF!+'Evolutive SFP'!#REF!)/2</f>
        <v>#REF!</v>
      </c>
      <c r="W38" s="38" t="e">
        <f>Financials!V38/('Evolutive SFP'!#REF!+'Evolutive SFP'!#REF!)/2</f>
        <v>#REF!</v>
      </c>
      <c r="X38" s="38" t="e">
        <f>Financials!W38/('Evolutive SFP'!#REF!+'Evolutive SFP'!#REF!)/2</f>
        <v>#REF!</v>
      </c>
      <c r="Y38" s="38" t="e">
        <f>Financials!X38/('Evolutive SFP'!#REF!+'Evolutive SFP'!#REF!)/2</f>
        <v>#REF!</v>
      </c>
      <c r="Z38" s="38" t="e">
        <f>Financials!Y38/('Evolutive SFP'!#REF!+'Evolutive SFP'!#REF!)/2</f>
        <v>#REF!</v>
      </c>
      <c r="AA38" s="38" t="e">
        <f>Financials!Z38/('Evolutive SFP'!#REF!+'Evolutive SFP'!#REF!)/2</f>
        <v>#REF!</v>
      </c>
      <c r="AB38" s="38" t="e">
        <f>Financials!AA38/('Evolutive SFP'!#REF!+'Evolutive SFP'!#REF!)/2</f>
        <v>#REF!</v>
      </c>
      <c r="AC38" s="38" t="e">
        <f>Financials!AB38/('Evolutive SFP'!#REF!+'Evolutive SFP'!#REF!)/2</f>
        <v>#REF!</v>
      </c>
      <c r="AD38" s="38" t="e">
        <f>Financials!AC38/('Evolutive SFP'!#REF!+'Evolutive SFP'!#REF!)/2</f>
        <v>#REF!</v>
      </c>
      <c r="AE38" s="38" t="e">
        <f>Financials!AD38/('Evolutive SFP'!#REF!+'Evolutive SFP'!#REF!)/2</f>
        <v>#REF!</v>
      </c>
      <c r="AF38" s="38" t="e">
        <f>Financials!AE38/('Evolutive SFP'!#REF!+'Evolutive SFP'!#REF!)/2</f>
        <v>#REF!</v>
      </c>
      <c r="AG38" s="38" t="e">
        <f>Financials!AF38/('Evolutive SFP'!#REF!+'Evolutive SFP'!#REF!)/2</f>
        <v>#REF!</v>
      </c>
      <c r="AH38" s="38" t="e">
        <f>Financials!AG38/('Evolutive SFP'!#REF!+'Evolutive SFP'!#REF!)/2</f>
        <v>#REF!</v>
      </c>
      <c r="AI38" s="38" t="e">
        <f>Financials!AH38/('Evolutive SFP'!#REF!+'Evolutive SFP'!#REF!)/2</f>
        <v>#REF!</v>
      </c>
      <c r="AJ38" s="38" t="e">
        <f>Financials!AI38/('Evolutive SFP'!#REF!+'Evolutive SFP'!#REF!)/2</f>
        <v>#REF!</v>
      </c>
      <c r="AK38" s="38" t="e">
        <f>Financials!AJ38/('Evolutive SFP'!#REF!+'Evolutive SFP'!#REF!)/2</f>
        <v>#REF!</v>
      </c>
      <c r="AL38" s="38" t="e">
        <f>Financials!AK38/('Evolutive SFP'!#REF!+'Evolutive SFP'!#REF!)/2</f>
        <v>#REF!</v>
      </c>
      <c r="AM38" s="38" t="e">
        <f>Financials!AL38/('Evolutive SFP'!#REF!+'Evolutive SFP'!#REF!)/2</f>
        <v>#REF!</v>
      </c>
      <c r="AN38" s="38" t="e">
        <f>Financials!AM38/('Evolutive SFP'!#REF!+'Evolutive SFP'!#REF!)/2</f>
        <v>#REF!</v>
      </c>
      <c r="AO38" s="38" t="e">
        <f>Financials!AN38/('Evolutive SFP'!#REF!+'Evolutive SFP'!#REF!)/2</f>
        <v>#REF!</v>
      </c>
      <c r="AP38" s="38" t="e">
        <f>Financials!AO38/('Evolutive SFP'!#REF!+'Evolutive SFP'!#REF!)/2</f>
        <v>#REF!</v>
      </c>
      <c r="AQ38" s="38" t="e">
        <f>Financials!AP38/('Evolutive SFP'!#REF!+'Evolutive SFP'!#REF!)/2</f>
        <v>#REF!</v>
      </c>
      <c r="AR38" s="38" t="e">
        <f>Financials!AQ38/('Evolutive SFP'!#REF!+'Evolutive SFP'!#REF!)/2</f>
        <v>#REF!</v>
      </c>
      <c r="AS38" s="38" t="e">
        <f>Financials!AR38/('Evolutive SFP'!#REF!+'Evolutive SFP'!#REF!)/2</f>
        <v>#REF!</v>
      </c>
      <c r="AT38" s="38" t="e">
        <f>Financials!AS38/('Evolutive SFP'!BV14+'Evolutive SFP'!#REF!)/2</f>
        <v>#REF!</v>
      </c>
      <c r="AU38" s="38">
        <f>Financials!AT38/('Evolutive SFP'!BW14+'Evolutive SFP'!BV14)/2</f>
        <v>9.58820867660682E-4</v>
      </c>
      <c r="AV38" s="38">
        <f>Financials!AU38/('Evolutive SFP'!BX14+'Evolutive SFP'!BW14)/2</f>
        <v>2.8802430078965859E-3</v>
      </c>
      <c r="AW38" s="38">
        <f>Financials!AV38/('Evolutive SFP'!BY14+'Evolutive SFP'!BX14)/2</f>
        <v>4.5660262649341518E-3</v>
      </c>
      <c r="AX38" s="38">
        <f>Financials!AW38/('Evolutive SFP'!BZ14+'Evolutive SFP'!BY14)/2</f>
        <v>1.1064548169439277E-2</v>
      </c>
      <c r="AY38" s="38">
        <f>Financials!AX38/('Evolutive SFP'!CA14+'Evolutive SFP'!BZ14)/2</f>
        <v>1.378180798330964E-2</v>
      </c>
      <c r="AZ38" s="38">
        <f>Financials!AY38/('Evolutive SFP'!CB14+'Evolutive SFP'!CA14)/2</f>
        <v>3.0028474701137287E-2</v>
      </c>
      <c r="BA38" s="38" t="e">
        <f>Financials!AZ38/('Evolutive SFP'!#REF!+'Evolutive SFP'!CB14)/2</f>
        <v>#REF!</v>
      </c>
      <c r="BB38" s="38" t="e">
        <f>Financials!BA38/('Evolutive SFP'!CC14+'Evolutive SFP'!#REF!)/2</f>
        <v>#REF!</v>
      </c>
      <c r="BC38" s="38">
        <f>Financials!BB38/('Evolutive SFP'!CD14+'Evolutive SFP'!CC14)/2</f>
        <v>3.1753450920098097E-2</v>
      </c>
      <c r="BD38" s="38">
        <f>Financials!BC38/('Evolutive SFP'!CE14+'Evolutive SFP'!CD14)/2</f>
        <v>2.9174430571676069E-2</v>
      </c>
      <c r="BE38" s="38">
        <f>Financials!BD38/('Evolutive SFP'!CF14+'Evolutive SFP'!CE14)/2</f>
        <v>2.800794513016976E-2</v>
      </c>
      <c r="BF38" s="38">
        <f>Financials!BE38/('Evolutive SFP'!CG14+'Evolutive SFP'!CF14)/2</f>
        <v>2.7823996917312865E-2</v>
      </c>
      <c r="BG38" s="38">
        <f>Financials!BF38/('Evolutive SFP'!CH14+'Evolutive SFP'!CG14)/2</f>
        <v>2.733709021321911E-2</v>
      </c>
      <c r="BH38" s="38">
        <f>Financials!BG38/('Evolutive SFP'!CI14+'Evolutive SFP'!CH14)/2</f>
        <v>1.0846920597567314E-3</v>
      </c>
      <c r="BI38" s="38">
        <f>Financials!BH38/('Evolutive SFP'!CJ14+'Evolutive SFP'!CI14)/2</f>
        <v>2.674964256622833E-3</v>
      </c>
      <c r="BJ38" s="38">
        <f>Financials!BI38/('Evolutive SFP'!CK14+'Evolutive SFP'!CJ14)/2</f>
        <v>4.0864857468159077E-3</v>
      </c>
      <c r="BK38" s="38">
        <f>Financials!BJ38/('Evolutive SFP'!CL14+'Evolutive SFP'!CK14)/2</f>
        <v>5.9250414196743515E-3</v>
      </c>
      <c r="BL38" s="38">
        <f>Financials!BK38/('Evolutive SFP'!CM14+'Evolutive SFP'!CL14)/2</f>
        <v>7.3522003771237321E-3</v>
      </c>
      <c r="BM38" s="38">
        <f>Financials!BL38/('Evolutive SFP'!CN14+'Evolutive SFP'!CM14)/2</f>
        <v>8.3548763922434016E-3</v>
      </c>
      <c r="BN38" s="38">
        <f>Financials!BM38/('Evolutive SFP'!CO14+'Evolutive SFP'!CN14)/2</f>
        <v>8.9840944857586449E-3</v>
      </c>
      <c r="BO38" s="38">
        <f>Financials!BN38/('Evolutive SFP'!CP14+'Evolutive SFP'!CO14)/2</f>
        <v>9.8583759396165139E-3</v>
      </c>
      <c r="BP38" s="38">
        <f>Financials!BO38/('Evolutive SFP'!CQ14+'Evolutive SFP'!CP14)/2</f>
        <v>1.0772686760988378E-2</v>
      </c>
      <c r="BQ38" s="38">
        <f>Financials!BP38/('Evolutive SFP'!CR14+'Evolutive SFP'!CQ14)/2</f>
        <v>3.8093175364915063E-2</v>
      </c>
      <c r="BR38" s="38">
        <f>Financials!BQ38/('Evolutive SFP'!CS14+'Evolutive SFP'!CR14)/2</f>
        <v>4.58657535187183E-2</v>
      </c>
      <c r="BS38" s="38">
        <f>Financials!BR38/('Evolutive SFP'!CT14+'Evolutive SFP'!CS14)/2</f>
        <v>4.6105123797518029E-2</v>
      </c>
      <c r="BT38" s="38">
        <f>Financials!BS38/('Evolutive SFP'!CU14+'Evolutive SFP'!CT14)/2</f>
        <v>4.6042104438125002E-2</v>
      </c>
      <c r="BU38" s="38">
        <f>Financials!BT38/('Evolutive SFP'!CV14+'Evolutive SFP'!CU14)/2</f>
        <v>2.7760724458730422E-2</v>
      </c>
      <c r="BV38" s="38">
        <f>Financials!BU38/('Evolutive SFP'!CW14+'Evolutive SFP'!CV14)/2</f>
        <v>1.5661797054751451E-3</v>
      </c>
      <c r="BW38" s="38">
        <f>Financials!BV38/('Evolutive SFP'!CX14+'Evolutive SFP'!CW14)/2</f>
        <v>2.6498313976865795E-3</v>
      </c>
      <c r="BX38" s="38">
        <f>Financials!BW38/('Evolutive SFP'!CY14+'Evolutive SFP'!CX14)/2</f>
        <v>4.5053716842100248E-3</v>
      </c>
      <c r="BY38" s="38">
        <f>Financials!BX38/('Evolutive SFP'!CZ14+'Evolutive SFP'!CY14)/2</f>
        <v>6.9584489032156064E-3</v>
      </c>
      <c r="BZ38" s="38">
        <f>Financials!BY38/('Evolutive SFP'!DA14+'Evolutive SFP'!CZ14)/2</f>
        <v>9.2044791670583253E-3</v>
      </c>
      <c r="CA38" s="38">
        <f>Financials!BZ38/('Evolutive SFP'!DB14+'Evolutive SFP'!DA14)/2</f>
        <v>1.1874054027037043E-2</v>
      </c>
      <c r="CB38" s="38">
        <f>Financials!CA38/('Evolutive SFP'!DC14+'Evolutive SFP'!DB14)/2</f>
        <v>3.0006183519248171E-2</v>
      </c>
      <c r="CC38" s="38">
        <f>Financials!CB38/('Evolutive SFP'!DD14+'Evolutive SFP'!DC14)/2</f>
        <v>3.1557581844379116E-2</v>
      </c>
      <c r="CD38" s="38">
        <f>Financials!CC38/('Evolutive SFP'!DE14+'Evolutive SFP'!DD14)/2</f>
        <v>3.0009835759320126E-2</v>
      </c>
    </row>
    <row r="39" spans="1:82" ht="15">
      <c r="A39" s="43"/>
      <c r="B39" s="32" t="s">
        <v>248</v>
      </c>
      <c r="C39" s="2"/>
      <c r="D39" s="34"/>
      <c r="E39" s="34" t="e">
        <f>Financials!D37/('Evolutive SFP'!#REF!+'Evolutive SFP'!#REF!)/2</f>
        <v>#REF!</v>
      </c>
      <c r="F39" s="34"/>
      <c r="G39" s="34"/>
      <c r="H39" s="34" t="e">
        <f>Financials!G37/('Evolutive SFP'!#REF!+'Evolutive SFP'!#REF!)/2</f>
        <v>#REF!</v>
      </c>
      <c r="I39" s="34" t="e">
        <f>Financials!H37/('Evolutive SFP'!#REF!+'Evolutive SFP'!#REF!)/2</f>
        <v>#REF!</v>
      </c>
      <c r="J39" s="34" t="e">
        <f>Financials!I37/('Evolutive SFP'!#REF!+'Evolutive SFP'!#REF!)/2</f>
        <v>#REF!</v>
      </c>
      <c r="K39" s="34" t="e">
        <f>Financials!J37/('Evolutive SFP'!#REF!+'Evolutive SFP'!#REF!)/2</f>
        <v>#REF!</v>
      </c>
      <c r="L39" s="34" t="e">
        <f>Financials!K37/('Evolutive SFP'!#REF!+'Evolutive SFP'!#REF!)/2</f>
        <v>#REF!</v>
      </c>
      <c r="M39" s="34" t="e">
        <f>Financials!L37/('Evolutive SFP'!#REF!+'Evolutive SFP'!#REF!)/2</f>
        <v>#REF!</v>
      </c>
      <c r="N39" s="34" t="e">
        <f>Financials!M37/('Evolutive SFP'!#REF!+'Evolutive SFP'!#REF!)/2</f>
        <v>#REF!</v>
      </c>
      <c r="O39" s="34" t="e">
        <f>Financials!N37/('Evolutive SFP'!#REF!+'Evolutive SFP'!#REF!)/2</f>
        <v>#REF!</v>
      </c>
      <c r="P39" s="34" t="e">
        <f>Financials!O37/('Evolutive SFP'!#REF!+'Evolutive SFP'!#REF!)/2</f>
        <v>#REF!</v>
      </c>
      <c r="Q39" s="34" t="e">
        <f>Financials!P37/('Evolutive SFP'!#REF!+'Evolutive SFP'!#REF!)/2</f>
        <v>#REF!</v>
      </c>
      <c r="R39" s="34" t="e">
        <f>Financials!Q37/('Evolutive SFP'!#REF!+'Evolutive SFP'!#REF!)/2</f>
        <v>#REF!</v>
      </c>
      <c r="S39" s="38" t="e">
        <f>Financials!R37/('Evolutive SFP'!#REF!+'Evolutive SFP'!#REF!)/2</f>
        <v>#REF!</v>
      </c>
      <c r="T39" s="38" t="e">
        <f>Financials!S37/('Evolutive SFP'!#REF!+'Evolutive SFP'!#REF!)/2</f>
        <v>#REF!</v>
      </c>
      <c r="U39" s="38" t="e">
        <f>Financials!T37/('Evolutive SFP'!#REF!+'Evolutive SFP'!#REF!)/2</f>
        <v>#REF!</v>
      </c>
      <c r="V39" s="38" t="e">
        <f>Financials!U37/('Evolutive SFP'!#REF!+'Evolutive SFP'!#REF!)/2</f>
        <v>#REF!</v>
      </c>
      <c r="W39" s="38" t="e">
        <f>Financials!V37/('Evolutive SFP'!#REF!+'Evolutive SFP'!#REF!)/2</f>
        <v>#REF!</v>
      </c>
      <c r="X39" s="38" t="e">
        <f>Financials!W37/('Evolutive SFP'!#REF!+'Evolutive SFP'!#REF!)/2</f>
        <v>#REF!</v>
      </c>
      <c r="Y39" s="38" t="e">
        <f>Financials!X37/('Evolutive SFP'!#REF!+'Evolutive SFP'!#REF!)/2</f>
        <v>#REF!</v>
      </c>
      <c r="Z39" s="38" t="e">
        <f>Financials!Y37/('Evolutive SFP'!#REF!+'Evolutive SFP'!#REF!)/2</f>
        <v>#REF!</v>
      </c>
      <c r="AA39" s="38" t="e">
        <f>Financials!Z37/('Evolutive SFP'!#REF!+'Evolutive SFP'!#REF!)/2</f>
        <v>#REF!</v>
      </c>
      <c r="AB39" s="38" t="e">
        <f>Financials!AA37/('Evolutive SFP'!#REF!+'Evolutive SFP'!#REF!)/2</f>
        <v>#REF!</v>
      </c>
      <c r="AC39" s="38" t="e">
        <f>Financials!AB37/('Evolutive SFP'!#REF!+'Evolutive SFP'!#REF!)/2</f>
        <v>#REF!</v>
      </c>
      <c r="AD39" s="38" t="e">
        <f>Financials!AC37/('Evolutive SFP'!#REF!+'Evolutive SFP'!#REF!)/2</f>
        <v>#REF!</v>
      </c>
      <c r="AE39" s="38" t="e">
        <f>Financials!AD37/('Evolutive SFP'!#REF!+'Evolutive SFP'!#REF!)/2</f>
        <v>#REF!</v>
      </c>
      <c r="AF39" s="38" t="e">
        <f>Financials!AE37/('Evolutive SFP'!#REF!+'Evolutive SFP'!#REF!)/2</f>
        <v>#REF!</v>
      </c>
      <c r="AG39" s="38" t="e">
        <f>Financials!AF37/('Evolutive SFP'!#REF!+'Evolutive SFP'!#REF!)/2</f>
        <v>#REF!</v>
      </c>
      <c r="AH39" s="38" t="e">
        <f>Financials!AG37/('Evolutive SFP'!#REF!+'Evolutive SFP'!#REF!)/2</f>
        <v>#REF!</v>
      </c>
      <c r="AI39" s="38" t="e">
        <f>Financials!AH37/('Evolutive SFP'!#REF!+'Evolutive SFP'!#REF!)/2</f>
        <v>#REF!</v>
      </c>
      <c r="AJ39" s="38" t="e">
        <f>Financials!AI37/('Evolutive SFP'!#REF!+'Evolutive SFP'!#REF!)/2</f>
        <v>#REF!</v>
      </c>
      <c r="AK39" s="38" t="e">
        <f>Financials!AJ37/('Evolutive SFP'!#REF!+'Evolutive SFP'!#REF!)/2</f>
        <v>#REF!</v>
      </c>
      <c r="AL39" s="38" t="e">
        <f>Financials!AK37/('Evolutive SFP'!#REF!+'Evolutive SFP'!#REF!)/2</f>
        <v>#REF!</v>
      </c>
      <c r="AM39" s="38" t="e">
        <f>Financials!AL37/('Evolutive SFP'!#REF!+'Evolutive SFP'!#REF!)/2</f>
        <v>#REF!</v>
      </c>
      <c r="AN39" s="38" t="e">
        <f>Financials!AM37/('Evolutive SFP'!#REF!+'Evolutive SFP'!#REF!)/2</f>
        <v>#REF!</v>
      </c>
      <c r="AO39" s="38" t="e">
        <f>Financials!AN37/('Evolutive SFP'!#REF!+'Evolutive SFP'!#REF!)/2</f>
        <v>#REF!</v>
      </c>
      <c r="AP39" s="38" t="e">
        <f>Financials!AO37/('Evolutive SFP'!#REF!+'Evolutive SFP'!#REF!)/2</f>
        <v>#REF!</v>
      </c>
      <c r="AQ39" s="38" t="e">
        <f>Financials!AP37/('Evolutive SFP'!#REF!+'Evolutive SFP'!#REF!)/2</f>
        <v>#REF!</v>
      </c>
      <c r="AR39" s="38" t="e">
        <f>Financials!AQ37/('Evolutive SFP'!#REF!+'Evolutive SFP'!#REF!)/2</f>
        <v>#REF!</v>
      </c>
      <c r="AS39" s="38" t="e">
        <f>Financials!AR37/('Evolutive SFP'!#REF!+'Evolutive SFP'!#REF!)/2</f>
        <v>#REF!</v>
      </c>
      <c r="AT39" s="38" t="e">
        <f>Financials!AS37/('Evolutive SFP'!BV15+'Evolutive SFP'!#REF!)/2</f>
        <v>#REF!</v>
      </c>
      <c r="AU39" s="38">
        <f>Financials!AT37/('Evolutive SFP'!BW15+'Evolutive SFP'!BV15)/2</f>
        <v>1.5937714183832845E-3</v>
      </c>
      <c r="AV39" s="38">
        <f>Financials!AU37/('Evolutive SFP'!BX15+'Evolutive SFP'!BW15)/2</f>
        <v>4.1446126791178511E-3</v>
      </c>
      <c r="AW39" s="38">
        <f>Financials!AV37/('Evolutive SFP'!BY15+'Evolutive SFP'!BX15)/2</f>
        <v>6.3582889782953919E-3</v>
      </c>
      <c r="AX39" s="38">
        <f>Financials!AW37/('Evolutive SFP'!BZ15+'Evolutive SFP'!BY15)/2</f>
        <v>2.047834098512586E-2</v>
      </c>
      <c r="AY39" s="38">
        <f>Financials!AX37/('Evolutive SFP'!CA15+'Evolutive SFP'!BZ15)/2</f>
        <v>2.4757596666132878E-2</v>
      </c>
      <c r="AZ39" s="38">
        <f>Financials!AY37/('Evolutive SFP'!CB15+'Evolutive SFP'!CA15)/2</f>
        <v>4.1390491311297038E-2</v>
      </c>
      <c r="BA39" s="38" t="e">
        <f>Financials!AZ37/('Evolutive SFP'!#REF!+'Evolutive SFP'!CB15)/2</f>
        <v>#REF!</v>
      </c>
      <c r="BB39" s="38" t="e">
        <f>Financials!BA37/('Evolutive SFP'!CC15+'Evolutive SFP'!#REF!)/2</f>
        <v>#REF!</v>
      </c>
      <c r="BC39" s="38">
        <f>Financials!BB37/('Evolutive SFP'!CD15+'Evolutive SFP'!CC15)/2</f>
        <v>4.8111180354301585E-2</v>
      </c>
      <c r="BD39" s="38">
        <f>Financials!BC37/('Evolutive SFP'!CE15+'Evolutive SFP'!CD15)/2</f>
        <v>4.7895001434215233E-2</v>
      </c>
      <c r="BE39" s="38">
        <f>Financials!BD37/('Evolutive SFP'!CF15+'Evolutive SFP'!CE15)/2</f>
        <v>4.6349404679322428E-2</v>
      </c>
      <c r="BF39" s="38">
        <f>Financials!BE37/('Evolutive SFP'!CG15+'Evolutive SFP'!CF15)/2</f>
        <v>4.6706070984594804E-2</v>
      </c>
      <c r="BG39" s="38">
        <f>Financials!BF37/('Evolutive SFP'!CH15+'Evolutive SFP'!CG15)/2</f>
        <v>4.5901155780212144E-2</v>
      </c>
      <c r="BH39" s="38">
        <f>Financials!BG37/('Evolutive SFP'!CI15+'Evolutive SFP'!CH15)/2</f>
        <v>1.7078978023708071E-3</v>
      </c>
      <c r="BI39" s="38">
        <f>Financials!BH37/('Evolutive SFP'!CJ15+'Evolutive SFP'!CI15)/2</f>
        <v>3.8371937737686486E-3</v>
      </c>
      <c r="BJ39" s="38">
        <f>Financials!BI37/('Evolutive SFP'!CK15+'Evolutive SFP'!CJ15)/2</f>
        <v>6.0100832151710843E-3</v>
      </c>
      <c r="BK39" s="38">
        <f>Financials!BJ37/('Evolutive SFP'!CL15+'Evolutive SFP'!CK15)/2</f>
        <v>1.4262173429436609E-2</v>
      </c>
      <c r="BL39" s="38">
        <f>Financials!BK37/('Evolutive SFP'!CM15+'Evolutive SFP'!CL15)/2</f>
        <v>1.6352578683029743E-2</v>
      </c>
      <c r="BM39" s="38">
        <f>Financials!BL37/('Evolutive SFP'!CN15+'Evolutive SFP'!CM15)/2</f>
        <v>1.7699832891267503E-2</v>
      </c>
      <c r="BN39" s="38">
        <f>Financials!BM37/('Evolutive SFP'!CO15+'Evolutive SFP'!CN15)/2</f>
        <v>1.9677971888882352E-2</v>
      </c>
      <c r="BO39" s="38">
        <f>Financials!BN37/('Evolutive SFP'!CP15+'Evolutive SFP'!CO15)/2</f>
        <v>2.0738919244799221E-2</v>
      </c>
      <c r="BP39" s="38">
        <f>Financials!BO37/('Evolutive SFP'!CQ15+'Evolutive SFP'!CP15)/2</f>
        <v>2.1724524440497779E-2</v>
      </c>
      <c r="BQ39" s="38">
        <f>Financials!BP37/('Evolutive SFP'!CR15+'Evolutive SFP'!CQ15)/2</f>
        <v>4.8317452200972756E-2</v>
      </c>
      <c r="BR39" s="38">
        <f>Financials!BQ37/('Evolutive SFP'!CS15+'Evolutive SFP'!CR15)/2</f>
        <v>5.9901635016555987E-2</v>
      </c>
      <c r="BS39" s="38">
        <f>Financials!BR37/('Evolutive SFP'!CT15+'Evolutive SFP'!CS15)/2</f>
        <v>6.3407822605857422E-2</v>
      </c>
      <c r="BT39" s="38">
        <f>Financials!BS37/('Evolutive SFP'!CU15+'Evolutive SFP'!CT15)/2</f>
        <v>6.4694207581070667E-2</v>
      </c>
      <c r="BU39" s="38">
        <f>Financials!BT37/('Evolutive SFP'!CV15+'Evolutive SFP'!CU15)/2</f>
        <v>5.4987153547778368E-2</v>
      </c>
      <c r="BV39" s="38">
        <f>Financials!BU37/('Evolutive SFP'!CW15+'Evolutive SFP'!CV15)/2</f>
        <v>2.5305785476603276E-3</v>
      </c>
      <c r="BW39" s="38">
        <f>Financials!BV37/('Evolutive SFP'!CX15+'Evolutive SFP'!CW15)/2</f>
        <v>4.7669637142927612E-3</v>
      </c>
      <c r="BX39" s="38">
        <f>Financials!BW37/('Evolutive SFP'!CY15+'Evolutive SFP'!CX15)/2</f>
        <v>7.5119097937403735E-3</v>
      </c>
      <c r="BY39" s="38">
        <f>Financials!BX37/('Evolutive SFP'!CZ15+'Evolutive SFP'!CY15)/2</f>
        <v>1.1039013820165269E-2</v>
      </c>
      <c r="BZ39" s="38">
        <f>Financials!BY37/('Evolutive SFP'!DA15+'Evolutive SFP'!CZ15)/2</f>
        <v>1.4547375717063453E-2</v>
      </c>
      <c r="CA39" s="38">
        <f>Financials!BZ37/('Evolutive SFP'!DB15+'Evolutive SFP'!DA15)/2</f>
        <v>2.3873152729726049E-2</v>
      </c>
      <c r="CB39" s="38">
        <f>Financials!CA37/('Evolutive SFP'!DC15+'Evolutive SFP'!DB15)/2</f>
        <v>4.4277707806118297E-2</v>
      </c>
      <c r="CC39" s="38">
        <f>Financials!CB37/('Evolutive SFP'!DD15+'Evolutive SFP'!DC15)/2</f>
        <v>4.9696360299567019E-2</v>
      </c>
      <c r="CD39" s="38">
        <f>Financials!CC37/('Evolutive SFP'!DE15+'Evolutive SFP'!DD15)/2</f>
        <v>4.794161257145118E-2</v>
      </c>
    </row>
    <row r="40" spans="1:82" ht="15">
      <c r="A40" s="4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</row>
    <row r="41" spans="1:82" ht="15">
      <c r="A41" s="45" t="s">
        <v>249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7"/>
      <c r="CA41" s="47"/>
      <c r="CB41" s="47"/>
      <c r="CC41" s="47"/>
      <c r="CD41" s="47"/>
    </row>
    <row r="42" spans="1:82" ht="15"/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  <ignoredErrors>
    <ignoredError sqref="AS20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C47"/>
  <sheetViews>
    <sheetView zoomScale="79" zoomScaleNormal="79" workbookViewId="0">
      <pane xSplit="2" ySplit="2" topLeftCell="CA3" activePane="bottomRight" state="frozen"/>
      <selection pane="bottomRight" activeCell="CB4" sqref="CB4:CC47"/>
      <selection pane="bottomLeft" activeCell="A3" sqref="A3"/>
      <selection pane="topRight" activeCell="C1" sqref="C1"/>
    </sheetView>
  </sheetViews>
  <sheetFormatPr defaultRowHeight="14.45"/>
  <cols>
    <col min="1" max="1" width="5.5703125" bestFit="1" customWidth="1"/>
    <col min="2" max="2" width="37.5703125" bestFit="1" customWidth="1"/>
    <col min="3" max="18" width="16.85546875" hidden="1" customWidth="1"/>
    <col min="19" max="19" width="16.85546875" bestFit="1" customWidth="1"/>
    <col min="20" max="25" width="16.85546875" hidden="1" customWidth="1"/>
    <col min="26" max="26" width="15.28515625" hidden="1" customWidth="1"/>
    <col min="27" max="31" width="16.85546875" hidden="1" customWidth="1"/>
    <col min="32" max="32" width="16.85546875" bestFit="1" customWidth="1"/>
    <col min="33" max="44" width="15" hidden="1" customWidth="1"/>
    <col min="45" max="45" width="14.7109375" customWidth="1"/>
    <col min="46" max="57" width="15" hidden="1" customWidth="1"/>
    <col min="58" max="58" width="15" bestFit="1" customWidth="1"/>
    <col min="59" max="59" width="13.42578125" hidden="1" customWidth="1"/>
    <col min="60" max="60" width="0" hidden="1" customWidth="1"/>
    <col min="61" max="70" width="14.28515625" hidden="1" customWidth="1"/>
    <col min="71" max="73" width="14.28515625" customWidth="1"/>
    <col min="74" max="74" width="13.140625" customWidth="1"/>
    <col min="75" max="75" width="12.5703125" customWidth="1"/>
    <col min="76" max="76" width="12.85546875" customWidth="1"/>
    <col min="77" max="78" width="13" bestFit="1" customWidth="1"/>
    <col min="79" max="79" width="14.28515625" customWidth="1"/>
    <col min="80" max="80" width="15.5703125" customWidth="1"/>
    <col min="81" max="81" width="16.28515625" customWidth="1"/>
  </cols>
  <sheetData>
    <row r="1" spans="1:81">
      <c r="A1" s="16"/>
      <c r="B1" s="48" t="s">
        <v>250</v>
      </c>
    </row>
    <row r="2" spans="1:81" ht="30" customHeight="1">
      <c r="A2" s="16"/>
      <c r="B2" s="17" t="s">
        <v>251</v>
      </c>
      <c r="C2" s="49" t="s">
        <v>193</v>
      </c>
      <c r="D2" s="50" t="s">
        <v>194</v>
      </c>
      <c r="E2" s="49" t="s">
        <v>195</v>
      </c>
      <c r="F2" s="49" t="s">
        <v>196</v>
      </c>
      <c r="G2" s="51">
        <v>42736</v>
      </c>
      <c r="H2" s="51">
        <v>42767</v>
      </c>
      <c r="I2" s="51">
        <v>42795</v>
      </c>
      <c r="J2" s="51">
        <v>42826</v>
      </c>
      <c r="K2" s="51">
        <v>42856</v>
      </c>
      <c r="L2" s="51">
        <v>42887</v>
      </c>
      <c r="M2" s="51">
        <v>42917</v>
      </c>
      <c r="N2" s="51">
        <v>42948</v>
      </c>
      <c r="O2" s="51">
        <v>42979</v>
      </c>
      <c r="P2" s="51">
        <v>43009</v>
      </c>
      <c r="Q2" s="51">
        <v>43040</v>
      </c>
      <c r="R2" s="51">
        <v>43070</v>
      </c>
      <c r="S2" s="51" t="s">
        <v>188</v>
      </c>
      <c r="T2" s="51">
        <v>43101</v>
      </c>
      <c r="U2" s="51">
        <v>43132</v>
      </c>
      <c r="V2" s="51">
        <v>43160</v>
      </c>
      <c r="W2" s="51">
        <v>43191</v>
      </c>
      <c r="X2" s="51">
        <v>43221</v>
      </c>
      <c r="Y2" s="51">
        <v>43252</v>
      </c>
      <c r="Z2" s="51">
        <v>43282</v>
      </c>
      <c r="AA2" s="51">
        <v>43313</v>
      </c>
      <c r="AB2" s="51">
        <v>43344</v>
      </c>
      <c r="AC2" s="51">
        <v>43374</v>
      </c>
      <c r="AD2" s="51">
        <v>43405</v>
      </c>
      <c r="AE2" s="51">
        <v>43435</v>
      </c>
      <c r="AF2" s="51" t="s">
        <v>74</v>
      </c>
      <c r="AG2" s="51">
        <v>43466</v>
      </c>
      <c r="AH2" s="51">
        <v>43497</v>
      </c>
      <c r="AI2" s="51">
        <v>43525</v>
      </c>
      <c r="AJ2" s="51">
        <v>43556</v>
      </c>
      <c r="AK2" s="51">
        <v>43586</v>
      </c>
      <c r="AL2" s="51">
        <v>43617</v>
      </c>
      <c r="AM2" s="51">
        <v>43647</v>
      </c>
      <c r="AN2" s="51">
        <v>43678</v>
      </c>
      <c r="AO2" s="51">
        <v>43709</v>
      </c>
      <c r="AP2" s="51">
        <v>43739</v>
      </c>
      <c r="AQ2" s="51">
        <v>43770</v>
      </c>
      <c r="AR2" s="51">
        <v>43800</v>
      </c>
      <c r="AS2" s="51" t="s">
        <v>75</v>
      </c>
      <c r="AT2" s="51">
        <v>43831</v>
      </c>
      <c r="AU2" s="51">
        <v>43862</v>
      </c>
      <c r="AV2" s="51">
        <v>43891</v>
      </c>
      <c r="AW2" s="51">
        <v>43922</v>
      </c>
      <c r="AX2" s="51">
        <v>43952</v>
      </c>
      <c r="AY2" s="51">
        <v>43983</v>
      </c>
      <c r="AZ2" s="51">
        <v>44013</v>
      </c>
      <c r="BA2" s="51">
        <v>44044</v>
      </c>
      <c r="BB2" s="51">
        <v>44075</v>
      </c>
      <c r="BC2" s="51">
        <v>44105</v>
      </c>
      <c r="BD2" s="51">
        <v>44136</v>
      </c>
      <c r="BE2" s="51">
        <v>44166</v>
      </c>
      <c r="BF2" s="51" t="s">
        <v>13</v>
      </c>
      <c r="BG2" s="51">
        <v>44197</v>
      </c>
      <c r="BH2" s="51">
        <v>44228</v>
      </c>
      <c r="BI2" s="51">
        <v>44256</v>
      </c>
      <c r="BJ2" s="51">
        <v>44287</v>
      </c>
      <c r="BK2" s="51">
        <v>44317</v>
      </c>
      <c r="BL2" s="51">
        <v>44348</v>
      </c>
      <c r="BM2" s="51">
        <v>44378</v>
      </c>
      <c r="BN2" s="51">
        <v>44409</v>
      </c>
      <c r="BO2" s="51">
        <v>44440</v>
      </c>
      <c r="BP2" s="51">
        <v>44470</v>
      </c>
      <c r="BQ2" s="51">
        <v>44501</v>
      </c>
      <c r="BR2" s="51">
        <v>44531</v>
      </c>
      <c r="BS2" s="51" t="s">
        <v>14</v>
      </c>
      <c r="BT2" s="392" t="s">
        <v>15</v>
      </c>
      <c r="BU2" s="388">
        <v>44927</v>
      </c>
      <c r="BV2" s="388">
        <v>44958</v>
      </c>
      <c r="BW2" s="388">
        <v>44986</v>
      </c>
      <c r="BX2" s="388">
        <v>45017</v>
      </c>
      <c r="BY2" s="388">
        <v>45047</v>
      </c>
      <c r="BZ2" s="388">
        <v>45078</v>
      </c>
      <c r="CA2" s="388">
        <v>45108</v>
      </c>
      <c r="CB2" s="388">
        <v>45139</v>
      </c>
      <c r="CC2" s="388">
        <v>45170</v>
      </c>
    </row>
    <row r="3" spans="1:81">
      <c r="A3" s="18">
        <v>1</v>
      </c>
      <c r="B3" s="18" t="s">
        <v>239</v>
      </c>
      <c r="C3" s="2"/>
      <c r="D3" s="55">
        <v>39898</v>
      </c>
      <c r="E3" s="55">
        <v>55854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81">
      <c r="A4" s="18">
        <v>2</v>
      </c>
      <c r="B4" s="18" t="s">
        <v>39</v>
      </c>
      <c r="C4" s="52" t="e">
        <f>'Evolutive SFP'!#REF!</f>
        <v>#REF!</v>
      </c>
      <c r="D4" s="52" t="e">
        <f>'Evolutive SFP'!#REF!</f>
        <v>#REF!</v>
      </c>
      <c r="E4" s="52" t="e">
        <f>'Evolutive SFP'!#REF!</f>
        <v>#REF!</v>
      </c>
      <c r="F4" s="52" t="e">
        <f>'Evolutive SFP'!#REF!</f>
        <v>#REF!</v>
      </c>
      <c r="G4" s="52" t="e">
        <f>'Evolutive SFP'!#REF!</f>
        <v>#REF!</v>
      </c>
      <c r="H4" s="52" t="e">
        <f>'Evolutive SFP'!#REF!</f>
        <v>#REF!</v>
      </c>
      <c r="I4" s="52" t="e">
        <f>'Evolutive SFP'!#REF!</f>
        <v>#REF!</v>
      </c>
      <c r="J4" s="52" t="e">
        <f>'Evolutive SFP'!#REF!</f>
        <v>#REF!</v>
      </c>
      <c r="K4" s="52" t="e">
        <f>'Evolutive SFP'!#REF!</f>
        <v>#REF!</v>
      </c>
      <c r="L4" s="52" t="e">
        <f>'Evolutive SFP'!#REF!</f>
        <v>#REF!</v>
      </c>
      <c r="M4" s="52" t="e">
        <f>'Evolutive SFP'!#REF!</f>
        <v>#REF!</v>
      </c>
      <c r="N4" s="52" t="e">
        <f>'Evolutive SFP'!#REF!</f>
        <v>#REF!</v>
      </c>
      <c r="O4" s="52" t="e">
        <f>'Evolutive SFP'!#REF!</f>
        <v>#REF!</v>
      </c>
      <c r="P4" s="52" t="e">
        <f>'Evolutive SFP'!#REF!</f>
        <v>#REF!</v>
      </c>
      <c r="Q4" s="52" t="e">
        <f>'Evolutive SFP'!#REF!</f>
        <v>#REF!</v>
      </c>
      <c r="R4" s="52" t="e">
        <f>'Evolutive SFP'!#REF!</f>
        <v>#REF!</v>
      </c>
      <c r="S4" s="52">
        <f>'Evolutive SFP'!AV27</f>
        <v>338132752</v>
      </c>
      <c r="T4" s="52">
        <f>'Evolutive SFP'!AW27</f>
        <v>339737915.71999997</v>
      </c>
      <c r="U4" s="52">
        <f>'Evolutive SFP'!AX27</f>
        <v>338449640.84999996</v>
      </c>
      <c r="V4" s="52">
        <f>'Evolutive SFP'!AY27</f>
        <v>337970073.66999996</v>
      </c>
      <c r="W4" s="52">
        <f>'Evolutive SFP'!AZ27</f>
        <v>340436236.01999998</v>
      </c>
      <c r="X4" s="52">
        <f>'Evolutive SFP'!BA27</f>
        <v>425970759.18000001</v>
      </c>
      <c r="Y4" s="52">
        <f>'Evolutive SFP'!BB27</f>
        <v>399199212.42000002</v>
      </c>
      <c r="Z4" s="52">
        <f>'Evolutive SFP'!BC27</f>
        <v>401247518.43000001</v>
      </c>
      <c r="AA4" s="52">
        <f>'Evolutive SFP'!BD27</f>
        <v>397168500.57000005</v>
      </c>
      <c r="AB4" s="52">
        <f>'Evolutive SFP'!BE27</f>
        <v>388179342.89000005</v>
      </c>
      <c r="AC4" s="52">
        <f>'Evolutive SFP'!BF27</f>
        <v>386323899.92250001</v>
      </c>
      <c r="AD4" s="52">
        <f>'Evolutive SFP'!BG27</f>
        <v>378960263.25999999</v>
      </c>
      <c r="AE4" s="52">
        <f>'Evolutive SFP'!BH27</f>
        <v>369440675.10000002</v>
      </c>
      <c r="AF4" s="52">
        <f>'Evolutive SFP'!BI27</f>
        <v>369440675.65999997</v>
      </c>
      <c r="AG4" s="52">
        <f>'Evolutive SFP'!BJ27</f>
        <v>365793008.63999999</v>
      </c>
      <c r="AH4" s="52">
        <f>'Evolutive SFP'!BK27</f>
        <v>364326278.42999995</v>
      </c>
      <c r="AI4" s="52">
        <f>'Evolutive SFP'!BL27</f>
        <v>364446923.92000002</v>
      </c>
      <c r="AJ4" s="52">
        <f>'Evolutive SFP'!BM27</f>
        <v>360003737.04000002</v>
      </c>
      <c r="AK4" s="52">
        <f>'Evolutive SFP'!BN27</f>
        <v>357154121.93000001</v>
      </c>
      <c r="AL4" s="52">
        <f>'Evolutive SFP'!BO27</f>
        <v>365355293.00999999</v>
      </c>
      <c r="AM4" s="52">
        <f>'Evolutive SFP'!BP27</f>
        <v>505544534.41000009</v>
      </c>
      <c r="AN4" s="52">
        <f>'Evolutive SFP'!BQ27</f>
        <v>495550095.51999998</v>
      </c>
      <c r="AO4" s="52">
        <f>'Evolutive SFP'!BR27</f>
        <v>463500135.73000002</v>
      </c>
      <c r="AP4" s="52">
        <f>'Evolutive SFP'!BS27</f>
        <v>450857351.33999997</v>
      </c>
      <c r="AQ4" s="52">
        <f>'Evolutive SFP'!BT27</f>
        <v>426832057.13999999</v>
      </c>
      <c r="AR4" s="52">
        <f>'Evolutive SFP'!BU27</f>
        <v>417511208.31999999</v>
      </c>
      <c r="AS4" s="52">
        <f>'Evolutive SFP'!BV27</f>
        <v>417511209.37</v>
      </c>
      <c r="AT4" s="52">
        <f>'Evolutive SFP'!BW27</f>
        <v>407808700.54999995</v>
      </c>
      <c r="AU4" s="52">
        <f>'Evolutive SFP'!BX27</f>
        <v>405320689.63999999</v>
      </c>
      <c r="AV4" s="52">
        <f>'Evolutive SFP'!BY27</f>
        <v>400442847.74000001</v>
      </c>
      <c r="AW4" s="52">
        <f>'Evolutive SFP'!BZ27</f>
        <v>454413881.81</v>
      </c>
      <c r="AX4" s="52">
        <f>'Evolutive SFP'!CA27</f>
        <v>430762451.88</v>
      </c>
      <c r="AY4" s="52">
        <f>'Evolutive SFP'!CB27</f>
        <v>530750951.75999999</v>
      </c>
      <c r="AZ4" s="52" t="e">
        <f>'Evolutive SFP'!#REF!</f>
        <v>#REF!</v>
      </c>
      <c r="BA4" s="52">
        <f>'Evolutive SFP'!CC27</f>
        <v>486439218.37</v>
      </c>
      <c r="BB4" s="52">
        <f>'Evolutive SFP'!CD27</f>
        <v>657996083.78999996</v>
      </c>
      <c r="BC4" s="52">
        <f>'Evolutive SFP'!CE27</f>
        <v>565139326.95999992</v>
      </c>
      <c r="BD4" s="52">
        <f>'Evolutive SFP'!CF27</f>
        <v>512016646.03999996</v>
      </c>
      <c r="BE4" s="52">
        <f>'Evolutive SFP'!CG27</f>
        <v>486605143.40000004</v>
      </c>
      <c r="BF4" s="52">
        <f>'Evolutive SFP'!CH27</f>
        <v>486605145</v>
      </c>
      <c r="BG4" s="52">
        <f>'Evolutive SFP'!CI27</f>
        <v>470825766.88999999</v>
      </c>
      <c r="BH4" s="52">
        <f>'Evolutive SFP'!CJ27</f>
        <v>463003378.99999994</v>
      </c>
      <c r="BI4" s="52">
        <f>'Evolutive SFP'!CK27</f>
        <v>462884371.98000002</v>
      </c>
      <c r="BJ4" s="52">
        <f>'Evolutive SFP'!CL27</f>
        <v>469490658.63</v>
      </c>
      <c r="BK4" s="52">
        <f>'Evolutive SFP'!CM27</f>
        <v>460816518.13000005</v>
      </c>
      <c r="BL4" s="52">
        <f>'Evolutive SFP'!CN27</f>
        <v>455023708.56999999</v>
      </c>
      <c r="BM4" s="52">
        <f>'Evolutive SFP'!CO27</f>
        <v>449681332.50999993</v>
      </c>
      <c r="BN4" s="52">
        <f>'Evolutive SFP'!CP27</f>
        <v>438858290.24000001</v>
      </c>
      <c r="BO4" s="52">
        <f>'Evolutive SFP'!CQ27</f>
        <v>601317454.61000001</v>
      </c>
      <c r="BP4" s="52">
        <f>'Evolutive SFP'!CR27</f>
        <v>614286654.26999998</v>
      </c>
      <c r="BQ4" s="52">
        <f>'Evolutive SFP'!CS27</f>
        <v>560687555.95000005</v>
      </c>
      <c r="BR4" s="52">
        <f>'Evolutive SFP'!CT27</f>
        <v>554265773.73000002</v>
      </c>
      <c r="BS4" s="52">
        <f>'Evolutive SFP'!CU27</f>
        <v>554265775</v>
      </c>
      <c r="BT4" s="52">
        <f>'Evolutive SFP'!CV27</f>
        <v>624939624</v>
      </c>
      <c r="BU4" s="52">
        <f>'Evolutive SFP'!CW27</f>
        <v>615739650.32000005</v>
      </c>
      <c r="BV4" s="52">
        <f>'Evolutive SFP'!CX27</f>
        <v>612634377.93000007</v>
      </c>
      <c r="BW4" s="52">
        <f>'Evolutive SFP'!CY27</f>
        <v>617168614.19000006</v>
      </c>
      <c r="BX4" s="52">
        <f>'Evolutive SFP'!CZ27</f>
        <v>612606660.37</v>
      </c>
      <c r="BY4" s="52">
        <f>'Evolutive SFP'!DA27</f>
        <v>601487496.35000014</v>
      </c>
      <c r="BZ4" s="52">
        <f>'Evolutive SFP'!DB27</f>
        <v>620193308.83999991</v>
      </c>
      <c r="CA4" s="52">
        <f>'Evolutive SFP'!DC27</f>
        <v>725346748.6400001</v>
      </c>
      <c r="CB4" s="52">
        <f>'Evolutive SFP'!DD27</f>
        <v>698741422.64999998</v>
      </c>
      <c r="CC4" s="52">
        <f>'Evolutive SFP'!DE27</f>
        <v>682981753.97000003</v>
      </c>
    </row>
    <row r="5" spans="1:81">
      <c r="A5" s="18">
        <v>3</v>
      </c>
      <c r="B5" s="18" t="s">
        <v>155</v>
      </c>
      <c r="C5" s="52" t="e">
        <f>'Evolutive SFP'!#REF!</f>
        <v>#REF!</v>
      </c>
      <c r="D5" s="52" t="e">
        <f>'Evolutive SFP'!#REF!</f>
        <v>#REF!</v>
      </c>
      <c r="E5" s="52" t="e">
        <f>'Evolutive SFP'!#REF!</f>
        <v>#REF!</v>
      </c>
      <c r="F5" s="52" t="e">
        <f>'Evolutive SFP'!#REF!</f>
        <v>#REF!</v>
      </c>
      <c r="G5" s="52" t="e">
        <f>'Evolutive SFP'!#REF!</f>
        <v>#REF!</v>
      </c>
      <c r="H5" s="52" t="e">
        <f>'Evolutive SFP'!#REF!</f>
        <v>#REF!</v>
      </c>
      <c r="I5" s="52" t="e">
        <f>'Evolutive SFP'!#REF!</f>
        <v>#REF!</v>
      </c>
      <c r="J5" s="52" t="e">
        <f>'Evolutive SFP'!#REF!</f>
        <v>#REF!</v>
      </c>
      <c r="K5" s="52" t="e">
        <f>'Evolutive SFP'!#REF!</f>
        <v>#REF!</v>
      </c>
      <c r="L5" s="52" t="e">
        <f>'Evolutive SFP'!#REF!</f>
        <v>#REF!</v>
      </c>
      <c r="M5" s="52" t="e">
        <f>'Evolutive SFP'!#REF!</f>
        <v>#REF!</v>
      </c>
      <c r="N5" s="52" t="e">
        <f>'Evolutive SFP'!#REF!</f>
        <v>#REF!</v>
      </c>
      <c r="O5" s="52" t="e">
        <f>'Evolutive SFP'!#REF!</f>
        <v>#REF!</v>
      </c>
      <c r="P5" s="52" t="e">
        <f>'Evolutive SFP'!#REF!</f>
        <v>#REF!</v>
      </c>
      <c r="Q5" s="52" t="e">
        <f>'Evolutive SFP'!#REF!</f>
        <v>#REF!</v>
      </c>
      <c r="R5" s="52" t="e">
        <f>'Evolutive SFP'!#REF!</f>
        <v>#REF!</v>
      </c>
      <c r="S5" s="52">
        <f>'Evolutive SFP'!AV31</f>
        <v>141371064</v>
      </c>
      <c r="T5" s="52">
        <f>'Evolutive SFP'!AW31</f>
        <v>138254576.72</v>
      </c>
      <c r="U5" s="52">
        <f>'Evolutive SFP'!AX31</f>
        <v>135422278.89000002</v>
      </c>
      <c r="V5" s="52">
        <f>'Evolutive SFP'!AY31</f>
        <v>134920794.72</v>
      </c>
      <c r="W5" s="52">
        <f>'Evolutive SFP'!AZ31</f>
        <v>139098797.95999998</v>
      </c>
      <c r="X5" s="52">
        <f>'Evolutive SFP'!BA31</f>
        <v>216603630.94</v>
      </c>
      <c r="Y5" s="52">
        <f>'Evolutive SFP'!BB31</f>
        <v>191849819.78000003</v>
      </c>
      <c r="Z5" s="52">
        <f>'Evolutive SFP'!BC31</f>
        <v>188834731.81999999</v>
      </c>
      <c r="AA5" s="52">
        <f>'Evolutive SFP'!BD31</f>
        <v>185320715.24000001</v>
      </c>
      <c r="AB5" s="52">
        <f>'Evolutive SFP'!BE31</f>
        <v>181270023.62</v>
      </c>
      <c r="AC5" s="52">
        <f>'Evolutive SFP'!BF31</f>
        <v>178287333.74000001</v>
      </c>
      <c r="AD5" s="52">
        <f>'Evolutive SFP'!BG31</f>
        <v>169873932.83000001</v>
      </c>
      <c r="AE5" s="52">
        <f>'Evolutive SFP'!BH31</f>
        <v>159029118.86000001</v>
      </c>
      <c r="AF5" s="52">
        <f>'Evolutive SFP'!BI31</f>
        <v>159029119</v>
      </c>
      <c r="AG5" s="52">
        <f>'Evolutive SFP'!BJ31</f>
        <v>155659024.74000001</v>
      </c>
      <c r="AH5" s="52">
        <f>'Evolutive SFP'!BK31</f>
        <v>157025596.92000002</v>
      </c>
      <c r="AI5" s="52">
        <f>'Evolutive SFP'!BL31</f>
        <v>155571445.78</v>
      </c>
      <c r="AJ5" s="52">
        <f>'Evolutive SFP'!BM31</f>
        <v>152138955.87</v>
      </c>
      <c r="AK5" s="52">
        <f>'Evolutive SFP'!BN31</f>
        <v>152080913.61000001</v>
      </c>
      <c r="AL5" s="52">
        <f>'Evolutive SFP'!BO31</f>
        <v>157843718.41999999</v>
      </c>
      <c r="AM5" s="52">
        <f>'Evolutive SFP'!BP31</f>
        <v>277458233.11000001</v>
      </c>
      <c r="AN5" s="52">
        <f>'Evolutive SFP'!BQ31</f>
        <v>267680945.44999999</v>
      </c>
      <c r="AO5" s="52">
        <f>'Evolutive SFP'!BR31</f>
        <v>235225500.49000001</v>
      </c>
      <c r="AP5" s="52">
        <f>'Evolutive SFP'!BS31</f>
        <v>225481654.88999999</v>
      </c>
      <c r="AQ5" s="52">
        <f>'Evolutive SFP'!BT31</f>
        <v>205969390.71000001</v>
      </c>
      <c r="AR5" s="52">
        <f>'Evolutive SFP'!BU31</f>
        <v>186558455.06</v>
      </c>
      <c r="AS5" s="52">
        <f>'Evolutive SFP'!BV31</f>
        <v>186558455</v>
      </c>
      <c r="AT5" s="52">
        <f>'Evolutive SFP'!BW31</f>
        <v>178489057.45999998</v>
      </c>
      <c r="AU5" s="52">
        <f>'Evolutive SFP'!BX31</f>
        <v>181197183.44</v>
      </c>
      <c r="AV5" s="52">
        <f>'Evolutive SFP'!BY31</f>
        <v>178428422.34</v>
      </c>
      <c r="AW5" s="52">
        <f>'Evolutive SFP'!BZ31</f>
        <v>226339321.55000001</v>
      </c>
      <c r="AX5" s="52">
        <f>'Evolutive SFP'!CA31</f>
        <v>209400309.49000001</v>
      </c>
      <c r="AY5" s="52">
        <f>'Evolutive SFP'!CB31</f>
        <v>294117189.44</v>
      </c>
      <c r="AZ5" s="52" t="e">
        <f>'Evolutive SFP'!#REF!</f>
        <v>#REF!</v>
      </c>
      <c r="BA5" s="52">
        <f>'Evolutive SFP'!CC31</f>
        <v>249414356.53999999</v>
      </c>
      <c r="BB5" s="52">
        <f>'Evolutive SFP'!CD31</f>
        <v>384466047.98000002</v>
      </c>
      <c r="BC5" s="52">
        <f>'Evolutive SFP'!CE31</f>
        <v>318983139.63</v>
      </c>
      <c r="BD5" s="52">
        <f>'Evolutive SFP'!CF31</f>
        <v>271660154.06</v>
      </c>
      <c r="BE5" s="52">
        <f>'Evolutive SFP'!CG31</f>
        <v>247191634.31</v>
      </c>
      <c r="BF5" s="52">
        <f>'Evolutive SFP'!CH31</f>
        <v>247191633</v>
      </c>
      <c r="BG5" s="52">
        <f>'Evolutive SFP'!CI31</f>
        <v>233867125.84</v>
      </c>
      <c r="BH5" s="52">
        <f>'Evolutive SFP'!CJ31</f>
        <v>229228660.63</v>
      </c>
      <c r="BI5" s="52">
        <f>'Evolutive SFP'!CK31</f>
        <v>230116966.36000001</v>
      </c>
      <c r="BJ5" s="52">
        <f>'Evolutive SFP'!CL31</f>
        <v>236847363.09</v>
      </c>
      <c r="BK5" s="52">
        <f>'Evolutive SFP'!CM31</f>
        <v>234138774.80000001</v>
      </c>
      <c r="BL5" s="52">
        <f>'Evolutive SFP'!CN31</f>
        <v>232778004.69</v>
      </c>
      <c r="BM5" s="52">
        <f>'Evolutive SFP'!CO31</f>
        <v>230857180.53000003</v>
      </c>
      <c r="BN5" s="52">
        <f>'Evolutive SFP'!CP31</f>
        <v>228205001.97999999</v>
      </c>
      <c r="BO5" s="52">
        <f>'Evolutive SFP'!CQ31</f>
        <v>311285423.22000003</v>
      </c>
      <c r="BP5" s="52">
        <f>'Evolutive SFP'!CR31</f>
        <v>366763590.87</v>
      </c>
      <c r="BQ5" s="52">
        <f>'Evolutive SFP'!CS31</f>
        <v>312068067.38</v>
      </c>
      <c r="BR5" s="52">
        <f>'Evolutive SFP'!CT31</f>
        <v>290292510.34000003</v>
      </c>
      <c r="BS5" s="52">
        <f>'Evolutive SFP'!CU31</f>
        <v>290292510</v>
      </c>
      <c r="BT5" s="52">
        <f>'Evolutive SFP'!CV31</f>
        <v>305173272</v>
      </c>
      <c r="BU5" s="52">
        <f>'Evolutive SFP'!CW31</f>
        <v>297119745.06</v>
      </c>
      <c r="BV5" s="52">
        <f>'Evolutive SFP'!CX31</f>
        <v>296762318.65999997</v>
      </c>
      <c r="BW5" s="52">
        <f>'Evolutive SFP'!CY31</f>
        <v>301505130.41000003</v>
      </c>
      <c r="BX5" s="52">
        <f>'Evolutive SFP'!CZ31</f>
        <v>307080296.39999998</v>
      </c>
      <c r="BY5" s="52">
        <f>'Evolutive SFP'!DA31</f>
        <v>305160658.08000004</v>
      </c>
      <c r="BZ5" s="52">
        <f>'Evolutive SFP'!DB31</f>
        <v>312536734.37</v>
      </c>
      <c r="CA5" s="52">
        <f>'Evolutive SFP'!DC31</f>
        <v>379428746.89999998</v>
      </c>
      <c r="CB5" s="52">
        <f>'Evolutive SFP'!DD31</f>
        <v>350422244.53999996</v>
      </c>
      <c r="CC5" s="52">
        <f>'Evolutive SFP'!DE31</f>
        <v>341518080.95999998</v>
      </c>
    </row>
    <row r="6" spans="1:81">
      <c r="A6" s="18">
        <v>3.1</v>
      </c>
      <c r="B6" s="19" t="s">
        <v>252</v>
      </c>
      <c r="C6" s="52" t="e">
        <f>'Evolutive SFP'!#REF!</f>
        <v>#REF!</v>
      </c>
      <c r="D6" s="52" t="e">
        <f>'Evolutive SFP'!#REF!</f>
        <v>#REF!</v>
      </c>
      <c r="E6" s="52" t="e">
        <f>'Evolutive SFP'!#REF!</f>
        <v>#REF!</v>
      </c>
      <c r="F6" s="52" t="e">
        <f>'Evolutive SFP'!#REF!</f>
        <v>#REF!</v>
      </c>
      <c r="G6" s="52" t="e">
        <f>'Evolutive SFP'!#REF!</f>
        <v>#REF!</v>
      </c>
      <c r="H6" s="52" t="e">
        <f>'Evolutive SFP'!#REF!</f>
        <v>#REF!</v>
      </c>
      <c r="I6" s="52" t="e">
        <f>'Evolutive SFP'!#REF!</f>
        <v>#REF!</v>
      </c>
      <c r="J6" s="52" t="e">
        <f>'Evolutive SFP'!#REF!</f>
        <v>#REF!</v>
      </c>
      <c r="K6" s="52" t="e">
        <f>'Evolutive SFP'!#REF!</f>
        <v>#REF!</v>
      </c>
      <c r="L6" s="52" t="e">
        <f>'Evolutive SFP'!#REF!</f>
        <v>#REF!</v>
      </c>
      <c r="M6" s="52" t="e">
        <f>'Evolutive SFP'!#REF!</f>
        <v>#REF!</v>
      </c>
      <c r="N6" s="52" t="e">
        <f>'Evolutive SFP'!#REF!</f>
        <v>#REF!</v>
      </c>
      <c r="O6" s="52" t="e">
        <f>'Evolutive SFP'!#REF!</f>
        <v>#REF!</v>
      </c>
      <c r="P6" s="52" t="e">
        <f>'Evolutive SFP'!#REF!</f>
        <v>#REF!</v>
      </c>
      <c r="Q6" s="52" t="e">
        <f>'Evolutive SFP'!#REF!</f>
        <v>#REF!</v>
      </c>
      <c r="R6" s="52" t="e">
        <f>'Evolutive SFP'!#REF!</f>
        <v>#REF!</v>
      </c>
      <c r="S6" s="52">
        <f>'Evolutive SFP'!AV30</f>
        <v>94380497</v>
      </c>
      <c r="T6" s="52">
        <f>'Evolutive SFP'!AW30</f>
        <v>94864059.319999993</v>
      </c>
      <c r="U6" s="52">
        <f>'Evolutive SFP'!AX30</f>
        <v>95534037.040000007</v>
      </c>
      <c r="V6" s="52">
        <f>'Evolutive SFP'!AY30</f>
        <v>96189607.989999995</v>
      </c>
      <c r="W6" s="52">
        <f>'Evolutive SFP'!AZ30</f>
        <v>96483421.069999993</v>
      </c>
      <c r="X6" s="52">
        <f>'Evolutive SFP'!BA30</f>
        <v>100079962.87</v>
      </c>
      <c r="Y6" s="52">
        <f>'Evolutive SFP'!BB30</f>
        <v>101895607.53</v>
      </c>
      <c r="Z6" s="52">
        <f>'Evolutive SFP'!BC30</f>
        <v>106061157.31</v>
      </c>
      <c r="AA6" s="52">
        <f>'Evolutive SFP'!BD30</f>
        <v>107028181.68000001</v>
      </c>
      <c r="AB6" s="52">
        <f>'Evolutive SFP'!BE30</f>
        <v>106865290.95999999</v>
      </c>
      <c r="AC6" s="52">
        <f>'Evolutive SFP'!BF30</f>
        <v>103212546.86</v>
      </c>
      <c r="AD6" s="52">
        <f>'Evolutive SFP'!BG30</f>
        <v>103385531.87</v>
      </c>
      <c r="AE6" s="52">
        <f>'Evolutive SFP'!BH30</f>
        <v>99022261.170000002</v>
      </c>
      <c r="AF6" s="52">
        <f>'Evolutive SFP'!BI30</f>
        <v>99022261</v>
      </c>
      <c r="AG6" s="52">
        <f>'Evolutive SFP'!BJ30</f>
        <v>99345352.519999996</v>
      </c>
      <c r="AH6" s="52">
        <f>'Evolutive SFP'!BK30</f>
        <v>99471041.840000004</v>
      </c>
      <c r="AI6" s="52">
        <f>'Evolutive SFP'!BL30</f>
        <v>100738301.68000001</v>
      </c>
      <c r="AJ6" s="52">
        <f>'Evolutive SFP'!BM30</f>
        <v>101225154.95</v>
      </c>
      <c r="AK6" s="52">
        <f>'Evolutive SFP'!BN30</f>
        <v>101827212</v>
      </c>
      <c r="AL6" s="52">
        <f>'Evolutive SFP'!BO30</f>
        <v>102782965.48</v>
      </c>
      <c r="AM6" s="52">
        <f>'Evolutive SFP'!BP30</f>
        <v>108545514.20999999</v>
      </c>
      <c r="AN6" s="52">
        <f>'Evolutive SFP'!BQ30</f>
        <v>112994352.75</v>
      </c>
      <c r="AO6" s="52">
        <f>'Evolutive SFP'!BR30</f>
        <v>115844626.19</v>
      </c>
      <c r="AP6" s="52">
        <f>'Evolutive SFP'!BS30</f>
        <v>117215583.25</v>
      </c>
      <c r="AQ6" s="52">
        <f>'Evolutive SFP'!BT30</f>
        <v>118435417.98</v>
      </c>
      <c r="AR6" s="52">
        <f>'Evolutive SFP'!BU30</f>
        <v>109252459.27</v>
      </c>
      <c r="AS6" s="52">
        <f>'Evolutive SFP'!BV30</f>
        <v>0</v>
      </c>
      <c r="AT6" s="52">
        <f>'Evolutive SFP'!BW30</f>
        <v>108831292.14</v>
      </c>
      <c r="AU6" s="52">
        <f>'Evolutive SFP'!BX30</f>
        <v>109177687.27</v>
      </c>
      <c r="AV6" s="52">
        <f>'Evolutive SFP'!BY30</f>
        <v>108342477.5</v>
      </c>
      <c r="AW6" s="52">
        <f>'Evolutive SFP'!BZ30</f>
        <v>109093784.94</v>
      </c>
      <c r="AX6" s="52">
        <f>'Evolutive SFP'!CA30</f>
        <v>91930311.040000007</v>
      </c>
      <c r="AY6" s="52">
        <f>'Evolutive SFP'!CB30</f>
        <v>116497160.84</v>
      </c>
      <c r="AZ6" s="52" t="e">
        <f>'Evolutive SFP'!#REF!</f>
        <v>#REF!</v>
      </c>
      <c r="BA6" s="52">
        <f>'Evolutive SFP'!CC30</f>
        <v>120177293.98999999</v>
      </c>
      <c r="BB6" s="52">
        <f>'Evolutive SFP'!CD30</f>
        <v>122603570.64</v>
      </c>
      <c r="BC6" s="52">
        <f>'Evolutive SFP'!CE30</f>
        <v>127994350.61</v>
      </c>
      <c r="BD6" s="52">
        <f>'Evolutive SFP'!CF30</f>
        <v>129946946.34999999</v>
      </c>
      <c r="BE6" s="52">
        <f>'Evolutive SFP'!CG30</f>
        <v>130909445.62</v>
      </c>
      <c r="BF6" s="52">
        <f>'Evolutive SFP'!CH30</f>
        <v>130909445</v>
      </c>
      <c r="BG6" s="52">
        <f>'Evolutive SFP'!CI30</f>
        <v>131317774.69</v>
      </c>
      <c r="BH6" s="52">
        <f>'Evolutive SFP'!CJ30</f>
        <v>132383560.73999999</v>
      </c>
      <c r="BI6" s="52">
        <f>'Evolutive SFP'!CK30</f>
        <v>132713498.98999999</v>
      </c>
      <c r="BJ6" s="52">
        <f>'Evolutive SFP'!CL30</f>
        <v>133146031.09</v>
      </c>
      <c r="BK6" s="52">
        <f>'Evolutive SFP'!CM30</f>
        <v>133762272.06999999</v>
      </c>
      <c r="BL6" s="52">
        <f>'Evolutive SFP'!CN30</f>
        <v>134241315.88999999</v>
      </c>
      <c r="BM6" s="52">
        <f>'Evolutive SFP'!CO30</f>
        <v>135708854.61000001</v>
      </c>
      <c r="BN6" s="52">
        <f>'Evolutive SFP'!CP30</f>
        <v>136003881.13999999</v>
      </c>
      <c r="BO6" s="52">
        <f>'Evolutive SFP'!CQ30</f>
        <v>136647544.90000001</v>
      </c>
      <c r="BP6" s="52">
        <f>'Evolutive SFP'!CR30</f>
        <v>143132591.71000001</v>
      </c>
      <c r="BQ6" s="52">
        <f>'Evolutive SFP'!CS30</f>
        <v>140585830.78</v>
      </c>
      <c r="BR6" s="52">
        <f>'Evolutive SFP'!CT30</f>
        <v>138407264.22</v>
      </c>
      <c r="BS6" s="52">
        <f>'Evolutive SFP'!CU30</f>
        <v>138407264</v>
      </c>
      <c r="BT6" s="52">
        <f>'Evolutive SFP'!CV30</f>
        <v>160511165</v>
      </c>
      <c r="BU6" s="52">
        <f>'Evolutive SFP'!CW30</f>
        <v>162967709.63</v>
      </c>
      <c r="BV6" s="52">
        <f>'Evolutive SFP'!CX30</f>
        <v>163921006.03</v>
      </c>
      <c r="BW6" s="52">
        <f>'Evolutive SFP'!CY30</f>
        <v>165885227.24000001</v>
      </c>
      <c r="BX6" s="52">
        <f>'Evolutive SFP'!CZ30</f>
        <v>167865451.94</v>
      </c>
      <c r="BY6" s="52">
        <f>'Evolutive SFP'!DA30</f>
        <v>170598320.71000001</v>
      </c>
      <c r="BZ6" s="52">
        <f>'Evolutive SFP'!DB30</f>
        <v>172238126.66</v>
      </c>
      <c r="CA6" s="52">
        <f>'Evolutive SFP'!DC30</f>
        <v>177861351.06999999</v>
      </c>
      <c r="CB6" s="52">
        <f>'Evolutive SFP'!DD30</f>
        <v>181532711.66999999</v>
      </c>
      <c r="CC6" s="52">
        <f>'Evolutive SFP'!DE30</f>
        <v>184155227.94999999</v>
      </c>
    </row>
    <row r="7" spans="1:81">
      <c r="A7" s="18">
        <v>3.2</v>
      </c>
      <c r="B7" s="19" t="s">
        <v>253</v>
      </c>
      <c r="C7" s="52" t="e">
        <f>('Evolutive SFP'!#REF!+'Evolutive SFP'!#REF!)</f>
        <v>#REF!</v>
      </c>
      <c r="D7" s="52" t="e">
        <f>('Evolutive SFP'!#REF!+'Evolutive SFP'!#REF!)</f>
        <v>#REF!</v>
      </c>
      <c r="E7" s="52" t="e">
        <f>('Evolutive SFP'!#REF!+'Evolutive SFP'!#REF!)</f>
        <v>#REF!</v>
      </c>
      <c r="F7" s="52" t="e">
        <f>('Evolutive SFP'!#REF!+'Evolutive SFP'!#REF!)</f>
        <v>#REF!</v>
      </c>
      <c r="G7" s="52" t="e">
        <f>('Evolutive SFP'!#REF!+'Evolutive SFP'!#REF!)</f>
        <v>#REF!</v>
      </c>
      <c r="H7" s="52" t="e">
        <f>('Evolutive SFP'!#REF!+'Evolutive SFP'!#REF!)</f>
        <v>#REF!</v>
      </c>
      <c r="I7" s="52" t="e">
        <f>('Evolutive SFP'!#REF!+'Evolutive SFP'!#REF!)</f>
        <v>#REF!</v>
      </c>
      <c r="J7" s="52" t="e">
        <f>('Evolutive SFP'!#REF!+'Evolutive SFP'!#REF!)</f>
        <v>#REF!</v>
      </c>
      <c r="K7" s="52" t="e">
        <f>('Evolutive SFP'!#REF!+'Evolutive SFP'!#REF!)</f>
        <v>#REF!</v>
      </c>
      <c r="L7" s="52" t="e">
        <f>('Evolutive SFP'!#REF!+'Evolutive SFP'!#REF!)</f>
        <v>#REF!</v>
      </c>
      <c r="M7" s="52" t="e">
        <f>('Evolutive SFP'!#REF!+'Evolutive SFP'!#REF!)</f>
        <v>#REF!</v>
      </c>
      <c r="N7" s="52" t="e">
        <f>('Evolutive SFP'!#REF!+'Evolutive SFP'!#REF!)</f>
        <v>#REF!</v>
      </c>
      <c r="O7" s="52" t="e">
        <f>('Evolutive SFP'!#REF!+'Evolutive SFP'!#REF!)</f>
        <v>#REF!</v>
      </c>
      <c r="P7" s="52" t="e">
        <f>('Evolutive SFP'!#REF!+'Evolutive SFP'!#REF!)</f>
        <v>#REF!</v>
      </c>
      <c r="Q7" s="52" t="e">
        <f>('Evolutive SFP'!#REF!+'Evolutive SFP'!#REF!)</f>
        <v>#REF!</v>
      </c>
      <c r="R7" s="52" t="e">
        <f>('Evolutive SFP'!#REF!+'Evolutive SFP'!#REF!)</f>
        <v>#REF!</v>
      </c>
      <c r="S7" s="52">
        <f>('Evolutive SFP'!AV28+'Evolutive SFP'!AV29)</f>
        <v>46990567</v>
      </c>
      <c r="T7" s="52">
        <f>('Evolutive SFP'!AW28+'Evolutive SFP'!AW29)</f>
        <v>43390517.399999999</v>
      </c>
      <c r="U7" s="52">
        <f>('Evolutive SFP'!AX28+'Evolutive SFP'!AX29)</f>
        <v>39888241.850000001</v>
      </c>
      <c r="V7" s="52">
        <f>('Evolutive SFP'!AY28+'Evolutive SFP'!AY29)</f>
        <v>38731186.729999997</v>
      </c>
      <c r="W7" s="52">
        <f>('Evolutive SFP'!AZ28+'Evolutive SFP'!AZ29)</f>
        <v>42615376.890000001</v>
      </c>
      <c r="X7" s="52">
        <f>('Evolutive SFP'!BA28+'Evolutive SFP'!BA29)</f>
        <v>116523668.07000001</v>
      </c>
      <c r="Y7" s="52">
        <f>('Evolutive SFP'!BB28+'Evolutive SFP'!BB29)</f>
        <v>89954212.250000015</v>
      </c>
      <c r="Z7" s="52">
        <f>('Evolutive SFP'!BC28+'Evolutive SFP'!BC29)</f>
        <v>82773574.510000005</v>
      </c>
      <c r="AA7" s="52">
        <f>('Evolutive SFP'!BD28+'Evolutive SFP'!BD29)</f>
        <v>78292533.560000002</v>
      </c>
      <c r="AB7" s="52">
        <f>('Evolutive SFP'!BE28+'Evolutive SFP'!BE29)</f>
        <v>74404732.659999996</v>
      </c>
      <c r="AC7" s="52">
        <f>('Evolutive SFP'!BF28+'Evolutive SFP'!BF29)</f>
        <v>75074786.880000025</v>
      </c>
      <c r="AD7" s="52">
        <f>('Evolutive SFP'!BG28+'Evolutive SFP'!BG29)</f>
        <v>66488400.960000001</v>
      </c>
      <c r="AE7" s="52">
        <f>('Evolutive SFP'!BH28+'Evolutive SFP'!BH29)</f>
        <v>60006857.689999998</v>
      </c>
      <c r="AF7" s="52">
        <f>('Evolutive SFP'!BI28+'Evolutive SFP'!BI29)</f>
        <v>60006858</v>
      </c>
      <c r="AG7" s="52">
        <f>('Evolutive SFP'!BJ28+'Evolutive SFP'!BJ29)</f>
        <v>56313672.219999999</v>
      </c>
      <c r="AH7" s="52">
        <f>('Evolutive SFP'!BK28+'Evolutive SFP'!BK29)</f>
        <v>57554555.079999998</v>
      </c>
      <c r="AI7" s="52">
        <f>('Evolutive SFP'!BL28+'Evolutive SFP'!BL29)</f>
        <v>54833144.100000001</v>
      </c>
      <c r="AJ7" s="52">
        <f>('Evolutive SFP'!BM28+'Evolutive SFP'!BM29)</f>
        <v>50913800.920000002</v>
      </c>
      <c r="AK7" s="52">
        <f>('Evolutive SFP'!BN28+'Evolutive SFP'!BN29)</f>
        <v>50253701.609999999</v>
      </c>
      <c r="AL7" s="52">
        <f>('Evolutive SFP'!BO28+'Evolutive SFP'!BO29)</f>
        <v>55060752.939999983</v>
      </c>
      <c r="AM7" s="52">
        <f>('Evolutive SFP'!BP28+'Evolutive SFP'!BP29)</f>
        <v>168912718.90000001</v>
      </c>
      <c r="AN7" s="52">
        <f>('Evolutive SFP'!BQ28+'Evolutive SFP'!BQ29)</f>
        <v>154686592.69999999</v>
      </c>
      <c r="AO7" s="52">
        <f>('Evolutive SFP'!BR28+'Evolutive SFP'!BR29)</f>
        <v>119380874.3</v>
      </c>
      <c r="AP7" s="52">
        <f>('Evolutive SFP'!BS28+'Evolutive SFP'!BS29)</f>
        <v>108266071.64</v>
      </c>
      <c r="AQ7" s="52">
        <f>('Evolutive SFP'!BT28+'Evolutive SFP'!BT29)</f>
        <v>87533972.730000004</v>
      </c>
      <c r="AR7" s="52">
        <f>('Evolutive SFP'!BU28+'Evolutive SFP'!BU29)</f>
        <v>77305995.790000007</v>
      </c>
      <c r="AS7" s="52">
        <f>('Evolutive SFP'!BV28+'Evolutive SFP'!BV29)</f>
        <v>186558455</v>
      </c>
      <c r="AT7" s="52">
        <f>('Evolutive SFP'!BW28+'Evolutive SFP'!BW29)</f>
        <v>69657765.319999993</v>
      </c>
      <c r="AU7" s="52">
        <f>('Evolutive SFP'!BX28+'Evolutive SFP'!BX29)</f>
        <v>72019496.170000002</v>
      </c>
      <c r="AV7" s="52">
        <f>('Evolutive SFP'!BY28+'Evolutive SFP'!BY29)</f>
        <v>70085944.840000004</v>
      </c>
      <c r="AW7" s="52">
        <f>('Evolutive SFP'!BZ28+'Evolutive SFP'!BZ29)</f>
        <v>117245536.61</v>
      </c>
      <c r="AX7" s="52">
        <f>('Evolutive SFP'!CA28+'Evolutive SFP'!CA29)</f>
        <v>117469998.45</v>
      </c>
      <c r="AY7" s="52">
        <f>('Evolutive SFP'!CB28+'Evolutive SFP'!CB29)</f>
        <v>177620028.59999999</v>
      </c>
      <c r="AZ7" s="52" t="e">
        <f>('Evolutive SFP'!#REF!+'Evolutive SFP'!#REF!)</f>
        <v>#REF!</v>
      </c>
      <c r="BA7" s="52">
        <f>('Evolutive SFP'!CC28+'Evolutive SFP'!CC29)</f>
        <v>129237062.55</v>
      </c>
      <c r="BB7" s="52">
        <f>('Evolutive SFP'!CD28+'Evolutive SFP'!CD29)</f>
        <v>261862477.34</v>
      </c>
      <c r="BC7" s="52">
        <f>('Evolutive SFP'!CE28+'Evolutive SFP'!CE29)</f>
        <v>190988789.02000001</v>
      </c>
      <c r="BD7" s="52">
        <f>('Evolutive SFP'!CF28+'Evolutive SFP'!CF29)</f>
        <v>141713207.71000001</v>
      </c>
      <c r="BE7" s="52">
        <f>('Evolutive SFP'!CG28+'Evolutive SFP'!CG29)</f>
        <v>116282188.69</v>
      </c>
      <c r="BF7" s="52">
        <f>('Evolutive SFP'!CH28+'Evolutive SFP'!CH29)</f>
        <v>116282188</v>
      </c>
      <c r="BG7" s="52">
        <f>('Evolutive SFP'!CI28+'Evolutive SFP'!CI29)</f>
        <v>102549351.15000001</v>
      </c>
      <c r="BH7" s="52">
        <f>('Evolutive SFP'!CJ28+'Evolutive SFP'!CJ29)</f>
        <v>96845099.890000001</v>
      </c>
      <c r="BI7" s="52">
        <f>('Evolutive SFP'!CK28+'Evolutive SFP'!CK29)</f>
        <v>97403467.370000005</v>
      </c>
      <c r="BJ7" s="52">
        <f>('Evolutive SFP'!CL28+'Evolutive SFP'!CL29)</f>
        <v>103701332</v>
      </c>
      <c r="BK7" s="52">
        <f>('Evolutive SFP'!CM28+'Evolutive SFP'!CM29)</f>
        <v>100376502.73</v>
      </c>
      <c r="BL7" s="52">
        <f>('Evolutive SFP'!CN28+'Evolutive SFP'!CN29)</f>
        <v>98536688.799999997</v>
      </c>
      <c r="BM7" s="52">
        <f>('Evolutive SFP'!CO28+'Evolutive SFP'!CO29)</f>
        <v>95148325.920000002</v>
      </c>
      <c r="BN7" s="52">
        <f>('Evolutive SFP'!CP28+'Evolutive SFP'!CP29)</f>
        <v>92201120.840000004</v>
      </c>
      <c r="BO7" s="52">
        <f>('Evolutive SFP'!CQ28+'Evolutive SFP'!CQ29)</f>
        <v>174637878.31999999</v>
      </c>
      <c r="BP7" s="52">
        <f>('Evolutive SFP'!CR28+'Evolutive SFP'!CR29)</f>
        <v>223630999.16</v>
      </c>
      <c r="BQ7" s="52">
        <f>('Evolutive SFP'!CS28+'Evolutive SFP'!CS29)</f>
        <v>171482236.59999999</v>
      </c>
      <c r="BR7" s="52">
        <f>('Evolutive SFP'!CT28+'Evolutive SFP'!CT29)</f>
        <v>151885246.12</v>
      </c>
      <c r="BS7" s="52">
        <f>('Evolutive SFP'!CU28+'Evolutive SFP'!CU29)</f>
        <v>151885246</v>
      </c>
      <c r="BT7" s="52">
        <f>('Evolutive SFP'!CV28+'Evolutive SFP'!CV29)</f>
        <v>144662107</v>
      </c>
      <c r="BU7" s="52">
        <f>('Evolutive SFP'!CW28+'Evolutive SFP'!CW29)</f>
        <v>134152035.43000001</v>
      </c>
      <c r="BV7" s="52">
        <f>('Evolutive SFP'!CX28+'Evolutive SFP'!CX29)</f>
        <v>132841312.63</v>
      </c>
      <c r="BW7" s="52">
        <f>('Evolutive SFP'!CY28+'Evolutive SFP'!CY29)</f>
        <v>135619903.17000002</v>
      </c>
      <c r="BX7" s="52">
        <f>('Evolutive SFP'!CZ28+'Evolutive SFP'!CZ29)</f>
        <v>139214844.45999998</v>
      </c>
      <c r="BY7" s="52">
        <f>('Evolutive SFP'!DA28+'Evolutive SFP'!DA29)</f>
        <v>134562337.37</v>
      </c>
      <c r="BZ7" s="52">
        <f>('Evolutive SFP'!DB28+'Evolutive SFP'!DB29)</f>
        <v>140298607.71000001</v>
      </c>
      <c r="CA7" s="52">
        <f>('Evolutive SFP'!DC28+'Evolutive SFP'!DC29)</f>
        <v>201567395.83000001</v>
      </c>
      <c r="CB7" s="52">
        <f>('Evolutive SFP'!DD28+'Evolutive SFP'!DD29)</f>
        <v>168889532.87</v>
      </c>
      <c r="CC7" s="52">
        <f>('Evolutive SFP'!DE28+'Evolutive SFP'!DE29)</f>
        <v>157362853.00999999</v>
      </c>
    </row>
    <row r="8" spans="1:81">
      <c r="A8" s="18">
        <v>4</v>
      </c>
      <c r="B8" s="18" t="s">
        <v>168</v>
      </c>
      <c r="C8" s="52" t="e">
        <f>'Evolutive SFP'!#REF!</f>
        <v>#REF!</v>
      </c>
      <c r="D8" s="52" t="e">
        <f>'Evolutive SFP'!#REF!</f>
        <v>#REF!</v>
      </c>
      <c r="E8" s="52" t="e">
        <f>'Evolutive SFP'!#REF!</f>
        <v>#REF!</v>
      </c>
      <c r="F8" s="52" t="e">
        <f>'Evolutive SFP'!#REF!</f>
        <v>#REF!</v>
      </c>
      <c r="G8" s="52" t="e">
        <f>'Evolutive SFP'!#REF!</f>
        <v>#REF!</v>
      </c>
      <c r="H8" s="52" t="e">
        <f>'Evolutive SFP'!#REF!</f>
        <v>#REF!</v>
      </c>
      <c r="I8" s="52" t="e">
        <f>'Evolutive SFP'!#REF!</f>
        <v>#REF!</v>
      </c>
      <c r="J8" s="52" t="e">
        <f>'Evolutive SFP'!#REF!</f>
        <v>#REF!</v>
      </c>
      <c r="K8" s="52" t="e">
        <f>'Evolutive SFP'!#REF!</f>
        <v>#REF!</v>
      </c>
      <c r="L8" s="52" t="e">
        <f>'Evolutive SFP'!#REF!</f>
        <v>#REF!</v>
      </c>
      <c r="M8" s="52" t="e">
        <f>'Evolutive SFP'!#REF!</f>
        <v>#REF!</v>
      </c>
      <c r="N8" s="52" t="e">
        <f>'Evolutive SFP'!#REF!</f>
        <v>#REF!</v>
      </c>
      <c r="O8" s="52" t="e">
        <f>'Evolutive SFP'!#REF!</f>
        <v>#REF!</v>
      </c>
      <c r="P8" s="52" t="e">
        <f>'Evolutive SFP'!#REF!</f>
        <v>#REF!</v>
      </c>
      <c r="Q8" s="52" t="e">
        <f>'Evolutive SFP'!#REF!</f>
        <v>#REF!</v>
      </c>
      <c r="R8" s="52" t="e">
        <f>'Evolutive SFP'!#REF!</f>
        <v>#REF!</v>
      </c>
      <c r="S8" s="52">
        <f>'Evolutive SFP'!AV37</f>
        <v>0</v>
      </c>
      <c r="T8" s="52">
        <f>'Evolutive SFP'!AW37</f>
        <v>0</v>
      </c>
      <c r="U8" s="52">
        <f>'Evolutive SFP'!AX37</f>
        <v>0</v>
      </c>
      <c r="V8" s="52">
        <f>'Evolutive SFP'!AY37</f>
        <v>0</v>
      </c>
      <c r="W8" s="52">
        <f>'Evolutive SFP'!AZ37</f>
        <v>0</v>
      </c>
      <c r="X8" s="52">
        <f>'Evolutive SFP'!BA37</f>
        <v>0</v>
      </c>
      <c r="Y8" s="52">
        <f>'Evolutive SFP'!BB37</f>
        <v>0</v>
      </c>
      <c r="Z8" s="52">
        <f>'Evolutive SFP'!BC37</f>
        <v>0</v>
      </c>
      <c r="AA8" s="52">
        <f>'Evolutive SFP'!BD37</f>
        <v>0</v>
      </c>
      <c r="AB8" s="52">
        <f>'Evolutive SFP'!BE37</f>
        <v>0</v>
      </c>
      <c r="AC8" s="52">
        <f>'Evolutive SFP'!BF37</f>
        <v>0</v>
      </c>
      <c r="AD8" s="52">
        <f>'Evolutive SFP'!BG37</f>
        <v>0</v>
      </c>
      <c r="AE8" s="52">
        <f>'Evolutive SFP'!BH37</f>
        <v>0</v>
      </c>
      <c r="AF8" s="52">
        <f>'Evolutive SFP'!BI37</f>
        <v>0</v>
      </c>
      <c r="AG8" s="52">
        <f>'Evolutive SFP'!BJ37</f>
        <v>0</v>
      </c>
      <c r="AH8" s="52">
        <f>'Evolutive SFP'!BK37</f>
        <v>0</v>
      </c>
      <c r="AI8" s="52">
        <f>'Evolutive SFP'!BL37</f>
        <v>0</v>
      </c>
      <c r="AJ8" s="52">
        <f>'Evolutive SFP'!BM37</f>
        <v>0</v>
      </c>
      <c r="AK8" s="52">
        <f>'Evolutive SFP'!BN37</f>
        <v>0</v>
      </c>
      <c r="AL8" s="52">
        <f>'Evolutive SFP'!BO37</f>
        <v>0</v>
      </c>
      <c r="AM8" s="52">
        <f>'Evolutive SFP'!BP37</f>
        <v>0</v>
      </c>
      <c r="AN8" s="52">
        <f>'Evolutive SFP'!BQ37</f>
        <v>0</v>
      </c>
      <c r="AO8" s="52">
        <f>'Evolutive SFP'!BR37</f>
        <v>0</v>
      </c>
      <c r="AP8" s="52">
        <f>'Evolutive SFP'!BS37</f>
        <v>0</v>
      </c>
      <c r="AQ8" s="52">
        <f>'Evolutive SFP'!BT37</f>
        <v>0</v>
      </c>
      <c r="AR8" s="52">
        <f>'Evolutive SFP'!BU37</f>
        <v>0</v>
      </c>
      <c r="AS8" s="52">
        <f>'Evolutive SFP'!BV37</f>
        <v>0</v>
      </c>
      <c r="AT8" s="52">
        <f>'Evolutive SFP'!BW37</f>
        <v>0</v>
      </c>
      <c r="AU8" s="52">
        <f>'Evolutive SFP'!BX37</f>
        <v>0</v>
      </c>
      <c r="AV8" s="52">
        <f>'Evolutive SFP'!BY37</f>
        <v>0</v>
      </c>
      <c r="AW8" s="52">
        <f>'Evolutive SFP'!BZ37</f>
        <v>0</v>
      </c>
      <c r="AX8" s="52">
        <f>'Evolutive SFP'!CA37</f>
        <v>0</v>
      </c>
      <c r="AY8" s="52">
        <f>'Evolutive SFP'!CB37</f>
        <v>0</v>
      </c>
      <c r="AZ8" s="52" t="e">
        <f>'Evolutive SFP'!#REF!</f>
        <v>#REF!</v>
      </c>
      <c r="BA8" s="52">
        <f>'Evolutive SFP'!CC37</f>
        <v>0</v>
      </c>
      <c r="BB8" s="52">
        <f>'Evolutive SFP'!CD37</f>
        <v>0</v>
      </c>
      <c r="BC8" s="52">
        <f>'Evolutive SFP'!CE37</f>
        <v>0</v>
      </c>
      <c r="BD8" s="52">
        <f>'Evolutive SFP'!CF37</f>
        <v>0</v>
      </c>
      <c r="BE8" s="52">
        <f>'Evolutive SFP'!CG37</f>
        <v>0</v>
      </c>
      <c r="BF8" s="52">
        <f>'Evolutive SFP'!CH37</f>
        <v>0</v>
      </c>
      <c r="BG8" s="52">
        <f>'Evolutive SFP'!CI37</f>
        <v>0</v>
      </c>
      <c r="BH8" s="52">
        <f>'Evolutive SFP'!CJ37</f>
        <v>0</v>
      </c>
      <c r="BI8" s="52">
        <f>'Evolutive SFP'!CK37</f>
        <v>0</v>
      </c>
      <c r="BJ8" s="52">
        <f>'Evolutive SFP'!CL37</f>
        <v>0</v>
      </c>
      <c r="BK8" s="52">
        <f>'Evolutive SFP'!CM37</f>
        <v>0</v>
      </c>
      <c r="BL8" s="52">
        <f>'Evolutive SFP'!CN37</f>
        <v>0</v>
      </c>
      <c r="BM8" s="52">
        <f>'Evolutive SFP'!CO37</f>
        <v>0</v>
      </c>
      <c r="BN8" s="52">
        <f>'Evolutive SFP'!CP37</f>
        <v>0</v>
      </c>
      <c r="BO8" s="52">
        <f>'Evolutive SFP'!CQ37</f>
        <v>0</v>
      </c>
      <c r="BP8" s="52">
        <f>'Evolutive SFP'!CR37</f>
        <v>0</v>
      </c>
      <c r="BQ8" s="52">
        <f>'Evolutive SFP'!CS37</f>
        <v>0</v>
      </c>
      <c r="BR8" s="52">
        <f>'Evolutive SFP'!CT37</f>
        <v>0</v>
      </c>
      <c r="BS8" s="52">
        <f>'Evolutive SFP'!CU37</f>
        <v>0</v>
      </c>
      <c r="BT8" s="52">
        <f>'Evolutive SFP'!CV37</f>
        <v>0</v>
      </c>
      <c r="BU8" s="52">
        <f>'Evolutive SFP'!CW37</f>
        <v>0</v>
      </c>
      <c r="BV8" s="52">
        <f>'Evolutive SFP'!CX37</f>
        <v>0</v>
      </c>
      <c r="BW8" s="52">
        <f>'Evolutive SFP'!CY37</f>
        <v>0</v>
      </c>
      <c r="BX8" s="52">
        <f>'Evolutive SFP'!CZ37</f>
        <v>0</v>
      </c>
      <c r="BY8" s="52">
        <f>'Evolutive SFP'!DA37</f>
        <v>0</v>
      </c>
      <c r="BZ8" s="52">
        <f>'Evolutive SFP'!DB37</f>
        <v>0</v>
      </c>
      <c r="CA8" s="52">
        <f>'Evolutive SFP'!DC37</f>
        <v>0</v>
      </c>
      <c r="CB8" s="52">
        <f>'Evolutive SFP'!DD37</f>
        <v>0</v>
      </c>
      <c r="CC8" s="52">
        <f>'Evolutive SFP'!DE37</f>
        <v>0</v>
      </c>
    </row>
    <row r="9" spans="1:81" ht="15" thickBot="1">
      <c r="A9" s="18"/>
      <c r="B9" s="99" t="s">
        <v>254</v>
      </c>
      <c r="C9" s="52"/>
      <c r="D9" s="52" t="e">
        <f>SUM('Evolutive SFP'!#REF!)</f>
        <v>#REF!</v>
      </c>
      <c r="E9" s="52" t="e">
        <f>SUM('Evolutive SFP'!#REF!)</f>
        <v>#REF!</v>
      </c>
      <c r="F9" s="52" t="e">
        <f>SUM('Evolutive SFP'!#REF!)</f>
        <v>#REF!</v>
      </c>
      <c r="G9" s="52" t="e">
        <f>SUM('Evolutive SFP'!#REF!)</f>
        <v>#REF!</v>
      </c>
      <c r="H9" s="52" t="e">
        <f>SUM('Evolutive SFP'!#REF!)</f>
        <v>#REF!</v>
      </c>
      <c r="I9" s="52" t="e">
        <f>SUM('Evolutive SFP'!#REF!)</f>
        <v>#REF!</v>
      </c>
      <c r="J9" s="52" t="e">
        <f>SUM('Evolutive SFP'!#REF!)</f>
        <v>#REF!</v>
      </c>
      <c r="K9" s="52" t="e">
        <f>SUM('Evolutive SFP'!#REF!)</f>
        <v>#REF!</v>
      </c>
      <c r="L9" s="52" t="e">
        <f>SUM('Evolutive SFP'!#REF!)</f>
        <v>#REF!</v>
      </c>
      <c r="M9" s="52" t="e">
        <f>SUM('Evolutive SFP'!#REF!)</f>
        <v>#REF!</v>
      </c>
      <c r="N9" s="52" t="e">
        <f>SUM('Evolutive SFP'!#REF!)</f>
        <v>#REF!</v>
      </c>
      <c r="O9" s="52" t="e">
        <f>SUM('Evolutive SFP'!#REF!)</f>
        <v>#REF!</v>
      </c>
      <c r="P9" s="52" t="e">
        <f>SUM('Evolutive SFP'!#REF!)</f>
        <v>#REF!</v>
      </c>
      <c r="Q9" s="52" t="e">
        <f>SUM('Evolutive SFP'!#REF!)</f>
        <v>#REF!</v>
      </c>
      <c r="R9" s="52" t="e">
        <f>SUM('Evolutive SFP'!#REF!)</f>
        <v>#REF!</v>
      </c>
      <c r="S9" s="52">
        <f>SUM('Evolutive SFP'!AV32:AV36)</f>
        <v>6509181</v>
      </c>
      <c r="T9" s="52">
        <f>SUM('Evolutive SFP'!AW32:AW36)</f>
        <v>2749440.02</v>
      </c>
      <c r="U9" s="52">
        <f>SUM('Evolutive SFP'!AX32:AX36)</f>
        <v>2640228.2999999998</v>
      </c>
      <c r="V9" s="52">
        <f>SUM('Evolutive SFP'!AY32:AY36)</f>
        <v>2759673.23</v>
      </c>
      <c r="W9" s="52">
        <f>SUM('Evolutive SFP'!AZ32:AZ36)</f>
        <v>1818411.34</v>
      </c>
      <c r="X9" s="52">
        <f>SUM('Evolutive SFP'!BA32:BA36)</f>
        <v>1177797.1000000001</v>
      </c>
      <c r="Y9" s="52">
        <f>SUM('Evolutive SFP'!BB32:BB36)</f>
        <v>195312.30000000075</v>
      </c>
      <c r="Z9" s="52">
        <f>SUM('Evolutive SFP'!BC32:BC36)</f>
        <v>1420285.14</v>
      </c>
      <c r="AA9" s="52">
        <f>SUM('Evolutive SFP'!BD32:BD36)</f>
        <v>1827256.87</v>
      </c>
      <c r="AB9" s="52">
        <f>SUM('Evolutive SFP'!BE32:BE36)</f>
        <v>1293035.55</v>
      </c>
      <c r="AC9" s="52">
        <f>SUM('Evolutive SFP'!BF32:BF36)</f>
        <v>2046605.5</v>
      </c>
      <c r="AD9" s="52">
        <f>SUM('Evolutive SFP'!BG32:BG36)</f>
        <v>4539384.58</v>
      </c>
      <c r="AE9" s="52">
        <f>SUM('Evolutive SFP'!BH32:BH36)</f>
        <v>8004071.79</v>
      </c>
      <c r="AF9" s="52">
        <f>SUM('Evolutive SFP'!BI32:BI36)</f>
        <v>8004072</v>
      </c>
      <c r="AG9" s="52">
        <f>SUM('Evolutive SFP'!BJ32:BJ36)</f>
        <v>7714596.71</v>
      </c>
      <c r="AH9" s="52">
        <f>SUM('Evolutive SFP'!BK32:BK36)</f>
        <v>7302673.0999999996</v>
      </c>
      <c r="AI9" s="52">
        <f>SUM('Evolutive SFP'!BL32:BL36)</f>
        <v>7461822.1699999999</v>
      </c>
      <c r="AJ9" s="52">
        <f>SUM('Evolutive SFP'!BM32:BM36)</f>
        <v>7741287.5599999996</v>
      </c>
      <c r="AK9" s="52">
        <f>SUM('Evolutive SFP'!BN32:BN36)</f>
        <v>7201286.3700000001</v>
      </c>
      <c r="AL9" s="52">
        <f>SUM('Evolutive SFP'!BO32:BO36)</f>
        <v>6916192.0300000012</v>
      </c>
      <c r="AM9" s="52">
        <f>SUM('Evolutive SFP'!BP32:BP36)</f>
        <v>3366208.02</v>
      </c>
      <c r="AN9" s="52">
        <f>SUM('Evolutive SFP'!BQ32:BQ36)</f>
        <v>3629075.96</v>
      </c>
      <c r="AO9" s="52">
        <f>SUM('Evolutive SFP'!BR32:BR36)</f>
        <v>6431941.8600000003</v>
      </c>
      <c r="AP9" s="52">
        <f>SUM('Evolutive SFP'!BS32:BS36)</f>
        <v>6291352.8099999996</v>
      </c>
      <c r="AQ9" s="52">
        <f>SUM('Evolutive SFP'!BT32:BT36)</f>
        <v>4763249.58</v>
      </c>
      <c r="AR9" s="52">
        <f>SUM('Evolutive SFP'!BU32:BU36)</f>
        <v>11600951.26</v>
      </c>
      <c r="AS9" s="52">
        <f>SUM('Evolutive SFP'!BV32:BV36)</f>
        <v>13479788.5</v>
      </c>
      <c r="AT9" s="52">
        <f>SUM('Evolutive SFP'!BW32:BW36)</f>
        <v>11464600.949999999</v>
      </c>
      <c r="AU9" s="52">
        <f>SUM('Evolutive SFP'!BX32:BX36)</f>
        <v>12411076.77</v>
      </c>
      <c r="AV9" s="52">
        <f>SUM('Evolutive SFP'!BY32:BY36)</f>
        <v>12015101.630000001</v>
      </c>
      <c r="AW9" s="52">
        <f>SUM('Evolutive SFP'!BZ32:BZ36)</f>
        <v>10514832.24</v>
      </c>
      <c r="AX9" s="52">
        <f>SUM('Evolutive SFP'!CA32:CA36)</f>
        <v>5183510.25</v>
      </c>
      <c r="AY9" s="52">
        <f>SUM('Evolutive SFP'!CB32:CB36)</f>
        <v>4364729.54</v>
      </c>
      <c r="AZ9" s="52" t="e">
        <f>SUM('Evolutive SFP'!#REF!)</f>
        <v>#REF!</v>
      </c>
      <c r="BA9" s="52">
        <f>SUM('Evolutive SFP'!CC32:CC36)</f>
        <v>3439965.77</v>
      </c>
      <c r="BB9" s="52">
        <f>SUM('Evolutive SFP'!CD32:CD36)</f>
        <v>35807287.130000003</v>
      </c>
      <c r="BC9" s="52">
        <f>SUM('Evolutive SFP'!CE32:CE36)</f>
        <v>5922538.2699999996</v>
      </c>
      <c r="BD9" s="52">
        <f>SUM('Evolutive SFP'!CF32:CF36)</f>
        <v>3515422.1799999997</v>
      </c>
      <c r="BE9" s="52">
        <f>SUM('Evolutive SFP'!CG32:CG36)</f>
        <v>11098489.17</v>
      </c>
      <c r="BF9" s="52">
        <f>SUM('Evolutive SFP'!CH32:CH36)</f>
        <v>13652716</v>
      </c>
      <c r="BG9" s="52">
        <f>SUM('Evolutive SFP'!CI32:CI36)</f>
        <v>11161802.109999999</v>
      </c>
      <c r="BH9" s="52">
        <f>SUM('Evolutive SFP'!CJ32:CJ36)</f>
        <v>11914619.469999999</v>
      </c>
      <c r="BI9" s="52">
        <f>SUM('Evolutive SFP'!CK32:CK36)</f>
        <v>12376745.140000001</v>
      </c>
      <c r="BJ9" s="52">
        <f>SUM('Evolutive SFP'!CL32:CL36)</f>
        <v>5432782.4199999999</v>
      </c>
      <c r="BK9" s="52">
        <f>SUM('Evolutive SFP'!CM32:CM36)</f>
        <v>3964189.78</v>
      </c>
      <c r="BL9" s="52">
        <f>SUM('Evolutive SFP'!CN32:CN36)</f>
        <v>4317578.76</v>
      </c>
      <c r="BM9" s="52">
        <f>SUM('Evolutive SFP'!CO32:CO36)</f>
        <v>3524805.34</v>
      </c>
      <c r="BN9" s="52">
        <f>SUM('Evolutive SFP'!CP32:CP36)</f>
        <v>3718407.88</v>
      </c>
      <c r="BO9" s="52">
        <f>SUM('Evolutive SFP'!CQ32:CQ36)</f>
        <v>89348348.390000001</v>
      </c>
      <c r="BP9" s="52">
        <f>SUM('Evolutive SFP'!CR32:CR36)</f>
        <v>8375822.3000000007</v>
      </c>
      <c r="BQ9" s="52">
        <f>SUM('Evolutive SFP'!CS32:CS36)</f>
        <v>4647670.2</v>
      </c>
      <c r="BR9" s="52">
        <f>SUM('Evolutive SFP'!CT32:CT36)</f>
        <v>12817889.77</v>
      </c>
      <c r="BS9" s="52">
        <f>SUM('Evolutive SFP'!CU32:CU36)</f>
        <v>19361336</v>
      </c>
      <c r="BT9" s="52">
        <f>SUM('Evolutive SFP'!CV32:CV36)</f>
        <v>21279689</v>
      </c>
      <c r="BU9" s="52">
        <f>SUM('Evolutive SFP'!CW32:CW36)</f>
        <v>16483730.939999999</v>
      </c>
      <c r="BV9" s="52">
        <f>SUM('Evolutive SFP'!CX32:CX36)</f>
        <v>16504185.380000001</v>
      </c>
      <c r="BW9" s="52">
        <f>SUM('Evolutive SFP'!CY32:CY36)</f>
        <v>16714773.68</v>
      </c>
      <c r="BX9" s="52">
        <f>SUM('Evolutive SFP'!CZ32:CZ36)</f>
        <v>8965101.620000001</v>
      </c>
      <c r="BY9" s="52">
        <f>SUM('Evolutive SFP'!DA32:DA36)</f>
        <v>4972883.08</v>
      </c>
      <c r="BZ9" s="52">
        <f>SUM('Evolutive SFP'!DB32:DB36)</f>
        <v>5972086.7800000003</v>
      </c>
      <c r="CA9" s="52">
        <f>SUM('Evolutive SFP'!DC32:DC36)</f>
        <v>6996917.75</v>
      </c>
      <c r="CB9" s="52">
        <f>SUM('Evolutive SFP'!DD32:DD36)</f>
        <v>9951328.6300000008</v>
      </c>
      <c r="CC9" s="52">
        <f>SUM('Evolutive SFP'!DE32:DE36)</f>
        <v>9765527.25</v>
      </c>
    </row>
    <row r="10" spans="1:81">
      <c r="A10" s="20">
        <v>5</v>
      </c>
      <c r="B10" s="16" t="s">
        <v>255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</row>
    <row r="11" spans="1:81" s="14" customFormat="1">
      <c r="A11" s="28">
        <v>5.0999999999999996</v>
      </c>
      <c r="B11" s="16" t="s">
        <v>157</v>
      </c>
      <c r="C11" s="53" t="e">
        <f>C14-C22-C26-C27</f>
        <v>#REF!</v>
      </c>
      <c r="D11" s="53" t="e">
        <f t="shared" ref="D11:R11" si="0">D14-D22-D26-D27</f>
        <v>#REF!</v>
      </c>
      <c r="E11" s="53" t="e">
        <f>E14-E22-E26-E27</f>
        <v>#REF!</v>
      </c>
      <c r="F11" s="53" t="e">
        <f>F14-F22-F26-F27</f>
        <v>#REF!</v>
      </c>
      <c r="G11" s="53" t="e">
        <f t="shared" si="0"/>
        <v>#REF!</v>
      </c>
      <c r="H11" s="53" t="e">
        <f t="shared" si="0"/>
        <v>#REF!</v>
      </c>
      <c r="I11" s="53" t="e">
        <f t="shared" si="0"/>
        <v>#REF!</v>
      </c>
      <c r="J11" s="53" t="e">
        <f t="shared" si="0"/>
        <v>#REF!</v>
      </c>
      <c r="K11" s="53" t="e">
        <f t="shared" si="0"/>
        <v>#REF!</v>
      </c>
      <c r="L11" s="53" t="e">
        <f t="shared" si="0"/>
        <v>#REF!</v>
      </c>
      <c r="M11" s="53" t="e">
        <f t="shared" si="0"/>
        <v>#REF!</v>
      </c>
      <c r="N11" s="53" t="e">
        <f t="shared" si="0"/>
        <v>#REF!</v>
      </c>
      <c r="O11" s="53" t="e">
        <f t="shared" si="0"/>
        <v>#REF!</v>
      </c>
      <c r="P11" s="53" t="e">
        <f t="shared" si="0"/>
        <v>#REF!</v>
      </c>
      <c r="Q11" s="53" t="e">
        <f t="shared" si="0"/>
        <v>#REF!</v>
      </c>
      <c r="R11" s="53" t="e">
        <f t="shared" si="0"/>
        <v>#REF!</v>
      </c>
      <c r="S11" s="53">
        <f t="shared" ref="S11:AR11" si="1">S14-S22</f>
        <v>28583088</v>
      </c>
      <c r="T11" s="53">
        <f t="shared" si="1"/>
        <v>35172507.979999997</v>
      </c>
      <c r="U11" s="53">
        <f t="shared" si="1"/>
        <v>36825742.660000011</v>
      </c>
      <c r="V11" s="53">
        <f t="shared" si="1"/>
        <v>36728214.719999999</v>
      </c>
      <c r="W11" s="53">
        <f t="shared" si="1"/>
        <v>35957635.720000006</v>
      </c>
      <c r="X11" s="53">
        <f t="shared" si="1"/>
        <v>44627940.139999993</v>
      </c>
      <c r="Y11" s="53">
        <f t="shared" si="1"/>
        <v>43592689.339999996</v>
      </c>
      <c r="Z11" s="53">
        <f t="shared" si="1"/>
        <v>47431110.469999991</v>
      </c>
      <c r="AA11" s="53">
        <f t="shared" si="1"/>
        <v>46459137.459999993</v>
      </c>
      <c r="AB11" s="53">
        <f t="shared" si="1"/>
        <v>42054892.720000006</v>
      </c>
      <c r="AC11" s="53">
        <f t="shared" si="1"/>
        <v>42428569.68</v>
      </c>
      <c r="AD11" s="53">
        <f t="shared" si="1"/>
        <v>40985554.850000001</v>
      </c>
      <c r="AE11" s="53">
        <f t="shared" si="1"/>
        <v>38846093.450000003</v>
      </c>
      <c r="AF11" s="53">
        <f t="shared" si="1"/>
        <v>150568458</v>
      </c>
      <c r="AG11" s="53">
        <f t="shared" si="1"/>
        <v>38857996.190000005</v>
      </c>
      <c r="AH11" s="53">
        <f t="shared" si="1"/>
        <v>36436617.410000004</v>
      </c>
      <c r="AI11" s="53">
        <f t="shared" si="1"/>
        <v>37852265.049999997</v>
      </c>
      <c r="AJ11" s="53">
        <f t="shared" si="1"/>
        <v>36562102.609999999</v>
      </c>
      <c r="AK11" s="53">
        <f t="shared" si="1"/>
        <v>34310530.950000003</v>
      </c>
      <c r="AL11" s="53" t="e">
        <f t="shared" si="1"/>
        <v>#VALUE!</v>
      </c>
      <c r="AM11" s="53">
        <f t="shared" si="1"/>
        <v>61158702.280000001</v>
      </c>
      <c r="AN11" s="53">
        <f t="shared" si="1"/>
        <v>60678683.109999999</v>
      </c>
      <c r="AO11" s="53">
        <f t="shared" si="1"/>
        <v>58281302.379999995</v>
      </c>
      <c r="AP11" s="53">
        <f t="shared" si="1"/>
        <v>55522952.639999993</v>
      </c>
      <c r="AQ11" s="53">
        <f t="shared" si="1"/>
        <v>52538025.849999994</v>
      </c>
      <c r="AR11" s="53">
        <f t="shared" si="1"/>
        <v>55790411</v>
      </c>
      <c r="AS11" s="53">
        <f t="shared" ref="AS11:BE11" si="2">AS14-AS22</f>
        <v>160128277</v>
      </c>
      <c r="AT11" s="53">
        <f t="shared" si="2"/>
        <v>54293651.140000008</v>
      </c>
      <c r="AU11" s="53">
        <f t="shared" si="2"/>
        <v>48151038.430000007</v>
      </c>
      <c r="AV11" s="53">
        <f t="shared" si="2"/>
        <v>46437932.770000003</v>
      </c>
      <c r="AW11" s="53">
        <f t="shared" si="2"/>
        <v>53998337.020000003</v>
      </c>
      <c r="AX11" s="53">
        <f t="shared" si="2"/>
        <v>52617241.140000001</v>
      </c>
      <c r="AY11" s="53">
        <f t="shared" si="2"/>
        <v>68707641.780000001</v>
      </c>
      <c r="AZ11" s="53" t="e">
        <f t="shared" si="2"/>
        <v>#REF!</v>
      </c>
      <c r="BA11" s="53">
        <f t="shared" si="2"/>
        <v>70023505.060000002</v>
      </c>
      <c r="BB11" s="53">
        <f t="shared" si="2"/>
        <v>74161357.680000007</v>
      </c>
      <c r="BC11" s="53">
        <f t="shared" si="2"/>
        <v>76672258.059999987</v>
      </c>
      <c r="BD11" s="53">
        <f t="shared" si="2"/>
        <v>73279678.799999997</v>
      </c>
      <c r="BE11" s="53">
        <f t="shared" si="2"/>
        <v>64753628.919999994</v>
      </c>
      <c r="BF11" s="53">
        <f>BF14-BF22</f>
        <v>62199401</v>
      </c>
      <c r="BG11" s="53">
        <f>BG14-BG22</f>
        <v>62235447.939999998</v>
      </c>
      <c r="BH11" s="53">
        <f t="shared" ref="BH11:BP11" si="3">BH14-BH22</f>
        <v>58298707.899999999</v>
      </c>
      <c r="BI11" s="53">
        <f t="shared" si="3"/>
        <v>56829269.479999997</v>
      </c>
      <c r="BJ11" s="53">
        <f t="shared" si="3"/>
        <v>63649122.11999999</v>
      </c>
      <c r="BK11" s="53">
        <f t="shared" si="3"/>
        <v>59152162.549999997</v>
      </c>
      <c r="BL11" s="53">
        <f t="shared" si="3"/>
        <v>54366734.119999997</v>
      </c>
      <c r="BM11" s="53">
        <f t="shared" si="3"/>
        <v>51737955.639999993</v>
      </c>
      <c r="BN11" s="53">
        <f t="shared" si="3"/>
        <v>43373489.37999998</v>
      </c>
      <c r="BO11" s="53">
        <f t="shared" si="3"/>
        <v>37122292</v>
      </c>
      <c r="BP11" s="53">
        <f t="shared" si="3"/>
        <v>75585850.099999994</v>
      </c>
      <c r="BQ11" s="53">
        <f>BQ14-BQ22</f>
        <v>80410427.359999999</v>
      </c>
      <c r="BR11" s="53">
        <f t="shared" ref="BR11:BS11" si="4">BR14-BR22</f>
        <v>87593982.620000005</v>
      </c>
      <c r="BS11" s="53">
        <f t="shared" si="4"/>
        <v>81050538</v>
      </c>
      <c r="BT11" s="53">
        <f t="shared" ref="BT11:BW11" si="5">BT14-BT22</f>
        <v>102374455</v>
      </c>
      <c r="BU11" s="53">
        <f t="shared" si="5"/>
        <v>106023968.52</v>
      </c>
      <c r="BV11" s="53">
        <f t="shared" si="5"/>
        <v>103255668.09</v>
      </c>
      <c r="BW11" s="53">
        <f t="shared" si="5"/>
        <v>102836504.3</v>
      </c>
      <c r="BX11" s="53">
        <f t="shared" ref="BX11:BY11" si="6">BX14-BX22</f>
        <v>100449056.55</v>
      </c>
      <c r="BY11" s="53">
        <f t="shared" si="6"/>
        <v>95241749.390000001</v>
      </c>
      <c r="BZ11" s="53">
        <f t="shared" ref="BZ11:CA11" si="7">BZ14-BZ22</f>
        <v>105572281.89</v>
      </c>
      <c r="CA11" s="53">
        <f t="shared" si="7"/>
        <v>142808878.19</v>
      </c>
      <c r="CB11" s="53">
        <f t="shared" ref="CB11:CC11" si="8">CB14-CB22</f>
        <v>142255643.68000001</v>
      </c>
      <c r="CC11" s="53">
        <f t="shared" si="8"/>
        <v>135585939.96000001</v>
      </c>
    </row>
    <row r="12" spans="1:81" s="14" customFormat="1">
      <c r="A12" s="28">
        <v>5.2</v>
      </c>
      <c r="B12" s="16" t="s">
        <v>256</v>
      </c>
      <c r="C12" s="53" t="e">
        <f>C11-C15</f>
        <v>#REF!</v>
      </c>
      <c r="D12" s="53" t="e">
        <f t="shared" ref="D12:K12" si="9">D11-D15</f>
        <v>#REF!</v>
      </c>
      <c r="E12" s="53" t="e">
        <f>E11-E15</f>
        <v>#REF!</v>
      </c>
      <c r="F12" s="53" t="e">
        <f>F11-F15</f>
        <v>#REF!</v>
      </c>
      <c r="G12" s="53" t="e">
        <f t="shared" si="9"/>
        <v>#REF!</v>
      </c>
      <c r="H12" s="53" t="e">
        <f t="shared" si="9"/>
        <v>#REF!</v>
      </c>
      <c r="I12" s="53" t="e">
        <f t="shared" si="9"/>
        <v>#REF!</v>
      </c>
      <c r="J12" s="53" t="e">
        <f t="shared" si="9"/>
        <v>#REF!</v>
      </c>
      <c r="K12" s="53" t="e">
        <f t="shared" si="9"/>
        <v>#REF!</v>
      </c>
      <c r="L12" s="53" t="e">
        <f>L11-L15</f>
        <v>#REF!</v>
      </c>
      <c r="M12" s="53" t="e">
        <f t="shared" ref="M12:R12" si="10">M11-M15</f>
        <v>#REF!</v>
      </c>
      <c r="N12" s="53" t="e">
        <f t="shared" si="10"/>
        <v>#REF!</v>
      </c>
      <c r="O12" s="53" t="e">
        <f t="shared" si="10"/>
        <v>#REF!</v>
      </c>
      <c r="P12" s="53" t="e">
        <f t="shared" si="10"/>
        <v>#REF!</v>
      </c>
      <c r="Q12" s="53" t="e">
        <f t="shared" si="10"/>
        <v>#REF!</v>
      </c>
      <c r="R12" s="53" t="e">
        <f t="shared" si="10"/>
        <v>#REF!</v>
      </c>
      <c r="S12" s="53">
        <f>S11-S15</f>
        <v>-22637062</v>
      </c>
      <c r="T12" s="53">
        <f t="shared" ref="T12:AR12" si="11">T11-T15</f>
        <v>-16102410.330000006</v>
      </c>
      <c r="U12" s="53">
        <f t="shared" si="11"/>
        <v>-14564227.649999991</v>
      </c>
      <c r="V12" s="53">
        <f t="shared" si="11"/>
        <v>-14721731.590000004</v>
      </c>
      <c r="W12" s="53">
        <f t="shared" si="11"/>
        <v>-15600324.589999996</v>
      </c>
      <c r="X12" s="53">
        <f t="shared" si="11"/>
        <v>-7486561.9900000095</v>
      </c>
      <c r="Y12" s="53">
        <f t="shared" si="11"/>
        <v>-8858238.7900000066</v>
      </c>
      <c r="Z12" s="53">
        <f t="shared" si="11"/>
        <v>-5279663.6600000113</v>
      </c>
      <c r="AA12" s="53">
        <f t="shared" si="11"/>
        <v>-6430744.6700000092</v>
      </c>
      <c r="AB12" s="53">
        <f t="shared" si="11"/>
        <v>-10942175.409999996</v>
      </c>
      <c r="AC12" s="53">
        <f t="shared" si="11"/>
        <v>-10699795.700000003</v>
      </c>
      <c r="AD12" s="53">
        <f t="shared" si="11"/>
        <v>-12425137.530000001</v>
      </c>
      <c r="AE12" s="53">
        <f t="shared" si="11"/>
        <v>-20115940.539999999</v>
      </c>
      <c r="AF12" s="53">
        <f t="shared" si="11"/>
        <v>91606424</v>
      </c>
      <c r="AG12" s="53">
        <f t="shared" si="11"/>
        <v>-20316650.799999997</v>
      </c>
      <c r="AH12" s="53">
        <f t="shared" si="11"/>
        <v>-22871329.579999998</v>
      </c>
      <c r="AI12" s="53">
        <f t="shared" si="11"/>
        <v>-21657871.940000005</v>
      </c>
      <c r="AJ12" s="53">
        <f t="shared" si="11"/>
        <v>-23099434.380000003</v>
      </c>
      <c r="AK12" s="53">
        <f t="shared" si="11"/>
        <v>-25482806.039999999</v>
      </c>
      <c r="AL12" s="53" t="e">
        <f t="shared" si="11"/>
        <v>#VALUE!</v>
      </c>
      <c r="AM12" s="53">
        <f t="shared" si="11"/>
        <v>585509.3599999994</v>
      </c>
      <c r="AN12" s="53">
        <f t="shared" si="11"/>
        <v>-180409.81000000238</v>
      </c>
      <c r="AO12" s="53">
        <f t="shared" si="11"/>
        <v>-2730790.5400000066</v>
      </c>
      <c r="AP12" s="53">
        <f t="shared" si="11"/>
        <v>-5616657.0300000086</v>
      </c>
      <c r="AQ12" s="53">
        <f t="shared" si="11"/>
        <v>-8752663.8200000077</v>
      </c>
      <c r="AR12" s="53">
        <f t="shared" si="11"/>
        <v>-10921318.950000003</v>
      </c>
      <c r="AS12" s="53">
        <f>AS11-AS15</f>
        <v>93416548</v>
      </c>
      <c r="AT12" s="53">
        <f t="shared" ref="AT12:AY12" si="12">AT11-AT15</f>
        <v>-12545478.809999995</v>
      </c>
      <c r="AU12" s="53">
        <f t="shared" si="12"/>
        <v>-18790991.519999996</v>
      </c>
      <c r="AV12" s="53">
        <f t="shared" si="12"/>
        <v>-20586797.18</v>
      </c>
      <c r="AW12" s="53">
        <f t="shared" si="12"/>
        <v>-13230078.789999999</v>
      </c>
      <c r="AX12" s="53">
        <f t="shared" si="12"/>
        <v>-14577818.819999993</v>
      </c>
      <c r="AY12" s="53">
        <f t="shared" si="12"/>
        <v>1167660.5700000077</v>
      </c>
      <c r="AZ12" s="53" t="e">
        <f t="shared" ref="AZ12:BF12" si="13">AZ11-AZ15</f>
        <v>#REF!</v>
      </c>
      <c r="BA12" s="53">
        <f t="shared" si="13"/>
        <v>2240051.75</v>
      </c>
      <c r="BB12" s="53">
        <f t="shared" si="13"/>
        <v>6175074.6400000006</v>
      </c>
      <c r="BC12" s="53">
        <f t="shared" si="13"/>
        <v>8495679.6799999923</v>
      </c>
      <c r="BD12" s="53">
        <f t="shared" si="13"/>
        <v>4972800.4200000018</v>
      </c>
      <c r="BE12" s="53">
        <f t="shared" si="13"/>
        <v>-3679649.4600000009</v>
      </c>
      <c r="BF12" s="53">
        <f t="shared" si="13"/>
        <v>-6233877</v>
      </c>
      <c r="BG12" s="53">
        <f t="shared" ref="BG12:BP12" si="14">BG11-BG15</f>
        <v>-6400980.4399999976</v>
      </c>
      <c r="BH12" s="53">
        <f t="shared" si="14"/>
        <v>-10401620.479999997</v>
      </c>
      <c r="BI12" s="53">
        <f t="shared" si="14"/>
        <v>-11954958.899999999</v>
      </c>
      <c r="BJ12" s="53">
        <f t="shared" si="14"/>
        <v>-5203606.2600000054</v>
      </c>
      <c r="BK12" s="53">
        <f t="shared" si="14"/>
        <v>-9780975.8299999982</v>
      </c>
      <c r="BL12" s="53">
        <f t="shared" si="14"/>
        <v>-14637004.259999998</v>
      </c>
      <c r="BM12" s="53">
        <f t="shared" si="14"/>
        <v>-17383032.740000002</v>
      </c>
      <c r="BN12" s="53">
        <f t="shared" si="14"/>
        <v>-25778499.000000015</v>
      </c>
      <c r="BO12" s="53">
        <f t="shared" si="14"/>
        <v>-32382334.310000002</v>
      </c>
      <c r="BP12" s="53">
        <f t="shared" si="14"/>
        <v>5195647.6499999911</v>
      </c>
      <c r="BQ12" s="53">
        <f t="shared" ref="BQ12:BS12" si="15">BQ11-BQ15</f>
        <v>9872424.9099999964</v>
      </c>
      <c r="BR12" s="53">
        <f t="shared" si="15"/>
        <v>16886730.170000002</v>
      </c>
      <c r="BS12" s="53">
        <f t="shared" si="15"/>
        <v>10343286</v>
      </c>
      <c r="BT12" s="53">
        <f t="shared" ref="BT12:BW12" si="16">BT11-BT15</f>
        <v>25356863</v>
      </c>
      <c r="BU12" s="53">
        <f t="shared" si="16"/>
        <v>28735977.959999993</v>
      </c>
      <c r="BV12" s="53">
        <f t="shared" si="16"/>
        <v>25697827.530000001</v>
      </c>
      <c r="BW12" s="53">
        <f t="shared" si="16"/>
        <v>25011938.539999992</v>
      </c>
      <c r="BX12" s="53">
        <f t="shared" ref="BX12:BY12" si="17">BX11-BX15</f>
        <v>22433840.789999992</v>
      </c>
      <c r="BY12" s="53">
        <f t="shared" si="17"/>
        <v>16894417.129999995</v>
      </c>
      <c r="BZ12" s="53">
        <f t="shared" ref="BZ12:CA12" si="18">BZ11-BZ15</f>
        <v>26901069.629999995</v>
      </c>
      <c r="CA12" s="53">
        <f t="shared" si="18"/>
        <v>63265485.879999995</v>
      </c>
      <c r="CB12" s="53">
        <f t="shared" ref="CB12:CC12" si="19">CB11-CB15</f>
        <v>62081152.220000014</v>
      </c>
      <c r="CC12" s="53">
        <f t="shared" si="19"/>
        <v>54967889.640000015</v>
      </c>
    </row>
    <row r="13" spans="1:81">
      <c r="A13" s="20"/>
      <c r="B13" s="16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</row>
    <row r="14" spans="1:81" s="14" customFormat="1">
      <c r="A14" s="28">
        <v>5.3</v>
      </c>
      <c r="B14" s="16" t="s">
        <v>257</v>
      </c>
      <c r="C14" s="53" t="e">
        <f>C15+C16+C17+C18+C19+C20+C21</f>
        <v>#REF!</v>
      </c>
      <c r="D14" s="53" t="e">
        <f t="shared" ref="D14:K14" si="20">D15+D16+D17+D18+D19+D20+D21</f>
        <v>#REF!</v>
      </c>
      <c r="E14" s="53" t="e">
        <f>E15+E16+E17+E18+E19+E20+E21</f>
        <v>#REF!</v>
      </c>
      <c r="F14" s="53" t="e">
        <f>F15+F16+F17+F18+F19+F20+F21</f>
        <v>#REF!</v>
      </c>
      <c r="G14" s="53" t="e">
        <f t="shared" si="20"/>
        <v>#REF!</v>
      </c>
      <c r="H14" s="53" t="e">
        <f t="shared" si="20"/>
        <v>#REF!</v>
      </c>
      <c r="I14" s="53" t="e">
        <f t="shared" si="20"/>
        <v>#REF!</v>
      </c>
      <c r="J14" s="53" t="e">
        <f t="shared" si="20"/>
        <v>#REF!</v>
      </c>
      <c r="K14" s="53" t="e">
        <f t="shared" si="20"/>
        <v>#REF!</v>
      </c>
      <c r="L14" s="53" t="e">
        <f>L15+L16+L17+L18+L19+L20+L21</f>
        <v>#REF!</v>
      </c>
      <c r="M14" s="53" t="e">
        <f t="shared" ref="M14:S14" si="21">M15+M16+M17+M18+M19+M20+M21</f>
        <v>#REF!</v>
      </c>
      <c r="N14" s="53" t="e">
        <f t="shared" si="21"/>
        <v>#REF!</v>
      </c>
      <c r="O14" s="53" t="e">
        <f t="shared" si="21"/>
        <v>#REF!</v>
      </c>
      <c r="P14" s="53" t="e">
        <f t="shared" si="21"/>
        <v>#REF!</v>
      </c>
      <c r="Q14" s="53" t="e">
        <f t="shared" si="21"/>
        <v>#REF!</v>
      </c>
      <c r="R14" s="53" t="e">
        <f t="shared" si="21"/>
        <v>#REF!</v>
      </c>
      <c r="S14" s="53">
        <f t="shared" si="21"/>
        <v>28583088</v>
      </c>
      <c r="T14" s="53">
        <f t="shared" ref="T14:AR14" si="22">T15+T16+T17+T18+T19+T20+T21</f>
        <v>35172507.979999997</v>
      </c>
      <c r="U14" s="53">
        <f t="shared" si="22"/>
        <v>36825742.660000011</v>
      </c>
      <c r="V14" s="53">
        <f t="shared" si="22"/>
        <v>36728214.719999999</v>
      </c>
      <c r="W14" s="53">
        <f t="shared" si="22"/>
        <v>35957635.720000006</v>
      </c>
      <c r="X14" s="53">
        <f t="shared" si="22"/>
        <v>44627940.139999993</v>
      </c>
      <c r="Y14" s="53">
        <f t="shared" si="22"/>
        <v>43592689.339999996</v>
      </c>
      <c r="Z14" s="53">
        <f t="shared" si="22"/>
        <v>47431110.469999991</v>
      </c>
      <c r="AA14" s="53">
        <f t="shared" si="22"/>
        <v>46459137.459999993</v>
      </c>
      <c r="AB14" s="53">
        <f t="shared" si="22"/>
        <v>42054892.720000006</v>
      </c>
      <c r="AC14" s="53">
        <f t="shared" si="22"/>
        <v>42428569.68</v>
      </c>
      <c r="AD14" s="53">
        <f t="shared" si="22"/>
        <v>40985554.850000001</v>
      </c>
      <c r="AE14" s="53">
        <f t="shared" si="22"/>
        <v>38846093.450000003</v>
      </c>
      <c r="AF14" s="53">
        <f t="shared" si="22"/>
        <v>150568458</v>
      </c>
      <c r="AG14" s="53">
        <f t="shared" si="22"/>
        <v>38857996.190000005</v>
      </c>
      <c r="AH14" s="53">
        <f t="shared" si="22"/>
        <v>36436617.410000004</v>
      </c>
      <c r="AI14" s="53">
        <f t="shared" si="22"/>
        <v>37852265.049999997</v>
      </c>
      <c r="AJ14" s="53">
        <f t="shared" si="22"/>
        <v>36562102.609999999</v>
      </c>
      <c r="AK14" s="53">
        <f t="shared" si="22"/>
        <v>34310530.950000003</v>
      </c>
      <c r="AL14" s="53" t="e">
        <f t="shared" si="22"/>
        <v>#VALUE!</v>
      </c>
      <c r="AM14" s="53">
        <f t="shared" si="22"/>
        <v>61158702.280000001</v>
      </c>
      <c r="AN14" s="53">
        <f t="shared" si="22"/>
        <v>60678683.109999999</v>
      </c>
      <c r="AO14" s="53">
        <f t="shared" si="22"/>
        <v>58281302.379999995</v>
      </c>
      <c r="AP14" s="53">
        <f t="shared" si="22"/>
        <v>55522952.639999993</v>
      </c>
      <c r="AQ14" s="53">
        <f t="shared" si="22"/>
        <v>52538025.849999994</v>
      </c>
      <c r="AR14" s="53">
        <f t="shared" si="22"/>
        <v>55790411</v>
      </c>
      <c r="AS14" s="53">
        <f t="shared" ref="AS14:AY14" si="23">AS15+AS16+AS17+AS18+AS19+AS20+AS21</f>
        <v>160128277</v>
      </c>
      <c r="AT14" s="53">
        <f t="shared" si="23"/>
        <v>54293651.140000008</v>
      </c>
      <c r="AU14" s="53">
        <f t="shared" si="23"/>
        <v>48151038.430000007</v>
      </c>
      <c r="AV14" s="53">
        <f t="shared" si="23"/>
        <v>46437932.770000003</v>
      </c>
      <c r="AW14" s="53">
        <f t="shared" si="23"/>
        <v>53998337.020000003</v>
      </c>
      <c r="AX14" s="53">
        <f t="shared" si="23"/>
        <v>52617241.140000001</v>
      </c>
      <c r="AY14" s="53">
        <f t="shared" si="23"/>
        <v>68707641.780000001</v>
      </c>
      <c r="AZ14" s="53" t="e">
        <f t="shared" ref="AZ14:BF14" si="24">AZ15+AZ16+AZ17+AZ18+AZ19+AZ20+AZ21</f>
        <v>#REF!</v>
      </c>
      <c r="BA14" s="53">
        <f t="shared" si="24"/>
        <v>70023505.060000002</v>
      </c>
      <c r="BB14" s="53">
        <f t="shared" si="24"/>
        <v>74161357.680000007</v>
      </c>
      <c r="BC14" s="53">
        <f t="shared" si="24"/>
        <v>76672258.059999987</v>
      </c>
      <c r="BD14" s="53">
        <f t="shared" si="24"/>
        <v>73279678.799999997</v>
      </c>
      <c r="BE14" s="53">
        <f t="shared" si="24"/>
        <v>64753628.919999994</v>
      </c>
      <c r="BF14" s="53">
        <f t="shared" si="24"/>
        <v>62199401</v>
      </c>
      <c r="BG14" s="53">
        <f t="shared" ref="BG14:BP14" si="25">BG15+BG16+BG17+BG18+BG19+BG20+BG21</f>
        <v>62235447.939999998</v>
      </c>
      <c r="BH14" s="53">
        <f t="shared" si="25"/>
        <v>58298707.899999999</v>
      </c>
      <c r="BI14" s="53">
        <f t="shared" si="25"/>
        <v>56829269.479999997</v>
      </c>
      <c r="BJ14" s="53">
        <f t="shared" si="25"/>
        <v>63649122.11999999</v>
      </c>
      <c r="BK14" s="53">
        <f t="shared" si="25"/>
        <v>59152162.549999997</v>
      </c>
      <c r="BL14" s="53">
        <f t="shared" si="25"/>
        <v>54366734.119999997</v>
      </c>
      <c r="BM14" s="53">
        <f t="shared" si="25"/>
        <v>51737955.639999993</v>
      </c>
      <c r="BN14" s="53">
        <f t="shared" si="25"/>
        <v>43373489.37999998</v>
      </c>
      <c r="BO14" s="53">
        <f t="shared" si="25"/>
        <v>37122292</v>
      </c>
      <c r="BP14" s="53">
        <f t="shared" si="25"/>
        <v>75585850.099999994</v>
      </c>
      <c r="BQ14" s="53">
        <f t="shared" ref="BQ14:BS14" si="26">BQ15+BQ16+BQ17+BQ18+BQ19+BQ20+BQ21</f>
        <v>80410427.359999999</v>
      </c>
      <c r="BR14" s="53">
        <f t="shared" si="26"/>
        <v>87593982.620000005</v>
      </c>
      <c r="BS14" s="53">
        <f t="shared" si="26"/>
        <v>81050538</v>
      </c>
      <c r="BT14" s="53">
        <f t="shared" ref="BT14:BW14" si="27">BT15+BT16+BT17+BT18+BT19+BT20+BT21</f>
        <v>102374455</v>
      </c>
      <c r="BU14" s="53">
        <f t="shared" si="27"/>
        <v>106023968.52</v>
      </c>
      <c r="BV14" s="53">
        <f t="shared" si="27"/>
        <v>103255668.09</v>
      </c>
      <c r="BW14" s="53">
        <f t="shared" si="27"/>
        <v>102836504.3</v>
      </c>
      <c r="BX14" s="53">
        <f t="shared" ref="BX14:BY14" si="28">BX15+BX16+BX17+BX18+BX19+BX20+BX21</f>
        <v>100449056.55</v>
      </c>
      <c r="BY14" s="53">
        <f t="shared" si="28"/>
        <v>95241749.390000001</v>
      </c>
      <c r="BZ14" s="53">
        <f t="shared" ref="BZ14:CA14" si="29">BZ15+BZ16+BZ17+BZ18+BZ19+BZ20+BZ21</f>
        <v>105572281.89</v>
      </c>
      <c r="CA14" s="53">
        <f t="shared" si="29"/>
        <v>142808878.19</v>
      </c>
      <c r="CB14" s="53">
        <f t="shared" ref="CB14:CC14" si="30">CB15+CB16+CB17+CB18+CB19+CB20+CB21</f>
        <v>142255643.68000001</v>
      </c>
      <c r="CC14" s="53">
        <f t="shared" si="30"/>
        <v>135585939.96000001</v>
      </c>
    </row>
    <row r="15" spans="1:81">
      <c r="A15" s="20" t="s">
        <v>258</v>
      </c>
      <c r="B15" s="21" t="s">
        <v>259</v>
      </c>
      <c r="C15" s="52" t="e">
        <f>'Evolutive SFP'!#REF!</f>
        <v>#REF!</v>
      </c>
      <c r="D15" s="52" t="e">
        <f>'Evolutive SFP'!#REF!</f>
        <v>#REF!</v>
      </c>
      <c r="E15" s="52" t="e">
        <f>'Evolutive SFP'!#REF!</f>
        <v>#REF!</v>
      </c>
      <c r="F15" s="52" t="e">
        <f>'Evolutive SFP'!#REF!</f>
        <v>#REF!</v>
      </c>
      <c r="G15" s="52" t="e">
        <f>'Evolutive SFP'!#REF!</f>
        <v>#REF!</v>
      </c>
      <c r="H15" s="52" t="e">
        <f>'Evolutive SFP'!#REF!</f>
        <v>#REF!</v>
      </c>
      <c r="I15" s="52" t="e">
        <f>'Evolutive SFP'!#REF!</f>
        <v>#REF!</v>
      </c>
      <c r="J15" s="52" t="e">
        <f>'Evolutive SFP'!#REF!</f>
        <v>#REF!</v>
      </c>
      <c r="K15" s="52" t="e">
        <f>'Evolutive SFP'!#REF!</f>
        <v>#REF!</v>
      </c>
      <c r="L15" s="52" t="e">
        <f>'Evolutive SFP'!#REF!</f>
        <v>#REF!</v>
      </c>
      <c r="M15" s="52" t="e">
        <f>'Evolutive SFP'!#REF!</f>
        <v>#REF!</v>
      </c>
      <c r="N15" s="52" t="e">
        <f>'Evolutive SFP'!#REF!</f>
        <v>#REF!</v>
      </c>
      <c r="O15" s="52" t="e">
        <f>'Evolutive SFP'!#REF!</f>
        <v>#REF!</v>
      </c>
      <c r="P15" s="52" t="e">
        <f>'Evolutive SFP'!#REF!</f>
        <v>#REF!</v>
      </c>
      <c r="Q15" s="52" t="e">
        <f>'Evolutive SFP'!#REF!</f>
        <v>#REF!</v>
      </c>
      <c r="R15" s="52" t="e">
        <f>'Evolutive SFP'!#REF!</f>
        <v>#REF!</v>
      </c>
      <c r="S15" s="52">
        <f>'Evolutive SFP'!AV39</f>
        <v>51220150</v>
      </c>
      <c r="T15" s="52">
        <f>'Evolutive SFP'!AW39</f>
        <v>51274918.310000002</v>
      </c>
      <c r="U15" s="52">
        <f>'Evolutive SFP'!AX39</f>
        <v>51389970.310000002</v>
      </c>
      <c r="V15" s="52">
        <f>'Evolutive SFP'!AY39</f>
        <v>51449946.310000002</v>
      </c>
      <c r="W15" s="52">
        <f>'Evolutive SFP'!AZ39</f>
        <v>51557960.310000002</v>
      </c>
      <c r="X15" s="52">
        <f>'Evolutive SFP'!BA39</f>
        <v>52114502.130000003</v>
      </c>
      <c r="Y15" s="52">
        <f>'Evolutive SFP'!BB39</f>
        <v>52450928.130000003</v>
      </c>
      <c r="Z15" s="52">
        <f>'Evolutive SFP'!BC39</f>
        <v>52710774.130000003</v>
      </c>
      <c r="AA15" s="52">
        <f>'Evolutive SFP'!BD39</f>
        <v>52889882.130000003</v>
      </c>
      <c r="AB15" s="52">
        <f>'Evolutive SFP'!BE39</f>
        <v>52997068.130000003</v>
      </c>
      <c r="AC15" s="52">
        <f>'Evolutive SFP'!BF39</f>
        <v>53128365.380000003</v>
      </c>
      <c r="AD15" s="52">
        <f>'Evolutive SFP'!BG39</f>
        <v>53410692.380000003</v>
      </c>
      <c r="AE15" s="52">
        <f>'Evolutive SFP'!BH39</f>
        <v>58962033.990000002</v>
      </c>
      <c r="AF15" s="52">
        <f>'Evolutive SFP'!BI39</f>
        <v>58962034</v>
      </c>
      <c r="AG15" s="52">
        <f>'Evolutive SFP'!BJ39</f>
        <v>59174646.990000002</v>
      </c>
      <c r="AH15" s="52">
        <f>'Evolutive SFP'!BK39</f>
        <v>59307946.990000002</v>
      </c>
      <c r="AI15" s="52">
        <f>'Evolutive SFP'!BL39</f>
        <v>59510136.990000002</v>
      </c>
      <c r="AJ15" s="52">
        <f>'Evolutive SFP'!BM39</f>
        <v>59661536.990000002</v>
      </c>
      <c r="AK15" s="52">
        <f>'Evolutive SFP'!BN39</f>
        <v>59793336.990000002</v>
      </c>
      <c r="AL15" s="52">
        <f>'Evolutive SFP'!BO39</f>
        <v>59900536.990000002</v>
      </c>
      <c r="AM15" s="52">
        <f>'Evolutive SFP'!BP39</f>
        <v>60573192.920000002</v>
      </c>
      <c r="AN15" s="52">
        <f>'Evolutive SFP'!BQ39</f>
        <v>60859092.920000002</v>
      </c>
      <c r="AO15" s="52">
        <f>'Evolutive SFP'!BR39</f>
        <v>61012092.920000002</v>
      </c>
      <c r="AP15" s="52">
        <f>'Evolutive SFP'!BS39</f>
        <v>61139609.670000002</v>
      </c>
      <c r="AQ15" s="52">
        <f>'Evolutive SFP'!BT39</f>
        <v>61290689.670000002</v>
      </c>
      <c r="AR15" s="52">
        <f>'Evolutive SFP'!BU39</f>
        <v>66711729.950000003</v>
      </c>
      <c r="AS15" s="52">
        <f>'Evolutive SFP'!BV39</f>
        <v>66711729</v>
      </c>
      <c r="AT15" s="52">
        <f>'Evolutive SFP'!BW39</f>
        <v>66839129.950000003</v>
      </c>
      <c r="AU15" s="52">
        <f>'Evolutive SFP'!BX39</f>
        <v>66942029.950000003</v>
      </c>
      <c r="AV15" s="52">
        <f>'Evolutive SFP'!BY39</f>
        <v>67024729.950000003</v>
      </c>
      <c r="AW15" s="52">
        <f>'Evolutive SFP'!BZ39</f>
        <v>67228415.810000002</v>
      </c>
      <c r="AX15" s="52">
        <f>'Evolutive SFP'!CA39</f>
        <v>67195059.959999993</v>
      </c>
      <c r="AY15" s="52">
        <f>'Evolutive SFP'!CB39</f>
        <v>67539981.209999993</v>
      </c>
      <c r="AZ15" s="52" t="e">
        <f>'Evolutive SFP'!#REF!</f>
        <v>#REF!</v>
      </c>
      <c r="BA15" s="52">
        <f>'Evolutive SFP'!CC39</f>
        <v>67783453.310000002</v>
      </c>
      <c r="BB15" s="52">
        <f>'Evolutive SFP'!CD39</f>
        <v>67986283.040000007</v>
      </c>
      <c r="BC15" s="52">
        <f>'Evolutive SFP'!CE39</f>
        <v>68176578.379999995</v>
      </c>
      <c r="BD15" s="52">
        <f>'Evolutive SFP'!CF39</f>
        <v>68306878.379999995</v>
      </c>
      <c r="BE15" s="52">
        <f>'Evolutive SFP'!CG39</f>
        <v>68433278.379999995</v>
      </c>
      <c r="BF15" s="52">
        <f>'Evolutive SFP'!CH39</f>
        <v>68433278</v>
      </c>
      <c r="BG15" s="52">
        <f>'Evolutive SFP'!CI39</f>
        <v>68636428.379999995</v>
      </c>
      <c r="BH15" s="52">
        <f>'Evolutive SFP'!CJ39</f>
        <v>68700328.379999995</v>
      </c>
      <c r="BI15" s="52">
        <f>'Evolutive SFP'!CK39</f>
        <v>68784228.379999995</v>
      </c>
      <c r="BJ15" s="52">
        <f>'Evolutive SFP'!CL39</f>
        <v>68852728.379999995</v>
      </c>
      <c r="BK15" s="52">
        <f>'Evolutive SFP'!CM39</f>
        <v>68933138.379999995</v>
      </c>
      <c r="BL15" s="52">
        <f>'Evolutive SFP'!CN39</f>
        <v>69003738.379999995</v>
      </c>
      <c r="BM15" s="52">
        <f>'Evolutive SFP'!CO39</f>
        <v>69120988.379999995</v>
      </c>
      <c r="BN15" s="52">
        <f>'Evolutive SFP'!CP39</f>
        <v>69151988.379999995</v>
      </c>
      <c r="BO15" s="52">
        <f>'Evolutive SFP'!CQ39</f>
        <v>69504626.310000002</v>
      </c>
      <c r="BP15" s="52">
        <f>'Evolutive SFP'!CR39</f>
        <v>70390202.450000003</v>
      </c>
      <c r="BQ15" s="52">
        <f>'Evolutive SFP'!CS39</f>
        <v>70538002.450000003</v>
      </c>
      <c r="BR15" s="52">
        <f>'Evolutive SFP'!CT39</f>
        <v>70707252.450000003</v>
      </c>
      <c r="BS15" s="52">
        <f>'Evolutive SFP'!CU39</f>
        <v>70707252</v>
      </c>
      <c r="BT15" s="52">
        <f>'Evolutive SFP'!CV39</f>
        <v>77017592</v>
      </c>
      <c r="BU15" s="52">
        <f>'Evolutive SFP'!CW39</f>
        <v>77287990.560000002</v>
      </c>
      <c r="BV15" s="52">
        <f>'Evolutive SFP'!CX39</f>
        <v>77557840.560000002</v>
      </c>
      <c r="BW15" s="52">
        <f>'Evolutive SFP'!CY39</f>
        <v>77824565.760000005</v>
      </c>
      <c r="BX15" s="52">
        <f>'Evolutive SFP'!CZ39</f>
        <v>78015215.760000005</v>
      </c>
      <c r="BY15" s="52">
        <f>'Evolutive SFP'!DA39</f>
        <v>78347332.260000005</v>
      </c>
      <c r="BZ15" s="52">
        <f>'Evolutive SFP'!DB39</f>
        <v>78671212.260000005</v>
      </c>
      <c r="CA15" s="52">
        <f>'Evolutive SFP'!DC39</f>
        <v>79543392.310000002</v>
      </c>
      <c r="CB15" s="52">
        <f>'Evolutive SFP'!DD39</f>
        <v>80174491.459999993</v>
      </c>
      <c r="CC15" s="52">
        <f>'Evolutive SFP'!DE39</f>
        <v>80618050.319999993</v>
      </c>
    </row>
    <row r="16" spans="1:81">
      <c r="A16" s="20" t="s">
        <v>260</v>
      </c>
      <c r="B16" s="22" t="s">
        <v>261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</row>
    <row r="17" spans="1:81">
      <c r="A17" s="20" t="s">
        <v>262</v>
      </c>
      <c r="B17" s="19" t="s">
        <v>263</v>
      </c>
      <c r="C17" s="52" t="e">
        <f>'Evolutive SFP'!#REF!</f>
        <v>#REF!</v>
      </c>
      <c r="D17" s="52" t="e">
        <f>'Evolutive SFP'!#REF!</f>
        <v>#REF!</v>
      </c>
      <c r="E17" s="52" t="e">
        <f>'Evolutive SFP'!#REF!</f>
        <v>#REF!</v>
      </c>
      <c r="F17" s="52" t="e">
        <f>'Evolutive SFP'!#REF!</f>
        <v>#REF!</v>
      </c>
      <c r="G17" s="52" t="e">
        <f>'Evolutive SFP'!#REF!</f>
        <v>#REF!</v>
      </c>
      <c r="H17" s="52" t="e">
        <f>'Evolutive SFP'!#REF!</f>
        <v>#REF!</v>
      </c>
      <c r="I17" s="52" t="e">
        <f>'Evolutive SFP'!#REF!</f>
        <v>#REF!</v>
      </c>
      <c r="J17" s="52" t="e">
        <f>'Evolutive SFP'!#REF!</f>
        <v>#REF!</v>
      </c>
      <c r="K17" s="52" t="e">
        <f>'Evolutive SFP'!#REF!</f>
        <v>#REF!</v>
      </c>
      <c r="L17" s="52" t="e">
        <f>'Evolutive SFP'!#REF!</f>
        <v>#REF!</v>
      </c>
      <c r="M17" s="52" t="e">
        <f>'Evolutive SFP'!#REF!</f>
        <v>#REF!</v>
      </c>
      <c r="N17" s="52" t="e">
        <f>'Evolutive SFP'!#REF!</f>
        <v>#REF!</v>
      </c>
      <c r="O17" s="52" t="e">
        <f>'Evolutive SFP'!#REF!</f>
        <v>#REF!</v>
      </c>
      <c r="P17" s="52" t="e">
        <f>'Evolutive SFP'!#REF!</f>
        <v>#REF!</v>
      </c>
      <c r="Q17" s="52" t="e">
        <f>'Evolutive SFP'!#REF!</f>
        <v>#REF!</v>
      </c>
      <c r="R17" s="52" t="e">
        <f>'Evolutive SFP'!#REF!</f>
        <v>#REF!</v>
      </c>
      <c r="S17" s="52">
        <f>'Evolutive SFP'!AV41</f>
        <v>-114885111</v>
      </c>
      <c r="T17" s="52">
        <f>'Evolutive SFP'!AW41</f>
        <v>-107445265.81</v>
      </c>
      <c r="U17" s="52">
        <f>'Evolutive SFP'!AX41</f>
        <v>-107423315.84999999</v>
      </c>
      <c r="V17" s="52">
        <f>'Evolutive SFP'!AY41</f>
        <v>-107452665.81</v>
      </c>
      <c r="W17" s="52">
        <f>'Evolutive SFP'!AZ41</f>
        <v>-107440165.81999999</v>
      </c>
      <c r="X17" s="52">
        <f>'Evolutive SFP'!BA41</f>
        <v>-111660812.18000001</v>
      </c>
      <c r="Y17" s="52">
        <f>'Evolutive SFP'!BB41</f>
        <v>-111660812.18000001</v>
      </c>
      <c r="Z17" s="52">
        <f>'Evolutive SFP'!BC41</f>
        <v>-113103652.18000001</v>
      </c>
      <c r="AA17" s="52">
        <f>'Evolutive SFP'!BD41</f>
        <v>-113188986.18000001</v>
      </c>
      <c r="AB17" s="52">
        <f>'Evolutive SFP'!BE41</f>
        <v>-113176770.14</v>
      </c>
      <c r="AC17" s="52">
        <f>'Evolutive SFP'!BF41</f>
        <v>-113160319.5</v>
      </c>
      <c r="AD17" s="52">
        <f>'Evolutive SFP'!BG41</f>
        <v>-113160319.5</v>
      </c>
      <c r="AE17" s="52">
        <f>'Evolutive SFP'!BH41</f>
        <v>-113304125.5</v>
      </c>
      <c r="AF17" s="52">
        <f>'Evolutive SFP'!BI41</f>
        <v>0</v>
      </c>
      <c r="AG17" s="52">
        <f>'Evolutive SFP'!BJ41</f>
        <v>-111313163.47</v>
      </c>
      <c r="AH17" s="52">
        <f>'Evolutive SFP'!BK41</f>
        <v>-111313163.47</v>
      </c>
      <c r="AI17" s="52">
        <f>'Evolutive SFP'!BL41</f>
        <v>-111284427.67</v>
      </c>
      <c r="AJ17" s="52">
        <f>'Evolutive SFP'!BM41</f>
        <v>-111284427.67</v>
      </c>
      <c r="AK17" s="52">
        <f>'Evolutive SFP'!BN41</f>
        <v>-111289377.67</v>
      </c>
      <c r="AL17" s="52">
        <f>'Evolutive SFP'!BO41</f>
        <v>-111289377.67</v>
      </c>
      <c r="AM17" s="52">
        <f>'Evolutive SFP'!BP41</f>
        <v>-111266877.67</v>
      </c>
      <c r="AN17" s="52">
        <f>'Evolutive SFP'!BQ41</f>
        <v>-111266877.67</v>
      </c>
      <c r="AO17" s="52">
        <f>'Evolutive SFP'!BR41</f>
        <v>-111266877.67</v>
      </c>
      <c r="AP17" s="52">
        <f>'Evolutive SFP'!BS41</f>
        <v>-113181675.90000001</v>
      </c>
      <c r="AQ17" s="52">
        <f>'Evolutive SFP'!BT41</f>
        <v>-113176725.90000001</v>
      </c>
      <c r="AR17" s="52">
        <f>'Evolutive SFP'!BU41</f>
        <v>-113457200.62</v>
      </c>
      <c r="AS17" s="52">
        <f>'Evolutive SFP'!BV41</f>
        <v>0</v>
      </c>
      <c r="AT17" s="52">
        <f>'Evolutive SFP'!BW41</f>
        <v>-102526009.88</v>
      </c>
      <c r="AU17" s="52">
        <f>'Evolutive SFP'!BX41</f>
        <v>-102526009.88</v>
      </c>
      <c r="AV17" s="52">
        <f>'Evolutive SFP'!BY41</f>
        <v>-102526009.88</v>
      </c>
      <c r="AW17" s="52">
        <f>'Evolutive SFP'!BZ41</f>
        <v>-102526009.88</v>
      </c>
      <c r="AX17" s="52">
        <f>'Evolutive SFP'!CA41</f>
        <v>-102526009.88</v>
      </c>
      <c r="AY17" s="52">
        <f>'Evolutive SFP'!CB41</f>
        <v>-103716301.88</v>
      </c>
      <c r="AZ17" s="52" t="e">
        <f>'Evolutive SFP'!#REF!</f>
        <v>#REF!</v>
      </c>
      <c r="BA17" s="52">
        <f>'Evolutive SFP'!CC41</f>
        <v>-105481701.62</v>
      </c>
      <c r="BB17" s="52">
        <f>'Evolutive SFP'!CD41</f>
        <v>-105480408.62</v>
      </c>
      <c r="BC17" s="52">
        <f>'Evolutive SFP'!CE41</f>
        <v>-105480408.62</v>
      </c>
      <c r="BD17" s="52">
        <f>'Evolutive SFP'!CF41</f>
        <v>-105480408.62</v>
      </c>
      <c r="BE17" s="52">
        <f>'Evolutive SFP'!CG41</f>
        <v>-105610285.89</v>
      </c>
      <c r="BF17" s="52">
        <f>'Evolutive SFP'!CH41</f>
        <v>-109356486</v>
      </c>
      <c r="BG17" s="52">
        <f>'Evolutive SFP'!CI41</f>
        <v>-97094424.560000002</v>
      </c>
      <c r="BH17" s="52">
        <f>'Evolutive SFP'!CJ41</f>
        <v>-97094424.560000002</v>
      </c>
      <c r="BI17" s="52">
        <f>'Evolutive SFP'!CK41</f>
        <v>-97094424.560000002</v>
      </c>
      <c r="BJ17" s="52">
        <f>'Evolutive SFP'!CL41</f>
        <v>-97094424.560000002</v>
      </c>
      <c r="BK17" s="52">
        <f>'Evolutive SFP'!CM41</f>
        <v>-97317646.560000002</v>
      </c>
      <c r="BL17" s="52">
        <f>'Evolutive SFP'!CN41</f>
        <v>-97316646.560000002</v>
      </c>
      <c r="BM17" s="52">
        <f>'Evolutive SFP'!CO41</f>
        <v>-97316646.560000002</v>
      </c>
      <c r="BN17" s="52">
        <f>'Evolutive SFP'!CP41</f>
        <v>-99263019.400000006</v>
      </c>
      <c r="BO17" s="52">
        <f>'Evolutive SFP'!CQ41</f>
        <v>-99263019.400000006</v>
      </c>
      <c r="BP17" s="52">
        <f>'Evolutive SFP'!CR41</f>
        <v>-99263019.400000006</v>
      </c>
      <c r="BQ17" s="52">
        <f>'Evolutive SFP'!CS41</f>
        <v>-99449782.400000006</v>
      </c>
      <c r="BR17" s="52">
        <f>'Evolutive SFP'!CT41</f>
        <v>-99533275.019999996</v>
      </c>
      <c r="BS17" s="52">
        <f>'Evolutive SFP'!CU41</f>
        <v>-87318842</v>
      </c>
      <c r="BT17" s="52">
        <f>'Evolutive SFP'!CV41</f>
        <v>-87318842</v>
      </c>
      <c r="BU17" s="52">
        <f>'Evolutive SFP'!CW41</f>
        <v>-67562652.150000006</v>
      </c>
      <c r="BV17" s="52">
        <f>'Evolutive SFP'!CX41</f>
        <v>-67658261.25</v>
      </c>
      <c r="BW17" s="52">
        <f>'Evolutive SFP'!CY41</f>
        <v>-67759932.150000006</v>
      </c>
      <c r="BX17" s="52">
        <f>'Evolutive SFP'!CZ41</f>
        <v>-67859932.150000006</v>
      </c>
      <c r="BY17" s="52">
        <f>'Evolutive SFP'!DA41</f>
        <v>-69979228.540000007</v>
      </c>
      <c r="BZ17" s="52">
        <f>'Evolutive SFP'!DB41</f>
        <v>-70179228.540000007</v>
      </c>
      <c r="CA17" s="52">
        <f>'Evolutive SFP'!DC41</f>
        <v>-70999127.540000007</v>
      </c>
      <c r="CB17" s="52">
        <f>'Evolutive SFP'!DD41</f>
        <v>-70366495.819999993</v>
      </c>
      <c r="CC17" s="52">
        <f>'Evolutive SFP'!DE41</f>
        <v>-70366495.819999993</v>
      </c>
    </row>
    <row r="18" spans="1:81">
      <c r="A18" s="20" t="s">
        <v>264</v>
      </c>
      <c r="B18" s="19" t="s">
        <v>265</v>
      </c>
      <c r="C18" s="52" t="e">
        <f>'Evolutive SFP'!#REF!</f>
        <v>#REF!</v>
      </c>
      <c r="D18" s="52" t="e">
        <f>'Evolutive SFP'!#REF!</f>
        <v>#REF!</v>
      </c>
      <c r="E18" s="52" t="e">
        <f>'Evolutive SFP'!#REF!</f>
        <v>#REF!</v>
      </c>
      <c r="F18" s="52" t="e">
        <f>'Evolutive SFP'!#REF!</f>
        <v>#REF!</v>
      </c>
      <c r="G18" s="52" t="e">
        <f>'Evolutive SFP'!#REF!</f>
        <v>#REF!</v>
      </c>
      <c r="H18" s="52" t="e">
        <f>'Evolutive SFP'!#REF!</f>
        <v>#REF!</v>
      </c>
      <c r="I18" s="52" t="e">
        <f>'Evolutive SFP'!#REF!</f>
        <v>#REF!</v>
      </c>
      <c r="J18" s="52" t="e">
        <f>'Evolutive SFP'!#REF!</f>
        <v>#REF!</v>
      </c>
      <c r="K18" s="52" t="e">
        <f>'Evolutive SFP'!#REF!</f>
        <v>#REF!</v>
      </c>
      <c r="L18" s="52" t="e">
        <f>'Evolutive SFP'!#REF!</f>
        <v>#REF!</v>
      </c>
      <c r="M18" s="52" t="e">
        <f>'Evolutive SFP'!#REF!</f>
        <v>#REF!</v>
      </c>
      <c r="N18" s="52" t="e">
        <f>'Evolutive SFP'!#REF!</f>
        <v>#REF!</v>
      </c>
      <c r="O18" s="52" t="e">
        <f>'Evolutive SFP'!#REF!</f>
        <v>#REF!</v>
      </c>
      <c r="P18" s="52" t="e">
        <f>'Evolutive SFP'!#REF!</f>
        <v>#REF!</v>
      </c>
      <c r="Q18" s="52" t="e">
        <f>'Evolutive SFP'!#REF!</f>
        <v>#REF!</v>
      </c>
      <c r="R18" s="52" t="e">
        <f>'Evolutive SFP'!#REF!</f>
        <v>#REF!</v>
      </c>
      <c r="S18" s="52">
        <f>'Evolutive SFP'!AV42</f>
        <v>983069</v>
      </c>
      <c r="T18" s="52">
        <f>'Evolutive SFP'!AW42</f>
        <v>256615.05</v>
      </c>
      <c r="U18" s="52">
        <f>'Evolutive SFP'!AX42</f>
        <v>1772847.77</v>
      </c>
      <c r="V18" s="52">
        <f>'Evolutive SFP'!AY42</f>
        <v>1644693.79</v>
      </c>
      <c r="W18" s="52">
        <f>'Evolutive SFP'!AZ42</f>
        <v>753600.8</v>
      </c>
      <c r="X18" s="52">
        <f>'Evolutive SFP'!BA42</f>
        <v>13088009.76</v>
      </c>
      <c r="Y18" s="52">
        <f>'Evolutive SFP'!BB42</f>
        <v>11716332.960000001</v>
      </c>
      <c r="Z18" s="52">
        <f>'Evolutive SFP'!BC42</f>
        <v>16625033.09</v>
      </c>
      <c r="AA18" s="52">
        <f>'Evolutive SFP'!BD42</f>
        <v>15559286.08</v>
      </c>
      <c r="AB18" s="52">
        <f>'Evolutive SFP'!BE42</f>
        <v>11035639.300000001</v>
      </c>
      <c r="AC18" s="52">
        <f>'Evolutive SFP'!BF42</f>
        <v>11261568.369999999</v>
      </c>
      <c r="AD18" s="52">
        <f>'Evolutive SFP'!BG42</f>
        <v>9536226.5399999991</v>
      </c>
      <c r="AE18" s="52">
        <f>'Evolutive SFP'!BH42</f>
        <v>1989229.53</v>
      </c>
      <c r="AF18" s="52">
        <f>'Evolutive SFP'!BI42</f>
        <v>0</v>
      </c>
      <c r="AG18" s="52">
        <f>'Evolutive SFP'!BJ42</f>
        <v>-202442.76</v>
      </c>
      <c r="AH18" s="52">
        <f>'Evolutive SFP'!BK42</f>
        <v>-2757121.54</v>
      </c>
      <c r="AI18" s="52">
        <f>'Evolutive SFP'!BL42</f>
        <v>-1572399.7</v>
      </c>
      <c r="AJ18" s="52">
        <f>'Evolutive SFP'!BM42</f>
        <v>-3013962.14</v>
      </c>
      <c r="AK18" s="52">
        <f>'Evolutive SFP'!BN42</f>
        <v>-5392383.7999999998</v>
      </c>
      <c r="AL18" s="52">
        <f>'Evolutive SFP'!BO42</f>
        <v>-2776123.19</v>
      </c>
      <c r="AM18" s="52">
        <f>'Evolutive SFP'!BP42</f>
        <v>20653431.600000001</v>
      </c>
      <c r="AN18" s="52">
        <f>'Evolutive SFP'!BQ42</f>
        <v>19887512.43</v>
      </c>
      <c r="AO18" s="52">
        <f>'Evolutive SFP'!BR42</f>
        <v>17337131.699999999</v>
      </c>
      <c r="AP18" s="52">
        <f>'Evolutive SFP'!BS42</f>
        <v>15958595.439999999</v>
      </c>
      <c r="AQ18" s="52">
        <f>'Evolutive SFP'!BT42</f>
        <v>12817638.65</v>
      </c>
      <c r="AR18" s="52">
        <f>'Evolutive SFP'!BU42</f>
        <v>10929458.24</v>
      </c>
      <c r="AS18" s="52">
        <f>'Evolutive SFP'!BV42</f>
        <v>0</v>
      </c>
      <c r="AT18" s="52">
        <f>'Evolutive SFP'!BW42</f>
        <v>-1625892.36</v>
      </c>
      <c r="AU18" s="52">
        <f>'Evolutive SFP'!BX42</f>
        <v>-7871405.0700000003</v>
      </c>
      <c r="AV18" s="52">
        <f>'Evolutive SFP'!BY42</f>
        <v>-9667210.7300000004</v>
      </c>
      <c r="AW18" s="52">
        <f>'Evolutive SFP'!BZ42</f>
        <v>-2310492.34</v>
      </c>
      <c r="AX18" s="52">
        <f>'Evolutive SFP'!CA42</f>
        <v>-3658232.37</v>
      </c>
      <c r="AY18" s="52">
        <f>'Evolutive SFP'!CB42</f>
        <v>13277539.02</v>
      </c>
      <c r="AZ18" s="52" t="e">
        <f>'Evolutive SFP'!#REF!</f>
        <v>#REF!</v>
      </c>
      <c r="BA18" s="52">
        <f>'Evolutive SFP'!CC42</f>
        <v>14305205.77</v>
      </c>
      <c r="BB18" s="52">
        <f>'Evolutive SFP'!CD42</f>
        <v>18238935.66</v>
      </c>
      <c r="BC18" s="52">
        <f>'Evolutive SFP'!CE42</f>
        <v>20559540.699999999</v>
      </c>
      <c r="BD18" s="52">
        <f>'Evolutive SFP'!CF42</f>
        <v>17036661.440000001</v>
      </c>
      <c r="BE18" s="52">
        <f>'Evolutive SFP'!CG42</f>
        <v>8514088.8300000001</v>
      </c>
      <c r="BF18" s="52">
        <f>'Evolutive SFP'!CH42</f>
        <v>8514089</v>
      </c>
      <c r="BG18" s="52">
        <f>'Evolutive SFP'!CI42</f>
        <v>-2723103.48</v>
      </c>
      <c r="BH18" s="52">
        <f>'Evolutive SFP'!CJ42</f>
        <v>-6723743.5199999996</v>
      </c>
      <c r="BI18" s="52">
        <f>'Evolutive SFP'!CK42</f>
        <v>-8277081.9400000004</v>
      </c>
      <c r="BJ18" s="52">
        <f>'Evolutive SFP'!CL42</f>
        <v>-1525729.3</v>
      </c>
      <c r="BK18" s="52">
        <f>'Evolutive SFP'!CM42</f>
        <v>-5879876.8700000001</v>
      </c>
      <c r="BL18" s="52">
        <f>'Evolutive SFP'!CN42</f>
        <v>-10736905.300000001</v>
      </c>
      <c r="BM18" s="52">
        <f>'Evolutive SFP'!CO42</f>
        <v>-13482933.779999999</v>
      </c>
      <c r="BN18" s="52">
        <f>'Evolutive SFP'!CP42</f>
        <v>-21123999.59</v>
      </c>
      <c r="BO18" s="52">
        <f>'Evolutive SFP'!CQ42</f>
        <v>-27727834.899999999</v>
      </c>
      <c r="BP18" s="52">
        <f>'Evolutive SFP'!CR42</f>
        <v>9850147.0600000005</v>
      </c>
      <c r="BQ18" s="52">
        <f>'Evolutive SFP'!CS42</f>
        <v>14713687.32</v>
      </c>
      <c r="BR18" s="52">
        <f>'Evolutive SFP'!CT42</f>
        <v>21811485.199999999</v>
      </c>
      <c r="BS18" s="52">
        <f>'Evolutive SFP'!CU42</f>
        <v>0</v>
      </c>
      <c r="BT18" s="52">
        <f>'Evolutive SFP'!CV42</f>
        <v>13094175</v>
      </c>
      <c r="BU18" s="52">
        <f>'Evolutive SFP'!CW42</f>
        <v>-1363497.81</v>
      </c>
      <c r="BV18" s="52">
        <f>'Evolutive SFP'!CX42</f>
        <v>-4306039.1399999997</v>
      </c>
      <c r="BW18" s="52">
        <f>'Evolutive SFP'!CY42</f>
        <v>-4890257.2300000004</v>
      </c>
      <c r="BX18" s="52">
        <f>'Evolutive SFP'!CZ42</f>
        <v>-7368354.9800000004</v>
      </c>
      <c r="BY18" s="52">
        <f>'Evolutive SFP'!DA42</f>
        <v>-12707883.93</v>
      </c>
      <c r="BZ18" s="52">
        <f>'Evolutive SFP'!DB42</f>
        <v>-2501231.4300000002</v>
      </c>
      <c r="CA18" s="52">
        <f>'Evolutive SFP'!DC42</f>
        <v>34683083.82</v>
      </c>
      <c r="CB18" s="52">
        <f>'Evolutive SFP'!DD42</f>
        <v>32866118.440000001</v>
      </c>
      <c r="CC18" s="52">
        <f>'Evolutive SFP'!DE42</f>
        <v>25752855.859999999</v>
      </c>
    </row>
    <row r="19" spans="1:81">
      <c r="A19" s="20" t="s">
        <v>266</v>
      </c>
      <c r="B19" s="19" t="s">
        <v>55</v>
      </c>
      <c r="C19" s="52" t="e">
        <f>'Evolutive SFP'!#REF!</f>
        <v>#REF!</v>
      </c>
      <c r="D19" s="52" t="e">
        <f>'Evolutive SFP'!#REF!</f>
        <v>#REF!</v>
      </c>
      <c r="E19" s="52" t="e">
        <f>'Evolutive SFP'!#REF!</f>
        <v>#REF!</v>
      </c>
      <c r="F19" s="52" t="e">
        <f>'Evolutive SFP'!#REF!</f>
        <v>#REF!</v>
      </c>
      <c r="G19" s="52" t="e">
        <f>'Evolutive SFP'!#REF!</f>
        <v>#REF!</v>
      </c>
      <c r="H19" s="52" t="e">
        <f>'Evolutive SFP'!#REF!</f>
        <v>#REF!</v>
      </c>
      <c r="I19" s="52" t="e">
        <f>'Evolutive SFP'!#REF!</f>
        <v>#REF!</v>
      </c>
      <c r="J19" s="52" t="e">
        <f>'Evolutive SFP'!#REF!</f>
        <v>#REF!</v>
      </c>
      <c r="K19" s="52" t="e">
        <f>'Evolutive SFP'!#REF!</f>
        <v>#REF!</v>
      </c>
      <c r="L19" s="52" t="e">
        <f>'Evolutive SFP'!#REF!</f>
        <v>#REF!</v>
      </c>
      <c r="M19" s="52" t="e">
        <f>'Evolutive SFP'!#REF!</f>
        <v>#REF!</v>
      </c>
      <c r="N19" s="52" t="e">
        <f>'Evolutive SFP'!#REF!</f>
        <v>#REF!</v>
      </c>
      <c r="O19" s="52" t="e">
        <f>'Evolutive SFP'!#REF!</f>
        <v>#REF!</v>
      </c>
      <c r="P19" s="52" t="e">
        <f>'Evolutive SFP'!#REF!</f>
        <v>#REF!</v>
      </c>
      <c r="Q19" s="52" t="e">
        <f>'Evolutive SFP'!#REF!</f>
        <v>#REF!</v>
      </c>
      <c r="R19" s="52" t="e">
        <f>'Evolutive SFP'!#REF!</f>
        <v>#REF!</v>
      </c>
      <c r="S19" s="52">
        <f>'Evolutive SFP'!AV43</f>
        <v>15357936</v>
      </c>
      <c r="T19" s="52">
        <f>'Evolutive SFP'!AW43</f>
        <v>15179196.43</v>
      </c>
      <c r="U19" s="52">
        <f>'Evolutive SFP'!AX43</f>
        <v>15179196.43</v>
      </c>
      <c r="V19" s="52">
        <f>'Evolutive SFP'!AY43</f>
        <v>15179196.43</v>
      </c>
      <c r="W19" s="52">
        <f>'Evolutive SFP'!AZ43</f>
        <v>15179196.43</v>
      </c>
      <c r="X19" s="52">
        <f>'Evolutive SFP'!BA43</f>
        <v>15179196.43</v>
      </c>
      <c r="Y19" s="52">
        <f>'Evolutive SFP'!BB43</f>
        <v>15179196.43</v>
      </c>
      <c r="Z19" s="52">
        <f>'Evolutive SFP'!BC43</f>
        <v>15291911.43</v>
      </c>
      <c r="AA19" s="52">
        <f>'Evolutive SFP'!BD43</f>
        <v>15291911.43</v>
      </c>
      <c r="AB19" s="52">
        <f>'Evolutive SFP'!BE43</f>
        <v>15291911.43</v>
      </c>
      <c r="AC19" s="52">
        <f>'Evolutive SFP'!BF43</f>
        <v>15291911.43</v>
      </c>
      <c r="AD19" s="52">
        <f>'Evolutive SFP'!BG43</f>
        <v>15291911.43</v>
      </c>
      <c r="AE19" s="52">
        <f>'Evolutive SFP'!BH43</f>
        <v>15291911.43</v>
      </c>
      <c r="AF19" s="52">
        <f>'Evolutive SFP'!BI43</f>
        <v>15699380</v>
      </c>
      <c r="AG19" s="52">
        <f>'Evolutive SFP'!BJ43</f>
        <v>15291911.43</v>
      </c>
      <c r="AH19" s="52">
        <f>'Evolutive SFP'!BK43</f>
        <v>15291911.43</v>
      </c>
      <c r="AI19" s="52">
        <f>'Evolutive SFP'!BL43</f>
        <v>15291911.43</v>
      </c>
      <c r="AJ19" s="52">
        <f>'Evolutive SFP'!BM43</f>
        <v>15291911.43</v>
      </c>
      <c r="AK19" s="52">
        <f>'Evolutive SFP'!BN43</f>
        <v>15291911.43</v>
      </c>
      <c r="AL19" s="52" t="str">
        <f>'Evolutive SFP'!BO43</f>
        <v xml:space="preserve"> </v>
      </c>
      <c r="AM19" s="52">
        <f>'Evolutive SFP'!BP43</f>
        <v>15291911.43</v>
      </c>
      <c r="AN19" s="52">
        <f>'Evolutive SFP'!BQ43</f>
        <v>15291911.43</v>
      </c>
      <c r="AO19" s="52">
        <f>'Evolutive SFP'!BR43</f>
        <v>15291911.43</v>
      </c>
      <c r="AP19" s="52">
        <f>'Evolutive SFP'!BS43</f>
        <v>15699379.43</v>
      </c>
      <c r="AQ19" s="52">
        <f>'Evolutive SFP'!BT43</f>
        <v>15699379.43</v>
      </c>
      <c r="AR19" s="52">
        <f>'Evolutive SFP'!BU43</f>
        <v>15699379.43</v>
      </c>
      <c r="AS19" s="52">
        <f>'Evolutive SFP'!BV43</f>
        <v>17509504</v>
      </c>
      <c r="AT19" s="52">
        <f>'Evolutive SFP'!BW43</f>
        <v>15699379.43</v>
      </c>
      <c r="AU19" s="52">
        <f>'Evolutive SFP'!BX43</f>
        <v>15699379.43</v>
      </c>
      <c r="AV19" s="52">
        <f>'Evolutive SFP'!BY43</f>
        <v>15699379.43</v>
      </c>
      <c r="AW19" s="52">
        <f>'Evolutive SFP'!BZ43</f>
        <v>15699379.43</v>
      </c>
      <c r="AX19" s="52">
        <f>'Evolutive SFP'!CA43</f>
        <v>15699379.43</v>
      </c>
      <c r="AY19" s="52">
        <f>'Evolutive SFP'!CB43</f>
        <v>15699379.43</v>
      </c>
      <c r="AZ19" s="52" t="e">
        <f>'Evolutive SFP'!#REF!</f>
        <v>#REF!</v>
      </c>
      <c r="BA19" s="52">
        <f>'Evolutive SFP'!CC43</f>
        <v>17509503.600000001</v>
      </c>
      <c r="BB19" s="52">
        <f>'Evolutive SFP'!CD43</f>
        <v>17509503.600000001</v>
      </c>
      <c r="BC19" s="52">
        <f>'Evolutive SFP'!CE43</f>
        <v>17509503.600000001</v>
      </c>
      <c r="BD19" s="52">
        <f>'Evolutive SFP'!CF43</f>
        <v>17509503.600000001</v>
      </c>
      <c r="BE19" s="52">
        <f>'Evolutive SFP'!CG43</f>
        <v>17509503.600000001</v>
      </c>
      <c r="BF19" s="52">
        <f>'Evolutive SFP'!CH43</f>
        <v>18701476</v>
      </c>
      <c r="BG19" s="52">
        <f>'Evolutive SFP'!CI43</f>
        <v>17509503.600000001</v>
      </c>
      <c r="BH19" s="52">
        <f>'Evolutive SFP'!CJ43</f>
        <v>17509503.600000001</v>
      </c>
      <c r="BI19" s="52">
        <f>'Evolutive SFP'!CK43</f>
        <v>17509503.600000001</v>
      </c>
      <c r="BJ19" s="52">
        <f>'Evolutive SFP'!CL43</f>
        <v>17509503.600000001</v>
      </c>
      <c r="BK19" s="52">
        <f>'Evolutive SFP'!CM43</f>
        <v>17509503.600000001</v>
      </c>
      <c r="BL19" s="52">
        <f>'Evolutive SFP'!CN43</f>
        <v>17509503.600000001</v>
      </c>
      <c r="BM19" s="52">
        <f>'Evolutive SFP'!CO43</f>
        <v>17509503.600000001</v>
      </c>
      <c r="BN19" s="52">
        <f>'Evolutive SFP'!CP43</f>
        <v>18701475.989999998</v>
      </c>
      <c r="BO19" s="52">
        <f>'Evolutive SFP'!CQ43</f>
        <v>18701475.989999998</v>
      </c>
      <c r="BP19" s="52">
        <f>'Evolutive SFP'!CR43</f>
        <v>18701475.989999998</v>
      </c>
      <c r="BQ19" s="52">
        <f>'Evolutive SFP'!CS43</f>
        <v>18701475.989999998</v>
      </c>
      <c r="BR19" s="52">
        <f>'Evolutive SFP'!CT43</f>
        <v>18701475.989999998</v>
      </c>
      <c r="BS19" s="52">
        <f>'Evolutive SFP'!CU43</f>
        <v>21755084</v>
      </c>
      <c r="BT19" s="52">
        <f>'Evolutive SFP'!CV43</f>
        <v>23674486</v>
      </c>
      <c r="BU19" s="52">
        <f>'Evolutive SFP'!CW43</f>
        <v>21755083.920000002</v>
      </c>
      <c r="BV19" s="52">
        <f>'Evolutive SFP'!CX43</f>
        <v>21755083.920000002</v>
      </c>
      <c r="BW19" s="52">
        <f>'Evolutive SFP'!CY43</f>
        <v>21755083.920000002</v>
      </c>
      <c r="BX19" s="52">
        <f>'Evolutive SFP'!CZ43</f>
        <v>21755083.920000002</v>
      </c>
      <c r="BY19" s="52">
        <f>'Evolutive SFP'!DA43</f>
        <v>23674485.600000001</v>
      </c>
      <c r="BZ19" s="52">
        <f>'Evolutive SFP'!DB43</f>
        <v>23674485.600000001</v>
      </c>
      <c r="CA19" s="52">
        <f>'Evolutive SFP'!DC43</f>
        <v>23674485.600000001</v>
      </c>
      <c r="CB19" s="52">
        <f>'Evolutive SFP'!DD43</f>
        <v>23674485.600000001</v>
      </c>
      <c r="CC19" s="52">
        <f>'Evolutive SFP'!DE43</f>
        <v>23674485.600000001</v>
      </c>
    </row>
    <row r="20" spans="1:81">
      <c r="A20" s="20" t="s">
        <v>267</v>
      </c>
      <c r="B20" s="19" t="s">
        <v>268</v>
      </c>
      <c r="C20" s="52" t="e">
        <f>('Evolutive SFP'!#REF!)</f>
        <v>#REF!</v>
      </c>
      <c r="D20" s="52" t="e">
        <f>('Evolutive SFP'!#REF!)</f>
        <v>#REF!</v>
      </c>
      <c r="E20" s="52" t="e">
        <f>('Evolutive SFP'!#REF!)</f>
        <v>#REF!</v>
      </c>
      <c r="F20" s="52" t="e">
        <f>('Evolutive SFP'!#REF!)</f>
        <v>#REF!</v>
      </c>
      <c r="G20" s="52" t="e">
        <f>('Evolutive SFP'!#REF!)</f>
        <v>#REF!</v>
      </c>
      <c r="H20" s="52" t="e">
        <f>('Evolutive SFP'!#REF!)</f>
        <v>#REF!</v>
      </c>
      <c r="I20" s="52" t="e">
        <f>('Evolutive SFP'!#REF!)</f>
        <v>#REF!</v>
      </c>
      <c r="J20" s="52" t="e">
        <f>('Evolutive SFP'!#REF!)</f>
        <v>#REF!</v>
      </c>
      <c r="K20" s="52" t="e">
        <f>('Evolutive SFP'!#REF!)</f>
        <v>#REF!</v>
      </c>
      <c r="L20" s="52" t="e">
        <f>('Evolutive SFP'!#REF!)</f>
        <v>#REF!</v>
      </c>
      <c r="M20" s="52" t="e">
        <f>('Evolutive SFP'!#REF!)</f>
        <v>#REF!</v>
      </c>
      <c r="N20" s="52" t="e">
        <f>('Evolutive SFP'!#REF!)</f>
        <v>#REF!</v>
      </c>
      <c r="O20" s="52" t="e">
        <f>('Evolutive SFP'!#REF!)</f>
        <v>#REF!</v>
      </c>
      <c r="P20" s="52" t="e">
        <f>('Evolutive SFP'!#REF!)</f>
        <v>#REF!</v>
      </c>
      <c r="Q20" s="52" t="e">
        <f>('Evolutive SFP'!#REF!)</f>
        <v>#REF!</v>
      </c>
      <c r="R20" s="52" t="e">
        <f>('Evolutive SFP'!#REF!)</f>
        <v>#REF!</v>
      </c>
      <c r="S20" s="52">
        <f>('Evolutive SFP'!AV44)</f>
        <v>75907044</v>
      </c>
      <c r="T20" s="52">
        <f>('Evolutive SFP'!AW44)</f>
        <v>75907044</v>
      </c>
      <c r="U20" s="52">
        <f>('Evolutive SFP'!AX44)</f>
        <v>75907044</v>
      </c>
      <c r="V20" s="52">
        <f>('Evolutive SFP'!AY44)</f>
        <v>75907044</v>
      </c>
      <c r="W20" s="52">
        <f>('Evolutive SFP'!AZ44)</f>
        <v>75907044</v>
      </c>
      <c r="X20" s="52">
        <f>('Evolutive SFP'!BA44)</f>
        <v>75907044</v>
      </c>
      <c r="Y20" s="52">
        <f>('Evolutive SFP'!BB44)</f>
        <v>75907044</v>
      </c>
      <c r="Z20" s="52">
        <f>('Evolutive SFP'!BC44)</f>
        <v>75907044</v>
      </c>
      <c r="AA20" s="52">
        <f>('Evolutive SFP'!BD44)</f>
        <v>75907044</v>
      </c>
      <c r="AB20" s="52">
        <f>('Evolutive SFP'!BE44)</f>
        <v>75907044</v>
      </c>
      <c r="AC20" s="52">
        <f>('Evolutive SFP'!BF44)</f>
        <v>75907044</v>
      </c>
      <c r="AD20" s="52">
        <f>('Evolutive SFP'!BG44)</f>
        <v>75907044</v>
      </c>
      <c r="AE20" s="52">
        <f>('Evolutive SFP'!BH44)</f>
        <v>75907044</v>
      </c>
      <c r="AF20" s="52">
        <f>('Evolutive SFP'!BI44)</f>
        <v>75907044</v>
      </c>
      <c r="AG20" s="52">
        <f>('Evolutive SFP'!BJ44)</f>
        <v>75907044</v>
      </c>
      <c r="AH20" s="52">
        <f>('Evolutive SFP'!BK44)</f>
        <v>75907044</v>
      </c>
      <c r="AI20" s="52">
        <f>('Evolutive SFP'!BL44)</f>
        <v>75907044</v>
      </c>
      <c r="AJ20" s="52">
        <f>('Evolutive SFP'!BM44)</f>
        <v>75907044</v>
      </c>
      <c r="AK20" s="52">
        <f>('Evolutive SFP'!BN44)</f>
        <v>75907044</v>
      </c>
      <c r="AL20" s="52">
        <f>('Evolutive SFP'!BO44)</f>
        <v>75907044</v>
      </c>
      <c r="AM20" s="52">
        <f>('Evolutive SFP'!BP44)</f>
        <v>75907044</v>
      </c>
      <c r="AN20" s="52">
        <f>('Evolutive SFP'!BQ44)</f>
        <v>75907044</v>
      </c>
      <c r="AO20" s="52">
        <f>('Evolutive SFP'!BR44)</f>
        <v>75907044</v>
      </c>
      <c r="AP20" s="52">
        <f>('Evolutive SFP'!BS44)</f>
        <v>75907044</v>
      </c>
      <c r="AQ20" s="52">
        <f>('Evolutive SFP'!BT44)</f>
        <v>75907044</v>
      </c>
      <c r="AR20" s="52">
        <f>('Evolutive SFP'!BU44)</f>
        <v>75907044</v>
      </c>
      <c r="AS20" s="52">
        <f>('Evolutive SFP'!BV44)</f>
        <v>75907044</v>
      </c>
      <c r="AT20" s="52">
        <f>('Evolutive SFP'!BW44)</f>
        <v>75907044</v>
      </c>
      <c r="AU20" s="52">
        <f>('Evolutive SFP'!BX44)</f>
        <v>75907044</v>
      </c>
      <c r="AV20" s="52">
        <f>('Evolutive SFP'!BY44)</f>
        <v>75907044</v>
      </c>
      <c r="AW20" s="52">
        <f>('Evolutive SFP'!BZ44)</f>
        <v>75907044</v>
      </c>
      <c r="AX20" s="52">
        <f>('Evolutive SFP'!CA44)</f>
        <v>75907044</v>
      </c>
      <c r="AY20" s="52">
        <f>('Evolutive SFP'!CB44)</f>
        <v>75907044</v>
      </c>
      <c r="AZ20" s="52" t="e">
        <f>('Evolutive SFP'!#REF!)</f>
        <v>#REF!</v>
      </c>
      <c r="BA20" s="52">
        <f>('Evolutive SFP'!CC44)</f>
        <v>75907044</v>
      </c>
      <c r="BB20" s="52">
        <f>('Evolutive SFP'!CD44)</f>
        <v>75907044</v>
      </c>
      <c r="BC20" s="52">
        <f>('Evolutive SFP'!CE44)</f>
        <v>75907044</v>
      </c>
      <c r="BD20" s="52">
        <f>('Evolutive SFP'!CF44)</f>
        <v>75907044</v>
      </c>
      <c r="BE20" s="52">
        <f>('Evolutive SFP'!CG44)</f>
        <v>75907044</v>
      </c>
      <c r="BF20" s="52">
        <f>('Evolutive SFP'!CH44)</f>
        <v>75907044</v>
      </c>
      <c r="BG20" s="52">
        <f>('Evolutive SFP'!CI44)</f>
        <v>75907044</v>
      </c>
      <c r="BH20" s="52">
        <f>('Evolutive SFP'!CJ44)</f>
        <v>75907044</v>
      </c>
      <c r="BI20" s="52">
        <f>('Evolutive SFP'!CK44)</f>
        <v>75907044</v>
      </c>
      <c r="BJ20" s="52">
        <f>('Evolutive SFP'!CL44)</f>
        <v>75907044</v>
      </c>
      <c r="BK20" s="52">
        <f>('Evolutive SFP'!CM44)</f>
        <v>75907044</v>
      </c>
      <c r="BL20" s="52">
        <f>('Evolutive SFP'!CN44)</f>
        <v>75907044</v>
      </c>
      <c r="BM20" s="52">
        <f>('Evolutive SFP'!CO44)</f>
        <v>75907044</v>
      </c>
      <c r="BN20" s="52">
        <f>('Evolutive SFP'!CP44)</f>
        <v>75907044</v>
      </c>
      <c r="BO20" s="52">
        <f>('Evolutive SFP'!CQ44)</f>
        <v>75907044</v>
      </c>
      <c r="BP20" s="52">
        <f>('Evolutive SFP'!CR44)</f>
        <v>75907044</v>
      </c>
      <c r="BQ20" s="52">
        <f>('Evolutive SFP'!CS44)</f>
        <v>75907044</v>
      </c>
      <c r="BR20" s="52">
        <f>('Evolutive SFP'!CT44)</f>
        <v>75907044</v>
      </c>
      <c r="BS20" s="52">
        <f>('Evolutive SFP'!CU44)</f>
        <v>75907044</v>
      </c>
      <c r="BT20" s="52">
        <f>('Evolutive SFP'!CV44)</f>
        <v>75907044</v>
      </c>
      <c r="BU20" s="52">
        <f>('Evolutive SFP'!CW44)</f>
        <v>75907044</v>
      </c>
      <c r="BV20" s="52">
        <f>('Evolutive SFP'!CX44)</f>
        <v>75907044</v>
      </c>
      <c r="BW20" s="52">
        <f>('Evolutive SFP'!CY44)</f>
        <v>75907044</v>
      </c>
      <c r="BX20" s="52">
        <f>('Evolutive SFP'!CZ44)</f>
        <v>75907044</v>
      </c>
      <c r="BY20" s="52">
        <f>('Evolutive SFP'!DA44)</f>
        <v>75907044</v>
      </c>
      <c r="BZ20" s="52">
        <f>('Evolutive SFP'!DB44)</f>
        <v>75907044</v>
      </c>
      <c r="CA20" s="52">
        <f>('Evolutive SFP'!DC44)</f>
        <v>75907044</v>
      </c>
      <c r="CB20" s="52">
        <f>('Evolutive SFP'!DD44)</f>
        <v>75907044</v>
      </c>
      <c r="CC20" s="52">
        <f>('Evolutive SFP'!DE44)</f>
        <v>75907044</v>
      </c>
    </row>
    <row r="21" spans="1:81">
      <c r="A21" s="20" t="s">
        <v>269</v>
      </c>
      <c r="B21" s="23" t="s">
        <v>270</v>
      </c>
      <c r="C21" s="52" t="e">
        <f>C22+C23</f>
        <v>#REF!</v>
      </c>
      <c r="D21" s="52" t="e">
        <f t="shared" ref="D21:K21" si="31">D22+D23</f>
        <v>#REF!</v>
      </c>
      <c r="E21" s="52" t="e">
        <f>E22+E23</f>
        <v>#REF!</v>
      </c>
      <c r="F21" s="52" t="e">
        <f>F22+F23</f>
        <v>#REF!</v>
      </c>
      <c r="G21" s="52" t="e">
        <f t="shared" si="31"/>
        <v>#REF!</v>
      </c>
      <c r="H21" s="52" t="e">
        <f t="shared" si="31"/>
        <v>#REF!</v>
      </c>
      <c r="I21" s="52" t="e">
        <f t="shared" si="31"/>
        <v>#REF!</v>
      </c>
      <c r="J21" s="52" t="e">
        <f t="shared" si="31"/>
        <v>#REF!</v>
      </c>
      <c r="K21" s="52" t="e">
        <f t="shared" si="31"/>
        <v>#REF!</v>
      </c>
      <c r="L21" s="52" t="e">
        <f>L22+L23</f>
        <v>#REF!</v>
      </c>
      <c r="M21" s="52" t="e">
        <f t="shared" ref="M21:S21" si="32">M22+M23</f>
        <v>#REF!</v>
      </c>
      <c r="N21" s="52" t="e">
        <f t="shared" si="32"/>
        <v>#REF!</v>
      </c>
      <c r="O21" s="52" t="e">
        <f t="shared" si="32"/>
        <v>#REF!</v>
      </c>
      <c r="P21" s="52" t="e">
        <f t="shared" si="32"/>
        <v>#REF!</v>
      </c>
      <c r="Q21" s="52" t="e">
        <f t="shared" si="32"/>
        <v>#REF!</v>
      </c>
      <c r="R21" s="52" t="e">
        <f t="shared" si="32"/>
        <v>#REF!</v>
      </c>
      <c r="S21" s="52">
        <f t="shared" si="32"/>
        <v>0</v>
      </c>
      <c r="T21" s="52">
        <f t="shared" ref="T21:AR21" si="33">T22+T23</f>
        <v>0</v>
      </c>
      <c r="U21" s="52">
        <f t="shared" si="33"/>
        <v>0</v>
      </c>
      <c r="V21" s="52">
        <f t="shared" si="33"/>
        <v>0</v>
      </c>
      <c r="W21" s="52">
        <f t="shared" si="33"/>
        <v>0</v>
      </c>
      <c r="X21" s="52">
        <f t="shared" si="33"/>
        <v>0</v>
      </c>
      <c r="Y21" s="52">
        <f t="shared" si="33"/>
        <v>0</v>
      </c>
      <c r="Z21" s="52">
        <f t="shared" si="33"/>
        <v>0</v>
      </c>
      <c r="AA21" s="52">
        <f t="shared" si="33"/>
        <v>0</v>
      </c>
      <c r="AB21" s="52">
        <f t="shared" si="33"/>
        <v>0</v>
      </c>
      <c r="AC21" s="52">
        <f t="shared" si="33"/>
        <v>0</v>
      </c>
      <c r="AD21" s="52">
        <f t="shared" si="33"/>
        <v>0</v>
      </c>
      <c r="AE21" s="52">
        <f t="shared" si="33"/>
        <v>0</v>
      </c>
      <c r="AF21" s="52">
        <f t="shared" si="33"/>
        <v>0</v>
      </c>
      <c r="AG21" s="52">
        <f t="shared" si="33"/>
        <v>0</v>
      </c>
      <c r="AH21" s="52">
        <f t="shared" si="33"/>
        <v>0</v>
      </c>
      <c r="AI21" s="52">
        <f t="shared" si="33"/>
        <v>0</v>
      </c>
      <c r="AJ21" s="52">
        <f t="shared" si="33"/>
        <v>0</v>
      </c>
      <c r="AK21" s="52">
        <f t="shared" si="33"/>
        <v>0</v>
      </c>
      <c r="AL21" s="52">
        <f t="shared" si="33"/>
        <v>0</v>
      </c>
      <c r="AM21" s="52">
        <f t="shared" si="33"/>
        <v>0</v>
      </c>
      <c r="AN21" s="52">
        <f t="shared" si="33"/>
        <v>0</v>
      </c>
      <c r="AO21" s="52">
        <f t="shared" si="33"/>
        <v>0</v>
      </c>
      <c r="AP21" s="52">
        <f t="shared" si="33"/>
        <v>0</v>
      </c>
      <c r="AQ21" s="52">
        <f t="shared" si="33"/>
        <v>0</v>
      </c>
      <c r="AR21" s="52">
        <f t="shared" si="33"/>
        <v>0</v>
      </c>
      <c r="AS21" s="52">
        <f t="shared" ref="AS21:AY21" si="34">AS22+AS23</f>
        <v>0</v>
      </c>
      <c r="AT21" s="52">
        <f t="shared" si="34"/>
        <v>0</v>
      </c>
      <c r="AU21" s="52">
        <f t="shared" si="34"/>
        <v>0</v>
      </c>
      <c r="AV21" s="52">
        <f t="shared" si="34"/>
        <v>0</v>
      </c>
      <c r="AW21" s="52">
        <f t="shared" si="34"/>
        <v>0</v>
      </c>
      <c r="AX21" s="52">
        <f t="shared" si="34"/>
        <v>0</v>
      </c>
      <c r="AY21" s="52">
        <f t="shared" si="34"/>
        <v>0</v>
      </c>
      <c r="AZ21" s="52" t="e">
        <f t="shared" ref="AZ21:BF21" si="35">AZ22+AZ23</f>
        <v>#REF!</v>
      </c>
      <c r="BA21" s="52">
        <f t="shared" si="35"/>
        <v>0</v>
      </c>
      <c r="BB21" s="52">
        <f t="shared" si="35"/>
        <v>0</v>
      </c>
      <c r="BC21" s="52">
        <f t="shared" si="35"/>
        <v>0</v>
      </c>
      <c r="BD21" s="52">
        <f t="shared" si="35"/>
        <v>0</v>
      </c>
      <c r="BE21" s="52">
        <f t="shared" si="35"/>
        <v>0</v>
      </c>
      <c r="BF21" s="52">
        <f t="shared" si="35"/>
        <v>0</v>
      </c>
      <c r="BG21" s="52">
        <f t="shared" ref="BG21:BP21" si="36">BG22+BG23</f>
        <v>0</v>
      </c>
      <c r="BH21" s="52">
        <f t="shared" si="36"/>
        <v>0</v>
      </c>
      <c r="BI21" s="52">
        <f t="shared" si="36"/>
        <v>0</v>
      </c>
      <c r="BJ21" s="52">
        <f t="shared" si="36"/>
        <v>0</v>
      </c>
      <c r="BK21" s="52">
        <f t="shared" si="36"/>
        <v>0</v>
      </c>
      <c r="BL21" s="52">
        <f t="shared" si="36"/>
        <v>0</v>
      </c>
      <c r="BM21" s="52">
        <f t="shared" si="36"/>
        <v>0</v>
      </c>
      <c r="BN21" s="52">
        <f t="shared" si="36"/>
        <v>0</v>
      </c>
      <c r="BO21" s="52">
        <f t="shared" si="36"/>
        <v>0</v>
      </c>
      <c r="BP21" s="52">
        <f t="shared" si="36"/>
        <v>0</v>
      </c>
      <c r="BQ21" s="52">
        <f t="shared" ref="BQ21:BS21" si="37">BQ22+BQ23</f>
        <v>0</v>
      </c>
      <c r="BR21" s="52">
        <f t="shared" si="37"/>
        <v>0</v>
      </c>
      <c r="BS21" s="52">
        <f t="shared" si="37"/>
        <v>0</v>
      </c>
      <c r="BT21" s="52">
        <f t="shared" ref="BT21:BW21" si="38">BT22+BT23</f>
        <v>0</v>
      </c>
      <c r="BU21" s="52">
        <f t="shared" si="38"/>
        <v>0</v>
      </c>
      <c r="BV21" s="52">
        <f t="shared" si="38"/>
        <v>0</v>
      </c>
      <c r="BW21" s="52">
        <f t="shared" si="38"/>
        <v>0</v>
      </c>
      <c r="BX21" s="52">
        <f t="shared" ref="BX21:BY21" si="39">BX22+BX23</f>
        <v>0</v>
      </c>
      <c r="BY21" s="52">
        <f t="shared" si="39"/>
        <v>0</v>
      </c>
      <c r="BZ21" s="52">
        <f t="shared" ref="BZ21:CA21" si="40">BZ22+BZ23</f>
        <v>0</v>
      </c>
      <c r="CA21" s="52">
        <f t="shared" si="40"/>
        <v>0</v>
      </c>
      <c r="CB21" s="52">
        <f t="shared" ref="CB21:CC21" si="41">CB22+CB23</f>
        <v>0</v>
      </c>
      <c r="CC21" s="52">
        <f t="shared" si="41"/>
        <v>0</v>
      </c>
    </row>
    <row r="22" spans="1:81">
      <c r="A22" s="24" t="s">
        <v>271</v>
      </c>
      <c r="B22" s="19" t="s">
        <v>59</v>
      </c>
      <c r="C22" s="52" t="e">
        <f>'Evolutive SFP'!#REF!</f>
        <v>#REF!</v>
      </c>
      <c r="D22" s="52" t="e">
        <f>'Evolutive SFP'!#REF!</f>
        <v>#REF!</v>
      </c>
      <c r="E22" s="52" t="e">
        <f>'Evolutive SFP'!#REF!</f>
        <v>#REF!</v>
      </c>
      <c r="F22" s="52" t="e">
        <f>'Evolutive SFP'!#REF!</f>
        <v>#REF!</v>
      </c>
      <c r="G22" s="52" t="e">
        <f>'Evolutive SFP'!#REF!</f>
        <v>#REF!</v>
      </c>
      <c r="H22" s="52" t="e">
        <f>'Evolutive SFP'!#REF!</f>
        <v>#REF!</v>
      </c>
      <c r="I22" s="52" t="e">
        <f>'Evolutive SFP'!#REF!</f>
        <v>#REF!</v>
      </c>
      <c r="J22" s="52" t="e">
        <f>'Evolutive SFP'!#REF!</f>
        <v>#REF!</v>
      </c>
      <c r="K22" s="52" t="e">
        <f>'Evolutive SFP'!#REF!</f>
        <v>#REF!</v>
      </c>
      <c r="L22" s="52" t="e">
        <f>'Evolutive SFP'!#REF!</f>
        <v>#REF!</v>
      </c>
      <c r="M22" s="52" t="e">
        <f>'Evolutive SFP'!#REF!</f>
        <v>#REF!</v>
      </c>
      <c r="N22" s="52" t="e">
        <f>'Evolutive SFP'!#REF!</f>
        <v>#REF!</v>
      </c>
      <c r="O22" s="52" t="e">
        <f>'Evolutive SFP'!#REF!</f>
        <v>#REF!</v>
      </c>
      <c r="P22" s="52" t="e">
        <f>'Evolutive SFP'!#REF!</f>
        <v>#REF!</v>
      </c>
      <c r="Q22" s="52" t="e">
        <f>'Evolutive SFP'!#REF!</f>
        <v>#REF!</v>
      </c>
      <c r="R22" s="52" t="e">
        <f>'Evolutive SFP'!#REF!</f>
        <v>#REF!</v>
      </c>
      <c r="S22" s="52">
        <f>'Evolutive SFP'!AV46</f>
        <v>0</v>
      </c>
      <c r="T22" s="52">
        <f>'Evolutive SFP'!AW46</f>
        <v>0</v>
      </c>
      <c r="U22" s="52">
        <f>'Evolutive SFP'!AX46</f>
        <v>0</v>
      </c>
      <c r="V22" s="52">
        <f>'Evolutive SFP'!AY46</f>
        <v>0</v>
      </c>
      <c r="W22" s="52">
        <f>'Evolutive SFP'!AZ46</f>
        <v>0</v>
      </c>
      <c r="X22" s="52">
        <f>'Evolutive SFP'!BA46</f>
        <v>0</v>
      </c>
      <c r="Y22" s="52">
        <f>'Evolutive SFP'!BB46</f>
        <v>0</v>
      </c>
      <c r="Z22" s="52">
        <f>'Evolutive SFP'!BC46</f>
        <v>0</v>
      </c>
      <c r="AA22" s="52">
        <f>'Evolutive SFP'!BD46</f>
        <v>0</v>
      </c>
      <c r="AB22" s="52">
        <f>'Evolutive SFP'!BE46</f>
        <v>0</v>
      </c>
      <c r="AC22" s="52">
        <f>'Evolutive SFP'!BF46</f>
        <v>0</v>
      </c>
      <c r="AD22" s="52">
        <f>'Evolutive SFP'!BG46</f>
        <v>0</v>
      </c>
      <c r="AE22" s="52">
        <f>'Evolutive SFP'!BH46</f>
        <v>0</v>
      </c>
      <c r="AF22" s="52">
        <f>'Evolutive SFP'!BI46</f>
        <v>0</v>
      </c>
      <c r="AG22" s="52">
        <f>'Evolutive SFP'!BJ46</f>
        <v>0</v>
      </c>
      <c r="AH22" s="52">
        <f>'Evolutive SFP'!BK46</f>
        <v>0</v>
      </c>
      <c r="AI22" s="52">
        <f>'Evolutive SFP'!BL46</f>
        <v>0</v>
      </c>
      <c r="AJ22" s="52">
        <f>'Evolutive SFP'!BM46</f>
        <v>0</v>
      </c>
      <c r="AK22" s="52">
        <f>'Evolutive SFP'!BN46</f>
        <v>0</v>
      </c>
      <c r="AL22" s="52">
        <f>'Evolutive SFP'!BO46</f>
        <v>0</v>
      </c>
      <c r="AM22" s="52">
        <f>'Evolutive SFP'!BP46</f>
        <v>0</v>
      </c>
      <c r="AN22" s="52">
        <f>'Evolutive SFP'!BQ46</f>
        <v>0</v>
      </c>
      <c r="AO22" s="52">
        <f>'Evolutive SFP'!BR46</f>
        <v>0</v>
      </c>
      <c r="AP22" s="52">
        <f>'Evolutive SFP'!BS46</f>
        <v>0</v>
      </c>
      <c r="AQ22" s="52">
        <f>'Evolutive SFP'!BT46</f>
        <v>0</v>
      </c>
      <c r="AR22" s="52">
        <f>'Evolutive SFP'!BU46</f>
        <v>0</v>
      </c>
      <c r="AS22" s="52">
        <f>'Evolutive SFP'!BV46</f>
        <v>0</v>
      </c>
      <c r="AT22" s="52">
        <f>'Evolutive SFP'!BW46</f>
        <v>0</v>
      </c>
      <c r="AU22" s="52">
        <f>'Evolutive SFP'!BX46</f>
        <v>0</v>
      </c>
      <c r="AV22" s="52">
        <f>'Evolutive SFP'!BY46</f>
        <v>0</v>
      </c>
      <c r="AW22" s="52">
        <f>'Evolutive SFP'!BZ46</f>
        <v>0</v>
      </c>
      <c r="AX22" s="52">
        <f>'Evolutive SFP'!CA46</f>
        <v>0</v>
      </c>
      <c r="AY22" s="52">
        <f>'Evolutive SFP'!CB46</f>
        <v>0</v>
      </c>
      <c r="AZ22" s="52" t="e">
        <f>'Evolutive SFP'!#REF!</f>
        <v>#REF!</v>
      </c>
      <c r="BA22" s="52">
        <f>'Evolutive SFP'!CC46</f>
        <v>0</v>
      </c>
      <c r="BB22" s="52">
        <f>'Evolutive SFP'!CD46</f>
        <v>0</v>
      </c>
      <c r="BC22" s="52">
        <f>'Evolutive SFP'!CE46</f>
        <v>0</v>
      </c>
      <c r="BD22" s="52">
        <f>'Evolutive SFP'!CF46</f>
        <v>0</v>
      </c>
      <c r="BE22" s="52">
        <f>'Evolutive SFP'!CG46</f>
        <v>0</v>
      </c>
      <c r="BF22" s="52">
        <f>'Evolutive SFP'!CH46</f>
        <v>0</v>
      </c>
      <c r="BG22" s="52">
        <f>'Evolutive SFP'!CI46</f>
        <v>0</v>
      </c>
      <c r="BH22" s="52">
        <f>'Evolutive SFP'!CJ46</f>
        <v>0</v>
      </c>
      <c r="BI22" s="52">
        <f>'Evolutive SFP'!CK46</f>
        <v>0</v>
      </c>
      <c r="BJ22" s="52">
        <f>'Evolutive SFP'!CL46</f>
        <v>0</v>
      </c>
      <c r="BK22" s="52">
        <f>'Evolutive SFP'!CM46</f>
        <v>0</v>
      </c>
      <c r="BL22" s="52">
        <f>'Evolutive SFP'!CN46</f>
        <v>0</v>
      </c>
      <c r="BM22" s="52">
        <f>'Evolutive SFP'!CO46</f>
        <v>0</v>
      </c>
      <c r="BN22" s="52">
        <f>'Evolutive SFP'!CP46</f>
        <v>0</v>
      </c>
      <c r="BO22" s="52">
        <f>'Evolutive SFP'!CQ46</f>
        <v>0</v>
      </c>
      <c r="BP22" s="52">
        <f>'Evolutive SFP'!CR46</f>
        <v>0</v>
      </c>
      <c r="BQ22" s="52">
        <f>'Evolutive SFP'!CS46</f>
        <v>0</v>
      </c>
      <c r="BR22" s="52">
        <f>'Evolutive SFP'!CT46</f>
        <v>0</v>
      </c>
      <c r="BS22" s="52">
        <f>'Evolutive SFP'!CU46</f>
        <v>0</v>
      </c>
      <c r="BT22" s="52">
        <f>'Evolutive SFP'!CV46</f>
        <v>0</v>
      </c>
      <c r="BU22" s="52">
        <f>'Evolutive SFP'!CW46</f>
        <v>0</v>
      </c>
      <c r="BV22" s="52">
        <f>'Evolutive SFP'!CX46</f>
        <v>0</v>
      </c>
      <c r="BW22" s="52">
        <f>'Evolutive SFP'!CY46</f>
        <v>0</v>
      </c>
      <c r="BX22" s="52">
        <f>'Evolutive SFP'!CZ46</f>
        <v>0</v>
      </c>
      <c r="BY22" s="52">
        <f>'Evolutive SFP'!DA46</f>
        <v>0</v>
      </c>
      <c r="BZ22" s="52">
        <f>'Evolutive SFP'!DB46</f>
        <v>0</v>
      </c>
      <c r="CA22" s="52">
        <f>'Evolutive SFP'!DC46</f>
        <v>0</v>
      </c>
      <c r="CB22" s="52">
        <f>'Evolutive SFP'!DD46</f>
        <v>0</v>
      </c>
      <c r="CC22" s="52">
        <f>'Evolutive SFP'!DE46</f>
        <v>0</v>
      </c>
    </row>
    <row r="23" spans="1:81">
      <c r="A23" s="24" t="s">
        <v>272</v>
      </c>
      <c r="B23" s="19" t="s">
        <v>273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</row>
    <row r="24" spans="1:81">
      <c r="A24" s="18"/>
      <c r="B24" s="25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</row>
    <row r="25" spans="1:81" s="14" customFormat="1">
      <c r="A25" s="28">
        <v>6</v>
      </c>
      <c r="B25" s="23" t="s">
        <v>274</v>
      </c>
      <c r="C25" s="53" t="e">
        <f>C26+C27+C28</f>
        <v>#REF!</v>
      </c>
      <c r="D25" s="53" t="e">
        <f t="shared" ref="D25:K25" si="42">D26+D27+D28</f>
        <v>#REF!</v>
      </c>
      <c r="E25" s="53" t="e">
        <f>E26+E27+E28</f>
        <v>#REF!</v>
      </c>
      <c r="F25" s="53" t="e">
        <f>F26+F27+F28</f>
        <v>#REF!</v>
      </c>
      <c r="G25" s="53" t="e">
        <f t="shared" si="42"/>
        <v>#REF!</v>
      </c>
      <c r="H25" s="53" t="e">
        <f t="shared" si="42"/>
        <v>#REF!</v>
      </c>
      <c r="I25" s="53" t="e">
        <f t="shared" si="42"/>
        <v>#REF!</v>
      </c>
      <c r="J25" s="53" t="e">
        <f t="shared" si="42"/>
        <v>#REF!</v>
      </c>
      <c r="K25" s="53" t="e">
        <f t="shared" si="42"/>
        <v>#REF!</v>
      </c>
      <c r="L25" s="53" t="e">
        <f>L26+L27+L28</f>
        <v>#REF!</v>
      </c>
      <c r="M25" s="53" t="e">
        <f t="shared" ref="M25:S25" si="43">M26+M27+M28</f>
        <v>#REF!</v>
      </c>
      <c r="N25" s="53" t="e">
        <f t="shared" si="43"/>
        <v>#REF!</v>
      </c>
      <c r="O25" s="53" t="e">
        <f t="shared" si="43"/>
        <v>#REF!</v>
      </c>
      <c r="P25" s="53" t="e">
        <f t="shared" si="43"/>
        <v>#REF!</v>
      </c>
      <c r="Q25" s="53" t="e">
        <f t="shared" si="43"/>
        <v>#REF!</v>
      </c>
      <c r="R25" s="53" t="e">
        <f t="shared" si="43"/>
        <v>#REF!</v>
      </c>
      <c r="S25" s="53">
        <f t="shared" si="43"/>
        <v>14314587</v>
      </c>
      <c r="T25" s="53">
        <f t="shared" ref="T25:BT25" si="44">T26+T27+T28</f>
        <v>0</v>
      </c>
      <c r="U25" s="53">
        <f t="shared" si="44"/>
        <v>0</v>
      </c>
      <c r="V25" s="53">
        <f t="shared" si="44"/>
        <v>0</v>
      </c>
      <c r="W25" s="53">
        <f t="shared" si="44"/>
        <v>0</v>
      </c>
      <c r="X25" s="53">
        <f t="shared" si="44"/>
        <v>0</v>
      </c>
      <c r="Y25" s="53">
        <f t="shared" si="44"/>
        <v>0</v>
      </c>
      <c r="Z25" s="53">
        <f t="shared" si="44"/>
        <v>0</v>
      </c>
      <c r="AA25" s="53">
        <f t="shared" si="44"/>
        <v>0</v>
      </c>
      <c r="AB25" s="53">
        <f t="shared" si="44"/>
        <v>0</v>
      </c>
      <c r="AC25" s="53">
        <f t="shared" si="44"/>
        <v>0</v>
      </c>
      <c r="AD25" s="53">
        <f t="shared" si="44"/>
        <v>0</v>
      </c>
      <c r="AE25" s="53">
        <f t="shared" si="44"/>
        <v>0</v>
      </c>
      <c r="AF25" s="53">
        <f t="shared" si="44"/>
        <v>0</v>
      </c>
      <c r="AG25" s="53">
        <f t="shared" si="44"/>
        <v>0</v>
      </c>
      <c r="AH25" s="53">
        <f t="shared" si="44"/>
        <v>0</v>
      </c>
      <c r="AI25" s="53">
        <f t="shared" si="44"/>
        <v>0</v>
      </c>
      <c r="AJ25" s="53">
        <f t="shared" si="44"/>
        <v>0</v>
      </c>
      <c r="AK25" s="53">
        <f t="shared" si="44"/>
        <v>0</v>
      </c>
      <c r="AL25" s="53">
        <f t="shared" si="44"/>
        <v>0</v>
      </c>
      <c r="AM25" s="53">
        <f t="shared" si="44"/>
        <v>0</v>
      </c>
      <c r="AN25" s="53">
        <f t="shared" si="44"/>
        <v>0</v>
      </c>
      <c r="AO25" s="53">
        <f t="shared" si="44"/>
        <v>0</v>
      </c>
      <c r="AP25" s="53">
        <f t="shared" si="44"/>
        <v>0</v>
      </c>
      <c r="AQ25" s="53">
        <f t="shared" si="44"/>
        <v>0</v>
      </c>
      <c r="AR25" s="53">
        <f t="shared" si="44"/>
        <v>0</v>
      </c>
      <c r="AS25" s="53">
        <f t="shared" si="44"/>
        <v>23445824</v>
      </c>
      <c r="AT25" s="53">
        <f t="shared" si="44"/>
        <v>0</v>
      </c>
      <c r="AU25" s="53">
        <f t="shared" si="44"/>
        <v>0</v>
      </c>
      <c r="AV25" s="53">
        <f t="shared" si="44"/>
        <v>0</v>
      </c>
      <c r="AW25" s="53">
        <f t="shared" si="44"/>
        <v>0</v>
      </c>
      <c r="AX25" s="53">
        <f t="shared" si="44"/>
        <v>0</v>
      </c>
      <c r="AY25" s="53">
        <f t="shared" si="44"/>
        <v>0</v>
      </c>
      <c r="AZ25" s="53">
        <f t="shared" si="44"/>
        <v>0</v>
      </c>
      <c r="BA25" s="53">
        <f t="shared" si="44"/>
        <v>0</v>
      </c>
      <c r="BB25" s="53">
        <f t="shared" si="44"/>
        <v>0</v>
      </c>
      <c r="BC25" s="53">
        <f t="shared" si="44"/>
        <v>0</v>
      </c>
      <c r="BD25" s="53">
        <f t="shared" si="44"/>
        <v>0</v>
      </c>
      <c r="BE25" s="53">
        <f t="shared" si="44"/>
        <v>33881714</v>
      </c>
      <c r="BF25" s="53">
        <f t="shared" si="44"/>
        <v>0</v>
      </c>
      <c r="BG25" s="53">
        <f t="shared" si="44"/>
        <v>0</v>
      </c>
      <c r="BH25" s="53">
        <f t="shared" si="44"/>
        <v>0</v>
      </c>
      <c r="BI25" s="53">
        <f t="shared" si="44"/>
        <v>93881714</v>
      </c>
      <c r="BJ25" s="53">
        <f t="shared" si="44"/>
        <v>93881714</v>
      </c>
      <c r="BK25" s="53">
        <f t="shared" si="44"/>
        <v>93881714</v>
      </c>
      <c r="BL25" s="53">
        <f t="shared" si="44"/>
        <v>33881714</v>
      </c>
      <c r="BM25" s="53">
        <f t="shared" si="44"/>
        <v>33881714</v>
      </c>
      <c r="BN25" s="53">
        <f t="shared" si="44"/>
        <v>33881714</v>
      </c>
      <c r="BO25" s="53">
        <f t="shared" si="44"/>
        <v>33881714</v>
      </c>
      <c r="BP25" s="53">
        <f t="shared" si="44"/>
        <v>33881714</v>
      </c>
      <c r="BQ25" s="53">
        <f t="shared" si="44"/>
        <v>33881714</v>
      </c>
      <c r="BR25" s="53">
        <f t="shared" si="44"/>
        <v>33881714</v>
      </c>
      <c r="BS25" s="53">
        <f t="shared" si="44"/>
        <v>99048618</v>
      </c>
      <c r="BT25" s="53">
        <f t="shared" si="44"/>
        <v>99048617.599999994</v>
      </c>
      <c r="BU25" s="53">
        <f t="shared" ref="BU25:BW25" si="45">BU26+BU27+BU28</f>
        <v>99048617.599999994</v>
      </c>
      <c r="BV25" s="53">
        <f t="shared" si="45"/>
        <v>99048617.599999994</v>
      </c>
      <c r="BW25" s="53">
        <f t="shared" si="45"/>
        <v>99048617.599999994</v>
      </c>
      <c r="BX25" s="53" t="e">
        <f t="shared" ref="BX25:BY25" si="46">BX26+BX27+BX28</f>
        <v>#REF!</v>
      </c>
      <c r="BY25" s="53" t="e">
        <f t="shared" si="46"/>
        <v>#REF!</v>
      </c>
      <c r="BZ25" s="53" t="e">
        <f t="shared" ref="BZ25:CA25" si="47">BZ26+BZ27+BZ28</f>
        <v>#REF!</v>
      </c>
      <c r="CA25" s="53" t="e">
        <f t="shared" si="47"/>
        <v>#REF!</v>
      </c>
      <c r="CB25" s="53" t="e">
        <f t="shared" ref="CB25:CC25" si="48">CB26+CB27+CB28</f>
        <v>#REF!</v>
      </c>
      <c r="CC25" s="53" t="e">
        <f t="shared" si="48"/>
        <v>#REF!</v>
      </c>
    </row>
    <row r="26" spans="1:81">
      <c r="A26" s="20">
        <v>6.1</v>
      </c>
      <c r="B26" s="19" t="s">
        <v>275</v>
      </c>
      <c r="C26" s="52" t="e">
        <f>'Evolutive SFP'!#REF!</f>
        <v>#REF!</v>
      </c>
      <c r="D26" s="52" t="e">
        <f>'Evolutive SFP'!#REF!</f>
        <v>#REF!</v>
      </c>
      <c r="E26" s="52" t="e">
        <f>'Evolutive SFP'!#REF!</f>
        <v>#REF!</v>
      </c>
      <c r="F26" s="52" t="e">
        <f>'Evolutive SFP'!#REF!</f>
        <v>#REF!</v>
      </c>
      <c r="G26" s="52" t="e">
        <f>'Evolutive SFP'!#REF!</f>
        <v>#REF!</v>
      </c>
      <c r="H26" s="52" t="e">
        <f>'Evolutive SFP'!#REF!</f>
        <v>#REF!</v>
      </c>
      <c r="I26" s="52" t="e">
        <f>'Evolutive SFP'!#REF!</f>
        <v>#REF!</v>
      </c>
      <c r="J26" s="52" t="e">
        <f>'Evolutive SFP'!#REF!</f>
        <v>#REF!</v>
      </c>
      <c r="K26" s="52" t="e">
        <f>'Evolutive SFP'!#REF!</f>
        <v>#REF!</v>
      </c>
      <c r="L26" s="52" t="e">
        <f>'Evolutive SFP'!#REF!</f>
        <v>#REF!</v>
      </c>
      <c r="M26" s="52" t="e">
        <f>'Evolutive SFP'!#REF!</f>
        <v>#REF!</v>
      </c>
      <c r="N26" s="52" t="e">
        <f>'Evolutive SFP'!#REF!</f>
        <v>#REF!</v>
      </c>
      <c r="O26" s="52" t="e">
        <f>'Evolutive SFP'!#REF!</f>
        <v>#REF!</v>
      </c>
      <c r="P26" s="52" t="e">
        <f>'Evolutive SFP'!#REF!</f>
        <v>#REF!</v>
      </c>
      <c r="Q26" s="52" t="e">
        <f>'Evolutive SFP'!#REF!</f>
        <v>#REF!</v>
      </c>
      <c r="R26" s="52" t="e">
        <f>'Evolutive SFP'!#REF!</f>
        <v>#REF!</v>
      </c>
      <c r="S26" s="52">
        <f>'Evolutive SFP'!AV13</f>
        <v>0</v>
      </c>
      <c r="T26" s="52">
        <f>'Evolutive SFP'!AW13</f>
        <v>0</v>
      </c>
      <c r="U26" s="52">
        <f>'Evolutive SFP'!AX13</f>
        <v>0</v>
      </c>
      <c r="V26" s="52">
        <f>'Evolutive SFP'!AY13</f>
        <v>0</v>
      </c>
      <c r="W26" s="52">
        <f>'Evolutive SFP'!AZ13</f>
        <v>0</v>
      </c>
      <c r="X26" s="52">
        <f>'Evolutive SFP'!BA13</f>
        <v>0</v>
      </c>
      <c r="Y26" s="52">
        <f>'Evolutive SFP'!BB13</f>
        <v>0</v>
      </c>
      <c r="Z26" s="52">
        <f>'Evolutive SFP'!BC13</f>
        <v>0</v>
      </c>
      <c r="AA26" s="52">
        <f>'Evolutive SFP'!BD13</f>
        <v>0</v>
      </c>
      <c r="AB26" s="52">
        <f>'Evolutive SFP'!BE13</f>
        <v>0</v>
      </c>
      <c r="AC26" s="52">
        <f>'Evolutive SFP'!BF13</f>
        <v>0</v>
      </c>
      <c r="AD26" s="52">
        <f>'Evolutive SFP'!BG13</f>
        <v>0</v>
      </c>
      <c r="AE26" s="52">
        <f>'Evolutive SFP'!BH13</f>
        <v>0</v>
      </c>
      <c r="AF26" s="52">
        <f>'Evolutive SFP'!BI13</f>
        <v>0</v>
      </c>
      <c r="AG26" s="52">
        <f>'Evolutive SFP'!BJ13</f>
        <v>0</v>
      </c>
      <c r="AH26" s="52">
        <f>'Evolutive SFP'!BK13</f>
        <v>0</v>
      </c>
      <c r="AI26" s="52">
        <f>'Evolutive SFP'!BL13</f>
        <v>0</v>
      </c>
      <c r="AJ26" s="52">
        <f>'Evolutive SFP'!BM13</f>
        <v>0</v>
      </c>
      <c r="AK26" s="52">
        <f>'Evolutive SFP'!BN13</f>
        <v>0</v>
      </c>
      <c r="AL26" s="52">
        <f>'Evolutive SFP'!BO13</f>
        <v>0</v>
      </c>
      <c r="AM26" s="52">
        <f>'Evolutive SFP'!BP13</f>
        <v>0</v>
      </c>
      <c r="AN26" s="52">
        <f>'Evolutive SFP'!BQ13</f>
        <v>0</v>
      </c>
      <c r="AO26" s="52">
        <f>'Evolutive SFP'!BR13</f>
        <v>0</v>
      </c>
      <c r="AP26" s="52">
        <f>'Evolutive SFP'!BS13</f>
        <v>0</v>
      </c>
      <c r="AQ26" s="52">
        <f>'Evolutive SFP'!BT13</f>
        <v>0</v>
      </c>
      <c r="AR26" s="52">
        <f>'Evolutive SFP'!BU13</f>
        <v>0</v>
      </c>
      <c r="AS26" s="52">
        <f>'Evolutive SFP'!BV13</f>
        <v>11722912</v>
      </c>
      <c r="AT26" s="52">
        <f>'Evolutive SFP'!BW13</f>
        <v>0</v>
      </c>
      <c r="AU26" s="52">
        <f>'Evolutive SFP'!BX13</f>
        <v>0</v>
      </c>
      <c r="AV26" s="52">
        <f>'Evolutive SFP'!BY13</f>
        <v>0</v>
      </c>
      <c r="AW26" s="52">
        <f>'Evolutive SFP'!BZ13</f>
        <v>0</v>
      </c>
      <c r="AX26" s="52">
        <f>'Evolutive SFP'!CA13</f>
        <v>0</v>
      </c>
      <c r="AY26" s="52">
        <f>'Evolutive SFP'!CB13</f>
        <v>0</v>
      </c>
      <c r="AZ26" s="52">
        <f>'Evolutive SFP'!CC13</f>
        <v>0</v>
      </c>
      <c r="BA26" s="52">
        <f>'Evolutive SFP'!CD13</f>
        <v>0</v>
      </c>
      <c r="BB26" s="52">
        <f>'Evolutive SFP'!CE13</f>
        <v>0</v>
      </c>
      <c r="BC26" s="52">
        <f>'Evolutive SFP'!CF13</f>
        <v>0</v>
      </c>
      <c r="BD26" s="52">
        <f>'Evolutive SFP'!CG13</f>
        <v>0</v>
      </c>
      <c r="BE26" s="52">
        <f>'Evolutive SFP'!CH13</f>
        <v>16940857</v>
      </c>
      <c r="BF26" s="52">
        <f>'Evolutive SFP'!CI13</f>
        <v>0</v>
      </c>
      <c r="BG26" s="52">
        <f>'Evolutive SFP'!CJ13</f>
        <v>0</v>
      </c>
      <c r="BH26" s="52">
        <f>'Evolutive SFP'!CK13</f>
        <v>0</v>
      </c>
      <c r="BI26" s="52">
        <f>'Evolutive SFP'!CL13</f>
        <v>46940857</v>
      </c>
      <c r="BJ26" s="52">
        <f>'Evolutive SFP'!CM13</f>
        <v>46940857</v>
      </c>
      <c r="BK26" s="52">
        <f>'Evolutive SFP'!CN13</f>
        <v>46940857</v>
      </c>
      <c r="BL26" s="52">
        <f>'Evolutive SFP'!CO13</f>
        <v>16940857</v>
      </c>
      <c r="BM26" s="52">
        <f>'Evolutive SFP'!CP13</f>
        <v>16940857</v>
      </c>
      <c r="BN26" s="52">
        <f>'Evolutive SFP'!CQ13</f>
        <v>16940857</v>
      </c>
      <c r="BO26" s="52">
        <f>'Evolutive SFP'!CR13</f>
        <v>16940857</v>
      </c>
      <c r="BP26" s="52">
        <f>'Evolutive SFP'!CS13</f>
        <v>16940857</v>
      </c>
      <c r="BQ26" s="52">
        <f>'Evolutive SFP'!CT13</f>
        <v>16940857</v>
      </c>
      <c r="BR26" s="52">
        <f>'Evolutive SFP'!CU13</f>
        <v>16940857</v>
      </c>
      <c r="BS26" s="52">
        <f>'Evolutive SFP'!CV13</f>
        <v>49524309</v>
      </c>
      <c r="BT26" s="52">
        <f>'Evolutive SFP'!CW13</f>
        <v>49524308.799999997</v>
      </c>
      <c r="BU26" s="52">
        <f>'Evolutive SFP'!CX13</f>
        <v>49524308.799999997</v>
      </c>
      <c r="BV26" s="52">
        <f>'Evolutive SFP'!CY13</f>
        <v>49524308.799999997</v>
      </c>
      <c r="BW26" s="52">
        <f>'Evolutive SFP'!CZ13</f>
        <v>49524308.799999997</v>
      </c>
      <c r="BX26" s="52" t="e">
        <f>'Evolutive SFP'!#REF!</f>
        <v>#REF!</v>
      </c>
      <c r="BY26" s="52" t="e">
        <f>'Evolutive SFP'!#REF!</f>
        <v>#REF!</v>
      </c>
      <c r="BZ26" s="52" t="e">
        <f>'Evolutive SFP'!#REF!</f>
        <v>#REF!</v>
      </c>
      <c r="CA26" s="52" t="e">
        <f>'Evolutive SFP'!#REF!</f>
        <v>#REF!</v>
      </c>
      <c r="CB26" s="52" t="e">
        <f>'Evolutive SFP'!#REF!</f>
        <v>#REF!</v>
      </c>
      <c r="CC26" s="52" t="e">
        <f>'Evolutive SFP'!#REF!</f>
        <v>#REF!</v>
      </c>
    </row>
    <row r="27" spans="1:81">
      <c r="A27" s="20">
        <v>6.2</v>
      </c>
      <c r="B27" s="19" t="s">
        <v>276</v>
      </c>
      <c r="C27" s="52" t="e">
        <f>'Evolutive SFP'!#REF!</f>
        <v>#REF!</v>
      </c>
      <c r="D27" s="52" t="e">
        <f>'Evolutive SFP'!#REF!</f>
        <v>#REF!</v>
      </c>
      <c r="E27" s="52" t="e">
        <f>'Evolutive SFP'!#REF!</f>
        <v>#REF!</v>
      </c>
      <c r="F27" s="52" t="e">
        <f>'Evolutive SFP'!#REF!</f>
        <v>#REF!</v>
      </c>
      <c r="G27" s="52" t="e">
        <f>'Evolutive SFP'!#REF!</f>
        <v>#REF!</v>
      </c>
      <c r="H27" s="52" t="e">
        <f>'Evolutive SFP'!#REF!</f>
        <v>#REF!</v>
      </c>
      <c r="I27" s="52" t="e">
        <f>'Evolutive SFP'!#REF!</f>
        <v>#REF!</v>
      </c>
      <c r="J27" s="52" t="e">
        <f>'Evolutive SFP'!#REF!</f>
        <v>#REF!</v>
      </c>
      <c r="K27" s="52" t="e">
        <f>'Evolutive SFP'!#REF!</f>
        <v>#REF!</v>
      </c>
      <c r="L27" s="52" t="e">
        <f>'Evolutive SFP'!#REF!</f>
        <v>#REF!</v>
      </c>
      <c r="M27" s="52" t="e">
        <f>'Evolutive SFP'!#REF!</f>
        <v>#REF!</v>
      </c>
      <c r="N27" s="52" t="e">
        <f>'Evolutive SFP'!#REF!</f>
        <v>#REF!</v>
      </c>
      <c r="O27" s="52" t="e">
        <f>'Evolutive SFP'!#REF!</f>
        <v>#REF!</v>
      </c>
      <c r="P27" s="52" t="e">
        <f>'Evolutive SFP'!#REF!</f>
        <v>#REF!</v>
      </c>
      <c r="Q27" s="52" t="e">
        <f>'Evolutive SFP'!#REF!</f>
        <v>#REF!</v>
      </c>
      <c r="R27" s="52" t="e">
        <f>'Evolutive SFP'!#REF!</f>
        <v>#REF!</v>
      </c>
      <c r="S27" s="52">
        <f>'Evolutive SFP'!AV10+'Evolutive SFP'!AV13</f>
        <v>0</v>
      </c>
      <c r="T27" s="52">
        <f>'Evolutive SFP'!AW10+'Evolutive SFP'!AW13</f>
        <v>0</v>
      </c>
      <c r="U27" s="52">
        <f>'Evolutive SFP'!AX10+'Evolutive SFP'!AX13</f>
        <v>0</v>
      </c>
      <c r="V27" s="52">
        <f>'Evolutive SFP'!AY10+'Evolutive SFP'!AY13</f>
        <v>0</v>
      </c>
      <c r="W27" s="52">
        <f>'Evolutive SFP'!AZ10+'Evolutive SFP'!AZ13</f>
        <v>0</v>
      </c>
      <c r="X27" s="52">
        <f>'Evolutive SFP'!BA10+'Evolutive SFP'!BA13</f>
        <v>0</v>
      </c>
      <c r="Y27" s="52">
        <f>'Evolutive SFP'!BB10+'Evolutive SFP'!BB13</f>
        <v>0</v>
      </c>
      <c r="Z27" s="52">
        <f>'Evolutive SFP'!BC10+'Evolutive SFP'!BC13</f>
        <v>0</v>
      </c>
      <c r="AA27" s="52">
        <f>'Evolutive SFP'!BD10+'Evolutive SFP'!BD13</f>
        <v>0</v>
      </c>
      <c r="AB27" s="52">
        <f>'Evolutive SFP'!BE10+'Evolutive SFP'!BE13</f>
        <v>0</v>
      </c>
      <c r="AC27" s="52">
        <f>'Evolutive SFP'!BF10+'Evolutive SFP'!BF13</f>
        <v>0</v>
      </c>
      <c r="AD27" s="52">
        <f>'Evolutive SFP'!BG10+'Evolutive SFP'!BG13</f>
        <v>0</v>
      </c>
      <c r="AE27" s="52">
        <f>'Evolutive SFP'!BH10+'Evolutive SFP'!BH13</f>
        <v>0</v>
      </c>
      <c r="AF27" s="52">
        <f>'Evolutive SFP'!BI10+'Evolutive SFP'!BI13</f>
        <v>0</v>
      </c>
      <c r="AG27" s="52">
        <f>'Evolutive SFP'!BJ10+'Evolutive SFP'!BJ13</f>
        <v>0</v>
      </c>
      <c r="AH27" s="52">
        <f>'Evolutive SFP'!BK10+'Evolutive SFP'!BK13</f>
        <v>0</v>
      </c>
      <c r="AI27" s="52">
        <f>'Evolutive SFP'!BL10+'Evolutive SFP'!BL13</f>
        <v>0</v>
      </c>
      <c r="AJ27" s="52">
        <f>'Evolutive SFP'!BM10+'Evolutive SFP'!BM13</f>
        <v>0</v>
      </c>
      <c r="AK27" s="52">
        <f>'Evolutive SFP'!BN10+'Evolutive SFP'!BN13</f>
        <v>0</v>
      </c>
      <c r="AL27" s="52">
        <f>'Evolutive SFP'!BO10+'Evolutive SFP'!BO13</f>
        <v>0</v>
      </c>
      <c r="AM27" s="52">
        <f>'Evolutive SFP'!BP10+'Evolutive SFP'!BP13</f>
        <v>0</v>
      </c>
      <c r="AN27" s="52">
        <f>'Evolutive SFP'!BQ10+'Evolutive SFP'!BQ13</f>
        <v>0</v>
      </c>
      <c r="AO27" s="52">
        <f>'Evolutive SFP'!BR10+'Evolutive SFP'!BR13</f>
        <v>0</v>
      </c>
      <c r="AP27" s="52">
        <f>'Evolutive SFP'!BS10+'Evolutive SFP'!BS13</f>
        <v>0</v>
      </c>
      <c r="AQ27" s="52">
        <f>'Evolutive SFP'!BT10+'Evolutive SFP'!BT13</f>
        <v>0</v>
      </c>
      <c r="AR27" s="52">
        <f>'Evolutive SFP'!BU10+'Evolutive SFP'!BU13</f>
        <v>0</v>
      </c>
      <c r="AS27" s="52">
        <f>'Evolutive SFP'!BV10+'Evolutive SFP'!BV13</f>
        <v>11722912</v>
      </c>
      <c r="AT27" s="52">
        <f>'Evolutive SFP'!BW10+'Evolutive SFP'!BW13</f>
        <v>0</v>
      </c>
      <c r="AU27" s="52">
        <f>'Evolutive SFP'!BX10+'Evolutive SFP'!BX13</f>
        <v>0</v>
      </c>
      <c r="AV27" s="52">
        <f>'Evolutive SFP'!BY10+'Evolutive SFP'!BY13</f>
        <v>0</v>
      </c>
      <c r="AW27" s="52">
        <f>'Evolutive SFP'!BZ10+'Evolutive SFP'!BZ13</f>
        <v>0</v>
      </c>
      <c r="AX27" s="52">
        <f>'Evolutive SFP'!CA10+'Evolutive SFP'!CA13</f>
        <v>0</v>
      </c>
      <c r="AY27" s="52">
        <f>'Evolutive SFP'!CB10+'Evolutive SFP'!CB13</f>
        <v>0</v>
      </c>
      <c r="AZ27" s="52">
        <f>'Evolutive SFP'!CC10+'Evolutive SFP'!CC13</f>
        <v>0</v>
      </c>
      <c r="BA27" s="52">
        <f>'Evolutive SFP'!CD10+'Evolutive SFP'!CD13</f>
        <v>0</v>
      </c>
      <c r="BB27" s="52">
        <f>'Evolutive SFP'!CE10+'Evolutive SFP'!CE13</f>
        <v>0</v>
      </c>
      <c r="BC27" s="52">
        <f>'Evolutive SFP'!CF10+'Evolutive SFP'!CF13</f>
        <v>0</v>
      </c>
      <c r="BD27" s="52">
        <f>'Evolutive SFP'!CG10+'Evolutive SFP'!CG13</f>
        <v>0</v>
      </c>
      <c r="BE27" s="52">
        <f>'Evolutive SFP'!CH10+'Evolutive SFP'!CH13</f>
        <v>16940857</v>
      </c>
      <c r="BF27" s="52">
        <f>'Evolutive SFP'!CI10+'Evolutive SFP'!CI13</f>
        <v>0</v>
      </c>
      <c r="BG27" s="52">
        <f>'Evolutive SFP'!CJ10+'Evolutive SFP'!CJ13</f>
        <v>0</v>
      </c>
      <c r="BH27" s="52">
        <f>'Evolutive SFP'!CK10+'Evolutive SFP'!CK13</f>
        <v>0</v>
      </c>
      <c r="BI27" s="52">
        <f>'Evolutive SFP'!CL10+'Evolutive SFP'!CL13</f>
        <v>46940857</v>
      </c>
      <c r="BJ27" s="52">
        <f>'Evolutive SFP'!CM10+'Evolutive SFP'!CM13</f>
        <v>46940857</v>
      </c>
      <c r="BK27" s="52">
        <f>'Evolutive SFP'!CN10+'Evolutive SFP'!CN13</f>
        <v>46940857</v>
      </c>
      <c r="BL27" s="52">
        <f>'Evolutive SFP'!CO10+'Evolutive SFP'!CO13</f>
        <v>16940857</v>
      </c>
      <c r="BM27" s="52">
        <f>'Evolutive SFP'!CP10+'Evolutive SFP'!CP13</f>
        <v>16940857</v>
      </c>
      <c r="BN27" s="52">
        <f>'Evolutive SFP'!CQ10+'Evolutive SFP'!CQ13</f>
        <v>16940857</v>
      </c>
      <c r="BO27" s="52">
        <f>'Evolutive SFP'!CR10+'Evolutive SFP'!CR13</f>
        <v>16940857</v>
      </c>
      <c r="BP27" s="52">
        <f>'Evolutive SFP'!CS10+'Evolutive SFP'!CS13</f>
        <v>16940857</v>
      </c>
      <c r="BQ27" s="52">
        <f>'Evolutive SFP'!CT10+'Evolutive SFP'!CT13</f>
        <v>16940857</v>
      </c>
      <c r="BR27" s="52">
        <f>'Evolutive SFP'!CU10+'Evolutive SFP'!CU13</f>
        <v>16940857</v>
      </c>
      <c r="BS27" s="52">
        <f>'Evolutive SFP'!CV10+'Evolutive SFP'!CV13</f>
        <v>49524309</v>
      </c>
      <c r="BT27" s="52">
        <f>'Evolutive SFP'!CW10+'Evolutive SFP'!CW13</f>
        <v>49524308.799999997</v>
      </c>
      <c r="BU27" s="52">
        <f>'Evolutive SFP'!CX10+'Evolutive SFP'!CX13</f>
        <v>49524308.799999997</v>
      </c>
      <c r="BV27" s="52">
        <f>'Evolutive SFP'!CY10+'Evolutive SFP'!CY13</f>
        <v>49524308.799999997</v>
      </c>
      <c r="BW27" s="52">
        <f>'Evolutive SFP'!CZ10+'Evolutive SFP'!CZ13</f>
        <v>49524308.799999997</v>
      </c>
      <c r="BX27" s="52" t="e">
        <f>'Evolutive SFP'!DA10+'Evolutive SFP'!#REF!</f>
        <v>#REF!</v>
      </c>
      <c r="BY27" s="52" t="e">
        <f>'Evolutive SFP'!DB10+'Evolutive SFP'!#REF!</f>
        <v>#REF!</v>
      </c>
      <c r="BZ27" s="52" t="e">
        <f>'Evolutive SFP'!DC10+'Evolutive SFP'!#REF!</f>
        <v>#REF!</v>
      </c>
      <c r="CA27" s="52" t="e">
        <f>'Evolutive SFP'!DD10+'Evolutive SFP'!#REF!</f>
        <v>#REF!</v>
      </c>
      <c r="CB27" s="52" t="e">
        <f>'Evolutive SFP'!DE10+'Evolutive SFP'!#REF!</f>
        <v>#REF!</v>
      </c>
      <c r="CC27" s="52" t="e">
        <f>'Evolutive SFP'!DF10+'Evolutive SFP'!#REF!</f>
        <v>#REF!</v>
      </c>
    </row>
    <row r="28" spans="1:81">
      <c r="A28" s="20">
        <v>6.3</v>
      </c>
      <c r="B28" s="19" t="s">
        <v>277</v>
      </c>
      <c r="C28" s="52" t="e">
        <f>'Evolutive SFP'!#REF!</f>
        <v>#REF!</v>
      </c>
      <c r="D28" s="52" t="e">
        <f>'Evolutive SFP'!#REF!</f>
        <v>#REF!</v>
      </c>
      <c r="E28" s="52" t="e">
        <f>'Evolutive SFP'!#REF!</f>
        <v>#REF!</v>
      </c>
      <c r="F28" s="52" t="e">
        <f>'Evolutive SFP'!#REF!</f>
        <v>#REF!</v>
      </c>
      <c r="G28" s="52" t="e">
        <f>'Evolutive SFP'!#REF!</f>
        <v>#REF!</v>
      </c>
      <c r="H28" s="52" t="e">
        <f>'Evolutive SFP'!#REF!</f>
        <v>#REF!</v>
      </c>
      <c r="I28" s="52" t="e">
        <f>'Evolutive SFP'!#REF!</f>
        <v>#REF!</v>
      </c>
      <c r="J28" s="52" t="e">
        <f>'Evolutive SFP'!#REF!</f>
        <v>#REF!</v>
      </c>
      <c r="K28" s="52" t="e">
        <f>'Evolutive SFP'!#REF!</f>
        <v>#REF!</v>
      </c>
      <c r="L28" s="52" t="e">
        <f>'Evolutive SFP'!#REF!</f>
        <v>#REF!</v>
      </c>
      <c r="M28" s="52" t="e">
        <f>'Evolutive SFP'!#REF!</f>
        <v>#REF!</v>
      </c>
      <c r="N28" s="52" t="e">
        <f>'Evolutive SFP'!#REF!</f>
        <v>#REF!</v>
      </c>
      <c r="O28" s="52" t="e">
        <f>'Evolutive SFP'!#REF!</f>
        <v>#REF!</v>
      </c>
      <c r="P28" s="52" t="e">
        <f>'Evolutive SFP'!#REF!</f>
        <v>#REF!</v>
      </c>
      <c r="Q28" s="52" t="e">
        <f>'Evolutive SFP'!#REF!</f>
        <v>#REF!</v>
      </c>
      <c r="R28" s="52" t="e">
        <f>'Evolutive SFP'!#REF!</f>
        <v>#REF!</v>
      </c>
      <c r="S28" s="52">
        <f>'Evolutive SFP'!AV11</f>
        <v>14314587</v>
      </c>
      <c r="T28" s="52">
        <f>'Evolutive SFP'!AW11</f>
        <v>0</v>
      </c>
      <c r="U28" s="52">
        <f>'Evolutive SFP'!AX11</f>
        <v>0</v>
      </c>
      <c r="V28" s="52">
        <f>'Evolutive SFP'!AY11</f>
        <v>0</v>
      </c>
      <c r="W28" s="52">
        <f>'Evolutive SFP'!AZ11</f>
        <v>0</v>
      </c>
      <c r="X28" s="52">
        <f>'Evolutive SFP'!BA11</f>
        <v>0</v>
      </c>
      <c r="Y28" s="52">
        <f>'Evolutive SFP'!BB11</f>
        <v>0</v>
      </c>
      <c r="Z28" s="52">
        <f>'Evolutive SFP'!BC11</f>
        <v>0</v>
      </c>
      <c r="AA28" s="52">
        <f>'Evolutive SFP'!BD11</f>
        <v>0</v>
      </c>
      <c r="AB28" s="52">
        <f>'Evolutive SFP'!BE11</f>
        <v>0</v>
      </c>
      <c r="AC28" s="52">
        <f>'Evolutive SFP'!BF11</f>
        <v>0</v>
      </c>
      <c r="AD28" s="52">
        <f>'Evolutive SFP'!BG11</f>
        <v>0</v>
      </c>
      <c r="AE28" s="52">
        <f>'Evolutive SFP'!BH11</f>
        <v>0</v>
      </c>
      <c r="AF28" s="52">
        <f>'Evolutive SFP'!BI11</f>
        <v>0</v>
      </c>
      <c r="AG28" s="52">
        <f>'Evolutive SFP'!BJ11</f>
        <v>0</v>
      </c>
      <c r="AH28" s="52">
        <f>'Evolutive SFP'!BK11</f>
        <v>0</v>
      </c>
      <c r="AI28" s="52">
        <f>'Evolutive SFP'!BL11</f>
        <v>0</v>
      </c>
      <c r="AJ28" s="52">
        <f>'Evolutive SFP'!BM11</f>
        <v>0</v>
      </c>
      <c r="AK28" s="52">
        <f>'Evolutive SFP'!BN11</f>
        <v>0</v>
      </c>
      <c r="AL28" s="52">
        <f>'Evolutive SFP'!BO11</f>
        <v>0</v>
      </c>
      <c r="AM28" s="52">
        <f>'Evolutive SFP'!BP11</f>
        <v>0</v>
      </c>
      <c r="AN28" s="52">
        <f>'Evolutive SFP'!BQ11</f>
        <v>0</v>
      </c>
      <c r="AO28" s="52">
        <f>'Evolutive SFP'!BR11</f>
        <v>0</v>
      </c>
      <c r="AP28" s="52">
        <f>'Evolutive SFP'!BS11</f>
        <v>0</v>
      </c>
      <c r="AQ28" s="52">
        <f>'Evolutive SFP'!BT11</f>
        <v>0</v>
      </c>
      <c r="AR28" s="52">
        <f>'Evolutive SFP'!BU11</f>
        <v>0</v>
      </c>
      <c r="AS28" s="52">
        <f>'Evolutive SFP'!BV11</f>
        <v>0</v>
      </c>
      <c r="AT28" s="52">
        <f>'Evolutive SFP'!BW11</f>
        <v>0</v>
      </c>
      <c r="AU28" s="52">
        <f>'Evolutive SFP'!BX11</f>
        <v>0</v>
      </c>
      <c r="AV28" s="52">
        <f>'Evolutive SFP'!BY11</f>
        <v>0</v>
      </c>
      <c r="AW28" s="52">
        <f>'Evolutive SFP'!BZ11</f>
        <v>0</v>
      </c>
      <c r="AX28" s="52">
        <f>'Evolutive SFP'!CA11</f>
        <v>0</v>
      </c>
      <c r="AY28" s="52">
        <f>'Evolutive SFP'!CB11</f>
        <v>0</v>
      </c>
      <c r="AZ28" s="52">
        <f>'Evolutive SFP'!CC11</f>
        <v>0</v>
      </c>
      <c r="BA28" s="52">
        <f>'Evolutive SFP'!CD11</f>
        <v>0</v>
      </c>
      <c r="BB28" s="52">
        <f>'Evolutive SFP'!CE11</f>
        <v>0</v>
      </c>
      <c r="BC28" s="52">
        <f>'Evolutive SFP'!CF11</f>
        <v>0</v>
      </c>
      <c r="BD28" s="52">
        <f>'Evolutive SFP'!CG11</f>
        <v>0</v>
      </c>
      <c r="BE28" s="52">
        <f>'Evolutive SFP'!CH11</f>
        <v>0</v>
      </c>
      <c r="BF28" s="52">
        <f>'Evolutive SFP'!CI11</f>
        <v>0</v>
      </c>
      <c r="BG28" s="52">
        <f>'Evolutive SFP'!CJ11</f>
        <v>0</v>
      </c>
      <c r="BH28" s="52">
        <f>'Evolutive SFP'!CK11</f>
        <v>0</v>
      </c>
      <c r="BI28" s="52">
        <f>'Evolutive SFP'!CL11</f>
        <v>0</v>
      </c>
      <c r="BJ28" s="52">
        <f>'Evolutive SFP'!CM11</f>
        <v>0</v>
      </c>
      <c r="BK28" s="52">
        <f>'Evolutive SFP'!CN11</f>
        <v>0</v>
      </c>
      <c r="BL28" s="52">
        <f>'Evolutive SFP'!CO11</f>
        <v>0</v>
      </c>
      <c r="BM28" s="52">
        <f>'Evolutive SFP'!CP11</f>
        <v>0</v>
      </c>
      <c r="BN28" s="52">
        <f>'Evolutive SFP'!CQ11</f>
        <v>0</v>
      </c>
      <c r="BO28" s="52">
        <f>'Evolutive SFP'!CR11</f>
        <v>0</v>
      </c>
      <c r="BP28" s="52">
        <f>'Evolutive SFP'!CS11</f>
        <v>0</v>
      </c>
      <c r="BQ28" s="52">
        <f>'Evolutive SFP'!CT11</f>
        <v>0</v>
      </c>
      <c r="BR28" s="52">
        <f>'Evolutive SFP'!CU11</f>
        <v>0</v>
      </c>
      <c r="BS28" s="52">
        <f>'Evolutive SFP'!CV11</f>
        <v>0</v>
      </c>
      <c r="BT28" s="52">
        <f>'Evolutive SFP'!CW11</f>
        <v>0</v>
      </c>
      <c r="BU28" s="52">
        <f>'Evolutive SFP'!CX11</f>
        <v>0</v>
      </c>
      <c r="BV28" s="52">
        <f>'Evolutive SFP'!CY11</f>
        <v>0</v>
      </c>
      <c r="BW28" s="52">
        <f>'Evolutive SFP'!CZ11</f>
        <v>0</v>
      </c>
      <c r="BX28" s="52">
        <f>'Evolutive SFP'!DA11</f>
        <v>0</v>
      </c>
      <c r="BY28" s="52">
        <f>'Evolutive SFP'!DB11</f>
        <v>0</v>
      </c>
      <c r="BZ28" s="52">
        <f>'Evolutive SFP'!DC11</f>
        <v>0</v>
      </c>
      <c r="CA28" s="52">
        <f>'Evolutive SFP'!DD11</f>
        <v>0</v>
      </c>
      <c r="CB28" s="52">
        <f>'Evolutive SFP'!DE11</f>
        <v>0</v>
      </c>
      <c r="CC28" s="52">
        <f>'Evolutive SFP'!DF11</f>
        <v>0</v>
      </c>
    </row>
    <row r="29" spans="1:81">
      <c r="A29" s="18"/>
      <c r="B29" s="19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</row>
    <row r="30" spans="1:81">
      <c r="A30" s="20">
        <v>7</v>
      </c>
      <c r="B30" s="18" t="s">
        <v>278</v>
      </c>
      <c r="C30" s="52" t="e">
        <f>'Evolutive SFP'!#REF!</f>
        <v>#REF!</v>
      </c>
      <c r="D30" s="52" t="e">
        <f>'Evolutive SFP'!#REF!</f>
        <v>#REF!</v>
      </c>
      <c r="E30" s="52" t="e">
        <f>'Evolutive SFP'!#REF!</f>
        <v>#REF!</v>
      </c>
      <c r="F30" s="52" t="e">
        <f>'Evolutive SFP'!#REF!</f>
        <v>#REF!</v>
      </c>
      <c r="G30" s="52" t="e">
        <f>'Evolutive SFP'!#REF!</f>
        <v>#REF!</v>
      </c>
      <c r="H30" s="52" t="e">
        <f>'Evolutive SFP'!#REF!</f>
        <v>#REF!</v>
      </c>
      <c r="I30" s="52" t="e">
        <f>'Evolutive SFP'!#REF!</f>
        <v>#REF!</v>
      </c>
      <c r="J30" s="52" t="e">
        <f>'Evolutive SFP'!#REF!</f>
        <v>#REF!</v>
      </c>
      <c r="K30" s="52" t="e">
        <f>'Evolutive SFP'!#REF!</f>
        <v>#REF!</v>
      </c>
      <c r="L30" s="52" t="e">
        <f>'Evolutive SFP'!#REF!</f>
        <v>#REF!</v>
      </c>
      <c r="M30" s="52" t="e">
        <f>'Evolutive SFP'!#REF!</f>
        <v>#REF!</v>
      </c>
      <c r="N30" s="52" t="e">
        <f>'Evolutive SFP'!#REF!</f>
        <v>#REF!</v>
      </c>
      <c r="O30" s="52" t="e">
        <f>'Evolutive SFP'!#REF!</f>
        <v>#REF!</v>
      </c>
      <c r="P30" s="52" t="e">
        <f>'Evolutive SFP'!#REF!</f>
        <v>#REF!</v>
      </c>
      <c r="Q30" s="52" t="e">
        <f>'Evolutive SFP'!#REF!</f>
        <v>#REF!</v>
      </c>
      <c r="R30" s="52" t="e">
        <f>'Evolutive SFP'!#REF!</f>
        <v>#REF!</v>
      </c>
      <c r="S30" s="52">
        <f>'Evolutive SFP'!AV14</f>
        <v>162982457</v>
      </c>
      <c r="T30" s="52">
        <f>'Evolutive SFP'!AW14</f>
        <v>160303693.22</v>
      </c>
      <c r="U30" s="52">
        <f>'Evolutive SFP'!AX14</f>
        <v>159772109.94999999</v>
      </c>
      <c r="V30" s="52">
        <f>'Evolutive SFP'!AY14</f>
        <v>156687478.91</v>
      </c>
      <c r="W30" s="52">
        <f>'Evolutive SFP'!AZ14</f>
        <v>166280122.87</v>
      </c>
      <c r="X30" s="52">
        <f>'Evolutive SFP'!BA14</f>
        <v>102653204.89</v>
      </c>
      <c r="Y30" s="52">
        <f>'Evolutive SFP'!BB14</f>
        <v>121451868.86000001</v>
      </c>
      <c r="Z30" s="52">
        <f>'Evolutive SFP'!BC14</f>
        <v>142305997.64000002</v>
      </c>
      <c r="AA30" s="52">
        <f>'Evolutive SFP'!BD14</f>
        <v>172810225.67000002</v>
      </c>
      <c r="AB30" s="52">
        <f>'Evolutive SFP'!BE14</f>
        <v>178718205.60000002</v>
      </c>
      <c r="AC30" s="52">
        <f>'Evolutive SFP'!BF14</f>
        <v>177931040.10250002</v>
      </c>
      <c r="AD30" s="52">
        <f>'Evolutive SFP'!BG14</f>
        <v>187068914.52000001</v>
      </c>
      <c r="AE30" s="52">
        <f>'Evolutive SFP'!BH14</f>
        <v>188098063.07999998</v>
      </c>
      <c r="AF30" s="52">
        <f>'Evolutive SFP'!BI14</f>
        <v>188098064</v>
      </c>
      <c r="AG30" s="52">
        <f>'Evolutive SFP'!BJ14</f>
        <v>191382952.40000001</v>
      </c>
      <c r="AH30" s="52">
        <f>'Evolutive SFP'!BK14</f>
        <v>193198624.86000001</v>
      </c>
      <c r="AI30" s="52">
        <f>'Evolutive SFP'!BL14</f>
        <v>200001849.13999999</v>
      </c>
      <c r="AJ30" s="52">
        <f>'Evolutive SFP'!BM14</f>
        <v>200977478.25</v>
      </c>
      <c r="AK30" s="52">
        <f>'Evolutive SFP'!BN14</f>
        <v>200983549.59</v>
      </c>
      <c r="AL30" s="52">
        <f>'Evolutive SFP'!BO14</f>
        <v>200182672.96000001</v>
      </c>
      <c r="AM30" s="52">
        <f>'Evolutive SFP'!BP14</f>
        <v>184227350.61000001</v>
      </c>
      <c r="AN30" s="52">
        <f>'Evolutive SFP'!BQ14</f>
        <v>192049570.88</v>
      </c>
      <c r="AO30" s="52">
        <f>'Evolutive SFP'!BR14</f>
        <v>209412666.43000001</v>
      </c>
      <c r="AP30" s="52">
        <f>'Evolutive SFP'!BS14</f>
        <v>223753711.34999999</v>
      </c>
      <c r="AQ30" s="52">
        <f>'Evolutive SFP'!BT14</f>
        <v>224338001.93000001</v>
      </c>
      <c r="AR30" s="52">
        <f>'Evolutive SFP'!BU14</f>
        <v>228582680.84999999</v>
      </c>
      <c r="AS30" s="52">
        <f>'Evolutive SFP'!BV14</f>
        <v>228582682</v>
      </c>
      <c r="AT30" s="52">
        <f>'Evolutive SFP'!BW14</f>
        <v>232924320.95000002</v>
      </c>
      <c r="AU30" s="52">
        <f>'Evolutive SFP'!BX14</f>
        <v>230516757.22999999</v>
      </c>
      <c r="AV30" s="52">
        <f>'Evolutive SFP'!BY14</f>
        <v>224649943.40000001</v>
      </c>
      <c r="AW30" s="52">
        <f>'Evolutive SFP'!BZ14</f>
        <v>178558759.90000001</v>
      </c>
      <c r="AX30" s="52">
        <f>'Evolutive SFP'!CA14</f>
        <v>191455023.21000001</v>
      </c>
      <c r="AY30" s="52">
        <f>'Evolutive SFP'!CB14</f>
        <v>149203301.99000001</v>
      </c>
      <c r="AZ30" s="52" t="e">
        <f>'Evolutive SFP'!#REF!</f>
        <v>#REF!</v>
      </c>
      <c r="BA30" s="52">
        <f>'Evolutive SFP'!CC14</f>
        <v>206708015.41000003</v>
      </c>
      <c r="BB30" s="52">
        <f>'Evolutive SFP'!CD14</f>
        <v>234626771.17000002</v>
      </c>
      <c r="BC30" s="52">
        <f>'Evolutive SFP'!CE14</f>
        <v>265937200.21999997</v>
      </c>
      <c r="BD30" s="52">
        <f>'Evolutive SFP'!CF14</f>
        <v>282531170.57999998</v>
      </c>
      <c r="BE30" s="52">
        <f>'Evolutive SFP'!CG14</f>
        <v>292778123.86000001</v>
      </c>
      <c r="BF30" s="52">
        <f>'Evolutive SFP'!CH14</f>
        <v>292778125</v>
      </c>
      <c r="BG30" s="52">
        <f>'Evolutive SFP'!CI14</f>
        <v>301980446.51999998</v>
      </c>
      <c r="BH30" s="52">
        <f>'Evolutive SFP'!CJ14</f>
        <v>294139406.69</v>
      </c>
      <c r="BI30" s="52">
        <f>'Evolutive SFP'!CK14</f>
        <v>283524029.88</v>
      </c>
      <c r="BJ30" s="52">
        <f>'Evolutive SFP'!CL14</f>
        <v>270392637.96000004</v>
      </c>
      <c r="BK30" s="52">
        <f>'Evolutive SFP'!CM14</f>
        <v>267338707.38000003</v>
      </c>
      <c r="BL30" s="52">
        <f>'Evolutive SFP'!CN14</f>
        <v>269055805.19</v>
      </c>
      <c r="BM30" s="52">
        <f>'Evolutive SFP'!CO14</f>
        <v>286983226.66999996</v>
      </c>
      <c r="BN30" s="52">
        <f>'Evolutive SFP'!CP14</f>
        <v>290251191.54000002</v>
      </c>
      <c r="BO30" s="52">
        <f>'Evolutive SFP'!CQ14</f>
        <v>287154040.60000002</v>
      </c>
      <c r="BP30" s="52">
        <f>'Evolutive SFP'!CR14</f>
        <v>190686831.82999998</v>
      </c>
      <c r="BQ30" s="52">
        <f>'Evolutive SFP'!CS14</f>
        <v>233778781.54000002</v>
      </c>
      <c r="BR30" s="52">
        <f>'Evolutive SFP'!CT14</f>
        <v>234419617.50999999</v>
      </c>
      <c r="BS30" s="52">
        <f>'Evolutive SFP'!CU14</f>
        <v>234419617</v>
      </c>
      <c r="BT30" s="52">
        <f>'Evolutive SFP'!CV14</f>
        <v>329941033</v>
      </c>
      <c r="BU30" s="52">
        <f>'Evolutive SFP'!CW14</f>
        <v>340545084.48000002</v>
      </c>
      <c r="BV30" s="52">
        <f>'Evolutive SFP'!CX14</f>
        <v>343443074.76000005</v>
      </c>
      <c r="BW30" s="52">
        <f>'Evolutive SFP'!CY14</f>
        <v>340801770.30000001</v>
      </c>
      <c r="BX30" s="52">
        <f>'Evolutive SFP'!CZ14</f>
        <v>331794589.19</v>
      </c>
      <c r="BY30" s="52">
        <f>'Evolutive SFP'!DA14</f>
        <v>336001093.59000003</v>
      </c>
      <c r="BZ30" s="52">
        <f>'Evolutive SFP'!DB14</f>
        <v>328189850.13</v>
      </c>
      <c r="CA30" s="52">
        <f>'Evolutive SFP'!DC14</f>
        <v>296025268.33000004</v>
      </c>
      <c r="CB30" s="52">
        <f>'Evolutive SFP'!DD14</f>
        <v>334423721.64999998</v>
      </c>
      <c r="CC30" s="52">
        <f>'Evolutive SFP'!DE14</f>
        <v>350067397.01999998</v>
      </c>
    </row>
    <row r="31" spans="1:81">
      <c r="A31" s="20">
        <v>7.1</v>
      </c>
      <c r="B31" s="18" t="s">
        <v>279</v>
      </c>
      <c r="C31" s="52" t="e">
        <f>'Evolutive SFP'!#REF!</f>
        <v>#REF!</v>
      </c>
      <c r="D31" s="52" t="e">
        <f>'Evolutive SFP'!#REF!</f>
        <v>#REF!</v>
      </c>
      <c r="E31" s="52" t="e">
        <f>'Evolutive SFP'!#REF!</f>
        <v>#REF!</v>
      </c>
      <c r="F31" s="52" t="e">
        <f>'Evolutive SFP'!#REF!</f>
        <v>#REF!</v>
      </c>
      <c r="G31" s="52" t="e">
        <f>'Evolutive SFP'!#REF!</f>
        <v>#REF!</v>
      </c>
      <c r="H31" s="52" t="e">
        <f>'Evolutive SFP'!#REF!</f>
        <v>#REF!</v>
      </c>
      <c r="I31" s="52" t="e">
        <f>'Evolutive SFP'!#REF!</f>
        <v>#REF!</v>
      </c>
      <c r="J31" s="52" t="e">
        <f>'Evolutive SFP'!#REF!</f>
        <v>#REF!</v>
      </c>
      <c r="K31" s="52" t="e">
        <f>'Evolutive SFP'!#REF!</f>
        <v>#REF!</v>
      </c>
      <c r="L31" s="52" t="e">
        <f>'Evolutive SFP'!#REF!</f>
        <v>#REF!</v>
      </c>
      <c r="M31" s="52" t="e">
        <f>'Evolutive SFP'!#REF!</f>
        <v>#REF!</v>
      </c>
      <c r="N31" s="52" t="e">
        <f>'Evolutive SFP'!#REF!</f>
        <v>#REF!</v>
      </c>
      <c r="O31" s="52" t="e">
        <f>'Evolutive SFP'!#REF!</f>
        <v>#REF!</v>
      </c>
      <c r="P31" s="52" t="e">
        <f>'Evolutive SFP'!#REF!</f>
        <v>#REF!</v>
      </c>
      <c r="Q31" s="52" t="e">
        <f>'Evolutive SFP'!#REF!</f>
        <v>#REF!</v>
      </c>
      <c r="R31" s="52" t="e">
        <f>'Evolutive SFP'!#REF!</f>
        <v>#REF!</v>
      </c>
      <c r="S31" s="52">
        <f>'Evolutive SFP'!AV15</f>
        <v>183432718</v>
      </c>
      <c r="T31" s="52">
        <f>'Evolutive SFP'!AW15</f>
        <v>181083967.71000001</v>
      </c>
      <c r="U31" s="52">
        <f>'Evolutive SFP'!AX15</f>
        <v>178913736.28999999</v>
      </c>
      <c r="V31" s="52">
        <f>'Evolutive SFP'!AY15</f>
        <v>176665648.22</v>
      </c>
      <c r="W31" s="52">
        <f>'Evolutive SFP'!AZ15</f>
        <v>186350013.77000001</v>
      </c>
      <c r="X31" s="52">
        <f>'Evolutive SFP'!BA15</f>
        <v>121036475.31</v>
      </c>
      <c r="Y31" s="52">
        <f>'Evolutive SFP'!BB15</f>
        <v>141118588.90000001</v>
      </c>
      <c r="Z31" s="52">
        <f>'Evolutive SFP'!BC15</f>
        <v>163208179.21000001</v>
      </c>
      <c r="AA31" s="52">
        <f>'Evolutive SFP'!BD15</f>
        <v>194430699.65000001</v>
      </c>
      <c r="AB31" s="52">
        <f>'Evolutive SFP'!BE15</f>
        <v>201494852.33000001</v>
      </c>
      <c r="AC31" s="52">
        <f>'Evolutive SFP'!BF15</f>
        <v>201526586.79000002</v>
      </c>
      <c r="AD31" s="52">
        <f>'Evolutive SFP'!BG15</f>
        <v>212052979.25</v>
      </c>
      <c r="AE31" s="52">
        <f>'Evolutive SFP'!BH15</f>
        <v>215562131.16999999</v>
      </c>
      <c r="AF31" s="52">
        <f>'Evolutive SFP'!BI15</f>
        <v>215562132</v>
      </c>
      <c r="AG31" s="52">
        <f>'Evolutive SFP'!BJ15</f>
        <v>220363282.03</v>
      </c>
      <c r="AH31" s="52">
        <f>'Evolutive SFP'!BK15</f>
        <v>223403036.36000001</v>
      </c>
      <c r="AI31" s="52">
        <f>'Evolutive SFP'!BL15</f>
        <v>228570028.28</v>
      </c>
      <c r="AJ31" s="52">
        <f>'Evolutive SFP'!BM15</f>
        <v>230086944.49000001</v>
      </c>
      <c r="AK31" s="52">
        <f>'Evolutive SFP'!BN15</f>
        <v>231500603.30000001</v>
      </c>
      <c r="AL31" s="52">
        <f>'Evolutive SFP'!BO15</f>
        <v>232577766.99000001</v>
      </c>
      <c r="AM31" s="52">
        <f>'Evolutive SFP'!BP15</f>
        <v>210439682.28</v>
      </c>
      <c r="AN31" s="52">
        <f>'Evolutive SFP'!BQ15</f>
        <v>221363209.88999999</v>
      </c>
      <c r="AO31" s="52">
        <f>'Evolutive SFP'!BR15</f>
        <v>239126797.84999999</v>
      </c>
      <c r="AP31" s="52">
        <f>'Evolutive SFP'!BS15</f>
        <v>254742655.65000001</v>
      </c>
      <c r="AQ31" s="52">
        <f>'Evolutive SFP'!BT15</f>
        <v>258287051.27000001</v>
      </c>
      <c r="AR31" s="52">
        <f>'Evolutive SFP'!BU15</f>
        <v>257046187.72</v>
      </c>
      <c r="AS31" s="52">
        <f>'Evolutive SFP'!BV15</f>
        <v>257046189</v>
      </c>
      <c r="AT31" s="52">
        <f>'Evolutive SFP'!BW15</f>
        <v>261878775.49000001</v>
      </c>
      <c r="AU31" s="52">
        <f>'Evolutive SFP'!BX15</f>
        <v>265130205.59999999</v>
      </c>
      <c r="AV31" s="52">
        <f>'Evolutive SFP'!BY15</f>
        <v>260754783.96000001</v>
      </c>
      <c r="AW31" s="52">
        <f>'Evolutive SFP'!BZ15</f>
        <v>217483276.81</v>
      </c>
      <c r="AX31" s="52">
        <f>'Evolutive SFP'!CA15</f>
        <v>231650447.96000001</v>
      </c>
      <c r="AY31" s="52">
        <f>'Evolutive SFP'!CB15</f>
        <v>181504840.59999999</v>
      </c>
      <c r="AZ31" s="52" t="e">
        <f>'Evolutive SFP'!#REF!</f>
        <v>#REF!</v>
      </c>
      <c r="BA31" s="52">
        <f>'Evolutive SFP'!CC15</f>
        <v>240225613.11000001</v>
      </c>
      <c r="BB31" s="52">
        <f>'Evolutive SFP'!CD15</f>
        <v>267602974.08000001</v>
      </c>
      <c r="BC31" s="52">
        <f>'Evolutive SFP'!CE15</f>
        <v>298277475.38999999</v>
      </c>
      <c r="BD31" s="52">
        <f>'Evolutive SFP'!CF15</f>
        <v>316872634.31999999</v>
      </c>
      <c r="BE31" s="52">
        <f>'Evolutive SFP'!CG15</f>
        <v>328184247.23000002</v>
      </c>
      <c r="BF31" s="52">
        <f>'Evolutive SFP'!CH15</f>
        <v>328184248</v>
      </c>
      <c r="BG31" s="52">
        <f>'Evolutive SFP'!CI15</f>
        <v>339734942.07999998</v>
      </c>
      <c r="BH31" s="52">
        <f>'Evolutive SFP'!CJ15</f>
        <v>335761096.83999997</v>
      </c>
      <c r="BI31" s="52">
        <f>'Evolutive SFP'!CK15</f>
        <v>326596807.31999999</v>
      </c>
      <c r="BJ31" s="52">
        <f>'Evolutive SFP'!CL15</f>
        <v>313697541.97000003</v>
      </c>
      <c r="BK31" s="52">
        <f>'Evolutive SFP'!CM15</f>
        <v>314653277.60000002</v>
      </c>
      <c r="BL31" s="52">
        <f>'Evolutive SFP'!CN15</f>
        <v>320333753.24000001</v>
      </c>
      <c r="BM31" s="52">
        <f>'Evolutive SFP'!CO15</f>
        <v>341985297.88999999</v>
      </c>
      <c r="BN31" s="52">
        <f>'Evolutive SFP'!CP15</f>
        <v>352815601.86000001</v>
      </c>
      <c r="BO31" s="52">
        <f>'Evolutive SFP'!CQ15</f>
        <v>355045476.97000003</v>
      </c>
      <c r="BP31" s="52">
        <f>'Evolutive SFP'!CR15</f>
        <v>243317908.47</v>
      </c>
      <c r="BQ31" s="52">
        <f>'Evolutive SFP'!CS15</f>
        <v>281825669.17000002</v>
      </c>
      <c r="BR31" s="52">
        <f>'Evolutive SFP'!CT15</f>
        <v>270836485.26999998</v>
      </c>
      <c r="BS31" s="52">
        <f>'Evolutive SFP'!CU15</f>
        <v>270836485</v>
      </c>
      <c r="BT31" s="52">
        <f>'Evolutive SFP'!CV15</f>
        <v>366357901</v>
      </c>
      <c r="BU31" s="52">
        <f>'Evolutive SFP'!CW15</f>
        <v>377873023.79000002</v>
      </c>
      <c r="BV31" s="52">
        <f>'Evolutive SFP'!CX15</f>
        <v>383344470.66000003</v>
      </c>
      <c r="BW31" s="52">
        <f>'Evolutive SFP'!CY15</f>
        <v>381768695.75</v>
      </c>
      <c r="BX31" s="52">
        <f>'Evolutive SFP'!CZ15</f>
        <v>375760553.12</v>
      </c>
      <c r="BY31" s="52">
        <f>'Evolutive SFP'!DA15</f>
        <v>386530495.56</v>
      </c>
      <c r="BZ31" s="52">
        <f>'Evolutive SFP'!DB15</f>
        <v>378706791.18000001</v>
      </c>
      <c r="CA31" s="52">
        <f>'Evolutive SFP'!DC15</f>
        <v>330297717.91000003</v>
      </c>
      <c r="CB31" s="52">
        <f>'Evolutive SFP'!DD15</f>
        <v>372883599.75</v>
      </c>
      <c r="CC31" s="52">
        <f>'Evolutive SFP'!DE15</f>
        <v>391328588</v>
      </c>
    </row>
    <row r="32" spans="1:81">
      <c r="A32" s="20">
        <v>7.2</v>
      </c>
      <c r="B32" s="18" t="s">
        <v>280</v>
      </c>
      <c r="C32" s="52" t="e">
        <f>'Evolutive SFP'!#REF!</f>
        <v>#REF!</v>
      </c>
      <c r="D32" s="52" t="e">
        <f>'Evolutive SFP'!#REF!</f>
        <v>#REF!</v>
      </c>
      <c r="E32" s="52" t="e">
        <f>'Evolutive SFP'!#REF!</f>
        <v>#REF!</v>
      </c>
      <c r="F32" s="52" t="e">
        <f>'Evolutive SFP'!#REF!</f>
        <v>#REF!</v>
      </c>
      <c r="G32" s="52" t="e">
        <f>'Evolutive SFP'!#REF!</f>
        <v>#REF!</v>
      </c>
      <c r="H32" s="52" t="e">
        <f>'Evolutive SFP'!#REF!</f>
        <v>#REF!</v>
      </c>
      <c r="I32" s="52" t="e">
        <f>'Evolutive SFP'!#REF!</f>
        <v>#REF!</v>
      </c>
      <c r="J32" s="52" t="e">
        <f>'Evolutive SFP'!#REF!</f>
        <v>#REF!</v>
      </c>
      <c r="K32" s="52" t="e">
        <f>'Evolutive SFP'!#REF!</f>
        <v>#REF!</v>
      </c>
      <c r="L32" s="52" t="e">
        <f>'Evolutive SFP'!#REF!</f>
        <v>#REF!</v>
      </c>
      <c r="M32" s="52" t="e">
        <f>'Evolutive SFP'!#REF!</f>
        <v>#REF!</v>
      </c>
      <c r="N32" s="52" t="e">
        <f>'Evolutive SFP'!#REF!</f>
        <v>#REF!</v>
      </c>
      <c r="O32" s="52" t="e">
        <f>'Evolutive SFP'!#REF!</f>
        <v>#REF!</v>
      </c>
      <c r="P32" s="52" t="e">
        <f>'Evolutive SFP'!#REF!</f>
        <v>#REF!</v>
      </c>
      <c r="Q32" s="52" t="e">
        <f>'Evolutive SFP'!#REF!</f>
        <v>#REF!</v>
      </c>
      <c r="R32" s="52" t="e">
        <f>'Evolutive SFP'!#REF!</f>
        <v>#REF!</v>
      </c>
      <c r="S32" s="52">
        <f>'Evolutive SFP'!AV16</f>
        <v>20450261</v>
      </c>
      <c r="T32" s="52">
        <f>'Evolutive SFP'!AW16</f>
        <v>20780274.489999998</v>
      </c>
      <c r="U32" s="52">
        <f>'Evolutive SFP'!AX16</f>
        <v>19141626.34</v>
      </c>
      <c r="V32" s="52">
        <f>'Evolutive SFP'!AY16</f>
        <v>19978169.309999999</v>
      </c>
      <c r="W32" s="52">
        <f>'Evolutive SFP'!AZ16</f>
        <v>20069890.899999999</v>
      </c>
      <c r="X32" s="52">
        <f>'Evolutive SFP'!BA16</f>
        <v>18383270.420000002</v>
      </c>
      <c r="Y32" s="52">
        <f>'Evolutive SFP'!BB16</f>
        <v>19666720.039999999</v>
      </c>
      <c r="Z32" s="52">
        <f>'Evolutive SFP'!BC16</f>
        <v>20902181.57</v>
      </c>
      <c r="AA32" s="52">
        <f>'Evolutive SFP'!BD16</f>
        <v>21620473.98</v>
      </c>
      <c r="AB32" s="52">
        <f>'Evolutive SFP'!BE16</f>
        <v>22776646.73</v>
      </c>
      <c r="AC32" s="52">
        <f>'Evolutive SFP'!BF16</f>
        <v>23595546.687500007</v>
      </c>
      <c r="AD32" s="52">
        <f>'Evolutive SFP'!BG16</f>
        <v>24984064.73</v>
      </c>
      <c r="AE32" s="52">
        <f>'Evolutive SFP'!BH16</f>
        <v>27464068.09</v>
      </c>
      <c r="AF32" s="52">
        <f>'Evolutive SFP'!BI16</f>
        <v>27464068</v>
      </c>
      <c r="AG32" s="52">
        <f>'Evolutive SFP'!BJ16</f>
        <v>28980329.629999999</v>
      </c>
      <c r="AH32" s="52">
        <f>'Evolutive SFP'!BK16</f>
        <v>30204411.5</v>
      </c>
      <c r="AI32" s="52">
        <f>'Evolutive SFP'!BL16</f>
        <v>28568179.140000001</v>
      </c>
      <c r="AJ32" s="52">
        <f>'Evolutive SFP'!BM16</f>
        <v>29109466.239999998</v>
      </c>
      <c r="AK32" s="52">
        <f>'Evolutive SFP'!BN16</f>
        <v>30517053.710000001</v>
      </c>
      <c r="AL32" s="52">
        <f>'Evolutive SFP'!BO16</f>
        <v>32395094.030000001</v>
      </c>
      <c r="AM32" s="52">
        <f>'Evolutive SFP'!BP16</f>
        <v>26212331.670000002</v>
      </c>
      <c r="AN32" s="52">
        <f>'Evolutive SFP'!BQ16</f>
        <v>29313639.010000002</v>
      </c>
      <c r="AO32" s="52">
        <f>'Evolutive SFP'!BR16</f>
        <v>29714131.420000002</v>
      </c>
      <c r="AP32" s="52">
        <f>'Evolutive SFP'!BS16</f>
        <v>30988944.300000001</v>
      </c>
      <c r="AQ32" s="52">
        <f>'Evolutive SFP'!BT16</f>
        <v>33949049.340000004</v>
      </c>
      <c r="AR32" s="52">
        <f>'Evolutive SFP'!BU16</f>
        <v>28463506.870000001</v>
      </c>
      <c r="AS32" s="52">
        <f>'Evolutive SFP'!BV16</f>
        <v>28463507</v>
      </c>
      <c r="AT32" s="52">
        <f>'Evolutive SFP'!BW16</f>
        <v>28954454.539999999</v>
      </c>
      <c r="AU32" s="52">
        <f>'Evolutive SFP'!BX16</f>
        <v>34613448.369999997</v>
      </c>
      <c r="AV32" s="52">
        <f>'Evolutive SFP'!BY16</f>
        <v>36104840.560000002</v>
      </c>
      <c r="AW32" s="52">
        <f>'Evolutive SFP'!BZ16</f>
        <v>38924516.909999996</v>
      </c>
      <c r="AX32" s="52">
        <f>'Evolutive SFP'!CA16</f>
        <v>40195424.75</v>
      </c>
      <c r="AY32" s="52">
        <f>'Evolutive SFP'!CB16</f>
        <v>32301538.609999999</v>
      </c>
      <c r="AZ32" s="52" t="e">
        <f>'Evolutive SFP'!#REF!</f>
        <v>#REF!</v>
      </c>
      <c r="BA32" s="52">
        <f>'Evolutive SFP'!CC16</f>
        <v>33517597.699999999</v>
      </c>
      <c r="BB32" s="52">
        <f>'Evolutive SFP'!CD16</f>
        <v>32976202.91</v>
      </c>
      <c r="BC32" s="52">
        <f>'Evolutive SFP'!CE16</f>
        <v>32340275.170000002</v>
      </c>
      <c r="BD32" s="52">
        <f>'Evolutive SFP'!CF16</f>
        <v>34341463.740000002</v>
      </c>
      <c r="BE32" s="52">
        <f>'Evolutive SFP'!CG16</f>
        <v>35406123.369999997</v>
      </c>
      <c r="BF32" s="52">
        <f>'Evolutive SFP'!CH16</f>
        <v>35406123</v>
      </c>
      <c r="BG32" s="52">
        <f>'Evolutive SFP'!CI16</f>
        <v>37754495.560000002</v>
      </c>
      <c r="BH32" s="52">
        <f>'Evolutive SFP'!CJ16</f>
        <v>41621690.149999999</v>
      </c>
      <c r="BI32" s="52">
        <f>'Evolutive SFP'!CK16</f>
        <v>43072777.439999998</v>
      </c>
      <c r="BJ32" s="52">
        <f>'Evolutive SFP'!CL16</f>
        <v>43304904.009999998</v>
      </c>
      <c r="BK32" s="52">
        <f>'Evolutive SFP'!CM16</f>
        <v>47314570.219999999</v>
      </c>
      <c r="BL32" s="52">
        <f>'Evolutive SFP'!CN16</f>
        <v>51277948.049999997</v>
      </c>
      <c r="BM32" s="52">
        <f>'Evolutive SFP'!CO16</f>
        <v>55002071.219999999</v>
      </c>
      <c r="BN32" s="52">
        <f>'Evolutive SFP'!CP16</f>
        <v>62564410.32</v>
      </c>
      <c r="BO32" s="52">
        <f>'Evolutive SFP'!CQ16</f>
        <v>67891436.370000005</v>
      </c>
      <c r="BP32" s="52">
        <f>'Evolutive SFP'!CR16</f>
        <v>52631076.640000001</v>
      </c>
      <c r="BQ32" s="52">
        <f>'Evolutive SFP'!CS16</f>
        <v>48046887.630000003</v>
      </c>
      <c r="BR32" s="52">
        <f>'Evolutive SFP'!CT16</f>
        <v>36416867.759999998</v>
      </c>
      <c r="BS32" s="52">
        <f>'Evolutive SFP'!CU16</f>
        <v>36416868</v>
      </c>
      <c r="BT32" s="52">
        <f>'Evolutive SFP'!CV16</f>
        <v>36416868</v>
      </c>
      <c r="BU32" s="52">
        <f>'Evolutive SFP'!CW16</f>
        <v>37327939.310000002</v>
      </c>
      <c r="BV32" s="52">
        <f>'Evolutive SFP'!CX16</f>
        <v>39901395.899999999</v>
      </c>
      <c r="BW32" s="52">
        <f>'Evolutive SFP'!CY16</f>
        <v>40966925.450000003</v>
      </c>
      <c r="BX32" s="52">
        <f>'Evolutive SFP'!CZ16</f>
        <v>43965963.93</v>
      </c>
      <c r="BY32" s="52">
        <f>'Evolutive SFP'!DA16</f>
        <v>50529401.969999999</v>
      </c>
      <c r="BZ32" s="52">
        <f>'Evolutive SFP'!DB16</f>
        <v>50516941.049999997</v>
      </c>
      <c r="CA32" s="52">
        <f>'Evolutive SFP'!DC16</f>
        <v>34272449.579999998</v>
      </c>
      <c r="CB32" s="52">
        <f>'Evolutive SFP'!DD16</f>
        <v>38459878.100000001</v>
      </c>
      <c r="CC32" s="52">
        <f>'Evolutive SFP'!DE16</f>
        <v>41261190.979999997</v>
      </c>
    </row>
    <row r="33" spans="1:81">
      <c r="A33" s="18"/>
      <c r="B33" s="18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</row>
    <row r="34" spans="1:81">
      <c r="A34" s="20">
        <v>8</v>
      </c>
      <c r="B34" s="18" t="s">
        <v>129</v>
      </c>
      <c r="C34" s="52" t="e">
        <f>'Evolutive SFP'!#REF!+'Evolutive SFP'!#REF!</f>
        <v>#REF!</v>
      </c>
      <c r="D34" s="52" t="e">
        <f>'Evolutive SFP'!#REF!+'Evolutive SFP'!#REF!</f>
        <v>#REF!</v>
      </c>
      <c r="E34" s="52" t="e">
        <f>'Evolutive SFP'!#REF!+'Evolutive SFP'!#REF!</f>
        <v>#REF!</v>
      </c>
      <c r="F34" s="52" t="e">
        <f>'Evolutive SFP'!#REF!+'Evolutive SFP'!#REF!</f>
        <v>#REF!</v>
      </c>
      <c r="G34" s="52" t="e">
        <f>'Evolutive SFP'!#REF!+'Evolutive SFP'!#REF!</f>
        <v>#REF!</v>
      </c>
      <c r="H34" s="52" t="e">
        <f>'Evolutive SFP'!#REF!+'Evolutive SFP'!#REF!</f>
        <v>#REF!</v>
      </c>
      <c r="I34" s="52" t="e">
        <f>'Evolutive SFP'!#REF!+'Evolutive SFP'!#REF!</f>
        <v>#REF!</v>
      </c>
      <c r="J34" s="52" t="e">
        <f>'Evolutive SFP'!#REF!+'Evolutive SFP'!#REF!</f>
        <v>#REF!</v>
      </c>
      <c r="K34" s="52" t="e">
        <f>'Evolutive SFP'!#REF!+'Evolutive SFP'!#REF!</f>
        <v>#REF!</v>
      </c>
      <c r="L34" s="52" t="e">
        <f>'Evolutive SFP'!#REF!+'Evolutive SFP'!#REF!</f>
        <v>#REF!</v>
      </c>
      <c r="M34" s="52" t="e">
        <f>'Evolutive SFP'!#REF!+'Evolutive SFP'!#REF!</f>
        <v>#REF!</v>
      </c>
      <c r="N34" s="52" t="e">
        <f>'Evolutive SFP'!#REF!+'Evolutive SFP'!#REF!</f>
        <v>#REF!</v>
      </c>
      <c r="O34" s="52" t="e">
        <f>'Evolutive SFP'!#REF!+'Evolutive SFP'!#REF!</f>
        <v>#REF!</v>
      </c>
      <c r="P34" s="52" t="e">
        <f>'Evolutive SFP'!#REF!+'Evolutive SFP'!#REF!</f>
        <v>#REF!</v>
      </c>
      <c r="Q34" s="52" t="e">
        <f>'Evolutive SFP'!#REF!+'Evolutive SFP'!#REF!</f>
        <v>#REF!</v>
      </c>
      <c r="R34" s="52" t="e">
        <f>'Evolutive SFP'!#REF!+'Evolutive SFP'!#REF!</f>
        <v>#REF!</v>
      </c>
      <c r="S34" s="52">
        <f>'Evolutive SFP'!AV21+'Evolutive SFP'!AV7</f>
        <v>70557312</v>
      </c>
      <c r="T34" s="52">
        <f>'Evolutive SFP'!AW21+'Evolutive SFP'!AW7</f>
        <v>73272533.899999991</v>
      </c>
      <c r="U34" s="52">
        <f>'Evolutive SFP'!AX21+'Evolutive SFP'!AX7</f>
        <v>73505751.450000003</v>
      </c>
      <c r="V34" s="52">
        <f>'Evolutive SFP'!AY21+'Evolutive SFP'!AY7</f>
        <v>73414379.319999993</v>
      </c>
      <c r="W34" s="52">
        <f>'Evolutive SFP'!AZ21+'Evolutive SFP'!AZ7</f>
        <v>73826913.109999999</v>
      </c>
      <c r="X34" s="52">
        <f>'Evolutive SFP'!BA21+'Evolutive SFP'!BA7</f>
        <v>113953207.18000001</v>
      </c>
      <c r="Y34" s="52">
        <f>'Evolutive SFP'!BB21+'Evolutive SFP'!BB7</f>
        <v>113300302.45</v>
      </c>
      <c r="Z34" s="52">
        <f>'Evolutive SFP'!BC21+'Evolutive SFP'!BC7</f>
        <v>103463582.34</v>
      </c>
      <c r="AA34" s="52">
        <f>'Evolutive SFP'!BD21+'Evolutive SFP'!BD7</f>
        <v>93444530.669999987</v>
      </c>
      <c r="AB34" s="52">
        <f>'Evolutive SFP'!BE21+'Evolutive SFP'!BE7</f>
        <v>84600019.839999989</v>
      </c>
      <c r="AC34" s="52">
        <f>'Evolutive SFP'!BF21+'Evolutive SFP'!BF7</f>
        <v>84745732.460000008</v>
      </c>
      <c r="AD34" s="52">
        <f>'Evolutive SFP'!BG21+'Evolutive SFP'!BG7</f>
        <v>74746831.469999999</v>
      </c>
      <c r="AE34" s="52">
        <f>'Evolutive SFP'!BH21+'Evolutive SFP'!BH7</f>
        <v>74861246.359999999</v>
      </c>
      <c r="AF34" s="52">
        <f>'Evolutive SFP'!BI21+'Evolutive SFP'!BI7</f>
        <v>14563963</v>
      </c>
      <c r="AG34" s="52">
        <f>'Evolutive SFP'!BJ21+'Evolutive SFP'!BJ7</f>
        <v>74751703.229999989</v>
      </c>
      <c r="AH34" s="52">
        <f>'Evolutive SFP'!BK21+'Evolutive SFP'!BK7</f>
        <v>72931280.799999997</v>
      </c>
      <c r="AI34" s="52">
        <f>'Evolutive SFP'!BL21+'Evolutive SFP'!BL7</f>
        <v>72841821.719999999</v>
      </c>
      <c r="AJ34" s="52">
        <f>'Evolutive SFP'!BM21+'Evolutive SFP'!BM7</f>
        <v>72560455.109999999</v>
      </c>
      <c r="AK34" s="52">
        <f>'Evolutive SFP'!BN21+'Evolutive SFP'!BN7</f>
        <v>72589284.49000001</v>
      </c>
      <c r="AL34" s="52">
        <f>'Evolutive SFP'!BO21+'Evolutive SFP'!BO7</f>
        <v>73027362.400000006</v>
      </c>
      <c r="AM34" s="52">
        <f>'Evolutive SFP'!BP21+'Evolutive SFP'!BP7</f>
        <v>74105167.780000001</v>
      </c>
      <c r="AN34" s="52">
        <f>'Evolutive SFP'!BQ21+'Evolutive SFP'!BQ7</f>
        <v>74927441.909999996</v>
      </c>
      <c r="AO34" s="52">
        <f>'Evolutive SFP'!BR21+'Evolutive SFP'!BR7</f>
        <v>78955929.860000014</v>
      </c>
      <c r="AP34" s="52">
        <f>'Evolutive SFP'!BS21+'Evolutive SFP'!BS7</f>
        <v>78928617.550000012</v>
      </c>
      <c r="AQ34" s="52">
        <f>'Evolutive SFP'!BT21+'Evolutive SFP'!BT7</f>
        <v>78838379.75</v>
      </c>
      <c r="AR34" s="52">
        <f>'Evolutive SFP'!BU21+'Evolutive SFP'!BU7</f>
        <v>80880666.099999994</v>
      </c>
      <c r="AS34" s="52">
        <f>'Evolutive SFP'!BV21+'Evolutive SFP'!BV7</f>
        <v>153422341</v>
      </c>
      <c r="AT34" s="52">
        <f>'Evolutive SFP'!BW21+'Evolutive SFP'!BW7</f>
        <v>80806697.079999998</v>
      </c>
      <c r="AU34" s="52">
        <f>'Evolutive SFP'!BX21+'Evolutive SFP'!BX7</f>
        <v>79543752.979999989</v>
      </c>
      <c r="AV34" s="52">
        <f>'Evolutive SFP'!BY21+'Evolutive SFP'!BY7</f>
        <v>79195494.539999992</v>
      </c>
      <c r="AW34" s="52">
        <f>'Evolutive SFP'!BZ21+'Evolutive SFP'!BZ7</f>
        <v>80280805.840000004</v>
      </c>
      <c r="AX34" s="52">
        <f>'Evolutive SFP'!CA21+'Evolutive SFP'!CA7</f>
        <v>80452077.700000003</v>
      </c>
      <c r="AY34" s="52">
        <f>'Evolutive SFP'!CB21+'Evolutive SFP'!CB7</f>
        <v>80344979.120000005</v>
      </c>
      <c r="AZ34" s="52" t="e">
        <f>'Evolutive SFP'!#REF!+'Evolutive SFP'!#REF!</f>
        <v>#REF!</v>
      </c>
      <c r="BA34" s="52">
        <f>'Evolutive SFP'!CC21+'Evolutive SFP'!CC7</f>
        <v>80738547.599999994</v>
      </c>
      <c r="BB34" s="52">
        <f>'Evolutive SFP'!CD21+'Evolutive SFP'!CD7</f>
        <v>80738700.260000005</v>
      </c>
      <c r="BC34" s="52">
        <f>'Evolutive SFP'!CE21+'Evolutive SFP'!CE7</f>
        <v>83245687.5</v>
      </c>
      <c r="BD34" s="52">
        <f>'Evolutive SFP'!CF21+'Evolutive SFP'!CF7</f>
        <v>81986455.260000005</v>
      </c>
      <c r="BE34" s="52">
        <f>'Evolutive SFP'!CG21+'Evolutive SFP'!CG7</f>
        <v>83063332.780000001</v>
      </c>
      <c r="BF34" s="52">
        <f>'Evolutive SFP'!CH21+'Evolutive SFP'!CH7</f>
        <v>83063333</v>
      </c>
      <c r="BG34" s="52">
        <f>'Evolutive SFP'!CI21+'Evolutive SFP'!CI7</f>
        <v>83076645.670000002</v>
      </c>
      <c r="BH34" s="52">
        <f>'Evolutive SFP'!CJ21+'Evolutive SFP'!CJ7</f>
        <v>82320499.849999994</v>
      </c>
      <c r="BI34" s="52">
        <f>'Evolutive SFP'!CK21+'Evolutive SFP'!CK7</f>
        <v>82002011.710000008</v>
      </c>
      <c r="BJ34" s="52">
        <f>'Evolutive SFP'!CL21+'Evolutive SFP'!CL7</f>
        <v>83047436.379999995</v>
      </c>
      <c r="BK34" s="52">
        <f>'Evolutive SFP'!CM21+'Evolutive SFP'!CM7</f>
        <v>82747097.289999992</v>
      </c>
      <c r="BL34" s="52">
        <f>'Evolutive SFP'!CN21+'Evolutive SFP'!CN7</f>
        <v>82822643.49000001</v>
      </c>
      <c r="BM34" s="52">
        <f>'Evolutive SFP'!CO21+'Evolutive SFP'!CO7</f>
        <v>83343524.680000007</v>
      </c>
      <c r="BN34" s="52">
        <f>'Evolutive SFP'!CP21+'Evolutive SFP'!CP7</f>
        <v>82503092.159999996</v>
      </c>
      <c r="BO34" s="52">
        <f>'Evolutive SFP'!CQ21+'Evolutive SFP'!CQ7</f>
        <v>83460519.429999992</v>
      </c>
      <c r="BP34" s="52">
        <f>'Evolutive SFP'!CR21+'Evolutive SFP'!CR7</f>
        <v>84105577.569999993</v>
      </c>
      <c r="BQ34" s="52">
        <f>'Evolutive SFP'!CS21+'Evolutive SFP'!CS7</f>
        <v>83450991.040000007</v>
      </c>
      <c r="BR34" s="52">
        <f>'Evolutive SFP'!CT21+'Evolutive SFP'!CT7</f>
        <v>85426054.450000003</v>
      </c>
      <c r="BS34" s="52">
        <f>'Evolutive SFP'!CU21+'Evolutive SFP'!CU7</f>
        <v>69542839</v>
      </c>
      <c r="BT34" s="52">
        <f>'Evolutive SFP'!CV21+'Evolutive SFP'!CV7</f>
        <v>80561745</v>
      </c>
      <c r="BU34" s="52">
        <f>'Evolutive SFP'!CW21+'Evolutive SFP'!CW7</f>
        <v>79898572.660000011</v>
      </c>
      <c r="BV34" s="52">
        <f>'Evolutive SFP'!CX21+'Evolutive SFP'!CX7</f>
        <v>79623695.210000008</v>
      </c>
      <c r="BW34" s="52">
        <f>'Evolutive SFP'!CY21+'Evolutive SFP'!CY7</f>
        <v>79007686.920000002</v>
      </c>
      <c r="BX34" s="52">
        <f>'Evolutive SFP'!CZ21+'Evolutive SFP'!CZ7</f>
        <v>78637948.680000007</v>
      </c>
      <c r="BY34" s="52">
        <f>'Evolutive SFP'!DA21+'Evolutive SFP'!DA7</f>
        <v>77506849.540000007</v>
      </c>
      <c r="BZ34" s="52">
        <f>'Evolutive SFP'!DB21+'Evolutive SFP'!DB7</f>
        <v>77845059.020000011</v>
      </c>
      <c r="CA34" s="52">
        <f>'Evolutive SFP'!DC21+'Evolutive SFP'!DC7</f>
        <v>77180907.669999987</v>
      </c>
      <c r="CB34" s="52">
        <f>'Evolutive SFP'!DD21+'Evolutive SFP'!DD7</f>
        <v>78101423.859999999</v>
      </c>
      <c r="CC34" s="52">
        <f>'Evolutive SFP'!DE21+'Evolutive SFP'!DE7</f>
        <v>78127721.020000011</v>
      </c>
    </row>
    <row r="35" spans="1:81">
      <c r="A35" s="20">
        <v>8.1</v>
      </c>
      <c r="B35" s="18" t="s">
        <v>35</v>
      </c>
      <c r="C35" s="52" t="e">
        <f>'Evolutive SFP'!#REF!</f>
        <v>#REF!</v>
      </c>
      <c r="D35" s="52" t="e">
        <f>'Evolutive SFP'!#REF!</f>
        <v>#REF!</v>
      </c>
      <c r="E35" s="52" t="e">
        <f>'Evolutive SFP'!#REF!</f>
        <v>#REF!</v>
      </c>
      <c r="F35" s="52" t="e">
        <f>'Evolutive SFP'!#REF!</f>
        <v>#REF!</v>
      </c>
      <c r="G35" s="52" t="e">
        <f>'Evolutive SFP'!#REF!</f>
        <v>#REF!</v>
      </c>
      <c r="H35" s="52" t="e">
        <f>'Evolutive SFP'!#REF!</f>
        <v>#REF!</v>
      </c>
      <c r="I35" s="52" t="e">
        <f>'Evolutive SFP'!#REF!</f>
        <v>#REF!</v>
      </c>
      <c r="J35" s="52" t="e">
        <f>'Evolutive SFP'!#REF!</f>
        <v>#REF!</v>
      </c>
      <c r="K35" s="52" t="e">
        <f>'Evolutive SFP'!#REF!</f>
        <v>#REF!</v>
      </c>
      <c r="L35" s="52" t="e">
        <f>'Evolutive SFP'!#REF!</f>
        <v>#REF!</v>
      </c>
      <c r="M35" s="52" t="e">
        <f>'Evolutive SFP'!#REF!</f>
        <v>#REF!</v>
      </c>
      <c r="N35" s="52" t="e">
        <f>'Evolutive SFP'!#REF!</f>
        <v>#REF!</v>
      </c>
      <c r="O35" s="52" t="e">
        <f>'Evolutive SFP'!#REF!</f>
        <v>#REF!</v>
      </c>
      <c r="P35" s="52" t="e">
        <f>'Evolutive SFP'!#REF!</f>
        <v>#REF!</v>
      </c>
      <c r="Q35" s="52" t="e">
        <f>'Evolutive SFP'!#REF!</f>
        <v>#REF!</v>
      </c>
      <c r="R35" s="52" t="e">
        <f>'Evolutive SFP'!#REF!</f>
        <v>#REF!</v>
      </c>
      <c r="S35" s="52">
        <f>'Evolutive SFP'!AV23</f>
        <v>65997403</v>
      </c>
      <c r="T35" s="52">
        <f>'Evolutive SFP'!AW23</f>
        <v>4358754.83</v>
      </c>
      <c r="U35" s="52">
        <f>'Evolutive SFP'!AX23</f>
        <v>4301478.01</v>
      </c>
      <c r="V35" s="52">
        <f>'Evolutive SFP'!AY23</f>
        <v>4228706.1900000004</v>
      </c>
      <c r="W35" s="52">
        <f>'Evolutive SFP'!AZ23</f>
        <v>4590950.04</v>
      </c>
      <c r="X35" s="52">
        <f>'Evolutive SFP'!BA23</f>
        <v>4549799.08</v>
      </c>
      <c r="Y35" s="52">
        <f>'Evolutive SFP'!BB23</f>
        <v>4490022.1600000011</v>
      </c>
      <c r="Z35" s="52">
        <f>'Evolutive SFP'!BC23</f>
        <v>4767228.33</v>
      </c>
      <c r="AA35" s="52">
        <f>'Evolutive SFP'!BD23</f>
        <v>4969646.79</v>
      </c>
      <c r="AB35" s="52">
        <f>'Evolutive SFP'!BE23</f>
        <v>4901768.5599999996</v>
      </c>
      <c r="AC35" s="52">
        <f>'Evolutive SFP'!BF23</f>
        <v>5280578.9800000004</v>
      </c>
      <c r="AD35" s="52">
        <f>'Evolutive SFP'!BG23</f>
        <v>5279015.25</v>
      </c>
      <c r="AE35" s="52">
        <f>'Evolutive SFP'!BH23</f>
        <v>4626937.91</v>
      </c>
      <c r="AF35" s="52">
        <f>'Evolutive SFP'!BI23</f>
        <v>7592189</v>
      </c>
      <c r="AG35" s="52">
        <f>'Evolutive SFP'!BJ23</f>
        <v>4906334.42</v>
      </c>
      <c r="AH35" s="52">
        <f>'Evolutive SFP'!BK23</f>
        <v>4936595.16</v>
      </c>
      <c r="AI35" s="52">
        <f>'Evolutive SFP'!BL23</f>
        <v>4857251.26</v>
      </c>
      <c r="AJ35" s="52">
        <f>'Evolutive SFP'!BM23</f>
        <v>4809192.53</v>
      </c>
      <c r="AK35" s="52">
        <f>'Evolutive SFP'!BN23</f>
        <v>5067601.99</v>
      </c>
      <c r="AL35" s="52">
        <f>'Evolutive SFP'!BO23</f>
        <v>4771818.0499999989</v>
      </c>
      <c r="AM35" s="52">
        <f>'Evolutive SFP'!BP23</f>
        <v>4671285.47</v>
      </c>
      <c r="AN35" s="52">
        <f>'Evolutive SFP'!BQ23</f>
        <v>4695247.6399999997</v>
      </c>
      <c r="AO35" s="52">
        <f>'Evolutive SFP'!BR23</f>
        <v>8044766.8499999996</v>
      </c>
      <c r="AP35" s="52">
        <f>'Evolutive SFP'!BS23</f>
        <v>8019247.5</v>
      </c>
      <c r="AQ35" s="52">
        <f>'Evolutive SFP'!BT23</f>
        <v>7914948.3200000003</v>
      </c>
      <c r="AR35" s="52">
        <f>'Evolutive SFP'!BU23</f>
        <v>7020122.9100000001</v>
      </c>
      <c r="AS35" s="52">
        <f>'Evolutive SFP'!BV23</f>
        <v>9153451</v>
      </c>
      <c r="AT35" s="52">
        <f>'Evolutive SFP'!BW23</f>
        <v>6920478.96</v>
      </c>
      <c r="AU35" s="52">
        <f>'Evolutive SFP'!BX23</f>
        <v>6778829.9000000004</v>
      </c>
      <c r="AV35" s="52">
        <f>'Evolutive SFP'!BY23</f>
        <v>6691681.3300000001</v>
      </c>
      <c r="AW35" s="52">
        <f>'Evolutive SFP'!BZ23</f>
        <v>6556567.4400000004</v>
      </c>
      <c r="AX35" s="52">
        <f>'Evolutive SFP'!CA23</f>
        <v>6617545.5599999996</v>
      </c>
      <c r="AY35" s="52">
        <f>'Evolutive SFP'!CB23</f>
        <v>6758640.2000000002</v>
      </c>
      <c r="AZ35" s="52" t="e">
        <f>'Evolutive SFP'!#REF!</f>
        <v>#REF!</v>
      </c>
      <c r="BA35" s="52">
        <f>'Evolutive SFP'!CC23</f>
        <v>6525401.8600000003</v>
      </c>
      <c r="BB35" s="52">
        <f>'Evolutive SFP'!CD23</f>
        <v>6487237.4299999997</v>
      </c>
      <c r="BC35" s="52">
        <f>'Evolutive SFP'!CE23</f>
        <v>6329158.9900000002</v>
      </c>
      <c r="BD35" s="52">
        <f>'Evolutive SFP'!CF23</f>
        <v>6171225.2400000002</v>
      </c>
      <c r="BE35" s="52">
        <f>'Evolutive SFP'!CG23</f>
        <v>6051200.5</v>
      </c>
      <c r="BF35" s="52">
        <f>'Evolutive SFP'!CH23</f>
        <v>6051200</v>
      </c>
      <c r="BG35" s="52">
        <f>'Evolutive SFP'!CI23</f>
        <v>5935931.0999999996</v>
      </c>
      <c r="BH35" s="52">
        <f>'Evolutive SFP'!CJ23</f>
        <v>5822302.6500000004</v>
      </c>
      <c r="BI35" s="52">
        <f>'Evolutive SFP'!CK23</f>
        <v>5705401.5700000003</v>
      </c>
      <c r="BJ35" s="52">
        <f>'Evolutive SFP'!CL23</f>
        <v>5588330.6399999997</v>
      </c>
      <c r="BK35" s="52">
        <f>'Evolutive SFP'!CM23</f>
        <v>5609924.3899999997</v>
      </c>
      <c r="BL35" s="52">
        <f>'Evolutive SFP'!CN23</f>
        <v>5544603.7400000002</v>
      </c>
      <c r="BM35" s="52">
        <f>'Evolutive SFP'!CO23</f>
        <v>5432321.2400000002</v>
      </c>
      <c r="BN35" s="52">
        <f>'Evolutive SFP'!CP23</f>
        <v>5485539.4199999999</v>
      </c>
      <c r="BO35" s="52">
        <f>'Evolutive SFP'!CQ23</f>
        <v>5362391.71</v>
      </c>
      <c r="BP35" s="52">
        <f>'Evolutive SFP'!CR23</f>
        <v>5246380.6900000004</v>
      </c>
      <c r="BQ35" s="52">
        <f>'Evolutive SFP'!CS23</f>
        <v>5286203.8899999997</v>
      </c>
      <c r="BR35" s="52">
        <f>'Evolutive SFP'!CT23</f>
        <v>5158193</v>
      </c>
      <c r="BS35" s="52">
        <f>'Evolutive SFP'!CU23</f>
        <v>6203525</v>
      </c>
      <c r="BT35" s="52">
        <f>'Evolutive SFP'!CV23</f>
        <v>8299778</v>
      </c>
      <c r="BU35" s="52">
        <f>'Evolutive SFP'!CW23</f>
        <v>8159712.3099999996</v>
      </c>
      <c r="BV35" s="52">
        <f>'Evolutive SFP'!CX23</f>
        <v>8023159.4900000002</v>
      </c>
      <c r="BW35" s="52">
        <f>'Evolutive SFP'!CY23</f>
        <v>7884534.9100000001</v>
      </c>
      <c r="BX35" s="52">
        <f>'Evolutive SFP'!CZ23</f>
        <v>7748104.5</v>
      </c>
      <c r="BY35" s="52">
        <f>'Evolutive SFP'!DA23</f>
        <v>7622913.25</v>
      </c>
      <c r="BZ35" s="52">
        <f>'Evolutive SFP'!DB23</f>
        <v>7631502.5899999999</v>
      </c>
      <c r="CA35" s="52">
        <f>'Evolutive SFP'!DC23</f>
        <v>7571749.6500000004</v>
      </c>
      <c r="CB35" s="52">
        <f>'Evolutive SFP'!DD23</f>
        <v>7256570.5899999999</v>
      </c>
      <c r="CC35" s="52">
        <f>'Evolutive SFP'!DE23</f>
        <v>7196848.3499999996</v>
      </c>
    </row>
    <row r="36" spans="1:81">
      <c r="A36" s="16"/>
      <c r="B36" s="157" t="s">
        <v>281</v>
      </c>
      <c r="C36" s="52"/>
      <c r="D36" s="52" t="e">
        <f>'Evolutive SFP'!#REF!</f>
        <v>#REF!</v>
      </c>
      <c r="E36" s="52" t="e">
        <f>'Evolutive SFP'!#REF!</f>
        <v>#REF!</v>
      </c>
      <c r="F36" s="52" t="e">
        <f>'Evolutive SFP'!#REF!</f>
        <v>#REF!</v>
      </c>
      <c r="G36" s="52" t="e">
        <f>'Evolutive SFP'!#REF!</f>
        <v>#REF!</v>
      </c>
      <c r="H36" s="52" t="e">
        <f>'Evolutive SFP'!#REF!</f>
        <v>#REF!</v>
      </c>
      <c r="I36" s="52" t="e">
        <f>'Evolutive SFP'!#REF!</f>
        <v>#REF!</v>
      </c>
      <c r="J36" s="52" t="e">
        <f>'Evolutive SFP'!#REF!</f>
        <v>#REF!</v>
      </c>
      <c r="K36" s="52" t="e">
        <f>'Evolutive SFP'!#REF!</f>
        <v>#REF!</v>
      </c>
      <c r="L36" s="52" t="e">
        <f>'Evolutive SFP'!#REF!</f>
        <v>#REF!</v>
      </c>
      <c r="M36" s="52" t="e">
        <f>'Evolutive SFP'!#REF!</f>
        <v>#REF!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</row>
    <row r="37" spans="1:81">
      <c r="A37" s="20">
        <v>9</v>
      </c>
      <c r="B37" s="18" t="s">
        <v>238</v>
      </c>
      <c r="C37" s="52" t="e">
        <f>C38+C39+C40+C41</f>
        <v>#REF!</v>
      </c>
      <c r="D37" s="52" t="e">
        <f t="shared" ref="D37:K37" si="49">D38+D39+D40+D41</f>
        <v>#REF!</v>
      </c>
      <c r="E37" s="52" t="e">
        <f>E38+E39+E40+E41</f>
        <v>#REF!</v>
      </c>
      <c r="F37" s="52" t="e">
        <f>F38+F39+F40+F41</f>
        <v>#REF!</v>
      </c>
      <c r="G37" s="52" t="e">
        <f t="shared" si="49"/>
        <v>#REF!</v>
      </c>
      <c r="H37" s="52" t="e">
        <f t="shared" si="49"/>
        <v>#REF!</v>
      </c>
      <c r="I37" s="52" t="e">
        <f t="shared" si="49"/>
        <v>#REF!</v>
      </c>
      <c r="J37" s="52" t="e">
        <f t="shared" si="49"/>
        <v>#REF!</v>
      </c>
      <c r="K37" s="52" t="e">
        <f t="shared" si="49"/>
        <v>#REF!</v>
      </c>
      <c r="L37" s="52" t="e">
        <f>L38+L39+L40+L41</f>
        <v>#REF!</v>
      </c>
      <c r="M37" s="52" t="e">
        <f t="shared" ref="M37:S37" si="50">M38+M39+M40+M41</f>
        <v>#REF!</v>
      </c>
      <c r="N37" s="52" t="e">
        <f t="shared" si="50"/>
        <v>#REF!</v>
      </c>
      <c r="O37" s="52" t="e">
        <f t="shared" si="50"/>
        <v>#REF!</v>
      </c>
      <c r="P37" s="52" t="e">
        <f t="shared" si="50"/>
        <v>#REF!</v>
      </c>
      <c r="Q37" s="52" t="e">
        <f t="shared" si="50"/>
        <v>#REF!</v>
      </c>
      <c r="R37" s="52" t="e">
        <f t="shared" si="50"/>
        <v>#REF!</v>
      </c>
      <c r="S37" s="52">
        <f t="shared" si="50"/>
        <v>40817948.112526938</v>
      </c>
      <c r="T37" s="52">
        <f t="shared" ref="T37:AR37" si="51">T38+T39+T40+T41</f>
        <v>2464031.388404686</v>
      </c>
      <c r="U37" s="52">
        <f t="shared" si="51"/>
        <v>4531810.4956083354</v>
      </c>
      <c r="V37" s="52">
        <f t="shared" si="51"/>
        <v>7597231.9332374632</v>
      </c>
      <c r="W37" s="52">
        <f t="shared" si="51"/>
        <v>9950683.8704988584</v>
      </c>
      <c r="X37" s="52">
        <f t="shared" si="51"/>
        <v>23192940.006396804</v>
      </c>
      <c r="Y37" s="52">
        <f t="shared" si="51"/>
        <v>26651569.420034457</v>
      </c>
      <c r="Z37" s="52">
        <f t="shared" si="51"/>
        <v>34413091.560120195</v>
      </c>
      <c r="AA37" s="52">
        <f t="shared" si="51"/>
        <v>36292208.084214516</v>
      </c>
      <c r="AB37" s="52">
        <f t="shared" si="51"/>
        <v>38286170.324664079</v>
      </c>
      <c r="AC37" s="52">
        <f t="shared" si="51"/>
        <v>41953339.323069014</v>
      </c>
      <c r="AD37" s="52">
        <f t="shared" si="51"/>
        <v>43866256.312169977</v>
      </c>
      <c r="AE37" s="52">
        <f t="shared" si="51"/>
        <v>47511881.277062453</v>
      </c>
      <c r="AF37" s="52">
        <f t="shared" si="51"/>
        <v>47511882.117062457</v>
      </c>
      <c r="AG37" s="52">
        <f t="shared" si="51"/>
        <v>3580426.3897453472</v>
      </c>
      <c r="AH37" s="52">
        <f t="shared" si="51"/>
        <v>5044803.1925197905</v>
      </c>
      <c r="AI37" s="52">
        <f t="shared" si="51"/>
        <v>7321851.2477338789</v>
      </c>
      <c r="AJ37" s="52">
        <f t="shared" si="51"/>
        <v>9295692.2824651953</v>
      </c>
      <c r="AK37" s="52">
        <f t="shared" si="51"/>
        <v>11735869.078372676</v>
      </c>
      <c r="AL37" s="52">
        <f t="shared" si="51"/>
        <v>18988097.071648184</v>
      </c>
      <c r="AM37" s="52">
        <f t="shared" si="51"/>
        <v>39504198.815659583</v>
      </c>
      <c r="AN37" s="52">
        <f t="shared" si="51"/>
        <v>44671139.061029725</v>
      </c>
      <c r="AO37" s="52">
        <f t="shared" si="51"/>
        <v>47007140.174831554</v>
      </c>
      <c r="AP37" s="52">
        <f t="shared" si="51"/>
        <v>50403756.551791549</v>
      </c>
      <c r="AQ37" s="52">
        <f t="shared" si="51"/>
        <v>53218882.065144695</v>
      </c>
      <c r="AR37" s="52">
        <f t="shared" si="51"/>
        <v>58640436.805628605</v>
      </c>
      <c r="AS37" s="52">
        <f t="shared" ref="AS37:AY37" si="52">AS38+AS39+AS40+AS41</f>
        <v>58639936.125628613</v>
      </c>
      <c r="AT37" s="52">
        <f t="shared" si="52"/>
        <v>1654095.5533794458</v>
      </c>
      <c r="AU37" s="52">
        <f t="shared" si="52"/>
        <v>4368496.2100691879</v>
      </c>
      <c r="AV37" s="52">
        <f t="shared" si="52"/>
        <v>6687457.4659406701</v>
      </c>
      <c r="AW37" s="52">
        <f t="shared" si="52"/>
        <v>19587044.161026806</v>
      </c>
      <c r="AX37" s="52">
        <f t="shared" si="52"/>
        <v>22238943.214027185</v>
      </c>
      <c r="AY37" s="52">
        <f t="shared" si="52"/>
        <v>34201400.762718201</v>
      </c>
      <c r="AZ37" s="52" t="e">
        <f t="shared" ref="AZ37:BF37" si="53">AZ38+AZ39+AZ40+AZ41</f>
        <v>#REF!</v>
      </c>
      <c r="BA37" s="52">
        <f t="shared" si="53"/>
        <v>42192310.766375981</v>
      </c>
      <c r="BB37" s="52">
        <f t="shared" si="53"/>
        <v>48864465.494736522</v>
      </c>
      <c r="BC37" s="52">
        <f t="shared" si="53"/>
        <v>54205689.877920024</v>
      </c>
      <c r="BD37" s="52">
        <f t="shared" si="53"/>
        <v>57023682.746956758</v>
      </c>
      <c r="BE37" s="52">
        <f t="shared" si="53"/>
        <v>60256144.997551322</v>
      </c>
      <c r="BF37" s="52">
        <f t="shared" si="53"/>
        <v>60256145.097551323</v>
      </c>
      <c r="BG37" s="52">
        <f t="shared" ref="BG37:BP37" si="54">BG38+BG39+BG40+BG41</f>
        <v>2281475.4337978424</v>
      </c>
      <c r="BH37" s="52">
        <f t="shared" si="54"/>
        <v>5184018.3894984173</v>
      </c>
      <c r="BI37" s="52">
        <f t="shared" si="54"/>
        <v>7961652.2444558274</v>
      </c>
      <c r="BJ37" s="52">
        <f t="shared" si="54"/>
        <v>18263978.110924482</v>
      </c>
      <c r="BK37" s="52">
        <f t="shared" si="54"/>
        <v>20550312.435129303</v>
      </c>
      <c r="BL37" s="52">
        <f t="shared" si="54"/>
        <v>22478328.66798025</v>
      </c>
      <c r="BM37" s="52">
        <f t="shared" si="54"/>
        <v>26066191.339214746</v>
      </c>
      <c r="BN37" s="52">
        <f t="shared" si="54"/>
        <v>28818839.502258178</v>
      </c>
      <c r="BO37" s="52">
        <f t="shared" si="54"/>
        <v>30755890.615038924</v>
      </c>
      <c r="BP37" s="52">
        <f t="shared" si="54"/>
        <v>57822788.549618877</v>
      </c>
      <c r="BQ37" s="52">
        <f t="shared" ref="BQ37:BS37" si="55">BQ38+BQ39+BQ40+BQ41</f>
        <v>62913917.83815942</v>
      </c>
      <c r="BR37" s="52">
        <f t="shared" si="55"/>
        <v>70086207.699405</v>
      </c>
      <c r="BS37" s="52">
        <f t="shared" si="55"/>
        <v>70086207.159404993</v>
      </c>
      <c r="BT37" s="52">
        <f t="shared" ref="BT37:BW37" si="56">BT38+BT39+BT40+BT41</f>
        <v>70075011.085528716</v>
      </c>
      <c r="BU37" s="52">
        <f t="shared" si="56"/>
        <v>3766669.6255579609</v>
      </c>
      <c r="BV37" s="52">
        <f t="shared" si="56"/>
        <v>7257392.3494560029</v>
      </c>
      <c r="BW37" s="52">
        <f t="shared" si="56"/>
        <v>11494922.176149976</v>
      </c>
      <c r="BX37" s="52">
        <f t="shared" ref="BX37:BY37" si="57">BX38+BX39+BX40+BX41</f>
        <v>16724751.694910692</v>
      </c>
      <c r="BY37" s="52">
        <f t="shared" si="57"/>
        <v>22178668.581804536</v>
      </c>
      <c r="BZ37" s="52">
        <f t="shared" ref="BZ37:CA37" si="58">BZ38+BZ39+BZ40+BZ41</f>
        <v>36537253.241650373</v>
      </c>
      <c r="CA37" s="52">
        <f t="shared" si="58"/>
        <v>62786188.973414734</v>
      </c>
      <c r="CB37" s="52">
        <f t="shared" ref="CB37:CC37" si="59">CB38+CB39+CB40+CB41</f>
        <v>69891104.236711308</v>
      </c>
      <c r="CC37" s="52">
        <f t="shared" si="59"/>
        <v>73275129.254983217</v>
      </c>
    </row>
    <row r="38" spans="1:81">
      <c r="A38" s="18">
        <v>9.1</v>
      </c>
      <c r="B38" s="18" t="s">
        <v>282</v>
      </c>
      <c r="C38" s="52" t="e">
        <f>'Evolutitve SCI'!#REF!</f>
        <v>#REF!</v>
      </c>
      <c r="D38" s="52" t="e">
        <f>'Evolutitve SCI'!#REF!</f>
        <v>#REF!</v>
      </c>
      <c r="E38" s="52" t="e">
        <f>'Evolutitve SCI'!#REF!</f>
        <v>#REF!</v>
      </c>
      <c r="F38" s="52" t="e">
        <f>'Evolutitve SCI'!#REF!</f>
        <v>#REF!</v>
      </c>
      <c r="G38" s="52" t="e">
        <f>'Evolutitve SCI'!#REF!</f>
        <v>#REF!</v>
      </c>
      <c r="H38" s="52" t="e">
        <f>'Evolutitve SCI'!#REF!</f>
        <v>#REF!</v>
      </c>
      <c r="I38" s="52" t="e">
        <f>'Evolutitve SCI'!#REF!</f>
        <v>#REF!</v>
      </c>
      <c r="J38" s="52" t="e">
        <f>'Evolutitve SCI'!#REF!</f>
        <v>#REF!</v>
      </c>
      <c r="K38" s="52" t="e">
        <f>'Evolutitve SCI'!#REF!</f>
        <v>#REF!</v>
      </c>
      <c r="L38" s="52" t="e">
        <f>'Evolutitve SCI'!#REF!</f>
        <v>#REF!</v>
      </c>
      <c r="M38" s="52" t="e">
        <f>'Evolutitve SCI'!#REF!</f>
        <v>#REF!</v>
      </c>
      <c r="N38" s="52" t="e">
        <f>'Evolutitve SCI'!#REF!</f>
        <v>#REF!</v>
      </c>
      <c r="O38" s="52" t="e">
        <f>'Evolutitve SCI'!#REF!</f>
        <v>#REF!</v>
      </c>
      <c r="P38" s="52" t="e">
        <f>'Evolutitve SCI'!#REF!</f>
        <v>#REF!</v>
      </c>
      <c r="Q38" s="52" t="e">
        <f>'Evolutitve SCI'!#REF!</f>
        <v>#REF!</v>
      </c>
      <c r="R38" s="52" t="e">
        <f>'Evolutitve SCI'!#REF!</f>
        <v>#REF!</v>
      </c>
      <c r="S38" s="52">
        <f>'Evolutitve SCI'!AV5</f>
        <v>20641122</v>
      </c>
      <c r="T38" s="52">
        <f>'Evolutitve SCI'!AW5</f>
        <v>1521953.88</v>
      </c>
      <c r="U38" s="52">
        <f>'Evolutitve SCI'!AX5</f>
        <v>2792545.48</v>
      </c>
      <c r="V38" s="52">
        <f>'Evolutitve SCI'!AY5</f>
        <v>4105261.47</v>
      </c>
      <c r="W38" s="52">
        <f>'Evolutitve SCI'!AZ5</f>
        <v>5683462.54</v>
      </c>
      <c r="X38" s="52">
        <f>'Evolutitve SCI'!BA5</f>
        <v>16508988.109999999</v>
      </c>
      <c r="Y38" s="52">
        <f>'Evolutitve SCI'!BB5</f>
        <v>18350278.82</v>
      </c>
      <c r="Z38" s="52">
        <f>'Evolutitve SCI'!BC5</f>
        <v>19604597.870000001</v>
      </c>
      <c r="AA38" s="52">
        <f>'Evolutitve SCI'!BD5</f>
        <v>20262501.27</v>
      </c>
      <c r="AB38" s="52">
        <f>'Evolutitve SCI'!BE5</f>
        <v>21089272.460000001</v>
      </c>
      <c r="AC38" s="52">
        <f>'Evolutitve SCI'!BF5</f>
        <v>22786412.25</v>
      </c>
      <c r="AD38" s="52">
        <f>'Evolutitve SCI'!BG5</f>
        <v>23785976.5</v>
      </c>
      <c r="AE38" s="52">
        <f>'Evolutitve SCI'!BH5</f>
        <v>25234231.66</v>
      </c>
      <c r="AF38" s="52">
        <f>'Evolutitve SCI'!BI5</f>
        <v>25234232</v>
      </c>
      <c r="AG38" s="52">
        <f>'Evolutitve SCI'!BJ5</f>
        <v>2147516.73</v>
      </c>
      <c r="AH38" s="52">
        <f>'Evolutitve SCI'!BK5</f>
        <v>2796959.33</v>
      </c>
      <c r="AI38" s="52">
        <f>'Evolutitve SCI'!BL5</f>
        <v>4053433.07</v>
      </c>
      <c r="AJ38" s="52">
        <f>'Evolutitve SCI'!BM5</f>
        <v>5168948</v>
      </c>
      <c r="AK38" s="52">
        <f>'Evolutitve SCI'!BN5</f>
        <v>6568291.7699999996</v>
      </c>
      <c r="AL38" s="52">
        <f>'Evolutitve SCI'!BO5</f>
        <v>7360664.3499999996</v>
      </c>
      <c r="AM38" s="52">
        <f>'Evolutitve SCI'!BP5</f>
        <v>24339366.329999998</v>
      </c>
      <c r="AN38" s="52">
        <f>'Evolutitve SCI'!BQ5</f>
        <v>26791528.77</v>
      </c>
      <c r="AO38" s="52">
        <f>'Evolutitve SCI'!BR5</f>
        <v>27459300.600000001</v>
      </c>
      <c r="AP38" s="52">
        <f>'Evolutitve SCI'!BS5</f>
        <v>28478076.309999999</v>
      </c>
      <c r="AQ38" s="52">
        <f>'Evolutitve SCI'!BT5</f>
        <v>29740382.359999999</v>
      </c>
      <c r="AR38" s="52">
        <f>'Evolutitve SCI'!BU5</f>
        <v>32292356.199999999</v>
      </c>
      <c r="AS38" s="52">
        <f>'Evolutitve SCI'!BV5</f>
        <v>32292356</v>
      </c>
      <c r="AT38" s="52">
        <f>'Evolutitve SCI'!BW5</f>
        <v>885005.09</v>
      </c>
      <c r="AU38" s="52">
        <f>'Evolutitve SCI'!BX5</f>
        <v>2669645.85</v>
      </c>
      <c r="AV38" s="52">
        <f>'Evolutitve SCI'!BY5</f>
        <v>4156606.22</v>
      </c>
      <c r="AW38" s="52">
        <f>'Evolutitve SCI'!BZ5</f>
        <v>8922644.2400000002</v>
      </c>
      <c r="AX38" s="52">
        <f>'Evolutitve SCI'!CA5</f>
        <v>10198917.82</v>
      </c>
      <c r="AY38" s="52">
        <f>'Evolutitve SCI'!CB5</f>
        <v>20458899.800000001</v>
      </c>
      <c r="AZ38" s="52" t="e">
        <f>'Evolutitve SCI'!#REF!</f>
        <v>#REF!</v>
      </c>
      <c r="BA38" s="52">
        <f>'Evolutitve SCI'!CC5</f>
        <v>23151979.190000001</v>
      </c>
      <c r="BB38" s="52">
        <f>'Evolutitve SCI'!CD5</f>
        <v>28027804.969999999</v>
      </c>
      <c r="BC38" s="52">
        <f>'Evolutitve SCI'!CE5</f>
        <v>29207337.66</v>
      </c>
      <c r="BD38" s="52">
        <f>'Evolutitve SCI'!CF5</f>
        <v>30722944.07</v>
      </c>
      <c r="BE38" s="52">
        <f>'Evolutitve SCI'!CG5</f>
        <v>32014808.07</v>
      </c>
      <c r="BF38" s="52">
        <f>'Evolutitve SCI'!CH5</f>
        <v>32014808</v>
      </c>
      <c r="BG38" s="52">
        <f>'Evolutitve SCI'!CI5</f>
        <v>1290259.8</v>
      </c>
      <c r="BH38" s="52">
        <f>'Evolutitve SCI'!CJ5</f>
        <v>3189198.6</v>
      </c>
      <c r="BI38" s="52">
        <f>'Evolutitve SCI'!CK5</f>
        <v>4721226.8</v>
      </c>
      <c r="BJ38" s="52">
        <f>'Evolutitve SCI'!CL5</f>
        <v>6563958.4000000004</v>
      </c>
      <c r="BK38" s="52">
        <f>'Evolutitve SCI'!CM5</f>
        <v>7907017.2000000002</v>
      </c>
      <c r="BL38" s="52">
        <f>'Evolutitve SCI'!CN5</f>
        <v>8963019.6999999993</v>
      </c>
      <c r="BM38" s="52">
        <f>'Evolutitve SCI'!CO5</f>
        <v>9991014.4000000004</v>
      </c>
      <c r="BN38" s="52">
        <f>'Evolutitve SCI'!CP5</f>
        <v>11381187.800000001</v>
      </c>
      <c r="BO38" s="52">
        <f>'Evolutitve SCI'!CQ5</f>
        <v>12440411.4</v>
      </c>
      <c r="BP38" s="52">
        <f>'Evolutitve SCI'!CR5</f>
        <v>36404952.299999997</v>
      </c>
      <c r="BQ38" s="52">
        <f>'Evolutitve SCI'!CS5</f>
        <v>38936870.399999999</v>
      </c>
      <c r="BR38" s="52">
        <f>'Evolutitve SCI'!CT5</f>
        <v>43172690.299999997</v>
      </c>
      <c r="BS38" s="52">
        <f>'Evolutitve SCI'!CU5</f>
        <v>43172690</v>
      </c>
      <c r="BT38" s="52">
        <f>'Evolutitve SCI'!CV5</f>
        <v>31334121</v>
      </c>
      <c r="BU38" s="52">
        <f>'Evolutitve SCI'!CW5</f>
        <v>2100203.5</v>
      </c>
      <c r="BV38" s="52">
        <f>'Evolutitve SCI'!CX5</f>
        <v>3624906.6</v>
      </c>
      <c r="BW38" s="52">
        <f>'Evolutitve SCI'!CY5</f>
        <v>6165554.7000000002</v>
      </c>
      <c r="BX38" s="52">
        <f>'Evolutitve SCI'!CZ5</f>
        <v>9360454.8000000007</v>
      </c>
      <c r="BY38" s="52">
        <f>'Evolutitve SCI'!DA5</f>
        <v>12293422.9</v>
      </c>
      <c r="BZ38" s="52">
        <f>'Evolutitve SCI'!DB5</f>
        <v>15773278.300000001</v>
      </c>
      <c r="CA38" s="52">
        <f>'Evolutitve SCI'!DC5</f>
        <v>37460626.799999997</v>
      </c>
      <c r="CB38" s="52">
        <f>'Evolutitve SCI'!DD5</f>
        <v>39790891.200000003</v>
      </c>
      <c r="CC38" s="52">
        <f>'Evolutitve SCI'!DE5</f>
        <v>41082932.100000001</v>
      </c>
    </row>
    <row r="39" spans="1:81">
      <c r="A39" s="18">
        <v>9.1999999999999993</v>
      </c>
      <c r="B39" s="18" t="s">
        <v>283</v>
      </c>
      <c r="C39" s="52" t="e">
        <f>'Evolutitve SCI'!#REF!</f>
        <v>#REF!</v>
      </c>
      <c r="D39" s="52" t="e">
        <f>'Evolutitve SCI'!#REF!</f>
        <v>#REF!</v>
      </c>
      <c r="E39" s="52" t="e">
        <f>'Evolutitve SCI'!#REF!</f>
        <v>#REF!</v>
      </c>
      <c r="F39" s="52" t="e">
        <f>'Evolutitve SCI'!#REF!</f>
        <v>#REF!</v>
      </c>
      <c r="G39" s="52" t="e">
        <f>'Evolutitve SCI'!#REF!</f>
        <v>#REF!</v>
      </c>
      <c r="H39" s="52" t="e">
        <f>'Evolutitve SCI'!#REF!</f>
        <v>#REF!</v>
      </c>
      <c r="I39" s="52" t="e">
        <f>'Evolutitve SCI'!#REF!</f>
        <v>#REF!</v>
      </c>
      <c r="J39" s="52" t="e">
        <f>'Evolutitve SCI'!#REF!</f>
        <v>#REF!</v>
      </c>
      <c r="K39" s="52" t="e">
        <f>'Evolutitve SCI'!#REF!</f>
        <v>#REF!</v>
      </c>
      <c r="L39" s="52" t="e">
        <f>'Evolutitve SCI'!#REF!</f>
        <v>#REF!</v>
      </c>
      <c r="M39" s="52" t="e">
        <f>'Evolutitve SCI'!#REF!</f>
        <v>#REF!</v>
      </c>
      <c r="N39" s="52" t="e">
        <f>'Evolutitve SCI'!#REF!</f>
        <v>#REF!</v>
      </c>
      <c r="O39" s="52" t="e">
        <f>'Evolutitve SCI'!#REF!</f>
        <v>#REF!</v>
      </c>
      <c r="P39" s="52" t="e">
        <f>'Evolutitve SCI'!#REF!</f>
        <v>#REF!</v>
      </c>
      <c r="Q39" s="52" t="e">
        <f>'Evolutitve SCI'!#REF!</f>
        <v>#REF!</v>
      </c>
      <c r="R39" s="52" t="e">
        <f>'Evolutitve SCI'!#REF!</f>
        <v>#REF!</v>
      </c>
      <c r="S39" s="52">
        <f>'Evolutitve SCI'!AV7</f>
        <v>17043245</v>
      </c>
      <c r="T39" s="52">
        <f>'Evolutitve SCI'!AW7</f>
        <v>659756.5</v>
      </c>
      <c r="U39" s="52">
        <f>'Evolutitve SCI'!AX7</f>
        <v>1515788</v>
      </c>
      <c r="V39" s="52">
        <f>'Evolutitve SCI'!AY7</f>
        <v>3145587.44</v>
      </c>
      <c r="W39" s="52">
        <f>'Evolutitve SCI'!AZ7</f>
        <v>3635402</v>
      </c>
      <c r="X39" s="52">
        <f>'Evolutitve SCI'!BA7</f>
        <v>5877249.46</v>
      </c>
      <c r="Y39" s="52">
        <f>'Evolutitve SCI'!BB7</f>
        <v>5173214.53</v>
      </c>
      <c r="Z39" s="52">
        <f>'Evolutitve SCI'!BC7</f>
        <v>12075238.470000001</v>
      </c>
      <c r="AA39" s="52">
        <f>'Evolutitve SCI'!BD7</f>
        <v>12422699.609999999</v>
      </c>
      <c r="AB39" s="52">
        <f>'Evolutitve SCI'!BE7</f>
        <v>13278448.66</v>
      </c>
      <c r="AC39" s="52">
        <f>'Evolutitve SCI'!BF7</f>
        <v>15008838.399999999</v>
      </c>
      <c r="AD39" s="52">
        <f>'Evolutitve SCI'!BG7</f>
        <v>15516495.1</v>
      </c>
      <c r="AE39" s="52">
        <f>'Evolutitve SCI'!BH7</f>
        <v>17455038.899999999</v>
      </c>
      <c r="AF39" s="52">
        <f>'Evolutitve SCI'!BI7</f>
        <v>17482484</v>
      </c>
      <c r="AG39" s="52">
        <f>'Evolutitve SCI'!BJ7</f>
        <v>1083747.6499999999</v>
      </c>
      <c r="AH39" s="52">
        <f>'Evolutitve SCI'!BK7</f>
        <v>1686529.85</v>
      </c>
      <c r="AI39" s="52">
        <f>'Evolutitve SCI'!BL7</f>
        <v>2315517.16</v>
      </c>
      <c r="AJ39" s="52">
        <f>'Evolutitve SCI'!BM7</f>
        <v>3023393.96</v>
      </c>
      <c r="AK39" s="52">
        <f>'Evolutitve SCI'!BN7</f>
        <v>3898925.08</v>
      </c>
      <c r="AL39" s="52">
        <f>'Evolutitve SCI'!BO7</f>
        <v>10207931.689999999</v>
      </c>
      <c r="AM39" s="52">
        <f>'Evolutitve SCI'!BP7</f>
        <v>12396685.77</v>
      </c>
      <c r="AN39" s="52">
        <f>'Evolutitve SCI'!BQ7</f>
        <v>13699013.77</v>
      </c>
      <c r="AO39" s="52">
        <f>'Evolutitve SCI'!BR7</f>
        <v>14726114.960000001</v>
      </c>
      <c r="AP39" s="52">
        <f>'Evolutitve SCI'!BS7</f>
        <v>16562069.73</v>
      </c>
      <c r="AQ39" s="52">
        <f>'Evolutitve SCI'!BT7</f>
        <v>17604774.59</v>
      </c>
      <c r="AR39" s="52">
        <f>'Evolutitve SCI'!BU7</f>
        <v>20158804.68</v>
      </c>
      <c r="AS39" s="52">
        <f>'Evolutitve SCI'!BV7</f>
        <v>26347580</v>
      </c>
      <c r="AT39" s="52">
        <f>'Evolutitve SCI'!BW7</f>
        <v>470005.76000000001</v>
      </c>
      <c r="AU39" s="52">
        <f>'Evolutitve SCI'!BX7</f>
        <v>1148238.75</v>
      </c>
      <c r="AV39" s="52">
        <f>'Evolutitve SCI'!BY7</f>
        <v>1771807.63</v>
      </c>
      <c r="AW39" s="52">
        <f>'Evolutitve SCI'!BZ7</f>
        <v>9794754.2799999993</v>
      </c>
      <c r="AX39" s="52">
        <f>'Evolutitve SCI'!CA7</f>
        <v>10708442.949999999</v>
      </c>
      <c r="AY39" s="52">
        <f>'Evolutitve SCI'!CB7</f>
        <v>11726947.85</v>
      </c>
      <c r="AZ39" s="52" t="e">
        <f>'Evolutitve SCI'!#REF!</f>
        <v>#REF!</v>
      </c>
      <c r="BA39" s="52">
        <f>'Evolutitve SCI'!CC7</f>
        <v>14621939.98</v>
      </c>
      <c r="BB39" s="52">
        <f>'Evolutitve SCI'!CD7</f>
        <v>15632903.219999999</v>
      </c>
      <c r="BC39" s="52">
        <f>'Evolutitve SCI'!CE7</f>
        <v>18951403.82</v>
      </c>
      <c r="BD39" s="52">
        <f>'Evolutitve SCI'!CF7</f>
        <v>19634017.579999998</v>
      </c>
      <c r="BE39" s="52">
        <f>'Evolutitve SCI'!CG7</f>
        <v>21167163.329999998</v>
      </c>
      <c r="BF39" s="52">
        <f>'Evolutitve SCI'!CH7</f>
        <v>28241337</v>
      </c>
      <c r="BG39" s="52">
        <f>'Evolutitve SCI'!CI7</f>
        <v>602795.82999999996</v>
      </c>
      <c r="BH39" s="52">
        <f>'Evolutitve SCI'!CJ7</f>
        <v>1241902.8799999999</v>
      </c>
      <c r="BI39" s="52">
        <f>'Evolutitve SCI'!CK7</f>
        <v>2076950.03</v>
      </c>
      <c r="BJ39" s="52">
        <f>'Evolutitve SCI'!CL7</f>
        <v>10180807.890000001</v>
      </c>
      <c r="BK39" s="52">
        <f>'Evolutitve SCI'!CM7</f>
        <v>10821550.01</v>
      </c>
      <c r="BL39" s="52">
        <f>'Evolutitve SCI'!CN7</f>
        <v>11409091.24</v>
      </c>
      <c r="BM39" s="52">
        <f>'Evolutitve SCI'!CO7</f>
        <v>12995543.710000001</v>
      </c>
      <c r="BN39" s="52">
        <f>'Evolutitve SCI'!CP7</f>
        <v>13724697.07</v>
      </c>
      <c r="BO39" s="52">
        <f>'Evolutitve SCI'!CQ7</f>
        <v>14371927.08</v>
      </c>
      <c r="BP39" s="52">
        <f>'Evolutitve SCI'!CR7</f>
        <v>16339188.1</v>
      </c>
      <c r="BQ39" s="52">
        <f>'Evolutitve SCI'!CS7</f>
        <v>17305609.100000001</v>
      </c>
      <c r="BR39" s="52">
        <f>'Evolutitve SCI'!CT7</f>
        <v>19598246.140000001</v>
      </c>
      <c r="BS39" s="52">
        <f>'Evolutitve SCI'!CU7</f>
        <v>22102560</v>
      </c>
      <c r="BT39" s="52">
        <f>'Evolutitve SCI'!CV7</f>
        <v>23794574</v>
      </c>
      <c r="BU39" s="52">
        <f>'Evolutitve SCI'!CW7</f>
        <v>957020.62</v>
      </c>
      <c r="BV39" s="52">
        <f>'Evolutitve SCI'!CX7</f>
        <v>2492490.94</v>
      </c>
      <c r="BW39" s="52">
        <f>'Evolutitve SCI'!CY7</f>
        <v>3813210.36</v>
      </c>
      <c r="BX39" s="52">
        <f>'Evolutitve SCI'!CZ7</f>
        <v>5365694.87</v>
      </c>
      <c r="BY39" s="52">
        <f>'Evolutitve SCI'!DA7</f>
        <v>6971332.4500000002</v>
      </c>
      <c r="BZ39" s="52">
        <f>'Evolutitve SCI'!DB7</f>
        <v>17442148.5</v>
      </c>
      <c r="CA39" s="52">
        <f>'Evolutitve SCI'!DC7</f>
        <v>19195464.460000001</v>
      </c>
      <c r="CB39" s="52">
        <f>'Evolutitve SCI'!DD7</f>
        <v>21291726.23</v>
      </c>
      <c r="CC39" s="52">
        <f>'Evolutitve SCI'!DE7</f>
        <v>22359228.649999999</v>
      </c>
    </row>
    <row r="40" spans="1:81">
      <c r="A40" s="18">
        <v>9.3000000000000007</v>
      </c>
      <c r="B40" s="18" t="s">
        <v>284</v>
      </c>
      <c r="C40" s="52" t="e">
        <f>'Evolutitve SCI'!#REF!</f>
        <v>#REF!</v>
      </c>
      <c r="D40" s="52" t="e">
        <f>'Evolutitve SCI'!#REF!</f>
        <v>#REF!</v>
      </c>
      <c r="E40" s="52" t="e">
        <f>'Evolutitve SCI'!#REF!</f>
        <v>#REF!</v>
      </c>
      <c r="F40" s="52" t="e">
        <f>'Evolutitve SCI'!#REF!</f>
        <v>#REF!</v>
      </c>
      <c r="G40" s="52" t="e">
        <f>'Evolutitve SCI'!#REF!</f>
        <v>#REF!</v>
      </c>
      <c r="H40" s="52" t="e">
        <f>'Evolutitve SCI'!#REF!</f>
        <v>#REF!</v>
      </c>
      <c r="I40" s="52" t="e">
        <f>'Evolutitve SCI'!#REF!</f>
        <v>#REF!</v>
      </c>
      <c r="J40" s="52" t="e">
        <f>'Evolutitve SCI'!#REF!</f>
        <v>#REF!</v>
      </c>
      <c r="K40" s="52" t="e">
        <f>'Evolutitve SCI'!#REF!</f>
        <v>#REF!</v>
      </c>
      <c r="L40" s="52" t="e">
        <f>'Evolutitve SCI'!#REF!</f>
        <v>#REF!</v>
      </c>
      <c r="M40" s="52" t="e">
        <f>'Evolutitve SCI'!#REF!</f>
        <v>#REF!</v>
      </c>
      <c r="N40" s="52" t="e">
        <f>'Evolutitve SCI'!#REF!</f>
        <v>#REF!</v>
      </c>
      <c r="O40" s="52" t="e">
        <f>'Evolutitve SCI'!#REF!</f>
        <v>#REF!</v>
      </c>
      <c r="P40" s="52" t="e">
        <f>'Evolutitve SCI'!#REF!</f>
        <v>#REF!</v>
      </c>
      <c r="Q40" s="52" t="e">
        <f>'Evolutitve SCI'!#REF!</f>
        <v>#REF!</v>
      </c>
      <c r="R40" s="52" t="e">
        <f>'Evolutitve SCI'!#REF!</f>
        <v>#REF!</v>
      </c>
      <c r="S40" s="52">
        <f>'Evolutitve SCI'!AV6</f>
        <v>3133581</v>
      </c>
      <c r="T40" s="52">
        <f>'Evolutitve SCI'!AW6</f>
        <v>282321</v>
      </c>
      <c r="U40" s="52">
        <f>'Evolutitve SCI'!AX6</f>
        <v>223477</v>
      </c>
      <c r="V40" s="52">
        <f>'Evolutitve SCI'!AY6</f>
        <v>346383</v>
      </c>
      <c r="W40" s="52">
        <f>'Evolutitve SCI'!AZ6</f>
        <v>631819.30000000005</v>
      </c>
      <c r="X40" s="52">
        <f>'Evolutitve SCI'!BA6</f>
        <v>806702.3</v>
      </c>
      <c r="Y40" s="52">
        <f>'Evolutitve SCI'!BB6</f>
        <v>3128075.94</v>
      </c>
      <c r="Z40" s="52">
        <f>'Evolutitve SCI'!BC6</f>
        <v>2733255.1</v>
      </c>
      <c r="AA40" s="52">
        <f>'Evolutitve SCI'!BD6</f>
        <v>3607007.1</v>
      </c>
      <c r="AB40" s="52">
        <f>'Evolutitve SCI'!BE6</f>
        <v>3918449.1</v>
      </c>
      <c r="AC40" s="52">
        <f>'Evolutitve SCI'!BF6</f>
        <v>4158088.56</v>
      </c>
      <c r="AD40" s="52">
        <f>'Evolutitve SCI'!BG6</f>
        <v>4563784.5999999996</v>
      </c>
      <c r="AE40" s="52">
        <f>'Evolutitve SCI'!BH6</f>
        <v>4822610.5999999996</v>
      </c>
      <c r="AF40" s="52">
        <f>'Evolutitve SCI'!BI6</f>
        <v>4795166</v>
      </c>
      <c r="AG40" s="52">
        <f>'Evolutitve SCI'!BJ6</f>
        <v>349162</v>
      </c>
      <c r="AH40" s="52">
        <f>'Evolutitve SCI'!BK6</f>
        <v>561314</v>
      </c>
      <c r="AI40" s="52">
        <f>'Evolutitve SCI'!BL6</f>
        <v>952901</v>
      </c>
      <c r="AJ40" s="52">
        <f>'Evolutitve SCI'!BM6</f>
        <v>1103350.3</v>
      </c>
      <c r="AK40" s="52">
        <f>'Evolutitve SCI'!BN6</f>
        <v>1268652.2</v>
      </c>
      <c r="AL40" s="52">
        <f>'Evolutitve SCI'!BO6</f>
        <v>1419501</v>
      </c>
      <c r="AM40" s="52">
        <f>'Evolutitve SCI'!BP6</f>
        <v>2768146.6</v>
      </c>
      <c r="AN40" s="52">
        <f>'Evolutitve SCI'!BQ6</f>
        <v>4180596.4</v>
      </c>
      <c r="AO40" s="52">
        <f>'Evolutitve SCI'!BR6</f>
        <v>4821724.5</v>
      </c>
      <c r="AP40" s="52">
        <f>'Evolutitve SCI'!BS6</f>
        <v>5363610.4000000004</v>
      </c>
      <c r="AQ40" s="52">
        <f>'Evolutitve SCI'!BT6</f>
        <v>5873725</v>
      </c>
      <c r="AR40" s="52">
        <f>'Evolutitve SCI'!BU6</f>
        <v>6189275.7999999998</v>
      </c>
      <c r="AS40" s="52">
        <f>'Evolutitve SCI'!BV6</f>
        <v>0</v>
      </c>
      <c r="AT40" s="52">
        <f>'Evolutitve SCI'!BW6</f>
        <v>299084.7</v>
      </c>
      <c r="AU40" s="52">
        <f>'Evolutitve SCI'!BX6</f>
        <v>550611.6</v>
      </c>
      <c r="AV40" s="52">
        <f>'Evolutitve SCI'!BY6</f>
        <v>759043.6</v>
      </c>
      <c r="AW40" s="52">
        <f>'Evolutitve SCI'!BZ6</f>
        <v>869645.6</v>
      </c>
      <c r="AX40" s="52">
        <f>'Evolutitve SCI'!CA6</f>
        <v>1331582.3999999999</v>
      </c>
      <c r="AY40" s="52">
        <f>'Evolutitve SCI'!CB6</f>
        <v>2015553</v>
      </c>
      <c r="AZ40" s="52" t="e">
        <f>'Evolutitve SCI'!#REF!</f>
        <v>#REF!</v>
      </c>
      <c r="BA40" s="52">
        <f>'Evolutitve SCI'!CC6</f>
        <v>4418391.5</v>
      </c>
      <c r="BB40" s="52">
        <f>'Evolutitve SCI'!CD6</f>
        <v>5203757.2</v>
      </c>
      <c r="BC40" s="52">
        <f>'Evolutitve SCI'!CE6</f>
        <v>6046948.2999999998</v>
      </c>
      <c r="BD40" s="52">
        <f>'Evolutitve SCI'!CF6</f>
        <v>6666721</v>
      </c>
      <c r="BE40" s="52">
        <f>'Evolutitve SCI'!CG6</f>
        <v>7074173.5</v>
      </c>
      <c r="BF40" s="52">
        <f>'Evolutitve SCI'!CH6</f>
        <v>0</v>
      </c>
      <c r="BG40" s="52">
        <f>'Evolutitve SCI'!CI6</f>
        <v>388419.8</v>
      </c>
      <c r="BH40" s="52">
        <f>'Evolutitve SCI'!CJ6</f>
        <v>752916.9</v>
      </c>
      <c r="BI40" s="52">
        <f>'Evolutitve SCI'!CK6</f>
        <v>1163475.3999999999</v>
      </c>
      <c r="BJ40" s="52">
        <f>'Evolutitve SCI'!CL6</f>
        <v>1519211.8</v>
      </c>
      <c r="BK40" s="52">
        <f>'Evolutitve SCI'!CM6</f>
        <v>1821745.2</v>
      </c>
      <c r="BL40" s="52">
        <f>'Evolutitve SCI'!CN6</f>
        <v>2106217.7000000002</v>
      </c>
      <c r="BM40" s="52">
        <f>'Evolutitve SCI'!CO6</f>
        <v>3079633.2</v>
      </c>
      <c r="BN40" s="52">
        <f>'Evolutitve SCI'!CP6</f>
        <v>3712954.6</v>
      </c>
      <c r="BO40" s="52">
        <f>'Evolutitve SCI'!CQ6</f>
        <v>3943552.1</v>
      </c>
      <c r="BP40" s="52">
        <f>'Evolutitve SCI'!CR6</f>
        <v>5078648</v>
      </c>
      <c r="BQ40" s="52">
        <f>'Evolutitve SCI'!CS6</f>
        <v>6671438.2000000002</v>
      </c>
      <c r="BR40" s="52">
        <f>'Evolutitve SCI'!CT6</f>
        <v>7315271.0999999996</v>
      </c>
      <c r="BS40" s="52">
        <f>'Evolutitve SCI'!CU6</f>
        <v>4810957</v>
      </c>
      <c r="BT40" s="52">
        <f>'Evolutitve SCI'!CV6</f>
        <v>14946316</v>
      </c>
      <c r="BU40" s="52">
        <f>'Evolutitve SCI'!CW6</f>
        <v>709445.5</v>
      </c>
      <c r="BV40" s="52">
        <f>'Evolutitve SCI'!CX6</f>
        <v>1139994.8</v>
      </c>
      <c r="BW40" s="52">
        <f>'Evolutitve SCI'!CY6</f>
        <v>1516157.1</v>
      </c>
      <c r="BX40" s="52">
        <f>'Evolutitve SCI'!CZ6</f>
        <v>1998602</v>
      </c>
      <c r="BY40" s="52">
        <f>'Evolutitve SCI'!DA6</f>
        <v>2913913.2</v>
      </c>
      <c r="BZ40" s="52">
        <f>'Evolutitve SCI'!DB6</f>
        <v>3321826.4</v>
      </c>
      <c r="CA40" s="52">
        <f>'Evolutitve SCI'!DC6</f>
        <v>6130097.5999999996</v>
      </c>
      <c r="CB40" s="52">
        <f>'Evolutitve SCI'!DD6</f>
        <v>8808486.6999999993</v>
      </c>
      <c r="CC40" s="52">
        <f>'Evolutitve SCI'!DE6</f>
        <v>9832968.4000000004</v>
      </c>
    </row>
    <row r="41" spans="1:81" ht="15">
      <c r="A41" s="18">
        <v>9.4</v>
      </c>
      <c r="B41" s="18" t="s">
        <v>285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34">
        <f t="shared" ref="S41:AR41" si="60">S38/S31</f>
        <v>0.11252693753357566</v>
      </c>
      <c r="T41" s="34">
        <f t="shared" si="60"/>
        <v>8.4046859545145302E-3</v>
      </c>
      <c r="U41" s="34">
        <f t="shared" si="60"/>
        <v>1.5608334708708911E-2</v>
      </c>
      <c r="V41" s="34">
        <f t="shared" si="60"/>
        <v>2.3237463034623224E-2</v>
      </c>
      <c r="W41" s="34">
        <f t="shared" si="60"/>
        <v>3.0498857633650282E-2</v>
      </c>
      <c r="X41" s="34">
        <f t="shared" si="60"/>
        <v>0.13639680160643303</v>
      </c>
      <c r="Y41" s="34">
        <f t="shared" si="60"/>
        <v>0.13003445515603507</v>
      </c>
      <c r="Z41" s="34">
        <f t="shared" si="60"/>
        <v>0.12012019228996336</v>
      </c>
      <c r="AA41" s="34">
        <f t="shared" si="60"/>
        <v>0.10421451605366375</v>
      </c>
      <c r="AB41" s="34">
        <f t="shared" si="60"/>
        <v>0.10466407561350924</v>
      </c>
      <c r="AC41" s="34">
        <f t="shared" si="60"/>
        <v>0.11306901294241881</v>
      </c>
      <c r="AD41" s="34">
        <f t="shared" si="60"/>
        <v>0.11216997084467985</v>
      </c>
      <c r="AE41" s="34">
        <f t="shared" si="60"/>
        <v>0.11706245212476298</v>
      </c>
      <c r="AF41" s="34">
        <f t="shared" si="60"/>
        <v>0.1170624532512974</v>
      </c>
      <c r="AG41" s="34">
        <f t="shared" si="60"/>
        <v>9.7453473655726344E-3</v>
      </c>
      <c r="AH41" s="34">
        <f t="shared" si="60"/>
        <v>1.2519791026890409E-2</v>
      </c>
      <c r="AI41" s="34">
        <f t="shared" si="60"/>
        <v>1.7733878323865429E-2</v>
      </c>
      <c r="AJ41" s="34">
        <f t="shared" si="60"/>
        <v>2.2465194674375154E-2</v>
      </c>
      <c r="AK41" s="34">
        <f t="shared" si="60"/>
        <v>2.8372676685806283E-2</v>
      </c>
      <c r="AL41" s="34">
        <f t="shared" si="60"/>
        <v>3.1648185659622748E-2</v>
      </c>
      <c r="AM41" s="34">
        <f t="shared" si="60"/>
        <v>0.11565958504734537</v>
      </c>
      <c r="AN41" s="34">
        <f t="shared" si="60"/>
        <v>0.12102972658967708</v>
      </c>
      <c r="AO41" s="34">
        <f t="shared" si="60"/>
        <v>0.11483154898107545</v>
      </c>
      <c r="AP41" s="34">
        <f t="shared" si="60"/>
        <v>0.11179154993628959</v>
      </c>
      <c r="AQ41" s="34">
        <f t="shared" si="60"/>
        <v>0.11514468965349305</v>
      </c>
      <c r="AR41" s="34">
        <f t="shared" si="60"/>
        <v>0.12562861362167335</v>
      </c>
      <c r="AS41" s="34">
        <f t="shared" ref="AS41:BA41" si="61">AS38/AS31</f>
        <v>0.12562861221801658</v>
      </c>
      <c r="AT41" s="34">
        <f t="shared" si="61"/>
        <v>3.3794456551282997E-3</v>
      </c>
      <c r="AU41" s="34">
        <f t="shared" si="61"/>
        <v>1.0069187869252722E-2</v>
      </c>
      <c r="AV41" s="34">
        <f t="shared" si="61"/>
        <v>1.5940670989329296E-2</v>
      </c>
      <c r="AW41" s="34">
        <f t="shared" si="61"/>
        <v>4.1026806156664146E-2</v>
      </c>
      <c r="AX41" s="34">
        <f t="shared" si="61"/>
        <v>4.4027187988693581E-2</v>
      </c>
      <c r="AY41" s="34">
        <f t="shared" si="61"/>
        <v>0.11271820482786618</v>
      </c>
      <c r="AZ41" s="34" t="e">
        <f t="shared" si="61"/>
        <v>#REF!</v>
      </c>
      <c r="BA41" s="34">
        <f t="shared" si="61"/>
        <v>9.6375981271400235E-2</v>
      </c>
      <c r="BB41" s="34">
        <f t="shared" ref="BB41:BG41" si="62">BB38/BB31</f>
        <v>0.10473652270255067</v>
      </c>
      <c r="BC41" s="34">
        <f t="shared" si="62"/>
        <v>9.7920024372645617E-2</v>
      </c>
      <c r="BD41" s="34">
        <f t="shared" si="62"/>
        <v>9.6956760358718252E-2</v>
      </c>
      <c r="BE41" s="34">
        <f t="shared" si="62"/>
        <v>9.7551324721455002E-2</v>
      </c>
      <c r="BF41" s="34">
        <f t="shared" si="62"/>
        <v>9.7551324279281065E-2</v>
      </c>
      <c r="BG41" s="34">
        <f t="shared" si="62"/>
        <v>3.7978424948004693E-3</v>
      </c>
      <c r="BH41" s="34">
        <f t="shared" ref="BH41:BP41" si="63">BH38/BH31</f>
        <v>9.4984160762369291E-3</v>
      </c>
      <c r="BI41" s="34">
        <f t="shared" si="63"/>
        <v>1.445582655489383E-2</v>
      </c>
      <c r="BJ41" s="34">
        <f t="shared" si="63"/>
        <v>2.0924481456815924E-2</v>
      </c>
      <c r="BK41" s="34">
        <f t="shared" si="63"/>
        <v>2.5129301878913591E-2</v>
      </c>
      <c r="BL41" s="34">
        <f t="shared" si="63"/>
        <v>2.7980253748922729E-2</v>
      </c>
      <c r="BM41" s="34">
        <f t="shared" si="63"/>
        <v>2.9214748299541297E-2</v>
      </c>
      <c r="BN41" s="34">
        <f t="shared" si="63"/>
        <v>3.2258176055706703E-2</v>
      </c>
      <c r="BO41" s="34">
        <f t="shared" si="63"/>
        <v>3.5038923763141383E-2</v>
      </c>
      <c r="BP41" s="34">
        <f t="shared" si="63"/>
        <v>0.14961887733178736</v>
      </c>
      <c r="BQ41" s="34">
        <f>BQ38/BQ31</f>
        <v>0.1381594178935947</v>
      </c>
      <c r="BR41" s="34">
        <f t="shared" ref="BR41:BS41" si="64">BR38/BR31</f>
        <v>0.15940500134965438</v>
      </c>
      <c r="BS41" s="34">
        <f t="shared" si="64"/>
        <v>0.15940500040088765</v>
      </c>
      <c r="BT41" s="34">
        <f t="shared" ref="BT41:BW41" si="65">BT38/BT31</f>
        <v>8.5528716357614457E-2</v>
      </c>
      <c r="BU41" s="34">
        <f t="shared" si="65"/>
        <v>5.5579609227865171E-3</v>
      </c>
      <c r="BV41" s="34">
        <f t="shared" si="65"/>
        <v>9.4560033532218105E-3</v>
      </c>
      <c r="BW41" s="34">
        <f t="shared" si="65"/>
        <v>1.6149974496697587E-2</v>
      </c>
      <c r="BX41" s="34">
        <f t="shared" ref="BX41:BY41" si="66">BX38/BX31</f>
        <v>2.4910690391204311E-2</v>
      </c>
      <c r="BY41" s="34">
        <f t="shared" si="66"/>
        <v>3.1804535583122517E-2</v>
      </c>
      <c r="BZ41" s="34">
        <f t="shared" ref="BZ41:CA41" si="67">BZ38/BZ31</f>
        <v>4.1650370860402484E-2</v>
      </c>
      <c r="CA41" s="34">
        <f t="shared" si="67"/>
        <v>0.11341473091923487</v>
      </c>
      <c r="CB41" s="34">
        <f t="shared" ref="CB41:CC41" si="68">CB38/CB31</f>
        <v>0.10671129335448871</v>
      </c>
      <c r="CC41" s="34">
        <f t="shared" si="68"/>
        <v>0.10498321195997058</v>
      </c>
    </row>
    <row r="42" spans="1:81">
      <c r="A42" s="18"/>
      <c r="B42" s="18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</row>
    <row r="43" spans="1:81" ht="15">
      <c r="A43" s="20">
        <v>10</v>
      </c>
      <c r="B43" s="26" t="s">
        <v>286</v>
      </c>
      <c r="C43" s="53" t="e">
        <f>SUM(C44:C47)</f>
        <v>#REF!</v>
      </c>
      <c r="D43" s="53" t="e">
        <f t="shared" ref="D43:K43" si="69">SUM(D44:D47)</f>
        <v>#REF!</v>
      </c>
      <c r="E43" s="53" t="e">
        <f>SUM(E44:E47)</f>
        <v>#REF!</v>
      </c>
      <c r="F43" s="53" t="e">
        <f>SUM(F44:F47)</f>
        <v>#REF!</v>
      </c>
      <c r="G43" s="53" t="e">
        <f t="shared" si="69"/>
        <v>#REF!</v>
      </c>
      <c r="H43" s="53" t="e">
        <f t="shared" si="69"/>
        <v>#REF!</v>
      </c>
      <c r="I43" s="53" t="e">
        <f t="shared" si="69"/>
        <v>#REF!</v>
      </c>
      <c r="J43" s="53" t="e">
        <f t="shared" si="69"/>
        <v>#REF!</v>
      </c>
      <c r="K43" s="53" t="e">
        <f t="shared" si="69"/>
        <v>#REF!</v>
      </c>
      <c r="L43" s="53" t="e">
        <f>SUM(L44:L47)</f>
        <v>#REF!</v>
      </c>
      <c r="M43" s="53" t="e">
        <f t="shared" ref="M43:S43" si="70">SUM(M44:M47)</f>
        <v>#REF!</v>
      </c>
      <c r="N43" s="53" t="e">
        <f t="shared" si="70"/>
        <v>#REF!</v>
      </c>
      <c r="O43" s="53" t="e">
        <f t="shared" si="70"/>
        <v>#REF!</v>
      </c>
      <c r="P43" s="53" t="e">
        <f t="shared" si="70"/>
        <v>#REF!</v>
      </c>
      <c r="Q43" s="53" t="e">
        <f t="shared" si="70"/>
        <v>#REF!</v>
      </c>
      <c r="R43" s="53" t="e">
        <f t="shared" si="70"/>
        <v>#REF!</v>
      </c>
      <c r="S43" s="53">
        <f t="shared" si="70"/>
        <v>32979595</v>
      </c>
      <c r="T43" s="53">
        <f t="shared" ref="T43:AR43" si="71">SUM(T44:T47)</f>
        <v>1877402.52</v>
      </c>
      <c r="U43" s="53">
        <f t="shared" si="71"/>
        <v>4067597.0399999996</v>
      </c>
      <c r="V43" s="53">
        <f t="shared" si="71"/>
        <v>6424629.4900000002</v>
      </c>
      <c r="W43" s="53">
        <f t="shared" si="71"/>
        <v>9577452.7800000012</v>
      </c>
      <c r="X43" s="53">
        <f t="shared" si="71"/>
        <v>12171920.370000001</v>
      </c>
      <c r="Y43" s="53">
        <f t="shared" si="71"/>
        <v>15718776.920000002</v>
      </c>
      <c r="Z43" s="53">
        <f t="shared" si="71"/>
        <v>17336137.370000001</v>
      </c>
      <c r="AA43" s="53">
        <f t="shared" si="71"/>
        <v>19562708.530000001</v>
      </c>
      <c r="AB43" s="53">
        <f t="shared" si="71"/>
        <v>24924144.760000002</v>
      </c>
      <c r="AC43" s="53">
        <f t="shared" si="71"/>
        <v>27570597.09</v>
      </c>
      <c r="AD43" s="53">
        <f t="shared" si="71"/>
        <v>29796225.509999998</v>
      </c>
      <c r="AE43" s="53">
        <f t="shared" si="71"/>
        <v>38508844.170000002</v>
      </c>
      <c r="AF43" s="53">
        <f t="shared" si="71"/>
        <v>37587586.280000001</v>
      </c>
      <c r="AG43" s="53">
        <f t="shared" si="71"/>
        <v>2266607.56</v>
      </c>
      <c r="AH43" s="53">
        <f t="shared" si="71"/>
        <v>5061581.29</v>
      </c>
      <c r="AI43" s="53">
        <f t="shared" si="71"/>
        <v>7753329.4900000002</v>
      </c>
      <c r="AJ43" s="53">
        <f t="shared" si="71"/>
        <v>10627445.899999999</v>
      </c>
      <c r="AK43" s="53">
        <f t="shared" si="71"/>
        <v>14038456.870000001</v>
      </c>
      <c r="AL43" s="53">
        <f t="shared" si="71"/>
        <v>16796383.940000001</v>
      </c>
      <c r="AM43" s="53">
        <f t="shared" si="71"/>
        <v>20065693.129999999</v>
      </c>
      <c r="AN43" s="53">
        <f t="shared" si="71"/>
        <v>22897245.190000001</v>
      </c>
      <c r="AO43" s="53">
        <f t="shared" si="71"/>
        <v>27383134.550000001</v>
      </c>
      <c r="AP43" s="53">
        <f t="shared" si="71"/>
        <v>30883474.399999999</v>
      </c>
      <c r="AQ43" s="53">
        <f t="shared" si="71"/>
        <v>33879451.629999995</v>
      </c>
      <c r="AR43" s="53">
        <f t="shared" si="71"/>
        <v>46674729.18</v>
      </c>
      <c r="AS43" s="53">
        <f t="shared" ref="AS43:AY43" si="72">SUM(AS44:AS47)</f>
        <v>44674728.829999998</v>
      </c>
      <c r="AT43" s="53">
        <f t="shared" si="72"/>
        <v>2764433.97</v>
      </c>
      <c r="AU43" s="53">
        <f t="shared" si="72"/>
        <v>6065353.4800000004</v>
      </c>
      <c r="AV43" s="53">
        <f t="shared" si="72"/>
        <v>8688728.1999999993</v>
      </c>
      <c r="AW43" s="53">
        <f t="shared" si="72"/>
        <v>11411920.17</v>
      </c>
      <c r="AX43" s="53">
        <f t="shared" si="72"/>
        <v>14140651.360000001</v>
      </c>
      <c r="AY43" s="53">
        <f t="shared" si="72"/>
        <v>17061223.620000001</v>
      </c>
      <c r="AZ43" s="53" t="e">
        <f t="shared" ref="AZ43:BF43" si="73">SUM(AZ44:AZ47)</f>
        <v>#REF!</v>
      </c>
      <c r="BA43" s="53">
        <f t="shared" si="73"/>
        <v>22808407.780000001</v>
      </c>
      <c r="BB43" s="53">
        <f t="shared" si="73"/>
        <v>26088227.489999998</v>
      </c>
      <c r="BC43" s="53">
        <f t="shared" si="73"/>
        <v>29744774.539999999</v>
      </c>
      <c r="BD43" s="53">
        <f t="shared" si="73"/>
        <v>34084458.119999997</v>
      </c>
      <c r="BE43" s="53">
        <f t="shared" si="73"/>
        <v>44774833.270000003</v>
      </c>
      <c r="BF43" s="53">
        <f t="shared" si="73"/>
        <v>44774834</v>
      </c>
      <c r="BG43" s="53">
        <f t="shared" ref="BG43:BP43" si="74">SUM(BG44:BG47)</f>
        <v>2656206.7199999997</v>
      </c>
      <c r="BH43" s="53">
        <f t="shared" si="74"/>
        <v>5692195.1600000001</v>
      </c>
      <c r="BI43" s="53">
        <f t="shared" si="74"/>
        <v>8572080.0800000001</v>
      </c>
      <c r="BJ43" s="53">
        <f t="shared" si="74"/>
        <v>11890926.800000001</v>
      </c>
      <c r="BK43" s="53">
        <f t="shared" si="74"/>
        <v>14521742.460000001</v>
      </c>
      <c r="BL43" s="53">
        <f t="shared" si="74"/>
        <v>17343409.140000001</v>
      </c>
      <c r="BM43" s="53">
        <f t="shared" si="74"/>
        <v>19953177.18</v>
      </c>
      <c r="BN43" s="53">
        <f t="shared" si="74"/>
        <v>22784552.050000001</v>
      </c>
      <c r="BO43" s="53">
        <f t="shared" si="74"/>
        <v>25998412.400000002</v>
      </c>
      <c r="BP43" s="53">
        <f t="shared" si="74"/>
        <v>30747688.080000002</v>
      </c>
      <c r="BQ43" s="53">
        <f t="shared" ref="BQ43:BS43" si="75">SUM(BQ44:BQ47)</f>
        <v>35559466.099999994</v>
      </c>
      <c r="BR43" s="53">
        <f t="shared" si="75"/>
        <v>47263977.980000004</v>
      </c>
      <c r="BS43" s="53">
        <f t="shared" si="75"/>
        <v>47263977</v>
      </c>
      <c r="BT43" s="53">
        <f t="shared" ref="BT43:BW43" si="76">SUM(BT44:BT47)</f>
        <v>56365001</v>
      </c>
      <c r="BU43" s="53">
        <f t="shared" si="76"/>
        <v>3469100.9699999997</v>
      </c>
      <c r="BV43" s="53">
        <f t="shared" si="76"/>
        <v>7328908.3399999999</v>
      </c>
      <c r="BW43" s="53">
        <f t="shared" si="76"/>
        <v>11085126.859999999</v>
      </c>
      <c r="BX43" s="53">
        <f t="shared" ref="BX43:BY43" si="77">SUM(BX44:BX47)</f>
        <v>15794015.699999999</v>
      </c>
      <c r="BY43" s="53">
        <f t="shared" si="77"/>
        <v>20024023.400000002</v>
      </c>
      <c r="BZ43" s="53">
        <f t="shared" ref="BZ43:CA43" si="78">SUM(BZ44:BZ47)</f>
        <v>24188416.489999998</v>
      </c>
      <c r="CA43" s="53">
        <f t="shared" si="78"/>
        <v>29497528.32</v>
      </c>
      <c r="CB43" s="53">
        <f t="shared" ref="CB43:CC43" si="79">SUM(CB44:CB47)</f>
        <v>34231980.43</v>
      </c>
      <c r="CC43" s="53">
        <f t="shared" si="79"/>
        <v>41927955.099999994</v>
      </c>
    </row>
    <row r="44" spans="1:81">
      <c r="A44" s="18">
        <v>10.1</v>
      </c>
      <c r="B44" s="18" t="s">
        <v>287</v>
      </c>
      <c r="C44" s="52" t="e">
        <f>'Evolutitve SCI'!#REF!+'Evolutitve SCI'!#REF!</f>
        <v>#REF!</v>
      </c>
      <c r="D44" s="52" t="e">
        <f>'Evolutitve SCI'!#REF!+'Evolutitve SCI'!#REF!</f>
        <v>#REF!</v>
      </c>
      <c r="E44" s="52" t="e">
        <f>'Evolutitve SCI'!#REF!+'Evolutitve SCI'!#REF!</f>
        <v>#REF!</v>
      </c>
      <c r="F44" s="52" t="e">
        <f>'Evolutitve SCI'!#REF!+'Evolutitve SCI'!#REF!</f>
        <v>#REF!</v>
      </c>
      <c r="G44" s="52" t="e">
        <f>'Evolutitve SCI'!#REF!+'Evolutitve SCI'!#REF!</f>
        <v>#REF!</v>
      </c>
      <c r="H44" s="52" t="e">
        <f>'Evolutitve SCI'!#REF!+'Evolutitve SCI'!#REF!</f>
        <v>#REF!</v>
      </c>
      <c r="I44" s="52" t="e">
        <f>'Evolutitve SCI'!#REF!+'Evolutitve SCI'!#REF!</f>
        <v>#REF!</v>
      </c>
      <c r="J44" s="52" t="e">
        <f>'Evolutitve SCI'!#REF!+'Evolutitve SCI'!#REF!</f>
        <v>#REF!</v>
      </c>
      <c r="K44" s="52" t="e">
        <f>'Evolutitve SCI'!#REF!+'Evolutitve SCI'!#REF!</f>
        <v>#REF!</v>
      </c>
      <c r="L44" s="52" t="e">
        <f>'Evolutitve SCI'!#REF!+'Evolutitve SCI'!#REF!</f>
        <v>#REF!</v>
      </c>
      <c r="M44" s="52" t="e">
        <f>'Evolutitve SCI'!#REF!+'Evolutitve SCI'!#REF!</f>
        <v>#REF!</v>
      </c>
      <c r="N44" s="52" t="e">
        <f>'Evolutitve SCI'!#REF!+'Evolutitve SCI'!#REF!</f>
        <v>#REF!</v>
      </c>
      <c r="O44" s="52" t="e">
        <f>'Evolutitve SCI'!#REF!+'Evolutitve SCI'!#REF!</f>
        <v>#REF!</v>
      </c>
      <c r="P44" s="52" t="e">
        <f>'Evolutitve SCI'!#REF!+'Evolutitve SCI'!#REF!</f>
        <v>#REF!</v>
      </c>
      <c r="Q44" s="52" t="e">
        <f>'Evolutitve SCI'!#REF!+'Evolutitve SCI'!#REF!</f>
        <v>#REF!</v>
      </c>
      <c r="R44" s="52" t="e">
        <f>'Evolutitve SCI'!#REF!+'Evolutitve SCI'!#REF!</f>
        <v>#REF!</v>
      </c>
      <c r="S44" s="52">
        <f>'Evolutitve SCI'!AV13+'Evolutitve SCI'!AV16</f>
        <v>4275560</v>
      </c>
      <c r="T44" s="52">
        <f>'Evolutitve SCI'!AW13+'Evolutitve SCI'!AW16</f>
        <v>0</v>
      </c>
      <c r="U44" s="52">
        <f>'Evolutitve SCI'!AX13+'Evolutitve SCI'!AX16</f>
        <v>0</v>
      </c>
      <c r="V44" s="52">
        <f>'Evolutitve SCI'!AY13+'Evolutitve SCI'!AY16</f>
        <v>0</v>
      </c>
      <c r="W44" s="52">
        <f>'Evolutitve SCI'!AZ13+'Evolutitve SCI'!AZ16</f>
        <v>0</v>
      </c>
      <c r="X44" s="52">
        <f>'Evolutitve SCI'!BA13+'Evolutitve SCI'!BA16</f>
        <v>0</v>
      </c>
      <c r="Y44" s="52">
        <f>'Evolutitve SCI'!BB13+'Evolutitve SCI'!BB16</f>
        <v>0</v>
      </c>
      <c r="Z44" s="52">
        <f>'Evolutitve SCI'!BC13+'Evolutitve SCI'!BC16</f>
        <v>0</v>
      </c>
      <c r="AA44" s="52">
        <f>'Evolutitve SCI'!BD13+'Evolutitve SCI'!BD16</f>
        <v>0</v>
      </c>
      <c r="AB44" s="52">
        <f>'Evolutitve SCI'!BE13+'Evolutitve SCI'!BE16</f>
        <v>0</v>
      </c>
      <c r="AC44" s="52">
        <f>'Evolutitve SCI'!BF13+'Evolutitve SCI'!BF16</f>
        <v>0</v>
      </c>
      <c r="AD44" s="52">
        <f>'Evolutitve SCI'!BG13+'Evolutitve SCI'!BG16</f>
        <v>0</v>
      </c>
      <c r="AE44" s="52">
        <f>'Evolutitve SCI'!BH13+'Evolutitve SCI'!BH16</f>
        <v>0</v>
      </c>
      <c r="AF44" s="52">
        <f>'Evolutitve SCI'!BI13+'Evolutitve SCI'!BI16</f>
        <v>5041448</v>
      </c>
      <c r="AG44" s="52">
        <f>'Evolutitve SCI'!BJ13+'Evolutitve SCI'!BJ16</f>
        <v>0</v>
      </c>
      <c r="AH44" s="52">
        <f>'Evolutitve SCI'!BK13+'Evolutitve SCI'!BK16</f>
        <v>0</v>
      </c>
      <c r="AI44" s="52">
        <f>'Evolutitve SCI'!BL13+'Evolutitve SCI'!BL16</f>
        <v>0</v>
      </c>
      <c r="AJ44" s="52">
        <f>'Evolutitve SCI'!BM13+'Evolutitve SCI'!BM16</f>
        <v>0</v>
      </c>
      <c r="AK44" s="52">
        <f>'Evolutitve SCI'!BN13+'Evolutitve SCI'!BN16</f>
        <v>0</v>
      </c>
      <c r="AL44" s="52">
        <f>'Evolutitve SCI'!BO13+'Evolutitve SCI'!BO16</f>
        <v>0</v>
      </c>
      <c r="AM44" s="52">
        <f>'Evolutitve SCI'!BP13+'Evolutitve SCI'!BP16</f>
        <v>0</v>
      </c>
      <c r="AN44" s="52">
        <f>'Evolutitve SCI'!BQ13+'Evolutitve SCI'!BQ16</f>
        <v>0</v>
      </c>
      <c r="AO44" s="52">
        <f>'Evolutitve SCI'!BR13+'Evolutitve SCI'!BR16</f>
        <v>0</v>
      </c>
      <c r="AP44" s="52">
        <f>'Evolutitve SCI'!BS13+'Evolutitve SCI'!BS16</f>
        <v>0</v>
      </c>
      <c r="AQ44" s="52">
        <f>'Evolutitve SCI'!BT13+'Evolutitve SCI'!BT16</f>
        <v>0</v>
      </c>
      <c r="AR44" s="52">
        <f>'Evolutitve SCI'!BU13+'Evolutitve SCI'!BU16</f>
        <v>0</v>
      </c>
      <c r="AS44" s="52">
        <f>'Evolutitve SCI'!BV13+'Evolutitve SCI'!BV16</f>
        <v>6105198</v>
      </c>
      <c r="AT44" s="52">
        <f>'Evolutitve SCI'!BW13+'Evolutitve SCI'!BW16</f>
        <v>0</v>
      </c>
      <c r="AU44" s="52">
        <f>'Evolutitve SCI'!BX13+'Evolutitve SCI'!BX16</f>
        <v>0</v>
      </c>
      <c r="AV44" s="52">
        <f>'Evolutitve SCI'!BY13+'Evolutitve SCI'!BY16</f>
        <v>0</v>
      </c>
      <c r="AW44" s="52">
        <f>'Evolutitve SCI'!BZ13+'Evolutitve SCI'!BZ16</f>
        <v>0</v>
      </c>
      <c r="AX44" s="52">
        <f>'Evolutitve SCI'!CA13+'Evolutitve SCI'!CA16</f>
        <v>0</v>
      </c>
      <c r="AY44" s="52">
        <f>'Evolutitve SCI'!CB13+'Evolutitve SCI'!CB16</f>
        <v>75860</v>
      </c>
      <c r="AZ44" s="52" t="e">
        <f>'Evolutitve SCI'!#REF!+'Evolutitve SCI'!#REF!</f>
        <v>#REF!</v>
      </c>
      <c r="BA44" s="52">
        <f>'Evolutitve SCI'!CC13+'Evolutitve SCI'!CC16</f>
        <v>78380</v>
      </c>
      <c r="BB44" s="52">
        <f>'Evolutitve SCI'!CD13+'Evolutitve SCI'!CD16</f>
        <v>78380</v>
      </c>
      <c r="BC44" s="52">
        <f>'Evolutitve SCI'!CE13+'Evolutitve SCI'!CE16</f>
        <v>114544</v>
      </c>
      <c r="BD44" s="52">
        <f>'Evolutitve SCI'!CF13+'Evolutitve SCI'!CF16</f>
        <v>144049</v>
      </c>
      <c r="BE44" s="52">
        <f>'Evolutitve SCI'!CG13+'Evolutitve SCI'!CG16</f>
        <v>7000000</v>
      </c>
      <c r="BF44" s="52">
        <f>'Evolutitve SCI'!CH13+'Evolutitve SCI'!CH16</f>
        <v>7169807</v>
      </c>
      <c r="BG44" s="52">
        <f>'Evolutitve SCI'!CI13+'Evolutitve SCI'!CI16</f>
        <v>0</v>
      </c>
      <c r="BH44" s="52">
        <f>'Evolutitve SCI'!CJ13+'Evolutitve SCI'!CJ16</f>
        <v>0</v>
      </c>
      <c r="BI44" s="52">
        <f>'Evolutitve SCI'!CK13+'Evolutitve SCI'!CK16</f>
        <v>0</v>
      </c>
      <c r="BJ44" s="52">
        <f>'Evolutitve SCI'!CL13+'Evolutitve SCI'!CL16</f>
        <v>0</v>
      </c>
      <c r="BK44" s="52">
        <f>'Evolutitve SCI'!CM13+'Evolutitve SCI'!CM16</f>
        <v>0</v>
      </c>
      <c r="BL44" s="52">
        <f>'Evolutitve SCI'!CN13+'Evolutitve SCI'!CN16</f>
        <v>0</v>
      </c>
      <c r="BM44" s="52">
        <f>'Evolutitve SCI'!CO13+'Evolutitve SCI'!CO16</f>
        <v>0</v>
      </c>
      <c r="BN44" s="52">
        <f>'Evolutitve SCI'!CP13+'Evolutitve SCI'!CP16</f>
        <v>0</v>
      </c>
      <c r="BO44" s="52">
        <f>'Evolutitve SCI'!CQ13+'Evolutitve SCI'!CQ16</f>
        <v>0</v>
      </c>
      <c r="BP44" s="52">
        <f>'Evolutitve SCI'!CR13+'Evolutitve SCI'!CR16</f>
        <v>0</v>
      </c>
      <c r="BQ44" s="52">
        <f>'Evolutitve SCI'!CS13+'Evolutitve SCI'!CS16</f>
        <v>0</v>
      </c>
      <c r="BR44" s="52">
        <f>'Evolutitve SCI'!CT13+'Evolutitve SCI'!CT16</f>
        <v>0</v>
      </c>
      <c r="BS44" s="52">
        <f>'Evolutitve SCI'!CU13+'Evolutitve SCI'!CU16</f>
        <v>7785466</v>
      </c>
      <c r="BT44" s="52">
        <f>'Evolutitve SCI'!CV13+'Evolutitve SCI'!CV16</f>
        <v>9800792</v>
      </c>
      <c r="BU44" s="52">
        <f>'Evolutitve SCI'!CW13+'Evolutitve SCI'!CW16</f>
        <v>0</v>
      </c>
      <c r="BV44" s="52">
        <f>'Evolutitve SCI'!CX13+'Evolutitve SCI'!CX16</f>
        <v>0</v>
      </c>
      <c r="BW44" s="52">
        <f>'Evolutitve SCI'!CY13+'Evolutitve SCI'!CY16</f>
        <v>0</v>
      </c>
      <c r="BX44" s="52">
        <f>'Evolutitve SCI'!CZ13+'Evolutitve SCI'!CZ16</f>
        <v>0</v>
      </c>
      <c r="BY44" s="52">
        <f>'Evolutitve SCI'!DA13+'Evolutitve SCI'!DA16</f>
        <v>0</v>
      </c>
      <c r="BZ44" s="52">
        <f>'Evolutitve SCI'!DB13+'Evolutitve SCI'!DB16</f>
        <v>0</v>
      </c>
      <c r="CA44" s="52">
        <f>'Evolutitve SCI'!DC13+'Evolutitve SCI'!DC16</f>
        <v>0</v>
      </c>
      <c r="CB44" s="52">
        <f>'Evolutitve SCI'!DD13+'Evolutitve SCI'!DD16</f>
        <v>0</v>
      </c>
      <c r="CC44" s="52">
        <f>'Evolutitve SCI'!DE13+'Evolutitve SCI'!DE16</f>
        <v>0</v>
      </c>
    </row>
    <row r="45" spans="1:81">
      <c r="A45" s="18">
        <v>10.199999999999999</v>
      </c>
      <c r="B45" s="18" t="s">
        <v>288</v>
      </c>
      <c r="C45" s="52" t="e">
        <f>'Evolutitve SCI'!#REF!</f>
        <v>#REF!</v>
      </c>
      <c r="D45" s="52" t="e">
        <f>'Evolutitve SCI'!#REF!</f>
        <v>#REF!</v>
      </c>
      <c r="E45" s="52" t="e">
        <f>'Evolutitve SCI'!#REF!</f>
        <v>#REF!</v>
      </c>
      <c r="F45" s="52" t="e">
        <f>'Evolutitve SCI'!#REF!</f>
        <v>#REF!</v>
      </c>
      <c r="G45" s="52" t="e">
        <f>'Evolutitve SCI'!#REF!</f>
        <v>#REF!</v>
      </c>
      <c r="H45" s="52" t="e">
        <f>'Evolutitve SCI'!#REF!</f>
        <v>#REF!</v>
      </c>
      <c r="I45" s="52" t="e">
        <f>'Evolutitve SCI'!#REF!</f>
        <v>#REF!</v>
      </c>
      <c r="J45" s="52" t="e">
        <f>'Evolutitve SCI'!#REF!</f>
        <v>#REF!</v>
      </c>
      <c r="K45" s="52" t="e">
        <f>'Evolutitve SCI'!#REF!</f>
        <v>#REF!</v>
      </c>
      <c r="L45" s="52" t="e">
        <f>'Evolutitve SCI'!#REF!</f>
        <v>#REF!</v>
      </c>
      <c r="M45" s="52" t="e">
        <f>'Evolutitve SCI'!#REF!</f>
        <v>#REF!</v>
      </c>
      <c r="N45" s="52" t="e">
        <f>'Evolutitve SCI'!#REF!</f>
        <v>#REF!</v>
      </c>
      <c r="O45" s="52" t="e">
        <f>'Evolutitve SCI'!#REF!</f>
        <v>#REF!</v>
      </c>
      <c r="P45" s="52" t="e">
        <f>'Evolutitve SCI'!#REF!</f>
        <v>#REF!</v>
      </c>
      <c r="Q45" s="52" t="e">
        <f>'Evolutitve SCI'!#REF!</f>
        <v>#REF!</v>
      </c>
      <c r="R45" s="52" t="e">
        <f>'Evolutitve SCI'!#REF!</f>
        <v>#REF!</v>
      </c>
      <c r="S45" s="52">
        <f>'Evolutitve SCI'!AV15</f>
        <v>0</v>
      </c>
      <c r="T45" s="52">
        <f>'Evolutitve SCI'!AW15</f>
        <v>0</v>
      </c>
      <c r="U45" s="52">
        <f>'Evolutitve SCI'!AX15</f>
        <v>0</v>
      </c>
      <c r="V45" s="52">
        <f>'Evolutitve SCI'!AY15</f>
        <v>0</v>
      </c>
      <c r="W45" s="52">
        <f>'Evolutitve SCI'!AZ15</f>
        <v>0</v>
      </c>
      <c r="X45" s="52">
        <f>'Evolutitve SCI'!BA15</f>
        <v>0</v>
      </c>
      <c r="Y45" s="52">
        <f>'Evolutitve SCI'!BB15</f>
        <v>0</v>
      </c>
      <c r="Z45" s="52">
        <f>'Evolutitve SCI'!BC15</f>
        <v>0</v>
      </c>
      <c r="AA45" s="52">
        <f>'Evolutitve SCI'!BD15</f>
        <v>0</v>
      </c>
      <c r="AB45" s="52">
        <f>'Evolutitve SCI'!BE15</f>
        <v>0</v>
      </c>
      <c r="AC45" s="52">
        <f>'Evolutitve SCI'!BF15</f>
        <v>0</v>
      </c>
      <c r="AD45" s="52">
        <f>'Evolutitve SCI'!BG15</f>
        <v>0</v>
      </c>
      <c r="AE45" s="52">
        <f>'Evolutitve SCI'!BH15</f>
        <v>0</v>
      </c>
      <c r="AF45" s="52">
        <f>'Evolutitve SCI'!BI15</f>
        <v>0</v>
      </c>
      <c r="AG45" s="52">
        <f>'Evolutitve SCI'!BJ15</f>
        <v>0</v>
      </c>
      <c r="AH45" s="52">
        <f>'Evolutitve SCI'!BK15</f>
        <v>0</v>
      </c>
      <c r="AI45" s="52">
        <f>'Evolutitve SCI'!BL15</f>
        <v>0</v>
      </c>
      <c r="AJ45" s="52">
        <f>'Evolutitve SCI'!BM15</f>
        <v>0</v>
      </c>
      <c r="AK45" s="52">
        <f>'Evolutitve SCI'!BN15</f>
        <v>0</v>
      </c>
      <c r="AL45" s="52">
        <f>'Evolutitve SCI'!BO15</f>
        <v>0</v>
      </c>
      <c r="AM45" s="52">
        <f>'Evolutitve SCI'!BP15</f>
        <v>0</v>
      </c>
      <c r="AN45" s="52">
        <f>'Evolutitve SCI'!BQ15</f>
        <v>0</v>
      </c>
      <c r="AO45" s="52">
        <f>'Evolutitve SCI'!BR15</f>
        <v>0</v>
      </c>
      <c r="AP45" s="52">
        <f>'Evolutitve SCI'!BS15</f>
        <v>0</v>
      </c>
      <c r="AQ45" s="52">
        <f>'Evolutitve SCI'!BT15</f>
        <v>0</v>
      </c>
      <c r="AR45" s="52">
        <f>'Evolutitve SCI'!BU15</f>
        <v>0</v>
      </c>
      <c r="AS45" s="52">
        <f>'Evolutitve SCI'!BV15</f>
        <v>0</v>
      </c>
      <c r="AT45" s="52">
        <f>'Evolutitve SCI'!BW15</f>
        <v>0</v>
      </c>
      <c r="AU45" s="52">
        <f>'Evolutitve SCI'!BX15</f>
        <v>0</v>
      </c>
      <c r="AV45" s="52">
        <f>'Evolutitve SCI'!BY15</f>
        <v>0</v>
      </c>
      <c r="AW45" s="52">
        <f>'Evolutitve SCI'!BZ15</f>
        <v>0</v>
      </c>
      <c r="AX45" s="52">
        <f>'Evolutitve SCI'!CA15</f>
        <v>0</v>
      </c>
      <c r="AY45" s="52">
        <f>'Evolutitve SCI'!CB15</f>
        <v>0</v>
      </c>
      <c r="AZ45" s="52" t="e">
        <f>'Evolutitve SCI'!#REF!</f>
        <v>#REF!</v>
      </c>
      <c r="BA45" s="52">
        <f>'Evolutitve SCI'!CC15</f>
        <v>0</v>
      </c>
      <c r="BB45" s="52">
        <f>'Evolutitve SCI'!CD15</f>
        <v>0</v>
      </c>
      <c r="BC45" s="52">
        <f>'Evolutitve SCI'!CE15</f>
        <v>0</v>
      </c>
      <c r="BD45" s="52">
        <f>'Evolutitve SCI'!CF15</f>
        <v>0</v>
      </c>
      <c r="BE45" s="52">
        <f>'Evolutitve SCI'!CG15</f>
        <v>0</v>
      </c>
      <c r="BF45" s="52">
        <f>'Evolutitve SCI'!CH15</f>
        <v>0</v>
      </c>
      <c r="BG45" s="52">
        <f>'Evolutitve SCI'!CI15</f>
        <v>0</v>
      </c>
      <c r="BH45" s="52">
        <f>'Evolutitve SCI'!CJ15</f>
        <v>0</v>
      </c>
      <c r="BI45" s="52">
        <f>'Evolutitve SCI'!CK15</f>
        <v>0</v>
      </c>
      <c r="BJ45" s="52">
        <f>'Evolutitve SCI'!CL15</f>
        <v>0</v>
      </c>
      <c r="BK45" s="52">
        <f>'Evolutitve SCI'!CM15</f>
        <v>0</v>
      </c>
      <c r="BL45" s="52">
        <f>'Evolutitve SCI'!CN15</f>
        <v>0</v>
      </c>
      <c r="BM45" s="52">
        <f>'Evolutitve SCI'!CO15</f>
        <v>0</v>
      </c>
      <c r="BN45" s="52">
        <f>'Evolutitve SCI'!CP15</f>
        <v>0</v>
      </c>
      <c r="BO45" s="52">
        <f>'Evolutitve SCI'!CQ15</f>
        <v>0</v>
      </c>
      <c r="BP45" s="52">
        <f>'Evolutitve SCI'!CR15</f>
        <v>0</v>
      </c>
      <c r="BQ45" s="52">
        <f>'Evolutitve SCI'!CS15</f>
        <v>0</v>
      </c>
      <c r="BR45" s="52">
        <f>'Evolutitve SCI'!CT15</f>
        <v>0</v>
      </c>
      <c r="BS45" s="52">
        <f>'Evolutitve SCI'!CU15</f>
        <v>0</v>
      </c>
      <c r="BT45" s="52">
        <f>'Evolutitve SCI'!CV15</f>
        <v>0</v>
      </c>
      <c r="BU45" s="52">
        <f>'Evolutitve SCI'!CW15</f>
        <v>0</v>
      </c>
      <c r="BV45" s="52">
        <f>'Evolutitve SCI'!CX15</f>
        <v>0</v>
      </c>
      <c r="BW45" s="52">
        <f>'Evolutitve SCI'!CY15</f>
        <v>0</v>
      </c>
      <c r="BX45" s="52">
        <f>'Evolutitve SCI'!CZ15</f>
        <v>0</v>
      </c>
      <c r="BY45" s="52">
        <f>'Evolutitve SCI'!DA15</f>
        <v>0</v>
      </c>
      <c r="BZ45" s="52">
        <f>'Evolutitve SCI'!DB15</f>
        <v>0</v>
      </c>
      <c r="CA45" s="52">
        <f>'Evolutitve SCI'!DC15</f>
        <v>0</v>
      </c>
      <c r="CB45" s="52">
        <f>'Evolutitve SCI'!DD15</f>
        <v>0</v>
      </c>
      <c r="CC45" s="52">
        <f>'Evolutitve SCI'!DE15</f>
        <v>0</v>
      </c>
    </row>
    <row r="46" spans="1:81">
      <c r="A46" s="18">
        <v>10.3</v>
      </c>
      <c r="B46" s="18" t="s">
        <v>289</v>
      </c>
      <c r="C46" s="52" t="e">
        <f>'Evolutitve SCI'!#REF!</f>
        <v>#REF!</v>
      </c>
      <c r="D46" s="52" t="e">
        <f>'Evolutitve SCI'!#REF!</f>
        <v>#REF!</v>
      </c>
      <c r="E46" s="52" t="e">
        <f>'Evolutitve SCI'!#REF!</f>
        <v>#REF!</v>
      </c>
      <c r="F46" s="52" t="e">
        <f>'Evolutitve SCI'!#REF!</f>
        <v>#REF!</v>
      </c>
      <c r="G46" s="52" t="e">
        <f>'Evolutitve SCI'!#REF!</f>
        <v>#REF!</v>
      </c>
      <c r="H46" s="52" t="e">
        <f>'Evolutitve SCI'!#REF!</f>
        <v>#REF!</v>
      </c>
      <c r="I46" s="52" t="e">
        <f>'Evolutitve SCI'!#REF!</f>
        <v>#REF!</v>
      </c>
      <c r="J46" s="52" t="e">
        <f>'Evolutitve SCI'!#REF!</f>
        <v>#REF!</v>
      </c>
      <c r="K46" s="52" t="e">
        <f>'Evolutitve SCI'!#REF!</f>
        <v>#REF!</v>
      </c>
      <c r="L46" s="52" t="e">
        <f>'Evolutitve SCI'!#REF!</f>
        <v>#REF!</v>
      </c>
      <c r="M46" s="52" t="e">
        <f>'Evolutitve SCI'!#REF!</f>
        <v>#REF!</v>
      </c>
      <c r="N46" s="52" t="e">
        <f>'Evolutitve SCI'!#REF!</f>
        <v>#REF!</v>
      </c>
      <c r="O46" s="52" t="e">
        <f>'Evolutitve SCI'!#REF!</f>
        <v>#REF!</v>
      </c>
      <c r="P46" s="52" t="e">
        <f>'Evolutitve SCI'!#REF!</f>
        <v>#REF!</v>
      </c>
      <c r="Q46" s="52" t="e">
        <f>'Evolutitve SCI'!#REF!</f>
        <v>#REF!</v>
      </c>
      <c r="R46" s="52" t="e">
        <f>'Evolutitve SCI'!#REF!</f>
        <v>#REF!</v>
      </c>
      <c r="S46" s="52">
        <f>'Evolutitve SCI'!AV14</f>
        <v>0</v>
      </c>
      <c r="T46" s="52">
        <f>'Evolutitve SCI'!AW14</f>
        <v>0</v>
      </c>
      <c r="U46" s="52">
        <f>'Evolutitve SCI'!AX14</f>
        <v>0</v>
      </c>
      <c r="V46" s="52">
        <f>'Evolutitve SCI'!AY14</f>
        <v>0</v>
      </c>
      <c r="W46" s="52">
        <f>'Evolutitve SCI'!AZ14</f>
        <v>0</v>
      </c>
      <c r="X46" s="52">
        <f>'Evolutitve SCI'!BA14</f>
        <v>0</v>
      </c>
      <c r="Y46" s="52">
        <f>'Evolutitve SCI'!BB14</f>
        <v>0</v>
      </c>
      <c r="Z46" s="52">
        <f>'Evolutitve SCI'!BC14</f>
        <v>0</v>
      </c>
      <c r="AA46" s="52">
        <f>'Evolutitve SCI'!BD14</f>
        <v>0</v>
      </c>
      <c r="AB46" s="52">
        <f>'Evolutitve SCI'!BE14</f>
        <v>0</v>
      </c>
      <c r="AC46" s="52">
        <f>'Evolutitve SCI'!BF14</f>
        <v>0</v>
      </c>
      <c r="AD46" s="52">
        <f>'Evolutitve SCI'!BG14</f>
        <v>0</v>
      </c>
      <c r="AE46" s="52">
        <f>'Evolutitve SCI'!BH14</f>
        <v>0</v>
      </c>
      <c r="AF46" s="52">
        <f>'Evolutitve SCI'!BI14</f>
        <v>0</v>
      </c>
      <c r="AG46" s="52">
        <f>'Evolutitve SCI'!BJ14</f>
        <v>0</v>
      </c>
      <c r="AH46" s="52">
        <f>'Evolutitve SCI'!BK14</f>
        <v>0</v>
      </c>
      <c r="AI46" s="52">
        <f>'Evolutitve SCI'!BL14</f>
        <v>0</v>
      </c>
      <c r="AJ46" s="52">
        <f>'Evolutitve SCI'!BM14</f>
        <v>0</v>
      </c>
      <c r="AK46" s="52">
        <f>'Evolutitve SCI'!BN14</f>
        <v>0</v>
      </c>
      <c r="AL46" s="52">
        <f>'Evolutitve SCI'!BO14</f>
        <v>0</v>
      </c>
      <c r="AM46" s="52">
        <f>'Evolutitve SCI'!BP14</f>
        <v>0</v>
      </c>
      <c r="AN46" s="52">
        <f>'Evolutitve SCI'!BQ14</f>
        <v>0</v>
      </c>
      <c r="AO46" s="52">
        <f>'Evolutitve SCI'!BR14</f>
        <v>0</v>
      </c>
      <c r="AP46" s="52">
        <f>'Evolutitve SCI'!BS14</f>
        <v>0</v>
      </c>
      <c r="AQ46" s="52">
        <f>'Evolutitve SCI'!BT14</f>
        <v>0</v>
      </c>
      <c r="AR46" s="52">
        <f>'Evolutitve SCI'!BU14</f>
        <v>0</v>
      </c>
      <c r="AS46" s="52">
        <f>'Evolutitve SCI'!BV14</f>
        <v>0</v>
      </c>
      <c r="AT46" s="52">
        <f>'Evolutitve SCI'!BW14</f>
        <v>0</v>
      </c>
      <c r="AU46" s="52">
        <f>'Evolutitve SCI'!BX14</f>
        <v>0</v>
      </c>
      <c r="AV46" s="52">
        <f>'Evolutitve SCI'!BY14</f>
        <v>0</v>
      </c>
      <c r="AW46" s="52">
        <f>'Evolutitve SCI'!BZ14</f>
        <v>0</v>
      </c>
      <c r="AX46" s="52">
        <f>'Evolutitve SCI'!CA14</f>
        <v>0</v>
      </c>
      <c r="AY46" s="52">
        <f>'Evolutitve SCI'!CB14</f>
        <v>0</v>
      </c>
      <c r="AZ46" s="52" t="e">
        <f>'Evolutitve SCI'!#REF!</f>
        <v>#REF!</v>
      </c>
      <c r="BA46" s="52">
        <f>'Evolutitve SCI'!CC14</f>
        <v>0</v>
      </c>
      <c r="BB46" s="52">
        <f>'Evolutitve SCI'!CD14</f>
        <v>0</v>
      </c>
      <c r="BC46" s="52">
        <f>'Evolutitve SCI'!CE14</f>
        <v>0</v>
      </c>
      <c r="BD46" s="52">
        <f>'Evolutitve SCI'!CF14</f>
        <v>0</v>
      </c>
      <c r="BE46" s="52">
        <f>'Evolutitve SCI'!CG14</f>
        <v>0</v>
      </c>
      <c r="BF46" s="52">
        <f>'Evolutitve SCI'!CH14</f>
        <v>0</v>
      </c>
      <c r="BG46" s="52">
        <f>'Evolutitve SCI'!CI14</f>
        <v>0</v>
      </c>
      <c r="BH46" s="52">
        <f>'Evolutitve SCI'!CJ14</f>
        <v>0</v>
      </c>
      <c r="BI46" s="52">
        <f>'Evolutitve SCI'!CK14</f>
        <v>0</v>
      </c>
      <c r="BJ46" s="52">
        <f>'Evolutitve SCI'!CL14</f>
        <v>0</v>
      </c>
      <c r="BK46" s="52">
        <f>'Evolutitve SCI'!CM14</f>
        <v>0</v>
      </c>
      <c r="BL46" s="52">
        <f>'Evolutitve SCI'!CN14</f>
        <v>0</v>
      </c>
      <c r="BM46" s="52">
        <f>'Evolutitve SCI'!CO14</f>
        <v>0</v>
      </c>
      <c r="BN46" s="52">
        <f>'Evolutitve SCI'!CP14</f>
        <v>0</v>
      </c>
      <c r="BO46" s="52">
        <f>'Evolutitve SCI'!CQ14</f>
        <v>0</v>
      </c>
      <c r="BP46" s="52">
        <f>'Evolutitve SCI'!CR14</f>
        <v>0</v>
      </c>
      <c r="BQ46" s="52">
        <f>'Evolutitve SCI'!CS14</f>
        <v>0</v>
      </c>
      <c r="BR46" s="52">
        <f>'Evolutitve SCI'!CT14</f>
        <v>0</v>
      </c>
      <c r="BS46" s="52">
        <f>'Evolutitve SCI'!CU14</f>
        <v>0</v>
      </c>
      <c r="BT46" s="52">
        <f>'Evolutitve SCI'!CV14</f>
        <v>0</v>
      </c>
      <c r="BU46" s="52">
        <f>'Evolutitve SCI'!CW14</f>
        <v>0</v>
      </c>
      <c r="BV46" s="52">
        <f>'Evolutitve SCI'!CX14</f>
        <v>0</v>
      </c>
      <c r="BW46" s="52">
        <f>'Evolutitve SCI'!CY14</f>
        <v>0</v>
      </c>
      <c r="BX46" s="52">
        <f>'Evolutitve SCI'!CZ14</f>
        <v>0</v>
      </c>
      <c r="BY46" s="52">
        <f>'Evolutitve SCI'!DA14</f>
        <v>0</v>
      </c>
      <c r="BZ46" s="52">
        <f>'Evolutitve SCI'!DB14</f>
        <v>0</v>
      </c>
      <c r="CA46" s="52">
        <f>'Evolutitve SCI'!DC14</f>
        <v>0</v>
      </c>
      <c r="CB46" s="52">
        <f>'Evolutitve SCI'!DD14</f>
        <v>0</v>
      </c>
      <c r="CC46" s="52">
        <f>'Evolutitve SCI'!DE14</f>
        <v>0</v>
      </c>
    </row>
    <row r="47" spans="1:81">
      <c r="A47" s="18">
        <v>10.4</v>
      </c>
      <c r="B47" s="18" t="s">
        <v>290</v>
      </c>
      <c r="C47" s="52" t="e">
        <f>'Evolutitve SCI'!#REF!</f>
        <v>#REF!</v>
      </c>
      <c r="D47" s="52" t="e">
        <f>'Evolutitve SCI'!#REF!</f>
        <v>#REF!</v>
      </c>
      <c r="E47" s="52" t="e">
        <f>'Evolutitve SCI'!#REF!</f>
        <v>#REF!</v>
      </c>
      <c r="F47" s="52" t="e">
        <f>'Evolutitve SCI'!#REF!</f>
        <v>#REF!</v>
      </c>
      <c r="G47" s="52" t="e">
        <f>'Evolutitve SCI'!#REF!</f>
        <v>#REF!</v>
      </c>
      <c r="H47" s="52" t="e">
        <f>'Evolutitve SCI'!#REF!</f>
        <v>#REF!</v>
      </c>
      <c r="I47" s="52" t="e">
        <f>'Evolutitve SCI'!#REF!</f>
        <v>#REF!</v>
      </c>
      <c r="J47" s="52" t="e">
        <f>'Evolutitve SCI'!#REF!</f>
        <v>#REF!</v>
      </c>
      <c r="K47" s="52" t="e">
        <f>'Evolutitve SCI'!#REF!</f>
        <v>#REF!</v>
      </c>
      <c r="L47" s="52" t="e">
        <f>'Evolutitve SCI'!#REF!</f>
        <v>#REF!</v>
      </c>
      <c r="M47" s="52" t="e">
        <f>'Evolutitve SCI'!#REF!</f>
        <v>#REF!</v>
      </c>
      <c r="N47" s="52" t="e">
        <f>'Evolutitve SCI'!#REF!</f>
        <v>#REF!</v>
      </c>
      <c r="O47" s="52" t="e">
        <f>'Evolutitve SCI'!#REF!</f>
        <v>#REF!</v>
      </c>
      <c r="P47" s="52" t="e">
        <f>'Evolutitve SCI'!#REF!</f>
        <v>#REF!</v>
      </c>
      <c r="Q47" s="52" t="e">
        <f>'Evolutitve SCI'!#REF!</f>
        <v>#REF!</v>
      </c>
      <c r="R47" s="52" t="e">
        <f>'Evolutitve SCI'!#REF!</f>
        <v>#REF!</v>
      </c>
      <c r="S47" s="52">
        <f>'Evolutitve SCI'!AV23</f>
        <v>28704035</v>
      </c>
      <c r="T47" s="52">
        <f>'Evolutitve SCI'!AW23</f>
        <v>1877402.52</v>
      </c>
      <c r="U47" s="52">
        <f>'Evolutitve SCI'!AX23</f>
        <v>4067597.0399999996</v>
      </c>
      <c r="V47" s="52">
        <f>'Evolutitve SCI'!AY23</f>
        <v>6424629.4900000002</v>
      </c>
      <c r="W47" s="52">
        <f>'Evolutitve SCI'!AZ23</f>
        <v>9577452.7800000012</v>
      </c>
      <c r="X47" s="52">
        <f>'Evolutitve SCI'!BA23</f>
        <v>12171920.370000001</v>
      </c>
      <c r="Y47" s="52">
        <f>'Evolutitve SCI'!BB23</f>
        <v>15718776.920000002</v>
      </c>
      <c r="Z47" s="52">
        <f>'Evolutitve SCI'!BC23</f>
        <v>17336137.370000001</v>
      </c>
      <c r="AA47" s="52">
        <f>'Evolutitve SCI'!BD23</f>
        <v>19562708.530000001</v>
      </c>
      <c r="AB47" s="52">
        <f>'Evolutitve SCI'!BE23</f>
        <v>24924144.760000002</v>
      </c>
      <c r="AC47" s="52">
        <f>'Evolutitve SCI'!BF23</f>
        <v>27570597.09</v>
      </c>
      <c r="AD47" s="52">
        <f>'Evolutitve SCI'!BG23</f>
        <v>29796225.509999998</v>
      </c>
      <c r="AE47" s="52">
        <f>'Evolutitve SCI'!BH23</f>
        <v>38508844.170000002</v>
      </c>
      <c r="AF47" s="52">
        <f>'Evolutitve SCI'!BI23</f>
        <v>32546138.280000001</v>
      </c>
      <c r="AG47" s="52">
        <f>'Evolutitve SCI'!BJ23</f>
        <v>2266607.56</v>
      </c>
      <c r="AH47" s="52">
        <f>'Evolutitve SCI'!BK23</f>
        <v>5061581.29</v>
      </c>
      <c r="AI47" s="52">
        <f>'Evolutitve SCI'!BL23</f>
        <v>7753329.4900000002</v>
      </c>
      <c r="AJ47" s="52">
        <f>'Evolutitve SCI'!BM23</f>
        <v>10627445.899999999</v>
      </c>
      <c r="AK47" s="52">
        <f>'Evolutitve SCI'!BN23</f>
        <v>14038456.870000001</v>
      </c>
      <c r="AL47" s="52">
        <f>'Evolutitve SCI'!BO23</f>
        <v>16796383.940000001</v>
      </c>
      <c r="AM47" s="52">
        <f>'Evolutitve SCI'!BP23</f>
        <v>20065693.129999999</v>
      </c>
      <c r="AN47" s="52">
        <f>'Evolutitve SCI'!BQ23</f>
        <v>22897245.190000001</v>
      </c>
      <c r="AO47" s="52">
        <f>'Evolutitve SCI'!BR23</f>
        <v>27383134.550000001</v>
      </c>
      <c r="AP47" s="52">
        <f>'Evolutitve SCI'!BS23</f>
        <v>30883474.399999999</v>
      </c>
      <c r="AQ47" s="52">
        <f>'Evolutitve SCI'!BT23</f>
        <v>33879451.629999995</v>
      </c>
      <c r="AR47" s="52">
        <f>'Evolutitve SCI'!BU23</f>
        <v>46674729.18</v>
      </c>
      <c r="AS47" s="52">
        <f>'Evolutitve SCI'!BV23</f>
        <v>38569530.829999998</v>
      </c>
      <c r="AT47" s="52">
        <f>'Evolutitve SCI'!BW23</f>
        <v>2764433.97</v>
      </c>
      <c r="AU47" s="52">
        <f>'Evolutitve SCI'!BX23</f>
        <v>6065353.4800000004</v>
      </c>
      <c r="AV47" s="52">
        <f>'Evolutitve SCI'!BY23</f>
        <v>8688728.1999999993</v>
      </c>
      <c r="AW47" s="52">
        <f>'Evolutitve SCI'!BZ23</f>
        <v>11411920.17</v>
      </c>
      <c r="AX47" s="52">
        <f>'Evolutitve SCI'!CA23</f>
        <v>14140651.360000001</v>
      </c>
      <c r="AY47" s="52">
        <f>'Evolutitve SCI'!CB23</f>
        <v>16985363.620000001</v>
      </c>
      <c r="AZ47" s="52" t="e">
        <f>'Evolutitve SCI'!#REF!</f>
        <v>#REF!</v>
      </c>
      <c r="BA47" s="52">
        <f>'Evolutitve SCI'!CC23</f>
        <v>22730027.780000001</v>
      </c>
      <c r="BB47" s="52">
        <f>'Evolutitve SCI'!CD23</f>
        <v>26009847.489999998</v>
      </c>
      <c r="BC47" s="52">
        <f>'Evolutitve SCI'!CE23</f>
        <v>29630230.539999999</v>
      </c>
      <c r="BD47" s="52">
        <f>'Evolutitve SCI'!CF23</f>
        <v>33940409.119999997</v>
      </c>
      <c r="BE47" s="52">
        <f>'Evolutitve SCI'!CG23</f>
        <v>37774833.270000003</v>
      </c>
      <c r="BF47" s="52">
        <f>'Evolutitve SCI'!CH23</f>
        <v>37605027</v>
      </c>
      <c r="BG47" s="52">
        <f>'Evolutitve SCI'!CI23</f>
        <v>2656206.7199999997</v>
      </c>
      <c r="BH47" s="52">
        <f>'Evolutitve SCI'!CJ23</f>
        <v>5692195.1600000001</v>
      </c>
      <c r="BI47" s="52">
        <f>'Evolutitve SCI'!CK23</f>
        <v>8572080.0800000001</v>
      </c>
      <c r="BJ47" s="52">
        <f>'Evolutitve SCI'!CL23</f>
        <v>11890926.800000001</v>
      </c>
      <c r="BK47" s="52">
        <f>'Evolutitve SCI'!CM23</f>
        <v>14521742.460000001</v>
      </c>
      <c r="BL47" s="52">
        <f>'Evolutitve SCI'!CN23</f>
        <v>17343409.140000001</v>
      </c>
      <c r="BM47" s="52">
        <f>'Evolutitve SCI'!CO23</f>
        <v>19953177.18</v>
      </c>
      <c r="BN47" s="52">
        <f>'Evolutitve SCI'!CP23</f>
        <v>22784552.050000001</v>
      </c>
      <c r="BO47" s="52">
        <f>'Evolutitve SCI'!CQ23</f>
        <v>25998412.400000002</v>
      </c>
      <c r="BP47" s="52">
        <f>'Evolutitve SCI'!CR23</f>
        <v>30747688.080000002</v>
      </c>
      <c r="BQ47" s="52">
        <f>'Evolutitve SCI'!CS23</f>
        <v>35559466.099999994</v>
      </c>
      <c r="BR47" s="52">
        <f>'Evolutitve SCI'!CT23</f>
        <v>47263977.980000004</v>
      </c>
      <c r="BS47" s="52">
        <f>'Evolutitve SCI'!CU23</f>
        <v>39478511</v>
      </c>
      <c r="BT47" s="52">
        <f>'Evolutitve SCI'!CV23</f>
        <v>46564209</v>
      </c>
      <c r="BU47" s="52">
        <f>'Evolutitve SCI'!CW23</f>
        <v>3469100.9699999997</v>
      </c>
      <c r="BV47" s="52">
        <f>'Evolutitve SCI'!CX23</f>
        <v>7328908.3399999999</v>
      </c>
      <c r="BW47" s="52">
        <f>'Evolutitve SCI'!CY23</f>
        <v>11085126.859999999</v>
      </c>
      <c r="BX47" s="52">
        <f>'Evolutitve SCI'!CZ23</f>
        <v>15794015.699999999</v>
      </c>
      <c r="BY47" s="52">
        <f>'Evolutitve SCI'!DA23</f>
        <v>20024023.400000002</v>
      </c>
      <c r="BZ47" s="52">
        <f>'Evolutitve SCI'!DB23</f>
        <v>24188416.489999998</v>
      </c>
      <c r="CA47" s="52">
        <f>'Evolutitve SCI'!DC23</f>
        <v>29497528.32</v>
      </c>
      <c r="CB47" s="52">
        <f>'Evolutitve SCI'!DD23</f>
        <v>34231980.43</v>
      </c>
      <c r="CC47" s="52">
        <f>'Evolutitve SCI'!DE23</f>
        <v>41927955.099999994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workbookViewId="0">
      <selection activeCell="D5" sqref="D5"/>
    </sheetView>
  </sheetViews>
  <sheetFormatPr defaultRowHeight="14.45"/>
  <cols>
    <col min="1" max="1" width="54.85546875" style="56" bestFit="1" customWidth="1"/>
    <col min="2" max="2" width="15" style="56" bestFit="1" customWidth="1"/>
    <col min="3" max="3" width="14.7109375" style="56" bestFit="1" customWidth="1"/>
    <col min="4" max="4" width="14" bestFit="1" customWidth="1"/>
    <col min="5" max="5" width="15.28515625" bestFit="1" customWidth="1"/>
    <col min="6" max="6" width="10.5703125" bestFit="1" customWidth="1"/>
  </cols>
  <sheetData>
    <row r="1" spans="1:8">
      <c r="A1" s="444" t="s">
        <v>291</v>
      </c>
      <c r="B1" s="444"/>
      <c r="C1" s="444"/>
    </row>
    <row r="2" spans="1:8">
      <c r="B2" s="57">
        <v>2015</v>
      </c>
      <c r="C2" s="57">
        <v>2014</v>
      </c>
    </row>
    <row r="3" spans="1:8">
      <c r="A3" s="58" t="s">
        <v>292</v>
      </c>
      <c r="B3" s="59"/>
      <c r="C3" s="60"/>
    </row>
    <row r="4" spans="1:8">
      <c r="A4" s="61" t="s">
        <v>293</v>
      </c>
      <c r="B4" s="62"/>
      <c r="C4" s="63"/>
      <c r="D4" s="62"/>
      <c r="F4" s="256"/>
    </row>
    <row r="5" spans="1:8">
      <c r="A5" s="61" t="s">
        <v>294</v>
      </c>
      <c r="B5" s="64"/>
      <c r="C5" s="65"/>
    </row>
    <row r="6" spans="1:8" ht="15.6">
      <c r="A6" s="61" t="s">
        <v>295</v>
      </c>
      <c r="B6" s="66"/>
      <c r="C6" s="67"/>
    </row>
    <row r="7" spans="1:8" ht="15.6">
      <c r="A7" s="61" t="s">
        <v>296</v>
      </c>
      <c r="B7" s="63"/>
      <c r="C7" s="65"/>
      <c r="E7" s="66"/>
      <c r="F7" s="67"/>
    </row>
    <row r="8" spans="1:8" ht="17.45">
      <c r="A8" s="68" t="s">
        <v>297</v>
      </c>
      <c r="B8" s="69">
        <f>B4+B5+B6+B7</f>
        <v>0</v>
      </c>
      <c r="C8" s="70">
        <f>SUM(C4:C7)</f>
        <v>0</v>
      </c>
      <c r="H8" s="71"/>
    </row>
    <row r="9" spans="1:8">
      <c r="A9" s="61" t="s">
        <v>298</v>
      </c>
      <c r="B9" s="64">
        <v>-21420750</v>
      </c>
      <c r="C9" s="65">
        <v>-19341453</v>
      </c>
      <c r="E9" s="72"/>
    </row>
    <row r="10" spans="1:8">
      <c r="A10" s="61" t="s">
        <v>299</v>
      </c>
      <c r="B10" s="64">
        <v>3405679</v>
      </c>
      <c r="C10" s="65">
        <v>644537</v>
      </c>
    </row>
    <row r="11" spans="1:8" ht="15.6">
      <c r="A11" s="61" t="s">
        <v>300</v>
      </c>
      <c r="B11" s="73"/>
      <c r="C11" s="67"/>
    </row>
    <row r="12" spans="1:8">
      <c r="A12" s="74" t="s">
        <v>301</v>
      </c>
      <c r="B12" s="75">
        <f>SUM(B9:B11)</f>
        <v>-18015071</v>
      </c>
      <c r="C12" s="76">
        <f>SUM(C9:C11)</f>
        <v>-18696916</v>
      </c>
    </row>
    <row r="13" spans="1:8">
      <c r="A13" s="77" t="s">
        <v>302</v>
      </c>
      <c r="B13" s="64">
        <v>37542318</v>
      </c>
      <c r="C13" s="65">
        <v>70912356</v>
      </c>
    </row>
    <row r="14" spans="1:8">
      <c r="A14" s="77" t="s">
        <v>303</v>
      </c>
      <c r="B14" s="63">
        <v>-2636186</v>
      </c>
      <c r="C14" s="65">
        <v>17927</v>
      </c>
    </row>
    <row r="15" spans="1:8">
      <c r="A15" s="77" t="s">
        <v>304</v>
      </c>
      <c r="B15" s="63">
        <v>-7154210</v>
      </c>
      <c r="C15" s="65">
        <v>-4536404</v>
      </c>
    </row>
    <row r="16" spans="1:8">
      <c r="A16" s="77" t="s">
        <v>305</v>
      </c>
      <c r="B16" s="63">
        <v>-312508</v>
      </c>
      <c r="C16" s="65">
        <v>-2877539</v>
      </c>
    </row>
    <row r="17" spans="1:5">
      <c r="A17" s="78" t="s">
        <v>306</v>
      </c>
      <c r="B17" s="79">
        <f>B8+B12+B13+B14+B15+B16</f>
        <v>9424343</v>
      </c>
      <c r="C17" s="79">
        <f>C8+C12+C13+C14+C15+C16</f>
        <v>44819424</v>
      </c>
    </row>
    <row r="18" spans="1:5" ht="15.6">
      <c r="A18" s="77" t="s">
        <v>307</v>
      </c>
      <c r="B18" s="73"/>
      <c r="C18" s="67"/>
    </row>
    <row r="19" spans="1:5" ht="17.45">
      <c r="A19" s="78" t="s">
        <v>308</v>
      </c>
      <c r="B19" s="80">
        <f>B17+B18</f>
        <v>9424343</v>
      </c>
      <c r="C19" s="81">
        <f>C17+C18</f>
        <v>44819424</v>
      </c>
    </row>
    <row r="20" spans="1:5">
      <c r="A20" s="77"/>
      <c r="B20" s="82"/>
      <c r="C20" s="83"/>
    </row>
    <row r="21" spans="1:5">
      <c r="A21" s="78" t="s">
        <v>309</v>
      </c>
      <c r="B21" s="59"/>
      <c r="C21" s="84"/>
    </row>
    <row r="22" spans="1:5">
      <c r="A22" s="77" t="s">
        <v>310</v>
      </c>
      <c r="B22" s="63">
        <v>-987736</v>
      </c>
      <c r="C22" s="65">
        <v>-4053993</v>
      </c>
    </row>
    <row r="23" spans="1:5">
      <c r="A23" s="77" t="s">
        <v>311</v>
      </c>
      <c r="B23" s="63"/>
      <c r="C23" s="65"/>
    </row>
    <row r="24" spans="1:5">
      <c r="A24" s="77" t="s">
        <v>312</v>
      </c>
      <c r="B24" s="63"/>
      <c r="C24" s="63"/>
    </row>
    <row r="25" spans="1:5">
      <c r="A25" s="77" t="s">
        <v>313</v>
      </c>
      <c r="B25" s="63"/>
      <c r="C25" s="65"/>
    </row>
    <row r="26" spans="1:5">
      <c r="A26" s="77" t="s">
        <v>314</v>
      </c>
      <c r="B26" s="63">
        <v>-286875</v>
      </c>
      <c r="C26" s="65">
        <v>-534318</v>
      </c>
    </row>
    <row r="27" spans="1:5" ht="15.6">
      <c r="A27" s="77" t="s">
        <v>315</v>
      </c>
      <c r="B27" s="73"/>
      <c r="C27" s="67"/>
    </row>
    <row r="28" spans="1:5" ht="17.45">
      <c r="A28" s="78" t="s">
        <v>316</v>
      </c>
      <c r="B28" s="69">
        <f>SUM(B22:B27)</f>
        <v>-1274611</v>
      </c>
      <c r="C28" s="70">
        <f>SUM(C22:C27)</f>
        <v>-4588311</v>
      </c>
      <c r="E28" s="256">
        <f>810794136-637456683</f>
        <v>173337453</v>
      </c>
    </row>
    <row r="29" spans="1:5">
      <c r="A29" s="77"/>
      <c r="B29" s="82"/>
      <c r="C29" s="83"/>
    </row>
    <row r="30" spans="1:5">
      <c r="A30" s="78" t="s">
        <v>317</v>
      </c>
      <c r="B30" s="59"/>
      <c r="C30" s="84"/>
    </row>
    <row r="31" spans="1:5">
      <c r="A31" s="77" t="s">
        <v>318</v>
      </c>
      <c r="B31" s="63">
        <v>34941877</v>
      </c>
      <c r="C31" s="65">
        <v>17467705</v>
      </c>
    </row>
    <row r="32" spans="1:5">
      <c r="A32" s="77" t="s">
        <v>319</v>
      </c>
      <c r="B32" s="63"/>
      <c r="C32" s="65"/>
    </row>
    <row r="33" spans="1:3">
      <c r="A33" s="77" t="s">
        <v>320</v>
      </c>
      <c r="B33" s="63"/>
      <c r="C33" s="65"/>
    </row>
    <row r="34" spans="1:3">
      <c r="A34" s="77" t="s">
        <v>321</v>
      </c>
      <c r="B34" s="63">
        <v>-6887998</v>
      </c>
      <c r="C34" s="65">
        <v>-6887998</v>
      </c>
    </row>
    <row r="35" spans="1:3" ht="15.6">
      <c r="A35" s="77" t="s">
        <v>322</v>
      </c>
      <c r="B35" s="73">
        <v>0</v>
      </c>
      <c r="C35" s="67">
        <v>0</v>
      </c>
    </row>
    <row r="36" spans="1:3" ht="17.45">
      <c r="A36" s="78" t="s">
        <v>323</v>
      </c>
      <c r="B36" s="69">
        <f>SUM(B31:B35)</f>
        <v>28053879</v>
      </c>
      <c r="C36" s="70">
        <f>SUM(C31:C35)</f>
        <v>10579707</v>
      </c>
    </row>
    <row r="37" spans="1:3">
      <c r="A37" s="78" t="s">
        <v>324</v>
      </c>
      <c r="B37" s="85">
        <f>B19+B28+B36</f>
        <v>36203611</v>
      </c>
      <c r="C37" s="86">
        <f>C19+C28+C36</f>
        <v>50810820</v>
      </c>
    </row>
    <row r="38" spans="1:3" ht="15.6">
      <c r="A38" s="77" t="s">
        <v>325</v>
      </c>
      <c r="B38" s="87">
        <v>207318182</v>
      </c>
      <c r="C38" s="88">
        <v>134933687</v>
      </c>
    </row>
    <row r="39" spans="1:3" ht="17.45">
      <c r="A39" s="78" t="s">
        <v>326</v>
      </c>
      <c r="B39" s="80">
        <f>SUM(B37:B38)</f>
        <v>243521793</v>
      </c>
      <c r="C39" s="89">
        <f>SUM(C37:C38)</f>
        <v>185744507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J63"/>
  <sheetViews>
    <sheetView tabSelected="1" zoomScale="86" zoomScaleNormal="86" zoomScaleSheetLayoutView="100" workbookViewId="0">
      <pane xSplit="23" topLeftCell="DB1" activePane="topRight" state="frozen"/>
      <selection pane="topRight" activeCell="DI6" sqref="DI6:DJ53"/>
    </sheetView>
  </sheetViews>
  <sheetFormatPr defaultColWidth="9.140625" defaultRowHeight="13.15"/>
  <cols>
    <col min="1" max="1" width="34" style="102" customWidth="1"/>
    <col min="2" max="2" width="10.42578125" style="101" bestFit="1" customWidth="1"/>
    <col min="3" max="3" width="5.85546875" style="102" bestFit="1" customWidth="1"/>
    <col min="4" max="4" width="11.140625" style="102" hidden="1" customWidth="1"/>
    <col min="5" max="5" width="7.5703125" style="102" hidden="1" customWidth="1"/>
    <col min="6" max="6" width="7.85546875" style="102" hidden="1" customWidth="1"/>
    <col min="7" max="7" width="10.140625" style="102" hidden="1" customWidth="1"/>
    <col min="8" max="8" width="8.140625" style="102" hidden="1" customWidth="1"/>
    <col min="9" max="9" width="8.28515625" style="102" hidden="1" customWidth="1"/>
    <col min="10" max="10" width="10.140625" style="102" hidden="1" customWidth="1"/>
    <col min="11" max="20" width="12.85546875" style="102" hidden="1" customWidth="1"/>
    <col min="21" max="21" width="9.85546875" style="102" hidden="1" customWidth="1"/>
    <col min="22" max="22" width="10" style="102" hidden="1" customWidth="1"/>
    <col min="23" max="23" width="8.42578125" style="102" hidden="1" customWidth="1"/>
    <col min="24" max="24" width="20" style="102" hidden="1" customWidth="1"/>
    <col min="25" max="36" width="0" style="102" hidden="1" customWidth="1"/>
    <col min="37" max="37" width="10.28515625" style="102" hidden="1" customWidth="1"/>
    <col min="38" max="38" width="10.5703125" style="102" hidden="1" customWidth="1"/>
    <col min="39" max="39" width="10.28515625" style="102" hidden="1" customWidth="1"/>
    <col min="40" max="47" width="9.140625" style="102" hidden="1" customWidth="1"/>
    <col min="48" max="51" width="0" style="102" hidden="1" customWidth="1"/>
    <col min="52" max="52" width="9.42578125" style="102" customWidth="1"/>
    <col min="53" max="64" width="0" style="102" hidden="1" customWidth="1"/>
    <col min="65" max="65" width="9.7109375" style="102" customWidth="1"/>
    <col min="66" max="77" width="0" style="102" hidden="1" customWidth="1"/>
    <col min="78" max="91" width="9.140625" style="102"/>
    <col min="92" max="94" width="0" style="102" hidden="1" customWidth="1"/>
    <col min="95" max="95" width="14" style="102" hidden="1" customWidth="1"/>
    <col min="96" max="103" width="0" style="102" hidden="1" customWidth="1"/>
    <col min="104" max="104" width="7.85546875" style="102" customWidth="1"/>
    <col min="105" max="16384" width="9.140625" style="102"/>
  </cols>
  <sheetData>
    <row r="1" spans="1:114">
      <c r="A1" s="100" t="s">
        <v>327</v>
      </c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</row>
    <row r="2" spans="1:114" ht="13.9" thickBot="1">
      <c r="A2" s="104"/>
    </row>
    <row r="3" spans="1:114" s="104" customFormat="1" ht="15" customHeight="1">
      <c r="A3" s="105"/>
      <c r="B3" s="106"/>
      <c r="C3" s="107"/>
      <c r="D3" s="107"/>
      <c r="E3" s="107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</row>
    <row r="4" spans="1:114" s="104" customFormat="1" ht="46.5">
      <c r="A4" s="108" t="s">
        <v>328</v>
      </c>
      <c r="B4" s="109" t="s">
        <v>329</v>
      </c>
      <c r="C4" s="110" t="s">
        <v>330</v>
      </c>
      <c r="D4" s="95">
        <v>2008</v>
      </c>
      <c r="E4" s="96">
        <v>2009</v>
      </c>
      <c r="F4" s="96">
        <v>2010</v>
      </c>
      <c r="G4" s="111">
        <v>40603</v>
      </c>
      <c r="H4" s="112">
        <v>40695</v>
      </c>
      <c r="I4" s="112">
        <v>40787</v>
      </c>
      <c r="J4" s="97" t="s">
        <v>331</v>
      </c>
      <c r="K4" s="96">
        <v>2012</v>
      </c>
      <c r="L4" s="113">
        <v>41275</v>
      </c>
      <c r="M4" s="114">
        <v>41306</v>
      </c>
      <c r="N4" s="111">
        <v>41334</v>
      </c>
      <c r="O4" s="111">
        <v>41365</v>
      </c>
      <c r="P4" s="111">
        <v>41395</v>
      </c>
      <c r="Q4" s="111">
        <v>41426</v>
      </c>
      <c r="R4" s="111">
        <v>41456</v>
      </c>
      <c r="S4" s="111">
        <v>41487</v>
      </c>
      <c r="T4" s="111">
        <v>41518</v>
      </c>
      <c r="U4" s="98">
        <v>41548</v>
      </c>
      <c r="V4" s="98">
        <v>41579</v>
      </c>
      <c r="W4" s="98">
        <v>41609</v>
      </c>
      <c r="X4" s="98" t="s">
        <v>332</v>
      </c>
      <c r="Y4" s="98">
        <v>41640</v>
      </c>
      <c r="Z4" s="98">
        <v>41671</v>
      </c>
      <c r="AA4" s="98">
        <v>41699</v>
      </c>
      <c r="AB4" s="98">
        <v>41730</v>
      </c>
      <c r="AC4" s="98">
        <v>41760</v>
      </c>
      <c r="AD4" s="98">
        <v>41791</v>
      </c>
      <c r="AE4" s="98">
        <v>41821</v>
      </c>
      <c r="AF4" s="98">
        <v>41852</v>
      </c>
      <c r="AG4" s="98">
        <v>41883</v>
      </c>
      <c r="AH4" s="98">
        <v>41913</v>
      </c>
      <c r="AI4" s="98">
        <v>41944</v>
      </c>
      <c r="AJ4" s="98">
        <v>41974</v>
      </c>
      <c r="AK4" s="158" t="s">
        <v>194</v>
      </c>
      <c r="AL4" s="116" t="s">
        <v>195</v>
      </c>
      <c r="AM4" s="116" t="s">
        <v>196</v>
      </c>
      <c r="AN4" s="115">
        <v>42736</v>
      </c>
      <c r="AO4" s="115">
        <v>42767</v>
      </c>
      <c r="AP4" s="115">
        <v>42795</v>
      </c>
      <c r="AQ4" s="115">
        <v>42826</v>
      </c>
      <c r="AR4" s="115">
        <v>42856</v>
      </c>
      <c r="AS4" s="115">
        <v>42887</v>
      </c>
      <c r="AT4" s="115">
        <v>42917</v>
      </c>
      <c r="AU4" s="115">
        <v>42948</v>
      </c>
      <c r="AV4" s="115">
        <v>42979</v>
      </c>
      <c r="AW4" s="115">
        <v>43009</v>
      </c>
      <c r="AX4" s="115">
        <v>43040</v>
      </c>
      <c r="AY4" s="115">
        <v>43070</v>
      </c>
      <c r="AZ4" s="206" t="s">
        <v>188</v>
      </c>
      <c r="BA4" s="115">
        <v>43101</v>
      </c>
      <c r="BB4" s="115">
        <v>43132</v>
      </c>
      <c r="BC4" s="115">
        <v>43160</v>
      </c>
      <c r="BD4" s="115">
        <v>43191</v>
      </c>
      <c r="BE4" s="115">
        <v>43221</v>
      </c>
      <c r="BF4" s="115">
        <v>43252</v>
      </c>
      <c r="BG4" s="115">
        <v>43282</v>
      </c>
      <c r="BH4" s="115">
        <v>43313</v>
      </c>
      <c r="BI4" s="115">
        <v>43344</v>
      </c>
      <c r="BJ4" s="115">
        <v>43374</v>
      </c>
      <c r="BK4" s="115">
        <v>43405</v>
      </c>
      <c r="BL4" s="115">
        <v>43435</v>
      </c>
      <c r="BM4" s="116" t="s">
        <v>74</v>
      </c>
      <c r="BN4" s="116">
        <v>43466</v>
      </c>
      <c r="BO4" s="116">
        <v>43497</v>
      </c>
      <c r="BP4" s="116">
        <v>43525</v>
      </c>
      <c r="BQ4" s="116">
        <v>43556</v>
      </c>
      <c r="BR4" s="116">
        <v>43586</v>
      </c>
      <c r="BS4" s="116">
        <v>43617</v>
      </c>
      <c r="BT4" s="116">
        <v>43647</v>
      </c>
      <c r="BU4" s="116">
        <v>43678</v>
      </c>
      <c r="BV4" s="116">
        <v>43709</v>
      </c>
      <c r="BW4" s="116">
        <v>43739</v>
      </c>
      <c r="BX4" s="116">
        <v>43770</v>
      </c>
      <c r="BY4" s="116">
        <v>43800</v>
      </c>
      <c r="BZ4" s="116" t="s">
        <v>75</v>
      </c>
      <c r="CA4" s="116">
        <v>43831</v>
      </c>
      <c r="CB4" s="116">
        <v>43862</v>
      </c>
      <c r="CC4" s="116">
        <v>43891</v>
      </c>
      <c r="CD4" s="116">
        <v>43922</v>
      </c>
      <c r="CE4" s="116">
        <v>43952</v>
      </c>
      <c r="CF4" s="116">
        <v>43983</v>
      </c>
      <c r="CG4" s="116">
        <v>44013</v>
      </c>
      <c r="CH4" s="116">
        <v>44044</v>
      </c>
      <c r="CI4" s="116">
        <v>44075</v>
      </c>
      <c r="CJ4" s="116">
        <v>44105</v>
      </c>
      <c r="CK4" s="116">
        <v>44136</v>
      </c>
      <c r="CL4" s="116">
        <v>44166</v>
      </c>
      <c r="CM4" s="116" t="s">
        <v>13</v>
      </c>
      <c r="CN4" s="116">
        <v>44197</v>
      </c>
      <c r="CO4" s="116">
        <v>44228</v>
      </c>
      <c r="CP4" s="116">
        <v>44256</v>
      </c>
      <c r="CQ4" s="116">
        <v>44287</v>
      </c>
      <c r="CR4" s="116">
        <v>44317</v>
      </c>
      <c r="CS4" s="116">
        <v>44348</v>
      </c>
      <c r="CT4" s="116">
        <v>44378</v>
      </c>
      <c r="CU4" s="116">
        <v>44409</v>
      </c>
      <c r="CV4" s="116">
        <v>44440</v>
      </c>
      <c r="CW4" s="116">
        <v>44470</v>
      </c>
      <c r="CX4" s="116">
        <v>44501</v>
      </c>
      <c r="CY4" s="116">
        <v>44531</v>
      </c>
      <c r="CZ4" s="116" t="s">
        <v>197</v>
      </c>
      <c r="DA4" s="394" t="s">
        <v>198</v>
      </c>
      <c r="DB4" s="393">
        <v>44927</v>
      </c>
      <c r="DC4" s="393">
        <v>44958</v>
      </c>
      <c r="DD4" s="393">
        <v>44986</v>
      </c>
      <c r="DE4" s="393">
        <v>45017</v>
      </c>
      <c r="DF4" s="393">
        <v>45047</v>
      </c>
      <c r="DG4" s="393">
        <v>45078</v>
      </c>
      <c r="DH4" s="393">
        <v>45108</v>
      </c>
      <c r="DI4" s="393">
        <v>45139</v>
      </c>
      <c r="DJ4" s="393">
        <v>45170</v>
      </c>
    </row>
    <row r="5" spans="1:114" s="104" customFormat="1" ht="12.75">
      <c r="A5" s="117" t="s">
        <v>333</v>
      </c>
      <c r="B5" s="118"/>
      <c r="C5" s="119"/>
      <c r="D5" s="119"/>
      <c r="E5" s="119"/>
      <c r="F5" s="120"/>
      <c r="G5" s="120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</row>
    <row r="6" spans="1:114" s="104" customFormat="1" ht="12.75">
      <c r="A6" s="121" t="s">
        <v>334</v>
      </c>
      <c r="B6" s="122" t="s">
        <v>335</v>
      </c>
      <c r="C6" s="123" t="s">
        <v>336</v>
      </c>
      <c r="D6" s="124">
        <f>[2]Financials!C13/1000000</f>
        <v>0</v>
      </c>
      <c r="E6" s="124">
        <f>[2]Financials!D13/1000000</f>
        <v>0</v>
      </c>
      <c r="F6" s="124">
        <f>[2]Financials!E13/1000000</f>
        <v>0</v>
      </c>
      <c r="G6" s="124">
        <f>[2]Financials!F13/1000000</f>
        <v>0</v>
      </c>
      <c r="H6" s="124">
        <f>[2]Financials!G13/1000000</f>
        <v>0</v>
      </c>
      <c r="I6" s="124">
        <f>[2]Financials!H13/1000000</f>
        <v>0</v>
      </c>
      <c r="J6" s="124">
        <f>[2]Financials!I13/1000000</f>
        <v>0</v>
      </c>
      <c r="K6" s="124">
        <f>[2]Financials!J13/1000000</f>
        <v>817.08404254999994</v>
      </c>
      <c r="L6" s="124">
        <f>[2]Financials!K13/1000000</f>
        <v>1566.884483</v>
      </c>
      <c r="M6" s="124">
        <f>[2]Financials!L13/1000000</f>
        <v>1661.2634760000001</v>
      </c>
      <c r="N6" s="124">
        <f>[2]Financials!M13/1000000</f>
        <v>1753.4081209999999</v>
      </c>
      <c r="O6" s="124">
        <f>[2]Financials!N13/1000000</f>
        <v>1756.14995</v>
      </c>
      <c r="P6" s="124">
        <f>[2]Financials!O13/1000000</f>
        <v>1858.699255</v>
      </c>
      <c r="Q6" s="124">
        <f>[2]Financials!P13/1000000</f>
        <v>2001.8326950000001</v>
      </c>
      <c r="R6" s="124">
        <f>[2]Financials!Q13/1000000</f>
        <v>2106.2619129999998</v>
      </c>
      <c r="S6" s="124">
        <f>[2]Financials!R13/1000000</f>
        <v>2222.677271</v>
      </c>
      <c r="T6" s="124">
        <f>[2]Financials!S13/1000000</f>
        <v>2338.011669</v>
      </c>
      <c r="U6" s="124">
        <f>[2]Financials!T13/1000000</f>
        <v>2458.0121819999999</v>
      </c>
      <c r="V6" s="124">
        <f>[2]Financials!U13/1000000</f>
        <v>2531.3210389999999</v>
      </c>
      <c r="W6" s="124">
        <f>[2]Financials!V13/1000000</f>
        <v>2641.750266</v>
      </c>
      <c r="X6" s="125">
        <f>[2]Financials!W13/1000000</f>
        <v>1674.3779999999999</v>
      </c>
      <c r="Y6" s="124">
        <f>[2]Financials!X13/1000000</f>
        <v>2757.9596999999999</v>
      </c>
      <c r="Z6" s="124">
        <f>[2]Financials!Y13/1000000</f>
        <v>1951.4203170000001</v>
      </c>
      <c r="AA6" s="124">
        <f>[2]Financials!Z13/1000000</f>
        <v>1869.7205650000001</v>
      </c>
      <c r="AB6" s="124">
        <f>[2]Financials!AA13/1000000</f>
        <v>2140.284713</v>
      </c>
      <c r="AC6" s="124">
        <f>[2]Financials!AB13/1000000</f>
        <v>2230.661298</v>
      </c>
      <c r="AD6" s="124">
        <f>[2]Financials!AC13/1000000</f>
        <v>2368.102918</v>
      </c>
      <c r="AE6" s="124">
        <f>[2]Financials!AD13/1000000</f>
        <v>2547.76532</v>
      </c>
      <c r="AF6" s="124">
        <f>[2]Financials!AE13/1000000</f>
        <v>2737.284999</v>
      </c>
      <c r="AG6" s="124">
        <f>[2]Financials!AF13/1000000</f>
        <v>2911.1578960000002</v>
      </c>
      <c r="AH6" s="124">
        <f>[2]Financials!AG13/1000000</f>
        <v>3040.4076868299999</v>
      </c>
      <c r="AI6" s="124">
        <f>[2]Financials!AH13/1000000</f>
        <v>3108.0025938499998</v>
      </c>
      <c r="AJ6" s="124">
        <f>[2]Financials!AI13/1000000</f>
        <v>3266.1901446399997</v>
      </c>
      <c r="AK6" s="124" t="e">
        <f>Financials!D11/1000000</f>
        <v>#REF!</v>
      </c>
      <c r="AL6" s="124" t="e">
        <f>Financials!E11/1000000</f>
        <v>#REF!</v>
      </c>
      <c r="AM6" s="124" t="e">
        <f>Financials!F11/1000000</f>
        <v>#REF!</v>
      </c>
      <c r="AN6" s="124" t="e">
        <f>Financials!G11/1000000</f>
        <v>#REF!</v>
      </c>
      <c r="AO6" s="124" t="e">
        <f>Financials!H11/1000000</f>
        <v>#REF!</v>
      </c>
      <c r="AP6" s="124" t="e">
        <f>Financials!I11/1000000</f>
        <v>#REF!</v>
      </c>
      <c r="AQ6" s="124" t="e">
        <f>Financials!J11/1000000</f>
        <v>#REF!</v>
      </c>
      <c r="AR6" s="124" t="e">
        <f>Financials!K11/1000000</f>
        <v>#REF!</v>
      </c>
      <c r="AS6" s="124" t="e">
        <f>Financials!L11/1000000</f>
        <v>#REF!</v>
      </c>
      <c r="AT6" s="124" t="e">
        <f>Financials!M11/1000000</f>
        <v>#REF!</v>
      </c>
      <c r="AU6" s="124" t="e">
        <f>Financials!N11/1000000</f>
        <v>#REF!</v>
      </c>
      <c r="AV6" s="124" t="e">
        <f>Financials!O11/1000000</f>
        <v>#REF!</v>
      </c>
      <c r="AW6" s="124" t="e">
        <f>Financials!P11/1000000</f>
        <v>#REF!</v>
      </c>
      <c r="AX6" s="124" t="e">
        <f>Financials!Q11/1000000</f>
        <v>#REF!</v>
      </c>
      <c r="AY6" s="124" t="e">
        <f>Financials!R11/1000000</f>
        <v>#REF!</v>
      </c>
      <c r="AZ6" s="124">
        <f>Financials!S11/1000000</f>
        <v>28.583088</v>
      </c>
      <c r="BA6" s="124">
        <f>Financials!T11/1000000</f>
        <v>35.172507979999999</v>
      </c>
      <c r="BB6" s="124">
        <f>Financials!U11/1000000</f>
        <v>36.82574266000001</v>
      </c>
      <c r="BC6" s="124">
        <f>Financials!V11/1000000</f>
        <v>36.728214719999997</v>
      </c>
      <c r="BD6" s="124">
        <f>Financials!W11/1000000</f>
        <v>35.957635720000006</v>
      </c>
      <c r="BE6" s="124">
        <f>Financials!X11/1000000</f>
        <v>44.627940139999993</v>
      </c>
      <c r="BF6" s="124">
        <f>Financials!Y11/1000000</f>
        <v>43.592689339999993</v>
      </c>
      <c r="BG6" s="124">
        <f>Financials!Z11/1000000</f>
        <v>47.431110469999993</v>
      </c>
      <c r="BH6" s="124">
        <f>Financials!AA11/1000000</f>
        <v>46.459137459999994</v>
      </c>
      <c r="BI6" s="124">
        <f>Financials!AB11/1000000</f>
        <v>42.054892720000005</v>
      </c>
      <c r="BJ6" s="124">
        <f>Financials!AC11/1000000</f>
        <v>42.428569680000003</v>
      </c>
      <c r="BK6" s="124">
        <f>Financials!AD11/1000000</f>
        <v>40.98555485</v>
      </c>
      <c r="BL6" s="124">
        <f>Financials!AE11/1000000</f>
        <v>38.846093450000005</v>
      </c>
      <c r="BM6" s="124">
        <f>Financials!AF11/1000000</f>
        <v>150.56845799999999</v>
      </c>
      <c r="BN6" s="124">
        <f>Financials!AG11/1000000</f>
        <v>38.857996190000009</v>
      </c>
      <c r="BO6" s="124">
        <f>Financials!AH11/1000000</f>
        <v>36.436617410000004</v>
      </c>
      <c r="BP6" s="124">
        <f>Financials!AI11/1000000</f>
        <v>37.85226505</v>
      </c>
      <c r="BQ6" s="124">
        <f>Financials!AJ11/1000000</f>
        <v>36.562102609999997</v>
      </c>
      <c r="BR6" s="124">
        <f>Financials!AK11/1000000</f>
        <v>34.31053095</v>
      </c>
      <c r="BS6" s="124" t="e">
        <f>Financials!AL11/1000000</f>
        <v>#VALUE!</v>
      </c>
      <c r="BT6" s="124">
        <f>Financials!AM11/1000000</f>
        <v>61.15870228</v>
      </c>
      <c r="BU6" s="124">
        <f>Financials!AN11/1000000</f>
        <v>60.678683110000001</v>
      </c>
      <c r="BV6" s="124">
        <f>Financials!AO11/1000000</f>
        <v>58.281302379999993</v>
      </c>
      <c r="BW6" s="124">
        <f>Financials!AP11/1000000</f>
        <v>55.522952639999993</v>
      </c>
      <c r="BX6" s="124">
        <f>Financials!AQ11/1000000</f>
        <v>52.538025849999997</v>
      </c>
      <c r="BY6" s="124">
        <f>Financials!AR11/1000000</f>
        <v>55.790410999999999</v>
      </c>
      <c r="BZ6" s="124">
        <f>Financials!AS11/1000000</f>
        <v>160.128277</v>
      </c>
      <c r="CA6" s="124">
        <f>Financials!AT11/1000000</f>
        <v>54.293651140000009</v>
      </c>
      <c r="CB6" s="124">
        <f>Financials!AU11/1000000</f>
        <v>48.151038430000007</v>
      </c>
      <c r="CC6" s="124">
        <f>Financials!AV11/1000000</f>
        <v>46.437932770000003</v>
      </c>
      <c r="CD6" s="124">
        <f>Financials!AW11/1000000</f>
        <v>53.998337020000001</v>
      </c>
      <c r="CE6" s="124">
        <f>Financials!AX11/1000000</f>
        <v>52.617241139999997</v>
      </c>
      <c r="CF6" s="124">
        <f>Financials!AY11/1000000</f>
        <v>68.707641780000003</v>
      </c>
      <c r="CG6" s="124" t="e">
        <f>Financials!AZ11/1000000</f>
        <v>#REF!</v>
      </c>
      <c r="CH6" s="124">
        <f>Financials!BA11/1000000</f>
        <v>70.023505060000005</v>
      </c>
      <c r="CI6" s="124">
        <f>Financials!BB11/1000000</f>
        <v>74.161357680000009</v>
      </c>
      <c r="CJ6" s="124">
        <f>Financials!BC11/1000000</f>
        <v>76.67225805999999</v>
      </c>
      <c r="CK6" s="124">
        <f>Financials!BD11/1000000</f>
        <v>73.279678799999999</v>
      </c>
      <c r="CL6" s="124">
        <f>Financials!BE11/1000000</f>
        <v>64.753628919999997</v>
      </c>
      <c r="CM6" s="124">
        <f>Financials!BF11/1000000</f>
        <v>62.199401000000002</v>
      </c>
      <c r="CN6" s="124">
        <f>Financials!BG11/1000000</f>
        <v>62.23544794</v>
      </c>
      <c r="CO6" s="124">
        <f>Financials!BH11/1000000</f>
        <v>58.298707899999997</v>
      </c>
      <c r="CP6" s="124">
        <f>Financials!BI11/1000000</f>
        <v>56.829269479999994</v>
      </c>
      <c r="CQ6" s="124">
        <f>Financials!BJ11/1000000</f>
        <v>63.649122119999987</v>
      </c>
      <c r="CR6" s="124">
        <f>Financials!BK11/1000000</f>
        <v>59.15216255</v>
      </c>
      <c r="CS6" s="124">
        <f>Financials!BL11/1000000</f>
        <v>54.366734119999997</v>
      </c>
      <c r="CT6" s="124">
        <f>Financials!BM11/1000000</f>
        <v>51.737955639999996</v>
      </c>
      <c r="CU6" s="124">
        <f>Financials!BN11/1000000</f>
        <v>43.373489379999981</v>
      </c>
      <c r="CV6" s="124">
        <f>Financials!BO11/1000000</f>
        <v>37.122292000000002</v>
      </c>
      <c r="CW6" s="124">
        <f>Financials!BP11/1000000</f>
        <v>75.585850099999988</v>
      </c>
      <c r="CX6" s="124">
        <f>Financials!BQ11/1000000</f>
        <v>80.41042736</v>
      </c>
      <c r="CY6" s="124">
        <f>Financials!BR11/1000000</f>
        <v>87.593982620000006</v>
      </c>
      <c r="CZ6" s="124">
        <f>Financials!BS11/1000000</f>
        <v>81.050538000000003</v>
      </c>
      <c r="DA6" s="124">
        <f>Financials!BT11/1000000</f>
        <v>102.374455</v>
      </c>
      <c r="DB6" s="124">
        <f>Financials!BU11/1000000</f>
        <v>106.02396852</v>
      </c>
      <c r="DC6" s="124">
        <f>Financials!BV11/1000000</f>
        <v>103.25566809</v>
      </c>
      <c r="DD6" s="124">
        <f>Financials!BW11/1000000</f>
        <v>102.8365043</v>
      </c>
      <c r="DE6" s="124">
        <f>Financials!BX11/1000000</f>
        <v>100.44905654999999</v>
      </c>
      <c r="DF6" s="124">
        <f>Financials!BY11/1000000</f>
        <v>95.241749389999995</v>
      </c>
      <c r="DG6" s="124">
        <f>Financials!BZ11/1000000</f>
        <v>105.57228189</v>
      </c>
      <c r="DH6" s="124">
        <f>Financials!CA11/1000000</f>
        <v>142.80887819</v>
      </c>
      <c r="DI6" s="124">
        <f>Financials!CB11/1000000</f>
        <v>142.25564368000002</v>
      </c>
      <c r="DJ6" s="124">
        <f>Financials!CC11/1000000</f>
        <v>135.58593996000002</v>
      </c>
    </row>
    <row r="7" spans="1:114" s="104" customFormat="1" ht="12.75">
      <c r="A7" s="121" t="s">
        <v>337</v>
      </c>
      <c r="B7" s="122" t="s">
        <v>338</v>
      </c>
      <c r="C7" s="123" t="s">
        <v>339</v>
      </c>
      <c r="D7" s="126" t="e">
        <f>[2]Financials!C13/[2]Financials!C5</f>
        <v>#DIV/0!</v>
      </c>
      <c r="E7" s="126" t="e">
        <f>[2]Financials!D13/[2]Financials!D5</f>
        <v>#DIV/0!</v>
      </c>
      <c r="F7" s="126" t="e">
        <f>[2]Financials!E13/[2]Financials!E5</f>
        <v>#DIV/0!</v>
      </c>
      <c r="G7" s="126" t="e">
        <f>[2]Financials!F13/[2]Financials!F5</f>
        <v>#DIV/0!</v>
      </c>
      <c r="H7" s="126" t="e">
        <f>[2]Financials!G13/[2]Financials!G5</f>
        <v>#DIV/0!</v>
      </c>
      <c r="I7" s="126" t="e">
        <f>[2]Financials!H13/[2]Financials!H5</f>
        <v>#DIV/0!</v>
      </c>
      <c r="J7" s="126" t="e">
        <f>[2]Financials!I13/[2]Financials!I5</f>
        <v>#DIV/0!</v>
      </c>
      <c r="K7" s="126">
        <f>[2]Financials!J13/[2]Financials!J5</f>
        <v>9.4760341444070778E-2</v>
      </c>
      <c r="L7" s="126">
        <f>[2]Financials!K13/[2]Financials!K5</f>
        <v>0.16599975990257868</v>
      </c>
      <c r="M7" s="126">
        <f>[2]Financials!L13/[2]Financials!L5</f>
        <v>0.17209038512531666</v>
      </c>
      <c r="N7" s="126">
        <f>[2]Financials!M13/[2]Financials!M5</f>
        <v>0.17415125613205593</v>
      </c>
      <c r="O7" s="126">
        <f>[2]Financials!N13/[2]Financials!N5</f>
        <v>0.17097929472937345</v>
      </c>
      <c r="P7" s="126">
        <f>[2]Financials!O13/[2]Financials!O5</f>
        <v>0.1836254123151996</v>
      </c>
      <c r="Q7" s="126">
        <f>[2]Financials!P13/[2]Financials!P5</f>
        <v>0.19400294119897885</v>
      </c>
      <c r="R7" s="126">
        <f>[2]Financials!Q13/[2]Financials!Q5</f>
        <v>0.19962697141242225</v>
      </c>
      <c r="S7" s="126">
        <f>[2]Financials!R13/[2]Financials!R5</f>
        <v>0.20497694177919826</v>
      </c>
      <c r="T7" s="126">
        <f>[2]Financials!S13/[2]Financials!S5</f>
        <v>0.21274791877040841</v>
      </c>
      <c r="U7" s="126">
        <f>[2]Financials!T13/[2]Financials!T5</f>
        <v>0.21671984488000423</v>
      </c>
      <c r="V7" s="126">
        <f>[2]Financials!U13/[2]Financials!U5</f>
        <v>0.21898564771896362</v>
      </c>
      <c r="W7" s="126">
        <f>[2]Financials!V13/[2]Financials!V5</f>
        <v>0.2262956562985608</v>
      </c>
      <c r="X7" s="126">
        <f>[2]Financials!W13/[2]Financials!W5</f>
        <v>0.14530947706385952</v>
      </c>
      <c r="Y7" s="126">
        <f>[2]Financials!X13/[2]Financials!X5</f>
        <v>0.22756543173552332</v>
      </c>
      <c r="Z7" s="126">
        <f>[2]Financials!Y13/[2]Financials!Y5</f>
        <v>0.16757896789560264</v>
      </c>
      <c r="AA7" s="126">
        <f>[2]Financials!Z13/[2]Financials!Z5</f>
        <v>0.1504251866837473</v>
      </c>
      <c r="AB7" s="126">
        <f>[2]Financials!AA13/[2]Financials!AA5</f>
        <v>0.17356881910869584</v>
      </c>
      <c r="AC7" s="126">
        <f>[2]Financials!AB13/[2]Financials!AB5</f>
        <v>0.17945042682876536</v>
      </c>
      <c r="AD7" s="126">
        <f>[2]Financials!AC13/[2]Financials!AC5</f>
        <v>0.18360027839179538</v>
      </c>
      <c r="AE7" s="126">
        <f>[2]Financials!AD13/[2]Financials!AD5</f>
        <v>0.19423431369722416</v>
      </c>
      <c r="AF7" s="126">
        <f>[2]Financials!AE13/[2]Financials!AE5</f>
        <v>0.19987413468375473</v>
      </c>
      <c r="AG7" s="126">
        <f>[2]Financials!AF13/[2]Financials!AF5</f>
        <v>0.20895027436189753</v>
      </c>
      <c r="AH7" s="126">
        <f>[2]Financials!AG13/[2]Financials!AG5</f>
        <v>0.214503695147058</v>
      </c>
      <c r="AI7" s="126">
        <f>[2]Financials!AH13/[2]Financials!AH5</f>
        <v>0.21308090743012081</v>
      </c>
      <c r="AJ7" s="126">
        <f>[2]Financials!AI13/[2]Financials!AI5</f>
        <v>0.21601606912341775</v>
      </c>
      <c r="AK7" s="126" t="e">
        <f>Financials!D11/Financials!D4</f>
        <v>#REF!</v>
      </c>
      <c r="AL7" s="126" t="e">
        <f>Financials!E11/Financials!E4</f>
        <v>#REF!</v>
      </c>
      <c r="AM7" s="126" t="e">
        <f>Financials!F11/Financials!F4</f>
        <v>#REF!</v>
      </c>
      <c r="AN7" s="126" t="e">
        <f>Financials!G11/Financials!G4</f>
        <v>#REF!</v>
      </c>
      <c r="AO7" s="126" t="e">
        <f>Financials!H11/Financials!H4</f>
        <v>#REF!</v>
      </c>
      <c r="AP7" s="126" t="e">
        <f>Financials!I11/Financials!I4</f>
        <v>#REF!</v>
      </c>
      <c r="AQ7" s="126" t="e">
        <f>Financials!J11/Financials!J4</f>
        <v>#REF!</v>
      </c>
      <c r="AR7" s="126" t="e">
        <f>Financials!K11/Financials!K4</f>
        <v>#REF!</v>
      </c>
      <c r="AS7" s="126" t="e">
        <f>Financials!L11/Financials!L4</f>
        <v>#REF!</v>
      </c>
      <c r="AT7" s="126" t="e">
        <f>Financials!M11/Financials!M4</f>
        <v>#REF!</v>
      </c>
      <c r="AU7" s="126" t="e">
        <f>Financials!N11/Financials!N4</f>
        <v>#REF!</v>
      </c>
      <c r="AV7" s="126" t="e">
        <f>Financials!O11/Financials!O4</f>
        <v>#REF!</v>
      </c>
      <c r="AW7" s="126" t="e">
        <f>Financials!P11/Financials!P4</f>
        <v>#REF!</v>
      </c>
      <c r="AX7" s="126" t="e">
        <f>Financials!Q11/Financials!Q4</f>
        <v>#REF!</v>
      </c>
      <c r="AY7" s="126" t="e">
        <f>Financials!R11/Financials!R4</f>
        <v>#REF!</v>
      </c>
      <c r="AZ7" s="126">
        <f>Financials!S11/Financials!S4</f>
        <v>8.4532148485870429E-2</v>
      </c>
      <c r="BA7" s="126">
        <f>Financials!T11/Financials!T4</f>
        <v>0.1035283562785731</v>
      </c>
      <c r="BB7" s="126">
        <f>Financials!U11/Financials!U4</f>
        <v>0.10880715537919891</v>
      </c>
      <c r="BC7" s="126">
        <f>Financials!V11/Financials!V4</f>
        <v>0.108672979004236</v>
      </c>
      <c r="BD7" s="126">
        <f>Financials!W11/Financials!W4</f>
        <v>0.10562223381499132</v>
      </c>
      <c r="BE7" s="126">
        <f>Financials!X11/Financials!X4</f>
        <v>0.10476761415715349</v>
      </c>
      <c r="BF7" s="126">
        <f>Financials!Y11/Financials!Y4</f>
        <v>0.1092003390380837</v>
      </c>
      <c r="BG7" s="126">
        <f>Financials!Z11/Financials!Z4</f>
        <v>0.11820910607893174</v>
      </c>
      <c r="BH7" s="126">
        <f>Financials!AA11/Financials!AA4</f>
        <v>0.11697588654015545</v>
      </c>
      <c r="BI7" s="126">
        <f>Financials!AB11/Financials!AB4</f>
        <v>0.1083388219653854</v>
      </c>
      <c r="BJ7" s="126">
        <f>Financials!AC11/Financials!AC4</f>
        <v>0.10982641687069204</v>
      </c>
      <c r="BK7" s="126">
        <f>Financials!AD11/Financials!AD4</f>
        <v>0.10815264507529729</v>
      </c>
      <c r="BL7" s="126">
        <f>Financials!AE11/Financials!AE4</f>
        <v>0.10514839341792877</v>
      </c>
      <c r="BM7" s="126">
        <f>Financials!AF11/Financials!AF4</f>
        <v>0.40755787849026592</v>
      </c>
      <c r="BN7" s="126">
        <f>Financials!AG11/Financials!AG4</f>
        <v>0.10622946658951214</v>
      </c>
      <c r="BO7" s="126">
        <f>Financials!AH11/Financials!AH4</f>
        <v>0.10001095053317922</v>
      </c>
      <c r="BP7" s="126">
        <f>Financials!AI11/Financials!AI4</f>
        <v>0.10386221577304072</v>
      </c>
      <c r="BQ7" s="126">
        <f>Financials!AJ11/Financials!AJ4</f>
        <v>0.10156034187483333</v>
      </c>
      <c r="BR7" s="126">
        <f>Financials!AK11/Financials!AK4</f>
        <v>9.6066456589081875E-2</v>
      </c>
      <c r="BS7" s="126" t="e">
        <f>Financials!AL11/Financials!AL4</f>
        <v>#VALUE!</v>
      </c>
      <c r="BT7" s="126">
        <f>Financials!AM11/Financials!AM4</f>
        <v>0.12097589453988612</v>
      </c>
      <c r="BU7" s="126">
        <f>Financials!AN11/Financials!AN4</f>
        <v>0.12244712221541901</v>
      </c>
      <c r="BV7" s="126">
        <f>Financials!AO11/Financials!AO4</f>
        <v>0.12574171588581853</v>
      </c>
      <c r="BW7" s="126">
        <f>Financials!AP11/Financials!AP4</f>
        <v>0.1231497112667219</v>
      </c>
      <c r="BX7" s="126">
        <f>Financials!AQ11/Financials!AQ4</f>
        <v>0.1230882848913282</v>
      </c>
      <c r="BY7" s="126">
        <f>Financials!AR11/Financials!AR4</f>
        <v>0.13362613958195738</v>
      </c>
      <c r="BZ7" s="126">
        <f>Financials!AS11/Financials!AS4</f>
        <v>0.38353048590389754</v>
      </c>
      <c r="CA7" s="126">
        <f>Financials!AT11/Financials!AT4</f>
        <v>0.13313509757583816</v>
      </c>
      <c r="CB7" s="126">
        <f>Financials!AU11/Financials!AU4</f>
        <v>0.1187973860223298</v>
      </c>
      <c r="CC7" s="126">
        <f>Financials!AV11/Financials!AV4</f>
        <v>0.11596644323174746</v>
      </c>
      <c r="CD7" s="126">
        <f>Financials!AW11/Financials!AW4</f>
        <v>0.11883073819161591</v>
      </c>
      <c r="CE7" s="126">
        <f>Financials!AX11/Financials!AX4</f>
        <v>0.12214908915658669</v>
      </c>
      <c r="CF7" s="126">
        <f>Financials!AY11/Financials!AY4</f>
        <v>0.12945363838192206</v>
      </c>
      <c r="CG7" s="126" t="e">
        <f>Financials!AZ11/Financials!AZ4</f>
        <v>#REF!</v>
      </c>
      <c r="CH7" s="126">
        <f>Financials!BA11/Financials!BA4</f>
        <v>0.14395119146568905</v>
      </c>
      <c r="CI7" s="126">
        <f>Financials!BB11/Financials!BB4</f>
        <v>0.11270790131886053</v>
      </c>
      <c r="CJ7" s="126">
        <f>Financials!BC11/Financials!BC4</f>
        <v>0.1356696559633104</v>
      </c>
      <c r="CK7" s="126">
        <f>Financials!BD11/Financials!BD4</f>
        <v>0.14311971957699832</v>
      </c>
      <c r="CL7" s="126">
        <f>Financials!BE11/Financials!BE4</f>
        <v>0.13307222457114701</v>
      </c>
      <c r="CM7" s="126">
        <f>Financials!BF11/Financials!BF4</f>
        <v>0.12782314704050241</v>
      </c>
      <c r="CN7" s="126">
        <f>Financials!BG11/Financials!BG4</f>
        <v>0.13218360658357978</v>
      </c>
      <c r="CO7" s="126">
        <f>Financials!BH11/Financials!BH4</f>
        <v>0.12591421692410587</v>
      </c>
      <c r="CP7" s="126">
        <f>Financials!BI11/Financials!BI4</f>
        <v>0.12277206343543488</v>
      </c>
      <c r="CQ7" s="126">
        <f>Financials!BJ11/Financials!BJ4</f>
        <v>0.13557058260910171</v>
      </c>
      <c r="CR7" s="126">
        <f>Financials!BK11/Financials!BK4</f>
        <v>0.12836380690093382</v>
      </c>
      <c r="CS7" s="126">
        <f>Financials!BL11/Financials!BL4</f>
        <v>0.11948110196468217</v>
      </c>
      <c r="CT7" s="126">
        <f>Financials!BM11/Financials!BM4</f>
        <v>0.11505471074641387</v>
      </c>
      <c r="CU7" s="126">
        <f>Financials!BN11/Financials!BN4</f>
        <v>9.8832562457189008E-2</v>
      </c>
      <c r="CV7" s="126">
        <f>Financials!BO11/Financials!BO4</f>
        <v>6.1734931716021152E-2</v>
      </c>
      <c r="CW7" s="126">
        <f>Financials!BP11/Financials!BP4</f>
        <v>0.12304654443424946</v>
      </c>
      <c r="CX7" s="126">
        <f>Financials!BQ11/Financials!BQ4</f>
        <v>0.14341396827285871</v>
      </c>
      <c r="CY7" s="126">
        <f>Financials!BR11/Financials!BR4</f>
        <v>0.15803606639920317</v>
      </c>
      <c r="CZ7" s="126">
        <f>Financials!BS11/Financials!BS4</f>
        <v>0.14623045776189231</v>
      </c>
      <c r="DA7" s="126">
        <f>Financials!BT11/Financials!BT4</f>
        <v>0.16381495278654309</v>
      </c>
      <c r="DB7" s="126">
        <f>Financials!BU11/Financials!BU4</f>
        <v>0.17218960719014817</v>
      </c>
      <c r="DC7" s="126">
        <f>Financials!BV11/Financials!BV4</f>
        <v>0.1685437053645038</v>
      </c>
      <c r="DD7" s="126">
        <f>Financials!BW11/Financials!BW4</f>
        <v>0.16662627025349833</v>
      </c>
      <c r="DE7" s="126">
        <f>Financials!BX11/Financials!BX4</f>
        <v>0.16396990605575709</v>
      </c>
      <c r="DF7" s="126">
        <f>Financials!BY11/Financials!BY4</f>
        <v>0.15834368954958239</v>
      </c>
      <c r="DG7" s="126">
        <f>Financials!BZ11/Financials!BZ4</f>
        <v>0.17022479988934544</v>
      </c>
      <c r="DH7" s="126">
        <f>Financials!CA11/Financials!CA4</f>
        <v>0.19688359871711242</v>
      </c>
      <c r="DI7" s="126">
        <f>Financials!CB11/Financials!CB4</f>
        <v>0.20358839345818483</v>
      </c>
      <c r="DJ7" s="126">
        <f>Financials!CC11/Financials!CC4</f>
        <v>0.19852058883253215</v>
      </c>
    </row>
    <row r="8" spans="1:114" s="104" customFormat="1" ht="12.75">
      <c r="A8" s="121" t="s">
        <v>340</v>
      </c>
      <c r="B8" s="122" t="s">
        <v>341</v>
      </c>
      <c r="C8" s="123" t="s">
        <v>342</v>
      </c>
      <c r="D8" s="126" t="e">
        <f>[2]Financials!C13/[2]Financials!C6</f>
        <v>#DIV/0!</v>
      </c>
      <c r="E8" s="126" t="e">
        <f>[2]Financials!D13/[2]Financials!D6</f>
        <v>#DIV/0!</v>
      </c>
      <c r="F8" s="126" t="e">
        <f>[2]Financials!E13/[2]Financials!E6</f>
        <v>#DIV/0!</v>
      </c>
      <c r="G8" s="126" t="e">
        <f>[2]Financials!F13/[2]Financials!F6</f>
        <v>#DIV/0!</v>
      </c>
      <c r="H8" s="126" t="e">
        <f>[2]Financials!G13/[2]Financials!G6</f>
        <v>#DIV/0!</v>
      </c>
      <c r="I8" s="126" t="e">
        <f>[2]Financials!H13/[2]Financials!H6</f>
        <v>#DIV/0!</v>
      </c>
      <c r="J8" s="126" t="e">
        <f>[2]Financials!I13/[2]Financials!I6</f>
        <v>#DIV/0!</v>
      </c>
      <c r="K8" s="126">
        <f>[2]Financials!J13/[2]Financials!J6</f>
        <v>0.10894732309086617</v>
      </c>
      <c r="L8" s="126">
        <f>[2]Financials!K13/[2]Financials!K6</f>
        <v>0.20463275015095775</v>
      </c>
      <c r="M8" s="126">
        <f>[2]Financials!L13/[2]Financials!L6</f>
        <v>0.21374638075163849</v>
      </c>
      <c r="N8" s="126">
        <f>[2]Financials!M13/[2]Financials!M6</f>
        <v>0.22231892926879418</v>
      </c>
      <c r="O8" s="126">
        <f>[2]Financials!N13/[2]Financials!N6</f>
        <v>0.21917246054976439</v>
      </c>
      <c r="P8" s="126">
        <f>[2]Financials!O13/[2]Financials!O6</f>
        <v>0.24269055250525973</v>
      </c>
      <c r="Q8" s="126">
        <f>[2]Financials!P13/[2]Financials!P6</f>
        <v>0.25909726331697541</v>
      </c>
      <c r="R8" s="126">
        <f>[2]Financials!Q13/[2]Financials!Q6</f>
        <v>0.26824886875838105</v>
      </c>
      <c r="S8" s="126">
        <f>[2]Financials!R13/[2]Financials!R6</f>
        <v>0.279997768299101</v>
      </c>
      <c r="T8" s="126">
        <f>[2]Financials!S13/[2]Financials!S6</f>
        <v>0.29139385351375513</v>
      </c>
      <c r="U8" s="126">
        <f>[2]Financials!T13/[2]Financials!T6</f>
        <v>0.30002874157346954</v>
      </c>
      <c r="V8" s="126">
        <f>[2]Financials!U13/[2]Financials!U6</f>
        <v>0.3029121939230251</v>
      </c>
      <c r="W8" s="126">
        <f>[2]Financials!V13/[2]Financials!V6</f>
        <v>0.31217325258486711</v>
      </c>
      <c r="X8" s="126">
        <f>[2]Financials!W13/[2]Financials!W6</f>
        <v>0.19784749401894583</v>
      </c>
      <c r="Y8" s="126">
        <f>[2]Financials!X13/[2]Financials!X6</f>
        <v>0.31913831833742662</v>
      </c>
      <c r="Z8" s="126">
        <f>[2]Financials!Y13/[2]Financials!Y6</f>
        <v>0.22402372367384907</v>
      </c>
      <c r="AA8" s="126">
        <f>[2]Financials!Z13/[2]Financials!Z6</f>
        <v>0.21327025353702819</v>
      </c>
      <c r="AB8" s="126">
        <f>[2]Financials!AA13/[2]Financials!AA6</f>
        <v>0.23238021140342432</v>
      </c>
      <c r="AC8" s="126">
        <f>[2]Financials!AB13/[2]Financials!AB6</f>
        <v>0.24641229073328863</v>
      </c>
      <c r="AD8" s="126">
        <f>[2]Financials!AC13/[2]Financials!AC6</f>
        <v>0.25788861903869126</v>
      </c>
      <c r="AE8" s="126">
        <f>[2]Financials!AD13/[2]Financials!AD6</f>
        <v>0.27248016624999494</v>
      </c>
      <c r="AF8" s="126">
        <f>[2]Financials!AE13/[2]Financials!AE6</f>
        <v>0.28710480326571508</v>
      </c>
      <c r="AG8" s="126">
        <f>[2]Financials!AF13/[2]Financials!AF6</f>
        <v>0.30056105147688689</v>
      </c>
      <c r="AH8" s="126">
        <f>[2]Financials!AG13/[2]Financials!AG6</f>
        <v>0.30769870104243524</v>
      </c>
      <c r="AI8" s="126">
        <f>[2]Financials!AH13/[2]Financials!AH6</f>
        <v>0.30919974425182817</v>
      </c>
      <c r="AJ8" s="126">
        <f>[2]Financials!AI13/[2]Financials!AI6</f>
        <v>0.31853330888525344</v>
      </c>
      <c r="AK8" s="126" t="e">
        <f>Financials!D11/Financials!D5</f>
        <v>#REF!</v>
      </c>
      <c r="AL8" s="126" t="e">
        <f>Financials!E11/Financials!E5</f>
        <v>#REF!</v>
      </c>
      <c r="AM8" s="126" t="e">
        <f>Financials!F11/Financials!F5</f>
        <v>#REF!</v>
      </c>
      <c r="AN8" s="126" t="e">
        <f>Financials!G11/Financials!G5</f>
        <v>#REF!</v>
      </c>
      <c r="AO8" s="126" t="e">
        <f>Financials!H11/Financials!H5</f>
        <v>#REF!</v>
      </c>
      <c r="AP8" s="126" t="e">
        <f>Financials!I11/Financials!I5</f>
        <v>#REF!</v>
      </c>
      <c r="AQ8" s="126" t="e">
        <f>Financials!J11/Financials!J5</f>
        <v>#REF!</v>
      </c>
      <c r="AR8" s="126" t="e">
        <f>Financials!K11/Financials!K5</f>
        <v>#REF!</v>
      </c>
      <c r="AS8" s="126" t="e">
        <f>Financials!L11/Financials!L5</f>
        <v>#REF!</v>
      </c>
      <c r="AT8" s="126" t="e">
        <f>Financials!M11/Financials!M5</f>
        <v>#REF!</v>
      </c>
      <c r="AU8" s="126" t="e">
        <f>Financials!N11/Financials!N5</f>
        <v>#REF!</v>
      </c>
      <c r="AV8" s="126" t="e">
        <f>Financials!O11/Financials!O5</f>
        <v>#REF!</v>
      </c>
      <c r="AW8" s="126" t="e">
        <f>Financials!P11/Financials!P5</f>
        <v>#REF!</v>
      </c>
      <c r="AX8" s="126" t="e">
        <f>Financials!Q11/Financials!Q5</f>
        <v>#REF!</v>
      </c>
      <c r="AY8" s="126" t="e">
        <f>Financials!R11/Financials!R5</f>
        <v>#REF!</v>
      </c>
      <c r="AZ8" s="126">
        <f>Financials!S11/Financials!S5</f>
        <v>0.20218485446215501</v>
      </c>
      <c r="BA8" s="126">
        <f>Financials!T11/Financials!T5</f>
        <v>0.25440393232864256</v>
      </c>
      <c r="BB8" s="126">
        <f>Financials!U11/Financials!U5</f>
        <v>0.27193267578898594</v>
      </c>
      <c r="BC8" s="126">
        <f>Financials!V11/Financials!V5</f>
        <v>0.27222056315501075</v>
      </c>
      <c r="BD8" s="126">
        <f>Financials!W11/Financials!W5</f>
        <v>0.25850428794028962</v>
      </c>
      <c r="BE8" s="126">
        <f>Financials!X11/Financials!X5</f>
        <v>0.20603505096533722</v>
      </c>
      <c r="BF8" s="126">
        <f>Financials!Y11/Financials!Y5</f>
        <v>0.22722298822062512</v>
      </c>
      <c r="BG8" s="126">
        <f>Financials!Z11/Financials!Z5</f>
        <v>0.2511778951512586</v>
      </c>
      <c r="BH8" s="126">
        <f>Financials!AA11/Financials!AA5</f>
        <v>0.25069586743086431</v>
      </c>
      <c r="BI8" s="126">
        <f>Financials!AB11/Financials!AB5</f>
        <v>0.23200136393296072</v>
      </c>
      <c r="BJ8" s="126">
        <f>Financials!AC11/Financials!AC5</f>
        <v>0.23797859774982352</v>
      </c>
      <c r="BK8" s="126">
        <f>Financials!AD11/Financials!AD5</f>
        <v>0.24127041840501784</v>
      </c>
      <c r="BL8" s="126">
        <f>Financials!AE11/Financials!AE5</f>
        <v>0.24427031809311503</v>
      </c>
      <c r="BM8" s="126">
        <f>Financials!AF11/Financials!AF5</f>
        <v>0.94679803891764003</v>
      </c>
      <c r="BN8" s="126">
        <f>Financials!AG11/Financials!AG5</f>
        <v>0.2496353568635368</v>
      </c>
      <c r="BO8" s="126">
        <f>Financials!AH11/Financials!AH5</f>
        <v>0.23204253398612076</v>
      </c>
      <c r="BP8" s="126">
        <f>Financials!AI11/Financials!AI5</f>
        <v>0.24331113502363697</v>
      </c>
      <c r="BQ8" s="126">
        <f>Financials!AJ11/Financials!AJ5</f>
        <v>0.24032045179304146</v>
      </c>
      <c r="BR8" s="126">
        <f>Financials!AK11/Financials!AK5</f>
        <v>0.22560708070170304</v>
      </c>
      <c r="BS8" s="126" t="e">
        <f>Financials!AL11/Financials!AL5</f>
        <v>#VALUE!</v>
      </c>
      <c r="BT8" s="126">
        <f>Financials!AM11/Financials!AM5</f>
        <v>0.22042489636900867</v>
      </c>
      <c r="BU8" s="126">
        <f>Financials!AN11/Financials!AN5</f>
        <v>0.22668286309282387</v>
      </c>
      <c r="BV8" s="126">
        <f>Financials!AO11/Financials!AO5</f>
        <v>0.24776778988074752</v>
      </c>
      <c r="BW8" s="126">
        <f>Financials!AP11/Financials!AP5</f>
        <v>0.24624155196610814</v>
      </c>
      <c r="BX8" s="126">
        <f>Financials!AQ11/Financials!AQ5</f>
        <v>0.25507686199825819</v>
      </c>
      <c r="BY8" s="126">
        <f>Financials!AR11/Financials!AR5</f>
        <v>0.29905056290296234</v>
      </c>
      <c r="BZ8" s="126">
        <f>Financials!AS11/Financials!AS5</f>
        <v>0.85832763248387756</v>
      </c>
      <c r="CA8" s="126">
        <f>Financials!AT11/Financials!AT5</f>
        <v>0.30418476018994839</v>
      </c>
      <c r="CB8" s="126">
        <f>Financials!AU11/Financials!AU5</f>
        <v>0.26573833828904031</v>
      </c>
      <c r="CC8" s="126">
        <f>Financials!AV11/Financials!AV5</f>
        <v>0.26026084948232808</v>
      </c>
      <c r="CD8" s="126">
        <f>Financials!AW11/Financials!AW5</f>
        <v>0.23857249659587487</v>
      </c>
      <c r="CE8" s="126">
        <f>Financials!AX11/Financials!AX5</f>
        <v>0.2512758518273</v>
      </c>
      <c r="CF8" s="126">
        <f>Financials!AY11/Financials!AY5</f>
        <v>0.23360634552104742</v>
      </c>
      <c r="CG8" s="126" t="e">
        <f>Financials!AZ11/Financials!AZ5</f>
        <v>#REF!</v>
      </c>
      <c r="CH8" s="126">
        <f>Financials!BA11/Financials!BA5</f>
        <v>0.28075170183224774</v>
      </c>
      <c r="CI8" s="126">
        <f>Financials!BB11/Financials!BB5</f>
        <v>0.19289442609990334</v>
      </c>
      <c r="CJ8" s="126">
        <f>Financials!BC11/Financials!BC5</f>
        <v>0.24036461033311948</v>
      </c>
      <c r="CK8" s="126">
        <f>Financials!BD11/Financials!BD5</f>
        <v>0.26974761555872173</v>
      </c>
      <c r="CL8" s="126">
        <f>Financials!BE11/Financials!BE5</f>
        <v>0.26195720215512336</v>
      </c>
      <c r="CM8" s="126">
        <f>Financials!BF11/Financials!BF5</f>
        <v>0.25162421658503303</v>
      </c>
      <c r="CN8" s="126">
        <f>Financials!BG11/Financials!BG5</f>
        <v>0.26611456277347134</v>
      </c>
      <c r="CO8" s="126">
        <f>Financials!BH11/Financials!BH5</f>
        <v>0.25432556182012711</v>
      </c>
      <c r="CP8" s="126">
        <f>Financials!BI11/Financials!BI5</f>
        <v>0.24695818991066937</v>
      </c>
      <c r="CQ8" s="126">
        <f>Financials!BJ11/Financials!BJ5</f>
        <v>0.26873477200509877</v>
      </c>
      <c r="CR8" s="126">
        <f>Financials!BK11/Financials!BK5</f>
        <v>0.25263719177025434</v>
      </c>
      <c r="CS8" s="126">
        <f>Financials!BL11/Financials!BL5</f>
        <v>0.2335561480235317</v>
      </c>
      <c r="CT8" s="126">
        <f>Financials!BM11/Financials!BM5</f>
        <v>0.22411239503670805</v>
      </c>
      <c r="CU8" s="126">
        <f>Financials!BN11/Financials!BN5</f>
        <v>0.19006371027661023</v>
      </c>
      <c r="CV8" s="126">
        <f>Financials!BO11/Financials!BO5</f>
        <v>0.11925483569387678</v>
      </c>
      <c r="CW8" s="126">
        <f>Financials!BP11/Financials!BP5</f>
        <v>0.20608875030561999</v>
      </c>
      <c r="CX8" s="126">
        <f>Financials!BQ11/Financials!BQ5</f>
        <v>0.2576695143309411</v>
      </c>
      <c r="CY8" s="126">
        <f>Financials!BR11/Financials!BR5</f>
        <v>0.30174386007206</v>
      </c>
      <c r="CZ8" s="126">
        <f>Financials!BS11/Financials!BS5</f>
        <v>0.27920299424880096</v>
      </c>
      <c r="DA8" s="126">
        <f>Financials!BT11/Financials!BT5</f>
        <v>0.33546337242797591</v>
      </c>
      <c r="DB8" s="126">
        <f>Financials!BU11/Financials!BU5</f>
        <v>0.35683918784525626</v>
      </c>
      <c r="DC8" s="126">
        <f>Financials!BV11/Financials!BV5</f>
        <v>0.34794062991636021</v>
      </c>
      <c r="DD8" s="126">
        <f>Financials!BW11/Financials!BW5</f>
        <v>0.34107712913593996</v>
      </c>
      <c r="DE8" s="126">
        <f>Financials!BX11/Financials!BX5</f>
        <v>0.32711006771712886</v>
      </c>
      <c r="DF8" s="126">
        <f>Financials!BY11/Financials!BY5</f>
        <v>0.31210363088492127</v>
      </c>
      <c r="DG8" s="126">
        <f>Financials!BZ11/Financials!BZ5</f>
        <v>0.33779159465145336</v>
      </c>
      <c r="DH8" s="126">
        <f>Financials!CA11/Financials!CA5</f>
        <v>0.37637864646992042</v>
      </c>
      <c r="DI8" s="126">
        <f>Financials!CB11/Financials!CB5</f>
        <v>0.40595494691479789</v>
      </c>
      <c r="DJ8" s="126">
        <f>Financials!CC11/Financials!CC5</f>
        <v>0.39700955094052665</v>
      </c>
    </row>
    <row r="9" spans="1:114" s="104" customFormat="1" ht="12.75">
      <c r="A9" s="127" t="s">
        <v>343</v>
      </c>
      <c r="B9" s="122" t="s">
        <v>344</v>
      </c>
      <c r="C9" s="123" t="s">
        <v>345</v>
      </c>
      <c r="D9" s="126" t="e">
        <f>[2]Financials!C17/[2]Financials!C5</f>
        <v>#DIV/0!</v>
      </c>
      <c r="E9" s="126" t="e">
        <f>[2]Financials!D17/[2]Financials!D5</f>
        <v>#DIV/0!</v>
      </c>
      <c r="F9" s="126" t="e">
        <f>[2]Financials!E17/[2]Financials!E5</f>
        <v>#DIV/0!</v>
      </c>
      <c r="G9" s="126" t="e">
        <f>[2]Financials!F17/[2]Financials!F5</f>
        <v>#DIV/0!</v>
      </c>
      <c r="H9" s="126" t="e">
        <f>[2]Financials!G17/[2]Financials!G5</f>
        <v>#DIV/0!</v>
      </c>
      <c r="I9" s="126" t="e">
        <f>[2]Financials!H17/[2]Financials!H5</f>
        <v>#DIV/0!</v>
      </c>
      <c r="J9" s="126" t="e">
        <f>[2]Financials!I17/[2]Financials!I5</f>
        <v>#DIV/0!</v>
      </c>
      <c r="K9" s="126">
        <f>[2]Financials!J17/[2]Financials!J5</f>
        <v>1.2974220968686187E-2</v>
      </c>
      <c r="L9" s="126">
        <f>[2]Financials!K17/[2]Financials!K5</f>
        <v>1.1854125391207499E-2</v>
      </c>
      <c r="M9" s="126">
        <f>[2]Financials!L17/[2]Financials!L5</f>
        <v>1.1596285809433185E-2</v>
      </c>
      <c r="N9" s="126">
        <f>[2]Financials!M17/[2]Financials!M5</f>
        <v>1.1123412520771018E-2</v>
      </c>
      <c r="O9" s="126">
        <f>[2]Financials!N17/[2]Financials!N5</f>
        <v>6.4459426692138347E-2</v>
      </c>
      <c r="P9" s="126">
        <f>[2]Financials!O17/[2]Financials!O5</f>
        <v>6.5563217452253825E-2</v>
      </c>
      <c r="Q9" s="126">
        <f>[2]Financials!P17/[2]Financials!P5</f>
        <v>6.5325621552472832E-2</v>
      </c>
      <c r="R9" s="126">
        <f>[2]Financials!Q17/[2]Financials!Q5</f>
        <v>6.3921016436060962E-2</v>
      </c>
      <c r="S9" s="126">
        <f>[2]Financials!R17/[2]Financials!R5</f>
        <v>6.2872219596898607E-2</v>
      </c>
      <c r="T9" s="126">
        <f>[2]Financials!S17/[2]Financials!S5</f>
        <v>6.2066920917717677E-2</v>
      </c>
      <c r="U9" s="126">
        <f>[2]Financials!T17/[2]Financials!T5</f>
        <v>6.0148169971152986E-2</v>
      </c>
      <c r="V9" s="126">
        <f>[2]Financials!U17/[2]Financials!U5</f>
        <v>5.9026734746268225E-2</v>
      </c>
      <c r="W9" s="126">
        <f>[2]Financials!V17/[2]Financials!V5</f>
        <v>5.8960114134130784E-2</v>
      </c>
      <c r="X9" s="126">
        <f>[2]Financials!W17/[2]Financials!W5</f>
        <v>5.9733012023684091E-2</v>
      </c>
      <c r="Y9" s="126">
        <f>[2]Financials!X17/[2]Financials!X5</f>
        <v>5.6796293519764014E-2</v>
      </c>
      <c r="Z9" s="126">
        <f>[2]Financials!Y17/[2]Financials!Y5</f>
        <v>5.9133685958313462E-2</v>
      </c>
      <c r="AA9" s="126">
        <f>[2]Financials!Z17/[2]Financials!Z5</f>
        <v>5.5410745075713121E-2</v>
      </c>
      <c r="AB9" s="126">
        <f>[2]Financials!AA17/[2]Financials!AA5</f>
        <v>5.6362711668195092E-2</v>
      </c>
      <c r="AC9" s="126">
        <f>[2]Financials!AB17/[2]Financials!AB5</f>
        <v>5.5914420557799008E-2</v>
      </c>
      <c r="AD9" s="126">
        <f>[2]Financials!AC17/[2]Financials!AC5</f>
        <v>5.388687573334211E-2</v>
      </c>
      <c r="AE9" s="126">
        <f>[2]Financials!AD17/[2]Financials!AD5</f>
        <v>5.300461946228608E-2</v>
      </c>
      <c r="AF9" s="126">
        <f>[2]Financials!AE17/[2]Financials!AE5</f>
        <v>5.0769747564842559E-2</v>
      </c>
      <c r="AG9" s="126">
        <f>[2]Financials!AF17/[2]Financials!AF5</f>
        <v>4.9915083062045E-2</v>
      </c>
      <c r="AH9" s="126">
        <f>[2]Financials!AG17/[2]Financials!AG5</f>
        <v>4.9067272297845431E-2</v>
      </c>
      <c r="AI9" s="126">
        <f>[2]Financials!AH17/[2]Financials!AH5</f>
        <v>4.7683799992793686E-2</v>
      </c>
      <c r="AJ9" s="126">
        <f>[2]Financials!AI17/[2]Financials!AI5</f>
        <v>4.6002918032266422E-2</v>
      </c>
      <c r="AK9" s="126" t="e">
        <f>Financials!D15/Financials!D4</f>
        <v>#REF!</v>
      </c>
      <c r="AL9" s="126" t="e">
        <f>Financials!E15/Financials!E4</f>
        <v>#REF!</v>
      </c>
      <c r="AM9" s="126" t="e">
        <f>Financials!F15/Financials!F4</f>
        <v>#REF!</v>
      </c>
      <c r="AN9" s="126" t="e">
        <f>Financials!G15/Financials!G4</f>
        <v>#REF!</v>
      </c>
      <c r="AO9" s="126" t="e">
        <f>Financials!H15/Financials!H4</f>
        <v>#REF!</v>
      </c>
      <c r="AP9" s="126" t="e">
        <f>Financials!I15/Financials!I4</f>
        <v>#REF!</v>
      </c>
      <c r="AQ9" s="126" t="e">
        <f>Financials!J15/Financials!J4</f>
        <v>#REF!</v>
      </c>
      <c r="AR9" s="126" t="e">
        <f>Financials!K15/Financials!K4</f>
        <v>#REF!</v>
      </c>
      <c r="AS9" s="126" t="e">
        <f>Financials!L15/Financials!L4</f>
        <v>#REF!</v>
      </c>
      <c r="AT9" s="126" t="e">
        <f>Financials!M15/Financials!M4</f>
        <v>#REF!</v>
      </c>
      <c r="AU9" s="126" t="e">
        <f>Financials!N15/Financials!N4</f>
        <v>#REF!</v>
      </c>
      <c r="AV9" s="126" t="e">
        <f>Financials!O15/Financials!O4</f>
        <v>#REF!</v>
      </c>
      <c r="AW9" s="126" t="e">
        <f>Financials!P15/Financials!P4</f>
        <v>#REF!</v>
      </c>
      <c r="AX9" s="126" t="e">
        <f>Financials!Q15/Financials!Q4</f>
        <v>#REF!</v>
      </c>
      <c r="AY9" s="126" t="e">
        <f>Financials!R15/Financials!R4</f>
        <v>#REF!</v>
      </c>
      <c r="AZ9" s="126">
        <f>Financials!S15/Financials!S4</f>
        <v>0.15147941066649467</v>
      </c>
      <c r="BA9" s="126">
        <f>Financials!T15/Financials!T4</f>
        <v>0.1509249216453632</v>
      </c>
      <c r="BB9" s="126">
        <f>Financials!U15/Financials!U4</f>
        <v>0.15183934065031526</v>
      </c>
      <c r="BC9" s="126">
        <f>Financials!V15/Financials!V4</f>
        <v>0.15223225462333878</v>
      </c>
      <c r="BD9" s="126">
        <f>Financials!W15/Financials!W4</f>
        <v>0.15144674642381803</v>
      </c>
      <c r="BE9" s="126">
        <f>Financials!X15/Financials!X4</f>
        <v>0.12234290971127029</v>
      </c>
      <c r="BF9" s="126">
        <f>Financials!Y15/Financials!Y4</f>
        <v>0.13139035974553989</v>
      </c>
      <c r="BG9" s="126">
        <f>Financials!Z15/Financials!Z4</f>
        <v>0.13136722773076964</v>
      </c>
      <c r="BH9" s="126">
        <f>Financials!AA15/Financials!AA4</f>
        <v>0.13316736361039358</v>
      </c>
      <c r="BI9" s="126">
        <f>Financials!AB15/Financials!AB4</f>
        <v>0.13652727560265357</v>
      </c>
      <c r="BJ9" s="126">
        <f>Financials!AC15/Financials!AC4</f>
        <v>0.1375228542439596</v>
      </c>
      <c r="BK9" s="126">
        <f>Financials!AD15/Financials!AD4</f>
        <v>0.14094008675351691</v>
      </c>
      <c r="BL9" s="126">
        <f>Financials!AE15/Financials!AE4</f>
        <v>0.15959811131798141</v>
      </c>
      <c r="BM9" s="126">
        <f>Financials!AF15/Financials!AF4</f>
        <v>0.15959811110312977</v>
      </c>
      <c r="BN9" s="126">
        <f>Financials!AG15/Financials!AG4</f>
        <v>0.16177085289302923</v>
      </c>
      <c r="BO9" s="126">
        <f>Financials!AH15/Financials!AH4</f>
        <v>0.16278800213253125</v>
      </c>
      <c r="BP9" s="126">
        <f>Financials!AI15/Financials!AI4</f>
        <v>0.16328889910746813</v>
      </c>
      <c r="BQ9" s="126">
        <f>Financials!AJ15/Financials!AJ4</f>
        <v>0.16572477130527954</v>
      </c>
      <c r="BR9" s="126">
        <f>Financials!AK15/Financials!AK4</f>
        <v>0.16741606303431975</v>
      </c>
      <c r="BS9" s="126">
        <f>Financials!AL15/Financials!AL4</f>
        <v>0.16395146898381047</v>
      </c>
      <c r="BT9" s="126">
        <f>Financials!AM15/Financials!AM4</f>
        <v>0.11981771890916089</v>
      </c>
      <c r="BU9" s="126">
        <f>Financials!AN15/Financials!AN4</f>
        <v>0.12281118189703544</v>
      </c>
      <c r="BV9" s="126">
        <f>Financials!AO15/Financials!AO4</f>
        <v>0.13163338738597699</v>
      </c>
      <c r="BW9" s="126">
        <f>Financials!AP15/Financials!AP4</f>
        <v>0.13560743656122284</v>
      </c>
      <c r="BX9" s="126">
        <f>Financials!AQ15/Financials!AQ4</f>
        <v>0.1435943918567878</v>
      </c>
      <c r="BY9" s="126">
        <f>Financials!AR15/Financials!AR4</f>
        <v>0.15978428511760823</v>
      </c>
      <c r="BZ9" s="126">
        <f>Financials!AS15/Financials!AS4</f>
        <v>0.15978428244037829</v>
      </c>
      <c r="CA9" s="126">
        <f>Financials!AT15/Financials!AT4</f>
        <v>0.16389824410282561</v>
      </c>
      <c r="CB9" s="126">
        <f>Financials!AU15/Financials!AU4</f>
        <v>0.16515818624866388</v>
      </c>
      <c r="CC9" s="126">
        <f>Financials!AV15/Financials!AV4</f>
        <v>0.16737651909197762</v>
      </c>
      <c r="CD9" s="126">
        <f>Financials!AW15/Financials!AW4</f>
        <v>0.14794533904250226</v>
      </c>
      <c r="CE9" s="126">
        <f>Financials!AX15/Financials!AX4</f>
        <v>0.15599098683447674</v>
      </c>
      <c r="CF9" s="126">
        <f>Financials!AY15/Financials!AY4</f>
        <v>0.12725362241185553</v>
      </c>
      <c r="CG9" s="126" t="e">
        <f>Financials!AZ15/Financials!AZ4</f>
        <v>#REF!</v>
      </c>
      <c r="CH9" s="126">
        <f>Financials!BA15/Financials!BA4</f>
        <v>0.13934619321430186</v>
      </c>
      <c r="CI9" s="126">
        <f>Financials!BB15/Financials!BB4</f>
        <v>0.10332323354936242</v>
      </c>
      <c r="CJ9" s="126">
        <f>Financials!BC15/Financials!BC4</f>
        <v>0.12063676181718898</v>
      </c>
      <c r="CK9" s="126">
        <f>Financials!BD15/Financials!BD4</f>
        <v>0.13340753451727369</v>
      </c>
      <c r="CL9" s="126">
        <f>Financials!BE15/Financials!BE4</f>
        <v>0.14063410407428914</v>
      </c>
      <c r="CM9" s="126">
        <f>Financials!BF15/Financials!BF4</f>
        <v>0.14063410283095137</v>
      </c>
      <c r="CN9" s="126">
        <f>Financials!BG15/Financials!BG4</f>
        <v>0.14577882776758833</v>
      </c>
      <c r="CO9" s="126">
        <f>Financials!BH15/Financials!BH4</f>
        <v>0.14837975594990205</v>
      </c>
      <c r="CP9" s="126">
        <f>Financials!BI15/Financials!BI4</f>
        <v>0.14859915897737844</v>
      </c>
      <c r="CQ9" s="126">
        <f>Financials!BJ15/Financials!BJ4</f>
        <v>0.14665409654989964</v>
      </c>
      <c r="CR9" s="126">
        <f>Financials!BK15/Financials!BK4</f>
        <v>0.14958912206474639</v>
      </c>
      <c r="CS9" s="126">
        <f>Financials!BL15/Financials!BL4</f>
        <v>0.15164866594942403</v>
      </c>
      <c r="CT9" s="126">
        <f>Financials!BM15/Financials!BM4</f>
        <v>0.15371104687442833</v>
      </c>
      <c r="CU9" s="126">
        <f>Financials!BN15/Financials!BN4</f>
        <v>0.15757247821884052</v>
      </c>
      <c r="CV9" s="126">
        <f>Financials!BO15/Financials!BO4</f>
        <v>0.11558724227468006</v>
      </c>
      <c r="CW9" s="126">
        <f>Financials!BP15/Financials!BP4</f>
        <v>0.11458852631862827</v>
      </c>
      <c r="CX9" s="126">
        <f>Financials!BQ15/Financials!BQ4</f>
        <v>0.12580625644613078</v>
      </c>
      <c r="CY9" s="126">
        <f>Financials!BR15/Financials!BR4</f>
        <v>0.12756922004071586</v>
      </c>
      <c r="CZ9" s="126">
        <f>Financials!BS15/Financials!BS4</f>
        <v>0.12756921893652914</v>
      </c>
      <c r="DA9" s="126">
        <f>Financials!BT15/Financials!BT4</f>
        <v>0.12324005238624459</v>
      </c>
      <c r="DB9" s="126">
        <f>Financials!BU15/Financials!BU4</f>
        <v>0.12552056785661508</v>
      </c>
      <c r="DC9" s="126">
        <f>Financials!BV15/Financials!BV4</f>
        <v>0.12659727131548892</v>
      </c>
      <c r="DD9" s="126">
        <f>Financials!BW15/Financials!BW4</f>
        <v>0.12609935756720306</v>
      </c>
      <c r="DE9" s="126">
        <f>Financials!BX15/Financials!BX4</f>
        <v>0.12734960425157743</v>
      </c>
      <c r="DF9" s="126">
        <f>Financials!BY15/Financials!BY4</f>
        <v>0.1302559616541229</v>
      </c>
      <c r="DG9" s="126">
        <f>Financials!BZ15/Financials!BZ4</f>
        <v>0.12684950182249699</v>
      </c>
      <c r="DH9" s="126">
        <f>Financials!CA15/Financials!CA4</f>
        <v>0.10966257511892222</v>
      </c>
      <c r="DI9" s="126">
        <f>Financials!CB15/Financials!CB4</f>
        <v>0.11474128892478648</v>
      </c>
      <c r="DJ9" s="126">
        <f>Financials!CC15/Financials!CC4</f>
        <v>0.1180383661077147</v>
      </c>
    </row>
    <row r="10" spans="1:114" s="104" customFormat="1" ht="12.75">
      <c r="A10" s="127" t="s">
        <v>124</v>
      </c>
      <c r="B10" s="122" t="s">
        <v>341</v>
      </c>
      <c r="C10" s="123" t="s">
        <v>345</v>
      </c>
      <c r="D10" s="126" t="e">
        <f>[2]Financials!C14/[2]Financials!C5</f>
        <v>#DIV/0!</v>
      </c>
      <c r="E10" s="126" t="e">
        <f>[2]Financials!D14/[2]Financials!D5</f>
        <v>#DIV/0!</v>
      </c>
      <c r="F10" s="126" t="e">
        <f>[2]Financials!E14/[2]Financials!E5</f>
        <v>#DIV/0!</v>
      </c>
      <c r="G10" s="126" t="e">
        <f>[2]Financials!F14/[2]Financials!F5</f>
        <v>#DIV/0!</v>
      </c>
      <c r="H10" s="126" t="e">
        <f>[2]Financials!G14/[2]Financials!G5</f>
        <v>#DIV/0!</v>
      </c>
      <c r="I10" s="126" t="e">
        <f>[2]Financials!H14/[2]Financials!H5</f>
        <v>#DIV/0!</v>
      </c>
      <c r="J10" s="126" t="e">
        <f>[2]Financials!I14/[2]Financials!I5</f>
        <v>#DIV/0!</v>
      </c>
      <c r="K10" s="126">
        <f>[2]Financials!J14/[2]Financials!J5</f>
        <v>8.1786120475384597E-2</v>
      </c>
      <c r="L10" s="126">
        <f>[2]Financials!K14/[2]Financials!K5</f>
        <v>0.1541456345113712</v>
      </c>
      <c r="M10" s="126">
        <f>[2]Financials!L14/[2]Financials!L5</f>
        <v>0.16049409931588346</v>
      </c>
      <c r="N10" s="126">
        <f>[2]Financials!M14/[2]Financials!M5</f>
        <v>0.16302784361128492</v>
      </c>
      <c r="O10" s="126">
        <f>[2]Financials!N14/[2]Financials!N5</f>
        <v>0.10651986803723509</v>
      </c>
      <c r="P10" s="126">
        <f>[2]Financials!O14/[2]Financials!O5</f>
        <v>0.11806219486294578</v>
      </c>
      <c r="Q10" s="126">
        <f>[2]Financials!P14/[2]Financials!P5</f>
        <v>0.128677319646506</v>
      </c>
      <c r="R10" s="126">
        <f>[2]Financials!Q14/[2]Financials!Q5</f>
        <v>0.13570595497636126</v>
      </c>
      <c r="S10" s="126">
        <f>[2]Financials!R14/[2]Financials!R5</f>
        <v>0.14210472218229966</v>
      </c>
      <c r="T10" s="126">
        <f>[2]Financials!S14/[2]Financials!S5</f>
        <v>0.15068099785269073</v>
      </c>
      <c r="U10" s="126">
        <f>[2]Financials!T14/[2]Financials!T5</f>
        <v>0.15657167490885124</v>
      </c>
      <c r="V10" s="126">
        <f>[2]Financials!U14/[2]Financials!U5</f>
        <v>0.15995891297269541</v>
      </c>
      <c r="W10" s="126">
        <f>[2]Financials!V14/[2]Financials!V5</f>
        <v>0.16733554216443003</v>
      </c>
      <c r="X10" s="126">
        <f>[2]Financials!W14/[2]Financials!W5</f>
        <v>8.5576465040175423E-2</v>
      </c>
      <c r="Y10" s="126">
        <f>[2]Financials!X14/[2]Financials!X5</f>
        <v>0.17076913821575931</v>
      </c>
      <c r="Z10" s="126">
        <f>[2]Financials!Y14/[2]Financials!Y5</f>
        <v>0.10844528193728918</v>
      </c>
      <c r="AA10" s="126">
        <f>[2]Financials!Z14/[2]Financials!Z5</f>
        <v>9.501444160803417E-2</v>
      </c>
      <c r="AB10" s="126">
        <f>[2]Financials!AA14/[2]Financials!AA5</f>
        <v>0.11720610744050075</v>
      </c>
      <c r="AC10" s="126">
        <f>[2]Financials!AB14/[2]Financials!AB5</f>
        <v>0.12353600627096635</v>
      </c>
      <c r="AD10" s="126">
        <f>[2]Financials!AC14/[2]Financials!AC5</f>
        <v>0.12971340265845327</v>
      </c>
      <c r="AE10" s="126">
        <f>[2]Financials!AD14/[2]Financials!AD5</f>
        <v>0.14122969423493809</v>
      </c>
      <c r="AF10" s="126">
        <f>[2]Financials!AE14/[2]Financials!AE5</f>
        <v>0.14910438711891216</v>
      </c>
      <c r="AG10" s="126">
        <f>[2]Financials!AF14/[2]Financials!AF5</f>
        <v>0.15903519129985255</v>
      </c>
      <c r="AH10" s="126">
        <f>[2]Financials!AG14/[2]Financials!AG5</f>
        <v>0.16543642284921259</v>
      </c>
      <c r="AI10" s="126">
        <f>[2]Financials!AH14/[2]Financials!AH5</f>
        <v>0.16539710743732713</v>
      </c>
      <c r="AJ10" s="126">
        <f>[2]Financials!AI14/[2]Financials!AI5</f>
        <v>0.17001315109115134</v>
      </c>
      <c r="AK10" s="126" t="e">
        <f>Financials!D12/Financials!D4</f>
        <v>#REF!</v>
      </c>
      <c r="AL10" s="126" t="e">
        <f>Financials!E12/Financials!E4</f>
        <v>#REF!</v>
      </c>
      <c r="AM10" s="126" t="e">
        <f>Financials!F12/Financials!F4</f>
        <v>#REF!</v>
      </c>
      <c r="AN10" s="126" t="e">
        <f>Financials!G12/Financials!G4</f>
        <v>#REF!</v>
      </c>
      <c r="AO10" s="126" t="e">
        <f>Financials!H12/Financials!H4</f>
        <v>#REF!</v>
      </c>
      <c r="AP10" s="126" t="e">
        <f>Financials!I12/Financials!I4</f>
        <v>#REF!</v>
      </c>
      <c r="AQ10" s="126" t="e">
        <f>Financials!J12/Financials!J4</f>
        <v>#REF!</v>
      </c>
      <c r="AR10" s="126" t="e">
        <f>Financials!K12/Financials!K4</f>
        <v>#REF!</v>
      </c>
      <c r="AS10" s="126" t="e">
        <f>Financials!L12/Financials!L4</f>
        <v>#REF!</v>
      </c>
      <c r="AT10" s="126" t="e">
        <f>Financials!M12/Financials!M4</f>
        <v>#REF!</v>
      </c>
      <c r="AU10" s="126" t="e">
        <f>Financials!N12/Financials!N4</f>
        <v>#REF!</v>
      </c>
      <c r="AV10" s="126" t="e">
        <f>Financials!O12/Financials!O4</f>
        <v>#REF!</v>
      </c>
      <c r="AW10" s="126" t="e">
        <f>Financials!P12/Financials!P4</f>
        <v>#REF!</v>
      </c>
      <c r="AX10" s="126" t="e">
        <f>Financials!Q12/Financials!Q4</f>
        <v>#REF!</v>
      </c>
      <c r="AY10" s="126" t="e">
        <f>Financials!R12/Financials!R4</f>
        <v>#REF!</v>
      </c>
      <c r="AZ10" s="126">
        <f>Financials!S12/Financials!S4</f>
        <v>-6.6947262180624259E-2</v>
      </c>
      <c r="BA10" s="126">
        <f>Financials!T12/Financials!T4</f>
        <v>-4.7396565366790107E-2</v>
      </c>
      <c r="BB10" s="126">
        <f>Financials!U12/Financials!U4</f>
        <v>-4.3032185271116359E-2</v>
      </c>
      <c r="BC10" s="126">
        <f>Financials!V12/Financials!V4</f>
        <v>-4.3559275619102791E-2</v>
      </c>
      <c r="BD10" s="126">
        <f>Financials!W12/Financials!W4</f>
        <v>-4.5824512608826716E-2</v>
      </c>
      <c r="BE10" s="126">
        <f>Financials!X12/Financials!X4</f>
        <v>-1.7575295554116795E-2</v>
      </c>
      <c r="BF10" s="126">
        <f>Financials!Y12/Financials!Y4</f>
        <v>-2.2190020707456199E-2</v>
      </c>
      <c r="BG10" s="126">
        <f>Financials!Z12/Financials!Z4</f>
        <v>-1.3158121651837903E-2</v>
      </c>
      <c r="BH10" s="126">
        <f>Financials!AA12/Financials!AA4</f>
        <v>-1.6191477070238113E-2</v>
      </c>
      <c r="BI10" s="126">
        <f>Financials!AB12/Financials!AB4</f>
        <v>-2.8188453637268188E-2</v>
      </c>
      <c r="BJ10" s="126">
        <f>Financials!AC12/Financials!AC4</f>
        <v>-2.7696437373267553E-2</v>
      </c>
      <c r="BK10" s="126">
        <f>Financials!AD12/Financials!AD4</f>
        <v>-3.2787441678219613E-2</v>
      </c>
      <c r="BL10" s="126">
        <f>Financials!AE12/Financials!AE4</f>
        <v>-5.4449717900052631E-2</v>
      </c>
      <c r="BM10" s="126">
        <f>Financials!AF12/Financials!AF4</f>
        <v>0.24795976738713613</v>
      </c>
      <c r="BN10" s="126">
        <f>Financials!AG12/Financials!AG4</f>
        <v>-5.5541386303517071E-2</v>
      </c>
      <c r="BO10" s="126">
        <f>Financials!AH12/Financials!AH4</f>
        <v>-6.2777051599352027E-2</v>
      </c>
      <c r="BP10" s="126">
        <f>Financials!AI12/Financials!AI4</f>
        <v>-5.9426683334427424E-2</v>
      </c>
      <c r="BQ10" s="126">
        <f>Financials!AJ12/Financials!AJ4</f>
        <v>-6.4164429430446229E-2</v>
      </c>
      <c r="BR10" s="126">
        <f>Financials!AK12/Financials!AK4</f>
        <v>-7.134960644523787E-2</v>
      </c>
      <c r="BS10" s="126" t="e">
        <f>Financials!AL12/Financials!AL4</f>
        <v>#VALUE!</v>
      </c>
      <c r="BT10" s="126">
        <f>Financials!AM12/Financials!AM4</f>
        <v>1.1581756307252396E-3</v>
      </c>
      <c r="BU10" s="126">
        <f>Financials!AN12/Financials!AN4</f>
        <v>-3.6405968161642944E-4</v>
      </c>
      <c r="BV10" s="126">
        <f>Financials!AO12/Financials!AO4</f>
        <v>-5.8916715001584331E-3</v>
      </c>
      <c r="BW10" s="126">
        <f>Financials!AP12/Financials!AP4</f>
        <v>-1.2457725294500926E-2</v>
      </c>
      <c r="BX10" s="126">
        <f>Financials!AQ12/Financials!AQ4</f>
        <v>-2.0506106965459611E-2</v>
      </c>
      <c r="BY10" s="126">
        <f>Financials!AR12/Financials!AR4</f>
        <v>-2.6158145535650858E-2</v>
      </c>
      <c r="BZ10" s="126">
        <f>Financials!AS12/Financials!AS4</f>
        <v>0.22374620346351923</v>
      </c>
      <c r="CA10" s="126">
        <f>Financials!AT12/Financials!AT4</f>
        <v>-3.0763146526987448E-2</v>
      </c>
      <c r="CB10" s="126">
        <f>Financials!AU12/Financials!AU4</f>
        <v>-4.6360800226334077E-2</v>
      </c>
      <c r="CC10" s="126">
        <f>Financials!AV12/Financials!AV4</f>
        <v>-5.1410075860230171E-2</v>
      </c>
      <c r="CD10" s="126">
        <f>Financials!AW12/Financials!AW4</f>
        <v>-2.9114600850886359E-2</v>
      </c>
      <c r="CE10" s="126">
        <f>Financials!AX12/Financials!AX4</f>
        <v>-3.3841897677890045E-2</v>
      </c>
      <c r="CF10" s="126">
        <f>Financials!AY12/Financials!AY4</f>
        <v>2.200015970066525E-3</v>
      </c>
      <c r="CG10" s="126" t="e">
        <f>Financials!AZ12/Financials!AZ4</f>
        <v>#REF!</v>
      </c>
      <c r="CH10" s="126">
        <f>Financials!BA12/Financials!BA4</f>
        <v>4.604998251387187E-3</v>
      </c>
      <c r="CI10" s="126">
        <f>Financials!BB12/Financials!BB4</f>
        <v>9.384667769498126E-3</v>
      </c>
      <c r="CJ10" s="126">
        <f>Financials!BC12/Financials!BC4</f>
        <v>1.5032894146121438E-2</v>
      </c>
      <c r="CK10" s="126">
        <f>Financials!BD12/Financials!BD4</f>
        <v>9.7121850597246297E-3</v>
      </c>
      <c r="CL10" s="126">
        <f>Financials!BE12/Financials!BE4</f>
        <v>-7.5618795031421378E-3</v>
      </c>
      <c r="CM10" s="126">
        <f>Financials!BF12/Financials!BF4</f>
        <v>-1.2810955790448948E-2</v>
      </c>
      <c r="CN10" s="126">
        <f>Financials!BG12/Financials!BG4</f>
        <v>-1.3595221184008547E-2</v>
      </c>
      <c r="CO10" s="126">
        <f>Financials!BH12/Financials!BH4</f>
        <v>-2.2465539025796177E-2</v>
      </c>
      <c r="CP10" s="126">
        <f>Financials!BI12/Financials!BI4</f>
        <v>-2.582709554194355E-2</v>
      </c>
      <c r="CQ10" s="126">
        <f>Financials!BJ12/Financials!BJ4</f>
        <v>-1.1083513940797927E-2</v>
      </c>
      <c r="CR10" s="126">
        <f>Financials!BK12/Financials!BK4</f>
        <v>-2.1225315163812566E-2</v>
      </c>
      <c r="CS10" s="126">
        <f>Financials!BL12/Financials!BL4</f>
        <v>-3.216756398474184E-2</v>
      </c>
      <c r="CT10" s="126">
        <f>Financials!BM12/Financials!BM4</f>
        <v>-3.865633612801448E-2</v>
      </c>
      <c r="CU10" s="126">
        <f>Financials!BN12/Financials!BN4</f>
        <v>-5.8739915761651523E-2</v>
      </c>
      <c r="CV10" s="126">
        <f>Financials!BO12/Financials!BO4</f>
        <v>-5.3852310558658911E-2</v>
      </c>
      <c r="CW10" s="126">
        <f>Financials!BP12/Financials!BP4</f>
        <v>8.4580181156211909E-3</v>
      </c>
      <c r="CX10" s="126">
        <f>Financials!BQ12/Financials!BQ4</f>
        <v>1.7607711826727934E-2</v>
      </c>
      <c r="CY10" s="126">
        <f>Financials!BR12/Financials!BR4</f>
        <v>3.0466846358487308E-2</v>
      </c>
      <c r="CZ10" s="126">
        <f>Financials!BS12/Financials!BS4</f>
        <v>1.8661238825363156E-2</v>
      </c>
      <c r="DA10" s="126">
        <f>Financials!BT12/Financials!BT4</f>
        <v>4.0574900400298507E-2</v>
      </c>
      <c r="DB10" s="126">
        <f>Financials!BU12/Financials!BU4</f>
        <v>4.6669039333533092E-2</v>
      </c>
      <c r="DC10" s="126">
        <f>Financials!BV12/Financials!BV4</f>
        <v>4.1946434049014873E-2</v>
      </c>
      <c r="DD10" s="126">
        <f>Financials!BW12/Financials!BW4</f>
        <v>4.0526912686295283E-2</v>
      </c>
      <c r="DE10" s="126">
        <f>Financials!BX12/Financials!BX4</f>
        <v>3.6620301804179668E-2</v>
      </c>
      <c r="DF10" s="126">
        <f>Financials!BY12/Financials!BY4</f>
        <v>2.8087727895459505E-2</v>
      </c>
      <c r="DG10" s="126">
        <f>Financials!BZ12/Financials!BZ4</f>
        <v>4.3375298066848457E-2</v>
      </c>
      <c r="DH10" s="126">
        <f>Financials!CA12/Financials!CA4</f>
        <v>8.7221023598190214E-2</v>
      </c>
      <c r="DI10" s="126">
        <f>Financials!CB12/Financials!CB4</f>
        <v>8.8847104533398336E-2</v>
      </c>
      <c r="DJ10" s="126">
        <f>Financials!CC12/Financials!CC4</f>
        <v>8.0482222724817448E-2</v>
      </c>
    </row>
    <row r="11" spans="1:114" s="104" customFormat="1" ht="12.75">
      <c r="A11" s="121"/>
      <c r="B11" s="128"/>
      <c r="C11" s="129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  <c r="CV11" s="126"/>
      <c r="CW11" s="126"/>
      <c r="CX11" s="126"/>
      <c r="CY11" s="126"/>
      <c r="CZ11" s="126"/>
      <c r="DA11" s="126"/>
      <c r="DB11" s="126"/>
      <c r="DC11" s="126"/>
      <c r="DD11" s="126"/>
      <c r="DE11" s="126"/>
      <c r="DF11" s="126"/>
      <c r="DG11" s="126"/>
      <c r="DH11" s="126"/>
      <c r="DI11" s="126"/>
      <c r="DJ11" s="126"/>
    </row>
    <row r="12" spans="1:114" s="104" customFormat="1" ht="12.75">
      <c r="A12" s="117" t="s">
        <v>346</v>
      </c>
      <c r="B12" s="118"/>
      <c r="C12" s="119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0"/>
      <c r="CF12" s="120"/>
      <c r="CG12" s="120"/>
      <c r="CH12" s="120"/>
      <c r="CI12" s="120"/>
      <c r="CJ12" s="120"/>
      <c r="CK12" s="120"/>
      <c r="CL12" s="120"/>
      <c r="CM12" s="120"/>
      <c r="CN12" s="120"/>
      <c r="CO12" s="120"/>
      <c r="CP12" s="120"/>
      <c r="CQ12" s="120"/>
      <c r="CR12" s="120"/>
      <c r="CS12" s="120"/>
      <c r="CT12" s="120"/>
      <c r="CU12" s="120"/>
      <c r="CV12" s="120"/>
      <c r="CW12" s="120"/>
      <c r="CX12" s="120"/>
      <c r="CY12" s="120"/>
      <c r="CZ12" s="120"/>
      <c r="DA12" s="120"/>
      <c r="DB12" s="120"/>
      <c r="DC12" s="120"/>
      <c r="DD12" s="120"/>
      <c r="DE12" s="120"/>
      <c r="DF12" s="120"/>
      <c r="DG12" s="120"/>
      <c r="DH12" s="120"/>
      <c r="DI12" s="120"/>
      <c r="DJ12" s="120"/>
    </row>
    <row r="13" spans="1:114" s="104" customFormat="1" ht="12.75">
      <c r="A13" s="117" t="s">
        <v>347</v>
      </c>
      <c r="B13" s="118"/>
      <c r="C13" s="119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0"/>
      <c r="CF13" s="120"/>
      <c r="CG13" s="120"/>
      <c r="CH13" s="120"/>
      <c r="CI13" s="120"/>
      <c r="CJ13" s="120"/>
      <c r="CK13" s="120"/>
      <c r="CL13" s="120"/>
      <c r="CM13" s="120"/>
      <c r="CN13" s="120"/>
      <c r="CO13" s="120"/>
      <c r="CP13" s="120"/>
      <c r="CQ13" s="120"/>
      <c r="CR13" s="120"/>
      <c r="CS13" s="120"/>
      <c r="CT13" s="120"/>
      <c r="CU13" s="120"/>
      <c r="CV13" s="120"/>
      <c r="CW13" s="120"/>
      <c r="CX13" s="120"/>
      <c r="CY13" s="120"/>
      <c r="CZ13" s="120"/>
      <c r="DA13" s="120"/>
      <c r="DB13" s="120"/>
      <c r="DC13" s="120"/>
      <c r="DD13" s="120"/>
      <c r="DE13" s="120"/>
      <c r="DF13" s="120"/>
      <c r="DG13" s="120"/>
      <c r="DH13" s="120"/>
      <c r="DI13" s="120"/>
      <c r="DJ13" s="120"/>
    </row>
    <row r="14" spans="1:114" s="104" customFormat="1" ht="12.75">
      <c r="A14" s="127" t="s">
        <v>348</v>
      </c>
      <c r="B14" s="122" t="s">
        <v>349</v>
      </c>
      <c r="C14" s="123">
        <v>48.1</v>
      </c>
      <c r="D14" s="126" t="e">
        <f>[2]Financials!C38/[2]Financials!C5</f>
        <v>#DIV/0!</v>
      </c>
      <c r="E14" s="126" t="e">
        <f>[2]Financials!D38/[2]Financials!D5</f>
        <v>#DIV/0!</v>
      </c>
      <c r="F14" s="126" t="e">
        <f>[2]Financials!E38/[2]Financials!E5</f>
        <v>#DIV/0!</v>
      </c>
      <c r="G14" s="126" t="e">
        <f>[2]Financials!F38/[2]Financials!F5</f>
        <v>#DIV/0!</v>
      </c>
      <c r="H14" s="126" t="e">
        <f>[2]Financials!G38/[2]Financials!G5</f>
        <v>#DIV/0!</v>
      </c>
      <c r="I14" s="126" t="e">
        <f>[2]Financials!H38/[2]Financials!H5</f>
        <v>#DIV/0!</v>
      </c>
      <c r="J14" s="126" t="e">
        <f>[2]Financials!I38/[2]Financials!I5</f>
        <v>#DIV/0!</v>
      </c>
      <c r="K14" s="126">
        <f>[2]Financials!J38/[2]Financials!J5</f>
        <v>1.9195265375530655E-2</v>
      </c>
      <c r="L14" s="126">
        <f>[2]Financials!K38/[2]Financials!K5</f>
        <v>2.7597945798810131E-2</v>
      </c>
      <c r="M14" s="126">
        <f>[2]Financials!L38/[2]Financials!L5</f>
        <v>2.7141758829233417E-2</v>
      </c>
      <c r="N14" s="126">
        <f>[2]Financials!M38/[2]Financials!M5</f>
        <v>2.8377621976402111E-2</v>
      </c>
      <c r="O14" s="126">
        <f>[2]Financials!N38/[2]Financials!N5</f>
        <v>3.005544578239585E-2</v>
      </c>
      <c r="P14" s="126">
        <f>[2]Financials!O38/[2]Financials!O5</f>
        <v>3.0515872062859314E-2</v>
      </c>
      <c r="Q14" s="126">
        <f>[2]Financials!P38/[2]Financials!P5</f>
        <v>3.2728383435924789E-2</v>
      </c>
      <c r="R14" s="126">
        <f>[2]Financials!Q38/[2]Financials!Q5</f>
        <v>3.3977405844558849E-2</v>
      </c>
      <c r="S14" s="126">
        <f>[2]Financials!R38/[2]Financials!R5</f>
        <v>3.4938867347591454E-2</v>
      </c>
      <c r="T14" s="126">
        <f>[2]Financials!S38/[2]Financials!S5</f>
        <v>3.6239322907135885E-2</v>
      </c>
      <c r="U14" s="126">
        <f>[2]Financials!T38/[2]Financials!T5</f>
        <v>3.6525490498853355E-2</v>
      </c>
      <c r="V14" s="126">
        <f>[2]Financials!U38/[2]Financials!U5</f>
        <v>3.5300921863640887E-2</v>
      </c>
      <c r="W14" s="126">
        <f>[2]Financials!V38/[2]Financials!V5</f>
        <v>3.4041136682678455E-2</v>
      </c>
      <c r="X14" s="126">
        <f>[2]Financials!W38/[2]Financials!W5</f>
        <v>3.198542789924811E-2</v>
      </c>
      <c r="Y14" s="126">
        <f>[2]Financials!X38/[2]Financials!X5</f>
        <v>3.2846823205390875E-2</v>
      </c>
      <c r="Z14" s="126">
        <f>[2]Financials!Y38/[2]Financials!Y5</f>
        <v>3.3764651904198653E-2</v>
      </c>
      <c r="AA14" s="126">
        <f>[2]Financials!Z38/[2]Financials!Z5</f>
        <v>2.8586263426393303E-2</v>
      </c>
      <c r="AB14" s="126">
        <f>[2]Financials!AA38/[2]Financials!AA5</f>
        <v>2.8852179377136074E-2</v>
      </c>
      <c r="AC14" s="126">
        <f>[2]Financials!AB38/[2]Financials!AB5</f>
        <v>3.0664373848573338E-2</v>
      </c>
      <c r="AD14" s="126">
        <f>[2]Financials!AC38/[2]Financials!AC5</f>
        <v>2.9552620725627778E-2</v>
      </c>
      <c r="AE14" s="126">
        <f>[2]Financials!AD38/[2]Financials!AD5</f>
        <v>3.276848489612335E-2</v>
      </c>
      <c r="AF14" s="126">
        <f>[2]Financials!AE38/[2]Financials!AE5</f>
        <v>3.1587303411040969E-2</v>
      </c>
      <c r="AG14" s="126">
        <f>[2]Financials!AF38/[2]Financials!AF5</f>
        <v>3.5862654261855254E-2</v>
      </c>
      <c r="AH14" s="126">
        <f>[2]Financials!AG38/[2]Financials!AG5</f>
        <v>4.017819416947075E-2</v>
      </c>
      <c r="AI14" s="126">
        <f>[2]Financials!AH38/[2]Financials!AH5</f>
        <v>3.9938982018973272E-2</v>
      </c>
      <c r="AJ14" s="126">
        <f>[2]Financials!AI38/[2]Financials!AI5</f>
        <v>4.2248924109226378E-2</v>
      </c>
      <c r="AK14" s="126" t="e">
        <f>('Evolutive SFP'!#REF!+'Evolutive SFP'!#REF!+'Evolutive SFP'!#REF!-'Evolutive SFP'!#REF!)/'Evolutive SFP'!#REF!</f>
        <v>#REF!</v>
      </c>
      <c r="AL14" s="126" t="e">
        <f>('Evolutive SFP'!#REF!+'Evolutive SFP'!#REF!+'Evolutive SFP'!#REF!)/'Evolutive SFP'!#REF!</f>
        <v>#REF!</v>
      </c>
      <c r="AM14" s="126" t="e">
        <f>('Evolutive SFP'!#REF!+'Evolutive SFP'!#REF!+'Evolutive SFP'!#REF!)/'Evolutive SFP'!#REF!</f>
        <v>#REF!</v>
      </c>
      <c r="AN14" s="126" t="e">
        <f>('Evolutive SFP'!#REF!+'Evolutive SFP'!#REF!+'Evolutive SFP'!#REF!)/'Evolutive SFP'!#REF!</f>
        <v>#REF!</v>
      </c>
      <c r="AO14" s="126" t="e">
        <f>('Evolutive SFP'!#REF!+'Evolutive SFP'!#REF!+'Evolutive SFP'!#REF!)/'Evolutive SFP'!#REF!</f>
        <v>#REF!</v>
      </c>
      <c r="AP14" s="126" t="e">
        <f>('Evolutive SFP'!#REF!+'Evolutive SFP'!#REF!+'Evolutive SFP'!#REF!)/'Evolutive SFP'!#REF!</f>
        <v>#REF!</v>
      </c>
      <c r="AQ14" s="126" t="e">
        <f>('Evolutive SFP'!#REF!+'Evolutive SFP'!#REF!+'Evolutive SFP'!#REF!)/'Evolutive SFP'!#REF!</f>
        <v>#REF!</v>
      </c>
      <c r="AR14" s="126" t="e">
        <f>('Evolutive SFP'!#REF!+'Evolutive SFP'!#REF!+'Evolutive SFP'!#REF!)/'Evolutive SFP'!#REF!</f>
        <v>#REF!</v>
      </c>
      <c r="AS14" s="126" t="e">
        <f>('Evolutive SFP'!#REF!+'Evolutive SFP'!#REF!+'Evolutive SFP'!#REF!)/'Evolutive SFP'!#REF!</f>
        <v>#REF!</v>
      </c>
      <c r="AT14" s="126" t="e">
        <f>('Evolutive SFP'!#REF!+'Evolutive SFP'!#REF!+'Evolutive SFP'!#REF!)/'Evolutive SFP'!#REF!</f>
        <v>#REF!</v>
      </c>
      <c r="AU14" s="126" t="e">
        <f>('Evolutive SFP'!#REF!+'Evolutive SFP'!#REF!+'Evolutive SFP'!#REF!)/'Evolutive SFP'!#REF!</f>
        <v>#REF!</v>
      </c>
      <c r="AV14" s="126" t="e">
        <f>('Evolutive SFP'!#REF!+'Evolutive SFP'!#REF!+'Evolutive SFP'!#REF!)/'Evolutive SFP'!#REF!</f>
        <v>#REF!</v>
      </c>
      <c r="AW14" s="126" t="e">
        <f>('Evolutive SFP'!#REF!+'Evolutive SFP'!#REF!+'Evolutive SFP'!#REF!)/'Evolutive SFP'!#REF!</f>
        <v>#REF!</v>
      </c>
      <c r="AX14" s="126" t="e">
        <f>('Evolutive SFP'!#REF!+'Evolutive SFP'!#REF!+'Evolutive SFP'!#REF!)/'Evolutive SFP'!#REF!</f>
        <v>#REF!</v>
      </c>
      <c r="AY14" s="126" t="e">
        <f>('Evolutive SFP'!#REF!+'Evolutive SFP'!#REF!+'Evolutive SFP'!#REF!)/'Evolutive SFP'!#REF!</f>
        <v>#REF!</v>
      </c>
      <c r="AZ14" s="126" t="e">
        <f>('Evolutive SFP'!#REF!+'Evolutive SFP'!#REF!+'Evolutive SFP'!#REF!)/'Evolutive SFP'!#REF!</f>
        <v>#REF!</v>
      </c>
      <c r="BA14" s="126" t="e">
        <f>('Evolutive SFP'!#REF!+'Evolutive SFP'!#REF!+'Evolutive SFP'!#REF!)/'Evolutive SFP'!#REF!</f>
        <v>#REF!</v>
      </c>
      <c r="BB14" s="126" t="e">
        <f>('Evolutive SFP'!#REF!+'Evolutive SFP'!#REF!+'Evolutive SFP'!#REF!)/'Evolutive SFP'!#REF!</f>
        <v>#REF!</v>
      </c>
      <c r="BC14" s="126" t="e">
        <f>('Evolutive SFP'!#REF!+'Evolutive SFP'!#REF!+'Evolutive SFP'!#REF!)/'Evolutive SFP'!#REF!</f>
        <v>#REF!</v>
      </c>
      <c r="BD14" s="126" t="e">
        <f>('Evolutive SFP'!#REF!+'Evolutive SFP'!#REF!+'Evolutive SFP'!#REF!)/'Evolutive SFP'!#REF!</f>
        <v>#REF!</v>
      </c>
      <c r="BE14" s="126" t="e">
        <f>('Evolutive SFP'!#REF!+'Evolutive SFP'!#REF!+'Evolutive SFP'!#REF!)/'Evolutive SFP'!#REF!</f>
        <v>#REF!</v>
      </c>
      <c r="BF14" s="126" t="e">
        <f>('Evolutive SFP'!#REF!+'Evolutive SFP'!#REF!+'Evolutive SFP'!#REF!)/'Evolutive SFP'!#REF!</f>
        <v>#REF!</v>
      </c>
      <c r="BG14" s="126" t="e">
        <f>('Evolutive SFP'!#REF!+'Evolutive SFP'!#REF!+'Evolutive SFP'!#REF!)/'Evolutive SFP'!#REF!</f>
        <v>#REF!</v>
      </c>
      <c r="BH14" s="126" t="e">
        <f>('Evolutive SFP'!#REF!+'Evolutive SFP'!#REF!+'Evolutive SFP'!#REF!)/'Evolutive SFP'!#REF!</f>
        <v>#REF!</v>
      </c>
      <c r="BI14" s="126" t="e">
        <f>('Evolutive SFP'!#REF!+'Evolutive SFP'!#REF!+'Evolutive SFP'!#REF!)/'Evolutive SFP'!#REF!</f>
        <v>#REF!</v>
      </c>
      <c r="BJ14" s="126" t="e">
        <f>('Evolutive SFP'!#REF!+'Evolutive SFP'!#REF!+'Evolutive SFP'!#REF!)/'Evolutive SFP'!#REF!</f>
        <v>#REF!</v>
      </c>
      <c r="BK14" s="126" t="e">
        <f>('Evolutive SFP'!#REF!+'Evolutive SFP'!#REF!+'Evolutive SFP'!#REF!)/'Evolutive SFP'!#REF!</f>
        <v>#REF!</v>
      </c>
      <c r="BL14" s="126" t="e">
        <f>('Evolutive SFP'!#REF!+'Evolutive SFP'!#REF!+'Evolutive SFP'!#REF!)/'Evolutive SFP'!#REF!</f>
        <v>#REF!</v>
      </c>
      <c r="BM14" s="126" t="e">
        <f>('Evolutive SFP'!#REF!+'Evolutive SFP'!#REF!+'Evolutive SFP'!#REF!)/'Evolutive SFP'!#REF!</f>
        <v>#REF!</v>
      </c>
      <c r="BN14" s="126" t="e">
        <f>('Evolutive SFP'!#REF!+'Evolutive SFP'!#REF!+'Evolutive SFP'!#REF!)/'Evolutive SFP'!#REF!</f>
        <v>#REF!</v>
      </c>
      <c r="BO14" s="126" t="e">
        <f>('Evolutive SFP'!#REF!+'Evolutive SFP'!#REF!+'Evolutive SFP'!#REF!)/'Evolutive SFP'!#REF!</f>
        <v>#REF!</v>
      </c>
      <c r="BP14" s="126" t="e">
        <f>('Evolutive SFP'!#REF!+'Evolutive SFP'!#REF!+'Evolutive SFP'!#REF!)/'Evolutive SFP'!#REF!</f>
        <v>#REF!</v>
      </c>
      <c r="BQ14" s="126" t="e">
        <f>('Evolutive SFP'!#REF!+'Evolutive SFP'!#REF!+'Evolutive SFP'!#REF!)/'Evolutive SFP'!#REF!</f>
        <v>#REF!</v>
      </c>
      <c r="BR14" s="126" t="e">
        <f>('Evolutive SFP'!#REF!+'Evolutive SFP'!#REF!+'Evolutive SFP'!#REF!)/'Evolutive SFP'!#REF!</f>
        <v>#REF!</v>
      </c>
      <c r="BS14" s="126" t="e">
        <f>('Evolutive SFP'!#REF!+'Evolutive SFP'!#REF!+'Evolutive SFP'!#REF!)/'Evolutive SFP'!#REF!</f>
        <v>#REF!</v>
      </c>
      <c r="BT14" s="126" t="e">
        <f>('Evolutive SFP'!#REF!+'Evolutive SFP'!#REF!+'Evolutive SFP'!#REF!)/'Evolutive SFP'!#REF!</f>
        <v>#REF!</v>
      </c>
      <c r="BU14" s="126" t="e">
        <f>('Evolutive SFP'!#REF!+'Evolutive SFP'!#REF!+'Evolutive SFP'!#REF!)/'Evolutive SFP'!#REF!</f>
        <v>#REF!</v>
      </c>
      <c r="BV14" s="126" t="e">
        <f>('Evolutive SFP'!#REF!+'Evolutive SFP'!#REF!+'Evolutive SFP'!#REF!)/'Evolutive SFP'!#REF!</f>
        <v>#REF!</v>
      </c>
      <c r="BW14" s="126" t="e">
        <f>('Evolutive SFP'!#REF!+'Evolutive SFP'!#REF!+'Evolutive SFP'!#REF!)/'Evolutive SFP'!#REF!</f>
        <v>#REF!</v>
      </c>
      <c r="BX14" s="126" t="e">
        <f>('Evolutive SFP'!#REF!+'Evolutive SFP'!#REF!+'Evolutive SFP'!#REF!)/'Evolutive SFP'!#REF!</f>
        <v>#REF!</v>
      </c>
      <c r="BY14" s="126" t="e">
        <f>('Evolutive SFP'!#REF!+'Evolutive SFP'!#REF!+'Evolutive SFP'!#REF!)/'Evolutive SFP'!#REF!</f>
        <v>#REF!</v>
      </c>
      <c r="BZ14" s="126">
        <f>('Evolutive SFP'!BV7+'Evolutive SFP'!BV17+'Evolutive SFP'!BV21)/'Evolutive SFP'!BV27</f>
        <v>0.36746879498518215</v>
      </c>
      <c r="CA14" s="126">
        <f>('Evolutive SFP'!BW7+'Evolutive SFP'!BW17+'Evolutive SFP'!BW21)/'Evolutive SFP'!BW27</f>
        <v>0.19814853624019868</v>
      </c>
      <c r="CB14" s="126">
        <f>('Evolutive SFP'!BX7+'Evolutive SFP'!BX17+'Evolutive SFP'!BX21)/'Evolutive SFP'!BX27</f>
        <v>0.19624893328452986</v>
      </c>
      <c r="CC14" s="126">
        <f>('Evolutive SFP'!BY7+'Evolutive SFP'!BY17+'Evolutive SFP'!BY21)/'Evolutive SFP'!BY27</f>
        <v>0.19776978159794761</v>
      </c>
      <c r="CD14" s="126">
        <f>('Evolutive SFP'!BZ7+'Evolutive SFP'!BZ17+'Evolutive SFP'!BZ21)/'Evolutive SFP'!BZ27</f>
        <v>0.17666891143428382</v>
      </c>
      <c r="CE14" s="126">
        <f>('Evolutive SFP'!CA7+'Evolutive SFP'!CA17+'Evolutive SFP'!CA21)/'Evolutive SFP'!CA27</f>
        <v>0.18676669089629011</v>
      </c>
      <c r="CF14" s="126">
        <f>('Evolutive SFP'!CB7+'Evolutive SFP'!CB17+'Evolutive SFP'!CB21)/'Evolutive SFP'!CB27</f>
        <v>0.15137981166792361</v>
      </c>
      <c r="CG14" s="126" t="e">
        <f>('Evolutive SFP'!#REF!+'Evolutive SFP'!#REF!+'Evolutive SFP'!#REF!)/'Evolutive SFP'!#REF!</f>
        <v>#REF!</v>
      </c>
      <c r="CH14" s="126">
        <f>('Evolutive SFP'!CC7+'Evolutive SFP'!CC17+'Evolutive SFP'!CC21)/'Evolutive SFP'!CC27</f>
        <v>0.16597869692856029</v>
      </c>
      <c r="CI14" s="126">
        <f>('Evolutive SFP'!CD7+'Evolutive SFP'!CD17+'Evolutive SFP'!CD21)/'Evolutive SFP'!CD27</f>
        <v>0.12270392217982841</v>
      </c>
      <c r="CJ14" s="126">
        <f>('Evolutive SFP'!CE7+'Evolutive SFP'!CE17+'Evolutive SFP'!CE21)/'Evolutive SFP'!CE27</f>
        <v>0.14730117606183166</v>
      </c>
      <c r="CK14" s="126">
        <f>('Evolutive SFP'!CF7+'Evolutive SFP'!CF17+'Evolutive SFP'!CF21)/'Evolutive SFP'!CF27</f>
        <v>0.16012458949155928</v>
      </c>
      <c r="CL14" s="126">
        <f>('Evolutive SFP'!CG7+'Evolutive SFP'!CG17+'Evolutive SFP'!CG21)/'Evolutive SFP'!CG27</f>
        <v>0.17069966050835622</v>
      </c>
      <c r="CM14" s="126">
        <f>('Evolutive SFP'!CH7+'Evolutive SFP'!CH17+'Evolutive SFP'!CH21)/'Evolutive SFP'!CH27</f>
        <v>0.17069966039919285</v>
      </c>
      <c r="CN14" s="126">
        <f>('Evolutive SFP'!CI7+'Evolutive SFP'!CI17+'Evolutive SFP'!CI21)/'Evolutive SFP'!CI27</f>
        <v>0.17644880869361887</v>
      </c>
      <c r="CO14" s="126">
        <f>('Evolutive SFP'!CJ7+'Evolutive SFP'!CJ17+'Evolutive SFP'!CJ21)/'Evolutive SFP'!CJ27</f>
        <v>0.17779675826080743</v>
      </c>
      <c r="CP14" s="126">
        <f>('Evolutive SFP'!CK7+'Evolutive SFP'!CK17+'Evolutive SFP'!CK21)/'Evolutive SFP'!CK27</f>
        <v>0.1771544184117391</v>
      </c>
      <c r="CQ14" s="126">
        <f>('Evolutive SFP'!CL7+'Evolutive SFP'!CL17+'Evolutive SFP'!CL21)/'Evolutive SFP'!CL27</f>
        <v>0.17688836796526913</v>
      </c>
      <c r="CR14" s="126">
        <f>('Evolutive SFP'!CM7+'Evolutive SFP'!CM17+'Evolutive SFP'!CM21)/'Evolutive SFP'!CM27</f>
        <v>0.17956625692540035</v>
      </c>
      <c r="CS14" s="126">
        <f>('Evolutive SFP'!CN7+'Evolutive SFP'!CN17+'Evolutive SFP'!CN21)/'Evolutive SFP'!CN27</f>
        <v>0.18201830350837364</v>
      </c>
      <c r="CT14" s="126">
        <f>('Evolutive SFP'!CO7+'Evolutive SFP'!CO17+'Evolutive SFP'!CO21)/'Evolutive SFP'!CO27</f>
        <v>0.18533908048795117</v>
      </c>
      <c r="CU14" s="126">
        <f>('Evolutive SFP'!CP7+'Evolutive SFP'!CP17+'Evolutive SFP'!CP21)/'Evolutive SFP'!CP27</f>
        <v>0.18799483567891867</v>
      </c>
      <c r="CV14" s="126">
        <f>('Evolutive SFP'!CQ7+'Evolutive SFP'!CQ17+'Evolutive SFP'!CQ21)/'Evolutive SFP'!CQ27</f>
        <v>0.13879610310685306</v>
      </c>
      <c r="CW14" s="126">
        <f>('Evolutive SFP'!CR7+'Evolutive SFP'!CR17+'Evolutive SFP'!CR21)/'Evolutive SFP'!CR27</f>
        <v>0.13691584699971801</v>
      </c>
      <c r="CX14" s="126">
        <f>('Evolutive SFP'!CS7+'Evolutive SFP'!CS17+'Evolutive SFP'!CS21)/'Evolutive SFP'!CS27</f>
        <v>0.14883688812854953</v>
      </c>
      <c r="CY14" s="126">
        <f>('Evolutive SFP'!CT7+'Evolutive SFP'!CT17+'Evolutive SFP'!CT21)/'Evolutive SFP'!CT27</f>
        <v>0.15412471507146258</v>
      </c>
      <c r="CZ14" s="126">
        <f>('Evolutive SFP'!CU7+'Evolutive SFP'!CU17+'Evolutive SFP'!CU21)/'Evolutive SFP'!CU27</f>
        <v>0.12546839826074413</v>
      </c>
      <c r="DA14" s="126">
        <f>('Evolutive SFP'!CV7+'Evolutive SFP'!CV17+'Evolutive SFP'!CV21)/'Evolutive SFP'!CV27</f>
        <v>0.12891124503252813</v>
      </c>
      <c r="DB14" s="126">
        <f>('Evolutive SFP'!CW7+'Evolutive SFP'!CW17+'Evolutive SFP'!CW21)/'Evolutive SFP'!CW27</f>
        <v>0.12976031772272048</v>
      </c>
      <c r="DC14" s="126">
        <f>('Evolutive SFP'!CX7+'Evolutive SFP'!CX17+'Evolutive SFP'!CX21)/'Evolutive SFP'!CX27</f>
        <v>0.12996935542376281</v>
      </c>
      <c r="DD14" s="126">
        <f>('Evolutive SFP'!CY7+'Evolutive SFP'!CY17+'Evolutive SFP'!CY21)/'Evolutive SFP'!CY27</f>
        <v>0.12801637203099392</v>
      </c>
      <c r="DE14" s="126">
        <f>('Evolutive SFP'!CZ7+'Evolutive SFP'!CZ17+'Evolutive SFP'!CZ21)/'Evolutive SFP'!CZ27</f>
        <v>0.12836613404187369</v>
      </c>
      <c r="DF14" s="126">
        <f>('Evolutive SFP'!DA7+'Evolutive SFP'!DA17+'Evolutive SFP'!DA21)/'Evolutive SFP'!DA27</f>
        <v>0.1288586213517886</v>
      </c>
      <c r="DG14" s="126">
        <f>('Evolutive SFP'!DB7+'Evolutive SFP'!DB17+'Evolutive SFP'!DB21)/'Evolutive SFP'!DB27</f>
        <v>0.1255174119269365</v>
      </c>
      <c r="DH14" s="126">
        <f>('Evolutive SFP'!DC7+'Evolutive SFP'!DC17+'Evolutive SFP'!DC21)/'Evolutive SFP'!DC27</f>
        <v>0.10640553337381259</v>
      </c>
      <c r="DI14" s="126">
        <f>('Evolutive SFP'!DD7+'Evolutive SFP'!DD17+'Evolutive SFP'!DD21)/'Evolutive SFP'!DD27</f>
        <v>0.11177442946461906</v>
      </c>
      <c r="DJ14" s="126">
        <f>('Evolutive SFP'!DE7+'Evolutive SFP'!DE17+'Evolutive SFP'!DE21)/'Evolutive SFP'!DE27</f>
        <v>0.11439210574201045</v>
      </c>
    </row>
    <row r="15" spans="1:114" s="104" customFormat="1" ht="12.75">
      <c r="A15" s="121" t="s">
        <v>350</v>
      </c>
      <c r="B15" s="122" t="s">
        <v>351</v>
      </c>
      <c r="C15" s="123">
        <v>48.1</v>
      </c>
      <c r="D15" s="126" t="e">
        <f>[2]Financials!C39/[2]Financials!C5</f>
        <v>#DIV/0!</v>
      </c>
      <c r="E15" s="126" t="e">
        <f>[2]Financials!D39/[2]Financials!D5</f>
        <v>#DIV/0!</v>
      </c>
      <c r="F15" s="126" t="e">
        <f>[2]Financials!E39/[2]Financials!E5</f>
        <v>#DIV/0!</v>
      </c>
      <c r="G15" s="126" t="e">
        <f>[2]Financials!F39/[2]Financials!F5</f>
        <v>#DIV/0!</v>
      </c>
      <c r="H15" s="126" t="e">
        <f>[2]Financials!G39/[2]Financials!G5</f>
        <v>#DIV/0!</v>
      </c>
      <c r="I15" s="126" t="e">
        <f>[2]Financials!H39/[2]Financials!H5</f>
        <v>#DIV/0!</v>
      </c>
      <c r="J15" s="126" t="e">
        <f>[2]Financials!I39/[2]Financials!I5</f>
        <v>#DIV/0!</v>
      </c>
      <c r="K15" s="126">
        <f>[2]Financials!J39/[2]Financials!J5</f>
        <v>1.9195265375530655E-2</v>
      </c>
      <c r="L15" s="126">
        <f>[2]Financials!K39/[2]Financials!K5</f>
        <v>2.7597945798810131E-2</v>
      </c>
      <c r="M15" s="126">
        <f>[2]Financials!L39/[2]Financials!L5</f>
        <v>2.7141758829233417E-2</v>
      </c>
      <c r="N15" s="126">
        <f>[2]Financials!M39/[2]Financials!M5</f>
        <v>2.8377621976402111E-2</v>
      </c>
      <c r="O15" s="126">
        <f>[2]Financials!N39/[2]Financials!N5</f>
        <v>3.005544578239585E-2</v>
      </c>
      <c r="P15" s="126">
        <f>[2]Financials!O39/[2]Financials!O5</f>
        <v>3.0515872062859314E-2</v>
      </c>
      <c r="Q15" s="126">
        <f>[2]Financials!P39/[2]Financials!P5</f>
        <v>3.2728383435924789E-2</v>
      </c>
      <c r="R15" s="126">
        <f>[2]Financials!Q39/[2]Financials!Q5</f>
        <v>3.3977405844558849E-2</v>
      </c>
      <c r="S15" s="126">
        <f>[2]Financials!R39/[2]Financials!R5</f>
        <v>3.4938867347591454E-2</v>
      </c>
      <c r="T15" s="126">
        <f>[2]Financials!S39/[2]Financials!S5</f>
        <v>3.6239322907135885E-2</v>
      </c>
      <c r="U15" s="126">
        <f>[2]Financials!T39/[2]Financials!T5</f>
        <v>3.6525490498853355E-2</v>
      </c>
      <c r="V15" s="126">
        <f>[2]Financials!U39/[2]Financials!U5</f>
        <v>3.5300921863640887E-2</v>
      </c>
      <c r="W15" s="126">
        <f>[2]Financials!V39/[2]Financials!V5</f>
        <v>3.4041136682678455E-2</v>
      </c>
      <c r="X15" s="126">
        <f>[2]Financials!W39/[2]Financials!W5</f>
        <v>3.198542789924811E-2</v>
      </c>
      <c r="Y15" s="126">
        <f>[2]Financials!X39/[2]Financials!X5</f>
        <v>3.2846823205390875E-2</v>
      </c>
      <c r="Z15" s="126">
        <f>[2]Financials!Y39/[2]Financials!Y5</f>
        <v>3.3764651904198653E-2</v>
      </c>
      <c r="AA15" s="126">
        <f>[2]Financials!Z39/[2]Financials!Z5</f>
        <v>2.8586263426393303E-2</v>
      </c>
      <c r="AB15" s="126">
        <f>[2]Financials!AA39/[2]Financials!AA5</f>
        <v>2.8852179377136074E-2</v>
      </c>
      <c r="AC15" s="126">
        <f>[2]Financials!AB39/[2]Financials!AB5</f>
        <v>3.0664373848573338E-2</v>
      </c>
      <c r="AD15" s="126">
        <f>[2]Financials!AC39/[2]Financials!AC5</f>
        <v>2.9552620725627778E-2</v>
      </c>
      <c r="AE15" s="126">
        <f>[2]Financials!AD39/[2]Financials!AD5</f>
        <v>3.276848489612335E-2</v>
      </c>
      <c r="AF15" s="126">
        <f>[2]Financials!AE39/[2]Financials!AE5</f>
        <v>3.1587303411040969E-2</v>
      </c>
      <c r="AG15" s="126">
        <f>[2]Financials!AF39/[2]Financials!AF5</f>
        <v>3.5862654261855254E-2</v>
      </c>
      <c r="AH15" s="126">
        <f>[2]Financials!AG39/[2]Financials!AG5</f>
        <v>4.017819416947075E-2</v>
      </c>
      <c r="AI15" s="126">
        <f>[2]Financials!AH39/[2]Financials!AH5</f>
        <v>3.9938982018973272E-2</v>
      </c>
      <c r="AJ15" s="126">
        <f>[2]Financials!AI39/[2]Financials!AI5</f>
        <v>4.2248924109226378E-2</v>
      </c>
      <c r="AK15" s="126" t="e">
        <f>Financials!D35/Financials!D4</f>
        <v>#REF!</v>
      </c>
      <c r="AL15" s="126" t="e">
        <f>Financials!E35/Financials!E4</f>
        <v>#REF!</v>
      </c>
      <c r="AM15" s="126" t="e">
        <f>Financials!F35/Financials!F4</f>
        <v>#REF!</v>
      </c>
      <c r="AN15" s="126" t="e">
        <f>Financials!G35/Financials!G4</f>
        <v>#REF!</v>
      </c>
      <c r="AO15" s="126" t="e">
        <f>Financials!H35/Financials!H4</f>
        <v>#REF!</v>
      </c>
      <c r="AP15" s="126" t="e">
        <f>Financials!I35/Financials!I4</f>
        <v>#REF!</v>
      </c>
      <c r="AQ15" s="126" t="e">
        <f>Financials!J35/Financials!J4</f>
        <v>#REF!</v>
      </c>
      <c r="AR15" s="126" t="e">
        <f>Financials!K35/Financials!K4</f>
        <v>#REF!</v>
      </c>
      <c r="AS15" s="126" t="e">
        <f>Financials!L35/Financials!L4</f>
        <v>#REF!</v>
      </c>
      <c r="AT15" s="126" t="e">
        <f>Financials!M35/Financials!M4</f>
        <v>#REF!</v>
      </c>
      <c r="AU15" s="126" t="e">
        <f>Financials!N35/Financials!N4</f>
        <v>#REF!</v>
      </c>
      <c r="AV15" s="126" t="e">
        <f>Financials!O35/Financials!O4</f>
        <v>#REF!</v>
      </c>
      <c r="AW15" s="126" t="e">
        <f>Financials!P35/Financials!P4</f>
        <v>#REF!</v>
      </c>
      <c r="AX15" s="126" t="e">
        <f>Financials!Q35/Financials!Q4</f>
        <v>#REF!</v>
      </c>
      <c r="AY15" s="126" t="e">
        <f>Financials!R35/Financials!R4</f>
        <v>#REF!</v>
      </c>
      <c r="AZ15" s="126">
        <f>Financials!S35/Financials!S4</f>
        <v>0.19518192961088845</v>
      </c>
      <c r="BA15" s="126">
        <f>Financials!T35/Financials!T4</f>
        <v>1.2829756786970849E-2</v>
      </c>
      <c r="BB15" s="126">
        <f>Financials!U35/Financials!U4</f>
        <v>1.2709359062095752E-2</v>
      </c>
      <c r="BC15" s="126">
        <f>Financials!V35/Financials!V4</f>
        <v>1.2512072871070191E-2</v>
      </c>
      <c r="BD15" s="126">
        <f>Financials!W35/Financials!W4</f>
        <v>1.3485491714020392E-2</v>
      </c>
      <c r="BE15" s="126">
        <f>Financials!X35/Financials!X4</f>
        <v>1.0681012679739874E-2</v>
      </c>
      <c r="BF15" s="126">
        <f>Financials!Y35/Financials!Y4</f>
        <v>1.1247572691290834E-2</v>
      </c>
      <c r="BG15" s="126">
        <f>Financials!Z35/Financials!Z4</f>
        <v>1.1881016357816233E-2</v>
      </c>
      <c r="BH15" s="126">
        <f>Financials!AA35/Financials!AA4</f>
        <v>1.2512691169787548E-2</v>
      </c>
      <c r="BI15" s="126">
        <f>Financials!AB35/Financials!AB4</f>
        <v>1.2627587350491841E-2</v>
      </c>
      <c r="BJ15" s="126">
        <f>Financials!AC35/Financials!AC4</f>
        <v>1.3668786686661973E-2</v>
      </c>
      <c r="BK15" s="126">
        <f>Financials!AD35/Financials!AD4</f>
        <v>1.3930260667932175E-2</v>
      </c>
      <c r="BL15" s="126">
        <f>Financials!AE35/Financials!AE4</f>
        <v>1.252417024397106E-2</v>
      </c>
      <c r="BM15" s="126">
        <f>Financials!AF35/Financials!AF4</f>
        <v>2.0550495655186515E-2</v>
      </c>
      <c r="BN15" s="126">
        <f>Financials!AG35/Financials!AG4</f>
        <v>1.3412870951912133E-2</v>
      </c>
      <c r="BO15" s="126">
        <f>Financials!AH35/Financials!AH4</f>
        <v>1.3549928874945253E-2</v>
      </c>
      <c r="BP15" s="126">
        <f>Financials!AI35/Financials!AI4</f>
        <v>1.3327732904850139E-2</v>
      </c>
      <c r="BQ15" s="126">
        <f>Financials!AJ35/Financials!AJ4</f>
        <v>1.3358729466371209E-2</v>
      </c>
      <c r="BR15" s="126">
        <f>Financials!AK35/Financials!AK4</f>
        <v>1.4188838036127213E-2</v>
      </c>
      <c r="BS15" s="126">
        <f>Financials!AL35/Financials!AL4</f>
        <v>1.306076069320663E-2</v>
      </c>
      <c r="BT15" s="126">
        <f>Financials!AM35/Financials!AM4</f>
        <v>9.2401067602316412E-3</v>
      </c>
      <c r="BU15" s="126">
        <f>Financials!AN35/Financials!AN4</f>
        <v>9.4748193622545742E-3</v>
      </c>
      <c r="BV15" s="126">
        <f>Financials!AO35/Financials!AO4</f>
        <v>1.7356557700527343E-2</v>
      </c>
      <c r="BW15" s="126">
        <f>Financials!AP35/Financials!AP4</f>
        <v>1.7786662402566739E-2</v>
      </c>
      <c r="BX15" s="126">
        <f>Financials!AQ35/Financials!AQ4</f>
        <v>1.8543472046205552E-2</v>
      </c>
      <c r="BY15" s="126">
        <f>Financials!AR35/Financials!AR4</f>
        <v>1.6814214253667296E-2</v>
      </c>
      <c r="BZ15" s="126">
        <f>Financials!AS35/Financials!AS4</f>
        <v>2.1923844904217116E-2</v>
      </c>
      <c r="CA15" s="126">
        <f>Financials!AT35/Financials!AT4</f>
        <v>1.6969914939692427E-2</v>
      </c>
      <c r="CB15" s="126">
        <f>Financials!AU35/Financials!AU4</f>
        <v>1.672460862045029E-2</v>
      </c>
      <c r="CC15" s="126">
        <f>Financials!AV35/Financials!AV4</f>
        <v>1.6710702582818468E-2</v>
      </c>
      <c r="CD15" s="126">
        <f>Financials!AW35/Financials!AW4</f>
        <v>1.4428624878016907E-2</v>
      </c>
      <c r="CE15" s="126">
        <f>Financials!AX35/Financials!AX4</f>
        <v>1.5362401089321239E-2</v>
      </c>
      <c r="CF15" s="126">
        <f>Financials!AY35/Financials!AY4</f>
        <v>1.273410848833708E-2</v>
      </c>
      <c r="CG15" s="126" t="e">
        <f>Financials!AZ35/Financials!AZ4</f>
        <v>#REF!</v>
      </c>
      <c r="CH15" s="126">
        <f>Financials!BA35/Financials!BA4</f>
        <v>1.3414629440993361E-2</v>
      </c>
      <c r="CI15" s="126">
        <f>Financials!BB35/Financials!BB4</f>
        <v>9.8590821280182678E-3</v>
      </c>
      <c r="CJ15" s="126">
        <f>Financials!BC35/Financials!BC4</f>
        <v>1.1199289605354207E-2</v>
      </c>
      <c r="CK15" s="126">
        <f>Financials!BD35/Financials!BD4</f>
        <v>1.2052782439260558E-2</v>
      </c>
      <c r="CL15" s="126">
        <f>Financials!BE35/Financials!BE4</f>
        <v>1.2435545702865251E-2</v>
      </c>
      <c r="CM15" s="126">
        <f>Financials!BF35/Financials!BF4</f>
        <v>1.2435544634448943E-2</v>
      </c>
      <c r="CN15" s="126">
        <f>Financials!BG35/Financials!BG4</f>
        <v>1.2607489898459241E-2</v>
      </c>
      <c r="CO15" s="126">
        <f>Financials!BH35/Financials!BH4</f>
        <v>1.2575075936972808E-2</v>
      </c>
      <c r="CP15" s="126">
        <f>Financials!BI35/Financials!BI4</f>
        <v>1.2325759769324238E-2</v>
      </c>
      <c r="CQ15" s="126">
        <f>Financials!BJ35/Financials!BJ4</f>
        <v>1.1902964494132985E-2</v>
      </c>
      <c r="CR15" s="126">
        <f>Financials!BK35/Financials!BK4</f>
        <v>1.2173878689863705E-2</v>
      </c>
      <c r="CS15" s="126">
        <f>Financials!BL35/Financials!BL4</f>
        <v>1.2185307348984056E-2</v>
      </c>
      <c r="CT15" s="126">
        <f>Financials!BM35/Financials!BM4</f>
        <v>1.2080379698392743E-2</v>
      </c>
      <c r="CU15" s="126">
        <f>Financials!BN35/Financials!BN4</f>
        <v>1.2499568863106365E-2</v>
      </c>
      <c r="CV15" s="126">
        <f>Financials!BO35/Financials!BO4</f>
        <v>8.9177383242232972E-3</v>
      </c>
      <c r="CW15" s="126">
        <f>Financials!BP35/Financials!BP4</f>
        <v>8.5406066590110827E-3</v>
      </c>
      <c r="CX15" s="126">
        <f>Financials!BQ35/Financials!BQ4</f>
        <v>9.4280742169198465E-3</v>
      </c>
      <c r="CY15" s="126">
        <f>Financials!BR35/Financials!BR4</f>
        <v>9.3063530971564459E-3</v>
      </c>
      <c r="CZ15" s="126">
        <f>Financials!BS35/Financials!BS4</f>
        <v>1.1192329167356581E-2</v>
      </c>
      <c r="DA15" s="126">
        <f>Financials!BT35/Financials!BT4</f>
        <v>1.3280927758870992E-2</v>
      </c>
      <c r="DB15" s="126">
        <f>Financials!BU35/Financials!BU4</f>
        <v>1.3251887069087389E-2</v>
      </c>
      <c r="DC15" s="126">
        <f>Financials!BV35/Financials!BV4</f>
        <v>1.3096162701657482E-2</v>
      </c>
      <c r="DD15" s="126">
        <f>Financials!BW35/Financials!BW4</f>
        <v>1.2775333561555167E-2</v>
      </c>
      <c r="DE15" s="126">
        <f>Financials!BX35/Financials!BX4</f>
        <v>1.2647764056826166E-2</v>
      </c>
      <c r="DF15" s="126">
        <f>Financials!BY35/Financials!BY4</f>
        <v>1.2673435933844077E-2</v>
      </c>
      <c r="DG15" s="126">
        <f>Financials!BZ35/Financials!BZ4</f>
        <v>1.230503857623657E-2</v>
      </c>
      <c r="DH15" s="126">
        <f>Financials!CA35/Financials!CA4</f>
        <v>1.0438800014195648E-2</v>
      </c>
      <c r="DI15" s="126">
        <f>Financials!CB35/Financials!CB4</f>
        <v>1.0385201670854457E-2</v>
      </c>
      <c r="DJ15" s="126">
        <f>Financials!CC35/Financials!CC4</f>
        <v>1.0537394752006978E-2</v>
      </c>
    </row>
    <row r="16" spans="1:114" s="104" customFormat="1" ht="12.75">
      <c r="A16" s="121" t="s">
        <v>352</v>
      </c>
      <c r="B16" s="122" t="s">
        <v>353</v>
      </c>
      <c r="C16" s="123">
        <v>41</v>
      </c>
      <c r="D16" s="130" t="e">
        <f>[2]Financials!C34/[2]Financials!C5</f>
        <v>#DIV/0!</v>
      </c>
      <c r="E16" s="130" t="e">
        <f>[2]Financials!D34/[2]Financials!D5</f>
        <v>#DIV/0!</v>
      </c>
      <c r="F16" s="130" t="e">
        <f>[2]Financials!E34/[2]Financials!E5</f>
        <v>#DIV/0!</v>
      </c>
      <c r="G16" s="130" t="e">
        <f>[2]Financials!F34/[2]Financials!F5</f>
        <v>#DIV/0!</v>
      </c>
      <c r="H16" s="130" t="e">
        <f>[2]Financials!G34/[2]Financials!G5</f>
        <v>#DIV/0!</v>
      </c>
      <c r="I16" s="130" t="e">
        <f>[2]Financials!H34/[2]Financials!H5</f>
        <v>#DIV/0!</v>
      </c>
      <c r="J16" s="130" t="e">
        <f>[2]Financials!I34/[2]Financials!I5</f>
        <v>#DIV/0!</v>
      </c>
      <c r="K16" s="130">
        <f>[2]Financials!J34/[2]Financials!J5</f>
        <v>0</v>
      </c>
      <c r="L16" s="130">
        <f>[2]Financials!K34/[2]Financials!K5</f>
        <v>0</v>
      </c>
      <c r="M16" s="130">
        <f>[2]Financials!L34/[2]Financials!L5</f>
        <v>0</v>
      </c>
      <c r="N16" s="130">
        <f>[2]Financials!M34/[2]Financials!M5</f>
        <v>6.4634658915947597E-3</v>
      </c>
      <c r="O16" s="130">
        <f>[2]Financials!N34/[2]Financials!N5</f>
        <v>0</v>
      </c>
      <c r="P16" s="130">
        <f>[2]Financials!O34/[2]Financials!O5</f>
        <v>0</v>
      </c>
      <c r="Q16" s="130">
        <f>[2]Financials!P34/[2]Financials!P5</f>
        <v>2.8681885521962243E-3</v>
      </c>
      <c r="R16" s="130">
        <f>[2]Financials!Q34/[2]Financials!Q5</f>
        <v>0</v>
      </c>
      <c r="S16" s="130">
        <f>[2]Financials!R34/[2]Financials!R5</f>
        <v>0</v>
      </c>
      <c r="T16" s="130">
        <f>[2]Financials!S34/[2]Financials!S5</f>
        <v>2.1905183497011814E-3</v>
      </c>
      <c r="U16" s="130">
        <f>[2]Financials!T34/[2]Financials!T5</f>
        <v>0</v>
      </c>
      <c r="V16" s="130">
        <f>[2]Financials!U34/[2]Financials!U5</f>
        <v>0</v>
      </c>
      <c r="W16" s="130">
        <f>[2]Financials!V34/[2]Financials!V5</f>
        <v>3.433703526794547E-3</v>
      </c>
      <c r="X16" s="130">
        <f>[2]Financials!W34/[2]Financials!W5</f>
        <v>3.4787143387641989E-3</v>
      </c>
      <c r="Y16" s="130">
        <f>[2]Financials!X34/[2]Financials!X5</f>
        <v>0</v>
      </c>
      <c r="Z16" s="130">
        <f>[2]Financials!Y34/[2]Financials!Y5</f>
        <v>0</v>
      </c>
      <c r="AA16" s="130">
        <f>[2]Financials!Z34/[2]Financials!Z5</f>
        <v>3.7511114026824465E-3</v>
      </c>
      <c r="AB16" s="130">
        <f>[2]Financials!AA34/[2]Financials!AA5</f>
        <v>0</v>
      </c>
      <c r="AC16" s="130">
        <f>[2]Financials!AB34/[2]Financials!AB5</f>
        <v>0</v>
      </c>
      <c r="AD16" s="130">
        <f>[2]Financials!AC34/[2]Financials!AC31</f>
        <v>2.9982911508580545E-3</v>
      </c>
      <c r="AE16" s="130">
        <f>[2]Financials!AD34/[2]Financials!AD31</f>
        <v>0</v>
      </c>
      <c r="AF16" s="130">
        <f>[2]Financials!AE34/[2]Financials!AE31</f>
        <v>1.0238351636920966</v>
      </c>
      <c r="AG16" s="130">
        <f>[2]Financials!AF34/[2]Financials!AF31</f>
        <v>1.2580678489455616E-10</v>
      </c>
      <c r="AH16" s="130">
        <f>[2]Financials!AG34/[2]Financials!AG31</f>
        <v>1.3129223711480066E-2</v>
      </c>
      <c r="AI16" s="130">
        <f>[2]Financials!AH34/[2]Financials!AH31</f>
        <v>0</v>
      </c>
      <c r="AJ16" s="130">
        <f>[2]Financials!AI34/[2]Financials!AI31</f>
        <v>1.5844467149733314E-2</v>
      </c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>
        <f>'FORM 4'!I60</f>
        <v>6.9905964721980532E-2</v>
      </c>
      <c r="BD16" s="130"/>
      <c r="BE16" s="130"/>
      <c r="BF16" s="130">
        <f>'FORM 4'!I69</f>
        <v>6.4128918777493035E-2</v>
      </c>
      <c r="BG16" s="130">
        <f>'FORM 4'!J69</f>
        <v>0</v>
      </c>
      <c r="BH16" s="130">
        <v>0</v>
      </c>
      <c r="BI16" s="130">
        <v>0.02</v>
      </c>
      <c r="BJ16" s="130">
        <f>'FORM 4'!L69</f>
        <v>0</v>
      </c>
      <c r="BK16" s="130">
        <f>'FORM 4'!M69</f>
        <v>0</v>
      </c>
      <c r="BL16" s="130">
        <f>'FORM 4'!N69</f>
        <v>0</v>
      </c>
      <c r="BM16" s="130">
        <v>0.06</v>
      </c>
      <c r="BN16" s="130">
        <f>'FORM 4'!P69</f>
        <v>0</v>
      </c>
      <c r="BO16" s="130">
        <f>'FORM 4'!Q69</f>
        <v>0</v>
      </c>
      <c r="BP16" s="130">
        <v>4.7699999999999999E-2</v>
      </c>
      <c r="BQ16" s="130">
        <f>'FORM 4'!S69</f>
        <v>0</v>
      </c>
      <c r="BR16" s="130">
        <f>'FORM 4'!T69</f>
        <v>0</v>
      </c>
      <c r="BS16" s="130">
        <v>5.2600000000000001E-2</v>
      </c>
      <c r="BT16" s="130">
        <f>'FORM 4'!V69</f>
        <v>0</v>
      </c>
      <c r="BU16" s="130">
        <f>'FORM 4'!W69</f>
        <v>0</v>
      </c>
      <c r="BV16" s="130">
        <v>5.4300000000000001E-2</v>
      </c>
      <c r="BW16" s="130">
        <f>'FORM 4'!Y69</f>
        <v>0</v>
      </c>
      <c r="BX16" s="130">
        <f>'FORM 4'!Z69</f>
        <v>0</v>
      </c>
      <c r="BY16" s="130">
        <v>4.7600000000000003E-2</v>
      </c>
      <c r="BZ16" s="130">
        <v>4.7600000000000003E-2</v>
      </c>
      <c r="CA16" s="130">
        <f>'FORM 4'!AC69</f>
        <v>0</v>
      </c>
      <c r="CB16" s="130">
        <f>'FORM 4'!AD69</f>
        <v>0</v>
      </c>
      <c r="CC16" s="130">
        <v>0.04</v>
      </c>
      <c r="CD16" s="130">
        <f>'FORM 4'!AF69</f>
        <v>0</v>
      </c>
      <c r="CE16" s="130">
        <f>'FORM 4'!AG69</f>
        <v>0</v>
      </c>
      <c r="CF16" s="130">
        <v>5.0099999999999999E-2</v>
      </c>
      <c r="CG16" s="130">
        <f>'FORM 4'!AI69</f>
        <v>0</v>
      </c>
      <c r="CH16" s="130">
        <f>'FORM 4'!AJ69</f>
        <v>0</v>
      </c>
      <c r="CI16" s="130">
        <v>4.4699999999999997E-2</v>
      </c>
      <c r="CJ16" s="130">
        <v>1.0447</v>
      </c>
      <c r="CK16" s="130">
        <v>2.0447000000000002</v>
      </c>
      <c r="CL16" s="130">
        <v>3.0447000000000002</v>
      </c>
      <c r="CM16" s="130">
        <v>4.0446999999999997</v>
      </c>
      <c r="CN16" s="130">
        <v>5.0446999999999997</v>
      </c>
      <c r="CO16" s="130">
        <v>6.0446999999999997</v>
      </c>
      <c r="CP16" s="130">
        <v>7.0446999999999997</v>
      </c>
      <c r="CQ16" s="130">
        <v>8.0447000000000006</v>
      </c>
      <c r="CR16" s="130">
        <v>9.0447000000000006</v>
      </c>
      <c r="CS16" s="130">
        <v>10.044700000000001</v>
      </c>
      <c r="CT16" s="130">
        <v>11.044700000000001</v>
      </c>
      <c r="CU16" s="130">
        <v>12.044700000000001</v>
      </c>
      <c r="CV16" s="130">
        <v>13.044700000000001</v>
      </c>
      <c r="CW16" s="130">
        <v>14.044700000000001</v>
      </c>
      <c r="CX16" s="130">
        <v>15.044700000000001</v>
      </c>
      <c r="CY16" s="130">
        <v>16.044699999999999</v>
      </c>
      <c r="CZ16" s="130">
        <v>17.044699999999999</v>
      </c>
      <c r="DA16" s="130">
        <v>18.044699999999999</v>
      </c>
      <c r="DB16" s="130">
        <v>19.044699999999999</v>
      </c>
      <c r="DC16" s="130">
        <v>20.044699999999999</v>
      </c>
      <c r="DD16" s="130">
        <v>21.044699999999999</v>
      </c>
      <c r="DE16" s="130">
        <v>22.044699999999999</v>
      </c>
      <c r="DF16" s="130">
        <v>23.044699999999999</v>
      </c>
      <c r="DG16" s="130">
        <v>24.044699999999999</v>
      </c>
      <c r="DH16" s="130">
        <v>25.044699999999999</v>
      </c>
      <c r="DI16" s="130">
        <v>26.044699999999999</v>
      </c>
      <c r="DJ16" s="130">
        <v>27.044699999999999</v>
      </c>
    </row>
    <row r="17" spans="1:114" s="104" customFormat="1" ht="12.75">
      <c r="A17" s="121"/>
      <c r="B17" s="122"/>
      <c r="C17" s="123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  <c r="DD17" s="126"/>
      <c r="DE17" s="126"/>
      <c r="DF17" s="126"/>
      <c r="DG17" s="126"/>
      <c r="DH17" s="126"/>
      <c r="DI17" s="126"/>
      <c r="DJ17" s="126"/>
    </row>
    <row r="18" spans="1:114" s="104" customFormat="1" ht="12.75">
      <c r="A18" s="117" t="s">
        <v>354</v>
      </c>
      <c r="B18" s="122"/>
      <c r="C18" s="123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  <c r="DD18" s="126"/>
      <c r="DE18" s="126"/>
      <c r="DF18" s="126"/>
      <c r="DG18" s="126"/>
      <c r="DH18" s="126"/>
      <c r="DI18" s="126"/>
      <c r="DJ18" s="126"/>
    </row>
    <row r="19" spans="1:114" s="104" customFormat="1" ht="12.75">
      <c r="A19" s="121" t="s">
        <v>355</v>
      </c>
      <c r="B19" s="122" t="s">
        <v>351</v>
      </c>
      <c r="C19" s="123">
        <v>48.4</v>
      </c>
      <c r="D19" s="126" t="e">
        <f>[2]Financials!C25/[2]Financials!C6</f>
        <v>#DIV/0!</v>
      </c>
      <c r="E19" s="126" t="e">
        <f>[2]Financials!D25/[2]Financials!D6</f>
        <v>#DIV/0!</v>
      </c>
      <c r="F19" s="126" t="e">
        <f>[2]Financials!E25/[2]Financials!E6</f>
        <v>#DIV/0!</v>
      </c>
      <c r="G19" s="126" t="e">
        <f>[2]Financials!F25/[2]Financials!F6</f>
        <v>#DIV/0!</v>
      </c>
      <c r="H19" s="126" t="e">
        <f>[2]Financials!G25/[2]Financials!G6</f>
        <v>#DIV/0!</v>
      </c>
      <c r="I19" s="126" t="e">
        <f>[2]Financials!H25/[2]Financials!H6</f>
        <v>#DIV/0!</v>
      </c>
      <c r="J19" s="126" t="e">
        <f>[2]Financials!I25/[2]Financials!I6</f>
        <v>#DIV/0!</v>
      </c>
      <c r="K19" s="126">
        <f>[2]Financials!J25/[2]Financials!J6</f>
        <v>3.1665688531215444E-2</v>
      </c>
      <c r="L19" s="126">
        <f>[2]Financials!K25/[2]Financials!K6</f>
        <v>3.0680498308345201E-2</v>
      </c>
      <c r="M19" s="126">
        <f>[2]Financials!L25/[2]Financials!L6</f>
        <v>3.0226266053382734E-2</v>
      </c>
      <c r="N19" s="126">
        <f>[2]Financials!M25/[2]Financials!M6</f>
        <v>2.9786376609350892E-2</v>
      </c>
      <c r="O19" s="126">
        <f>[2]Financials!N25/[2]Financials!N6</f>
        <v>2.9083560332091165E-2</v>
      </c>
      <c r="P19" s="126">
        <f>[2]Financials!O25/[2]Financials!O6</f>
        <v>3.303894811276506E-2</v>
      </c>
      <c r="Q19" s="126">
        <f>[2]Financials!P25/[2]Financials!P6</f>
        <v>3.275046828043271E-2</v>
      </c>
      <c r="R19" s="126">
        <f>[2]Financials!Q25/[2]Financials!Q6</f>
        <v>3.2226117849045978E-2</v>
      </c>
      <c r="S19" s="126">
        <f>[2]Financials!R25/[2]Financials!R6</f>
        <v>3.187576583588176E-2</v>
      </c>
      <c r="T19" s="126">
        <f>[2]Financials!S25/[2]Financials!S6</f>
        <v>3.1536695059907978E-2</v>
      </c>
      <c r="U19" s="126">
        <f>[2]Financials!T25/[2]Financials!T6</f>
        <v>3.0885973597401167E-2</v>
      </c>
      <c r="V19" s="126">
        <f>[2]Financials!U25/[2]Financials!U6</f>
        <v>3.0237846726488958E-2</v>
      </c>
      <c r="W19" s="126">
        <f>[2]Financials!V25/[2]Financials!V6</f>
        <v>2.9883321657095722E-2</v>
      </c>
      <c r="X19" s="126">
        <f>[2]Financials!W25/[2]Financials!W6</f>
        <v>3.7450550769806308E-2</v>
      </c>
      <c r="Y19" s="126">
        <f>[2]Financials!X25/[2]Financials!X6</f>
        <v>2.9262806550214928E-2</v>
      </c>
      <c r="Z19" s="126">
        <f>[2]Financials!Y25/[2]Financials!Y6</f>
        <v>4.1774365174382919E-2</v>
      </c>
      <c r="AA19" s="126">
        <f>[2]Financials!Z25/[2]Financials!Z6</f>
        <v>4.1506895326904616E-2</v>
      </c>
      <c r="AB19" s="126">
        <f>[2]Financials!AA25/[2]Financials!AA6</f>
        <v>3.950883850658083E-2</v>
      </c>
      <c r="AC19" s="126">
        <f>[2]Financials!AB25/[2]Financials!AB6</f>
        <v>4.3511143829685191E-2</v>
      </c>
      <c r="AD19" s="126">
        <f>[2]Financials!AC25/[2]Financials!AC6</f>
        <v>4.80281683739004E-2</v>
      </c>
      <c r="AE19" s="126">
        <f>[2]Financials!AD25/[2]Financials!AD6</f>
        <v>4.5331696696657563E-2</v>
      </c>
      <c r="AF19" s="126">
        <f>[2]Financials!AE25/[2]Financials!AE6</f>
        <v>4.4457694933347405E-2</v>
      </c>
      <c r="AG19" s="126">
        <f>[2]Financials!AF25/[2]Financials!AF6</f>
        <v>4.3761625015548998E-2</v>
      </c>
      <c r="AH19" s="126">
        <f>[2]Financials!AG25/[2]Financials!AG6</f>
        <v>4.2896350132561489E-2</v>
      </c>
      <c r="AI19" s="126">
        <f>[2]Financials!AH25/[2]Financials!AH6</f>
        <v>5.1120665515592675E-2</v>
      </c>
      <c r="AJ19" s="126">
        <f>[2]Financials!AI25/[2]Financials!AI6</f>
        <v>5.0113199873828104E-2</v>
      </c>
      <c r="AK19" s="126" t="e">
        <f>Financials!D25/Financials!D5</f>
        <v>#REF!</v>
      </c>
      <c r="AL19" s="126" t="e">
        <f>Financials!E25/Financials!E5</f>
        <v>#REF!</v>
      </c>
      <c r="AM19" s="126" t="e">
        <f>Financials!F25/Financials!F5</f>
        <v>#REF!</v>
      </c>
      <c r="AN19" s="126" t="e">
        <f>Financials!G25/Financials!G5</f>
        <v>#REF!</v>
      </c>
      <c r="AO19" s="126" t="e">
        <f>Financials!H25/Financials!H5</f>
        <v>#REF!</v>
      </c>
      <c r="AP19" s="126" t="e">
        <f>Financials!I25/Financials!I5</f>
        <v>#REF!</v>
      </c>
      <c r="AQ19" s="126" t="e">
        <f>Financials!J25/Financials!J5</f>
        <v>#REF!</v>
      </c>
      <c r="AR19" s="126" t="e">
        <f>Financials!K25/Financials!K5</f>
        <v>#REF!</v>
      </c>
      <c r="AS19" s="126" t="e">
        <f>Financials!L25/Financials!L5</f>
        <v>#REF!</v>
      </c>
      <c r="AT19" s="126" t="e">
        <f>Financials!M25/Financials!M5</f>
        <v>#REF!</v>
      </c>
      <c r="AU19" s="126" t="e">
        <f>Financials!N25/Financials!N5</f>
        <v>#REF!</v>
      </c>
      <c r="AV19" s="126" t="e">
        <f>Financials!O25/Financials!O5</f>
        <v>#REF!</v>
      </c>
      <c r="AW19" s="126" t="e">
        <f>Financials!P25/Financials!P5</f>
        <v>#REF!</v>
      </c>
      <c r="AX19" s="126" t="e">
        <f>Financials!Q25/Financials!Q5</f>
        <v>#REF!</v>
      </c>
      <c r="AY19" s="126" t="e">
        <f>Financials!R25/Financials!R5</f>
        <v>#REF!</v>
      </c>
      <c r="AZ19" s="126">
        <f>Financials!S25/Financials!S5</f>
        <v>0.10125542381148096</v>
      </c>
      <c r="BA19" s="126">
        <f>Financials!T25/Financials!T5</f>
        <v>0</v>
      </c>
      <c r="BB19" s="126">
        <f>Financials!U25/Financials!U5</f>
        <v>0</v>
      </c>
      <c r="BC19" s="126">
        <f>Financials!V25/Financials!V5</f>
        <v>0</v>
      </c>
      <c r="BD19" s="126">
        <f>Financials!W25/Financials!W5</f>
        <v>0</v>
      </c>
      <c r="BE19" s="126">
        <f>Financials!X25/Financials!X5</f>
        <v>0</v>
      </c>
      <c r="BF19" s="126">
        <f>Financials!Y25/Financials!Y5</f>
        <v>0</v>
      </c>
      <c r="BG19" s="126">
        <f>Financials!Z25/Financials!Z5</f>
        <v>0</v>
      </c>
      <c r="BH19" s="126">
        <f>Financials!AA25/Financials!AA5</f>
        <v>0</v>
      </c>
      <c r="BI19" s="126">
        <f>Financials!AB25/Financials!AB5</f>
        <v>0</v>
      </c>
      <c r="BJ19" s="126">
        <f>Financials!AC25/Financials!AC5</f>
        <v>0</v>
      </c>
      <c r="BK19" s="126">
        <f>Financials!AD25/Financials!AD5</f>
        <v>0</v>
      </c>
      <c r="BL19" s="126">
        <f>Financials!AE25/Financials!AE5</f>
        <v>0</v>
      </c>
      <c r="BM19" s="126">
        <f>Financials!AF25/Financials!AF5</f>
        <v>0</v>
      </c>
      <c r="BN19" s="126">
        <f>Financials!AG25/Financials!AG5</f>
        <v>0</v>
      </c>
      <c r="BO19" s="126">
        <f>Financials!AH25/Financials!AH5</f>
        <v>0</v>
      </c>
      <c r="BP19" s="126">
        <f>Financials!AI25/Financials!AI5</f>
        <v>0</v>
      </c>
      <c r="BQ19" s="126">
        <f>Financials!AJ25/Financials!AJ5</f>
        <v>0</v>
      </c>
      <c r="BR19" s="126">
        <f>Financials!AK25/Financials!AK5</f>
        <v>0</v>
      </c>
      <c r="BS19" s="126">
        <f>Financials!AL25/Financials!AL5</f>
        <v>0</v>
      </c>
      <c r="BT19" s="126">
        <f>Financials!AM25/Financials!AM5</f>
        <v>0</v>
      </c>
      <c r="BU19" s="126">
        <f>Financials!AN25/Financials!AN5</f>
        <v>0</v>
      </c>
      <c r="BV19" s="126">
        <f>Financials!AO25/Financials!AO5</f>
        <v>0</v>
      </c>
      <c r="BW19" s="126">
        <f>Financials!AP25/Financials!AP5</f>
        <v>0</v>
      </c>
      <c r="BX19" s="126">
        <f>Financials!AQ25/Financials!AQ5</f>
        <v>0</v>
      </c>
      <c r="BY19" s="126">
        <f>Financials!AR25/Financials!AR5</f>
        <v>0</v>
      </c>
      <c r="BZ19" s="126">
        <f>Financials!AS25/Financials!AS5</f>
        <v>0.12567548332237208</v>
      </c>
      <c r="CA19" s="126">
        <f>Financials!AT25/Financials!AT5</f>
        <v>0</v>
      </c>
      <c r="CB19" s="126">
        <f>Financials!AU25/Financials!AU5</f>
        <v>0</v>
      </c>
      <c r="CC19" s="126">
        <f>Financials!AV25/Financials!AV5</f>
        <v>0</v>
      </c>
      <c r="CD19" s="126">
        <f>Financials!AW25/Financials!AW5</f>
        <v>0</v>
      </c>
      <c r="CE19" s="126">
        <f>Financials!AX25/Financials!AX5</f>
        <v>0</v>
      </c>
      <c r="CF19" s="126">
        <f>Financials!AY25/Financials!AY5</f>
        <v>0</v>
      </c>
      <c r="CG19" s="126" t="e">
        <f>Financials!AZ25/Financials!AZ5</f>
        <v>#REF!</v>
      </c>
      <c r="CH19" s="126">
        <f>Financials!BA25/Financials!BA5</f>
        <v>0</v>
      </c>
      <c r="CI19" s="126">
        <f>Financials!BB25/Financials!BB5</f>
        <v>0</v>
      </c>
      <c r="CJ19" s="126">
        <f>Financials!BC25/Financials!BC5</f>
        <v>0</v>
      </c>
      <c r="CK19" s="126">
        <f>Financials!BD25/Financials!BD5</f>
        <v>0</v>
      </c>
      <c r="CL19" s="126">
        <f>Financials!BE25/Financials!BE5</f>
        <v>0.13706658841661834</v>
      </c>
      <c r="CM19" s="126">
        <f>Financials!BF25/Financials!BF5</f>
        <v>0</v>
      </c>
      <c r="CN19" s="126">
        <f>Financials!BG25/Financials!BG5</f>
        <v>0</v>
      </c>
      <c r="CO19" s="126">
        <f>Financials!BH25/Financials!BH5</f>
        <v>0</v>
      </c>
      <c r="CP19" s="126">
        <f>Financials!BI25/Financials!BI5</f>
        <v>0.40797389034378889</v>
      </c>
      <c r="CQ19" s="126">
        <f>Financials!BJ25/Financials!BJ5</f>
        <v>0.39638065957409768</v>
      </c>
      <c r="CR19" s="126">
        <f>Financials!BK25/Financials!BK5</f>
        <v>0.40096611114580749</v>
      </c>
      <c r="CS19" s="126">
        <f>Financials!BL25/Financials!BL5</f>
        <v>0.14555376073921444</v>
      </c>
      <c r="CT19" s="126">
        <f>Financials!BM25/Financials!BM5</f>
        <v>0.14676482629743046</v>
      </c>
      <c r="CU19" s="126">
        <f>Financials!BN25/Financials!BN5</f>
        <v>0.1484705142570425</v>
      </c>
      <c r="CV19" s="126">
        <f>Financials!BO25/Financials!BO5</f>
        <v>0.10884452490425227</v>
      </c>
      <c r="CW19" s="126">
        <f>Financials!BP25/Financials!BP5</f>
        <v>9.2380254865618419E-2</v>
      </c>
      <c r="CX19" s="126">
        <f>Financials!BQ25/Financials!BQ5</f>
        <v>0.10857155070192687</v>
      </c>
      <c r="CY19" s="126">
        <f>Financials!BR25/Financials!BR5</f>
        <v>0.11671577044931898</v>
      </c>
      <c r="CZ19" s="126">
        <f>Financials!BS25/Financials!BS5</f>
        <v>0.34120280264895569</v>
      </c>
      <c r="DA19" s="126">
        <f>Financials!BT25/Financials!BT5</f>
        <v>0.32456517882732533</v>
      </c>
      <c r="DB19" s="126">
        <f>Financials!BU25/Financials!BU5</f>
        <v>0.33336262314037135</v>
      </c>
      <c r="DC19" s="126">
        <f>Financials!BV25/Financials!BV5</f>
        <v>0.33376413167023339</v>
      </c>
      <c r="DD19" s="126">
        <f>Financials!BW25/Financials!BW5</f>
        <v>0.32851387127412823</v>
      </c>
      <c r="DE19" s="126" t="e">
        <f>Financials!BX25/Financials!BX5</f>
        <v>#REF!</v>
      </c>
      <c r="DF19" s="126" t="e">
        <f>Financials!BY25/Financials!BY5</f>
        <v>#REF!</v>
      </c>
      <c r="DG19" s="126" t="e">
        <f>Financials!BZ25/Financials!BZ5</f>
        <v>#REF!</v>
      </c>
      <c r="DH19" s="126" t="e">
        <f>Financials!CA25/Financials!CA5</f>
        <v>#REF!</v>
      </c>
      <c r="DI19" s="126" t="e">
        <f>Financials!CB25/Financials!CB5</f>
        <v>#REF!</v>
      </c>
      <c r="DJ19" s="126" t="e">
        <f>Financials!CC25/Financials!CC5</f>
        <v>#REF!</v>
      </c>
    </row>
    <row r="20" spans="1:114" s="104" customFormat="1" ht="12.75">
      <c r="A20" s="121" t="s">
        <v>356</v>
      </c>
      <c r="B20" s="122" t="s">
        <v>357</v>
      </c>
      <c r="C20" s="123">
        <v>48.4</v>
      </c>
      <c r="D20" s="126" t="e">
        <f>[2]Financials!C25/[2]Financials!C13</f>
        <v>#DIV/0!</v>
      </c>
      <c r="E20" s="126" t="e">
        <f>[2]Financials!D25/[2]Financials!D13</f>
        <v>#DIV/0!</v>
      </c>
      <c r="F20" s="126" t="e">
        <f>[2]Financials!E25/[2]Financials!E13</f>
        <v>#DIV/0!</v>
      </c>
      <c r="G20" s="126" t="e">
        <f>[2]Financials!F25/[2]Financials!F13</f>
        <v>#DIV/0!</v>
      </c>
      <c r="H20" s="126" t="e">
        <f>[2]Financials!G25/[2]Financials!G13</f>
        <v>#DIV/0!</v>
      </c>
      <c r="I20" s="126" t="e">
        <f>[2]Financials!H25/[2]Financials!H13</f>
        <v>#DIV/0!</v>
      </c>
      <c r="J20" s="126" t="e">
        <f>[2]Financials!I25/[2]Financials!I13</f>
        <v>#DIV/0!</v>
      </c>
      <c r="K20" s="126">
        <f>[2]Financials!J25/[2]Financials!J13</f>
        <v>0.29065136832049615</v>
      </c>
      <c r="L20" s="126">
        <f>[2]Financials!K25/[2]Financials!K13</f>
        <v>0.14992956056990961</v>
      </c>
      <c r="M20" s="126">
        <f>[2]Financials!L25/[2]Financials!L13</f>
        <v>0.14141182623580414</v>
      </c>
      <c r="N20" s="126">
        <f>[2]Financials!M25/[2]Financials!M13</f>
        <v>0.13398038892737626</v>
      </c>
      <c r="O20" s="126">
        <f>[2]Financials!N25/[2]Financials!N13</f>
        <v>0.13269714753002726</v>
      </c>
      <c r="P20" s="126">
        <f>[2]Financials!O25/[2]Financials!O13</f>
        <v>0.13613611148727769</v>
      </c>
      <c r="Q20" s="126">
        <f>[2]Financials!P25/[2]Financials!P13</f>
        <v>0.12640221614524086</v>
      </c>
      <c r="R20" s="126">
        <f>[2]Financials!Q25/[2]Financials!Q13</f>
        <v>0.12013514911808597</v>
      </c>
      <c r="S20" s="126">
        <f>[2]Financials!R25/[2]Financials!R13</f>
        <v>0.1138429282115964</v>
      </c>
      <c r="T20" s="126">
        <f>[2]Financials!S25/[2]Financials!S13</f>
        <v>0.10822704281378845</v>
      </c>
      <c r="U20" s="126">
        <f>[2]Financials!T25/[2]Financials!T13</f>
        <v>0.10294338280866991</v>
      </c>
      <c r="V20" s="126">
        <f>[2]Financials!U25/[2]Financials!U13</f>
        <v>9.9823801527689202E-2</v>
      </c>
      <c r="W20" s="126">
        <f>[2]Financials!V25/[2]Financials!V13</f>
        <v>9.5726720369714163E-2</v>
      </c>
      <c r="X20" s="126">
        <f>[2]Financials!W25/[2]Financials!W13</f>
        <v>0.18928999306010949</v>
      </c>
      <c r="Y20" s="126">
        <f>[2]Financials!X25/[2]Financials!X13</f>
        <v>9.1693177750204261E-2</v>
      </c>
      <c r="Z20" s="126">
        <f>[2]Financials!Y25/[2]Financials!Y13</f>
        <v>0.18647295245927278</v>
      </c>
      <c r="AA20" s="126">
        <f>[2]Financials!Z25/[2]Financials!Z13</f>
        <v>0.19462111869107029</v>
      </c>
      <c r="AB20" s="126">
        <f>[2]Financials!AA25/[2]Financials!AA13</f>
        <v>0.17001808487897188</v>
      </c>
      <c r="AC20" s="126">
        <f>[2]Financials!AB25/[2]Financials!AB13</f>
        <v>0.17657862641592306</v>
      </c>
      <c r="AD20" s="126">
        <f>[2]Financials!AC25/[2]Financials!AC13</f>
        <v>0.18623609119677628</v>
      </c>
      <c r="AE20" s="126">
        <f>[2]Financials!AD25/[2]Financials!AD13</f>
        <v>0.16636695918288111</v>
      </c>
      <c r="AF20" s="126">
        <f>[2]Financials!AE25/[2]Financials!AE13</f>
        <v>0.15484831471872615</v>
      </c>
      <c r="AG20" s="126">
        <f>[2]Financials!AF25/[2]Financials!AF13</f>
        <v>0.14559978680043401</v>
      </c>
      <c r="AH20" s="126">
        <f>[2]Financials!AG25/[2]Financials!AG13</f>
        <v>0.13941024121075371</v>
      </c>
      <c r="AI20" s="126">
        <f>[2]Financials!AH25/[2]Financials!AH13</f>
        <v>0.16533217270049674</v>
      </c>
      <c r="AJ20" s="126">
        <f>[2]Financials!AI25/[2]Financials!AI13</f>
        <v>0.15732483378019529</v>
      </c>
      <c r="AK20" s="126" t="e">
        <f>Financials!D25/Financials!D11</f>
        <v>#REF!</v>
      </c>
      <c r="AL20" s="126" t="e">
        <f>Financials!E25/Financials!E11</f>
        <v>#REF!</v>
      </c>
      <c r="AM20" s="126" t="e">
        <f>Financials!F25/Financials!F11</f>
        <v>#REF!</v>
      </c>
      <c r="AN20" s="126" t="e">
        <f>Financials!G25/Financials!G11</f>
        <v>#REF!</v>
      </c>
      <c r="AO20" s="126" t="e">
        <f>Financials!H25/Financials!H11</f>
        <v>#REF!</v>
      </c>
      <c r="AP20" s="126" t="e">
        <f>Financials!I25/Financials!I11</f>
        <v>#REF!</v>
      </c>
      <c r="AQ20" s="126" t="e">
        <f>Financials!J25/Financials!J11</f>
        <v>#REF!</v>
      </c>
      <c r="AR20" s="126" t="e">
        <f>Financials!K25/Financials!K11</f>
        <v>#REF!</v>
      </c>
      <c r="AS20" s="126" t="e">
        <f>Financials!L25/Financials!L11</f>
        <v>#REF!</v>
      </c>
      <c r="AT20" s="126" t="e">
        <f>Financials!M25/Financials!M11</f>
        <v>#REF!</v>
      </c>
      <c r="AU20" s="126" t="e">
        <f>Financials!N25/Financials!N11</f>
        <v>#REF!</v>
      </c>
      <c r="AV20" s="126" t="e">
        <f>Financials!O25/Financials!O11</f>
        <v>#REF!</v>
      </c>
      <c r="AW20" s="126" t="e">
        <f>Financials!P25/Financials!P11</f>
        <v>#REF!</v>
      </c>
      <c r="AX20" s="126" t="e">
        <f>Financials!Q25/Financials!Q11</f>
        <v>#REF!</v>
      </c>
      <c r="AY20" s="126" t="e">
        <f>Financials!R25/Financials!R11</f>
        <v>#REF!</v>
      </c>
      <c r="AZ20" s="126">
        <f>Financials!S25/Financials!S11</f>
        <v>0.50080617601569155</v>
      </c>
      <c r="BA20" s="126">
        <f>Financials!T25/Financials!T11</f>
        <v>0</v>
      </c>
      <c r="BB20" s="126">
        <f>Financials!U25/Financials!U11</f>
        <v>0</v>
      </c>
      <c r="BC20" s="126">
        <f>Financials!V25/Financials!V11</f>
        <v>0</v>
      </c>
      <c r="BD20" s="126">
        <f>Financials!W25/Financials!W11</f>
        <v>0</v>
      </c>
      <c r="BE20" s="126">
        <f>Financials!X25/Financials!X11</f>
        <v>0</v>
      </c>
      <c r="BF20" s="126">
        <f>Financials!Y25/Financials!Y11</f>
        <v>0</v>
      </c>
      <c r="BG20" s="126">
        <f>Financials!Z25/Financials!Z11</f>
        <v>0</v>
      </c>
      <c r="BH20" s="126">
        <f>Financials!AA25/Financials!AA11</f>
        <v>0</v>
      </c>
      <c r="BI20" s="126">
        <f>Financials!AB25/Financials!AB11</f>
        <v>0</v>
      </c>
      <c r="BJ20" s="126">
        <f>Financials!AC25/Financials!AC11</f>
        <v>0</v>
      </c>
      <c r="BK20" s="126">
        <f>Financials!AD25/Financials!AD11</f>
        <v>0</v>
      </c>
      <c r="BL20" s="126">
        <f>Financials!AE25/Financials!AE11</f>
        <v>0</v>
      </c>
      <c r="BM20" s="126">
        <f>Financials!AF25/Financials!AF11</f>
        <v>0</v>
      </c>
      <c r="BN20" s="126">
        <f>Financials!AG25/Financials!AG11</f>
        <v>0</v>
      </c>
      <c r="BO20" s="126">
        <f>Financials!AH25/Financials!AH11</f>
        <v>0</v>
      </c>
      <c r="BP20" s="126">
        <f>Financials!AI25/Financials!AI11</f>
        <v>0</v>
      </c>
      <c r="BQ20" s="126">
        <f>Financials!AJ25/Financials!AJ11</f>
        <v>0</v>
      </c>
      <c r="BR20" s="126">
        <f>Financials!AK25/Financials!AK11</f>
        <v>0</v>
      </c>
      <c r="BS20" s="126" t="e">
        <f>Financials!AL25/Financials!AL11</f>
        <v>#VALUE!</v>
      </c>
      <c r="BT20" s="126">
        <f>Financials!AM25/Financials!AM11</f>
        <v>0</v>
      </c>
      <c r="BU20" s="126">
        <f>Financials!AN25/Financials!AN11</f>
        <v>0</v>
      </c>
      <c r="BV20" s="126">
        <f>Financials!AO25/Financials!AO11</f>
        <v>0</v>
      </c>
      <c r="BW20" s="126">
        <f>Financials!AP25/Financials!AP11</f>
        <v>0</v>
      </c>
      <c r="BX20" s="126">
        <f>Financials!AQ25/Financials!AQ11</f>
        <v>0</v>
      </c>
      <c r="BY20" s="126">
        <f>Financials!AR25/Financials!AR11</f>
        <v>0</v>
      </c>
      <c r="BZ20" s="126">
        <f>Financials!AS25/Financials!AS11</f>
        <v>0.14641901130304424</v>
      </c>
      <c r="CA20" s="126">
        <f>Financials!AT25/Financials!AT11</f>
        <v>0</v>
      </c>
      <c r="CB20" s="126">
        <f>Financials!AU25/Financials!AU11</f>
        <v>0</v>
      </c>
      <c r="CC20" s="126">
        <f>Financials!AV25/Financials!AV11</f>
        <v>0</v>
      </c>
      <c r="CD20" s="126">
        <f>Financials!AW25/Financials!AW11</f>
        <v>0</v>
      </c>
      <c r="CE20" s="126">
        <f>Financials!AX25/Financials!AX11</f>
        <v>0</v>
      </c>
      <c r="CF20" s="126">
        <f>Financials!AY25/Financials!AY11</f>
        <v>0</v>
      </c>
      <c r="CG20" s="126" t="e">
        <f>Financials!AZ25/Financials!AZ11</f>
        <v>#REF!</v>
      </c>
      <c r="CH20" s="126">
        <f>Financials!BA25/Financials!BA11</f>
        <v>0</v>
      </c>
      <c r="CI20" s="126">
        <f>Financials!BB25/Financials!BB11</f>
        <v>0</v>
      </c>
      <c r="CJ20" s="126">
        <f>Financials!BC25/Financials!BC11</f>
        <v>0</v>
      </c>
      <c r="CK20" s="126">
        <f>Financials!BD25/Financials!BD11</f>
        <v>0</v>
      </c>
      <c r="CL20" s="126">
        <f>Financials!BE25/Financials!BE11</f>
        <v>0.52324038922759419</v>
      </c>
      <c r="CM20" s="126">
        <f>Financials!BF25/Financials!BF11</f>
        <v>0</v>
      </c>
      <c r="CN20" s="126">
        <f>Financials!BG25/Financials!BG11</f>
        <v>0</v>
      </c>
      <c r="CO20" s="126">
        <f>Financials!BH25/Financials!BH11</f>
        <v>0</v>
      </c>
      <c r="CP20" s="126">
        <f>Financials!BI25/Financials!BI11</f>
        <v>1.6519957912364143</v>
      </c>
      <c r="CQ20" s="126">
        <f>Financials!BJ25/Financials!BJ11</f>
        <v>1.4749883560530719</v>
      </c>
      <c r="CR20" s="126">
        <f>Financials!BK25/Financials!BK11</f>
        <v>1.5871222615173857</v>
      </c>
      <c r="CS20" s="126">
        <f>Financials!BL25/Financials!BL11</f>
        <v>0.62320671911642134</v>
      </c>
      <c r="CT20" s="126">
        <f>Financials!BM25/Financials!BM11</f>
        <v>0.65487152673278692</v>
      </c>
      <c r="CU20" s="126">
        <f>Financials!BN25/Financials!BN11</f>
        <v>0.78116182221721941</v>
      </c>
      <c r="CV20" s="126">
        <f>Financials!BO25/Financials!BO11</f>
        <v>0.91270533618990979</v>
      </c>
      <c r="CW20" s="126">
        <f>Financials!BP25/Financials!BP11</f>
        <v>0.44825471904033004</v>
      </c>
      <c r="CX20" s="126">
        <f>Financials!BQ25/Financials!BQ11</f>
        <v>0.4213597056052259</v>
      </c>
      <c r="CY20" s="126">
        <f>Financials!BR25/Financials!BR11</f>
        <v>0.38680412725364444</v>
      </c>
      <c r="CZ20" s="126">
        <f>Financials!BS25/Financials!BS11</f>
        <v>1.2220599695464083</v>
      </c>
      <c r="DA20" s="126">
        <f>Financials!BT25/Financials!BT11</f>
        <v>0.96751301484340013</v>
      </c>
      <c r="DB20" s="126">
        <f>Financials!BU25/Financials!BU11</f>
        <v>0.9342096790247556</v>
      </c>
      <c r="DC20" s="126">
        <f>Financials!BV25/Financials!BV11</f>
        <v>0.95925598499509923</v>
      </c>
      <c r="DD20" s="126">
        <f>Financials!BW25/Financials!BW11</f>
        <v>0.96316593289723484</v>
      </c>
      <c r="DE20" s="126" t="e">
        <f>Financials!BX25/Financials!BX11</f>
        <v>#REF!</v>
      </c>
      <c r="DF20" s="126" t="e">
        <f>Financials!BY25/Financials!BY11</f>
        <v>#REF!</v>
      </c>
      <c r="DG20" s="126" t="e">
        <f>Financials!BZ25/Financials!BZ11</f>
        <v>#REF!</v>
      </c>
      <c r="DH20" s="126" t="e">
        <f>Financials!CA25/Financials!CA11</f>
        <v>#REF!</v>
      </c>
      <c r="DI20" s="126" t="e">
        <f>Financials!CB25/Financials!CB11</f>
        <v>#REF!</v>
      </c>
      <c r="DJ20" s="126" t="e">
        <f>Financials!CC25/Financials!CC11</f>
        <v>#REF!</v>
      </c>
    </row>
    <row r="21" spans="1:114" s="104" customFormat="1" ht="12.75">
      <c r="A21" s="127" t="s">
        <v>358</v>
      </c>
      <c r="B21" s="131" t="s">
        <v>359</v>
      </c>
      <c r="C21" s="132"/>
      <c r="D21" s="126" t="e">
        <f>[2]Financials!C30/[2]Financials!C5</f>
        <v>#DIV/0!</v>
      </c>
      <c r="E21" s="126" t="e">
        <f>[2]Financials!D30/[2]Financials!D5</f>
        <v>#DIV/0!</v>
      </c>
      <c r="F21" s="126" t="e">
        <f>[2]Financials!E30/[2]Financials!E5</f>
        <v>#DIV/0!</v>
      </c>
      <c r="G21" s="126" t="e">
        <f>[2]Financials!F30/[2]Financials!F5</f>
        <v>#DIV/0!</v>
      </c>
      <c r="H21" s="126" t="e">
        <f>[2]Financials!G30/[2]Financials!G5</f>
        <v>#DIV/0!</v>
      </c>
      <c r="I21" s="126" t="e">
        <f>[2]Financials!H30/[2]Financials!H5</f>
        <v>#DIV/0!</v>
      </c>
      <c r="J21" s="126" t="e">
        <f>[2]Financials!I30/[2]Financials!I5</f>
        <v>#DIV/0!</v>
      </c>
      <c r="K21" s="126">
        <f>[2]Financials!J30/[2]Financials!J5</f>
        <v>0.87193832594292875</v>
      </c>
      <c r="L21" s="126">
        <f>[2]Financials!K30/[2]Financials!K5</f>
        <v>0.84519277462224074</v>
      </c>
      <c r="M21" s="126">
        <f>[2]Financials!L30/[2]Financials!L5</f>
        <v>0.84959900230340268</v>
      </c>
      <c r="N21" s="126">
        <f>[2]Financials!M30/[2]Financials!M5</f>
        <v>0.82277617433314088</v>
      </c>
      <c r="O21" s="126">
        <f>[2]Financials!N30/[2]Financials!N5</f>
        <v>0.81813056639848514</v>
      </c>
      <c r="P21" s="126">
        <f>[2]Financials!O30/[2]Financials!O5</f>
        <v>0.84561876755526322</v>
      </c>
      <c r="Q21" s="126">
        <f>[2]Financials!P30/[2]Financials!P5</f>
        <v>0.84477902110500769</v>
      </c>
      <c r="R21" s="126">
        <f>[2]Financials!Q30/[2]Financials!Q5</f>
        <v>0.84401929506877749</v>
      </c>
      <c r="S21" s="126">
        <f>[2]Financials!R30/[2]Financials!R5</f>
        <v>0.84963642486167912</v>
      </c>
      <c r="T21" s="126">
        <f>[2]Financials!S30/[2]Financials!S5</f>
        <v>0.85634780815117872</v>
      </c>
      <c r="U21" s="126">
        <f>[2]Financials!T30/[2]Financials!T5</f>
        <v>0.84861624421207027</v>
      </c>
      <c r="V21" s="126">
        <f>[2]Financials!U30/[2]Financials!U5</f>
        <v>0.85632171769341281</v>
      </c>
      <c r="W21" s="126">
        <f>[2]Financials!V30/[2]Financials!V5</f>
        <v>0.86485446822488277</v>
      </c>
      <c r="X21" s="126">
        <f>[2]Financials!W30/[2]Financials!W5</f>
        <v>0.87958889652300154</v>
      </c>
      <c r="Y21" s="126">
        <f>[2]Financials!X30/[2]Financials!X5</f>
        <v>0.87449515062534722</v>
      </c>
      <c r="Z21" s="126">
        <f>[2]Financials!Y30/[2]Financials!Y5</f>
        <v>0.92985845049946791</v>
      </c>
      <c r="AA21" s="126">
        <f>[2]Financials!Z30/[2]Financials!Z5</f>
        <v>0.87100335338125501</v>
      </c>
      <c r="AB21" s="126">
        <f>[2]Financials!AA30/[2]Financials!AA5</f>
        <v>0.88715493075022456</v>
      </c>
      <c r="AC21" s="126">
        <f>[2]Financials!AB30/[2]Financials!AB5</f>
        <v>0.88411424649645665</v>
      </c>
      <c r="AD21" s="126">
        <f>[2]Financials!AC30/[2]Financials!AC5</f>
        <v>0.86046615455172315</v>
      </c>
      <c r="AE21" s="126">
        <f>[2]Financials!AD30/[2]Financials!AD5</f>
        <v>0.86313227226832456</v>
      </c>
      <c r="AF21" s="126">
        <f>[2]Financials!AE30/[2]Financials!AE5</f>
        <v>0.84955310755800328</v>
      </c>
      <c r="AG21" s="126">
        <f>[2]Financials!AF30/[2]Financials!AF5</f>
        <v>0.85578442784523323</v>
      </c>
      <c r="AH21" s="126">
        <f>[2]Financials!AG30/[2]Financials!AG5</f>
        <v>0.85543450965551948</v>
      </c>
      <c r="AI21" s="126">
        <f>[2]Financials!AH30/[2]Financials!AH5</f>
        <v>0.84191654496617285</v>
      </c>
      <c r="AJ21" s="126">
        <f>[2]Financials!AI30/[2]Financials!AI5</f>
        <v>0.82912534233716617</v>
      </c>
      <c r="AK21" s="126" t="e">
        <f>Financials!D30/Financials!D4</f>
        <v>#REF!</v>
      </c>
      <c r="AL21" s="126" t="e">
        <f>Financials!E30/Financials!E4</f>
        <v>#REF!</v>
      </c>
      <c r="AM21" s="126" t="e">
        <f>Financials!F30/Financials!F4</f>
        <v>#REF!</v>
      </c>
      <c r="AN21" s="126" t="e">
        <f>Financials!G30/Financials!G4</f>
        <v>#REF!</v>
      </c>
      <c r="AO21" s="126" t="e">
        <f>Financials!H30/Financials!H4</f>
        <v>#REF!</v>
      </c>
      <c r="AP21" s="126" t="e">
        <f>Financials!I30/Financials!I4</f>
        <v>#REF!</v>
      </c>
      <c r="AQ21" s="126" t="e">
        <f>Financials!J30/Financials!J4</f>
        <v>#REF!</v>
      </c>
      <c r="AR21" s="126" t="e">
        <f>Financials!K30/Financials!K4</f>
        <v>#REF!</v>
      </c>
      <c r="AS21" s="126" t="e">
        <f>Financials!L30/Financials!L4</f>
        <v>#REF!</v>
      </c>
      <c r="AT21" s="126" t="e">
        <f>Financials!M30/Financials!M4</f>
        <v>#REF!</v>
      </c>
      <c r="AU21" s="126" t="e">
        <f>Financials!N30/Financials!N4</f>
        <v>#REF!</v>
      </c>
      <c r="AV21" s="126" t="e">
        <f>Financials!O30/Financials!O4</f>
        <v>#REF!</v>
      </c>
      <c r="AW21" s="126" t="e">
        <f>Financials!P30/Financials!P4</f>
        <v>#REF!</v>
      </c>
      <c r="AX21" s="126" t="e">
        <f>Financials!Q30/Financials!Q4</f>
        <v>#REF!</v>
      </c>
      <c r="AY21" s="126" t="e">
        <f>Financials!R30/Financials!R4</f>
        <v>#REF!</v>
      </c>
      <c r="AZ21" s="126">
        <f>Financials!S30/Financials!S4</f>
        <v>0.48200730640846057</v>
      </c>
      <c r="BA21" s="126">
        <f>Financials!T30/Financials!T4</f>
        <v>0.47184516594290482</v>
      </c>
      <c r="BB21" s="126">
        <f>Financials!U30/Financials!U4</f>
        <v>0.47207055545616783</v>
      </c>
      <c r="BC21" s="126">
        <f>Financials!V30/Financials!V4</f>
        <v>0.46361347088675214</v>
      </c>
      <c r="BD21" s="126">
        <f>Financials!W30/Financials!W4</f>
        <v>0.48843250299662977</v>
      </c>
      <c r="BE21" s="126">
        <f>Financials!X30/Financials!X4</f>
        <v>0.24098650594610985</v>
      </c>
      <c r="BF21" s="126">
        <f>Financials!Y30/Financials!Y4</f>
        <v>0.30423874867824069</v>
      </c>
      <c r="BG21" s="126">
        <f>Financials!Z30/Financials!Z4</f>
        <v>0.35465888536037421</v>
      </c>
      <c r="BH21" s="126">
        <f>Financials!AA30/Financials!AA4</f>
        <v>0.43510556708799875</v>
      </c>
      <c r="BI21" s="126">
        <f>Financials!AB30/Financials!AB4</f>
        <v>0.46040112353594281</v>
      </c>
      <c r="BJ21" s="126">
        <f>Financials!AC30/Financials!AC4</f>
        <v>0.46057476676486897</v>
      </c>
      <c r="BK21" s="126">
        <f>Financials!AD30/Financials!AD4</f>
        <v>0.49363728247057481</v>
      </c>
      <c r="BL21" s="126">
        <f>Financials!AE30/Financials!AE4</f>
        <v>0.50914280900197495</v>
      </c>
      <c r="BM21" s="126">
        <f>Financials!AF30/Financials!AF4</f>
        <v>0.50914281072046486</v>
      </c>
      <c r="BN21" s="126">
        <f>Financials!AG30/Financials!AG4</f>
        <v>0.52320013745356209</v>
      </c>
      <c r="BO21" s="126">
        <f>Financials!AH30/Financials!AH4</f>
        <v>0.53029011712401186</v>
      </c>
      <c r="BP21" s="126">
        <f>Financials!AI30/Financials!AI4</f>
        <v>0.54878182806092912</v>
      </c>
      <c r="BQ21" s="126">
        <f>Financials!AJ30/Financials!AJ4</f>
        <v>0.55826497775402084</v>
      </c>
      <c r="BR21" s="126">
        <f>Financials!AK30/Financials!AK4</f>
        <v>0.56273618936250591</v>
      </c>
      <c r="BS21" s="126">
        <f>Financials!AL30/Financials!AL4</f>
        <v>0.54791233845494303</v>
      </c>
      <c r="BT21" s="126">
        <f>Financials!AM30/Financials!AM4</f>
        <v>0.36441369270266971</v>
      </c>
      <c r="BU21" s="126">
        <f>Financials!AN30/Financials!AN4</f>
        <v>0.38754824712217018</v>
      </c>
      <c r="BV21" s="126">
        <f>Financials!AO30/Financials!AO4</f>
        <v>0.4518071307577522</v>
      </c>
      <c r="BW21" s="126">
        <f>Financials!AP30/Financials!AP4</f>
        <v>0.49628493510193011</v>
      </c>
      <c r="BX21" s="126">
        <f>Financials!AQ30/Financials!AQ4</f>
        <v>0.52558845610890381</v>
      </c>
      <c r="BY21" s="126">
        <f>Financials!AR30/Financials!AR4</f>
        <v>0.54748872915240065</v>
      </c>
      <c r="BZ21" s="126">
        <f>Financials!AS30/Financials!AS4</f>
        <v>0.54748873052993685</v>
      </c>
      <c r="CA21" s="126">
        <f>Financials!AT30/Financials!AT4</f>
        <v>0.57116074432904851</v>
      </c>
      <c r="CB21" s="126">
        <f>Financials!AU30/Financials!AU4</f>
        <v>0.56872684548805452</v>
      </c>
      <c r="CC21" s="126">
        <f>Financials!AV30/Financials!AV4</f>
        <v>0.56100376038145894</v>
      </c>
      <c r="CD21" s="126">
        <f>Financials!AW30/Financials!AW4</f>
        <v>0.3929430130716367</v>
      </c>
      <c r="CE21" s="126">
        <f>Financials!AX30/Financials!AX4</f>
        <v>0.44445615529956811</v>
      </c>
      <c r="CF21" s="126">
        <f>Financials!AY30/Financials!AY4</f>
        <v>0.28111735173575003</v>
      </c>
      <c r="CG21" s="126" t="e">
        <f>Financials!AZ30/Financials!AZ4</f>
        <v>#REF!</v>
      </c>
      <c r="CH21" s="126">
        <f>Financials!BA30/Financials!BA4</f>
        <v>0.42494109768257177</v>
      </c>
      <c r="CI21" s="126">
        <f>Financials!BB30/Financials!BB4</f>
        <v>0.35657776231519545</v>
      </c>
      <c r="CJ21" s="126">
        <f>Financials!BC30/Financials!BC4</f>
        <v>0.47056926944109623</v>
      </c>
      <c r="CK21" s="126">
        <f>Financials!BD30/Financials!BD4</f>
        <v>0.55180075250508154</v>
      </c>
      <c r="CL21" s="126">
        <f>Financials!BE30/Financials!BE4</f>
        <v>0.60167494698947321</v>
      </c>
      <c r="CM21" s="126">
        <f>Financials!BF30/Financials!BF4</f>
        <v>0.60167494735387561</v>
      </c>
      <c r="CN21" s="126">
        <f>Financials!BG30/Financials!BG4</f>
        <v>0.64138470694734151</v>
      </c>
      <c r="CO21" s="126">
        <f>Financials!BH30/Financials!BH4</f>
        <v>0.63528565887636868</v>
      </c>
      <c r="CP21" s="126">
        <f>Financials!BI30/Financials!BI4</f>
        <v>0.61251588310752103</v>
      </c>
      <c r="CQ21" s="126">
        <f>Financials!BJ30/Financials!BJ4</f>
        <v>0.57592762068796188</v>
      </c>
      <c r="CR21" s="126">
        <f>Financials!BK30/Financials!BK4</f>
        <v>0.58014132927540074</v>
      </c>
      <c r="CS21" s="126">
        <f>Financials!BL30/Financials!BL4</f>
        <v>0.59130062922558457</v>
      </c>
      <c r="CT21" s="126">
        <f>Financials!BM30/Financials!BM4</f>
        <v>0.63819243967308359</v>
      </c>
      <c r="CU21" s="126">
        <f>Financials!BN30/Financials!BN4</f>
        <v>0.66137793906381326</v>
      </c>
      <c r="CV21" s="126">
        <f>Financials!BO30/Financials!BO4</f>
        <v>0.47754150224400388</v>
      </c>
      <c r="CW21" s="126">
        <f>Financials!BP30/Financials!BP4</f>
        <v>0.31041994890253077</v>
      </c>
      <c r="CX21" s="126">
        <f>Financials!BQ30/Financials!BQ4</f>
        <v>0.41695018742461176</v>
      </c>
      <c r="CY21" s="126">
        <f>Financials!BR30/Financials!BR4</f>
        <v>0.42293720561607873</v>
      </c>
      <c r="CZ21" s="126">
        <f>Financials!BS30/Financials!BS4</f>
        <v>0.42293720372685828</v>
      </c>
      <c r="DA21" s="126">
        <f>Financials!BT30/Financials!BT4</f>
        <v>0.52795665425753191</v>
      </c>
      <c r="DB21" s="126">
        <f>Financials!BU30/Financials!BU4</f>
        <v>0.55306668054106745</v>
      </c>
      <c r="DC21" s="126">
        <f>Financials!BV30/Financials!BV4</f>
        <v>0.56060039581918797</v>
      </c>
      <c r="DD21" s="126">
        <f>Financials!BW30/Financials!BW4</f>
        <v>0.55220204408366369</v>
      </c>
      <c r="DE21" s="126">
        <f>Financials!BX30/Financials!BX4</f>
        <v>0.54161113591158783</v>
      </c>
      <c r="DF21" s="126">
        <f>Financials!BY30/Financials!BY4</f>
        <v>0.5586169215967941</v>
      </c>
      <c r="DG21" s="126">
        <f>Financials!BZ30/Financials!BZ4</f>
        <v>0.52917347777234369</v>
      </c>
      <c r="DH21" s="126">
        <f>Financials!CA30/Financials!CA4</f>
        <v>0.40811552389948269</v>
      </c>
      <c r="DI21" s="126">
        <f>Financials!CB30/Financials!CB4</f>
        <v>0.47860869673603568</v>
      </c>
      <c r="DJ21" s="126">
        <f>Financials!CC30/Financials!CC4</f>
        <v>0.51255746582561956</v>
      </c>
    </row>
    <row r="22" spans="1:114" s="104" customFormat="1" ht="12.75">
      <c r="A22" s="117"/>
      <c r="B22" s="118"/>
      <c r="C22" s="119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20"/>
      <c r="CC22" s="120"/>
      <c r="CD22" s="120"/>
      <c r="CE22" s="120"/>
      <c r="CF22" s="120"/>
      <c r="CG22" s="120"/>
      <c r="CH22" s="120"/>
      <c r="CI22" s="120"/>
      <c r="CJ22" s="120"/>
      <c r="CK22" s="120"/>
      <c r="CL22" s="120"/>
      <c r="CM22" s="120"/>
      <c r="CN22" s="120"/>
      <c r="CO22" s="120"/>
      <c r="CP22" s="120"/>
      <c r="CQ22" s="120"/>
      <c r="CR22" s="120"/>
      <c r="CS22" s="120"/>
      <c r="CT22" s="120"/>
      <c r="CU22" s="120"/>
      <c r="CV22" s="120"/>
      <c r="CW22" s="120"/>
      <c r="CX22" s="120"/>
      <c r="CY22" s="120"/>
      <c r="CZ22" s="120"/>
      <c r="DA22" s="120"/>
      <c r="DB22" s="120"/>
      <c r="DC22" s="120"/>
      <c r="DD22" s="120"/>
      <c r="DE22" s="120"/>
      <c r="DF22" s="120"/>
      <c r="DG22" s="120"/>
      <c r="DH22" s="120"/>
      <c r="DI22" s="120"/>
      <c r="DJ22" s="120"/>
    </row>
    <row r="23" spans="1:114" s="104" customFormat="1" ht="12.75">
      <c r="A23" s="117" t="s">
        <v>229</v>
      </c>
      <c r="B23" s="118"/>
      <c r="C23" s="119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3"/>
      <c r="CB23" s="133"/>
      <c r="CC23" s="133"/>
      <c r="CD23" s="133"/>
      <c r="CE23" s="133"/>
      <c r="CF23" s="133"/>
      <c r="CG23" s="133"/>
      <c r="CH23" s="133"/>
      <c r="CI23" s="133"/>
      <c r="CJ23" s="133"/>
      <c r="CK23" s="133"/>
      <c r="CL23" s="133"/>
      <c r="CM23" s="133"/>
      <c r="CN23" s="133"/>
      <c r="CO23" s="133"/>
      <c r="CP23" s="133"/>
      <c r="CQ23" s="133"/>
      <c r="CR23" s="133"/>
      <c r="CS23" s="133"/>
      <c r="CT23" s="133"/>
      <c r="CU23" s="133"/>
      <c r="CV23" s="133"/>
      <c r="CW23" s="133"/>
      <c r="CX23" s="133"/>
      <c r="CY23" s="133"/>
      <c r="CZ23" s="133"/>
      <c r="DA23" s="133"/>
      <c r="DB23" s="133"/>
      <c r="DC23" s="133"/>
      <c r="DD23" s="133"/>
      <c r="DE23" s="133"/>
      <c r="DF23" s="133"/>
      <c r="DG23" s="133"/>
      <c r="DH23" s="133"/>
      <c r="DI23" s="133"/>
      <c r="DJ23" s="133"/>
    </row>
    <row r="24" spans="1:114" s="104" customFormat="1" ht="12.75">
      <c r="A24" s="127" t="s">
        <v>230</v>
      </c>
      <c r="B24" s="131" t="s">
        <v>359</v>
      </c>
      <c r="C24" s="134"/>
      <c r="D24" s="126" t="e">
        <f>[2]Financials!C6/[2]Financials!C5</f>
        <v>#DIV/0!</v>
      </c>
      <c r="E24" s="126" t="e">
        <f>[2]Financials!D6/[2]Financials!D5</f>
        <v>#DIV/0!</v>
      </c>
      <c r="F24" s="126" t="e">
        <f>[2]Financials!E6/[2]Financials!E5</f>
        <v>#DIV/0!</v>
      </c>
      <c r="G24" s="126" t="e">
        <f>[2]Financials!F6/[2]Financials!F5</f>
        <v>#DIV/0!</v>
      </c>
      <c r="H24" s="126" t="e">
        <f>[2]Financials!G6/[2]Financials!G5</f>
        <v>#DIV/0!</v>
      </c>
      <c r="I24" s="126" t="e">
        <f>[2]Financials!H6/[2]Financials!H5</f>
        <v>#DIV/0!</v>
      </c>
      <c r="J24" s="126" t="e">
        <f>[2]Financials!I6/[2]Financials!I5</f>
        <v>#DIV/0!</v>
      </c>
      <c r="K24" s="126">
        <f>[2]Financials!J6/[2]Financials!J5</f>
        <v>0.86978127369900671</v>
      </c>
      <c r="L24" s="126">
        <f>[2]Financials!K6/[2]Financials!K5</f>
        <v>0.8112081755247903</v>
      </c>
      <c r="M24" s="126">
        <f>[2]Financials!L6/[2]Financials!L5</f>
        <v>0.8051148492908341</v>
      </c>
      <c r="N24" s="126">
        <f>[2]Financials!M6/[2]Financials!M5</f>
        <v>0.78333975745942341</v>
      </c>
      <c r="O24" s="126">
        <f>[2]Financials!N6/[2]Financials!N5</f>
        <v>0.78011304112065483</v>
      </c>
      <c r="P24" s="126">
        <f>[2]Financials!O6/[2]Financials!O5</f>
        <v>0.75662365271190346</v>
      </c>
      <c r="Q24" s="126">
        <f>[2]Financials!P6/[2]Financials!P5</f>
        <v>0.74876491829880409</v>
      </c>
      <c r="R24" s="126">
        <f>[2]Financials!Q6/[2]Financials!Q5</f>
        <v>0.74418569717150096</v>
      </c>
      <c r="S24" s="126">
        <f>[2]Financials!R6/[2]Financials!R5</f>
        <v>0.73206634118682157</v>
      </c>
      <c r="T24" s="126">
        <f>[2]Financials!S6/[2]Financials!S5</f>
        <v>0.73010434573344818</v>
      </c>
      <c r="U24" s="126">
        <f>[2]Financials!T6/[2]Financials!T5</f>
        <v>0.72233027990398369</v>
      </c>
      <c r="V24" s="126">
        <f>[2]Financials!U6/[2]Financials!U5</f>
        <v>0.72293440842665924</v>
      </c>
      <c r="W24" s="126">
        <f>[2]Financials!V6/[2]Financials!V5</f>
        <v>0.7249040538379895</v>
      </c>
      <c r="X24" s="126">
        <f>[2]Financials!W6/[2]Financials!W5</f>
        <v>0.73445194635593769</v>
      </c>
      <c r="Y24" s="126">
        <f>[2]Financials!X6/[2]Financials!X5</f>
        <v>0.71306207578281844</v>
      </c>
      <c r="Z24" s="126">
        <f>[2]Financials!Y6/[2]Financials!Y5</f>
        <v>0.74804116790584629</v>
      </c>
      <c r="AA24" s="126">
        <f>[2]Financials!Z6/[2]Financials!Z5</f>
        <v>0.70532661817101616</v>
      </c>
      <c r="AB24" s="126">
        <f>[2]Financials!AA6/[2]Financials!AA5</f>
        <v>0.7469173819080972</v>
      </c>
      <c r="AC24" s="126">
        <f>[2]Financials!AB6/[2]Financials!AB5</f>
        <v>0.72825274378459737</v>
      </c>
      <c r="AD24" s="126">
        <f>[2]Financials!AC6/[2]Financials!AC5</f>
        <v>0.71193633544662038</v>
      </c>
      <c r="AE24" s="126">
        <f>[2]Financials!AD6/[2]Financials!AD5</f>
        <v>0.71283835579804433</v>
      </c>
      <c r="AF24" s="126">
        <f>[2]Financials!AE6/[2]Financials!AE5</f>
        <v>0.69617133677408904</v>
      </c>
      <c r="AG24" s="126">
        <f>[2]Financials!AF6/[2]Financials!AF5</f>
        <v>0.6952007698108742</v>
      </c>
      <c r="AH24" s="126">
        <f>[2]Financials!AG6/[2]Financials!AG5</f>
        <v>0.69712252414570786</v>
      </c>
      <c r="AI24" s="126">
        <f>[2]Financials!AH6/[2]Financials!AH5</f>
        <v>0.68913675186153056</v>
      </c>
      <c r="AJ24" s="126">
        <f>[2]Financials!AI6/[2]Financials!AI5</f>
        <v>0.67815849425415697</v>
      </c>
      <c r="AK24" s="126" t="e">
        <f>Financials!D5/Financials!D4</f>
        <v>#REF!</v>
      </c>
      <c r="AL24" s="126" t="e">
        <f>Financials!E5/Financials!E4</f>
        <v>#REF!</v>
      </c>
      <c r="AM24" s="126" t="e">
        <f>Financials!F5/Financials!F4</f>
        <v>#REF!</v>
      </c>
      <c r="AN24" s="126" t="e">
        <f>Financials!G5/Financials!G4</f>
        <v>#REF!</v>
      </c>
      <c r="AO24" s="126" t="e">
        <f>Financials!H5/Financials!H4</f>
        <v>#REF!</v>
      </c>
      <c r="AP24" s="126" t="e">
        <f>Financials!I5/Financials!I4</f>
        <v>#REF!</v>
      </c>
      <c r="AQ24" s="126" t="e">
        <f>Financials!J5/Financials!J4</f>
        <v>#REF!</v>
      </c>
      <c r="AR24" s="126" t="e">
        <f>Financials!K5/Financials!K4</f>
        <v>#REF!</v>
      </c>
      <c r="AS24" s="126" t="e">
        <f>Financials!L5/Financials!L4</f>
        <v>#REF!</v>
      </c>
      <c r="AT24" s="126" t="e">
        <f>Financials!M5/Financials!M4</f>
        <v>#REF!</v>
      </c>
      <c r="AU24" s="126" t="e">
        <f>Financials!N5/Financials!N4</f>
        <v>#REF!</v>
      </c>
      <c r="AV24" s="126" t="e">
        <f>Financials!O5/Financials!O4</f>
        <v>#REF!</v>
      </c>
      <c r="AW24" s="126" t="e">
        <f>Financials!P5/Financials!P4</f>
        <v>#REF!</v>
      </c>
      <c r="AX24" s="126" t="e">
        <f>Financials!Q5/Financials!Q4</f>
        <v>#REF!</v>
      </c>
      <c r="AY24" s="126" t="e">
        <f>Financials!R5/Financials!R4</f>
        <v>#REF!</v>
      </c>
      <c r="AZ24" s="126">
        <f>Financials!S5/Financials!S4</f>
        <v>0.41809337653277667</v>
      </c>
      <c r="BA24" s="126">
        <f>Financials!T5/Financials!T4</f>
        <v>0.40694479574644993</v>
      </c>
      <c r="BB24" s="126">
        <f>Financials!U5/Financials!U4</f>
        <v>0.4001253437583609</v>
      </c>
      <c r="BC24" s="126">
        <f>Financials!V5/Financials!V4</f>
        <v>0.39920929464227972</v>
      </c>
      <c r="BD24" s="126">
        <f>Financials!W5/Financials!W4</f>
        <v>0.40858987159001542</v>
      </c>
      <c r="BE24" s="126">
        <f>Financials!X5/Financials!X4</f>
        <v>0.50849413081068096</v>
      </c>
      <c r="BF24" s="126">
        <f>Financials!Y5/Financials!Y4</f>
        <v>0.48058666903920044</v>
      </c>
      <c r="BG24" s="126">
        <f>Financials!Z5/Financials!Z4</f>
        <v>0.47061906465832343</v>
      </c>
      <c r="BH24" s="126">
        <f>Financials!AA5/Financials!AA4</f>
        <v>0.46660476592185751</v>
      </c>
      <c r="BI24" s="126">
        <f>Financials!AB5/Financials!AB4</f>
        <v>0.46697493552965086</v>
      </c>
      <c r="BJ24" s="126">
        <f>Financials!AC5/Financials!AC4</f>
        <v>0.46149703338511033</v>
      </c>
      <c r="BK24" s="126">
        <f>Financials!AD5/Financials!AD4</f>
        <v>0.44826318033627605</v>
      </c>
      <c r="BL24" s="126">
        <f>Financials!AE5/Financials!AE4</f>
        <v>0.43045914967796678</v>
      </c>
      <c r="BM24" s="126">
        <f>Financials!AF5/Financials!AF4</f>
        <v>0.43045914940442598</v>
      </c>
      <c r="BN24" s="126">
        <f>Financials!AG5/Financials!AG4</f>
        <v>0.42553854519727546</v>
      </c>
      <c r="BO24" s="126">
        <f>Financials!AH5/Financials!AH4</f>
        <v>0.43100266496469652</v>
      </c>
      <c r="BP24" s="126">
        <f>Financials!AI5/Financials!AI4</f>
        <v>0.42686996533451216</v>
      </c>
      <c r="BQ24" s="126">
        <f>Financials!AJ5/Financials!AJ4</f>
        <v>0.42260382384057266</v>
      </c>
      <c r="BR24" s="126">
        <f>Financials!AK5/Financials!AK4</f>
        <v>0.42581312736412136</v>
      </c>
      <c r="BS24" s="126">
        <f>Financials!AL5/Financials!AL4</f>
        <v>0.43202800517708584</v>
      </c>
      <c r="BT24" s="126">
        <f>Financials!AM5/Financials!AM4</f>
        <v>0.54883044761587607</v>
      </c>
      <c r="BU24" s="126">
        <f>Financials!AN5/Financials!AN4</f>
        <v>0.54016929442645345</v>
      </c>
      <c r="BV24" s="126">
        <f>Financials!AO5/Financials!AO4</f>
        <v>0.50749823431988061</v>
      </c>
      <c r="BW24" s="126">
        <f>Financials!AP5/Financials!AP4</f>
        <v>0.50011750772132813</v>
      </c>
      <c r="BX24" s="126">
        <f>Financials!AQ5/Financials!AQ4</f>
        <v>0.48255370529126518</v>
      </c>
      <c r="BY24" s="126">
        <f>Financials!AR5/Financials!AR4</f>
        <v>0.44683460310127276</v>
      </c>
      <c r="BZ24" s="126">
        <f>Financials!AS5/Financials!AS4</f>
        <v>0.44683460183381851</v>
      </c>
      <c r="CA24" s="126">
        <f>Financials!AT5/Financials!AT4</f>
        <v>0.43767839484365312</v>
      </c>
      <c r="CB24" s="126">
        <f>Financials!AU5/Financials!AU4</f>
        <v>0.44704646979885665</v>
      </c>
      <c r="CC24" s="126">
        <f>Financials!AV5/Financials!AV4</f>
        <v>0.4455777481031456</v>
      </c>
      <c r="CD24" s="126">
        <f>Financials!AW5/Financials!AW4</f>
        <v>0.49809068474857299</v>
      </c>
      <c r="CE24" s="126">
        <f>Financials!AX5/Financials!AX4</f>
        <v>0.48611551117350837</v>
      </c>
      <c r="CF24" s="126">
        <f>Financials!AY5/Financials!AY4</f>
        <v>0.55415291949018808</v>
      </c>
      <c r="CG24" s="126" t="e">
        <f>Financials!AZ5/Financials!AZ4</f>
        <v>#REF!</v>
      </c>
      <c r="CH24" s="126">
        <f>Financials!BA5/Financials!BA4</f>
        <v>0.5127348846907489</v>
      </c>
      <c r="CI24" s="126">
        <f>Financials!BB5/Financials!BB4</f>
        <v>0.58429838330573214</v>
      </c>
      <c r="CJ24" s="126">
        <f>Financials!BC5/Financials!BC4</f>
        <v>0.56443274147257738</v>
      </c>
      <c r="CK24" s="126">
        <f>Financials!BD5/Financials!BD4</f>
        <v>0.53056898864725044</v>
      </c>
      <c r="CL24" s="126">
        <f>Financials!BE5/Financials!BE4</f>
        <v>0.50799223490082002</v>
      </c>
      <c r="CM24" s="126">
        <f>Financials!BF5/Financials!BF4</f>
        <v>0.50799223053837628</v>
      </c>
      <c r="CN24" s="126">
        <f>Financials!BG5/Financials!BG4</f>
        <v>0.49671692223811292</v>
      </c>
      <c r="CO24" s="126">
        <f>Financials!BH5/Financials!BH4</f>
        <v>0.49509068621721664</v>
      </c>
      <c r="CP24" s="126">
        <f>Financials!BI5/Financials!BI4</f>
        <v>0.49713703959299527</v>
      </c>
      <c r="CQ24" s="126">
        <f>Financials!BJ5/Financials!BJ4</f>
        <v>0.50447726432115569</v>
      </c>
      <c r="CR24" s="126">
        <f>Financials!BK5/Financials!BK4</f>
        <v>0.50809544707758847</v>
      </c>
      <c r="CS24" s="126">
        <f>Financials!BL5/Financials!BL4</f>
        <v>0.51157335388424019</v>
      </c>
      <c r="CT24" s="126">
        <f>Financials!BM5/Financials!BM4</f>
        <v>0.51337950641939589</v>
      </c>
      <c r="CU24" s="126">
        <f>Financials!BN5/Financials!BN4</f>
        <v>0.51999701738618331</v>
      </c>
      <c r="CV24" s="126">
        <f>Financials!BO5/Financials!BO4</f>
        <v>0.51767235564763747</v>
      </c>
      <c r="CW24" s="126">
        <f>Financials!BP5/Financials!BP4</f>
        <v>0.59705609477362154</v>
      </c>
      <c r="CX24" s="126">
        <f>Financials!BQ5/Financials!BQ4</f>
        <v>0.55658104780165485</v>
      </c>
      <c r="CY24" s="126">
        <f>Financials!BR5/Financials!BR4</f>
        <v>0.52374244288338556</v>
      </c>
      <c r="CZ24" s="126">
        <f>Financials!BS5/Financials!BS4</f>
        <v>0.52374244106990009</v>
      </c>
      <c r="DA24" s="126">
        <f>Financials!BT5/Financials!BT4</f>
        <v>0.48832440811914335</v>
      </c>
      <c r="DB24" s="126">
        <f>Financials!BU5/Financials!BU4</f>
        <v>0.48254119237828325</v>
      </c>
      <c r="DC24" s="126">
        <f>Financials!BV5/Financials!BV4</f>
        <v>0.48440363347338661</v>
      </c>
      <c r="DD24" s="126">
        <f>Financials!BW5/Financials!BW4</f>
        <v>0.48852959058151224</v>
      </c>
      <c r="DE24" s="126">
        <f>Financials!BX5/Financials!BX4</f>
        <v>0.50126829540921203</v>
      </c>
      <c r="DF24" s="126">
        <f>Financials!BY5/Financials!BY4</f>
        <v>0.50734331126050514</v>
      </c>
      <c r="DG24" s="126">
        <f>Financials!BZ5/Financials!BZ4</f>
        <v>0.50393438612642227</v>
      </c>
      <c r="DH24" s="126">
        <f>Financials!CA5/Financials!CA4</f>
        <v>0.52309981069249389</v>
      </c>
      <c r="DI24" s="126">
        <f>Financials!CB5/Financials!CB4</f>
        <v>0.50150489606156734</v>
      </c>
      <c r="DJ24" s="126">
        <f>Financials!CC5/Financials!CC4</f>
        <v>0.50003983118852269</v>
      </c>
    </row>
    <row r="25" spans="1:114" s="104" customFormat="1" ht="12.75">
      <c r="A25" s="135" t="s">
        <v>231</v>
      </c>
      <c r="B25" s="136" t="s">
        <v>359</v>
      </c>
      <c r="C25" s="137"/>
      <c r="D25" s="138" t="e">
        <f>[2]Financials!C7/[2]Financials!C5</f>
        <v>#DIV/0!</v>
      </c>
      <c r="E25" s="138" t="e">
        <f>[2]Financials!D7/[2]Financials!D5</f>
        <v>#DIV/0!</v>
      </c>
      <c r="F25" s="138" t="e">
        <f>[2]Financials!E7/[2]Financials!E5</f>
        <v>#DIV/0!</v>
      </c>
      <c r="G25" s="138" t="e">
        <f>[2]Financials!F7/[2]Financials!F5</f>
        <v>#DIV/0!</v>
      </c>
      <c r="H25" s="138" t="e">
        <f>[2]Financials!G7/[2]Financials!G5</f>
        <v>#DIV/0!</v>
      </c>
      <c r="I25" s="138" t="e">
        <f>[2]Financials!H7/[2]Financials!H5</f>
        <v>#DIV/0!</v>
      </c>
      <c r="J25" s="138" t="e">
        <f>[2]Financials!I7/[2]Financials!I5</f>
        <v>#DIV/0!</v>
      </c>
      <c r="K25" s="138">
        <f>[2]Financials!J7/[2]Financials!J5</f>
        <v>0.81162927051850364</v>
      </c>
      <c r="L25" s="138">
        <f>[2]Financials!K7/[2]Financials!K5</f>
        <v>0.75549353065265024</v>
      </c>
      <c r="M25" s="138">
        <f>[2]Financials!L7/[2]Financials!L5</f>
        <v>0.75205256625859862</v>
      </c>
      <c r="N25" s="138">
        <f>[2]Financials!M7/[2]Financials!M5</f>
        <v>0.73260490577060844</v>
      </c>
      <c r="O25" s="138">
        <f>[2]Financials!N7/[2]Financials!N5</f>
        <v>0.67593966294570418</v>
      </c>
      <c r="P25" s="138">
        <f>[2]Financials!O7/[2]Financials!O5</f>
        <v>0.69787625250688812</v>
      </c>
      <c r="Q25" s="138">
        <f>[2]Financials!P7/[2]Financials!P5</f>
        <v>0.69395827327950266</v>
      </c>
      <c r="R25" s="138">
        <f>[2]Financials!Q7/[2]Financials!Q5</f>
        <v>0.69014860870573236</v>
      </c>
      <c r="S25" s="138">
        <f>[2]Financials!R7/[2]Financials!R5</f>
        <v>0.67714704478440824</v>
      </c>
      <c r="T25" s="138">
        <f>[2]Financials!S7/[2]Financials!S5</f>
        <v>0.67852121566268264</v>
      </c>
      <c r="U25" s="138">
        <f>[2]Financials!T7/[2]Financials!T5</f>
        <v>0.66899365407939471</v>
      </c>
      <c r="V25" s="138">
        <f>[2]Financials!U7/[2]Financials!U5</f>
        <v>0.66775835994656141</v>
      </c>
      <c r="W25" s="138">
        <f>[2]Financials!V7/[2]Financials!V5</f>
        <v>0.67054949276109788</v>
      </c>
      <c r="X25" s="138">
        <f>[2]Financials!W7/[2]Financials!W5</f>
        <v>0.67935242706204135</v>
      </c>
      <c r="Y25" s="138">
        <f>[2]Financials!X7/[2]Financials!X5</f>
        <v>0.6568037938328416</v>
      </c>
      <c r="Z25" s="138">
        <f>[2]Financials!Y7/[2]Financials!Y5</f>
        <v>0.69401769088682674</v>
      </c>
      <c r="AA25" s="138">
        <f>[2]Financials!Z7/[2]Financials!Z5</f>
        <v>0.65754400077843589</v>
      </c>
      <c r="AB25" s="138">
        <f>[2]Financials!AA7/[2]Financials!AA5</f>
        <v>0.67072516401900806</v>
      </c>
      <c r="AC25" s="138">
        <f>[2]Financials!AB7/[2]Financials!AB5</f>
        <v>0.6743246093270745</v>
      </c>
      <c r="AD25" s="138">
        <f>[2]Financials!AC7/[2]Financials!AC5</f>
        <v>0.66007715214860818</v>
      </c>
      <c r="AE25" s="138">
        <f>[2]Financials!AD7/[2]Financials!AD5</f>
        <v>0.6593587906855507</v>
      </c>
      <c r="AF25" s="138">
        <f>[2]Financials!AE7/[2]Financials!AE5</f>
        <v>0.64321696156112651</v>
      </c>
      <c r="AG25" s="138">
        <f>[2]Financials!AF7/[2]Financials!AF5</f>
        <v>0.64424728913629481</v>
      </c>
      <c r="AH25" s="138">
        <f>[2]Financials!AG7/[2]Financials!AG5</f>
        <v>0.6449202708769729</v>
      </c>
      <c r="AI25" s="138">
        <f>[2]Financials!AH7/[2]Financials!AH5</f>
        <v>0.63762351279626184</v>
      </c>
      <c r="AJ25" s="138">
        <f>[2]Financials!AI7/[2]Financials!AI5</f>
        <v>0.6253469274345419</v>
      </c>
      <c r="AK25" s="138" t="e">
        <f>Financials!D6/Financials!D4</f>
        <v>#REF!</v>
      </c>
      <c r="AL25" s="138" t="e">
        <f>Financials!E6/Financials!E4</f>
        <v>#REF!</v>
      </c>
      <c r="AM25" s="138" t="e">
        <f>Financials!F6/Financials!F4</f>
        <v>#REF!</v>
      </c>
      <c r="AN25" s="138" t="e">
        <f>Financials!G6/Financials!G4</f>
        <v>#REF!</v>
      </c>
      <c r="AO25" s="138" t="e">
        <f>Financials!H6/Financials!H4</f>
        <v>#REF!</v>
      </c>
      <c r="AP25" s="138" t="e">
        <f>Financials!I6/Financials!I4</f>
        <v>#REF!</v>
      </c>
      <c r="AQ25" s="138" t="e">
        <f>Financials!J6/Financials!J4</f>
        <v>#REF!</v>
      </c>
      <c r="AR25" s="138" t="e">
        <f>Financials!K6/Financials!K4</f>
        <v>#REF!</v>
      </c>
      <c r="AS25" s="138" t="e">
        <f>Financials!L6/Financials!L4</f>
        <v>#REF!</v>
      </c>
      <c r="AT25" s="138" t="e">
        <f>Financials!M6/Financials!M4</f>
        <v>#REF!</v>
      </c>
      <c r="AU25" s="138" t="e">
        <f>Financials!N6/Financials!N4</f>
        <v>#REF!</v>
      </c>
      <c r="AV25" s="138" t="e">
        <f>Financials!O6/Financials!O4</f>
        <v>#REF!</v>
      </c>
      <c r="AW25" s="138" t="e">
        <f>Financials!P6/Financials!P4</f>
        <v>#REF!</v>
      </c>
      <c r="AX25" s="138" t="e">
        <f>Financials!Q6/Financials!Q4</f>
        <v>#REF!</v>
      </c>
      <c r="AY25" s="138" t="e">
        <f>Financials!R6/Financials!R4</f>
        <v>#REF!</v>
      </c>
      <c r="AZ25" s="138">
        <f>Financials!S6/Financials!S4</f>
        <v>0.2791226121745225</v>
      </c>
      <c r="BA25" s="138">
        <f>Financials!T6/Financials!T4</f>
        <v>0.27922717756997018</v>
      </c>
      <c r="BB25" s="138">
        <f>Financials!U6/Financials!U4</f>
        <v>0.28226957724071111</v>
      </c>
      <c r="BC25" s="138">
        <f>Financials!V6/Financials!V4</f>
        <v>0.28460983821875679</v>
      </c>
      <c r="BD25" s="138">
        <f>Financials!W6/Financials!W4</f>
        <v>0.28341113800920936</v>
      </c>
      <c r="BE25" s="138">
        <f>Financials!X6/Financials!X4</f>
        <v>0.23494561707159292</v>
      </c>
      <c r="BF25" s="138">
        <f>Financials!Y6/Financials!Y4</f>
        <v>0.25525002144241454</v>
      </c>
      <c r="BG25" s="138">
        <f>Financials!Z6/Financials!Z4</f>
        <v>0.26432850656621071</v>
      </c>
      <c r="BH25" s="138">
        <f>Financials!AA6/Financials!AA4</f>
        <v>0.26947802135969373</v>
      </c>
      <c r="BI25" s="138">
        <f>Financials!AB6/Financials!AB4</f>
        <v>0.27529875795138031</v>
      </c>
      <c r="BJ25" s="138">
        <f>Financials!AC6/Financials!AC4</f>
        <v>0.2671658338526437</v>
      </c>
      <c r="BK25" s="138">
        <f>Financials!AD6/Financials!AD4</f>
        <v>0.27281364800791386</v>
      </c>
      <c r="BL25" s="138">
        <f>Financials!AE6/Financials!AE4</f>
        <v>0.26803291527982592</v>
      </c>
      <c r="BM25" s="138">
        <f>Financials!AF6/Financials!AF4</f>
        <v>0.26803291441338528</v>
      </c>
      <c r="BN25" s="138">
        <f>Financials!AG6/Financials!AG4</f>
        <v>0.27158898659479858</v>
      </c>
      <c r="BO25" s="138">
        <f>Financials!AH6/Financials!AH4</f>
        <v>0.27302735962020902</v>
      </c>
      <c r="BP25" s="138">
        <f>Financials!AI6/Financials!AI4</f>
        <v>0.2764141911158321</v>
      </c>
      <c r="BQ25" s="138">
        <f>Financials!AJ6/Financials!AJ4</f>
        <v>0.28117806715643306</v>
      </c>
      <c r="BR25" s="138">
        <f>Financials!AK6/Financials!AK4</f>
        <v>0.28510720091859248</v>
      </c>
      <c r="BS25" s="138">
        <f>Financials!AL6/Financials!AL4</f>
        <v>0.28132332402581828</v>
      </c>
      <c r="BT25" s="138">
        <f>Financials!AM6/Financials!AM4</f>
        <v>0.21471009341774197</v>
      </c>
      <c r="BU25" s="138">
        <f>Financials!AN6/Financials!AN4</f>
        <v>0.22801802233824742</v>
      </c>
      <c r="BV25" s="138">
        <f>Financials!AO6/Financials!AO4</f>
        <v>0.24993439539677348</v>
      </c>
      <c r="BW25" s="138">
        <f>Financials!AP6/Financials!AP4</f>
        <v>0.25998374630384041</v>
      </c>
      <c r="BX25" s="138">
        <f>Financials!AQ6/Financials!AQ4</f>
        <v>0.27747545199294493</v>
      </c>
      <c r="BY25" s="138">
        <f>Financials!AR6/Financials!AR4</f>
        <v>0.26167551216077495</v>
      </c>
      <c r="BZ25" s="138">
        <f>Financials!AS6/Financials!AS4</f>
        <v>0</v>
      </c>
      <c r="CA25" s="138">
        <f>Financials!AT6/Financials!AT4</f>
        <v>0.26686849003766311</v>
      </c>
      <c r="CB25" s="138">
        <f>Financials!AU6/Financials!AU4</f>
        <v>0.26936124915550214</v>
      </c>
      <c r="CC25" s="138">
        <f>Financials!AV6/Financials!AV4</f>
        <v>0.27055665524171063</v>
      </c>
      <c r="CD25" s="138">
        <f>Financials!AW6/Financials!AW4</f>
        <v>0.24007581921895246</v>
      </c>
      <c r="CE25" s="138">
        <f>Financials!AX6/Financials!AX4</f>
        <v>0.2134130090465953</v>
      </c>
      <c r="CF25" s="138">
        <f>Financials!AY6/Financials!AY4</f>
        <v>0.21949496360522552</v>
      </c>
      <c r="CG25" s="138" t="e">
        <f>Financials!AZ6/Financials!AZ4</f>
        <v>#REF!</v>
      </c>
      <c r="CH25" s="138">
        <f>Financials!BA6/Financials!BA4</f>
        <v>0.24705510874040917</v>
      </c>
      <c r="CI25" s="138">
        <f>Financials!BB6/Financials!BB4</f>
        <v>0.1863287239246382</v>
      </c>
      <c r="CJ25" s="138">
        <f>Financials!BC6/Financials!BC4</f>
        <v>0.22648282379941209</v>
      </c>
      <c r="CK25" s="138">
        <f>Financials!BD6/Financials!BD4</f>
        <v>0.25379437827856915</v>
      </c>
      <c r="CL25" s="138">
        <f>Financials!BE6/Financials!BE4</f>
        <v>0.26902602119104524</v>
      </c>
      <c r="CM25" s="138">
        <f>Financials!BF6/Financials!BF4</f>
        <v>0.26902601903233064</v>
      </c>
      <c r="CN25" s="138">
        <f>Financials!BG6/Financials!BG4</f>
        <v>0.27890949035650386</v>
      </c>
      <c r="CO25" s="138">
        <f>Financials!BH6/Financials!BH4</f>
        <v>0.28592353046304658</v>
      </c>
      <c r="CP25" s="138">
        <f>Financials!BI6/Financials!BI4</f>
        <v>0.28670982868208433</v>
      </c>
      <c r="CQ25" s="138">
        <f>Financials!BJ6/Financials!BJ4</f>
        <v>0.2835967630932798</v>
      </c>
      <c r="CR25" s="138">
        <f>Financials!BK6/Financials!BK4</f>
        <v>0.29027230319956671</v>
      </c>
      <c r="CS25" s="138">
        <f>Financials!BL6/Financials!BL4</f>
        <v>0.29502048654097451</v>
      </c>
      <c r="CT25" s="138">
        <f>Financials!BM6/Financials!BM4</f>
        <v>0.301788944300867</v>
      </c>
      <c r="CU25" s="138">
        <f>Financials!BN6/Financials!BN4</f>
        <v>0.30990386683961935</v>
      </c>
      <c r="CV25" s="138">
        <f>Financials!BO6/Financials!BO4</f>
        <v>0.22724692897635293</v>
      </c>
      <c r="CW25" s="138">
        <f>Financials!BP6/Financials!BP4</f>
        <v>0.23300618809649143</v>
      </c>
      <c r="CX25" s="138">
        <f>Financials!BQ6/Financials!BQ4</f>
        <v>0.25073827533375276</v>
      </c>
      <c r="CY25" s="138">
        <f>Financials!BR6/Financials!BR4</f>
        <v>0.2497128106766745</v>
      </c>
      <c r="CZ25" s="138">
        <f>Financials!BS6/Financials!BS4</f>
        <v>0.24971280970758117</v>
      </c>
      <c r="DA25" s="138">
        <f>Financials!BT6/Financials!BT4</f>
        <v>0.25684267541339323</v>
      </c>
      <c r="DB25" s="138">
        <f>Financials!BU6/Financials!BU4</f>
        <v>0.26466983171427344</v>
      </c>
      <c r="DC25" s="138">
        <f>Financials!BV6/Financials!BV4</f>
        <v>0.26756742999611705</v>
      </c>
      <c r="DD25" s="138">
        <f>Financials!BW6/Financials!BW4</f>
        <v>0.26878428913258212</v>
      </c>
      <c r="DE25" s="138">
        <f>Financials!BX6/Financials!BX4</f>
        <v>0.27401832660228215</v>
      </c>
      <c r="DF25" s="138">
        <f>Financials!BY6/Financials!BY4</f>
        <v>0.28362737670398785</v>
      </c>
      <c r="DG25" s="138">
        <f>Financials!BZ6/Financials!BZ4</f>
        <v>0.27771684119287188</v>
      </c>
      <c r="DH25" s="138">
        <f>Financials!CA6/Financials!CA4</f>
        <v>0.24520872452173231</v>
      </c>
      <c r="DI25" s="138">
        <f>Financials!CB6/Financials!CB4</f>
        <v>0.25979955643896302</v>
      </c>
      <c r="DJ25" s="138">
        <f>Financials!CC6/Financials!CC4</f>
        <v>0.26963418404598993</v>
      </c>
    </row>
    <row r="26" spans="1:114" s="104" customFormat="1" ht="12.75">
      <c r="A26" s="135" t="s">
        <v>232</v>
      </c>
      <c r="B26" s="136" t="s">
        <v>359</v>
      </c>
      <c r="C26" s="137"/>
      <c r="D26" s="138" t="e">
        <f>[2]Financials!C8/[2]Financials!C5</f>
        <v>#DIV/0!</v>
      </c>
      <c r="E26" s="138" t="e">
        <f>[2]Financials!D8/[2]Financials!D5</f>
        <v>#DIV/0!</v>
      </c>
      <c r="F26" s="138" t="e">
        <f>[2]Financials!E8/[2]Financials!E5</f>
        <v>#DIV/0!</v>
      </c>
      <c r="G26" s="138" t="e">
        <f>[2]Financials!F8/[2]Financials!F5</f>
        <v>#DIV/0!</v>
      </c>
      <c r="H26" s="138" t="e">
        <f>[2]Financials!G8/[2]Financials!G5</f>
        <v>#DIV/0!</v>
      </c>
      <c r="I26" s="138" t="e">
        <f>[2]Financials!H8/[2]Financials!H5</f>
        <v>#DIV/0!</v>
      </c>
      <c r="J26" s="138" t="e">
        <f>[2]Financials!I8/[2]Financials!I5</f>
        <v>#DIV/0!</v>
      </c>
      <c r="K26" s="138">
        <f>[2]Financials!J8/[2]Financials!J5</f>
        <v>5.8152003180503002E-2</v>
      </c>
      <c r="L26" s="138">
        <f>[2]Financials!K8/[2]Financials!K5</f>
        <v>5.5714644872140048E-2</v>
      </c>
      <c r="M26" s="138">
        <f>[2]Financials!L8/[2]Financials!L5</f>
        <v>5.3062283032235438E-2</v>
      </c>
      <c r="N26" s="138">
        <f>[2]Financials!M8/[2]Financials!M5</f>
        <v>5.0734851688815016E-2</v>
      </c>
      <c r="O26" s="138">
        <f>[2]Financials!N8/[2]Financials!N5</f>
        <v>0.10417337817495065</v>
      </c>
      <c r="P26" s="138">
        <f>[2]Financials!O8/[2]Financials!O5</f>
        <v>5.8747400205015329E-2</v>
      </c>
      <c r="Q26" s="138">
        <f>[2]Financials!P8/[2]Financials!P5</f>
        <v>5.4806645019301499E-2</v>
      </c>
      <c r="R26" s="138">
        <f>[2]Financials!Q8/[2]Financials!Q5</f>
        <v>5.4037088465768511E-2</v>
      </c>
      <c r="S26" s="138">
        <f>[2]Financials!R8/[2]Financials!R5</f>
        <v>5.4919296402413324E-2</v>
      </c>
      <c r="T26" s="138">
        <f>[2]Financials!S8/[2]Financials!S5</f>
        <v>5.1583130070765544E-2</v>
      </c>
      <c r="U26" s="138">
        <f>[2]Financials!T8/[2]Financials!T5</f>
        <v>5.3336625824588917E-2</v>
      </c>
      <c r="V26" s="138">
        <f>[2]Financials!U8/[2]Financials!U5</f>
        <v>5.5176048480097807E-2</v>
      </c>
      <c r="W26" s="138">
        <f>[2]Financials!V8/[2]Financials!V5</f>
        <v>5.4354561076891586E-2</v>
      </c>
      <c r="X26" s="138">
        <f>[2]Financials!W8/[2]Financials!W5</f>
        <v>5.5099519293896358E-2</v>
      </c>
      <c r="Y26" s="138">
        <f>[2]Financials!X8/[2]Financials!X5</f>
        <v>5.625828194997682E-2</v>
      </c>
      <c r="Z26" s="138">
        <f>[2]Financials!Y8/[2]Financials!Y5</f>
        <v>5.4023477019019522E-2</v>
      </c>
      <c r="AA26" s="138">
        <f>[2]Financials!Z8/[2]Financials!Z5</f>
        <v>4.778261739258028E-2</v>
      </c>
      <c r="AB26" s="138">
        <f>[2]Financials!AA8/[2]Financials!AA5</f>
        <v>7.6192217889089101E-2</v>
      </c>
      <c r="AC26" s="138">
        <f>[2]Financials!AB8/[2]Financials!AB5</f>
        <v>5.3928134457522911E-2</v>
      </c>
      <c r="AD26" s="138">
        <f>[2]Financials!AC8/[2]Financials!AC5</f>
        <v>5.1859183298012125E-2</v>
      </c>
      <c r="AE26" s="138">
        <f>[2]Financials!AD8/[2]Financials!AD5</f>
        <v>5.3479565112493653E-2</v>
      </c>
      <c r="AF26" s="138">
        <f>[2]Financials!AE8/[2]Financials!AE5</f>
        <v>5.2954375212962534E-2</v>
      </c>
      <c r="AG26" s="138">
        <f>[2]Financials!AF8/[2]Financials!AF5</f>
        <v>5.0953480674579318E-2</v>
      </c>
      <c r="AH26" s="138">
        <f>[2]Financials!AG8/[2]Financials!AG5</f>
        <v>5.2202253268735024E-2</v>
      </c>
      <c r="AI26" s="138">
        <f>[2]Financials!AH8/[2]Financials!AH5</f>
        <v>5.1513239065268744E-2</v>
      </c>
      <c r="AJ26" s="138">
        <f>[2]Financials!AI8/[2]Financials!AI5</f>
        <v>5.2811566819615068E-2</v>
      </c>
      <c r="AK26" s="138" t="e">
        <f>Financials!D7/Financials!D4</f>
        <v>#REF!</v>
      </c>
      <c r="AL26" s="138" t="e">
        <f>Financials!E7/Financials!E4</f>
        <v>#REF!</v>
      </c>
      <c r="AM26" s="138" t="e">
        <f>Financials!F7/Financials!F4</f>
        <v>#REF!</v>
      </c>
      <c r="AN26" s="138" t="e">
        <f>Financials!G7/Financials!G4</f>
        <v>#REF!</v>
      </c>
      <c r="AO26" s="138" t="e">
        <f>Financials!H7/Financials!H4</f>
        <v>#REF!</v>
      </c>
      <c r="AP26" s="138" t="e">
        <f>Financials!I7/Financials!I4</f>
        <v>#REF!</v>
      </c>
      <c r="AQ26" s="138" t="e">
        <f>Financials!J7/Financials!J4</f>
        <v>#REF!</v>
      </c>
      <c r="AR26" s="138" t="e">
        <f>Financials!K7/Financials!K4</f>
        <v>#REF!</v>
      </c>
      <c r="AS26" s="138" t="e">
        <f>Financials!L7/Financials!L4</f>
        <v>#REF!</v>
      </c>
      <c r="AT26" s="138" t="e">
        <f>Financials!M7/Financials!M4</f>
        <v>#REF!</v>
      </c>
      <c r="AU26" s="138" t="e">
        <f>Financials!N7/Financials!N4</f>
        <v>#REF!</v>
      </c>
      <c r="AV26" s="138" t="e">
        <f>Financials!O7/Financials!O4</f>
        <v>#REF!</v>
      </c>
      <c r="AW26" s="138" t="e">
        <f>Financials!P7/Financials!P4</f>
        <v>#REF!</v>
      </c>
      <c r="AX26" s="138" t="e">
        <f>Financials!Q7/Financials!Q4</f>
        <v>#REF!</v>
      </c>
      <c r="AY26" s="138" t="e">
        <f>Financials!R7/Financials!R4</f>
        <v>#REF!</v>
      </c>
      <c r="AZ26" s="138">
        <f>Financials!S7/Financials!S4</f>
        <v>0.13897076435825417</v>
      </c>
      <c r="BA26" s="138">
        <f>Financials!T7/Financials!T4</f>
        <v>0.1277176181764797</v>
      </c>
      <c r="BB26" s="138">
        <f>Financials!U7/Financials!U4</f>
        <v>0.11785576651764973</v>
      </c>
      <c r="BC26" s="138">
        <f>Financials!V7/Financials!V4</f>
        <v>0.11459945642352294</v>
      </c>
      <c r="BD26" s="138">
        <f>Financials!W7/Financials!W4</f>
        <v>0.12517873358080608</v>
      </c>
      <c r="BE26" s="138">
        <f>Financials!X7/Financials!X4</f>
        <v>0.27354851373908806</v>
      </c>
      <c r="BF26" s="138">
        <f>Financials!Y7/Financials!Y4</f>
        <v>0.22533664759678587</v>
      </c>
      <c r="BG26" s="138">
        <f>Financials!Z7/Financials!Z4</f>
        <v>0.20629055809211277</v>
      </c>
      <c r="BH26" s="138">
        <f>Financials!AA7/Financials!AA4</f>
        <v>0.19712674456216378</v>
      </c>
      <c r="BI26" s="138">
        <f>Financials!AB7/Financials!AB4</f>
        <v>0.19167617757827049</v>
      </c>
      <c r="BJ26" s="138">
        <f>Financials!AC7/Financials!AC4</f>
        <v>0.19433119953246664</v>
      </c>
      <c r="BK26" s="138">
        <f>Financials!AD7/Financials!AD4</f>
        <v>0.17544953232836216</v>
      </c>
      <c r="BL26" s="138">
        <f>Financials!AE7/Financials!AE4</f>
        <v>0.16242623439814083</v>
      </c>
      <c r="BM26" s="138">
        <f>Financials!AF7/Financials!AF4</f>
        <v>0.1624262349910407</v>
      </c>
      <c r="BN26" s="138">
        <f>Financials!AG7/Financials!AG4</f>
        <v>0.15394955860247686</v>
      </c>
      <c r="BO26" s="138">
        <f>Financials!AH7/Financials!AH4</f>
        <v>0.15797530534448748</v>
      </c>
      <c r="BP26" s="138">
        <f>Financials!AI7/Financials!AI4</f>
        <v>0.15045577421868009</v>
      </c>
      <c r="BQ26" s="138">
        <f>Financials!AJ7/Financials!AJ4</f>
        <v>0.14142575668413956</v>
      </c>
      <c r="BR26" s="138">
        <f>Financials!AK7/Financials!AK4</f>
        <v>0.14070592644552879</v>
      </c>
      <c r="BS26" s="138">
        <f>Financials!AL7/Financials!AL4</f>
        <v>0.15070468115126756</v>
      </c>
      <c r="BT26" s="138">
        <f>Financials!AM7/Financials!AM4</f>
        <v>0.33412035419813407</v>
      </c>
      <c r="BU26" s="138">
        <f>Financials!AN7/Financials!AN4</f>
        <v>0.31215127208820598</v>
      </c>
      <c r="BV26" s="138">
        <f>Financials!AO7/Financials!AO4</f>
        <v>0.25756383892310708</v>
      </c>
      <c r="BW26" s="138">
        <f>Financials!AP7/Financials!AP4</f>
        <v>0.24013376141748774</v>
      </c>
      <c r="BX26" s="138">
        <f>Financials!AQ7/Financials!AQ4</f>
        <v>0.20507825329832022</v>
      </c>
      <c r="BY26" s="138">
        <f>Financials!AR7/Financials!AR4</f>
        <v>0.18515909094049782</v>
      </c>
      <c r="BZ26" s="138">
        <f>Financials!AS7/Financials!AS4</f>
        <v>0.44683460183381851</v>
      </c>
      <c r="CA26" s="138">
        <f>Financials!AT7/Financials!AT4</f>
        <v>0.17080990480599004</v>
      </c>
      <c r="CB26" s="138">
        <f>Financials!AU7/Financials!AU4</f>
        <v>0.17768522064335449</v>
      </c>
      <c r="CC26" s="138">
        <f>Financials!AV7/Financials!AV4</f>
        <v>0.17502109286143497</v>
      </c>
      <c r="CD26" s="138">
        <f>Financials!AW7/Financials!AW4</f>
        <v>0.2580148655296205</v>
      </c>
      <c r="CE26" s="138">
        <f>Financials!AX7/Financials!AX4</f>
        <v>0.2727025021269131</v>
      </c>
      <c r="CF26" s="138">
        <f>Financials!AY7/Financials!AY4</f>
        <v>0.33465795588496261</v>
      </c>
      <c r="CG26" s="138" t="e">
        <f>Financials!AZ7/Financials!AZ4</f>
        <v>#REF!</v>
      </c>
      <c r="CH26" s="138">
        <f>Financials!BA7/Financials!BA4</f>
        <v>0.26567977595033976</v>
      </c>
      <c r="CI26" s="138">
        <f>Financials!BB7/Financials!BB4</f>
        <v>0.39796965938109391</v>
      </c>
      <c r="CJ26" s="138">
        <f>Financials!BC7/Financials!BC4</f>
        <v>0.33794991767316529</v>
      </c>
      <c r="CK26" s="138">
        <f>Financials!BD7/Financials!BD4</f>
        <v>0.27677461036868134</v>
      </c>
      <c r="CL26" s="138">
        <f>Financials!BE7/Financials!BE4</f>
        <v>0.23896621370977475</v>
      </c>
      <c r="CM26" s="138">
        <f>Financials!BF7/Financials!BF4</f>
        <v>0.23896621150604563</v>
      </c>
      <c r="CN26" s="138">
        <f>Financials!BG7/Financials!BG4</f>
        <v>0.21780743188160903</v>
      </c>
      <c r="CO26" s="138">
        <f>Financials!BH7/Financials!BH4</f>
        <v>0.20916715575417003</v>
      </c>
      <c r="CP26" s="138">
        <f>Financials!BI7/Financials!BI4</f>
        <v>0.21042721091091091</v>
      </c>
      <c r="CQ26" s="138">
        <f>Financials!BJ7/Financials!BJ4</f>
        <v>0.22088050122787595</v>
      </c>
      <c r="CR26" s="138">
        <f>Financials!BK7/Financials!BK4</f>
        <v>0.21782314387802171</v>
      </c>
      <c r="CS26" s="138">
        <f>Financials!BL7/Financials!BL4</f>
        <v>0.2165528673432657</v>
      </c>
      <c r="CT26" s="138">
        <f>Financials!BM7/Financials!BM4</f>
        <v>0.21159056211852892</v>
      </c>
      <c r="CU26" s="138">
        <f>Financials!BN7/Financials!BN4</f>
        <v>0.21009315054656399</v>
      </c>
      <c r="CV26" s="138">
        <f>Financials!BO7/Financials!BO4</f>
        <v>0.29042542667128446</v>
      </c>
      <c r="CW26" s="138">
        <f>Financials!BP7/Financials!BP4</f>
        <v>0.36404990667713011</v>
      </c>
      <c r="CX26" s="138">
        <f>Financials!BQ7/Financials!BQ4</f>
        <v>0.30584277246790209</v>
      </c>
      <c r="CY26" s="138">
        <f>Financials!BR7/Financials!BR4</f>
        <v>0.274029632206711</v>
      </c>
      <c r="CZ26" s="138">
        <f>Financials!BS7/Financials!BS4</f>
        <v>0.27402963136231889</v>
      </c>
      <c r="DA26" s="138">
        <f>Financials!BT7/Financials!BT4</f>
        <v>0.23148173270575015</v>
      </c>
      <c r="DB26" s="138">
        <f>Financials!BU7/Financials!BU4</f>
        <v>0.21787136066400981</v>
      </c>
      <c r="DC26" s="138">
        <f>Financials!BV7/Financials!BV4</f>
        <v>0.21683620347726962</v>
      </c>
      <c r="DD26" s="138">
        <f>Financials!BW7/Financials!BW4</f>
        <v>0.21974530144893012</v>
      </c>
      <c r="DE26" s="138">
        <f>Financials!BX7/Financials!BX4</f>
        <v>0.22724996880692985</v>
      </c>
      <c r="DF26" s="138">
        <f>Financials!BY7/Financials!BY4</f>
        <v>0.2237159345565172</v>
      </c>
      <c r="DG26" s="138">
        <f>Financials!BZ7/Financials!BZ4</f>
        <v>0.22621754493355045</v>
      </c>
      <c r="DH26" s="138">
        <f>Financials!CA7/Financials!CA4</f>
        <v>0.27789108617076158</v>
      </c>
      <c r="DI26" s="138">
        <f>Financials!CB7/Financials!CB4</f>
        <v>0.2417053396226044</v>
      </c>
      <c r="DJ26" s="138">
        <f>Financials!CC7/Financials!CC4</f>
        <v>0.23040564714253281</v>
      </c>
    </row>
    <row r="27" spans="1:114" s="104" customFormat="1" ht="12.75">
      <c r="A27" s="127" t="s">
        <v>360</v>
      </c>
      <c r="B27" s="122" t="s">
        <v>361</v>
      </c>
      <c r="C27" s="123">
        <v>35.1</v>
      </c>
      <c r="D27" s="126" t="e">
        <f>[2]Financials!C9/[2]Financials!C5</f>
        <v>#DIV/0!</v>
      </c>
      <c r="E27" s="126" t="e">
        <f>[2]Financials!D9/[2]Financials!D5</f>
        <v>#DIV/0!</v>
      </c>
      <c r="F27" s="126" t="e">
        <f>[2]Financials!E9/[2]Financials!E5</f>
        <v>#DIV/0!</v>
      </c>
      <c r="G27" s="126" t="e">
        <f>[2]Financials!F9/[2]Financials!F5</f>
        <v>#DIV/0!</v>
      </c>
      <c r="H27" s="126" t="e">
        <f>[2]Financials!G9/[2]Financials!G5</f>
        <v>#DIV/0!</v>
      </c>
      <c r="I27" s="126" t="e">
        <f>[2]Financials!H9/[2]Financials!H5</f>
        <v>#DIV/0!</v>
      </c>
      <c r="J27" s="126" t="e">
        <f>[2]Financials!I9/[2]Financials!I5</f>
        <v>#DIV/0!</v>
      </c>
      <c r="K27" s="126">
        <f>[2]Financials!J9/[2]Financials!J5</f>
        <v>0</v>
      </c>
      <c r="L27" s="126">
        <f>[2]Financials!K9/[2]Financials!K5</f>
        <v>0</v>
      </c>
      <c r="M27" s="126">
        <f>[2]Financials!L9/[2]Financials!L5</f>
        <v>0</v>
      </c>
      <c r="N27" s="126">
        <f>[2]Financials!M9/[2]Financials!M5</f>
        <v>1.9864314992762137E-2</v>
      </c>
      <c r="O27" s="126">
        <f>[2]Financials!N9/[2]Financials!N5</f>
        <v>1.8660725154358074E-2</v>
      </c>
      <c r="P27" s="126">
        <f>[2]Financials!O9/[2]Financials!O5</f>
        <v>3.2930809298960383E-2</v>
      </c>
      <c r="Q27" s="126">
        <f>[2]Financials!P9/[2]Financials!P5</f>
        <v>3.1496616099412907E-2</v>
      </c>
      <c r="R27" s="126">
        <f>[2]Financials!Q9/[2]Financials!Q5</f>
        <v>3.3932371486642597E-2</v>
      </c>
      <c r="S27" s="126">
        <f>[2]Financials!R9/[2]Financials!R5</f>
        <v>4.0245800183045334E-2</v>
      </c>
      <c r="T27" s="126">
        <f>[2]Financials!S9/[2]Financials!S5</f>
        <v>3.3979850099658357E-2</v>
      </c>
      <c r="U27" s="126">
        <f>[2]Financials!T9/[2]Financials!T5</f>
        <v>3.8363392285623618E-2</v>
      </c>
      <c r="V27" s="126">
        <f>[2]Financials!U9/[2]Financials!U5</f>
        <v>3.5647070386349386E-2</v>
      </c>
      <c r="W27" s="126">
        <f>[2]Financials!V9/[2]Financials!V5</f>
        <v>3.4606635914932217E-2</v>
      </c>
      <c r="X27" s="126">
        <f>[2]Financials!W9/[2]Financials!W5</f>
        <v>3.564867379494345E-2</v>
      </c>
      <c r="Y27" s="126">
        <f>[2]Financials!X9/[2]Financials!X5</f>
        <v>4.8332972171897054E-2</v>
      </c>
      <c r="Z27" s="126">
        <f>[2]Financials!Y9/[2]Financials!Y5</f>
        <v>5.0673025062338367E-2</v>
      </c>
      <c r="AA27" s="126">
        <f>[2]Financials!Z9/[2]Financials!Z5</f>
        <v>6.3640897470096061E-2</v>
      </c>
      <c r="AB27" s="126">
        <f>[2]Financials!AA9/[2]Financials!AA5</f>
        <v>6.1321381747327992E-2</v>
      </c>
      <c r="AC27" s="126">
        <f>[2]Financials!AB9/[2]Financials!AB5</f>
        <v>7.3656565394964402E-2</v>
      </c>
      <c r="AD27" s="126">
        <f>[2]Financials!AC9/[2]Financials!AC5</f>
        <v>8.4192206355501384E-2</v>
      </c>
      <c r="AE27" s="126">
        <f>[2]Financials!AD9/[2]Financials!AD5</f>
        <v>7.7637076717717315E-2</v>
      </c>
      <c r="AF27" s="126">
        <f>[2]Financials!AE9/[2]Financials!AE5</f>
        <v>9.1375156296051668E-2</v>
      </c>
      <c r="AG27" s="126">
        <f>[2]Financials!AF9/[2]Financials!AF5</f>
        <v>8.1274696171494173E-2</v>
      </c>
      <c r="AH27" s="126">
        <f>[2]Financials!AG9/[2]Financials!AG5</f>
        <v>7.3780862688869853E-2</v>
      </c>
      <c r="AI27" s="126">
        <f>[2]Financials!AH9/[2]Financials!AH5</f>
        <v>6.6851718651102232E-2</v>
      </c>
      <c r="AJ27" s="126">
        <f>[2]Financials!AI9/[2]Financials!AI5</f>
        <v>7.5183121499147118E-2</v>
      </c>
      <c r="AK27" s="126" t="e">
        <f>Financials!D8/Financials!D4</f>
        <v>#REF!</v>
      </c>
      <c r="AL27" s="126" t="e">
        <f>Financials!E8/Financials!E4</f>
        <v>#REF!</v>
      </c>
      <c r="AM27" s="126" t="e">
        <f>Financials!F8/Financials!F4</f>
        <v>#REF!</v>
      </c>
      <c r="AN27" s="126" t="e">
        <f>Financials!G8/Financials!G4</f>
        <v>#REF!</v>
      </c>
      <c r="AO27" s="126" t="e">
        <f>Financials!H8/Financials!H4</f>
        <v>#REF!</v>
      </c>
      <c r="AP27" s="126" t="e">
        <f>Financials!I8/Financials!I4</f>
        <v>#REF!</v>
      </c>
      <c r="AQ27" s="126" t="e">
        <f>Financials!J8/Financials!J4</f>
        <v>#REF!</v>
      </c>
      <c r="AR27" s="126" t="e">
        <f>Financials!K8/Financials!K4</f>
        <v>#REF!</v>
      </c>
      <c r="AS27" s="126" t="e">
        <f>Financials!L8/Financials!L4</f>
        <v>#REF!</v>
      </c>
      <c r="AT27" s="126" t="e">
        <f>Financials!M8/Financials!M4</f>
        <v>#REF!</v>
      </c>
      <c r="AU27" s="126" t="e">
        <f>Financials!N8/Financials!N4</f>
        <v>#REF!</v>
      </c>
      <c r="AV27" s="126" t="e">
        <f>Financials!O8/Financials!O4</f>
        <v>#REF!</v>
      </c>
      <c r="AW27" s="126" t="e">
        <f>Financials!P8/Financials!P4</f>
        <v>#REF!</v>
      </c>
      <c r="AX27" s="126" t="e">
        <f>Financials!Q8/Financials!Q4</f>
        <v>#REF!</v>
      </c>
      <c r="AY27" s="126" t="e">
        <f>Financials!R8/Financials!R4</f>
        <v>#REF!</v>
      </c>
      <c r="AZ27" s="126">
        <f>Financials!S8/Financials!S4</f>
        <v>0</v>
      </c>
      <c r="BA27" s="126">
        <f>Financials!T8/Financials!T4</f>
        <v>0</v>
      </c>
      <c r="BB27" s="126">
        <f>Financials!U8/Financials!U4</f>
        <v>0</v>
      </c>
      <c r="BC27" s="126">
        <f>Financials!V8/Financials!V4</f>
        <v>0</v>
      </c>
      <c r="BD27" s="126">
        <f>Financials!W8/Financials!W4</f>
        <v>0</v>
      </c>
      <c r="BE27" s="126">
        <f>Financials!X8/Financials!X4</f>
        <v>0</v>
      </c>
      <c r="BF27" s="126">
        <f>Financials!Y8/Financials!Y4</f>
        <v>0</v>
      </c>
      <c r="BG27" s="126">
        <f>Financials!Z8/Financials!Z4</f>
        <v>0</v>
      </c>
      <c r="BH27" s="126">
        <f>Financials!AA8/Financials!AA4</f>
        <v>0</v>
      </c>
      <c r="BI27" s="126">
        <f>Financials!AB8/Financials!AB4</f>
        <v>0</v>
      </c>
      <c r="BJ27" s="126">
        <f>Financials!AC8/Financials!AC4</f>
        <v>0</v>
      </c>
      <c r="BK27" s="126">
        <f>Financials!AD8/Financials!AD4</f>
        <v>0</v>
      </c>
      <c r="BL27" s="126">
        <f>Financials!AE8/Financials!AE4</f>
        <v>0</v>
      </c>
      <c r="BM27" s="126">
        <f>Financials!AF8/Financials!AF4</f>
        <v>0</v>
      </c>
      <c r="BN27" s="126">
        <f>Financials!AG8/Financials!AG4</f>
        <v>0</v>
      </c>
      <c r="BO27" s="126">
        <f>Financials!AH8/Financials!AH4</f>
        <v>0</v>
      </c>
      <c r="BP27" s="126">
        <f>Financials!AI8/Financials!AI4</f>
        <v>0</v>
      </c>
      <c r="BQ27" s="126">
        <f>Financials!AJ8/Financials!AJ4</f>
        <v>0</v>
      </c>
      <c r="BR27" s="126">
        <f>Financials!AK8/Financials!AK4</f>
        <v>0</v>
      </c>
      <c r="BS27" s="126">
        <f>Financials!AL8/Financials!AL4</f>
        <v>0</v>
      </c>
      <c r="BT27" s="126">
        <f>Financials!AM8/Financials!AM4</f>
        <v>0</v>
      </c>
      <c r="BU27" s="126">
        <f>Financials!AN8/Financials!AN4</f>
        <v>0</v>
      </c>
      <c r="BV27" s="126">
        <f>Financials!AO8/Financials!AO4</f>
        <v>0</v>
      </c>
      <c r="BW27" s="126">
        <f>Financials!AP8/Financials!AP4</f>
        <v>0</v>
      </c>
      <c r="BX27" s="126">
        <f>Financials!AQ8/Financials!AQ4</f>
        <v>0</v>
      </c>
      <c r="BY27" s="126">
        <f>Financials!AR8/Financials!AR4</f>
        <v>0</v>
      </c>
      <c r="BZ27" s="126">
        <f>Financials!AS8/Financials!AS4</f>
        <v>0</v>
      </c>
      <c r="CA27" s="126">
        <f>Financials!AT8/Financials!AT4</f>
        <v>0</v>
      </c>
      <c r="CB27" s="126">
        <f>Financials!AU8/Financials!AU4</f>
        <v>0</v>
      </c>
      <c r="CC27" s="126">
        <f>Financials!AV8/Financials!AV4</f>
        <v>0</v>
      </c>
      <c r="CD27" s="126">
        <f>Financials!AW8/Financials!AW4</f>
        <v>0</v>
      </c>
      <c r="CE27" s="126">
        <f>Financials!AX8/Financials!AX4</f>
        <v>0</v>
      </c>
      <c r="CF27" s="126">
        <f>Financials!AY8/Financials!AY4</f>
        <v>0</v>
      </c>
      <c r="CG27" s="126" t="e">
        <f>Financials!AZ8/Financials!AZ4</f>
        <v>#REF!</v>
      </c>
      <c r="CH27" s="126">
        <f>Financials!BA8/Financials!BA4</f>
        <v>0</v>
      </c>
      <c r="CI27" s="126">
        <f>Financials!BB8/Financials!BB4</f>
        <v>0</v>
      </c>
      <c r="CJ27" s="126">
        <f>Financials!BC8/Financials!BC4</f>
        <v>0</v>
      </c>
      <c r="CK27" s="126">
        <f>Financials!BD8/Financials!BD4</f>
        <v>0</v>
      </c>
      <c r="CL27" s="126">
        <f>Financials!BE8/Financials!BE4</f>
        <v>0</v>
      </c>
      <c r="CM27" s="126">
        <f>Financials!BF8/Financials!BF4</f>
        <v>0</v>
      </c>
      <c r="CN27" s="126">
        <f>Financials!BG8/Financials!BG4</f>
        <v>0</v>
      </c>
      <c r="CO27" s="126">
        <f>Financials!BH8/Financials!BH4</f>
        <v>0</v>
      </c>
      <c r="CP27" s="126">
        <f>Financials!BI8/Financials!BI4</f>
        <v>0</v>
      </c>
      <c r="CQ27" s="126">
        <f>Financials!BJ8/Financials!BJ4</f>
        <v>0</v>
      </c>
      <c r="CR27" s="126">
        <f>Financials!BK8/Financials!BK4</f>
        <v>0</v>
      </c>
      <c r="CS27" s="126">
        <f>Financials!BL8/Financials!BL4</f>
        <v>0</v>
      </c>
      <c r="CT27" s="126">
        <f>Financials!BM8/Financials!BM4</f>
        <v>0</v>
      </c>
      <c r="CU27" s="126">
        <f>Financials!BN8/Financials!BN4</f>
        <v>0</v>
      </c>
      <c r="CV27" s="126">
        <f>Financials!BO8/Financials!BO4</f>
        <v>0</v>
      </c>
      <c r="CW27" s="126">
        <f>Financials!BP8/Financials!BP4</f>
        <v>0</v>
      </c>
      <c r="CX27" s="126">
        <f>Financials!BQ8/Financials!BQ4</f>
        <v>0</v>
      </c>
      <c r="CY27" s="126">
        <f>Financials!BR8/Financials!BR4</f>
        <v>0</v>
      </c>
      <c r="CZ27" s="126">
        <f>Financials!BS8/Financials!BS4</f>
        <v>0</v>
      </c>
      <c r="DA27" s="126">
        <f>Financials!BT8/Financials!BT4</f>
        <v>0</v>
      </c>
      <c r="DB27" s="126">
        <f>Financials!BU8/Financials!BU4</f>
        <v>0</v>
      </c>
      <c r="DC27" s="126">
        <f>Financials!BV8/Financials!BV4</f>
        <v>0</v>
      </c>
      <c r="DD27" s="126">
        <f>Financials!BW8/Financials!BW4</f>
        <v>0</v>
      </c>
      <c r="DE27" s="126">
        <f>Financials!BX8/Financials!BX4</f>
        <v>0</v>
      </c>
      <c r="DF27" s="126">
        <f>Financials!BY8/Financials!BY4</f>
        <v>0</v>
      </c>
      <c r="DG27" s="126">
        <f>Financials!BZ8/Financials!BZ4</f>
        <v>0</v>
      </c>
      <c r="DH27" s="126">
        <f>Financials!CA8/Financials!CA4</f>
        <v>0</v>
      </c>
      <c r="DI27" s="126">
        <f>Financials!CB8/Financials!CB4</f>
        <v>0</v>
      </c>
      <c r="DJ27" s="126">
        <f>Financials!CC8/Financials!CC4</f>
        <v>0</v>
      </c>
    </row>
    <row r="28" spans="1:114" s="104" customFormat="1" ht="12.75">
      <c r="A28" s="121"/>
      <c r="B28" s="139"/>
      <c r="C28" s="132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120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  <c r="CE28" s="120"/>
      <c r="CF28" s="120"/>
      <c r="CG28" s="120"/>
      <c r="CH28" s="120"/>
      <c r="CI28" s="120"/>
      <c r="CJ28" s="120"/>
      <c r="CK28" s="120"/>
      <c r="CL28" s="120"/>
      <c r="CM28" s="120"/>
      <c r="CN28" s="120"/>
      <c r="CO28" s="120"/>
      <c r="CP28" s="120"/>
      <c r="CQ28" s="120"/>
      <c r="CR28" s="120"/>
      <c r="CS28" s="120"/>
      <c r="CT28" s="120"/>
      <c r="CU28" s="120"/>
      <c r="CV28" s="120"/>
      <c r="CW28" s="120"/>
      <c r="CX28" s="120"/>
      <c r="CY28" s="120"/>
      <c r="CZ28" s="120"/>
      <c r="DA28" s="120"/>
      <c r="DB28" s="120"/>
      <c r="DC28" s="120"/>
      <c r="DD28" s="120"/>
      <c r="DE28" s="120"/>
      <c r="DF28" s="120"/>
      <c r="DG28" s="120"/>
      <c r="DH28" s="120"/>
      <c r="DI28" s="120"/>
      <c r="DJ28" s="120"/>
    </row>
    <row r="29" spans="1:114" s="104" customFormat="1" ht="12.75">
      <c r="A29" s="117" t="s">
        <v>362</v>
      </c>
      <c r="B29" s="118"/>
      <c r="C29" s="119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133"/>
      <c r="DD29" s="133"/>
      <c r="DE29" s="133"/>
      <c r="DF29" s="133"/>
      <c r="DG29" s="133"/>
      <c r="DH29" s="133"/>
      <c r="DI29" s="133"/>
      <c r="DJ29" s="133"/>
    </row>
    <row r="30" spans="1:114" ht="12.75">
      <c r="A30" s="127" t="s">
        <v>39</v>
      </c>
      <c r="B30" s="131" t="s">
        <v>359</v>
      </c>
      <c r="C30" s="134"/>
      <c r="D30" s="140"/>
      <c r="E30" s="140" t="e">
        <f>[2]Financials!D5/[2]Financials!C5-1</f>
        <v>#DIV/0!</v>
      </c>
      <c r="F30" s="140" t="e">
        <f>[2]Financials!E5/[2]Financials!D5-1</f>
        <v>#DIV/0!</v>
      </c>
      <c r="G30" s="140" t="e">
        <f>[2]Financials!F5/[2]Financials!E5-1</f>
        <v>#DIV/0!</v>
      </c>
      <c r="H30" s="140" t="e">
        <f>[2]Financials!G5/[2]Financials!F5-1</f>
        <v>#DIV/0!</v>
      </c>
      <c r="I30" s="140" t="e">
        <f>[2]Financials!H5/[2]Financials!G5-1</f>
        <v>#DIV/0!</v>
      </c>
      <c r="J30" s="140" t="e">
        <f>[2]Financials!I5/[2]Financials!H5-1</f>
        <v>#DIV/0!</v>
      </c>
      <c r="K30" s="140" t="e">
        <f>[2]Financials!J5/[2]Financials!I5-1</f>
        <v>#DIV/0!</v>
      </c>
      <c r="L30" s="140">
        <f>[2]Financials!K5/[2]Financials!J5-1</f>
        <v>9.4685606608641892E-2</v>
      </c>
      <c r="M30" s="140">
        <f>[2]Financials!L5/[2]Financials!K5-1</f>
        <v>2.2709736500064359E-2</v>
      </c>
      <c r="N30" s="140">
        <f>[2]Financials!M5/[2]Financials!L5-1</f>
        <v>4.2976425051567846E-2</v>
      </c>
      <c r="O30" s="140">
        <f>[2]Financials!N5/[2]Financials!M5-1</f>
        <v>2.0144451892233795E-2</v>
      </c>
      <c r="P30" s="140">
        <f>[2]Financials!O5/[2]Financials!N5-1</f>
        <v>-1.4496283175528313E-2</v>
      </c>
      <c r="Q30" s="140">
        <f>[2]Financials!P5/[2]Financials!O5-1</f>
        <v>1.9396464599649166E-2</v>
      </c>
      <c r="R30" s="140">
        <f>[2]Financials!Q5/[2]Financials!P5-1</f>
        <v>2.2524429273093283E-2</v>
      </c>
      <c r="S30" s="140">
        <f>[2]Financials!R5/[2]Financials!Q5-1</f>
        <v>2.7728127309531558E-2</v>
      </c>
      <c r="T30" s="140">
        <f>[2]Financials!S5/[2]Financials!R5-1</f>
        <v>1.3467800333464064E-2</v>
      </c>
      <c r="U30" s="140">
        <f>[2]Financials!T5/[2]Financials!J5-1</f>
        <v>0.31536183814702268</v>
      </c>
      <c r="V30" s="140">
        <f>[2]Financials!U5/[2]Financials!T5-1</f>
        <v>1.9169050540817079E-2</v>
      </c>
      <c r="W30" s="140">
        <f>[2]Financials!V5/[2]Financials!U5-1</f>
        <v>9.9130064169861143E-3</v>
      </c>
      <c r="X30" s="140">
        <f>[2]Financials!W5/[2]Financials!V5-1</f>
        <v>-1.2938921563085848E-2</v>
      </c>
      <c r="Y30" s="140">
        <f>[2]Financials!X5/[2]Financials!W5-1</f>
        <v>5.1773090594585236E-2</v>
      </c>
      <c r="Z30" s="140">
        <f>[2]Financials!Y5/[2]Financials!X5-1</f>
        <v>-3.9163071039256536E-2</v>
      </c>
      <c r="AA30" s="140">
        <f>[2]Financials!Z5/[2]Financials!Y5-1</f>
        <v>6.7394190485795313E-2</v>
      </c>
      <c r="AB30" s="140">
        <f>[2]Financials!AA5/[2]Financials!Z5-1</f>
        <v>-7.9268515849093557E-3</v>
      </c>
      <c r="AC30" s="140">
        <f>[2]Financials!AB5/[2]Financials!AA5-1</f>
        <v>8.0667630014525926E-3</v>
      </c>
      <c r="AD30" s="140">
        <f>[2]Financials!AC5/[2]Financials!AB5-1</f>
        <v>3.7619442731231523E-2</v>
      </c>
      <c r="AE30" s="140">
        <f>[2]Financials!AD5/[2]Financials!AC5-1</f>
        <v>1.6965520604258044E-2</v>
      </c>
      <c r="AF30" s="140">
        <f>[2]Financials!AE5/[2]Financials!AD5-1</f>
        <v>4.407081120457268E-2</v>
      </c>
      <c r="AG30" s="140">
        <f>[2]Financials!AF5/[2]Financials!AE5-1</f>
        <v>1.7324245257151816E-2</v>
      </c>
      <c r="AH30" s="140">
        <f>[2]Financials!AG5/[2]Financials!AF5-1</f>
        <v>1.7358992499066694E-2</v>
      </c>
      <c r="AI30" s="140">
        <f>[2]Financials!AH5/[2]Financials!AG5-1</f>
        <v>2.9057852650161697E-2</v>
      </c>
      <c r="AJ30" s="140">
        <f>[2]Financials!AI5/[2]Financials!AH5-1</f>
        <v>3.6617580984559028E-2</v>
      </c>
      <c r="AK30" s="140"/>
      <c r="AL30" s="267" t="e">
        <f>(Financials!E4-Financials!#REF!)/Financials!#REF!</f>
        <v>#REF!</v>
      </c>
      <c r="AM30" s="267" t="e">
        <f>(Financials!F4-Financials!#REF!)/Financials!#REF!</f>
        <v>#REF!</v>
      </c>
      <c r="AN30" s="267" t="e">
        <f>(Financials!G4-Financials!#REF!)/Financials!#REF!</f>
        <v>#REF!</v>
      </c>
      <c r="AO30" s="267" t="e">
        <f>(Financials!H4-Financials!#REF!)/Financials!#REF!</f>
        <v>#REF!</v>
      </c>
      <c r="AP30" s="267" t="e">
        <f>(Financials!I4-Financials!#REF!)/Financials!#REF!</f>
        <v>#REF!</v>
      </c>
      <c r="AQ30" s="267" t="e">
        <f>(Financials!J4-Financials!#REF!)/Financials!#REF!</f>
        <v>#REF!</v>
      </c>
      <c r="AR30" s="267" t="e">
        <f>(Financials!K4-Financials!#REF!)/Financials!#REF!</f>
        <v>#REF!</v>
      </c>
      <c r="AS30" s="267" t="e">
        <f>(Financials!L4-Financials!#REF!)/Financials!#REF!</f>
        <v>#REF!</v>
      </c>
      <c r="AT30" s="267" t="e">
        <f>(Financials!M4-Financials!#REF!)/Financials!#REF!</f>
        <v>#REF!</v>
      </c>
      <c r="AU30" s="267" t="e">
        <f>(Financials!N4-Financials!A4)/Financials!A4</f>
        <v>#REF!</v>
      </c>
      <c r="AV30" s="267" t="e">
        <f>(Financials!O4-Financials!B4)/Financials!B4</f>
        <v>#REF!</v>
      </c>
      <c r="AW30" s="267" t="e">
        <f>(Financials!P4-Financials!C4)/Financials!C4</f>
        <v>#REF!</v>
      </c>
      <c r="AX30" s="267" t="e">
        <f>(Financials!Q4-Financials!D4)/Financials!D4</f>
        <v>#REF!</v>
      </c>
      <c r="AY30" s="267" t="e">
        <f>(Financials!R4-Financials!E4)/Financials!E4</f>
        <v>#REF!</v>
      </c>
      <c r="AZ30" s="267" t="e">
        <f>(Financials!S4-Financials!F4)/Financials!F4</f>
        <v>#REF!</v>
      </c>
      <c r="BA30" s="267" t="e">
        <f>(Financials!T4-Financials!G4)/Financials!G4</f>
        <v>#REF!</v>
      </c>
      <c r="BB30" s="267" t="e">
        <f>(Financials!U4-Financials!H4)/Financials!H4</f>
        <v>#REF!</v>
      </c>
      <c r="BC30" s="267" t="e">
        <f>(Financials!V4-Financials!I4)/Financials!I4</f>
        <v>#REF!</v>
      </c>
      <c r="BD30" s="267" t="e">
        <f>(Financials!W4-Financials!J4)/Financials!J4</f>
        <v>#REF!</v>
      </c>
      <c r="BE30" s="267" t="e">
        <f>(Financials!X4-Financials!K4)/Financials!K4</f>
        <v>#REF!</v>
      </c>
      <c r="BF30" s="267" t="e">
        <f>(Financials!Y4-Financials!L4)/Financials!L4</f>
        <v>#REF!</v>
      </c>
      <c r="BG30" s="267" t="e">
        <f>(Financials!Z4-Financials!M4)/Financials!M4</f>
        <v>#REF!</v>
      </c>
      <c r="BH30" s="267" t="e">
        <f>(Financials!AA4-Financials!N4)/Financials!N4</f>
        <v>#REF!</v>
      </c>
      <c r="BI30" s="267" t="e">
        <f>(Financials!AB4-Financials!O4)/Financials!O4</f>
        <v>#REF!</v>
      </c>
      <c r="BJ30" s="267" t="e">
        <f>(Financials!AC4-Financials!P4)/Financials!P4</f>
        <v>#REF!</v>
      </c>
      <c r="BK30" s="267" t="e">
        <f>(Financials!AD4-Financials!Q4)/Financials!Q4</f>
        <v>#REF!</v>
      </c>
      <c r="BL30" s="267" t="e">
        <f>(Financials!AE4-Financials!R4)/Financials!R4</f>
        <v>#REF!</v>
      </c>
      <c r="BM30" s="267">
        <f>(Financials!AF4-Financials!S4)/Financials!S4</f>
        <v>9.2590627423160612E-2</v>
      </c>
      <c r="BN30" s="267">
        <f>(Financials!AG4-Financials!T4)/Financials!T4</f>
        <v>7.6691743000724441E-2</v>
      </c>
      <c r="BO30" s="267">
        <f>(Financials!AH4-Financials!U4)/Financials!U4</f>
        <v>7.6456389538520575E-2</v>
      </c>
      <c r="BP30" s="267">
        <f>(Financials!AI4-Financials!V4)/Financials!V4</f>
        <v>7.8340812730811574E-2</v>
      </c>
      <c r="BQ30" s="267">
        <f>(Financials!AJ4-Financials!W4)/Financials!W4</f>
        <v>5.7477726956335184E-2</v>
      </c>
      <c r="BR30" s="267">
        <f>(Financials!AK4-Financials!X4)/Financials!X4</f>
        <v>-0.16155249102655084</v>
      </c>
      <c r="BS30" s="267">
        <f>(Financials!AL4-Financials!Y4)/Financials!Y4</f>
        <v>-8.4779524500646117E-2</v>
      </c>
      <c r="BT30" s="267">
        <f>(Financials!AM4-Financials!Z4)/Financials!Z4</f>
        <v>0.25993186546821051</v>
      </c>
      <c r="BU30" s="267">
        <f>(Financials!AN4-Financials!AA4)/Financials!AA4</f>
        <v>0.24770744610614051</v>
      </c>
      <c r="BV30" s="267">
        <f>(Financials!AO4-Financials!AB4)/Financials!AB4</f>
        <v>0.19403606662640968</v>
      </c>
      <c r="BW30" s="267">
        <f>(Financials!AP4-Financials!AC4)/Financials!AC4</f>
        <v>0.16704493672394055</v>
      </c>
      <c r="BX30" s="267">
        <f>(Financials!AQ4-Financials!AD4)/Financials!AD4</f>
        <v>0.12632404640049488</v>
      </c>
      <c r="BY30" s="267">
        <f>(Financials!AR4-Financials!AE4)/Financials!AE4</f>
        <v>0.13011705656662809</v>
      </c>
      <c r="BZ30" s="267">
        <f>(Financials!AS4-Financials!AF4)/Financials!AF4</f>
        <v>0.13011705769572554</v>
      </c>
      <c r="CA30" s="267">
        <f>(Financials!AT4-Financials!AG4)/Financials!AG4</f>
        <v>0.11486193261651499</v>
      </c>
      <c r="CB30" s="267">
        <f>(Financials!AU4-Financials!AH4)/Financials!AH4</f>
        <v>0.112521148314248</v>
      </c>
      <c r="CC30" s="267">
        <f>(Financials!AV4-Financials!AI4)/Financials!AI4</f>
        <v>9.876863119827424E-2</v>
      </c>
      <c r="CD30" s="267">
        <f>(Financials!AW4-Financials!AJ4)/Financials!AJ4</f>
        <v>0.26224767983314035</v>
      </c>
      <c r="CE30" s="267">
        <f>(Financials!AX4-Financials!AK4)/Financials!AK4</f>
        <v>0.20609682327683387</v>
      </c>
      <c r="CF30" s="267">
        <f>(Financials!AY4-Financials!AL4)/Financials!AL4</f>
        <v>0.45269813224102662</v>
      </c>
      <c r="CG30" s="267" t="e">
        <f>(Financials!AZ4-Financials!AM4)/Financials!AM4</f>
        <v>#REF!</v>
      </c>
      <c r="CH30" s="267">
        <f>(Financials!BA4-Financials!AN4)/Financials!AN4</f>
        <v>-1.8385380675670294E-2</v>
      </c>
      <c r="CI30" s="267">
        <f>(Financials!BB4-Financials!AO4)/Financials!AO4</f>
        <v>0.41962436052726104</v>
      </c>
      <c r="CJ30" s="267">
        <f>(Financials!BC4-Financials!AP4)/Financials!AP4</f>
        <v>0.25347701502557463</v>
      </c>
      <c r="CK30" s="267">
        <f>(Financials!BD4-Financials!AQ4)/Financials!AQ4</f>
        <v>0.19957401857485044</v>
      </c>
      <c r="CL30" s="267">
        <f>(Financials!BE4-Financials!AR4)/Financials!AR4</f>
        <v>0.16549001249097783</v>
      </c>
      <c r="CM30" s="267">
        <f>(Financials!BF4-Financials!AS4)/Financials!AS4</f>
        <v>0.16549001339211636</v>
      </c>
      <c r="CN30" s="267">
        <f>(Financials!BG4-Financials!AT4)/Financials!AT4</f>
        <v>0.15452604678372658</v>
      </c>
      <c r="CO30" s="267">
        <f>(Financials!BH4-Financials!AU4)/Financials!AU4</f>
        <v>0.14231370575045871</v>
      </c>
      <c r="CP30" s="267">
        <f>(Financials!BI4-Financials!AV4)/Financials!AV4</f>
        <v>0.15593117617758556</v>
      </c>
      <c r="CQ30" s="267">
        <f>(Financials!BJ4-Financials!AW4)/Financials!AW4</f>
        <v>3.3178512856928764E-2</v>
      </c>
      <c r="CR30" s="267">
        <f>(Financials!BK4-Financials!AX4)/Financials!AX4</f>
        <v>6.9769466022011589E-2</v>
      </c>
      <c r="CS30" s="267">
        <f>(Financials!BL4-Financials!AY4)/Financials!AY4</f>
        <v>-0.14267942985101431</v>
      </c>
      <c r="CT30" s="267" t="e">
        <f>(Financials!BM4-Financials!AZ4)/Financials!AZ4</f>
        <v>#REF!</v>
      </c>
      <c r="CU30" s="267">
        <f>(Financials!BN4-Financials!BA4)/Financials!BA4</f>
        <v>-9.7814745055791408E-2</v>
      </c>
      <c r="CV30" s="267">
        <f>(Financials!BO4-Financials!BB4)/Financials!BB4</f>
        <v>-8.6138246983988101E-2</v>
      </c>
      <c r="CW30" s="267">
        <f>(Financials!BP4-Financials!BC4)/Financials!BC4</f>
        <v>8.6964974768918651E-2</v>
      </c>
      <c r="CX30" s="267">
        <f>(Financials!BQ4-Financials!BD4)/Financials!BD4</f>
        <v>9.5057280434975938E-2</v>
      </c>
      <c r="CY30" s="267">
        <f>(Financials!BR4-Financials!BE4)/Financials!BE4</f>
        <v>0.13904627036459719</v>
      </c>
      <c r="CZ30" s="267">
        <f>(Financials!BS4-Financials!BF4)/Financials!BF4</f>
        <v>0.13904626922923308</v>
      </c>
      <c r="DA30" s="267">
        <f>(Financials!BT4-Financials!BG4)/Financials!BG4</f>
        <v>0.32732672667425605</v>
      </c>
      <c r="DB30" s="267">
        <f>(Financials!BU4-Financials!BH4)/Financials!BH4</f>
        <v>0.32988154784071272</v>
      </c>
      <c r="DC30" s="267">
        <f>(Financials!BV4-Financials!BI4)/Financials!BI4</f>
        <v>0.32351493162199552</v>
      </c>
      <c r="DD30" s="267">
        <f>(Financials!BW4-Financials!BJ4)/Financials!BJ4</f>
        <v>0.31454929474194993</v>
      </c>
      <c r="DE30" s="267">
        <f>(Financials!BX4-Financials!BK4)/Financials!BK4</f>
        <v>0.32939388296228289</v>
      </c>
      <c r="DF30" s="267">
        <f>(Financials!BY4-Financials!BL4)/Financials!BL4</f>
        <v>0.32188166247488714</v>
      </c>
      <c r="DG30" s="267">
        <f>(Financials!BZ4-Financials!BM4)/Financials!BM4</f>
        <v>0.37918402211238816</v>
      </c>
      <c r="DH30" s="267">
        <f>(Financials!CA4-Financials!BN4)/Financials!BN4</f>
        <v>0.65280402528872616</v>
      </c>
      <c r="DI30" s="267">
        <f>(Financials!CB4-Financials!BO4)/Financials!BO4</f>
        <v>0.16201752883289708</v>
      </c>
      <c r="DJ30" s="267">
        <f>(Financials!CC4-Financials!BP4)/Financials!BP4</f>
        <v>0.11182906094815825</v>
      </c>
    </row>
    <row r="31" spans="1:114" ht="12.75">
      <c r="A31" s="127" t="s">
        <v>155</v>
      </c>
      <c r="B31" s="131" t="s">
        <v>359</v>
      </c>
      <c r="C31" s="134"/>
      <c r="D31" s="140"/>
      <c r="E31" s="140" t="e">
        <f>[2]Financials!D6/[2]Financials!C6-1</f>
        <v>#DIV/0!</v>
      </c>
      <c r="F31" s="140" t="e">
        <f>[2]Financials!E6/[2]Financials!D6-1</f>
        <v>#DIV/0!</v>
      </c>
      <c r="G31" s="140" t="e">
        <f>[2]Financials!F6/[2]Financials!E6-1</f>
        <v>#DIV/0!</v>
      </c>
      <c r="H31" s="140" t="e">
        <f>[2]Financials!G6/[2]Financials!F6-1</f>
        <v>#DIV/0!</v>
      </c>
      <c r="I31" s="140" t="e">
        <f>[2]Financials!H6/[2]Financials!G6-1</f>
        <v>#DIV/0!</v>
      </c>
      <c r="J31" s="140" t="e">
        <f>[2]Financials!I6/[2]Financials!H6-1</f>
        <v>#DIV/0!</v>
      </c>
      <c r="K31" s="140" t="e">
        <f>[2]Financials!J6/[2]Financials!I6-1</f>
        <v>#DIV/0!</v>
      </c>
      <c r="L31" s="140">
        <f>[2]Financials!K6/[2]Financials!J6-1</f>
        <v>2.0966926470698866E-2</v>
      </c>
      <c r="M31" s="140">
        <f>[2]Financials!L6/[2]Financials!K6-1</f>
        <v>1.5027732971060415E-2</v>
      </c>
      <c r="N31" s="140">
        <f>[2]Financials!M6/[2]Financials!L6-1</f>
        <v>1.476814215441502E-2</v>
      </c>
      <c r="O31" s="140">
        <f>[2]Financials!N6/[2]Financials!M6-1</f>
        <v>1.5942294731845719E-2</v>
      </c>
      <c r="P31" s="140">
        <f>[2]Financials!O6/[2]Financials!N6-1</f>
        <v>-4.4170033468824421E-2</v>
      </c>
      <c r="Q31" s="140">
        <f>[2]Financials!P6/[2]Financials!O6-1</f>
        <v>8.8084185502992352E-3</v>
      </c>
      <c r="R31" s="140">
        <f>[2]Financials!Q6/[2]Financials!P6-1</f>
        <v>1.6270977281312771E-2</v>
      </c>
      <c r="S31" s="140">
        <f>[2]Financials!R6/[2]Financials!Q6-1</f>
        <v>1.0991171630764018E-2</v>
      </c>
      <c r="T31" s="140">
        <f>[2]Financials!S6/[2]Financials!R6-1</f>
        <v>1.0751626805842296E-2</v>
      </c>
      <c r="U31" s="140">
        <f>[2]Financials!T6/[2]Financials!J6-1</f>
        <v>9.2373121213637832E-2</v>
      </c>
      <c r="V31" s="140">
        <f>[2]Financials!U6/[2]Financials!T6-1</f>
        <v>2.0021443289659935E-2</v>
      </c>
      <c r="W31" s="140">
        <f>[2]Financials!V6/[2]Financials!U6-1</f>
        <v>1.2664529232535804E-2</v>
      </c>
      <c r="X31" s="140">
        <f>[2]Financials!W6/[2]Financials!V6-1</f>
        <v>6.1906664689415081E-5</v>
      </c>
      <c r="Y31" s="140">
        <f>[2]Financials!X6/[2]Financials!W6-1</f>
        <v>2.114169205077232E-2</v>
      </c>
      <c r="Z31" s="140">
        <f>[2]Financials!Y6/[2]Financials!X6-1</f>
        <v>7.9705581282010218E-3</v>
      </c>
      <c r="AA31" s="140">
        <f>[2]Financials!Z6/[2]Financials!Y6-1</f>
        <v>6.4439858816645046E-3</v>
      </c>
      <c r="AB31" s="140">
        <f>[2]Financials!AA6/[2]Financials!Z6-1</f>
        <v>5.0572400906976345E-2</v>
      </c>
      <c r="AC31" s="140">
        <f>[2]Financials!AB6/[2]Financials!AA6-1</f>
        <v>-1.7123708918860725E-2</v>
      </c>
      <c r="AD31" s="140">
        <f>[2]Financials!AC6/[2]Financials!AB6-1</f>
        <v>1.4371713599386826E-2</v>
      </c>
      <c r="AE31" s="140">
        <f>[2]Financials!AD6/[2]Financials!AC6-1</f>
        <v>1.8254011654101898E-2</v>
      </c>
      <c r="AF31" s="140">
        <f>[2]Financials!AE6/[2]Financials!AD6-1</f>
        <v>1.9659178565611501E-2</v>
      </c>
      <c r="AG31" s="140">
        <f>[2]Financials!AF6/[2]Financials!AE6-1</f>
        <v>1.5905943107713316E-2</v>
      </c>
      <c r="AH31" s="140">
        <f>[2]Financials!AG6/[2]Financials!AF6-1</f>
        <v>2.0171293835339554E-2</v>
      </c>
      <c r="AI31" s="140">
        <f>[2]Financials!AH6/[2]Financials!AG6-1</f>
        <v>1.7269649868191239E-2</v>
      </c>
      <c r="AJ31" s="140">
        <f>[2]Financials!AI6/[2]Financials!AH6-1</f>
        <v>2.0103797887604635E-2</v>
      </c>
      <c r="AK31" s="140"/>
      <c r="AL31" s="267" t="e">
        <f>(Financials!E5-Financials!#REF!)/Financials!#REF!</f>
        <v>#REF!</v>
      </c>
      <c r="AM31" s="267" t="e">
        <f>(Financials!F5-Financials!#REF!)/Financials!#REF!</f>
        <v>#REF!</v>
      </c>
      <c r="AN31" s="267" t="e">
        <f>(Financials!G5-Financials!#REF!)/Financials!#REF!</f>
        <v>#REF!</v>
      </c>
      <c r="AO31" s="267" t="e">
        <f>(Financials!H5-Financials!#REF!)/Financials!#REF!</f>
        <v>#REF!</v>
      </c>
      <c r="AP31" s="267" t="e">
        <f>(Financials!I5-Financials!#REF!)/Financials!#REF!</f>
        <v>#REF!</v>
      </c>
      <c r="AQ31" s="267" t="e">
        <f>(Financials!J5-Financials!#REF!)/Financials!#REF!</f>
        <v>#REF!</v>
      </c>
      <c r="AR31" s="267" t="e">
        <f>(Financials!K5-Financials!#REF!)/Financials!#REF!</f>
        <v>#REF!</v>
      </c>
      <c r="AS31" s="267" t="e">
        <f>(Financials!L5-Financials!#REF!)/Financials!#REF!</f>
        <v>#REF!</v>
      </c>
      <c r="AT31" s="267" t="e">
        <f>(Financials!M5-Financials!#REF!)/Financials!#REF!</f>
        <v>#REF!</v>
      </c>
      <c r="AU31" s="267" t="e">
        <f>(Financials!N5-Financials!A5)/Financials!A5</f>
        <v>#REF!</v>
      </c>
      <c r="AV31" s="267" t="e">
        <f>(Financials!O5-Financials!B5)/Financials!B5</f>
        <v>#REF!</v>
      </c>
      <c r="AW31" s="267" t="e">
        <f>(Financials!P5-Financials!C5)/Financials!C5</f>
        <v>#REF!</v>
      </c>
      <c r="AX31" s="267" t="e">
        <f>(Financials!Q5-Financials!D5)/Financials!D5</f>
        <v>#REF!</v>
      </c>
      <c r="AY31" s="267" t="e">
        <f>(Financials!R5-Financials!E5)/Financials!E5</f>
        <v>#REF!</v>
      </c>
      <c r="AZ31" s="267" t="e">
        <f>(Financials!S5-Financials!F5)/Financials!F5</f>
        <v>#REF!</v>
      </c>
      <c r="BA31" s="267" t="e">
        <f>(Financials!T5-Financials!G5)/Financials!G5</f>
        <v>#REF!</v>
      </c>
      <c r="BB31" s="267" t="e">
        <f>(Financials!U5-Financials!H5)/Financials!H5</f>
        <v>#REF!</v>
      </c>
      <c r="BC31" s="267" t="e">
        <f>(Financials!V5-Financials!I5)/Financials!I5</f>
        <v>#REF!</v>
      </c>
      <c r="BD31" s="267" t="e">
        <f>(Financials!W5-Financials!J5)/Financials!J5</f>
        <v>#REF!</v>
      </c>
      <c r="BE31" s="267" t="e">
        <f>(Financials!X5-Financials!K5)/Financials!K5</f>
        <v>#REF!</v>
      </c>
      <c r="BF31" s="267" t="e">
        <f>(Financials!Y5-Financials!L5)/Financials!L5</f>
        <v>#REF!</v>
      </c>
      <c r="BG31" s="267" t="e">
        <f>(Financials!Z5-Financials!M5)/Financials!M5</f>
        <v>#REF!</v>
      </c>
      <c r="BH31" s="267" t="e">
        <f>(Financials!AA5-Financials!N5)/Financials!N5</f>
        <v>#REF!</v>
      </c>
      <c r="BI31" s="267" t="e">
        <f>(Financials!AB5-Financials!O5)/Financials!O5</f>
        <v>#REF!</v>
      </c>
      <c r="BJ31" s="267" t="e">
        <f>(Financials!AC5-Financials!P5)/Financials!P5</f>
        <v>#REF!</v>
      </c>
      <c r="BK31" s="267" t="e">
        <f>(Financials!AD5-Financials!Q5)/Financials!Q5</f>
        <v>#REF!</v>
      </c>
      <c r="BL31" s="267" t="e">
        <f>(Financials!AE5-Financials!R5)/Financials!R5</f>
        <v>#REF!</v>
      </c>
      <c r="BM31" s="267">
        <f>(Financials!AF5-Financials!S5)/Financials!S5</f>
        <v>0.12490572328153376</v>
      </c>
      <c r="BN31" s="267">
        <f>(Financials!AG5-Financials!T5)/Financials!T5</f>
        <v>0.12588695747301271</v>
      </c>
      <c r="BO31" s="267">
        <f>(Financials!AH5-Financials!U5)/Financials!U5</f>
        <v>0.15952558328713262</v>
      </c>
      <c r="BP31" s="267">
        <f>(Financials!AI5-Financials!V5)/Financials!V5</f>
        <v>0.15305758539931613</v>
      </c>
      <c r="BQ31" s="267">
        <f>(Financials!AJ5-Financials!W5)/Financials!W5</f>
        <v>9.3747452179636565E-2</v>
      </c>
      <c r="BR31" s="267">
        <f>(Financials!AK5-Financials!X5)/Financials!X5</f>
        <v>-0.29788382147607217</v>
      </c>
      <c r="BS31" s="267">
        <f>(Financials!AL5-Financials!Y5)/Financials!Y5</f>
        <v>-0.17725375712625566</v>
      </c>
      <c r="BT31" s="267">
        <f>(Financials!AM5-Financials!Z5)/Financials!Z5</f>
        <v>0.46931780205813639</v>
      </c>
      <c r="BU31" s="267">
        <f>(Financials!AN5-Financials!AA5)/Financials!AA5</f>
        <v>0.4444199889005348</v>
      </c>
      <c r="BV31" s="267">
        <f>(Financials!AO5-Financials!AB5)/Financials!AB5</f>
        <v>0.29765250642383073</v>
      </c>
      <c r="BW31" s="267">
        <f>(Financials!AP5-Financials!AC5)/Financials!AC5</f>
        <v>0.26470933273826619</v>
      </c>
      <c r="BX31" s="267">
        <f>(Financials!AQ5-Financials!AD5)/Financials!AD5</f>
        <v>0.21248379476869025</v>
      </c>
      <c r="BY31" s="267">
        <f>(Financials!AR5-Financials!AE5)/Financials!AE5</f>
        <v>0.17310877653944126</v>
      </c>
      <c r="BZ31" s="267">
        <f>(Financials!AS5-Financials!AF5)/Financials!AF5</f>
        <v>0.17310877512941514</v>
      </c>
      <c r="CA31" s="267">
        <f>(Financials!AT5-Financials!AG5)/Financials!AG5</f>
        <v>0.1466669392162348</v>
      </c>
      <c r="CB31" s="267">
        <f>(Financials!AU5-Financials!AH5)/Financials!AH5</f>
        <v>0.15393405275392585</v>
      </c>
      <c r="CC31" s="267">
        <f>(Financials!AV5-Financials!AI5)/Financials!AI5</f>
        <v>0.14692269809154435</v>
      </c>
      <c r="CD31" s="267">
        <f>(Financials!AW5-Financials!AJ5)/Financials!AJ5</f>
        <v>0.48771444010305209</v>
      </c>
      <c r="CE31" s="267">
        <f>(Financials!AX5-Financials!AK5)/Financials!AK5</f>
        <v>0.37690065452257371</v>
      </c>
      <c r="CF31" s="267">
        <f>(Financials!AY5-Financials!AL5)/Financials!AL5</f>
        <v>0.86334427739085207</v>
      </c>
      <c r="CG31" s="267" t="e">
        <f>(Financials!AZ5-Financials!AM5)/Financials!AM5</f>
        <v>#REF!</v>
      </c>
      <c r="CH31" s="267">
        <f>(Financials!BA5-Financials!AN5)/Financials!AN5</f>
        <v>-6.8240153886530583E-2</v>
      </c>
      <c r="CI31" s="267">
        <f>(Financials!BB5-Financials!AO5)/Financials!AO5</f>
        <v>0.6344573491356843</v>
      </c>
      <c r="CJ31" s="267">
        <f>(Financials!BC5-Financials!AP5)/Financials!AP5</f>
        <v>0.41467446558175303</v>
      </c>
      <c r="CK31" s="267">
        <f>(Financials!BD5-Financials!AQ5)/Financials!AQ5</f>
        <v>0.31893459083195047</v>
      </c>
      <c r="CL31" s="267">
        <f>(Financials!BE5-Financials!AR5)/Financials!AR5</f>
        <v>0.32500901248619074</v>
      </c>
      <c r="CM31" s="267">
        <f>(Financials!BF5-Financials!AS5)/Financials!AS5</f>
        <v>0.32500900589040577</v>
      </c>
      <c r="CN31" s="267">
        <f>(Financials!BG5-Financials!AT5)/Financials!AT5</f>
        <v>0.3102602992478149</v>
      </c>
      <c r="CO31" s="267">
        <f>(Financials!BH5-Financials!AU5)/Financials!AU5</f>
        <v>0.2650784977897005</v>
      </c>
      <c r="CP31" s="267">
        <f>(Financials!BI5-Financials!AV5)/Financials!AV5</f>
        <v>0.28968783864213149</v>
      </c>
      <c r="CQ31" s="267">
        <f>(Financials!BJ5-Financials!AW5)/Financials!AW5</f>
        <v>4.6426053891297399E-2</v>
      </c>
      <c r="CR31" s="267">
        <f>(Financials!BK5-Financials!AX5)/Financials!AX5</f>
        <v>0.11813958331891289</v>
      </c>
      <c r="CS31" s="267">
        <f>(Financials!BL5-Financials!AY5)/Financials!AY5</f>
        <v>-0.20855355263930678</v>
      </c>
      <c r="CT31" s="267" t="e">
        <f>(Financials!BM5-Financials!AZ5)/Financials!AZ5</f>
        <v>#REF!</v>
      </c>
      <c r="CU31" s="267">
        <f>(Financials!BN5-Financials!BA5)/Financials!BA5</f>
        <v>-8.503662280803205E-2</v>
      </c>
      <c r="CV31" s="267">
        <f>(Financials!BO5-Financials!BB5)/Financials!BB5</f>
        <v>-0.19034353005809984</v>
      </c>
      <c r="CW31" s="267">
        <f>(Financials!BP5-Financials!BC5)/Financials!BC5</f>
        <v>0.14978989577763349</v>
      </c>
      <c r="CX31" s="267">
        <f>(Financials!BQ5-Financials!BD5)/Financials!BD5</f>
        <v>0.14874435104338243</v>
      </c>
      <c r="CY31" s="267">
        <f>(Financials!BR5-Financials!BE5)/Financials!BE5</f>
        <v>0.17436219534819591</v>
      </c>
      <c r="CZ31" s="267">
        <f>(Financials!BS5-Financials!BF5)/Financials!BF5</f>
        <v>0.1743622001963149</v>
      </c>
      <c r="DA31" s="267">
        <f>(Financials!BT5-Financials!BG5)/Financials!BG5</f>
        <v>0.30490025438113111</v>
      </c>
      <c r="DB31" s="267">
        <f>(Financials!BU5-Financials!BH5)/Financials!BH5</f>
        <v>0.29617188463000971</v>
      </c>
      <c r="DC31" s="267">
        <f>(Financials!BV5-Financials!BI5)/Financials!BI5</f>
        <v>0.28961511771252235</v>
      </c>
      <c r="DD31" s="267">
        <f>(Financials!BW5-Financials!BJ5)/Financials!BJ5</f>
        <v>0.27299340164251951</v>
      </c>
      <c r="DE31" s="267">
        <f>(Financials!BX5-Financials!BK5)/Financials!BK5</f>
        <v>0.3115311492609722</v>
      </c>
      <c r="DF31" s="267">
        <f>(Financials!BY5-Financials!BL5)/Financials!BL5</f>
        <v>0.31095142982428681</v>
      </c>
      <c r="DG31" s="267">
        <f>(Financials!BZ5-Financials!BM5)/Financials!BM5</f>
        <v>0.35380989082722364</v>
      </c>
      <c r="DH31" s="267">
        <f>(Financials!CA5-Financials!BN5)/Financials!BN5</f>
        <v>0.66266621506067303</v>
      </c>
      <c r="DI31" s="267">
        <f>(Financials!CB5-Financials!BO5)/Financials!BO5</f>
        <v>0.12572648251614438</v>
      </c>
      <c r="DJ31" s="267">
        <f>(Financials!CC5-Financials!BP5)/Financials!BP5</f>
        <v>-6.8833195383748824E-2</v>
      </c>
    </row>
    <row r="32" spans="1:114" ht="12.75">
      <c r="A32" s="141" t="s">
        <v>235</v>
      </c>
      <c r="B32" s="131" t="s">
        <v>359</v>
      </c>
      <c r="C32" s="134"/>
      <c r="D32" s="140"/>
      <c r="E32" s="140" t="e">
        <f>[2]Financials!D8/[2]Financials!C8-1</f>
        <v>#DIV/0!</v>
      </c>
      <c r="F32" s="140" t="e">
        <f>[2]Financials!E8/[2]Financials!D8-1</f>
        <v>#DIV/0!</v>
      </c>
      <c r="G32" s="140" t="e">
        <f>[2]Financials!F8/[2]Financials!E8-1</f>
        <v>#DIV/0!</v>
      </c>
      <c r="H32" s="140" t="e">
        <f>[2]Financials!G8/[2]Financials!F8-1</f>
        <v>#DIV/0!</v>
      </c>
      <c r="I32" s="140" t="e">
        <f>[2]Financials!H8/[2]Financials!G8-1</f>
        <v>#DIV/0!</v>
      </c>
      <c r="J32" s="140" t="e">
        <f>[2]Financials!I8/[2]Financials!H8-1</f>
        <v>#DIV/0!</v>
      </c>
      <c r="K32" s="140" t="e">
        <f>[2]Financials!J8/[2]Financials!I8-1</f>
        <v>#DIV/0!</v>
      </c>
      <c r="L32" s="140">
        <f>[2]Financials!K8/[2]Financials!J8-1</f>
        <v>4.8803420056425573E-2</v>
      </c>
      <c r="M32" s="140">
        <f>[2]Financials!L8/[2]Financials!K8-1</f>
        <v>-2.597757515052268E-2</v>
      </c>
      <c r="N32" s="140">
        <f>[2]Financials!M8/[2]Financials!L8-1</f>
        <v>-2.7708719623755762E-3</v>
      </c>
      <c r="O32" s="140">
        <f>[2]Financials!N8/[2]Financials!M8-1</f>
        <v>1.0946526942046049</v>
      </c>
      <c r="P32" s="140">
        <f>[2]Financials!O8/[2]Financials!N8-1</f>
        <v>-0.44423630806532821</v>
      </c>
      <c r="Q32" s="140">
        <f>[2]Financials!P8/[2]Financials!O8-1</f>
        <v>-4.8984295913161668E-2</v>
      </c>
      <c r="R32" s="140">
        <f>[2]Financials!Q8/[2]Financials!P8-1</f>
        <v>8.1668568397219587E-3</v>
      </c>
      <c r="S32" s="140">
        <f>[2]Financials!R8/[2]Financials!Q8-1</f>
        <v>4.4506786862958947E-2</v>
      </c>
      <c r="T32" s="140">
        <f>[2]Financials!S8/[2]Financials!R8-1</f>
        <v>-4.809702979303887E-2</v>
      </c>
      <c r="U32" s="140">
        <f>[2]Financials!T8/[2]Financials!J8-1</f>
        <v>0.20644102263210118</v>
      </c>
      <c r="V32" s="140">
        <f>[2]Financials!U8/[2]Financials!T8-1</f>
        <v>5.4317180224228823E-2</v>
      </c>
      <c r="W32" s="140">
        <f>[2]Financials!V8/[2]Financials!U8-1</f>
        <v>-5.1230615139192803E-3</v>
      </c>
      <c r="X32" s="140">
        <f>[2]Financials!W8/[2]Financials!V8-1</f>
        <v>5.89276374654224E-4</v>
      </c>
      <c r="Y32" s="140">
        <f>[2]Financials!X8/[2]Financials!W8-1</f>
        <v>7.3892255982410004E-2</v>
      </c>
      <c r="Z32" s="140">
        <f>[2]Financials!Y8/[2]Financials!X8-1</f>
        <v>-7.7331373238684442E-2</v>
      </c>
      <c r="AA32" s="140">
        <f>[2]Financials!Z8/[2]Financials!Y8-1</f>
        <v>-5.5912521271268445E-2</v>
      </c>
      <c r="AB32" s="140">
        <f>[2]Financials!AA8/[2]Financials!Z8-1</f>
        <v>0.58191948475586441</v>
      </c>
      <c r="AC32" s="140">
        <f>[2]Financials!AB8/[2]Financials!AA8-1</f>
        <v>-0.28649983628987974</v>
      </c>
      <c r="AD32" s="140">
        <f>[2]Financials!AC8/[2]Financials!AB8-1</f>
        <v>-2.1887941151710333E-3</v>
      </c>
      <c r="AE32" s="140">
        <f>[2]Financials!AD8/[2]Financials!AC8-1</f>
        <v>4.8741424711198578E-2</v>
      </c>
      <c r="AF32" s="140">
        <f>[2]Financials!AE8/[2]Financials!AD8-1</f>
        <v>3.3817634252095941E-2</v>
      </c>
      <c r="AG32" s="140">
        <f>[2]Financials!AF8/[2]Financials!AE8-1</f>
        <v>-2.1115610145043262E-2</v>
      </c>
      <c r="AH32" s="140">
        <f>[2]Financials!AG8/[2]Financials!AF8-1</f>
        <v>4.2292520325449834E-2</v>
      </c>
      <c r="AI32" s="140">
        <f>[2]Financials!AH8/[2]Financials!AG8-1</f>
        <v>1.547538384341518E-2</v>
      </c>
      <c r="AJ32" s="140">
        <f>[2]Financials!AI8/[2]Financials!AH8-1</f>
        <v>6.2744250564205295E-2</v>
      </c>
      <c r="AK32" s="140"/>
      <c r="AL32" s="267" t="e">
        <f>(Financials!E7-Financials!#REF!)/Financials!#REF!</f>
        <v>#REF!</v>
      </c>
      <c r="AM32" s="267" t="e">
        <f>(Financials!F7-Financials!#REF!)/Financials!#REF!</f>
        <v>#REF!</v>
      </c>
      <c r="AN32" s="267" t="e">
        <f>(Financials!G7-Financials!#REF!)/Financials!#REF!</f>
        <v>#REF!</v>
      </c>
      <c r="AO32" s="267" t="e">
        <f>(Financials!H7-Financials!#REF!)/Financials!#REF!</f>
        <v>#REF!</v>
      </c>
      <c r="AP32" s="267" t="e">
        <f>(Financials!I7-Financials!#REF!)/Financials!#REF!</f>
        <v>#REF!</v>
      </c>
      <c r="AQ32" s="267" t="e">
        <f>(Financials!J7-Financials!#REF!)/Financials!#REF!</f>
        <v>#REF!</v>
      </c>
      <c r="AR32" s="267" t="e">
        <f>(Financials!K7-Financials!#REF!)/Financials!#REF!</f>
        <v>#REF!</v>
      </c>
      <c r="AS32" s="267" t="e">
        <f>(Financials!L7-Financials!#REF!)/Financials!#REF!</f>
        <v>#REF!</v>
      </c>
      <c r="AT32" s="267" t="e">
        <f>(Financials!M7-Financials!#REF!)/Financials!#REF!</f>
        <v>#REF!</v>
      </c>
      <c r="AU32" s="267" t="e">
        <f>(Financials!N7-Financials!A7)/Financials!A7</f>
        <v>#REF!</v>
      </c>
      <c r="AV32" s="267" t="e">
        <f>(Financials!O7-Financials!B7)/Financials!B7</f>
        <v>#REF!</v>
      </c>
      <c r="AW32" s="267" t="e">
        <f>(Financials!P7-Financials!C7)/Financials!C7</f>
        <v>#REF!</v>
      </c>
      <c r="AX32" s="267" t="e">
        <f>(Financials!Q7-Financials!D7)/Financials!D7</f>
        <v>#REF!</v>
      </c>
      <c r="AY32" s="267" t="e">
        <f>(Financials!R7-Financials!E7)/Financials!E7</f>
        <v>#REF!</v>
      </c>
      <c r="AZ32" s="267" t="e">
        <f>(Financials!S7-Financials!F7)/Financials!F7</f>
        <v>#REF!</v>
      </c>
      <c r="BA32" s="267" t="e">
        <f>(Financials!T7-Financials!G7)/Financials!G7</f>
        <v>#REF!</v>
      </c>
      <c r="BB32" s="267" t="e">
        <f>(Financials!U7-Financials!H7)/Financials!H7</f>
        <v>#REF!</v>
      </c>
      <c r="BC32" s="267" t="e">
        <f>(Financials!V7-Financials!I7)/Financials!I7</f>
        <v>#REF!</v>
      </c>
      <c r="BD32" s="267" t="e">
        <f>(Financials!W7-Financials!J7)/Financials!J7</f>
        <v>#REF!</v>
      </c>
      <c r="BE32" s="267" t="e">
        <f>(Financials!X7-Financials!K7)/Financials!K7</f>
        <v>#REF!</v>
      </c>
      <c r="BF32" s="267" t="e">
        <f>(Financials!Y7-Financials!L7)/Financials!L7</f>
        <v>#REF!</v>
      </c>
      <c r="BG32" s="267" t="e">
        <f>(Financials!Z7-Financials!M7)/Financials!M7</f>
        <v>#REF!</v>
      </c>
      <c r="BH32" s="267" t="e">
        <f>(Financials!AA7-Financials!N7)/Financials!N7</f>
        <v>#REF!</v>
      </c>
      <c r="BI32" s="267" t="e">
        <f>(Financials!AB7-Financials!O7)/Financials!O7</f>
        <v>#REF!</v>
      </c>
      <c r="BJ32" s="267" t="e">
        <f>(Financials!AC7-Financials!P7)/Financials!P7</f>
        <v>#REF!</v>
      </c>
      <c r="BK32" s="267" t="e">
        <f>(Financials!AD7-Financials!Q7)/Financials!Q7</f>
        <v>#REF!</v>
      </c>
      <c r="BL32" s="267" t="e">
        <f>(Financials!AE7-Financials!R7)/Financials!R7</f>
        <v>#REF!</v>
      </c>
      <c r="BM32" s="267">
        <f>(Financials!AF7-Financials!S7)/Financials!S7</f>
        <v>0.27699795578121028</v>
      </c>
      <c r="BN32" s="267">
        <f>(Financials!AG7-Financials!T7)/Financials!T7</f>
        <v>0.29783361882658721</v>
      </c>
      <c r="BO32" s="267">
        <f>(Financials!AH7-Financials!U7)/Financials!U7</f>
        <v>0.44289525962147652</v>
      </c>
      <c r="BP32" s="267">
        <f>(Financials!AI7-Financials!V7)/Financials!V7</f>
        <v>0.41573622523494536</v>
      </c>
      <c r="BQ32" s="267">
        <f>(Financials!AJ7-Financials!W7)/Financials!W7</f>
        <v>0.19472839701547459</v>
      </c>
      <c r="BR32" s="267">
        <f>(Financials!AK7-Financials!X7)/Financials!X7</f>
        <v>-0.56872537191490768</v>
      </c>
      <c r="BS32" s="267">
        <f>(Financials!AL7-Financials!Y7)/Financials!Y7</f>
        <v>-0.38790244989333478</v>
      </c>
      <c r="BT32" s="267">
        <f>(Financials!AM7-Financials!Z7)/Financials!Z7</f>
        <v>1.0406599557881047</v>
      </c>
      <c r="BU32" s="267">
        <f>(Financials!AN7-Financials!AA7)/Financials!AA7</f>
        <v>0.97575152656740749</v>
      </c>
      <c r="BV32" s="267">
        <f>(Financials!AO7-Financials!AB7)/Financials!AB7</f>
        <v>0.60447958123205769</v>
      </c>
      <c r="BW32" s="267">
        <f>(Financials!AP7-Financials!AC7)/Financials!AC7</f>
        <v>0.44210961015517924</v>
      </c>
      <c r="BX32" s="267">
        <f>(Financials!AQ7-Financials!AD7)/Financials!AD7</f>
        <v>0.31652997314014519</v>
      </c>
      <c r="BY32" s="267">
        <f>(Financials!AR7-Financials!AE7)/Financials!AE7</f>
        <v>0.28828601873087034</v>
      </c>
      <c r="BZ32" s="267">
        <f>(Financials!AS7-Financials!AF7)/Financials!AF7</f>
        <v>2.1089522300934336</v>
      </c>
      <c r="CA32" s="267">
        <f>(Financials!AT7-Financials!AG7)/Financials!AG7</f>
        <v>0.23696009466171508</v>
      </c>
      <c r="CB32" s="267">
        <f>(Financials!AU7-Financials!AH7)/Financials!AH7</f>
        <v>0.25132573902958583</v>
      </c>
      <c r="CC32" s="267">
        <f>(Financials!AV7-Financials!AI7)/Financials!AI7</f>
        <v>0.27816753881891665</v>
      </c>
      <c r="CD32" s="267">
        <f>(Financials!AW7-Financials!AJ7)/Financials!AJ7</f>
        <v>1.3028242734072426</v>
      </c>
      <c r="CE32" s="267">
        <f>(Financials!AX7-Financials!AK7)/Financials!AK7</f>
        <v>1.3375392197303255</v>
      </c>
      <c r="CF32" s="267">
        <f>(Financials!AY7-Financials!AL7)/Financials!AL7</f>
        <v>2.2258917489478134</v>
      </c>
      <c r="CG32" s="267" t="e">
        <f>(Financials!AZ7-Financials!AM7)/Financials!AM7</f>
        <v>#REF!</v>
      </c>
      <c r="CH32" s="267">
        <f>(Financials!BA7-Financials!AN7)/Financials!AN7</f>
        <v>-0.16452318010105083</v>
      </c>
      <c r="CI32" s="267">
        <f>(Financials!BB7-Financials!AO7)/Financials!AO7</f>
        <v>1.1935044359111384</v>
      </c>
      <c r="CJ32" s="267">
        <f>(Financials!BC7-Financials!AP7)/Financials!AP7</f>
        <v>0.76406870709288077</v>
      </c>
      <c r="CK32" s="267">
        <f>(Financials!BD7-Financials!AQ7)/Financials!AQ7</f>
        <v>0.61895094316256793</v>
      </c>
      <c r="CL32" s="267">
        <f>(Financials!BE7-Financials!AR7)/Financials!AR7</f>
        <v>0.50418072365147382</v>
      </c>
      <c r="CM32" s="267">
        <f>(Financials!BF7-Financials!AS7)/Financials!AS7</f>
        <v>-0.37669837585222282</v>
      </c>
      <c r="CN32" s="267">
        <f>(Financials!BG7-Financials!AT7)/Financials!AT7</f>
        <v>0.4721883580229676</v>
      </c>
      <c r="CO32" s="267">
        <f>(Financials!BH7-Financials!AU7)/Financials!AU7</f>
        <v>0.34470671193533287</v>
      </c>
      <c r="CP32" s="267">
        <f>(Financials!BI7-Financials!AV7)/Financials!AV7</f>
        <v>0.3897717665412585</v>
      </c>
      <c r="CQ32" s="267">
        <f>(Financials!BJ7-Financials!AW7)/Financials!AW7</f>
        <v>-0.11552000188333651</v>
      </c>
      <c r="CR32" s="267">
        <f>(Financials!BK7-Financials!AX7)/Financials!AX7</f>
        <v>-0.1455137136762259</v>
      </c>
      <c r="CS32" s="267">
        <f>(Financials!BL7-Financials!AY7)/Financials!AY7</f>
        <v>-0.44523886423921</v>
      </c>
      <c r="CT32" s="267" t="e">
        <f>(Financials!BM7-Financials!AZ7)/Financials!AZ7</f>
        <v>#REF!</v>
      </c>
      <c r="CU32" s="267">
        <f>(Financials!BN7-Financials!BA7)/Financials!BA7</f>
        <v>-0.28657368853204407</v>
      </c>
      <c r="CV32" s="267">
        <f>(Financials!BO7-Financials!BB7)/Financials!BB7</f>
        <v>-0.33309315601848649</v>
      </c>
      <c r="CW32" s="267">
        <f>(Financials!BP7-Financials!BC7)/Financials!BC7</f>
        <v>0.17091165563954516</v>
      </c>
      <c r="CX32" s="267">
        <f>(Financials!BQ7-Financials!BD7)/Financials!BD7</f>
        <v>0.2100653098680747</v>
      </c>
      <c r="CY32" s="267">
        <f>(Financials!BR7-Financials!BE7)/Financials!BE7</f>
        <v>0.30617808136476699</v>
      </c>
      <c r="CZ32" s="267">
        <f>(Financials!BS7-Financials!BF7)/Financials!BF7</f>
        <v>0.30617808808344749</v>
      </c>
      <c r="DA32" s="267">
        <f>(Financials!BT7-Financials!BG7)/Financials!BG7</f>
        <v>0.4106584330153511</v>
      </c>
      <c r="DB32" s="267">
        <f>(Financials!BU7-Financials!BH7)/Financials!BH7</f>
        <v>0.38522274831018305</v>
      </c>
      <c r="DC32" s="267">
        <f>(Financials!BV7-Financials!BI7)/Financials!BI7</f>
        <v>0.36382529510355754</v>
      </c>
      <c r="DD32" s="267">
        <f>(Financials!BW7-Financials!BJ7)/Financials!BJ7</f>
        <v>0.30779326122831302</v>
      </c>
      <c r="DE32" s="267">
        <f>(Financials!BX7-Financials!BK7)/Financials!BK7</f>
        <v>0.38692662798254851</v>
      </c>
      <c r="DF32" s="267">
        <f>(Financials!BY7-Financials!BL7)/Financials!BL7</f>
        <v>0.3656064457688577</v>
      </c>
      <c r="DG32" s="267">
        <f>(Financials!BZ7-Financials!BM7)/Financials!BM7</f>
        <v>0.47452523576675459</v>
      </c>
      <c r="DH32" s="267">
        <f>(Financials!CA7-Financials!BN7)/Financials!BN7</f>
        <v>1.1861707752966184</v>
      </c>
      <c r="DI32" s="267">
        <f>(Financials!CB7-Financials!BO7)/Financials!BO7</f>
        <v>-3.29157998556701E-2</v>
      </c>
      <c r="DJ32" s="267">
        <f>(Financials!CC7-Financials!BP7)/Financials!BP7</f>
        <v>-0.29632808688829188</v>
      </c>
    </row>
    <row r="33" spans="1:114" ht="12.75">
      <c r="A33" s="141" t="s">
        <v>234</v>
      </c>
      <c r="B33" s="131" t="s">
        <v>359</v>
      </c>
      <c r="C33" s="134"/>
      <c r="D33" s="140"/>
      <c r="E33" s="140" t="e">
        <f>[2]Financials!D7/[2]Financials!C7-1</f>
        <v>#DIV/0!</v>
      </c>
      <c r="F33" s="140" t="e">
        <f>[2]Financials!E7/[2]Financials!D7-1</f>
        <v>#DIV/0!</v>
      </c>
      <c r="G33" s="140" t="e">
        <f>[2]Financials!F7/[2]Financials!E7-1</f>
        <v>#DIV/0!</v>
      </c>
      <c r="H33" s="140" t="e">
        <f>[2]Financials!G7/[2]Financials!F7-1</f>
        <v>#DIV/0!</v>
      </c>
      <c r="I33" s="140" t="e">
        <f>[2]Financials!H7/[2]Financials!G7-1</f>
        <v>#DIV/0!</v>
      </c>
      <c r="J33" s="140" t="e">
        <f>[2]Financials!I7/[2]Financials!H7-1</f>
        <v>#DIV/0!</v>
      </c>
      <c r="K33" s="140" t="e">
        <f>[2]Financials!J7/[2]Financials!I7-1</f>
        <v>#DIV/0!</v>
      </c>
      <c r="L33" s="140">
        <f>[2]Financials!K7/[2]Financials!J7-1</f>
        <v>1.8972484029635694E-2</v>
      </c>
      <c r="M33" s="140">
        <f>[2]Financials!L7/[2]Financials!K7-1</f>
        <v>1.8051711452905517E-2</v>
      </c>
      <c r="N33" s="140">
        <f>[2]Financials!M7/[2]Financials!L7-1</f>
        <v>1.6005635612886371E-2</v>
      </c>
      <c r="O33" s="140">
        <f>[2]Financials!N7/[2]Financials!M7-1</f>
        <v>-5.8761289289156138E-2</v>
      </c>
      <c r="P33" s="140">
        <f>[2]Financials!O7/[2]Financials!N7-1</f>
        <v>1.7486735031728706E-2</v>
      </c>
      <c r="Q33" s="140">
        <f>[2]Financials!P7/[2]Financials!O7-1</f>
        <v>1.3673423933880047E-2</v>
      </c>
      <c r="R33" s="140">
        <f>[2]Financials!Q7/[2]Financials!P7-1</f>
        <v>1.6911015262468077E-2</v>
      </c>
      <c r="S33" s="140">
        <f>[2]Financials!R7/[2]Financials!Q7-1</f>
        <v>8.3669741138217013E-3</v>
      </c>
      <c r="T33" s="140">
        <f>[2]Financials!S7/[2]Financials!R7-1</f>
        <v>1.5524484990089071E-2</v>
      </c>
      <c r="U33" s="140">
        <f>[2]Financials!T7/[2]Financials!J7-1</f>
        <v>8.4200329513010708E-2</v>
      </c>
      <c r="V33" s="140">
        <f>[2]Financials!U7/[2]Financials!T7-1</f>
        <v>1.7287158925221924E-2</v>
      </c>
      <c r="W33" s="140">
        <f>[2]Financials!V7/[2]Financials!U7-1</f>
        <v>1.4134295885025461E-2</v>
      </c>
      <c r="X33" s="140">
        <f>[2]Financials!W7/[2]Financials!V7-1</f>
        <v>1.915821819920005E-5</v>
      </c>
      <c r="Y33" s="140">
        <f>[2]Financials!X7/[2]Financials!W7-1</f>
        <v>1.6863307814058981E-2</v>
      </c>
      <c r="Z33" s="140">
        <f>[2]Financials!Y7/[2]Financials!X7-1</f>
        <v>1.5277062979080824E-2</v>
      </c>
      <c r="AA33" s="140">
        <f>[2]Financials!Z7/[2]Financials!Y7-1</f>
        <v>1.1297918822276154E-2</v>
      </c>
      <c r="AB33" s="140">
        <f>[2]Financials!AA7/[2]Financials!Z7-1</f>
        <v>1.1960301366629844E-2</v>
      </c>
      <c r="AC33" s="140">
        <f>[2]Financials!AB7/[2]Financials!AA7-1</f>
        <v>1.347655135434711E-2</v>
      </c>
      <c r="AD33" s="140">
        <f>[2]Financials!AC7/[2]Financials!AB7-1</f>
        <v>1.5696116230349499E-2</v>
      </c>
      <c r="AE33" s="140">
        <f>[2]Financials!AD7/[2]Financials!AC7-1</f>
        <v>1.5858757801027634E-2</v>
      </c>
      <c r="AF33" s="140">
        <f>[2]Financials!AE7/[2]Financials!AD7-1</f>
        <v>1.8510808264837308E-2</v>
      </c>
      <c r="AG33" s="140">
        <f>[2]Financials!AF7/[2]Financials!AE7-1</f>
        <v>1.8953831050772418E-2</v>
      </c>
      <c r="AH33" s="140">
        <f>[2]Financials!AG7/[2]Financials!AF7-1</f>
        <v>1.8421727317220693E-2</v>
      </c>
      <c r="AI33" s="140">
        <f>[2]Financials!AH7/[2]Financials!AG7-1</f>
        <v>1.7414884455606794E-2</v>
      </c>
      <c r="AJ33" s="140">
        <f>[2]Financials!AI7/[2]Financials!AH7-1</f>
        <v>1.6658900093688311E-2</v>
      </c>
      <c r="AK33" s="140"/>
      <c r="AL33" s="267" t="e">
        <f>(Financials!E6-Financials!#REF!)/Financials!#REF!</f>
        <v>#REF!</v>
      </c>
      <c r="AM33" s="267" t="e">
        <f>(Financials!F6-Financials!#REF!)/Financials!#REF!</f>
        <v>#REF!</v>
      </c>
      <c r="AN33" s="267" t="e">
        <f>(Financials!G6-Financials!#REF!)/Financials!#REF!</f>
        <v>#REF!</v>
      </c>
      <c r="AO33" s="267" t="e">
        <f>(Financials!H6-Financials!#REF!)/Financials!#REF!</f>
        <v>#REF!</v>
      </c>
      <c r="AP33" s="267" t="e">
        <f>(Financials!I6-Financials!#REF!)/Financials!#REF!</f>
        <v>#REF!</v>
      </c>
      <c r="AQ33" s="267" t="e">
        <f>(Financials!J6-Financials!#REF!)/Financials!#REF!</f>
        <v>#REF!</v>
      </c>
      <c r="AR33" s="267" t="e">
        <f>(Financials!K6-Financials!#REF!)/Financials!#REF!</f>
        <v>#REF!</v>
      </c>
      <c r="AS33" s="267" t="e">
        <f>(Financials!L6-Financials!#REF!)/Financials!#REF!</f>
        <v>#REF!</v>
      </c>
      <c r="AT33" s="267" t="e">
        <f>(Financials!M6-Financials!#REF!)/Financials!#REF!</f>
        <v>#REF!</v>
      </c>
      <c r="AU33" s="267" t="e">
        <f>(Financials!N6-Financials!A6)/Financials!A6</f>
        <v>#REF!</v>
      </c>
      <c r="AV33" s="267" t="e">
        <f>(Financials!O6-Financials!B6)/Financials!B6</f>
        <v>#REF!</v>
      </c>
      <c r="AW33" s="267" t="e">
        <f>(Financials!P6-Financials!C6)/Financials!C6</f>
        <v>#REF!</v>
      </c>
      <c r="AX33" s="267" t="e">
        <f>(Financials!Q6-Financials!D6)/Financials!D6</f>
        <v>#REF!</v>
      </c>
      <c r="AY33" s="267" t="e">
        <f>(Financials!R6-Financials!E6)/Financials!E6</f>
        <v>#REF!</v>
      </c>
      <c r="AZ33" s="267" t="e">
        <f>(Financials!S6-Financials!F6)/Financials!F6</f>
        <v>#REF!</v>
      </c>
      <c r="BA33" s="267" t="e">
        <f>(Financials!T6-Financials!G6)/Financials!G6</f>
        <v>#REF!</v>
      </c>
      <c r="BB33" s="267" t="e">
        <f>(Financials!U6-Financials!H6)/Financials!H6</f>
        <v>#REF!</v>
      </c>
      <c r="BC33" s="267" t="e">
        <f>(Financials!V6-Financials!I6)/Financials!I6</f>
        <v>#REF!</v>
      </c>
      <c r="BD33" s="267" t="e">
        <f>(Financials!W6-Financials!J6)/Financials!J6</f>
        <v>#REF!</v>
      </c>
      <c r="BE33" s="267" t="e">
        <f>(Financials!X6-Financials!K6)/Financials!K6</f>
        <v>#REF!</v>
      </c>
      <c r="BF33" s="267" t="e">
        <f>(Financials!Y6-Financials!L6)/Financials!L6</f>
        <v>#REF!</v>
      </c>
      <c r="BG33" s="267" t="e">
        <f>(Financials!Z6-Financials!M6)/Financials!M6</f>
        <v>#REF!</v>
      </c>
      <c r="BH33" s="267" t="e">
        <f>(Financials!AA6-Financials!N6)/Financials!N6</f>
        <v>#REF!</v>
      </c>
      <c r="BI33" s="267" t="e">
        <f>(Financials!AB6-Financials!O6)/Financials!O6</f>
        <v>#REF!</v>
      </c>
      <c r="BJ33" s="267" t="e">
        <f>(Financials!AC6-Financials!P6)/Financials!P6</f>
        <v>#REF!</v>
      </c>
      <c r="BK33" s="267" t="e">
        <f>(Financials!AD6-Financials!Q6)/Financials!Q6</f>
        <v>#REF!</v>
      </c>
      <c r="BL33" s="267" t="e">
        <f>(Financials!AE6-Financials!R6)/Financials!R6</f>
        <v>#REF!</v>
      </c>
      <c r="BM33" s="267">
        <f>(Financials!AF6-Financials!S6)/Financials!S6</f>
        <v>4.9181389667825121E-2</v>
      </c>
      <c r="BN33" s="267">
        <f>(Financials!AG6-Financials!T6)/Financials!T6</f>
        <v>4.7239104378650823E-2</v>
      </c>
      <c r="BO33" s="267">
        <f>(Financials!AH6-Financials!U6)/Financials!U6</f>
        <v>4.1210493369515801E-2</v>
      </c>
      <c r="BP33" s="267">
        <f>(Financials!AI6-Financials!V6)/Financials!V6</f>
        <v>4.7288826569216305E-2</v>
      </c>
      <c r="BQ33" s="267">
        <f>(Financials!AJ6-Financials!W6)/Financials!W6</f>
        <v>4.9145581980968731E-2</v>
      </c>
      <c r="BR33" s="267">
        <f>(Financials!AK6-Financials!X6)/Financials!X6</f>
        <v>1.7458530957586427E-2</v>
      </c>
      <c r="BS33" s="267">
        <f>(Financials!AL6-Financials!Y6)/Financials!Y6</f>
        <v>8.7085005086087533E-3</v>
      </c>
      <c r="BT33" s="267">
        <f>(Financials!AM6-Financials!Z6)/Financials!Z6</f>
        <v>2.3423814740570936E-2</v>
      </c>
      <c r="BU33" s="267">
        <f>(Financials!AN6-Financials!AA6)/Financials!AA6</f>
        <v>5.5743926285116652E-2</v>
      </c>
      <c r="BV33" s="267">
        <f>(Financials!AO6-Financials!AB6)/Financials!AB6</f>
        <v>8.4024804960864202E-2</v>
      </c>
      <c r="BW33" s="267">
        <f>(Financials!AP6-Financials!AC6)/Financials!AC6</f>
        <v>0.13567184238747695</v>
      </c>
      <c r="BX33" s="267">
        <f>(Financials!AQ6-Financials!AD6)/Financials!AD6</f>
        <v>0.14557052459646064</v>
      </c>
      <c r="BY33" s="267">
        <f>(Financials!AR6-Financials!AE6)/Financials!AE6</f>
        <v>0.10331210355252277</v>
      </c>
      <c r="BZ33" s="267">
        <f>(Financials!AS6-Financials!AF6)/Financials!AF6</f>
        <v>-1</v>
      </c>
      <c r="CA33" s="267">
        <f>(Financials!AT6-Financials!AG6)/Financials!AG6</f>
        <v>9.5484482961498529E-2</v>
      </c>
      <c r="CB33" s="267">
        <f>(Financials!AU6-Financials!AH6)/Financials!AH6</f>
        <v>9.7582625560645203E-2</v>
      </c>
      <c r="CC33" s="267">
        <f>(Financials!AV6-Financials!AI6)/Financials!AI6</f>
        <v>7.548445519912593E-2</v>
      </c>
      <c r="CD33" s="267">
        <f>(Financials!AW6-Financials!AJ6)/Financials!AJ6</f>
        <v>7.7733938702160457E-2</v>
      </c>
      <c r="CE33" s="267">
        <f>(Financials!AX6-Financials!AK6)/Financials!AK6</f>
        <v>-9.7193085871780452E-2</v>
      </c>
      <c r="CF33" s="267">
        <f>(Financials!AY6-Financials!AL6)/Financials!AL6</f>
        <v>0.1334286795088489</v>
      </c>
      <c r="CG33" s="267" t="e">
        <f>(Financials!AZ6-Financials!AM6)/Financials!AM6</f>
        <v>#REF!</v>
      </c>
      <c r="CH33" s="267">
        <f>(Financials!BA6-Financials!AN6)/Financials!AN6</f>
        <v>6.3569028585811288E-2</v>
      </c>
      <c r="CI33" s="267">
        <f>(Financials!BB6-Financials!AO6)/Financials!AO6</f>
        <v>5.8344911389454267E-2</v>
      </c>
      <c r="CJ33" s="267">
        <f>(Financials!BC6-Financials!AP6)/Financials!AP6</f>
        <v>9.1956777939762535E-2</v>
      </c>
      <c r="CK33" s="267">
        <f>(Financials!BD6-Financials!AQ6)/Financials!AQ6</f>
        <v>9.7196671116945133E-2</v>
      </c>
      <c r="CL33" s="267">
        <f>(Financials!BE6-Financials!AR6)/Financials!AR6</f>
        <v>0.19822882244214043</v>
      </c>
      <c r="CM33" s="267" t="e">
        <f>(Financials!BF6-Financials!AS6)/Financials!AS6</f>
        <v>#DIV/0!</v>
      </c>
      <c r="CN33" s="267">
        <f>(Financials!BG6-Financials!AT6)/Financials!AT6</f>
        <v>0.20661780364670765</v>
      </c>
      <c r="CO33" s="267">
        <f>(Financials!BH6-Financials!AU6)/Financials!AU6</f>
        <v>0.21255142923673692</v>
      </c>
      <c r="CP33" s="267">
        <f>(Financials!BI6-Financials!AV6)/Financials!AV6</f>
        <v>0.22494428826403748</v>
      </c>
      <c r="CQ33" s="267">
        <f>(Financials!BJ6-Financials!AW6)/Financials!AW6</f>
        <v>0.22047311094053976</v>
      </c>
      <c r="CR33" s="267">
        <f>(Financials!BK6-Financials!AX6)/Financials!AX6</f>
        <v>0.45503991617953282</v>
      </c>
      <c r="CS33" s="267">
        <f>(Financials!BL6-Financials!AY6)/Financials!AY6</f>
        <v>0.15231405574227025</v>
      </c>
      <c r="CT33" s="267" t="e">
        <f>(Financials!BM6-Financials!AZ6)/Financials!AZ6</f>
        <v>#REF!</v>
      </c>
      <c r="CU33" s="267">
        <f>(Financials!BN6-Financials!BA6)/Financials!BA6</f>
        <v>0.13169365546970069</v>
      </c>
      <c r="CV33" s="267">
        <f>(Financials!BO6-Financials!BB6)/Financials!BB6</f>
        <v>0.1145478405456659</v>
      </c>
      <c r="CW33" s="267">
        <f>(Financials!BP6-Financials!BC6)/Financials!BC6</f>
        <v>0.1182727286622702</v>
      </c>
      <c r="CX33" s="267">
        <f>(Financials!BQ6-Financials!BD6)/Financials!BD6</f>
        <v>8.1870984496589583E-2</v>
      </c>
      <c r="CY33" s="267">
        <f>(Financials!BR6-Financials!BE6)/Financials!BE6</f>
        <v>5.7274848002675342E-2</v>
      </c>
      <c r="CZ33" s="267">
        <f>(Financials!BS6-Financials!BF6)/Financials!BF6</f>
        <v>5.7274851329481992E-2</v>
      </c>
      <c r="DA33" s="267">
        <f>(Financials!BT6-Financials!BG6)/Financials!BG6</f>
        <v>0.22231103427480722</v>
      </c>
      <c r="DB33" s="267">
        <f>(Financials!BU6-Financials!BH6)/Financials!BH6</f>
        <v>0.23102678851543332</v>
      </c>
      <c r="DC33" s="267">
        <f>(Financials!BV6-Financials!BI6)/Financials!BI6</f>
        <v>0.23514945561303829</v>
      </c>
      <c r="DD33" s="267">
        <f>(Financials!BW6-Financials!BJ6)/Financials!BJ6</f>
        <v>0.24588938838041638</v>
      </c>
      <c r="DE33" s="267">
        <f>(Financials!BX6-Financials!BK6)/Financials!BK6</f>
        <v>0.25495365279197152</v>
      </c>
      <c r="DF33" s="267">
        <f>(Financials!BY6-Financials!BL6)/Financials!BL6</f>
        <v>0.2708331975067324</v>
      </c>
      <c r="DG33" s="267">
        <f>(Financials!BZ6-Financials!BM6)/Financials!BM6</f>
        <v>0.26917382918732735</v>
      </c>
      <c r="DH33" s="267">
        <f>(Financials!CA6-Financials!BN6)/Financials!BN6</f>
        <v>0.30776673120756509</v>
      </c>
      <c r="DI33" s="267">
        <f>(Financials!CB6-Financials!BO6)/Financials!BO6</f>
        <v>0.32847400809760163</v>
      </c>
      <c r="DJ33" s="267">
        <f>(Financials!CC6-Financials!BP6)/Financials!BP6</f>
        <v>0.28660583693695474</v>
      </c>
    </row>
    <row r="34" spans="1:114" ht="12.75">
      <c r="A34" s="127" t="s">
        <v>363</v>
      </c>
      <c r="B34" s="131" t="s">
        <v>359</v>
      </c>
      <c r="C34" s="134"/>
      <c r="D34" s="140"/>
      <c r="E34" s="140" t="e">
        <f>[2]Financials!D30/[2]Financials!C30-1</f>
        <v>#DIV/0!</v>
      </c>
      <c r="F34" s="140" t="e">
        <f>[2]Financials!E30/[2]Financials!D30-1</f>
        <v>#DIV/0!</v>
      </c>
      <c r="G34" s="140" t="e">
        <f>[2]Financials!F30/[2]Financials!E30-1</f>
        <v>#DIV/0!</v>
      </c>
      <c r="H34" s="140" t="e">
        <f>[2]Financials!G30/[2]Financials!F30-1</f>
        <v>#DIV/0!</v>
      </c>
      <c r="I34" s="140" t="e">
        <f>[2]Financials!H30/[2]Financials!G30-1</f>
        <v>#DIV/0!</v>
      </c>
      <c r="J34" s="140" t="e">
        <f>[2]Financials!I30/[2]Financials!H30-1</f>
        <v>#DIV/0!</v>
      </c>
      <c r="K34" s="140" t="e">
        <f>[2]Financials!J30/[2]Financials!I30-1</f>
        <v>#DIV/0!</v>
      </c>
      <c r="L34" s="140">
        <f>[2]Financials!K30/[2]Financials!J30-1</f>
        <v>6.1107577979256478E-2</v>
      </c>
      <c r="M34" s="140">
        <f>[2]Financials!L30/[2]Financials!K30-1</f>
        <v>2.8041410037825676E-2</v>
      </c>
      <c r="N34" s="140">
        <f>[2]Financials!M30/[2]Financials!L30-1</f>
        <v>1.0048447087433576E-2</v>
      </c>
      <c r="O34" s="140">
        <f>[2]Financials!N30/[2]Financials!M30-1</f>
        <v>1.4384451410879739E-2</v>
      </c>
      <c r="P34" s="140">
        <f>[2]Financials!O30/[2]Financials!N30-1</f>
        <v>1.8615454145417765E-2</v>
      </c>
      <c r="Q34" s="140">
        <f>[2]Financials!P30/[2]Financials!O30-1</f>
        <v>1.8384147234667747E-2</v>
      </c>
      <c r="R34" s="140">
        <f>[2]Financials!Q30/[2]Financials!P30-1</f>
        <v>2.1604853369581623E-2</v>
      </c>
      <c r="S34" s="140">
        <f>[2]Financials!R30/[2]Financials!Q30-1</f>
        <v>3.4567878860996881E-2</v>
      </c>
      <c r="T34" s="140">
        <f>[2]Financials!S30/[2]Financials!R30-1</f>
        <v>2.1473307937156072E-2</v>
      </c>
      <c r="U34" s="140">
        <f>[2]Financials!T30/[2]Financials!J30-1</f>
        <v>0.28017933110245341</v>
      </c>
      <c r="V34" s="140">
        <f>[2]Financials!U30/[2]Financials!T30-1</f>
        <v>2.8423151137534797E-2</v>
      </c>
      <c r="W34" s="140">
        <f>[2]Financials!V30/[2]Financials!U30-1</f>
        <v>1.9976205287446369E-2</v>
      </c>
      <c r="X34" s="140">
        <f>[2]Financials!W30/[2]Financials!V30-1</f>
        <v>3.8775270076703006E-3</v>
      </c>
      <c r="Y34" s="140">
        <f>[2]Financials!X30/[2]Financials!W30-1</f>
        <v>4.5682216907277917E-2</v>
      </c>
      <c r="Z34" s="140">
        <f>[2]Financials!Y30/[2]Financials!X30-1</f>
        <v>2.1666429261738118E-2</v>
      </c>
      <c r="AA34" s="140">
        <f>[2]Financials!Z30/[2]Financials!Y30-1</f>
        <v>-1.6618788223865533E-4</v>
      </c>
      <c r="AB34" s="140">
        <f>[2]Financials!AA30/[2]Financials!Z30-1</f>
        <v>1.0469801137608536E-2</v>
      </c>
      <c r="AC34" s="140">
        <f>[2]Financials!AB30/[2]Financials!AA30-1</f>
        <v>4.6116587950055798E-3</v>
      </c>
      <c r="AD34" s="140">
        <f>[2]Financials!AC30/[2]Financials!AB30-1</f>
        <v>9.8654278145069441E-3</v>
      </c>
      <c r="AE34" s="140">
        <f>[2]Financials!AD30/[2]Financials!AC30-1</f>
        <v>2.0116544938350911E-2</v>
      </c>
      <c r="AF34" s="140">
        <f>[2]Financials!AE30/[2]Financials!AD30-1</f>
        <v>2.7645044297113008E-2</v>
      </c>
      <c r="AG34" s="140">
        <f>[2]Financials!AF30/[2]Financials!AE30-1</f>
        <v>2.4786136870242004E-2</v>
      </c>
      <c r="AH34" s="140">
        <f>[2]Financials!AG30/[2]Financials!AF30-1</f>
        <v>1.6943008747363431E-2</v>
      </c>
      <c r="AI34" s="140">
        <f>[2]Financials!AH30/[2]Financials!AG30-1</f>
        <v>1.2796213029120818E-2</v>
      </c>
      <c r="AJ34" s="140">
        <f>[2]Financials!AI30/[2]Financials!AH30-1</f>
        <v>2.0868293710845975E-2</v>
      </c>
      <c r="AK34" s="140"/>
      <c r="AL34" s="267" t="e">
        <f>(Financials!E30-Financials!#REF!)/Financials!#REF!</f>
        <v>#REF!</v>
      </c>
      <c r="AM34" s="267" t="e">
        <f>(Financials!F30-Financials!#REF!)/Financials!#REF!</f>
        <v>#REF!</v>
      </c>
      <c r="AN34" s="267" t="e">
        <f>(Financials!G30-Financials!#REF!)/Financials!#REF!</f>
        <v>#REF!</v>
      </c>
      <c r="AO34" s="267" t="e">
        <f>(Financials!H30-Financials!#REF!)/Financials!#REF!</f>
        <v>#REF!</v>
      </c>
      <c r="AP34" s="267" t="e">
        <f>(Financials!I30-Financials!#REF!)/Financials!#REF!</f>
        <v>#REF!</v>
      </c>
      <c r="AQ34" s="267" t="e">
        <f>(Financials!J30-Financials!#REF!)/Financials!#REF!</f>
        <v>#REF!</v>
      </c>
      <c r="AR34" s="267" t="e">
        <f>(Financials!K30-Financials!#REF!)/Financials!#REF!</f>
        <v>#REF!</v>
      </c>
      <c r="AS34" s="267" t="e">
        <f>(Financials!L30-Financials!#REF!)/Financials!#REF!</f>
        <v>#REF!</v>
      </c>
      <c r="AT34" s="267" t="e">
        <f>(Financials!M30-Financials!#REF!)/Financials!#REF!</f>
        <v>#REF!</v>
      </c>
      <c r="AU34" s="267" t="e">
        <f>(Financials!N30-Financials!A30)/Financials!A30</f>
        <v>#REF!</v>
      </c>
      <c r="AV34" s="267" t="e">
        <f>(Financials!O30-Financials!B30)/Financials!B30</f>
        <v>#REF!</v>
      </c>
      <c r="AW34" s="267" t="e">
        <f>(Financials!P30-Financials!C30)/Financials!C30</f>
        <v>#REF!</v>
      </c>
      <c r="AX34" s="267" t="e">
        <f>(Financials!Q30-Financials!D30)/Financials!D30</f>
        <v>#REF!</v>
      </c>
      <c r="AY34" s="267" t="e">
        <f>(Financials!R30-Financials!E30)/Financials!E30</f>
        <v>#REF!</v>
      </c>
      <c r="AZ34" s="267" t="e">
        <f>(Financials!S30-Financials!F30)/Financials!F30</f>
        <v>#REF!</v>
      </c>
      <c r="BA34" s="267" t="e">
        <f>(Financials!T30-Financials!G30)/Financials!G30</f>
        <v>#REF!</v>
      </c>
      <c r="BB34" s="267" t="e">
        <f>(Financials!U30-Financials!H30)/Financials!H30</f>
        <v>#REF!</v>
      </c>
      <c r="BC34" s="267" t="e">
        <f>(Financials!V30-Financials!I30)/Financials!I30</f>
        <v>#REF!</v>
      </c>
      <c r="BD34" s="267" t="e">
        <f>(Financials!W30-Financials!J30)/Financials!J30</f>
        <v>#REF!</v>
      </c>
      <c r="BE34" s="267" t="e">
        <f>(Financials!X30-Financials!K30)/Financials!K30</f>
        <v>#REF!</v>
      </c>
      <c r="BF34" s="267" t="e">
        <f>(Financials!Y30-Financials!L30)/Financials!L30</f>
        <v>#REF!</v>
      </c>
      <c r="BG34" s="267" t="e">
        <f>(Financials!Z30-Financials!M30)/Financials!M30</f>
        <v>#REF!</v>
      </c>
      <c r="BH34" s="267" t="e">
        <f>(Financials!AA30-Financials!N30)/Financials!N30</f>
        <v>#REF!</v>
      </c>
      <c r="BI34" s="267" t="e">
        <f>(Financials!AB30-Financials!O30)/Financials!O30</f>
        <v>#REF!</v>
      </c>
      <c r="BJ34" s="267" t="e">
        <f>(Financials!AC30-Financials!P30)/Financials!P30</f>
        <v>#REF!</v>
      </c>
      <c r="BK34" s="267" t="e">
        <f>(Financials!AD30-Financials!Q30)/Financials!Q30</f>
        <v>#REF!</v>
      </c>
      <c r="BL34" s="267" t="e">
        <f>(Financials!AE30-Financials!R30)/Financials!R30</f>
        <v>#REF!</v>
      </c>
      <c r="BM34" s="267">
        <f>(Financials!AF30-Financials!S30)/Financials!S30</f>
        <v>0.15410006366513421</v>
      </c>
      <c r="BN34" s="267">
        <f>(Financials!AG30-Financials!T30)/Financials!T30</f>
        <v>0.19387737459889326</v>
      </c>
      <c r="BO34" s="267">
        <f>(Financials!AH30-Financials!U30)/Financials!U30</f>
        <v>0.20921370394658187</v>
      </c>
      <c r="BP34" s="267">
        <f>(Financials!AI30-Financials!V30)/Financials!V30</f>
        <v>0.27643798043926288</v>
      </c>
      <c r="BQ34" s="267">
        <f>(Financials!AJ30-Financials!W30)/Financials!W30</f>
        <v>0.20866808841082493</v>
      </c>
      <c r="BR34" s="267">
        <f>(Financials!AK30-Financials!X30)/Financials!X30</f>
        <v>0.95788869724396586</v>
      </c>
      <c r="BS34" s="267">
        <f>(Financials!AL30-Financials!Y30)/Financials!Y30</f>
        <v>0.64824695444377689</v>
      </c>
      <c r="BT34" s="267">
        <f>(Financials!AM30-Financials!Z30)/Financials!Z30</f>
        <v>0.29458598839980693</v>
      </c>
      <c r="BU34" s="267">
        <f>(Financials!AN30-Financials!AA30)/Financials!AA30</f>
        <v>0.11133221506659917</v>
      </c>
      <c r="BV34" s="267">
        <f>(Financials!AO30-Financials!AB30)/Financials!AB30</f>
        <v>0.17174781230010278</v>
      </c>
      <c r="BW34" s="267">
        <f>(Financials!AP30-Financials!AC30)/Financials!AC30</f>
        <v>0.25753050856726906</v>
      </c>
      <c r="BX34" s="267">
        <f>(Financials!AQ30-Financials!AD30)/Financials!AD30</f>
        <v>0.1992265123557739</v>
      </c>
      <c r="BY34" s="267">
        <f>(Financials!AR30-Financials!AE30)/Financials!AE30</f>
        <v>0.21523144421099913</v>
      </c>
      <c r="BZ34" s="267">
        <f>(Financials!AS30-Financials!AF30)/Financials!AF30</f>
        <v>0.21523144438105435</v>
      </c>
      <c r="CA34" s="267">
        <f>(Financials!AT30-Financials!AG30)/Financials!AG30</f>
        <v>0.21705887608618588</v>
      </c>
      <c r="CB34" s="267">
        <f>(Financials!AU30-Financials!AH30)/Financials!AH30</f>
        <v>0.19315940989249944</v>
      </c>
      <c r="CC34" s="267">
        <f>(Financials!AV30-Financials!AI30)/Financials!AI30</f>
        <v>0.12323933186610947</v>
      </c>
      <c r="CD34" s="267">
        <f>(Financials!AW30-Financials!AJ30)/Financials!AJ30</f>
        <v>-0.11154841102201955</v>
      </c>
      <c r="CE34" s="267">
        <f>(Financials!AX30-Financials!AK30)/Financials!AK30</f>
        <v>-4.7409484007212947E-2</v>
      </c>
      <c r="CF34" s="267">
        <f>(Financials!AY30-Financials!AL30)/Financials!AL30</f>
        <v>-0.25466425348504845</v>
      </c>
      <c r="CG34" s="267" t="e">
        <f>(Financials!AZ30-Financials!AM30)/Financials!AM30</f>
        <v>#REF!</v>
      </c>
      <c r="CH34" s="267">
        <f>(Financials!BA30-Financials!AN30)/Financials!AN30</f>
        <v>7.6326359193789578E-2</v>
      </c>
      <c r="CI34" s="267">
        <f>(Financials!BB30-Financials!AO30)/Financials!AO30</f>
        <v>0.12040391428962718</v>
      </c>
      <c r="CJ34" s="267">
        <f>(Financials!BC30-Financials!AP30)/Financials!AP30</f>
        <v>0.18852643210022882</v>
      </c>
      <c r="CK34" s="267">
        <f>(Financials!BD30-Financials!AQ30)/Financials!AQ30</f>
        <v>0.25939951390027061</v>
      </c>
      <c r="CL34" s="267">
        <f>(Financials!BE30-Financials!AR30)/Financials!AR30</f>
        <v>0.28084123771444525</v>
      </c>
      <c r="CM34" s="267">
        <f>(Financials!BF30-Financials!AS30)/Financials!AS30</f>
        <v>0.2808412362577844</v>
      </c>
      <c r="CN34" s="267">
        <f>(Financials!BG30-Financials!AT30)/Financials!AT30</f>
        <v>0.29647451708069456</v>
      </c>
      <c r="CO34" s="267">
        <f>(Financials!BH30-Financials!AU30)/Financials!AU30</f>
        <v>0.27600010612903075</v>
      </c>
      <c r="CP34" s="267">
        <f>(Financials!BI30-Financials!AV30)/Financials!AV30</f>
        <v>0.26207033747242864</v>
      </c>
      <c r="CQ34" s="267">
        <f>(Financials!BJ30-Financials!AW30)/Financials!AW30</f>
        <v>0.51430620436337404</v>
      </c>
      <c r="CR34" s="267">
        <f>(Financials!BK30-Financials!AX30)/Financials!AX30</f>
        <v>0.396352536996462</v>
      </c>
      <c r="CS34" s="267">
        <f>(Financials!BL30-Financials!AY30)/Financials!AY30</f>
        <v>0.80328318208421967</v>
      </c>
      <c r="CT34" s="267" t="e">
        <f>(Financials!BM30-Financials!AZ30)/Financials!AZ30</f>
        <v>#REF!</v>
      </c>
      <c r="CU34" s="267">
        <f>(Financials!BN30-Financials!BA30)/Financials!BA30</f>
        <v>0.40416031262403762</v>
      </c>
      <c r="CV34" s="267">
        <f>(Financials!BO30-Financials!BB30)/Financials!BB30</f>
        <v>0.22387585682599326</v>
      </c>
      <c r="CW34" s="267">
        <f>(Financials!BP30-Financials!BC30)/Financials!BC30</f>
        <v>-0.28296292631398745</v>
      </c>
      <c r="CX34" s="267">
        <f>(Financials!BQ30-Financials!BD30)/Financials!BD30</f>
        <v>-0.17255578894150903</v>
      </c>
      <c r="CY34" s="267">
        <f>(Financials!BR30-Financials!BE30)/Financials!BE30</f>
        <v>-0.19932673104328574</v>
      </c>
      <c r="CZ34" s="267">
        <f>(Financials!BS30-Financials!BF30)/Financials!BF30</f>
        <v>-0.19932673590282743</v>
      </c>
      <c r="DA34" s="267">
        <f>(Financials!BT30-Financials!BG30)/Financials!BG30</f>
        <v>9.2590718380000159E-2</v>
      </c>
      <c r="DB34" s="267">
        <f>(Financials!BU30-Financials!BH30)/Financials!BH30</f>
        <v>0.15776763240332495</v>
      </c>
      <c r="DC34" s="267">
        <f>(Financials!BV30-Financials!BI30)/Financials!BI30</f>
        <v>0.21133674244599465</v>
      </c>
      <c r="DD34" s="267">
        <f>(Financials!BW30-Financials!BJ30)/Financials!BJ30</f>
        <v>0.26039589269592389</v>
      </c>
      <c r="DE34" s="267">
        <f>(Financials!BX30-Financials!BK30)/Financials!BK30</f>
        <v>0.24110194308069735</v>
      </c>
      <c r="DF34" s="267">
        <f>(Financials!BY30-Financials!BL30)/Financials!BL30</f>
        <v>0.24881562526675485</v>
      </c>
      <c r="DG34" s="267">
        <f>(Financials!BZ30-Financials!BM30)/Financials!BM30</f>
        <v>0.143585476887063</v>
      </c>
      <c r="DH34" s="267">
        <f>(Financials!CA30-Financials!BN30)/Financials!BN30</f>
        <v>1.9893378419444958E-2</v>
      </c>
      <c r="DI34" s="267">
        <f>(Financials!CB30-Financials!BO30)/Financials!BO30</f>
        <v>0.16461436848052469</v>
      </c>
      <c r="DJ34" s="267">
        <f>(Financials!CC30-Financials!BP30)/Financials!BP30</f>
        <v>0.83582365735715847</v>
      </c>
    </row>
    <row r="35" spans="1:114" ht="12.75">
      <c r="A35" s="127" t="s">
        <v>237</v>
      </c>
      <c r="B35" s="131" t="s">
        <v>359</v>
      </c>
      <c r="C35" s="134"/>
      <c r="D35" s="140"/>
      <c r="E35" s="140" t="e">
        <f>[2]Financials!D13/[2]Financials!C13-1</f>
        <v>#DIV/0!</v>
      </c>
      <c r="F35" s="140" t="e">
        <f>[2]Financials!E13/[2]Financials!D13-1</f>
        <v>#DIV/0!</v>
      </c>
      <c r="G35" s="140" t="e">
        <f>[2]Financials!F13/[2]Financials!E13-1</f>
        <v>#DIV/0!</v>
      </c>
      <c r="H35" s="140" t="e">
        <f>[2]Financials!G13/[2]Financials!F13-1</f>
        <v>#DIV/0!</v>
      </c>
      <c r="I35" s="140" t="e">
        <f>[2]Financials!H13/[2]Financials!G13-1</f>
        <v>#DIV/0!</v>
      </c>
      <c r="J35" s="140" t="e">
        <f>[2]Financials!I13/[2]Financials!H13-1</f>
        <v>#DIV/0!</v>
      </c>
      <c r="K35" s="140" t="e">
        <f>[2]Financials!J13/[2]Financials!I13-1</f>
        <v>#DIV/0!</v>
      </c>
      <c r="L35" s="140">
        <f>[2]Financials!K13/[2]Financials!J13-1</f>
        <v>0.91765400057255109</v>
      </c>
      <c r="M35" s="140">
        <f>[2]Financials!L13/[2]Financials!K13-1</f>
        <v>6.0233536054489001E-2</v>
      </c>
      <c r="N35" s="140">
        <f>[2]Financials!M13/[2]Financials!L13-1</f>
        <v>5.5466604985421331E-2</v>
      </c>
      <c r="O35" s="140">
        <f>[2]Financials!N13/[2]Financials!M13-1</f>
        <v>1.5637140989379628E-3</v>
      </c>
      <c r="P35" s="140">
        <f>[2]Financials!O13/[2]Financials!N13-1</f>
        <v>5.8394389955140236E-2</v>
      </c>
      <c r="Q35" s="140">
        <f>[2]Financials!P13/[2]Financials!O13-1</f>
        <v>7.7007315527223286E-2</v>
      </c>
      <c r="R35" s="140">
        <f>[2]Financials!Q13/[2]Financials!P13-1</f>
        <v>5.216680607766766E-2</v>
      </c>
      <c r="S35" s="140">
        <f>[2]Financials!R13/[2]Financials!Q13-1</f>
        <v>5.527107397303066E-2</v>
      </c>
      <c r="T35" s="140">
        <f>[2]Financials!S13/[2]Financials!R13-1</f>
        <v>5.1889853513510831E-2</v>
      </c>
      <c r="U35" s="140">
        <f>[2]Financials!T13/[2]Financials!J13-1</f>
        <v>2.0082733892696067</v>
      </c>
      <c r="V35" s="140">
        <f>[2]Financials!U13/[2]Financials!T13-1</f>
        <v>2.9824448201209108E-2</v>
      </c>
      <c r="W35" s="140">
        <f>[2]Financials!V13/[2]Financials!U13-1</f>
        <v>4.3625136953638011E-2</v>
      </c>
      <c r="X35" s="140">
        <f>[2]Financials!W13/[2]Financials!V13-1</f>
        <v>-0.36618611473246654</v>
      </c>
      <c r="Y35" s="140">
        <f>[2]Financials!X13/[2]Financials!W13-1</f>
        <v>0.64715476433636843</v>
      </c>
      <c r="Z35" s="140">
        <f>[2]Financials!Y13/[2]Financials!X13-1</f>
        <v>-0.29244059766355546</v>
      </c>
      <c r="AA35" s="140">
        <f>[2]Financials!Z13/[2]Financials!Y13-1</f>
        <v>-4.1866814283045062E-2</v>
      </c>
      <c r="AB35" s="140">
        <f>[2]Financials!AA13/[2]Financials!Z13-1</f>
        <v>0.14470833399642258</v>
      </c>
      <c r="AC35" s="140">
        <f>[2]Financials!AB13/[2]Financials!AA13-1</f>
        <v>4.2226431115008456E-2</v>
      </c>
      <c r="AD35" s="140">
        <f>[2]Financials!AC13/[2]Financials!AB13-1</f>
        <v>6.1614741836077735E-2</v>
      </c>
      <c r="AE35" s="140">
        <f>[2]Financials!AD13/[2]Financials!AC13-1</f>
        <v>7.5867649431273554E-2</v>
      </c>
      <c r="AF35" s="140">
        <f>[2]Financials!AE13/[2]Financials!AD13-1</f>
        <v>7.4386631104626177E-2</v>
      </c>
      <c r="AG35" s="140">
        <f>[2]Financials!AF13/[2]Financials!AE13-1</f>
        <v>6.3520202340465071E-2</v>
      </c>
      <c r="AH35" s="140">
        <f>[2]Financials!AG13/[2]Financials!AF13-1</f>
        <v>4.4398069581726318E-2</v>
      </c>
      <c r="AI35" s="140">
        <f>[2]Financials!AH13/[2]Financials!AG13-1</f>
        <v>2.2232185279887906E-2</v>
      </c>
      <c r="AJ35" s="140">
        <f>[2]Financials!AI13/[2]Financials!AH13-1</f>
        <v>5.0896852886485933E-2</v>
      </c>
      <c r="AK35" s="140"/>
      <c r="AL35" s="267" t="e">
        <f>(Financials!E11-Financials!#REF!)/Financials!#REF!</f>
        <v>#REF!</v>
      </c>
      <c r="AM35" s="267" t="e">
        <f>(Financials!F11-Financials!#REF!)/Financials!#REF!</f>
        <v>#REF!</v>
      </c>
      <c r="AN35" s="267" t="e">
        <f>(Financials!G11-Financials!#REF!)/Financials!#REF!</f>
        <v>#REF!</v>
      </c>
      <c r="AO35" s="267" t="e">
        <f>(Financials!H11-Financials!#REF!)/Financials!#REF!</f>
        <v>#REF!</v>
      </c>
      <c r="AP35" s="267" t="e">
        <f>(Financials!I11-Financials!#REF!)/Financials!#REF!</f>
        <v>#REF!</v>
      </c>
      <c r="AQ35" s="267" t="e">
        <f>(Financials!J11-Financials!#REF!)/Financials!#REF!</f>
        <v>#REF!</v>
      </c>
      <c r="AR35" s="267" t="e">
        <f>(Financials!K11-Financials!#REF!)/Financials!#REF!</f>
        <v>#REF!</v>
      </c>
      <c r="AS35" s="267" t="e">
        <f>(Financials!L11-Financials!#REF!)/Financials!#REF!</f>
        <v>#REF!</v>
      </c>
      <c r="AT35" s="267" t="e">
        <f>(Financials!M11-Financials!#REF!)/Financials!#REF!</f>
        <v>#REF!</v>
      </c>
      <c r="AU35" s="267" t="e">
        <f>(Financials!N11-Financials!A11)/Financials!A11</f>
        <v>#REF!</v>
      </c>
      <c r="AV35" s="267" t="e">
        <f>(Financials!O11-Financials!B11)/Financials!B11</f>
        <v>#REF!</v>
      </c>
      <c r="AW35" s="267" t="e">
        <f>(Financials!P11-Financials!C11)/Financials!C11</f>
        <v>#REF!</v>
      </c>
      <c r="AX35" s="267" t="e">
        <f>(Financials!Q11-Financials!D11)/Financials!D11</f>
        <v>#REF!</v>
      </c>
      <c r="AY35" s="267" t="e">
        <f>(Financials!R11-Financials!E11)/Financials!E11</f>
        <v>#REF!</v>
      </c>
      <c r="AZ35" s="267" t="e">
        <f>(Financials!S11-Financials!F11)/Financials!F11</f>
        <v>#REF!</v>
      </c>
      <c r="BA35" s="267" t="e">
        <f>(Financials!T11-Financials!G11)/Financials!G11</f>
        <v>#REF!</v>
      </c>
      <c r="BB35" s="267" t="e">
        <f>(Financials!U11-Financials!H11)/Financials!H11</f>
        <v>#REF!</v>
      </c>
      <c r="BC35" s="267" t="e">
        <f>(Financials!V11-Financials!I11)/Financials!I11</f>
        <v>#REF!</v>
      </c>
      <c r="BD35" s="267" t="e">
        <f>(Financials!W11-Financials!J11)/Financials!J11</f>
        <v>#REF!</v>
      </c>
      <c r="BE35" s="267" t="e">
        <f>(Financials!X11-Financials!K11)/Financials!K11</f>
        <v>#REF!</v>
      </c>
      <c r="BF35" s="267" t="e">
        <f>(Financials!Y11-Financials!L11)/Financials!L11</f>
        <v>#REF!</v>
      </c>
      <c r="BG35" s="267" t="e">
        <f>(Financials!Z11-Financials!M11)/Financials!M11</f>
        <v>#REF!</v>
      </c>
      <c r="BH35" s="267" t="e">
        <f>(Financials!AA11-Financials!N11)/Financials!N11</f>
        <v>#REF!</v>
      </c>
      <c r="BI35" s="267" t="e">
        <f>(Financials!AB11-Financials!O11)/Financials!O11</f>
        <v>#REF!</v>
      </c>
      <c r="BJ35" s="267" t="e">
        <f>(Financials!AC11-Financials!P11)/Financials!P11</f>
        <v>#REF!</v>
      </c>
      <c r="BK35" s="267" t="e">
        <f>(Financials!AD11-Financials!Q11)/Financials!Q11</f>
        <v>#REF!</v>
      </c>
      <c r="BL35" s="267" t="e">
        <f>(Financials!AE11-Financials!R11)/Financials!R11</f>
        <v>#REF!</v>
      </c>
      <c r="BM35" s="267">
        <f>(Financials!AF11-Financials!S11)/Financials!S11</f>
        <v>4.267746368062121</v>
      </c>
      <c r="BN35" s="267">
        <f>(Financials!AG11-Financials!T11)/Financials!T11</f>
        <v>0.10478320772848138</v>
      </c>
      <c r="BO35" s="267">
        <f>(Financials!AH11-Financials!U11)/Financials!U11</f>
        <v>-1.0566664020673612E-2</v>
      </c>
      <c r="BP35" s="267">
        <f>(Financials!AI11-Financials!V11)/Financials!V11</f>
        <v>3.0604545812239203E-2</v>
      </c>
      <c r="BQ35" s="267">
        <f>(Financials!AJ11-Financials!W11)/Financials!W11</f>
        <v>1.6810529332544032E-2</v>
      </c>
      <c r="BR35" s="267">
        <f>(Financials!AK11-Financials!X11)/Financials!X11</f>
        <v>-0.23118721495174954</v>
      </c>
      <c r="BS35" s="267" t="e">
        <f>(Financials!AL11-Financials!Y11)/Financials!Y11</f>
        <v>#VALUE!</v>
      </c>
      <c r="BT35" s="267">
        <f>(Financials!AM11-Financials!Z11)/Financials!Z11</f>
        <v>0.28942168281475644</v>
      </c>
      <c r="BU35" s="267">
        <f>(Financials!AN11-Financials!AA11)/Financials!AA11</f>
        <v>0.30606564020355809</v>
      </c>
      <c r="BV35" s="267">
        <f>(Financials!AO11-Financials!AB11)/Financials!AB11</f>
        <v>0.38583880758024641</v>
      </c>
      <c r="BW35" s="267">
        <f>(Financials!AP11-Financials!AC11)/Financials!AC11</f>
        <v>0.30862183332502086</v>
      </c>
      <c r="BX35" s="267">
        <f>(Financials!AQ11-Financials!AD11)/Financials!AD11</f>
        <v>0.28186689291580963</v>
      </c>
      <c r="BY35" s="267">
        <f>(Financials!AR11-Financials!AE11)/Financials!AE11</f>
        <v>0.43619103094136213</v>
      </c>
      <c r="BZ35" s="267">
        <f>(Financials!AS11-Financials!AF11)/Financials!AF11</f>
        <v>6.3491511615268059E-2</v>
      </c>
      <c r="CA35" s="267">
        <f>(Financials!AT11-Financials!AG11)/Financials!AG11</f>
        <v>0.39723239650665065</v>
      </c>
      <c r="CB35" s="267">
        <f>(Financials!AU11-Financials!AH11)/Financials!AH11</f>
        <v>0.32150133170114165</v>
      </c>
      <c r="CC35" s="267">
        <f>(Financials!AV11-Financials!AI11)/Financials!AI11</f>
        <v>0.22682044809363414</v>
      </c>
      <c r="CD35" s="267">
        <f>(Financials!AW11-Financials!AJ11)/Financials!AJ11</f>
        <v>0.47689364575086191</v>
      </c>
      <c r="CE35" s="267">
        <f>(Financials!AX11-Financials!AK11)/Financials!AK11</f>
        <v>0.53355951316165795</v>
      </c>
      <c r="CF35" s="267" t="e">
        <f>(Financials!AY11-Financials!AL11)/Financials!AL11</f>
        <v>#VALUE!</v>
      </c>
      <c r="CG35" s="267" t="e">
        <f>(Financials!AZ11-Financials!AM11)/Financials!AM11</f>
        <v>#REF!</v>
      </c>
      <c r="CH35" s="267">
        <f>(Financials!BA11-Financials!AN11)/Financials!AN11</f>
        <v>0.15400502237432295</v>
      </c>
      <c r="CI35" s="267">
        <f>(Financials!BB11-Financials!AO11)/Financials!AO11</f>
        <v>0.27247255382970753</v>
      </c>
      <c r="CJ35" s="267">
        <f>(Financials!BC11-Financials!AP11)/Financials!AP11</f>
        <v>0.38091103614622174</v>
      </c>
      <c r="CK35" s="267">
        <f>(Financials!BD11-Financials!AQ11)/Financials!AQ11</f>
        <v>0.39479315437582252</v>
      </c>
      <c r="CL35" s="267">
        <f>(Financials!BE11-Financials!AR11)/Financials!AR11</f>
        <v>0.16065875406438562</v>
      </c>
      <c r="CM35" s="267">
        <f>(Financials!BF11-Financials!AS11)/Financials!AS11</f>
        <v>-0.61156516409653239</v>
      </c>
      <c r="CN35" s="267">
        <f>(Financials!BG11-Financials!AT11)/Financials!AT11</f>
        <v>0.14627487069384054</v>
      </c>
      <c r="CO35" s="267">
        <f>(Financials!BH11-Financials!AU11)/Financials!AU11</f>
        <v>0.21074663809695932</v>
      </c>
      <c r="CP35" s="267">
        <f>(Financials!BI11-Financials!AV11)/Financials!AV11</f>
        <v>0.22376828790951353</v>
      </c>
      <c r="CQ35" s="267">
        <f>(Financials!BJ11-Financials!AW11)/Financials!AW11</f>
        <v>0.17872374655585246</v>
      </c>
      <c r="CR35" s="267">
        <f>(Financials!BK11-Financials!AX11)/Financials!AX11</f>
        <v>0.12419734042331046</v>
      </c>
      <c r="CS35" s="267">
        <f>(Financials!BL11-Financials!AY11)/Financials!AY11</f>
        <v>-0.20872361921428187</v>
      </c>
      <c r="CT35" s="267" t="e">
        <f>(Financials!BM11-Financials!AZ11)/Financials!AZ11</f>
        <v>#REF!</v>
      </c>
      <c r="CU35" s="267">
        <f>(Financials!BN11-Financials!BA11)/Financials!BA11</f>
        <v>-0.38058671380652564</v>
      </c>
      <c r="CV35" s="267">
        <f>(Financials!BO11-Financials!BB11)/Financials!BB11</f>
        <v>-0.49943888351964166</v>
      </c>
      <c r="CW35" s="267">
        <f>(Financials!BP11-Financials!BC11)/Financials!BC11</f>
        <v>-1.4169505209430814E-2</v>
      </c>
      <c r="CX35" s="267">
        <f>(Financials!BQ11-Financials!BD11)/Financials!BD11</f>
        <v>9.7308676522201168E-2</v>
      </c>
      <c r="CY35" s="267">
        <f>(Financials!BR11-Financials!BE11)/Financials!BE11</f>
        <v>0.3527270066704396</v>
      </c>
      <c r="CZ35" s="267">
        <f>(Financials!BS11-Financials!BF11)/Financials!BF11</f>
        <v>0.30307586081094251</v>
      </c>
      <c r="DA35" s="267">
        <f>(Financials!BT11-Financials!BG11)/Financials!BG11</f>
        <v>0.64495409591487551</v>
      </c>
      <c r="DB35" s="267">
        <f>(Financials!BU11-Financials!BH11)/Financials!BH11</f>
        <v>0.81863324830223205</v>
      </c>
      <c r="DC35" s="267">
        <f>(Financials!BV11-Financials!BI11)/Financials!BI11</f>
        <v>0.81694519452408088</v>
      </c>
      <c r="DD35" s="267">
        <f>(Financials!BW11-Financials!BJ11)/Financials!BJ11</f>
        <v>0.6156782823511473</v>
      </c>
      <c r="DE35" s="267">
        <f>(Financials!BX11-Financials!BK11)/Financials!BK11</f>
        <v>0.6981468169501438</v>
      </c>
      <c r="DF35" s="267">
        <f>(Financials!BY11-Financials!BL11)/Financials!BL11</f>
        <v>0.75183871041029171</v>
      </c>
      <c r="DG35" s="267">
        <f>(Financials!BZ11-Financials!BM11)/Financials!BM11</f>
        <v>1.0405190074495185</v>
      </c>
      <c r="DH35" s="267">
        <f>(Financials!CA11-Financials!BN11)/Financials!BN11</f>
        <v>2.2925383738171372</v>
      </c>
      <c r="DI35" s="267">
        <f>(Financials!CB11-Financials!BO11)/Financials!BO11</f>
        <v>2.8320813725618019</v>
      </c>
      <c r="DJ35" s="267">
        <f>(Financials!CC11-Financials!BP11)/Financials!BP11</f>
        <v>0.79380055632925961</v>
      </c>
    </row>
    <row r="36" spans="1:114" ht="12.75">
      <c r="A36" s="127" t="s">
        <v>364</v>
      </c>
      <c r="B36" s="131" t="s">
        <v>359</v>
      </c>
      <c r="C36" s="134"/>
      <c r="D36" s="142"/>
      <c r="E36" s="142" t="e">
        <f>[2]Financials!D42/[2]Financials!C42-1</f>
        <v>#DIV/0!</v>
      </c>
      <c r="F36" s="142" t="e">
        <f>[2]Financials!E42/[2]Financials!D42-1</f>
        <v>#DIV/0!</v>
      </c>
      <c r="G36" s="142" t="e">
        <f>[2]Financials!F42/[2]Financials!E42-1</f>
        <v>#DIV/0!</v>
      </c>
      <c r="H36" s="142" t="e">
        <f>[2]Financials!G42/[2]Financials!F42-1</f>
        <v>#DIV/0!</v>
      </c>
      <c r="I36" s="142" t="e">
        <f>[2]Financials!H42/[2]Financials!G42-1</f>
        <v>#DIV/0!</v>
      </c>
      <c r="J36" s="142" t="e">
        <f>[2]Financials!I42/[2]Financials!H42-1</f>
        <v>#DIV/0!</v>
      </c>
      <c r="K36" s="142" t="e">
        <f>[2]Financials!J42/[2]Financials!I42-1</f>
        <v>#DIV/0!</v>
      </c>
      <c r="L36" s="142">
        <f>[2]Financials!K42/[2]Financials!J42-1</f>
        <v>-0.89973290091089086</v>
      </c>
      <c r="M36" s="142">
        <f>[2]Financials!L42/[2]Financials!K42-1</f>
        <v>0.92286734907818602</v>
      </c>
      <c r="N36" s="142">
        <f>[2]Financials!M42/[2]Financials!L42-1</f>
        <v>0.47316710220544733</v>
      </c>
      <c r="O36" s="142">
        <f>[2]Financials!N42/[2]Financials!M42-1</f>
        <v>0.34708276092171486</v>
      </c>
      <c r="P36" s="142">
        <f>[2]Financials!O42/[2]Financials!N42-1</f>
        <v>0.27018586809293788</v>
      </c>
      <c r="Q36" s="142">
        <f>[2]Financials!P42/[2]Financials!O42-1</f>
        <v>0.26673264460401169</v>
      </c>
      <c r="R36" s="142">
        <f>[2]Financials!Q42/[2]Financials!P42-1</f>
        <v>0.17363100365714645</v>
      </c>
      <c r="S36" s="142">
        <f>[2]Financials!R42/[2]Financials!Q42-1</f>
        <v>0.16189818413686119</v>
      </c>
      <c r="T36" s="142">
        <f>[2]Financials!S42/[2]Financials!R42-1</f>
        <v>0.13849487657108583</v>
      </c>
      <c r="U36" s="142">
        <f>[2]Financials!T42/[2]Financials!J42-1</f>
        <v>7.7717186737404464E-2</v>
      </c>
      <c r="V36" s="142">
        <f>[2]Financials!U42/[2]Financials!T42-1</f>
        <v>0.11672772532479647</v>
      </c>
      <c r="W36" s="142">
        <f>[2]Financials!V42/[2]Financials!U42-1</f>
        <v>0.10401662114822741</v>
      </c>
      <c r="X36" s="142">
        <f>[2]Financials!W42/[2]Financials!V42-1</f>
        <v>6.9198370812357801E-3</v>
      </c>
      <c r="Y36" s="142">
        <f>[2]Financials!X42/[2]Financials!W42-1</f>
        <v>-0.89420124440050197</v>
      </c>
      <c r="Z36" s="142">
        <f>[2]Financials!Y42/[2]Financials!X42-1</f>
        <v>0.86204908677244174</v>
      </c>
      <c r="AA36" s="142">
        <f>[2]Financials!Z42/[2]Financials!Y42-1</f>
        <v>0.3718491775590449</v>
      </c>
      <c r="AB36" s="142">
        <f>[2]Financials!AA42/[2]Financials!Z42-1</f>
        <v>0.63453156939657429</v>
      </c>
      <c r="AC36" s="142">
        <f>[2]Financials!AB42/[2]Financials!AA42-1</f>
        <v>0.2196023117002539</v>
      </c>
      <c r="AD36" s="142">
        <f>[2]Financials!AC42/[2]Financials!AB42-1</f>
        <v>0.18996600347308323</v>
      </c>
      <c r="AE36" s="142">
        <f>[2]Financials!AD42/[2]Financials!AC42-1</f>
        <v>0.20417836138236867</v>
      </c>
      <c r="AF36" s="142">
        <f>[2]Financials!AE42/[2]Financials!AD42-1</f>
        <v>0.14665762817523031</v>
      </c>
      <c r="AG36" s="142">
        <f>[2]Financials!AF42/[2]Financials!AE42-1</f>
        <v>0.13280067863600631</v>
      </c>
      <c r="AH36" s="142">
        <f>[2]Financials!AG42/[2]Financials!AF42-1</f>
        <v>0.1065071424511741</v>
      </c>
      <c r="AI36" s="142">
        <f>[2]Financials!AH42/[2]Financials!AG42-1</f>
        <v>0.12079137757224845</v>
      </c>
      <c r="AJ36" s="142">
        <f>[2]Financials!AI42/[2]Financials!AH42-1</f>
        <v>9.5177761602169397E-2</v>
      </c>
      <c r="AK36" s="142"/>
      <c r="AL36" s="267" t="e">
        <f>(Financials!E37-Financials!#REF!)/Financials!#REF!</f>
        <v>#REF!</v>
      </c>
      <c r="AM36" s="267" t="e">
        <f>(Financials!F37-Financials!#REF!)/Financials!#REF!</f>
        <v>#REF!</v>
      </c>
      <c r="AN36" s="267" t="e">
        <f>(Financials!G37-Financials!#REF!)/Financials!#REF!</f>
        <v>#REF!</v>
      </c>
      <c r="AO36" s="267" t="e">
        <f>(Financials!H37-Financials!#REF!)/Financials!#REF!</f>
        <v>#REF!</v>
      </c>
      <c r="AP36" s="267" t="e">
        <f>(Financials!I37-Financials!#REF!)/Financials!#REF!</f>
        <v>#REF!</v>
      </c>
      <c r="AQ36" s="267" t="e">
        <f>(Financials!J37-Financials!#REF!)/Financials!#REF!</f>
        <v>#REF!</v>
      </c>
      <c r="AR36" s="267" t="e">
        <f>(Financials!K37-Financials!#REF!)/Financials!#REF!</f>
        <v>#REF!</v>
      </c>
      <c r="AS36" s="267" t="e">
        <f>(Financials!L37-Financials!#REF!)/Financials!#REF!</f>
        <v>#REF!</v>
      </c>
      <c r="AT36" s="267" t="e">
        <f>(Financials!M37-Financials!#REF!)/Financials!#REF!</f>
        <v>#REF!</v>
      </c>
      <c r="AU36" s="267" t="e">
        <f>(Financials!N37-Financials!A37)/Financials!A37</f>
        <v>#REF!</v>
      </c>
      <c r="AV36" s="267" t="e">
        <f>(Financials!O37-Financials!B37)/Financials!B37</f>
        <v>#REF!</v>
      </c>
      <c r="AW36" s="267" t="e">
        <f>(Financials!P37-Financials!C37)/Financials!C37</f>
        <v>#REF!</v>
      </c>
      <c r="AX36" s="267" t="e">
        <f>(Financials!Q37-Financials!D37)/Financials!D37</f>
        <v>#REF!</v>
      </c>
      <c r="AY36" s="267" t="e">
        <f>(Financials!R37-Financials!E37)/Financials!E37</f>
        <v>#REF!</v>
      </c>
      <c r="AZ36" s="267" t="e">
        <f>(Financials!S37-Financials!F37)/Financials!F37</f>
        <v>#REF!</v>
      </c>
      <c r="BA36" s="267" t="e">
        <f>(Financials!T37-Financials!G37)/Financials!G37</f>
        <v>#REF!</v>
      </c>
      <c r="BB36" s="267" t="e">
        <f>(Financials!U37-Financials!H37)/Financials!H37</f>
        <v>#REF!</v>
      </c>
      <c r="BC36" s="267" t="e">
        <f>(Financials!V37-Financials!I37)/Financials!I37</f>
        <v>#REF!</v>
      </c>
      <c r="BD36" s="267" t="e">
        <f>(Financials!W37-Financials!J37)/Financials!J37</f>
        <v>#REF!</v>
      </c>
      <c r="BE36" s="267" t="e">
        <f>(Financials!X37-Financials!K37)/Financials!K37</f>
        <v>#REF!</v>
      </c>
      <c r="BF36" s="267" t="e">
        <f>(Financials!Y37-Financials!L37)/Financials!L37</f>
        <v>#REF!</v>
      </c>
      <c r="BG36" s="267" t="e">
        <f>(Financials!Z37-Financials!M37)/Financials!M37</f>
        <v>#REF!</v>
      </c>
      <c r="BH36" s="267" t="e">
        <f>(Financials!AA37-Financials!N37)/Financials!N37</f>
        <v>#REF!</v>
      </c>
      <c r="BI36" s="267" t="e">
        <f>(Financials!AB37-Financials!O37)/Financials!O37</f>
        <v>#REF!</v>
      </c>
      <c r="BJ36" s="267" t="e">
        <f>(Financials!AC37-Financials!P37)/Financials!P37</f>
        <v>#REF!</v>
      </c>
      <c r="BK36" s="267" t="e">
        <f>(Financials!AD37-Financials!Q37)/Financials!Q37</f>
        <v>#REF!</v>
      </c>
      <c r="BL36" s="267" t="e">
        <f>(Financials!AE37-Financials!R37)/Financials!R37</f>
        <v>#REF!</v>
      </c>
      <c r="BM36" s="267">
        <f>(Financials!AF37-Financials!S37)/Financials!S37</f>
        <v>0.16399486779888295</v>
      </c>
      <c r="BN36" s="267">
        <f>(Financials!AG37-Financials!T37)/Financials!T37</f>
        <v>0.4530766152550762</v>
      </c>
      <c r="BO36" s="267">
        <f>(Financials!AH37-Financials!U37)/Financials!U37</f>
        <v>0.11319817927262925</v>
      </c>
      <c r="BP36" s="267">
        <f>(Financials!AI37-Financials!V37)/Financials!V37</f>
        <v>-3.624750276463317E-2</v>
      </c>
      <c r="BQ36" s="267">
        <f>(Financials!AJ37-Financials!W37)/Financials!W37</f>
        <v>-6.5823776190452557E-2</v>
      </c>
      <c r="BR36" s="267">
        <f>(Financials!AK37-Financials!X37)/Financials!X37</f>
        <v>-0.49398959014528443</v>
      </c>
      <c r="BS36" s="267">
        <f>(Financials!AL37-Financials!Y37)/Financials!Y37</f>
        <v>-0.28754300460165416</v>
      </c>
      <c r="BT36" s="267">
        <f>(Financials!AM37-Financials!Z37)/Financials!Z37</f>
        <v>0.14794100223878884</v>
      </c>
      <c r="BU36" s="267">
        <f>(Financials!AN37-Financials!AA37)/Financials!AA37</f>
        <v>0.2308741027102087</v>
      </c>
      <c r="BV36" s="267">
        <f>(Financials!AO37-Financials!AB37)/Financials!AB37</f>
        <v>0.22778381269827339</v>
      </c>
      <c r="BW36" s="267">
        <f>(Financials!AP37-Financials!AC37)/Financials!AC37</f>
        <v>0.20142418613328064</v>
      </c>
      <c r="BX36" s="267">
        <f>(Financials!AQ37-Financials!AD37)/Financials!AD37</f>
        <v>0.21320774871732068</v>
      </c>
      <c r="BY36" s="267">
        <f>(Financials!AR37-Financials!AE37)/Financials!AE37</f>
        <v>0.23422679189802445</v>
      </c>
      <c r="BZ36" s="267">
        <f>(Financials!AS37-Financials!AF37)/Financials!AF37</f>
        <v>0.23421623208165546</v>
      </c>
      <c r="CA36" s="267">
        <f>(Financials!AT37-Financials!AG37)/Financials!AG37</f>
        <v>-0.5380171595995048</v>
      </c>
      <c r="CB36" s="267">
        <f>(Financials!AU37-Financials!AH37)/Financials!AH37</f>
        <v>-0.13406013210850334</v>
      </c>
      <c r="CC36" s="267">
        <f>(Financials!AV37-Financials!AI37)/Financials!AI37</f>
        <v>-8.664390470778198E-2</v>
      </c>
      <c r="CD36" s="267">
        <f>(Financials!AW37-Financials!AJ37)/Financials!AJ37</f>
        <v>1.1071097843863189</v>
      </c>
      <c r="CE36" s="267">
        <f>(Financials!AX37-Financials!AK37)/Financials!AK37</f>
        <v>0.89495495097248401</v>
      </c>
      <c r="CF36" s="267">
        <f>(Financials!AY37-Financials!AL37)/Financials!AL37</f>
        <v>0.80120212329151985</v>
      </c>
      <c r="CG36" s="267" t="e">
        <f>(Financials!AZ37-Financials!AM37)/Financials!AM37</f>
        <v>#REF!</v>
      </c>
      <c r="CH36" s="267">
        <f>(Financials!BA37-Financials!AN37)/Financials!AN37</f>
        <v>-5.5490599674818397E-2</v>
      </c>
      <c r="CI36" s="267">
        <f>(Financials!BB37-Financials!AO37)/Financials!AO37</f>
        <v>3.9511557456954435E-2</v>
      </c>
      <c r="CJ36" s="267">
        <f>(Financials!BC37-Financials!AP37)/Financials!AP37</f>
        <v>7.5429562918030948E-2</v>
      </c>
      <c r="CK36" s="267">
        <f>(Financials!BD37-Financials!AQ37)/Financials!AQ37</f>
        <v>7.1493434926999125E-2</v>
      </c>
      <c r="CL36" s="267">
        <f>(Financials!BE37-Financials!AR37)/Financials!AR37</f>
        <v>2.7552799398104635E-2</v>
      </c>
      <c r="CM36" s="267">
        <f>(Financials!BF37-Financials!AS37)/Financials!AS37</f>
        <v>2.7561574563454302E-2</v>
      </c>
      <c r="CN36" s="267">
        <f>(Financials!BG37-Financials!AT37)/Financials!AT37</f>
        <v>0.379288777565849</v>
      </c>
      <c r="CO36" s="267">
        <f>(Financials!BH37-Financials!AU37)/Financials!AU37</f>
        <v>0.18668258828964698</v>
      </c>
      <c r="CP36" s="267">
        <f>(Financials!BI37-Financials!AV37)/Financials!AV37</f>
        <v>0.19053501050356614</v>
      </c>
      <c r="CQ36" s="267">
        <f>(Financials!BJ37-Financials!AW37)/Financials!AW37</f>
        <v>-6.7548019967958478E-2</v>
      </c>
      <c r="CR36" s="267">
        <f>(Financials!BK37-Financials!AX37)/Financials!AX37</f>
        <v>-7.5931250988256482E-2</v>
      </c>
      <c r="CS36" s="267">
        <f>(Financials!BL37-Financials!AY37)/Financials!AY37</f>
        <v>-0.34276584681633504</v>
      </c>
      <c r="CT36" s="267" t="e">
        <f>(Financials!BM37-Financials!AZ37)/Financials!AZ37</f>
        <v>#REF!</v>
      </c>
      <c r="CU36" s="267">
        <f>(Financials!BN37-Financials!BA37)/Financials!BA37</f>
        <v>-0.31696465591013395</v>
      </c>
      <c r="CV36" s="267">
        <f>(Financials!BO37-Financials!BB37)/Financials!BB37</f>
        <v>-0.37058780232944899</v>
      </c>
      <c r="CW36" s="267">
        <f>(Financials!BP37-Financials!BC37)/Financials!BC37</f>
        <v>6.6729132676756703E-2</v>
      </c>
      <c r="CX36" s="267">
        <f>(Financials!BQ37-Financials!BD37)/Financials!BD37</f>
        <v>0.10329454022358828</v>
      </c>
      <c r="CY36" s="267">
        <f>(Financials!BR37-Financials!BE37)/Financials!BE37</f>
        <v>0.16313792895733953</v>
      </c>
      <c r="CZ36" s="267">
        <f>(Financials!BS37-Financials!BF37)/Financials!BF37</f>
        <v>0.16313791806527533</v>
      </c>
      <c r="DA36" s="267">
        <f>(Financials!BT37-Financials!BG37)/Financials!BG37</f>
        <v>29.714777835183103</v>
      </c>
      <c r="DB36" s="267">
        <f>(Financials!BU37-Financials!BH37)/Financials!BH37</f>
        <v>-0.27340735650391718</v>
      </c>
      <c r="DC36" s="267">
        <f>(Financials!BV37-Financials!BI37)/Financials!BI37</f>
        <v>-8.8456500406714267E-2</v>
      </c>
      <c r="DD36" s="267">
        <f>(Financials!BW37-Financials!BJ37)/Financials!BJ37</f>
        <v>-0.37062330526587955</v>
      </c>
      <c r="DE36" s="267">
        <f>(Financials!BX37-Financials!BK37)/Financials!BK37</f>
        <v>-0.1861558432405673</v>
      </c>
      <c r="DF36" s="267">
        <f>(Financials!BY37-Financials!BL37)/Financials!BL37</f>
        <v>-1.3331066139386559E-2</v>
      </c>
      <c r="DG36" s="267">
        <f>(Financials!BZ37-Financials!BM37)/Financials!BM37</f>
        <v>0.4017104672550551</v>
      </c>
      <c r="DH36" s="267">
        <f>(Financials!CA37-Financials!BN37)/Financials!BN37</f>
        <v>1.1786508429145786</v>
      </c>
      <c r="DI36" s="267">
        <f>(Financials!CB37-Financials!BO37)/Financials!BO37</f>
        <v>1.2724461180953792</v>
      </c>
      <c r="DJ36" s="267">
        <f>(Financials!CC37-Financials!BP37)/Financials!BP37</f>
        <v>0.2672361726744531</v>
      </c>
    </row>
    <row r="37" spans="1:114" ht="12.75">
      <c r="A37" s="127" t="s">
        <v>239</v>
      </c>
      <c r="B37" s="131" t="s">
        <v>359</v>
      </c>
      <c r="C37" s="134"/>
      <c r="D37" s="143"/>
      <c r="E37" s="143">
        <f>[2]Financials!D4/[2]Financials!C4-1</f>
        <v>3.8669760247486362E-2</v>
      </c>
      <c r="F37" s="143">
        <f>[2]Financials!E4/[2]Financials!D4-1</f>
        <v>0.45346239761727469</v>
      </c>
      <c r="G37" s="143">
        <f>[2]Financials!F4/[2]Financials!E4-1</f>
        <v>-1</v>
      </c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  <c r="CQ37" s="143"/>
      <c r="CR37" s="143"/>
      <c r="CS37" s="143"/>
      <c r="CT37" s="143"/>
      <c r="CU37" s="143"/>
      <c r="CV37" s="143"/>
      <c r="CW37" s="143"/>
      <c r="CX37" s="143"/>
      <c r="CY37" s="143"/>
      <c r="CZ37" s="143"/>
      <c r="DA37" s="143"/>
      <c r="DB37" s="143"/>
      <c r="DC37" s="143"/>
      <c r="DD37" s="143"/>
      <c r="DE37" s="143"/>
      <c r="DF37" s="143"/>
      <c r="DG37" s="143"/>
      <c r="DH37" s="143"/>
      <c r="DI37" s="143"/>
      <c r="DJ37" s="143"/>
    </row>
    <row r="38" spans="1:114" ht="12.75" hidden="1">
      <c r="A38" s="127"/>
      <c r="B38" s="139"/>
      <c r="C38" s="132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  <c r="BS38" s="144"/>
      <c r="BT38" s="144"/>
      <c r="BU38" s="144"/>
      <c r="BV38" s="144"/>
      <c r="BW38" s="144"/>
      <c r="BX38" s="144"/>
      <c r="BY38" s="144"/>
      <c r="BZ38" s="144"/>
      <c r="CA38" s="144"/>
      <c r="CB38" s="144"/>
      <c r="CC38" s="144"/>
      <c r="CD38" s="144"/>
      <c r="CE38" s="144"/>
      <c r="CF38" s="144"/>
      <c r="CG38" s="144"/>
      <c r="CH38" s="144"/>
      <c r="CI38" s="144"/>
      <c r="CJ38" s="144"/>
      <c r="CK38" s="144"/>
      <c r="CL38" s="144"/>
      <c r="CM38" s="144"/>
      <c r="CN38" s="144"/>
      <c r="CO38" s="144"/>
      <c r="CP38" s="144"/>
      <c r="CQ38" s="144"/>
      <c r="CR38" s="144"/>
      <c r="CS38" s="144"/>
      <c r="CT38" s="144"/>
      <c r="CU38" s="144"/>
      <c r="CV38" s="144"/>
      <c r="CW38" s="144"/>
      <c r="CX38" s="144"/>
      <c r="CY38" s="144"/>
      <c r="CZ38" s="144"/>
      <c r="DA38" s="144"/>
      <c r="DB38" s="144"/>
      <c r="DC38" s="144"/>
      <c r="DD38" s="144"/>
      <c r="DE38" s="144"/>
      <c r="DF38" s="144"/>
      <c r="DG38" s="144"/>
      <c r="DH38" s="144"/>
      <c r="DI38" s="144"/>
      <c r="DJ38" s="144"/>
    </row>
    <row r="39" spans="1:114" ht="12.75" hidden="1">
      <c r="A39" s="145" t="s">
        <v>241</v>
      </c>
      <c r="B39" s="139"/>
      <c r="C39" s="132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  <c r="BA39" s="146"/>
      <c r="BB39" s="146"/>
      <c r="BC39" s="146"/>
      <c r="BD39" s="146"/>
      <c r="BE39" s="146"/>
      <c r="BF39" s="146"/>
      <c r="BG39" s="146"/>
      <c r="BH39" s="146"/>
      <c r="BI39" s="146"/>
      <c r="BJ39" s="146"/>
      <c r="BK39" s="146"/>
      <c r="BL39" s="146"/>
      <c r="BM39" s="146"/>
      <c r="BN39" s="146"/>
      <c r="BO39" s="146"/>
      <c r="BP39" s="146"/>
      <c r="BQ39" s="146"/>
      <c r="BR39" s="146"/>
      <c r="BS39" s="146"/>
      <c r="BT39" s="146"/>
      <c r="BU39" s="146"/>
      <c r="BV39" s="146"/>
      <c r="BW39" s="146"/>
      <c r="BX39" s="146"/>
      <c r="BY39" s="146"/>
      <c r="BZ39" s="146"/>
      <c r="CA39" s="146"/>
      <c r="CB39" s="146"/>
      <c r="CC39" s="146"/>
      <c r="CD39" s="146"/>
      <c r="CE39" s="146"/>
      <c r="CF39" s="146"/>
      <c r="CG39" s="146"/>
      <c r="CH39" s="146"/>
      <c r="CI39" s="146"/>
      <c r="CJ39" s="146"/>
      <c r="CK39" s="146"/>
      <c r="CL39" s="146"/>
      <c r="CM39" s="146"/>
      <c r="CN39" s="146"/>
      <c r="CO39" s="146"/>
      <c r="CP39" s="146"/>
      <c r="CQ39" s="146"/>
      <c r="CR39" s="146"/>
      <c r="CS39" s="146"/>
      <c r="CT39" s="146"/>
      <c r="CU39" s="146"/>
      <c r="CV39" s="146"/>
      <c r="CW39" s="146"/>
      <c r="CX39" s="146"/>
      <c r="CY39" s="146"/>
      <c r="CZ39" s="146"/>
      <c r="DA39" s="146"/>
      <c r="DB39" s="146"/>
      <c r="DC39" s="146"/>
      <c r="DD39" s="146"/>
      <c r="DE39" s="146"/>
      <c r="DF39" s="146"/>
      <c r="DG39" s="146"/>
      <c r="DH39" s="146"/>
      <c r="DI39" s="146"/>
      <c r="DJ39" s="146"/>
    </row>
    <row r="40" spans="1:114" ht="12.75" hidden="1">
      <c r="A40" s="127" t="s">
        <v>365</v>
      </c>
      <c r="B40" s="131" t="s">
        <v>359</v>
      </c>
      <c r="C40" s="132"/>
      <c r="D40" s="140"/>
      <c r="E40" s="140" t="e">
        <f>[2]Financials!D49/(([2]Financials!D6+[2]Financials!C6)/2)</f>
        <v>#DIV/0!</v>
      </c>
      <c r="F40" s="140" t="e">
        <f>[2]Financials!E49/(([2]Financials!E6+[2]Financials!D6)/2)</f>
        <v>#DIV/0!</v>
      </c>
      <c r="G40" s="140" t="e">
        <f>[2]Financials!F49/(([2]Financials!F6+[2]Financials!E6)/2)</f>
        <v>#DIV/0!</v>
      </c>
      <c r="H40" s="140" t="e">
        <f>[2]Financials!G49/(([2]Financials!G6+[2]Financials!F6)/2)</f>
        <v>#DIV/0!</v>
      </c>
      <c r="I40" s="140" t="e">
        <f>[2]Financials!H49/(([2]Financials!H6+[2]Financials!G6)/2)</f>
        <v>#DIV/0!</v>
      </c>
      <c r="J40" s="140" t="e">
        <f>[2]Financials!I49/(([2]Financials!I6+[2]Financials!H6)/2)</f>
        <v>#DIV/0!</v>
      </c>
      <c r="K40" s="140">
        <f>[2]Financials!J49/(([2]Financials!J6+[2]Financials!I6)/2)</f>
        <v>0.16087593268900682</v>
      </c>
      <c r="L40" s="140">
        <f>[2]Financials!K49/(([2]Financials!K6+[2]Financials!J6)/2)</f>
        <v>0</v>
      </c>
      <c r="M40" s="140">
        <f>[2]Financials!L49/(([2]Financials!L6+[2]Financials!K6)/2)</f>
        <v>0</v>
      </c>
      <c r="N40" s="140">
        <f>[2]Financials!M49/(([2]Financials!M6+[2]Financials!L6)/2)</f>
        <v>0</v>
      </c>
      <c r="O40" s="140">
        <f>[2]Financials!N49/(([2]Financials!N6+[2]Financials!M6)/2)</f>
        <v>0</v>
      </c>
      <c r="P40" s="140">
        <f>[2]Financials!O49/(([2]Financials!O6+[2]Financials!N6)/2)</f>
        <v>2.5197760810146774E-4</v>
      </c>
      <c r="Q40" s="140">
        <f>[2]Financials!P49/(([2]Financials!P6+[2]Financials!O6)/2)</f>
        <v>2.5666927457752408E-4</v>
      </c>
      <c r="R40" s="140">
        <f>[2]Financials!Q49/(([2]Financials!Q6+[2]Financials!P6)/2)</f>
        <v>3.1081666530377594E-4</v>
      </c>
      <c r="S40" s="140">
        <f>[2]Financials!R49/(([2]Financials!R6+[2]Financials!Q6)/2)</f>
        <v>4.1461508368264693E-4</v>
      </c>
      <c r="T40" s="140">
        <f>[2]Financials!S49/(([2]Financials!S6+[2]Financials!R6)/2)</f>
        <v>4.1015637844801013E-4</v>
      </c>
      <c r="U40" s="140">
        <f>[2]Financials!T49/(([2]Financials!T6+[2]Financials!J6)/2)</f>
        <v>4.7457490499469839E-4</v>
      </c>
      <c r="V40" s="140">
        <f>[2]Financials!U49/(([2]Financials!U6+[2]Financials!T6)/2)</f>
        <v>5.6716825294570296E-4</v>
      </c>
      <c r="W40" s="140">
        <f>[2]Financials!V49/(([2]Financials!V6+[2]Financials!U6)/2)</f>
        <v>6.131848362913772E-4</v>
      </c>
      <c r="X40" s="140">
        <f>[2]Financials!W49/(([2]Financials!W6+[2]Financials!V6)/2)</f>
        <v>8.2057982974791291E-2</v>
      </c>
      <c r="Y40" s="140">
        <f>[2]Financials!X49/(([2]Financials!X6+[2]Financials!W6)/2)</f>
        <v>8.8316380931110385E-7</v>
      </c>
      <c r="Z40" s="140">
        <f>[2]Financials!Y49/(([2]Financials!Y6+[2]Financials!X6)/2)</f>
        <v>1.8029963256730226E-6</v>
      </c>
      <c r="AA40" s="140">
        <f>[2]Financials!Z49/(([2]Financials!Z6+[2]Financials!Y6)/2)</f>
        <v>4.4506357821309977E-6</v>
      </c>
      <c r="AB40" s="140">
        <f>[2]Financials!AA49/(([2]Financials!AA6+[2]Financials!Z6)/2)</f>
        <v>4.3306017448900911E-6</v>
      </c>
      <c r="AC40" s="140">
        <f>[2]Financials!AB49/(([2]Financials!AB6+[2]Financials!AA6)/2)</f>
        <v>4.5054252466768972E-3</v>
      </c>
      <c r="AD40" s="140">
        <f>[2]Financials!AC49/(([2]Financials!AC6+[2]Financials!AB6)/2)</f>
        <v>4.5122477274832937E-3</v>
      </c>
      <c r="AE40" s="140">
        <f>[2]Financials!AD49/(([2]Financials!AD6+[2]Financials!AC6)/2)</f>
        <v>4.5591069335522904E-3</v>
      </c>
      <c r="AF40" s="140">
        <f>[2]Financials!AE49/(([2]Financials!AE6+[2]Financials!AD6)/2)</f>
        <v>4.3903693090968301E-4</v>
      </c>
      <c r="AG40" s="140">
        <f>[2]Financials!AF49/(([2]Financials!AF6+[2]Financials!AE6)/2)</f>
        <v>4.3465694390977739E-4</v>
      </c>
      <c r="AH40" s="140">
        <f>[2]Financials!AG49/(([2]Financials!AG6+[2]Financials!AF6)/2)</f>
        <v>4.2720374292122462E-4</v>
      </c>
      <c r="AI40" s="140">
        <f>[2]Financials!AH49/(([2]Financials!AH6+[2]Financials!AG6)/2)</f>
        <v>4.1991106746301822E-4</v>
      </c>
      <c r="AJ40" s="140">
        <f>[2]Financials!AI49/(([2]Financials!AI6+[2]Financials!AH6)/2)</f>
        <v>4.1220333690743818E-4</v>
      </c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0"/>
      <c r="CD40" s="140"/>
      <c r="CE40" s="140"/>
      <c r="CF40" s="140"/>
      <c r="CG40" s="140"/>
      <c r="CH40" s="140"/>
      <c r="CI40" s="140"/>
      <c r="CJ40" s="140"/>
      <c r="CK40" s="140"/>
      <c r="CL40" s="140"/>
      <c r="CM40" s="140"/>
      <c r="CN40" s="140"/>
      <c r="CO40" s="140"/>
      <c r="CP40" s="140"/>
      <c r="CQ40" s="140"/>
      <c r="CR40" s="140"/>
      <c r="CS40" s="140"/>
      <c r="CT40" s="140"/>
      <c r="CU40" s="140"/>
      <c r="CV40" s="140"/>
      <c r="CW40" s="140"/>
      <c r="CX40" s="140"/>
      <c r="CY40" s="140"/>
      <c r="CZ40" s="140"/>
      <c r="DA40" s="140"/>
      <c r="DB40" s="140"/>
      <c r="DC40" s="140"/>
      <c r="DD40" s="140"/>
      <c r="DE40" s="140"/>
      <c r="DF40" s="140"/>
      <c r="DG40" s="140"/>
      <c r="DH40" s="140"/>
      <c r="DI40" s="140"/>
      <c r="DJ40" s="140"/>
    </row>
    <row r="41" spans="1:114" ht="12.75" hidden="1">
      <c r="A41" s="127" t="s">
        <v>366</v>
      </c>
      <c r="B41" s="131" t="s">
        <v>359</v>
      </c>
      <c r="C41" s="132"/>
      <c r="D41" s="140"/>
      <c r="E41" s="140" t="e">
        <f>[2]Financials!D50/(([2]Financials!D17+[2]Financials!C17)/2)</f>
        <v>#DIV/0!</v>
      </c>
      <c r="F41" s="140" t="e">
        <f>[2]Financials!E50/(([2]Financials!E17+[2]Financials!D17)/2)</f>
        <v>#DIV/0!</v>
      </c>
      <c r="G41" s="140" t="e">
        <f>[2]Financials!F50/(([2]Financials!F17+[2]Financials!E17)/2)</f>
        <v>#DIV/0!</v>
      </c>
      <c r="H41" s="140" t="e">
        <f>[2]Financials!G50/(([2]Financials!G17+[2]Financials!F17)/2)</f>
        <v>#DIV/0!</v>
      </c>
      <c r="I41" s="140" t="e">
        <f>[2]Financials!H50/(([2]Financials!H17+[2]Financials!G17)/2)</f>
        <v>#DIV/0!</v>
      </c>
      <c r="J41" s="140" t="e">
        <f>[2]Financials!I50/(([2]Financials!I17+[2]Financials!H17)/2)</f>
        <v>#DIV/0!</v>
      </c>
      <c r="K41" s="140">
        <f>[2]Financials!J50/(([2]Financials!J17+[2]Financials!I17)/2)</f>
        <v>0</v>
      </c>
      <c r="L41" s="140">
        <f>[2]Financials!K50/(([2]Financials!K17+[2]Financials!J17)/2)</f>
        <v>0</v>
      </c>
      <c r="M41" s="140">
        <f>[2]Financials!L50/(([2]Financials!L17+[2]Financials!K17)/2)</f>
        <v>0</v>
      </c>
      <c r="N41" s="140">
        <f>[2]Financials!M50/(([2]Financials!M17+[2]Financials!L17)/2)</f>
        <v>0</v>
      </c>
      <c r="O41" s="140">
        <f>[2]Financials!N50/(([2]Financials!N17+[2]Financials!M17)/2)</f>
        <v>0</v>
      </c>
      <c r="P41" s="140">
        <f>[2]Financials!O50/(([2]Financials!O17+[2]Financials!N17)/2)</f>
        <v>0</v>
      </c>
      <c r="Q41" s="140">
        <f>[2]Financials!P50/(([2]Financials!P17+[2]Financials!O17)/2)</f>
        <v>0</v>
      </c>
      <c r="R41" s="140">
        <f>[2]Financials!Q50/(([2]Financials!Q17+[2]Financials!P17)/2)</f>
        <v>0</v>
      </c>
      <c r="S41" s="140">
        <f>[2]Financials!R50/(([2]Financials!R17+[2]Financials!Q17)/2)</f>
        <v>0</v>
      </c>
      <c r="T41" s="140">
        <f>[2]Financials!S50/(([2]Financials!S17+[2]Financials!R17)/2)</f>
        <v>0</v>
      </c>
      <c r="U41" s="140">
        <f>[2]Financials!T50/(([2]Financials!T17+[2]Financials!J17)/2)</f>
        <v>0</v>
      </c>
      <c r="V41" s="140">
        <f>[2]Financials!U50/(([2]Financials!U17+[2]Financials!T17)/2)</f>
        <v>0</v>
      </c>
      <c r="W41" s="140">
        <f>[2]Financials!V50/(([2]Financials!V17+[2]Financials!U17)/2)</f>
        <v>0</v>
      </c>
      <c r="X41" s="140">
        <f>[2]Financials!W50/(([2]Financials!W17+[2]Financials!V17)/2)</f>
        <v>0.12103986393021934</v>
      </c>
      <c r="Y41" s="140">
        <f>[2]Financials!X50/(([2]Financials!X17+[2]Financials!W17)/2)</f>
        <v>0</v>
      </c>
      <c r="Z41" s="140">
        <f>[2]Financials!Y50/(([2]Financials!Y17+[2]Financials!X17)/2)</f>
        <v>0</v>
      </c>
      <c r="AA41" s="140">
        <f>[2]Financials!Z50/(([2]Financials!Z17+[2]Financials!Y17)/2)</f>
        <v>0</v>
      </c>
      <c r="AB41" s="140">
        <f>[2]Financials!AA50/(([2]Financials!AA17+[2]Financials!Z17)/2)</f>
        <v>0</v>
      </c>
      <c r="AC41" s="140">
        <f>[2]Financials!AB50/(([2]Financials!AB17+[2]Financials!AA17)/2)</f>
        <v>0</v>
      </c>
      <c r="AD41" s="140">
        <f>[2]Financials!AC50/(([2]Financials!AC17+[2]Financials!AB17)/2)</f>
        <v>0</v>
      </c>
      <c r="AE41" s="140">
        <f>[2]Financials!AD50/(([2]Financials!AD17+[2]Financials!AC17)/2)</f>
        <v>0</v>
      </c>
      <c r="AF41" s="140">
        <f>[2]Financials!AE50/(([2]Financials!AE17+[2]Financials!AD17)/2)</f>
        <v>0</v>
      </c>
      <c r="AG41" s="140">
        <f>[2]Financials!AF50/(([2]Financials!AF17+[2]Financials!AE17)/2)</f>
        <v>0</v>
      </c>
      <c r="AH41" s="140">
        <f>[2]Financials!AG50/(([2]Financials!AG17+[2]Financials!AF17)/2)</f>
        <v>0</v>
      </c>
      <c r="AI41" s="140">
        <f>[2]Financials!AH50/(([2]Financials!AH17+[2]Financials!AG17)/2)</f>
        <v>0</v>
      </c>
      <c r="AJ41" s="140">
        <f>[2]Financials!AI50/(([2]Financials!AI17+[2]Financials!AH17)/2)</f>
        <v>0</v>
      </c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0"/>
      <c r="BM41" s="140"/>
      <c r="BN41" s="140"/>
      <c r="BO41" s="140"/>
      <c r="BP41" s="140"/>
      <c r="BQ41" s="140"/>
      <c r="BR41" s="140"/>
      <c r="BS41" s="140"/>
      <c r="BT41" s="140"/>
      <c r="BU41" s="140"/>
      <c r="BV41" s="140"/>
      <c r="BW41" s="140"/>
      <c r="BX41" s="140"/>
      <c r="BY41" s="140"/>
      <c r="BZ41" s="140"/>
      <c r="CA41" s="140"/>
      <c r="CB41" s="140"/>
      <c r="CC41" s="140"/>
      <c r="CD41" s="140"/>
      <c r="CE41" s="140"/>
      <c r="CF41" s="140"/>
      <c r="CG41" s="140"/>
      <c r="CH41" s="140"/>
      <c r="CI41" s="140"/>
      <c r="CJ41" s="140"/>
      <c r="CK41" s="140"/>
      <c r="CL41" s="140"/>
      <c r="CM41" s="140"/>
      <c r="CN41" s="140"/>
      <c r="CO41" s="140"/>
      <c r="CP41" s="140"/>
      <c r="CQ41" s="140"/>
      <c r="CR41" s="140"/>
      <c r="CS41" s="140"/>
      <c r="CT41" s="140"/>
      <c r="CU41" s="140"/>
      <c r="CV41" s="140"/>
      <c r="CW41" s="140"/>
      <c r="CX41" s="140"/>
      <c r="CY41" s="140"/>
      <c r="CZ41" s="140"/>
      <c r="DA41" s="140"/>
      <c r="DB41" s="140"/>
      <c r="DC41" s="140"/>
      <c r="DD41" s="140"/>
      <c r="DE41" s="140"/>
      <c r="DF41" s="140"/>
      <c r="DG41" s="140"/>
      <c r="DH41" s="140"/>
      <c r="DI41" s="140"/>
      <c r="DJ41" s="140"/>
    </row>
    <row r="42" spans="1:114" ht="12.75" hidden="1">
      <c r="A42" s="127" t="s">
        <v>367</v>
      </c>
      <c r="B42" s="131" t="s">
        <v>359</v>
      </c>
      <c r="C42" s="132"/>
      <c r="D42" s="140"/>
      <c r="E42" s="140" t="e">
        <f>[2]Financials!D51/([2]Financials!D51+[2]Financials!C51)/2</f>
        <v>#DIV/0!</v>
      </c>
      <c r="F42" s="140" t="e">
        <f>[2]Financials!E51/([2]Financials!E51+[2]Financials!D51)/2</f>
        <v>#DIV/0!</v>
      </c>
      <c r="G42" s="140" t="e">
        <f>[2]Financials!F51/([2]Financials!F51+[2]Financials!E51)/2</f>
        <v>#DIV/0!</v>
      </c>
      <c r="H42" s="140" t="e">
        <f>[2]Financials!G51/([2]Financials!G51+[2]Financials!F51)/2</f>
        <v>#DIV/0!</v>
      </c>
      <c r="I42" s="140" t="e">
        <f>[2]Financials!H51/([2]Financials!H51+[2]Financials!G51)/2</f>
        <v>#DIV/0!</v>
      </c>
      <c r="J42" s="140" t="e">
        <f>[2]Financials!I51/([2]Financials!I51+[2]Financials!H51)/2</f>
        <v>#DIV/0!</v>
      </c>
      <c r="K42" s="140">
        <f>[2]Financials!J51/([2]Financials!J51+[2]Financials!I51)/2</f>
        <v>0.5</v>
      </c>
      <c r="L42" s="140">
        <f>[2]Financials!K51/([2]Financials!K51+[2]Financials!J51)/2</f>
        <v>0</v>
      </c>
      <c r="M42" s="140" t="e">
        <f>[2]Financials!L51/([2]Financials!L51+[2]Financials!K51)/2</f>
        <v>#DIV/0!</v>
      </c>
      <c r="N42" s="140" t="e">
        <f>[2]Financials!M51/([2]Financials!M51+[2]Financials!L51)/2</f>
        <v>#DIV/0!</v>
      </c>
      <c r="O42" s="140">
        <f>[2]Financials!N51/([2]Financials!N51+[2]Financials!M51)/2</f>
        <v>0.5</v>
      </c>
      <c r="P42" s="140">
        <f>[2]Financials!O51/([2]Financials!O51+[2]Financials!N51)/2</f>
        <v>0.39150453206167768</v>
      </c>
      <c r="Q42" s="140">
        <f>[2]Financials!P51/([2]Financials!P51+[2]Financials!O51)/2</f>
        <v>0.27677340492861846</v>
      </c>
      <c r="R42" s="140">
        <f>[2]Financials!Q51/([2]Financials!Q51+[2]Financials!P51)/2</f>
        <v>0.288882052071678</v>
      </c>
      <c r="S42" s="140">
        <f>[2]Financials!R51/([2]Financials!R51+[2]Financials!Q51)/2</f>
        <v>0.26931511724377466</v>
      </c>
      <c r="T42" s="140">
        <f>[2]Financials!S51/([2]Financials!S51+[2]Financials!R51)/2</f>
        <v>0.26257777665283716</v>
      </c>
      <c r="U42" s="140">
        <f>[2]Financials!T51/([2]Financials!T51+[2]Financials!J51)/2</f>
        <v>0.27615314259412976</v>
      </c>
      <c r="V42" s="140">
        <f>[2]Financials!U51/([2]Financials!U51+[2]Financials!T51)/2</f>
        <v>0.27678502747844119</v>
      </c>
      <c r="W42" s="140">
        <f>[2]Financials!V51/([2]Financials!V51+[2]Financials!U51)/2</f>
        <v>0.27385651961702673</v>
      </c>
      <c r="X42" s="140">
        <f>[2]Financials!W51/([2]Financials!W51+[2]Financials!V51)/2</f>
        <v>0.27337981659314092</v>
      </c>
      <c r="Y42" s="140">
        <f>[2]Financials!X51/([2]Financials!X51+[2]Financials!W51)/2</f>
        <v>6.0978855509488984E-2</v>
      </c>
      <c r="Z42" s="140">
        <f>[2]Financials!Y51/([2]Financials!Y51+[2]Financials!X51)/2</f>
        <v>0.34661635073570662</v>
      </c>
      <c r="AA42" s="140">
        <f>[2]Financials!Z51/([2]Financials!Z51+[2]Financials!Y51)/2</f>
        <v>0.31403985555232183</v>
      </c>
      <c r="AB42" s="140">
        <f>[2]Financials!AA51/([2]Financials!AA51+[2]Financials!Z51)/2</f>
        <v>0.28402157712535525</v>
      </c>
      <c r="AC42" s="140">
        <f>[2]Financials!AB51/([2]Financials!AB51+[2]Financials!AA51)/2</f>
        <v>0.2808908905158598</v>
      </c>
      <c r="AD42" s="140">
        <f>[2]Financials!AC51/([2]Financials!AC51+[2]Financials!AB51)/2</f>
        <v>0.26176429338687124</v>
      </c>
      <c r="AE42" s="140">
        <f>[2]Financials!AD51/([2]Financials!AD51+[2]Financials!AC51)/2</f>
        <v>0.25518785957912621</v>
      </c>
      <c r="AF42" s="140">
        <f>[2]Financials!AE51/([2]Financials!AE51+[2]Financials!AD51)/2</f>
        <v>0.25758360091242827</v>
      </c>
      <c r="AG42" s="140">
        <f>[2]Financials!AF51/([2]Financials!AF51+[2]Financials!AE51)/2</f>
        <v>0.26196934109507602</v>
      </c>
      <c r="AH42" s="140">
        <f>[2]Financials!AG51/([2]Financials!AG51+[2]Financials!AF51)/2</f>
        <v>0.25556079230534967</v>
      </c>
      <c r="AI42" s="140">
        <f>[2]Financials!AH51/([2]Financials!AH51+[2]Financials!AG51)/2</f>
        <v>0.25488859147543103</v>
      </c>
      <c r="AJ42" s="140">
        <f>[2]Financials!AI51/([2]Financials!AI51+[2]Financials!AH51)/2</f>
        <v>0.25910486262111276</v>
      </c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40"/>
      <c r="BI42" s="140"/>
      <c r="BJ42" s="140"/>
      <c r="BK42" s="140"/>
      <c r="BL42" s="140"/>
      <c r="BM42" s="140"/>
      <c r="BN42" s="140"/>
      <c r="BO42" s="140"/>
      <c r="BP42" s="140"/>
      <c r="BQ42" s="140"/>
      <c r="BR42" s="140"/>
      <c r="BS42" s="140"/>
      <c r="BT42" s="140"/>
      <c r="BU42" s="140"/>
      <c r="BV42" s="140"/>
      <c r="BW42" s="140"/>
      <c r="BX42" s="140"/>
      <c r="BY42" s="140"/>
      <c r="BZ42" s="140"/>
      <c r="CA42" s="140"/>
      <c r="CB42" s="140"/>
      <c r="CC42" s="140"/>
      <c r="CD42" s="140"/>
      <c r="CE42" s="140"/>
      <c r="CF42" s="140"/>
      <c r="CG42" s="140"/>
      <c r="CH42" s="140"/>
      <c r="CI42" s="140"/>
      <c r="CJ42" s="140"/>
      <c r="CK42" s="140"/>
      <c r="CL42" s="140"/>
      <c r="CM42" s="140"/>
      <c r="CN42" s="140"/>
      <c r="CO42" s="140"/>
      <c r="CP42" s="140"/>
      <c r="CQ42" s="140"/>
      <c r="CR42" s="140"/>
      <c r="CS42" s="140"/>
      <c r="CT42" s="140"/>
      <c r="CU42" s="140"/>
      <c r="CV42" s="140"/>
      <c r="CW42" s="140"/>
      <c r="CX42" s="140"/>
      <c r="CY42" s="140"/>
      <c r="CZ42" s="140"/>
      <c r="DA42" s="140"/>
      <c r="DB42" s="140"/>
      <c r="DC42" s="140"/>
      <c r="DD42" s="140"/>
      <c r="DE42" s="140"/>
      <c r="DF42" s="140"/>
      <c r="DG42" s="140"/>
      <c r="DH42" s="140"/>
      <c r="DI42" s="140"/>
      <c r="DJ42" s="140"/>
    </row>
    <row r="43" spans="1:114" ht="12.75" hidden="1">
      <c r="A43" s="127" t="s">
        <v>245</v>
      </c>
      <c r="B43" s="131" t="s">
        <v>359</v>
      </c>
      <c r="C43" s="132"/>
      <c r="D43" s="140"/>
      <c r="E43" s="140" t="e">
        <f>([2]Financials!D53+[2]Financials!D54)/(([2]Financials!D5+[2]Financials!C5)/2)</f>
        <v>#DIV/0!</v>
      </c>
      <c r="F43" s="140" t="e">
        <f>([2]Financials!E53+[2]Financials!E54)/(([2]Financials!E5+[2]Financials!D5)/2)</f>
        <v>#DIV/0!</v>
      </c>
      <c r="G43" s="140" t="e">
        <f>([2]Financials!F53+[2]Financials!F54)/(([2]Financials!F5+[2]Financials!E5)/2)</f>
        <v>#DIV/0!</v>
      </c>
      <c r="H43" s="140" t="e">
        <f>([2]Financials!G53+[2]Financials!G54)/(([2]Financials!G5+[2]Financials!F5)/2)</f>
        <v>#DIV/0!</v>
      </c>
      <c r="I43" s="140" t="e">
        <f>([2]Financials!H53+[2]Financials!H54)/(([2]Financials!H5+[2]Financials!G5)/2)</f>
        <v>#DIV/0!</v>
      </c>
      <c r="J43" s="140" t="e">
        <f>([2]Financials!I53+[2]Financials!I54)/(([2]Financials!I5+[2]Financials!H5)/2)</f>
        <v>#DIV/0!</v>
      </c>
      <c r="K43" s="140">
        <f>([2]Financials!J53+[2]Financials!J54)/(([2]Financials!J5+[2]Financials!I5)/2)</f>
        <v>4.4148878199829093E-2</v>
      </c>
      <c r="L43" s="140">
        <f>([2]Financials!K53+[2]Financials!K54)/(([2]Financials!K5+[2]Financials!J5)/2)</f>
        <v>2.1044525150265424E-3</v>
      </c>
      <c r="M43" s="140">
        <f>([2]Financials!L53+[2]Financials!L54)/(([2]Financials!L5+[2]Financials!K5)/2)</f>
        <v>3.5979928555399071E-3</v>
      </c>
      <c r="N43" s="140">
        <f>([2]Financials!M53+[2]Financials!M54)/(([2]Financials!M5+[2]Financials!L5)/2)</f>
        <v>5.0753365780652187E-3</v>
      </c>
      <c r="O43" s="140">
        <f>([2]Financials!N53+[2]Financials!N54)/(([2]Financials!N5+[2]Financials!M5)/2)</f>
        <v>8.7001972924286609E-3</v>
      </c>
      <c r="P43" s="140">
        <f>([2]Financials!O53+[2]Financials!O54)/(([2]Financials!O5+[2]Financials!N5)/2)</f>
        <v>9.9201952647050319E-3</v>
      </c>
      <c r="Q43" s="140">
        <f>([2]Financials!P53+[2]Financials!P54)/(([2]Financials!P5+[2]Financials!O5)/2)</f>
        <v>1.115819993037691E-2</v>
      </c>
      <c r="R43" s="140">
        <f>([2]Financials!Q53+[2]Financials!Q54)/(([2]Financials!Q5+[2]Financials!P5)/2)</f>
        <v>1.2500436508417442E-2</v>
      </c>
      <c r="S43" s="140">
        <f>([2]Financials!R53+[2]Financials!R54)/(([2]Financials!R5+[2]Financials!Q5)/2)</f>
        <v>1.406928690072924E-2</v>
      </c>
      <c r="T43" s="140">
        <f>([2]Financials!S53+[2]Financials!S54)/(([2]Financials!S5+[2]Financials!R5)/2)</f>
        <v>1.559063284261464E-2</v>
      </c>
      <c r="U43" s="140">
        <f>([2]Financials!T53+[2]Financials!T54)/(([2]Financials!T5+[2]Financials!J5)/2)</f>
        <v>1.9185357177584482E-2</v>
      </c>
      <c r="V43" s="140">
        <f>([2]Financials!U53+[2]Financials!U54)/(([2]Financials!U5+[2]Financials!T5)/2)</f>
        <v>1.7949542633925765E-2</v>
      </c>
      <c r="W43" s="140">
        <f>([2]Financials!V53+[2]Financials!V54)/(([2]Financials!V5+[2]Financials!U5)/2)</f>
        <v>1.7612628679775467E-2</v>
      </c>
      <c r="X43" s="140">
        <f>([2]Financials!W53+[2]Financials!W54)/(([2]Financials!W5+[2]Financials!V5)/2)</f>
        <v>2.7545176108931004E-2</v>
      </c>
      <c r="Y43" s="140">
        <f>([2]Financials!X53+[2]Financials!X54)/(([2]Financials!X5+[2]Financials!W5)/2)</f>
        <v>4.4319074300102268E-4</v>
      </c>
      <c r="Z43" s="140">
        <f>([2]Financials!Y53+[2]Financials!Y54)/(([2]Financials!Y5+[2]Financials!X5)/2)</f>
        <v>3.3788458683326676E-3</v>
      </c>
      <c r="AA43" s="140">
        <f>([2]Financials!Z53+[2]Financials!Z54)/(([2]Financials!Z5+[2]Financials!Y5)/2)</f>
        <v>8.5217815203069737E-3</v>
      </c>
      <c r="AB43" s="140">
        <f>([2]Financials!AA53+[2]Financials!AA54)/(([2]Financials!AA5+[2]Financials!Z5)/2)</f>
        <v>8.4611894360333752E-3</v>
      </c>
      <c r="AC43" s="140">
        <f>([2]Financials!AB53+[2]Financials!AB54)/(([2]Financials!AB5+[2]Financials!AA5)/2)</f>
        <v>1.1563190237505381E-2</v>
      </c>
      <c r="AD43" s="140">
        <f>([2]Financials!AC53+[2]Financials!AC54)/(([2]Financials!AC5+[2]Financials!AB5)/2)</f>
        <v>1.259325622422818E-2</v>
      </c>
      <c r="AE43" s="140">
        <f>([2]Financials!AD53+[2]Financials!AD54)/(([2]Financials!AD5+[2]Financials!AC5)/2)</f>
        <v>1.3935436917951859E-2</v>
      </c>
      <c r="AF43" s="140">
        <f>([2]Financials!AE53+[2]Financials!AE54)/(([2]Financials!AE5+[2]Financials!AD5)/2)</f>
        <v>1.4754380235174796E-2</v>
      </c>
      <c r="AG43" s="140">
        <f>([2]Financials!AF53+[2]Financials!AF54)/(([2]Financials!AF5+[2]Financials!AE5)/2)</f>
        <v>1.3952379919355037E-2</v>
      </c>
      <c r="AH43" s="140">
        <f>([2]Financials!AG53+[2]Financials!AG54)/(([2]Financials!AG5+[2]Financials!AF5)/2)</f>
        <v>1.5702712596882849E-2</v>
      </c>
      <c r="AI43" s="140">
        <f>([2]Financials!AH53+[2]Financials!AH54)/(([2]Financials!AH5+[2]Financials!AG5)/2)</f>
        <v>1.7188899457122535E-2</v>
      </c>
      <c r="AJ43" s="140">
        <f>([2]Financials!AI53+[2]Financials!AI54)/(([2]Financials!AI5+[2]Financials!AH5)/2)</f>
        <v>1.7659802615608403E-2</v>
      </c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  <c r="DJ43" s="140"/>
    </row>
    <row r="44" spans="1:114" ht="12.75" hidden="1">
      <c r="A44" s="127" t="s">
        <v>247</v>
      </c>
      <c r="B44" s="131" t="s">
        <v>359</v>
      </c>
      <c r="C44" s="132"/>
      <c r="D44" s="140"/>
      <c r="E44" s="140" t="e">
        <f>([2]Financials!D42+[2]Financials!C42)/[2]Financials!D30</f>
        <v>#DIV/0!</v>
      </c>
      <c r="F44" s="140" t="e">
        <f>([2]Financials!E42+[2]Financials!D42)/[2]Financials!E30</f>
        <v>#DIV/0!</v>
      </c>
      <c r="G44" s="140" t="e">
        <f>([2]Financials!F42+[2]Financials!E42)/[2]Financials!F30</f>
        <v>#DIV/0!</v>
      </c>
      <c r="H44" s="140" t="e">
        <f>([2]Financials!G42+[2]Financials!F42)/[2]Financials!G30</f>
        <v>#DIV/0!</v>
      </c>
      <c r="I44" s="140" t="e">
        <f>([2]Financials!H42+[2]Financials!G42)/[2]Financials!H30</f>
        <v>#DIV/0!</v>
      </c>
      <c r="J44" s="140" t="e">
        <f>([2]Financials!I42+[2]Financials!H42)/[2]Financials!I30</f>
        <v>#DIV/0!</v>
      </c>
      <c r="K44" s="140">
        <f>([2]Financials!J42+[2]Financials!I42)/[2]Financials!J30</f>
        <v>0.15685882636158255</v>
      </c>
      <c r="L44" s="140">
        <f>([2]Financials!K42+[2]Financials!J42)/[2]Financials!K30</f>
        <v>0.16264760466233763</v>
      </c>
      <c r="M44" s="140">
        <f>([2]Financials!L42+[2]Financials!K42)/[2]Financials!L30</f>
        <v>4.2141160632226497E-2</v>
      </c>
      <c r="N44" s="140">
        <f>([2]Financials!M42+[2]Financials!L42)/[2]Financials!M30</f>
        <v>6.788252174617565E-2</v>
      </c>
      <c r="O44" s="140">
        <f>([2]Financials!N42+[2]Financials!M42)/[2]Financials!N30</f>
        <v>9.355830354612911E-2</v>
      </c>
      <c r="P44" s="140">
        <f>([2]Financials!O42+[2]Financials!N42)/[2]Financials!O30</f>
        <v>0.11967387899290378</v>
      </c>
      <c r="Q44" s="140">
        <f>([2]Financials!P42+[2]Financials!O42)/[2]Financials!P30</f>
        <v>0.1490369305956544</v>
      </c>
      <c r="R44" s="140">
        <f>([2]Financials!Q42+[2]Financials!P42)/[2]Financials!Q30</f>
        <v>0.17720722871050465</v>
      </c>
      <c r="S44" s="140">
        <f>([2]Financials!R42+[2]Financials!Q42)/[2]Financials!R30</f>
        <v>0.19994172463541804</v>
      </c>
      <c r="T44" s="140">
        <f>([2]Financials!S42+[2]Financials!R42)/[2]Financials!S30</f>
        <v>0.22496629795044937</v>
      </c>
      <c r="U44" s="140">
        <f>([2]Financials!T42+[2]Financials!J42)/[2]Financials!T30</f>
        <v>0.2545801759994481</v>
      </c>
      <c r="V44" s="140">
        <f>([2]Financials!U42+[2]Financials!T42)/[2]Financials!U30</f>
        <v>0.27179165151819273</v>
      </c>
      <c r="W44" s="140">
        <f>([2]Financials!V42+[2]Financials!U42)/[2]Financials!V30</f>
        <v>0.29578594860015878</v>
      </c>
      <c r="X44" s="140">
        <f>([2]Financials!W42+[2]Financials!V42)/[2]Financials!W30</f>
        <v>0.31027963931829577</v>
      </c>
      <c r="Y44" s="140">
        <f>([2]Financials!X42+[2]Financials!W42)/[2]Financials!X30</f>
        <v>0.16462452072475053</v>
      </c>
      <c r="Z44" s="140">
        <f>([2]Financials!Y42+[2]Financials!X42)/[2]Financials!Y30</f>
        <v>4.4123193838037825E-2</v>
      </c>
      <c r="AA44" s="140">
        <f>([2]Financials!Z42+[2]Financials!Y42)/[2]Financials!Z30</f>
        <v>6.8098922217974561E-2</v>
      </c>
      <c r="AB44" s="140">
        <f>([2]Financials!AA42+[2]Financials!Z42)/[2]Financials!AA30</f>
        <v>0.10269270760489818</v>
      </c>
      <c r="AC44" s="140">
        <f>([2]Financials!AB42+[2]Financials!AA42)/[2]Financials!AB30</f>
        <v>0.14076881835743926</v>
      </c>
      <c r="AD44" s="140">
        <f>([2]Financials!AC42+[2]Financials!AB42)/[2]Financials!AC30</f>
        <v>0.16773488832353309</v>
      </c>
      <c r="AE44" s="140">
        <f>([2]Financials!AD42+[2]Financials!AC42)/[2]Financials!AD30</f>
        <v>0.19693256077362842</v>
      </c>
      <c r="AF44" s="140">
        <f>([2]Financials!AE42+[2]Financials!AD42)/[2]Financials!AE30</f>
        <v>0.22474045939576182</v>
      </c>
      <c r="AG44" s="140">
        <f>([2]Financials!AF42+[2]Financials!AE42)/[2]Financials!AF30</f>
        <v>0.2498442007727476</v>
      </c>
      <c r="AH44" s="140">
        <f>([2]Financials!AG42+[2]Financials!AF42)/[2]Financials!AG30</f>
        <v>0.27487726729304846</v>
      </c>
      <c r="AI44" s="140">
        <f>([2]Financials!AH42+[2]Financials!AG42)/[2]Financials!AH30</f>
        <v>0.30234722746234183</v>
      </c>
      <c r="AJ44" s="140">
        <f>([2]Financials!AI42+[2]Financials!AH42)/[2]Financials!AI30</f>
        <v>0.3279321397440762</v>
      </c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  <c r="CC44" s="140"/>
      <c r="CD44" s="140"/>
      <c r="CE44" s="140"/>
      <c r="CF44" s="140"/>
      <c r="CG44" s="140"/>
      <c r="CH44" s="140"/>
      <c r="CI44" s="140"/>
      <c r="CJ44" s="140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40"/>
      <c r="DF44" s="140"/>
      <c r="DG44" s="140"/>
      <c r="DH44" s="140"/>
      <c r="DI44" s="140"/>
      <c r="DJ44" s="140"/>
    </row>
    <row r="45" spans="1:114" ht="12.75" hidden="1">
      <c r="A45" s="145"/>
      <c r="B45" s="139"/>
      <c r="C45" s="132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  <c r="BE45" s="147"/>
      <c r="BF45" s="147"/>
      <c r="BG45" s="147"/>
      <c r="BH45" s="14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7"/>
      <c r="BV45" s="147"/>
      <c r="BW45" s="147"/>
      <c r="BX45" s="147"/>
      <c r="BY45" s="147"/>
      <c r="BZ45" s="147"/>
      <c r="CA45" s="147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47"/>
      <c r="DB45" s="147"/>
      <c r="DC45" s="147"/>
      <c r="DD45" s="147"/>
      <c r="DE45" s="147"/>
      <c r="DF45" s="147"/>
      <c r="DG45" s="147"/>
      <c r="DH45" s="147"/>
      <c r="DI45" s="147"/>
      <c r="DJ45" s="147"/>
    </row>
    <row r="46" spans="1:114" ht="12.75">
      <c r="A46" s="145" t="s">
        <v>368</v>
      </c>
      <c r="B46" s="139"/>
      <c r="C46" s="132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</row>
    <row r="47" spans="1:114" ht="12.75">
      <c r="A47" s="127" t="s">
        <v>369</v>
      </c>
      <c r="B47" s="149">
        <v>0.15</v>
      </c>
      <c r="C47" s="123">
        <v>13.2</v>
      </c>
      <c r="D47" s="140" t="e">
        <f>([2]Financials!C36-[2]Financials!C10)/[2]Financials!C6</f>
        <v>#DIV/0!</v>
      </c>
      <c r="E47" s="140" t="e">
        <f>([2]Financials!D36-[2]Financials!D10)/[2]Financials!D6</f>
        <v>#DIV/0!</v>
      </c>
      <c r="F47" s="140" t="e">
        <f>([2]Financials!E36-[2]Financials!E10)/[2]Financials!E6</f>
        <v>#DIV/0!</v>
      </c>
      <c r="G47" s="140" t="e">
        <f>([2]Financials!F36-[2]Financials!F10)/[2]Financials!F6</f>
        <v>#DIV/0!</v>
      </c>
      <c r="H47" s="140" t="e">
        <f>([2]Financials!G36-[2]Financials!G10)/[2]Financials!G6</f>
        <v>#DIV/0!</v>
      </c>
      <c r="I47" s="140" t="e">
        <f>([2]Financials!H36-[2]Financials!H10)/[2]Financials!H6</f>
        <v>#DIV/0!</v>
      </c>
      <c r="J47" s="140" t="e">
        <f>([2]Financials!I36-[2]Financials!I10)/[2]Financials!I6</f>
        <v>#DIV/0!</v>
      </c>
      <c r="K47" s="140">
        <f>([2]Financials!J36-[2]Financials!J10)/[2]Financials!J6</f>
        <v>-9.5377470656005311E-2</v>
      </c>
      <c r="L47" s="140">
        <f>([2]Financials!K36-[2]Financials!K10)/[2]Financials!K6</f>
        <v>-3.6274471563658896E-3</v>
      </c>
      <c r="M47" s="140">
        <f>([2]Financials!L36-[2]Financials!L10)/[2]Financials!L6</f>
        <v>-1.6823878274407497E-2</v>
      </c>
      <c r="N47" s="140">
        <f>([2]Financials!M36-[2]Financials!M10)/[2]Financials!M6</f>
        <v>1.9767192539899649E-2</v>
      </c>
      <c r="O47" s="140">
        <f>([2]Financials!N36-[2]Financials!N10)/[2]Financials!N6</f>
        <v>1.5074013821922697E-2</v>
      </c>
      <c r="P47" s="140">
        <f>([2]Financials!O36-[2]Financials!O10)/[2]Financials!O6</f>
        <v>-2.1802367633129031E-2</v>
      </c>
      <c r="Q47" s="140">
        <f>([2]Financials!P36-[2]Financials!P10)/[2]Financials!P6</f>
        <v>-1.8090866641624889E-2</v>
      </c>
      <c r="R47" s="140">
        <f>([2]Financials!Q36-[2]Financials!Q10)/[2]Financials!Q6</f>
        <v>-1.5382716172303426E-2</v>
      </c>
      <c r="S47" s="140">
        <f>([2]Financials!R36-[2]Financials!R10)/[2]Financials!R6</f>
        <v>2.9038416151020135E-3</v>
      </c>
      <c r="T47" s="140">
        <f>([2]Financials!S36-[2]Financials!S10)/[2]Financials!S6</f>
        <v>-1.5418828391860439E-2</v>
      </c>
      <c r="U47" s="140">
        <f>([2]Financials!T36-[2]Financials!T10)/[2]Financials!T6</f>
        <v>-1.0637643301773195E-3</v>
      </c>
      <c r="V47" s="140">
        <f>([2]Financials!U36-[2]Financials!U10)/[2]Financials!U6</f>
        <v>-1.9308338957850543E-2</v>
      </c>
      <c r="W47" s="140">
        <f>([2]Financials!V36-[2]Financials!V10)/[2]Financials!V6</f>
        <v>5.9543719196870924E-2</v>
      </c>
      <c r="X47" s="140">
        <f>([2]Financials!W36-[2]Financials!W10)/[2]Financials!W6</f>
        <v>-3.3882064848842125E-2</v>
      </c>
      <c r="Y47" s="140">
        <f>([2]Financials!X36-[2]Financials!X10)/[2]Financials!X6</f>
        <v>-8.8287959764856046E-3</v>
      </c>
      <c r="Z47" s="140">
        <f>([2]Financials!Y36-[2]Financials!Y10)/[2]Financials!Y6</f>
        <v>-4.0430847679361767E-2</v>
      </c>
      <c r="AA47" s="140">
        <f>([2]Financials!Z36-[2]Financials!Z10)/[2]Financials!Z6</f>
        <v>-8.3732587226977795E-2</v>
      </c>
      <c r="AB47" s="140">
        <f>([2]Financials!AA36-[2]Financials!AA10)/[2]Financials!AA6</f>
        <v>-2.0450665219033833E-2</v>
      </c>
      <c r="AC47" s="140">
        <f>([2]Financials!AB36-[2]Financials!AB10)/[2]Financials!AB6</f>
        <v>-2.43127099806036E-2</v>
      </c>
      <c r="AD47" s="140">
        <f>([2]Financials!AC36-[2]Financials!AC10)/[2]Financials!AC6</f>
        <v>7.4503586871035754E-2</v>
      </c>
      <c r="AE47" s="140">
        <f>([2]Financials!AD36-[2]Financials!AD10)/[2]Financials!AD6</f>
        <v>2.46688909724968E-3</v>
      </c>
      <c r="AF47" s="140">
        <f>([2]Financials!AE36-[2]Financials!AE10)/[2]Financials!AE6</f>
        <v>3.3165497491860228E-2</v>
      </c>
      <c r="AG47" s="140">
        <f>([2]Financials!AF36-[2]Financials!AF10)/[2]Financials!AF6</f>
        <v>1.8744383201538352E-2</v>
      </c>
      <c r="AH47" s="140">
        <f>([2]Financials!AG36-[2]Financials!AG10)/[2]Financials!AG6</f>
        <v>1.2839230572720357E-2</v>
      </c>
      <c r="AI47" s="140">
        <f>([2]Financials!AH36-[2]Financials!AH10)/[2]Financials!AH6</f>
        <v>-7.1115920774982569E-3</v>
      </c>
      <c r="AJ47" s="140">
        <f>([2]Financials!AI36-[2]Financials!AI10)/[2]Financials!AI6</f>
        <v>8.4969887200497793E-2</v>
      </c>
      <c r="AK47" s="205" t="e">
        <f>(Financials!D36-Financials!D9)/Financials!D5</f>
        <v>#REF!</v>
      </c>
      <c r="AL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M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N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O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P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Q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R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S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T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U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V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W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X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Y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AZ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A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B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C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D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E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F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G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H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I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J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K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L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M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N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O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P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Q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R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S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T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U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V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W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X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Y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BZ47" s="266">
        <f>('Evolutive SFP'!BV4+'Evolutive SFP'!BV11)/('Evolutive SFP'!BV28+'Evolutive SFP'!BV29+'Evolutive SFP'!BV32+'Evolutive SFP'!BV33+'Evolutive SFP'!BV34+'Evolutive SFP'!BV35+'Evolutive SFP'!BV36)</f>
        <v>0.11889363730590846</v>
      </c>
      <c r="CA47" s="266">
        <f>('Evolutive SFP'!BW4+'Evolutive SFP'!BW11)/('Evolutive SFP'!BW28+'Evolutive SFP'!BW29+'Evolutive SFP'!BW32+'Evolutive SFP'!BW33+'Evolutive SFP'!BW34+'Evolutive SFP'!BW35+'Evolutive SFP'!BW36)</f>
        <v>0.36750771569918117</v>
      </c>
      <c r="CB47" s="266">
        <f>('Evolutive SFP'!BX4+'Evolutive SFP'!BX11)/('Evolutive SFP'!BX28+'Evolutive SFP'!BX29+'Evolutive SFP'!BX32+'Evolutive SFP'!BX33+'Evolutive SFP'!BX34+'Evolutive SFP'!BX35+'Evolutive SFP'!BX36)</f>
        <v>0.36711337316195641</v>
      </c>
      <c r="CC47" s="266">
        <f>('Evolutive SFP'!BY4+'Evolutive SFP'!BY11)/('Evolutive SFP'!BY28+'Evolutive SFP'!BY29+'Evolutive SFP'!BY32+'Evolutive SFP'!BY33+'Evolutive SFP'!BY34+'Evolutive SFP'!BY35+'Evolutive SFP'!BY36)</f>
        <v>0.3938174260886495</v>
      </c>
      <c r="CD47" s="266">
        <f>('Evolutive SFP'!BZ4+'Evolutive SFP'!BZ11)/('Evolutive SFP'!BZ28+'Evolutive SFP'!BZ29+'Evolutive SFP'!BZ32+'Evolutive SFP'!BZ33+'Evolutive SFP'!BZ34+'Evolutive SFP'!BZ35+'Evolutive SFP'!BZ36)</f>
        <v>1.0277813867629577</v>
      </c>
      <c r="CE47" s="266">
        <f>('Evolutive SFP'!CA4+'Evolutive SFP'!CA11)/('Evolutive SFP'!CA28+'Evolutive SFP'!CA29+'Evolutive SFP'!CA32+'Evolutive SFP'!CA33+'Evolutive SFP'!CA34+'Evolutive SFP'!CA35+'Evolutive SFP'!CA36)</f>
        <v>0.75490155113679192</v>
      </c>
      <c r="CF47" s="266">
        <f>('Evolutive SFP'!CB4+'Evolutive SFP'!CB11)/('Evolutive SFP'!CB28+'Evolutive SFP'!CB29+'Evolutive SFP'!CB32+'Evolutive SFP'!CB33+'Evolutive SFP'!CB34+'Evolutive SFP'!CB35+'Evolutive SFP'!CB36)</f>
        <v>1.0162314994958404</v>
      </c>
      <c r="CG47" s="266" t="e">
        <f>('Evolutive SFP'!#REF!+'Evolutive SFP'!#REF!)/('Evolutive SFP'!#REF!+'Evolutive SFP'!#REF!+'Evolutive SFP'!#REF!+'Evolutive SFP'!#REF!+'Evolutive SFP'!#REF!+'Evolutive SFP'!#REF!+'Evolutive SFP'!#REF!)</f>
        <v>#REF!</v>
      </c>
      <c r="CH47" s="266">
        <f>('Evolutive SFP'!CC4+'Evolutive SFP'!CC11)/('Evolutive SFP'!CC28+'Evolutive SFP'!CC29+'Evolutive SFP'!CC32+'Evolutive SFP'!CC33+'Evolutive SFP'!CC34+'Evolutive SFP'!CC35+'Evolutive SFP'!CC36)</f>
        <v>0.62353392601218915</v>
      </c>
      <c r="CI47" s="266">
        <f>('Evolutive SFP'!CD4+'Evolutive SFP'!CD11)/('Evolutive SFP'!CD28+'Evolutive SFP'!CD29+'Evolutive SFP'!CD32+'Evolutive SFP'!CD33+'Evolutive SFP'!CD34+'Evolutive SFP'!CD35+'Evolutive SFP'!CD36)</f>
        <v>0.75818837617532242</v>
      </c>
      <c r="CJ47" s="266">
        <f>('Evolutive SFP'!CE4+'Evolutive SFP'!CE11)/('Evolutive SFP'!CE28+'Evolutive SFP'!CE29+'Evolutive SFP'!CE32+'Evolutive SFP'!CE33+'Evolutive SFP'!CE34+'Evolutive SFP'!CE35+'Evolutive SFP'!CE36)</f>
        <v>0.5028435062761798</v>
      </c>
      <c r="CK47" s="266">
        <f>('Evolutive SFP'!CF4+'Evolutive SFP'!CF11)/('Evolutive SFP'!CF28+'Evolutive SFP'!CF29+'Evolutive SFP'!CF32+'Evolutive SFP'!CF33+'Evolutive SFP'!CF34+'Evolutive SFP'!CF35+'Evolutive SFP'!CF36)</f>
        <v>0.21041418088944006</v>
      </c>
      <c r="CL47" s="266">
        <f>('Evolutive SFP'!CG4+'Evolutive SFP'!CG11)/('Evolutive SFP'!CG28+'Evolutive SFP'!CG29+'Evolutive SFP'!CG32+'Evolutive SFP'!CG33+'Evolutive SFP'!CG34+'Evolutive SFP'!CG35+'Evolutive SFP'!CG36)</f>
        <v>0.34403043299992692</v>
      </c>
      <c r="CM47" s="266">
        <f>('Evolutive SFP'!CH4+'Evolutive SFP'!CH11)/('Evolutive SFP'!CH28+'Evolutive SFP'!CH29+'Evolutive SFP'!CH32+'Evolutive SFP'!CH33+'Evolutive SFP'!CH34+'Evolutive SFP'!CH35+'Evolutive SFP'!CH36)</f>
        <v>0.33726757515440192</v>
      </c>
      <c r="CN47" s="266">
        <f>('Evolutive SFP'!CI4+'Evolutive SFP'!CI11)/('Evolutive SFP'!CI28+'Evolutive SFP'!CI29+'Evolutive SFP'!CI32+'Evolutive SFP'!CI33+'Evolutive SFP'!CI34+'Evolutive SFP'!CI35+'Evolutive SFP'!CI36)</f>
        <v>0.16557582224982179</v>
      </c>
      <c r="CO47" s="266">
        <f>('Evolutive SFP'!CJ4+'Evolutive SFP'!CJ11)/('Evolutive SFP'!CJ28+'Evolutive SFP'!CJ29+'Evolutive SFP'!CJ32+'Evolutive SFP'!CJ33+'Evolutive SFP'!CJ34+'Evolutive SFP'!CJ35+'Evolutive SFP'!CJ36)</f>
        <v>0.36412943774627998</v>
      </c>
      <c r="CP47" s="266">
        <f>('Evolutive SFP'!CK4+'Evolutive SFP'!CK11)/('Evolutive SFP'!CK28+'Evolutive SFP'!CK29+'Evolutive SFP'!CK32+'Evolutive SFP'!CK33+'Evolutive SFP'!CK34+'Evolutive SFP'!CK35+'Evolutive SFP'!CK36)</f>
        <v>0.45925829652959921</v>
      </c>
      <c r="CQ47" s="266">
        <f>('Evolutive SFP'!CL4+'Evolutive SFP'!CL11)/('Evolutive SFP'!CL28+'Evolutive SFP'!CL29+'Evolutive SFP'!CL32+'Evolutive SFP'!CL33+'Evolutive SFP'!CL34+'Evolutive SFP'!CL35+'Evolutive SFP'!CL36)</f>
        <v>0.63325503356386692</v>
      </c>
      <c r="CR47" s="266">
        <f>('Evolutive SFP'!CM4+'Evolutive SFP'!CM11)/('Evolutive SFP'!CM28+'Evolutive SFP'!CM29+'Evolutive SFP'!CM32+'Evolutive SFP'!CM33+'Evolutive SFP'!CM34+'Evolutive SFP'!CM35+'Evolutive SFP'!CM36)</f>
        <v>0.61136125250353679</v>
      </c>
      <c r="CS47" s="266">
        <f>('Evolutive SFP'!CN4+'Evolutive SFP'!CN11)/('Evolutive SFP'!CN28+'Evolutive SFP'!CN29+'Evolutive SFP'!CN32+'Evolutive SFP'!CN33+'Evolutive SFP'!CN34+'Evolutive SFP'!CN35+'Evolutive SFP'!CN36)</f>
        <v>0.54644697029428735</v>
      </c>
      <c r="CT47" s="266">
        <f>('Evolutive SFP'!CO4+'Evolutive SFP'!CO11)/('Evolutive SFP'!CO28+'Evolutive SFP'!CO29+'Evolutive SFP'!CO32+'Evolutive SFP'!CO33+'Evolutive SFP'!CO34+'Evolutive SFP'!CO35+'Evolutive SFP'!CO36)</f>
        <v>0.63253008557661139</v>
      </c>
      <c r="CU47" s="266">
        <f>('Evolutive SFP'!CP4+'Evolutive SFP'!CP11)/('Evolutive SFP'!CP28+'Evolutive SFP'!CP29+'Evolutive SFP'!CP32+'Evolutive SFP'!CP33+'Evolutive SFP'!CP34+'Evolutive SFP'!CP35+'Evolutive SFP'!CP36)</f>
        <v>0.5125457786965657</v>
      </c>
      <c r="CV47" s="266">
        <f>('Evolutive SFP'!CQ4+'Evolutive SFP'!CQ11)/('Evolutive SFP'!CQ28+'Evolutive SFP'!CQ29+'Evolutive SFP'!CQ32+'Evolutive SFP'!CQ33+'Evolutive SFP'!CQ34+'Evolutive SFP'!CQ35+'Evolutive SFP'!CQ36)</f>
        <v>0.80974693355811544</v>
      </c>
      <c r="CW47" s="266">
        <f>('Evolutive SFP'!CR4+'Evolutive SFP'!CR11)/('Evolutive SFP'!CR28+'Evolutive SFP'!CR29+'Evolutive SFP'!CR32+'Evolutive SFP'!CR33+'Evolutive SFP'!CR34+'Evolutive SFP'!CR35+'Evolutive SFP'!CR36)</f>
        <v>1.3902754489725684</v>
      </c>
      <c r="CX47" s="266">
        <f>('Evolutive SFP'!CS4+'Evolutive SFP'!CS11)/('Evolutive SFP'!CS28+'Evolutive SFP'!CS29+'Evolutive SFP'!CS32+'Evolutive SFP'!CS33+'Evolutive SFP'!CS34+'Evolutive SFP'!CS35+'Evolutive SFP'!CS36)</f>
        <v>1.2860787272613261</v>
      </c>
      <c r="CY47" s="266">
        <f>('Evolutive SFP'!CT4+'Evolutive SFP'!CT11)/('Evolutive SFP'!CT28+'Evolutive SFP'!CT29+'Evolutive SFP'!CT32+'Evolutive SFP'!CT33+'Evolutive SFP'!CT34+'Evolutive SFP'!CT35+'Evolutive SFP'!CT36)</f>
        <v>1.3204317185268861</v>
      </c>
      <c r="CZ47" s="266">
        <f>('Evolutive SFP'!CU4+'Evolutive SFP'!CU11)/('Evolutive SFP'!CU28+'Evolutive SFP'!CU29+'Evolutive SFP'!CU32+'Evolutive SFP'!CU33+'Evolutive SFP'!CU34+'Evolutive SFP'!CU35+'Evolutive SFP'!CU36)</f>
        <v>1.3627277068805963</v>
      </c>
      <c r="DA47" s="266">
        <f>('Evolutive SFP'!CV4+'Evolutive SFP'!CV11)/('Evolutive SFP'!CV28+'Evolutive SFP'!CV29+'Evolutive SFP'!CV32+'Evolutive SFP'!CV33+'Evolutive SFP'!CV34+'Evolutive SFP'!CV35+'Evolutive SFP'!CV36)</f>
        <v>0.99379746980682315</v>
      </c>
      <c r="DB47" s="266">
        <f>('Evolutive SFP'!CW4+'Evolutive SFP'!CW11)/('Evolutive SFP'!CW28+'Evolutive SFP'!CW29+'Evolutive SFP'!CW32+'Evolutive SFP'!CW33+'Evolutive SFP'!CW34+'Evolutive SFP'!CW35+'Evolutive SFP'!CW36)</f>
        <v>0.96770964753448674</v>
      </c>
      <c r="DC47" s="266">
        <f>('Evolutive SFP'!CX4+'Evolutive SFP'!CX11)/('Evolutive SFP'!CX28+'Evolutive SFP'!CX29+'Evolutive SFP'!CX32+'Evolutive SFP'!CX33+'Evolutive SFP'!CX34+'Evolutive SFP'!CX35+'Evolutive SFP'!CX36)</f>
        <v>0.93771356368990022</v>
      </c>
      <c r="DD47" s="266">
        <f>('Evolutive SFP'!CY4+'Evolutive SFP'!CY11)/('Evolutive SFP'!CY28+'Evolutive SFP'!CY29+'Evolutive SFP'!CY32+'Evolutive SFP'!CY33+'Evolutive SFP'!CY34+'Evolutive SFP'!CY35+'Evolutive SFP'!CY36)</f>
        <v>0.97046090376105998</v>
      </c>
      <c r="DE47" s="266">
        <f>('Evolutive SFP'!CZ4+'Evolutive SFP'!CZ11)/('Evolutive SFP'!CZ28+'Evolutive SFP'!CZ29+'Evolutive SFP'!CZ32+'Evolutive SFP'!CZ33+'Evolutive SFP'!CZ34+'Evolutive SFP'!CZ35+'Evolutive SFP'!CZ36)</f>
        <v>1.0301651319105407</v>
      </c>
      <c r="DF47" s="266">
        <f>('Evolutive SFP'!DA4+'Evolutive SFP'!DA11)/('Evolutive SFP'!DA28+'Evolutive SFP'!DA29+'Evolutive SFP'!DA32+'Evolutive SFP'!DA33+'Evolutive SFP'!DA34+'Evolutive SFP'!DA35+'Evolutive SFP'!DA36)</f>
        <v>0.99226019046290204</v>
      </c>
      <c r="DG47" s="266">
        <f>('Evolutive SFP'!DB4+'Evolutive SFP'!DB11)/('Evolutive SFP'!DB28+'Evolutive SFP'!DB29+'Evolutive SFP'!DB32+'Evolutive SFP'!DB33+'Evolutive SFP'!DB34+'Evolutive SFP'!DB35+'Evolutive SFP'!DB36)</f>
        <v>1.1255439202228947</v>
      </c>
      <c r="DH47" s="266">
        <f>('Evolutive SFP'!DC4+'Evolutive SFP'!DC11)/('Evolutive SFP'!DC28+'Evolutive SFP'!DC29+'Evolutive SFP'!DC32+'Evolutive SFP'!DC33+'Evolutive SFP'!DC34+'Evolutive SFP'!DC35+'Evolutive SFP'!DC36)</f>
        <v>1.4509493913201219</v>
      </c>
      <c r="DI47" s="266">
        <f>('Evolutive SFP'!DD4+'Evolutive SFP'!DD11)/('Evolutive SFP'!DD28+'Evolutive SFP'!DD29+'Evolutive SFP'!DD32+'Evolutive SFP'!DD33+'Evolutive SFP'!DD34+'Evolutive SFP'!DD35+'Evolutive SFP'!DD36)</f>
        <v>1.323478126613699</v>
      </c>
      <c r="DJ47" s="266">
        <f>('Evolutive SFP'!DE4+'Evolutive SFP'!DE11)/('Evolutive SFP'!DE28+'Evolutive SFP'!DE29+'Evolutive SFP'!DE32+'Evolutive SFP'!DE33+'Evolutive SFP'!DE34+'Evolutive SFP'!DE35+'Evolutive SFP'!DE36)</f>
        <v>1.2281715816947152</v>
      </c>
    </row>
    <row r="48" spans="1:114" ht="12.75" hidden="1">
      <c r="A48" s="150"/>
      <c r="B48" s="139"/>
      <c r="C48" s="123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  <c r="BT48" s="151"/>
      <c r="BU48" s="151"/>
      <c r="BV48" s="151"/>
      <c r="BW48" s="151"/>
      <c r="BX48" s="151"/>
      <c r="BY48" s="151"/>
      <c r="BZ48" s="151"/>
      <c r="CA48" s="151"/>
      <c r="CB48" s="151"/>
      <c r="CC48" s="151"/>
      <c r="CD48" s="151"/>
      <c r="CE48" s="151"/>
      <c r="CF48" s="151"/>
      <c r="CG48" s="151"/>
      <c r="CH48" s="151"/>
      <c r="CI48" s="151"/>
      <c r="CJ48" s="151"/>
      <c r="CK48" s="151"/>
      <c r="CL48" s="151"/>
      <c r="CM48" s="151"/>
      <c r="CN48" s="151"/>
      <c r="CO48" s="151"/>
      <c r="CP48" s="151"/>
      <c r="CQ48" s="151"/>
      <c r="CR48" s="151"/>
      <c r="CS48" s="151"/>
      <c r="CT48" s="151"/>
      <c r="CU48" s="151"/>
      <c r="CV48" s="151"/>
      <c r="CW48" s="151"/>
      <c r="CX48" s="151"/>
      <c r="CY48" s="151"/>
      <c r="CZ48" s="151"/>
      <c r="DA48" s="151"/>
      <c r="DB48" s="151"/>
      <c r="DC48" s="151"/>
      <c r="DD48" s="151"/>
      <c r="DE48" s="151"/>
      <c r="DF48" s="151"/>
      <c r="DG48" s="151"/>
      <c r="DH48" s="151"/>
      <c r="DI48" s="151"/>
      <c r="DJ48" s="151"/>
    </row>
    <row r="49" spans="1:114" ht="12.75" hidden="1">
      <c r="A49" s="145" t="s">
        <v>370</v>
      </c>
      <c r="B49" s="139"/>
      <c r="C49" s="123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0"/>
      <c r="CD49" s="140"/>
      <c r="CE49" s="140"/>
      <c r="CF49" s="140"/>
      <c r="CG49" s="140"/>
      <c r="CH49" s="140"/>
      <c r="CI49" s="140"/>
      <c r="CJ49" s="140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  <c r="DJ49" s="140"/>
    </row>
    <row r="50" spans="1:114" ht="12.75" hidden="1">
      <c r="A50" s="152" t="s">
        <v>371</v>
      </c>
      <c r="B50" s="153">
        <v>1</v>
      </c>
      <c r="C50" s="154">
        <v>44.1</v>
      </c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  <c r="CH50" s="155"/>
      <c r="CI50" s="155"/>
      <c r="CJ50" s="155"/>
      <c r="CK50" s="155"/>
      <c r="CL50" s="155"/>
      <c r="CM50" s="155"/>
      <c r="CN50" s="155"/>
      <c r="CO50" s="155"/>
      <c r="CP50" s="155"/>
      <c r="CQ50" s="155"/>
      <c r="CR50" s="155"/>
      <c r="CS50" s="155"/>
      <c r="CT50" s="155"/>
      <c r="CU50" s="155"/>
      <c r="CV50" s="155"/>
      <c r="CW50" s="155"/>
      <c r="CX50" s="155"/>
      <c r="CY50" s="155"/>
      <c r="CZ50" s="155"/>
      <c r="DA50" s="155"/>
      <c r="DB50" s="155"/>
      <c r="DC50" s="155"/>
      <c r="DD50" s="155"/>
      <c r="DE50" s="155"/>
      <c r="DF50" s="155"/>
      <c r="DG50" s="155"/>
      <c r="DH50" s="155"/>
      <c r="DI50" s="155"/>
      <c r="DJ50" s="155"/>
    </row>
    <row r="51" spans="1:114" ht="12.75">
      <c r="A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</row>
    <row r="52" spans="1:114" ht="12.75">
      <c r="A52" s="102" t="s">
        <v>372</v>
      </c>
      <c r="CI52" s="266">
        <f>('Evolutive SFP'!CD4+'Evolutive SFP'!CD11)/('Evolutive SFP'!CD28+'Evolutive SFP'!CD29+'Evolutive SFP'!CD32+'Evolutive SFP'!CD33+'Evolutive SFP'!CD34+'Evolutive SFP'!CD35+'Evolutive SFP'!CD36)</f>
        <v>0.75818837617532242</v>
      </c>
      <c r="CJ52" s="266">
        <f>('Evolutive SFP'!CE4+'Evolutive SFP'!CE11)/('Evolutive SFP'!CE28+'Evolutive SFP'!CE29+'Evolutive SFP'!CE32+'Evolutive SFP'!CE33+'Evolutive SFP'!CE34+'Evolutive SFP'!CE35+'Evolutive SFP'!CE36)</f>
        <v>0.5028435062761798</v>
      </c>
      <c r="CK52" s="266">
        <f>('Evolutive SFP'!CF4+'Evolutive SFP'!CF11)/('Evolutive SFP'!CF28+'Evolutive SFP'!CF29+'Evolutive SFP'!CF32+'Evolutive SFP'!CF33+'Evolutive SFP'!CF34+'Evolutive SFP'!CF35+'Evolutive SFP'!CF36)</f>
        <v>0.21041418088944006</v>
      </c>
      <c r="CL52" s="266">
        <f>('Evolutive SFP'!CG4+'Evolutive SFP'!CG11)/('Evolutive SFP'!CG28+'Evolutive SFP'!CG29+'Evolutive SFP'!CG32+'Evolutive SFP'!CG33+'Evolutive SFP'!CG34+'Evolutive SFP'!CG35+'Evolutive SFP'!CG36)</f>
        <v>0.34403043299992692</v>
      </c>
      <c r="CM52" s="266">
        <f>('Evolutive SFP'!CH4+'Evolutive SFP'!CH11)/('Evolutive SFP'!CH28+'Evolutive SFP'!CH29+'Evolutive SFP'!CH32+'Evolutive SFP'!CH33+'Evolutive SFP'!CH34+'Evolutive SFP'!CH35+'Evolutive SFP'!CH36)</f>
        <v>0.33726757515440192</v>
      </c>
      <c r="CN52" s="266">
        <f>('Evolutive SFP'!CI4+'Evolutive SFP'!CI11)/('Evolutive SFP'!CI28+'Evolutive SFP'!CI29+'Evolutive SFP'!CI32+'Evolutive SFP'!CI33+'Evolutive SFP'!CI34+'Evolutive SFP'!CI35+'Evolutive SFP'!CI36)</f>
        <v>0.16557582224982179</v>
      </c>
      <c r="CO52" s="266">
        <f>('Evolutive SFP'!CJ4+'Evolutive SFP'!CJ11)/('Evolutive SFP'!CJ28+'Evolutive SFP'!CJ29+'Evolutive SFP'!CJ32+'Evolutive SFP'!CJ33+'Evolutive SFP'!CJ34+'Evolutive SFP'!CJ35+'Evolutive SFP'!CJ36)</f>
        <v>0.36412943774627998</v>
      </c>
      <c r="CP52" s="266">
        <f>('Evolutive SFP'!CK4+'Evolutive SFP'!CK11)/('Evolutive SFP'!CK28+'Evolutive SFP'!CK29+'Evolutive SFP'!CK32+'Evolutive SFP'!CK33+'Evolutive SFP'!CK34+'Evolutive SFP'!CK35+'Evolutive SFP'!CK36)</f>
        <v>0.45925829652959921</v>
      </c>
      <c r="CQ52" s="266">
        <f>('Evolutive SFP'!CL4+'Evolutive SFP'!CL11)/('Evolutive SFP'!CL28+'Evolutive SFP'!CL29+'Evolutive SFP'!CL32+'Evolutive SFP'!CL33+'Evolutive SFP'!CL34+'Evolutive SFP'!CL35+'Evolutive SFP'!CL36)</f>
        <v>0.63325503356386692</v>
      </c>
      <c r="CR52" s="266">
        <f>('Evolutive SFP'!CM4+'Evolutive SFP'!CM11)/('Evolutive SFP'!CM28+'Evolutive SFP'!CM29+'Evolutive SFP'!CM32+'Evolutive SFP'!CM33+'Evolutive SFP'!CM34+'Evolutive SFP'!CM35+'Evolutive SFP'!CM36)</f>
        <v>0.61136125250353679</v>
      </c>
      <c r="CS52" s="266">
        <f>('Evolutive SFP'!CN4+'Evolutive SFP'!CN11)/('Evolutive SFP'!CN28+'Evolutive SFP'!CN29+'Evolutive SFP'!CN32+'Evolutive SFP'!CN33+'Evolutive SFP'!CN34+'Evolutive SFP'!CN35+'Evolutive SFP'!CN36)</f>
        <v>0.54644697029428735</v>
      </c>
      <c r="CT52" s="266">
        <f>('Evolutive SFP'!CO4+'Evolutive SFP'!CO11)/('Evolutive SFP'!CO28+'Evolutive SFP'!CO29+'Evolutive SFP'!CO32+'Evolutive SFP'!CO33+'Evolutive SFP'!CO34+'Evolutive SFP'!CO35+'Evolutive SFP'!CO36)</f>
        <v>0.63253008557661139</v>
      </c>
      <c r="CU52" s="266">
        <f>('Evolutive SFP'!CP4+'Evolutive SFP'!CP11)/('Evolutive SFP'!CP28+'Evolutive SFP'!CP29+'Evolutive SFP'!CP32+'Evolutive SFP'!CP33+'Evolutive SFP'!CP34+'Evolutive SFP'!CP35+'Evolutive SFP'!CP36)</f>
        <v>0.5125457786965657</v>
      </c>
      <c r="CV52" s="266">
        <f>('Evolutive SFP'!CQ4+'Evolutive SFP'!CQ11)/('Evolutive SFP'!CQ28+'Evolutive SFP'!CQ29+'Evolutive SFP'!CQ32+'Evolutive SFP'!CQ33+'Evolutive SFP'!CQ34+'Evolutive SFP'!CQ35+'Evolutive SFP'!CQ36)</f>
        <v>0.80974693355811544</v>
      </c>
      <c r="CW52" s="266">
        <f>('Evolutive SFP'!CR4+'Evolutive SFP'!CR11)/('Evolutive SFP'!CR28+'Evolutive SFP'!CR29+'Evolutive SFP'!CR32+'Evolutive SFP'!CR33+'Evolutive SFP'!CR34+'Evolutive SFP'!CR35+'Evolutive SFP'!CR36)</f>
        <v>1.3902754489725684</v>
      </c>
      <c r="CX52" s="266">
        <f>('Evolutive SFP'!CS4+'Evolutive SFP'!CS11)/('Evolutive SFP'!CS28+'Evolutive SFP'!CS29+'Evolutive SFP'!CS32+'Evolutive SFP'!CS33+'Evolutive SFP'!CS34+'Evolutive SFP'!CS35+'Evolutive SFP'!CS36)</f>
        <v>1.2860787272613261</v>
      </c>
      <c r="CY52" s="266">
        <f>('Evolutive SFP'!CT4+'Evolutive SFP'!CT11)/('Evolutive SFP'!CT28+'Evolutive SFP'!CT29+'Evolutive SFP'!CT32+'Evolutive SFP'!CT33+'Evolutive SFP'!CT34+'Evolutive SFP'!CT35+'Evolutive SFP'!CT36)</f>
        <v>1.3204317185268861</v>
      </c>
      <c r="CZ52" s="266">
        <f>('Evolutive SFP'!CU4+'Evolutive SFP'!CU11)/('Evolutive SFP'!CU28+'Evolutive SFP'!CU29+'Evolutive SFP'!CU32+'Evolutive SFP'!CU33+'Evolutive SFP'!CU34+'Evolutive SFP'!CU35+'Evolutive SFP'!CU36)</f>
        <v>1.3627277068805963</v>
      </c>
      <c r="DA52" s="266">
        <f>('Evolutive SFP'!CV4+'Evolutive SFP'!CV11)/('Evolutive SFP'!CV28+'Evolutive SFP'!CV29+'Evolutive SFP'!CV32+'Evolutive SFP'!CV33+'Evolutive SFP'!CV34+'Evolutive SFP'!CV35+'Evolutive SFP'!CV36)</f>
        <v>0.99379746980682315</v>
      </c>
      <c r="DB52" s="266">
        <f>('Evolutive SFP'!CW4+'Evolutive SFP'!CW11)/('Evolutive SFP'!CW28+'Evolutive SFP'!CW29+'Evolutive SFP'!CW32+'Evolutive SFP'!CW33+'Evolutive SFP'!CW34+'Evolutive SFP'!CW35+'Evolutive SFP'!CW36)</f>
        <v>0.96770964753448674</v>
      </c>
      <c r="DC52" s="266">
        <f>('Evolutive SFP'!CX4+'Evolutive SFP'!CX11)/('Evolutive SFP'!CX28+'Evolutive SFP'!CX29+'Evolutive SFP'!CX32+'Evolutive SFP'!CX33+'Evolutive SFP'!CX34+'Evolutive SFP'!CX35+'Evolutive SFP'!CX36)</f>
        <v>0.93771356368990022</v>
      </c>
      <c r="DD52" s="266">
        <f>('Evolutive SFP'!CY4+'Evolutive SFP'!CY11)/('Evolutive SFP'!CY28+'Evolutive SFP'!CY29+'Evolutive SFP'!CY32+'Evolutive SFP'!CY33+'Evolutive SFP'!CY34+'Evolutive SFP'!CY35+'Evolutive SFP'!CY36)</f>
        <v>0.97046090376105998</v>
      </c>
      <c r="DE52" s="266">
        <f>('Evolutive SFP'!CZ4+'Evolutive SFP'!CZ11)/('Evolutive SFP'!CZ28+'Evolutive SFP'!CZ29+'Evolutive SFP'!CZ32+'Evolutive SFP'!CZ33+'Evolutive SFP'!CZ34+'Evolutive SFP'!CZ35+'Evolutive SFP'!CZ36)</f>
        <v>1.0301651319105407</v>
      </c>
      <c r="DF52" s="266">
        <f>('Evolutive SFP'!DA4+'Evolutive SFP'!DA11)/('Evolutive SFP'!DA28+'Evolutive SFP'!DA29+'Evolutive SFP'!DA32+'Evolutive SFP'!DA33+'Evolutive SFP'!DA34+'Evolutive SFP'!DA35+'Evolutive SFP'!DA36)</f>
        <v>0.99226019046290204</v>
      </c>
      <c r="DG52" s="266">
        <f>('Evolutive SFP'!DB4+'Evolutive SFP'!DB11)/('Evolutive SFP'!DB28+'Evolutive SFP'!DB29+'Evolutive SFP'!DB32+'Evolutive SFP'!DB33+'Evolutive SFP'!DB34+'Evolutive SFP'!DB35+'Evolutive SFP'!DB36)</f>
        <v>1.1255439202228947</v>
      </c>
      <c r="DH52" s="266">
        <f>('Evolutive SFP'!DC4+'Evolutive SFP'!DC11)/('Evolutive SFP'!DC28+'Evolutive SFP'!DC29+'Evolutive SFP'!DC32+'Evolutive SFP'!DC33+'Evolutive SFP'!DC34+'Evolutive SFP'!DC35+'Evolutive SFP'!DC36)</f>
        <v>1.4509493913201219</v>
      </c>
      <c r="DI52" s="266">
        <f>('Evolutive SFP'!DD4+'Evolutive SFP'!DD11)/('Evolutive SFP'!DD28+'Evolutive SFP'!DD29+'Evolutive SFP'!DD32+'Evolutive SFP'!DD33+'Evolutive SFP'!DD34+'Evolutive SFP'!DD35+'Evolutive SFP'!DD36)</f>
        <v>1.323478126613699</v>
      </c>
      <c r="DJ52" s="266">
        <f>('Evolutive SFP'!DE4+'Evolutive SFP'!DE11)/('Evolutive SFP'!DE28+'Evolutive SFP'!DE29+'Evolutive SFP'!DE32+'Evolutive SFP'!DE33+'Evolutive SFP'!DE34+'Evolutive SFP'!DE35+'Evolutive SFP'!DE36)</f>
        <v>1.2281715816947152</v>
      </c>
    </row>
    <row r="53" spans="1:114" ht="12.75">
      <c r="A53" s="102" t="s">
        <v>373</v>
      </c>
      <c r="CI53" s="266">
        <f>('Evolutive SFP'!CD4+'Evolutive SFP'!CD11)/('Evolutive SFP'!CD31+'Evolutive SFP'!CD32+'Evolutive SFP'!CD33+'Evolutive SFP'!CD34+'Evolutive SFP'!CD35+'Evolutive SFP'!CD36)</f>
        <v>0.5370070773129807</v>
      </c>
      <c r="CJ53" s="266">
        <f>('Evolutive SFP'!CE4+'Evolutive SFP'!CE11)/('Evolutive SFP'!CE31+'Evolutive SFP'!CE32+'Evolutive SFP'!CE33+'Evolutive SFP'!CE34+'Evolutive SFP'!CE35+'Evolutive SFP'!CE36)</f>
        <v>0.30475177559216182</v>
      </c>
      <c r="CK53" s="266">
        <f>('Evolutive SFP'!CF4+'Evolutive SFP'!CF11)/('Evolutive SFP'!CF31+'Evolutive SFP'!CF32+'Evolutive SFP'!CF33+'Evolutive SFP'!CF34+'Evolutive SFP'!CF35+'Evolutive SFP'!CF36)</f>
        <v>0.11104969277269024</v>
      </c>
      <c r="CL53" s="266">
        <f>('Evolutive SFP'!CG4+'Evolutive SFP'!CG11)/('Evolutive SFP'!CG31+'Evolutive SFP'!CG32+'Evolutive SFP'!CG33+'Evolutive SFP'!CG34+'Evolutive SFP'!CG35+'Evolutive SFP'!CG36)</f>
        <v>0.16966513922238033</v>
      </c>
      <c r="CM53" s="266">
        <f>('Evolutive SFP'!CH4+'Evolutive SFP'!CH11)/('Evolutive SFP'!CH31+'Evolutive SFP'!CH32+'Evolutive SFP'!CH33+'Evolutive SFP'!CH34+'Evolutive SFP'!CH35+'Evolutive SFP'!CH36)</f>
        <v>0.16800375460692843</v>
      </c>
      <c r="CN53" s="266">
        <f>('Evolutive SFP'!CI4+'Evolutive SFP'!CI11)/('Evolutive SFP'!CI31+'Evolutive SFP'!CI32+'Evolutive SFP'!CI33+'Evolutive SFP'!CI34+'Evolutive SFP'!CI35+'Evolutive SFP'!CI36)</f>
        <v>7.6839162859341892E-2</v>
      </c>
      <c r="CO53" s="266">
        <f>('Evolutive SFP'!CJ4+'Evolutive SFP'!CJ11)/('Evolutive SFP'!CJ31+'Evolutive SFP'!CJ32+'Evolutive SFP'!CJ33+'Evolutive SFP'!CJ34+'Evolutive SFP'!CJ35+'Evolutive SFP'!CJ36)</f>
        <v>0.16422856752872045</v>
      </c>
      <c r="CP53" s="266">
        <f>('Evolutive SFP'!CK4+'Evolutive SFP'!CK11)/('Evolutive SFP'!CK31+'Evolutive SFP'!CK32+'Evolutive SFP'!CK33+'Evolutive SFP'!CK34+'Evolutive SFP'!CK35+'Evolutive SFP'!CK36)</f>
        <v>0.20791249834121989</v>
      </c>
      <c r="CQ53" s="266">
        <f>('Evolutive SFP'!CL4+'Evolutive SFP'!CL11)/('Evolutive SFP'!CL31+'Evolutive SFP'!CL32+'Evolutive SFP'!CL33+'Evolutive SFP'!CL34+'Evolutive SFP'!CL35+'Evolutive SFP'!CL36)</f>
        <v>0.28524717592737087</v>
      </c>
      <c r="CR53" s="266">
        <f>('Evolutive SFP'!CM4+'Evolutive SFP'!CM11)/('Evolutive SFP'!CM31+'Evolutive SFP'!CM32+'Evolutive SFP'!CM33+'Evolutive SFP'!CM34+'Evolutive SFP'!CM35+'Evolutive SFP'!CM36)</f>
        <v>0.26790870316344717</v>
      </c>
      <c r="CS53" s="266">
        <f>('Evolutive SFP'!CN4+'Evolutive SFP'!CN11)/('Evolutive SFP'!CN31+'Evolutive SFP'!CN32+'Evolutive SFP'!CN33+'Evolutive SFP'!CN34+'Evolutive SFP'!CN35+'Evolutive SFP'!CN36)</f>
        <v>0.23705377414528131</v>
      </c>
      <c r="CT53" s="266">
        <f>('Evolutive SFP'!CO4+'Evolutive SFP'!CO11)/('Evolutive SFP'!CO31+'Evolutive SFP'!CO32+'Evolutive SFP'!CO33+'Evolutive SFP'!CO34+'Evolutive SFP'!CO35+'Evolutive SFP'!CO36)</f>
        <v>0.26629061925696701</v>
      </c>
      <c r="CU53" s="266">
        <f>('Evolutive SFP'!CP4+'Evolutive SFP'!CP11)/('Evolutive SFP'!CP31+'Evolutive SFP'!CP32+'Evolutive SFP'!CP33+'Evolutive SFP'!CP34+'Evolutive SFP'!CP35+'Evolutive SFP'!CP36)</f>
        <v>0.21198010830246594</v>
      </c>
      <c r="CV53" s="266">
        <f>('Evolutive SFP'!CQ4+'Evolutive SFP'!CQ11)/('Evolutive SFP'!CQ31+'Evolutive SFP'!CQ32+'Evolutive SFP'!CQ33+'Evolutive SFP'!CQ34+'Evolutive SFP'!CQ35+'Evolutive SFP'!CQ36)</f>
        <v>0.53355970646450712</v>
      </c>
      <c r="CW53" s="266">
        <f>('Evolutive SFP'!CR4+'Evolutive SFP'!CR11)/('Evolutive SFP'!CR31+'Evolutive SFP'!CR32+'Evolutive SFP'!CR33+'Evolutive SFP'!CR34+'Evolutive SFP'!CR35+'Evolutive SFP'!CR36)</f>
        <v>0.85982271269329458</v>
      </c>
      <c r="CX53" s="266">
        <f>('Evolutive SFP'!CS4+'Evolutive SFP'!CS11)/('Evolutive SFP'!CS31+'Evolutive SFP'!CS32+'Evolutive SFP'!CS33+'Evolutive SFP'!CS34+'Evolutive SFP'!CS35+'Evolutive SFP'!CS36)</f>
        <v>0.71520578074458185</v>
      </c>
      <c r="CY53" s="266">
        <f>('Evolutive SFP'!CT4+'Evolutive SFP'!CT11)/('Evolutive SFP'!CT31+'Evolutive SFP'!CT32+'Evolutive SFP'!CT33+'Evolutive SFP'!CT34+'Evolutive SFP'!CT35+'Evolutive SFP'!CT36)</f>
        <v>0.71749186003210663</v>
      </c>
      <c r="CZ53" s="266">
        <f>('Evolutive SFP'!CU4+'Evolutive SFP'!CU11)/('Evolutive SFP'!CU31+'Evolutive SFP'!CU32+'Evolutive SFP'!CU33+'Evolutive SFP'!CU34+'Evolutive SFP'!CU35+'Evolutive SFP'!CU36)</f>
        <v>0.75362365110104268</v>
      </c>
      <c r="DA53" s="266">
        <f>('Evolutive SFP'!CV4+'Evolutive SFP'!CV11)/('Evolutive SFP'!CV31+'Evolutive SFP'!CV32+'Evolutive SFP'!CV33+'Evolutive SFP'!CV34+'Evolutive SFP'!CV35+'Evolutive SFP'!CV36)</f>
        <v>0.50516477625087308</v>
      </c>
      <c r="DB53" s="266">
        <f>('Evolutive SFP'!CW4+'Evolutive SFP'!CW11)/('Evolutive SFP'!CW31+'Evolutive SFP'!CW32+'Evolutive SFP'!CW33+'Evolutive SFP'!CW34+'Evolutive SFP'!CW35+'Evolutive SFP'!CW36)</f>
        <v>0.46482802499293724</v>
      </c>
      <c r="DC53" s="266">
        <f>('Evolutive SFP'!CX4+'Evolutive SFP'!CX11)/('Evolutive SFP'!CX31+'Evolutive SFP'!CX32+'Evolutive SFP'!CX33+'Evolutive SFP'!CX34+'Evolutive SFP'!CX35+'Evolutive SFP'!CX36)</f>
        <v>0.44704204680024884</v>
      </c>
      <c r="DD53" s="266">
        <f>('Evolutive SFP'!CY4+'Evolutive SFP'!CY11)/('Evolutive SFP'!CY31+'Evolutive SFP'!CY32+'Evolutive SFP'!CY33+'Evolutive SFP'!CY34+'Evolutive SFP'!CY35+'Evolutive SFP'!CY36)</f>
        <v>0.46456820038569574</v>
      </c>
      <c r="DE53" s="266">
        <f>('Evolutive SFP'!CZ4+'Evolutive SFP'!CZ11)/('Evolutive SFP'!CZ31+'Evolutive SFP'!CZ32+'Evolutive SFP'!CZ33+'Evolutive SFP'!CZ34+'Evolutive SFP'!CZ35+'Evolutive SFP'!CZ36)</f>
        <v>0.48299964073623375</v>
      </c>
      <c r="DF53" s="266">
        <f>('Evolutive SFP'!DA4+'Evolutive SFP'!DA11)/('Evolutive SFP'!DA31+'Evolutive SFP'!DA32+'Evolutive SFP'!DA33+'Evolutive SFP'!DA34+'Evolutive SFP'!DA35+'Evolutive SFP'!DA36)</f>
        <v>0.44643750528282911</v>
      </c>
      <c r="DG53" s="266">
        <f>('Evolutive SFP'!DB4+'Evolutive SFP'!DB11)/('Evolutive SFP'!DB31+'Evolutive SFP'!DB32+'Evolutive SFP'!DB33+'Evolutive SFP'!DB34+'Evolutive SFP'!DB35+'Evolutive SFP'!DB36)</f>
        <v>0.51689020823842879</v>
      </c>
      <c r="DH53" s="266">
        <f>('Evolutive SFP'!DC4+'Evolutive SFP'!DC11)/('Evolutive SFP'!DC31+'Evolutive SFP'!DC32+'Evolutive SFP'!DC33+'Evolutive SFP'!DC34+'Evolutive SFP'!DC35+'Evolutive SFP'!DC36)</f>
        <v>0.78311637016679725</v>
      </c>
      <c r="DI53" s="266">
        <f>('Evolutive SFP'!DD4+'Evolutive SFP'!DD11)/('Evolutive SFP'!DD31+'Evolutive SFP'!DD32+'Evolutive SFP'!DD33+'Evolutive SFP'!DD34+'Evolutive SFP'!DD35+'Evolutive SFP'!DD36)</f>
        <v>0.65679613035427742</v>
      </c>
      <c r="DJ53" s="266">
        <f>('Evolutive SFP'!DE4+'Evolutive SFP'!DE11)/('Evolutive SFP'!DE31+'Evolutive SFP'!DE32+'Evolutive SFP'!DE33+'Evolutive SFP'!DE34+'Evolutive SFP'!DE35+'Evolutive SFP'!DE36)</f>
        <v>0.58432082321157619</v>
      </c>
    </row>
    <row r="54" spans="1:114" ht="12.75"/>
    <row r="55" spans="1:114" ht="12.75">
      <c r="A55" s="102" t="s">
        <v>374</v>
      </c>
      <c r="AM55" s="266" t="e">
        <f>('Evolutitve SCI'!#REF!-'Evolutitve SCI'!#REF!)/'Evolutive SFP'!#REF!</f>
        <v>#REF!</v>
      </c>
      <c r="AN55" s="266" t="e">
        <f>('Evolutitve SCI'!#REF!-'Evolutitve SCI'!#REF!)/'Evolutive SFP'!#REF!</f>
        <v>#REF!</v>
      </c>
      <c r="AO55" s="266" t="e">
        <f>('Evolutitve SCI'!#REF!-'Evolutitve SCI'!#REF!)/'Evolutive SFP'!#REF!</f>
        <v>#REF!</v>
      </c>
      <c r="AP55" s="266" t="e">
        <f>('Evolutitve SCI'!#REF!-'Evolutitve SCI'!#REF!)/'Evolutive SFP'!#REF!</f>
        <v>#REF!</v>
      </c>
      <c r="AQ55" s="266" t="e">
        <f>('Evolutitve SCI'!#REF!-'Evolutitve SCI'!#REF!)/'Evolutive SFP'!#REF!</f>
        <v>#REF!</v>
      </c>
      <c r="AR55" s="266" t="e">
        <f>('Evolutitve SCI'!#REF!-'Evolutitve SCI'!#REF!)/'Evolutive SFP'!#REF!</f>
        <v>#REF!</v>
      </c>
      <c r="AS55" s="266" t="e">
        <f>('Evolutitve SCI'!#REF!-'Evolutitve SCI'!#REF!)/'Evolutive SFP'!#REF!</f>
        <v>#REF!</v>
      </c>
      <c r="AT55" s="266" t="e">
        <f>('Evolutitve SCI'!#REF!-'Evolutitve SCI'!#REF!)/'Evolutive SFP'!#REF!</f>
        <v>#REF!</v>
      </c>
      <c r="AU55" s="266" t="e">
        <f>('Evolutitve SCI'!#REF!-'Evolutitve SCI'!#REF!)/'Evolutive SFP'!#REF!</f>
        <v>#REF!</v>
      </c>
      <c r="AV55" s="266" t="e">
        <f>('Evolutitve SCI'!#REF!-'Evolutitve SCI'!#REF!)/'Evolutive SFP'!#REF!</f>
        <v>#REF!</v>
      </c>
      <c r="AW55" s="266" t="e">
        <f>('Evolutitve SCI'!#REF!-'Evolutitve SCI'!#REF!)/'Evolutive SFP'!#REF!</f>
        <v>#REF!</v>
      </c>
      <c r="AX55" s="266" t="e">
        <f>('Evolutitve SCI'!#REF!-'Evolutitve SCI'!#REF!)/'Evolutive SFP'!#REF!</f>
        <v>#REF!</v>
      </c>
      <c r="AY55" s="266" t="e">
        <f>('Evolutitve SCI'!#REF!-'Evolutitve SCI'!#REF!)/'Evolutive SFP'!#REF!</f>
        <v>#REF!</v>
      </c>
      <c r="AZ55" s="266" t="e">
        <f>('Evolutitve SCI'!#REF!-'Evolutitve SCI'!#REF!)/'Evolutive SFP'!#REF!</f>
        <v>#REF!</v>
      </c>
      <c r="BA55" s="266" t="e">
        <f>('Evolutitve SCI'!#REF!-'Evolutitve SCI'!#REF!)/'Evolutive SFP'!#REF!</f>
        <v>#REF!</v>
      </c>
      <c r="BB55" s="266" t="e">
        <f>('Evolutitve SCI'!#REF!-'Evolutitve SCI'!#REF!)/'Evolutive SFP'!#REF!</f>
        <v>#REF!</v>
      </c>
      <c r="BC55" s="266" t="e">
        <f>('Evolutitve SCI'!#REF!-'Evolutitve SCI'!#REF!)/'Evolutive SFP'!#REF!</f>
        <v>#REF!</v>
      </c>
      <c r="BD55" s="266" t="e">
        <f>('Evolutitve SCI'!#REF!-'Evolutitve SCI'!#REF!)/'Evolutive SFP'!#REF!</f>
        <v>#REF!</v>
      </c>
      <c r="BE55" s="266" t="e">
        <f>('Evolutitve SCI'!#REF!-'Evolutitve SCI'!#REF!)/'Evolutive SFP'!#REF!</f>
        <v>#REF!</v>
      </c>
      <c r="BF55" s="266" t="e">
        <f>('Evolutitve SCI'!#REF!-'Evolutitve SCI'!#REF!)/'Evolutive SFP'!#REF!</f>
        <v>#REF!</v>
      </c>
      <c r="BG55" s="266" t="e">
        <f>('Evolutitve SCI'!#REF!-'Evolutitve SCI'!#REF!)/'Evolutive SFP'!#REF!</f>
        <v>#REF!</v>
      </c>
      <c r="BH55" s="266" t="e">
        <f>('Evolutitve SCI'!#REF!-'Evolutitve SCI'!#REF!)/'Evolutive SFP'!#REF!</f>
        <v>#REF!</v>
      </c>
      <c r="BI55" s="266" t="e">
        <f>('Evolutitve SCI'!#REF!-'Evolutitve SCI'!#REF!)/'Evolutive SFP'!#REF!</f>
        <v>#REF!</v>
      </c>
      <c r="BJ55" s="266" t="e">
        <f>('Evolutitve SCI'!#REF!-'Evolutitve SCI'!#REF!)/'Evolutive SFP'!#REF!</f>
        <v>#REF!</v>
      </c>
      <c r="BK55" s="266" t="e">
        <f>('Evolutitve SCI'!#REF!-'Evolutitve SCI'!#REF!)/'Evolutive SFP'!#REF!</f>
        <v>#REF!</v>
      </c>
      <c r="BL55" s="266" t="e">
        <f>('Evolutitve SCI'!#REF!-'Evolutitve SCI'!#REF!)/'Evolutive SFP'!#REF!</f>
        <v>#REF!</v>
      </c>
      <c r="BM55" s="266" t="e">
        <f>('Evolutitve SCI'!#REF!-'Evolutitve SCI'!#REF!)/'Evolutive SFP'!#REF!</f>
        <v>#REF!</v>
      </c>
      <c r="BN55" s="266" t="e">
        <f>('Evolutitve SCI'!#REF!-'Evolutitve SCI'!#REF!)/'Evolutive SFP'!#REF!</f>
        <v>#REF!</v>
      </c>
      <c r="BO55" s="266" t="e">
        <f>('Evolutitve SCI'!#REF!-'Evolutitve SCI'!#REF!)/'Evolutive SFP'!#REF!</f>
        <v>#REF!</v>
      </c>
      <c r="BP55" s="266" t="e">
        <f>('Evolutitve SCI'!#REF!-'Evolutitve SCI'!#REF!)/'Evolutive SFP'!#REF!</f>
        <v>#REF!</v>
      </c>
      <c r="BQ55" s="266" t="e">
        <f>('Evolutitve SCI'!#REF!-'Evolutitve SCI'!#REF!)/'Evolutive SFP'!#REF!</f>
        <v>#REF!</v>
      </c>
      <c r="BR55" s="266" t="e">
        <f>('Evolutitve SCI'!#REF!-'Evolutitve SCI'!#REF!)/'Evolutive SFP'!#REF!</f>
        <v>#REF!</v>
      </c>
      <c r="BS55" s="266" t="e">
        <f>('Evolutitve SCI'!#REF!-'Evolutitve SCI'!#REF!)/'Evolutive SFP'!#REF!</f>
        <v>#REF!</v>
      </c>
      <c r="BT55" s="266" t="e">
        <f>('Evolutitve SCI'!#REF!-'Evolutitve SCI'!#REF!)/'Evolutive SFP'!#REF!</f>
        <v>#REF!</v>
      </c>
      <c r="BU55" s="266" t="e">
        <f>('Evolutitve SCI'!#REF!-'Evolutitve SCI'!#REF!)/'Evolutive SFP'!#REF!</f>
        <v>#REF!</v>
      </c>
      <c r="BV55" s="266" t="e">
        <f>('Evolutitve SCI'!#REF!-'Evolutitve SCI'!#REF!)/'Evolutive SFP'!#REF!</f>
        <v>#REF!</v>
      </c>
      <c r="BW55" s="266" t="e">
        <f>('Evolutitve SCI'!#REF!-'Evolutitve SCI'!#REF!)/'Evolutive SFP'!#REF!</f>
        <v>#REF!</v>
      </c>
      <c r="BX55" s="266" t="e">
        <f>('Evolutitve SCI'!#REF!-'Evolutitve SCI'!#REF!)/'Evolutive SFP'!#REF!</f>
        <v>#REF!</v>
      </c>
      <c r="BY55" s="266" t="e">
        <f>('Evolutitve SCI'!#REF!-'Evolutitve SCI'!#REF!)/'Evolutive SFP'!#REF!</f>
        <v>#REF!</v>
      </c>
      <c r="BZ55" s="266">
        <f>('Evolutitve SCI'!BV5-'Evolutitve SCI'!BV13)/'Evolutive SFP'!BV27</f>
        <v>6.2722047725412899E-2</v>
      </c>
      <c r="CA55" s="266">
        <f>('Evolutitve SCI'!BW5-'Evolutitve SCI'!BW13)/'Evolutive SFP'!BW27</f>
        <v>2.1701476422803607E-3</v>
      </c>
      <c r="CB55" s="266">
        <f>('Evolutitve SCI'!BX5-'Evolutitve SCI'!BX13)/'Evolutive SFP'!BX27</f>
        <v>6.5865027822071976E-3</v>
      </c>
      <c r="CC55" s="266">
        <f>('Evolutitve SCI'!BY5-'Evolutitve SCI'!BY13)/'Evolutive SFP'!BY27</f>
        <v>1.0380023624991316E-2</v>
      </c>
      <c r="CD55" s="266">
        <f>('Evolutitve SCI'!BZ5-'Evolutitve SCI'!BZ13)/'Evolutive SFP'!BZ27</f>
        <v>1.9635501020478827E-2</v>
      </c>
      <c r="CE55" s="266">
        <f>('Evolutitve SCI'!CA5-'Evolutitve SCI'!CA13)/'Evolutive SFP'!CA27</f>
        <v>2.3676431814073647E-2</v>
      </c>
      <c r="CF55" s="266">
        <f>('Evolutitve SCI'!CB5-'Evolutitve SCI'!CB13)/'Evolutive SFP'!CB27</f>
        <v>3.8404151198238451E-2</v>
      </c>
      <c r="CG55" s="266" t="e">
        <f>('Evolutitve SCI'!#REF!-'Evolutitve SCI'!#REF!)/'Evolutive SFP'!#REF!</f>
        <v>#REF!</v>
      </c>
      <c r="CH55" s="266">
        <f>('Evolutitve SCI'!CC5-'Evolutitve SCI'!CC13)/'Evolutive SFP'!CC27</f>
        <v>4.7433673763634623E-2</v>
      </c>
      <c r="CI55" s="266">
        <f>('Evolutitve SCI'!CD5-'Evolutitve SCI'!CD13)/'Evolutive SFP'!CD27</f>
        <v>4.2476582548962527E-2</v>
      </c>
      <c r="CJ55" s="266">
        <f>('Evolutitve SCI'!CE5-'Evolutitve SCI'!CE13)/'Evolutive SFP'!CE27</f>
        <v>5.1478975665162234E-2</v>
      </c>
      <c r="CK55" s="266">
        <f>('Evolutitve SCI'!CF5-'Evolutitve SCI'!CF13)/'Evolutive SFP'!CF27</f>
        <v>5.9722462749015985E-2</v>
      </c>
      <c r="CL55" s="266">
        <f>('Evolutitve SCI'!CG5-'Evolutitve SCI'!CG13)/'Evolutive SFP'!CG27</f>
        <v>5.1406789281381031E-2</v>
      </c>
      <c r="CM55" s="266">
        <f>('Evolutitve SCI'!CH5-'Evolutitve SCI'!CH13)/'Evolutive SFP'!CH27</f>
        <v>5.1057826361453701E-2</v>
      </c>
      <c r="CN55" s="266">
        <f>('Evolutitve SCI'!CI5-'Evolutitve SCI'!CI13)/'Evolutive SFP'!CI27</f>
        <v>2.7404188358736239E-3</v>
      </c>
      <c r="CO55" s="266">
        <f>('Evolutitve SCI'!CJ5-'Evolutitve SCI'!CJ13)/'Evolutive SFP'!CJ27</f>
        <v>6.8880676570613119E-3</v>
      </c>
      <c r="CP55" s="266">
        <f>('Evolutitve SCI'!CK5-'Evolutitve SCI'!CK13)/'Evolutive SFP'!CK27</f>
        <v>1.0199581333465263E-2</v>
      </c>
      <c r="CQ55" s="266">
        <f>('Evolutitve SCI'!CL5-'Evolutitve SCI'!CL13)/'Evolutive SFP'!CL27</f>
        <v>1.39810202383025E-2</v>
      </c>
      <c r="CR55" s="266">
        <f>('Evolutitve SCI'!CM5-'Evolutitve SCI'!CM13)/'Evolutive SFP'!CM27</f>
        <v>1.7158710438781116E-2</v>
      </c>
      <c r="CS55" s="266">
        <f>('Evolutitve SCI'!CN5-'Evolutitve SCI'!CN13)/'Evolutive SFP'!CN27</f>
        <v>1.9697918001169702E-2</v>
      </c>
      <c r="CT55" s="266">
        <f>('Evolutitve SCI'!CO5-'Evolutitve SCI'!CO13)/'Evolutive SFP'!CO27</f>
        <v>2.2217987889852693E-2</v>
      </c>
      <c r="CU55" s="266">
        <f>('Evolutitve SCI'!CP5-'Evolutitve SCI'!CP13)/'Evolutive SFP'!CP27</f>
        <v>2.5933628355923114E-2</v>
      </c>
      <c r="CV55" s="266">
        <f>('Evolutitve SCI'!CQ5-'Evolutitve SCI'!CQ13)/'Evolutive SFP'!CQ27</f>
        <v>2.0688591865454083E-2</v>
      </c>
      <c r="CW55" s="266">
        <f>('Evolutitve SCI'!CR5-'Evolutitve SCI'!CR13)/'Evolutive SFP'!CR27</f>
        <v>5.9263785151351792E-2</v>
      </c>
      <c r="CX55" s="266">
        <f>('Evolutitve SCI'!CS5-'Evolutitve SCI'!CS13)/'Evolutive SFP'!CS27</f>
        <v>6.9444862806037094E-2</v>
      </c>
      <c r="CY55" s="266">
        <f>('Evolutitve SCI'!CT5-'Evolutitve SCI'!CT13)/'Evolutive SFP'!CT27</f>
        <v>7.7891676423503559E-2</v>
      </c>
      <c r="CZ55" s="266">
        <f>('Evolutitve SCI'!CU5-'Evolutitve SCI'!CU13)/'Evolutive SFP'!CU27</f>
        <v>6.3845226597294413E-2</v>
      </c>
    </row>
    <row r="56" spans="1:114" ht="12.75">
      <c r="A56" s="102" t="s">
        <v>210</v>
      </c>
      <c r="AM56" s="266" t="e">
        <f>('Evolutitve SCI'!#REF!)/(('Evolutive SFP'!#REF!+'Evolutive SFP'!#REF!)/2)</f>
        <v>#REF!</v>
      </c>
      <c r="AN56" s="266" t="e">
        <f>('Evolutitve SCI'!#REF!)/(('Evolutive SFP'!#REF!+'Evolutive SFP'!#REF!)/2)</f>
        <v>#REF!</v>
      </c>
      <c r="AO56" s="266" t="e">
        <f>('Evolutitve SCI'!#REF!)/(('Evolutive SFP'!#REF!+'Evolutive SFP'!#REF!)/2)</f>
        <v>#REF!</v>
      </c>
      <c r="AP56" s="266" t="e">
        <f>('Evolutitve SCI'!#REF!)/(('Evolutive SFP'!#REF!+'Evolutive SFP'!#REF!)/2)</f>
        <v>#REF!</v>
      </c>
      <c r="AQ56" s="266" t="e">
        <f>('Evolutitve SCI'!#REF!)/(('Evolutive SFP'!#REF!+'Evolutive SFP'!#REF!)/2)</f>
        <v>#REF!</v>
      </c>
      <c r="AR56" s="266" t="e">
        <f>('Evolutitve SCI'!#REF!)/(('Evolutive SFP'!#REF!+'Evolutive SFP'!#REF!)/2)</f>
        <v>#REF!</v>
      </c>
      <c r="AS56" s="266" t="e">
        <f>('Evolutitve SCI'!#REF!)/(('Evolutive SFP'!#REF!+'Evolutive SFP'!#REF!)/2)</f>
        <v>#REF!</v>
      </c>
      <c r="AT56" s="266" t="e">
        <f>('Evolutitve SCI'!#REF!)/(('Evolutive SFP'!#REF!+'Evolutive SFP'!#REF!)/2)</f>
        <v>#REF!</v>
      </c>
      <c r="AU56" s="266" t="e">
        <f>('Evolutitve SCI'!#REF!)/(('Evolutive SFP'!#REF!+'Evolutive SFP'!#REF!)/2)</f>
        <v>#REF!</v>
      </c>
      <c r="AV56" s="266" t="e">
        <f>('Evolutitve SCI'!#REF!)/(('Evolutive SFP'!#REF!+'Evolutive SFP'!#REF!)/2)</f>
        <v>#REF!</v>
      </c>
      <c r="AW56" s="266" t="e">
        <f>('Evolutitve SCI'!#REF!)/(('Evolutive SFP'!#REF!+'Evolutive SFP'!#REF!)/2)</f>
        <v>#REF!</v>
      </c>
      <c r="AX56" s="266" t="e">
        <f>('Evolutitve SCI'!#REF!)/(('Evolutive SFP'!#REF!+'Evolutive SFP'!#REF!)/2)</f>
        <v>#REF!</v>
      </c>
      <c r="AY56" s="266" t="e">
        <f>('Evolutitve SCI'!#REF!)/(('Evolutive SFP'!#REF!+'Evolutive SFP'!#REF!)/2)</f>
        <v>#REF!</v>
      </c>
      <c r="AZ56" s="266" t="e">
        <f>('Evolutitve SCI'!#REF!)/(('Evolutive SFP'!#REF!+'Evolutive SFP'!#REF!)/2)</f>
        <v>#REF!</v>
      </c>
      <c r="BA56" s="266" t="e">
        <f>('Evolutitve SCI'!#REF!)/(('Evolutive SFP'!#REF!+'Evolutive SFP'!#REF!)/2)</f>
        <v>#REF!</v>
      </c>
      <c r="BB56" s="266" t="e">
        <f>('Evolutitve SCI'!#REF!)/(('Evolutive SFP'!#REF!+'Evolutive SFP'!#REF!)/2)</f>
        <v>#REF!</v>
      </c>
      <c r="BC56" s="266" t="e">
        <f>('Evolutitve SCI'!#REF!)/(('Evolutive SFP'!#REF!+'Evolutive SFP'!#REF!)/2)</f>
        <v>#REF!</v>
      </c>
      <c r="BD56" s="266" t="e">
        <f>('Evolutitve SCI'!#REF!)/(('Evolutive SFP'!#REF!+'Evolutive SFP'!#REF!)/2)</f>
        <v>#REF!</v>
      </c>
      <c r="BE56" s="266" t="e">
        <f>('Evolutitve SCI'!#REF!)/(('Evolutive SFP'!#REF!+'Evolutive SFP'!#REF!)/2)</f>
        <v>#REF!</v>
      </c>
      <c r="BF56" s="266" t="e">
        <f>('Evolutitve SCI'!#REF!)/(('Evolutive SFP'!#REF!+'Evolutive SFP'!#REF!)/2)</f>
        <v>#REF!</v>
      </c>
      <c r="BG56" s="266" t="e">
        <f>('Evolutitve SCI'!#REF!)/(('Evolutive SFP'!#REF!+'Evolutive SFP'!#REF!)/2)</f>
        <v>#REF!</v>
      </c>
      <c r="BH56" s="266" t="e">
        <f>('Evolutitve SCI'!#REF!)/(('Evolutive SFP'!#REF!+'Evolutive SFP'!#REF!)/2)</f>
        <v>#REF!</v>
      </c>
      <c r="BI56" s="266" t="e">
        <f>('Evolutitve SCI'!#REF!)/(('Evolutive SFP'!#REF!+'Evolutive SFP'!#REF!)/2)</f>
        <v>#REF!</v>
      </c>
      <c r="BJ56" s="266" t="e">
        <f>('Evolutitve SCI'!#REF!)/(('Evolutive SFP'!#REF!+'Evolutive SFP'!#REF!)/2)</f>
        <v>#REF!</v>
      </c>
      <c r="BK56" s="266" t="e">
        <f>('Evolutitve SCI'!#REF!)/(('Evolutive SFP'!#REF!+'Evolutive SFP'!#REF!)/2)</f>
        <v>#REF!</v>
      </c>
      <c r="BL56" s="266" t="e">
        <f>('Evolutitve SCI'!#REF!)/(('Evolutive SFP'!#REF!+'Evolutive SFP'!#REF!)/2)</f>
        <v>#REF!</v>
      </c>
      <c r="BM56" s="266" t="e">
        <f>('Evolutitve SCI'!#REF!)/(('Evolutive SFP'!#REF!+'Evolutive SFP'!#REF!)/2)</f>
        <v>#REF!</v>
      </c>
      <c r="BN56" s="266" t="e">
        <f>('Evolutitve SCI'!#REF!)/(('Evolutive SFP'!#REF!+'Evolutive SFP'!#REF!)/2)</f>
        <v>#REF!</v>
      </c>
      <c r="BO56" s="266" t="e">
        <f>('Evolutitve SCI'!#REF!)/(('Evolutive SFP'!#REF!+'Evolutive SFP'!#REF!)/2)</f>
        <v>#REF!</v>
      </c>
      <c r="BP56" s="266" t="e">
        <f>('Evolutitve SCI'!#REF!)/(('Evolutive SFP'!#REF!+'Evolutive SFP'!#REF!)/2)</f>
        <v>#REF!</v>
      </c>
      <c r="BQ56" s="266" t="e">
        <f>('Evolutitve SCI'!#REF!)/(('Evolutive SFP'!#REF!+'Evolutive SFP'!#REF!)/2)</f>
        <v>#REF!</v>
      </c>
      <c r="BR56" s="266" t="e">
        <f>('Evolutitve SCI'!#REF!)/(('Evolutive SFP'!#REF!+'Evolutive SFP'!#REF!)/2)</f>
        <v>#REF!</v>
      </c>
      <c r="BS56" s="266" t="e">
        <f>('Evolutitve SCI'!#REF!)/(('Evolutive SFP'!#REF!+'Evolutive SFP'!#REF!)/2)</f>
        <v>#REF!</v>
      </c>
      <c r="BT56" s="266" t="e">
        <f>('Evolutitve SCI'!#REF!)/(('Evolutive SFP'!#REF!+'Evolutive SFP'!#REF!)/2)</f>
        <v>#REF!</v>
      </c>
      <c r="BU56" s="266" t="e">
        <f>('Evolutitve SCI'!#REF!)/(('Evolutive SFP'!#REF!+'Evolutive SFP'!#REF!)/2)</f>
        <v>#REF!</v>
      </c>
      <c r="BV56" s="266" t="e">
        <f>('Evolutitve SCI'!#REF!)/(('Evolutive SFP'!#REF!+'Evolutive SFP'!#REF!)/2)</f>
        <v>#REF!</v>
      </c>
      <c r="BW56" s="266" t="e">
        <f>('Evolutitve SCI'!#REF!)/(('Evolutive SFP'!#REF!+'Evolutive SFP'!#REF!)/2)</f>
        <v>#REF!</v>
      </c>
      <c r="BX56" s="266" t="e">
        <f>('Evolutitve SCI'!#REF!)/(('Evolutive SFP'!#REF!+'Evolutive SFP'!#REF!)/2)</f>
        <v>#REF!</v>
      </c>
      <c r="BY56" s="266" t="e">
        <f>('Evolutitve SCI'!#REF!)/(('Evolutive SFP'!#REF!+'Evolutive SFP'!#REF!)/2)</f>
        <v>#REF!</v>
      </c>
      <c r="BZ56" s="266" t="e">
        <f>('Evolutitve SCI'!BV33)/(('Evolutive SFP'!BV27+'Evolutive SFP'!#REF!)/2)</f>
        <v>#REF!</v>
      </c>
      <c r="CA56" s="266">
        <f>('Evolutitve SCI'!BW33)/(('Evolutive SFP'!BW27+'Evolutive SFP'!BV27)/2)</f>
        <v>-3.9400293158021633E-3</v>
      </c>
      <c r="CB56" s="266">
        <f>('Evolutitve SCI'!BX33)/(('Evolutive SFP'!BX27+'Evolutive SFP'!BW27)/2)</f>
        <v>-1.9360768839411222E-2</v>
      </c>
      <c r="CC56" s="266">
        <f>('Evolutitve SCI'!BY33)/(('Evolutive SFP'!BY27+'Evolutive SFP'!BX27)/2)</f>
        <v>-2.3995155406097556E-2</v>
      </c>
      <c r="CD56" s="266">
        <f>('Evolutitve SCI'!BZ33)/(('Evolutive SFP'!BZ27+'Evolutive SFP'!BY27)/2)</f>
        <v>-5.4055662665631844E-3</v>
      </c>
      <c r="CE56" s="266">
        <f>('Evolutitve SCI'!CA33)/(('Evolutive SFP'!CA27+'Evolutive SFP'!BZ27)/2)</f>
        <v>-8.2655447299411385E-3</v>
      </c>
      <c r="CF56" s="266">
        <f>('Evolutitve SCI'!CB33)/(('Evolutive SFP'!CB27+'Evolutive SFP'!CA27)/2)</f>
        <v>2.76180009134251E-2</v>
      </c>
      <c r="CG56" s="266" t="e">
        <f>('Evolutitve SCI'!#REF!)/(('Evolutive SFP'!#REF!+'Evolutive SFP'!CB27)/2)</f>
        <v>#REF!</v>
      </c>
      <c r="CH56" s="266" t="e">
        <f>('Evolutitve SCI'!CC33)/(('Evolutive SFP'!CC27+'Evolutive SFP'!#REF!)/2)</f>
        <v>#REF!</v>
      </c>
      <c r="CI56" s="266">
        <f>('Evolutitve SCI'!CD33)/(('Evolutive SFP'!CD27+'Evolutive SFP'!CC27)/2)</f>
        <v>3.1874122662200223E-2</v>
      </c>
      <c r="CJ56" s="266">
        <f>('Evolutitve SCI'!CE33)/(('Evolutive SFP'!CE27+'Evolutive SFP'!CD27)/2)</f>
        <v>3.3617767026127281E-2</v>
      </c>
      <c r="CK56" s="266">
        <f>('Evolutitve SCI'!CF33)/(('Evolutive SFP'!CF27+'Evolutive SFP'!CE27)/2)</f>
        <v>3.1632673182048071E-2</v>
      </c>
      <c r="CL56" s="266">
        <f>('Evolutitve SCI'!CG33)/(('Evolutive SFP'!CG27+'Evolutive SFP'!CF27)/2)</f>
        <v>1.7051678463323873E-2</v>
      </c>
      <c r="CM56" s="266">
        <f>('Evolutitve SCI'!CH33)/(('Evolutive SFP'!CH27+'Evolutive SFP'!CG27)/2)</f>
        <v>1.749691326012907E-2</v>
      </c>
      <c r="CN56" s="266">
        <f>('Evolutitve SCI'!CI33)/(('Evolutive SFP'!CI27+'Evolutive SFP'!CH27)/2)</f>
        <v>-5.688355068094687E-3</v>
      </c>
      <c r="CO56" s="266">
        <f>('Evolutitve SCI'!CJ33)/(('Evolutive SFP'!CJ27+'Evolutive SFP'!CI27)/2)</f>
        <v>-1.4400372080037908E-2</v>
      </c>
      <c r="CP56" s="266">
        <f>('Evolutitve SCI'!CK33)/(('Evolutive SFP'!CK27+'Evolutive SFP'!CJ27)/2)</f>
        <v>-1.7879234153900785E-2</v>
      </c>
      <c r="CQ56" s="266">
        <f>('Evolutitve SCI'!CL33)/(('Evolutive SFP'!CL27+'Evolutive SFP'!CK27)/2)</f>
        <v>-3.2727802867088848E-3</v>
      </c>
      <c r="CR56" s="266">
        <f>('Evolutitve SCI'!CM33)/(('Evolutive SFP'!CM27+'Evolutive SFP'!CL27)/2)</f>
        <v>-1.264072146681265E-2</v>
      </c>
      <c r="CS56" s="266">
        <f>('Evolutitve SCI'!CN33)/(('Evolutive SFP'!CN27+'Evolutive SFP'!CM27)/2)</f>
        <v>-2.3447114217045775E-2</v>
      </c>
      <c r="CT56" s="266">
        <f>('Evolutitve SCI'!CO33)/(('Evolutive SFP'!CO27+'Evolutive SFP'!CN27)/2)</f>
        <v>-2.980625321575443E-2</v>
      </c>
      <c r="CU56" s="266">
        <f>('Evolutitve SCI'!CP33)/(('Evolutive SFP'!CP27+'Evolutive SFP'!CO27)/2)</f>
        <v>-4.7547681699600386E-2</v>
      </c>
      <c r="CV56" s="266">
        <f>('Evolutitve SCI'!CQ33)/(('Evolutive SFP'!CQ27+'Evolutive SFP'!CP27)/2)</f>
        <v>-5.3313750022114838E-2</v>
      </c>
      <c r="CW56" s="266">
        <f>('Evolutitve SCI'!CR33)/(('Evolutive SFP'!CR27+'Evolutive SFP'!CQ27)/2)</f>
        <v>1.6206175921987382E-2</v>
      </c>
      <c r="CX56" s="266">
        <f>('Evolutitve SCI'!CS33)/(('Evolutive SFP'!CS27+'Evolutive SFP'!CR27)/2)</f>
        <v>2.5045123836794764E-2</v>
      </c>
      <c r="CY56" s="266">
        <f>('Evolutitve SCI'!CT33)/(('Evolutive SFP'!CT27+'Evolutive SFP'!CS27)/2)</f>
        <v>3.9125377860004314E-2</v>
      </c>
      <c r="CZ56" s="266">
        <f>('Evolutitve SCI'!CU33)/(('Evolutive SFP'!CU27+'Evolutive SFP'!CT27)/2)</f>
        <v>3.9352034725558406E-2</v>
      </c>
    </row>
    <row r="57" spans="1:114" ht="12.75">
      <c r="A57" s="102" t="s">
        <v>375</v>
      </c>
      <c r="AM57" s="266" t="e">
        <f>(Financials!F4-Financials!#REF!)/Financials!#REF!</f>
        <v>#REF!</v>
      </c>
      <c r="AN57" s="266" t="e">
        <f>(Financials!G4-Financials!#REF!)/Financials!#REF!</f>
        <v>#REF!</v>
      </c>
      <c r="AO57" s="266" t="e">
        <f>(Financials!H4-Financials!#REF!)/Financials!#REF!</f>
        <v>#REF!</v>
      </c>
      <c r="AP57" s="266" t="e">
        <f>(Financials!I4-Financials!#REF!)/Financials!#REF!</f>
        <v>#REF!</v>
      </c>
      <c r="AQ57" s="266" t="e">
        <f>(Financials!J4-Financials!#REF!)/Financials!#REF!</f>
        <v>#REF!</v>
      </c>
      <c r="AR57" s="266" t="e">
        <f>(Financials!K4-Financials!#REF!)/Financials!#REF!</f>
        <v>#REF!</v>
      </c>
      <c r="AS57" s="266" t="e">
        <f>(Financials!L4-Financials!#REF!)/Financials!#REF!</f>
        <v>#REF!</v>
      </c>
      <c r="AT57" s="266" t="e">
        <f>(Financials!M4-Financials!#REF!)/Financials!#REF!</f>
        <v>#REF!</v>
      </c>
      <c r="AU57" s="266" t="e">
        <f>(Financials!N4-Financials!A4)/Financials!A4</f>
        <v>#REF!</v>
      </c>
      <c r="AV57" s="266" t="e">
        <f>(Financials!O4-Financials!B4)/Financials!B4</f>
        <v>#REF!</v>
      </c>
      <c r="AW57" s="266" t="e">
        <f>(Financials!P4-Financials!C4)/Financials!C4</f>
        <v>#REF!</v>
      </c>
      <c r="AX57" s="266" t="e">
        <f>(Financials!Q4-Financials!D4)/Financials!D4</f>
        <v>#REF!</v>
      </c>
      <c r="AY57" s="266" t="e">
        <f>(Financials!R4-Financials!E4)/Financials!E4</f>
        <v>#REF!</v>
      </c>
      <c r="AZ57" s="266" t="e">
        <f>(Financials!S4-Financials!F4)/Financials!F4</f>
        <v>#REF!</v>
      </c>
      <c r="BA57" s="266" t="e">
        <f>(Financials!T4-Financials!G4)/Financials!G4</f>
        <v>#REF!</v>
      </c>
      <c r="BB57" s="266" t="e">
        <f>(Financials!U4-Financials!H4)/Financials!H4</f>
        <v>#REF!</v>
      </c>
      <c r="BC57" s="266" t="e">
        <f>(Financials!V4-Financials!I4)/Financials!I4</f>
        <v>#REF!</v>
      </c>
      <c r="BD57" s="266" t="e">
        <f>(Financials!W4-Financials!J4)/Financials!J4</f>
        <v>#REF!</v>
      </c>
      <c r="BE57" s="266" t="e">
        <f>(Financials!X4-Financials!K4)/Financials!K4</f>
        <v>#REF!</v>
      </c>
      <c r="BF57" s="266" t="e">
        <f>(Financials!Y4-Financials!L4)/Financials!L4</f>
        <v>#REF!</v>
      </c>
      <c r="BG57" s="266" t="e">
        <f>(Financials!Z4-Financials!M4)/Financials!M4</f>
        <v>#REF!</v>
      </c>
      <c r="BH57" s="266" t="e">
        <f>(Financials!AA4-Financials!N4)/Financials!N4</f>
        <v>#REF!</v>
      </c>
      <c r="BI57" s="266" t="e">
        <f>(Financials!AB4-Financials!O4)/Financials!O4</f>
        <v>#REF!</v>
      </c>
      <c r="BJ57" s="266" t="e">
        <f>(Financials!AC4-Financials!P4)/Financials!P4</f>
        <v>#REF!</v>
      </c>
      <c r="BK57" s="266" t="e">
        <f>(Financials!AD4-Financials!Q4)/Financials!Q4</f>
        <v>#REF!</v>
      </c>
      <c r="BL57" s="266" t="e">
        <f>(Financials!AE4-Financials!R4)/Financials!R4</f>
        <v>#REF!</v>
      </c>
      <c r="BM57" s="266">
        <f>(Financials!AF4-Financials!S4)/Financials!S4</f>
        <v>9.2590627423160612E-2</v>
      </c>
      <c r="BN57" s="266">
        <f>(Financials!AG4-Financials!T4)/Financials!T4</f>
        <v>7.6691743000724441E-2</v>
      </c>
      <c r="BO57" s="266">
        <f>(Financials!AH4-Financials!U4)/Financials!U4</f>
        <v>7.6456389538520575E-2</v>
      </c>
      <c r="BP57" s="266">
        <f>(Financials!AI4-Financials!V4)/Financials!V4</f>
        <v>7.8340812730811574E-2</v>
      </c>
      <c r="BQ57" s="266">
        <f>(Financials!AJ4-Financials!W4)/Financials!W4</f>
        <v>5.7477726956335184E-2</v>
      </c>
      <c r="BR57" s="266">
        <f>(Financials!AK4-Financials!X4)/Financials!X4</f>
        <v>-0.16155249102655084</v>
      </c>
      <c r="BS57" s="266">
        <f>(Financials!AL4-Financials!Y4)/Financials!Y4</f>
        <v>-8.4779524500646117E-2</v>
      </c>
      <c r="BT57" s="266">
        <f>(Financials!AM4-Financials!Z4)/Financials!Z4</f>
        <v>0.25993186546821051</v>
      </c>
      <c r="BU57" s="266">
        <f>(Financials!AN4-Financials!AA4)/Financials!AA4</f>
        <v>0.24770744610614051</v>
      </c>
      <c r="BV57" s="266">
        <f>(Financials!AO4-Financials!AB4)/Financials!AB4</f>
        <v>0.19403606662640968</v>
      </c>
      <c r="BW57" s="266">
        <f>(Financials!AP4-Financials!AC4)/Financials!AC4</f>
        <v>0.16704493672394055</v>
      </c>
      <c r="BX57" s="266">
        <f>(Financials!AQ4-Financials!AD4)/Financials!AD4</f>
        <v>0.12632404640049488</v>
      </c>
      <c r="BY57" s="266">
        <f>(Financials!AR4-Financials!AE4)/Financials!AE4</f>
        <v>0.13011705656662809</v>
      </c>
      <c r="BZ57" s="266">
        <f>(Financials!AS4-Financials!AF4)/Financials!AF4</f>
        <v>0.13011705769572554</v>
      </c>
      <c r="CA57" s="266">
        <f>(Financials!AT4-Financials!AG4)/Financials!AG4</f>
        <v>0.11486193261651499</v>
      </c>
      <c r="CB57" s="266">
        <f>(Financials!AU4-Financials!AH4)/Financials!AH4</f>
        <v>0.112521148314248</v>
      </c>
      <c r="CC57" s="266">
        <f>(Financials!AV4-Financials!AI4)/Financials!AI4</f>
        <v>9.876863119827424E-2</v>
      </c>
      <c r="CD57" s="266">
        <f>(Financials!AW4-Financials!AJ4)/Financials!AJ4</f>
        <v>0.26224767983314035</v>
      </c>
      <c r="CE57" s="266">
        <f>(Financials!AX4-Financials!AK4)/Financials!AK4</f>
        <v>0.20609682327683387</v>
      </c>
      <c r="CF57" s="266">
        <f>(Financials!AY4-Financials!AL4)/Financials!AL4</f>
        <v>0.45269813224102662</v>
      </c>
      <c r="CG57" s="266" t="e">
        <f>(Financials!AZ4-Financials!AM4)/Financials!AM4</f>
        <v>#REF!</v>
      </c>
      <c r="CH57" s="266">
        <f>(Financials!BA4-Financials!AN4)/Financials!AN4</f>
        <v>-1.8385380675670294E-2</v>
      </c>
      <c r="CI57" s="266">
        <f>(Financials!BB4-Financials!AO4)/Financials!AO4</f>
        <v>0.41962436052726104</v>
      </c>
      <c r="CJ57" s="266">
        <f>(Financials!BC4-Financials!AP4)/Financials!AP4</f>
        <v>0.25347701502557463</v>
      </c>
      <c r="CK57" s="266">
        <f>(Financials!BD4-Financials!AQ4)/Financials!AQ4</f>
        <v>0.19957401857485044</v>
      </c>
      <c r="CL57" s="266">
        <f>(Financials!BE4-Financials!AR4)/Financials!AR4</f>
        <v>0.16549001249097783</v>
      </c>
      <c r="CM57" s="266">
        <f>(Financials!BF4-Financials!AS4)/Financials!AS4</f>
        <v>0.16549001339211636</v>
      </c>
      <c r="CN57" s="266">
        <f>(Financials!BG4-Financials!AT4)/Financials!AT4</f>
        <v>0.15452604678372658</v>
      </c>
      <c r="CO57" s="266">
        <f>(Financials!BH4-Financials!AU4)/Financials!AU4</f>
        <v>0.14231370575045871</v>
      </c>
      <c r="CP57" s="266">
        <f>(Financials!BI4-Financials!AV4)/Financials!AV4</f>
        <v>0.15593117617758556</v>
      </c>
      <c r="CQ57" s="266">
        <f>(Financials!BJ4-Financials!AW4)/Financials!AW4</f>
        <v>3.3178512856928764E-2</v>
      </c>
      <c r="CR57" s="266">
        <f>(Financials!BK4-Financials!AX4)/Financials!AX4</f>
        <v>6.9769466022011589E-2</v>
      </c>
      <c r="CS57" s="266">
        <f>(Financials!BL4-Financials!AY4)/Financials!AY4</f>
        <v>-0.14267942985101431</v>
      </c>
      <c r="CT57" s="266" t="e">
        <f>(Financials!BM4-Financials!AZ4)/Financials!AZ4</f>
        <v>#REF!</v>
      </c>
      <c r="CU57" s="266">
        <f>(Financials!BN4-Financials!BA4)/Financials!BA4</f>
        <v>-9.7814745055791408E-2</v>
      </c>
      <c r="CV57" s="266">
        <f>(Financials!BO4-Financials!BB4)/Financials!BB4</f>
        <v>-8.6138246983988101E-2</v>
      </c>
      <c r="CW57" s="266">
        <f>(Financials!BP4-Financials!BC4)/Financials!BC4</f>
        <v>8.6964974768918651E-2</v>
      </c>
      <c r="CX57" s="266">
        <f>(Financials!BQ4-Financials!BD4)/Financials!BD4</f>
        <v>9.5057280434975938E-2</v>
      </c>
      <c r="CY57" s="266">
        <f>(Financials!BR4-Financials!BE4)/Financials!BE4</f>
        <v>0.13904627036459719</v>
      </c>
      <c r="CZ57" s="266">
        <f>(Financials!BS4-Financials!BF4)/Financials!BF4</f>
        <v>0.13904626922923308</v>
      </c>
    </row>
    <row r="58" spans="1:114" ht="12.75">
      <c r="A58" s="102" t="s">
        <v>376</v>
      </c>
      <c r="AM58" s="266" t="e">
        <f>(Financials!F5-Financials!#REF!)/Financials!#REF!</f>
        <v>#REF!</v>
      </c>
      <c r="AN58" s="266" t="e">
        <f>(Financials!G5-Financials!#REF!)/Financials!#REF!</f>
        <v>#REF!</v>
      </c>
      <c r="AO58" s="266" t="e">
        <f>(Financials!H5-Financials!#REF!)/Financials!#REF!</f>
        <v>#REF!</v>
      </c>
      <c r="AP58" s="266" t="e">
        <f>(Financials!I5-Financials!#REF!)/Financials!#REF!</f>
        <v>#REF!</v>
      </c>
      <c r="AQ58" s="266" t="e">
        <f>(Financials!J5-Financials!#REF!)/Financials!#REF!</f>
        <v>#REF!</v>
      </c>
      <c r="AR58" s="266" t="e">
        <f>(Financials!K5-Financials!#REF!)/Financials!#REF!</f>
        <v>#REF!</v>
      </c>
      <c r="AS58" s="266" t="e">
        <f>(Financials!L5-Financials!#REF!)/Financials!#REF!</f>
        <v>#REF!</v>
      </c>
      <c r="AT58" s="266" t="e">
        <f>(Financials!M5-Financials!#REF!)/Financials!#REF!</f>
        <v>#REF!</v>
      </c>
      <c r="AU58" s="266" t="e">
        <f>(Financials!N5-Financials!A5)/Financials!A5</f>
        <v>#REF!</v>
      </c>
      <c r="AV58" s="266" t="e">
        <f>(Financials!O5-Financials!B5)/Financials!B5</f>
        <v>#REF!</v>
      </c>
      <c r="AW58" s="266" t="e">
        <f>(Financials!P5-Financials!C5)/Financials!C5</f>
        <v>#REF!</v>
      </c>
      <c r="AX58" s="266" t="e">
        <f>(Financials!Q5-Financials!D5)/Financials!D5</f>
        <v>#REF!</v>
      </c>
      <c r="AY58" s="266" t="e">
        <f>(Financials!R5-Financials!E5)/Financials!E5</f>
        <v>#REF!</v>
      </c>
      <c r="AZ58" s="266" t="e">
        <f>(Financials!S5-Financials!F5)/Financials!F5</f>
        <v>#REF!</v>
      </c>
      <c r="BA58" s="266" t="e">
        <f>(Financials!T5-Financials!G5)/Financials!G5</f>
        <v>#REF!</v>
      </c>
      <c r="BB58" s="266" t="e">
        <f>(Financials!U5-Financials!H5)/Financials!H5</f>
        <v>#REF!</v>
      </c>
      <c r="BC58" s="266" t="e">
        <f>(Financials!V5-Financials!I5)/Financials!I5</f>
        <v>#REF!</v>
      </c>
      <c r="BD58" s="266" t="e">
        <f>(Financials!W5-Financials!J5)/Financials!J5</f>
        <v>#REF!</v>
      </c>
      <c r="BE58" s="266" t="e">
        <f>(Financials!X5-Financials!K5)/Financials!K5</f>
        <v>#REF!</v>
      </c>
      <c r="BF58" s="266" t="e">
        <f>(Financials!Y5-Financials!L5)/Financials!L5</f>
        <v>#REF!</v>
      </c>
      <c r="BG58" s="266" t="e">
        <f>(Financials!Z5-Financials!M5)/Financials!M5</f>
        <v>#REF!</v>
      </c>
      <c r="BH58" s="266" t="e">
        <f>(Financials!AA5-Financials!N5)/Financials!N5</f>
        <v>#REF!</v>
      </c>
      <c r="BI58" s="266" t="e">
        <f>(Financials!AB5-Financials!O5)/Financials!O5</f>
        <v>#REF!</v>
      </c>
      <c r="BJ58" s="266" t="e">
        <f>(Financials!AC5-Financials!P5)/Financials!P5</f>
        <v>#REF!</v>
      </c>
      <c r="BK58" s="266" t="e">
        <f>(Financials!AD5-Financials!Q5)/Financials!Q5</f>
        <v>#REF!</v>
      </c>
      <c r="BL58" s="266" t="e">
        <f>(Financials!AE5-Financials!R5)/Financials!R5</f>
        <v>#REF!</v>
      </c>
      <c r="BM58" s="266">
        <f>(Financials!AF5-Financials!S5)/Financials!S5</f>
        <v>0.12490572328153376</v>
      </c>
      <c r="BN58" s="266">
        <f>(Financials!AG5-Financials!T5)/Financials!T5</f>
        <v>0.12588695747301271</v>
      </c>
      <c r="BO58" s="266">
        <f>(Financials!AH5-Financials!U5)/Financials!U5</f>
        <v>0.15952558328713262</v>
      </c>
      <c r="BP58" s="266">
        <f>(Financials!AI5-Financials!V5)/Financials!V5</f>
        <v>0.15305758539931613</v>
      </c>
      <c r="BQ58" s="266">
        <f>(Financials!AJ5-Financials!W5)/Financials!W5</f>
        <v>9.3747452179636565E-2</v>
      </c>
      <c r="BR58" s="266">
        <f>(Financials!AK5-Financials!X5)/Financials!X5</f>
        <v>-0.29788382147607217</v>
      </c>
      <c r="BS58" s="266">
        <f>(Financials!AL5-Financials!Y5)/Financials!Y5</f>
        <v>-0.17725375712625566</v>
      </c>
      <c r="BT58" s="266">
        <f>(Financials!AM5-Financials!Z5)/Financials!Z5</f>
        <v>0.46931780205813639</v>
      </c>
      <c r="BU58" s="266">
        <f>(Financials!AN5-Financials!AA5)/Financials!AA5</f>
        <v>0.4444199889005348</v>
      </c>
      <c r="BV58" s="266">
        <f>(Financials!AO5-Financials!AB5)/Financials!AB5</f>
        <v>0.29765250642383073</v>
      </c>
      <c r="BW58" s="266">
        <f>(Financials!AP5-Financials!AC5)/Financials!AC5</f>
        <v>0.26470933273826619</v>
      </c>
      <c r="BX58" s="266">
        <f>(Financials!AQ5-Financials!AD5)/Financials!AD5</f>
        <v>0.21248379476869025</v>
      </c>
      <c r="BY58" s="266">
        <f>(Financials!AR5-Financials!AE5)/Financials!AE5</f>
        <v>0.17310877653944126</v>
      </c>
      <c r="BZ58" s="266">
        <f>(Financials!AS5-Financials!AF5)/Financials!AF5</f>
        <v>0.17310877512941514</v>
      </c>
      <c r="CA58" s="266">
        <f>(Financials!AT5-Financials!AG5)/Financials!AG5</f>
        <v>0.1466669392162348</v>
      </c>
      <c r="CB58" s="266">
        <f>(Financials!AU5-Financials!AH5)/Financials!AH5</f>
        <v>0.15393405275392585</v>
      </c>
      <c r="CC58" s="266">
        <f>(Financials!AV5-Financials!AI5)/Financials!AI5</f>
        <v>0.14692269809154435</v>
      </c>
      <c r="CD58" s="266">
        <f>(Financials!AW5-Financials!AJ5)/Financials!AJ5</f>
        <v>0.48771444010305209</v>
      </c>
      <c r="CE58" s="266">
        <f>(Financials!AX5-Financials!AK5)/Financials!AK5</f>
        <v>0.37690065452257371</v>
      </c>
      <c r="CF58" s="266">
        <f>(Financials!AY5-Financials!AL5)/Financials!AL5</f>
        <v>0.86334427739085207</v>
      </c>
      <c r="CG58" s="266" t="e">
        <f>(Financials!AZ5-Financials!AM5)/Financials!AM5</f>
        <v>#REF!</v>
      </c>
      <c r="CH58" s="266">
        <f>(Financials!BA5-Financials!AN5)/Financials!AN5</f>
        <v>-6.8240153886530583E-2</v>
      </c>
      <c r="CI58" s="266">
        <f>(Financials!BB5-Financials!AO5)/Financials!AO5</f>
        <v>0.6344573491356843</v>
      </c>
      <c r="CJ58" s="266">
        <f>(Financials!BC5-Financials!AP5)/Financials!AP5</f>
        <v>0.41467446558175303</v>
      </c>
      <c r="CK58" s="266">
        <f>(Financials!BD5-Financials!AQ5)/Financials!AQ5</f>
        <v>0.31893459083195047</v>
      </c>
      <c r="CL58" s="266">
        <f>(Financials!BE5-Financials!AR5)/Financials!AR5</f>
        <v>0.32500901248619074</v>
      </c>
      <c r="CM58" s="266">
        <f>(Financials!BF5-Financials!AS5)/Financials!AS5</f>
        <v>0.32500900589040577</v>
      </c>
      <c r="CN58" s="266">
        <f>(Financials!BG5-Financials!AT5)/Financials!AT5</f>
        <v>0.3102602992478149</v>
      </c>
      <c r="CO58" s="266">
        <f>(Financials!BH5-Financials!AU5)/Financials!AU5</f>
        <v>0.2650784977897005</v>
      </c>
      <c r="CP58" s="266">
        <f>(Financials!BI5-Financials!AV5)/Financials!AV5</f>
        <v>0.28968783864213149</v>
      </c>
      <c r="CQ58" s="266">
        <f>(Financials!BJ5-Financials!AW5)/Financials!AW5</f>
        <v>4.6426053891297399E-2</v>
      </c>
      <c r="CR58" s="266">
        <f>(Financials!BK5-Financials!AX5)/Financials!AX5</f>
        <v>0.11813958331891289</v>
      </c>
      <c r="CS58" s="266">
        <f>(Financials!BL5-Financials!AY5)/Financials!AY5</f>
        <v>-0.20855355263930678</v>
      </c>
      <c r="CT58" s="266" t="e">
        <f>(Financials!BM5-Financials!AZ5)/Financials!AZ5</f>
        <v>#REF!</v>
      </c>
      <c r="CU58" s="266">
        <f>(Financials!BN5-Financials!BA5)/Financials!BA5</f>
        <v>-8.503662280803205E-2</v>
      </c>
      <c r="CV58" s="266">
        <f>(Financials!BO5-Financials!BB5)/Financials!BB5</f>
        <v>-0.19034353005809984</v>
      </c>
      <c r="CW58" s="266">
        <f>(Financials!BP5-Financials!BC5)/Financials!BC5</f>
        <v>0.14978989577763349</v>
      </c>
      <c r="CX58" s="266">
        <f>(Financials!BQ5-Financials!BD5)/Financials!BD5</f>
        <v>0.14874435104338243</v>
      </c>
      <c r="CY58" s="266">
        <f>(Financials!BR5-Financials!BE5)/Financials!BE5</f>
        <v>0.17436219534819591</v>
      </c>
      <c r="CZ58" s="266">
        <f>(Financials!BS5-Financials!BF5)/Financials!BF5</f>
        <v>0.1743622001963149</v>
      </c>
    </row>
    <row r="59" spans="1:114" ht="12.75">
      <c r="A59" s="102" t="s">
        <v>377</v>
      </c>
      <c r="AM59" s="266" t="e">
        <f>(Financials!F6-Financials!#REF!)/Financials!#REF!</f>
        <v>#REF!</v>
      </c>
      <c r="AN59" s="266" t="e">
        <f>(Financials!G6-Financials!#REF!)/Financials!#REF!</f>
        <v>#REF!</v>
      </c>
      <c r="AO59" s="266" t="e">
        <f>(Financials!H6-Financials!#REF!)/Financials!#REF!</f>
        <v>#REF!</v>
      </c>
      <c r="AP59" s="266" t="e">
        <f>(Financials!I6-Financials!#REF!)/Financials!#REF!</f>
        <v>#REF!</v>
      </c>
      <c r="AQ59" s="266" t="e">
        <f>(Financials!J6-Financials!#REF!)/Financials!#REF!</f>
        <v>#REF!</v>
      </c>
      <c r="AR59" s="266" t="e">
        <f>(Financials!K6-Financials!#REF!)/Financials!#REF!</f>
        <v>#REF!</v>
      </c>
      <c r="AS59" s="266" t="e">
        <f>(Financials!L6-Financials!#REF!)/Financials!#REF!</f>
        <v>#REF!</v>
      </c>
      <c r="AT59" s="266" t="e">
        <f>(Financials!M6-Financials!#REF!)/Financials!#REF!</f>
        <v>#REF!</v>
      </c>
      <c r="AU59" s="266" t="e">
        <f>(Financials!N6-Financials!A6)/Financials!A6</f>
        <v>#REF!</v>
      </c>
      <c r="AV59" s="266" t="e">
        <f>(Financials!O6-Financials!B6)/Financials!B6</f>
        <v>#REF!</v>
      </c>
      <c r="AW59" s="266" t="e">
        <f>(Financials!P6-Financials!C6)/Financials!C6</f>
        <v>#REF!</v>
      </c>
      <c r="AX59" s="266" t="e">
        <f>(Financials!Q6-Financials!D6)/Financials!D6</f>
        <v>#REF!</v>
      </c>
      <c r="AY59" s="266" t="e">
        <f>(Financials!R6-Financials!E6)/Financials!E6</f>
        <v>#REF!</v>
      </c>
      <c r="AZ59" s="266" t="e">
        <f>(Financials!S6-Financials!F6)/Financials!F6</f>
        <v>#REF!</v>
      </c>
      <c r="BA59" s="266" t="e">
        <f>(Financials!T6-Financials!G6)/Financials!G6</f>
        <v>#REF!</v>
      </c>
      <c r="BB59" s="266" t="e">
        <f>(Financials!U6-Financials!H6)/Financials!H6</f>
        <v>#REF!</v>
      </c>
      <c r="BC59" s="266" t="e">
        <f>(Financials!V6-Financials!I6)/Financials!I6</f>
        <v>#REF!</v>
      </c>
      <c r="BD59" s="266" t="e">
        <f>(Financials!W6-Financials!J6)/Financials!J6</f>
        <v>#REF!</v>
      </c>
      <c r="BE59" s="266" t="e">
        <f>(Financials!X6-Financials!K6)/Financials!K6</f>
        <v>#REF!</v>
      </c>
      <c r="BF59" s="266" t="e">
        <f>(Financials!Y6-Financials!L6)/Financials!L6</f>
        <v>#REF!</v>
      </c>
      <c r="BG59" s="266" t="e">
        <f>(Financials!Z6-Financials!M6)/Financials!M6</f>
        <v>#REF!</v>
      </c>
      <c r="BH59" s="266" t="e">
        <f>(Financials!AA6-Financials!N6)/Financials!N6</f>
        <v>#REF!</v>
      </c>
      <c r="BI59" s="266" t="e">
        <f>(Financials!AB6-Financials!O6)/Financials!O6</f>
        <v>#REF!</v>
      </c>
      <c r="BJ59" s="266" t="e">
        <f>(Financials!AC6-Financials!P6)/Financials!P6</f>
        <v>#REF!</v>
      </c>
      <c r="BK59" s="266" t="e">
        <f>(Financials!AD6-Financials!Q6)/Financials!Q6</f>
        <v>#REF!</v>
      </c>
      <c r="BL59" s="266" t="e">
        <f>(Financials!AE6-Financials!R6)/Financials!R6</f>
        <v>#REF!</v>
      </c>
      <c r="BM59" s="266">
        <f>(Financials!AF6-Financials!S6)/Financials!S6</f>
        <v>4.9181389667825121E-2</v>
      </c>
      <c r="BN59" s="266">
        <f>(Financials!AG6-Financials!T6)/Financials!T6</f>
        <v>4.7239104378650823E-2</v>
      </c>
      <c r="BO59" s="266">
        <f>(Financials!AH6-Financials!U6)/Financials!U6</f>
        <v>4.1210493369515801E-2</v>
      </c>
      <c r="BP59" s="266">
        <f>(Financials!AI6-Financials!V6)/Financials!V6</f>
        <v>4.7288826569216305E-2</v>
      </c>
      <c r="BQ59" s="266">
        <f>(Financials!AJ6-Financials!W6)/Financials!W6</f>
        <v>4.9145581980968731E-2</v>
      </c>
      <c r="BR59" s="266">
        <f>(Financials!AK6-Financials!X6)/Financials!X6</f>
        <v>1.7458530957586427E-2</v>
      </c>
      <c r="BS59" s="266">
        <f>(Financials!AL6-Financials!Y6)/Financials!Y6</f>
        <v>8.7085005086087533E-3</v>
      </c>
      <c r="BT59" s="266">
        <f>(Financials!AM6-Financials!Z6)/Financials!Z6</f>
        <v>2.3423814740570936E-2</v>
      </c>
      <c r="BU59" s="266">
        <f>(Financials!AN6-Financials!AA6)/Financials!AA6</f>
        <v>5.5743926285116652E-2</v>
      </c>
      <c r="BV59" s="266">
        <f>(Financials!AO6-Financials!AB6)/Financials!AB6</f>
        <v>8.4024804960864202E-2</v>
      </c>
      <c r="BW59" s="266">
        <f>(Financials!AP6-Financials!AC6)/Financials!AC6</f>
        <v>0.13567184238747695</v>
      </c>
      <c r="BX59" s="266">
        <f>(Financials!AQ6-Financials!AD6)/Financials!AD6</f>
        <v>0.14557052459646064</v>
      </c>
      <c r="BY59" s="266">
        <f>(Financials!AR6-Financials!AE6)/Financials!AE6</f>
        <v>0.10331210355252277</v>
      </c>
      <c r="BZ59" s="266">
        <f>(Financials!AS6-Financials!AF6)/Financials!AF6</f>
        <v>-1</v>
      </c>
      <c r="CA59" s="266">
        <f>(Financials!AT6-Financials!AG6)/Financials!AG6</f>
        <v>9.5484482961498529E-2</v>
      </c>
      <c r="CB59" s="266">
        <f>(Financials!AU6-Financials!AH6)/Financials!AH6</f>
        <v>9.7582625560645203E-2</v>
      </c>
      <c r="CC59" s="266">
        <f>(Financials!AV6-Financials!AI6)/Financials!AI6</f>
        <v>7.548445519912593E-2</v>
      </c>
      <c r="CD59" s="266">
        <f>(Financials!AW6-Financials!AJ6)/Financials!AJ6</f>
        <v>7.7733938702160457E-2</v>
      </c>
      <c r="CE59" s="266">
        <f>(Financials!AX6-Financials!AK6)/Financials!AK6</f>
        <v>-9.7193085871780452E-2</v>
      </c>
      <c r="CF59" s="266">
        <f>(Financials!AY6-Financials!AL6)/Financials!AL6</f>
        <v>0.1334286795088489</v>
      </c>
      <c r="CG59" s="266" t="e">
        <f>(Financials!AZ6-Financials!AM6)/Financials!AM6</f>
        <v>#REF!</v>
      </c>
      <c r="CH59" s="266">
        <f>(Financials!BA6-Financials!AN6)/Financials!AN6</f>
        <v>6.3569028585811288E-2</v>
      </c>
      <c r="CI59" s="266">
        <f>(Financials!BB6-Financials!AO6)/Financials!AO6</f>
        <v>5.8344911389454267E-2</v>
      </c>
      <c r="CJ59" s="266">
        <f>(Financials!BC6-Financials!AP6)/Financials!AP6</f>
        <v>9.1956777939762535E-2</v>
      </c>
      <c r="CK59" s="266">
        <f>(Financials!BD6-Financials!AQ6)/Financials!AQ6</f>
        <v>9.7196671116945133E-2</v>
      </c>
      <c r="CL59" s="266">
        <f>(Financials!BE6-Financials!AR6)/Financials!AR6</f>
        <v>0.19822882244214043</v>
      </c>
      <c r="CM59" s="266" t="e">
        <f>(Financials!BF6-Financials!AS6)/Financials!AS6</f>
        <v>#DIV/0!</v>
      </c>
      <c r="CN59" s="266">
        <f>(Financials!BG6-Financials!AT6)/Financials!AT6</f>
        <v>0.20661780364670765</v>
      </c>
      <c r="CO59" s="266">
        <f>(Financials!BH6-Financials!AU6)/Financials!AU6</f>
        <v>0.21255142923673692</v>
      </c>
      <c r="CP59" s="266">
        <f>(Financials!BI6-Financials!AV6)/Financials!AV6</f>
        <v>0.22494428826403748</v>
      </c>
      <c r="CQ59" s="266">
        <f>(Financials!BJ6-Financials!AW6)/Financials!AW6</f>
        <v>0.22047311094053976</v>
      </c>
      <c r="CR59" s="266">
        <f>(Financials!BK6-Financials!AX6)/Financials!AX6</f>
        <v>0.45503991617953282</v>
      </c>
      <c r="CS59" s="266">
        <f>(Financials!BL6-Financials!AY6)/Financials!AY6</f>
        <v>0.15231405574227025</v>
      </c>
      <c r="CT59" s="266" t="e">
        <f>(Financials!BM6-Financials!AZ6)/Financials!AZ6</f>
        <v>#REF!</v>
      </c>
      <c r="CU59" s="266">
        <f>(Financials!BN6-Financials!BA6)/Financials!BA6</f>
        <v>0.13169365546970069</v>
      </c>
      <c r="CV59" s="266">
        <f>(Financials!BO6-Financials!BB6)/Financials!BB6</f>
        <v>0.1145478405456659</v>
      </c>
      <c r="CW59" s="266">
        <f>(Financials!BP6-Financials!BC6)/Financials!BC6</f>
        <v>0.1182727286622702</v>
      </c>
      <c r="CX59" s="266">
        <f>(Financials!BQ6-Financials!BD6)/Financials!BD6</f>
        <v>8.1870984496589583E-2</v>
      </c>
      <c r="CY59" s="266">
        <f>(Financials!BR6-Financials!BE6)/Financials!BE6</f>
        <v>5.7274848002675342E-2</v>
      </c>
      <c r="CZ59" s="266">
        <f>(Financials!BS6-Financials!BF6)/Financials!BF6</f>
        <v>5.7274851329481992E-2</v>
      </c>
    </row>
    <row r="60" spans="1:114" ht="12.75">
      <c r="A60" s="102" t="s">
        <v>378</v>
      </c>
      <c r="AM60" s="266" t="e">
        <f>(Financials!F7-Financials!#REF!)/Financials!#REF!</f>
        <v>#REF!</v>
      </c>
      <c r="AN60" s="266" t="e">
        <f>(Financials!G7-Financials!#REF!)/Financials!#REF!</f>
        <v>#REF!</v>
      </c>
      <c r="AO60" s="266" t="e">
        <f>(Financials!H7-Financials!#REF!)/Financials!#REF!</f>
        <v>#REF!</v>
      </c>
      <c r="AP60" s="266" t="e">
        <f>(Financials!I7-Financials!#REF!)/Financials!#REF!</f>
        <v>#REF!</v>
      </c>
      <c r="AQ60" s="266" t="e">
        <f>(Financials!J7-Financials!#REF!)/Financials!#REF!</f>
        <v>#REF!</v>
      </c>
      <c r="AR60" s="266" t="e">
        <f>(Financials!K7-Financials!#REF!)/Financials!#REF!</f>
        <v>#REF!</v>
      </c>
      <c r="AS60" s="266" t="e">
        <f>(Financials!L7-Financials!#REF!)/Financials!#REF!</f>
        <v>#REF!</v>
      </c>
      <c r="AT60" s="266" t="e">
        <f>(Financials!M7-Financials!#REF!)/Financials!#REF!</f>
        <v>#REF!</v>
      </c>
      <c r="AU60" s="266" t="e">
        <f>(Financials!N7-Financials!A7)/Financials!A7</f>
        <v>#REF!</v>
      </c>
      <c r="AV60" s="266" t="e">
        <f>(Financials!O7-Financials!B7)/Financials!B7</f>
        <v>#REF!</v>
      </c>
      <c r="AW60" s="266" t="e">
        <f>(Financials!P7-Financials!C7)/Financials!C7</f>
        <v>#REF!</v>
      </c>
      <c r="AX60" s="266" t="e">
        <f>(Financials!Q7-Financials!D7)/Financials!D7</f>
        <v>#REF!</v>
      </c>
      <c r="AY60" s="266" t="e">
        <f>(Financials!R7-Financials!E7)/Financials!E7</f>
        <v>#REF!</v>
      </c>
      <c r="AZ60" s="266" t="e">
        <f>(Financials!S7-Financials!F7)/Financials!F7</f>
        <v>#REF!</v>
      </c>
      <c r="BA60" s="266" t="e">
        <f>(Financials!T7-Financials!G7)/Financials!G7</f>
        <v>#REF!</v>
      </c>
      <c r="BB60" s="266" t="e">
        <f>(Financials!U7-Financials!H7)/Financials!H7</f>
        <v>#REF!</v>
      </c>
      <c r="BC60" s="266" t="e">
        <f>(Financials!V7-Financials!I7)/Financials!I7</f>
        <v>#REF!</v>
      </c>
      <c r="BD60" s="266" t="e">
        <f>(Financials!W7-Financials!J7)/Financials!J7</f>
        <v>#REF!</v>
      </c>
      <c r="BE60" s="266" t="e">
        <f>(Financials!X7-Financials!K7)/Financials!K7</f>
        <v>#REF!</v>
      </c>
      <c r="BF60" s="266" t="e">
        <f>(Financials!Y7-Financials!L7)/Financials!L7</f>
        <v>#REF!</v>
      </c>
      <c r="BG60" s="266" t="e">
        <f>(Financials!Z7-Financials!M7)/Financials!M7</f>
        <v>#REF!</v>
      </c>
      <c r="BH60" s="266" t="e">
        <f>(Financials!AA7-Financials!N7)/Financials!N7</f>
        <v>#REF!</v>
      </c>
      <c r="BI60" s="266" t="e">
        <f>(Financials!AB7-Financials!O7)/Financials!O7</f>
        <v>#REF!</v>
      </c>
      <c r="BJ60" s="266" t="e">
        <f>(Financials!AC7-Financials!P7)/Financials!P7</f>
        <v>#REF!</v>
      </c>
      <c r="BK60" s="266" t="e">
        <f>(Financials!AD7-Financials!Q7)/Financials!Q7</f>
        <v>#REF!</v>
      </c>
      <c r="BL60" s="266" t="e">
        <f>(Financials!AE7-Financials!R7)/Financials!R7</f>
        <v>#REF!</v>
      </c>
      <c r="BM60" s="266">
        <f>(Financials!AF7-Financials!S7)/Financials!S7</f>
        <v>0.27699795578121028</v>
      </c>
      <c r="BN60" s="266">
        <f>(Financials!AG7-Financials!T7)/Financials!T7</f>
        <v>0.29783361882658721</v>
      </c>
      <c r="BO60" s="266">
        <f>(Financials!AH7-Financials!U7)/Financials!U7</f>
        <v>0.44289525962147652</v>
      </c>
      <c r="BP60" s="266">
        <f>(Financials!AI7-Financials!V7)/Financials!V7</f>
        <v>0.41573622523494536</v>
      </c>
      <c r="BQ60" s="266">
        <f>(Financials!AJ7-Financials!W7)/Financials!W7</f>
        <v>0.19472839701547459</v>
      </c>
      <c r="BR60" s="266">
        <f>(Financials!AK7-Financials!X7)/Financials!X7</f>
        <v>-0.56872537191490768</v>
      </c>
      <c r="BS60" s="266">
        <f>(Financials!AL7-Financials!Y7)/Financials!Y7</f>
        <v>-0.38790244989333478</v>
      </c>
      <c r="BT60" s="266">
        <f>(Financials!AM7-Financials!Z7)/Financials!Z7</f>
        <v>1.0406599557881047</v>
      </c>
      <c r="BU60" s="266">
        <f>(Financials!AN7-Financials!AA7)/Financials!AA7</f>
        <v>0.97575152656740749</v>
      </c>
      <c r="BV60" s="266">
        <f>(Financials!AO7-Financials!AB7)/Financials!AB7</f>
        <v>0.60447958123205769</v>
      </c>
      <c r="BW60" s="266">
        <f>(Financials!AP7-Financials!AC7)/Financials!AC7</f>
        <v>0.44210961015517924</v>
      </c>
      <c r="BX60" s="266">
        <f>(Financials!AQ7-Financials!AD7)/Financials!AD7</f>
        <v>0.31652997314014519</v>
      </c>
      <c r="BY60" s="266">
        <f>(Financials!AR7-Financials!AE7)/Financials!AE7</f>
        <v>0.28828601873087034</v>
      </c>
      <c r="BZ60" s="266">
        <f>(Financials!AS7-Financials!AF7)/Financials!AF7</f>
        <v>2.1089522300934336</v>
      </c>
      <c r="CA60" s="266">
        <f>(Financials!AT7-Financials!AG7)/Financials!AG7</f>
        <v>0.23696009466171508</v>
      </c>
      <c r="CB60" s="266">
        <f>(Financials!AU7-Financials!AH7)/Financials!AH7</f>
        <v>0.25132573902958583</v>
      </c>
      <c r="CC60" s="266">
        <f>(Financials!AV7-Financials!AI7)/Financials!AI7</f>
        <v>0.27816753881891665</v>
      </c>
      <c r="CD60" s="266">
        <f>(Financials!AW7-Financials!AJ7)/Financials!AJ7</f>
        <v>1.3028242734072426</v>
      </c>
      <c r="CE60" s="266">
        <f>(Financials!AX7-Financials!AK7)/Financials!AK7</f>
        <v>1.3375392197303255</v>
      </c>
      <c r="CF60" s="266">
        <f>(Financials!AY7-Financials!AL7)/Financials!AL7</f>
        <v>2.2258917489478134</v>
      </c>
      <c r="CG60" s="266" t="e">
        <f>(Financials!AZ7-Financials!AM7)/Financials!AM7</f>
        <v>#REF!</v>
      </c>
      <c r="CH60" s="266">
        <f>(Financials!BA7-Financials!AN7)/Financials!AN7</f>
        <v>-0.16452318010105083</v>
      </c>
      <c r="CI60" s="266">
        <f>(Financials!BB7-Financials!AO7)/Financials!AO7</f>
        <v>1.1935044359111384</v>
      </c>
      <c r="CJ60" s="266">
        <f>(Financials!BC7-Financials!AP7)/Financials!AP7</f>
        <v>0.76406870709288077</v>
      </c>
      <c r="CK60" s="266">
        <f>(Financials!BD7-Financials!AQ7)/Financials!AQ7</f>
        <v>0.61895094316256793</v>
      </c>
      <c r="CL60" s="266">
        <f>(Financials!BE7-Financials!AR7)/Financials!AR7</f>
        <v>0.50418072365147382</v>
      </c>
      <c r="CM60" s="266">
        <f>(Financials!BF7-Financials!AS7)/Financials!AS7</f>
        <v>-0.37669837585222282</v>
      </c>
      <c r="CN60" s="266">
        <f>(Financials!BG7-Financials!AT7)/Financials!AT7</f>
        <v>0.4721883580229676</v>
      </c>
      <c r="CO60" s="266">
        <f>(Financials!BH7-Financials!AU7)/Financials!AU7</f>
        <v>0.34470671193533287</v>
      </c>
      <c r="CP60" s="266">
        <f>(Financials!BI7-Financials!AV7)/Financials!AV7</f>
        <v>0.3897717665412585</v>
      </c>
      <c r="CQ60" s="266">
        <f>(Financials!BJ7-Financials!AW7)/Financials!AW7</f>
        <v>-0.11552000188333651</v>
      </c>
      <c r="CR60" s="266">
        <f>(Financials!BK7-Financials!AX7)/Financials!AX7</f>
        <v>-0.1455137136762259</v>
      </c>
      <c r="CS60" s="266">
        <f>(Financials!BL7-Financials!AY7)/Financials!AY7</f>
        <v>-0.44523886423921</v>
      </c>
      <c r="CT60" s="266" t="e">
        <f>(Financials!BM7-Financials!AZ7)/Financials!AZ7</f>
        <v>#REF!</v>
      </c>
      <c r="CU60" s="266">
        <f>(Financials!BN7-Financials!BA7)/Financials!BA7</f>
        <v>-0.28657368853204407</v>
      </c>
      <c r="CV60" s="266">
        <f>(Financials!BO7-Financials!BB7)/Financials!BB7</f>
        <v>-0.33309315601848649</v>
      </c>
      <c r="CW60" s="266">
        <f>(Financials!BP7-Financials!BC7)/Financials!BC7</f>
        <v>0.17091165563954516</v>
      </c>
      <c r="CX60" s="266">
        <f>(Financials!BQ7-Financials!BD7)/Financials!BD7</f>
        <v>0.2100653098680747</v>
      </c>
      <c r="CY60" s="266">
        <f>(Financials!BR7-Financials!BE7)/Financials!BE7</f>
        <v>0.30617808136476699</v>
      </c>
      <c r="CZ60" s="266">
        <f>(Financials!BS7-Financials!BF7)/Financials!BF7</f>
        <v>0.30617808808344749</v>
      </c>
    </row>
    <row r="61" spans="1:114" ht="12.75"/>
    <row r="63" spans="1:114">
      <c r="CI63" s="102">
        <f>(BM57+BZ57)/2</f>
        <v>0.11135384255944308</v>
      </c>
      <c r="CK63" s="102">
        <f>12.2-9.64</f>
        <v>2.5599999999999987</v>
      </c>
    </row>
  </sheetData>
  <mergeCells count="1">
    <mergeCell ref="F3:W3"/>
  </mergeCells>
  <phoneticPr fontId="40" type="noConversion"/>
  <pageMargins left="0.7" right="0.7" top="0.75" bottom="0.75" header="0.3" footer="0.3"/>
  <pageSetup scale="4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4"/>
  <sheetViews>
    <sheetView zoomScale="70" zoomScaleNormal="70" workbookViewId="0">
      <selection activeCell="E4" sqref="E4"/>
    </sheetView>
  </sheetViews>
  <sheetFormatPr defaultColWidth="8.85546875" defaultRowHeight="14.45"/>
  <cols>
    <col min="1" max="1" width="53.85546875" customWidth="1"/>
    <col min="2" max="2" width="18" bestFit="1" customWidth="1"/>
    <col min="3" max="3" width="19" bestFit="1" customWidth="1"/>
    <col min="4" max="4" width="21" bestFit="1" customWidth="1"/>
    <col min="5" max="5" width="19" bestFit="1" customWidth="1"/>
  </cols>
  <sheetData>
    <row r="1" spans="1:5">
      <c r="A1" s="411" t="s">
        <v>379</v>
      </c>
      <c r="B1" s="412"/>
      <c r="C1" s="412"/>
      <c r="D1" s="412"/>
      <c r="E1" s="412"/>
    </row>
    <row r="2" spans="1:5">
      <c r="A2" s="415" t="s">
        <v>380</v>
      </c>
      <c r="B2" s="416"/>
      <c r="C2" s="416"/>
      <c r="D2" s="416"/>
      <c r="E2" s="416"/>
    </row>
    <row r="3" spans="1:5" ht="14.45" customHeight="1">
      <c r="A3" s="246"/>
      <c r="B3" s="446" t="s">
        <v>114</v>
      </c>
      <c r="C3" s="417" t="s">
        <v>116</v>
      </c>
      <c r="D3" s="421"/>
      <c r="E3" s="422"/>
    </row>
    <row r="4" spans="1:5">
      <c r="A4" s="43"/>
      <c r="B4" s="447"/>
      <c r="C4" s="269">
        <v>43891</v>
      </c>
      <c r="D4" s="221">
        <v>43983</v>
      </c>
      <c r="E4" s="222">
        <v>44075</v>
      </c>
    </row>
    <row r="5" spans="1:5">
      <c r="A5" s="407" t="s">
        <v>119</v>
      </c>
      <c r="B5" s="408"/>
      <c r="C5" s="408"/>
      <c r="D5" s="408"/>
      <c r="E5" s="408"/>
    </row>
    <row r="6" spans="1:5">
      <c r="A6" s="236" t="s">
        <v>120</v>
      </c>
      <c r="B6" s="237" t="s">
        <v>121</v>
      </c>
      <c r="C6" s="258">
        <f>'Prudential Ratios'!CC6</f>
        <v>46.437932770000003</v>
      </c>
      <c r="D6" s="258">
        <f>'Prudential Ratios'!CF6</f>
        <v>68.707641780000003</v>
      </c>
      <c r="E6" s="258">
        <f>'Prudential Ratios'!CI6</f>
        <v>74.161357680000009</v>
      </c>
    </row>
    <row r="7" spans="1:5">
      <c r="A7" s="236" t="s">
        <v>122</v>
      </c>
      <c r="B7" s="238" t="s">
        <v>123</v>
      </c>
      <c r="C7" s="259">
        <f>'Prudential Ratios'!CC7</f>
        <v>0.11596644323174746</v>
      </c>
      <c r="D7" s="259">
        <f>'Prudential Ratios'!CF7</f>
        <v>0.12945363838192206</v>
      </c>
      <c r="E7" s="259">
        <f>'Prudential Ratios'!CI7</f>
        <v>0.11270790131886053</v>
      </c>
    </row>
    <row r="8" spans="1:5">
      <c r="A8" s="236" t="s">
        <v>124</v>
      </c>
      <c r="B8" s="238" t="s">
        <v>125</v>
      </c>
      <c r="C8" s="252">
        <f>'Prudential Ratios'!CC10</f>
        <v>-5.1410075860230171E-2</v>
      </c>
      <c r="D8" s="252">
        <f>'Prudential Ratios'!CF10</f>
        <v>2.200015970066525E-3</v>
      </c>
      <c r="E8" s="252">
        <f>'Prudential Ratios'!CI10</f>
        <v>9.384667769498126E-3</v>
      </c>
    </row>
    <row r="9" spans="1:5">
      <c r="A9" s="407" t="s">
        <v>126</v>
      </c>
      <c r="B9" s="408"/>
      <c r="C9" s="408"/>
      <c r="D9" s="408"/>
      <c r="E9" s="408"/>
    </row>
    <row r="10" spans="1:5">
      <c r="A10" s="236" t="s">
        <v>127</v>
      </c>
      <c r="B10" s="237" t="s">
        <v>128</v>
      </c>
      <c r="C10" s="252"/>
      <c r="D10" s="252"/>
      <c r="E10" s="252"/>
    </row>
    <row r="11" spans="1:5">
      <c r="A11" s="236" t="s">
        <v>129</v>
      </c>
      <c r="B11" s="237" t="s">
        <v>130</v>
      </c>
      <c r="C11" s="126">
        <v>5.6281711740564205E-2</v>
      </c>
      <c r="D11" s="126">
        <v>4.6092465741791759E-2</v>
      </c>
      <c r="E11" s="126">
        <v>4.6073268083153866E-2</v>
      </c>
    </row>
    <row r="12" spans="1:5">
      <c r="A12" s="236" t="s">
        <v>131</v>
      </c>
      <c r="B12" s="237" t="s">
        <v>128</v>
      </c>
      <c r="C12" s="126">
        <v>9.2299141827292281E-3</v>
      </c>
      <c r="D12" s="126">
        <v>1.0993197686751522E-2</v>
      </c>
      <c r="E12" s="126">
        <v>1.1039495498004313E-2</v>
      </c>
    </row>
    <row r="13" spans="1:5">
      <c r="A13" s="240" t="s">
        <v>132</v>
      </c>
      <c r="B13" s="237" t="s">
        <v>133</v>
      </c>
      <c r="C13" s="126">
        <v>5.2850755648498275E-2</v>
      </c>
      <c r="D13" s="126">
        <v>5.9893796905143404E-2</v>
      </c>
      <c r="E13" s="126">
        <v>5.6228953636999937E-2</v>
      </c>
    </row>
    <row r="14" spans="1:5">
      <c r="A14" s="407" t="s">
        <v>134</v>
      </c>
      <c r="B14" s="408"/>
      <c r="C14" s="408"/>
      <c r="D14" s="408"/>
      <c r="E14" s="408"/>
    </row>
    <row r="15" spans="1:5">
      <c r="A15" s="236" t="s">
        <v>135</v>
      </c>
      <c r="B15" s="237"/>
      <c r="C15" s="252">
        <f>Financials!AV41</f>
        <v>1.5940670989329296E-2</v>
      </c>
      <c r="D15" s="252"/>
      <c r="E15" s="252"/>
    </row>
    <row r="16" spans="1:5">
      <c r="A16" s="236" t="s">
        <v>136</v>
      </c>
      <c r="B16" s="237"/>
      <c r="C16" s="252"/>
      <c r="D16" s="252"/>
      <c r="E16" s="252"/>
    </row>
    <row r="17" spans="1:7">
      <c r="A17" s="236" t="s">
        <v>381</v>
      </c>
      <c r="B17" s="237"/>
      <c r="C17" s="251"/>
      <c r="D17" s="251"/>
      <c r="E17" s="251"/>
    </row>
    <row r="18" spans="1:7">
      <c r="A18" s="240" t="s">
        <v>382</v>
      </c>
      <c r="B18" s="241"/>
      <c r="C18" s="251"/>
      <c r="D18" s="251"/>
      <c r="E18" s="251"/>
    </row>
    <row r="19" spans="1:7">
      <c r="A19" s="407" t="s">
        <v>139</v>
      </c>
      <c r="B19" s="408"/>
      <c r="C19" s="408"/>
      <c r="D19" s="408"/>
      <c r="E19" s="408"/>
    </row>
    <row r="20" spans="1:7">
      <c r="A20" s="236" t="s">
        <v>140</v>
      </c>
      <c r="B20" s="242" t="s">
        <v>141</v>
      </c>
      <c r="C20" s="259"/>
      <c r="D20" s="259"/>
      <c r="E20" s="259"/>
      <c r="G20" s="195"/>
    </row>
    <row r="21" spans="1:7">
      <c r="A21" s="236" t="s">
        <v>142</v>
      </c>
      <c r="B21" s="237" t="s">
        <v>143</v>
      </c>
      <c r="C21" s="259"/>
      <c r="D21" s="259"/>
      <c r="E21" s="259"/>
      <c r="G21" s="224"/>
    </row>
    <row r="22" spans="1:7">
      <c r="A22" s="236" t="s">
        <v>144</v>
      </c>
      <c r="B22" s="237"/>
      <c r="C22" s="259"/>
      <c r="D22" s="259"/>
      <c r="E22" s="259"/>
    </row>
    <row r="23" spans="1:7">
      <c r="A23" s="407" t="s">
        <v>145</v>
      </c>
      <c r="B23" s="408"/>
      <c r="C23" s="408"/>
      <c r="D23" s="408"/>
      <c r="E23" s="408"/>
    </row>
    <row r="24" spans="1:7">
      <c r="A24" s="243" t="s">
        <v>146</v>
      </c>
      <c r="B24" s="241" t="s">
        <v>147</v>
      </c>
      <c r="C24" s="251">
        <f>Financials!AV31/Financials!AV4</f>
        <v>0.65116604137553025</v>
      </c>
      <c r="D24" s="251"/>
      <c r="E24" s="251"/>
    </row>
    <row r="25" spans="1:7">
      <c r="A25" s="243" t="s">
        <v>148</v>
      </c>
      <c r="B25" s="244" t="s">
        <v>149</v>
      </c>
      <c r="C25" s="251">
        <f>Financials!AV31/Financials!AV5</f>
        <v>1.4613971279930109</v>
      </c>
      <c r="D25" s="251"/>
      <c r="E25" s="251"/>
    </row>
    <row r="26" spans="1:7">
      <c r="A26" s="243" t="s">
        <v>150</v>
      </c>
      <c r="B26" s="244"/>
      <c r="C26" s="251"/>
      <c r="D26" s="251"/>
      <c r="E26" s="251"/>
    </row>
    <row r="27" spans="1:7">
      <c r="A27" s="243" t="s">
        <v>151</v>
      </c>
      <c r="B27" s="245"/>
      <c r="C27" s="251"/>
      <c r="D27" s="251"/>
      <c r="E27" s="251"/>
    </row>
    <row r="28" spans="1:7">
      <c r="A28" s="407" t="s">
        <v>152</v>
      </c>
      <c r="B28" s="408"/>
      <c r="C28" s="408">
        <v>2015</v>
      </c>
      <c r="D28" s="408">
        <v>2016</v>
      </c>
      <c r="E28" s="408">
        <v>2017</v>
      </c>
    </row>
    <row r="29" spans="1:7">
      <c r="A29" s="196" t="s">
        <v>39</v>
      </c>
      <c r="B29" s="247"/>
      <c r="C29" s="260">
        <v>32287995000</v>
      </c>
      <c r="D29" s="260">
        <v>34484633191.779999</v>
      </c>
      <c r="E29" s="260">
        <v>37038736368.150002</v>
      </c>
    </row>
    <row r="30" spans="1:7">
      <c r="A30" s="196" t="s">
        <v>154</v>
      </c>
      <c r="B30" s="247"/>
      <c r="C30" s="260">
        <v>30426610000</v>
      </c>
      <c r="D30" s="260">
        <v>32935176890.91</v>
      </c>
      <c r="E30" s="260">
        <v>34818535526.945</v>
      </c>
    </row>
    <row r="31" spans="1:7">
      <c r="A31" s="196" t="s">
        <v>155</v>
      </c>
      <c r="B31" s="247"/>
      <c r="C31" s="199">
        <v>24900152000</v>
      </c>
      <c r="D31" s="199">
        <v>26843352087.939999</v>
      </c>
      <c r="E31" s="199">
        <v>28268507426.619999</v>
      </c>
    </row>
    <row r="32" spans="1:7">
      <c r="A32" s="196" t="s">
        <v>156</v>
      </c>
      <c r="B32" s="247"/>
      <c r="C32" s="200">
        <v>25830313000</v>
      </c>
      <c r="D32" s="200">
        <v>26899520929.049999</v>
      </c>
      <c r="E32" s="200">
        <v>30403318259.57</v>
      </c>
    </row>
    <row r="33" spans="1:5">
      <c r="A33" s="196" t="s">
        <v>157</v>
      </c>
      <c r="B33" s="247"/>
      <c r="C33" s="260">
        <v>4057843000</v>
      </c>
      <c r="D33" s="260">
        <v>3934092558.7950001</v>
      </c>
      <c r="E33" s="260">
        <v>4252451960.625</v>
      </c>
    </row>
    <row r="34" spans="1:5">
      <c r="A34" s="196" t="s">
        <v>158</v>
      </c>
      <c r="B34" s="247"/>
      <c r="C34" s="260">
        <v>2563456000</v>
      </c>
      <c r="D34" s="260">
        <v>2227420440.165</v>
      </c>
      <c r="E34" s="260">
        <v>2490639324.6350002</v>
      </c>
    </row>
    <row r="35" spans="1:5">
      <c r="A35" s="196" t="s">
        <v>159</v>
      </c>
      <c r="B35" s="247"/>
      <c r="C35" s="199">
        <v>0</v>
      </c>
      <c r="D35" s="199">
        <v>1461446866.3599999</v>
      </c>
      <c r="E35" s="199">
        <v>1448345728.75</v>
      </c>
    </row>
    <row r="36" spans="1:5">
      <c r="A36" s="196" t="s">
        <v>129</v>
      </c>
      <c r="B36" s="247"/>
      <c r="C36" s="200">
        <v>1157968000</v>
      </c>
      <c r="D36" s="200">
        <v>1231932957.72</v>
      </c>
      <c r="E36" s="200">
        <v>1380607205.1300001</v>
      </c>
    </row>
    <row r="37" spans="1:5">
      <c r="A37" s="196" t="s">
        <v>35</v>
      </c>
      <c r="B37" s="247"/>
      <c r="C37" s="260">
        <v>320370000</v>
      </c>
      <c r="D37" s="260">
        <v>303851448.54000002</v>
      </c>
      <c r="E37" s="260">
        <v>301707498.67000002</v>
      </c>
    </row>
    <row r="38" spans="1:5">
      <c r="A38" s="196" t="s">
        <v>160</v>
      </c>
      <c r="B38" s="247"/>
      <c r="C38" s="260">
        <v>0</v>
      </c>
      <c r="D38" s="260">
        <v>666865205.59000003</v>
      </c>
      <c r="E38" s="260">
        <v>666871205.59000003</v>
      </c>
    </row>
    <row r="39" spans="1:5">
      <c r="A39" s="196" t="s">
        <v>161</v>
      </c>
      <c r="B39" s="247"/>
      <c r="C39" s="260">
        <v>4680656000</v>
      </c>
      <c r="D39" s="260">
        <v>925821743.94000006</v>
      </c>
      <c r="E39" s="260">
        <v>947841186.87</v>
      </c>
    </row>
    <row r="40" spans="1:5">
      <c r="A40" s="196" t="s">
        <v>166</v>
      </c>
      <c r="B40" s="247"/>
      <c r="C40" s="260">
        <v>1947404000</v>
      </c>
      <c r="D40" s="260">
        <v>6211094861.3199997</v>
      </c>
      <c r="E40" s="260">
        <v>5187299682.0699997</v>
      </c>
    </row>
    <row r="41" spans="1:5">
      <c r="A41" s="196" t="s">
        <v>383</v>
      </c>
      <c r="B41" s="247"/>
      <c r="C41" s="260">
        <v>8573442000</v>
      </c>
      <c r="D41" s="260">
        <v>8534653866.8000002</v>
      </c>
      <c r="E41" s="260">
        <v>9760557073.7399998</v>
      </c>
    </row>
    <row r="42" spans="1:5">
      <c r="A42" s="196" t="s">
        <v>168</v>
      </c>
      <c r="B42" s="247"/>
      <c r="C42" s="260">
        <v>329468000</v>
      </c>
      <c r="D42" s="260">
        <v>0</v>
      </c>
      <c r="E42" s="260">
        <v>0</v>
      </c>
    </row>
    <row r="43" spans="1:5">
      <c r="A43" s="196" t="s">
        <v>384</v>
      </c>
      <c r="B43" s="247"/>
      <c r="C43" s="260">
        <v>24572016000</v>
      </c>
      <c r="D43" s="260">
        <v>25854910046.814999</v>
      </c>
      <c r="E43" s="260">
        <v>28116815764.915001</v>
      </c>
    </row>
    <row r="44" spans="1:5">
      <c r="A44" s="196" t="s">
        <v>162</v>
      </c>
      <c r="B44" s="247"/>
      <c r="C44" s="260">
        <v>4601812000</v>
      </c>
      <c r="D44" s="260">
        <v>3667447515.0700002</v>
      </c>
      <c r="E44" s="260">
        <v>5236445384.25</v>
      </c>
    </row>
    <row r="45" spans="1:5">
      <c r="A45" s="196" t="s">
        <v>385</v>
      </c>
      <c r="B45" s="247"/>
      <c r="C45" s="260">
        <v>2290844000</v>
      </c>
      <c r="D45" s="260">
        <v>1822986659.8199999</v>
      </c>
      <c r="E45" s="260">
        <v>2743444185.1799998</v>
      </c>
    </row>
    <row r="46" spans="1:5">
      <c r="A46" s="196" t="s">
        <v>164</v>
      </c>
      <c r="B46" s="247"/>
      <c r="C46" s="260">
        <v>2262095000</v>
      </c>
      <c r="D46" s="260">
        <v>1818853774.6400001</v>
      </c>
      <c r="E46" s="260">
        <v>2465214636.7800002</v>
      </c>
    </row>
    <row r="47" spans="1:5">
      <c r="A47" s="196" t="s">
        <v>165</v>
      </c>
      <c r="B47" s="247"/>
      <c r="C47" s="260">
        <v>1160634000</v>
      </c>
      <c r="D47" s="260">
        <v>925513326.45000005</v>
      </c>
      <c r="E47" s="260">
        <v>1270243060.51</v>
      </c>
    </row>
    <row r="48" spans="1:5">
      <c r="A48" s="196" t="s">
        <v>386</v>
      </c>
      <c r="B48" s="247"/>
      <c r="C48" s="260">
        <v>3923914000</v>
      </c>
      <c r="D48" s="260">
        <v>3180317385.5799999</v>
      </c>
      <c r="E48" s="260">
        <v>4425053884</v>
      </c>
    </row>
    <row r="49" spans="1:5">
      <c r="A49" s="196" t="s">
        <v>111</v>
      </c>
      <c r="B49" s="247"/>
      <c r="C49" s="260">
        <v>3471602000</v>
      </c>
      <c r="D49" s="260">
        <v>2769974181.6999998</v>
      </c>
      <c r="E49" s="260">
        <v>3763244259.5799999</v>
      </c>
    </row>
    <row r="50" spans="1:5">
      <c r="A50" s="196" t="s">
        <v>163</v>
      </c>
      <c r="B50" s="247"/>
      <c r="C50" s="260">
        <v>848802000</v>
      </c>
      <c r="D50" s="260">
        <v>661659287.57000005</v>
      </c>
      <c r="E50" s="260">
        <v>1111222968.8099999</v>
      </c>
    </row>
    <row r="51" spans="1:5">
      <c r="A51" s="427" t="s">
        <v>387</v>
      </c>
      <c r="B51" s="428"/>
      <c r="C51" s="428"/>
      <c r="D51" s="428"/>
      <c r="E51" s="428"/>
    </row>
    <row r="52" spans="1:5">
      <c r="A52" s="226">
        <v>1</v>
      </c>
      <c r="B52" s="223"/>
      <c r="C52" s="227"/>
      <c r="D52" s="227"/>
      <c r="E52" s="227"/>
    </row>
    <row r="53" spans="1:5">
      <c r="A53" s="226">
        <v>2</v>
      </c>
      <c r="B53" s="223"/>
      <c r="C53" s="227"/>
      <c r="D53" s="227"/>
      <c r="E53" s="227"/>
    </row>
    <row r="54" spans="1:5">
      <c r="A54" s="226">
        <v>3</v>
      </c>
      <c r="B54" s="223"/>
      <c r="C54" s="227"/>
      <c r="D54" s="227"/>
      <c r="E54" s="227"/>
    </row>
    <row r="55" spans="1:5">
      <c r="A55" s="225">
        <v>4</v>
      </c>
      <c r="B55" s="227"/>
      <c r="C55" s="227"/>
      <c r="D55" s="227"/>
      <c r="E55" s="228"/>
    </row>
    <row r="56" spans="1:5">
      <c r="A56" s="248" t="s">
        <v>388</v>
      </c>
      <c r="B56" s="223"/>
      <c r="C56" s="433"/>
      <c r="D56" s="434"/>
      <c r="E56" s="434"/>
    </row>
    <row r="57" spans="1:5">
      <c r="A57" s="248"/>
      <c r="B57" s="223"/>
      <c r="C57" s="365"/>
      <c r="D57" s="365"/>
      <c r="E57" s="366"/>
    </row>
    <row r="58" spans="1:5">
      <c r="A58" s="249" t="s">
        <v>172</v>
      </c>
      <c r="B58" s="231"/>
      <c r="C58" s="433"/>
      <c r="D58" s="434"/>
      <c r="E58" s="434"/>
    </row>
    <row r="59" spans="1:5">
      <c r="A59" s="43"/>
      <c r="B59" s="223"/>
      <c r="C59" s="227"/>
      <c r="D59" s="227"/>
      <c r="E59" s="227"/>
    </row>
    <row r="60" spans="1:5">
      <c r="A60" s="248" t="s">
        <v>389</v>
      </c>
      <c r="B60" s="223"/>
      <c r="C60" s="433"/>
      <c r="D60" s="434"/>
      <c r="E60" s="434"/>
    </row>
    <row r="61" spans="1:5" ht="15" thickBot="1">
      <c r="A61" s="250"/>
      <c r="B61" s="232"/>
      <c r="C61" s="233"/>
      <c r="D61" s="233"/>
      <c r="E61" s="233"/>
    </row>
    <row r="62" spans="1:5">
      <c r="A62" s="255" t="s">
        <v>174</v>
      </c>
    </row>
    <row r="63" spans="1:5">
      <c r="A63" s="194"/>
    </row>
    <row r="64" spans="1:5">
      <c r="A64" s="194"/>
    </row>
  </sheetData>
  <mergeCells count="14">
    <mergeCell ref="C58:E58"/>
    <mergeCell ref="C60:E60"/>
    <mergeCell ref="C3:E3"/>
    <mergeCell ref="A5:E5"/>
    <mergeCell ref="A9:E9"/>
    <mergeCell ref="A14:E14"/>
    <mergeCell ref="A19:E19"/>
    <mergeCell ref="A23:E23"/>
    <mergeCell ref="A28:E28"/>
    <mergeCell ref="A1:E1"/>
    <mergeCell ref="A2:E2"/>
    <mergeCell ref="B3:B4"/>
    <mergeCell ref="A51:E51"/>
    <mergeCell ref="C56:E5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selection activeCell="D17" sqref="D17"/>
    </sheetView>
  </sheetViews>
  <sheetFormatPr defaultRowHeight="14.45"/>
  <cols>
    <col min="1" max="1" width="53.85546875" customWidth="1"/>
    <col min="2" max="2" width="18" bestFit="1" customWidth="1"/>
    <col min="3" max="3" width="19" bestFit="1" customWidth="1"/>
    <col min="4" max="4" width="21" bestFit="1" customWidth="1"/>
    <col min="5" max="6" width="19" bestFit="1" customWidth="1"/>
    <col min="7" max="7" width="26.5703125" customWidth="1"/>
  </cols>
  <sheetData>
    <row r="1" spans="1:7">
      <c r="A1" s="411" t="s">
        <v>379</v>
      </c>
      <c r="B1" s="412"/>
      <c r="C1" s="412"/>
      <c r="D1" s="412"/>
      <c r="E1" s="412"/>
      <c r="F1" s="413"/>
      <c r="G1" s="414"/>
    </row>
    <row r="2" spans="1:7">
      <c r="A2" s="415" t="s">
        <v>390</v>
      </c>
      <c r="B2" s="416"/>
      <c r="C2" s="416"/>
      <c r="D2" s="416"/>
      <c r="E2" s="416"/>
      <c r="F2" s="417"/>
      <c r="G2" s="418"/>
    </row>
    <row r="3" spans="1:7">
      <c r="A3" s="246"/>
      <c r="B3" s="446" t="s">
        <v>114</v>
      </c>
      <c r="C3" s="253" t="s">
        <v>115</v>
      </c>
      <c r="D3" s="421" t="s">
        <v>116</v>
      </c>
      <c r="E3" s="422"/>
      <c r="F3" s="423" t="s">
        <v>75</v>
      </c>
      <c r="G3" s="425" t="s">
        <v>391</v>
      </c>
    </row>
    <row r="4" spans="1:7" ht="28.9">
      <c r="A4" s="43"/>
      <c r="B4" s="447"/>
      <c r="C4" s="220">
        <v>2018</v>
      </c>
      <c r="D4" s="221" t="s">
        <v>392</v>
      </c>
      <c r="E4" s="222" t="s">
        <v>393</v>
      </c>
      <c r="F4" s="424"/>
      <c r="G4" s="426"/>
    </row>
    <row r="5" spans="1:7">
      <c r="A5" s="407" t="s">
        <v>119</v>
      </c>
      <c r="B5" s="408"/>
      <c r="C5" s="408"/>
      <c r="D5" s="408"/>
      <c r="E5" s="408"/>
      <c r="F5" s="409"/>
      <c r="G5" s="410"/>
    </row>
    <row r="6" spans="1:7">
      <c r="A6" s="236" t="s">
        <v>120</v>
      </c>
      <c r="B6" s="237" t="s">
        <v>121</v>
      </c>
      <c r="C6" s="258">
        <v>4057843000</v>
      </c>
      <c r="D6" s="258">
        <v>3934092558.7950001</v>
      </c>
      <c r="E6" s="258">
        <v>4252451960.625</v>
      </c>
      <c r="F6" s="258">
        <f>F33</f>
        <v>160128277</v>
      </c>
      <c r="G6" s="258">
        <v>85755077156.473999</v>
      </c>
    </row>
    <row r="7" spans="1:7">
      <c r="A7" s="236" t="s">
        <v>122</v>
      </c>
      <c r="B7" s="238" t="s">
        <v>123</v>
      </c>
      <c r="C7" s="259">
        <v>0.12567652466497223</v>
      </c>
      <c r="D7" s="259">
        <v>0.11408248238907637</v>
      </c>
      <c r="E7" s="259">
        <v>0.11481093518842959</v>
      </c>
      <c r="F7" s="259">
        <f>F6/F29</f>
        <v>0.38353048590389754</v>
      </c>
      <c r="G7" s="259">
        <v>0.15609441564063267</v>
      </c>
    </row>
    <row r="8" spans="1:7">
      <c r="A8" s="236" t="s">
        <v>124</v>
      </c>
      <c r="B8" s="238" t="s">
        <v>125</v>
      </c>
      <c r="C8" s="252">
        <v>7.939347116474714E-2</v>
      </c>
      <c r="D8" s="252">
        <v>6.4591681395525E-2</v>
      </c>
      <c r="E8" s="252">
        <v>6.7244176471871406E-2</v>
      </c>
      <c r="F8" s="259">
        <f>F34/F29</f>
        <v>0.22374620346351923</v>
      </c>
      <c r="G8" s="259">
        <v>9.1531093473091296E-2</v>
      </c>
    </row>
    <row r="9" spans="1:7">
      <c r="A9" s="407" t="s">
        <v>126</v>
      </c>
      <c r="B9" s="408"/>
      <c r="C9" s="408"/>
      <c r="D9" s="408"/>
      <c r="E9" s="408"/>
      <c r="F9" s="409"/>
      <c r="G9" s="410"/>
    </row>
    <row r="10" spans="1:7">
      <c r="A10" s="236" t="s">
        <v>127</v>
      </c>
      <c r="B10" s="237" t="s">
        <v>128</v>
      </c>
      <c r="C10" s="252">
        <v>0</v>
      </c>
      <c r="D10" s="252">
        <v>5.4329847368460672E-2</v>
      </c>
      <c r="E10" s="252">
        <v>4.7637751786981562E-2</v>
      </c>
      <c r="F10" s="252">
        <f>F35/F32</f>
        <v>0</v>
      </c>
      <c r="G10" s="252">
        <v>7.4348009968905268E-2</v>
      </c>
    </row>
    <row r="11" spans="1:7">
      <c r="A11" s="236" t="s">
        <v>129</v>
      </c>
      <c r="B11" s="237" t="s">
        <v>130</v>
      </c>
      <c r="C11" s="259">
        <v>3.5863732015568014E-2</v>
      </c>
      <c r="D11" s="259">
        <v>3.5724113719546605E-2</v>
      </c>
      <c r="E11" s="259">
        <v>3.7274684303679397E-2</v>
      </c>
      <c r="F11" s="259">
        <f>F36/F29</f>
        <v>0.36746879498518215</v>
      </c>
      <c r="G11" s="259">
        <v>0.10558072758579623</v>
      </c>
    </row>
    <row r="12" spans="1:7">
      <c r="A12" s="236" t="s">
        <v>131</v>
      </c>
      <c r="B12" s="237" t="s">
        <v>128</v>
      </c>
      <c r="C12" s="239">
        <v>0</v>
      </c>
      <c r="D12" s="239">
        <v>2.4842843896891877E-2</v>
      </c>
      <c r="E12" s="239">
        <v>2.3590605458073042E-2</v>
      </c>
      <c r="F12" s="239">
        <f>F38/F31</f>
        <v>6.2837741661186039E-2</v>
      </c>
      <c r="G12" s="239">
        <v>3.4793573937293563E-2</v>
      </c>
    </row>
    <row r="13" spans="1:7">
      <c r="A13" s="240" t="s">
        <v>132</v>
      </c>
      <c r="B13" s="237" t="s">
        <v>133</v>
      </c>
      <c r="C13" s="251">
        <v>0</v>
      </c>
      <c r="D13" s="251">
        <v>0.16950928215940569</v>
      </c>
      <c r="E13" s="251">
        <v>0.15682039721196223</v>
      </c>
      <c r="F13" s="251">
        <f>F38/F33</f>
        <v>7.3209505651522122E-2</v>
      </c>
      <c r="G13" s="251">
        <v>0.15319581944703795</v>
      </c>
    </row>
    <row r="14" spans="1:7">
      <c r="A14" s="407" t="s">
        <v>134</v>
      </c>
      <c r="B14" s="408"/>
      <c r="C14" s="408"/>
      <c r="D14" s="408"/>
      <c r="E14" s="408"/>
      <c r="F14" s="409"/>
      <c r="G14" s="410"/>
    </row>
    <row r="15" spans="1:7">
      <c r="A15" s="236" t="s">
        <v>135</v>
      </c>
      <c r="B15" s="237"/>
      <c r="C15" s="252">
        <v>0.15191120603145614</v>
      </c>
      <c r="D15" s="252">
        <v>0.11822951769172337</v>
      </c>
      <c r="E15" s="252">
        <v>0.14554509630234633</v>
      </c>
      <c r="F15" s="252">
        <f>F48/F32</f>
        <v>0.12562861221801658</v>
      </c>
      <c r="G15" s="252">
        <v>0.16355248817800369</v>
      </c>
    </row>
    <row r="16" spans="1:7">
      <c r="A16" s="236" t="s">
        <v>136</v>
      </c>
      <c r="B16" s="237"/>
      <c r="C16" s="252">
        <v>0.75439891938219117</v>
      </c>
      <c r="D16" s="252">
        <v>0.75528665926855931</v>
      </c>
      <c r="E16" s="252">
        <v>0.71866389954127208</v>
      </c>
      <c r="F16" s="252">
        <f>F49/F44</f>
        <v>0.76184818533908361</v>
      </c>
      <c r="G16" s="252">
        <v>0.70158636091463378</v>
      </c>
    </row>
    <row r="17" spans="1:9">
      <c r="A17" s="236" t="s">
        <v>381</v>
      </c>
      <c r="B17" s="237"/>
      <c r="C17" s="251">
        <v>2.7896699632328412E-2</v>
      </c>
      <c r="D17" s="251">
        <v>2.0089744462633077E-2</v>
      </c>
      <c r="E17" s="251">
        <v>3.1914695778920928E-2</v>
      </c>
      <c r="F17" s="251">
        <f>F50/F30</f>
        <v>7.9062901012649073E-4</v>
      </c>
      <c r="G17" s="251">
        <v>3.8444701921891138E-2</v>
      </c>
    </row>
    <row r="18" spans="1:9">
      <c r="A18" s="240" t="s">
        <v>382</v>
      </c>
      <c r="B18" s="241"/>
      <c r="C18" s="251">
        <v>0.25221238938053098</v>
      </c>
      <c r="D18" s="251">
        <v>0.25235898336566515</v>
      </c>
      <c r="E18" s="251">
        <v>0.24257735301328517</v>
      </c>
      <c r="F18" s="251">
        <f>F47/F45</f>
        <v>0.73417194599885505</v>
      </c>
      <c r="G18" s="251">
        <v>0.31925833057103398</v>
      </c>
    </row>
    <row r="19" spans="1:9">
      <c r="A19" s="407" t="s">
        <v>139</v>
      </c>
      <c r="B19" s="408"/>
      <c r="C19" s="408"/>
      <c r="D19" s="408"/>
      <c r="E19" s="408"/>
      <c r="F19" s="409"/>
      <c r="G19" s="410"/>
    </row>
    <row r="20" spans="1:9">
      <c r="A20" s="236" t="s">
        <v>140</v>
      </c>
      <c r="B20" s="242" t="s">
        <v>141</v>
      </c>
      <c r="C20" s="259">
        <v>0.22714377726005494</v>
      </c>
      <c r="D20" s="259">
        <v>0.72775005972782347</v>
      </c>
      <c r="E20" s="259">
        <v>0.53145528916848561</v>
      </c>
      <c r="F20" s="259">
        <f>F40/F41</f>
        <v>0.19378178803415133</v>
      </c>
      <c r="G20" s="259">
        <v>0.55040229586479805</v>
      </c>
      <c r="I20" s="195"/>
    </row>
    <row r="21" spans="1:9">
      <c r="A21" s="236" t="s">
        <v>142</v>
      </c>
      <c r="B21" s="237" t="s">
        <v>143</v>
      </c>
      <c r="C21" s="259">
        <v>1.020404023229067E-2</v>
      </c>
      <c r="D21" s="259">
        <v>0</v>
      </c>
      <c r="E21" s="259">
        <v>0</v>
      </c>
      <c r="F21" s="259">
        <f>F42/F29</f>
        <v>0</v>
      </c>
      <c r="G21" s="259">
        <v>3.9104229608170366E-2</v>
      </c>
      <c r="I21" s="224"/>
    </row>
    <row r="22" spans="1:9">
      <c r="A22" s="236" t="s">
        <v>144</v>
      </c>
      <c r="B22" s="237"/>
      <c r="C22" s="259">
        <v>6.0313562362729556E-2</v>
      </c>
      <c r="D22" s="259">
        <v>0.18011195963077606</v>
      </c>
      <c r="E22" s="259">
        <v>0.14005066561964608</v>
      </c>
      <c r="F22" s="259">
        <f>F40/F29</f>
        <v>5.6964397209568508E-2</v>
      </c>
      <c r="G22" s="259">
        <v>0.11043073047162359</v>
      </c>
    </row>
    <row r="23" spans="1:9">
      <c r="A23" s="407" t="s">
        <v>145</v>
      </c>
      <c r="B23" s="408"/>
      <c r="C23" s="408"/>
      <c r="D23" s="408"/>
      <c r="E23" s="408"/>
      <c r="F23" s="409"/>
      <c r="G23" s="410"/>
    </row>
    <row r="24" spans="1:9">
      <c r="A24" s="243" t="s">
        <v>146</v>
      </c>
      <c r="B24" s="241" t="s">
        <v>147</v>
      </c>
      <c r="C24" s="251">
        <v>0.79999742938513219</v>
      </c>
      <c r="D24" s="251">
        <v>0.78004370176864635</v>
      </c>
      <c r="E24" s="251">
        <v>0.82085193072931428</v>
      </c>
      <c r="F24" s="251">
        <f>F32/F29</f>
        <v>0.6156629648048676</v>
      </c>
      <c r="G24" s="251">
        <v>0.75950447914329211</v>
      </c>
    </row>
    <row r="25" spans="1:9">
      <c r="A25" s="243" t="s">
        <v>148</v>
      </c>
      <c r="B25" s="244" t="s">
        <v>149</v>
      </c>
      <c r="C25" s="251">
        <v>1.0373556354194142</v>
      </c>
      <c r="D25" s="251">
        <v>1.0020924674729887</v>
      </c>
      <c r="E25" s="251">
        <v>1.0755190502537706</v>
      </c>
      <c r="F25" s="251">
        <f>F32/F31</f>
        <v>1.3778318918861114</v>
      </c>
      <c r="G25" s="251">
        <v>1.1050835145534323</v>
      </c>
    </row>
    <row r="26" spans="1:9">
      <c r="A26" s="243" t="s">
        <v>150</v>
      </c>
      <c r="B26" s="244"/>
      <c r="C26" s="251">
        <v>0.18797700512029003</v>
      </c>
      <c r="D26" s="251">
        <v>3.4489796241056907E-2</v>
      </c>
      <c r="E26" s="251">
        <v>3.3529933949658523E-2</v>
      </c>
      <c r="F26" s="251">
        <f>F38/F29</f>
        <v>2.8078077275312412E-2</v>
      </c>
      <c r="G26" s="251">
        <v>5.9615079282689193E-2</v>
      </c>
    </row>
    <row r="27" spans="1:9">
      <c r="A27" s="243" t="s">
        <v>151</v>
      </c>
      <c r="B27" s="245"/>
      <c r="C27" s="251">
        <v>0.49156614829115142</v>
      </c>
      <c r="D27" s="251">
        <v>0.49594541357881816</v>
      </c>
      <c r="E27" s="251">
        <v>0.47078016782048138</v>
      </c>
      <c r="F27" s="251">
        <f>F46/F44</f>
        <v>0</v>
      </c>
      <c r="G27" s="251">
        <v>0.31522369755498014</v>
      </c>
    </row>
    <row r="28" spans="1:9">
      <c r="A28" s="407" t="s">
        <v>152</v>
      </c>
      <c r="B28" s="408"/>
      <c r="C28" s="408">
        <v>2015</v>
      </c>
      <c r="D28" s="408">
        <v>2016</v>
      </c>
      <c r="E28" s="408">
        <v>2017</v>
      </c>
      <c r="F28" s="409"/>
      <c r="G28" s="410" t="s">
        <v>153</v>
      </c>
    </row>
    <row r="29" spans="1:9">
      <c r="A29" s="196" t="s">
        <v>39</v>
      </c>
      <c r="B29" s="247"/>
      <c r="C29" s="260">
        <v>32287995000</v>
      </c>
      <c r="D29" s="260">
        <v>34484633191.779999</v>
      </c>
      <c r="E29" s="260">
        <v>37038736368.150002</v>
      </c>
      <c r="F29" s="260">
        <f>'Evolutive SFP'!BV27</f>
        <v>417511209.37</v>
      </c>
      <c r="G29" s="199">
        <v>549379532922.58099</v>
      </c>
    </row>
    <row r="30" spans="1:9">
      <c r="A30" s="196" t="s">
        <v>154</v>
      </c>
      <c r="B30" s="247"/>
      <c r="C30" s="260">
        <v>30426610000</v>
      </c>
      <c r="D30" s="260">
        <v>32935176890.91</v>
      </c>
      <c r="E30" s="260">
        <v>34818535526.945</v>
      </c>
      <c r="F30" s="260">
        <f>(C29+F29)/2</f>
        <v>16352753104.684999</v>
      </c>
      <c r="G30" s="199">
        <v>521751637377.84802</v>
      </c>
    </row>
    <row r="31" spans="1:9">
      <c r="A31" s="196" t="s">
        <v>155</v>
      </c>
      <c r="B31" s="247"/>
      <c r="C31" s="199">
        <v>24900152000</v>
      </c>
      <c r="D31" s="199">
        <v>26843352087.939999</v>
      </c>
      <c r="E31" s="199">
        <v>28268507426.619999</v>
      </c>
      <c r="F31" s="199">
        <f>'Evolutive SFP'!BV31</f>
        <v>186558455</v>
      </c>
      <c r="G31" s="199">
        <v>377578898345.03998</v>
      </c>
    </row>
    <row r="32" spans="1:9">
      <c r="A32" s="196" t="s">
        <v>156</v>
      </c>
      <c r="B32" s="247"/>
      <c r="C32" s="200">
        <v>25830313000</v>
      </c>
      <c r="D32" s="200">
        <v>26899520929.049999</v>
      </c>
      <c r="E32" s="200">
        <v>30403318259.57</v>
      </c>
      <c r="F32" s="200">
        <f>'Evolutive SFP'!BV15</f>
        <v>257046189</v>
      </c>
      <c r="G32" s="199">
        <v>417256216004.34998</v>
      </c>
    </row>
    <row r="33" spans="1:7">
      <c r="A33" s="196" t="s">
        <v>157</v>
      </c>
      <c r="B33" s="247"/>
      <c r="C33" s="260">
        <v>4057843000</v>
      </c>
      <c r="D33" s="260">
        <v>3934092558.7950001</v>
      </c>
      <c r="E33" s="260">
        <v>4252451960.625</v>
      </c>
      <c r="F33" s="260">
        <f>Financials!AS11</f>
        <v>160128277</v>
      </c>
      <c r="G33" s="199">
        <v>85755077156.473999</v>
      </c>
    </row>
    <row r="34" spans="1:7">
      <c r="A34" s="196" t="s">
        <v>158</v>
      </c>
      <c r="B34" s="247"/>
      <c r="C34" s="260">
        <v>2563456000</v>
      </c>
      <c r="D34" s="260">
        <v>2227420440.165</v>
      </c>
      <c r="E34" s="260">
        <v>2490639324.6350002</v>
      </c>
      <c r="F34" s="260">
        <f>Financials!AS12</f>
        <v>93416548</v>
      </c>
      <c r="G34" s="199">
        <v>50285309380.139999</v>
      </c>
    </row>
    <row r="35" spans="1:7">
      <c r="A35" s="196" t="s">
        <v>159</v>
      </c>
      <c r="B35" s="247"/>
      <c r="C35" s="199">
        <v>0</v>
      </c>
      <c r="D35" s="199">
        <v>1461446866.3599999</v>
      </c>
      <c r="E35" s="199">
        <v>1448345728.75</v>
      </c>
      <c r="F35" s="199"/>
      <c r="G35" s="199">
        <v>31022169307.079102</v>
      </c>
    </row>
    <row r="36" spans="1:7">
      <c r="A36" s="196" t="s">
        <v>129</v>
      </c>
      <c r="B36" s="247"/>
      <c r="C36" s="200">
        <v>1157968000</v>
      </c>
      <c r="D36" s="200">
        <v>1231932957.72</v>
      </c>
      <c r="E36" s="200">
        <v>1380607205.1300001</v>
      </c>
      <c r="F36" s="200">
        <f>Financials!AS34</f>
        <v>153422341</v>
      </c>
      <c r="G36" s="199">
        <v>58003890806.710999</v>
      </c>
    </row>
    <row r="37" spans="1:7">
      <c r="A37" s="196" t="s">
        <v>35</v>
      </c>
      <c r="B37" s="247"/>
      <c r="C37" s="260">
        <v>320370000</v>
      </c>
      <c r="D37" s="260">
        <v>303851448.54000002</v>
      </c>
      <c r="E37" s="260">
        <v>301707498.67000002</v>
      </c>
      <c r="F37" s="200">
        <f>Financials!AS35</f>
        <v>9153451</v>
      </c>
      <c r="G37" s="199">
        <v>17808789765.341</v>
      </c>
    </row>
    <row r="38" spans="1:7">
      <c r="A38" s="196" t="s">
        <v>160</v>
      </c>
      <c r="B38" s="247"/>
      <c r="C38" s="260">
        <v>0</v>
      </c>
      <c r="D38" s="260">
        <v>666865205.59000003</v>
      </c>
      <c r="E38" s="260">
        <v>666871205.59000003</v>
      </c>
      <c r="F38" s="260">
        <f>'Evolutive SFP'!BV12+'Evolutive SFP'!BV13</f>
        <v>11722912</v>
      </c>
      <c r="G38" s="199">
        <v>13137319316.73</v>
      </c>
    </row>
    <row r="39" spans="1:7">
      <c r="A39" s="196" t="s">
        <v>161</v>
      </c>
      <c r="B39" s="247"/>
      <c r="C39" s="260">
        <v>4680656000</v>
      </c>
      <c r="D39" s="260">
        <v>925821743.94000006</v>
      </c>
      <c r="E39" s="260">
        <v>947841186.87</v>
      </c>
      <c r="F39" s="260">
        <f>'Evolutive SFP'!BV8</f>
        <v>11722912</v>
      </c>
      <c r="G39" s="199">
        <v>22509395960.310001</v>
      </c>
    </row>
    <row r="40" spans="1:7">
      <c r="A40" s="196" t="s">
        <v>166</v>
      </c>
      <c r="B40" s="247"/>
      <c r="C40" s="260">
        <v>1947404000</v>
      </c>
      <c r="D40" s="260">
        <v>6211094861.3199997</v>
      </c>
      <c r="E40" s="260">
        <v>5187299682.0699997</v>
      </c>
      <c r="F40" s="260">
        <f>'Evolutive SFP'!BV4+'Evolutive SFP'!BV11+'Evolutive SFP'!BV10+'Evolutive SFP'!BV9</f>
        <v>23783274.370000001</v>
      </c>
      <c r="G40" s="199">
        <v>60668383126.800003</v>
      </c>
    </row>
    <row r="41" spans="1:7">
      <c r="A41" s="196" t="s">
        <v>383</v>
      </c>
      <c r="B41" s="247"/>
      <c r="C41" s="260">
        <v>8573442000</v>
      </c>
      <c r="D41" s="260">
        <v>8534653866.8000002</v>
      </c>
      <c r="E41" s="260">
        <v>9760557073.7399998</v>
      </c>
      <c r="F41" s="260">
        <f>'Evolutive SFP'!BV29+'Evolutive SFP'!BV30+'Evolutive SFP'!BV33+'Evolutive SFP'!BV34+'Evolutive SFP'!BV35+'Evolutive SFP'!BV36+'Evolutive SFP'!BV37</f>
        <v>122732247.5</v>
      </c>
      <c r="G41" s="199">
        <v>110225527005.619</v>
      </c>
    </row>
    <row r="42" spans="1:7">
      <c r="A42" s="196" t="s">
        <v>168</v>
      </c>
      <c r="B42" s="247"/>
      <c r="C42" s="260">
        <v>329468000</v>
      </c>
      <c r="D42" s="260">
        <v>0</v>
      </c>
      <c r="E42" s="260">
        <v>0</v>
      </c>
      <c r="F42" s="260">
        <f>'Evolutive SFP'!BV37</f>
        <v>0</v>
      </c>
      <c r="G42" s="199">
        <v>21483063397.433998</v>
      </c>
    </row>
    <row r="43" spans="1:7">
      <c r="A43" s="196" t="s">
        <v>384</v>
      </c>
      <c r="B43" s="247"/>
      <c r="C43" s="260">
        <v>24572016000</v>
      </c>
      <c r="D43" s="260">
        <v>25854910046.814999</v>
      </c>
      <c r="E43" s="260">
        <v>28116815764.915001</v>
      </c>
      <c r="F43" s="260">
        <f>(C43+F32)/2</f>
        <v>12414531094.5</v>
      </c>
      <c r="G43" s="199">
        <v>394279646458.67999</v>
      </c>
    </row>
    <row r="44" spans="1:7">
      <c r="A44" s="196" t="s">
        <v>162</v>
      </c>
      <c r="B44" s="247"/>
      <c r="C44" s="260">
        <v>4601812000</v>
      </c>
      <c r="D44" s="260">
        <v>3667447515.0700002</v>
      </c>
      <c r="E44" s="260">
        <v>5236445384.25</v>
      </c>
      <c r="F44" s="260">
        <f>'Evolutitve SCI'!BV3</f>
        <v>58639936</v>
      </c>
      <c r="G44" s="199">
        <v>80901352029.100006</v>
      </c>
    </row>
    <row r="45" spans="1:7">
      <c r="A45" s="196" t="s">
        <v>385</v>
      </c>
      <c r="B45" s="247"/>
      <c r="C45" s="260">
        <v>2290844000</v>
      </c>
      <c r="D45" s="260">
        <v>1822986659.8199999</v>
      </c>
      <c r="E45" s="260">
        <v>2743444185.1799998</v>
      </c>
      <c r="F45" s="260">
        <f>'Evolutitve SCI'!BV19</f>
        <v>52534738</v>
      </c>
      <c r="G45" s="199">
        <v>48226248246.550003</v>
      </c>
    </row>
    <row r="46" spans="1:7">
      <c r="A46" s="196" t="s">
        <v>164</v>
      </c>
      <c r="B46" s="247"/>
      <c r="C46" s="260">
        <v>2262095000</v>
      </c>
      <c r="D46" s="260">
        <v>1818853774.6400001</v>
      </c>
      <c r="E46" s="260">
        <v>2465214636.7800002</v>
      </c>
      <c r="F46" s="260">
        <f>'Evolutitve SCI'!BV14+'Evolutitve SCI'!BV16</f>
        <v>0</v>
      </c>
      <c r="G46" s="199">
        <v>25502023323.810001</v>
      </c>
    </row>
    <row r="47" spans="1:7">
      <c r="A47" s="196" t="s">
        <v>165</v>
      </c>
      <c r="B47" s="247"/>
      <c r="C47" s="260">
        <v>1160634000</v>
      </c>
      <c r="D47" s="260">
        <v>925513326.45000005</v>
      </c>
      <c r="E47" s="260">
        <v>1270243060.51</v>
      </c>
      <c r="F47" s="260">
        <f>'Evolutitve SCI'!BV23</f>
        <v>38569530.829999998</v>
      </c>
      <c r="G47" s="199">
        <v>25828430589.75</v>
      </c>
    </row>
    <row r="48" spans="1:7">
      <c r="A48" s="196" t="s">
        <v>386</v>
      </c>
      <c r="B48" s="247"/>
      <c r="C48" s="260">
        <v>3923914000</v>
      </c>
      <c r="D48" s="260">
        <v>3180317385.5799999</v>
      </c>
      <c r="E48" s="260">
        <v>4425053884</v>
      </c>
      <c r="F48" s="260">
        <f>'Evolutitve SCI'!BV4</f>
        <v>32292356</v>
      </c>
      <c r="G48" s="199">
        <v>68243292335.25</v>
      </c>
    </row>
    <row r="49" spans="1:7">
      <c r="A49" s="196" t="s">
        <v>111</v>
      </c>
      <c r="B49" s="247"/>
      <c r="C49" s="260">
        <v>3471602000</v>
      </c>
      <c r="D49" s="260">
        <v>2769974181.6999998</v>
      </c>
      <c r="E49" s="260">
        <v>3763244259.5799999</v>
      </c>
      <c r="F49" s="260">
        <f>'Evolutitve SCI'!BV23+'Evolutitve SCI'!BV12</f>
        <v>44674728.829999998</v>
      </c>
      <c r="G49" s="199">
        <v>56759285163.169998</v>
      </c>
    </row>
    <row r="50" spans="1:7">
      <c r="A50" s="196" t="s">
        <v>163</v>
      </c>
      <c r="B50" s="247"/>
      <c r="C50" s="260">
        <v>848802000</v>
      </c>
      <c r="D50" s="260">
        <v>661659287.57000005</v>
      </c>
      <c r="E50" s="260">
        <v>1111222968.8099999</v>
      </c>
      <c r="F50" s="260">
        <f>'Evolutitve SCI'!BV37</f>
        <v>12928961</v>
      </c>
      <c r="G50" s="199">
        <v>20058586176.25</v>
      </c>
    </row>
    <row r="51" spans="1:7">
      <c r="A51" s="427" t="s">
        <v>387</v>
      </c>
      <c r="B51" s="428"/>
      <c r="C51" s="428"/>
      <c r="D51" s="428"/>
      <c r="E51" s="428"/>
      <c r="F51" s="428"/>
      <c r="G51" s="429"/>
    </row>
    <row r="52" spans="1:7">
      <c r="A52" s="226">
        <v>1</v>
      </c>
      <c r="B52" s="223"/>
      <c r="C52" s="227"/>
      <c r="D52" s="227"/>
      <c r="E52" s="227"/>
      <c r="F52" s="228"/>
      <c r="G52" s="229"/>
    </row>
    <row r="53" spans="1:7">
      <c r="A53" s="226">
        <v>2</v>
      </c>
      <c r="B53" s="223"/>
      <c r="C53" s="227"/>
      <c r="D53" s="227"/>
      <c r="E53" s="227"/>
      <c r="F53" s="228"/>
      <c r="G53" s="229"/>
    </row>
    <row r="54" spans="1:7">
      <c r="A54" s="226">
        <v>3</v>
      </c>
      <c r="B54" s="223"/>
      <c r="C54" s="227"/>
      <c r="D54" s="227"/>
      <c r="E54" s="227"/>
      <c r="F54" s="228"/>
      <c r="G54" s="229"/>
    </row>
    <row r="55" spans="1:7">
      <c r="A55" s="225">
        <v>4</v>
      </c>
      <c r="B55" s="227"/>
      <c r="C55" s="227"/>
      <c r="D55" s="227"/>
      <c r="E55" s="228"/>
      <c r="F55" s="228"/>
      <c r="G55" s="254"/>
    </row>
    <row r="56" spans="1:7">
      <c r="A56" s="248" t="s">
        <v>388</v>
      </c>
      <c r="B56" s="223"/>
      <c r="C56" s="433"/>
      <c r="D56" s="434"/>
      <c r="E56" s="434"/>
      <c r="F56" s="434"/>
      <c r="G56" s="435"/>
    </row>
    <row r="57" spans="1:7">
      <c r="A57" s="248"/>
      <c r="B57" s="223"/>
      <c r="C57" s="365"/>
      <c r="D57" s="365"/>
      <c r="E57" s="366"/>
      <c r="F57" s="366"/>
      <c r="G57" s="230"/>
    </row>
    <row r="58" spans="1:7">
      <c r="A58" s="249" t="s">
        <v>172</v>
      </c>
      <c r="B58" s="231"/>
      <c r="C58" s="433"/>
      <c r="D58" s="434"/>
      <c r="E58" s="434"/>
      <c r="F58" s="434"/>
      <c r="G58" s="435"/>
    </row>
    <row r="59" spans="1:7">
      <c r="A59" s="43"/>
      <c r="B59" s="223"/>
      <c r="C59" s="227"/>
      <c r="D59" s="227"/>
      <c r="E59" s="227"/>
      <c r="F59" s="228"/>
      <c r="G59" s="229"/>
    </row>
    <row r="60" spans="1:7">
      <c r="A60" s="248" t="s">
        <v>389</v>
      </c>
      <c r="B60" s="223"/>
      <c r="C60" s="433"/>
      <c r="D60" s="434"/>
      <c r="E60" s="434"/>
      <c r="F60" s="434"/>
      <c r="G60" s="435"/>
    </row>
    <row r="61" spans="1:7" ht="15" thickBot="1">
      <c r="A61" s="250"/>
      <c r="B61" s="232"/>
      <c r="C61" s="233"/>
      <c r="D61" s="233"/>
      <c r="E61" s="233"/>
      <c r="F61" s="234"/>
      <c r="G61" s="235"/>
    </row>
    <row r="62" spans="1:7">
      <c r="A62" s="255" t="s">
        <v>174</v>
      </c>
    </row>
    <row r="63" spans="1:7">
      <c r="A63" s="194"/>
    </row>
    <row r="64" spans="1:7">
      <c r="A64" s="194"/>
    </row>
  </sheetData>
  <mergeCells count="16">
    <mergeCell ref="C58:G58"/>
    <mergeCell ref="C60:G60"/>
    <mergeCell ref="A9:G9"/>
    <mergeCell ref="A5:G5"/>
    <mergeCell ref="A28:G28"/>
    <mergeCell ref="A19:G19"/>
    <mergeCell ref="A23:G23"/>
    <mergeCell ref="A51:G51"/>
    <mergeCell ref="A14:G14"/>
    <mergeCell ref="G3:G4"/>
    <mergeCell ref="B3:B4"/>
    <mergeCell ref="A1:G1"/>
    <mergeCell ref="A2:G2"/>
    <mergeCell ref="C56:G56"/>
    <mergeCell ref="D3:E3"/>
    <mergeCell ref="F3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E6E3C5-2B58-4AAF-8F3F-62530478F36C}"/>
</file>

<file path=customXml/itemProps2.xml><?xml version="1.0" encoding="utf-8"?>
<ds:datastoreItem xmlns:ds="http://schemas.openxmlformats.org/officeDocument/2006/customXml" ds:itemID="{83E6C7C7-B175-4A5F-9622-A7123A8088B7}"/>
</file>

<file path=customXml/itemProps3.xml><?xml version="1.0" encoding="utf-8"?>
<ds:datastoreItem xmlns:ds="http://schemas.openxmlformats.org/officeDocument/2006/customXml" ds:itemID="{2EEAD079-AA6A-4118-85F8-30B839C265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Enock Langat</cp:lastModifiedBy>
  <cp:revision/>
  <dcterms:created xsi:type="dcterms:W3CDTF">2012-11-01T05:11:14Z</dcterms:created>
  <dcterms:modified xsi:type="dcterms:W3CDTF">2023-10-18T07:49:01Z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94dde6-398b-42fd-9ab1-a1959fc6b9e2_Enabled">
    <vt:lpwstr>true</vt:lpwstr>
  </property>
  <property fmtid="{D5CDD505-2E9C-101B-9397-08002B2CF9AE}" pid="3" name="MSIP_Label_6294dde6-398b-42fd-9ab1-a1959fc6b9e2_SetDate">
    <vt:lpwstr>2021-07-29T08:31:34Z</vt:lpwstr>
  </property>
  <property fmtid="{D5CDD505-2E9C-101B-9397-08002B2CF9AE}" pid="4" name="MSIP_Label_6294dde6-398b-42fd-9ab1-a1959fc6b9e2_Method">
    <vt:lpwstr>Privileged</vt:lpwstr>
  </property>
  <property fmtid="{D5CDD505-2E9C-101B-9397-08002B2CF9AE}" pid="5" name="MSIP_Label_6294dde6-398b-42fd-9ab1-a1959fc6b9e2_Name">
    <vt:lpwstr>Public</vt:lpwstr>
  </property>
  <property fmtid="{D5CDD505-2E9C-101B-9397-08002B2CF9AE}" pid="6" name="MSIP_Label_6294dde6-398b-42fd-9ab1-a1959fc6b9e2_SiteId">
    <vt:lpwstr>d6c8161d-ccd5-4325-b291-dd442c369fe4</vt:lpwstr>
  </property>
  <property fmtid="{D5CDD505-2E9C-101B-9397-08002B2CF9AE}" pid="7" name="MSIP_Label_6294dde6-398b-42fd-9ab1-a1959fc6b9e2_ActionId">
    <vt:lpwstr>e8692708-75e4-4846-864a-ade1633759fc</vt:lpwstr>
  </property>
  <property fmtid="{D5CDD505-2E9C-101B-9397-08002B2CF9AE}" pid="8" name="MSIP_Label_6294dde6-398b-42fd-9ab1-a1959fc6b9e2_ContentBits">
    <vt:lpwstr>0</vt:lpwstr>
  </property>
  <property fmtid="{D5CDD505-2E9C-101B-9397-08002B2CF9AE}" pid="9" name="ContentTypeId">
    <vt:lpwstr>0x010100F4FB27488935CD4FBFBB981DE553EA38</vt:lpwstr>
  </property>
  <property fmtid="{D5CDD505-2E9C-101B-9397-08002B2CF9AE}" pid="10" name="MediaServiceImageTags">
    <vt:lpwstr/>
  </property>
</Properties>
</file>
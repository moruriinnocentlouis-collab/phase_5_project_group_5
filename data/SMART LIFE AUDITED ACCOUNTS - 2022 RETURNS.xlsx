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3/SMARTLIFE- 7590/Returns/"/>
    </mc:Choice>
  </mc:AlternateContent>
  <xr:revisionPtr revIDLastSave="201" documentId="11_632F3C30F8C68407E8D5D1C2AAE371E23A513829" xr6:coauthVersionLast="47" xr6:coauthVersionMax="47" xr10:uidLastSave="{47DC4051-141B-46AD-A849-3BCDA865474A}"/>
  <bookViews>
    <workbookView xWindow="-108" yWindow="-108" windowWidth="23256" windowHeight="12456" firstSheet="1" activeTab="1" xr2:uid="{00000000-000D-0000-FFFF-FFFF00000000}"/>
  </bookViews>
  <sheets>
    <sheet name="Evolutitve SCI" sheetId="2" r:id="rId1"/>
    <sheet name="Evolutive SFP" sheetId="1" r:id="rId2"/>
    <sheet name="Compliancereport Audited2021" sheetId="9" r:id="rId3"/>
    <sheet name="Sheet1" sheetId="10" r:id="rId4"/>
    <sheet name="FORM 4" sheetId="4" r:id="rId5"/>
    <sheet name="CAELS" sheetId="3" r:id="rId6"/>
    <sheet name="Financials" sheetId="5" r:id="rId7"/>
    <sheet name="CAELS Rating" sheetId="7" r:id="rId8"/>
    <sheet name="compliance report audited 2022" sheetId="12" r:id="rId9"/>
    <sheet name="Sheet2" sheetId="11" r:id="rId10"/>
    <sheet name="Compliance Status" sheetId="8" r:id="rId11"/>
    <sheet name="CashFlow Stmnt" sheetId="6" r:id="rId12"/>
  </sheets>
  <externalReferences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8" i="1" l="1"/>
  <c r="AL48" i="1"/>
  <c r="AM48" i="1"/>
  <c r="AN48" i="1"/>
  <c r="AO48" i="1"/>
  <c r="AK31" i="1"/>
  <c r="AK38" i="1" s="1"/>
  <c r="AK49" i="1" s="1"/>
  <c r="AL31" i="1"/>
  <c r="AL38" i="1" s="1"/>
  <c r="AL49" i="1" s="1"/>
  <c r="AM31" i="1"/>
  <c r="AM38" i="1" s="1"/>
  <c r="AM49" i="1" s="1"/>
  <c r="AN31" i="1"/>
  <c r="AO31" i="1"/>
  <c r="AK21" i="1"/>
  <c r="AL21" i="1"/>
  <c r="AM21" i="1"/>
  <c r="AN21" i="1"/>
  <c r="AO21" i="1"/>
  <c r="AK17" i="1"/>
  <c r="AL17" i="1"/>
  <c r="AM17" i="1"/>
  <c r="AN17" i="1"/>
  <c r="AO17" i="1"/>
  <c r="AK14" i="1"/>
  <c r="AL14" i="1"/>
  <c r="AM14" i="1"/>
  <c r="AN14" i="1"/>
  <c r="AO14" i="1"/>
  <c r="AK8" i="1"/>
  <c r="AL8" i="1"/>
  <c r="AM8" i="1"/>
  <c r="AN8" i="1"/>
  <c r="AO8" i="1"/>
  <c r="AK4" i="1"/>
  <c r="AL4" i="1"/>
  <c r="AM4" i="1"/>
  <c r="AN4" i="1"/>
  <c r="AO4" i="1"/>
  <c r="AK30" i="2"/>
  <c r="AL30" i="2"/>
  <c r="AM30" i="2"/>
  <c r="AN30" i="2"/>
  <c r="AO30" i="2"/>
  <c r="AK23" i="2"/>
  <c r="AL47" i="5" s="1"/>
  <c r="AL23" i="2"/>
  <c r="AM23" i="2"/>
  <c r="AN23" i="2"/>
  <c r="AO47" i="5" s="1"/>
  <c r="AO23" i="2"/>
  <c r="AK20" i="2"/>
  <c r="AL20" i="2"/>
  <c r="AM20" i="2"/>
  <c r="AN20" i="2"/>
  <c r="AO20" i="2"/>
  <c r="AK12" i="2"/>
  <c r="AL12" i="2"/>
  <c r="AM12" i="2"/>
  <c r="AN12" i="2"/>
  <c r="AO12" i="2"/>
  <c r="AK7" i="2"/>
  <c r="AL39" i="5" s="1"/>
  <c r="AL7" i="2"/>
  <c r="AM7" i="2"/>
  <c r="AN39" i="5" s="1"/>
  <c r="AN7" i="2"/>
  <c r="AO39" i="5" s="1"/>
  <c r="AO7" i="2"/>
  <c r="AK4" i="2"/>
  <c r="AL4" i="2"/>
  <c r="AM4" i="2"/>
  <c r="AM3" i="2" s="1"/>
  <c r="AM19" i="2" s="1"/>
  <c r="AM29" i="2" s="1"/>
  <c r="AM33" i="2" s="1"/>
  <c r="AM35" i="2" s="1"/>
  <c r="AM37" i="2" s="1"/>
  <c r="AN4" i="2"/>
  <c r="AN3" i="2" s="1"/>
  <c r="AN19" i="2" s="1"/>
  <c r="AN29" i="2" s="1"/>
  <c r="AN33" i="2" s="1"/>
  <c r="AN35" i="2" s="1"/>
  <c r="AN37" i="2" s="1"/>
  <c r="AO4" i="2"/>
  <c r="AJ30" i="2"/>
  <c r="AJ23" i="2"/>
  <c r="AJ20" i="2"/>
  <c r="AJ12" i="2"/>
  <c r="AJ7" i="2"/>
  <c r="AJ4" i="2"/>
  <c r="AJ3" i="2"/>
  <c r="AJ19" i="2" s="1"/>
  <c r="AJ29" i="2" s="1"/>
  <c r="AJ33" i="2" s="1"/>
  <c r="AJ35" i="2" s="1"/>
  <c r="AJ37" i="2" s="1"/>
  <c r="AJ48" i="1"/>
  <c r="AJ31" i="1"/>
  <c r="AJ38" i="1" s="1"/>
  <c r="AJ21" i="1"/>
  <c r="AJ17" i="1"/>
  <c r="AJ14" i="1"/>
  <c r="AJ8" i="1"/>
  <c r="AJ4" i="1"/>
  <c r="AI30" i="2"/>
  <c r="AI23" i="2"/>
  <c r="AI20" i="2"/>
  <c r="AI12" i="2"/>
  <c r="AI7" i="2"/>
  <c r="AI4" i="2"/>
  <c r="AI3" i="2"/>
  <c r="AI19" i="2" s="1"/>
  <c r="AI29" i="2" s="1"/>
  <c r="AI33" i="2" s="1"/>
  <c r="AI35" i="2" s="1"/>
  <c r="AI37" i="2" s="1"/>
  <c r="AI48" i="1"/>
  <c r="AI31" i="1"/>
  <c r="AI38" i="1" s="1"/>
  <c r="AI21" i="1"/>
  <c r="AI17" i="1"/>
  <c r="AI14" i="1"/>
  <c r="AI8" i="1"/>
  <c r="AI4" i="1"/>
  <c r="AJ32" i="3"/>
  <c r="AF32" i="3"/>
  <c r="AG32" i="3"/>
  <c r="AH32" i="3"/>
  <c r="AI32" i="3"/>
  <c r="AQ4" i="5"/>
  <c r="AR4" i="5"/>
  <c r="AS4" i="5"/>
  <c r="AT4" i="5"/>
  <c r="AU4" i="5"/>
  <c r="AV4" i="5"/>
  <c r="AW4" i="5"/>
  <c r="AX4" i="5"/>
  <c r="AJ5" i="5"/>
  <c r="AK5" i="5"/>
  <c r="AM5" i="5"/>
  <c r="AN5" i="5"/>
  <c r="AQ5" i="5"/>
  <c r="AR5" i="5"/>
  <c r="AS5" i="5"/>
  <c r="AT5" i="5"/>
  <c r="AU5" i="5"/>
  <c r="AV5" i="5"/>
  <c r="AW5" i="5"/>
  <c r="AX5" i="5"/>
  <c r="R6" i="5"/>
  <c r="S6" i="5"/>
  <c r="T6" i="5"/>
  <c r="U6" i="5"/>
  <c r="U26" i="3" s="1"/>
  <c r="V6" i="5"/>
  <c r="V26" i="3" s="1"/>
  <c r="W6" i="5"/>
  <c r="X6" i="5"/>
  <c r="Y6" i="5"/>
  <c r="Z6" i="5"/>
  <c r="AA6" i="5"/>
  <c r="AB6" i="5"/>
  <c r="AC6" i="5"/>
  <c r="AC26" i="3" s="1"/>
  <c r="AD6" i="5"/>
  <c r="AD26" i="3" s="1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R7" i="5"/>
  <c r="S7" i="5"/>
  <c r="S27" i="3" s="1"/>
  <c r="T7" i="5"/>
  <c r="T27" i="3" s="1"/>
  <c r="U7" i="5"/>
  <c r="U27" i="3" s="1"/>
  <c r="V7" i="5"/>
  <c r="V27" i="3" s="1"/>
  <c r="W7" i="5"/>
  <c r="X7" i="5"/>
  <c r="Y7" i="5"/>
  <c r="Z7" i="5"/>
  <c r="AA7" i="5"/>
  <c r="AA27" i="3" s="1"/>
  <c r="AB7" i="5"/>
  <c r="AB27" i="3" s="1"/>
  <c r="AC7" i="5"/>
  <c r="AC27" i="3" s="1"/>
  <c r="AD7" i="5"/>
  <c r="AD27" i="3" s="1"/>
  <c r="AE7" i="5"/>
  <c r="AF7" i="5"/>
  <c r="AG7" i="5"/>
  <c r="AH7" i="5"/>
  <c r="AI7" i="5"/>
  <c r="AI27" i="3" s="1"/>
  <c r="AJ7" i="5"/>
  <c r="AJ27" i="3" s="1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R17" i="5"/>
  <c r="S17" i="5"/>
  <c r="T17" i="5"/>
  <c r="U17" i="5"/>
  <c r="V17" i="5"/>
  <c r="W17" i="5"/>
  <c r="X17" i="5"/>
  <c r="Y17" i="5"/>
  <c r="Z17" i="5"/>
  <c r="AA17" i="5"/>
  <c r="AB17" i="5"/>
  <c r="AC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R20" i="5"/>
  <c r="S20" i="5"/>
  <c r="T20" i="5"/>
  <c r="U20" i="5"/>
  <c r="V20" i="5"/>
  <c r="W20" i="5"/>
  <c r="X20" i="5"/>
  <c r="Y20" i="5"/>
  <c r="Z20" i="5"/>
  <c r="AA20" i="5"/>
  <c r="AB20" i="5"/>
  <c r="AC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R22" i="5"/>
  <c r="R21" i="5" s="1"/>
  <c r="R14" i="5" s="1"/>
  <c r="S22" i="5"/>
  <c r="S21" i="5" s="1"/>
  <c r="T22" i="5"/>
  <c r="T21" i="5" s="1"/>
  <c r="U22" i="5"/>
  <c r="U21" i="5" s="1"/>
  <c r="V22" i="5"/>
  <c r="V21" i="5" s="1"/>
  <c r="W22" i="5"/>
  <c r="W21" i="5" s="1"/>
  <c r="X22" i="5"/>
  <c r="X21" i="5" s="1"/>
  <c r="Y22" i="5"/>
  <c r="Y21" i="5" s="1"/>
  <c r="Z22" i="5"/>
  <c r="Z21" i="5" s="1"/>
  <c r="Z14" i="5" s="1"/>
  <c r="AA22" i="5"/>
  <c r="AA21" i="5" s="1"/>
  <c r="AB22" i="5"/>
  <c r="AB21" i="5" s="1"/>
  <c r="AC22" i="5"/>
  <c r="AC21" i="5" s="1"/>
  <c r="AD22" i="5"/>
  <c r="AD21" i="5" s="1"/>
  <c r="AE22" i="5"/>
  <c r="AE21" i="5" s="1"/>
  <c r="AF22" i="5"/>
  <c r="AF21" i="5" s="1"/>
  <c r="AG22" i="5"/>
  <c r="AG21" i="5" s="1"/>
  <c r="AH22" i="5"/>
  <c r="AH21" i="5" s="1"/>
  <c r="AH14" i="5" s="1"/>
  <c r="AI22" i="5"/>
  <c r="AI21" i="5" s="1"/>
  <c r="AJ22" i="5"/>
  <c r="AJ21" i="5" s="1"/>
  <c r="AK22" i="5"/>
  <c r="AK21" i="5" s="1"/>
  <c r="AL22" i="5"/>
  <c r="AL21" i="5" s="1"/>
  <c r="AM22" i="5"/>
  <c r="AM21" i="5" s="1"/>
  <c r="AN22" i="5"/>
  <c r="AN21" i="5" s="1"/>
  <c r="AO22" i="5"/>
  <c r="AO21" i="5" s="1"/>
  <c r="AP22" i="5"/>
  <c r="AP21" i="5" s="1"/>
  <c r="AP14" i="5" s="1"/>
  <c r="AQ22" i="5"/>
  <c r="AQ21" i="5" s="1"/>
  <c r="AR22" i="5"/>
  <c r="AR21" i="5" s="1"/>
  <c r="AS22" i="5"/>
  <c r="AS21" i="5" s="1"/>
  <c r="AT22" i="5"/>
  <c r="AT21" i="5" s="1"/>
  <c r="AU22" i="5"/>
  <c r="AU21" i="5" s="1"/>
  <c r="AV22" i="5"/>
  <c r="AV21" i="5" s="1"/>
  <c r="AW22" i="5"/>
  <c r="AW21" i="5" s="1"/>
  <c r="AX22" i="5"/>
  <c r="AX21" i="5" s="1"/>
  <c r="AX14" i="5" s="1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J30" i="5"/>
  <c r="AK30" i="5"/>
  <c r="AL30" i="5"/>
  <c r="AM30" i="5"/>
  <c r="AN30" i="5"/>
  <c r="AP30" i="5"/>
  <c r="AQ30" i="5"/>
  <c r="AR30" i="5"/>
  <c r="AS30" i="5"/>
  <c r="AT30" i="5"/>
  <c r="AU30" i="5"/>
  <c r="AV30" i="5"/>
  <c r="AW30" i="5"/>
  <c r="AX30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J28" i="3" s="1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J34" i="5"/>
  <c r="AK34" i="5"/>
  <c r="AL34" i="5"/>
  <c r="AM34" i="5"/>
  <c r="AN34" i="5"/>
  <c r="AO34" i="5"/>
  <c r="AQ34" i="5"/>
  <c r="AR34" i="5"/>
  <c r="AS34" i="5"/>
  <c r="AT34" i="5"/>
  <c r="AU34" i="5"/>
  <c r="AV34" i="5"/>
  <c r="AW34" i="5"/>
  <c r="AX34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J39" i="5"/>
  <c r="AK39" i="5"/>
  <c r="AM39" i="5"/>
  <c r="AP39" i="5"/>
  <c r="AQ39" i="5"/>
  <c r="AR39" i="5"/>
  <c r="AS39" i="5"/>
  <c r="AT39" i="5"/>
  <c r="AU39" i="5"/>
  <c r="AV39" i="5"/>
  <c r="AW39" i="5"/>
  <c r="AX39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R44" i="5"/>
  <c r="S44" i="5"/>
  <c r="T44" i="5"/>
  <c r="U33" i="3" s="1"/>
  <c r="U44" i="5"/>
  <c r="V44" i="5"/>
  <c r="W44" i="5"/>
  <c r="X44" i="5"/>
  <c r="Y44" i="5"/>
  <c r="Z44" i="5"/>
  <c r="AA44" i="5"/>
  <c r="AB44" i="5"/>
  <c r="AC33" i="3" s="1"/>
  <c r="AC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R45" i="5"/>
  <c r="S34" i="3" s="1"/>
  <c r="S45" i="5"/>
  <c r="T34" i="3" s="1"/>
  <c r="T45" i="5"/>
  <c r="U45" i="5"/>
  <c r="V45" i="5"/>
  <c r="W45" i="5"/>
  <c r="X45" i="5"/>
  <c r="Y34" i="3" s="1"/>
  <c r="Y45" i="5"/>
  <c r="Z34" i="3" s="1"/>
  <c r="Z45" i="5"/>
  <c r="AA34" i="3" s="1"/>
  <c r="AA45" i="5"/>
  <c r="AB34" i="3" s="1"/>
  <c r="AB45" i="5"/>
  <c r="AC45" i="5"/>
  <c r="AD45" i="5"/>
  <c r="AE45" i="5"/>
  <c r="AF45" i="5"/>
  <c r="AG34" i="3" s="1"/>
  <c r="AG45" i="5"/>
  <c r="AH34" i="3" s="1"/>
  <c r="AH45" i="5"/>
  <c r="AI34" i="3" s="1"/>
  <c r="AI45" i="5"/>
  <c r="AJ34" i="3" s="1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R46" i="5"/>
  <c r="S46" i="5"/>
  <c r="T46" i="5"/>
  <c r="U46" i="5"/>
  <c r="V46" i="5"/>
  <c r="W46" i="5"/>
  <c r="X35" i="3" s="1"/>
  <c r="X46" i="5"/>
  <c r="Y35" i="3" s="1"/>
  <c r="Y46" i="5"/>
  <c r="Z35" i="3" s="1"/>
  <c r="Z46" i="5"/>
  <c r="AA46" i="5"/>
  <c r="AB46" i="5"/>
  <c r="AC46" i="5"/>
  <c r="AE46" i="5"/>
  <c r="AF35" i="3" s="1"/>
  <c r="AF46" i="5"/>
  <c r="AG35" i="3" s="1"/>
  <c r="AG46" i="5"/>
  <c r="AH35" i="3" s="1"/>
  <c r="AH46" i="5"/>
  <c r="AI35" i="3" s="1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J47" i="5"/>
  <c r="AK47" i="5"/>
  <c r="AM47" i="5"/>
  <c r="AN47" i="5"/>
  <c r="AP47" i="5"/>
  <c r="AQ47" i="5"/>
  <c r="AR47" i="5"/>
  <c r="AS47" i="5"/>
  <c r="AT47" i="5"/>
  <c r="AU47" i="5"/>
  <c r="AV47" i="5"/>
  <c r="AW47" i="5"/>
  <c r="AX47" i="5"/>
  <c r="Q3" i="3"/>
  <c r="S3" i="3"/>
  <c r="T3" i="3"/>
  <c r="U3" i="3"/>
  <c r="V3" i="3"/>
  <c r="W3" i="3"/>
  <c r="X3" i="3"/>
  <c r="Y3" i="3"/>
  <c r="Z3" i="3"/>
  <c r="AA3" i="3"/>
  <c r="AB3" i="3"/>
  <c r="AC3" i="3"/>
  <c r="AD3" i="3"/>
  <c r="AF3" i="3"/>
  <c r="AG3" i="3"/>
  <c r="AH3" i="3"/>
  <c r="AI3" i="3"/>
  <c r="AJ3" i="3"/>
  <c r="Q7" i="3"/>
  <c r="S7" i="3"/>
  <c r="T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Q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Q19" i="3"/>
  <c r="S19" i="3"/>
  <c r="T19" i="3"/>
  <c r="U19" i="3"/>
  <c r="V19" i="3"/>
  <c r="W19" i="3"/>
  <c r="X19" i="3"/>
  <c r="Y19" i="3"/>
  <c r="Z19" i="3"/>
  <c r="AA19" i="3"/>
  <c r="AB19" i="3"/>
  <c r="AC19" i="3"/>
  <c r="AD19" i="3"/>
  <c r="AF19" i="3"/>
  <c r="AG19" i="3"/>
  <c r="AH19" i="3"/>
  <c r="AI19" i="3"/>
  <c r="AJ19" i="3"/>
  <c r="S26" i="3"/>
  <c r="T26" i="3"/>
  <c r="Y26" i="3"/>
  <c r="Z26" i="3"/>
  <c r="AA26" i="3"/>
  <c r="AB26" i="3"/>
  <c r="AG26" i="3"/>
  <c r="AH26" i="3"/>
  <c r="AI26" i="3"/>
  <c r="AJ26" i="3"/>
  <c r="W27" i="3"/>
  <c r="X27" i="3"/>
  <c r="Y27" i="3"/>
  <c r="Z27" i="3"/>
  <c r="AF27" i="3"/>
  <c r="AG27" i="3"/>
  <c r="AH27" i="3"/>
  <c r="S28" i="3"/>
  <c r="W28" i="3"/>
  <c r="X28" i="3"/>
  <c r="Y28" i="3"/>
  <c r="Z28" i="3"/>
  <c r="AA28" i="3"/>
  <c r="AE28" i="3"/>
  <c r="AF28" i="3"/>
  <c r="AG28" i="3"/>
  <c r="AH28" i="3"/>
  <c r="AI28" i="3"/>
  <c r="S33" i="3"/>
  <c r="T33" i="3"/>
  <c r="V33" i="3"/>
  <c r="W33" i="3"/>
  <c r="X33" i="3"/>
  <c r="Y33" i="3"/>
  <c r="Z33" i="3"/>
  <c r="AA33" i="3"/>
  <c r="AB33" i="3"/>
  <c r="AD33" i="3"/>
  <c r="AF33" i="3"/>
  <c r="AG33" i="3"/>
  <c r="AH33" i="3"/>
  <c r="AI33" i="3"/>
  <c r="AJ33" i="3"/>
  <c r="U34" i="3"/>
  <c r="V34" i="3"/>
  <c r="W34" i="3"/>
  <c r="X34" i="3"/>
  <c r="AC34" i="3"/>
  <c r="AD34" i="3"/>
  <c r="AE34" i="3"/>
  <c r="AF34" i="3"/>
  <c r="T35" i="3"/>
  <c r="AA35" i="3"/>
  <c r="AB35" i="3"/>
  <c r="AJ35" i="3"/>
  <c r="AD23" i="2"/>
  <c r="AE23" i="2"/>
  <c r="AF23" i="2"/>
  <c r="AG23" i="2"/>
  <c r="AH23" i="2"/>
  <c r="AD30" i="2"/>
  <c r="AE30" i="2"/>
  <c r="AF30" i="2"/>
  <c r="AG30" i="2"/>
  <c r="AH30" i="2"/>
  <c r="AD20" i="2"/>
  <c r="AE20" i="2"/>
  <c r="AF20" i="2"/>
  <c r="AG20" i="2"/>
  <c r="AH20" i="2"/>
  <c r="AD12" i="2"/>
  <c r="AE12" i="2"/>
  <c r="AF12" i="2"/>
  <c r="AG12" i="2"/>
  <c r="AH12" i="2"/>
  <c r="AD7" i="2"/>
  <c r="AE39" i="5" s="1"/>
  <c r="AE7" i="2"/>
  <c r="AF39" i="5" s="1"/>
  <c r="AF7" i="2"/>
  <c r="AG39" i="5" s="1"/>
  <c r="AG7" i="2"/>
  <c r="AH39" i="5" s="1"/>
  <c r="AH7" i="2"/>
  <c r="AI39" i="5" s="1"/>
  <c r="AD4" i="2"/>
  <c r="AD3" i="2" s="1"/>
  <c r="AD19" i="2" s="1"/>
  <c r="AD29" i="2" s="1"/>
  <c r="AD33" i="2" s="1"/>
  <c r="AE4" i="2"/>
  <c r="AE3" i="2" s="1"/>
  <c r="AE19" i="2" s="1"/>
  <c r="AE29" i="2" s="1"/>
  <c r="AE33" i="2" s="1"/>
  <c r="AF4" i="2"/>
  <c r="AF3" i="2" s="1"/>
  <c r="AF19" i="2" s="1"/>
  <c r="AF29" i="2" s="1"/>
  <c r="AF33" i="2" s="1"/>
  <c r="AG4" i="2"/>
  <c r="AG3" i="2" s="1"/>
  <c r="AG19" i="2" s="1"/>
  <c r="AG29" i="2" s="1"/>
  <c r="AG33" i="2" s="1"/>
  <c r="AH4" i="2"/>
  <c r="AH3" i="2" s="1"/>
  <c r="AH19" i="2" s="1"/>
  <c r="AH29" i="2" s="1"/>
  <c r="AH33" i="2" s="1"/>
  <c r="AD48" i="1"/>
  <c r="AE48" i="1"/>
  <c r="AF48" i="1"/>
  <c r="AG48" i="1"/>
  <c r="AH48" i="1"/>
  <c r="AD31" i="1"/>
  <c r="AE31" i="1"/>
  <c r="AF31" i="1"/>
  <c r="AG31" i="1"/>
  <c r="AH31" i="1"/>
  <c r="AD21" i="1"/>
  <c r="AE21" i="1"/>
  <c r="AF21" i="1"/>
  <c r="AG21" i="1"/>
  <c r="AH21" i="1"/>
  <c r="AD17" i="1"/>
  <c r="AE17" i="1"/>
  <c r="AF17" i="1"/>
  <c r="AG17" i="1"/>
  <c r="AH17" i="1"/>
  <c r="AD14" i="1"/>
  <c r="AE14" i="1"/>
  <c r="AF30" i="5" s="1"/>
  <c r="AF14" i="1"/>
  <c r="AG14" i="1"/>
  <c r="AH14" i="1"/>
  <c r="AD8" i="1"/>
  <c r="AE8" i="1"/>
  <c r="AF8" i="1"/>
  <c r="AG8" i="1"/>
  <c r="AH8" i="1"/>
  <c r="AD4" i="1"/>
  <c r="AE4" i="1"/>
  <c r="AF4" i="1"/>
  <c r="AG4" i="1"/>
  <c r="AH4" i="1"/>
  <c r="AC12" i="1"/>
  <c r="D80" i="4"/>
  <c r="F80" i="4" s="1"/>
  <c r="D79" i="4"/>
  <c r="F79" i="4" s="1"/>
  <c r="D78" i="4"/>
  <c r="F77" i="4"/>
  <c r="D76" i="4"/>
  <c r="D81" i="4" s="1"/>
  <c r="C76" i="4"/>
  <c r="C81" i="4" s="1"/>
  <c r="D90" i="4"/>
  <c r="D89" i="4"/>
  <c r="D88" i="4"/>
  <c r="D86" i="4"/>
  <c r="C86" i="4"/>
  <c r="J77" i="4"/>
  <c r="AI27" i="1" l="1"/>
  <c r="AJ4" i="5" s="1"/>
  <c r="AI49" i="1"/>
  <c r="AI51" i="1" s="1"/>
  <c r="AJ27" i="1"/>
  <c r="AK4" i="5" s="1"/>
  <c r="AJ49" i="1"/>
  <c r="AJ51" i="1" s="1"/>
  <c r="AP34" i="5"/>
  <c r="AO27" i="1"/>
  <c r="AP4" i="5" s="1"/>
  <c r="AN27" i="1"/>
  <c r="AO4" i="5" s="1"/>
  <c r="AM27" i="1"/>
  <c r="AN4" i="5" s="1"/>
  <c r="AL27" i="1"/>
  <c r="AM4" i="5" s="1"/>
  <c r="AP5" i="5"/>
  <c r="AO38" i="1"/>
  <c r="AO5" i="5"/>
  <c r="AN38" i="1"/>
  <c r="AO49" i="1"/>
  <c r="AN49" i="1"/>
  <c r="AL5" i="5"/>
  <c r="AK27" i="1"/>
  <c r="AL3" i="2"/>
  <c r="AL19" i="2" s="1"/>
  <c r="AL29" i="2" s="1"/>
  <c r="AL33" i="2" s="1"/>
  <c r="AL35" i="2" s="1"/>
  <c r="AL37" i="2" s="1"/>
  <c r="AK3" i="2"/>
  <c r="AK19" i="2" s="1"/>
  <c r="AK29" i="2" s="1"/>
  <c r="AK33" i="2" s="1"/>
  <c r="AK35" i="2" s="1"/>
  <c r="AK37" i="2" s="1"/>
  <c r="AO3" i="2"/>
  <c r="AO19" i="2" s="1"/>
  <c r="AO29" i="2" s="1"/>
  <c r="AO33" i="2" s="1"/>
  <c r="AO35" i="2" s="1"/>
  <c r="AO37" i="2" s="1"/>
  <c r="AJ12" i="3"/>
  <c r="AJ13" i="3"/>
  <c r="AI12" i="3"/>
  <c r="AI13" i="3"/>
  <c r="AH12" i="3"/>
  <c r="AH13" i="3"/>
  <c r="AG12" i="3"/>
  <c r="AG13" i="3"/>
  <c r="AF12" i="3"/>
  <c r="AF13" i="3"/>
  <c r="AI30" i="5"/>
  <c r="AJ38" i="3"/>
  <c r="AH30" i="5"/>
  <c r="AI38" i="3"/>
  <c r="AG30" i="5"/>
  <c r="AH38" i="3"/>
  <c r="AE30" i="5"/>
  <c r="AI34" i="5"/>
  <c r="AH27" i="1"/>
  <c r="AH34" i="5"/>
  <c r="AG27" i="1"/>
  <c r="AG34" i="5"/>
  <c r="AF27" i="1"/>
  <c r="AF34" i="5"/>
  <c r="AE27" i="1"/>
  <c r="AE34" i="5"/>
  <c r="AD27" i="1"/>
  <c r="AI5" i="5"/>
  <c r="AJ5" i="3"/>
  <c r="AJ18" i="3"/>
  <c r="AJ21" i="3"/>
  <c r="AH38" i="1"/>
  <c r="AH5" i="5"/>
  <c r="AI18" i="3"/>
  <c r="AI21" i="3"/>
  <c r="AG38" i="1"/>
  <c r="AG5" i="5"/>
  <c r="AH5" i="3"/>
  <c r="AH18" i="3"/>
  <c r="AH21" i="3"/>
  <c r="AF38" i="1"/>
  <c r="AF5" i="5"/>
  <c r="AG25" i="3" s="1"/>
  <c r="AG5" i="3"/>
  <c r="AG18" i="3"/>
  <c r="AG21" i="3"/>
  <c r="AE38" i="1"/>
  <c r="AE5" i="5"/>
  <c r="AF5" i="3"/>
  <c r="AF18" i="3"/>
  <c r="AF21" i="3"/>
  <c r="AD38" i="1"/>
  <c r="AH49" i="1"/>
  <c r="AH51" i="1" s="1"/>
  <c r="AG49" i="1"/>
  <c r="AG51" i="1" s="1"/>
  <c r="AF49" i="1"/>
  <c r="AF51" i="1" s="1"/>
  <c r="AE49" i="1"/>
  <c r="AE51" i="1" s="1"/>
  <c r="AD49" i="1"/>
  <c r="AD51" i="1" s="1"/>
  <c r="AJ9" i="3"/>
  <c r="AH35" i="2"/>
  <c r="AH37" i="2" s="1"/>
  <c r="AI9" i="3"/>
  <c r="AG35" i="2"/>
  <c r="AG37" i="2" s="1"/>
  <c r="AH9" i="3"/>
  <c r="AF35" i="2"/>
  <c r="AF37" i="2" s="1"/>
  <c r="AG9" i="3"/>
  <c r="AE35" i="2"/>
  <c r="AE37" i="2" s="1"/>
  <c r="AD35" i="2"/>
  <c r="AD37" i="2" s="1"/>
  <c r="AI47" i="5"/>
  <c r="AJ10" i="3"/>
  <c r="AJ11" i="3"/>
  <c r="AH47" i="5"/>
  <c r="AI10" i="3"/>
  <c r="AI11" i="3"/>
  <c r="AG47" i="5"/>
  <c r="AH10" i="3"/>
  <c r="AH11" i="3"/>
  <c r="AF47" i="5"/>
  <c r="AG10" i="3"/>
  <c r="AG11" i="3"/>
  <c r="AE47" i="5"/>
  <c r="AF10" i="3"/>
  <c r="AF11" i="3"/>
  <c r="AI5" i="3"/>
  <c r="AF4" i="3"/>
  <c r="AU43" i="5"/>
  <c r="AT43" i="5"/>
  <c r="AS43" i="5"/>
  <c r="AR43" i="5"/>
  <c r="AM43" i="5"/>
  <c r="AL43" i="5"/>
  <c r="AK43" i="5"/>
  <c r="AJ43" i="5"/>
  <c r="AE43" i="5"/>
  <c r="AX37" i="5"/>
  <c r="AW37" i="5"/>
  <c r="AV37" i="5"/>
  <c r="AR37" i="5"/>
  <c r="AQ37" i="5"/>
  <c r="AP37" i="5"/>
  <c r="AO37" i="5"/>
  <c r="AN37" i="5"/>
  <c r="AJ37" i="5"/>
  <c r="AI37" i="5"/>
  <c r="AH37" i="5"/>
  <c r="AG37" i="5"/>
  <c r="AG38" i="3"/>
  <c r="AD35" i="3"/>
  <c r="V35" i="3"/>
  <c r="AX25" i="5"/>
  <c r="AW25" i="5"/>
  <c r="AV25" i="5"/>
  <c r="AS25" i="5"/>
  <c r="AR25" i="5"/>
  <c r="AQ25" i="5"/>
  <c r="AP25" i="5"/>
  <c r="AO25" i="5"/>
  <c r="AN25" i="5"/>
  <c r="AK25" i="5"/>
  <c r="AJ25" i="5"/>
  <c r="AI25" i="5"/>
  <c r="AH25" i="5"/>
  <c r="AG25" i="5"/>
  <c r="AF25" i="5"/>
  <c r="AC25" i="5"/>
  <c r="AB25" i="5"/>
  <c r="AA25" i="5"/>
  <c r="Z25" i="5"/>
  <c r="Y25" i="5"/>
  <c r="X25" i="5"/>
  <c r="U25" i="5"/>
  <c r="T25" i="5"/>
  <c r="S25" i="5"/>
  <c r="R25" i="5"/>
  <c r="AX11" i="5"/>
  <c r="AX12" i="5" s="1"/>
  <c r="AP11" i="5"/>
  <c r="AP12" i="5" s="1"/>
  <c r="AH11" i="5"/>
  <c r="Z11" i="5"/>
  <c r="R11" i="5"/>
  <c r="AU14" i="5"/>
  <c r="AU11" i="5" s="1"/>
  <c r="AU12" i="5" s="1"/>
  <c r="AM14" i="5"/>
  <c r="AM11" i="5" s="1"/>
  <c r="AM12" i="5" s="1"/>
  <c r="AE14" i="5"/>
  <c r="AE11" i="5" s="1"/>
  <c r="AE12" i="5" s="1"/>
  <c r="W14" i="5"/>
  <c r="W11" i="5" s="1"/>
  <c r="W12" i="5" s="1"/>
  <c r="AH12" i="5"/>
  <c r="Z12" i="5"/>
  <c r="R12" i="5"/>
  <c r="W26" i="3"/>
  <c r="X26" i="3"/>
  <c r="AU37" i="5"/>
  <c r="AE37" i="5"/>
  <c r="AC35" i="3"/>
  <c r="AU25" i="5"/>
  <c r="AE25" i="5"/>
  <c r="AT14" i="5"/>
  <c r="AT11" i="5" s="1"/>
  <c r="AT12" i="5" s="1"/>
  <c r="AQ43" i="5"/>
  <c r="AI43" i="5"/>
  <c r="AT37" i="5"/>
  <c r="AL37" i="5"/>
  <c r="AT25" i="5"/>
  <c r="AL25" i="5"/>
  <c r="AD25" i="5"/>
  <c r="V25" i="5"/>
  <c r="AS14" i="5"/>
  <c r="AS11" i="5" s="1"/>
  <c r="AS12" i="5" s="1"/>
  <c r="AK14" i="5"/>
  <c r="AK11" i="5" s="1"/>
  <c r="AK12" i="5" s="1"/>
  <c r="AC14" i="5"/>
  <c r="AC11" i="5" s="1"/>
  <c r="U14" i="5"/>
  <c r="U11" i="5" s="1"/>
  <c r="AH37" i="3"/>
  <c r="AM37" i="5"/>
  <c r="U35" i="3"/>
  <c r="AM25" i="5"/>
  <c r="W25" i="5"/>
  <c r="AL14" i="5"/>
  <c r="AL11" i="5" s="1"/>
  <c r="AL12" i="5" s="1"/>
  <c r="V14" i="5"/>
  <c r="V11" i="5" s="1"/>
  <c r="AF25" i="3"/>
  <c r="AX43" i="5"/>
  <c r="AP43" i="5"/>
  <c r="AH43" i="5"/>
  <c r="AS37" i="5"/>
  <c r="AK37" i="5"/>
  <c r="AH39" i="3"/>
  <c r="AR14" i="5"/>
  <c r="AR11" i="5" s="1"/>
  <c r="AR12" i="5" s="1"/>
  <c r="AJ14" i="5"/>
  <c r="AJ11" i="5" s="1"/>
  <c r="AB14" i="5"/>
  <c r="AB11" i="5" s="1"/>
  <c r="T14" i="5"/>
  <c r="T11" i="5" s="1"/>
  <c r="AE27" i="3"/>
  <c r="AW43" i="5"/>
  <c r="AO43" i="5"/>
  <c r="AG43" i="5"/>
  <c r="AF37" i="5"/>
  <c r="AG37" i="3" s="1"/>
  <c r="AQ14" i="5"/>
  <c r="AQ11" i="5" s="1"/>
  <c r="AQ12" i="5" s="1"/>
  <c r="AI14" i="5"/>
  <c r="AI11" i="5" s="1"/>
  <c r="AA14" i="5"/>
  <c r="AA11" i="5" s="1"/>
  <c r="S14" i="5"/>
  <c r="S11" i="5" s="1"/>
  <c r="T28" i="3"/>
  <c r="AV43" i="5"/>
  <c r="AN43" i="5"/>
  <c r="AF43" i="5"/>
  <c r="AW14" i="5"/>
  <c r="AW11" i="5" s="1"/>
  <c r="AW12" i="5" s="1"/>
  <c r="AO14" i="5"/>
  <c r="AO11" i="5" s="1"/>
  <c r="AO12" i="5" s="1"/>
  <c r="AG14" i="5"/>
  <c r="AG11" i="5" s="1"/>
  <c r="Y14" i="5"/>
  <c r="Y11" i="5" s="1"/>
  <c r="Z29" i="3" s="1"/>
  <c r="AE26" i="3"/>
  <c r="AF26" i="3"/>
  <c r="AB28" i="3"/>
  <c r="AC28" i="3"/>
  <c r="AD28" i="3"/>
  <c r="U28" i="3"/>
  <c r="V28" i="3"/>
  <c r="W35" i="3"/>
  <c r="AV14" i="5"/>
  <c r="AV11" i="5" s="1"/>
  <c r="AV12" i="5" s="1"/>
  <c r="AN14" i="5"/>
  <c r="AN11" i="5" s="1"/>
  <c r="AN12" i="5" s="1"/>
  <c r="AF14" i="5"/>
  <c r="AF11" i="5" s="1"/>
  <c r="X14" i="5"/>
  <c r="X11" i="5" s="1"/>
  <c r="AF6" i="3"/>
  <c r="F78" i="4"/>
  <c r="F76" i="4"/>
  <c r="F81" i="4" s="1"/>
  <c r="AL4" i="5" l="1"/>
  <c r="AK51" i="1"/>
  <c r="AH30" i="3"/>
  <c r="AI39" i="3"/>
  <c r="AI30" i="3"/>
  <c r="AJ39" i="3"/>
  <c r="AJ30" i="3"/>
  <c r="AI37" i="3"/>
  <c r="AJ37" i="3"/>
  <c r="AH25" i="3"/>
  <c r="AI25" i="3"/>
  <c r="AJ25" i="3"/>
  <c r="AE4" i="5"/>
  <c r="AF14" i="3"/>
  <c r="AF20" i="3"/>
  <c r="AF22" i="3"/>
  <c r="AF23" i="3"/>
  <c r="AF15" i="3"/>
  <c r="AF16" i="3"/>
  <c r="AF17" i="3"/>
  <c r="AF4" i="5"/>
  <c r="AG4" i="3"/>
  <c r="AG6" i="3"/>
  <c r="AG14" i="3"/>
  <c r="AG20" i="3"/>
  <c r="AG22" i="3"/>
  <c r="AG23" i="3"/>
  <c r="AG15" i="3"/>
  <c r="AG16" i="3"/>
  <c r="AG17" i="3"/>
  <c r="AG4" i="5"/>
  <c r="AH4" i="3"/>
  <c r="AH6" i="3"/>
  <c r="AH14" i="3"/>
  <c r="AH20" i="3"/>
  <c r="AH22" i="3"/>
  <c r="AH23" i="3"/>
  <c r="AH15" i="3"/>
  <c r="AH16" i="3"/>
  <c r="AH17" i="3"/>
  <c r="AH4" i="5"/>
  <c r="AI4" i="3"/>
  <c r="AI6" i="3"/>
  <c r="AI14" i="3"/>
  <c r="AI20" i="3"/>
  <c r="AI22" i="3"/>
  <c r="AI23" i="3"/>
  <c r="AI15" i="3"/>
  <c r="AI16" i="3"/>
  <c r="AI17" i="3"/>
  <c r="AI4" i="5"/>
  <c r="AJ24" i="3" s="1"/>
  <c r="AJ4" i="3"/>
  <c r="AJ6" i="3"/>
  <c r="AJ14" i="3"/>
  <c r="AJ20" i="3"/>
  <c r="AJ22" i="3"/>
  <c r="AJ23" i="3"/>
  <c r="AJ15" i="3"/>
  <c r="AJ16" i="3"/>
  <c r="AJ17" i="3"/>
  <c r="S29" i="3"/>
  <c r="S12" i="5"/>
  <c r="AI29" i="3"/>
  <c r="AI12" i="5"/>
  <c r="AG30" i="3"/>
  <c r="AC12" i="5"/>
  <c r="AC29" i="3"/>
  <c r="AF39" i="3"/>
  <c r="U12" i="5"/>
  <c r="U29" i="3"/>
  <c r="X12" i="5"/>
  <c r="X29" i="3"/>
  <c r="AF12" i="5"/>
  <c r="AF29" i="3"/>
  <c r="AA29" i="3"/>
  <c r="AA12" i="5"/>
  <c r="AG39" i="3"/>
  <c r="AF30" i="3"/>
  <c r="T12" i="5"/>
  <c r="T29" i="3"/>
  <c r="Y29" i="3"/>
  <c r="Y12" i="5"/>
  <c r="AB12" i="5"/>
  <c r="AB29" i="3"/>
  <c r="AF37" i="3"/>
  <c r="V29" i="3"/>
  <c r="V12" i="5"/>
  <c r="W29" i="3"/>
  <c r="AG29" i="3"/>
  <c r="AG12" i="5"/>
  <c r="AJ12" i="5"/>
  <c r="AJ29" i="3"/>
  <c r="AH29" i="3"/>
  <c r="H4" i="11"/>
  <c r="G4" i="11"/>
  <c r="AC30" i="2"/>
  <c r="AC20" i="2"/>
  <c r="AC25" i="2"/>
  <c r="AC14" i="2"/>
  <c r="AC11" i="2"/>
  <c r="AC7" i="2" s="1"/>
  <c r="AD39" i="5" s="1"/>
  <c r="AD37" i="5" s="1"/>
  <c r="AC4" i="2"/>
  <c r="AC3" i="2" s="1"/>
  <c r="AC41" i="1"/>
  <c r="AC44" i="1"/>
  <c r="AD20" i="5" s="1"/>
  <c r="AC36" i="1"/>
  <c r="AC7" i="1"/>
  <c r="AC31" i="1"/>
  <c r="AC21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C14" i="1"/>
  <c r="AC6" i="1"/>
  <c r="AD30" i="5" l="1"/>
  <c r="AF38" i="3"/>
  <c r="AD34" i="5"/>
  <c r="AD5" i="5"/>
  <c r="AE18" i="3"/>
  <c r="AD17" i="5"/>
  <c r="AD14" i="5" s="1"/>
  <c r="AD11" i="5" s="1"/>
  <c r="AE3" i="3"/>
  <c r="AE39" i="3"/>
  <c r="AE30" i="3"/>
  <c r="AC16" i="2"/>
  <c r="AD46" i="5"/>
  <c r="AE35" i="3" s="1"/>
  <c r="AJ36" i="3"/>
  <c r="AI24" i="3"/>
  <c r="AI36" i="3"/>
  <c r="AH24" i="3"/>
  <c r="AG24" i="3"/>
  <c r="AH36" i="3"/>
  <c r="AG36" i="3"/>
  <c r="AC38" i="1"/>
  <c r="AC48" i="1"/>
  <c r="AC49" i="1" s="1"/>
  <c r="AC5" i="1"/>
  <c r="AC4" i="1" s="1"/>
  <c r="AE12" i="3" l="1"/>
  <c r="AE13" i="3"/>
  <c r="AC12" i="2"/>
  <c r="AC19" i="2" s="1"/>
  <c r="AD44" i="5"/>
  <c r="AE5" i="3"/>
  <c r="AE19" i="3"/>
  <c r="AD29" i="3"/>
  <c r="AD12" i="5"/>
  <c r="AE29" i="3"/>
  <c r="AE25" i="3"/>
  <c r="AO30" i="5"/>
  <c r="AE33" i="3" l="1"/>
  <c r="D91" i="4"/>
  <c r="C91" i="4"/>
  <c r="F90" i="4"/>
  <c r="F89" i="4"/>
  <c r="F88" i="4"/>
  <c r="F87" i="4"/>
  <c r="F86" i="4"/>
  <c r="F91" i="4" s="1"/>
  <c r="D72" i="4"/>
  <c r="C72" i="4"/>
  <c r="F71" i="4"/>
  <c r="F70" i="4"/>
  <c r="F69" i="4"/>
  <c r="F68" i="4"/>
  <c r="F67" i="4"/>
  <c r="F72" i="4" s="1"/>
  <c r="D63" i="4"/>
  <c r="C63" i="4"/>
  <c r="F62" i="4"/>
  <c r="F61" i="4"/>
  <c r="F60" i="4"/>
  <c r="F59" i="4"/>
  <c r="F58" i="4"/>
  <c r="F63" i="4" s="1"/>
  <c r="E54" i="4"/>
  <c r="D54" i="4"/>
  <c r="C54" i="4"/>
  <c r="F53" i="4"/>
  <c r="F52" i="4"/>
  <c r="F51" i="4"/>
  <c r="F50" i="4"/>
  <c r="F49" i="4"/>
  <c r="F54" i="4" s="1"/>
  <c r="Q6" i="5"/>
  <c r="Q7" i="5"/>
  <c r="Q8" i="5"/>
  <c r="Q15" i="5"/>
  <c r="Q19" i="5"/>
  <c r="Q22" i="5"/>
  <c r="Q21" i="5" s="1"/>
  <c r="Q27" i="5"/>
  <c r="Q28" i="5"/>
  <c r="Q31" i="5"/>
  <c r="Q32" i="5"/>
  <c r="Q35" i="5"/>
  <c r="Q38" i="5"/>
  <c r="Q40" i="5"/>
  <c r="Q45" i="5"/>
  <c r="R34" i="3" s="1"/>
  <c r="Z30" i="2"/>
  <c r="AA30" i="2"/>
  <c r="AB30" i="2"/>
  <c r="Z23" i="2"/>
  <c r="AA23" i="2"/>
  <c r="AB23" i="2"/>
  <c r="Z20" i="2"/>
  <c r="AA20" i="2"/>
  <c r="AB20" i="2"/>
  <c r="Z12" i="2"/>
  <c r="AA12" i="2"/>
  <c r="AA39" i="2" s="1"/>
  <c r="AB12" i="2"/>
  <c r="Z7" i="2"/>
  <c r="AA39" i="5" s="1"/>
  <c r="AA37" i="5" s="1"/>
  <c r="AA7" i="2"/>
  <c r="AB39" i="5" s="1"/>
  <c r="AB37" i="5" s="1"/>
  <c r="AB7" i="2"/>
  <c r="AC39" i="5" s="1"/>
  <c r="AC37" i="5" s="1"/>
  <c r="Z4" i="2"/>
  <c r="AA4" i="2"/>
  <c r="AA3" i="2" s="1"/>
  <c r="AA19" i="2" s="1"/>
  <c r="AA29" i="2" s="1"/>
  <c r="AA33" i="2" s="1"/>
  <c r="AB4" i="2"/>
  <c r="Z3" i="2"/>
  <c r="Z19" i="2" s="1"/>
  <c r="Z29" i="2" s="1"/>
  <c r="Z33" i="2" s="1"/>
  <c r="Z39" i="2"/>
  <c r="Z48" i="1"/>
  <c r="AA48" i="1"/>
  <c r="AB48" i="1"/>
  <c r="Z31" i="1"/>
  <c r="AA31" i="1"/>
  <c r="AB31" i="1"/>
  <c r="Z21" i="1"/>
  <c r="AA21" i="1"/>
  <c r="AB21" i="1"/>
  <c r="Z14" i="1"/>
  <c r="AA14" i="1"/>
  <c r="AB14" i="1"/>
  <c r="Z8" i="1"/>
  <c r="AA8" i="1"/>
  <c r="AB8" i="1"/>
  <c r="Z4" i="1"/>
  <c r="AA4" i="1"/>
  <c r="AB4" i="1"/>
  <c r="AD12" i="3" l="1"/>
  <c r="AD13" i="3"/>
  <c r="AC12" i="3"/>
  <c r="AC13" i="3"/>
  <c r="AB12" i="3"/>
  <c r="AB13" i="3"/>
  <c r="AC30" i="5"/>
  <c r="AD38" i="3"/>
  <c r="AE38" i="3"/>
  <c r="AB30" i="5"/>
  <c r="AC38" i="3"/>
  <c r="AA30" i="5"/>
  <c r="AC34" i="5"/>
  <c r="AB34" i="5"/>
  <c r="AA34" i="5"/>
  <c r="AC5" i="5"/>
  <c r="AD5" i="3"/>
  <c r="AD18" i="3"/>
  <c r="AB5" i="5"/>
  <c r="AC5" i="3"/>
  <c r="AC18" i="3"/>
  <c r="AA5" i="5"/>
  <c r="AB5" i="3"/>
  <c r="AB18" i="3"/>
  <c r="AC30" i="3"/>
  <c r="AD39" i="3"/>
  <c r="AD30" i="3"/>
  <c r="AC39" i="3"/>
  <c r="AB30" i="3"/>
  <c r="AB39" i="3"/>
  <c r="AB32" i="3"/>
  <c r="AC47" i="5"/>
  <c r="AB47" i="5"/>
  <c r="AC10" i="3"/>
  <c r="AA47" i="5"/>
  <c r="AB10" i="3"/>
  <c r="R28" i="3"/>
  <c r="S35" i="3"/>
  <c r="R27" i="3"/>
  <c r="R26" i="3"/>
  <c r="AB27" i="1"/>
  <c r="AA27" i="1"/>
  <c r="Z27" i="1"/>
  <c r="AB38" i="1"/>
  <c r="AA38" i="1"/>
  <c r="Z38" i="1"/>
  <c r="AB49" i="1"/>
  <c r="AB51" i="1" s="1"/>
  <c r="AA49" i="1"/>
  <c r="AA51" i="1" s="1"/>
  <c r="Z49" i="1"/>
  <c r="Z51" i="1" s="1"/>
  <c r="AB3" i="2"/>
  <c r="AB19" i="2" s="1"/>
  <c r="AB39" i="2"/>
  <c r="AC32" i="3" s="1"/>
  <c r="AA41" i="2"/>
  <c r="Z35" i="2"/>
  <c r="Z37" i="2" s="1"/>
  <c r="AA35" i="2"/>
  <c r="AA37" i="2" s="1"/>
  <c r="AB41" i="2"/>
  <c r="AC8" i="1"/>
  <c r="AC27" i="1" s="1"/>
  <c r="AC51" i="1" s="1"/>
  <c r="Q30" i="2"/>
  <c r="R30" i="2"/>
  <c r="S30" i="2"/>
  <c r="T30" i="2"/>
  <c r="U30" i="2"/>
  <c r="V30" i="2"/>
  <c r="W30" i="2"/>
  <c r="X30" i="2"/>
  <c r="Y30" i="2"/>
  <c r="Q23" i="2"/>
  <c r="R23" i="2"/>
  <c r="S23" i="2"/>
  <c r="T23" i="2"/>
  <c r="U23" i="2"/>
  <c r="V23" i="2"/>
  <c r="W23" i="2"/>
  <c r="X23" i="2"/>
  <c r="Y23" i="2"/>
  <c r="Q20" i="2"/>
  <c r="R20" i="2"/>
  <c r="S20" i="2"/>
  <c r="T20" i="2"/>
  <c r="U20" i="2"/>
  <c r="V20" i="2"/>
  <c r="W20" i="2"/>
  <c r="X20" i="2"/>
  <c r="Y20" i="2"/>
  <c r="Q12" i="2"/>
  <c r="R12" i="2"/>
  <c r="S12" i="2"/>
  <c r="T12" i="2"/>
  <c r="T39" i="2" s="1"/>
  <c r="U12" i="2"/>
  <c r="U39" i="2" s="1"/>
  <c r="V32" i="3" s="1"/>
  <c r="V12" i="2"/>
  <c r="W12" i="2"/>
  <c r="X12" i="2"/>
  <c r="Y12" i="2"/>
  <c r="Y39" i="2" s="1"/>
  <c r="Q7" i="2"/>
  <c r="R39" i="5" s="1"/>
  <c r="R37" i="5" s="1"/>
  <c r="R7" i="2"/>
  <c r="S39" i="5" s="1"/>
  <c r="S37" i="5" s="1"/>
  <c r="S7" i="2"/>
  <c r="T39" i="5" s="1"/>
  <c r="T37" i="5" s="1"/>
  <c r="T7" i="2"/>
  <c r="U39" i="5" s="1"/>
  <c r="U37" i="5" s="1"/>
  <c r="U7" i="2"/>
  <c r="V39" i="5" s="1"/>
  <c r="V37" i="5" s="1"/>
  <c r="V7" i="2"/>
  <c r="W39" i="5" s="1"/>
  <c r="W37" i="5" s="1"/>
  <c r="W7" i="2"/>
  <c r="X39" i="5" s="1"/>
  <c r="X37" i="5" s="1"/>
  <c r="X7" i="2"/>
  <c r="Y39" i="5" s="1"/>
  <c r="Y37" i="5" s="1"/>
  <c r="Y7" i="2"/>
  <c r="Z39" i="5" s="1"/>
  <c r="Z37" i="5" s="1"/>
  <c r="Q4" i="2"/>
  <c r="R4" i="2"/>
  <c r="S4" i="2"/>
  <c r="S3" i="2" s="1"/>
  <c r="S19" i="2" s="1"/>
  <c r="T4" i="2"/>
  <c r="U4" i="2"/>
  <c r="V4" i="2"/>
  <c r="V3" i="2" s="1"/>
  <c r="V19" i="2" s="1"/>
  <c r="W4" i="2"/>
  <c r="X4" i="2"/>
  <c r="Y4" i="2"/>
  <c r="Q3" i="2"/>
  <c r="Q19" i="2" s="1"/>
  <c r="R3" i="2"/>
  <c r="R19" i="2" s="1"/>
  <c r="Q48" i="1"/>
  <c r="R48" i="1"/>
  <c r="S48" i="1"/>
  <c r="T48" i="1"/>
  <c r="U48" i="1"/>
  <c r="V48" i="1"/>
  <c r="W48" i="1"/>
  <c r="X48" i="1"/>
  <c r="Y48" i="1"/>
  <c r="Q31" i="1"/>
  <c r="R31" i="1"/>
  <c r="S31" i="1"/>
  <c r="T31" i="1"/>
  <c r="U31" i="1"/>
  <c r="V31" i="1"/>
  <c r="W31" i="1"/>
  <c r="X31" i="1"/>
  <c r="Y31" i="1"/>
  <c r="Q21" i="1"/>
  <c r="R21" i="1"/>
  <c r="S21" i="1"/>
  <c r="T21" i="1"/>
  <c r="U21" i="1"/>
  <c r="V21" i="1"/>
  <c r="W21" i="1"/>
  <c r="X21" i="1"/>
  <c r="Y21" i="1"/>
  <c r="Q14" i="1"/>
  <c r="R14" i="1"/>
  <c r="S14" i="1"/>
  <c r="T14" i="1"/>
  <c r="U14" i="1"/>
  <c r="V14" i="1"/>
  <c r="W14" i="1"/>
  <c r="X14" i="1"/>
  <c r="Y14" i="1"/>
  <c r="Q8" i="1"/>
  <c r="R8" i="1"/>
  <c r="S8" i="1"/>
  <c r="T8" i="1"/>
  <c r="U8" i="1"/>
  <c r="V8" i="1"/>
  <c r="W8" i="1"/>
  <c r="X8" i="1"/>
  <c r="Y8" i="1"/>
  <c r="Q4" i="1"/>
  <c r="R4" i="1"/>
  <c r="S4" i="1"/>
  <c r="T4" i="1"/>
  <c r="U4" i="1"/>
  <c r="V4" i="1"/>
  <c r="W4" i="1"/>
  <c r="X4" i="1"/>
  <c r="Y4" i="1"/>
  <c r="F50" i="9"/>
  <c r="F49" i="9"/>
  <c r="F48" i="9"/>
  <c r="F47" i="9"/>
  <c r="F46" i="9"/>
  <c r="F45" i="9"/>
  <c r="F44" i="9"/>
  <c r="F16" i="9" s="1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25" i="9" s="1"/>
  <c r="F30" i="9"/>
  <c r="F29" i="9"/>
  <c r="G27" i="9"/>
  <c r="E27" i="9"/>
  <c r="D27" i="9"/>
  <c r="C27" i="9"/>
  <c r="G26" i="9"/>
  <c r="F26" i="9"/>
  <c r="E26" i="9"/>
  <c r="D26" i="9"/>
  <c r="C26" i="9"/>
  <c r="G25" i="9"/>
  <c r="E25" i="9"/>
  <c r="D25" i="9"/>
  <c r="C25" i="9"/>
  <c r="G24" i="9"/>
  <c r="E24" i="9"/>
  <c r="D24" i="9"/>
  <c r="C24" i="9"/>
  <c r="G22" i="9"/>
  <c r="E22" i="9"/>
  <c r="D22" i="9"/>
  <c r="C22" i="9"/>
  <c r="G21" i="9"/>
  <c r="E21" i="9"/>
  <c r="D21" i="9"/>
  <c r="C21" i="9"/>
  <c r="G20" i="9"/>
  <c r="E20" i="9"/>
  <c r="D20" i="9"/>
  <c r="C20" i="9"/>
  <c r="G18" i="9"/>
  <c r="E18" i="9"/>
  <c r="D18" i="9"/>
  <c r="C18" i="9"/>
  <c r="G17" i="9"/>
  <c r="E17" i="9"/>
  <c r="D17" i="9"/>
  <c r="C17" i="9"/>
  <c r="G16" i="9"/>
  <c r="E16" i="9"/>
  <c r="D16" i="9"/>
  <c r="C16" i="9"/>
  <c r="G15" i="9"/>
  <c r="F15" i="9"/>
  <c r="E15" i="9"/>
  <c r="D15" i="9"/>
  <c r="C15" i="9"/>
  <c r="G13" i="9"/>
  <c r="E13" i="9"/>
  <c r="D13" i="9"/>
  <c r="C13" i="9"/>
  <c r="G12" i="9"/>
  <c r="E12" i="9"/>
  <c r="D12" i="9"/>
  <c r="C12" i="9"/>
  <c r="G11" i="9"/>
  <c r="E11" i="9"/>
  <c r="D11" i="9"/>
  <c r="C11" i="9"/>
  <c r="G10" i="9"/>
  <c r="E10" i="9"/>
  <c r="D10" i="9"/>
  <c r="C10" i="9"/>
  <c r="G8" i="9"/>
  <c r="E8" i="9"/>
  <c r="D8" i="9"/>
  <c r="C8" i="9"/>
  <c r="G7" i="9"/>
  <c r="E7" i="9"/>
  <c r="D7" i="9"/>
  <c r="C7" i="9"/>
  <c r="G6" i="9"/>
  <c r="F6" i="9"/>
  <c r="E6" i="9"/>
  <c r="D6" i="9"/>
  <c r="C6" i="9"/>
  <c r="AA12" i="3" l="1"/>
  <c r="AA13" i="3"/>
  <c r="Z12" i="3"/>
  <c r="Z13" i="3"/>
  <c r="Y12" i="3"/>
  <c r="Y13" i="3"/>
  <c r="X12" i="3"/>
  <c r="X13" i="3"/>
  <c r="W12" i="3"/>
  <c r="W13" i="3"/>
  <c r="V12" i="3"/>
  <c r="V13" i="3"/>
  <c r="U12" i="3"/>
  <c r="U13" i="3"/>
  <c r="T12" i="3"/>
  <c r="T13" i="3"/>
  <c r="S12" i="3"/>
  <c r="S13" i="3"/>
  <c r="Z30" i="5"/>
  <c r="AA38" i="3"/>
  <c r="AB38" i="3"/>
  <c r="Y30" i="5"/>
  <c r="Z38" i="3"/>
  <c r="X30" i="5"/>
  <c r="Y38" i="3"/>
  <c r="W30" i="5"/>
  <c r="X38" i="3"/>
  <c r="V30" i="5"/>
  <c r="W38" i="3"/>
  <c r="U30" i="5"/>
  <c r="V38" i="3"/>
  <c r="T30" i="5"/>
  <c r="U38" i="3"/>
  <c r="S30" i="5"/>
  <c r="T38" i="3"/>
  <c r="R30" i="5"/>
  <c r="Z34" i="5"/>
  <c r="Y34" i="5"/>
  <c r="X34" i="5"/>
  <c r="W34" i="5"/>
  <c r="V34" i="5"/>
  <c r="U34" i="5"/>
  <c r="T34" i="5"/>
  <c r="S34" i="5"/>
  <c r="R34" i="5"/>
  <c r="Z5" i="5"/>
  <c r="AA5" i="3"/>
  <c r="AA18" i="3"/>
  <c r="Y5" i="5"/>
  <c r="Z5" i="3"/>
  <c r="Z18" i="3"/>
  <c r="X5" i="5"/>
  <c r="Y5" i="3"/>
  <c r="Y18" i="3"/>
  <c r="W5" i="5"/>
  <c r="X5" i="3"/>
  <c r="X18" i="3"/>
  <c r="V5" i="5"/>
  <c r="W5" i="3"/>
  <c r="W18" i="3"/>
  <c r="U5" i="5"/>
  <c r="V5" i="3"/>
  <c r="V18" i="3"/>
  <c r="T5" i="5"/>
  <c r="U5" i="3"/>
  <c r="U18" i="3"/>
  <c r="S5" i="5"/>
  <c r="T5" i="3"/>
  <c r="T18" i="3"/>
  <c r="R5" i="5"/>
  <c r="S5" i="3"/>
  <c r="S18" i="3"/>
  <c r="Z30" i="3"/>
  <c r="AA39" i="3"/>
  <c r="AA30" i="3"/>
  <c r="Z39" i="3"/>
  <c r="Y30" i="3"/>
  <c r="X30" i="3"/>
  <c r="Y39" i="3"/>
  <c r="W30" i="3"/>
  <c r="X39" i="3"/>
  <c r="V30" i="3"/>
  <c r="W39" i="3"/>
  <c r="U30" i="3"/>
  <c r="V39" i="3"/>
  <c r="T30" i="3"/>
  <c r="U39" i="3"/>
  <c r="S30" i="3"/>
  <c r="T39" i="3"/>
  <c r="S39" i="3"/>
  <c r="AA32" i="3"/>
  <c r="Z47" i="5"/>
  <c r="Y47" i="5"/>
  <c r="X47" i="5"/>
  <c r="W47" i="5"/>
  <c r="X10" i="3"/>
  <c r="V47" i="5"/>
  <c r="U47" i="5"/>
  <c r="T47" i="5"/>
  <c r="U10" i="3"/>
  <c r="S47" i="5"/>
  <c r="T10" i="3"/>
  <c r="R47" i="5"/>
  <c r="S10" i="3"/>
  <c r="AD4" i="5"/>
  <c r="AE14" i="3"/>
  <c r="AE20" i="3"/>
  <c r="AE22" i="3"/>
  <c r="AE23" i="3"/>
  <c r="AF9" i="3"/>
  <c r="AE17" i="3"/>
  <c r="AE21" i="3"/>
  <c r="AE16" i="3"/>
  <c r="AE15" i="3"/>
  <c r="AE4" i="3"/>
  <c r="AE6" i="3"/>
  <c r="AB29" i="2"/>
  <c r="AB33" i="2" s="1"/>
  <c r="AD9" i="3" s="1"/>
  <c r="AD10" i="3"/>
  <c r="AA4" i="5"/>
  <c r="AB4" i="3"/>
  <c r="AB6" i="3"/>
  <c r="AB14" i="3"/>
  <c r="AB20" i="3"/>
  <c r="AB22" i="3"/>
  <c r="AB23" i="3"/>
  <c r="AB15" i="3"/>
  <c r="AB16" i="3"/>
  <c r="AB17" i="3"/>
  <c r="AB21" i="3"/>
  <c r="AC9" i="3"/>
  <c r="AB11" i="3"/>
  <c r="AB4" i="5"/>
  <c r="AC24" i="3" s="1"/>
  <c r="AC14" i="3"/>
  <c r="AC20" i="3"/>
  <c r="AC22" i="3"/>
  <c r="AC23" i="3"/>
  <c r="AC4" i="3"/>
  <c r="AC6" i="3"/>
  <c r="AC15" i="3"/>
  <c r="AC16" i="3"/>
  <c r="AC17" i="3"/>
  <c r="AC21" i="3"/>
  <c r="AC11" i="3"/>
  <c r="AC4" i="5"/>
  <c r="AD24" i="3" s="1"/>
  <c r="AD14" i="3"/>
  <c r="AD20" i="3"/>
  <c r="AD22" i="3"/>
  <c r="AD23" i="3"/>
  <c r="AD4" i="3"/>
  <c r="AD6" i="3"/>
  <c r="AD15" i="3"/>
  <c r="AD16" i="3"/>
  <c r="AD17" i="3"/>
  <c r="AD21" i="3"/>
  <c r="AD11" i="3"/>
  <c r="AB37" i="3"/>
  <c r="AA43" i="5"/>
  <c r="AC36" i="3"/>
  <c r="AB43" i="5"/>
  <c r="AC37" i="3"/>
  <c r="AD36" i="3"/>
  <c r="AC43" i="5"/>
  <c r="AD37" i="3"/>
  <c r="AA25" i="3"/>
  <c r="AB25" i="3"/>
  <c r="AC25" i="3"/>
  <c r="AD25" i="3"/>
  <c r="X27" i="1"/>
  <c r="U27" i="1"/>
  <c r="S27" i="1"/>
  <c r="R27" i="1"/>
  <c r="Y38" i="1"/>
  <c r="X38" i="1"/>
  <c r="W38" i="1"/>
  <c r="V38" i="1"/>
  <c r="U38" i="1"/>
  <c r="T38" i="1"/>
  <c r="T49" i="1" s="1"/>
  <c r="S38" i="1"/>
  <c r="S49" i="1" s="1"/>
  <c r="S51" i="1" s="1"/>
  <c r="R38" i="1"/>
  <c r="R49" i="1" s="1"/>
  <c r="R51" i="1" s="1"/>
  <c r="Q38" i="1"/>
  <c r="Q49" i="1" s="1"/>
  <c r="Z41" i="2"/>
  <c r="AB35" i="2"/>
  <c r="AB37" i="2" s="1"/>
  <c r="F17" i="9"/>
  <c r="F21" i="9"/>
  <c r="U41" i="2"/>
  <c r="V29" i="2"/>
  <c r="V33" i="2" s="1"/>
  <c r="X39" i="2"/>
  <c r="W39" i="2"/>
  <c r="T3" i="2"/>
  <c r="T19" i="2" s="1"/>
  <c r="V10" i="3" s="1"/>
  <c r="V39" i="2"/>
  <c r="W32" i="3" s="1"/>
  <c r="U3" i="2"/>
  <c r="Y49" i="1"/>
  <c r="R29" i="2"/>
  <c r="R33" i="2" s="1"/>
  <c r="S29" i="2"/>
  <c r="S33" i="2" s="1"/>
  <c r="U9" i="3" s="1"/>
  <c r="Q29" i="2"/>
  <c r="Q33" i="2" s="1"/>
  <c r="U19" i="2"/>
  <c r="W10" i="3" s="1"/>
  <c r="Y3" i="2"/>
  <c r="Y19" i="2" s="1"/>
  <c r="AA10" i="3" s="1"/>
  <c r="X3" i="2"/>
  <c r="X19" i="2" s="1"/>
  <c r="Z10" i="3" s="1"/>
  <c r="W3" i="2"/>
  <c r="W19" i="2" s="1"/>
  <c r="Y10" i="3" s="1"/>
  <c r="W49" i="1"/>
  <c r="V49" i="1"/>
  <c r="X49" i="1"/>
  <c r="X51" i="1" s="1"/>
  <c r="U49" i="1"/>
  <c r="U51" i="1" s="1"/>
  <c r="Q27" i="1"/>
  <c r="W27" i="1"/>
  <c r="T27" i="1"/>
  <c r="V27" i="1"/>
  <c r="Y27" i="1"/>
  <c r="F10" i="9"/>
  <c r="F11" i="9"/>
  <c r="F13" i="9"/>
  <c r="F20" i="9"/>
  <c r="F24" i="9"/>
  <c r="F27" i="9"/>
  <c r="F18" i="9"/>
  <c r="F22" i="9"/>
  <c r="F7" i="9"/>
  <c r="F8" i="9"/>
  <c r="F12" i="9"/>
  <c r="P41" i="1"/>
  <c r="P42" i="1"/>
  <c r="Q18" i="5" s="1"/>
  <c r="V51" i="1" l="1"/>
  <c r="W51" i="1"/>
  <c r="Y51" i="1"/>
  <c r="Q51" i="1"/>
  <c r="T51" i="1"/>
  <c r="Z4" i="5"/>
  <c r="AA4" i="3"/>
  <c r="AA6" i="3"/>
  <c r="AA14" i="3"/>
  <c r="AA20" i="3"/>
  <c r="AA22" i="3"/>
  <c r="AA23" i="3"/>
  <c r="AB9" i="3"/>
  <c r="AA15" i="3"/>
  <c r="AA16" i="3"/>
  <c r="AA17" i="3"/>
  <c r="AA21" i="3"/>
  <c r="AA11" i="3"/>
  <c r="W4" i="5"/>
  <c r="X14" i="3"/>
  <c r="X20" i="3"/>
  <c r="X22" i="3"/>
  <c r="X23" i="3"/>
  <c r="X4" i="3"/>
  <c r="X6" i="3"/>
  <c r="X15" i="3"/>
  <c r="X16" i="3"/>
  <c r="X17" i="3"/>
  <c r="X21" i="3"/>
  <c r="X11" i="3"/>
  <c r="U4" i="5"/>
  <c r="V14" i="3"/>
  <c r="V20" i="3"/>
  <c r="V22" i="3"/>
  <c r="V23" i="3"/>
  <c r="V4" i="3"/>
  <c r="V6" i="3"/>
  <c r="V15" i="3"/>
  <c r="V16" i="3"/>
  <c r="V17" i="3"/>
  <c r="V21" i="3"/>
  <c r="V11" i="3"/>
  <c r="X4" i="5"/>
  <c r="Y24" i="3" s="1"/>
  <c r="Y4" i="3"/>
  <c r="Y6" i="3"/>
  <c r="Y14" i="3"/>
  <c r="Y20" i="3"/>
  <c r="Y22" i="3"/>
  <c r="Y23" i="3"/>
  <c r="Y15" i="3"/>
  <c r="Y16" i="3"/>
  <c r="Y17" i="3"/>
  <c r="Y21" i="3"/>
  <c r="Y11" i="3"/>
  <c r="R4" i="5"/>
  <c r="S4" i="3"/>
  <c r="S6" i="3"/>
  <c r="S14" i="3"/>
  <c r="S20" i="3"/>
  <c r="S22" i="3"/>
  <c r="S23" i="3"/>
  <c r="S15" i="3"/>
  <c r="S16" i="3"/>
  <c r="S17" i="3"/>
  <c r="S21" i="3"/>
  <c r="S11" i="3"/>
  <c r="T9" i="3"/>
  <c r="X32" i="3"/>
  <c r="Y32" i="3"/>
  <c r="Z32" i="3"/>
  <c r="X9" i="3"/>
  <c r="S4" i="5"/>
  <c r="T24" i="3" s="1"/>
  <c r="T4" i="3"/>
  <c r="T6" i="3"/>
  <c r="T14" i="3"/>
  <c r="T20" i="3"/>
  <c r="T22" i="3"/>
  <c r="T23" i="3"/>
  <c r="T15" i="3"/>
  <c r="T16" i="3"/>
  <c r="T17" i="3"/>
  <c r="T21" i="3"/>
  <c r="T11" i="3"/>
  <c r="T4" i="5"/>
  <c r="U24" i="3" s="1"/>
  <c r="U14" i="3"/>
  <c r="U20" i="3"/>
  <c r="U22" i="3"/>
  <c r="U23" i="3"/>
  <c r="U4" i="3"/>
  <c r="U6" i="3"/>
  <c r="U15" i="3"/>
  <c r="U16" i="3"/>
  <c r="U17" i="3"/>
  <c r="U21" i="3"/>
  <c r="U11" i="3"/>
  <c r="V4" i="5"/>
  <c r="W24" i="3" s="1"/>
  <c r="W14" i="3"/>
  <c r="W20" i="3"/>
  <c r="W22" i="3"/>
  <c r="W23" i="3"/>
  <c r="W4" i="3"/>
  <c r="W6" i="3"/>
  <c r="W15" i="3"/>
  <c r="W16" i="3"/>
  <c r="W17" i="3"/>
  <c r="W21" i="3"/>
  <c r="W11" i="3"/>
  <c r="Y4" i="5"/>
  <c r="Z24" i="3" s="1"/>
  <c r="Z4" i="3"/>
  <c r="Z6" i="3"/>
  <c r="Z14" i="3"/>
  <c r="Z20" i="3"/>
  <c r="Z22" i="3"/>
  <c r="Z23" i="3"/>
  <c r="Z15" i="3"/>
  <c r="Z16" i="3"/>
  <c r="Z17" i="3"/>
  <c r="Z21" i="3"/>
  <c r="Z11" i="3"/>
  <c r="AB24" i="3"/>
  <c r="AE24" i="3"/>
  <c r="AF36" i="3"/>
  <c r="AF24" i="3"/>
  <c r="S37" i="3"/>
  <c r="R43" i="5"/>
  <c r="T36" i="3"/>
  <c r="T37" i="3"/>
  <c r="S43" i="5"/>
  <c r="U36" i="3"/>
  <c r="T43" i="5"/>
  <c r="U37" i="3"/>
  <c r="V36" i="3"/>
  <c r="U43" i="5"/>
  <c r="V37" i="3"/>
  <c r="W36" i="3"/>
  <c r="V43" i="5"/>
  <c r="W37" i="3"/>
  <c r="X36" i="3"/>
  <c r="W43" i="5"/>
  <c r="X37" i="3"/>
  <c r="Y36" i="3"/>
  <c r="Y37" i="3"/>
  <c r="X43" i="5"/>
  <c r="Z36" i="3"/>
  <c r="Z37" i="3"/>
  <c r="Y43" i="5"/>
  <c r="AA37" i="3"/>
  <c r="Z43" i="5"/>
  <c r="AA36" i="3"/>
  <c r="S25" i="3"/>
  <c r="T25" i="3"/>
  <c r="U25" i="3"/>
  <c r="V25" i="3"/>
  <c r="W25" i="3"/>
  <c r="Y25" i="3"/>
  <c r="X25" i="3"/>
  <c r="Z25" i="3"/>
  <c r="Q17" i="5"/>
  <c r="W29" i="2"/>
  <c r="W33" i="2" s="1"/>
  <c r="Y9" i="3" s="1"/>
  <c r="X29" i="2"/>
  <c r="X33" i="2" s="1"/>
  <c r="Z9" i="3" s="1"/>
  <c r="Y29" i="2"/>
  <c r="Y33" i="2" s="1"/>
  <c r="AA9" i="3" s="1"/>
  <c r="U29" i="2"/>
  <c r="U33" i="2" s="1"/>
  <c r="W9" i="3" s="1"/>
  <c r="T29" i="2"/>
  <c r="T33" i="2" s="1"/>
  <c r="V9" i="3" s="1"/>
  <c r="Y41" i="2"/>
  <c r="T35" i="2"/>
  <c r="T37" i="2" s="1"/>
  <c r="V35" i="2"/>
  <c r="V37" i="2" s="1"/>
  <c r="S35" i="2"/>
  <c r="S37" i="2" s="1"/>
  <c r="Y35" i="2"/>
  <c r="Y37" i="2" s="1"/>
  <c r="R35" i="2"/>
  <c r="R37" i="2" s="1"/>
  <c r="V41" i="2"/>
  <c r="Q35" i="2"/>
  <c r="Q37" i="2" s="1"/>
  <c r="W35" i="2"/>
  <c r="W37" i="2" s="1"/>
  <c r="U35" i="2"/>
  <c r="U37" i="2" s="1"/>
  <c r="X35" i="2"/>
  <c r="X37" i="2" s="1"/>
  <c r="W41" i="2"/>
  <c r="X41" i="2"/>
  <c r="P28" i="2"/>
  <c r="P25" i="2"/>
  <c r="P14" i="2"/>
  <c r="P11" i="2"/>
  <c r="P7" i="1"/>
  <c r="V24" i="3" l="1"/>
  <c r="X24" i="3"/>
  <c r="AA24" i="3"/>
  <c r="AB36" i="3"/>
  <c r="P16" i="2"/>
  <c r="Q44" i="5" s="1"/>
  <c r="R33" i="3" s="1"/>
  <c r="Q46" i="5"/>
  <c r="D44" i="5"/>
  <c r="E44" i="5"/>
  <c r="F44" i="5"/>
  <c r="G44" i="5"/>
  <c r="H33" i="3" s="1"/>
  <c r="H44" i="5"/>
  <c r="I44" i="5"/>
  <c r="J44" i="5"/>
  <c r="K44" i="5"/>
  <c r="L44" i="5"/>
  <c r="M33" i="3" s="1"/>
  <c r="M44" i="5"/>
  <c r="N44" i="5"/>
  <c r="O44" i="5"/>
  <c r="C4" i="1"/>
  <c r="P7" i="2"/>
  <c r="Q39" i="5" s="1"/>
  <c r="Q37" i="5" s="1"/>
  <c r="P44" i="1"/>
  <c r="R3" i="3" s="1"/>
  <c r="P36" i="1"/>
  <c r="P12" i="1"/>
  <c r="P13" i="1"/>
  <c r="P6" i="1"/>
  <c r="I31" i="4"/>
  <c r="I22" i="4"/>
  <c r="L31" i="1"/>
  <c r="L38" i="1" s="1"/>
  <c r="M31" i="1"/>
  <c r="M38" i="1" s="1"/>
  <c r="N31" i="1"/>
  <c r="N38" i="1" s="1"/>
  <c r="O31" i="1"/>
  <c r="P31" i="1"/>
  <c r="L21" i="1"/>
  <c r="M34" i="5" s="1"/>
  <c r="M21" i="1"/>
  <c r="N34" i="5" s="1"/>
  <c r="N21" i="1"/>
  <c r="O34" i="5" s="1"/>
  <c r="O21" i="1"/>
  <c r="P21" i="1"/>
  <c r="L17" i="1"/>
  <c r="M17" i="1"/>
  <c r="N17" i="1"/>
  <c r="O17" i="1"/>
  <c r="P17" i="1"/>
  <c r="L14" i="1"/>
  <c r="M14" i="1"/>
  <c r="N14" i="1"/>
  <c r="O30" i="5" s="1"/>
  <c r="O14" i="1"/>
  <c r="P14" i="1"/>
  <c r="L8" i="1"/>
  <c r="M8" i="1"/>
  <c r="N8" i="1"/>
  <c r="O8" i="1"/>
  <c r="L30" i="2"/>
  <c r="M30" i="2"/>
  <c r="N30" i="2"/>
  <c r="O30" i="2"/>
  <c r="L23" i="2"/>
  <c r="M23" i="2"/>
  <c r="N23" i="2"/>
  <c r="O23" i="2"/>
  <c r="L20" i="2"/>
  <c r="M20" i="2"/>
  <c r="N20" i="2"/>
  <c r="O20" i="2"/>
  <c r="L12" i="2"/>
  <c r="L39" i="2"/>
  <c r="M12" i="2"/>
  <c r="N12" i="2"/>
  <c r="O12" i="2"/>
  <c r="O39" i="2" s="1"/>
  <c r="L7" i="2"/>
  <c r="M7" i="2"/>
  <c r="N39" i="5" s="1"/>
  <c r="N7" i="2"/>
  <c r="O39" i="5" s="1"/>
  <c r="O7" i="2"/>
  <c r="K31" i="1"/>
  <c r="K38" i="1" s="1"/>
  <c r="K21" i="1"/>
  <c r="L34" i="5" s="1"/>
  <c r="K17" i="1"/>
  <c r="K14" i="1"/>
  <c r="L30" i="5" s="1"/>
  <c r="J14" i="1"/>
  <c r="K30" i="5" s="1"/>
  <c r="K8" i="1"/>
  <c r="K30" i="2"/>
  <c r="K23" i="2"/>
  <c r="K20" i="2"/>
  <c r="K12" i="2"/>
  <c r="K7" i="2"/>
  <c r="J31" i="1"/>
  <c r="J38" i="1" s="1"/>
  <c r="J21" i="1"/>
  <c r="K34" i="5" s="1"/>
  <c r="J17" i="1"/>
  <c r="J8" i="1"/>
  <c r="J30" i="2"/>
  <c r="J23" i="2"/>
  <c r="J20" i="2"/>
  <c r="J12" i="2"/>
  <c r="J7" i="2"/>
  <c r="I13" i="4"/>
  <c r="H30" i="2"/>
  <c r="I30" i="2"/>
  <c r="H23" i="2"/>
  <c r="I23" i="2"/>
  <c r="H20" i="2"/>
  <c r="I20" i="2"/>
  <c r="H12" i="2"/>
  <c r="H39" i="2" s="1"/>
  <c r="I12" i="2"/>
  <c r="G12" i="2"/>
  <c r="H7" i="2"/>
  <c r="I39" i="5" s="1"/>
  <c r="I7" i="2"/>
  <c r="H31" i="1"/>
  <c r="H38" i="1" s="1"/>
  <c r="I31" i="1"/>
  <c r="I38" i="1" s="1"/>
  <c r="H21" i="1"/>
  <c r="I34" i="5" s="1"/>
  <c r="I21" i="1"/>
  <c r="J34" i="5" s="1"/>
  <c r="H17" i="1"/>
  <c r="I17" i="1"/>
  <c r="H14" i="1"/>
  <c r="I14" i="1"/>
  <c r="H8" i="1"/>
  <c r="I8" i="1"/>
  <c r="C23" i="2"/>
  <c r="C20" i="2"/>
  <c r="C12" i="2"/>
  <c r="C7" i="2"/>
  <c r="I4" i="4"/>
  <c r="D30" i="2"/>
  <c r="E30" i="2"/>
  <c r="F30" i="2"/>
  <c r="G30" i="2"/>
  <c r="D23" i="2"/>
  <c r="E23" i="2"/>
  <c r="F23" i="2"/>
  <c r="G23" i="2"/>
  <c r="D20" i="2"/>
  <c r="E20" i="2"/>
  <c r="F20" i="2"/>
  <c r="G20" i="2"/>
  <c r="D12" i="2"/>
  <c r="D39" i="2" s="1"/>
  <c r="E12" i="2"/>
  <c r="E39" i="2" s="1"/>
  <c r="F12" i="2"/>
  <c r="F39" i="2" s="1"/>
  <c r="D7" i="2"/>
  <c r="E7" i="2"/>
  <c r="F7" i="2"/>
  <c r="G7" i="2"/>
  <c r="H39" i="5" s="1"/>
  <c r="C4" i="2"/>
  <c r="D4" i="2"/>
  <c r="E4" i="2"/>
  <c r="F4" i="2"/>
  <c r="G4" i="2"/>
  <c r="G3" i="2" s="1"/>
  <c r="G19" i="2" s="1"/>
  <c r="C48" i="1"/>
  <c r="D48" i="1"/>
  <c r="E48" i="1"/>
  <c r="F48" i="1"/>
  <c r="G48" i="1"/>
  <c r="C31" i="1"/>
  <c r="D5" i="5" s="1"/>
  <c r="D31" i="1"/>
  <c r="D38" i="1" s="1"/>
  <c r="E31" i="1"/>
  <c r="E38" i="1" s="1"/>
  <c r="E49" i="1" s="1"/>
  <c r="F31" i="1"/>
  <c r="F38" i="1" s="1"/>
  <c r="G31" i="1"/>
  <c r="G38" i="1" s="1"/>
  <c r="C21" i="1"/>
  <c r="D34" i="5" s="1"/>
  <c r="D21" i="1"/>
  <c r="E34" i="5" s="1"/>
  <c r="E21" i="1"/>
  <c r="F34" i="5" s="1"/>
  <c r="F21" i="1"/>
  <c r="G34" i="5" s="1"/>
  <c r="G21" i="1"/>
  <c r="H34" i="5" s="1"/>
  <c r="C17" i="1"/>
  <c r="D17" i="1"/>
  <c r="E17" i="1"/>
  <c r="F17" i="1"/>
  <c r="G17" i="1"/>
  <c r="C14" i="1"/>
  <c r="D14" i="1"/>
  <c r="E14" i="1"/>
  <c r="F30" i="5" s="1"/>
  <c r="F14" i="1"/>
  <c r="G30" i="5" s="1"/>
  <c r="G14" i="1"/>
  <c r="H30" i="5"/>
  <c r="C8" i="1"/>
  <c r="D8" i="1"/>
  <c r="E8" i="1"/>
  <c r="F8" i="1"/>
  <c r="G8" i="1"/>
  <c r="D4" i="1"/>
  <c r="E4" i="1"/>
  <c r="F4" i="1"/>
  <c r="H12" i="3" s="1"/>
  <c r="G4" i="1"/>
  <c r="P23" i="2"/>
  <c r="H4" i="2"/>
  <c r="I4" i="2"/>
  <c r="I3" i="2" s="1"/>
  <c r="J4" i="2"/>
  <c r="K4" i="2"/>
  <c r="K3" i="2" s="1"/>
  <c r="L4" i="2"/>
  <c r="L3" i="2"/>
  <c r="M4" i="2"/>
  <c r="M3" i="2" s="1"/>
  <c r="N4" i="2"/>
  <c r="O4" i="2"/>
  <c r="O3" i="2"/>
  <c r="H48" i="1"/>
  <c r="I48" i="1"/>
  <c r="J48" i="1"/>
  <c r="K48" i="1"/>
  <c r="L48" i="1"/>
  <c r="L49" i="1" s="1"/>
  <c r="M48" i="1"/>
  <c r="M49" i="1" s="1"/>
  <c r="N48" i="1"/>
  <c r="O48" i="1"/>
  <c r="D49" i="1"/>
  <c r="H4" i="1"/>
  <c r="J13" i="3" s="1"/>
  <c r="I20" i="7" s="1"/>
  <c r="I4" i="1"/>
  <c r="K12" i="3" s="1"/>
  <c r="J4" i="1"/>
  <c r="L12" i="3" s="1"/>
  <c r="K4" i="1"/>
  <c r="M12" i="3" s="1"/>
  <c r="L4" i="1"/>
  <c r="M4" i="1"/>
  <c r="O13" i="3" s="1"/>
  <c r="N20" i="7" s="1"/>
  <c r="N4" i="1"/>
  <c r="P12" i="3" s="1"/>
  <c r="N8" i="8" s="1"/>
  <c r="O4" i="1"/>
  <c r="H7" i="3"/>
  <c r="N7" i="3"/>
  <c r="N8" i="3"/>
  <c r="K8" i="3"/>
  <c r="H8" i="3"/>
  <c r="P7" i="3"/>
  <c r="P8" i="3"/>
  <c r="O11" i="7" s="1"/>
  <c r="O12" i="7" s="1"/>
  <c r="C45" i="4"/>
  <c r="D45" i="4"/>
  <c r="P30" i="2"/>
  <c r="P20" i="2"/>
  <c r="P4" i="2"/>
  <c r="N18" i="3"/>
  <c r="M27" i="7" s="1"/>
  <c r="F47" i="5"/>
  <c r="B4" i="2"/>
  <c r="B7" i="2"/>
  <c r="S14" i="8"/>
  <c r="T14" i="8"/>
  <c r="G12" i="7"/>
  <c r="J12" i="7"/>
  <c r="K12" i="7"/>
  <c r="Q12" i="7"/>
  <c r="S12" i="7"/>
  <c r="C12" i="7"/>
  <c r="T12" i="7"/>
  <c r="M12" i="7"/>
  <c r="N12" i="7"/>
  <c r="P12" i="7"/>
  <c r="I12" i="7"/>
  <c r="H12" i="7"/>
  <c r="F12" i="7"/>
  <c r="E12" i="7"/>
  <c r="D12" i="7"/>
  <c r="B48" i="1"/>
  <c r="T27" i="7"/>
  <c r="S10" i="8"/>
  <c r="T25" i="7"/>
  <c r="T22" i="7"/>
  <c r="S13" i="8"/>
  <c r="T20" i="7"/>
  <c r="I12" i="3"/>
  <c r="H19" i="7" s="1"/>
  <c r="N12" i="3"/>
  <c r="M19" i="7" s="1"/>
  <c r="T16" i="7"/>
  <c r="U16" i="7"/>
  <c r="R15" i="7"/>
  <c r="S15" i="7"/>
  <c r="T15" i="7"/>
  <c r="D3" i="3"/>
  <c r="B3" i="8" s="1"/>
  <c r="E3" i="3"/>
  <c r="C3" i="8" s="1"/>
  <c r="F3" i="3"/>
  <c r="D3" i="8" s="1"/>
  <c r="G3" i="3"/>
  <c r="F5" i="7" s="1"/>
  <c r="H3" i="3"/>
  <c r="I3" i="3"/>
  <c r="H5" i="7" s="1"/>
  <c r="J3" i="3"/>
  <c r="I5" i="7" s="1"/>
  <c r="K3" i="3"/>
  <c r="K5" i="3" s="1"/>
  <c r="K19" i="3"/>
  <c r="J28" i="7" s="1"/>
  <c r="L3" i="3"/>
  <c r="L19" i="3" s="1"/>
  <c r="M3" i="3"/>
  <c r="N3" i="3"/>
  <c r="M5" i="7" s="1"/>
  <c r="O3" i="3"/>
  <c r="P3" i="3"/>
  <c r="O5" i="7" s="1"/>
  <c r="S5" i="8"/>
  <c r="C46" i="5"/>
  <c r="D46" i="5"/>
  <c r="E46" i="5"/>
  <c r="F46" i="5"/>
  <c r="C45" i="5"/>
  <c r="D45" i="5"/>
  <c r="E45" i="5"/>
  <c r="F45" i="5"/>
  <c r="C44" i="5"/>
  <c r="C40" i="5"/>
  <c r="D40" i="5"/>
  <c r="E40" i="5"/>
  <c r="F40" i="5"/>
  <c r="G40" i="5"/>
  <c r="C38" i="5"/>
  <c r="D38" i="5"/>
  <c r="E38" i="5"/>
  <c r="F38" i="5"/>
  <c r="C35" i="5"/>
  <c r="D35" i="5"/>
  <c r="E35" i="5"/>
  <c r="F35" i="5"/>
  <c r="C32" i="5"/>
  <c r="D32" i="5"/>
  <c r="E32" i="5"/>
  <c r="F32" i="5"/>
  <c r="C31" i="5"/>
  <c r="D31" i="5"/>
  <c r="E31" i="5"/>
  <c r="E28" i="3" s="1"/>
  <c r="F31" i="5"/>
  <c r="C28" i="5"/>
  <c r="D28" i="5"/>
  <c r="E28" i="5"/>
  <c r="F28" i="5"/>
  <c r="C27" i="5"/>
  <c r="D27" i="5"/>
  <c r="E27" i="5"/>
  <c r="F27" i="5"/>
  <c r="C26" i="5"/>
  <c r="C25" i="5" s="1"/>
  <c r="D26" i="5"/>
  <c r="E26" i="5"/>
  <c r="F26" i="5"/>
  <c r="C22" i="5"/>
  <c r="C21" i="5"/>
  <c r="D22" i="5"/>
  <c r="D21" i="5" s="1"/>
  <c r="E22" i="5"/>
  <c r="E21" i="5" s="1"/>
  <c r="F22" i="5"/>
  <c r="F21" i="5"/>
  <c r="C20" i="5"/>
  <c r="D20" i="5"/>
  <c r="E20" i="5"/>
  <c r="F20" i="5"/>
  <c r="C19" i="5"/>
  <c r="D19" i="5"/>
  <c r="E19" i="5"/>
  <c r="F19" i="5"/>
  <c r="C17" i="5"/>
  <c r="D17" i="5"/>
  <c r="E17" i="5"/>
  <c r="F17" i="5"/>
  <c r="C18" i="5"/>
  <c r="D18" i="5"/>
  <c r="E18" i="5"/>
  <c r="F18" i="5"/>
  <c r="C15" i="5"/>
  <c r="D15" i="5"/>
  <c r="E15" i="5"/>
  <c r="F15" i="5"/>
  <c r="H8" i="5"/>
  <c r="I8" i="5"/>
  <c r="J8" i="5"/>
  <c r="K8" i="5"/>
  <c r="L8" i="5"/>
  <c r="M8" i="5"/>
  <c r="N8" i="5"/>
  <c r="O8" i="5"/>
  <c r="P8" i="5"/>
  <c r="C8" i="5"/>
  <c r="D8" i="5"/>
  <c r="E8" i="5"/>
  <c r="F8" i="5"/>
  <c r="C7" i="5"/>
  <c r="D7" i="5"/>
  <c r="D27" i="3" s="1"/>
  <c r="E7" i="5"/>
  <c r="F7" i="5"/>
  <c r="G7" i="5"/>
  <c r="H7" i="5"/>
  <c r="H27" i="3"/>
  <c r="I7" i="5"/>
  <c r="I27" i="3" s="1"/>
  <c r="J7" i="5"/>
  <c r="J27" i="3" s="1"/>
  <c r="K7" i="5"/>
  <c r="L7" i="5"/>
  <c r="L27" i="3" s="1"/>
  <c r="M7" i="5"/>
  <c r="N7" i="5"/>
  <c r="O7" i="5"/>
  <c r="O27" i="3" s="1"/>
  <c r="P7" i="5"/>
  <c r="Q27" i="3" s="1"/>
  <c r="D6" i="5"/>
  <c r="E6" i="5"/>
  <c r="F6" i="5"/>
  <c r="G6" i="5"/>
  <c r="H6" i="5"/>
  <c r="H26" i="3" s="1"/>
  <c r="I6" i="5"/>
  <c r="J6" i="5"/>
  <c r="J26" i="3" s="1"/>
  <c r="K6" i="5"/>
  <c r="L6" i="5"/>
  <c r="M6" i="5"/>
  <c r="N6" i="5"/>
  <c r="O6" i="5"/>
  <c r="P6" i="5"/>
  <c r="Q26" i="3" s="1"/>
  <c r="E5" i="5"/>
  <c r="H5" i="5"/>
  <c r="P5" i="5"/>
  <c r="C6" i="5"/>
  <c r="Q39" i="2"/>
  <c r="R39" i="2"/>
  <c r="S32" i="3" s="1"/>
  <c r="U15" i="7"/>
  <c r="S39" i="2"/>
  <c r="L39" i="5"/>
  <c r="M39" i="5"/>
  <c r="C39" i="5"/>
  <c r="D39" i="5"/>
  <c r="E39" i="5"/>
  <c r="J39" i="5"/>
  <c r="B12" i="2"/>
  <c r="B20" i="2"/>
  <c r="B23" i="2"/>
  <c r="B30" i="2"/>
  <c r="U25" i="7"/>
  <c r="B31" i="1"/>
  <c r="B38" i="1" s="1"/>
  <c r="B49" i="1" s="1"/>
  <c r="C5" i="5"/>
  <c r="B21" i="1"/>
  <c r="C34" i="5" s="1"/>
  <c r="B17" i="1"/>
  <c r="B14" i="1"/>
  <c r="C30" i="5" s="1"/>
  <c r="E30" i="5"/>
  <c r="B8" i="1"/>
  <c r="B4" i="1"/>
  <c r="D12" i="3" s="1"/>
  <c r="B8" i="8" s="1"/>
  <c r="E12" i="3"/>
  <c r="D19" i="7" s="1"/>
  <c r="G12" i="3"/>
  <c r="E8" i="8" s="1"/>
  <c r="I15" i="5"/>
  <c r="I17" i="5"/>
  <c r="I18" i="5"/>
  <c r="I19" i="5"/>
  <c r="I22" i="5"/>
  <c r="I21" i="5"/>
  <c r="I26" i="5"/>
  <c r="I27" i="5"/>
  <c r="I28" i="5"/>
  <c r="I32" i="5"/>
  <c r="I35" i="5"/>
  <c r="I38" i="5"/>
  <c r="I40" i="5"/>
  <c r="I45" i="5"/>
  <c r="I46" i="5"/>
  <c r="I20" i="5"/>
  <c r="T12" i="8"/>
  <c r="D37" i="6"/>
  <c r="D28" i="6"/>
  <c r="D14" i="6"/>
  <c r="D8" i="6"/>
  <c r="N30" i="5"/>
  <c r="H15" i="5"/>
  <c r="H17" i="5"/>
  <c r="H19" i="5"/>
  <c r="H22" i="5"/>
  <c r="H21" i="5" s="1"/>
  <c r="H27" i="5"/>
  <c r="H31" i="5"/>
  <c r="H32" i="5"/>
  <c r="H35" i="5"/>
  <c r="H38" i="5"/>
  <c r="H40" i="5"/>
  <c r="H45" i="5"/>
  <c r="H46" i="5"/>
  <c r="H20" i="5"/>
  <c r="H18" i="5"/>
  <c r="H28" i="5"/>
  <c r="C37" i="6"/>
  <c r="B37" i="6"/>
  <c r="C28" i="6"/>
  <c r="B28" i="6"/>
  <c r="C14" i="6"/>
  <c r="B14" i="6"/>
  <c r="C8" i="6"/>
  <c r="C18" i="6" s="1"/>
  <c r="B8" i="6"/>
  <c r="F44" i="4"/>
  <c r="F43" i="4"/>
  <c r="F42" i="4"/>
  <c r="F41" i="4"/>
  <c r="F40" i="4"/>
  <c r="G46" i="5"/>
  <c r="G20" i="5"/>
  <c r="J20" i="5"/>
  <c r="K20" i="5"/>
  <c r="L20" i="5"/>
  <c r="M20" i="5"/>
  <c r="N20" i="5"/>
  <c r="O20" i="5"/>
  <c r="P20" i="5"/>
  <c r="P15" i="5"/>
  <c r="P17" i="5"/>
  <c r="P18" i="5"/>
  <c r="P19" i="5"/>
  <c r="P22" i="5"/>
  <c r="P21" i="5" s="1"/>
  <c r="P26" i="5"/>
  <c r="P27" i="5"/>
  <c r="P28" i="5"/>
  <c r="P31" i="5"/>
  <c r="Q28" i="3" s="1"/>
  <c r="P32" i="5"/>
  <c r="P35" i="5"/>
  <c r="P38" i="5"/>
  <c r="Q38" i="3" s="1"/>
  <c r="P40" i="5"/>
  <c r="P44" i="5"/>
  <c r="Q33" i="3" s="1"/>
  <c r="P45" i="5"/>
  <c r="Q34" i="3" s="1"/>
  <c r="P46" i="5"/>
  <c r="O15" i="5"/>
  <c r="O17" i="5"/>
  <c r="O18" i="5"/>
  <c r="O19" i="5"/>
  <c r="O22" i="5"/>
  <c r="O21" i="5" s="1"/>
  <c r="O26" i="5"/>
  <c r="O27" i="5"/>
  <c r="O28" i="5"/>
  <c r="O31" i="5"/>
  <c r="O32" i="5"/>
  <c r="O35" i="5"/>
  <c r="O38" i="5"/>
  <c r="P38" i="3" s="1"/>
  <c r="O40" i="5"/>
  <c r="P33" i="3"/>
  <c r="O45" i="5"/>
  <c r="P34" i="3" s="1"/>
  <c r="O46" i="5"/>
  <c r="G17" i="5"/>
  <c r="K17" i="5"/>
  <c r="L17" i="5"/>
  <c r="M17" i="5"/>
  <c r="N17" i="5"/>
  <c r="M46" i="5"/>
  <c r="N46" i="5"/>
  <c r="G45" i="5"/>
  <c r="H34" i="3" s="1"/>
  <c r="M45" i="5"/>
  <c r="N34" i="3" s="1"/>
  <c r="N45" i="5"/>
  <c r="O34" i="3"/>
  <c r="N33" i="3"/>
  <c r="O33" i="3"/>
  <c r="J40" i="5"/>
  <c r="K40" i="5"/>
  <c r="L40" i="5"/>
  <c r="M40" i="5"/>
  <c r="N40" i="5"/>
  <c r="G38" i="5"/>
  <c r="J38" i="5"/>
  <c r="K38" i="3" s="1"/>
  <c r="K38" i="5"/>
  <c r="L38" i="5"/>
  <c r="M38" i="3" s="1"/>
  <c r="M38" i="5"/>
  <c r="N38" i="3"/>
  <c r="N38" i="5"/>
  <c r="K35" i="5"/>
  <c r="L35" i="5"/>
  <c r="M35" i="5"/>
  <c r="N35" i="5"/>
  <c r="K32" i="5"/>
  <c r="L32" i="5"/>
  <c r="M32" i="5"/>
  <c r="N32" i="5"/>
  <c r="K31" i="5"/>
  <c r="L31" i="5"/>
  <c r="M31" i="5"/>
  <c r="N35" i="3" s="1"/>
  <c r="N31" i="5"/>
  <c r="K28" i="5"/>
  <c r="L28" i="5"/>
  <c r="M28" i="5"/>
  <c r="N28" i="5"/>
  <c r="K27" i="5"/>
  <c r="L27" i="5"/>
  <c r="M27" i="5"/>
  <c r="N27" i="5"/>
  <c r="K26" i="5"/>
  <c r="L26" i="5"/>
  <c r="M26" i="5"/>
  <c r="N26" i="5"/>
  <c r="G22" i="5"/>
  <c r="G21" i="5" s="1"/>
  <c r="K22" i="5"/>
  <c r="K21" i="5" s="1"/>
  <c r="L22" i="5"/>
  <c r="L21" i="5" s="1"/>
  <c r="M22" i="5"/>
  <c r="M21" i="5" s="1"/>
  <c r="N22" i="5"/>
  <c r="N21" i="5" s="1"/>
  <c r="G19" i="5"/>
  <c r="K19" i="5"/>
  <c r="L19" i="5"/>
  <c r="M19" i="5"/>
  <c r="N19" i="5"/>
  <c r="K18" i="5"/>
  <c r="L18" i="5"/>
  <c r="M18" i="5"/>
  <c r="N18" i="5"/>
  <c r="G15" i="5"/>
  <c r="K15" i="5"/>
  <c r="L15" i="5"/>
  <c r="M15" i="5"/>
  <c r="N15" i="5"/>
  <c r="G8" i="5"/>
  <c r="C8" i="4"/>
  <c r="D35" i="4"/>
  <c r="C35" i="4"/>
  <c r="F34" i="4"/>
  <c r="F33" i="4"/>
  <c r="F32" i="4"/>
  <c r="F31" i="4"/>
  <c r="F30" i="4"/>
  <c r="F35" i="4" s="1"/>
  <c r="D8" i="4"/>
  <c r="E8" i="4"/>
  <c r="M8" i="3"/>
  <c r="L11" i="7" s="1"/>
  <c r="L12" i="7" s="1"/>
  <c r="F4" i="4"/>
  <c r="F5" i="4"/>
  <c r="F6" i="4"/>
  <c r="F7" i="4"/>
  <c r="O8" i="3"/>
  <c r="F3" i="4"/>
  <c r="F8" i="4" s="1"/>
  <c r="F22" i="4"/>
  <c r="F23" i="4"/>
  <c r="F24" i="4"/>
  <c r="F25" i="4"/>
  <c r="F21" i="4"/>
  <c r="D26" i="4"/>
  <c r="I23" i="4" s="1"/>
  <c r="C26" i="4"/>
  <c r="C17" i="4"/>
  <c r="D17" i="4"/>
  <c r="F13" i="4"/>
  <c r="F14" i="4"/>
  <c r="F15" i="4"/>
  <c r="F16" i="4"/>
  <c r="F12" i="4"/>
  <c r="L45" i="5"/>
  <c r="M34" i="3"/>
  <c r="L46" i="5"/>
  <c r="G35" i="5"/>
  <c r="G32" i="5"/>
  <c r="G31" i="5"/>
  <c r="G26" i="5"/>
  <c r="J46" i="5"/>
  <c r="J45" i="5"/>
  <c r="K34" i="3" s="1"/>
  <c r="J27" i="5"/>
  <c r="J35" i="5"/>
  <c r="J26" i="5"/>
  <c r="J18" i="5"/>
  <c r="J17" i="5"/>
  <c r="J31" i="5"/>
  <c r="J19" i="5"/>
  <c r="J28" i="5"/>
  <c r="J32" i="5"/>
  <c r="J22" i="5"/>
  <c r="J21" i="5" s="1"/>
  <c r="J15" i="5"/>
  <c r="G27" i="5"/>
  <c r="G28" i="5"/>
  <c r="L33" i="3"/>
  <c r="K45" i="5"/>
  <c r="L34" i="3" s="1"/>
  <c r="K46" i="5"/>
  <c r="K39" i="5"/>
  <c r="K37" i="5" s="1"/>
  <c r="G18" i="5"/>
  <c r="P30" i="5"/>
  <c r="P39" i="5"/>
  <c r="H26" i="5"/>
  <c r="M30" i="5"/>
  <c r="U20" i="7"/>
  <c r="T10" i="8"/>
  <c r="U14" i="7"/>
  <c r="U21" i="7"/>
  <c r="U22" i="7"/>
  <c r="O38" i="3"/>
  <c r="I30" i="5"/>
  <c r="I31" i="5"/>
  <c r="I28" i="3" s="1"/>
  <c r="O12" i="8"/>
  <c r="F39" i="5"/>
  <c r="F37" i="5" s="1"/>
  <c r="C37" i="5"/>
  <c r="D18" i="3"/>
  <c r="B11" i="8" s="1"/>
  <c r="D13" i="3"/>
  <c r="C20" i="7" s="1"/>
  <c r="C38" i="6"/>
  <c r="C40" i="6" s="1"/>
  <c r="B18" i="6"/>
  <c r="B38" i="6"/>
  <c r="B40" i="6" s="1"/>
  <c r="D18" i="6"/>
  <c r="D38" i="6"/>
  <c r="D40" i="6"/>
  <c r="G19" i="3"/>
  <c r="E12" i="8" s="1"/>
  <c r="N47" i="5"/>
  <c r="N43" i="5" s="1"/>
  <c r="O47" i="5"/>
  <c r="M47" i="5"/>
  <c r="K47" i="5"/>
  <c r="I47" i="5"/>
  <c r="G47" i="5"/>
  <c r="E47" i="5"/>
  <c r="T8" i="8"/>
  <c r="U19" i="7"/>
  <c r="K3" i="8"/>
  <c r="L5" i="7"/>
  <c r="G3" i="8"/>
  <c r="H19" i="3"/>
  <c r="F12" i="8" s="1"/>
  <c r="P5" i="7"/>
  <c r="O5" i="3"/>
  <c r="N8" i="7" s="1"/>
  <c r="I19" i="3"/>
  <c r="H28" i="7" s="1"/>
  <c r="G12" i="8"/>
  <c r="F26" i="3"/>
  <c r="H47" i="5"/>
  <c r="T11" i="8"/>
  <c r="U27" i="7"/>
  <c r="T8" i="7"/>
  <c r="T28" i="7"/>
  <c r="S3" i="8"/>
  <c r="T6" i="7"/>
  <c r="T5" i="7"/>
  <c r="S8" i="8"/>
  <c r="T19" i="7"/>
  <c r="R11" i="7"/>
  <c r="R12" i="7" s="1"/>
  <c r="L38" i="3"/>
  <c r="J30" i="5"/>
  <c r="H49" i="1"/>
  <c r="I5" i="5"/>
  <c r="I25" i="3" s="1"/>
  <c r="K39" i="2"/>
  <c r="M32" i="3" s="1"/>
  <c r="L47" i="5"/>
  <c r="D47" i="5"/>
  <c r="D43" i="5"/>
  <c r="G49" i="1"/>
  <c r="I13" i="3"/>
  <c r="H20" i="7" s="1"/>
  <c r="F3" i="8"/>
  <c r="E3" i="8"/>
  <c r="I5" i="3"/>
  <c r="G6" i="8" s="1"/>
  <c r="K33" i="3"/>
  <c r="I3" i="8"/>
  <c r="H3" i="8"/>
  <c r="J12" i="3"/>
  <c r="I19" i="7" s="1"/>
  <c r="E19" i="3"/>
  <c r="D28" i="7" s="1"/>
  <c r="D5" i="7"/>
  <c r="C8" i="8"/>
  <c r="C3" i="2"/>
  <c r="N5" i="5"/>
  <c r="N3" i="8"/>
  <c r="P19" i="3"/>
  <c r="N12" i="8" s="1"/>
  <c r="R5" i="7"/>
  <c r="O19" i="3"/>
  <c r="M12" i="8" s="1"/>
  <c r="P35" i="3"/>
  <c r="O3" i="8"/>
  <c r="P28" i="3"/>
  <c r="O28" i="3"/>
  <c r="N5" i="7"/>
  <c r="M3" i="8"/>
  <c r="P47" i="5"/>
  <c r="N3" i="2"/>
  <c r="N19" i="2" s="1"/>
  <c r="L41" i="2"/>
  <c r="R7" i="3" l="1"/>
  <c r="Q35" i="3"/>
  <c r="T32" i="3"/>
  <c r="U32" i="3"/>
  <c r="Q12" i="3"/>
  <c r="Q13" i="3"/>
  <c r="R38" i="3"/>
  <c r="S38" i="3"/>
  <c r="P34" i="5"/>
  <c r="O38" i="1"/>
  <c r="O49" i="1" s="1"/>
  <c r="Q5" i="3"/>
  <c r="P8" i="7" s="1"/>
  <c r="Q18" i="3"/>
  <c r="O11" i="8" s="1"/>
  <c r="R18" i="3"/>
  <c r="R19" i="3"/>
  <c r="R5" i="3"/>
  <c r="R39" i="3"/>
  <c r="R30" i="3"/>
  <c r="R35" i="3"/>
  <c r="K43" i="5"/>
  <c r="M37" i="5"/>
  <c r="H37" i="5"/>
  <c r="E37" i="5"/>
  <c r="F3" i="2"/>
  <c r="E3" i="2"/>
  <c r="E19" i="2" s="1"/>
  <c r="G10" i="3" s="1"/>
  <c r="F15" i="7" s="1"/>
  <c r="I37" i="5"/>
  <c r="Q30" i="5"/>
  <c r="Q34" i="5"/>
  <c r="Q5" i="5"/>
  <c r="Q26" i="5"/>
  <c r="Q25" i="5" s="1"/>
  <c r="P48" i="1"/>
  <c r="Q20" i="5"/>
  <c r="Q14" i="5" s="1"/>
  <c r="Q11" i="5" s="1"/>
  <c r="F30" i="3"/>
  <c r="N37" i="3"/>
  <c r="N39" i="3"/>
  <c r="I30" i="3"/>
  <c r="S41" i="2"/>
  <c r="T41" i="2"/>
  <c r="J3" i="2"/>
  <c r="G39" i="5"/>
  <c r="P12" i="2"/>
  <c r="L37" i="5"/>
  <c r="M30" i="3" s="1"/>
  <c r="R41" i="2"/>
  <c r="H3" i="2"/>
  <c r="P3" i="2"/>
  <c r="Q47" i="5"/>
  <c r="P43" i="5"/>
  <c r="G39" i="2"/>
  <c r="M43" i="5"/>
  <c r="P37" i="5"/>
  <c r="B3" i="2"/>
  <c r="G37" i="5"/>
  <c r="B39" i="2"/>
  <c r="D32" i="3" s="1"/>
  <c r="K19" i="2"/>
  <c r="K29" i="2" s="1"/>
  <c r="K33" i="2" s="1"/>
  <c r="P26" i="3"/>
  <c r="M26" i="3"/>
  <c r="E26" i="3"/>
  <c r="G27" i="3"/>
  <c r="D28" i="3"/>
  <c r="I49" i="1"/>
  <c r="S4" i="8"/>
  <c r="T21" i="7"/>
  <c r="T23" i="7" s="1"/>
  <c r="O6" i="8"/>
  <c r="J28" i="3"/>
  <c r="H8" i="7"/>
  <c r="M27" i="3"/>
  <c r="H8" i="8"/>
  <c r="P27" i="7"/>
  <c r="P28" i="7"/>
  <c r="O35" i="3"/>
  <c r="D26" i="3"/>
  <c r="M28" i="3"/>
  <c r="N28" i="3"/>
  <c r="F28" i="3"/>
  <c r="T9" i="8"/>
  <c r="U26" i="7"/>
  <c r="T7" i="7"/>
  <c r="T9" i="7" s="1"/>
  <c r="T13" i="8"/>
  <c r="J8" i="8"/>
  <c r="K19" i="7"/>
  <c r="K35" i="3"/>
  <c r="H28" i="3"/>
  <c r="M13" i="3"/>
  <c r="L20" i="7" s="1"/>
  <c r="J19" i="3"/>
  <c r="C38" i="1"/>
  <c r="C49" i="1" s="1"/>
  <c r="O28" i="7"/>
  <c r="S6" i="8"/>
  <c r="S12" i="8"/>
  <c r="K25" i="5"/>
  <c r="K28" i="3"/>
  <c r="N5" i="3"/>
  <c r="M8" i="7" s="1"/>
  <c r="E5" i="3"/>
  <c r="D8" i="7" s="1"/>
  <c r="K13" i="3"/>
  <c r="J20" i="7" s="1"/>
  <c r="F18" i="3"/>
  <c r="T26" i="7"/>
  <c r="T29" i="7" s="1"/>
  <c r="F25" i="5"/>
  <c r="G5" i="3"/>
  <c r="F8" i="7" s="1"/>
  <c r="C14" i="5"/>
  <c r="E25" i="5"/>
  <c r="K26" i="3"/>
  <c r="P27" i="3"/>
  <c r="E27" i="3"/>
  <c r="D25" i="5"/>
  <c r="I18" i="3"/>
  <c r="J14" i="5"/>
  <c r="J11" i="5" s="1"/>
  <c r="J12" i="5" s="1"/>
  <c r="I26" i="3"/>
  <c r="F13" i="3"/>
  <c r="E20" i="7" s="1"/>
  <c r="K28" i="7"/>
  <c r="J12" i="8"/>
  <c r="O8" i="8"/>
  <c r="P19" i="7"/>
  <c r="P11" i="8"/>
  <c r="Q27" i="7"/>
  <c r="E25" i="3"/>
  <c r="D25" i="3"/>
  <c r="C6" i="8"/>
  <c r="J8" i="7"/>
  <c r="I6" i="8"/>
  <c r="L28" i="3"/>
  <c r="E5" i="7"/>
  <c r="F28" i="7"/>
  <c r="F5" i="5"/>
  <c r="F25" i="3" s="1"/>
  <c r="M5" i="3"/>
  <c r="S11" i="8"/>
  <c r="F27" i="3"/>
  <c r="N27" i="3"/>
  <c r="N19" i="3"/>
  <c r="T4" i="8"/>
  <c r="G28" i="3"/>
  <c r="T3" i="8"/>
  <c r="O19" i="7"/>
  <c r="L3" i="8"/>
  <c r="P20" i="7"/>
  <c r="O12" i="3"/>
  <c r="F19" i="7"/>
  <c r="U5" i="7"/>
  <c r="D19" i="3"/>
  <c r="J5" i="7"/>
  <c r="M35" i="3"/>
  <c r="O26" i="3"/>
  <c r="J49" i="1"/>
  <c r="M18" i="3"/>
  <c r="L35" i="3"/>
  <c r="L14" i="5"/>
  <c r="L11" i="5" s="1"/>
  <c r="L12" i="5" s="1"/>
  <c r="E18" i="3"/>
  <c r="J5" i="3"/>
  <c r="I8" i="7" s="1"/>
  <c r="E13" i="3"/>
  <c r="D20" i="7" s="1"/>
  <c r="L6" i="8"/>
  <c r="I12" i="8"/>
  <c r="C27" i="7"/>
  <c r="F12" i="3"/>
  <c r="H25" i="5"/>
  <c r="N26" i="3"/>
  <c r="F5" i="3"/>
  <c r="L5" i="5"/>
  <c r="N25" i="5"/>
  <c r="H5" i="3"/>
  <c r="K18" i="3"/>
  <c r="L11" i="8"/>
  <c r="C5" i="7"/>
  <c r="F19" i="3"/>
  <c r="L26" i="3"/>
  <c r="H18" i="3"/>
  <c r="M19" i="3"/>
  <c r="G13" i="3"/>
  <c r="F20" i="7" s="1"/>
  <c r="G5" i="5"/>
  <c r="J3" i="8"/>
  <c r="M25" i="5"/>
  <c r="M5" i="5"/>
  <c r="N25" i="3" s="1"/>
  <c r="F14" i="5"/>
  <c r="F11" i="5" s="1"/>
  <c r="K5" i="7"/>
  <c r="D5" i="3"/>
  <c r="C8" i="7" s="1"/>
  <c r="U17" i="7"/>
  <c r="L25" i="5"/>
  <c r="J5" i="5"/>
  <c r="J25" i="3" s="1"/>
  <c r="E14" i="5"/>
  <c r="E11" i="5" s="1"/>
  <c r="E12" i="5" s="1"/>
  <c r="G18" i="3"/>
  <c r="J18" i="3"/>
  <c r="U23" i="7"/>
  <c r="J25" i="5"/>
  <c r="G25" i="5"/>
  <c r="F17" i="4"/>
  <c r="F26" i="4"/>
  <c r="G14" i="5"/>
  <c r="G11" i="5" s="1"/>
  <c r="K14" i="5"/>
  <c r="K11" i="5" s="1"/>
  <c r="K12" i="5" s="1"/>
  <c r="O25" i="5"/>
  <c r="P25" i="5"/>
  <c r="H35" i="3"/>
  <c r="H43" i="5"/>
  <c r="I43" i="5"/>
  <c r="I25" i="5"/>
  <c r="I14" i="5"/>
  <c r="I11" i="5" s="1"/>
  <c r="J37" i="5"/>
  <c r="G26" i="3"/>
  <c r="D14" i="5"/>
  <c r="D11" i="5" s="1"/>
  <c r="C11" i="5"/>
  <c r="C12" i="5" s="1"/>
  <c r="D37" i="5"/>
  <c r="E30" i="3" s="1"/>
  <c r="F43" i="5"/>
  <c r="C27" i="1"/>
  <c r="E22" i="3" s="1"/>
  <c r="C39" i="2"/>
  <c r="E32" i="3" s="1"/>
  <c r="I39" i="2"/>
  <c r="J39" i="2"/>
  <c r="K49" i="1"/>
  <c r="O43" i="5"/>
  <c r="J32" i="3"/>
  <c r="I32" i="3"/>
  <c r="H32" i="3"/>
  <c r="L29" i="3"/>
  <c r="H19" i="2"/>
  <c r="J10" i="3" s="1"/>
  <c r="I15" i="7" s="1"/>
  <c r="E23" i="3"/>
  <c r="E14" i="3"/>
  <c r="C14" i="8"/>
  <c r="D4" i="5"/>
  <c r="E21" i="3"/>
  <c r="M19" i="2"/>
  <c r="O10" i="3" s="1"/>
  <c r="N15" i="7" s="1"/>
  <c r="H30" i="3"/>
  <c r="H39" i="3"/>
  <c r="G30" i="3"/>
  <c r="H37" i="3"/>
  <c r="I8" i="8"/>
  <c r="J19" i="7"/>
  <c r="O14" i="5"/>
  <c r="O11" i="5" s="1"/>
  <c r="G29" i="2"/>
  <c r="G33" i="2" s="1"/>
  <c r="G35" i="2" s="1"/>
  <c r="G37" i="2" s="1"/>
  <c r="I10" i="3"/>
  <c r="H15" i="7" s="1"/>
  <c r="P14" i="5"/>
  <c r="P11" i="5" s="1"/>
  <c r="L32" i="3"/>
  <c r="K41" i="2"/>
  <c r="K32" i="3"/>
  <c r="J41" i="2"/>
  <c r="F8" i="8"/>
  <c r="G19" i="7"/>
  <c r="N14" i="5"/>
  <c r="N11" i="5" s="1"/>
  <c r="K8" i="8"/>
  <c r="L19" i="7"/>
  <c r="J19" i="2"/>
  <c r="L10" i="3" s="1"/>
  <c r="K15" i="7" s="1"/>
  <c r="L37" i="3"/>
  <c r="L39" i="3"/>
  <c r="K30" i="3"/>
  <c r="M14" i="5"/>
  <c r="M11" i="5" s="1"/>
  <c r="H14" i="5"/>
  <c r="H11" i="5" s="1"/>
  <c r="J30" i="3"/>
  <c r="K39" i="3"/>
  <c r="I19" i="2"/>
  <c r="G43" i="5"/>
  <c r="P18" i="3"/>
  <c r="N28" i="7"/>
  <c r="C12" i="8"/>
  <c r="E6" i="8"/>
  <c r="L43" i="5"/>
  <c r="H13" i="3"/>
  <c r="G20" i="7" s="1"/>
  <c r="G28" i="7"/>
  <c r="G8" i="8"/>
  <c r="L13" i="3"/>
  <c r="K20" i="7" s="1"/>
  <c r="N49" i="1"/>
  <c r="C19" i="2"/>
  <c r="C29" i="2" s="1"/>
  <c r="C33" i="2" s="1"/>
  <c r="P38" i="1"/>
  <c r="P5" i="3"/>
  <c r="K27" i="3"/>
  <c r="U28" i="7"/>
  <c r="B6" i="8"/>
  <c r="K5" i="5"/>
  <c r="N37" i="5"/>
  <c r="H38" i="3"/>
  <c r="C47" i="5"/>
  <c r="C43" i="5" s="1"/>
  <c r="S9" i="8"/>
  <c r="D30" i="5"/>
  <c r="L19" i="2"/>
  <c r="E29" i="2"/>
  <c r="E33" i="2" s="1"/>
  <c r="E35" i="2" s="1"/>
  <c r="E37" i="2" s="1"/>
  <c r="E43" i="5"/>
  <c r="L8" i="8"/>
  <c r="N39" i="2"/>
  <c r="P8" i="1"/>
  <c r="O18" i="3"/>
  <c r="F45" i="4"/>
  <c r="C19" i="7"/>
  <c r="G5" i="7"/>
  <c r="J47" i="5"/>
  <c r="K37" i="3" s="1"/>
  <c r="M39" i="2"/>
  <c r="P4" i="1"/>
  <c r="L5" i="3"/>
  <c r="Q41" i="2"/>
  <c r="M6" i="8"/>
  <c r="H6" i="8"/>
  <c r="N13" i="3"/>
  <c r="M20" i="7" s="1"/>
  <c r="D3" i="2"/>
  <c r="O19" i="2"/>
  <c r="O5" i="5"/>
  <c r="L18" i="3"/>
  <c r="P13" i="3"/>
  <c r="O20" i="7" s="1"/>
  <c r="F49" i="1"/>
  <c r="F19" i="2"/>
  <c r="H10" i="3" s="1"/>
  <c r="G15" i="7" s="1"/>
  <c r="P39" i="2"/>
  <c r="P19" i="2"/>
  <c r="R10" i="3" s="1"/>
  <c r="P49" i="1"/>
  <c r="Q3" i="8"/>
  <c r="Q12" i="8"/>
  <c r="N29" i="2"/>
  <c r="N33" i="2" s="1"/>
  <c r="P10" i="3"/>
  <c r="O15" i="7" s="1"/>
  <c r="E10" i="3"/>
  <c r="D15" i="7" s="1"/>
  <c r="O37" i="5"/>
  <c r="B27" i="1"/>
  <c r="B51" i="1" s="1"/>
  <c r="B19" i="2"/>
  <c r="G27" i="1"/>
  <c r="G51" i="1" s="1"/>
  <c r="F27" i="1"/>
  <c r="H16" i="3"/>
  <c r="E27" i="1"/>
  <c r="E51" i="1" s="1"/>
  <c r="D27" i="1"/>
  <c r="D51" i="1" s="1"/>
  <c r="F32" i="3"/>
  <c r="I5" i="4"/>
  <c r="R8" i="3" s="1"/>
  <c r="I27" i="1"/>
  <c r="H27" i="1"/>
  <c r="H51" i="1" s="1"/>
  <c r="G32" i="3"/>
  <c r="I14" i="4"/>
  <c r="U7" i="3" s="1"/>
  <c r="J27" i="1"/>
  <c r="K27" i="1"/>
  <c r="O27" i="1"/>
  <c r="N27" i="1"/>
  <c r="M27" i="1"/>
  <c r="M51" i="1" s="1"/>
  <c r="L27" i="1"/>
  <c r="L51" i="1" s="1"/>
  <c r="I32" i="4"/>
  <c r="U11" i="7" s="1"/>
  <c r="U12" i="7" s="1"/>
  <c r="F51" i="1" l="1"/>
  <c r="N51" i="1"/>
  <c r="K51" i="1"/>
  <c r="J51" i="1"/>
  <c r="C51" i="1"/>
  <c r="I51" i="1"/>
  <c r="O51" i="1"/>
  <c r="Q4" i="3"/>
  <c r="Q6" i="3"/>
  <c r="Q14" i="3"/>
  <c r="Q20" i="3"/>
  <c r="Q22" i="3"/>
  <c r="Q23" i="3"/>
  <c r="Q15" i="3"/>
  <c r="Q16" i="3"/>
  <c r="Q17" i="3"/>
  <c r="Q21" i="3"/>
  <c r="Q32" i="3"/>
  <c r="R32" i="3"/>
  <c r="Q10" i="3"/>
  <c r="P15" i="7" s="1"/>
  <c r="R12" i="3"/>
  <c r="R13" i="3"/>
  <c r="Q39" i="3"/>
  <c r="Q37" i="3"/>
  <c r="Q30" i="3"/>
  <c r="R37" i="3"/>
  <c r="Q29" i="3"/>
  <c r="R29" i="3"/>
  <c r="Q25" i="3"/>
  <c r="R25" i="3"/>
  <c r="Q8" i="7"/>
  <c r="Q12" i="5"/>
  <c r="M10" i="3"/>
  <c r="L15" i="7" s="1"/>
  <c r="D30" i="3"/>
  <c r="L30" i="3"/>
  <c r="M39" i="3"/>
  <c r="Q43" i="5"/>
  <c r="M37" i="3"/>
  <c r="U29" i="7"/>
  <c r="D12" i="5"/>
  <c r="Q28" i="7"/>
  <c r="D29" i="3"/>
  <c r="P3" i="8"/>
  <c r="K29" i="3"/>
  <c r="D11" i="8"/>
  <c r="E27" i="7"/>
  <c r="E29" i="3"/>
  <c r="I28" i="7"/>
  <c r="H12" i="8"/>
  <c r="G11" i="8"/>
  <c r="H27" i="7"/>
  <c r="E16" i="3"/>
  <c r="C9" i="8" s="1"/>
  <c r="U6" i="7"/>
  <c r="E20" i="3"/>
  <c r="E6" i="3"/>
  <c r="D7" i="7" s="1"/>
  <c r="I27" i="7"/>
  <c r="H11" i="8"/>
  <c r="T5" i="8"/>
  <c r="U7" i="7"/>
  <c r="C28" i="7"/>
  <c r="B12" i="8"/>
  <c r="Q5" i="7"/>
  <c r="E11" i="8"/>
  <c r="F27" i="7"/>
  <c r="H25" i="3"/>
  <c r="G25" i="3"/>
  <c r="M25" i="3"/>
  <c r="G27" i="7"/>
  <c r="F11" i="8"/>
  <c r="N19" i="7"/>
  <c r="M8" i="8"/>
  <c r="K12" i="8"/>
  <c r="L28" i="7"/>
  <c r="D27" i="7"/>
  <c r="C11" i="8"/>
  <c r="D8" i="8"/>
  <c r="E19" i="7"/>
  <c r="K6" i="8"/>
  <c r="L8" i="7"/>
  <c r="P6" i="8"/>
  <c r="E17" i="3"/>
  <c r="C10" i="8" s="1"/>
  <c r="D12" i="8"/>
  <c r="E28" i="7"/>
  <c r="E8" i="7"/>
  <c r="D6" i="8"/>
  <c r="P27" i="1"/>
  <c r="P51" i="1" s="1"/>
  <c r="E4" i="3"/>
  <c r="C4" i="8" s="1"/>
  <c r="L27" i="7"/>
  <c r="K11" i="8"/>
  <c r="E15" i="3"/>
  <c r="D22" i="7" s="1"/>
  <c r="T6" i="8"/>
  <c r="U8" i="7"/>
  <c r="J27" i="7"/>
  <c r="I11" i="8"/>
  <c r="F6" i="8"/>
  <c r="G8" i="7"/>
  <c r="M28" i="7"/>
  <c r="L12" i="8"/>
  <c r="P32" i="3"/>
  <c r="O41" i="2"/>
  <c r="N10" i="3"/>
  <c r="M15" i="7" s="1"/>
  <c r="L29" i="2"/>
  <c r="L33" i="2" s="1"/>
  <c r="L35" i="2" s="1"/>
  <c r="L37" i="2" s="1"/>
  <c r="K25" i="3"/>
  <c r="L25" i="3"/>
  <c r="K10" i="3"/>
  <c r="J15" i="7" s="1"/>
  <c r="I29" i="2"/>
  <c r="I33" i="2" s="1"/>
  <c r="I35" i="2" s="1"/>
  <c r="I37" i="2" s="1"/>
  <c r="J43" i="5"/>
  <c r="Q20" i="7"/>
  <c r="N12" i="5"/>
  <c r="N29" i="3"/>
  <c r="D6" i="7"/>
  <c r="N32" i="3"/>
  <c r="M41" i="2"/>
  <c r="N27" i="7"/>
  <c r="M11" i="8"/>
  <c r="J29" i="2"/>
  <c r="J33" i="2" s="1"/>
  <c r="J35" i="2" s="1"/>
  <c r="J37" i="2" s="1"/>
  <c r="J11" i="8"/>
  <c r="K27" i="7"/>
  <c r="O37" i="3"/>
  <c r="O39" i="3"/>
  <c r="N30" i="3"/>
  <c r="N41" i="2"/>
  <c r="O32" i="3"/>
  <c r="F29" i="2"/>
  <c r="F33" i="2" s="1"/>
  <c r="F35" i="2" s="1"/>
  <c r="F37" i="2" s="1"/>
  <c r="O12" i="5"/>
  <c r="O29" i="3"/>
  <c r="H29" i="2"/>
  <c r="H33" i="2" s="1"/>
  <c r="H35" i="2" s="1"/>
  <c r="H37" i="2" s="1"/>
  <c r="O8" i="7"/>
  <c r="N6" i="8"/>
  <c r="N11" i="8"/>
  <c r="O27" i="7"/>
  <c r="M29" i="3"/>
  <c r="M12" i="5"/>
  <c r="M29" i="2"/>
  <c r="M33" i="2" s="1"/>
  <c r="M35" i="2" s="1"/>
  <c r="M37" i="2" s="1"/>
  <c r="P25" i="3"/>
  <c r="O25" i="3"/>
  <c r="D19" i="2"/>
  <c r="J6" i="8"/>
  <c r="K8" i="7"/>
  <c r="O29" i="2"/>
  <c r="O33" i="2" s="1"/>
  <c r="C13" i="8"/>
  <c r="D21" i="7"/>
  <c r="P41" i="2"/>
  <c r="Q15" i="7"/>
  <c r="P29" i="2"/>
  <c r="P33" i="2" s="1"/>
  <c r="R9" i="3" s="1"/>
  <c r="R28" i="7"/>
  <c r="N22" i="3"/>
  <c r="N15" i="3"/>
  <c r="M22" i="7" s="1"/>
  <c r="N4" i="3"/>
  <c r="N21" i="3"/>
  <c r="N16" i="3"/>
  <c r="N23" i="3"/>
  <c r="M4" i="5"/>
  <c r="N6" i="3"/>
  <c r="N14" i="3"/>
  <c r="N20" i="3"/>
  <c r="N17" i="3"/>
  <c r="L14" i="8"/>
  <c r="N11" i="3"/>
  <c r="M16" i="7" s="1"/>
  <c r="O6" i="3"/>
  <c r="O20" i="3"/>
  <c r="O17" i="3"/>
  <c r="O14" i="3"/>
  <c r="O16" i="3"/>
  <c r="N4" i="5"/>
  <c r="O11" i="3"/>
  <c r="N16" i="7" s="1"/>
  <c r="O23" i="3"/>
  <c r="O22" i="3"/>
  <c r="M14" i="8"/>
  <c r="O21" i="3"/>
  <c r="O15" i="3"/>
  <c r="N22" i="7" s="1"/>
  <c r="O4" i="3"/>
  <c r="P22" i="3"/>
  <c r="P20" i="3"/>
  <c r="P14" i="3"/>
  <c r="P11" i="3"/>
  <c r="O16" i="7" s="1"/>
  <c r="P15" i="3"/>
  <c r="O22" i="7" s="1"/>
  <c r="P23" i="3"/>
  <c r="P21" i="3"/>
  <c r="P17" i="3"/>
  <c r="O4" i="5"/>
  <c r="P16" i="3"/>
  <c r="P6" i="3"/>
  <c r="P4" i="3"/>
  <c r="N14" i="8"/>
  <c r="P22" i="7"/>
  <c r="P4" i="5"/>
  <c r="O14" i="8"/>
  <c r="M16" i="3"/>
  <c r="M15" i="3"/>
  <c r="L22" i="7" s="1"/>
  <c r="M23" i="3"/>
  <c r="N9" i="3"/>
  <c r="M14" i="7" s="1"/>
  <c r="M21" i="3"/>
  <c r="M6" i="3"/>
  <c r="K14" i="8"/>
  <c r="L4" i="5"/>
  <c r="M11" i="3"/>
  <c r="L16" i="7" s="1"/>
  <c r="M14" i="3"/>
  <c r="M17" i="3"/>
  <c r="M4" i="3"/>
  <c r="M20" i="3"/>
  <c r="M22" i="3"/>
  <c r="L23" i="3"/>
  <c r="L20" i="3"/>
  <c r="L17" i="3"/>
  <c r="L21" i="3"/>
  <c r="L16" i="3"/>
  <c r="L4" i="3"/>
  <c r="L6" i="3"/>
  <c r="K4" i="5"/>
  <c r="L14" i="3"/>
  <c r="L22" i="3"/>
  <c r="J14" i="8"/>
  <c r="L15" i="3"/>
  <c r="K22" i="7" s="1"/>
  <c r="L11" i="3"/>
  <c r="K16" i="7" s="1"/>
  <c r="J11" i="3"/>
  <c r="I16" i="7" s="1"/>
  <c r="J4" i="3"/>
  <c r="J21" i="3"/>
  <c r="J16" i="3"/>
  <c r="J22" i="3"/>
  <c r="J23" i="3"/>
  <c r="I4" i="5"/>
  <c r="J14" i="3"/>
  <c r="J20" i="3"/>
  <c r="J17" i="3"/>
  <c r="J6" i="3"/>
  <c r="H14" i="8"/>
  <c r="K9" i="3"/>
  <c r="J14" i="7" s="1"/>
  <c r="J15" i="3"/>
  <c r="I22" i="7" s="1"/>
  <c r="K17" i="3"/>
  <c r="K23" i="3"/>
  <c r="K20" i="3"/>
  <c r="K22" i="3"/>
  <c r="K14" i="3"/>
  <c r="J4" i="5"/>
  <c r="K6" i="3"/>
  <c r="K16" i="3"/>
  <c r="K11" i="3"/>
  <c r="J16" i="7" s="1"/>
  <c r="K15" i="3"/>
  <c r="J22" i="7" s="1"/>
  <c r="K21" i="3"/>
  <c r="I14" i="8"/>
  <c r="K4" i="3"/>
  <c r="D14" i="8"/>
  <c r="F21" i="3"/>
  <c r="F22" i="3"/>
  <c r="F14" i="3"/>
  <c r="F15" i="3"/>
  <c r="E22" i="7" s="1"/>
  <c r="F23" i="3"/>
  <c r="F4" i="3"/>
  <c r="F20" i="3"/>
  <c r="E4" i="5"/>
  <c r="F24" i="3" s="1"/>
  <c r="F16" i="3"/>
  <c r="F17" i="3"/>
  <c r="G9" i="3"/>
  <c r="F14" i="7" s="1"/>
  <c r="F11" i="3"/>
  <c r="E16" i="7" s="1"/>
  <c r="F6" i="3"/>
  <c r="E11" i="3"/>
  <c r="D16" i="7" s="1"/>
  <c r="G20" i="3"/>
  <c r="G21" i="3"/>
  <c r="G17" i="3"/>
  <c r="F4" i="5"/>
  <c r="G14" i="3"/>
  <c r="G15" i="3"/>
  <c r="F22" i="7" s="1"/>
  <c r="G22" i="3"/>
  <c r="G11" i="3"/>
  <c r="F16" i="7" s="1"/>
  <c r="E14" i="8"/>
  <c r="G23" i="3"/>
  <c r="G16" i="3"/>
  <c r="G4" i="3"/>
  <c r="G6" i="3"/>
  <c r="F9" i="8"/>
  <c r="G25" i="7"/>
  <c r="F14" i="8"/>
  <c r="H22" i="3"/>
  <c r="H20" i="3"/>
  <c r="H21" i="3"/>
  <c r="H23" i="3"/>
  <c r="H17" i="3"/>
  <c r="G4" i="5"/>
  <c r="H4" i="3"/>
  <c r="H11" i="3"/>
  <c r="G16" i="7" s="1"/>
  <c r="H6" i="3"/>
  <c r="H14" i="3"/>
  <c r="H15" i="3"/>
  <c r="G22" i="7" s="1"/>
  <c r="I9" i="3"/>
  <c r="H14" i="7" s="1"/>
  <c r="I15" i="3"/>
  <c r="H22" i="7" s="1"/>
  <c r="J9" i="3"/>
  <c r="I14" i="7" s="1"/>
  <c r="I23" i="3"/>
  <c r="I14" i="3"/>
  <c r="I11" i="3"/>
  <c r="H16" i="7" s="1"/>
  <c r="G14" i="8"/>
  <c r="I6" i="3"/>
  <c r="I21" i="3"/>
  <c r="I17" i="3"/>
  <c r="I20" i="3"/>
  <c r="I16" i="3"/>
  <c r="I22" i="3"/>
  <c r="H4" i="5"/>
  <c r="I4" i="3"/>
  <c r="R20" i="7"/>
  <c r="D10" i="3"/>
  <c r="C15" i="7" s="1"/>
  <c r="B29" i="2"/>
  <c r="B33" i="2" s="1"/>
  <c r="B35" i="2" s="1"/>
  <c r="B37" i="2" s="1"/>
  <c r="F12" i="5"/>
  <c r="F29" i="3"/>
  <c r="B14" i="8"/>
  <c r="D21" i="3"/>
  <c r="D20" i="3"/>
  <c r="D23" i="3"/>
  <c r="D22" i="3"/>
  <c r="D4" i="3"/>
  <c r="D14" i="3"/>
  <c r="D6" i="3"/>
  <c r="D17" i="3"/>
  <c r="D16" i="3"/>
  <c r="D15" i="3"/>
  <c r="C22" i="7" s="1"/>
  <c r="C4" i="5"/>
  <c r="D11" i="3"/>
  <c r="C16" i="7" s="1"/>
  <c r="J29" i="3"/>
  <c r="I29" i="3"/>
  <c r="I12" i="5"/>
  <c r="H12" i="5"/>
  <c r="H29" i="3"/>
  <c r="P12" i="5"/>
  <c r="P29" i="3"/>
  <c r="P39" i="3"/>
  <c r="P37" i="3"/>
  <c r="P30" i="3"/>
  <c r="O30" i="3"/>
  <c r="G29" i="3"/>
  <c r="G12" i="5"/>
  <c r="C35" i="2"/>
  <c r="C37" i="2" s="1"/>
  <c r="E9" i="3"/>
  <c r="D14" i="7" s="1"/>
  <c r="D17" i="7" s="1"/>
  <c r="K35" i="2"/>
  <c r="K37" i="2" s="1"/>
  <c r="M9" i="3"/>
  <c r="L14" i="7" s="1"/>
  <c r="N35" i="2"/>
  <c r="N37" i="2" s="1"/>
  <c r="P9" i="3"/>
  <c r="O14" i="7" s="1"/>
  <c r="Q24" i="3" l="1"/>
  <c r="Q36" i="3"/>
  <c r="O35" i="2"/>
  <c r="O37" i="2" s="1"/>
  <c r="Q9" i="3"/>
  <c r="R14" i="3"/>
  <c r="R20" i="3"/>
  <c r="R22" i="3"/>
  <c r="R23" i="3"/>
  <c r="S9" i="3"/>
  <c r="R17" i="3"/>
  <c r="R16" i="3"/>
  <c r="R21" i="3"/>
  <c r="R4" i="3"/>
  <c r="R6" i="3"/>
  <c r="Q11" i="3"/>
  <c r="R15" i="3"/>
  <c r="R11" i="3"/>
  <c r="Q4" i="5"/>
  <c r="R14" i="7"/>
  <c r="P14" i="7"/>
  <c r="H9" i="3"/>
  <c r="G14" i="7" s="1"/>
  <c r="O9" i="3"/>
  <c r="N14" i="7" s="1"/>
  <c r="P35" i="2"/>
  <c r="P37" i="2" s="1"/>
  <c r="L9" i="3"/>
  <c r="K14" i="7" s="1"/>
  <c r="C5" i="8"/>
  <c r="Q22" i="7"/>
  <c r="Q16" i="7"/>
  <c r="D25" i="7"/>
  <c r="U9" i="7"/>
  <c r="U30" i="7" s="1"/>
  <c r="Q21" i="7"/>
  <c r="Q7" i="7"/>
  <c r="P14" i="8"/>
  <c r="P16" i="7"/>
  <c r="P17" i="7" s="1"/>
  <c r="P12" i="8"/>
  <c r="M17" i="7"/>
  <c r="D26" i="7"/>
  <c r="D29" i="7" s="1"/>
  <c r="D23" i="7"/>
  <c r="I24" i="3"/>
  <c r="I17" i="7"/>
  <c r="L17" i="7"/>
  <c r="F10" i="3"/>
  <c r="E15" i="7" s="1"/>
  <c r="D29" i="2"/>
  <c r="D33" i="2" s="1"/>
  <c r="O17" i="7"/>
  <c r="Q19" i="7"/>
  <c r="P8" i="8"/>
  <c r="Q8" i="8"/>
  <c r="R19" i="7"/>
  <c r="D9" i="7"/>
  <c r="D30" i="7" s="1"/>
  <c r="K17" i="7"/>
  <c r="Q14" i="7"/>
  <c r="D24" i="3"/>
  <c r="E24" i="3"/>
  <c r="C25" i="3"/>
  <c r="B9" i="8"/>
  <c r="C25" i="7"/>
  <c r="B10" i="8"/>
  <c r="C26" i="7"/>
  <c r="B5" i="8"/>
  <c r="C7" i="7"/>
  <c r="B13" i="8"/>
  <c r="C21" i="7"/>
  <c r="C23" i="7" s="1"/>
  <c r="B4" i="8"/>
  <c r="C6" i="7"/>
  <c r="C17" i="7"/>
  <c r="Q6" i="8"/>
  <c r="R8" i="7"/>
  <c r="R27" i="7"/>
  <c r="Q11" i="8"/>
  <c r="G4" i="8"/>
  <c r="H6" i="7"/>
  <c r="H25" i="7"/>
  <c r="G9" i="8"/>
  <c r="H26" i="7"/>
  <c r="G10" i="8"/>
  <c r="G5" i="8"/>
  <c r="H7" i="7"/>
  <c r="G13" i="8"/>
  <c r="H21" i="7"/>
  <c r="H23" i="7" s="1"/>
  <c r="H17" i="7"/>
  <c r="G21" i="7"/>
  <c r="G23" i="7" s="1"/>
  <c r="F13" i="8"/>
  <c r="F5" i="8"/>
  <c r="G7" i="7"/>
  <c r="G6" i="7"/>
  <c r="F4" i="8"/>
  <c r="K36" i="3"/>
  <c r="H24" i="3"/>
  <c r="G26" i="7"/>
  <c r="G29" i="7" s="1"/>
  <c r="F10" i="8"/>
  <c r="F7" i="7"/>
  <c r="E5" i="8"/>
  <c r="F6" i="7"/>
  <c r="E4" i="8"/>
  <c r="F25" i="7"/>
  <c r="E9" i="8"/>
  <c r="G17" i="7"/>
  <c r="E13" i="8"/>
  <c r="F21" i="7"/>
  <c r="F23" i="7" s="1"/>
  <c r="H36" i="3"/>
  <c r="G24" i="3"/>
  <c r="E10" i="8"/>
  <c r="F26" i="7"/>
  <c r="D5" i="8"/>
  <c r="E7" i="7"/>
  <c r="F17" i="7"/>
  <c r="D10" i="8"/>
  <c r="E26" i="7"/>
  <c r="D9" i="8"/>
  <c r="E25" i="7"/>
  <c r="D4" i="8"/>
  <c r="E6" i="7"/>
  <c r="E21" i="7"/>
  <c r="E23" i="7" s="1"/>
  <c r="D13" i="8"/>
  <c r="J6" i="7"/>
  <c r="I4" i="8"/>
  <c r="J25" i="7"/>
  <c r="I9" i="8"/>
  <c r="I5" i="8"/>
  <c r="J7" i="7"/>
  <c r="K24" i="3"/>
  <c r="L36" i="3"/>
  <c r="I13" i="8"/>
  <c r="J21" i="7"/>
  <c r="J23" i="7" s="1"/>
  <c r="J26" i="7"/>
  <c r="I10" i="8"/>
  <c r="J17" i="7"/>
  <c r="H5" i="8"/>
  <c r="I7" i="7"/>
  <c r="I26" i="7"/>
  <c r="H10" i="8"/>
  <c r="H13" i="8"/>
  <c r="I21" i="7"/>
  <c r="I23" i="7" s="1"/>
  <c r="J24" i="3"/>
  <c r="H9" i="8"/>
  <c r="I25" i="7"/>
  <c r="I6" i="7"/>
  <c r="H4" i="8"/>
  <c r="J13" i="8"/>
  <c r="K21" i="7"/>
  <c r="K23" i="7" s="1"/>
  <c r="L24" i="3"/>
  <c r="M36" i="3"/>
  <c r="J5" i="8"/>
  <c r="K7" i="7"/>
  <c r="K6" i="7"/>
  <c r="J4" i="8"/>
  <c r="J9" i="8"/>
  <c r="K25" i="7"/>
  <c r="J10" i="8"/>
  <c r="K26" i="7"/>
  <c r="L6" i="7"/>
  <c r="K4" i="8"/>
  <c r="K10" i="8"/>
  <c r="L26" i="7"/>
  <c r="K13" i="8"/>
  <c r="L21" i="7"/>
  <c r="L23" i="7" s="1"/>
  <c r="N36" i="3"/>
  <c r="M24" i="3"/>
  <c r="K5" i="8"/>
  <c r="L7" i="7"/>
  <c r="L25" i="7"/>
  <c r="K9" i="8"/>
  <c r="S20" i="7"/>
  <c r="Q6" i="7"/>
  <c r="P4" i="8"/>
  <c r="P9" i="8"/>
  <c r="Q25" i="7"/>
  <c r="P10" i="8"/>
  <c r="Q26" i="7"/>
  <c r="S14" i="7"/>
  <c r="R16" i="7"/>
  <c r="R17" i="7" s="1"/>
  <c r="Q14" i="8"/>
  <c r="R22" i="7"/>
  <c r="P13" i="8"/>
  <c r="P6" i="7"/>
  <c r="O4" i="8"/>
  <c r="O10" i="8"/>
  <c r="P26" i="7"/>
  <c r="O5" i="8"/>
  <c r="P7" i="7"/>
  <c r="O13" i="8"/>
  <c r="P21" i="7"/>
  <c r="P23" i="7" s="1"/>
  <c r="O9" i="8"/>
  <c r="P25" i="7"/>
  <c r="N4" i="8"/>
  <c r="O6" i="7"/>
  <c r="O7" i="7"/>
  <c r="N5" i="8"/>
  <c r="O25" i="7"/>
  <c r="N9" i="8"/>
  <c r="P24" i="3"/>
  <c r="N10" i="8"/>
  <c r="O26" i="7"/>
  <c r="O21" i="7"/>
  <c r="O23" i="7" s="1"/>
  <c r="N13" i="8"/>
  <c r="M4" i="8"/>
  <c r="N6" i="7"/>
  <c r="O24" i="3"/>
  <c r="P36" i="3"/>
  <c r="M9" i="8"/>
  <c r="N25" i="7"/>
  <c r="M13" i="8"/>
  <c r="N21" i="7"/>
  <c r="N23" i="7" s="1"/>
  <c r="N26" i="7"/>
  <c r="M10" i="8"/>
  <c r="N7" i="7"/>
  <c r="M5" i="8"/>
  <c r="N17" i="7"/>
  <c r="M26" i="7"/>
  <c r="L10" i="8"/>
  <c r="L13" i="8"/>
  <c r="M21" i="7"/>
  <c r="M23" i="7" s="1"/>
  <c r="M7" i="7"/>
  <c r="L5" i="8"/>
  <c r="N24" i="3"/>
  <c r="O36" i="3"/>
  <c r="M25" i="7"/>
  <c r="L9" i="8"/>
  <c r="L4" i="8"/>
  <c r="M6" i="7"/>
  <c r="R24" i="3" l="1"/>
  <c r="S36" i="3"/>
  <c r="S24" i="3"/>
  <c r="R36" i="3"/>
  <c r="P5" i="8"/>
  <c r="L29" i="7"/>
  <c r="I9" i="7"/>
  <c r="I30" i="7" s="1"/>
  <c r="G9" i="7"/>
  <c r="Q17" i="7"/>
  <c r="M9" i="7"/>
  <c r="M30" i="7" s="1"/>
  <c r="M29" i="7"/>
  <c r="Q23" i="7"/>
  <c r="K9" i="7"/>
  <c r="P29" i="7"/>
  <c r="D35" i="2"/>
  <c r="D37" i="2" s="1"/>
  <c r="F9" i="3"/>
  <c r="E14" i="7" s="1"/>
  <c r="E17" i="7" s="1"/>
  <c r="K30" i="7"/>
  <c r="I29" i="7"/>
  <c r="E9" i="7"/>
  <c r="E29" i="7"/>
  <c r="F9" i="7"/>
  <c r="C9" i="7"/>
  <c r="Q9" i="7"/>
  <c r="S21" i="7"/>
  <c r="N29" i="7"/>
  <c r="N9" i="7"/>
  <c r="N30" i="7" s="1"/>
  <c r="O29" i="7"/>
  <c r="O9" i="7"/>
  <c r="O30" i="7" s="1"/>
  <c r="P9" i="7"/>
  <c r="P30" i="7" s="1"/>
  <c r="Q4" i="8"/>
  <c r="R6" i="7"/>
  <c r="R7" i="7"/>
  <c r="Q5" i="8"/>
  <c r="Q9" i="8"/>
  <c r="R25" i="7"/>
  <c r="S16" i="7"/>
  <c r="S17" i="7" s="1"/>
  <c r="T14" i="7"/>
  <c r="T17" i="7" s="1"/>
  <c r="T30" i="7" s="1"/>
  <c r="R14" i="8"/>
  <c r="S22" i="7"/>
  <c r="R26" i="7"/>
  <c r="Q10" i="8"/>
  <c r="Q13" i="8"/>
  <c r="R21" i="7"/>
  <c r="R23" i="7" s="1"/>
  <c r="Q29" i="7"/>
  <c r="S19" i="7"/>
  <c r="R8" i="8"/>
  <c r="R3" i="8"/>
  <c r="S5" i="7"/>
  <c r="L9" i="7"/>
  <c r="L30" i="7" s="1"/>
  <c r="K29" i="7"/>
  <c r="J29" i="7"/>
  <c r="J9" i="7"/>
  <c r="J30" i="7" s="1"/>
  <c r="F29" i="7"/>
  <c r="F30" i="7"/>
  <c r="G30" i="7"/>
  <c r="H29" i="7"/>
  <c r="H9" i="7"/>
  <c r="H30" i="7" s="1"/>
  <c r="R11" i="8"/>
  <c r="S27" i="7"/>
  <c r="C30" i="7"/>
  <c r="C29" i="7"/>
  <c r="E30" i="7" l="1"/>
  <c r="Q30" i="7"/>
  <c r="R13" i="8"/>
  <c r="S23" i="7"/>
  <c r="R12" i="8"/>
  <c r="S28" i="7"/>
  <c r="R6" i="8"/>
  <c r="S8" i="7"/>
  <c r="R5" i="8"/>
  <c r="S7" i="7"/>
  <c r="S6" i="7"/>
  <c r="R4" i="8"/>
  <c r="R10" i="8"/>
  <c r="S26" i="7"/>
  <c r="R9" i="8"/>
  <c r="S25" i="7"/>
  <c r="R29" i="7"/>
  <c r="R9" i="7"/>
  <c r="R30" i="7" s="1"/>
  <c r="S9" i="7" l="1"/>
  <c r="S30" i="7" s="1"/>
  <c r="S29" i="7"/>
  <c r="AC28" i="2"/>
  <c r="AC23" i="2"/>
  <c r="AC29" i="2"/>
  <c r="AC33" i="2"/>
  <c r="AE9" i="3" s="1"/>
  <c r="AC35" i="2"/>
  <c r="AC37" i="2"/>
  <c r="AD47" i="5" l="1"/>
  <c r="AE10" i="3"/>
  <c r="AE11" i="3"/>
  <c r="AC39" i="2"/>
  <c r="AE32" i="3" l="1"/>
  <c r="AD32" i="3"/>
  <c r="AE36" i="3"/>
  <c r="AE37" i="3"/>
  <c r="AD43" i="5"/>
  <c r="AC41" i="2"/>
</calcChain>
</file>

<file path=xl/sharedStrings.xml><?xml version="1.0" encoding="utf-8"?>
<sst xmlns="http://schemas.openxmlformats.org/spreadsheetml/2006/main" count="592" uniqueCount="346">
  <si>
    <t>2010 Audited</t>
  </si>
  <si>
    <t>2020 Audited</t>
  </si>
  <si>
    <t>Audited 2021</t>
  </si>
  <si>
    <t>Audited 2022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</si>
  <si>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</si>
  <si>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</si>
  <si>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</si>
  <si>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</si>
  <si>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</si>
  <si>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</si>
  <si>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 xml:space="preserve"> -   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</si>
  <si>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</si>
  <si>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</si>
  <si>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</si>
  <si>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</si>
  <si>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</si>
  <si>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</si>
  <si>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</si>
  <si>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</si>
  <si>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</si>
  <si>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</si>
  <si>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</si>
  <si>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</si>
  <si>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</si>
  <si>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</si>
  <si>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</si>
  <si>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</si>
  <si>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</si>
  <si>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</si>
  <si>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</si>
  <si>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</si>
  <si>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</si>
  <si>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</si>
  <si>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</si>
  <si>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</si>
  <si>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</si>
  <si>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</si>
  <si>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</si>
  <si>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</si>
  <si>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</si>
  <si>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</si>
  <si>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Cash &amp; cash Equivalent</t>
  </si>
  <si>
    <t>Cash In Hand</t>
  </si>
  <si>
    <t>Cash at Bank</t>
  </si>
  <si>
    <t>Prepayment and Sundry</t>
  </si>
  <si>
    <t>Financial Investment</t>
  </si>
  <si>
    <t xml:space="preserve">Government Securities - Treasury Bills/bonds,  </t>
  </si>
  <si>
    <t>Other Securities - Commercial papers/Bonds</t>
  </si>
  <si>
    <t>Balances  in NACCOS (E.g Jungu Kuu, ESS, Savings,Money Market, CFP)</t>
  </si>
  <si>
    <t>Equity Investments in NACCOs(Shares in- CIC, KUSCCO, COOP BANK,CAK, KERUSSU)</t>
  </si>
  <si>
    <t> 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</si>
  <si>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</si>
  <si>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</si>
  <si>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</si>
  <si>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</si>
  <si>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</si>
  <si>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</si>
  <si>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</si>
  <si>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</si>
  <si>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</si>
  <si>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</si>
  <si>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</si>
  <si>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</si>
  <si>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</si>
  <si>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</si>
  <si>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</si>
  <si>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</si>
  <si>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</si>
  <si>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</si>
  <si>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</si>
  <si>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</si>
  <si>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</si>
  <si>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</si>
  <si>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</si>
  <si>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</si>
  <si>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</si>
  <si>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</si>
  <si>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</si>
  <si>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</si>
  <si>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</si>
  <si>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</si>
  <si>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</si>
  <si>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</si>
  <si>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</si>
  <si>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</si>
  <si>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</si>
  <si>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</si>
  <si>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</si>
  <si>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SMARTLIFE SACCO SOCIETY LIMITED</t>
  </si>
  <si>
    <t>PERFORMANCE AND COMPLIANCE REPORT AS AT :  31st December , 2021</t>
  </si>
  <si>
    <t>Prudential Standard</t>
  </si>
  <si>
    <t>Audited</t>
  </si>
  <si>
    <t>Returns</t>
  </si>
  <si>
    <t>Aggregate for all Licensed Saccos</t>
  </si>
  <si>
    <t xml:space="preserve"> 30th September  , 2021</t>
  </si>
  <si>
    <t xml:space="preserve"> 31st December  , 2021</t>
  </si>
  <si>
    <t>A. CAPITAL  ADEQUACY</t>
  </si>
  <si>
    <t xml:space="preserve">Core Capital </t>
  </si>
  <si>
    <r>
      <rPr>
        <sz val="11"/>
        <rFont val="Calibri"/>
        <family val="2"/>
      </rPr>
      <t>≥</t>
    </r>
    <r>
      <rPr>
        <sz val="11"/>
        <rFont val="Cambria"/>
        <family val="1"/>
      </rPr>
      <t>10M</t>
    </r>
  </si>
  <si>
    <t>Core Capital/Total Assets</t>
  </si>
  <si>
    <r>
      <rPr>
        <sz val="11"/>
        <rFont val="Calibri"/>
        <family val="2"/>
      </rPr>
      <t>≥</t>
    </r>
    <r>
      <rPr>
        <sz val="11"/>
        <rFont val="Cambria"/>
        <family val="1"/>
      </rPr>
      <t>10%</t>
    </r>
  </si>
  <si>
    <t>Institutional Capital/Total Assets</t>
  </si>
  <si>
    <r>
      <rPr>
        <sz val="11"/>
        <rFont val="Calibri"/>
        <family val="2"/>
      </rPr>
      <t>≥</t>
    </r>
    <r>
      <rPr>
        <sz val="11"/>
        <rFont val="Cambria"/>
        <family val="1"/>
      </rPr>
      <t>8%</t>
    </r>
  </si>
  <si>
    <t>B. ASSET QUALITY</t>
  </si>
  <si>
    <t>NPL  (Substandard+Doubtful+Loss)</t>
  </si>
  <si>
    <t>&lt;5%</t>
  </si>
  <si>
    <t>Non-Earning Assets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</si>
  <si>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</si>
  <si>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</si>
  <si>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</si>
  <si>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</si>
  <si>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</si>
  <si>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</si>
  <si>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</si>
  <si>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</si>
  <si>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</si>
  <si>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</si>
  <si>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</si>
  <si>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</si>
  <si>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</si>
  <si>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</si>
  <si>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</si>
  <si>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</si>
  <si>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</si>
  <si>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</si>
  <si>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</si>
  <si>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</si>
  <si>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</si>
  <si>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</si>
  <si>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</si>
  <si>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Average Assets</t>
  </si>
  <si>
    <t>Total Deposits</t>
  </si>
  <si>
    <t>Gross Loans</t>
  </si>
  <si>
    <t>Core Capital</t>
  </si>
  <si>
    <t>Institutional Capital</t>
  </si>
  <si>
    <t>Non-performing Loans</t>
  </si>
  <si>
    <t>Equity Investments</t>
  </si>
  <si>
    <t>Financial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</si>
  <si>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</si>
  <si>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</si>
  <si>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</si>
  <si>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</si>
  <si>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</si>
  <si>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</si>
  <si>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</si>
  <si>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</si>
  <si>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</si>
  <si>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Net Income</t>
  </si>
  <si>
    <t>Checked by:Masphine Abongo</t>
  </si>
  <si>
    <t>Approved by:</t>
  </si>
  <si>
    <t>DISCLAIMER: This report is prepared based on information submitted by the Sacco as at the stated date and may change upon verification by the Authority.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</si>
  <si>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</si>
  <si>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</si>
  <si>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</si>
  <si>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</si>
  <si>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</si>
  <si>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</si>
  <si>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</si>
  <si>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NPL</t>
  </si>
  <si>
    <t>Substandard</t>
  </si>
  <si>
    <t>PAR</t>
  </si>
  <si>
    <t>Doubtful</t>
  </si>
  <si>
    <t>Loss</t>
  </si>
  <si>
    <t>subtotal</t>
  </si>
  <si>
    <t>SMARTLIFE  SACCO 2017 CAELS</t>
  </si>
  <si>
    <t>2020Audited</t>
  </si>
  <si>
    <t>2021 AUDITED</t>
  </si>
  <si>
    <t>AUDITED2022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</si>
  <si>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</si>
  <si>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</si>
  <si>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</si>
  <si>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</si>
  <si>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</si>
  <si>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</si>
  <si>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</si>
  <si>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</si>
  <si>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</si>
  <si>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</si>
  <si>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</si>
  <si>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</si>
  <si>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</si>
  <si>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</si>
  <si>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</si>
  <si>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</si>
  <si>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</si>
  <si>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</si>
  <si>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</si>
  <si>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</si>
  <si>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</si>
  <si>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</si>
  <si>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</si>
  <si>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</si>
  <si>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</si>
  <si>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</si>
  <si>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</si>
  <si>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</si>
  <si>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</si>
  <si>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</si>
  <si>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</si>
  <si>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</si>
  <si>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</si>
  <si>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</si>
  <si>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</si>
  <si>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</si>
  <si>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</si>
  <si>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</si>
  <si>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</si>
  <si>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</si>
  <si>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</si>
  <si>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</si>
  <si>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</si>
  <si>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</si>
  <si>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</si>
  <si>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</si>
  <si>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</si>
  <si>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</si>
  <si>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</si>
  <si>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</si>
  <si>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</si>
  <si>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SOLUTION Sacco Financial Performance</t>
  </si>
  <si>
    <t>Year</t>
  </si>
  <si>
    <t>audited 2021</t>
  </si>
  <si>
    <t>Deposits-Members(BOSA)</t>
  </si>
  <si>
    <t>Deposits-Customers(FOSA)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</si>
  <si>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</si>
  <si>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</si>
  <si>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</si>
  <si>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</si>
  <si>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</si>
  <si>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</si>
  <si>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</si>
  <si>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</si>
  <si>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</si>
  <si>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</si>
  <si>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</si>
  <si>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</si>
  <si>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</si>
  <si>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</si>
  <si>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</si>
  <si>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</si>
  <si>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</si>
  <si>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</si>
  <si>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</si>
  <si>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</si>
  <si>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</si>
  <si>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</si>
  <si>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</si>
  <si>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</si>
  <si>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</si>
  <si>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</si>
  <si>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</si>
  <si>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</si>
  <si>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</si>
  <si>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</si>
  <si>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</si>
  <si>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</si>
  <si>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</si>
  <si>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</si>
  <si>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</si>
  <si>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CAELS RATINGS KINGDOM SACCO</t>
  </si>
  <si>
    <t>FINANCIAL SOUNDNESS INDICATORS</t>
  </si>
  <si>
    <t>Prude.  Std</t>
  </si>
  <si>
    <t>2021 Audited</t>
  </si>
  <si>
    <t>CAPITAL</t>
  </si>
  <si>
    <t>CORE CAPITAL</t>
  </si>
  <si>
    <t>≥ Ksh.10M</t>
  </si>
  <si>
    <t>≥ 10%</t>
  </si>
  <si>
    <t>≥ 8%</t>
  </si>
  <si>
    <t>Asset Quality</t>
  </si>
  <si>
    <t>≤ 6%</t>
  </si>
  <si>
    <t>Earnings</t>
  </si>
  <si>
    <t>CIR</t>
  </si>
  <si>
    <t>OER</t>
  </si>
  <si>
    <t>MIN LIQ</t>
  </si>
  <si>
    <t>TECH LIQ</t>
  </si>
  <si>
    <t>EB</t>
  </si>
  <si>
    <t>≤ 25%</t>
  </si>
  <si>
    <t>LIQ/TA</t>
  </si>
  <si>
    <t>NEA</t>
  </si>
  <si>
    <t>≤ 10%</t>
  </si>
  <si>
    <t>LB</t>
  </si>
  <si>
    <t>≤ 5%</t>
  </si>
  <si>
    <t>FITD</t>
  </si>
  <si>
    <t>FICC</t>
  </si>
  <si>
    <t>≤ 40%</t>
  </si>
  <si>
    <t>FINAL RATING</t>
  </si>
  <si>
    <t>SMARTLIFE DT SACCO SOCIETY LIMITED</t>
  </si>
  <si>
    <t>PERFORMANCE AND COMPLIANCE REPORT AS AT :  31st December , 2022</t>
  </si>
  <si>
    <t xml:space="preserve"> 30th September  , 2022</t>
  </si>
  <si>
    <t xml:space="preserve"> 31st December  , 2022</t>
  </si>
  <si>
    <t>≥10M</t>
  </si>
  <si>
    <t>≥10%</t>
  </si>
  <si>
    <t>≥8%</t>
  </si>
  <si>
    <t>2020 audited</t>
  </si>
  <si>
    <t>AUDITED 2021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</si>
  <si>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</si>
  <si>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</si>
  <si>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</si>
  <si>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</si>
  <si>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</si>
  <si>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</si>
  <si>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</si>
  <si>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</si>
  <si>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</si>
  <si>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 (Max 25%)</t>
  </si>
  <si>
    <t>A=S+L</t>
  </si>
  <si>
    <t>STATEMENT OF CASHFLOWS FOR THE YEAR ENDED 31ST DECEMBER 2020</t>
  </si>
  <si>
    <t>Audited -2021</t>
  </si>
  <si>
    <t>Variance</t>
  </si>
  <si>
    <t>Cash flows from operating activities</t>
  </si>
  <si>
    <t>Interest receipts</t>
  </si>
  <si>
    <t>Interest Payments</t>
  </si>
  <si>
    <t>.</t>
  </si>
  <si>
    <t>Payment to employees and suppliers</t>
  </si>
  <si>
    <t>Other operating income</t>
  </si>
  <si>
    <t>(Increase)/Decrease in Operating assets</t>
  </si>
  <si>
    <t>Net loans to members</t>
  </si>
  <si>
    <t>Recievables and prepayments</t>
  </si>
  <si>
    <t>Trade and Other Receivables</t>
  </si>
  <si>
    <t>Inventories</t>
  </si>
  <si>
    <t>Short term investments</t>
  </si>
  <si>
    <t>Increase/(Decrease) in Operating liabilities</t>
  </si>
  <si>
    <t>Deposits from members</t>
  </si>
  <si>
    <t>Trade and Accrued Expenses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</si>
  <si>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</si>
  <si>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</si>
  <si>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</si>
  <si>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</si>
  <si>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</si>
  <si>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</si>
  <si>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</si>
  <si>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Increase in Other Assets</t>
  </si>
  <si>
    <t>Purchase of Investment Securities</t>
  </si>
  <si>
    <t>Dividends Received</t>
  </si>
  <si>
    <t>Net Cash from investing activities</t>
  </si>
  <si>
    <t>Cashflow from financing activities</t>
  </si>
  <si>
    <t>Share capital contributions</t>
  </si>
  <si>
    <t>Proceeds from long-term borrowings</t>
  </si>
  <si>
    <t>Prior Year Adjustments</t>
  </si>
  <si>
    <t>Housing Contributions Plaza</t>
  </si>
  <si>
    <t>Repayments of long term borrowings</t>
  </si>
  <si>
    <t>Dividend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</si>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</sst>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[$-10409]#,##0.00;\-\ #,##0.00"/>
    <numFmt numFmtId="165" formatCode="[$-10409]0.00;\-\ 0.00"/>
    <numFmt numFmtId="166" formatCode="_(* #,##0.00_);_(* \(#,##0.00\);_(* \-??_);_(@_)"/>
    <numFmt numFmtId="167" formatCode="d/mmm/yy"/>
    <numFmt numFmtId="168" formatCode="\£#,##0;&quot;-£&quot;#,##0"/>
    <numFmt numFmtId="169" formatCode="_-* #,##0.00_-;\-* #,##0.00_-;_-* \-??_-;_-@_-"/>
    <numFmt numFmtId="170" formatCode="0.0%"/>
    <numFmt numFmtId="171" formatCode="0.0"/>
    <numFmt numFmtId="172" formatCode="_(* #,##0_);_(* \(#,##0\);_(* &quot;-&quot;??_);_(@_)"/>
    <numFmt numFmtId="173" formatCode="[$-409]mmm\-yy;@"/>
    <numFmt numFmtId="174" formatCode="[$-409]mmmm\-yy;@"/>
    <numFmt numFmtId="175" formatCode="#,##0.00_ ;\-#,##0.00\ "/>
  </numFmts>
  <fonts count="7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u/>
      <sz val="10"/>
      <color indexed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.5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color rgb="FFFF0000"/>
      <name val="Arial"/>
      <family val="2"/>
    </font>
    <font>
      <sz val="10"/>
      <color rgb="FF000000"/>
      <name val="Cambria"/>
      <family val="1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</font>
    <font>
      <sz val="10"/>
      <name val="Cambria"/>
      <family val="1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u/>
      <sz val="9"/>
      <color indexed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sz val="10"/>
      <color rgb="FF000000"/>
      <name val="Arial"/>
      <charset val="1"/>
    </font>
    <font>
      <sz val="10"/>
      <name val="Arial"/>
    </font>
    <font>
      <sz val="9"/>
      <color indexed="8"/>
      <name val="Arial"/>
      <charset val="1"/>
    </font>
    <font>
      <sz val="10"/>
      <color rgb="FFFF0000"/>
      <name val="Arial"/>
      <family val="2"/>
    </font>
    <font>
      <b/>
      <sz val="9"/>
      <color rgb="FF000000"/>
      <name val="Cambria"/>
      <family val="1"/>
    </font>
    <font>
      <sz val="9"/>
      <color rgb="FF000000"/>
      <name val="Cambria"/>
      <family val="1"/>
    </font>
    <font>
      <sz val="9"/>
      <color rgb="FFFF0000"/>
      <name val="Cambria"/>
      <family val="1"/>
    </font>
    <font>
      <sz val="9"/>
      <name val="Cambria"/>
      <family val="1"/>
    </font>
    <font>
      <sz val="9"/>
      <color rgb="FF000000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DAA520"/>
        <bgColor rgb="FF000000"/>
      </patternFill>
    </fill>
  </fills>
  <borders count="6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0.39997558519241921"/>
      </left>
      <right style="thin">
        <color theme="3"/>
      </right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/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65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2" applyNumberFormat="0" applyAlignment="0" applyProtection="0"/>
    <xf numFmtId="43" fontId="27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8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43" fontId="20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13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23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7" borderId="3" applyNumberFormat="0" applyAlignment="0" applyProtection="0"/>
    <xf numFmtId="9" fontId="27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</cellStyleXfs>
  <cellXfs count="357">
    <xf numFmtId="0" fontId="0" fillId="0" borderId="0" xfId="0"/>
    <xf numFmtId="0" fontId="18" fillId="0" borderId="5" xfId="283" applyFont="1" applyBorder="1" applyAlignment="1">
      <alignment horizontal="left" vertical="top" wrapText="1"/>
    </xf>
    <xf numFmtId="0" fontId="0" fillId="0" borderId="6" xfId="0" applyBorder="1"/>
    <xf numFmtId="0" fontId="29" fillId="0" borderId="6" xfId="0" applyFont="1" applyBorder="1" applyAlignment="1">
      <alignment horizontal="left" vertical="top" wrapText="1"/>
    </xf>
    <xf numFmtId="0" fontId="30" fillId="0" borderId="6" xfId="0" applyFont="1" applyBorder="1" applyAlignment="1">
      <alignment horizontal="left" vertical="top" wrapText="1"/>
    </xf>
    <xf numFmtId="17" fontId="28" fillId="0" borderId="0" xfId="0" applyNumberFormat="1" applyFont="1"/>
    <xf numFmtId="0" fontId="17" fillId="0" borderId="5" xfId="241" applyFont="1" applyBorder="1" applyAlignment="1">
      <alignment wrapText="1"/>
    </xf>
    <xf numFmtId="0" fontId="18" fillId="0" borderId="5" xfId="241" applyFont="1" applyBorder="1" applyAlignment="1">
      <alignment wrapText="1"/>
    </xf>
    <xf numFmtId="43" fontId="2" fillId="0" borderId="5" xfId="93" applyBorder="1" applyAlignment="1">
      <alignment wrapText="1"/>
    </xf>
    <xf numFmtId="43" fontId="2" fillId="0" borderId="5" xfId="93" applyBorder="1" applyAlignment="1">
      <alignment horizontal="center" wrapText="1"/>
    </xf>
    <xf numFmtId="0" fontId="7" fillId="0" borderId="7" xfId="0" applyFont="1" applyBorder="1" applyAlignment="1" applyProtection="1">
      <alignment vertical="top" wrapText="1" readingOrder="1"/>
      <protection locked="0"/>
    </xf>
    <xf numFmtId="0" fontId="9" fillId="0" borderId="7" xfId="0" applyFont="1" applyBorder="1" applyAlignment="1" applyProtection="1">
      <alignment vertical="top" wrapText="1" readingOrder="1"/>
      <protection locked="0"/>
    </xf>
    <xf numFmtId="0" fontId="8" fillId="0" borderId="7" xfId="0" applyFont="1" applyBorder="1" applyAlignment="1" applyProtection="1">
      <alignment vertical="top" wrapText="1" readingOrder="1"/>
      <protection locked="0"/>
    </xf>
    <xf numFmtId="164" fontId="8" fillId="0" borderId="7" xfId="0" applyNumberFormat="1" applyFont="1" applyBorder="1" applyAlignment="1" applyProtection="1">
      <alignment vertical="top" wrapText="1" readingOrder="1"/>
      <protection locked="0"/>
    </xf>
    <xf numFmtId="165" fontId="8" fillId="0" borderId="7" xfId="0" applyNumberFormat="1" applyFont="1" applyBorder="1" applyAlignment="1" applyProtection="1">
      <alignment vertical="top" wrapText="1" readingOrder="1"/>
      <protection locked="0"/>
    </xf>
    <xf numFmtId="0" fontId="3" fillId="0" borderId="7" xfId="0" applyFont="1" applyBorder="1" applyAlignment="1" applyProtection="1">
      <alignment vertical="top" wrapText="1" readingOrder="1"/>
      <protection locked="0"/>
    </xf>
    <xf numFmtId="0" fontId="4" fillId="0" borderId="7" xfId="0" applyFont="1" applyBorder="1" applyAlignment="1" applyProtection="1">
      <alignment vertical="top" wrapText="1" readingOrder="1"/>
      <protection locked="0"/>
    </xf>
    <xf numFmtId="0" fontId="5" fillId="0" borderId="7" xfId="0" applyFont="1" applyBorder="1" applyAlignment="1" applyProtection="1">
      <alignment vertical="top" wrapText="1" readingOrder="1"/>
      <protection locked="0"/>
    </xf>
    <xf numFmtId="164" fontId="5" fillId="0" borderId="7" xfId="0" applyNumberFormat="1" applyFont="1" applyBorder="1" applyAlignment="1" applyProtection="1">
      <alignment vertical="top" wrapText="1" readingOrder="1"/>
      <protection locked="0"/>
    </xf>
    <xf numFmtId="0" fontId="4" fillId="9" borderId="7" xfId="0" applyFont="1" applyFill="1" applyBorder="1" applyAlignment="1" applyProtection="1">
      <alignment vertical="top" wrapText="1" readingOrder="1"/>
      <protection locked="0"/>
    </xf>
    <xf numFmtId="0" fontId="29" fillId="0" borderId="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9" fontId="27" fillId="0" borderId="6" xfId="459" applyFont="1" applyBorder="1"/>
    <xf numFmtId="1" fontId="17" fillId="0" borderId="5" xfId="241" applyNumberFormat="1" applyFont="1" applyBorder="1" applyAlignment="1">
      <alignment wrapText="1"/>
    </xf>
    <xf numFmtId="43" fontId="9" fillId="0" borderId="7" xfId="27" applyFont="1" applyBorder="1" applyAlignment="1" applyProtection="1">
      <alignment vertical="top" wrapText="1" readingOrder="1"/>
      <protection locked="0"/>
    </xf>
    <xf numFmtId="43" fontId="8" fillId="0" borderId="7" xfId="27" applyFont="1" applyBorder="1" applyAlignment="1" applyProtection="1">
      <alignment vertical="top" wrapText="1" readingOrder="1"/>
      <protection locked="0"/>
    </xf>
    <xf numFmtId="0" fontId="21" fillId="11" borderId="7" xfId="0" applyFont="1" applyFill="1" applyBorder="1" applyAlignment="1" applyProtection="1">
      <alignment vertical="top" wrapText="1" readingOrder="1"/>
      <protection locked="0"/>
    </xf>
    <xf numFmtId="10" fontId="27" fillId="0" borderId="0" xfId="459" applyNumberFormat="1" applyFont="1"/>
    <xf numFmtId="164" fontId="9" fillId="0" borderId="7" xfId="0" applyNumberFormat="1" applyFont="1" applyBorder="1" applyAlignment="1" applyProtection="1">
      <alignment vertical="top" wrapText="1" readingOrder="1"/>
      <protection locked="0"/>
    </xf>
    <xf numFmtId="0" fontId="28" fillId="0" borderId="0" xfId="0" applyFont="1"/>
    <xf numFmtId="43" fontId="17" fillId="0" borderId="5" xfId="27" applyFont="1" applyBorder="1" applyAlignment="1">
      <alignment wrapText="1"/>
    </xf>
    <xf numFmtId="17" fontId="9" fillId="8" borderId="7" xfId="0" applyNumberFormat="1" applyFont="1" applyFill="1" applyBorder="1" applyAlignment="1" applyProtection="1">
      <alignment vertical="top" wrapText="1" readingOrder="1"/>
      <protection locked="0"/>
    </xf>
    <xf numFmtId="17" fontId="4" fillId="8" borderId="7" xfId="0" applyNumberFormat="1" applyFont="1" applyFill="1" applyBorder="1" applyAlignment="1" applyProtection="1">
      <alignment vertical="top" wrapText="1" readingOrder="1"/>
      <protection locked="0"/>
    </xf>
    <xf numFmtId="164" fontId="4" fillId="10" borderId="7" xfId="0" applyNumberFormat="1" applyFont="1" applyFill="1" applyBorder="1" applyAlignment="1" applyProtection="1">
      <alignment vertical="top" wrapText="1" readingOrder="1"/>
      <protection locked="0"/>
    </xf>
    <xf numFmtId="0" fontId="31" fillId="0" borderId="6" xfId="0" applyFont="1" applyBorder="1"/>
    <xf numFmtId="43" fontId="31" fillId="0" borderId="6" xfId="27" applyFont="1" applyBorder="1"/>
    <xf numFmtId="0" fontId="32" fillId="0" borderId="6" xfId="0" applyFont="1" applyBorder="1"/>
    <xf numFmtId="0" fontId="33" fillId="0" borderId="6" xfId="0" applyFont="1" applyBorder="1"/>
    <xf numFmtId="171" fontId="32" fillId="0" borderId="6" xfId="0" applyNumberFormat="1" applyFont="1" applyBorder="1"/>
    <xf numFmtId="9" fontId="33" fillId="0" borderId="6" xfId="459" applyFont="1" applyBorder="1"/>
    <xf numFmtId="0" fontId="34" fillId="0" borderId="6" xfId="0" applyFont="1" applyBorder="1"/>
    <xf numFmtId="0" fontId="35" fillId="0" borderId="6" xfId="0" applyFont="1" applyBorder="1"/>
    <xf numFmtId="171" fontId="32" fillId="0" borderId="6" xfId="0" applyNumberFormat="1" applyFont="1" applyBorder="1" applyAlignment="1">
      <alignment horizontal="right"/>
    </xf>
    <xf numFmtId="172" fontId="33" fillId="0" borderId="6" xfId="0" applyNumberFormat="1" applyFont="1" applyBorder="1"/>
    <xf numFmtId="0" fontId="36" fillId="0" borderId="6" xfId="0" applyFont="1" applyBorder="1"/>
    <xf numFmtId="43" fontId="0" fillId="0" borderId="0" xfId="0" applyNumberFormat="1"/>
    <xf numFmtId="171" fontId="36" fillId="0" borderId="6" xfId="0" applyNumberFormat="1" applyFont="1" applyBorder="1"/>
    <xf numFmtId="170" fontId="27" fillId="0" borderId="6" xfId="459" applyNumberFormat="1" applyFont="1" applyBorder="1"/>
    <xf numFmtId="0" fontId="0" fillId="0" borderId="6" xfId="0" applyBorder="1" applyAlignment="1">
      <alignment horizontal="center" vertical="center"/>
    </xf>
    <xf numFmtId="0" fontId="30" fillId="0" borderId="6" xfId="0" applyFont="1" applyBorder="1" applyAlignment="1">
      <alignment vertical="top" wrapText="1"/>
    </xf>
    <xf numFmtId="0" fontId="32" fillId="0" borderId="6" xfId="241" applyFont="1" applyBorder="1"/>
    <xf numFmtId="0" fontId="33" fillId="0" borderId="6" xfId="241" applyFont="1" applyBorder="1"/>
    <xf numFmtId="0" fontId="0" fillId="0" borderId="8" xfId="0" applyBorder="1"/>
    <xf numFmtId="0" fontId="0" fillId="0" borderId="9" xfId="0" applyBorder="1"/>
    <xf numFmtId="17" fontId="28" fillId="0" borderId="9" xfId="0" applyNumberFormat="1" applyFont="1" applyBorder="1"/>
    <xf numFmtId="10" fontId="27" fillId="0" borderId="10" xfId="459" applyNumberFormat="1" applyFont="1" applyBorder="1"/>
    <xf numFmtId="0" fontId="36" fillId="0" borderId="11" xfId="241" applyFont="1" applyBorder="1"/>
    <xf numFmtId="0" fontId="0" fillId="0" borderId="11" xfId="0" applyBorder="1"/>
    <xf numFmtId="0" fontId="32" fillId="0" borderId="11" xfId="241" applyFont="1" applyBorder="1"/>
    <xf numFmtId="0" fontId="36" fillId="0" borderId="12" xfId="241" applyFont="1" applyBorder="1"/>
    <xf numFmtId="0" fontId="0" fillId="0" borderId="13" xfId="0" applyBorder="1"/>
    <xf numFmtId="0" fontId="31" fillId="0" borderId="15" xfId="0" applyFont="1" applyBorder="1"/>
    <xf numFmtId="0" fontId="21" fillId="11" borderId="6" xfId="0" applyFont="1" applyFill="1" applyBorder="1" applyAlignment="1" applyProtection="1">
      <alignment horizontal="center" vertical="top" readingOrder="1"/>
      <protection locked="0"/>
    </xf>
    <xf numFmtId="0" fontId="21" fillId="11" borderId="6" xfId="0" applyFont="1" applyFill="1" applyBorder="1" applyAlignment="1" applyProtection="1">
      <alignment vertical="top" readingOrder="1"/>
      <protection locked="0"/>
    </xf>
    <xf numFmtId="172" fontId="0" fillId="0" borderId="6" xfId="0" applyNumberFormat="1" applyBorder="1"/>
    <xf numFmtId="172" fontId="28" fillId="0" borderId="6" xfId="0" applyNumberFormat="1" applyFont="1" applyBorder="1"/>
    <xf numFmtId="43" fontId="9" fillId="12" borderId="7" xfId="27" applyFont="1" applyFill="1" applyBorder="1" applyAlignment="1" applyProtection="1">
      <alignment vertical="top" wrapText="1" readingOrder="1"/>
      <protection locked="0"/>
    </xf>
    <xf numFmtId="43" fontId="4" fillId="12" borderId="7" xfId="27" applyFont="1" applyFill="1" applyBorder="1" applyAlignment="1" applyProtection="1">
      <alignment vertical="top" wrapText="1" readingOrder="1"/>
      <protection locked="0"/>
    </xf>
    <xf numFmtId="43" fontId="4" fillId="13" borderId="7" xfId="27" applyFont="1" applyFill="1" applyBorder="1" applyAlignment="1" applyProtection="1">
      <alignment vertical="top" wrapText="1" readingOrder="1"/>
      <protection locked="0"/>
    </xf>
    <xf numFmtId="43" fontId="27" fillId="0" borderId="6" xfId="27" applyFont="1" applyBorder="1"/>
    <xf numFmtId="172" fontId="27" fillId="0" borderId="6" xfId="27" applyNumberFormat="1" applyFont="1" applyBorder="1"/>
    <xf numFmtId="4" fontId="0" fillId="0" borderId="0" xfId="0" applyNumberFormat="1"/>
    <xf numFmtId="0" fontId="37" fillId="0" borderId="6" xfId="0" applyFont="1" applyBorder="1"/>
    <xf numFmtId="0" fontId="38" fillId="0" borderId="6" xfId="0" applyFont="1" applyBorder="1"/>
    <xf numFmtId="0" fontId="38" fillId="12" borderId="6" xfId="0" applyFont="1" applyFill="1" applyBorder="1"/>
    <xf numFmtId="0" fontId="37" fillId="12" borderId="16" xfId="0" applyFont="1" applyFill="1" applyBorder="1"/>
    <xf numFmtId="0" fontId="37" fillId="12" borderId="21" xfId="0" applyFont="1" applyFill="1" applyBorder="1"/>
    <xf numFmtId="0" fontId="37" fillId="0" borderId="22" xfId="0" applyFont="1" applyBorder="1"/>
    <xf numFmtId="172" fontId="37" fillId="0" borderId="17" xfId="27" applyNumberFormat="1" applyFont="1" applyBorder="1"/>
    <xf numFmtId="172" fontId="37" fillId="0" borderId="23" xfId="27" applyNumberFormat="1" applyFont="1" applyBorder="1"/>
    <xf numFmtId="0" fontId="37" fillId="0" borderId="24" xfId="0" applyFont="1" applyBorder="1"/>
    <xf numFmtId="172" fontId="37" fillId="14" borderId="17" xfId="27" applyNumberFormat="1" applyFont="1" applyFill="1" applyBorder="1"/>
    <xf numFmtId="172" fontId="37" fillId="0" borderId="25" xfId="27" applyNumberFormat="1" applyFont="1" applyBorder="1"/>
    <xf numFmtId="172" fontId="39" fillId="14" borderId="17" xfId="27" applyNumberFormat="1" applyFont="1" applyFill="1" applyBorder="1"/>
    <xf numFmtId="172" fontId="39" fillId="0" borderId="25" xfId="27" applyNumberFormat="1" applyFont="1" applyBorder="1"/>
    <xf numFmtId="0" fontId="38" fillId="12" borderId="24" xfId="0" applyFont="1" applyFill="1" applyBorder="1"/>
    <xf numFmtId="172" fontId="40" fillId="12" borderId="17" xfId="27" applyNumberFormat="1" applyFont="1" applyFill="1" applyBorder="1"/>
    <xf numFmtId="172" fontId="40" fillId="12" borderId="25" xfId="27" applyNumberFormat="1" applyFont="1" applyFill="1" applyBorder="1"/>
    <xf numFmtId="0" fontId="0" fillId="0" borderId="26" xfId="0" applyBorder="1"/>
    <xf numFmtId="0" fontId="0" fillId="0" borderId="27" xfId="0" applyBorder="1"/>
    <xf numFmtId="172" fontId="39" fillId="0" borderId="17" xfId="27" applyNumberFormat="1" applyFont="1" applyBorder="1"/>
    <xf numFmtId="0" fontId="38" fillId="12" borderId="28" xfId="0" applyFont="1" applyFill="1" applyBorder="1"/>
    <xf numFmtId="172" fontId="38" fillId="12" borderId="17" xfId="27" applyNumberFormat="1" applyFont="1" applyFill="1" applyBorder="1"/>
    <xf numFmtId="172" fontId="38" fillId="12" borderId="25" xfId="27" applyNumberFormat="1" applyFont="1" applyFill="1" applyBorder="1"/>
    <xf numFmtId="0" fontId="37" fillId="0" borderId="29" xfId="0" applyFont="1" applyBorder="1"/>
    <xf numFmtId="0" fontId="38" fillId="12" borderId="29" xfId="0" applyFont="1" applyFill="1" applyBorder="1"/>
    <xf numFmtId="172" fontId="38" fillId="12" borderId="17" xfId="0" applyNumberFormat="1" applyFont="1" applyFill="1" applyBorder="1"/>
    <xf numFmtId="172" fontId="38" fillId="12" borderId="25" xfId="0" applyNumberFormat="1" applyFont="1" applyFill="1" applyBorder="1"/>
    <xf numFmtId="172" fontId="40" fillId="12" borderId="17" xfId="0" applyNumberFormat="1" applyFont="1" applyFill="1" applyBorder="1"/>
    <xf numFmtId="172" fontId="40" fillId="12" borderId="25" xfId="0" applyNumberFormat="1" applyFont="1" applyFill="1" applyBorder="1"/>
    <xf numFmtId="0" fontId="37" fillId="0" borderId="17" xfId="0" applyFont="1" applyBorder="1"/>
    <xf numFmtId="0" fontId="37" fillId="12" borderId="17" xfId="0" applyFont="1" applyFill="1" applyBorder="1"/>
    <xf numFmtId="0" fontId="37" fillId="12" borderId="25" xfId="0" applyFont="1" applyFill="1" applyBorder="1"/>
    <xf numFmtId="0" fontId="37" fillId="0" borderId="25" xfId="0" applyFont="1" applyBorder="1"/>
    <xf numFmtId="172" fontId="37" fillId="12" borderId="17" xfId="0" applyNumberFormat="1" applyFont="1" applyFill="1" applyBorder="1"/>
    <xf numFmtId="172" fontId="37" fillId="12" borderId="25" xfId="0" applyNumberFormat="1" applyFont="1" applyFill="1" applyBorder="1"/>
    <xf numFmtId="172" fontId="39" fillId="0" borderId="17" xfId="0" applyNumberFormat="1" applyFont="1" applyBorder="1"/>
    <xf numFmtId="172" fontId="39" fillId="0" borderId="25" xfId="0" applyNumberFormat="1" applyFont="1" applyBorder="1"/>
    <xf numFmtId="172" fontId="40" fillId="12" borderId="30" xfId="0" applyNumberFormat="1" applyFont="1" applyFill="1" applyBorder="1"/>
    <xf numFmtId="0" fontId="37" fillId="0" borderId="0" xfId="0" applyFont="1"/>
    <xf numFmtId="9" fontId="27" fillId="0" borderId="0" xfId="459" applyFont="1"/>
    <xf numFmtId="9" fontId="29" fillId="0" borderId="6" xfId="0" applyNumberFormat="1" applyFont="1" applyBorder="1" applyAlignment="1">
      <alignment horizontal="center" vertical="center" wrapText="1"/>
    </xf>
    <xf numFmtId="9" fontId="29" fillId="0" borderId="6" xfId="459" applyFont="1" applyBorder="1" applyAlignment="1">
      <alignment horizontal="center" vertical="center" wrapText="1"/>
    </xf>
    <xf numFmtId="43" fontId="27" fillId="0" borderId="0" xfId="27" applyFont="1"/>
    <xf numFmtId="43" fontId="41" fillId="0" borderId="0" xfId="27" applyFont="1"/>
    <xf numFmtId="43" fontId="27" fillId="0" borderId="0" xfId="27" applyFont="1" applyFill="1" applyBorder="1"/>
    <xf numFmtId="43" fontId="40" fillId="12" borderId="25" xfId="27" applyFont="1" applyFill="1" applyBorder="1"/>
    <xf numFmtId="43" fontId="38" fillId="12" borderId="25" xfId="27" applyFont="1" applyFill="1" applyBorder="1"/>
    <xf numFmtId="43" fontId="37" fillId="12" borderId="25" xfId="27" applyFont="1" applyFill="1" applyBorder="1"/>
    <xf numFmtId="43" fontId="40" fillId="12" borderId="30" xfId="27" applyFont="1" applyFill="1" applyBorder="1"/>
    <xf numFmtId="170" fontId="29" fillId="0" borderId="6" xfId="459" applyNumberFormat="1" applyFont="1" applyBorder="1" applyAlignment="1">
      <alignment horizontal="center" vertical="center" wrapText="1"/>
    </xf>
    <xf numFmtId="0" fontId="31" fillId="0" borderId="0" xfId="0" applyFont="1"/>
    <xf numFmtId="0" fontId="6" fillId="0" borderId="0" xfId="0" applyFont="1" applyAlignment="1" applyProtection="1">
      <alignment vertical="top" wrapText="1" readingOrder="1"/>
      <protection locked="0"/>
    </xf>
    <xf numFmtId="0" fontId="42" fillId="0" borderId="0" xfId="0" applyFont="1"/>
    <xf numFmtId="0" fontId="43" fillId="15" borderId="11" xfId="435" applyFont="1" applyFill="1" applyBorder="1" applyAlignment="1">
      <alignment horizontal="center" wrapText="1"/>
    </xf>
    <xf numFmtId="0" fontId="43" fillId="15" borderId="6" xfId="435" applyFont="1" applyFill="1" applyBorder="1" applyAlignment="1">
      <alignment horizontal="center"/>
    </xf>
    <xf numFmtId="0" fontId="43" fillId="15" borderId="9" xfId="435" applyFont="1" applyFill="1" applyBorder="1" applyAlignment="1">
      <alignment horizontal="center"/>
    </xf>
    <xf numFmtId="17" fontId="28" fillId="15" borderId="10" xfId="0" applyNumberFormat="1" applyFont="1" applyFill="1" applyBorder="1"/>
    <xf numFmtId="0" fontId="28" fillId="0" borderId="11" xfId="0" applyFont="1" applyBorder="1"/>
    <xf numFmtId="0" fontId="28" fillId="0" borderId="6" xfId="0" applyFont="1" applyBorder="1"/>
    <xf numFmtId="0" fontId="28" fillId="0" borderId="10" xfId="0" applyFont="1" applyBorder="1"/>
    <xf numFmtId="0" fontId="44" fillId="0" borderId="6" xfId="435" applyFont="1" applyBorder="1" applyAlignment="1">
      <alignment horizontal="center"/>
    </xf>
    <xf numFmtId="43" fontId="27" fillId="0" borderId="6" xfId="27" applyFont="1" applyFill="1" applyBorder="1" applyAlignment="1">
      <alignment horizontal="center"/>
    </xf>
    <xf numFmtId="170" fontId="27" fillId="0" borderId="6" xfId="459" applyNumberFormat="1" applyFont="1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170" fontId="2" fillId="0" borderId="6" xfId="461" applyNumberFormat="1" applyFont="1" applyFill="1" applyBorder="1" applyAlignment="1">
      <alignment horizontal="right"/>
    </xf>
    <xf numFmtId="170" fontId="2" fillId="0" borderId="6" xfId="461" applyNumberFormat="1" applyFont="1" applyFill="1" applyBorder="1" applyAlignment="1">
      <alignment horizontal="center"/>
    </xf>
    <xf numFmtId="9" fontId="44" fillId="0" borderId="6" xfId="435" applyNumberFormat="1" applyFont="1" applyBorder="1" applyAlignment="1">
      <alignment horizontal="center"/>
    </xf>
    <xf numFmtId="0" fontId="28" fillId="0" borderId="12" xfId="0" applyFont="1" applyBorder="1"/>
    <xf numFmtId="0" fontId="28" fillId="0" borderId="13" xfId="0" applyFont="1" applyBorder="1"/>
    <xf numFmtId="17" fontId="45" fillId="0" borderId="0" xfId="0" applyNumberFormat="1" applyFont="1" applyAlignment="1">
      <alignment horizontal="center" vertical="center"/>
    </xf>
    <xf numFmtId="172" fontId="2" fillId="0" borderId="6" xfId="30" applyNumberFormat="1" applyFont="1" applyFill="1" applyBorder="1"/>
    <xf numFmtId="0" fontId="2" fillId="0" borderId="6" xfId="0" applyFont="1" applyBorder="1"/>
    <xf numFmtId="0" fontId="27" fillId="16" borderId="6" xfId="459" applyNumberFormat="1" applyFont="1" applyFill="1" applyBorder="1" applyAlignment="1">
      <alignment horizontal="right"/>
    </xf>
    <xf numFmtId="0" fontId="27" fillId="16" borderId="6" xfId="459" applyNumberFormat="1" applyFont="1" applyFill="1" applyBorder="1" applyAlignment="1">
      <alignment horizontal="center"/>
    </xf>
    <xf numFmtId="2" fontId="2" fillId="16" borderId="6" xfId="461" applyNumberFormat="1" applyFont="1" applyFill="1" applyBorder="1" applyAlignment="1">
      <alignment horizontal="center"/>
    </xf>
    <xf numFmtId="2" fontId="27" fillId="16" borderId="6" xfId="459" applyNumberFormat="1" applyFont="1" applyFill="1" applyBorder="1" applyAlignment="1">
      <alignment horizontal="center"/>
    </xf>
    <xf numFmtId="2" fontId="0" fillId="16" borderId="6" xfId="0" applyNumberFormat="1" applyFill="1" applyBorder="1" applyAlignment="1">
      <alignment horizontal="center"/>
    </xf>
    <xf numFmtId="2" fontId="28" fillId="17" borderId="14" xfId="0" applyNumberFormat="1" applyFont="1" applyFill="1" applyBorder="1"/>
    <xf numFmtId="17" fontId="21" fillId="11" borderId="7" xfId="0" applyNumberFormat="1" applyFont="1" applyFill="1" applyBorder="1" applyAlignment="1" applyProtection="1">
      <alignment vertical="top" wrapText="1" readingOrder="1"/>
      <protection locked="0"/>
    </xf>
    <xf numFmtId="173" fontId="21" fillId="11" borderId="7" xfId="0" applyNumberFormat="1" applyFont="1" applyFill="1" applyBorder="1" applyAlignment="1" applyProtection="1">
      <alignment vertical="top" wrapText="1" readingOrder="1"/>
      <protection locked="0"/>
    </xf>
    <xf numFmtId="173" fontId="28" fillId="0" borderId="9" xfId="0" applyNumberFormat="1" applyFont="1" applyBorder="1"/>
    <xf numFmtId="173" fontId="4" fillId="8" borderId="7" xfId="0" applyNumberFormat="1" applyFont="1" applyFill="1" applyBorder="1" applyAlignment="1" applyProtection="1">
      <alignment vertical="top" wrapText="1" readingOrder="1"/>
      <protection locked="0"/>
    </xf>
    <xf numFmtId="173" fontId="21" fillId="11" borderId="6" xfId="0" applyNumberFormat="1" applyFont="1" applyFill="1" applyBorder="1" applyAlignment="1" applyProtection="1">
      <alignment horizontal="center" vertical="top" readingOrder="1"/>
      <protection locked="0"/>
    </xf>
    <xf numFmtId="173" fontId="28" fillId="15" borderId="10" xfId="0" applyNumberFormat="1" applyFont="1" applyFill="1" applyBorder="1"/>
    <xf numFmtId="174" fontId="45" fillId="0" borderId="0" xfId="0" applyNumberFormat="1" applyFont="1" applyAlignment="1">
      <alignment horizontal="center" vertical="center"/>
    </xf>
    <xf numFmtId="0" fontId="17" fillId="0" borderId="5" xfId="0" applyFont="1" applyBorder="1" applyAlignment="1" applyProtection="1">
      <alignment wrapText="1"/>
      <protection locked="0"/>
    </xf>
    <xf numFmtId="0" fontId="17" fillId="11" borderId="5" xfId="241" applyFont="1" applyFill="1" applyBorder="1" applyAlignment="1">
      <alignment wrapText="1"/>
    </xf>
    <xf numFmtId="175" fontId="0" fillId="0" borderId="0" xfId="0" applyNumberFormat="1"/>
    <xf numFmtId="43" fontId="47" fillId="0" borderId="6" xfId="0" applyNumberFormat="1" applyFont="1" applyBorder="1"/>
    <xf numFmtId="43" fontId="0" fillId="0" borderId="18" xfId="0" applyNumberFormat="1" applyBorder="1" applyAlignment="1" applyProtection="1">
      <alignment vertical="top" wrapText="1"/>
      <protection locked="0"/>
    </xf>
    <xf numFmtId="43" fontId="50" fillId="0" borderId="6" xfId="0" applyNumberFormat="1" applyFont="1" applyBorder="1"/>
    <xf numFmtId="43" fontId="51" fillId="0" borderId="6" xfId="0" applyNumberFormat="1" applyFont="1" applyBorder="1" applyAlignment="1">
      <alignment vertical="top" wrapText="1" readingOrder="1"/>
    </xf>
    <xf numFmtId="43" fontId="48" fillId="0" borderId="6" xfId="0" applyNumberFormat="1" applyFont="1" applyBorder="1"/>
    <xf numFmtId="43" fontId="26" fillId="0" borderId="5" xfId="28" applyNumberFormat="1" applyFont="1" applyFill="1" applyBorder="1" applyAlignment="1" applyProtection="1">
      <protection locked="0"/>
    </xf>
    <xf numFmtId="43" fontId="48" fillId="0" borderId="0" xfId="0" applyNumberFormat="1" applyFont="1"/>
    <xf numFmtId="43" fontId="51" fillId="0" borderId="31" xfId="0" applyNumberFormat="1" applyFont="1" applyBorder="1" applyAlignment="1">
      <alignment vertical="top" wrapText="1" readingOrder="1"/>
    </xf>
    <xf numFmtId="43" fontId="46" fillId="12" borderId="7" xfId="27" applyFont="1" applyFill="1" applyBorder="1" applyAlignment="1" applyProtection="1">
      <alignment vertical="top" wrapText="1" readingOrder="1"/>
      <protection locked="0"/>
    </xf>
    <xf numFmtId="43" fontId="5" fillId="0" borderId="7" xfId="281" applyNumberFormat="1" applyFont="1" applyBorder="1" applyAlignment="1" applyProtection="1">
      <alignment vertical="top" wrapText="1" readingOrder="1"/>
      <protection locked="0"/>
    </xf>
    <xf numFmtId="43" fontId="5" fillId="10" borderId="7" xfId="281" applyNumberFormat="1" applyFont="1" applyFill="1" applyBorder="1" applyAlignment="1" applyProtection="1">
      <alignment vertical="top" wrapText="1" readingOrder="1"/>
      <protection locked="0"/>
    </xf>
    <xf numFmtId="4" fontId="55" fillId="0" borderId="6" xfId="0" applyNumberFormat="1" applyFont="1" applyBorder="1"/>
    <xf numFmtId="4" fontId="56" fillId="0" borderId="6" xfId="0" applyNumberFormat="1" applyFont="1" applyBorder="1"/>
    <xf numFmtId="43" fontId="4" fillId="12" borderId="18" xfId="27" applyFont="1" applyFill="1" applyBorder="1" applyAlignment="1" applyProtection="1">
      <alignment vertical="top" wrapText="1" readingOrder="1"/>
      <protection locked="0"/>
    </xf>
    <xf numFmtId="43" fontId="4" fillId="13" borderId="18" xfId="27" applyFont="1" applyFill="1" applyBorder="1" applyAlignment="1" applyProtection="1">
      <alignment vertical="top" wrapText="1" readingOrder="1"/>
      <protection locked="0"/>
    </xf>
    <xf numFmtId="0" fontId="4" fillId="8" borderId="32" xfId="0" applyFont="1" applyFill="1" applyBorder="1" applyAlignment="1" applyProtection="1">
      <alignment vertical="top" wrapText="1" readingOrder="1"/>
      <protection locked="0"/>
    </xf>
    <xf numFmtId="43" fontId="4" fillId="12" borderId="32" xfId="27" applyFont="1" applyFill="1" applyBorder="1" applyAlignment="1" applyProtection="1">
      <alignment vertical="top" wrapText="1" readingOrder="1"/>
      <protection locked="0"/>
    </xf>
    <xf numFmtId="43" fontId="49" fillId="0" borderId="32" xfId="0" applyNumberFormat="1" applyFont="1" applyBorder="1" applyAlignment="1">
      <alignment vertical="top" wrapText="1" readingOrder="1"/>
    </xf>
    <xf numFmtId="43" fontId="49" fillId="18" borderId="32" xfId="0" applyNumberFormat="1" applyFont="1" applyFill="1" applyBorder="1" applyAlignment="1">
      <alignment vertical="top" wrapText="1" readingOrder="1"/>
    </xf>
    <xf numFmtId="43" fontId="4" fillId="13" borderId="32" xfId="27" applyFont="1" applyFill="1" applyBorder="1" applyAlignment="1" applyProtection="1">
      <alignment vertical="top" wrapText="1" readingOrder="1"/>
      <protection locked="0"/>
    </xf>
    <xf numFmtId="0" fontId="0" fillId="0" borderId="32" xfId="0" applyBorder="1"/>
    <xf numFmtId="0" fontId="4" fillId="8" borderId="33" xfId="0" applyFont="1" applyFill="1" applyBorder="1" applyAlignment="1" applyProtection="1">
      <alignment vertical="top" wrapText="1" readingOrder="1"/>
      <protection locked="0"/>
    </xf>
    <xf numFmtId="43" fontId="4" fillId="12" borderId="33" xfId="27" applyFont="1" applyFill="1" applyBorder="1" applyAlignment="1" applyProtection="1">
      <alignment vertical="top" wrapText="1" readingOrder="1"/>
      <protection locked="0"/>
    </xf>
    <xf numFmtId="43" fontId="5" fillId="0" borderId="33" xfId="27" applyFont="1" applyBorder="1" applyAlignment="1" applyProtection="1">
      <alignment vertical="top" wrapText="1" readingOrder="1"/>
      <protection locked="0"/>
    </xf>
    <xf numFmtId="43" fontId="4" fillId="0" borderId="33" xfId="27" applyFont="1" applyBorder="1" applyAlignment="1" applyProtection="1">
      <alignment vertical="top" wrapText="1" readingOrder="1"/>
      <protection locked="0"/>
    </xf>
    <xf numFmtId="43" fontId="4" fillId="13" borderId="33" xfId="27" applyFont="1" applyFill="1" applyBorder="1" applyAlignment="1" applyProtection="1">
      <alignment vertical="top" wrapText="1" readingOrder="1"/>
      <protection locked="0"/>
    </xf>
    <xf numFmtId="173" fontId="4" fillId="8" borderId="18" xfId="0" applyNumberFormat="1" applyFont="1" applyFill="1" applyBorder="1" applyAlignment="1" applyProtection="1">
      <alignment vertical="top" wrapText="1" readingOrder="1"/>
      <protection locked="0"/>
    </xf>
    <xf numFmtId="43" fontId="57" fillId="0" borderId="18" xfId="0" applyNumberFormat="1" applyFont="1" applyBorder="1" applyAlignment="1" applyProtection="1">
      <alignment vertical="top" wrapText="1"/>
      <protection locked="0"/>
    </xf>
    <xf numFmtId="43" fontId="58" fillId="0" borderId="7" xfId="0" applyNumberFormat="1" applyFont="1" applyBorder="1" applyAlignment="1" applyProtection="1">
      <alignment vertical="top" wrapText="1" readingOrder="1"/>
      <protection locked="0"/>
    </xf>
    <xf numFmtId="43" fontId="5" fillId="0" borderId="18" xfId="0" applyNumberFormat="1" applyFont="1" applyBorder="1" applyAlignment="1" applyProtection="1">
      <alignment vertical="top" wrapText="1" readingOrder="1"/>
      <protection locked="0"/>
    </xf>
    <xf numFmtId="43" fontId="5" fillId="0" borderId="7" xfId="0" applyNumberFormat="1" applyFont="1" applyBorder="1" applyAlignment="1" applyProtection="1">
      <alignment vertical="top" wrapText="1" readingOrder="1"/>
      <protection locked="0"/>
    </xf>
    <xf numFmtId="43" fontId="5" fillId="10" borderId="18" xfId="0" applyNumberFormat="1" applyFont="1" applyFill="1" applyBorder="1" applyAlignment="1" applyProtection="1">
      <alignment vertical="top" wrapText="1" readingOrder="1"/>
      <protection locked="0"/>
    </xf>
    <xf numFmtId="43" fontId="5" fillId="10" borderId="7" xfId="0" applyNumberFormat="1" applyFont="1" applyFill="1" applyBorder="1" applyAlignment="1" applyProtection="1">
      <alignment vertical="top" wrapText="1" readingOrder="1"/>
      <protection locked="0"/>
    </xf>
    <xf numFmtId="43" fontId="49" fillId="0" borderId="32" xfId="0" applyNumberFormat="1" applyFont="1" applyBorder="1"/>
    <xf numFmtId="43" fontId="5" fillId="0" borderId="6" xfId="0" applyNumberFormat="1" applyFont="1" applyBorder="1" applyAlignment="1" applyProtection="1">
      <alignment horizontal="right" vertical="center"/>
      <protection locked="0"/>
    </xf>
    <xf numFmtId="43" fontId="61" fillId="0" borderId="6" xfId="28" applyNumberFormat="1" applyFont="1" applyBorder="1" applyAlignment="1" applyProtection="1">
      <alignment horizontal="right" vertical="center"/>
      <protection locked="0"/>
    </xf>
    <xf numFmtId="43" fontId="62" fillId="0" borderId="32" xfId="0" applyNumberFormat="1" applyFont="1" applyBorder="1"/>
    <xf numFmtId="43" fontId="58" fillId="0" borderId="32" xfId="0" applyNumberFormat="1" applyFont="1" applyBorder="1"/>
    <xf numFmtId="43" fontId="61" fillId="0" borderId="6" xfId="28" applyNumberFormat="1" applyFont="1" applyFill="1" applyBorder="1" applyAlignment="1" applyProtection="1">
      <protection locked="0"/>
    </xf>
    <xf numFmtId="43" fontId="61" fillId="0" borderId="6" xfId="28" applyNumberFormat="1" applyFont="1" applyFill="1" applyBorder="1" applyAlignment="1" applyProtection="1"/>
    <xf numFmtId="0" fontId="60" fillId="0" borderId="0" xfId="0" applyFont="1"/>
    <xf numFmtId="43" fontId="60" fillId="0" borderId="32" xfId="0" applyNumberFormat="1" applyFont="1" applyBorder="1"/>
    <xf numFmtId="43" fontId="60" fillId="0" borderId="0" xfId="0" applyNumberFormat="1" applyFont="1"/>
    <xf numFmtId="0" fontId="63" fillId="0" borderId="0" xfId="0" applyFont="1"/>
    <xf numFmtId="43" fontId="63" fillId="0" borderId="0" xfId="0" applyNumberFormat="1" applyFont="1"/>
    <xf numFmtId="43" fontId="63" fillId="0" borderId="32" xfId="0" applyNumberFormat="1" applyFont="1" applyBorder="1"/>
    <xf numFmtId="43" fontId="58" fillId="0" borderId="0" xfId="0" applyNumberFormat="1" applyFont="1"/>
    <xf numFmtId="0" fontId="64" fillId="0" borderId="11" xfId="0" applyFont="1" applyBorder="1" applyAlignment="1">
      <alignment horizontal="center"/>
    </xf>
    <xf numFmtId="0" fontId="64" fillId="0" borderId="39" xfId="0" applyFont="1" applyBorder="1" applyAlignment="1">
      <alignment horizontal="right"/>
    </xf>
    <xf numFmtId="0" fontId="42" fillId="0" borderId="11" xfId="0" applyFont="1" applyBorder="1"/>
    <xf numFmtId="0" fontId="64" fillId="0" borderId="6" xfId="0" applyFont="1" applyBorder="1" applyAlignment="1" applyProtection="1">
      <alignment horizontal="right"/>
      <protection locked="0"/>
    </xf>
    <xf numFmtId="17" fontId="64" fillId="0" borderId="0" xfId="0" applyNumberFormat="1" applyFont="1" applyProtection="1">
      <protection locked="0"/>
    </xf>
    <xf numFmtId="17" fontId="64" fillId="0" borderId="10" xfId="0" applyNumberFormat="1" applyFont="1" applyBorder="1" applyAlignment="1" applyProtection="1">
      <alignment horizontal="right" wrapText="1"/>
      <protection locked="0"/>
    </xf>
    <xf numFmtId="0" fontId="17" fillId="0" borderId="11" xfId="0" applyFont="1" applyBorder="1"/>
    <xf numFmtId="0" fontId="17" fillId="0" borderId="6" xfId="0" applyFont="1" applyBorder="1" applyAlignment="1">
      <alignment horizontal="center"/>
    </xf>
    <xf numFmtId="172" fontId="17" fillId="0" borderId="6" xfId="30" applyNumberFormat="1" applyFont="1" applyBorder="1" applyAlignment="1" applyProtection="1">
      <alignment horizontal="right"/>
    </xf>
    <xf numFmtId="9" fontId="17" fillId="0" borderId="6" xfId="0" applyNumberFormat="1" applyFont="1" applyBorder="1" applyAlignment="1">
      <alignment horizontal="center"/>
    </xf>
    <xf numFmtId="170" fontId="17" fillId="0" borderId="6" xfId="459" applyNumberFormat="1" applyFont="1" applyBorder="1" applyAlignment="1" applyProtection="1">
      <alignment horizontal="right"/>
    </xf>
    <xf numFmtId="170" fontId="17" fillId="0" borderId="6" xfId="459" applyNumberFormat="1" applyFont="1" applyFill="1" applyBorder="1" applyAlignment="1" applyProtection="1">
      <alignment horizontal="right"/>
    </xf>
    <xf numFmtId="170" fontId="42" fillId="14" borderId="6" xfId="459" applyNumberFormat="1" applyFont="1" applyFill="1" applyBorder="1" applyAlignment="1" applyProtection="1">
      <alignment horizontal="right"/>
    </xf>
    <xf numFmtId="0" fontId="17" fillId="14" borderId="11" xfId="0" applyFont="1" applyFill="1" applyBorder="1"/>
    <xf numFmtId="170" fontId="17" fillId="14" borderId="6" xfId="459" applyNumberFormat="1" applyFont="1" applyFill="1" applyBorder="1" applyAlignment="1" applyProtection="1">
      <alignment horizontal="right"/>
    </xf>
    <xf numFmtId="0" fontId="17" fillId="14" borderId="6" xfId="0" applyFont="1" applyFill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17" fillId="14" borderId="11" xfId="0" applyFont="1" applyFill="1" applyBorder="1" applyAlignment="1">
      <alignment horizontal="left"/>
    </xf>
    <xf numFmtId="9" fontId="17" fillId="14" borderId="6" xfId="0" applyNumberFormat="1" applyFont="1" applyFill="1" applyBorder="1" applyAlignment="1">
      <alignment horizontal="center"/>
    </xf>
    <xf numFmtId="0" fontId="18" fillId="15" borderId="11" xfId="0" applyFont="1" applyFill="1" applyBorder="1" applyAlignment="1">
      <alignment horizontal="left"/>
    </xf>
    <xf numFmtId="0" fontId="18" fillId="15" borderId="6" xfId="0" applyFont="1" applyFill="1" applyBorder="1" applyAlignment="1">
      <alignment horizontal="left"/>
    </xf>
    <xf numFmtId="0" fontId="18" fillId="15" borderId="39" xfId="0" applyFont="1" applyFill="1" applyBorder="1" applyAlignment="1">
      <alignment horizontal="left"/>
    </xf>
    <xf numFmtId="0" fontId="18" fillId="15" borderId="10" xfId="0" applyFont="1" applyFill="1" applyBorder="1" applyAlignment="1">
      <alignment horizontal="left"/>
    </xf>
    <xf numFmtId="43" fontId="42" fillId="0" borderId="6" xfId="27" applyFont="1" applyBorder="1" applyAlignment="1" applyProtection="1">
      <alignment horizontal="center"/>
    </xf>
    <xf numFmtId="43" fontId="42" fillId="0" borderId="6" xfId="27" applyFont="1" applyBorder="1" applyProtection="1">
      <protection locked="0"/>
    </xf>
    <xf numFmtId="43" fontId="17" fillId="0" borderId="6" xfId="27" applyFont="1" applyBorder="1" applyProtection="1">
      <protection locked="0"/>
    </xf>
    <xf numFmtId="43" fontId="56" fillId="0" borderId="6" xfId="27" applyFont="1" applyBorder="1" applyProtection="1">
      <protection locked="0"/>
    </xf>
    <xf numFmtId="0" fontId="42" fillId="0" borderId="6" xfId="0" applyFont="1" applyBorder="1" applyAlignment="1" applyProtection="1">
      <alignment horizontal="center"/>
      <protection locked="0"/>
    </xf>
    <xf numFmtId="0" fontId="42" fillId="0" borderId="6" xfId="0" applyFont="1" applyBorder="1" applyProtection="1">
      <protection locked="0"/>
    </xf>
    <xf numFmtId="0" fontId="42" fillId="0" borderId="39" xfId="0" applyFont="1" applyBorder="1" applyProtection="1">
      <protection locked="0"/>
    </xf>
    <xf numFmtId="0" fontId="42" fillId="0" borderId="10" xfId="0" applyFont="1" applyBorder="1" applyProtection="1">
      <protection locked="0"/>
    </xf>
    <xf numFmtId="0" fontId="64" fillId="14" borderId="43" xfId="0" applyFont="1" applyFill="1" applyBorder="1"/>
    <xf numFmtId="0" fontId="42" fillId="0" borderId="15" xfId="0" applyFont="1" applyBorder="1" applyAlignment="1" applyProtection="1">
      <alignment horizontal="center"/>
      <protection locked="0"/>
    </xf>
    <xf numFmtId="0" fontId="64" fillId="14" borderId="11" xfId="0" applyFont="1" applyFill="1" applyBorder="1"/>
    <xf numFmtId="0" fontId="64" fillId="14" borderId="12" xfId="0" applyFont="1" applyFill="1" applyBorder="1"/>
    <xf numFmtId="0" fontId="42" fillId="0" borderId="13" xfId="0" applyFont="1" applyBorder="1" applyAlignment="1" applyProtection="1">
      <alignment horizontal="center"/>
      <protection locked="0"/>
    </xf>
    <xf numFmtId="0" fontId="42" fillId="0" borderId="13" xfId="0" applyFont="1" applyBorder="1" applyProtection="1">
      <protection locked="0"/>
    </xf>
    <xf numFmtId="0" fontId="42" fillId="0" borderId="44" xfId="0" applyFont="1" applyBorder="1" applyProtection="1">
      <protection locked="0"/>
    </xf>
    <xf numFmtId="0" fontId="42" fillId="0" borderId="14" xfId="0" applyFont="1" applyBorder="1" applyProtection="1">
      <protection locked="0"/>
    </xf>
    <xf numFmtId="0" fontId="64" fillId="14" borderId="45" xfId="0" applyFont="1" applyFill="1" applyBorder="1"/>
    <xf numFmtId="0" fontId="42" fillId="0" borderId="0" xfId="0" applyFont="1" applyAlignment="1" applyProtection="1">
      <alignment horizontal="center"/>
      <protection locked="0"/>
    </xf>
    <xf numFmtId="0" fontId="42" fillId="0" borderId="0" xfId="0" applyFont="1" applyProtection="1">
      <protection locked="0"/>
    </xf>
    <xf numFmtId="43" fontId="8" fillId="0" borderId="7" xfId="0" applyNumberFormat="1" applyFont="1" applyBorder="1" applyAlignment="1" applyProtection="1">
      <alignment vertical="top" wrapText="1" readingOrder="1"/>
      <protection locked="0"/>
    </xf>
    <xf numFmtId="4" fontId="28" fillId="0" borderId="0" xfId="0" applyNumberFormat="1" applyFont="1"/>
    <xf numFmtId="0" fontId="65" fillId="0" borderId="47" xfId="0" applyFont="1" applyBorder="1" applyAlignment="1">
      <alignment wrapText="1" readingOrder="1"/>
    </xf>
    <xf numFmtId="4" fontId="65" fillId="0" borderId="47" xfId="0" applyNumberFormat="1" applyFont="1" applyBorder="1" applyAlignment="1">
      <alignment wrapText="1" readingOrder="1"/>
    </xf>
    <xf numFmtId="0" fontId="65" fillId="0" borderId="48" xfId="0" applyFont="1" applyBorder="1" applyAlignment="1">
      <alignment wrapText="1" readingOrder="1"/>
    </xf>
    <xf numFmtId="4" fontId="65" fillId="0" borderId="48" xfId="0" applyNumberFormat="1" applyFont="1" applyBorder="1" applyAlignment="1">
      <alignment wrapText="1" readingOrder="1"/>
    </xf>
    <xf numFmtId="4" fontId="65" fillId="0" borderId="46" xfId="0" applyNumberFormat="1" applyFont="1" applyBorder="1" applyAlignment="1">
      <alignment wrapText="1" readingOrder="1"/>
    </xf>
    <xf numFmtId="0" fontId="65" fillId="0" borderId="46" xfId="0" applyFont="1" applyBorder="1" applyAlignment="1">
      <alignment wrapText="1" readingOrder="1"/>
    </xf>
    <xf numFmtId="164" fontId="67" fillId="10" borderId="7" xfId="0" applyNumberFormat="1" applyFont="1" applyFill="1" applyBorder="1" applyAlignment="1" applyProtection="1">
      <alignment vertical="top" wrapText="1" readingOrder="1"/>
      <protection locked="0"/>
    </xf>
    <xf numFmtId="164" fontId="67" fillId="0" borderId="7" xfId="0" applyNumberFormat="1" applyFont="1" applyBorder="1" applyAlignment="1" applyProtection="1">
      <alignment vertical="top" wrapText="1" readingOrder="1"/>
      <protection locked="0"/>
    </xf>
    <xf numFmtId="43" fontId="0" fillId="0" borderId="0" xfId="27" applyFont="1"/>
    <xf numFmtId="43" fontId="5" fillId="0" borderId="0" xfId="27" applyFont="1" applyFill="1" applyBorder="1" applyAlignment="1" applyProtection="1">
      <alignment vertical="top" wrapText="1" readingOrder="1"/>
      <protection locked="0"/>
    </xf>
    <xf numFmtId="43" fontId="67" fillId="0" borderId="7" xfId="27" applyFont="1" applyBorder="1" applyAlignment="1" applyProtection="1">
      <alignment vertical="top" wrapText="1" readingOrder="1"/>
      <protection locked="0"/>
    </xf>
    <xf numFmtId="0" fontId="69" fillId="0" borderId="51" xfId="0" applyFont="1" applyBorder="1"/>
    <xf numFmtId="0" fontId="69" fillId="0" borderId="16" xfId="0" applyFont="1" applyBorder="1"/>
    <xf numFmtId="0" fontId="70" fillId="0" borderId="51" xfId="0" applyFont="1" applyBorder="1"/>
    <xf numFmtId="0" fontId="69" fillId="0" borderId="56" xfId="0" applyFont="1" applyBorder="1"/>
    <xf numFmtId="0" fontId="69" fillId="0" borderId="0" xfId="0" applyFont="1"/>
    <xf numFmtId="0" fontId="69" fillId="0" borderId="57" xfId="0" applyFont="1" applyBorder="1" applyAlignment="1">
      <alignment wrapText="1"/>
    </xf>
    <xf numFmtId="0" fontId="70" fillId="0" borderId="56" xfId="0" applyFont="1" applyBorder="1"/>
    <xf numFmtId="3" fontId="70" fillId="0" borderId="56" xfId="0" applyNumberFormat="1" applyFont="1" applyBorder="1"/>
    <xf numFmtId="10" fontId="70" fillId="0" borderId="56" xfId="0" applyNumberFormat="1" applyFont="1" applyBorder="1"/>
    <xf numFmtId="0" fontId="71" fillId="0" borderId="56" xfId="0" applyFont="1" applyBorder="1"/>
    <xf numFmtId="10" fontId="71" fillId="0" borderId="56" xfId="0" applyNumberFormat="1" applyFont="1" applyBorder="1"/>
    <xf numFmtId="0" fontId="70" fillId="18" borderId="56" xfId="0" applyFont="1" applyFill="1" applyBorder="1"/>
    <xf numFmtId="10" fontId="70" fillId="18" borderId="56" xfId="0" applyNumberFormat="1" applyFont="1" applyFill="1" applyBorder="1"/>
    <xf numFmtId="10" fontId="71" fillId="18" borderId="56" xfId="0" applyNumberFormat="1" applyFont="1" applyFill="1" applyBorder="1"/>
    <xf numFmtId="0" fontId="70" fillId="18" borderId="51" xfId="0" applyFont="1" applyFill="1" applyBorder="1"/>
    <xf numFmtId="0" fontId="72" fillId="0" borderId="51" xfId="0" applyFont="1" applyBorder="1"/>
    <xf numFmtId="0" fontId="72" fillId="0" borderId="56" xfId="0" applyFont="1" applyBorder="1"/>
    <xf numFmtId="4" fontId="72" fillId="0" borderId="56" xfId="0" applyNumberFormat="1" applyFont="1" applyBorder="1"/>
    <xf numFmtId="43" fontId="9" fillId="12" borderId="32" xfId="27" applyFont="1" applyFill="1" applyBorder="1" applyAlignment="1" applyProtection="1">
      <alignment vertical="top" wrapText="1" readingOrder="1"/>
      <protection locked="0"/>
    </xf>
    <xf numFmtId="43" fontId="65" fillId="0" borderId="32" xfId="27" applyFont="1" applyFill="1" applyBorder="1" applyAlignment="1">
      <alignment wrapText="1" readingOrder="1"/>
    </xf>
    <xf numFmtId="43" fontId="68" fillId="0" borderId="32" xfId="27" applyFont="1" applyFill="1" applyBorder="1" applyAlignment="1">
      <alignment wrapText="1" readingOrder="1"/>
    </xf>
    <xf numFmtId="43" fontId="66" fillId="0" borderId="32" xfId="27" applyFont="1" applyFill="1" applyBorder="1" applyAlignment="1">
      <alignment wrapText="1"/>
    </xf>
    <xf numFmtId="43" fontId="46" fillId="12" borderId="32" xfId="27" applyFont="1" applyFill="1" applyBorder="1" applyAlignment="1" applyProtection="1">
      <alignment vertical="top" wrapText="1" readingOrder="1"/>
      <protection locked="0"/>
    </xf>
    <xf numFmtId="17" fontId="9" fillId="8" borderId="33" xfId="0" applyNumberFormat="1" applyFont="1" applyFill="1" applyBorder="1" applyAlignment="1" applyProtection="1">
      <alignment vertical="top" wrapText="1" readingOrder="1"/>
      <protection locked="0"/>
    </xf>
    <xf numFmtId="43" fontId="9" fillId="12" borderId="33" xfId="27" applyFont="1" applyFill="1" applyBorder="1" applyAlignment="1" applyProtection="1">
      <alignment vertical="top" wrapText="1" readingOrder="1"/>
      <protection locked="0"/>
    </xf>
    <xf numFmtId="0" fontId="65" fillId="0" borderId="58" xfId="0" applyFont="1" applyBorder="1" applyAlignment="1">
      <alignment wrapText="1" readingOrder="1"/>
    </xf>
    <xf numFmtId="43" fontId="46" fillId="12" borderId="33" xfId="27" applyFont="1" applyFill="1" applyBorder="1" applyAlignment="1" applyProtection="1">
      <alignment vertical="top" wrapText="1" readingOrder="1"/>
      <protection locked="0"/>
    </xf>
    <xf numFmtId="0" fontId="65" fillId="0" borderId="59" xfId="0" applyFont="1" applyBorder="1" applyAlignment="1">
      <alignment wrapText="1" readingOrder="1"/>
    </xf>
    <xf numFmtId="4" fontId="65" fillId="0" borderId="59" xfId="0" applyNumberFormat="1" applyFont="1" applyBorder="1" applyAlignment="1">
      <alignment wrapText="1" readingOrder="1"/>
    </xf>
    <xf numFmtId="0" fontId="65" fillId="0" borderId="60" xfId="0" applyFont="1" applyBorder="1" applyAlignment="1">
      <alignment wrapText="1" readingOrder="1"/>
    </xf>
    <xf numFmtId="4" fontId="65" fillId="0" borderId="60" xfId="0" applyNumberFormat="1" applyFont="1" applyBorder="1" applyAlignment="1">
      <alignment wrapText="1" readingOrder="1"/>
    </xf>
    <xf numFmtId="0" fontId="73" fillId="0" borderId="59" xfId="0" applyFont="1" applyBorder="1" applyAlignment="1">
      <alignment wrapText="1" readingOrder="1"/>
    </xf>
    <xf numFmtId="4" fontId="73" fillId="0" borderId="59" xfId="0" applyNumberFormat="1" applyFont="1" applyBorder="1" applyAlignment="1">
      <alignment wrapText="1" readingOrder="1"/>
    </xf>
    <xf numFmtId="0" fontId="73" fillId="0" borderId="60" xfId="0" applyFont="1" applyBorder="1" applyAlignment="1">
      <alignment wrapText="1" readingOrder="1"/>
    </xf>
    <xf numFmtId="4" fontId="73" fillId="0" borderId="60" xfId="0" applyNumberFormat="1" applyFont="1" applyBorder="1" applyAlignment="1">
      <alignment wrapText="1" readingOrder="1"/>
    </xf>
    <xf numFmtId="0" fontId="73" fillId="0" borderId="47" xfId="0" applyFont="1" applyBorder="1" applyAlignment="1">
      <alignment wrapText="1" readingOrder="1"/>
    </xf>
    <xf numFmtId="0" fontId="73" fillId="0" borderId="48" xfId="0" applyFont="1" applyBorder="1" applyAlignment="1">
      <alignment wrapText="1" readingOrder="1"/>
    </xf>
    <xf numFmtId="4" fontId="73" fillId="20" borderId="59" xfId="0" applyNumberFormat="1" applyFont="1" applyFill="1" applyBorder="1" applyAlignment="1">
      <alignment wrapText="1" readingOrder="1"/>
    </xf>
    <xf numFmtId="4" fontId="73" fillId="20" borderId="60" xfId="0" applyNumberFormat="1" applyFont="1" applyFill="1" applyBorder="1" applyAlignment="1">
      <alignment wrapText="1" readingOrder="1"/>
    </xf>
    <xf numFmtId="4" fontId="73" fillId="0" borderId="47" xfId="0" applyNumberFormat="1" applyFont="1" applyBorder="1" applyAlignment="1">
      <alignment wrapText="1" readingOrder="1"/>
    </xf>
    <xf numFmtId="4" fontId="73" fillId="0" borderId="48" xfId="0" applyNumberFormat="1" applyFont="1" applyBorder="1" applyAlignment="1">
      <alignment wrapText="1" readingOrder="1"/>
    </xf>
    <xf numFmtId="4" fontId="73" fillId="21" borderId="47" xfId="0" applyNumberFormat="1" applyFont="1" applyFill="1" applyBorder="1" applyAlignment="1">
      <alignment wrapText="1" readingOrder="1"/>
    </xf>
    <xf numFmtId="4" fontId="73" fillId="21" borderId="59" xfId="0" applyNumberFormat="1" applyFont="1" applyFill="1" applyBorder="1" applyAlignment="1">
      <alignment wrapText="1" readingOrder="1"/>
    </xf>
    <xf numFmtId="172" fontId="0" fillId="0" borderId="0" xfId="27" applyNumberFormat="1" applyFont="1"/>
    <xf numFmtId="172" fontId="28" fillId="0" borderId="0" xfId="27" applyNumberFormat="1" applyFont="1"/>
    <xf numFmtId="172" fontId="9" fillId="12" borderId="32" xfId="27" applyNumberFormat="1" applyFont="1" applyFill="1" applyBorder="1" applyAlignment="1" applyProtection="1">
      <alignment vertical="top" wrapText="1" readingOrder="1"/>
      <protection locked="0"/>
    </xf>
    <xf numFmtId="172" fontId="46" fillId="12" borderId="32" xfId="27" applyNumberFormat="1" applyFont="1" applyFill="1" applyBorder="1" applyAlignment="1" applyProtection="1">
      <alignment vertical="top" wrapText="1" readingOrder="1"/>
      <protection locked="0"/>
    </xf>
    <xf numFmtId="172" fontId="0" fillId="0" borderId="0" xfId="0" applyNumberFormat="1"/>
    <xf numFmtId="172" fontId="4" fillId="12" borderId="7" xfId="27" applyNumberFormat="1" applyFont="1" applyFill="1" applyBorder="1" applyAlignment="1" applyProtection="1">
      <alignment vertical="top" wrapText="1" readingOrder="1"/>
      <protection locked="0"/>
    </xf>
    <xf numFmtId="172" fontId="73" fillId="21" borderId="59" xfId="27" applyNumberFormat="1" applyFont="1" applyFill="1" applyBorder="1" applyAlignment="1">
      <alignment wrapText="1" readingOrder="1"/>
    </xf>
    <xf numFmtId="172" fontId="4" fillId="13" borderId="7" xfId="27" applyNumberFormat="1" applyFont="1" applyFill="1" applyBorder="1" applyAlignment="1" applyProtection="1">
      <alignment vertical="top" wrapText="1" readingOrder="1"/>
      <protection locked="0"/>
    </xf>
    <xf numFmtId="0" fontId="59" fillId="0" borderId="0" xfId="0" applyFont="1" applyAlignment="1" applyProtection="1">
      <alignment vertical="top" wrapText="1" readingOrder="1"/>
      <protection locked="0"/>
    </xf>
    <xf numFmtId="43" fontId="8" fillId="0" borderId="7" xfId="0" applyNumberFormat="1" applyFont="1" applyBorder="1" applyAlignment="1" applyProtection="1">
      <alignment vertical="top" wrapText="1" readingOrder="1"/>
      <protection locked="0"/>
    </xf>
    <xf numFmtId="43" fontId="0" fillId="0" borderId="18" xfId="0" applyNumberFormat="1" applyBorder="1" applyAlignment="1" applyProtection="1">
      <alignment vertical="top" wrapText="1"/>
      <protection locked="0"/>
    </xf>
    <xf numFmtId="0" fontId="64" fillId="0" borderId="34" xfId="0" applyFont="1" applyBorder="1" applyAlignment="1" applyProtection="1">
      <alignment horizontal="center"/>
      <protection locked="0"/>
    </xf>
    <xf numFmtId="0" fontId="64" fillId="0" borderId="35" xfId="0" applyFont="1" applyBorder="1" applyAlignment="1" applyProtection="1">
      <alignment horizontal="center"/>
      <protection locked="0"/>
    </xf>
    <xf numFmtId="0" fontId="64" fillId="0" borderId="36" xfId="0" applyFont="1" applyBorder="1" applyAlignment="1" applyProtection="1">
      <alignment horizontal="center"/>
      <protection locked="0"/>
    </xf>
    <xf numFmtId="0" fontId="64" fillId="0" borderId="37" xfId="0" applyFont="1" applyBorder="1" applyAlignment="1" applyProtection="1">
      <alignment horizontal="center"/>
      <protection locked="0"/>
    </xf>
    <xf numFmtId="0" fontId="64" fillId="0" borderId="17" xfId="0" applyFont="1" applyBorder="1" applyAlignment="1" applyProtection="1">
      <alignment horizontal="center"/>
      <protection locked="0"/>
    </xf>
    <xf numFmtId="0" fontId="64" fillId="0" borderId="38" xfId="0" applyFont="1" applyBorder="1" applyAlignment="1" applyProtection="1">
      <alignment horizontal="center"/>
      <protection locked="0"/>
    </xf>
    <xf numFmtId="0" fontId="64" fillId="0" borderId="15" xfId="0" applyFont="1" applyBorder="1" applyAlignment="1">
      <alignment horizontal="center"/>
    </xf>
    <xf numFmtId="0" fontId="64" fillId="0" borderId="41" xfId="0" applyFont="1" applyBorder="1" applyAlignment="1">
      <alignment horizontal="center"/>
    </xf>
    <xf numFmtId="17" fontId="64" fillId="0" borderId="40" xfId="0" applyNumberFormat="1" applyFont="1" applyBorder="1" applyAlignment="1" applyProtection="1">
      <alignment horizontal="center" wrapText="1"/>
      <protection locked="0"/>
    </xf>
    <xf numFmtId="17" fontId="64" fillId="0" borderId="42" xfId="0" applyNumberFormat="1" applyFont="1" applyBorder="1" applyAlignment="1" applyProtection="1">
      <alignment horizontal="center" wrapText="1"/>
      <protection locked="0"/>
    </xf>
    <xf numFmtId="0" fontId="18" fillId="0" borderId="40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42" fillId="0" borderId="39" xfId="0" applyFont="1" applyBorder="1" applyAlignment="1" applyProtection="1">
      <alignment horizontal="center"/>
      <protection locked="0"/>
    </xf>
    <xf numFmtId="0" fontId="42" fillId="0" borderId="17" xfId="0" applyFont="1" applyBorder="1" applyAlignment="1" applyProtection="1">
      <alignment horizontal="center"/>
      <protection locked="0"/>
    </xf>
    <xf numFmtId="0" fontId="42" fillId="0" borderId="38" xfId="0" applyFont="1" applyBorder="1" applyAlignment="1" applyProtection="1">
      <alignment horizontal="center"/>
      <protection locked="0"/>
    </xf>
    <xf numFmtId="0" fontId="18" fillId="15" borderId="37" xfId="0" applyFont="1" applyFill="1" applyBorder="1" applyAlignment="1">
      <alignment horizontal="left"/>
    </xf>
    <xf numFmtId="0" fontId="18" fillId="15" borderId="17" xfId="0" applyFont="1" applyFill="1" applyBorder="1" applyAlignment="1">
      <alignment horizontal="left"/>
    </xf>
    <xf numFmtId="0" fontId="18" fillId="15" borderId="38" xfId="0" applyFont="1" applyFill="1" applyBorder="1" applyAlignment="1">
      <alignment horizontal="left"/>
    </xf>
    <xf numFmtId="0" fontId="31" fillId="0" borderId="11" xfId="241" applyFont="1" applyBorder="1" applyAlignment="1">
      <alignment horizontal="left" vertical="top"/>
    </xf>
    <xf numFmtId="0" fontId="31" fillId="0" borderId="11" xfId="241" applyFont="1" applyBorder="1" applyAlignment="1">
      <alignment horizontal="left" vertical="top" wrapText="1"/>
    </xf>
    <xf numFmtId="0" fontId="52" fillId="0" borderId="11" xfId="0" applyFont="1" applyBorder="1" applyAlignment="1">
      <alignment horizontal="center" vertical="top" wrapText="1"/>
    </xf>
    <xf numFmtId="0" fontId="53" fillId="0" borderId="0" xfId="0" applyFont="1" applyAlignment="1">
      <alignment horizontal="center"/>
    </xf>
    <xf numFmtId="0" fontId="52" fillId="0" borderId="11" xfId="0" applyFont="1" applyBorder="1" applyAlignment="1">
      <alignment horizontal="center" vertical="top"/>
    </xf>
    <xf numFmtId="0" fontId="54" fillId="0" borderId="19" xfId="0" applyFont="1" applyBorder="1" applyAlignment="1">
      <alignment horizontal="center" wrapText="1"/>
    </xf>
    <xf numFmtId="0" fontId="54" fillId="0" borderId="0" xfId="0" applyFont="1" applyAlignment="1">
      <alignment horizontal="center" wrapText="1"/>
    </xf>
    <xf numFmtId="0" fontId="54" fillId="0" borderId="20" xfId="0" applyFont="1" applyBorder="1" applyAlignment="1">
      <alignment horizontal="center" wrapText="1"/>
    </xf>
    <xf numFmtId="0" fontId="69" fillId="0" borderId="45" xfId="0" applyFont="1" applyBorder="1" applyAlignment="1">
      <alignment wrapText="1"/>
    </xf>
    <xf numFmtId="0" fontId="69" fillId="0" borderId="52" xfId="0" applyFont="1" applyBorder="1" applyAlignment="1">
      <alignment wrapText="1"/>
    </xf>
    <xf numFmtId="0" fontId="69" fillId="0" borderId="55" xfId="0" applyFont="1" applyBorder="1" applyAlignment="1">
      <alignment wrapText="1"/>
    </xf>
    <xf numFmtId="0" fontId="69" fillId="0" borderId="54" xfId="0" applyFont="1" applyBorder="1" applyAlignment="1">
      <alignment wrapText="1"/>
    </xf>
    <xf numFmtId="0" fontId="38" fillId="0" borderId="0" xfId="0" applyFont="1" applyAlignment="1">
      <alignment horizontal="center"/>
    </xf>
    <xf numFmtId="0" fontId="60" fillId="0" borderId="0" xfId="0" applyFont="1" applyAlignment="1"/>
    <xf numFmtId="0" fontId="69" fillId="0" borderId="34" xfId="0" applyFont="1" applyBorder="1" applyAlignment="1"/>
    <xf numFmtId="0" fontId="69" fillId="0" borderId="35" xfId="0" applyFont="1" applyBorder="1" applyAlignment="1"/>
    <xf numFmtId="0" fontId="69" fillId="0" borderId="49" xfId="0" applyFont="1" applyBorder="1" applyAlignment="1"/>
    <xf numFmtId="0" fontId="69" fillId="0" borderId="37" xfId="0" applyFont="1" applyBorder="1" applyAlignment="1"/>
    <xf numFmtId="0" fontId="69" fillId="0" borderId="17" xfId="0" applyFont="1" applyBorder="1" applyAlignment="1"/>
    <xf numFmtId="0" fontId="69" fillId="0" borderId="50" xfId="0" applyFont="1" applyBorder="1" applyAlignment="1"/>
    <xf numFmtId="0" fontId="69" fillId="0" borderId="53" xfId="0" applyFont="1" applyBorder="1" applyAlignment="1"/>
    <xf numFmtId="0" fontId="69" fillId="19" borderId="37" xfId="0" applyFont="1" applyFill="1" applyBorder="1" applyAlignment="1"/>
    <xf numFmtId="0" fontId="69" fillId="19" borderId="17" xfId="0" applyFont="1" applyFill="1" applyBorder="1" applyAlignment="1"/>
    <xf numFmtId="0" fontId="69" fillId="19" borderId="50" xfId="0" applyFont="1" applyFill="1" applyBorder="1" applyAlignment="1"/>
  </cellXfs>
  <cellStyles count="465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30" xr:uid="{00000000-0005-0000-0000-00001D000000}"/>
    <cellStyle name="Comma 10 11" xfId="31" xr:uid="{00000000-0005-0000-0000-00001E000000}"/>
    <cellStyle name="Comma 10 12" xfId="32" xr:uid="{00000000-0005-0000-0000-00001F000000}"/>
    <cellStyle name="Comma 10 13" xfId="33" xr:uid="{00000000-0005-0000-0000-000020000000}"/>
    <cellStyle name="Comma 10 14" xfId="34" xr:uid="{00000000-0005-0000-0000-000021000000}"/>
    <cellStyle name="Comma 10 15" xfId="35" xr:uid="{00000000-0005-0000-0000-000022000000}"/>
    <cellStyle name="Comma 10 16" xfId="36" xr:uid="{00000000-0005-0000-0000-000023000000}"/>
    <cellStyle name="Comma 10 2" xfId="37" xr:uid="{00000000-0005-0000-0000-000024000000}"/>
    <cellStyle name="Comma 10 3" xfId="38" xr:uid="{00000000-0005-0000-0000-000025000000}"/>
    <cellStyle name="Comma 10 4" xfId="39" xr:uid="{00000000-0005-0000-0000-000026000000}"/>
    <cellStyle name="Comma 10 5" xfId="40" xr:uid="{00000000-0005-0000-0000-000027000000}"/>
    <cellStyle name="Comma 10 6" xfId="41" xr:uid="{00000000-0005-0000-0000-000028000000}"/>
    <cellStyle name="Comma 10 7" xfId="42" xr:uid="{00000000-0005-0000-0000-000029000000}"/>
    <cellStyle name="Comma 10 8" xfId="43" xr:uid="{00000000-0005-0000-0000-00002A000000}"/>
    <cellStyle name="Comma 10 9" xfId="44" xr:uid="{00000000-0005-0000-0000-00002B000000}"/>
    <cellStyle name="Comma 11" xfId="45" xr:uid="{00000000-0005-0000-0000-00002C000000}"/>
    <cellStyle name="Comma 11 10" xfId="46" xr:uid="{00000000-0005-0000-0000-00002D000000}"/>
    <cellStyle name="Comma 11 11" xfId="47" xr:uid="{00000000-0005-0000-0000-00002E000000}"/>
    <cellStyle name="Comma 11 12" xfId="48" xr:uid="{00000000-0005-0000-0000-00002F000000}"/>
    <cellStyle name="Comma 11 13" xfId="49" xr:uid="{00000000-0005-0000-0000-000030000000}"/>
    <cellStyle name="Comma 11 14" xfId="50" xr:uid="{00000000-0005-0000-0000-000031000000}"/>
    <cellStyle name="Comma 11 15" xfId="51" xr:uid="{00000000-0005-0000-0000-000032000000}"/>
    <cellStyle name="Comma 11 16" xfId="52" xr:uid="{00000000-0005-0000-0000-000033000000}"/>
    <cellStyle name="Comma 11 17" xfId="53" xr:uid="{00000000-0005-0000-0000-000034000000}"/>
    <cellStyle name="Comma 11 2" xfId="54" xr:uid="{00000000-0005-0000-0000-000035000000}"/>
    <cellStyle name="Comma 11 2 2" xfId="55" xr:uid="{00000000-0005-0000-0000-000036000000}"/>
    <cellStyle name="Comma 11 3" xfId="56" xr:uid="{00000000-0005-0000-0000-000037000000}"/>
    <cellStyle name="Comma 11 4" xfId="57" xr:uid="{00000000-0005-0000-0000-000038000000}"/>
    <cellStyle name="Comma 11 5" xfId="58" xr:uid="{00000000-0005-0000-0000-000039000000}"/>
    <cellStyle name="Comma 11 6" xfId="59" xr:uid="{00000000-0005-0000-0000-00003A000000}"/>
    <cellStyle name="Comma 11 7" xfId="60" xr:uid="{00000000-0005-0000-0000-00003B000000}"/>
    <cellStyle name="Comma 11 8" xfId="61" xr:uid="{00000000-0005-0000-0000-00003C000000}"/>
    <cellStyle name="Comma 11 9" xfId="62" xr:uid="{00000000-0005-0000-0000-00003D000000}"/>
    <cellStyle name="Comma 12" xfId="63" xr:uid="{00000000-0005-0000-0000-00003E000000}"/>
    <cellStyle name="Comma 13" xfId="64" xr:uid="{00000000-0005-0000-0000-00003F000000}"/>
    <cellStyle name="Comma 14" xfId="65" xr:uid="{00000000-0005-0000-0000-000040000000}"/>
    <cellStyle name="Comma 15" xfId="66" xr:uid="{00000000-0005-0000-0000-000041000000}"/>
    <cellStyle name="Comma 16" xfId="67" xr:uid="{00000000-0005-0000-0000-000042000000}"/>
    <cellStyle name="Comma 16 10" xfId="68" xr:uid="{00000000-0005-0000-0000-000043000000}"/>
    <cellStyle name="Comma 16 11" xfId="69" xr:uid="{00000000-0005-0000-0000-000044000000}"/>
    <cellStyle name="Comma 16 12" xfId="70" xr:uid="{00000000-0005-0000-0000-000045000000}"/>
    <cellStyle name="Comma 16 13" xfId="71" xr:uid="{00000000-0005-0000-0000-000046000000}"/>
    <cellStyle name="Comma 16 14" xfId="72" xr:uid="{00000000-0005-0000-0000-000047000000}"/>
    <cellStyle name="Comma 16 15" xfId="73" xr:uid="{00000000-0005-0000-0000-000048000000}"/>
    <cellStyle name="Comma 16 16" xfId="74" xr:uid="{00000000-0005-0000-0000-000049000000}"/>
    <cellStyle name="Comma 16 2" xfId="75" xr:uid="{00000000-0005-0000-0000-00004A000000}"/>
    <cellStyle name="Comma 16 3" xfId="76" xr:uid="{00000000-0005-0000-0000-00004B000000}"/>
    <cellStyle name="Comma 16 4" xfId="77" xr:uid="{00000000-0005-0000-0000-00004C000000}"/>
    <cellStyle name="Comma 16 5" xfId="78" xr:uid="{00000000-0005-0000-0000-00004D000000}"/>
    <cellStyle name="Comma 16 6" xfId="79" xr:uid="{00000000-0005-0000-0000-00004E000000}"/>
    <cellStyle name="Comma 16 7" xfId="80" xr:uid="{00000000-0005-0000-0000-00004F000000}"/>
    <cellStyle name="Comma 16 8" xfId="81" xr:uid="{00000000-0005-0000-0000-000050000000}"/>
    <cellStyle name="Comma 16 9" xfId="82" xr:uid="{00000000-0005-0000-0000-000051000000}"/>
    <cellStyle name="Comma 17" xfId="83" xr:uid="{00000000-0005-0000-0000-000052000000}"/>
    <cellStyle name="Comma 17 10" xfId="84" xr:uid="{00000000-0005-0000-0000-000053000000}"/>
    <cellStyle name="Comma 17 2" xfId="85" xr:uid="{00000000-0005-0000-0000-000054000000}"/>
    <cellStyle name="Comma 17 3" xfId="86" xr:uid="{00000000-0005-0000-0000-000055000000}"/>
    <cellStyle name="Comma 17 4" xfId="87" xr:uid="{00000000-0005-0000-0000-000056000000}"/>
    <cellStyle name="Comma 17 5" xfId="88" xr:uid="{00000000-0005-0000-0000-000057000000}"/>
    <cellStyle name="Comma 17 6" xfId="89" xr:uid="{00000000-0005-0000-0000-000058000000}"/>
    <cellStyle name="Comma 17 7" xfId="90" xr:uid="{00000000-0005-0000-0000-000059000000}"/>
    <cellStyle name="Comma 17 8" xfId="91" xr:uid="{00000000-0005-0000-0000-00005A000000}"/>
    <cellStyle name="Comma 17 9" xfId="92" xr:uid="{00000000-0005-0000-0000-00005B000000}"/>
    <cellStyle name="Comma 18" xfId="93" xr:uid="{00000000-0005-0000-0000-00005C000000}"/>
    <cellStyle name="Comma 18 2" xfId="94" xr:uid="{00000000-0005-0000-0000-00005D000000}"/>
    <cellStyle name="Comma 18 3" xfId="95" xr:uid="{00000000-0005-0000-0000-00005E000000}"/>
    <cellStyle name="Comma 2" xfId="96" xr:uid="{00000000-0005-0000-0000-00005F000000}"/>
    <cellStyle name="Comma 2 10" xfId="97" xr:uid="{00000000-0005-0000-0000-000060000000}"/>
    <cellStyle name="Comma 2 11" xfId="98" xr:uid="{00000000-0005-0000-0000-000061000000}"/>
    <cellStyle name="Comma 2 12" xfId="99" xr:uid="{00000000-0005-0000-0000-000062000000}"/>
    <cellStyle name="Comma 2 13" xfId="100" xr:uid="{00000000-0005-0000-0000-000063000000}"/>
    <cellStyle name="Comma 2 14" xfId="101" xr:uid="{00000000-0005-0000-0000-000064000000}"/>
    <cellStyle name="Comma 2 15" xfId="102" xr:uid="{00000000-0005-0000-0000-000065000000}"/>
    <cellStyle name="Comma 2 16" xfId="103" xr:uid="{00000000-0005-0000-0000-000066000000}"/>
    <cellStyle name="Comma 2 17" xfId="104" xr:uid="{00000000-0005-0000-0000-000067000000}"/>
    <cellStyle name="Comma 2 18" xfId="105" xr:uid="{00000000-0005-0000-0000-000068000000}"/>
    <cellStyle name="Comma 2 19" xfId="106" xr:uid="{00000000-0005-0000-0000-000069000000}"/>
    <cellStyle name="Comma 2 2" xfId="107" xr:uid="{00000000-0005-0000-0000-00006A000000}"/>
    <cellStyle name="Comma 2 20" xfId="108" xr:uid="{00000000-0005-0000-0000-00006B000000}"/>
    <cellStyle name="Comma 2 21" xfId="109" xr:uid="{00000000-0005-0000-0000-00006C000000}"/>
    <cellStyle name="Comma 2 22" xfId="110" xr:uid="{00000000-0005-0000-0000-00006D000000}"/>
    <cellStyle name="Comma 2 23" xfId="111" xr:uid="{00000000-0005-0000-0000-00006E000000}"/>
    <cellStyle name="Comma 2 24" xfId="112" xr:uid="{00000000-0005-0000-0000-00006F000000}"/>
    <cellStyle name="Comma 2 25" xfId="113" xr:uid="{00000000-0005-0000-0000-000070000000}"/>
    <cellStyle name="Comma 2 26" xfId="114" xr:uid="{00000000-0005-0000-0000-000071000000}"/>
    <cellStyle name="Comma 2 3" xfId="115" xr:uid="{00000000-0005-0000-0000-000072000000}"/>
    <cellStyle name="Comma 2 4" xfId="116" xr:uid="{00000000-0005-0000-0000-000073000000}"/>
    <cellStyle name="Comma 2 5" xfId="117" xr:uid="{00000000-0005-0000-0000-000074000000}"/>
    <cellStyle name="Comma 2 6" xfId="118" xr:uid="{00000000-0005-0000-0000-000075000000}"/>
    <cellStyle name="Comma 2 7" xfId="119" xr:uid="{00000000-0005-0000-0000-000076000000}"/>
    <cellStyle name="Comma 2 8" xfId="120" xr:uid="{00000000-0005-0000-0000-000077000000}"/>
    <cellStyle name="Comma 2 9" xfId="121" xr:uid="{00000000-0005-0000-0000-000078000000}"/>
    <cellStyle name="Comma 24" xfId="122" xr:uid="{00000000-0005-0000-0000-000079000000}"/>
    <cellStyle name="Comma 3" xfId="123" xr:uid="{00000000-0005-0000-0000-00007A000000}"/>
    <cellStyle name="Comma 3 10" xfId="124" xr:uid="{00000000-0005-0000-0000-00007B000000}"/>
    <cellStyle name="Comma 3 11" xfId="125" xr:uid="{00000000-0005-0000-0000-00007C000000}"/>
    <cellStyle name="Comma 3 12" xfId="126" xr:uid="{00000000-0005-0000-0000-00007D000000}"/>
    <cellStyle name="Comma 3 13" xfId="127" xr:uid="{00000000-0005-0000-0000-00007E000000}"/>
    <cellStyle name="Comma 3 14" xfId="128" xr:uid="{00000000-0005-0000-0000-00007F000000}"/>
    <cellStyle name="Comma 3 15" xfId="129" xr:uid="{00000000-0005-0000-0000-000080000000}"/>
    <cellStyle name="Comma 3 16" xfId="130" xr:uid="{00000000-0005-0000-0000-000081000000}"/>
    <cellStyle name="Comma 3 17" xfId="131" xr:uid="{00000000-0005-0000-0000-000082000000}"/>
    <cellStyle name="Comma 3 18" xfId="132" xr:uid="{00000000-0005-0000-0000-000083000000}"/>
    <cellStyle name="Comma 3 19" xfId="133" xr:uid="{00000000-0005-0000-0000-000084000000}"/>
    <cellStyle name="Comma 3 2" xfId="134" xr:uid="{00000000-0005-0000-0000-000085000000}"/>
    <cellStyle name="Comma 3 20" xfId="135" xr:uid="{00000000-0005-0000-0000-000086000000}"/>
    <cellStyle name="Comma 3 3" xfId="136" xr:uid="{00000000-0005-0000-0000-000087000000}"/>
    <cellStyle name="Comma 3 4" xfId="137" xr:uid="{00000000-0005-0000-0000-000088000000}"/>
    <cellStyle name="Comma 3 5" xfId="138" xr:uid="{00000000-0005-0000-0000-000089000000}"/>
    <cellStyle name="Comma 3 6" xfId="139" xr:uid="{00000000-0005-0000-0000-00008A000000}"/>
    <cellStyle name="Comma 3 7" xfId="140" xr:uid="{00000000-0005-0000-0000-00008B000000}"/>
    <cellStyle name="Comma 3 8" xfId="141" xr:uid="{00000000-0005-0000-0000-00008C000000}"/>
    <cellStyle name="Comma 3 9" xfId="142" xr:uid="{00000000-0005-0000-0000-00008D000000}"/>
    <cellStyle name="Comma 4" xfId="143" xr:uid="{00000000-0005-0000-0000-00008E000000}"/>
    <cellStyle name="Comma 5" xfId="144" xr:uid="{00000000-0005-0000-0000-00008F000000}"/>
    <cellStyle name="Comma 5 10" xfId="145" xr:uid="{00000000-0005-0000-0000-000090000000}"/>
    <cellStyle name="Comma 5 11" xfId="146" xr:uid="{00000000-0005-0000-0000-000091000000}"/>
    <cellStyle name="Comma 5 12" xfId="147" xr:uid="{00000000-0005-0000-0000-000092000000}"/>
    <cellStyle name="Comma 5 13" xfId="148" xr:uid="{00000000-0005-0000-0000-000093000000}"/>
    <cellStyle name="Comma 5 14" xfId="149" xr:uid="{00000000-0005-0000-0000-000094000000}"/>
    <cellStyle name="Comma 5 15" xfId="150" xr:uid="{00000000-0005-0000-0000-000095000000}"/>
    <cellStyle name="Comma 5 16" xfId="151" xr:uid="{00000000-0005-0000-0000-000096000000}"/>
    <cellStyle name="Comma 5 17" xfId="152" xr:uid="{00000000-0005-0000-0000-000097000000}"/>
    <cellStyle name="Comma 5 18" xfId="153" xr:uid="{00000000-0005-0000-0000-000098000000}"/>
    <cellStyle name="Comma 5 19" xfId="154" xr:uid="{00000000-0005-0000-0000-000099000000}"/>
    <cellStyle name="Comma 5 2" xfId="155" xr:uid="{00000000-0005-0000-0000-00009A000000}"/>
    <cellStyle name="Comma 5 20" xfId="156" xr:uid="{00000000-0005-0000-0000-00009B000000}"/>
    <cellStyle name="Comma 5 3" xfId="157" xr:uid="{00000000-0005-0000-0000-00009C000000}"/>
    <cellStyle name="Comma 5 4" xfId="158" xr:uid="{00000000-0005-0000-0000-00009D000000}"/>
    <cellStyle name="Comma 5 5" xfId="159" xr:uid="{00000000-0005-0000-0000-00009E000000}"/>
    <cellStyle name="Comma 5 6" xfId="160" xr:uid="{00000000-0005-0000-0000-00009F000000}"/>
    <cellStyle name="Comma 5 7" xfId="161" xr:uid="{00000000-0005-0000-0000-0000A0000000}"/>
    <cellStyle name="Comma 5 8" xfId="162" xr:uid="{00000000-0005-0000-0000-0000A1000000}"/>
    <cellStyle name="Comma 5 9" xfId="163" xr:uid="{00000000-0005-0000-0000-0000A2000000}"/>
    <cellStyle name="Comma 6" xfId="164" xr:uid="{00000000-0005-0000-0000-0000A3000000}"/>
    <cellStyle name="Comma 6 10" xfId="165" xr:uid="{00000000-0005-0000-0000-0000A4000000}"/>
    <cellStyle name="Comma 6 11" xfId="166" xr:uid="{00000000-0005-0000-0000-0000A5000000}"/>
    <cellStyle name="Comma 6 12" xfId="167" xr:uid="{00000000-0005-0000-0000-0000A6000000}"/>
    <cellStyle name="Comma 6 13" xfId="168" xr:uid="{00000000-0005-0000-0000-0000A7000000}"/>
    <cellStyle name="Comma 6 14" xfId="169" xr:uid="{00000000-0005-0000-0000-0000A8000000}"/>
    <cellStyle name="Comma 6 15" xfId="170" xr:uid="{00000000-0005-0000-0000-0000A9000000}"/>
    <cellStyle name="Comma 6 16" xfId="171" xr:uid="{00000000-0005-0000-0000-0000AA000000}"/>
    <cellStyle name="Comma 6 17" xfId="172" xr:uid="{00000000-0005-0000-0000-0000AB000000}"/>
    <cellStyle name="Comma 6 18" xfId="173" xr:uid="{00000000-0005-0000-0000-0000AC000000}"/>
    <cellStyle name="Comma 6 19" xfId="174" xr:uid="{00000000-0005-0000-0000-0000AD000000}"/>
    <cellStyle name="Comma 6 2" xfId="175" xr:uid="{00000000-0005-0000-0000-0000AE000000}"/>
    <cellStyle name="Comma 6 3" xfId="176" xr:uid="{00000000-0005-0000-0000-0000AF000000}"/>
    <cellStyle name="Comma 6 4" xfId="177" xr:uid="{00000000-0005-0000-0000-0000B0000000}"/>
    <cellStyle name="Comma 6 5" xfId="178" xr:uid="{00000000-0005-0000-0000-0000B1000000}"/>
    <cellStyle name="Comma 6 6" xfId="179" xr:uid="{00000000-0005-0000-0000-0000B2000000}"/>
    <cellStyle name="Comma 6 7" xfId="180" xr:uid="{00000000-0005-0000-0000-0000B3000000}"/>
    <cellStyle name="Comma 6 8" xfId="181" xr:uid="{00000000-0005-0000-0000-0000B4000000}"/>
    <cellStyle name="Comma 6 9" xfId="182" xr:uid="{00000000-0005-0000-0000-0000B5000000}"/>
    <cellStyle name="Comma 7" xfId="183" xr:uid="{00000000-0005-0000-0000-0000B6000000}"/>
    <cellStyle name="Comma 7 10" xfId="184" xr:uid="{00000000-0005-0000-0000-0000B7000000}"/>
    <cellStyle name="Comma 7 11" xfId="185" xr:uid="{00000000-0005-0000-0000-0000B8000000}"/>
    <cellStyle name="Comma 7 12" xfId="186" xr:uid="{00000000-0005-0000-0000-0000B9000000}"/>
    <cellStyle name="Comma 7 13" xfId="187" xr:uid="{00000000-0005-0000-0000-0000BA000000}"/>
    <cellStyle name="Comma 7 14" xfId="188" xr:uid="{00000000-0005-0000-0000-0000BB000000}"/>
    <cellStyle name="Comma 7 15" xfId="189" xr:uid="{00000000-0005-0000-0000-0000BC000000}"/>
    <cellStyle name="Comma 7 16" xfId="190" xr:uid="{00000000-0005-0000-0000-0000BD000000}"/>
    <cellStyle name="Comma 7 17" xfId="191" xr:uid="{00000000-0005-0000-0000-0000BE000000}"/>
    <cellStyle name="Comma 7 18" xfId="192" xr:uid="{00000000-0005-0000-0000-0000BF000000}"/>
    <cellStyle name="Comma 7 19" xfId="193" xr:uid="{00000000-0005-0000-0000-0000C0000000}"/>
    <cellStyle name="Comma 7 2" xfId="194" xr:uid="{00000000-0005-0000-0000-0000C1000000}"/>
    <cellStyle name="Comma 7 3" xfId="195" xr:uid="{00000000-0005-0000-0000-0000C2000000}"/>
    <cellStyle name="Comma 7 4" xfId="196" xr:uid="{00000000-0005-0000-0000-0000C3000000}"/>
    <cellStyle name="Comma 7 5" xfId="197" xr:uid="{00000000-0005-0000-0000-0000C4000000}"/>
    <cellStyle name="Comma 7 6" xfId="198" xr:uid="{00000000-0005-0000-0000-0000C5000000}"/>
    <cellStyle name="Comma 7 7" xfId="199" xr:uid="{00000000-0005-0000-0000-0000C6000000}"/>
    <cellStyle name="Comma 7 8" xfId="200" xr:uid="{00000000-0005-0000-0000-0000C7000000}"/>
    <cellStyle name="Comma 7 9" xfId="201" xr:uid="{00000000-0005-0000-0000-0000C8000000}"/>
    <cellStyle name="Comma 8" xfId="202" xr:uid="{00000000-0005-0000-0000-0000C9000000}"/>
    <cellStyle name="Comma 8 10" xfId="203" xr:uid="{00000000-0005-0000-0000-0000CA000000}"/>
    <cellStyle name="Comma 8 11" xfId="204" xr:uid="{00000000-0005-0000-0000-0000CB000000}"/>
    <cellStyle name="Comma 8 12" xfId="205" xr:uid="{00000000-0005-0000-0000-0000CC000000}"/>
    <cellStyle name="Comma 8 13" xfId="206" xr:uid="{00000000-0005-0000-0000-0000CD000000}"/>
    <cellStyle name="Comma 8 14" xfId="207" xr:uid="{00000000-0005-0000-0000-0000CE000000}"/>
    <cellStyle name="Comma 8 15" xfId="208" xr:uid="{00000000-0005-0000-0000-0000CF000000}"/>
    <cellStyle name="Comma 8 16" xfId="209" xr:uid="{00000000-0005-0000-0000-0000D0000000}"/>
    <cellStyle name="Comma 8 17" xfId="210" xr:uid="{00000000-0005-0000-0000-0000D1000000}"/>
    <cellStyle name="Comma 8 18" xfId="211" xr:uid="{00000000-0005-0000-0000-0000D2000000}"/>
    <cellStyle name="Comma 8 19" xfId="212" xr:uid="{00000000-0005-0000-0000-0000D3000000}"/>
    <cellStyle name="Comma 8 2" xfId="213" xr:uid="{00000000-0005-0000-0000-0000D4000000}"/>
    <cellStyle name="Comma 8 3" xfId="214" xr:uid="{00000000-0005-0000-0000-0000D5000000}"/>
    <cellStyle name="Comma 8 4" xfId="215" xr:uid="{00000000-0005-0000-0000-0000D6000000}"/>
    <cellStyle name="Comma 8 5" xfId="216" xr:uid="{00000000-0005-0000-0000-0000D7000000}"/>
    <cellStyle name="Comma 8 6" xfId="217" xr:uid="{00000000-0005-0000-0000-0000D8000000}"/>
    <cellStyle name="Comma 8 7" xfId="218" xr:uid="{00000000-0005-0000-0000-0000D9000000}"/>
    <cellStyle name="Comma 8 8" xfId="219" xr:uid="{00000000-0005-0000-0000-0000DA000000}"/>
    <cellStyle name="Comma 8 9" xfId="220" xr:uid="{00000000-0005-0000-0000-0000DB000000}"/>
    <cellStyle name="Comma 9" xfId="221" xr:uid="{00000000-0005-0000-0000-0000DC000000}"/>
    <cellStyle name="Comma 9 10" xfId="222" xr:uid="{00000000-0005-0000-0000-0000DD000000}"/>
    <cellStyle name="Comma 9 11" xfId="223" xr:uid="{00000000-0005-0000-0000-0000DE000000}"/>
    <cellStyle name="Comma 9 12" xfId="224" xr:uid="{00000000-0005-0000-0000-0000DF000000}"/>
    <cellStyle name="Comma 9 13" xfId="225" xr:uid="{00000000-0005-0000-0000-0000E0000000}"/>
    <cellStyle name="Comma 9 14" xfId="226" xr:uid="{00000000-0005-0000-0000-0000E1000000}"/>
    <cellStyle name="Comma 9 15" xfId="227" xr:uid="{00000000-0005-0000-0000-0000E2000000}"/>
    <cellStyle name="Comma 9 16" xfId="228" xr:uid="{00000000-0005-0000-0000-0000E3000000}"/>
    <cellStyle name="Comma 9 17" xfId="229" xr:uid="{00000000-0005-0000-0000-0000E4000000}"/>
    <cellStyle name="Comma 9 18" xfId="230" xr:uid="{00000000-0005-0000-0000-0000E5000000}"/>
    <cellStyle name="Comma 9 19" xfId="231" xr:uid="{00000000-0005-0000-0000-0000E6000000}"/>
    <cellStyle name="Comma 9 2" xfId="232" xr:uid="{00000000-0005-0000-0000-0000E7000000}"/>
    <cellStyle name="Comma 9 3" xfId="233" xr:uid="{00000000-0005-0000-0000-0000E8000000}"/>
    <cellStyle name="Comma 9 4" xfId="234" xr:uid="{00000000-0005-0000-0000-0000E9000000}"/>
    <cellStyle name="Comma 9 5" xfId="235" xr:uid="{00000000-0005-0000-0000-0000EA000000}"/>
    <cellStyle name="Comma 9 6" xfId="236" xr:uid="{00000000-0005-0000-0000-0000EB000000}"/>
    <cellStyle name="Comma 9 7" xfId="237" xr:uid="{00000000-0005-0000-0000-0000EC000000}"/>
    <cellStyle name="Comma 9 8" xfId="238" xr:uid="{00000000-0005-0000-0000-0000ED000000}"/>
    <cellStyle name="Comma 9 9" xfId="239" xr:uid="{00000000-0005-0000-0000-0000EE000000}"/>
    <cellStyle name="Input 2" xfId="240" xr:uid="{00000000-0005-0000-0000-0000EF000000}"/>
    <cellStyle name="Normal" xfId="0" builtinId="0"/>
    <cellStyle name="Normal 10" xfId="241" xr:uid="{00000000-0005-0000-0000-0000F1000000}"/>
    <cellStyle name="Normal 10 2" xfId="242" xr:uid="{00000000-0005-0000-0000-0000F2000000}"/>
    <cellStyle name="Normal 10 3" xfId="243" xr:uid="{00000000-0005-0000-0000-0000F3000000}"/>
    <cellStyle name="Normal 10 4" xfId="244" xr:uid="{00000000-0005-0000-0000-0000F4000000}"/>
    <cellStyle name="Normal 10 5" xfId="245" xr:uid="{00000000-0005-0000-0000-0000F5000000}"/>
    <cellStyle name="Normal 11" xfId="246" xr:uid="{00000000-0005-0000-0000-0000F6000000}"/>
    <cellStyle name="Normal 12" xfId="247" xr:uid="{00000000-0005-0000-0000-0000F7000000}"/>
    <cellStyle name="Normal 12 2" xfId="248" xr:uid="{00000000-0005-0000-0000-0000F8000000}"/>
    <cellStyle name="Normal 12 3" xfId="249" xr:uid="{00000000-0005-0000-0000-0000F9000000}"/>
    <cellStyle name="Normal 12 4" xfId="250" xr:uid="{00000000-0005-0000-0000-0000FA000000}"/>
    <cellStyle name="Normal 12 5" xfId="251" xr:uid="{00000000-0005-0000-0000-0000FB000000}"/>
    <cellStyle name="Normal 13" xfId="252" xr:uid="{00000000-0005-0000-0000-0000FC000000}"/>
    <cellStyle name="Normal 13 2" xfId="253" xr:uid="{00000000-0005-0000-0000-0000FD000000}"/>
    <cellStyle name="Normal 13 3" xfId="254" xr:uid="{00000000-0005-0000-0000-0000FE000000}"/>
    <cellStyle name="Normal 13 4" xfId="255" xr:uid="{00000000-0005-0000-0000-0000FF000000}"/>
    <cellStyle name="Normal 13 5" xfId="256" xr:uid="{00000000-0005-0000-0000-000000010000}"/>
    <cellStyle name="Normal 14" xfId="257" xr:uid="{00000000-0005-0000-0000-000001010000}"/>
    <cellStyle name="Normal 14 10" xfId="258" xr:uid="{00000000-0005-0000-0000-000002010000}"/>
    <cellStyle name="Normal 14 11" xfId="259" xr:uid="{00000000-0005-0000-0000-000003010000}"/>
    <cellStyle name="Normal 14 12" xfId="260" xr:uid="{00000000-0005-0000-0000-000004010000}"/>
    <cellStyle name="Normal 14 2" xfId="261" xr:uid="{00000000-0005-0000-0000-000005010000}"/>
    <cellStyle name="Normal 14 3" xfId="262" xr:uid="{00000000-0005-0000-0000-000006010000}"/>
    <cellStyle name="Normal 14 4" xfId="263" xr:uid="{00000000-0005-0000-0000-000007010000}"/>
    <cellStyle name="Normal 14 5" xfId="264" xr:uid="{00000000-0005-0000-0000-000008010000}"/>
    <cellStyle name="Normal 14 6" xfId="265" xr:uid="{00000000-0005-0000-0000-000009010000}"/>
    <cellStyle name="Normal 14 7" xfId="266" xr:uid="{00000000-0005-0000-0000-00000A010000}"/>
    <cellStyle name="Normal 14 8" xfId="267" xr:uid="{00000000-0005-0000-0000-00000B010000}"/>
    <cellStyle name="Normal 14 9" xfId="268" xr:uid="{00000000-0005-0000-0000-00000C010000}"/>
    <cellStyle name="Normal 15" xfId="269" xr:uid="{00000000-0005-0000-0000-00000D010000}"/>
    <cellStyle name="Normal 16" xfId="270" xr:uid="{00000000-0005-0000-0000-00000E010000}"/>
    <cellStyle name="Normal 17" xfId="271" xr:uid="{00000000-0005-0000-0000-00000F010000}"/>
    <cellStyle name="Normal 17 2" xfId="272" xr:uid="{00000000-0005-0000-0000-000010010000}"/>
    <cellStyle name="Normal 17 2 2" xfId="273" xr:uid="{00000000-0005-0000-0000-000011010000}"/>
    <cellStyle name="Normal 17 3" xfId="274" xr:uid="{00000000-0005-0000-0000-000012010000}"/>
    <cellStyle name="Normal 17 3 2" xfId="275" xr:uid="{00000000-0005-0000-0000-000013010000}"/>
    <cellStyle name="Normal 17 4" xfId="276" xr:uid="{00000000-0005-0000-0000-000014010000}"/>
    <cellStyle name="Normal 17 4 2" xfId="277" xr:uid="{00000000-0005-0000-0000-000015010000}"/>
    <cellStyle name="Normal 17 5" xfId="278" xr:uid="{00000000-0005-0000-0000-000016010000}"/>
    <cellStyle name="Normal 17 5 2" xfId="279" xr:uid="{00000000-0005-0000-0000-000017010000}"/>
    <cellStyle name="Normal 17 6" xfId="280" xr:uid="{00000000-0005-0000-0000-000018010000}"/>
    <cellStyle name="Normal 18" xfId="281" xr:uid="{00000000-0005-0000-0000-000019010000}"/>
    <cellStyle name="Normal 19" xfId="282" xr:uid="{00000000-0005-0000-0000-00001A010000}"/>
    <cellStyle name="Normal 2" xfId="283" xr:uid="{00000000-0005-0000-0000-00001B010000}"/>
    <cellStyle name="Normal 2 10" xfId="284" xr:uid="{00000000-0005-0000-0000-00001C010000}"/>
    <cellStyle name="Normal 2 11" xfId="285" xr:uid="{00000000-0005-0000-0000-00001D010000}"/>
    <cellStyle name="Normal 2 12" xfId="286" xr:uid="{00000000-0005-0000-0000-00001E010000}"/>
    <cellStyle name="Normal 2 13" xfId="287" xr:uid="{00000000-0005-0000-0000-00001F010000}"/>
    <cellStyle name="Normal 2 14" xfId="288" xr:uid="{00000000-0005-0000-0000-000020010000}"/>
    <cellStyle name="Normal 2 15" xfId="289" xr:uid="{00000000-0005-0000-0000-000021010000}"/>
    <cellStyle name="Normal 2 16" xfId="290" xr:uid="{00000000-0005-0000-0000-000022010000}"/>
    <cellStyle name="Normal 2 17" xfId="291" xr:uid="{00000000-0005-0000-0000-000023010000}"/>
    <cellStyle name="Normal 2 18" xfId="292" xr:uid="{00000000-0005-0000-0000-000024010000}"/>
    <cellStyle name="Normal 2 19" xfId="293" xr:uid="{00000000-0005-0000-0000-000025010000}"/>
    <cellStyle name="Normal 2 2" xfId="294" xr:uid="{00000000-0005-0000-0000-000026010000}"/>
    <cellStyle name="Normal 2 20" xfId="295" xr:uid="{00000000-0005-0000-0000-000027010000}"/>
    <cellStyle name="Normal 2 3" xfId="296" xr:uid="{00000000-0005-0000-0000-000028010000}"/>
    <cellStyle name="Normal 2 4" xfId="297" xr:uid="{00000000-0005-0000-0000-000029010000}"/>
    <cellStyle name="Normal 2 5" xfId="298" xr:uid="{00000000-0005-0000-0000-00002A010000}"/>
    <cellStyle name="Normal 2 6" xfId="299" xr:uid="{00000000-0005-0000-0000-00002B010000}"/>
    <cellStyle name="Normal 2 7" xfId="300" xr:uid="{00000000-0005-0000-0000-00002C010000}"/>
    <cellStyle name="Normal 2 8" xfId="301" xr:uid="{00000000-0005-0000-0000-00002D010000}"/>
    <cellStyle name="Normal 2 9" xfId="302" xr:uid="{00000000-0005-0000-0000-00002E010000}"/>
    <cellStyle name="Normal 2_deposits mobilized" xfId="303" xr:uid="{00000000-0005-0000-0000-00002F010000}"/>
    <cellStyle name="Normal 20" xfId="304" xr:uid="{00000000-0005-0000-0000-000030010000}"/>
    <cellStyle name="Normal 21" xfId="305" xr:uid="{00000000-0005-0000-0000-000031010000}"/>
    <cellStyle name="Normal 21 10" xfId="306" xr:uid="{00000000-0005-0000-0000-000032010000}"/>
    <cellStyle name="Normal 21 10 2" xfId="307" xr:uid="{00000000-0005-0000-0000-000033010000}"/>
    <cellStyle name="Normal 21 11" xfId="308" xr:uid="{00000000-0005-0000-0000-000034010000}"/>
    <cellStyle name="Normal 21 11 2" xfId="309" xr:uid="{00000000-0005-0000-0000-000035010000}"/>
    <cellStyle name="Normal 21 12" xfId="310" xr:uid="{00000000-0005-0000-0000-000036010000}"/>
    <cellStyle name="Normal 21 12 2" xfId="311" xr:uid="{00000000-0005-0000-0000-000037010000}"/>
    <cellStyle name="Normal 21 13" xfId="312" xr:uid="{00000000-0005-0000-0000-000038010000}"/>
    <cellStyle name="Normal 21 13 2" xfId="313" xr:uid="{00000000-0005-0000-0000-000039010000}"/>
    <cellStyle name="Normal 21 14" xfId="314" xr:uid="{00000000-0005-0000-0000-00003A010000}"/>
    <cellStyle name="Normal 21 14 2" xfId="315" xr:uid="{00000000-0005-0000-0000-00003B010000}"/>
    <cellStyle name="Normal 21 15" xfId="316" xr:uid="{00000000-0005-0000-0000-00003C010000}"/>
    <cellStyle name="Normal 21 15 2" xfId="317" xr:uid="{00000000-0005-0000-0000-00003D010000}"/>
    <cellStyle name="Normal 21 16" xfId="318" xr:uid="{00000000-0005-0000-0000-00003E010000}"/>
    <cellStyle name="Normal 21 16 2" xfId="319" xr:uid="{00000000-0005-0000-0000-00003F010000}"/>
    <cellStyle name="Normal 21 17" xfId="320" xr:uid="{00000000-0005-0000-0000-000040010000}"/>
    <cellStyle name="Normal 21 2" xfId="321" xr:uid="{00000000-0005-0000-0000-000041010000}"/>
    <cellStyle name="Normal 21 2 2" xfId="322" xr:uid="{00000000-0005-0000-0000-000042010000}"/>
    <cellStyle name="Normal 21 3" xfId="323" xr:uid="{00000000-0005-0000-0000-000043010000}"/>
    <cellStyle name="Normal 21 3 2" xfId="324" xr:uid="{00000000-0005-0000-0000-000044010000}"/>
    <cellStyle name="Normal 21 4" xfId="325" xr:uid="{00000000-0005-0000-0000-000045010000}"/>
    <cellStyle name="Normal 21 4 2" xfId="326" xr:uid="{00000000-0005-0000-0000-000046010000}"/>
    <cellStyle name="Normal 21 5" xfId="327" xr:uid="{00000000-0005-0000-0000-000047010000}"/>
    <cellStyle name="Normal 21 5 2" xfId="328" xr:uid="{00000000-0005-0000-0000-000048010000}"/>
    <cellStyle name="Normal 21 6" xfId="329" xr:uid="{00000000-0005-0000-0000-000049010000}"/>
    <cellStyle name="Normal 21 6 2" xfId="330" xr:uid="{00000000-0005-0000-0000-00004A010000}"/>
    <cellStyle name="Normal 21 7" xfId="331" xr:uid="{00000000-0005-0000-0000-00004B010000}"/>
    <cellStyle name="Normal 21 7 2" xfId="332" xr:uid="{00000000-0005-0000-0000-00004C010000}"/>
    <cellStyle name="Normal 21 8" xfId="333" xr:uid="{00000000-0005-0000-0000-00004D010000}"/>
    <cellStyle name="Normal 21 8 2" xfId="334" xr:uid="{00000000-0005-0000-0000-00004E010000}"/>
    <cellStyle name="Normal 21 9" xfId="335" xr:uid="{00000000-0005-0000-0000-00004F010000}"/>
    <cellStyle name="Normal 21 9 2" xfId="336" xr:uid="{00000000-0005-0000-0000-000050010000}"/>
    <cellStyle name="Normal 22" xfId="337" xr:uid="{00000000-0005-0000-0000-000051010000}"/>
    <cellStyle name="Normal 23" xfId="338" xr:uid="{00000000-0005-0000-0000-000052010000}"/>
    <cellStyle name="Normal 24" xfId="339" xr:uid="{00000000-0005-0000-0000-000053010000}"/>
    <cellStyle name="Normal 25" xfId="340" xr:uid="{00000000-0005-0000-0000-000054010000}"/>
    <cellStyle name="Normal 26" xfId="341" xr:uid="{00000000-0005-0000-0000-000055010000}"/>
    <cellStyle name="Normal 27" xfId="342" xr:uid="{00000000-0005-0000-0000-000056010000}"/>
    <cellStyle name="Normal 28" xfId="343" xr:uid="{00000000-0005-0000-0000-000057010000}"/>
    <cellStyle name="Normal 29" xfId="344" xr:uid="{00000000-0005-0000-0000-000058010000}"/>
    <cellStyle name="Normal 3" xfId="345" xr:uid="{00000000-0005-0000-0000-000059010000}"/>
    <cellStyle name="Normal 3 10" xfId="346" xr:uid="{00000000-0005-0000-0000-00005A010000}"/>
    <cellStyle name="Normal 3 11" xfId="347" xr:uid="{00000000-0005-0000-0000-00005B010000}"/>
    <cellStyle name="Normal 3 12" xfId="348" xr:uid="{00000000-0005-0000-0000-00005C010000}"/>
    <cellStyle name="Normal 3 13" xfId="349" xr:uid="{00000000-0005-0000-0000-00005D010000}"/>
    <cellStyle name="Normal 3 14" xfId="350" xr:uid="{00000000-0005-0000-0000-00005E010000}"/>
    <cellStyle name="Normal 3 15" xfId="351" xr:uid="{00000000-0005-0000-0000-00005F010000}"/>
    <cellStyle name="Normal 3 16" xfId="352" xr:uid="{00000000-0005-0000-0000-000060010000}"/>
    <cellStyle name="Normal 3 17" xfId="353" xr:uid="{00000000-0005-0000-0000-000061010000}"/>
    <cellStyle name="Normal 3 18" xfId="354" xr:uid="{00000000-0005-0000-0000-000062010000}"/>
    <cellStyle name="Normal 3 19" xfId="355" xr:uid="{00000000-0005-0000-0000-000063010000}"/>
    <cellStyle name="Normal 3 2" xfId="356" xr:uid="{00000000-0005-0000-0000-000064010000}"/>
    <cellStyle name="Normal 3 20" xfId="357" xr:uid="{00000000-0005-0000-0000-000065010000}"/>
    <cellStyle name="Normal 3 21" xfId="358" xr:uid="{00000000-0005-0000-0000-000066010000}"/>
    <cellStyle name="Normal 3 22" xfId="359" xr:uid="{00000000-0005-0000-0000-000067010000}"/>
    <cellStyle name="Normal 3 23" xfId="360" xr:uid="{00000000-0005-0000-0000-000068010000}"/>
    <cellStyle name="Normal 3 24" xfId="361" xr:uid="{00000000-0005-0000-0000-000069010000}"/>
    <cellStyle name="Normal 3 25" xfId="362" xr:uid="{00000000-0005-0000-0000-00006A010000}"/>
    <cellStyle name="Normal 3 26" xfId="363" xr:uid="{00000000-0005-0000-0000-00006B010000}"/>
    <cellStyle name="Normal 3 27" xfId="364" xr:uid="{00000000-0005-0000-0000-00006C010000}"/>
    <cellStyle name="Normal 3 28" xfId="365" xr:uid="{00000000-0005-0000-0000-00006D010000}"/>
    <cellStyle name="Normal 3 29" xfId="366" xr:uid="{00000000-0005-0000-0000-00006E010000}"/>
    <cellStyle name="Normal 3 3" xfId="367" xr:uid="{00000000-0005-0000-0000-00006F010000}"/>
    <cellStyle name="Normal 3 30" xfId="368" xr:uid="{00000000-0005-0000-0000-000070010000}"/>
    <cellStyle name="Normal 3 4" xfId="369" xr:uid="{00000000-0005-0000-0000-000071010000}"/>
    <cellStyle name="Normal 3 5" xfId="370" xr:uid="{00000000-0005-0000-0000-000072010000}"/>
    <cellStyle name="Normal 3 6" xfId="371" xr:uid="{00000000-0005-0000-0000-000073010000}"/>
    <cellStyle name="Normal 3 7" xfId="372" xr:uid="{00000000-0005-0000-0000-000074010000}"/>
    <cellStyle name="Normal 3 8" xfId="373" xr:uid="{00000000-0005-0000-0000-000075010000}"/>
    <cellStyle name="Normal 3 9" xfId="374" xr:uid="{00000000-0005-0000-0000-000076010000}"/>
    <cellStyle name="Normal 3_deposits mobilized" xfId="375" xr:uid="{00000000-0005-0000-0000-000077010000}"/>
    <cellStyle name="Normal 30" xfId="376" xr:uid="{00000000-0005-0000-0000-000078010000}"/>
    <cellStyle name="Normal 31" xfId="377" xr:uid="{00000000-0005-0000-0000-000079010000}"/>
    <cellStyle name="Normal 32" xfId="378" xr:uid="{00000000-0005-0000-0000-00007A010000}"/>
    <cellStyle name="Normal 33" xfId="379" xr:uid="{00000000-0005-0000-0000-00007B010000}"/>
    <cellStyle name="Normal 34" xfId="380" xr:uid="{00000000-0005-0000-0000-00007C010000}"/>
    <cellStyle name="Normal 35" xfId="381" xr:uid="{00000000-0005-0000-0000-00007D010000}"/>
    <cellStyle name="Normal 36" xfId="382" xr:uid="{00000000-0005-0000-0000-00007E010000}"/>
    <cellStyle name="Normal 37" xfId="383" xr:uid="{00000000-0005-0000-0000-00007F010000}"/>
    <cellStyle name="Normal 38" xfId="384" xr:uid="{00000000-0005-0000-0000-000080010000}"/>
    <cellStyle name="Normal 4" xfId="385" xr:uid="{00000000-0005-0000-0000-000081010000}"/>
    <cellStyle name="Normal 4 10" xfId="386" xr:uid="{00000000-0005-0000-0000-000082010000}"/>
    <cellStyle name="Normal 4 11" xfId="387" xr:uid="{00000000-0005-0000-0000-000083010000}"/>
    <cellStyle name="Normal 4 12" xfId="388" xr:uid="{00000000-0005-0000-0000-000084010000}"/>
    <cellStyle name="Normal 4 13" xfId="389" xr:uid="{00000000-0005-0000-0000-000085010000}"/>
    <cellStyle name="Normal 4 14" xfId="390" xr:uid="{00000000-0005-0000-0000-000086010000}"/>
    <cellStyle name="Normal 4 15" xfId="391" xr:uid="{00000000-0005-0000-0000-000087010000}"/>
    <cellStyle name="Normal 4 16" xfId="392" xr:uid="{00000000-0005-0000-0000-000088010000}"/>
    <cellStyle name="Normal 4 17" xfId="393" xr:uid="{00000000-0005-0000-0000-000089010000}"/>
    <cellStyle name="Normal 4 18" xfId="394" xr:uid="{00000000-0005-0000-0000-00008A010000}"/>
    <cellStyle name="Normal 4 19" xfId="395" xr:uid="{00000000-0005-0000-0000-00008B010000}"/>
    <cellStyle name="Normal 4 2" xfId="396" xr:uid="{00000000-0005-0000-0000-00008C010000}"/>
    <cellStyle name="Normal 4 20" xfId="397" xr:uid="{00000000-0005-0000-0000-00008D010000}"/>
    <cellStyle name="Normal 4 21" xfId="398" xr:uid="{00000000-0005-0000-0000-00008E010000}"/>
    <cellStyle name="Normal 4 22" xfId="399" xr:uid="{00000000-0005-0000-0000-00008F010000}"/>
    <cellStyle name="Normal 4 23" xfId="400" xr:uid="{00000000-0005-0000-0000-000090010000}"/>
    <cellStyle name="Normal 4 24" xfId="401" xr:uid="{00000000-0005-0000-0000-000091010000}"/>
    <cellStyle name="Normal 4 25" xfId="402" xr:uid="{00000000-0005-0000-0000-000092010000}"/>
    <cellStyle name="Normal 4 26" xfId="403" xr:uid="{00000000-0005-0000-0000-000093010000}"/>
    <cellStyle name="Normal 4 27" xfId="404" xr:uid="{00000000-0005-0000-0000-000094010000}"/>
    <cellStyle name="Normal 4 28" xfId="405" xr:uid="{00000000-0005-0000-0000-000095010000}"/>
    <cellStyle name="Normal 4 29" xfId="406" xr:uid="{00000000-0005-0000-0000-000096010000}"/>
    <cellStyle name="Normal 4 3" xfId="407" xr:uid="{00000000-0005-0000-0000-000097010000}"/>
    <cellStyle name="Normal 4 30" xfId="408" xr:uid="{00000000-0005-0000-0000-000098010000}"/>
    <cellStyle name="Normal 4 4" xfId="409" xr:uid="{00000000-0005-0000-0000-000099010000}"/>
    <cellStyle name="Normal 4 5" xfId="410" xr:uid="{00000000-0005-0000-0000-00009A010000}"/>
    <cellStyle name="Normal 4 6" xfId="411" xr:uid="{00000000-0005-0000-0000-00009B010000}"/>
    <cellStyle name="Normal 4 7" xfId="412" xr:uid="{00000000-0005-0000-0000-00009C010000}"/>
    <cellStyle name="Normal 4 8" xfId="413" xr:uid="{00000000-0005-0000-0000-00009D010000}"/>
    <cellStyle name="Normal 4 9" xfId="414" xr:uid="{00000000-0005-0000-0000-00009E010000}"/>
    <cellStyle name="Normal 5" xfId="415" xr:uid="{00000000-0005-0000-0000-00009F010000}"/>
    <cellStyle name="Normal 5 10" xfId="416" xr:uid="{00000000-0005-0000-0000-0000A0010000}"/>
    <cellStyle name="Normal 5 11" xfId="417" xr:uid="{00000000-0005-0000-0000-0000A1010000}"/>
    <cellStyle name="Normal 5 12" xfId="418" xr:uid="{00000000-0005-0000-0000-0000A2010000}"/>
    <cellStyle name="Normal 5 13" xfId="419" xr:uid="{00000000-0005-0000-0000-0000A3010000}"/>
    <cellStyle name="Normal 5 14" xfId="420" xr:uid="{00000000-0005-0000-0000-0000A4010000}"/>
    <cellStyle name="Normal 5 15" xfId="421" xr:uid="{00000000-0005-0000-0000-0000A5010000}"/>
    <cellStyle name="Normal 5 2" xfId="422" xr:uid="{00000000-0005-0000-0000-0000A6010000}"/>
    <cellStyle name="Normal 5 3" xfId="423" xr:uid="{00000000-0005-0000-0000-0000A7010000}"/>
    <cellStyle name="Normal 5 4" xfId="424" xr:uid="{00000000-0005-0000-0000-0000A8010000}"/>
    <cellStyle name="Normal 5 5" xfId="425" xr:uid="{00000000-0005-0000-0000-0000A9010000}"/>
    <cellStyle name="Normal 5 6" xfId="426" xr:uid="{00000000-0005-0000-0000-0000AA010000}"/>
    <cellStyle name="Normal 5 7" xfId="427" xr:uid="{00000000-0005-0000-0000-0000AB010000}"/>
    <cellStyle name="Normal 5 8" xfId="428" xr:uid="{00000000-0005-0000-0000-0000AC010000}"/>
    <cellStyle name="Normal 5 9" xfId="429" xr:uid="{00000000-0005-0000-0000-0000AD010000}"/>
    <cellStyle name="Normal 6" xfId="430" xr:uid="{00000000-0005-0000-0000-0000AE010000}"/>
    <cellStyle name="Normal 6 2" xfId="431" xr:uid="{00000000-0005-0000-0000-0000AF010000}"/>
    <cellStyle name="Normal 6 3" xfId="432" xr:uid="{00000000-0005-0000-0000-0000B0010000}"/>
    <cellStyle name="Normal 6 4" xfId="433" xr:uid="{00000000-0005-0000-0000-0000B1010000}"/>
    <cellStyle name="Normal 6 5" xfId="434" xr:uid="{00000000-0005-0000-0000-0000B2010000}"/>
    <cellStyle name="Normal 7" xfId="435" xr:uid="{00000000-0005-0000-0000-0000B3010000}"/>
    <cellStyle name="Normal 7 2" xfId="436" xr:uid="{00000000-0005-0000-0000-0000B4010000}"/>
    <cellStyle name="Normal 7 3" xfId="437" xr:uid="{00000000-0005-0000-0000-0000B5010000}"/>
    <cellStyle name="Normal 7 4" xfId="438" xr:uid="{00000000-0005-0000-0000-0000B6010000}"/>
    <cellStyle name="Normal 7 5" xfId="439" xr:uid="{00000000-0005-0000-0000-0000B7010000}"/>
    <cellStyle name="Normal 8" xfId="440" xr:uid="{00000000-0005-0000-0000-0000B8010000}"/>
    <cellStyle name="Normal 9" xfId="441" xr:uid="{00000000-0005-0000-0000-0000B9010000}"/>
    <cellStyle name="Normal 9 10" xfId="442" xr:uid="{00000000-0005-0000-0000-0000BA010000}"/>
    <cellStyle name="Normal 9 11" xfId="443" xr:uid="{00000000-0005-0000-0000-0000BB010000}"/>
    <cellStyle name="Normal 9 12" xfId="444" xr:uid="{00000000-0005-0000-0000-0000BC010000}"/>
    <cellStyle name="Normal 9 13" xfId="445" xr:uid="{00000000-0005-0000-0000-0000BD010000}"/>
    <cellStyle name="Normal 9 14" xfId="446" xr:uid="{00000000-0005-0000-0000-0000BE010000}"/>
    <cellStyle name="Normal 9 2" xfId="447" xr:uid="{00000000-0005-0000-0000-0000BF010000}"/>
    <cellStyle name="Normal 9 2 2" xfId="448" xr:uid="{00000000-0005-0000-0000-0000C0010000}"/>
    <cellStyle name="Normal 9 2 3" xfId="449" xr:uid="{00000000-0005-0000-0000-0000C1010000}"/>
    <cellStyle name="Normal 9 2 4" xfId="450" xr:uid="{00000000-0005-0000-0000-0000C2010000}"/>
    <cellStyle name="Normal 9 3" xfId="451" xr:uid="{00000000-0005-0000-0000-0000C3010000}"/>
    <cellStyle name="Normal 9 4" xfId="452" xr:uid="{00000000-0005-0000-0000-0000C4010000}"/>
    <cellStyle name="Normal 9 5" xfId="453" xr:uid="{00000000-0005-0000-0000-0000C5010000}"/>
    <cellStyle name="Normal 9 6" xfId="454" xr:uid="{00000000-0005-0000-0000-0000C6010000}"/>
    <cellStyle name="Normal 9 7" xfId="455" xr:uid="{00000000-0005-0000-0000-0000C7010000}"/>
    <cellStyle name="Normal 9 8" xfId="456" xr:uid="{00000000-0005-0000-0000-0000C8010000}"/>
    <cellStyle name="Normal 9 9" xfId="457" xr:uid="{00000000-0005-0000-0000-0000C9010000}"/>
    <cellStyle name="Note 2" xfId="458" xr:uid="{00000000-0005-0000-0000-0000CA010000}"/>
    <cellStyle name="Percent" xfId="459" builtinId="5"/>
    <cellStyle name="Percent 2" xfId="460" xr:uid="{00000000-0005-0000-0000-0000CC010000}"/>
    <cellStyle name="Percent 2 2" xfId="461" xr:uid="{00000000-0005-0000-0000-0000CD010000}"/>
    <cellStyle name="Percent 3" xfId="462" xr:uid="{00000000-0005-0000-0000-0000CE010000}"/>
    <cellStyle name="Total 2" xfId="463" xr:uid="{00000000-0005-0000-0000-0000CF010000}"/>
    <cellStyle name="Total 2 2" xfId="464" xr:uid="{00000000-0005-0000-0000-0000D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ART%20LIFE%20draft%20audited%20accoun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ve SFP"/>
      <sheetName val="compliance report dec 2021"/>
      <sheetName val="Evolutitve SCI"/>
      <sheetName val="FORM 4"/>
      <sheetName val="CAELS"/>
      <sheetName val="Financials"/>
      <sheetName val="CAELS Rating"/>
      <sheetName val="Compliance Status"/>
      <sheetName val="CashFlow Stmnt"/>
    </sheetNames>
    <sheetDataSet>
      <sheetData sheetId="0">
        <row r="4">
          <cell r="P4">
            <v>172602165</v>
          </cell>
        </row>
        <row r="7">
          <cell r="P7">
            <v>54515095</v>
          </cell>
        </row>
        <row r="8">
          <cell r="P8">
            <v>82528081</v>
          </cell>
        </row>
        <row r="9">
          <cell r="P9"/>
        </row>
        <row r="10">
          <cell r="P10"/>
        </row>
        <row r="13">
          <cell r="P13">
            <v>2511520</v>
          </cell>
        </row>
        <row r="15">
          <cell r="C15">
            <v>994788305</v>
          </cell>
          <cell r="P15">
            <v>1099345186</v>
          </cell>
        </row>
        <row r="17">
          <cell r="P17">
            <v>0</v>
          </cell>
        </row>
        <row r="23">
          <cell r="P23">
            <v>22335754</v>
          </cell>
        </row>
        <row r="24">
          <cell r="P24"/>
        </row>
        <row r="25">
          <cell r="P25">
            <v>1742522</v>
          </cell>
        </row>
        <row r="26">
          <cell r="P26">
            <v>1790666</v>
          </cell>
        </row>
        <row r="27">
          <cell r="C27">
            <v>1236977812</v>
          </cell>
          <cell r="P27">
            <v>1372661880</v>
          </cell>
        </row>
        <row r="28">
          <cell r="P28">
            <v>184968757</v>
          </cell>
        </row>
        <row r="29">
          <cell r="P29">
            <v>38432727</v>
          </cell>
        </row>
        <row r="31">
          <cell r="P31">
            <v>911981655</v>
          </cell>
        </row>
        <row r="32">
          <cell r="P32">
            <v>2947779</v>
          </cell>
        </row>
        <row r="34">
          <cell r="P34"/>
        </row>
        <row r="35">
          <cell r="P35"/>
        </row>
        <row r="36">
          <cell r="P36">
            <v>3114336</v>
          </cell>
        </row>
        <row r="37">
          <cell r="P37">
            <v>145741122</v>
          </cell>
        </row>
        <row r="39">
          <cell r="P39">
            <v>93531639</v>
          </cell>
        </row>
        <row r="41">
          <cell r="P41">
            <v>61012117</v>
          </cell>
        </row>
        <row r="42">
          <cell r="P42">
            <v>10646785</v>
          </cell>
        </row>
        <row r="43">
          <cell r="P43">
            <v>19682429</v>
          </cell>
        </row>
        <row r="44">
          <cell r="P44">
            <v>39875603</v>
          </cell>
        </row>
      </sheetData>
      <sheetData sheetId="1"/>
      <sheetData sheetId="2">
        <row r="3">
          <cell r="P3">
            <v>160514795</v>
          </cell>
        </row>
        <row r="5">
          <cell r="P5">
            <v>126726553</v>
          </cell>
        </row>
        <row r="6">
          <cell r="P6"/>
        </row>
        <row r="13">
          <cell r="P13">
            <v>58000000</v>
          </cell>
        </row>
        <row r="15">
          <cell r="P15"/>
        </row>
        <row r="19">
          <cell r="P19">
            <v>72820975</v>
          </cell>
        </row>
        <row r="23">
          <cell r="P23">
            <v>44883772</v>
          </cell>
        </row>
        <row r="31">
          <cell r="P31">
            <v>441700</v>
          </cell>
        </row>
        <row r="37">
          <cell r="P37">
            <v>11088485</v>
          </cell>
        </row>
        <row r="39">
          <cell r="P39">
            <v>132577592</v>
          </cell>
        </row>
      </sheetData>
      <sheetData sheetId="3">
        <row r="42">
          <cell r="D42">
            <v>2716646</v>
          </cell>
        </row>
        <row r="43">
          <cell r="D43">
            <v>4710165</v>
          </cell>
        </row>
        <row r="44">
          <cell r="D44">
            <v>43687480</v>
          </cell>
        </row>
      </sheetData>
      <sheetData sheetId="4"/>
      <sheetData sheetId="5">
        <row r="12">
          <cell r="Q12">
            <v>128705414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3"/>
  <sheetViews>
    <sheetView zoomScale="80" zoomScaleNormal="80" workbookViewId="0">
      <pane xSplit="1" ySplit="2" topLeftCell="AJ12" activePane="bottomRight" state="frozen"/>
      <selection pane="bottomRight" activeCell="AK37" sqref="AK37"/>
      <selection pane="bottomLeft" activeCell="A3" sqref="A3"/>
      <selection pane="topRight" activeCell="B1" sqref="B1"/>
    </sheetView>
  </sheetViews>
  <sheetFormatPr defaultColWidth="9.140625" defaultRowHeight="14.45"/>
  <cols>
    <col min="1" max="1" width="41" customWidth="1"/>
    <col min="2" max="2" width="15.42578125" bestFit="1" customWidth="1"/>
    <col min="3" max="3" width="14.5703125" style="179" bestFit="1" customWidth="1"/>
    <col min="4" max="8" width="15.28515625" customWidth="1"/>
    <col min="9" max="11" width="14.28515625" customWidth="1"/>
    <col min="12" max="14" width="15.28515625" customWidth="1"/>
    <col min="15" max="15" width="16" bestFit="1" customWidth="1"/>
    <col min="16" max="16" width="16.7109375" bestFit="1" customWidth="1"/>
    <col min="17" max="18" width="15.42578125" hidden="1" customWidth="1"/>
    <col min="19" max="19" width="17" hidden="1" customWidth="1"/>
    <col min="20" max="20" width="17.28515625" hidden="1" customWidth="1"/>
    <col min="21" max="21" width="16.42578125" hidden="1" customWidth="1"/>
    <col min="22" max="22" width="18.7109375" hidden="1" customWidth="1"/>
    <col min="23" max="23" width="19.7109375" hidden="1" customWidth="1"/>
    <col min="24" max="25" width="18.5703125" hidden="1" customWidth="1"/>
    <col min="26" max="27" width="13.140625" hidden="1" customWidth="1"/>
    <col min="28" max="28" width="13.140625" bestFit="1" customWidth="1"/>
    <col min="29" max="29" width="14.140625" style="258" bestFit="1" customWidth="1"/>
    <col min="30" max="30" width="14.28515625" customWidth="1"/>
    <col min="31" max="31" width="16.42578125" customWidth="1"/>
    <col min="32" max="32" width="14.28515625" customWidth="1"/>
    <col min="33" max="33" width="15.5703125" customWidth="1"/>
    <col min="34" max="34" width="15" customWidth="1"/>
    <col min="35" max="35" width="17.5703125" customWidth="1"/>
    <col min="36" max="36" width="19" customWidth="1"/>
    <col min="37" max="37" width="14.85546875" bestFit="1" customWidth="1"/>
    <col min="38" max="41" width="9.28515625" bestFit="1" customWidth="1"/>
  </cols>
  <sheetData>
    <row r="1" spans="1:41" ht="15" customHeight="1">
      <c r="A1" s="312"/>
      <c r="B1" s="312"/>
      <c r="C1" s="312"/>
      <c r="D1" s="312"/>
      <c r="E1" s="312"/>
      <c r="F1" s="312"/>
      <c r="G1" s="312"/>
      <c r="H1" s="312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</row>
    <row r="2" spans="1:41">
      <c r="A2" s="15"/>
      <c r="B2" s="180" t="s">
        <v>0</v>
      </c>
      <c r="C2" s="174" t="s">
        <v>1</v>
      </c>
      <c r="D2" s="185">
        <v>44197</v>
      </c>
      <c r="E2" s="152">
        <v>44229</v>
      </c>
      <c r="F2" s="152">
        <v>44258</v>
      </c>
      <c r="G2" s="152">
        <v>44290</v>
      </c>
      <c r="H2" s="152">
        <v>44321</v>
      </c>
      <c r="I2" s="152">
        <v>44353</v>
      </c>
      <c r="J2" s="152">
        <v>44384</v>
      </c>
      <c r="K2" s="152">
        <v>44416</v>
      </c>
      <c r="L2" s="152">
        <v>44448</v>
      </c>
      <c r="M2" s="152">
        <v>44479</v>
      </c>
      <c r="N2" s="152">
        <v>44511</v>
      </c>
      <c r="O2" s="152">
        <v>44542</v>
      </c>
      <c r="P2" s="32" t="s">
        <v>2</v>
      </c>
      <c r="Q2" s="32">
        <v>44562</v>
      </c>
      <c r="R2" s="32">
        <v>44593</v>
      </c>
      <c r="S2" s="32">
        <v>44621</v>
      </c>
      <c r="T2" s="32">
        <v>44652</v>
      </c>
      <c r="U2" s="32">
        <v>44682</v>
      </c>
      <c r="V2" s="32">
        <v>44713</v>
      </c>
      <c r="W2" s="32">
        <v>44743</v>
      </c>
      <c r="X2" s="32">
        <v>44774</v>
      </c>
      <c r="Y2" s="32">
        <v>44805</v>
      </c>
      <c r="Z2" s="32">
        <v>44835</v>
      </c>
      <c r="AA2" s="32">
        <v>44866</v>
      </c>
      <c r="AB2" s="32">
        <v>44896</v>
      </c>
      <c r="AC2" s="32" t="s">
        <v>3</v>
      </c>
      <c r="AD2" s="32">
        <v>44949</v>
      </c>
      <c r="AE2" s="32">
        <v>44980</v>
      </c>
      <c r="AF2" s="32">
        <v>45008</v>
      </c>
      <c r="AG2" s="32">
        <v>45039</v>
      </c>
      <c r="AH2" s="32">
        <v>45069</v>
      </c>
      <c r="AI2" s="32">
        <v>45100</v>
      </c>
      <c r="AJ2" s="32">
        <v>45130</v>
      </c>
      <c r="AK2" s="32">
        <v>45161</v>
      </c>
      <c r="AL2" s="32">
        <v>45192</v>
      </c>
      <c r="AM2" s="32">
        <v>45222</v>
      </c>
      <c r="AN2" s="32">
        <v>45253</v>
      </c>
      <c r="AO2" s="32">
        <v>45283</v>
      </c>
    </row>
    <row r="3" spans="1:41">
      <c r="A3" s="16" t="s">
        <v>4</v>
      </c>
      <c r="B3" s="181">
        <f t="shared" ref="B3:G3" si="0">B4+B7</f>
        <v>14599.247546899</v>
      </c>
      <c r="C3" s="175">
        <f t="shared" si="0"/>
        <v>118584595</v>
      </c>
      <c r="D3" s="172">
        <f t="shared" si="0"/>
        <v>10079332</v>
      </c>
      <c r="E3" s="67">
        <f t="shared" si="0"/>
        <v>20545692</v>
      </c>
      <c r="F3" s="67">
        <f t="shared" si="0"/>
        <v>33311767</v>
      </c>
      <c r="G3" s="67">
        <f t="shared" si="0"/>
        <v>47098671</v>
      </c>
      <c r="H3" s="67">
        <f t="shared" ref="H3:O3" si="1">H4+H7</f>
        <v>59410884</v>
      </c>
      <c r="I3" s="67">
        <f t="shared" si="1"/>
        <v>73036293</v>
      </c>
      <c r="J3" s="67">
        <f t="shared" si="1"/>
        <v>89537827</v>
      </c>
      <c r="K3" s="67">
        <f t="shared" si="1"/>
        <v>103600368</v>
      </c>
      <c r="L3" s="67">
        <f t="shared" si="1"/>
        <v>117900728</v>
      </c>
      <c r="M3" s="67">
        <f t="shared" si="1"/>
        <v>132257294</v>
      </c>
      <c r="N3" s="67">
        <f t="shared" si="1"/>
        <v>145248953</v>
      </c>
      <c r="O3" s="67">
        <f t="shared" si="1"/>
        <v>160514795</v>
      </c>
      <c r="P3" s="67">
        <f>P4+P7</f>
        <v>160514795</v>
      </c>
      <c r="Q3" s="67">
        <f t="shared" ref="Q3:AJ3" si="2">Q4+Q7</f>
        <v>12873612</v>
      </c>
      <c r="R3" s="67">
        <f t="shared" si="2"/>
        <v>26684610</v>
      </c>
      <c r="S3" s="67">
        <f t="shared" si="2"/>
        <v>45517311</v>
      </c>
      <c r="T3" s="67">
        <f t="shared" si="2"/>
        <v>64723462</v>
      </c>
      <c r="U3" s="67">
        <f t="shared" si="2"/>
        <v>79810986</v>
      </c>
      <c r="V3" s="67">
        <f t="shared" si="2"/>
        <v>96174390</v>
      </c>
      <c r="W3" s="67">
        <f t="shared" si="2"/>
        <v>110362282</v>
      </c>
      <c r="X3" s="67">
        <f t="shared" si="2"/>
        <v>127896635</v>
      </c>
      <c r="Y3" s="67">
        <f t="shared" si="2"/>
        <v>143171315</v>
      </c>
      <c r="Z3" s="67">
        <f t="shared" si="2"/>
        <v>159431798</v>
      </c>
      <c r="AA3" s="67">
        <f t="shared" si="2"/>
        <v>174446984</v>
      </c>
      <c r="AB3" s="67">
        <f t="shared" si="2"/>
        <v>190330635</v>
      </c>
      <c r="AC3" s="67">
        <f t="shared" si="2"/>
        <v>190330636</v>
      </c>
      <c r="AD3" s="67">
        <f t="shared" si="2"/>
        <v>16320328</v>
      </c>
      <c r="AE3" s="67">
        <f t="shared" si="2"/>
        <v>31114058</v>
      </c>
      <c r="AF3" s="67">
        <f t="shared" si="2"/>
        <v>51732967</v>
      </c>
      <c r="AG3" s="67">
        <f t="shared" si="2"/>
        <v>65246380</v>
      </c>
      <c r="AH3" s="67">
        <f t="shared" si="2"/>
        <v>81898656</v>
      </c>
      <c r="AI3" s="67">
        <f t="shared" si="2"/>
        <v>98177171</v>
      </c>
      <c r="AJ3" s="67">
        <f t="shared" si="2"/>
        <v>118023006</v>
      </c>
      <c r="AK3" s="67">
        <f t="shared" ref="AK3:AO3" si="3">AK4+AK7</f>
        <v>135747384</v>
      </c>
      <c r="AL3" s="67">
        <f t="shared" si="3"/>
        <v>0</v>
      </c>
      <c r="AM3" s="67">
        <f t="shared" si="3"/>
        <v>0</v>
      </c>
      <c r="AN3" s="67">
        <f t="shared" si="3"/>
        <v>0</v>
      </c>
      <c r="AO3" s="67">
        <f t="shared" si="3"/>
        <v>0</v>
      </c>
    </row>
    <row r="4" spans="1:41">
      <c r="A4" s="16" t="s">
        <v>5</v>
      </c>
      <c r="B4" s="181">
        <f t="shared" ref="B4:G4" si="4">SUM(B5:B6)</f>
        <v>12855.805909999999</v>
      </c>
      <c r="C4" s="175">
        <f t="shared" si="4"/>
        <v>88458375</v>
      </c>
      <c r="D4" s="172">
        <f t="shared" si="4"/>
        <v>8099005</v>
      </c>
      <c r="E4" s="67">
        <f t="shared" si="4"/>
        <v>15832497</v>
      </c>
      <c r="F4" s="67">
        <f t="shared" si="4"/>
        <v>24875910</v>
      </c>
      <c r="G4" s="67">
        <f t="shared" si="4"/>
        <v>34583604</v>
      </c>
      <c r="H4" s="67">
        <f t="shared" ref="H4:O4" si="5">SUM(H5:H6)</f>
        <v>44665750</v>
      </c>
      <c r="I4" s="67">
        <f t="shared" si="5"/>
        <v>55806894</v>
      </c>
      <c r="J4" s="67">
        <f t="shared" si="5"/>
        <v>69071138</v>
      </c>
      <c r="K4" s="67">
        <f t="shared" si="5"/>
        <v>80411931</v>
      </c>
      <c r="L4" s="67">
        <f t="shared" si="5"/>
        <v>92232153</v>
      </c>
      <c r="M4" s="67">
        <f t="shared" si="5"/>
        <v>103945112</v>
      </c>
      <c r="N4" s="67">
        <f t="shared" si="5"/>
        <v>114740008</v>
      </c>
      <c r="O4" s="67">
        <f t="shared" si="5"/>
        <v>126726553</v>
      </c>
      <c r="P4" s="67">
        <f>SUM(P5:P6)</f>
        <v>126726553</v>
      </c>
      <c r="Q4" s="67">
        <f t="shared" ref="Q4:AJ4" si="6">SUM(Q5:Q6)</f>
        <v>10562905</v>
      </c>
      <c r="R4" s="67">
        <f t="shared" si="6"/>
        <v>22627633</v>
      </c>
      <c r="S4" s="67">
        <f t="shared" si="6"/>
        <v>36086795</v>
      </c>
      <c r="T4" s="67">
        <f t="shared" si="6"/>
        <v>51827462</v>
      </c>
      <c r="U4" s="67">
        <f t="shared" si="6"/>
        <v>64176506</v>
      </c>
      <c r="V4" s="67">
        <f t="shared" si="6"/>
        <v>76832128</v>
      </c>
      <c r="W4" s="67">
        <f t="shared" si="6"/>
        <v>88985276</v>
      </c>
      <c r="X4" s="67">
        <f t="shared" si="6"/>
        <v>103062264</v>
      </c>
      <c r="Y4" s="67">
        <f t="shared" si="6"/>
        <v>115658570</v>
      </c>
      <c r="Z4" s="67">
        <f t="shared" si="6"/>
        <v>129443405</v>
      </c>
      <c r="AA4" s="67">
        <f t="shared" si="6"/>
        <v>142266251</v>
      </c>
      <c r="AB4" s="67">
        <f t="shared" si="6"/>
        <v>155095951</v>
      </c>
      <c r="AC4" s="67">
        <f t="shared" si="6"/>
        <v>155095951</v>
      </c>
      <c r="AD4" s="67">
        <f t="shared" si="6"/>
        <v>13625273</v>
      </c>
      <c r="AE4" s="67">
        <f t="shared" si="6"/>
        <v>25931024</v>
      </c>
      <c r="AF4" s="67">
        <f t="shared" si="6"/>
        <v>39351953</v>
      </c>
      <c r="AG4" s="67">
        <f t="shared" si="6"/>
        <v>52289788</v>
      </c>
      <c r="AH4" s="67">
        <f t="shared" si="6"/>
        <v>66108386</v>
      </c>
      <c r="AI4" s="67">
        <f t="shared" si="6"/>
        <v>78795356</v>
      </c>
      <c r="AJ4" s="67">
        <f t="shared" si="6"/>
        <v>91844866</v>
      </c>
      <c r="AK4" s="67">
        <f t="shared" ref="AK4:AO4" si="7">SUM(AK5:AK6)</f>
        <v>105795895</v>
      </c>
      <c r="AL4" s="67">
        <f t="shared" si="7"/>
        <v>0</v>
      </c>
      <c r="AM4" s="67">
        <f t="shared" si="7"/>
        <v>0</v>
      </c>
      <c r="AN4" s="67">
        <f t="shared" si="7"/>
        <v>0</v>
      </c>
      <c r="AO4" s="67">
        <f t="shared" si="7"/>
        <v>0</v>
      </c>
    </row>
    <row r="5" spans="1:41">
      <c r="A5" s="17" t="s">
        <v>6</v>
      </c>
      <c r="B5" s="182">
        <v>11945.43491</v>
      </c>
      <c r="C5" s="192">
        <v>88458375</v>
      </c>
      <c r="D5" s="188">
        <v>8099005</v>
      </c>
      <c r="E5" s="189">
        <v>15832497</v>
      </c>
      <c r="F5" s="189">
        <v>24875910</v>
      </c>
      <c r="G5" s="189">
        <v>34583604</v>
      </c>
      <c r="H5" s="189">
        <v>44665750</v>
      </c>
      <c r="I5" s="189">
        <v>55806894</v>
      </c>
      <c r="J5" s="189">
        <v>69071138</v>
      </c>
      <c r="K5" s="189">
        <v>80411931</v>
      </c>
      <c r="L5" s="189">
        <v>92232153</v>
      </c>
      <c r="M5" s="189">
        <v>103945112</v>
      </c>
      <c r="N5" s="189">
        <v>114740008</v>
      </c>
      <c r="O5" s="189">
        <v>126726553</v>
      </c>
      <c r="P5" s="193">
        <v>126726553</v>
      </c>
      <c r="Q5" s="18">
        <v>10562905</v>
      </c>
      <c r="R5" s="18">
        <v>22627633</v>
      </c>
      <c r="S5" s="18">
        <v>36086795</v>
      </c>
      <c r="T5" s="71">
        <v>51827462</v>
      </c>
      <c r="U5" s="71">
        <v>64176506</v>
      </c>
      <c r="V5" s="71">
        <v>76832128</v>
      </c>
      <c r="W5" s="71">
        <v>88985276</v>
      </c>
      <c r="X5" s="71">
        <v>103062264</v>
      </c>
      <c r="Y5" s="71">
        <v>115658570</v>
      </c>
      <c r="Z5" s="257">
        <v>129443405</v>
      </c>
      <c r="AA5" s="257">
        <v>142266251</v>
      </c>
      <c r="AB5" s="257">
        <v>155095951</v>
      </c>
      <c r="AC5" s="259">
        <v>155095951</v>
      </c>
      <c r="AD5" s="293">
        <v>13625273</v>
      </c>
      <c r="AE5" s="295">
        <v>25931024</v>
      </c>
      <c r="AF5" s="295">
        <v>39351953</v>
      </c>
      <c r="AG5" s="295">
        <v>52289788</v>
      </c>
      <c r="AH5" s="295">
        <v>66108386</v>
      </c>
      <c r="AI5" s="293">
        <v>78795356</v>
      </c>
      <c r="AJ5" s="293">
        <v>91844866</v>
      </c>
      <c r="AK5" s="304">
        <v>105795895</v>
      </c>
      <c r="AL5" s="304"/>
      <c r="AM5" s="304"/>
      <c r="AN5" s="304"/>
      <c r="AO5" s="304"/>
    </row>
    <row r="6" spans="1:41">
      <c r="A6" s="17" t="s">
        <v>7</v>
      </c>
      <c r="B6" s="182">
        <v>910.37099999999998</v>
      </c>
      <c r="C6" s="192"/>
      <c r="D6" s="188">
        <v>0</v>
      </c>
      <c r="E6" s="189">
        <v>0</v>
      </c>
      <c r="F6" s="189">
        <v>0</v>
      </c>
      <c r="G6" s="189">
        <v>0</v>
      </c>
      <c r="H6" s="189">
        <v>0</v>
      </c>
      <c r="I6" s="189">
        <v>0</v>
      </c>
      <c r="J6" s="189">
        <v>0</v>
      </c>
      <c r="K6" s="189">
        <v>0</v>
      </c>
      <c r="L6" s="189">
        <v>0</v>
      </c>
      <c r="M6" s="189">
        <v>0</v>
      </c>
      <c r="N6" s="189">
        <v>0</v>
      </c>
      <c r="O6" s="189">
        <v>0</v>
      </c>
      <c r="P6" s="194"/>
      <c r="Q6" s="18">
        <v>0</v>
      </c>
      <c r="R6" s="18">
        <v>0</v>
      </c>
      <c r="S6" s="18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257">
        <v>0</v>
      </c>
      <c r="AA6" s="257">
        <v>0</v>
      </c>
      <c r="AB6" s="257">
        <v>0</v>
      </c>
      <c r="AC6" s="260"/>
      <c r="AD6" s="296">
        <v>0</v>
      </c>
      <c r="AE6" s="297">
        <v>0</v>
      </c>
      <c r="AF6" s="297">
        <v>0</v>
      </c>
      <c r="AG6" s="297">
        <v>0</v>
      </c>
      <c r="AH6" s="297">
        <v>0</v>
      </c>
      <c r="AI6" s="296">
        <v>0</v>
      </c>
      <c r="AJ6" s="296">
        <v>0</v>
      </c>
      <c r="AK6" s="304">
        <v>0</v>
      </c>
      <c r="AL6" s="304"/>
      <c r="AM6" s="304"/>
      <c r="AN6" s="304"/>
      <c r="AO6" s="304"/>
    </row>
    <row r="7" spans="1:41">
      <c r="A7" s="16" t="s">
        <v>8</v>
      </c>
      <c r="B7" s="181">
        <f t="shared" ref="B7:G7" si="8">SUM(B8:B11)</f>
        <v>1743.4416368990005</v>
      </c>
      <c r="C7" s="175">
        <f t="shared" si="8"/>
        <v>30126220</v>
      </c>
      <c r="D7" s="172">
        <f t="shared" si="8"/>
        <v>1980327</v>
      </c>
      <c r="E7" s="67">
        <f t="shared" si="8"/>
        <v>4713195</v>
      </c>
      <c r="F7" s="67">
        <f t="shared" si="8"/>
        <v>8435857</v>
      </c>
      <c r="G7" s="67">
        <f t="shared" si="8"/>
        <v>12515067</v>
      </c>
      <c r="H7" s="67">
        <f t="shared" ref="H7:AO7" si="9">SUM(H8:H11)</f>
        <v>14745134</v>
      </c>
      <c r="I7" s="67">
        <f t="shared" si="9"/>
        <v>17229399</v>
      </c>
      <c r="J7" s="67">
        <f t="shared" si="9"/>
        <v>20466689</v>
      </c>
      <c r="K7" s="67">
        <f t="shared" si="9"/>
        <v>23188437</v>
      </c>
      <c r="L7" s="67">
        <f t="shared" si="9"/>
        <v>25668575</v>
      </c>
      <c r="M7" s="67">
        <f t="shared" si="9"/>
        <v>28312182</v>
      </c>
      <c r="N7" s="67">
        <f t="shared" si="9"/>
        <v>30508945</v>
      </c>
      <c r="O7" s="67">
        <f t="shared" si="9"/>
        <v>33788242</v>
      </c>
      <c r="P7" s="67">
        <f t="shared" si="9"/>
        <v>33788242</v>
      </c>
      <c r="Q7" s="67">
        <f t="shared" si="9"/>
        <v>2310707</v>
      </c>
      <c r="R7" s="67">
        <f t="shared" si="9"/>
        <v>4056977</v>
      </c>
      <c r="S7" s="67">
        <f t="shared" si="9"/>
        <v>9430516</v>
      </c>
      <c r="T7" s="67">
        <f t="shared" si="9"/>
        <v>12896000</v>
      </c>
      <c r="U7" s="67">
        <f t="shared" si="9"/>
        <v>15634480</v>
      </c>
      <c r="V7" s="67">
        <f t="shared" si="9"/>
        <v>19342262</v>
      </c>
      <c r="W7" s="67">
        <f t="shared" si="9"/>
        <v>21377006</v>
      </c>
      <c r="X7" s="67">
        <f t="shared" si="9"/>
        <v>24834371</v>
      </c>
      <c r="Y7" s="67">
        <f t="shared" si="9"/>
        <v>27512745</v>
      </c>
      <c r="Z7" s="67">
        <f t="shared" si="9"/>
        <v>29988393</v>
      </c>
      <c r="AA7" s="67">
        <f t="shared" si="9"/>
        <v>32180733</v>
      </c>
      <c r="AB7" s="67">
        <f t="shared" si="9"/>
        <v>35234684</v>
      </c>
      <c r="AC7" s="67">
        <f t="shared" si="9"/>
        <v>35234685</v>
      </c>
      <c r="AD7" s="67">
        <f t="shared" si="9"/>
        <v>2695055</v>
      </c>
      <c r="AE7" s="67">
        <f t="shared" si="9"/>
        <v>5183034</v>
      </c>
      <c r="AF7" s="67">
        <f t="shared" si="9"/>
        <v>12381014</v>
      </c>
      <c r="AG7" s="67">
        <f t="shared" si="9"/>
        <v>12956592</v>
      </c>
      <c r="AH7" s="67">
        <f t="shared" si="9"/>
        <v>15790270</v>
      </c>
      <c r="AI7" s="67">
        <f t="shared" si="9"/>
        <v>19381815</v>
      </c>
      <c r="AJ7" s="67">
        <f t="shared" si="9"/>
        <v>26178140</v>
      </c>
      <c r="AK7" s="309">
        <f t="shared" si="9"/>
        <v>29951489</v>
      </c>
      <c r="AL7" s="309">
        <f t="shared" si="9"/>
        <v>0</v>
      </c>
      <c r="AM7" s="309">
        <f t="shared" si="9"/>
        <v>0</v>
      </c>
      <c r="AN7" s="309">
        <f t="shared" si="9"/>
        <v>0</v>
      </c>
      <c r="AO7" s="309">
        <f t="shared" si="9"/>
        <v>0</v>
      </c>
    </row>
    <row r="8" spans="1:41">
      <c r="A8" s="17" t="s">
        <v>9</v>
      </c>
      <c r="B8" s="182"/>
      <c r="C8" s="192" t="s">
        <v>10</v>
      </c>
      <c r="D8" s="188">
        <v>0</v>
      </c>
      <c r="E8" s="189">
        <v>0</v>
      </c>
      <c r="F8" s="189">
        <v>0</v>
      </c>
      <c r="G8" s="189">
        <v>0</v>
      </c>
      <c r="H8" s="189">
        <v>0</v>
      </c>
      <c r="I8" s="189">
        <v>0</v>
      </c>
      <c r="J8" s="189">
        <v>0</v>
      </c>
      <c r="K8" s="189">
        <v>0</v>
      </c>
      <c r="L8" s="189">
        <v>0</v>
      </c>
      <c r="M8" s="189">
        <v>0</v>
      </c>
      <c r="N8" s="189">
        <v>0</v>
      </c>
      <c r="O8" s="189">
        <v>0</v>
      </c>
      <c r="P8" s="168"/>
      <c r="Q8" s="18">
        <v>0</v>
      </c>
      <c r="R8" s="18">
        <v>0</v>
      </c>
      <c r="S8" s="1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257">
        <v>0</v>
      </c>
      <c r="AA8" s="257">
        <v>0</v>
      </c>
      <c r="AB8" s="257">
        <v>0</v>
      </c>
      <c r="AD8" s="292">
        <v>0</v>
      </c>
      <c r="AE8" s="294">
        <v>0</v>
      </c>
      <c r="AF8" s="294">
        <v>0</v>
      </c>
      <c r="AG8" s="294">
        <v>0</v>
      </c>
      <c r="AH8" s="294">
        <v>0</v>
      </c>
      <c r="AI8" s="292">
        <v>0</v>
      </c>
      <c r="AJ8" s="292">
        <v>0</v>
      </c>
      <c r="AK8" s="304">
        <v>0</v>
      </c>
      <c r="AL8" s="304"/>
      <c r="AM8" s="304"/>
      <c r="AN8" s="304"/>
      <c r="AO8" s="304"/>
    </row>
    <row r="9" spans="1:41">
      <c r="A9" s="17" t="s">
        <v>11</v>
      </c>
      <c r="B9" s="182"/>
      <c r="C9" s="192">
        <v>1966450</v>
      </c>
      <c r="D9" s="188">
        <v>0</v>
      </c>
      <c r="E9" s="189">
        <v>0</v>
      </c>
      <c r="F9" s="189">
        <v>0</v>
      </c>
      <c r="G9" s="189">
        <v>0</v>
      </c>
      <c r="H9" s="189">
        <v>0</v>
      </c>
      <c r="I9" s="189">
        <v>0</v>
      </c>
      <c r="J9" s="189">
        <v>0</v>
      </c>
      <c r="K9" s="189">
        <v>0</v>
      </c>
      <c r="L9" s="189">
        <v>0</v>
      </c>
      <c r="M9" s="189">
        <v>0</v>
      </c>
      <c r="N9" s="189">
        <v>0</v>
      </c>
      <c r="O9" s="189">
        <v>0</v>
      </c>
      <c r="P9" s="193">
        <v>1950937</v>
      </c>
      <c r="Q9" s="18">
        <v>0</v>
      </c>
      <c r="R9" s="18">
        <v>0</v>
      </c>
      <c r="S9" s="18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s="257">
        <v>0</v>
      </c>
      <c r="AA9" s="257">
        <v>0</v>
      </c>
      <c r="AB9" s="257">
        <v>0</v>
      </c>
      <c r="AC9" s="259">
        <v>1870115</v>
      </c>
      <c r="AD9" s="296">
        <v>0</v>
      </c>
      <c r="AE9" s="297">
        <v>0</v>
      </c>
      <c r="AF9" s="297">
        <v>0</v>
      </c>
      <c r="AG9" s="297">
        <v>0</v>
      </c>
      <c r="AH9" s="297">
        <v>0</v>
      </c>
      <c r="AI9" s="296">
        <v>0</v>
      </c>
      <c r="AJ9" s="296">
        <v>0</v>
      </c>
      <c r="AK9" s="304">
        <v>0</v>
      </c>
      <c r="AL9" s="304"/>
      <c r="AM9" s="304"/>
      <c r="AN9" s="304"/>
      <c r="AO9" s="304"/>
    </row>
    <row r="10" spans="1:41">
      <c r="A10" s="17" t="s">
        <v>12</v>
      </c>
      <c r="B10" s="182"/>
      <c r="C10" s="192" t="s">
        <v>10</v>
      </c>
      <c r="D10" s="188">
        <v>0</v>
      </c>
      <c r="E10" s="189">
        <v>0</v>
      </c>
      <c r="F10" s="189">
        <v>0</v>
      </c>
      <c r="G10" s="189">
        <v>0</v>
      </c>
      <c r="H10" s="189">
        <v>0</v>
      </c>
      <c r="I10" s="189">
        <v>0</v>
      </c>
      <c r="J10" s="189">
        <v>0</v>
      </c>
      <c r="K10" s="189">
        <v>0</v>
      </c>
      <c r="L10" s="189">
        <v>0</v>
      </c>
      <c r="M10" s="189">
        <v>0</v>
      </c>
      <c r="N10" s="189">
        <v>0</v>
      </c>
      <c r="O10" s="189">
        <v>0</v>
      </c>
      <c r="P10" s="193"/>
      <c r="Q10" s="18">
        <v>0</v>
      </c>
      <c r="R10" s="18">
        <v>0</v>
      </c>
      <c r="S10" s="18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257">
        <v>0</v>
      </c>
      <c r="AA10" s="257">
        <v>0</v>
      </c>
      <c r="AB10" s="257">
        <v>0</v>
      </c>
      <c r="AD10" s="296">
        <v>0</v>
      </c>
      <c r="AE10" s="297">
        <v>0</v>
      </c>
      <c r="AF10" s="297">
        <v>0</v>
      </c>
      <c r="AG10" s="297">
        <v>0</v>
      </c>
      <c r="AH10" s="297">
        <v>0</v>
      </c>
      <c r="AI10" s="296">
        <v>0</v>
      </c>
      <c r="AJ10" s="296">
        <v>0</v>
      </c>
      <c r="AK10" s="304">
        <v>0</v>
      </c>
      <c r="AL10" s="304"/>
      <c r="AM10" s="304"/>
      <c r="AN10" s="304"/>
      <c r="AO10" s="304"/>
    </row>
    <row r="11" spans="1:41" s="29" customFormat="1">
      <c r="A11" s="16" t="s">
        <v>13</v>
      </c>
      <c r="B11" s="183">
        <v>1743.4416368990005</v>
      </c>
      <c r="C11" s="195">
        <v>28159770</v>
      </c>
      <c r="D11" s="190">
        <v>1980327</v>
      </c>
      <c r="E11" s="191">
        <v>4713195</v>
      </c>
      <c r="F11" s="191">
        <v>8435857</v>
      </c>
      <c r="G11" s="191">
        <v>12515067</v>
      </c>
      <c r="H11" s="191">
        <v>14745134</v>
      </c>
      <c r="I11" s="191">
        <v>17229399</v>
      </c>
      <c r="J11" s="191">
        <v>20466689</v>
      </c>
      <c r="K11" s="191">
        <v>23188437</v>
      </c>
      <c r="L11" s="191">
        <v>25668575</v>
      </c>
      <c r="M11" s="191">
        <v>28312182</v>
      </c>
      <c r="N11" s="191">
        <v>30508945</v>
      </c>
      <c r="O11" s="191">
        <v>33788242</v>
      </c>
      <c r="P11" s="169">
        <f>31380556+15049+441700</f>
        <v>31837305</v>
      </c>
      <c r="Q11" s="33">
        <v>2310707</v>
      </c>
      <c r="R11" s="33">
        <v>4056977</v>
      </c>
      <c r="S11" s="33">
        <v>9430516</v>
      </c>
      <c r="T11" s="249">
        <v>12896000</v>
      </c>
      <c r="U11" s="249">
        <v>15634480</v>
      </c>
      <c r="V11" s="249">
        <v>19342262</v>
      </c>
      <c r="W11" s="249">
        <v>21377006</v>
      </c>
      <c r="X11" s="249">
        <v>24834371</v>
      </c>
      <c r="Y11" s="249">
        <v>27512745</v>
      </c>
      <c r="Z11" s="256">
        <v>29988393</v>
      </c>
      <c r="AA11" s="256">
        <v>32180733</v>
      </c>
      <c r="AB11" s="256">
        <v>35234684</v>
      </c>
      <c r="AC11" s="113">
        <f>32951820+403400+9350</f>
        <v>33364570</v>
      </c>
      <c r="AD11" s="298">
        <v>2695055</v>
      </c>
      <c r="AE11" s="299">
        <v>5183034</v>
      </c>
      <c r="AF11" s="299">
        <v>12381014</v>
      </c>
      <c r="AG11" s="299">
        <v>12956592</v>
      </c>
      <c r="AH11" s="299">
        <v>15790270</v>
      </c>
      <c r="AI11" s="302">
        <v>19381815</v>
      </c>
      <c r="AJ11" s="303">
        <v>26178140</v>
      </c>
      <c r="AK11" s="310">
        <v>29951489</v>
      </c>
      <c r="AL11" s="310"/>
      <c r="AM11" s="310"/>
      <c r="AN11" s="310"/>
      <c r="AO11" s="310"/>
    </row>
    <row r="12" spans="1:41">
      <c r="A12" s="16" t="s">
        <v>14</v>
      </c>
      <c r="B12" s="181">
        <f t="shared" ref="B12:AJ12" si="10">SUM(B13:B18)</f>
        <v>549.0847</v>
      </c>
      <c r="C12" s="175">
        <f t="shared" si="10"/>
        <v>58726389</v>
      </c>
      <c r="D12" s="172">
        <f t="shared" si="10"/>
        <v>2061192</v>
      </c>
      <c r="E12" s="67">
        <f t="shared" si="10"/>
        <v>5180036</v>
      </c>
      <c r="F12" s="67">
        <f t="shared" si="10"/>
        <v>9173589</v>
      </c>
      <c r="G12" s="67">
        <f t="shared" si="10"/>
        <v>12244352</v>
      </c>
      <c r="H12" s="67">
        <f t="shared" si="10"/>
        <v>18286396</v>
      </c>
      <c r="I12" s="67">
        <f t="shared" si="10"/>
        <v>27280369</v>
      </c>
      <c r="J12" s="67">
        <f t="shared" si="10"/>
        <v>39444630</v>
      </c>
      <c r="K12" s="67">
        <f t="shared" si="10"/>
        <v>47581877</v>
      </c>
      <c r="L12" s="67">
        <f t="shared" si="10"/>
        <v>55449175</v>
      </c>
      <c r="M12" s="67">
        <f t="shared" si="10"/>
        <v>62882271</v>
      </c>
      <c r="N12" s="67">
        <f t="shared" si="10"/>
        <v>70026793</v>
      </c>
      <c r="O12" s="67">
        <f t="shared" si="10"/>
        <v>87693820</v>
      </c>
      <c r="P12" s="67">
        <f t="shared" si="10"/>
        <v>87693820</v>
      </c>
      <c r="Q12" s="67">
        <f t="shared" si="10"/>
        <v>4780512</v>
      </c>
      <c r="R12" s="67">
        <f t="shared" si="10"/>
        <v>11079176</v>
      </c>
      <c r="S12" s="67">
        <f t="shared" si="10"/>
        <v>15926015</v>
      </c>
      <c r="T12" s="67">
        <f t="shared" si="10"/>
        <v>20604559</v>
      </c>
      <c r="U12" s="67">
        <f t="shared" si="10"/>
        <v>27076737</v>
      </c>
      <c r="V12" s="67">
        <f t="shared" si="10"/>
        <v>38276701</v>
      </c>
      <c r="W12" s="67">
        <f t="shared" si="10"/>
        <v>56334436</v>
      </c>
      <c r="X12" s="67">
        <f t="shared" si="10"/>
        <v>62959973</v>
      </c>
      <c r="Y12" s="67">
        <f t="shared" si="10"/>
        <v>70230177</v>
      </c>
      <c r="Z12" s="67">
        <f t="shared" si="10"/>
        <v>77582762</v>
      </c>
      <c r="AA12" s="67">
        <f t="shared" si="10"/>
        <v>85294307</v>
      </c>
      <c r="AB12" s="67">
        <f t="shared" si="10"/>
        <v>90695933</v>
      </c>
      <c r="AC12" s="67">
        <f t="shared" si="10"/>
        <v>103658047</v>
      </c>
      <c r="AD12" s="67">
        <f t="shared" si="10"/>
        <v>9156334</v>
      </c>
      <c r="AE12" s="67">
        <f t="shared" si="10"/>
        <v>15512049</v>
      </c>
      <c r="AF12" s="67">
        <f t="shared" si="10"/>
        <v>28010270</v>
      </c>
      <c r="AG12" s="67">
        <f t="shared" si="10"/>
        <v>36584614</v>
      </c>
      <c r="AH12" s="67">
        <f t="shared" si="10"/>
        <v>45477197</v>
      </c>
      <c r="AI12" s="67">
        <f t="shared" si="10"/>
        <v>54545991</v>
      </c>
      <c r="AJ12" s="67">
        <f t="shared" si="10"/>
        <v>63372590</v>
      </c>
      <c r="AK12" s="309">
        <f t="shared" ref="AK12:AO12" si="11">SUM(AK13:AK18)</f>
        <v>71926414</v>
      </c>
      <c r="AL12" s="309">
        <f t="shared" si="11"/>
        <v>0</v>
      </c>
      <c r="AM12" s="309">
        <f t="shared" si="11"/>
        <v>0</v>
      </c>
      <c r="AN12" s="309">
        <f t="shared" si="11"/>
        <v>0</v>
      </c>
      <c r="AO12" s="309">
        <f t="shared" si="11"/>
        <v>0</v>
      </c>
    </row>
    <row r="13" spans="1:41">
      <c r="A13" s="17" t="s">
        <v>15</v>
      </c>
      <c r="B13" s="182">
        <v>185.36</v>
      </c>
      <c r="C13" s="192">
        <v>41798147</v>
      </c>
      <c r="D13" s="188">
        <v>1000000</v>
      </c>
      <c r="E13" s="189">
        <v>2000000</v>
      </c>
      <c r="F13" s="189">
        <v>5000000</v>
      </c>
      <c r="G13" s="189">
        <v>7000000</v>
      </c>
      <c r="H13" s="189">
        <v>12000000</v>
      </c>
      <c r="I13" s="189">
        <v>20000000</v>
      </c>
      <c r="J13" s="189">
        <v>30000000</v>
      </c>
      <c r="K13" s="189">
        <v>37000000</v>
      </c>
      <c r="L13" s="189">
        <v>44000000</v>
      </c>
      <c r="M13" s="189">
        <v>50000000</v>
      </c>
      <c r="N13" s="189">
        <v>55000000</v>
      </c>
      <c r="O13" s="189">
        <v>60000000</v>
      </c>
      <c r="P13" s="193">
        <v>58000000</v>
      </c>
      <c r="Q13" s="18">
        <v>2000000</v>
      </c>
      <c r="R13" s="18">
        <v>4000000</v>
      </c>
      <c r="S13" s="18">
        <v>6000000</v>
      </c>
      <c r="T13" s="71">
        <v>8000000</v>
      </c>
      <c r="U13" s="71">
        <v>16000000</v>
      </c>
      <c r="V13" s="71">
        <v>26000000</v>
      </c>
      <c r="W13" s="71">
        <v>40600000</v>
      </c>
      <c r="X13" s="71">
        <v>46400000</v>
      </c>
      <c r="Y13" s="71">
        <v>52200000</v>
      </c>
      <c r="Z13" s="257">
        <v>58000000</v>
      </c>
      <c r="AA13" s="257">
        <v>63800000</v>
      </c>
      <c r="AB13" s="257">
        <v>66000000</v>
      </c>
      <c r="AC13" s="259">
        <v>61000000</v>
      </c>
      <c r="AD13" s="293">
        <v>5000000</v>
      </c>
      <c r="AE13" s="295">
        <v>6000000</v>
      </c>
      <c r="AF13" s="295">
        <v>15000000</v>
      </c>
      <c r="AG13" s="295">
        <v>20000000</v>
      </c>
      <c r="AH13" s="295">
        <v>25000000</v>
      </c>
      <c r="AI13" s="293">
        <v>30000000</v>
      </c>
      <c r="AJ13" s="293">
        <v>35000000</v>
      </c>
      <c r="AK13" s="304">
        <v>40000000</v>
      </c>
      <c r="AL13" s="304"/>
      <c r="AM13" s="304"/>
      <c r="AN13" s="304"/>
      <c r="AO13" s="304"/>
    </row>
    <row r="14" spans="1:41">
      <c r="A14" s="17" t="s">
        <v>16</v>
      </c>
      <c r="B14" s="182">
        <v>363.72469999999998</v>
      </c>
      <c r="C14" s="192">
        <v>14829925</v>
      </c>
      <c r="D14" s="188">
        <v>895320</v>
      </c>
      <c r="E14" s="189">
        <v>1757401</v>
      </c>
      <c r="F14" s="189">
        <v>2495757</v>
      </c>
      <c r="G14" s="189">
        <v>3274296</v>
      </c>
      <c r="H14" s="189">
        <v>3993847</v>
      </c>
      <c r="I14" s="189">
        <v>4694532</v>
      </c>
      <c r="J14" s="189">
        <v>5340633</v>
      </c>
      <c r="K14" s="189">
        <v>5965364</v>
      </c>
      <c r="L14" s="189">
        <v>6549268</v>
      </c>
      <c r="M14" s="189">
        <v>7661777</v>
      </c>
      <c r="N14" s="189">
        <v>8715033</v>
      </c>
      <c r="O14" s="189">
        <v>11710144</v>
      </c>
      <c r="P14" s="168">
        <f>10035652+1674492</f>
        <v>11710144</v>
      </c>
      <c r="Q14" s="18">
        <v>1104110</v>
      </c>
      <c r="R14" s="18">
        <v>2666590</v>
      </c>
      <c r="S14" s="18">
        <v>4099890</v>
      </c>
      <c r="T14" s="71">
        <v>5611953</v>
      </c>
      <c r="U14" s="71">
        <v>7022687</v>
      </c>
      <c r="V14" s="71">
        <v>8416847</v>
      </c>
      <c r="W14" s="71">
        <v>9733978</v>
      </c>
      <c r="X14" s="71">
        <v>11032713</v>
      </c>
      <c r="Y14" s="71">
        <v>12283175</v>
      </c>
      <c r="Z14" s="257">
        <v>13466263</v>
      </c>
      <c r="AA14" s="257">
        <v>13822260</v>
      </c>
      <c r="AB14" s="257">
        <v>17641219</v>
      </c>
      <c r="AC14" s="258">
        <f>12430511+5210708</f>
        <v>17641219</v>
      </c>
      <c r="AD14" s="300">
        <v>1679272</v>
      </c>
      <c r="AE14" s="301">
        <v>3161201</v>
      </c>
      <c r="AF14" s="301">
        <v>4587268</v>
      </c>
      <c r="AG14" s="301">
        <v>6135786</v>
      </c>
      <c r="AH14" s="301">
        <v>7584957</v>
      </c>
      <c r="AI14" s="300">
        <v>9032944</v>
      </c>
      <c r="AJ14" s="300">
        <v>10163081</v>
      </c>
      <c r="AK14" s="304">
        <v>11477801</v>
      </c>
      <c r="AL14" s="304"/>
      <c r="AM14" s="304"/>
      <c r="AN14" s="304"/>
      <c r="AO14" s="304"/>
    </row>
    <row r="15" spans="1:41">
      <c r="A15" s="17" t="s">
        <v>17</v>
      </c>
      <c r="B15" s="182"/>
      <c r="C15" s="176">
        <v>0</v>
      </c>
      <c r="D15" s="188">
        <v>0</v>
      </c>
      <c r="E15" s="189">
        <v>0</v>
      </c>
      <c r="F15" s="189">
        <v>0</v>
      </c>
      <c r="G15" s="189">
        <v>0</v>
      </c>
      <c r="H15" s="189">
        <v>0</v>
      </c>
      <c r="I15" s="189">
        <v>0</v>
      </c>
      <c r="J15" s="189">
        <v>0</v>
      </c>
      <c r="K15" s="189">
        <v>0</v>
      </c>
      <c r="L15" s="189">
        <v>0</v>
      </c>
      <c r="M15" s="189">
        <v>0</v>
      </c>
      <c r="N15" s="189">
        <v>0</v>
      </c>
      <c r="O15" s="189">
        <v>0</v>
      </c>
      <c r="P15" s="168"/>
      <c r="Q15" s="18">
        <v>0</v>
      </c>
      <c r="R15" s="18">
        <v>0</v>
      </c>
      <c r="S15" s="18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s="257">
        <v>0</v>
      </c>
      <c r="AA15" s="257">
        <v>0</v>
      </c>
      <c r="AB15" s="257">
        <v>0</v>
      </c>
      <c r="AD15" s="296">
        <v>0</v>
      </c>
      <c r="AE15" s="297">
        <v>0</v>
      </c>
      <c r="AF15" s="297">
        <v>0</v>
      </c>
      <c r="AG15" s="297">
        <v>0</v>
      </c>
      <c r="AH15" s="297">
        <v>0</v>
      </c>
      <c r="AI15" s="296">
        <v>0</v>
      </c>
      <c r="AJ15" s="296">
        <v>0</v>
      </c>
      <c r="AK15" s="304">
        <v>0</v>
      </c>
      <c r="AL15" s="304"/>
      <c r="AM15" s="304"/>
      <c r="AN15" s="304"/>
      <c r="AO15" s="304"/>
    </row>
    <row r="16" spans="1:41">
      <c r="A16" s="17" t="s">
        <v>18</v>
      </c>
      <c r="B16" s="182"/>
      <c r="C16" s="192" t="s">
        <v>10</v>
      </c>
      <c r="D16" s="188">
        <v>43217</v>
      </c>
      <c r="E16" s="189">
        <v>43217</v>
      </c>
      <c r="F16" s="189">
        <v>125058</v>
      </c>
      <c r="G16" s="189">
        <v>174164</v>
      </c>
      <c r="H16" s="189">
        <v>251698</v>
      </c>
      <c r="I16" s="189">
        <v>286873</v>
      </c>
      <c r="J16" s="189">
        <v>758844</v>
      </c>
      <c r="K16" s="189">
        <v>991550</v>
      </c>
      <c r="L16" s="189">
        <v>1032378</v>
      </c>
      <c r="M16" s="189">
        <v>1032378</v>
      </c>
      <c r="N16" s="189">
        <v>1032378</v>
      </c>
      <c r="O16" s="189">
        <v>1032378</v>
      </c>
      <c r="P16" s="193">
        <f>42294824-P17-P14-P21</f>
        <v>16272909</v>
      </c>
      <c r="Q16" s="18">
        <v>1000000</v>
      </c>
      <c r="R16" s="18">
        <v>2000000</v>
      </c>
      <c r="S16" s="18">
        <v>3000000</v>
      </c>
      <c r="T16" s="71">
        <v>4000000</v>
      </c>
      <c r="U16" s="71">
        <v>720344</v>
      </c>
      <c r="V16">
        <v>0</v>
      </c>
      <c r="W16">
        <v>0</v>
      </c>
      <c r="X16">
        <v>0</v>
      </c>
      <c r="Y16">
        <v>0</v>
      </c>
      <c r="Z16" s="257">
        <v>0</v>
      </c>
      <c r="AA16" s="257">
        <v>0</v>
      </c>
      <c r="AB16" s="257">
        <v>0</v>
      </c>
      <c r="AC16" s="258">
        <f>43131530-AC14-AC17-AC21</f>
        <v>23468517</v>
      </c>
      <c r="AD16" s="296">
        <v>0</v>
      </c>
      <c r="AE16" s="301">
        <v>4000000</v>
      </c>
      <c r="AF16" s="301">
        <v>6000000</v>
      </c>
      <c r="AG16" s="301">
        <v>8000000</v>
      </c>
      <c r="AH16" s="301">
        <v>10000000</v>
      </c>
      <c r="AI16" s="300">
        <v>12000000</v>
      </c>
      <c r="AJ16" s="300">
        <v>14000000</v>
      </c>
      <c r="AK16" s="304">
        <v>16000000</v>
      </c>
      <c r="AL16" s="304"/>
      <c r="AM16" s="304"/>
      <c r="AN16" s="304"/>
      <c r="AO16" s="304"/>
    </row>
    <row r="17" spans="1:41">
      <c r="A17" s="17" t="s">
        <v>19</v>
      </c>
      <c r="B17" s="182"/>
      <c r="C17" s="192">
        <v>2098317</v>
      </c>
      <c r="D17" s="188">
        <v>26285</v>
      </c>
      <c r="E17" s="189">
        <v>66379</v>
      </c>
      <c r="F17" s="189">
        <v>104485</v>
      </c>
      <c r="G17" s="189">
        <v>115559</v>
      </c>
      <c r="H17" s="189">
        <v>137611</v>
      </c>
      <c r="I17" s="189">
        <v>156048</v>
      </c>
      <c r="J17" s="189">
        <v>953938</v>
      </c>
      <c r="K17" s="189">
        <v>962655</v>
      </c>
      <c r="L17" s="189">
        <v>1023182</v>
      </c>
      <c r="M17" s="189">
        <v>1061810</v>
      </c>
      <c r="N17" s="189">
        <v>1655487</v>
      </c>
      <c r="O17" s="189">
        <v>1700843</v>
      </c>
      <c r="P17" s="168">
        <v>1710767</v>
      </c>
      <c r="Q17" s="18">
        <v>558528</v>
      </c>
      <c r="R17" s="18">
        <v>583352</v>
      </c>
      <c r="S17" s="18">
        <v>616466</v>
      </c>
      <c r="T17" s="71">
        <v>650818</v>
      </c>
      <c r="U17" s="71">
        <v>650818</v>
      </c>
      <c r="V17" s="71">
        <v>747403</v>
      </c>
      <c r="W17" s="71">
        <v>2776014</v>
      </c>
      <c r="X17" s="71">
        <v>1910739</v>
      </c>
      <c r="Y17" s="71">
        <v>1943893</v>
      </c>
      <c r="Z17" s="257">
        <v>1960993</v>
      </c>
      <c r="AA17" s="257">
        <v>2008300</v>
      </c>
      <c r="AB17" s="257">
        <v>1565202</v>
      </c>
      <c r="AC17" s="258">
        <v>1548311</v>
      </c>
      <c r="AD17" s="300">
        <v>43611</v>
      </c>
      <c r="AE17" s="301">
        <v>1911232</v>
      </c>
      <c r="AF17" s="301">
        <v>1773395</v>
      </c>
      <c r="AG17" s="301">
        <v>1469538</v>
      </c>
      <c r="AH17" s="301">
        <v>1715339</v>
      </c>
      <c r="AI17" s="300">
        <v>285063</v>
      </c>
      <c r="AJ17" s="300">
        <v>302066</v>
      </c>
      <c r="AK17" s="304">
        <v>302066</v>
      </c>
      <c r="AL17" s="304"/>
      <c r="AM17" s="304"/>
      <c r="AN17" s="304"/>
      <c r="AO17" s="304"/>
    </row>
    <row r="18" spans="1:41">
      <c r="A18" s="17" t="s">
        <v>20</v>
      </c>
      <c r="B18" s="182"/>
      <c r="C18" s="192" t="s">
        <v>10</v>
      </c>
      <c r="D18" s="188">
        <v>96370</v>
      </c>
      <c r="E18" s="189">
        <v>1313039</v>
      </c>
      <c r="F18" s="189">
        <v>1448289</v>
      </c>
      <c r="G18" s="189">
        <v>1680333</v>
      </c>
      <c r="H18" s="189">
        <v>1903240</v>
      </c>
      <c r="I18" s="189">
        <v>2142916</v>
      </c>
      <c r="J18" s="189">
        <v>2391215</v>
      </c>
      <c r="K18" s="189">
        <v>2662308</v>
      </c>
      <c r="L18" s="189">
        <v>2844347</v>
      </c>
      <c r="M18" s="189">
        <v>3126306</v>
      </c>
      <c r="N18" s="189">
        <v>3623895</v>
      </c>
      <c r="O18" s="189">
        <v>13250455</v>
      </c>
      <c r="P18" s="168"/>
      <c r="Q18" s="18">
        <v>117874</v>
      </c>
      <c r="R18" s="18">
        <v>1829234</v>
      </c>
      <c r="S18" s="18">
        <v>2209659</v>
      </c>
      <c r="T18" s="71">
        <v>2341788</v>
      </c>
      <c r="U18" s="71">
        <v>2682888</v>
      </c>
      <c r="V18" s="71">
        <v>3112451</v>
      </c>
      <c r="W18" s="71">
        <v>3224444</v>
      </c>
      <c r="X18" s="71">
        <v>3616521</v>
      </c>
      <c r="Y18" s="71">
        <v>3803109</v>
      </c>
      <c r="Z18" s="257">
        <v>4155506</v>
      </c>
      <c r="AA18" s="257">
        <v>5663747</v>
      </c>
      <c r="AB18" s="257">
        <v>5489512</v>
      </c>
      <c r="AD18" s="300">
        <v>2433451</v>
      </c>
      <c r="AE18" s="301">
        <v>439616</v>
      </c>
      <c r="AF18" s="301">
        <v>649607</v>
      </c>
      <c r="AG18" s="301">
        <v>979290</v>
      </c>
      <c r="AH18" s="301">
        <v>1176901</v>
      </c>
      <c r="AI18" s="300">
        <v>3227984</v>
      </c>
      <c r="AJ18" s="300">
        <v>3907443</v>
      </c>
      <c r="AK18" s="304">
        <v>4146547</v>
      </c>
      <c r="AL18" s="304"/>
      <c r="AM18" s="304"/>
      <c r="AN18" s="304"/>
      <c r="AO18" s="304"/>
    </row>
    <row r="19" spans="1:41">
      <c r="A19" s="16" t="s">
        <v>21</v>
      </c>
      <c r="B19" s="181">
        <f t="shared" ref="B19:AJ19" si="12">B3-B12</f>
        <v>14050.162846899</v>
      </c>
      <c r="C19" s="175">
        <f t="shared" si="12"/>
        <v>59858206</v>
      </c>
      <c r="D19" s="172">
        <f t="shared" si="12"/>
        <v>8018140</v>
      </c>
      <c r="E19" s="67">
        <f t="shared" si="12"/>
        <v>15365656</v>
      </c>
      <c r="F19" s="67">
        <f t="shared" si="12"/>
        <v>24138178</v>
      </c>
      <c r="G19" s="67">
        <f t="shared" si="12"/>
        <v>34854319</v>
      </c>
      <c r="H19" s="67">
        <f t="shared" si="12"/>
        <v>41124488</v>
      </c>
      <c r="I19" s="67">
        <f t="shared" si="12"/>
        <v>45755924</v>
      </c>
      <c r="J19" s="67">
        <f t="shared" si="12"/>
        <v>50093197</v>
      </c>
      <c r="K19" s="67">
        <f t="shared" si="12"/>
        <v>56018491</v>
      </c>
      <c r="L19" s="67">
        <f t="shared" si="12"/>
        <v>62451553</v>
      </c>
      <c r="M19" s="67">
        <f t="shared" si="12"/>
        <v>69375023</v>
      </c>
      <c r="N19" s="67">
        <f t="shared" si="12"/>
        <v>75222160</v>
      </c>
      <c r="O19" s="67">
        <f t="shared" si="12"/>
        <v>72820975</v>
      </c>
      <c r="P19" s="67">
        <f t="shared" si="12"/>
        <v>72820975</v>
      </c>
      <c r="Q19" s="67">
        <f t="shared" si="12"/>
        <v>8093100</v>
      </c>
      <c r="R19" s="67">
        <f t="shared" si="12"/>
        <v>15605434</v>
      </c>
      <c r="S19" s="67">
        <f t="shared" si="12"/>
        <v>29591296</v>
      </c>
      <c r="T19" s="67">
        <f t="shared" si="12"/>
        <v>44118903</v>
      </c>
      <c r="U19" s="67">
        <f t="shared" si="12"/>
        <v>52734249</v>
      </c>
      <c r="V19" s="67">
        <f t="shared" si="12"/>
        <v>57897689</v>
      </c>
      <c r="W19" s="67">
        <f t="shared" si="12"/>
        <v>54027846</v>
      </c>
      <c r="X19" s="67">
        <f t="shared" si="12"/>
        <v>64936662</v>
      </c>
      <c r="Y19" s="67">
        <f t="shared" si="12"/>
        <v>72941138</v>
      </c>
      <c r="Z19" s="67">
        <f t="shared" si="12"/>
        <v>81849036</v>
      </c>
      <c r="AA19" s="67">
        <f t="shared" si="12"/>
        <v>89152677</v>
      </c>
      <c r="AB19" s="67">
        <f t="shared" si="12"/>
        <v>99634702</v>
      </c>
      <c r="AC19" s="67">
        <f t="shared" si="12"/>
        <v>86672589</v>
      </c>
      <c r="AD19" s="67">
        <f t="shared" si="12"/>
        <v>7163994</v>
      </c>
      <c r="AE19" s="67">
        <f t="shared" si="12"/>
        <v>15602009</v>
      </c>
      <c r="AF19" s="67">
        <f t="shared" si="12"/>
        <v>23722697</v>
      </c>
      <c r="AG19" s="67">
        <f t="shared" si="12"/>
        <v>28661766</v>
      </c>
      <c r="AH19" s="67">
        <f t="shared" si="12"/>
        <v>36421459</v>
      </c>
      <c r="AI19" s="67">
        <f t="shared" si="12"/>
        <v>43631180</v>
      </c>
      <c r="AJ19" s="67">
        <f t="shared" si="12"/>
        <v>54650416</v>
      </c>
      <c r="AK19" s="309">
        <f t="shared" ref="AK19:AO19" si="13">AK3-AK12</f>
        <v>63820970</v>
      </c>
      <c r="AL19" s="309">
        <f t="shared" si="13"/>
        <v>0</v>
      </c>
      <c r="AM19" s="309">
        <f t="shared" si="13"/>
        <v>0</v>
      </c>
      <c r="AN19" s="309">
        <f t="shared" si="13"/>
        <v>0</v>
      </c>
      <c r="AO19" s="309">
        <f t="shared" si="13"/>
        <v>0</v>
      </c>
    </row>
    <row r="20" spans="1:41">
      <c r="A20" s="16" t="s">
        <v>22</v>
      </c>
      <c r="B20" s="181">
        <f t="shared" ref="B20:G20" si="14">B21-B22</f>
        <v>0</v>
      </c>
      <c r="C20" s="175">
        <f t="shared" si="14"/>
        <v>13181219</v>
      </c>
      <c r="D20" s="172">
        <f t="shared" si="14"/>
        <v>1000000</v>
      </c>
      <c r="E20" s="67">
        <f t="shared" si="14"/>
        <v>2000000</v>
      </c>
      <c r="F20" s="67">
        <f t="shared" si="14"/>
        <v>3000000</v>
      </c>
      <c r="G20" s="67">
        <f t="shared" si="14"/>
        <v>4000000</v>
      </c>
      <c r="H20" s="67">
        <f t="shared" ref="H20:AJ20" si="15">H21-H22</f>
        <v>5000000</v>
      </c>
      <c r="I20" s="67">
        <f t="shared" si="15"/>
        <v>6000000</v>
      </c>
      <c r="J20" s="67">
        <f t="shared" si="15"/>
        <v>7000000</v>
      </c>
      <c r="K20" s="67">
        <f t="shared" si="15"/>
        <v>8000000</v>
      </c>
      <c r="L20" s="67">
        <f>L21-L22</f>
        <v>9000000</v>
      </c>
      <c r="M20" s="67">
        <f>M21-M22</f>
        <v>10000000</v>
      </c>
      <c r="N20" s="67">
        <f>N21-N22</f>
        <v>12000000</v>
      </c>
      <c r="O20" s="67">
        <f>O21-O22</f>
        <v>12401004</v>
      </c>
      <c r="P20" s="67">
        <f t="shared" si="15"/>
        <v>12601004</v>
      </c>
      <c r="Q20" s="67">
        <f t="shared" si="15"/>
        <v>1000000</v>
      </c>
      <c r="R20" s="67">
        <f t="shared" si="15"/>
        <v>2000000</v>
      </c>
      <c r="S20" s="67">
        <f t="shared" si="15"/>
        <v>3000000</v>
      </c>
      <c r="T20" s="67">
        <f t="shared" si="15"/>
        <v>3000000</v>
      </c>
      <c r="U20" s="67">
        <f t="shared" si="15"/>
        <v>8000000</v>
      </c>
      <c r="V20" s="67">
        <f t="shared" si="15"/>
        <v>9000000</v>
      </c>
      <c r="W20" s="67">
        <f t="shared" si="15"/>
        <v>10000000</v>
      </c>
      <c r="X20" s="67">
        <f t="shared" si="15"/>
        <v>11000000</v>
      </c>
      <c r="Y20" s="67">
        <f t="shared" si="15"/>
        <v>10269557</v>
      </c>
      <c r="Z20" s="67">
        <f t="shared" si="15"/>
        <v>10574633</v>
      </c>
      <c r="AA20" s="67">
        <f t="shared" si="15"/>
        <v>11574633</v>
      </c>
      <c r="AB20" s="67">
        <f t="shared" si="15"/>
        <v>15473483</v>
      </c>
      <c r="AC20" s="67">
        <f t="shared" si="15"/>
        <v>473483</v>
      </c>
      <c r="AD20" s="67">
        <f t="shared" si="15"/>
        <v>0</v>
      </c>
      <c r="AE20" s="67">
        <f t="shared" si="15"/>
        <v>2125830</v>
      </c>
      <c r="AF20" s="67">
        <f t="shared" si="15"/>
        <v>0</v>
      </c>
      <c r="AG20" s="67">
        <f t="shared" si="15"/>
        <v>0</v>
      </c>
      <c r="AH20" s="67">
        <f t="shared" si="15"/>
        <v>0</v>
      </c>
      <c r="AI20" s="67">
        <f t="shared" si="15"/>
        <v>0</v>
      </c>
      <c r="AJ20" s="67">
        <f t="shared" si="15"/>
        <v>1079623</v>
      </c>
      <c r="AK20" s="309">
        <f t="shared" ref="AK20:AO20" si="16">AK21-AK22</f>
        <v>1390912</v>
      </c>
      <c r="AL20" s="309">
        <f t="shared" si="16"/>
        <v>0</v>
      </c>
      <c r="AM20" s="309">
        <f t="shared" si="16"/>
        <v>0</v>
      </c>
      <c r="AN20" s="309">
        <f t="shared" si="16"/>
        <v>0</v>
      </c>
      <c r="AO20" s="309">
        <f t="shared" si="16"/>
        <v>0</v>
      </c>
    </row>
    <row r="21" spans="1:41">
      <c r="A21" s="17" t="s">
        <v>23</v>
      </c>
      <c r="B21" s="182"/>
      <c r="C21" s="196">
        <v>13181219</v>
      </c>
      <c r="D21" s="188">
        <v>1000000</v>
      </c>
      <c r="E21" s="189">
        <v>2000000</v>
      </c>
      <c r="F21" s="189">
        <v>3000000</v>
      </c>
      <c r="G21" s="189">
        <v>4000000</v>
      </c>
      <c r="H21" s="189">
        <v>5000000</v>
      </c>
      <c r="I21" s="189">
        <v>6000000</v>
      </c>
      <c r="J21" s="189">
        <v>7000000</v>
      </c>
      <c r="K21" s="189">
        <v>8000000</v>
      </c>
      <c r="L21" s="189">
        <v>9000000</v>
      </c>
      <c r="M21" s="189">
        <v>10000000</v>
      </c>
      <c r="N21" s="189">
        <v>12000000</v>
      </c>
      <c r="O21" s="189">
        <v>12401004</v>
      </c>
      <c r="P21" s="197">
        <v>12601004</v>
      </c>
      <c r="Q21" s="18">
        <v>1000000</v>
      </c>
      <c r="R21" s="18">
        <v>2000000</v>
      </c>
      <c r="S21" s="18">
        <v>3000000</v>
      </c>
      <c r="T21" s="71">
        <v>3000000</v>
      </c>
      <c r="U21" s="71">
        <v>8000000</v>
      </c>
      <c r="V21" s="71">
        <v>9000000</v>
      </c>
      <c r="W21" s="71">
        <v>10000000</v>
      </c>
      <c r="X21" s="71">
        <v>11000000</v>
      </c>
      <c r="Y21" s="71">
        <v>10269557</v>
      </c>
      <c r="Z21" s="257">
        <v>10574633</v>
      </c>
      <c r="AA21" s="257">
        <v>11574633</v>
      </c>
      <c r="AB21" s="257">
        <v>15473483</v>
      </c>
      <c r="AC21" s="258">
        <v>473483</v>
      </c>
      <c r="AD21" s="292">
        <v>0</v>
      </c>
      <c r="AE21" s="295">
        <v>2125830</v>
      </c>
      <c r="AF21" s="294">
        <v>0</v>
      </c>
      <c r="AG21" s="294">
        <v>0</v>
      </c>
      <c r="AH21" s="294">
        <v>0</v>
      </c>
      <c r="AI21" s="292">
        <v>0</v>
      </c>
      <c r="AJ21" s="293">
        <v>1079623</v>
      </c>
      <c r="AK21" s="304">
        <v>1390912</v>
      </c>
      <c r="AL21" s="304"/>
      <c r="AM21" s="304"/>
      <c r="AN21" s="304"/>
      <c r="AO21" s="304"/>
    </row>
    <row r="22" spans="1:41">
      <c r="A22" s="17" t="s">
        <v>24</v>
      </c>
      <c r="B22" s="182"/>
      <c r="C22" s="192"/>
      <c r="D22" s="188">
        <v>0</v>
      </c>
      <c r="E22" s="189">
        <v>0</v>
      </c>
      <c r="F22" s="189">
        <v>0</v>
      </c>
      <c r="G22" s="189">
        <v>0</v>
      </c>
      <c r="H22" s="189">
        <v>0</v>
      </c>
      <c r="I22" s="189">
        <v>0</v>
      </c>
      <c r="J22" s="189">
        <v>0</v>
      </c>
      <c r="K22" s="189">
        <v>0</v>
      </c>
      <c r="L22" s="189">
        <v>0</v>
      </c>
      <c r="M22" s="189">
        <v>0</v>
      </c>
      <c r="N22" s="189">
        <v>0</v>
      </c>
      <c r="O22" s="189">
        <v>0</v>
      </c>
      <c r="P22" s="168"/>
      <c r="Q22" s="18">
        <v>0</v>
      </c>
      <c r="R22" s="18">
        <v>0</v>
      </c>
      <c r="S22" s="18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257">
        <v>0</v>
      </c>
      <c r="AA22" s="257">
        <v>0</v>
      </c>
      <c r="AB22" s="257">
        <v>0</v>
      </c>
      <c r="AD22" s="296">
        <v>0</v>
      </c>
      <c r="AE22" s="297">
        <v>0</v>
      </c>
      <c r="AF22" s="297">
        <v>0</v>
      </c>
      <c r="AG22" s="297">
        <v>0</v>
      </c>
      <c r="AH22" s="297">
        <v>0</v>
      </c>
      <c r="AI22" s="296">
        <v>0</v>
      </c>
      <c r="AJ22" s="296">
        <v>0</v>
      </c>
      <c r="AK22" s="304">
        <v>0</v>
      </c>
      <c r="AL22" s="304"/>
      <c r="AM22" s="304"/>
      <c r="AN22" s="304"/>
      <c r="AO22" s="304"/>
    </row>
    <row r="23" spans="1:41">
      <c r="A23" s="16" t="s">
        <v>25</v>
      </c>
      <c r="B23" s="181">
        <f t="shared" ref="B23:AO23" si="17">SUM(B24:B28)</f>
        <v>11019.3799</v>
      </c>
      <c r="C23" s="175">
        <f t="shared" si="17"/>
        <v>41765573</v>
      </c>
      <c r="D23" s="172">
        <f t="shared" si="17"/>
        <v>2725789</v>
      </c>
      <c r="E23" s="67">
        <f t="shared" si="17"/>
        <v>8588399</v>
      </c>
      <c r="F23" s="67">
        <f t="shared" si="17"/>
        <v>11513740</v>
      </c>
      <c r="G23" s="67">
        <f t="shared" si="17"/>
        <v>14779697</v>
      </c>
      <c r="H23" s="67">
        <f t="shared" si="17"/>
        <v>17742988</v>
      </c>
      <c r="I23" s="67">
        <f t="shared" si="17"/>
        <v>22111423</v>
      </c>
      <c r="J23" s="67">
        <f t="shared" si="17"/>
        <v>26666746</v>
      </c>
      <c r="K23" s="67">
        <f t="shared" si="17"/>
        <v>30238566</v>
      </c>
      <c r="L23" s="67">
        <f t="shared" si="17"/>
        <v>33710334</v>
      </c>
      <c r="M23" s="67">
        <f t="shared" si="17"/>
        <v>37271493</v>
      </c>
      <c r="N23" s="67">
        <f t="shared" si="17"/>
        <v>42632217</v>
      </c>
      <c r="O23" s="67">
        <f t="shared" si="17"/>
        <v>44883772</v>
      </c>
      <c r="P23" s="67">
        <f t="shared" si="17"/>
        <v>44883772</v>
      </c>
      <c r="Q23" s="67">
        <f t="shared" si="17"/>
        <v>3656842</v>
      </c>
      <c r="R23" s="67">
        <f t="shared" si="17"/>
        <v>10768361</v>
      </c>
      <c r="S23" s="67">
        <f t="shared" si="17"/>
        <v>16281509</v>
      </c>
      <c r="T23" s="67">
        <f t="shared" si="17"/>
        <v>20542587</v>
      </c>
      <c r="U23" s="67">
        <f t="shared" si="17"/>
        <v>21819245</v>
      </c>
      <c r="V23" s="67">
        <f t="shared" si="17"/>
        <v>26554662</v>
      </c>
      <c r="W23" s="67">
        <f t="shared" si="17"/>
        <v>29565818</v>
      </c>
      <c r="X23" s="67">
        <f t="shared" si="17"/>
        <v>33027086</v>
      </c>
      <c r="Y23" s="67">
        <f t="shared" si="17"/>
        <v>38666619</v>
      </c>
      <c r="Z23" s="67">
        <f t="shared" si="17"/>
        <v>42645429</v>
      </c>
      <c r="AA23" s="67">
        <f t="shared" si="17"/>
        <v>47715209</v>
      </c>
      <c r="AB23" s="67">
        <f t="shared" si="17"/>
        <v>49991289</v>
      </c>
      <c r="AC23" s="67">
        <f t="shared" si="17"/>
        <v>49171290</v>
      </c>
      <c r="AD23" s="67">
        <f t="shared" si="17"/>
        <v>5541342</v>
      </c>
      <c r="AE23" s="67">
        <f t="shared" si="17"/>
        <v>12475835</v>
      </c>
      <c r="AF23" s="67">
        <f t="shared" si="17"/>
        <v>19121393</v>
      </c>
      <c r="AG23" s="67">
        <f t="shared" si="17"/>
        <v>25296933</v>
      </c>
      <c r="AH23" s="67">
        <f t="shared" si="17"/>
        <v>29785351</v>
      </c>
      <c r="AI23" s="67">
        <f t="shared" si="17"/>
        <v>35586769</v>
      </c>
      <c r="AJ23" s="67">
        <f t="shared" si="17"/>
        <v>39571422</v>
      </c>
      <c r="AK23" s="309">
        <f t="shared" si="17"/>
        <v>42812919</v>
      </c>
      <c r="AL23" s="309">
        <f t="shared" si="17"/>
        <v>0</v>
      </c>
      <c r="AM23" s="309">
        <f t="shared" si="17"/>
        <v>0</v>
      </c>
      <c r="AN23" s="309">
        <f t="shared" si="17"/>
        <v>0</v>
      </c>
      <c r="AO23" s="309">
        <f t="shared" si="17"/>
        <v>0</v>
      </c>
    </row>
    <row r="24" spans="1:41">
      <c r="A24" s="17" t="s">
        <v>26</v>
      </c>
      <c r="B24" s="182">
        <v>3512.444</v>
      </c>
      <c r="C24" s="192">
        <v>21003549</v>
      </c>
      <c r="D24" s="188">
        <v>1347309</v>
      </c>
      <c r="E24" s="189">
        <v>3092017</v>
      </c>
      <c r="F24" s="189">
        <v>4755430</v>
      </c>
      <c r="G24" s="189">
        <v>6116773</v>
      </c>
      <c r="H24" s="189">
        <v>7695779</v>
      </c>
      <c r="I24" s="189">
        <v>9487565</v>
      </c>
      <c r="J24" s="189">
        <v>12335468</v>
      </c>
      <c r="K24" s="189">
        <v>13847231</v>
      </c>
      <c r="L24" s="189">
        <v>15270288</v>
      </c>
      <c r="M24" s="189">
        <v>17324377</v>
      </c>
      <c r="N24" s="189">
        <v>19319770</v>
      </c>
      <c r="O24" s="189">
        <v>17429683</v>
      </c>
      <c r="P24" s="197">
        <v>19109783</v>
      </c>
      <c r="Q24" s="18">
        <v>1420310</v>
      </c>
      <c r="R24" s="18">
        <v>2785854</v>
      </c>
      <c r="S24" s="18">
        <v>4584477</v>
      </c>
      <c r="T24" s="71">
        <v>6075761</v>
      </c>
      <c r="U24" s="71">
        <v>8358265</v>
      </c>
      <c r="V24" s="71">
        <v>9746132</v>
      </c>
      <c r="W24" s="71">
        <v>11128619</v>
      </c>
      <c r="X24" s="71">
        <v>12528250</v>
      </c>
      <c r="Y24" s="71">
        <v>14091316</v>
      </c>
      <c r="Z24" s="257">
        <v>15477583</v>
      </c>
      <c r="AA24" s="257">
        <v>16911038</v>
      </c>
      <c r="AB24" s="257">
        <v>18758205</v>
      </c>
      <c r="AC24" s="258">
        <v>18298205</v>
      </c>
      <c r="AD24" s="293">
        <v>2748133</v>
      </c>
      <c r="AE24" s="295">
        <v>5977144</v>
      </c>
      <c r="AF24" s="295">
        <v>7367535</v>
      </c>
      <c r="AG24" s="295">
        <v>9243562</v>
      </c>
      <c r="AH24" s="295">
        <v>11677886</v>
      </c>
      <c r="AI24" s="293">
        <v>13113768</v>
      </c>
      <c r="AJ24" s="293">
        <v>14710022</v>
      </c>
      <c r="AK24" s="304">
        <v>16269502</v>
      </c>
      <c r="AL24" s="304"/>
      <c r="AM24" s="304"/>
      <c r="AN24" s="304"/>
      <c r="AO24" s="304"/>
    </row>
    <row r="25" spans="1:41">
      <c r="A25" s="17" t="s">
        <v>27</v>
      </c>
      <c r="B25" s="182">
        <v>401.87299999999999</v>
      </c>
      <c r="C25" s="192">
        <v>4104017</v>
      </c>
      <c r="D25" s="188">
        <v>118460</v>
      </c>
      <c r="E25" s="189">
        <v>275660</v>
      </c>
      <c r="F25" s="189">
        <v>1258260</v>
      </c>
      <c r="G25" s="189">
        <v>1547760</v>
      </c>
      <c r="H25" s="189">
        <v>1838060</v>
      </c>
      <c r="I25" s="189">
        <v>2249360</v>
      </c>
      <c r="J25" s="189">
        <v>2543160</v>
      </c>
      <c r="K25" s="189">
        <v>2703060</v>
      </c>
      <c r="L25" s="189">
        <v>2871160</v>
      </c>
      <c r="M25" s="189">
        <v>2990060</v>
      </c>
      <c r="N25" s="189">
        <v>3205560</v>
      </c>
      <c r="O25" s="189">
        <v>3591060</v>
      </c>
      <c r="P25" s="193">
        <f>4459275-P26</f>
        <v>3591060</v>
      </c>
      <c r="Q25" s="18">
        <v>224500</v>
      </c>
      <c r="R25" s="18">
        <v>1640080</v>
      </c>
      <c r="S25" s="18">
        <v>3501090</v>
      </c>
      <c r="T25" s="71">
        <v>3636490</v>
      </c>
      <c r="U25" s="71">
        <v>3847660</v>
      </c>
      <c r="V25" s="71">
        <v>3979700</v>
      </c>
      <c r="W25" s="71">
        <v>4173590</v>
      </c>
      <c r="X25" s="71">
        <v>4355299</v>
      </c>
      <c r="Y25" s="71">
        <v>4749779</v>
      </c>
      <c r="Z25" s="257">
        <v>4912739</v>
      </c>
      <c r="AA25" s="257">
        <v>5063039</v>
      </c>
      <c r="AB25" s="257">
        <v>5638729</v>
      </c>
      <c r="AC25" s="258">
        <f>6850019-AC26</f>
        <v>5278729</v>
      </c>
      <c r="AD25" s="300">
        <v>542670</v>
      </c>
      <c r="AE25" s="301">
        <v>939920</v>
      </c>
      <c r="AF25" s="301">
        <v>3046150</v>
      </c>
      <c r="AG25" s="301">
        <v>3269670</v>
      </c>
      <c r="AH25" s="301">
        <v>3563240</v>
      </c>
      <c r="AI25" s="300">
        <v>4199160</v>
      </c>
      <c r="AJ25" s="300">
        <v>4646610</v>
      </c>
      <c r="AK25" s="304">
        <v>4820110</v>
      </c>
      <c r="AL25" s="304"/>
      <c r="AM25" s="304"/>
      <c r="AN25" s="304"/>
      <c r="AO25" s="304"/>
    </row>
    <row r="26" spans="1:41">
      <c r="A26" s="17" t="s">
        <v>28</v>
      </c>
      <c r="B26" s="182">
        <v>919.3528</v>
      </c>
      <c r="C26" s="192"/>
      <c r="D26" s="188">
        <v>28900</v>
      </c>
      <c r="E26" s="189">
        <v>57600</v>
      </c>
      <c r="F26" s="189">
        <v>227200</v>
      </c>
      <c r="G26" s="189">
        <v>250100</v>
      </c>
      <c r="H26" s="189">
        <v>277650</v>
      </c>
      <c r="I26" s="189">
        <v>320700</v>
      </c>
      <c r="J26" s="189">
        <v>386500</v>
      </c>
      <c r="K26" s="189">
        <v>524840</v>
      </c>
      <c r="L26" s="189">
        <v>560020</v>
      </c>
      <c r="M26" s="189">
        <v>805800</v>
      </c>
      <c r="N26" s="189">
        <v>858320</v>
      </c>
      <c r="O26" s="189">
        <v>868215</v>
      </c>
      <c r="P26" s="193">
        <v>868215</v>
      </c>
      <c r="Q26" s="18">
        <v>68500</v>
      </c>
      <c r="R26" s="18">
        <v>280700</v>
      </c>
      <c r="S26" s="18">
        <v>505000</v>
      </c>
      <c r="T26" s="71">
        <v>581500</v>
      </c>
      <c r="U26" s="71">
        <v>688400</v>
      </c>
      <c r="V26" s="71">
        <v>849310</v>
      </c>
      <c r="W26" s="71">
        <v>977510</v>
      </c>
      <c r="X26" s="71">
        <v>1110510</v>
      </c>
      <c r="Y26" s="71">
        <v>1175280</v>
      </c>
      <c r="Z26" s="257">
        <v>1319330</v>
      </c>
      <c r="AA26" s="257">
        <v>1425440</v>
      </c>
      <c r="AB26" s="257">
        <v>1571290</v>
      </c>
      <c r="AC26" s="258">
        <v>1571290</v>
      </c>
      <c r="AD26" s="300">
        <v>53050</v>
      </c>
      <c r="AE26" s="301">
        <v>389735</v>
      </c>
      <c r="AF26" s="301">
        <v>662855</v>
      </c>
      <c r="AG26" s="301">
        <v>1099705</v>
      </c>
      <c r="AH26" s="301">
        <v>1297005</v>
      </c>
      <c r="AI26" s="300">
        <v>1411055</v>
      </c>
      <c r="AJ26" s="300">
        <v>1559305</v>
      </c>
      <c r="AK26" s="304">
        <v>1698205</v>
      </c>
      <c r="AL26" s="304"/>
      <c r="AM26" s="304"/>
      <c r="AN26" s="304"/>
      <c r="AO26" s="304"/>
    </row>
    <row r="27" spans="1:41">
      <c r="A27" s="17" t="s">
        <v>29</v>
      </c>
      <c r="B27" s="182">
        <v>1276.981</v>
      </c>
      <c r="C27" s="192">
        <v>2525292</v>
      </c>
      <c r="D27" s="188">
        <v>214525</v>
      </c>
      <c r="E27" s="189">
        <v>412197</v>
      </c>
      <c r="F27" s="189">
        <v>614510</v>
      </c>
      <c r="G27" s="189">
        <v>980289</v>
      </c>
      <c r="H27" s="189">
        <v>1294557</v>
      </c>
      <c r="I27" s="189">
        <v>1561172</v>
      </c>
      <c r="J27" s="189">
        <v>1940083</v>
      </c>
      <c r="K27" s="189">
        <v>2217038</v>
      </c>
      <c r="L27" s="189">
        <v>2493508</v>
      </c>
      <c r="M27" s="189">
        <v>2770565</v>
      </c>
      <c r="N27" s="189">
        <v>3273377</v>
      </c>
      <c r="O27" s="189">
        <v>3594135</v>
      </c>
      <c r="P27" s="193">
        <v>3594135</v>
      </c>
      <c r="Q27" s="18">
        <v>221703</v>
      </c>
      <c r="R27" s="18">
        <v>387117</v>
      </c>
      <c r="S27" s="18">
        <v>609426</v>
      </c>
      <c r="T27" s="71">
        <v>969136</v>
      </c>
      <c r="U27" s="71">
        <v>1210670</v>
      </c>
      <c r="V27" s="71">
        <v>1487826</v>
      </c>
      <c r="W27" s="71">
        <v>1738915</v>
      </c>
      <c r="X27" s="71">
        <v>1987332</v>
      </c>
      <c r="Y27" s="71">
        <v>2235748</v>
      </c>
      <c r="Z27" s="257">
        <v>2484165</v>
      </c>
      <c r="AA27" s="257">
        <v>2558622</v>
      </c>
      <c r="AB27" s="257">
        <v>3465247</v>
      </c>
      <c r="AC27" s="258">
        <v>3465248</v>
      </c>
      <c r="AD27" s="300">
        <v>229554</v>
      </c>
      <c r="AE27" s="301">
        <v>459108</v>
      </c>
      <c r="AF27" s="301">
        <v>730564</v>
      </c>
      <c r="AG27" s="301">
        <v>975503</v>
      </c>
      <c r="AH27" s="301">
        <v>1258742</v>
      </c>
      <c r="AI27" s="300">
        <v>1477036</v>
      </c>
      <c r="AJ27" s="300">
        <v>1723209</v>
      </c>
      <c r="AK27" s="304">
        <v>2215555</v>
      </c>
      <c r="AL27" s="304"/>
      <c r="AM27" s="304"/>
      <c r="AN27" s="304"/>
      <c r="AO27" s="304"/>
    </row>
    <row r="28" spans="1:41">
      <c r="A28" s="17" t="s">
        <v>30</v>
      </c>
      <c r="B28" s="182">
        <v>4908.7290999999996</v>
      </c>
      <c r="C28" s="192">
        <v>14132715</v>
      </c>
      <c r="D28" s="188">
        <v>1016595</v>
      </c>
      <c r="E28" s="189">
        <v>4750925</v>
      </c>
      <c r="F28" s="189">
        <v>4658340</v>
      </c>
      <c r="G28" s="189">
        <v>5884775</v>
      </c>
      <c r="H28" s="189">
        <v>6636942</v>
      </c>
      <c r="I28" s="189">
        <v>8492626</v>
      </c>
      <c r="J28" s="189">
        <v>9461535</v>
      </c>
      <c r="K28" s="189">
        <v>10946397</v>
      </c>
      <c r="L28" s="189">
        <v>12515358</v>
      </c>
      <c r="M28" s="189">
        <v>13380691</v>
      </c>
      <c r="N28" s="189">
        <v>15975190</v>
      </c>
      <c r="O28" s="189">
        <v>19400679</v>
      </c>
      <c r="P28" s="198">
        <f>17863179-142600</f>
        <v>17720579</v>
      </c>
      <c r="Q28" s="18">
        <v>1721829</v>
      </c>
      <c r="R28" s="18">
        <v>5674610</v>
      </c>
      <c r="S28" s="18">
        <v>7081516</v>
      </c>
      <c r="T28" s="71">
        <v>9279700</v>
      </c>
      <c r="U28" s="71">
        <v>7714250</v>
      </c>
      <c r="V28" s="71">
        <v>10491694</v>
      </c>
      <c r="W28" s="71">
        <v>11547184</v>
      </c>
      <c r="X28" s="71">
        <v>13045695</v>
      </c>
      <c r="Y28" s="71">
        <v>16414496</v>
      </c>
      <c r="Z28" s="257">
        <v>18451612</v>
      </c>
      <c r="AA28" s="257">
        <v>21757070</v>
      </c>
      <c r="AB28" s="257">
        <v>20557818</v>
      </c>
      <c r="AC28" s="258">
        <f>20682918-AC36</f>
        <v>20557818</v>
      </c>
      <c r="AD28" s="300">
        <v>1967935</v>
      </c>
      <c r="AE28" s="301">
        <v>4709928</v>
      </c>
      <c r="AF28" s="301">
        <v>7314289</v>
      </c>
      <c r="AG28" s="301">
        <v>10708493</v>
      </c>
      <c r="AH28" s="301">
        <v>11988478</v>
      </c>
      <c r="AI28" s="300">
        <v>15385750</v>
      </c>
      <c r="AJ28" s="300">
        <v>16932276</v>
      </c>
      <c r="AK28" s="304">
        <v>17809547</v>
      </c>
      <c r="AL28" s="304"/>
      <c r="AM28" s="304"/>
      <c r="AN28" s="304"/>
      <c r="AO28" s="304"/>
    </row>
    <row r="29" spans="1:41">
      <c r="A29" s="16" t="s">
        <v>31</v>
      </c>
      <c r="B29" s="181">
        <f t="shared" ref="B29:J29" si="18">B19-B20-B23</f>
        <v>3030.7829468990003</v>
      </c>
      <c r="C29" s="175">
        <f t="shared" si="18"/>
        <v>4911414</v>
      </c>
      <c r="D29" s="172">
        <f t="shared" si="18"/>
        <v>4292351</v>
      </c>
      <c r="E29" s="67">
        <f t="shared" si="18"/>
        <v>4777257</v>
      </c>
      <c r="F29" s="67">
        <f t="shared" si="18"/>
        <v>9624438</v>
      </c>
      <c r="G29" s="67">
        <f t="shared" si="18"/>
        <v>16074622</v>
      </c>
      <c r="H29" s="67">
        <f t="shared" si="18"/>
        <v>18381500</v>
      </c>
      <c r="I29" s="67">
        <f t="shared" si="18"/>
        <v>17644501</v>
      </c>
      <c r="J29" s="67">
        <f t="shared" si="18"/>
        <v>16426451</v>
      </c>
      <c r="K29" s="67">
        <f t="shared" ref="K29:AJ29" si="19">K19-K20-K23</f>
        <v>17779925</v>
      </c>
      <c r="L29" s="67">
        <f t="shared" si="19"/>
        <v>19741219</v>
      </c>
      <c r="M29" s="67">
        <f t="shared" si="19"/>
        <v>22103530</v>
      </c>
      <c r="N29" s="67">
        <f t="shared" si="19"/>
        <v>20589943</v>
      </c>
      <c r="O29" s="67">
        <f t="shared" si="19"/>
        <v>15536199</v>
      </c>
      <c r="P29" s="67">
        <f t="shared" si="19"/>
        <v>15336199</v>
      </c>
      <c r="Q29" s="67">
        <f t="shared" si="19"/>
        <v>3436258</v>
      </c>
      <c r="R29" s="67">
        <f t="shared" si="19"/>
        <v>2837073</v>
      </c>
      <c r="S29" s="67">
        <f t="shared" si="19"/>
        <v>10309787</v>
      </c>
      <c r="T29" s="67">
        <f t="shared" si="19"/>
        <v>20576316</v>
      </c>
      <c r="U29" s="67">
        <f t="shared" si="19"/>
        <v>22915004</v>
      </c>
      <c r="V29" s="67">
        <f t="shared" si="19"/>
        <v>22343027</v>
      </c>
      <c r="W29" s="67">
        <f t="shared" si="19"/>
        <v>14462028</v>
      </c>
      <c r="X29" s="67">
        <f t="shared" si="19"/>
        <v>20909576</v>
      </c>
      <c r="Y29" s="67">
        <f t="shared" si="19"/>
        <v>24004962</v>
      </c>
      <c r="Z29" s="67">
        <f t="shared" si="19"/>
        <v>28628974</v>
      </c>
      <c r="AA29" s="67">
        <f t="shared" si="19"/>
        <v>29862835</v>
      </c>
      <c r="AB29" s="67">
        <f t="shared" si="19"/>
        <v>34169930</v>
      </c>
      <c r="AC29" s="67">
        <f t="shared" si="19"/>
        <v>37027816</v>
      </c>
      <c r="AD29" s="67">
        <f t="shared" si="19"/>
        <v>1622652</v>
      </c>
      <c r="AE29" s="67">
        <f t="shared" si="19"/>
        <v>1000344</v>
      </c>
      <c r="AF29" s="67">
        <f t="shared" si="19"/>
        <v>4601304</v>
      </c>
      <c r="AG29" s="67">
        <f t="shared" si="19"/>
        <v>3364833</v>
      </c>
      <c r="AH29" s="67">
        <f t="shared" si="19"/>
        <v>6636108</v>
      </c>
      <c r="AI29" s="67">
        <f t="shared" si="19"/>
        <v>8044411</v>
      </c>
      <c r="AJ29" s="67">
        <f t="shared" si="19"/>
        <v>13999371</v>
      </c>
      <c r="AK29" s="309">
        <f t="shared" ref="AK29:AO29" si="20">AK19-AK20-AK23</f>
        <v>19617139</v>
      </c>
      <c r="AL29" s="309">
        <f t="shared" si="20"/>
        <v>0</v>
      </c>
      <c r="AM29" s="309">
        <f t="shared" si="20"/>
        <v>0</v>
      </c>
      <c r="AN29" s="309">
        <f t="shared" si="20"/>
        <v>0</v>
      </c>
      <c r="AO29" s="309">
        <f t="shared" si="20"/>
        <v>0</v>
      </c>
    </row>
    <row r="30" spans="1:41">
      <c r="A30" s="16" t="s">
        <v>32</v>
      </c>
      <c r="B30" s="181">
        <f t="shared" ref="B30:AJ30" si="21">B31-B32</f>
        <v>0</v>
      </c>
      <c r="C30" s="177">
        <v>0</v>
      </c>
      <c r="D30" s="172">
        <f t="shared" si="21"/>
        <v>0</v>
      </c>
      <c r="E30" s="67">
        <f t="shared" si="21"/>
        <v>0</v>
      </c>
      <c r="F30" s="67">
        <f t="shared" si="21"/>
        <v>0</v>
      </c>
      <c r="G30" s="67">
        <f t="shared" si="21"/>
        <v>0</v>
      </c>
      <c r="H30" s="67">
        <f t="shared" si="21"/>
        <v>0</v>
      </c>
      <c r="I30" s="67">
        <f t="shared" si="21"/>
        <v>0</v>
      </c>
      <c r="J30" s="67">
        <f t="shared" si="21"/>
        <v>0</v>
      </c>
      <c r="K30" s="67">
        <f>K31-K32</f>
        <v>0</v>
      </c>
      <c r="L30" s="67">
        <f>L31-L32</f>
        <v>0</v>
      </c>
      <c r="M30" s="67">
        <f>M31-M32</f>
        <v>0</v>
      </c>
      <c r="N30" s="67">
        <f>N31-N32</f>
        <v>0</v>
      </c>
      <c r="O30" s="67">
        <f>O31-O32</f>
        <v>-2529357</v>
      </c>
      <c r="P30" s="67">
        <f t="shared" si="21"/>
        <v>441700</v>
      </c>
      <c r="Q30" s="67">
        <f t="shared" si="21"/>
        <v>0</v>
      </c>
      <c r="R30" s="67">
        <f t="shared" si="21"/>
        <v>0</v>
      </c>
      <c r="S30" s="67">
        <f t="shared" si="21"/>
        <v>0</v>
      </c>
      <c r="T30" s="67">
        <f t="shared" si="21"/>
        <v>0</v>
      </c>
      <c r="U30" s="67">
        <f t="shared" si="21"/>
        <v>0</v>
      </c>
      <c r="V30" s="67">
        <f t="shared" si="21"/>
        <v>0</v>
      </c>
      <c r="W30" s="67">
        <f t="shared" si="21"/>
        <v>0</v>
      </c>
      <c r="X30" s="67">
        <f t="shared" si="21"/>
        <v>0</v>
      </c>
      <c r="Y30" s="67">
        <f t="shared" si="21"/>
        <v>0</v>
      </c>
      <c r="Z30" s="67">
        <f t="shared" si="21"/>
        <v>0</v>
      </c>
      <c r="AA30" s="67">
        <f t="shared" si="21"/>
        <v>0</v>
      </c>
      <c r="AB30" s="67">
        <f t="shared" si="21"/>
        <v>0</v>
      </c>
      <c r="AC30" s="67">
        <f t="shared" si="21"/>
        <v>0</v>
      </c>
      <c r="AD30" s="67">
        <f t="shared" si="21"/>
        <v>0</v>
      </c>
      <c r="AE30" s="67">
        <f t="shared" si="21"/>
        <v>0</v>
      </c>
      <c r="AF30" s="67">
        <f t="shared" si="21"/>
        <v>0</v>
      </c>
      <c r="AG30" s="67">
        <f t="shared" si="21"/>
        <v>0</v>
      </c>
      <c r="AH30" s="67">
        <f t="shared" si="21"/>
        <v>0</v>
      </c>
      <c r="AI30" s="67">
        <f t="shared" si="21"/>
        <v>0</v>
      </c>
      <c r="AJ30" s="67">
        <f t="shared" si="21"/>
        <v>0</v>
      </c>
      <c r="AK30" s="309">
        <f t="shared" ref="AK30:AO30" si="22">AK31-AK32</f>
        <v>0</v>
      </c>
      <c r="AL30" s="309">
        <f t="shared" si="22"/>
        <v>0</v>
      </c>
      <c r="AM30" s="309">
        <f t="shared" si="22"/>
        <v>0</v>
      </c>
      <c r="AN30" s="309">
        <f t="shared" si="22"/>
        <v>0</v>
      </c>
      <c r="AO30" s="309">
        <f t="shared" si="22"/>
        <v>0</v>
      </c>
    </row>
    <row r="31" spans="1:41">
      <c r="A31" s="17" t="s">
        <v>33</v>
      </c>
      <c r="B31" s="182"/>
      <c r="C31" s="176" t="s">
        <v>10</v>
      </c>
      <c r="D31" s="188">
        <v>0</v>
      </c>
      <c r="E31" s="189">
        <v>0</v>
      </c>
      <c r="F31" s="189">
        <v>0</v>
      </c>
      <c r="G31" s="189">
        <v>0</v>
      </c>
      <c r="H31" s="189">
        <v>0</v>
      </c>
      <c r="I31" s="189">
        <v>0</v>
      </c>
      <c r="J31" s="189">
        <v>0</v>
      </c>
      <c r="K31" s="189">
        <v>0</v>
      </c>
      <c r="L31" s="189">
        <v>0</v>
      </c>
      <c r="M31" s="189">
        <v>0</v>
      </c>
      <c r="N31" s="189">
        <v>0</v>
      </c>
      <c r="O31" s="189">
        <v>0</v>
      </c>
      <c r="P31" s="168">
        <v>441700</v>
      </c>
      <c r="Q31" s="18">
        <v>0</v>
      </c>
      <c r="R31" s="18">
        <v>0</v>
      </c>
      <c r="S31" s="18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257">
        <v>0</v>
      </c>
      <c r="AA31" s="257">
        <v>0</v>
      </c>
      <c r="AB31" s="257">
        <v>0</v>
      </c>
      <c r="AD31" s="292">
        <v>0</v>
      </c>
      <c r="AE31" s="294">
        <v>0</v>
      </c>
      <c r="AF31" s="294">
        <v>0</v>
      </c>
      <c r="AG31" s="294">
        <v>0</v>
      </c>
      <c r="AH31" s="294">
        <v>0</v>
      </c>
      <c r="AI31" s="292">
        <v>0</v>
      </c>
      <c r="AJ31" s="292">
        <v>0</v>
      </c>
      <c r="AK31" s="304">
        <v>0</v>
      </c>
      <c r="AL31" s="304"/>
      <c r="AM31" s="304"/>
      <c r="AN31" s="304"/>
      <c r="AO31" s="304"/>
    </row>
    <row r="32" spans="1:41">
      <c r="A32" s="17" t="s">
        <v>34</v>
      </c>
      <c r="B32" s="182"/>
      <c r="C32" s="176" t="s">
        <v>10</v>
      </c>
      <c r="D32" s="188">
        <v>0</v>
      </c>
      <c r="E32" s="189">
        <v>0</v>
      </c>
      <c r="F32" s="189">
        <v>0</v>
      </c>
      <c r="G32" s="189">
        <v>0</v>
      </c>
      <c r="H32" s="189">
        <v>0</v>
      </c>
      <c r="I32" s="189">
        <v>0</v>
      </c>
      <c r="J32" s="189">
        <v>0</v>
      </c>
      <c r="K32" s="189">
        <v>0</v>
      </c>
      <c r="L32" s="189">
        <v>0</v>
      </c>
      <c r="M32" s="189">
        <v>0</v>
      </c>
      <c r="N32" s="189">
        <v>0</v>
      </c>
      <c r="O32" s="189">
        <v>2529357</v>
      </c>
      <c r="P32" s="168"/>
      <c r="Q32" s="18">
        <v>0</v>
      </c>
      <c r="R32" s="18">
        <v>0</v>
      </c>
      <c r="S32" s="18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257">
        <v>0</v>
      </c>
      <c r="AA32" s="257">
        <v>0</v>
      </c>
      <c r="AB32" s="257">
        <v>0</v>
      </c>
      <c r="AD32" s="296">
        <v>0</v>
      </c>
      <c r="AE32" s="297">
        <v>0</v>
      </c>
      <c r="AF32" s="297">
        <v>0</v>
      </c>
      <c r="AG32" s="297">
        <v>0</v>
      </c>
      <c r="AH32" s="297">
        <v>0</v>
      </c>
      <c r="AI32" s="296">
        <v>0</v>
      </c>
      <c r="AJ32" s="296">
        <v>0</v>
      </c>
      <c r="AK32" s="304">
        <v>0</v>
      </c>
      <c r="AL32" s="304"/>
      <c r="AM32" s="304"/>
      <c r="AN32" s="304"/>
      <c r="AO32" s="304"/>
    </row>
    <row r="33" spans="1:41">
      <c r="A33" s="19" t="s">
        <v>35</v>
      </c>
      <c r="B33" s="184">
        <f t="shared" ref="B33:AO33" si="23">B29+B30</f>
        <v>3030.7829468990003</v>
      </c>
      <c r="C33" s="178">
        <f t="shared" si="23"/>
        <v>4911414</v>
      </c>
      <c r="D33" s="173">
        <f t="shared" si="23"/>
        <v>4292351</v>
      </c>
      <c r="E33" s="68">
        <f t="shared" si="23"/>
        <v>4777257</v>
      </c>
      <c r="F33" s="68">
        <f t="shared" si="23"/>
        <v>9624438</v>
      </c>
      <c r="G33" s="68">
        <f t="shared" si="23"/>
        <v>16074622</v>
      </c>
      <c r="H33" s="68">
        <f t="shared" si="23"/>
        <v>18381500</v>
      </c>
      <c r="I33" s="68">
        <f t="shared" si="23"/>
        <v>17644501</v>
      </c>
      <c r="J33" s="68">
        <f t="shared" si="23"/>
        <v>16426451</v>
      </c>
      <c r="K33" s="68">
        <f t="shared" si="23"/>
        <v>17779925</v>
      </c>
      <c r="L33" s="68">
        <f t="shared" si="23"/>
        <v>19741219</v>
      </c>
      <c r="M33" s="68">
        <f t="shared" si="23"/>
        <v>22103530</v>
      </c>
      <c r="N33" s="68">
        <f t="shared" si="23"/>
        <v>20589943</v>
      </c>
      <c r="O33" s="68">
        <f t="shared" si="23"/>
        <v>13006842</v>
      </c>
      <c r="P33" s="68">
        <f t="shared" si="23"/>
        <v>15777899</v>
      </c>
      <c r="Q33" s="68">
        <f t="shared" si="23"/>
        <v>3436258</v>
      </c>
      <c r="R33" s="68">
        <f t="shared" si="23"/>
        <v>2837073</v>
      </c>
      <c r="S33" s="68">
        <f t="shared" si="23"/>
        <v>10309787</v>
      </c>
      <c r="T33" s="68">
        <f t="shared" si="23"/>
        <v>20576316</v>
      </c>
      <c r="U33" s="68">
        <f t="shared" si="23"/>
        <v>22915004</v>
      </c>
      <c r="V33" s="68">
        <f t="shared" si="23"/>
        <v>22343027</v>
      </c>
      <c r="W33" s="68">
        <f t="shared" si="23"/>
        <v>14462028</v>
      </c>
      <c r="X33" s="68">
        <f t="shared" si="23"/>
        <v>20909576</v>
      </c>
      <c r="Y33" s="68">
        <f t="shared" si="23"/>
        <v>24004962</v>
      </c>
      <c r="Z33" s="68">
        <f t="shared" si="23"/>
        <v>28628974</v>
      </c>
      <c r="AA33" s="68">
        <f t="shared" si="23"/>
        <v>29862835</v>
      </c>
      <c r="AB33" s="68">
        <f t="shared" si="23"/>
        <v>34169930</v>
      </c>
      <c r="AC33" s="68">
        <f t="shared" si="23"/>
        <v>37027816</v>
      </c>
      <c r="AD33" s="68">
        <f t="shared" si="23"/>
        <v>1622652</v>
      </c>
      <c r="AE33" s="68">
        <f t="shared" si="23"/>
        <v>1000344</v>
      </c>
      <c r="AF33" s="68">
        <f t="shared" si="23"/>
        <v>4601304</v>
      </c>
      <c r="AG33" s="68">
        <f t="shared" si="23"/>
        <v>3364833</v>
      </c>
      <c r="AH33" s="68">
        <f t="shared" si="23"/>
        <v>6636108</v>
      </c>
      <c r="AI33" s="68">
        <f t="shared" si="23"/>
        <v>8044411</v>
      </c>
      <c r="AJ33" s="68">
        <f t="shared" si="23"/>
        <v>13999371</v>
      </c>
      <c r="AK33" s="311">
        <f t="shared" si="23"/>
        <v>19617139</v>
      </c>
      <c r="AL33" s="311">
        <f t="shared" si="23"/>
        <v>0</v>
      </c>
      <c r="AM33" s="311">
        <f t="shared" si="23"/>
        <v>0</v>
      </c>
      <c r="AN33" s="311">
        <f t="shared" si="23"/>
        <v>0</v>
      </c>
      <c r="AO33" s="311">
        <f t="shared" si="23"/>
        <v>0</v>
      </c>
    </row>
    <row r="34" spans="1:41">
      <c r="A34" s="17" t="s">
        <v>36</v>
      </c>
      <c r="B34" s="182">
        <v>20</v>
      </c>
      <c r="C34" s="192">
        <v>2147442</v>
      </c>
      <c r="D34" s="188">
        <v>237867</v>
      </c>
      <c r="E34" s="189">
        <v>248779</v>
      </c>
      <c r="F34" s="189">
        <v>396897</v>
      </c>
      <c r="G34" s="189">
        <v>301068</v>
      </c>
      <c r="H34" s="189">
        <v>312518</v>
      </c>
      <c r="I34" s="189">
        <v>343574</v>
      </c>
      <c r="J34" s="189">
        <v>0</v>
      </c>
      <c r="K34" s="189">
        <v>0</v>
      </c>
      <c r="L34" s="189">
        <v>0</v>
      </c>
      <c r="M34" s="189">
        <v>0</v>
      </c>
      <c r="N34" s="189">
        <v>0</v>
      </c>
      <c r="O34" s="189">
        <v>4546814</v>
      </c>
      <c r="P34" s="197">
        <v>4546814</v>
      </c>
      <c r="Q34" s="18">
        <v>300000</v>
      </c>
      <c r="R34" s="18">
        <v>0</v>
      </c>
      <c r="S34" s="18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s="257">
        <v>0</v>
      </c>
      <c r="AA34" s="257">
        <v>0</v>
      </c>
      <c r="AB34" s="257">
        <v>369209</v>
      </c>
      <c r="AC34" s="258">
        <v>167995</v>
      </c>
      <c r="AD34">
        <v>0</v>
      </c>
      <c r="AE34">
        <v>0</v>
      </c>
      <c r="AF34">
        <v>0</v>
      </c>
      <c r="AG34">
        <v>0</v>
      </c>
      <c r="AH34">
        <v>0</v>
      </c>
      <c r="AI34" s="292">
        <v>0</v>
      </c>
      <c r="AJ34">
        <v>0</v>
      </c>
      <c r="AK34" s="304">
        <v>0</v>
      </c>
      <c r="AL34" s="304"/>
      <c r="AM34" s="304"/>
      <c r="AN34" s="304"/>
      <c r="AO34" s="304"/>
    </row>
    <row r="35" spans="1:41">
      <c r="A35" s="16" t="s">
        <v>37</v>
      </c>
      <c r="B35" s="181">
        <f t="shared" ref="B35:AD35" si="24">B33-B34</f>
        <v>3010.7829468990003</v>
      </c>
      <c r="C35" s="175">
        <f t="shared" si="24"/>
        <v>2763972</v>
      </c>
      <c r="D35" s="172">
        <f t="shared" si="24"/>
        <v>4054484</v>
      </c>
      <c r="E35" s="67">
        <f t="shared" si="24"/>
        <v>4528478</v>
      </c>
      <c r="F35" s="67">
        <f t="shared" si="24"/>
        <v>9227541</v>
      </c>
      <c r="G35" s="67">
        <f t="shared" si="24"/>
        <v>15773554</v>
      </c>
      <c r="H35" s="67">
        <f t="shared" si="24"/>
        <v>18068982</v>
      </c>
      <c r="I35" s="67">
        <f t="shared" si="24"/>
        <v>17300927</v>
      </c>
      <c r="J35" s="67">
        <f t="shared" si="24"/>
        <v>16426451</v>
      </c>
      <c r="K35" s="67">
        <f t="shared" si="24"/>
        <v>17779925</v>
      </c>
      <c r="L35" s="67">
        <f t="shared" si="24"/>
        <v>19741219</v>
      </c>
      <c r="M35" s="67">
        <f t="shared" si="24"/>
        <v>22103530</v>
      </c>
      <c r="N35" s="67">
        <f t="shared" si="24"/>
        <v>20589943</v>
      </c>
      <c r="O35" s="67">
        <f t="shared" si="24"/>
        <v>8460028</v>
      </c>
      <c r="P35" s="67">
        <f t="shared" si="24"/>
        <v>11231085</v>
      </c>
      <c r="Q35" s="67">
        <f t="shared" si="24"/>
        <v>3136258</v>
      </c>
      <c r="R35" s="67">
        <f t="shared" si="24"/>
        <v>2837073</v>
      </c>
      <c r="S35" s="67">
        <f t="shared" si="24"/>
        <v>10309787</v>
      </c>
      <c r="T35" s="67">
        <f t="shared" si="24"/>
        <v>20576316</v>
      </c>
      <c r="U35" s="67">
        <f t="shared" si="24"/>
        <v>22915004</v>
      </c>
      <c r="V35" s="67">
        <f t="shared" si="24"/>
        <v>22343027</v>
      </c>
      <c r="W35" s="67">
        <f t="shared" si="24"/>
        <v>14462028</v>
      </c>
      <c r="X35" s="67">
        <f t="shared" si="24"/>
        <v>20909576</v>
      </c>
      <c r="Y35" s="67">
        <f t="shared" si="24"/>
        <v>24004962</v>
      </c>
      <c r="Z35" s="67">
        <f t="shared" si="24"/>
        <v>28628974</v>
      </c>
      <c r="AA35" s="67">
        <f t="shared" si="24"/>
        <v>29862835</v>
      </c>
      <c r="AB35" s="67">
        <f t="shared" si="24"/>
        <v>33800721</v>
      </c>
      <c r="AC35" s="67">
        <f t="shared" si="24"/>
        <v>36859821</v>
      </c>
      <c r="AD35" s="67">
        <f t="shared" si="24"/>
        <v>1622652</v>
      </c>
      <c r="AE35" s="67">
        <f t="shared" ref="AE35:AO35" si="25">AE33-AE34</f>
        <v>1000344</v>
      </c>
      <c r="AF35" s="67">
        <f t="shared" si="25"/>
        <v>4601304</v>
      </c>
      <c r="AG35" s="67">
        <f t="shared" si="25"/>
        <v>3364833</v>
      </c>
      <c r="AH35" s="67">
        <f t="shared" si="25"/>
        <v>6636108</v>
      </c>
      <c r="AI35" s="67">
        <f t="shared" si="25"/>
        <v>8044411</v>
      </c>
      <c r="AJ35" s="67">
        <f t="shared" si="25"/>
        <v>13999371</v>
      </c>
      <c r="AK35" s="309">
        <f t="shared" si="25"/>
        <v>19617139</v>
      </c>
      <c r="AL35" s="309">
        <f t="shared" si="25"/>
        <v>0</v>
      </c>
      <c r="AM35" s="309">
        <f t="shared" si="25"/>
        <v>0</v>
      </c>
      <c r="AN35" s="309">
        <f t="shared" si="25"/>
        <v>0</v>
      </c>
      <c r="AO35" s="309">
        <f t="shared" si="25"/>
        <v>0</v>
      </c>
    </row>
    <row r="36" spans="1:41">
      <c r="A36" s="17" t="s">
        <v>38</v>
      </c>
      <c r="B36" s="182"/>
      <c r="C36" s="192"/>
      <c r="D36" s="188">
        <v>0</v>
      </c>
      <c r="E36" s="189">
        <v>30000</v>
      </c>
      <c r="F36" s="189">
        <v>40000</v>
      </c>
      <c r="G36" s="189">
        <v>40000</v>
      </c>
      <c r="H36" s="189">
        <v>55000</v>
      </c>
      <c r="I36" s="189">
        <v>55000</v>
      </c>
      <c r="J36" s="189">
        <v>60000</v>
      </c>
      <c r="K36" s="189">
        <v>75600</v>
      </c>
      <c r="L36" s="189">
        <v>80600</v>
      </c>
      <c r="M36" s="189">
        <v>100600</v>
      </c>
      <c r="N36" s="189">
        <v>125600</v>
      </c>
      <c r="O36" s="187">
        <v>142600</v>
      </c>
      <c r="P36" s="168">
        <v>142600</v>
      </c>
      <c r="Q36" s="18">
        <v>5000</v>
      </c>
      <c r="R36" s="18">
        <v>17000</v>
      </c>
      <c r="S36" s="18">
        <v>17000</v>
      </c>
      <c r="T36" s="71">
        <v>22000</v>
      </c>
      <c r="U36" s="71">
        <v>32000</v>
      </c>
      <c r="V36" s="71">
        <v>99100</v>
      </c>
      <c r="W36" s="71">
        <v>104100</v>
      </c>
      <c r="X36" s="71">
        <v>114100</v>
      </c>
      <c r="Y36" s="71">
        <v>114100</v>
      </c>
      <c r="Z36" s="257">
        <v>114100</v>
      </c>
      <c r="AA36" s="257">
        <v>125100</v>
      </c>
      <c r="AB36" s="257">
        <v>125100</v>
      </c>
      <c r="AC36" s="258">
        <v>125100</v>
      </c>
      <c r="AD36" s="293">
        <v>5000</v>
      </c>
      <c r="AE36" s="295">
        <v>10000</v>
      </c>
      <c r="AF36" s="295">
        <v>20000</v>
      </c>
      <c r="AG36" s="295">
        <v>25000</v>
      </c>
      <c r="AH36" s="295">
        <v>30000</v>
      </c>
      <c r="AI36" s="293">
        <v>35000</v>
      </c>
      <c r="AJ36" s="293">
        <v>40000</v>
      </c>
      <c r="AK36" s="304">
        <v>40000</v>
      </c>
      <c r="AL36" s="304"/>
      <c r="AM36" s="304"/>
      <c r="AN36" s="304"/>
      <c r="AO36" s="304"/>
    </row>
    <row r="37" spans="1:41">
      <c r="A37" s="16" t="s">
        <v>39</v>
      </c>
      <c r="B37" s="181">
        <f t="shared" ref="B37:O37" si="26">B35-B36</f>
        <v>3010.7829468990003</v>
      </c>
      <c r="C37" s="175">
        <f t="shared" si="26"/>
        <v>2763972</v>
      </c>
      <c r="D37" s="172">
        <f t="shared" si="26"/>
        <v>4054484</v>
      </c>
      <c r="E37" s="67">
        <f t="shared" si="26"/>
        <v>4498478</v>
      </c>
      <c r="F37" s="67">
        <f t="shared" si="26"/>
        <v>9187541</v>
      </c>
      <c r="G37" s="67">
        <f t="shared" si="26"/>
        <v>15733554</v>
      </c>
      <c r="H37" s="67">
        <f t="shared" si="26"/>
        <v>18013982</v>
      </c>
      <c r="I37" s="67">
        <f t="shared" si="26"/>
        <v>17245927</v>
      </c>
      <c r="J37" s="67">
        <f t="shared" si="26"/>
        <v>16366451</v>
      </c>
      <c r="K37" s="67">
        <f t="shared" si="26"/>
        <v>17704325</v>
      </c>
      <c r="L37" s="67">
        <f t="shared" si="26"/>
        <v>19660619</v>
      </c>
      <c r="M37" s="67">
        <f t="shared" si="26"/>
        <v>22002930</v>
      </c>
      <c r="N37" s="67">
        <f t="shared" si="26"/>
        <v>20464343</v>
      </c>
      <c r="O37" s="67">
        <f t="shared" si="26"/>
        <v>8317428</v>
      </c>
      <c r="P37" s="67">
        <f>P35-P36</f>
        <v>11088485</v>
      </c>
      <c r="Q37" s="67">
        <f t="shared" ref="Q37:AO37" si="27">Q35-Q36</f>
        <v>3131258</v>
      </c>
      <c r="R37" s="67">
        <f t="shared" si="27"/>
        <v>2820073</v>
      </c>
      <c r="S37" s="67">
        <f t="shared" si="27"/>
        <v>10292787</v>
      </c>
      <c r="T37" s="67">
        <f t="shared" si="27"/>
        <v>20554316</v>
      </c>
      <c r="U37" s="67">
        <f t="shared" si="27"/>
        <v>22883004</v>
      </c>
      <c r="V37" s="67">
        <f t="shared" si="27"/>
        <v>22243927</v>
      </c>
      <c r="W37" s="67">
        <f t="shared" si="27"/>
        <v>14357928</v>
      </c>
      <c r="X37" s="67">
        <f t="shared" si="27"/>
        <v>20795476</v>
      </c>
      <c r="Y37" s="67">
        <f t="shared" si="27"/>
        <v>23890862</v>
      </c>
      <c r="Z37" s="67">
        <f t="shared" si="27"/>
        <v>28514874</v>
      </c>
      <c r="AA37" s="67">
        <f t="shared" si="27"/>
        <v>29737735</v>
      </c>
      <c r="AB37" s="67">
        <f t="shared" si="27"/>
        <v>33675621</v>
      </c>
      <c r="AC37" s="67">
        <f t="shared" si="27"/>
        <v>36734721</v>
      </c>
      <c r="AD37" s="67">
        <f t="shared" si="27"/>
        <v>1617652</v>
      </c>
      <c r="AE37" s="67">
        <f t="shared" si="27"/>
        <v>990344</v>
      </c>
      <c r="AF37" s="67">
        <f t="shared" si="27"/>
        <v>4581304</v>
      </c>
      <c r="AG37" s="67">
        <f t="shared" si="27"/>
        <v>3339833</v>
      </c>
      <c r="AH37" s="67">
        <f t="shared" si="27"/>
        <v>6606108</v>
      </c>
      <c r="AI37" s="67">
        <f t="shared" si="27"/>
        <v>8009411</v>
      </c>
      <c r="AJ37" s="67">
        <f t="shared" si="27"/>
        <v>13959371</v>
      </c>
      <c r="AK37" s="309">
        <f t="shared" si="27"/>
        <v>19577139</v>
      </c>
      <c r="AL37" s="309">
        <f t="shared" si="27"/>
        <v>0</v>
      </c>
      <c r="AM37" s="309">
        <f t="shared" si="27"/>
        <v>0</v>
      </c>
      <c r="AN37" s="309">
        <f t="shared" si="27"/>
        <v>0</v>
      </c>
      <c r="AO37" s="309">
        <f t="shared" si="27"/>
        <v>0</v>
      </c>
    </row>
    <row r="38" spans="1:41">
      <c r="A38" s="199"/>
      <c r="B38" s="199"/>
      <c r="C38" s="200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199"/>
      <c r="R38" s="199"/>
      <c r="S38" s="199"/>
      <c r="AK38" s="304"/>
      <c r="AL38" s="304"/>
      <c r="AM38" s="304"/>
      <c r="AN38" s="304"/>
      <c r="AO38" s="304"/>
    </row>
    <row r="39" spans="1:41" s="29" customFormat="1">
      <c r="A39" s="202" t="s">
        <v>40</v>
      </c>
      <c r="B39" s="203">
        <f>B12+B23</f>
        <v>11568.464599999999</v>
      </c>
      <c r="C39" s="204">
        <f>C12+C23</f>
        <v>100491962</v>
      </c>
      <c r="D39" s="203">
        <f>D12+D23</f>
        <v>4786981</v>
      </c>
      <c r="E39" s="203">
        <f>E12+E23</f>
        <v>13768435</v>
      </c>
      <c r="F39" s="203">
        <f>F12+F23</f>
        <v>20687329</v>
      </c>
      <c r="G39" s="203">
        <f t="shared" ref="G39:N39" si="28">G12+G23</f>
        <v>27024049</v>
      </c>
      <c r="H39" s="203">
        <f t="shared" si="28"/>
        <v>36029384</v>
      </c>
      <c r="I39" s="203">
        <f t="shared" si="28"/>
        <v>49391792</v>
      </c>
      <c r="J39" s="203">
        <f t="shared" si="28"/>
        <v>66111376</v>
      </c>
      <c r="K39" s="203">
        <f t="shared" si="28"/>
        <v>77820443</v>
      </c>
      <c r="L39" s="203">
        <f t="shared" si="28"/>
        <v>89159509</v>
      </c>
      <c r="M39" s="203">
        <f t="shared" si="28"/>
        <v>100153764</v>
      </c>
      <c r="N39" s="203">
        <f t="shared" si="28"/>
        <v>112659010</v>
      </c>
      <c r="O39" s="203">
        <f t="shared" ref="O39:AC39" si="29">O12+O23</f>
        <v>132577592</v>
      </c>
      <c r="P39" s="203">
        <f t="shared" si="29"/>
        <v>132577592</v>
      </c>
      <c r="Q39" s="203">
        <f t="shared" si="29"/>
        <v>8437354</v>
      </c>
      <c r="R39" s="203">
        <f t="shared" si="29"/>
        <v>21847537</v>
      </c>
      <c r="S39" s="203">
        <f t="shared" si="29"/>
        <v>32207524</v>
      </c>
      <c r="T39" s="203">
        <f t="shared" si="29"/>
        <v>41147146</v>
      </c>
      <c r="U39" s="203">
        <f t="shared" si="29"/>
        <v>48895982</v>
      </c>
      <c r="V39" s="203">
        <f t="shared" si="29"/>
        <v>64831363</v>
      </c>
      <c r="W39" s="203">
        <f t="shared" si="29"/>
        <v>85900254</v>
      </c>
      <c r="X39" s="203">
        <f t="shared" si="29"/>
        <v>95987059</v>
      </c>
      <c r="Y39" s="203">
        <f t="shared" si="29"/>
        <v>108896796</v>
      </c>
      <c r="Z39" s="203">
        <f t="shared" si="29"/>
        <v>120228191</v>
      </c>
      <c r="AA39" s="203">
        <f t="shared" si="29"/>
        <v>133009516</v>
      </c>
      <c r="AB39" s="203">
        <f t="shared" si="29"/>
        <v>140687222</v>
      </c>
      <c r="AC39" s="203">
        <f t="shared" si="29"/>
        <v>152829337</v>
      </c>
    </row>
    <row r="40" spans="1:41">
      <c r="A40" s="199"/>
      <c r="B40" s="199"/>
      <c r="C40" s="200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199"/>
      <c r="R40" s="199"/>
      <c r="S40" s="199"/>
    </row>
    <row r="41" spans="1:41">
      <c r="A41" s="199"/>
      <c r="B41" s="199"/>
      <c r="C41" s="200"/>
      <c r="D41" s="201"/>
      <c r="E41" s="201"/>
      <c r="F41" s="201"/>
      <c r="G41" s="201"/>
      <c r="H41" s="201"/>
      <c r="I41" s="201"/>
      <c r="J41" s="201">
        <f t="shared" ref="J41:P41" si="30">J39-I39</f>
        <v>16719584</v>
      </c>
      <c r="K41" s="201">
        <f t="shared" si="30"/>
        <v>11709067</v>
      </c>
      <c r="L41" s="201">
        <f t="shared" si="30"/>
        <v>11339066</v>
      </c>
      <c r="M41" s="201">
        <f t="shared" si="30"/>
        <v>10994255</v>
      </c>
      <c r="N41" s="201">
        <f t="shared" si="30"/>
        <v>12505246</v>
      </c>
      <c r="O41" s="201">
        <f t="shared" si="30"/>
        <v>19918582</v>
      </c>
      <c r="P41" s="205">
        <f t="shared" si="30"/>
        <v>0</v>
      </c>
      <c r="Q41" s="201" t="e">
        <f>Q39-#REF!</f>
        <v>#REF!</v>
      </c>
      <c r="R41" s="201">
        <f t="shared" ref="R41" si="31">R39-Q39</f>
        <v>13410183</v>
      </c>
      <c r="S41" s="201">
        <f t="shared" ref="S41" si="32">S39-R39</f>
        <v>10359987</v>
      </c>
      <c r="T41" s="201">
        <f t="shared" ref="T41" si="33">T39-S39</f>
        <v>8939622</v>
      </c>
      <c r="U41" s="201">
        <f t="shared" ref="U41" si="34">U39-T39</f>
        <v>7748836</v>
      </c>
      <c r="V41" s="201">
        <f t="shared" ref="V41" si="35">V39-U39</f>
        <v>15935381</v>
      </c>
      <c r="W41" s="201">
        <f t="shared" ref="W41" si="36">W39-V39</f>
        <v>21068891</v>
      </c>
      <c r="X41" s="201">
        <f t="shared" ref="X41" si="37">X39-W39</f>
        <v>10086805</v>
      </c>
      <c r="Y41" s="201">
        <f t="shared" ref="Y41" si="38">Y39-X39</f>
        <v>12909737</v>
      </c>
      <c r="Z41" s="201">
        <f t="shared" ref="Z41" si="39">Z39-Y39</f>
        <v>11331395</v>
      </c>
      <c r="AA41" s="201">
        <f t="shared" ref="AA41" si="40">AA39-Z39</f>
        <v>12781325</v>
      </c>
      <c r="AB41" s="201">
        <f t="shared" ref="AB41:AC41" si="41">AB39-AA39</f>
        <v>7677706</v>
      </c>
      <c r="AC41" s="201">
        <f t="shared" si="41"/>
        <v>12142115</v>
      </c>
    </row>
    <row r="42" spans="1:41">
      <c r="K42" s="45"/>
      <c r="L42" s="45"/>
      <c r="M42" s="45"/>
      <c r="N42" s="45"/>
    </row>
    <row r="43" spans="1:41">
      <c r="J43" s="71"/>
      <c r="K43" s="71"/>
      <c r="L43" s="71"/>
    </row>
  </sheetData>
  <mergeCells count="1">
    <mergeCell ref="A1: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59"/>
  <sheetViews>
    <sheetView tabSelected="1" zoomScale="70" zoomScaleNormal="70" workbookViewId="0">
      <pane xSplit="1" ySplit="3" topLeftCell="AI25" activePane="bottomRight" state="frozen"/>
      <selection pane="bottomRight" activeCell="A51" sqref="A51"/>
      <selection pane="bottomLeft" activeCell="A4" sqref="A4"/>
      <selection pane="topRight" activeCell="B1" sqref="B1"/>
    </sheetView>
  </sheetViews>
  <sheetFormatPr defaultRowHeight="14.45"/>
  <cols>
    <col min="1" max="1" width="40.85546875" customWidth="1"/>
    <col min="2" max="2" width="16.5703125" hidden="1" customWidth="1"/>
    <col min="3" max="3" width="20" customWidth="1"/>
    <col min="4" max="13" width="16.5703125" hidden="1" customWidth="1"/>
    <col min="14" max="14" width="18.5703125" hidden="1" customWidth="1"/>
    <col min="15" max="15" width="19.28515625" customWidth="1"/>
    <col min="16" max="16" width="19.7109375" customWidth="1"/>
    <col min="17" max="17" width="16.5703125" hidden="1" customWidth="1"/>
    <col min="18" max="18" width="17.7109375" hidden="1" customWidth="1"/>
    <col min="19" max="20" width="16.5703125" hidden="1" customWidth="1"/>
    <col min="21" max="21" width="17.28515625" hidden="1" customWidth="1"/>
    <col min="22" max="22" width="18.28515625" hidden="1" customWidth="1"/>
    <col min="23" max="23" width="17" hidden="1" customWidth="1"/>
    <col min="24" max="24" width="19.85546875" hidden="1" customWidth="1"/>
    <col min="25" max="25" width="21.85546875" hidden="1" customWidth="1"/>
    <col min="26" max="26" width="16.42578125" hidden="1" customWidth="1"/>
    <col min="27" max="27" width="19" hidden="1" customWidth="1"/>
    <col min="28" max="28" width="19.5703125" customWidth="1"/>
    <col min="29" max="29" width="19.5703125" style="258" customWidth="1"/>
    <col min="30" max="30" width="19" customWidth="1"/>
    <col min="31" max="31" width="17.42578125" customWidth="1"/>
    <col min="32" max="32" width="19.85546875" style="258" customWidth="1"/>
    <col min="33" max="33" width="16.5703125" customWidth="1"/>
    <col min="34" max="34" width="18.42578125" customWidth="1"/>
    <col min="35" max="35" width="17.85546875" customWidth="1"/>
    <col min="36" max="36" width="18.85546875" customWidth="1"/>
    <col min="37" max="37" width="15.7109375" bestFit="1" customWidth="1"/>
    <col min="40" max="40" width="14.7109375" bestFit="1" customWidth="1"/>
  </cols>
  <sheetData>
    <row r="1" spans="1:41" ht="15" customHeight="1">
      <c r="A1" s="122"/>
      <c r="B1" s="122"/>
      <c r="C1" s="122"/>
      <c r="D1" s="122"/>
      <c r="E1" s="122"/>
      <c r="F1" s="122"/>
      <c r="G1" s="122"/>
      <c r="H1" s="122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3" spans="1:41">
      <c r="A3" s="10"/>
      <c r="B3" s="26" t="s">
        <v>0</v>
      </c>
      <c r="C3" s="26" t="s">
        <v>1</v>
      </c>
      <c r="D3" s="150">
        <v>44197</v>
      </c>
      <c r="E3" s="149">
        <v>44228</v>
      </c>
      <c r="F3" s="150">
        <v>44256</v>
      </c>
      <c r="G3" s="149">
        <v>44287</v>
      </c>
      <c r="H3" s="150">
        <v>44317</v>
      </c>
      <c r="I3" s="149">
        <v>44348</v>
      </c>
      <c r="J3" s="150">
        <v>44378</v>
      </c>
      <c r="K3" s="149">
        <v>44409</v>
      </c>
      <c r="L3" s="150">
        <v>44440</v>
      </c>
      <c r="M3" s="149">
        <v>44470</v>
      </c>
      <c r="N3" s="150">
        <v>44501</v>
      </c>
      <c r="O3" s="149">
        <v>44531</v>
      </c>
      <c r="P3" s="150" t="s">
        <v>2</v>
      </c>
      <c r="Q3" s="31">
        <v>44562</v>
      </c>
      <c r="R3" s="31">
        <v>44593</v>
      </c>
      <c r="S3" s="31">
        <v>44621</v>
      </c>
      <c r="T3" s="31">
        <v>44652</v>
      </c>
      <c r="U3" s="31">
        <v>44682</v>
      </c>
      <c r="V3" s="31">
        <v>44713</v>
      </c>
      <c r="W3" s="31">
        <v>44743</v>
      </c>
      <c r="X3" s="31">
        <v>44774</v>
      </c>
      <c r="Y3" s="31">
        <v>44805</v>
      </c>
      <c r="Z3" s="31">
        <v>44835</v>
      </c>
      <c r="AA3" s="31">
        <v>44866</v>
      </c>
      <c r="AB3" s="284">
        <v>44896</v>
      </c>
      <c r="AC3" s="284" t="s">
        <v>3</v>
      </c>
      <c r="AD3" s="284">
        <v>44949</v>
      </c>
      <c r="AE3" s="284">
        <v>44980</v>
      </c>
      <c r="AF3" s="284">
        <v>45008</v>
      </c>
      <c r="AG3" s="284">
        <v>45039</v>
      </c>
      <c r="AH3" s="284">
        <v>45069</v>
      </c>
      <c r="AI3" s="284">
        <v>45100</v>
      </c>
      <c r="AJ3" s="284">
        <v>45130</v>
      </c>
      <c r="AK3" s="284">
        <v>45161</v>
      </c>
      <c r="AL3" s="284">
        <v>45192</v>
      </c>
      <c r="AM3" s="284">
        <v>45222</v>
      </c>
      <c r="AN3" s="284">
        <v>45253</v>
      </c>
      <c r="AO3" s="284">
        <v>45283</v>
      </c>
    </row>
    <row r="4" spans="1:41">
      <c r="A4" s="11" t="s">
        <v>41</v>
      </c>
      <c r="B4" s="66">
        <f t="shared" ref="B4:G4" si="0">SUM(B5:B6)</f>
        <v>19363224</v>
      </c>
      <c r="C4" s="66">
        <f>SUM(C5:C6)</f>
        <v>128614953</v>
      </c>
      <c r="D4" s="66">
        <f t="shared" si="0"/>
        <v>127864143</v>
      </c>
      <c r="E4" s="66">
        <f t="shared" si="0"/>
        <v>118444272</v>
      </c>
      <c r="F4" s="66">
        <f t="shared" si="0"/>
        <v>66778450</v>
      </c>
      <c r="G4" s="66">
        <f t="shared" si="0"/>
        <v>84467545</v>
      </c>
      <c r="H4" s="66">
        <f t="shared" ref="H4:O4" si="1">SUM(H5:H6)</f>
        <v>57536247</v>
      </c>
      <c r="I4" s="66">
        <f t="shared" si="1"/>
        <v>91149655</v>
      </c>
      <c r="J4" s="66">
        <f t="shared" si="1"/>
        <v>67816831</v>
      </c>
      <c r="K4" s="66">
        <f t="shared" si="1"/>
        <v>73651937</v>
      </c>
      <c r="L4" s="66">
        <f t="shared" si="1"/>
        <v>90243324</v>
      </c>
      <c r="M4" s="66">
        <f t="shared" si="1"/>
        <v>112554918</v>
      </c>
      <c r="N4" s="66">
        <f t="shared" si="1"/>
        <v>125087400</v>
      </c>
      <c r="O4" s="66">
        <f t="shared" si="1"/>
        <v>172602165</v>
      </c>
      <c r="P4" s="66">
        <f>SUM(P5:P6)</f>
        <v>172602165</v>
      </c>
      <c r="Q4" s="66">
        <f t="shared" ref="Q4:AO4" si="2">SUM(Q5:Q6)</f>
        <v>149285918</v>
      </c>
      <c r="R4" s="66">
        <f t="shared" si="2"/>
        <v>196409101</v>
      </c>
      <c r="S4" s="66">
        <f t="shared" si="2"/>
        <v>154972935</v>
      </c>
      <c r="T4" s="66">
        <f t="shared" si="2"/>
        <v>88673826</v>
      </c>
      <c r="U4" s="66">
        <f t="shared" si="2"/>
        <v>91436899</v>
      </c>
      <c r="V4" s="66">
        <f t="shared" si="2"/>
        <v>140543318</v>
      </c>
      <c r="W4" s="66">
        <f t="shared" si="2"/>
        <v>104261506</v>
      </c>
      <c r="X4" s="66">
        <f t="shared" si="2"/>
        <v>112373830</v>
      </c>
      <c r="Y4" s="66">
        <f t="shared" si="2"/>
        <v>109801142</v>
      </c>
      <c r="Z4" s="66">
        <f t="shared" si="2"/>
        <v>116955114</v>
      </c>
      <c r="AA4" s="66">
        <f t="shared" si="2"/>
        <v>124474047</v>
      </c>
      <c r="AB4" s="285">
        <f t="shared" si="2"/>
        <v>179678973</v>
      </c>
      <c r="AC4" s="279">
        <f t="shared" si="2"/>
        <v>178113152</v>
      </c>
      <c r="AD4" s="279">
        <f t="shared" si="2"/>
        <v>166535848</v>
      </c>
      <c r="AE4" s="279">
        <f t="shared" si="2"/>
        <v>169223925</v>
      </c>
      <c r="AF4" s="279">
        <f t="shared" si="2"/>
        <v>148299207</v>
      </c>
      <c r="AG4" s="279">
        <f t="shared" si="2"/>
        <v>131060138</v>
      </c>
      <c r="AH4" s="279">
        <f t="shared" si="2"/>
        <v>133454431</v>
      </c>
      <c r="AI4" s="279">
        <f t="shared" si="2"/>
        <v>142307795</v>
      </c>
      <c r="AJ4" s="279">
        <f t="shared" si="2"/>
        <v>173168270</v>
      </c>
      <c r="AK4" s="279">
        <f t="shared" si="2"/>
        <v>168380832</v>
      </c>
      <c r="AL4" s="279">
        <f t="shared" si="2"/>
        <v>0</v>
      </c>
      <c r="AM4" s="279">
        <f t="shared" si="2"/>
        <v>0</v>
      </c>
      <c r="AN4" s="279">
        <f t="shared" si="2"/>
        <v>0</v>
      </c>
      <c r="AO4" s="279">
        <f t="shared" si="2"/>
        <v>0</v>
      </c>
    </row>
    <row r="5" spans="1:41">
      <c r="A5" s="12" t="s">
        <v>42</v>
      </c>
      <c r="B5" s="25">
        <v>19363224</v>
      </c>
      <c r="C5" s="159">
        <v>2686350</v>
      </c>
      <c r="D5" s="248">
        <v>7676670</v>
      </c>
      <c r="E5" s="248">
        <v>3831445</v>
      </c>
      <c r="F5" s="248">
        <v>9591338</v>
      </c>
      <c r="G5" s="248">
        <v>7447272</v>
      </c>
      <c r="H5" s="248">
        <v>11787193</v>
      </c>
      <c r="I5" s="248">
        <v>8116471</v>
      </c>
      <c r="J5" s="248">
        <v>3739371</v>
      </c>
      <c r="K5" s="248">
        <v>8236628</v>
      </c>
      <c r="L5" s="248">
        <v>5833562</v>
      </c>
      <c r="M5" s="248">
        <v>7284269</v>
      </c>
      <c r="N5" s="248">
        <v>12026502</v>
      </c>
      <c r="O5" s="248">
        <v>6042390</v>
      </c>
      <c r="P5" s="160">
        <v>6042390</v>
      </c>
      <c r="Q5" s="13">
        <v>8077430</v>
      </c>
      <c r="R5" s="13">
        <v>15642655</v>
      </c>
      <c r="S5" s="71">
        <v>7579113</v>
      </c>
      <c r="T5" s="71">
        <v>9088953</v>
      </c>
      <c r="U5" s="71">
        <v>4470470</v>
      </c>
      <c r="V5" s="71">
        <v>18933536</v>
      </c>
      <c r="W5" s="71">
        <v>16029828</v>
      </c>
      <c r="X5" s="71">
        <v>8626488</v>
      </c>
      <c r="Y5" s="71">
        <v>12619194</v>
      </c>
      <c r="Z5" s="251">
        <v>10905309</v>
      </c>
      <c r="AA5" s="253">
        <v>10106374</v>
      </c>
      <c r="AB5" s="254">
        <v>6106691</v>
      </c>
      <c r="AC5" s="280">
        <f>6106691+503949</f>
        <v>6610640</v>
      </c>
      <c r="AD5" s="289">
        <v>6715372</v>
      </c>
      <c r="AE5" s="291">
        <v>14362099</v>
      </c>
      <c r="AF5" s="291">
        <v>16564967</v>
      </c>
      <c r="AG5" s="291">
        <v>6130094</v>
      </c>
      <c r="AH5" s="291">
        <v>18514179</v>
      </c>
      <c r="AI5" s="289">
        <v>5358200</v>
      </c>
      <c r="AJ5" s="289">
        <v>16214537</v>
      </c>
      <c r="AK5" s="304">
        <v>6860818</v>
      </c>
      <c r="AL5" s="304"/>
      <c r="AM5" s="304"/>
      <c r="AN5" s="304"/>
      <c r="AO5" s="304"/>
    </row>
    <row r="6" spans="1:41">
      <c r="A6" s="12" t="s">
        <v>43</v>
      </c>
      <c r="B6" s="25"/>
      <c r="C6" s="159">
        <v>125928603</v>
      </c>
      <c r="D6" s="248">
        <v>120187473</v>
      </c>
      <c r="E6" s="248">
        <v>114612827</v>
      </c>
      <c r="F6" s="248">
        <v>57187112</v>
      </c>
      <c r="G6" s="248">
        <v>77020273</v>
      </c>
      <c r="H6" s="248">
        <v>45749054</v>
      </c>
      <c r="I6" s="248">
        <v>83033184</v>
      </c>
      <c r="J6" s="248">
        <v>64077460</v>
      </c>
      <c r="K6" s="248">
        <v>65415309</v>
      </c>
      <c r="L6" s="248">
        <v>84409762</v>
      </c>
      <c r="M6" s="248">
        <v>105270649</v>
      </c>
      <c r="N6" s="248">
        <v>113060898</v>
      </c>
      <c r="O6" s="248">
        <v>166559775</v>
      </c>
      <c r="P6" s="160">
        <f>111228428+55000000+331347</f>
        <v>166559775</v>
      </c>
      <c r="Q6" s="13">
        <v>141208488</v>
      </c>
      <c r="R6" s="13">
        <v>180766446</v>
      </c>
      <c r="S6" s="71">
        <v>147393822</v>
      </c>
      <c r="T6" s="71">
        <v>79584873</v>
      </c>
      <c r="U6" s="71">
        <v>86966429</v>
      </c>
      <c r="V6" s="71">
        <v>121609782</v>
      </c>
      <c r="W6" s="71">
        <v>88231678</v>
      </c>
      <c r="X6" s="71">
        <v>103747342</v>
      </c>
      <c r="Y6" s="71">
        <v>97181948</v>
      </c>
      <c r="Z6" s="251">
        <v>106049805</v>
      </c>
      <c r="AA6" s="253">
        <v>114367673</v>
      </c>
      <c r="AB6" s="254">
        <v>173572282</v>
      </c>
      <c r="AC6" s="280">
        <f>111502512+60000000</f>
        <v>171502512</v>
      </c>
      <c r="AD6" s="251">
        <v>159820476</v>
      </c>
      <c r="AE6" s="253">
        <v>154861826</v>
      </c>
      <c r="AF6" s="253">
        <v>131734240</v>
      </c>
      <c r="AG6" s="253">
        <v>124930044</v>
      </c>
      <c r="AH6" s="253">
        <v>114940252</v>
      </c>
      <c r="AI6" s="251">
        <v>136949595</v>
      </c>
      <c r="AJ6" s="251">
        <v>156953733</v>
      </c>
      <c r="AK6" s="304">
        <v>161520014</v>
      </c>
      <c r="AL6" s="304"/>
      <c r="AM6" s="304"/>
      <c r="AN6" s="304"/>
      <c r="AO6" s="304"/>
    </row>
    <row r="7" spans="1:41" s="29" customFormat="1">
      <c r="A7" s="11" t="s">
        <v>44</v>
      </c>
      <c r="B7" s="24">
        <v>13400392</v>
      </c>
      <c r="C7" s="161">
        <v>89293794</v>
      </c>
      <c r="D7" s="248">
        <v>22972619</v>
      </c>
      <c r="E7" s="248">
        <v>20716662</v>
      </c>
      <c r="F7" s="248">
        <v>103616312</v>
      </c>
      <c r="G7" s="248">
        <v>88797119</v>
      </c>
      <c r="H7" s="248">
        <v>114427077</v>
      </c>
      <c r="I7" s="248">
        <v>68135442</v>
      </c>
      <c r="J7" s="248">
        <v>101961296</v>
      </c>
      <c r="K7" s="248">
        <v>103920108</v>
      </c>
      <c r="L7" s="248">
        <v>111267825</v>
      </c>
      <c r="M7" s="248">
        <v>95122533</v>
      </c>
      <c r="N7" s="248">
        <v>84007973</v>
      </c>
      <c r="O7" s="248">
        <v>66515095</v>
      </c>
      <c r="P7" s="186">
        <f>66515095-12000000</f>
        <v>54515095</v>
      </c>
      <c r="Q7" s="28">
        <v>123539280</v>
      </c>
      <c r="R7" s="28">
        <v>87030760</v>
      </c>
      <c r="S7" s="249">
        <v>90586804</v>
      </c>
      <c r="T7" s="249">
        <v>40411890</v>
      </c>
      <c r="U7" s="249">
        <v>32184925</v>
      </c>
      <c r="V7" s="249">
        <v>534685</v>
      </c>
      <c r="W7" s="249">
        <v>32591960</v>
      </c>
      <c r="X7" s="249">
        <v>31389019</v>
      </c>
      <c r="Y7" s="249">
        <v>30167754</v>
      </c>
      <c r="Z7" s="251">
        <v>32383451</v>
      </c>
      <c r="AA7" s="253">
        <v>33371063</v>
      </c>
      <c r="AB7" s="254">
        <v>30366824</v>
      </c>
      <c r="AC7" s="281">
        <f>30571824</f>
        <v>30571824</v>
      </c>
      <c r="AD7" s="251">
        <v>32978963</v>
      </c>
      <c r="AE7" s="253">
        <v>35216654</v>
      </c>
      <c r="AF7" s="253">
        <v>33200037</v>
      </c>
      <c r="AG7" s="253">
        <v>42908470</v>
      </c>
      <c r="AH7" s="253">
        <v>34808055</v>
      </c>
      <c r="AI7" s="251">
        <v>28932530</v>
      </c>
      <c r="AJ7" s="251">
        <v>40713806</v>
      </c>
      <c r="AK7" s="305">
        <v>41145921.539999999</v>
      </c>
      <c r="AL7" s="305"/>
      <c r="AM7" s="305"/>
      <c r="AN7" s="305"/>
      <c r="AO7" s="305"/>
    </row>
    <row r="8" spans="1:41">
      <c r="A8" s="11" t="s">
        <v>45</v>
      </c>
      <c r="B8" s="66">
        <f t="shared" ref="B8:G8" si="3">SUM(B9:B13)</f>
        <v>472260</v>
      </c>
      <c r="C8" s="66">
        <f t="shared" si="3"/>
        <v>48158789</v>
      </c>
      <c r="D8" s="66">
        <f t="shared" si="3"/>
        <v>51742253</v>
      </c>
      <c r="E8" s="66">
        <f t="shared" si="3"/>
        <v>80400025</v>
      </c>
      <c r="F8" s="66">
        <f t="shared" si="3"/>
        <v>80400025</v>
      </c>
      <c r="G8" s="66">
        <f t="shared" si="3"/>
        <v>80400025</v>
      </c>
      <c r="H8" s="66">
        <f t="shared" ref="H8:AO8" si="4">SUM(H9:H13)</f>
        <v>80556471</v>
      </c>
      <c r="I8" s="66">
        <f t="shared" si="4"/>
        <v>80556471</v>
      </c>
      <c r="J8" s="66">
        <f t="shared" si="4"/>
        <v>80556471</v>
      </c>
      <c r="K8" s="66">
        <f t="shared" si="4"/>
        <v>80556471</v>
      </c>
      <c r="L8" s="66">
        <f t="shared" si="4"/>
        <v>80556471</v>
      </c>
      <c r="M8" s="66">
        <f t="shared" si="4"/>
        <v>80782471</v>
      </c>
      <c r="N8" s="66">
        <f t="shared" si="4"/>
        <v>81008470</v>
      </c>
      <c r="O8" s="66">
        <f t="shared" si="4"/>
        <v>82528081</v>
      </c>
      <c r="P8" s="66">
        <f t="shared" si="4"/>
        <v>82528081</v>
      </c>
      <c r="Q8" s="66">
        <f t="shared" ref="Q8:X8" si="5">SUM(Q9:Q13)</f>
        <v>82768231</v>
      </c>
      <c r="R8" s="66">
        <f t="shared" si="5"/>
        <v>82994231</v>
      </c>
      <c r="S8" s="66">
        <f t="shared" si="5"/>
        <v>83470231</v>
      </c>
      <c r="T8" s="66">
        <f t="shared" si="5"/>
        <v>84142486</v>
      </c>
      <c r="U8" s="66">
        <f t="shared" si="5"/>
        <v>84368486</v>
      </c>
      <c r="V8" s="66">
        <f t="shared" si="5"/>
        <v>84594486</v>
      </c>
      <c r="W8" s="66">
        <f t="shared" si="5"/>
        <v>84820486</v>
      </c>
      <c r="X8" s="66">
        <f t="shared" si="5"/>
        <v>85147819</v>
      </c>
      <c r="Y8" s="66">
        <f t="shared" si="4"/>
        <v>85373819</v>
      </c>
      <c r="Z8" s="66">
        <f t="shared" si="4"/>
        <v>85599819</v>
      </c>
      <c r="AA8" s="66">
        <f t="shared" si="4"/>
        <v>85825819</v>
      </c>
      <c r="AB8" s="285">
        <f t="shared" si="4"/>
        <v>86494221</v>
      </c>
      <c r="AC8" s="279">
        <f t="shared" si="4"/>
        <v>88060044</v>
      </c>
      <c r="AD8" s="279">
        <f t="shared" si="4"/>
        <v>86720221</v>
      </c>
      <c r="AE8" s="279">
        <f t="shared" si="4"/>
        <v>86946221</v>
      </c>
      <c r="AF8" s="279">
        <f t="shared" si="4"/>
        <v>87172221</v>
      </c>
      <c r="AG8" s="279">
        <f t="shared" si="4"/>
        <v>87398221</v>
      </c>
      <c r="AH8" s="279">
        <f t="shared" si="4"/>
        <v>87624221</v>
      </c>
      <c r="AI8" s="279">
        <f t="shared" si="4"/>
        <v>88040072</v>
      </c>
      <c r="AJ8" s="279">
        <f t="shared" si="4"/>
        <v>88471804</v>
      </c>
      <c r="AK8" s="306">
        <f t="shared" si="4"/>
        <v>88697804</v>
      </c>
      <c r="AL8" s="306">
        <f t="shared" si="4"/>
        <v>0</v>
      </c>
      <c r="AM8" s="306">
        <f t="shared" si="4"/>
        <v>0</v>
      </c>
      <c r="AN8" s="306">
        <f t="shared" si="4"/>
        <v>0</v>
      </c>
      <c r="AO8" s="306">
        <f t="shared" si="4"/>
        <v>0</v>
      </c>
    </row>
    <row r="9" spans="1:41" ht="28.15">
      <c r="A9" s="6" t="s">
        <v>46</v>
      </c>
      <c r="B9" s="25"/>
      <c r="C9" s="162">
        <v>0</v>
      </c>
      <c r="D9" s="248">
        <v>0</v>
      </c>
      <c r="E9" s="248">
        <v>0</v>
      </c>
      <c r="F9" s="248">
        <v>0</v>
      </c>
      <c r="G9" s="248">
        <v>0</v>
      </c>
      <c r="H9" s="248">
        <v>0</v>
      </c>
      <c r="I9" s="248">
        <v>0</v>
      </c>
      <c r="J9" s="248">
        <v>0</v>
      </c>
      <c r="K9" s="248">
        <v>0</v>
      </c>
      <c r="L9" s="248">
        <v>0</v>
      </c>
      <c r="M9" s="248">
        <v>0</v>
      </c>
      <c r="N9" s="248">
        <v>0</v>
      </c>
      <c r="O9" s="248">
        <v>0</v>
      </c>
      <c r="P9" s="160"/>
      <c r="Q9" s="13">
        <v>0</v>
      </c>
      <c r="R9" s="13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s="250">
        <v>0</v>
      </c>
      <c r="AA9" s="252">
        <v>0</v>
      </c>
      <c r="AB9" s="255">
        <v>0</v>
      </c>
      <c r="AC9" s="280"/>
      <c r="AD9" s="288">
        <v>0</v>
      </c>
      <c r="AE9" s="290">
        <v>0</v>
      </c>
      <c r="AF9" s="290">
        <v>0</v>
      </c>
      <c r="AG9" s="290">
        <v>0</v>
      </c>
      <c r="AH9" s="290">
        <v>0</v>
      </c>
      <c r="AI9" s="288">
        <v>0</v>
      </c>
      <c r="AJ9" s="288">
        <v>0</v>
      </c>
      <c r="AK9" s="304">
        <v>0</v>
      </c>
      <c r="AL9" s="304"/>
      <c r="AM9" s="304"/>
      <c r="AN9" s="304"/>
      <c r="AO9" s="304"/>
    </row>
    <row r="10" spans="1:41">
      <c r="A10" s="6" t="s">
        <v>47</v>
      </c>
      <c r="B10" s="25"/>
      <c r="C10" s="162">
        <v>0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48">
        <v>0</v>
      </c>
      <c r="J10" s="248">
        <v>0</v>
      </c>
      <c r="K10" s="248">
        <v>0</v>
      </c>
      <c r="L10" s="248">
        <v>0</v>
      </c>
      <c r="M10" s="248">
        <v>0</v>
      </c>
      <c r="N10" s="248">
        <v>0</v>
      </c>
      <c r="O10" s="248">
        <v>0</v>
      </c>
      <c r="P10" s="160"/>
      <c r="Q10" s="13">
        <v>0</v>
      </c>
      <c r="R10" s="13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250">
        <v>0</v>
      </c>
      <c r="AA10" s="252">
        <v>0</v>
      </c>
      <c r="AB10" s="255">
        <v>0</v>
      </c>
      <c r="AC10" s="280"/>
      <c r="AD10" s="250">
        <v>0</v>
      </c>
      <c r="AE10" s="252">
        <v>0</v>
      </c>
      <c r="AF10" s="252">
        <v>0</v>
      </c>
      <c r="AG10" s="252">
        <v>0</v>
      </c>
      <c r="AH10" s="252">
        <v>0</v>
      </c>
      <c r="AI10" s="250">
        <v>0</v>
      </c>
      <c r="AJ10" s="250">
        <v>0</v>
      </c>
      <c r="AK10" s="304">
        <v>0</v>
      </c>
      <c r="AL10" s="304"/>
      <c r="AM10" s="304"/>
      <c r="AN10" s="304"/>
      <c r="AO10" s="304"/>
    </row>
    <row r="11" spans="1:41" ht="28.15">
      <c r="A11" s="6" t="s">
        <v>48</v>
      </c>
      <c r="B11" s="25"/>
      <c r="C11" s="163">
        <v>45647269</v>
      </c>
      <c r="D11" s="248">
        <v>31991236</v>
      </c>
      <c r="E11" s="248">
        <v>31991236</v>
      </c>
      <c r="F11" s="248">
        <v>31991236</v>
      </c>
      <c r="G11" s="248">
        <v>31991236</v>
      </c>
      <c r="H11" s="248">
        <v>32147682</v>
      </c>
      <c r="I11" s="248">
        <v>32147682</v>
      </c>
      <c r="J11" s="248">
        <v>32147682</v>
      </c>
      <c r="K11" s="248">
        <v>32147682</v>
      </c>
      <c r="L11" s="248">
        <v>32147682</v>
      </c>
      <c r="M11" s="248">
        <v>32373682</v>
      </c>
      <c r="N11" s="248">
        <v>32599681</v>
      </c>
      <c r="O11" s="248">
        <v>34119292</v>
      </c>
      <c r="P11" s="160">
        <v>34119292</v>
      </c>
      <c r="Q11" s="13">
        <v>34359442</v>
      </c>
      <c r="R11" s="13">
        <v>34585442</v>
      </c>
      <c r="S11" s="71">
        <v>34811442</v>
      </c>
      <c r="T11" s="71">
        <v>35483697</v>
      </c>
      <c r="U11" s="71">
        <v>35709697</v>
      </c>
      <c r="V11" s="71">
        <v>35935697</v>
      </c>
      <c r="W11" s="71">
        <v>36161697</v>
      </c>
      <c r="X11" s="71">
        <v>36489030</v>
      </c>
      <c r="Y11" s="71">
        <v>36715030</v>
      </c>
      <c r="Z11" s="251">
        <v>36941030</v>
      </c>
      <c r="AA11" s="253">
        <v>37167030</v>
      </c>
      <c r="AB11" s="254">
        <v>37835432</v>
      </c>
      <c r="AC11" s="280">
        <v>39401254</v>
      </c>
      <c r="AD11" s="251">
        <v>38061432</v>
      </c>
      <c r="AE11" s="253">
        <v>38287432</v>
      </c>
      <c r="AF11" s="253">
        <v>38513432</v>
      </c>
      <c r="AG11" s="253">
        <v>38739432</v>
      </c>
      <c r="AH11" s="253">
        <v>38965432</v>
      </c>
      <c r="AI11" s="251">
        <v>39381283</v>
      </c>
      <c r="AJ11" s="251">
        <v>39813015</v>
      </c>
      <c r="AK11" s="304">
        <v>40039015</v>
      </c>
      <c r="AL11" s="304"/>
      <c r="AM11" s="304"/>
      <c r="AN11" s="304"/>
      <c r="AO11" s="304"/>
    </row>
    <row r="12" spans="1:41" ht="28.15">
      <c r="A12" s="157" t="s">
        <v>49</v>
      </c>
      <c r="B12" s="25"/>
      <c r="C12" s="164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160">
        <f>12139125+5757349+25913328+2087467</f>
        <v>45897269</v>
      </c>
      <c r="Y12" s="71"/>
      <c r="Z12" s="250" t="s">
        <v>50</v>
      </c>
      <c r="AA12" s="252" t="s">
        <v>50</v>
      </c>
      <c r="AB12" s="286" t="s">
        <v>50</v>
      </c>
      <c r="AC12" s="282">
        <f>12139126+6007349+25913328+2087467</f>
        <v>46147270</v>
      </c>
      <c r="AD12" s="251">
        <v>48658789</v>
      </c>
      <c r="AE12" s="253">
        <v>48658789</v>
      </c>
      <c r="AF12" s="253">
        <v>48658789</v>
      </c>
      <c r="AG12" s="253">
        <v>48658789</v>
      </c>
      <c r="AH12" s="253">
        <v>48658789</v>
      </c>
      <c r="AI12" s="251">
        <v>48658789</v>
      </c>
      <c r="AJ12" s="251">
        <v>48658789</v>
      </c>
      <c r="AK12" s="304">
        <v>48658789</v>
      </c>
      <c r="AL12" s="304"/>
      <c r="AM12" s="304"/>
      <c r="AN12" s="304"/>
      <c r="AO12" s="304"/>
    </row>
    <row r="13" spans="1:41" ht="28.15">
      <c r="A13" s="6" t="s">
        <v>51</v>
      </c>
      <c r="B13" s="13">
        <v>472260</v>
      </c>
      <c r="C13" s="163">
        <v>2511520</v>
      </c>
      <c r="D13" s="248">
        <v>19751017</v>
      </c>
      <c r="E13" s="248">
        <v>48408789</v>
      </c>
      <c r="F13" s="248">
        <v>48408789</v>
      </c>
      <c r="G13" s="248">
        <v>48408789</v>
      </c>
      <c r="H13" s="248">
        <v>48408789</v>
      </c>
      <c r="I13" s="248">
        <v>48408789</v>
      </c>
      <c r="J13" s="248">
        <v>48408789</v>
      </c>
      <c r="K13" s="248">
        <v>48408789</v>
      </c>
      <c r="L13" s="248">
        <v>48408789</v>
      </c>
      <c r="M13" s="248">
        <v>48408789</v>
      </c>
      <c r="N13" s="248">
        <v>48408789</v>
      </c>
      <c r="O13" s="248">
        <v>48408789</v>
      </c>
      <c r="P13" s="160">
        <f>2511520</f>
        <v>2511520</v>
      </c>
      <c r="Q13" s="13">
        <v>48408789</v>
      </c>
      <c r="R13" s="13">
        <v>48408789</v>
      </c>
      <c r="S13" s="71">
        <v>48658789</v>
      </c>
      <c r="T13" s="71">
        <v>48658789</v>
      </c>
      <c r="U13" s="71">
        <v>48658789</v>
      </c>
      <c r="V13" s="71">
        <v>48658789</v>
      </c>
      <c r="W13" s="71">
        <v>48658789</v>
      </c>
      <c r="X13" s="71">
        <v>48658789</v>
      </c>
      <c r="Y13" s="71">
        <v>48658789</v>
      </c>
      <c r="Z13" s="251">
        <v>48658789</v>
      </c>
      <c r="AA13" s="253">
        <v>48658789</v>
      </c>
      <c r="AB13" s="254">
        <v>48658789</v>
      </c>
      <c r="AC13" s="280">
        <v>2511520</v>
      </c>
      <c r="AK13" s="304"/>
      <c r="AL13" s="304"/>
      <c r="AM13" s="304"/>
      <c r="AN13" s="304"/>
      <c r="AO13" s="304"/>
    </row>
    <row r="14" spans="1:41">
      <c r="A14" s="11" t="s">
        <v>52</v>
      </c>
      <c r="B14" s="66">
        <f t="shared" ref="B14:G14" si="6">B15-B16</f>
        <v>112905266</v>
      </c>
      <c r="C14" s="66">
        <f t="shared" si="6"/>
        <v>945191720</v>
      </c>
      <c r="D14" s="66">
        <f t="shared" si="6"/>
        <v>949574103</v>
      </c>
      <c r="E14" s="66">
        <f t="shared" si="6"/>
        <v>945974458</v>
      </c>
      <c r="F14" s="66">
        <f t="shared" si="6"/>
        <v>945527615</v>
      </c>
      <c r="G14" s="66">
        <f t="shared" si="6"/>
        <v>945103539</v>
      </c>
      <c r="H14" s="66">
        <f>H15-H16</f>
        <v>944515624</v>
      </c>
      <c r="I14" s="66">
        <f>I15-I16</f>
        <v>964550729</v>
      </c>
      <c r="J14" s="66">
        <f t="shared" ref="J14:AO14" si="7">J15-J16</f>
        <v>966820744</v>
      </c>
      <c r="K14" s="66">
        <f t="shared" si="7"/>
        <v>966617815</v>
      </c>
      <c r="L14" s="66">
        <f t="shared" si="7"/>
        <v>999821319</v>
      </c>
      <c r="M14" s="66">
        <f t="shared" si="7"/>
        <v>998821319</v>
      </c>
      <c r="N14" s="66">
        <f t="shared" si="7"/>
        <v>1003622209</v>
      </c>
      <c r="O14" s="66">
        <f t="shared" si="7"/>
        <v>1027347597</v>
      </c>
      <c r="P14" s="66">
        <f t="shared" si="7"/>
        <v>1037147597</v>
      </c>
      <c r="Q14" s="66">
        <f t="shared" si="7"/>
        <v>1002021205</v>
      </c>
      <c r="R14" s="66">
        <f t="shared" si="7"/>
        <v>1004551326</v>
      </c>
      <c r="S14" s="66">
        <f t="shared" si="7"/>
        <v>1016542423</v>
      </c>
      <c r="T14" s="66">
        <f t="shared" si="7"/>
        <v>699055944</v>
      </c>
      <c r="U14" s="66">
        <f t="shared" si="7"/>
        <v>722573436</v>
      </c>
      <c r="V14" s="66">
        <f t="shared" si="7"/>
        <v>715525032</v>
      </c>
      <c r="W14" s="66">
        <f t="shared" si="7"/>
        <v>719578528</v>
      </c>
      <c r="X14" s="66">
        <f t="shared" si="7"/>
        <v>732769790</v>
      </c>
      <c r="Y14" s="66">
        <f t="shared" si="7"/>
        <v>733560707</v>
      </c>
      <c r="Z14" s="66">
        <f t="shared" si="7"/>
        <v>734179388</v>
      </c>
      <c r="AA14" s="66">
        <f t="shared" si="7"/>
        <v>733133462</v>
      </c>
      <c r="AB14" s="285">
        <f t="shared" si="7"/>
        <v>741184898</v>
      </c>
      <c r="AC14" s="279">
        <f t="shared" si="7"/>
        <v>741184900</v>
      </c>
      <c r="AD14" s="279">
        <f t="shared" si="7"/>
        <v>758727774</v>
      </c>
      <c r="AE14" s="279">
        <f t="shared" si="7"/>
        <v>759825653</v>
      </c>
      <c r="AF14" s="279">
        <f t="shared" si="7"/>
        <v>755676086</v>
      </c>
      <c r="AG14" s="279">
        <f t="shared" si="7"/>
        <v>758278097</v>
      </c>
      <c r="AH14" s="279">
        <f t="shared" si="7"/>
        <v>762541318</v>
      </c>
      <c r="AI14" s="279">
        <f t="shared" si="7"/>
        <v>766731067</v>
      </c>
      <c r="AJ14" s="279">
        <f t="shared" si="7"/>
        <v>762154746</v>
      </c>
      <c r="AK14" s="306">
        <f t="shared" si="7"/>
        <v>786014236.46000004</v>
      </c>
      <c r="AL14" s="306">
        <f t="shared" si="7"/>
        <v>0</v>
      </c>
      <c r="AM14" s="306">
        <f t="shared" si="7"/>
        <v>0</v>
      </c>
      <c r="AN14" s="306">
        <f t="shared" si="7"/>
        <v>0</v>
      </c>
      <c r="AO14" s="306">
        <f t="shared" si="7"/>
        <v>0</v>
      </c>
    </row>
    <row r="15" spans="1:41">
      <c r="A15" s="12" t="s">
        <v>53</v>
      </c>
      <c r="B15" s="25">
        <v>112905266</v>
      </c>
      <c r="C15" s="159">
        <v>994788305</v>
      </c>
      <c r="D15" s="248">
        <v>1000170688</v>
      </c>
      <c r="E15" s="248">
        <v>997571043</v>
      </c>
      <c r="F15" s="248">
        <v>998124200</v>
      </c>
      <c r="G15" s="248">
        <v>998700124</v>
      </c>
      <c r="H15" s="248">
        <v>999112209</v>
      </c>
      <c r="I15" s="248">
        <v>1020147314</v>
      </c>
      <c r="J15" s="248">
        <v>1023417329</v>
      </c>
      <c r="K15" s="248">
        <v>1024214400</v>
      </c>
      <c r="L15" s="248">
        <v>1058417904</v>
      </c>
      <c r="M15" s="248">
        <v>1058417904</v>
      </c>
      <c r="N15" s="248">
        <v>1065218794</v>
      </c>
      <c r="O15" s="248">
        <v>1089345186</v>
      </c>
      <c r="P15" s="160">
        <v>1099345186</v>
      </c>
      <c r="Q15" s="13">
        <v>1065218794</v>
      </c>
      <c r="R15" s="13">
        <v>1068748915</v>
      </c>
      <c r="S15" s="71">
        <v>1081740012</v>
      </c>
      <c r="T15" s="71">
        <v>752122230</v>
      </c>
      <c r="U15" s="71">
        <v>762735725</v>
      </c>
      <c r="V15" s="71">
        <v>753318303</v>
      </c>
      <c r="W15" s="71">
        <v>758057271</v>
      </c>
      <c r="X15" s="71">
        <v>770490393</v>
      </c>
      <c r="Y15" s="71">
        <v>771992553</v>
      </c>
      <c r="Z15" s="251">
        <v>771916311</v>
      </c>
      <c r="AA15" s="253">
        <v>769859428</v>
      </c>
      <c r="AB15" s="254">
        <v>778820671</v>
      </c>
      <c r="AC15" s="280">
        <v>778820671</v>
      </c>
      <c r="AD15" s="289">
        <v>797611909</v>
      </c>
      <c r="AE15" s="291">
        <v>799587538</v>
      </c>
      <c r="AF15" s="291">
        <v>791436543</v>
      </c>
      <c r="AG15" s="291">
        <v>795572569</v>
      </c>
      <c r="AH15" s="291">
        <v>800003088</v>
      </c>
      <c r="AI15" s="289">
        <v>804016813</v>
      </c>
      <c r="AJ15" s="289">
        <v>800870142</v>
      </c>
      <c r="AK15" s="304">
        <v>825108150</v>
      </c>
      <c r="AL15" s="304"/>
      <c r="AM15" s="304"/>
      <c r="AN15" s="304"/>
      <c r="AO15" s="304"/>
    </row>
    <row r="16" spans="1:41">
      <c r="A16" s="12" t="s">
        <v>54</v>
      </c>
      <c r="B16" s="25"/>
      <c r="C16" s="159">
        <v>49596585</v>
      </c>
      <c r="D16" s="248">
        <v>50596585</v>
      </c>
      <c r="E16" s="248">
        <v>51596585</v>
      </c>
      <c r="F16" s="248">
        <v>52596585</v>
      </c>
      <c r="G16" s="248">
        <v>53596585</v>
      </c>
      <c r="H16" s="248">
        <v>54596585</v>
      </c>
      <c r="I16" s="248">
        <v>55596585</v>
      </c>
      <c r="J16" s="248">
        <v>56596585</v>
      </c>
      <c r="K16" s="248">
        <v>57596585</v>
      </c>
      <c r="L16" s="248">
        <v>58596585</v>
      </c>
      <c r="M16" s="248">
        <v>59596585</v>
      </c>
      <c r="N16" s="248">
        <v>61596585</v>
      </c>
      <c r="O16" s="248">
        <v>61997589</v>
      </c>
      <c r="P16" s="160">
        <v>62197589</v>
      </c>
      <c r="Q16" s="13">
        <v>63197589</v>
      </c>
      <c r="R16" s="13">
        <v>64197589</v>
      </c>
      <c r="S16" s="71">
        <v>65197589</v>
      </c>
      <c r="T16" s="71">
        <v>53066286</v>
      </c>
      <c r="U16" s="71">
        <v>40162289</v>
      </c>
      <c r="V16" s="71">
        <v>37793271</v>
      </c>
      <c r="W16" s="71">
        <v>38478743</v>
      </c>
      <c r="X16" s="71">
        <v>37720603</v>
      </c>
      <c r="Y16" s="71">
        <v>38431846</v>
      </c>
      <c r="Z16" s="251">
        <v>37736923</v>
      </c>
      <c r="AA16" s="253">
        <v>36725966</v>
      </c>
      <c r="AB16" s="254">
        <v>37635773</v>
      </c>
      <c r="AC16" s="280">
        <v>37635771</v>
      </c>
      <c r="AD16" s="251">
        <v>38884135</v>
      </c>
      <c r="AE16" s="253">
        <v>39761885</v>
      </c>
      <c r="AF16" s="253">
        <v>35760457</v>
      </c>
      <c r="AG16" s="253">
        <v>37294472</v>
      </c>
      <c r="AH16" s="253">
        <v>37461770</v>
      </c>
      <c r="AI16" s="251">
        <v>37285746</v>
      </c>
      <c r="AJ16" s="251">
        <v>38715396</v>
      </c>
      <c r="AK16" s="304">
        <v>39093913.539999999</v>
      </c>
      <c r="AL16" s="304"/>
      <c r="AM16" s="304"/>
      <c r="AN16" s="304"/>
      <c r="AO16" s="304"/>
    </row>
    <row r="17" spans="1:41">
      <c r="A17" s="11" t="s">
        <v>55</v>
      </c>
      <c r="B17" s="66">
        <f t="shared" ref="B17:G17" si="8">SUM(B18:B20)</f>
        <v>0</v>
      </c>
      <c r="C17" s="66">
        <f t="shared" si="8"/>
        <v>0</v>
      </c>
      <c r="D17" s="66">
        <f t="shared" si="8"/>
        <v>0</v>
      </c>
      <c r="E17" s="66">
        <f t="shared" si="8"/>
        <v>0</v>
      </c>
      <c r="F17" s="66">
        <f t="shared" si="8"/>
        <v>0</v>
      </c>
      <c r="G17" s="66">
        <f t="shared" si="8"/>
        <v>0</v>
      </c>
      <c r="H17" s="66">
        <f t="shared" ref="H17:AO17" si="9">SUM(H18:H20)</f>
        <v>0</v>
      </c>
      <c r="I17" s="66">
        <f t="shared" si="9"/>
        <v>0</v>
      </c>
      <c r="J17" s="66">
        <f t="shared" si="9"/>
        <v>0</v>
      </c>
      <c r="K17" s="66">
        <f t="shared" si="9"/>
        <v>0</v>
      </c>
      <c r="L17" s="66">
        <f t="shared" si="9"/>
        <v>0</v>
      </c>
      <c r="M17" s="66">
        <f t="shared" si="9"/>
        <v>0</v>
      </c>
      <c r="N17" s="66">
        <f t="shared" si="9"/>
        <v>0</v>
      </c>
      <c r="O17" s="66">
        <f t="shared" si="9"/>
        <v>0</v>
      </c>
      <c r="P17" s="66">
        <f t="shared" si="9"/>
        <v>0</v>
      </c>
      <c r="Q17" s="66">
        <f t="shared" si="9"/>
        <v>0</v>
      </c>
      <c r="R17" s="66">
        <f t="shared" si="9"/>
        <v>0</v>
      </c>
      <c r="S17" s="66">
        <f t="shared" si="9"/>
        <v>0</v>
      </c>
      <c r="T17" s="66">
        <f t="shared" si="9"/>
        <v>0</v>
      </c>
      <c r="U17" s="66">
        <f t="shared" si="9"/>
        <v>0</v>
      </c>
      <c r="V17" s="66">
        <f t="shared" si="9"/>
        <v>0</v>
      </c>
      <c r="W17" s="66">
        <f t="shared" si="9"/>
        <v>0</v>
      </c>
      <c r="X17" s="66">
        <f t="shared" si="9"/>
        <v>0</v>
      </c>
      <c r="Y17" s="66">
        <f t="shared" si="9"/>
        <v>0</v>
      </c>
      <c r="Z17" s="66">
        <f t="shared" si="9"/>
        <v>0</v>
      </c>
      <c r="AA17" s="66">
        <f t="shared" si="9"/>
        <v>0</v>
      </c>
      <c r="AB17" s="285">
        <f t="shared" si="9"/>
        <v>0</v>
      </c>
      <c r="AC17" s="279">
        <f t="shared" si="9"/>
        <v>0</v>
      </c>
      <c r="AD17" s="279">
        <f t="shared" si="9"/>
        <v>0</v>
      </c>
      <c r="AE17" s="279">
        <f t="shared" si="9"/>
        <v>0</v>
      </c>
      <c r="AF17" s="279">
        <f t="shared" si="9"/>
        <v>0</v>
      </c>
      <c r="AG17" s="279">
        <f t="shared" si="9"/>
        <v>0</v>
      </c>
      <c r="AH17" s="279">
        <f t="shared" si="9"/>
        <v>0</v>
      </c>
      <c r="AI17" s="279">
        <f t="shared" si="9"/>
        <v>0</v>
      </c>
      <c r="AJ17" s="279">
        <f t="shared" si="9"/>
        <v>0</v>
      </c>
      <c r="AK17" s="306">
        <f t="shared" si="9"/>
        <v>0</v>
      </c>
      <c r="AL17" s="306">
        <f t="shared" si="9"/>
        <v>0</v>
      </c>
      <c r="AM17" s="306">
        <f t="shared" si="9"/>
        <v>0</v>
      </c>
      <c r="AN17" s="306">
        <f t="shared" si="9"/>
        <v>0</v>
      </c>
      <c r="AO17" s="306">
        <f t="shared" si="9"/>
        <v>0</v>
      </c>
    </row>
    <row r="18" spans="1:41">
      <c r="A18" s="12" t="s">
        <v>56</v>
      </c>
      <c r="B18" s="25"/>
      <c r="C18" s="159">
        <v>0</v>
      </c>
      <c r="D18" s="248">
        <v>0</v>
      </c>
      <c r="E18" s="248">
        <v>0</v>
      </c>
      <c r="F18" s="248">
        <v>0</v>
      </c>
      <c r="G18" s="248">
        <v>0</v>
      </c>
      <c r="H18" s="248">
        <v>0</v>
      </c>
      <c r="I18" s="248">
        <v>0</v>
      </c>
      <c r="J18" s="248">
        <v>0</v>
      </c>
      <c r="K18" s="248">
        <v>0</v>
      </c>
      <c r="L18" s="248">
        <v>0</v>
      </c>
      <c r="M18" s="248">
        <v>0</v>
      </c>
      <c r="N18" s="248">
        <v>0</v>
      </c>
      <c r="O18" s="248">
        <v>0</v>
      </c>
      <c r="P18" s="160"/>
      <c r="Q18" s="13">
        <v>0</v>
      </c>
      <c r="R18" s="13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250">
        <v>0</v>
      </c>
      <c r="AA18" s="252">
        <v>0</v>
      </c>
      <c r="AB18" s="255">
        <v>0</v>
      </c>
      <c r="AC18" s="280"/>
      <c r="AD18" s="288">
        <v>0</v>
      </c>
      <c r="AE18" s="290">
        <v>0</v>
      </c>
      <c r="AF18" s="290">
        <v>0</v>
      </c>
      <c r="AG18" s="290">
        <v>0</v>
      </c>
      <c r="AH18" s="290">
        <v>0</v>
      </c>
      <c r="AI18" s="288">
        <v>0</v>
      </c>
      <c r="AJ18" s="288">
        <v>0</v>
      </c>
      <c r="AK18" s="304">
        <v>0</v>
      </c>
      <c r="AL18" s="304"/>
      <c r="AM18" s="304"/>
      <c r="AN18" s="304"/>
      <c r="AO18" s="304"/>
    </row>
    <row r="19" spans="1:41">
      <c r="A19" s="12" t="s">
        <v>57</v>
      </c>
      <c r="B19" s="25"/>
      <c r="C19" s="159">
        <v>0</v>
      </c>
      <c r="D19" s="248">
        <v>0</v>
      </c>
      <c r="E19" s="248">
        <v>0</v>
      </c>
      <c r="F19" s="248">
        <v>0</v>
      </c>
      <c r="G19" s="248">
        <v>0</v>
      </c>
      <c r="H19" s="248">
        <v>0</v>
      </c>
      <c r="I19" s="248">
        <v>0</v>
      </c>
      <c r="J19" s="248">
        <v>0</v>
      </c>
      <c r="K19" s="248">
        <v>0</v>
      </c>
      <c r="L19" s="248">
        <v>0</v>
      </c>
      <c r="M19" s="248">
        <v>0</v>
      </c>
      <c r="N19" s="248">
        <v>0</v>
      </c>
      <c r="O19" s="248">
        <v>0</v>
      </c>
      <c r="P19" s="160"/>
      <c r="Q19" s="13">
        <v>0</v>
      </c>
      <c r="R19" s="13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250">
        <v>0</v>
      </c>
      <c r="AA19" s="252">
        <v>0</v>
      </c>
      <c r="AB19" s="255">
        <v>0</v>
      </c>
      <c r="AC19" s="280"/>
      <c r="AD19" s="250">
        <v>0</v>
      </c>
      <c r="AE19" s="252">
        <v>0</v>
      </c>
      <c r="AF19" s="252">
        <v>0</v>
      </c>
      <c r="AG19" s="252">
        <v>0</v>
      </c>
      <c r="AH19" s="252">
        <v>0</v>
      </c>
      <c r="AI19" s="250">
        <v>0</v>
      </c>
      <c r="AJ19" s="250">
        <v>0</v>
      </c>
      <c r="AK19" s="304">
        <v>0</v>
      </c>
      <c r="AL19" s="304"/>
      <c r="AM19" s="304"/>
      <c r="AN19" s="304"/>
      <c r="AO19" s="304"/>
    </row>
    <row r="20" spans="1:41">
      <c r="A20" s="12" t="s">
        <v>58</v>
      </c>
      <c r="B20" s="25"/>
      <c r="C20" s="159">
        <v>0</v>
      </c>
      <c r="D20" s="248">
        <v>0</v>
      </c>
      <c r="E20" s="248">
        <v>0</v>
      </c>
      <c r="F20" s="248">
        <v>0</v>
      </c>
      <c r="G20" s="248">
        <v>0</v>
      </c>
      <c r="H20" s="248">
        <v>0</v>
      </c>
      <c r="I20" s="248">
        <v>0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  <c r="O20" s="248">
        <v>0</v>
      </c>
      <c r="P20" s="160"/>
      <c r="Q20" s="13">
        <v>0</v>
      </c>
      <c r="R20" s="13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250">
        <v>0</v>
      </c>
      <c r="AA20" s="252">
        <v>0</v>
      </c>
      <c r="AB20" s="255">
        <v>0</v>
      </c>
      <c r="AC20" s="280"/>
      <c r="AD20" s="250">
        <v>0</v>
      </c>
      <c r="AE20" s="252">
        <v>0</v>
      </c>
      <c r="AF20" s="252">
        <v>0</v>
      </c>
      <c r="AG20" s="252">
        <v>0</v>
      </c>
      <c r="AH20" s="252">
        <v>0</v>
      </c>
      <c r="AI20" s="250">
        <v>0</v>
      </c>
      <c r="AJ20" s="250">
        <v>0</v>
      </c>
      <c r="AK20" s="304">
        <v>0</v>
      </c>
      <c r="AL20" s="304"/>
      <c r="AM20" s="304"/>
      <c r="AN20" s="304"/>
      <c r="AO20" s="304"/>
    </row>
    <row r="21" spans="1:41">
      <c r="A21" s="11" t="s">
        <v>59</v>
      </c>
      <c r="B21" s="66">
        <f t="shared" ref="B21:G21" si="10">SUM(B22:B26)</f>
        <v>4874587</v>
      </c>
      <c r="C21" s="66">
        <f t="shared" si="10"/>
        <v>25718556</v>
      </c>
      <c r="D21" s="66">
        <f t="shared" si="10"/>
        <v>23155004</v>
      </c>
      <c r="E21" s="66">
        <f t="shared" si="10"/>
        <v>23515693</v>
      </c>
      <c r="F21" s="66">
        <f t="shared" si="10"/>
        <v>23581880</v>
      </c>
      <c r="G21" s="66">
        <f t="shared" si="10"/>
        <v>24303315</v>
      </c>
      <c r="H21" s="66">
        <f t="shared" ref="H21:AO21" si="11">SUM(H22:H26)</f>
        <v>24819659</v>
      </c>
      <c r="I21" s="66">
        <f t="shared" si="11"/>
        <v>28489669</v>
      </c>
      <c r="J21" s="66">
        <f t="shared" si="11"/>
        <v>24792112</v>
      </c>
      <c r="K21" s="66">
        <f t="shared" si="11"/>
        <v>24515157</v>
      </c>
      <c r="L21" s="66">
        <f t="shared" si="11"/>
        <v>24699187</v>
      </c>
      <c r="M21" s="66">
        <f t="shared" si="11"/>
        <v>24422130</v>
      </c>
      <c r="N21" s="66">
        <f t="shared" si="11"/>
        <v>24329434</v>
      </c>
      <c r="O21" s="66">
        <f t="shared" si="11"/>
        <v>25868942</v>
      </c>
      <c r="P21" s="66">
        <f t="shared" si="11"/>
        <v>25868942</v>
      </c>
      <c r="Q21" s="66">
        <f t="shared" si="11"/>
        <v>22806573</v>
      </c>
      <c r="R21" s="66">
        <f t="shared" si="11"/>
        <v>24106859</v>
      </c>
      <c r="S21" s="66">
        <f t="shared" si="11"/>
        <v>28457050</v>
      </c>
      <c r="T21" s="66">
        <f t="shared" si="11"/>
        <v>448397228</v>
      </c>
      <c r="U21" s="66">
        <f t="shared" si="11"/>
        <v>433639830</v>
      </c>
      <c r="V21" s="66">
        <f t="shared" si="11"/>
        <v>432008648</v>
      </c>
      <c r="W21" s="66">
        <f t="shared" si="11"/>
        <v>440080827</v>
      </c>
      <c r="X21" s="66">
        <f t="shared" si="11"/>
        <v>427316469</v>
      </c>
      <c r="Y21" s="66">
        <f t="shared" si="11"/>
        <v>432610581</v>
      </c>
      <c r="Z21" s="66">
        <f t="shared" si="11"/>
        <v>433352082</v>
      </c>
      <c r="AA21" s="66">
        <f t="shared" si="11"/>
        <v>431368979</v>
      </c>
      <c r="AB21" s="285">
        <f t="shared" si="11"/>
        <v>428064981</v>
      </c>
      <c r="AC21" s="279">
        <f t="shared" si="11"/>
        <v>422859977</v>
      </c>
      <c r="AD21" s="279">
        <f t="shared" si="11"/>
        <v>420652401</v>
      </c>
      <c r="AE21" s="279">
        <f t="shared" si="11"/>
        <v>423730220</v>
      </c>
      <c r="AF21" s="279">
        <f t="shared" si="11"/>
        <v>415888265</v>
      </c>
      <c r="AG21" s="279">
        <f t="shared" si="11"/>
        <v>411905572</v>
      </c>
      <c r="AH21" s="279">
        <f t="shared" si="11"/>
        <v>412255642</v>
      </c>
      <c r="AI21" s="279">
        <f t="shared" si="11"/>
        <v>408039073</v>
      </c>
      <c r="AJ21" s="279">
        <f t="shared" si="11"/>
        <v>404585906</v>
      </c>
      <c r="AK21" s="306">
        <f t="shared" si="11"/>
        <v>402585906</v>
      </c>
      <c r="AL21" s="306">
        <f t="shared" si="11"/>
        <v>0</v>
      </c>
      <c r="AM21" s="306">
        <f t="shared" si="11"/>
        <v>0</v>
      </c>
      <c r="AN21" s="306">
        <f t="shared" si="11"/>
        <v>0</v>
      </c>
      <c r="AO21" s="306">
        <f t="shared" si="11"/>
        <v>0</v>
      </c>
    </row>
    <row r="22" spans="1:41">
      <c r="A22" s="12" t="s">
        <v>60</v>
      </c>
      <c r="B22" s="25"/>
      <c r="C22" s="159"/>
      <c r="D22" s="248">
        <v>3851000</v>
      </c>
      <c r="E22" s="248">
        <v>3851000</v>
      </c>
      <c r="F22" s="248">
        <v>3851000</v>
      </c>
      <c r="G22" s="248">
        <v>3851000</v>
      </c>
      <c r="H22" s="248">
        <v>3851000</v>
      </c>
      <c r="I22" s="248">
        <v>3851000</v>
      </c>
      <c r="J22" s="248">
        <v>3851000</v>
      </c>
      <c r="K22" s="248">
        <v>3851000</v>
      </c>
      <c r="L22" s="248">
        <v>3851000</v>
      </c>
      <c r="M22" s="248">
        <v>3851000</v>
      </c>
      <c r="N22" s="248">
        <v>3851000</v>
      </c>
      <c r="O22" s="248">
        <v>3851000</v>
      </c>
      <c r="P22" s="160"/>
      <c r="Q22" s="13">
        <v>3851000</v>
      </c>
      <c r="R22" s="13">
        <v>3851000</v>
      </c>
      <c r="S22" s="171">
        <v>3851000</v>
      </c>
      <c r="T22" s="71">
        <v>4851000</v>
      </c>
      <c r="U22" s="71">
        <v>4851000</v>
      </c>
      <c r="V22" s="71">
        <v>4851000</v>
      </c>
      <c r="W22" s="71">
        <v>4851000</v>
      </c>
      <c r="X22" s="71">
        <v>4851000</v>
      </c>
      <c r="Y22" s="71">
        <v>4851000</v>
      </c>
      <c r="Z22" s="251">
        <v>4851000</v>
      </c>
      <c r="AA22" s="253">
        <v>4851000</v>
      </c>
      <c r="AB22" s="254">
        <v>4851000</v>
      </c>
      <c r="AC22" s="280"/>
      <c r="AD22" s="289">
        <v>4851000</v>
      </c>
      <c r="AE22" s="291">
        <v>4851000</v>
      </c>
      <c r="AF22" s="291">
        <v>4851000</v>
      </c>
      <c r="AG22" s="291">
        <v>4851000</v>
      </c>
      <c r="AH22" s="291">
        <v>4851000</v>
      </c>
      <c r="AI22" s="289">
        <v>4851000</v>
      </c>
      <c r="AJ22" s="289">
        <v>4851000</v>
      </c>
      <c r="AK22" s="304">
        <v>4851000</v>
      </c>
      <c r="AL22" s="304"/>
      <c r="AM22" s="304"/>
      <c r="AN22" s="304"/>
      <c r="AO22" s="304"/>
    </row>
    <row r="23" spans="1:41">
      <c r="A23" s="12" t="s">
        <v>61</v>
      </c>
      <c r="B23" s="25">
        <v>4123114</v>
      </c>
      <c r="C23" s="159">
        <v>22098514</v>
      </c>
      <c r="D23" s="248">
        <v>18083810</v>
      </c>
      <c r="E23" s="248">
        <v>17937047</v>
      </c>
      <c r="F23" s="248">
        <v>18054199</v>
      </c>
      <c r="G23" s="248">
        <v>18826000</v>
      </c>
      <c r="H23" s="248">
        <v>18824438</v>
      </c>
      <c r="I23" s="248">
        <v>22477624</v>
      </c>
      <c r="J23" s="248">
        <v>18901572</v>
      </c>
      <c r="K23" s="248">
        <v>18696523</v>
      </c>
      <c r="L23" s="248">
        <v>18940393</v>
      </c>
      <c r="M23" s="248">
        <v>18733901</v>
      </c>
      <c r="N23" s="248">
        <v>18711770</v>
      </c>
      <c r="O23" s="248">
        <v>18484754</v>
      </c>
      <c r="P23" s="160">
        <v>22335754</v>
      </c>
      <c r="Q23" s="13">
        <v>17256614</v>
      </c>
      <c r="R23" s="13">
        <v>18600463</v>
      </c>
      <c r="S23" s="45">
        <v>22994217</v>
      </c>
      <c r="T23" s="71">
        <v>22983810</v>
      </c>
      <c r="U23" s="71">
        <v>22784839</v>
      </c>
      <c r="V23" s="71">
        <v>22585868</v>
      </c>
      <c r="W23" s="71">
        <v>22386897</v>
      </c>
      <c r="X23" s="71">
        <v>22187926</v>
      </c>
      <c r="Y23" s="71">
        <v>22013955</v>
      </c>
      <c r="Z23" s="251">
        <v>21814984</v>
      </c>
      <c r="AA23" s="253">
        <v>21905973</v>
      </c>
      <c r="AB23" s="254">
        <v>21048793</v>
      </c>
      <c r="AC23" s="280">
        <v>25899792</v>
      </c>
      <c r="AD23" s="251">
        <v>20853838</v>
      </c>
      <c r="AE23" s="253">
        <v>20658883</v>
      </c>
      <c r="AF23" s="253">
        <v>21216919</v>
      </c>
      <c r="AG23" s="253">
        <v>21038961</v>
      </c>
      <c r="AH23" s="253">
        <v>21302932</v>
      </c>
      <c r="AI23" s="251">
        <v>21338119</v>
      </c>
      <c r="AJ23" s="251">
        <v>21124927</v>
      </c>
      <c r="AK23" s="304">
        <v>21124927</v>
      </c>
      <c r="AL23" s="304"/>
      <c r="AM23" s="304"/>
      <c r="AN23" s="304"/>
      <c r="AO23" s="304"/>
    </row>
    <row r="24" spans="1:41">
      <c r="A24" s="12" t="s">
        <v>62</v>
      </c>
      <c r="B24" s="25">
        <v>0</v>
      </c>
      <c r="C24" s="162">
        <v>0</v>
      </c>
      <c r="D24" s="248">
        <v>0</v>
      </c>
      <c r="E24" s="248">
        <v>0</v>
      </c>
      <c r="F24" s="248">
        <v>0</v>
      </c>
      <c r="G24" s="248">
        <v>0</v>
      </c>
      <c r="H24" s="248">
        <v>0</v>
      </c>
      <c r="I24" s="248">
        <v>0</v>
      </c>
      <c r="J24" s="248">
        <v>0</v>
      </c>
      <c r="K24" s="248">
        <v>0</v>
      </c>
      <c r="L24" s="248">
        <v>0</v>
      </c>
      <c r="M24" s="248">
        <v>0</v>
      </c>
      <c r="N24" s="248">
        <v>0</v>
      </c>
      <c r="O24" s="248">
        <v>0</v>
      </c>
      <c r="P24" s="160"/>
      <c r="Q24" s="13">
        <v>0</v>
      </c>
      <c r="R24" s="13">
        <v>0</v>
      </c>
      <c r="S24" s="45">
        <v>0</v>
      </c>
      <c r="T24" s="71">
        <v>205000</v>
      </c>
      <c r="U24" s="71">
        <v>205000</v>
      </c>
      <c r="V24" s="71">
        <v>205000</v>
      </c>
      <c r="W24">
        <v>0</v>
      </c>
      <c r="X24">
        <v>0</v>
      </c>
      <c r="Y24">
        <v>0</v>
      </c>
      <c r="Z24" s="250">
        <v>0</v>
      </c>
      <c r="AA24" s="252">
        <v>0</v>
      </c>
      <c r="AB24" s="254">
        <v>205000</v>
      </c>
      <c r="AC24" s="280"/>
      <c r="AD24" s="251">
        <v>205000</v>
      </c>
      <c r="AE24" s="253">
        <v>205000</v>
      </c>
      <c r="AF24" s="253">
        <v>205000</v>
      </c>
      <c r="AG24" s="253">
        <v>205000</v>
      </c>
      <c r="AH24" s="252">
        <v>0</v>
      </c>
      <c r="AI24" s="250">
        <v>0</v>
      </c>
      <c r="AJ24" s="250">
        <v>0</v>
      </c>
      <c r="AK24" s="304">
        <v>0</v>
      </c>
      <c r="AL24" s="304"/>
      <c r="AM24" s="304"/>
      <c r="AN24" s="304"/>
      <c r="AO24" s="304"/>
    </row>
    <row r="25" spans="1:41">
      <c r="A25" s="12" t="s">
        <v>63</v>
      </c>
      <c r="B25" s="25">
        <v>751473</v>
      </c>
      <c r="C25" s="159">
        <v>1829376</v>
      </c>
      <c r="D25" s="248">
        <v>1220194</v>
      </c>
      <c r="E25" s="248">
        <v>1727646</v>
      </c>
      <c r="F25" s="248">
        <v>1676681</v>
      </c>
      <c r="G25" s="248">
        <v>1626315</v>
      </c>
      <c r="H25" s="248">
        <v>2144221</v>
      </c>
      <c r="I25" s="248">
        <v>2161045</v>
      </c>
      <c r="J25" s="248">
        <v>2039540</v>
      </c>
      <c r="K25" s="248">
        <v>1967634</v>
      </c>
      <c r="L25" s="248">
        <v>1907794</v>
      </c>
      <c r="M25" s="248">
        <v>1837229</v>
      </c>
      <c r="N25" s="248">
        <v>1766664</v>
      </c>
      <c r="O25" s="248">
        <v>1742522</v>
      </c>
      <c r="P25" s="160">
        <v>1742522</v>
      </c>
      <c r="Q25" s="13">
        <v>1698959</v>
      </c>
      <c r="R25" s="13">
        <v>1655396</v>
      </c>
      <c r="S25" s="45">
        <v>1611833</v>
      </c>
      <c r="T25" s="71">
        <v>1569270</v>
      </c>
      <c r="U25" s="71">
        <v>1566007</v>
      </c>
      <c r="V25" s="71">
        <v>1487822</v>
      </c>
      <c r="W25" s="71">
        <v>1435704</v>
      </c>
      <c r="X25" s="71">
        <v>1386258</v>
      </c>
      <c r="Y25" s="71">
        <v>1336813</v>
      </c>
      <c r="Z25" s="251">
        <v>1287367</v>
      </c>
      <c r="AA25" s="253">
        <v>1237921</v>
      </c>
      <c r="AB25" s="254">
        <v>1188476</v>
      </c>
      <c r="AC25" s="280">
        <v>1188475</v>
      </c>
      <c r="AD25" s="251">
        <v>1153877</v>
      </c>
      <c r="AE25" s="253">
        <v>1119278</v>
      </c>
      <c r="AF25" s="253">
        <v>1089536</v>
      </c>
      <c r="AG25" s="253">
        <v>1056555</v>
      </c>
      <c r="AH25" s="253">
        <v>1023576</v>
      </c>
      <c r="AI25" s="251">
        <v>990595</v>
      </c>
      <c r="AJ25" s="251">
        <v>957614</v>
      </c>
      <c r="AK25" s="304">
        <v>957614</v>
      </c>
      <c r="AL25" s="304"/>
      <c r="AM25" s="304"/>
      <c r="AN25" s="304"/>
      <c r="AO25" s="304"/>
    </row>
    <row r="26" spans="1:41">
      <c r="A26" s="12" t="s">
        <v>64</v>
      </c>
      <c r="B26" s="25"/>
      <c r="C26" s="159">
        <v>1790666</v>
      </c>
      <c r="D26" s="248">
        <v>0</v>
      </c>
      <c r="E26" s="248">
        <v>0</v>
      </c>
      <c r="F26" s="248">
        <v>0</v>
      </c>
      <c r="G26" s="248">
        <v>0</v>
      </c>
      <c r="H26" s="248">
        <v>0</v>
      </c>
      <c r="I26" s="248">
        <v>0</v>
      </c>
      <c r="J26" s="248">
        <v>0</v>
      </c>
      <c r="K26" s="248">
        <v>0</v>
      </c>
      <c r="L26" s="248">
        <v>0</v>
      </c>
      <c r="M26" s="248">
        <v>0</v>
      </c>
      <c r="N26" s="248">
        <v>0</v>
      </c>
      <c r="O26" s="248">
        <v>1790666</v>
      </c>
      <c r="P26" s="160">
        <v>1790666</v>
      </c>
      <c r="Q26" s="13">
        <v>0</v>
      </c>
      <c r="R26" s="13">
        <v>0</v>
      </c>
      <c r="S26" s="45">
        <v>0</v>
      </c>
      <c r="T26" s="71">
        <v>418788148</v>
      </c>
      <c r="U26" s="71">
        <v>404232984</v>
      </c>
      <c r="V26" s="71">
        <v>402878958</v>
      </c>
      <c r="W26" s="71">
        <v>411407226</v>
      </c>
      <c r="X26" s="71">
        <v>398891285</v>
      </c>
      <c r="Y26" s="71">
        <v>404408813</v>
      </c>
      <c r="Z26" s="251">
        <v>405398731</v>
      </c>
      <c r="AA26" s="253">
        <v>403374085</v>
      </c>
      <c r="AB26" s="254">
        <v>400771712</v>
      </c>
      <c r="AC26" s="280">
        <v>395771710</v>
      </c>
      <c r="AD26" s="251">
        <v>393588686</v>
      </c>
      <c r="AE26" s="253">
        <v>396896059</v>
      </c>
      <c r="AF26" s="253">
        <v>388525810</v>
      </c>
      <c r="AG26" s="253">
        <v>384754056</v>
      </c>
      <c r="AH26" s="253">
        <v>385078134</v>
      </c>
      <c r="AI26" s="251">
        <v>380859359</v>
      </c>
      <c r="AJ26" s="251">
        <v>377652365</v>
      </c>
      <c r="AK26" s="304">
        <v>375652365</v>
      </c>
      <c r="AL26" s="304"/>
      <c r="AM26" s="304"/>
      <c r="AN26" s="304"/>
      <c r="AO26" s="304"/>
    </row>
    <row r="27" spans="1:41">
      <c r="A27" s="11" t="s">
        <v>65</v>
      </c>
      <c r="B27" s="66">
        <f t="shared" ref="B27:AO27" si="12">B21+B17+B14+B8+B7+B4</f>
        <v>151015729</v>
      </c>
      <c r="C27" s="66">
        <f t="shared" si="12"/>
        <v>1236977812</v>
      </c>
      <c r="D27" s="66">
        <f t="shared" si="12"/>
        <v>1175308122</v>
      </c>
      <c r="E27" s="66">
        <f t="shared" si="12"/>
        <v>1189051110</v>
      </c>
      <c r="F27" s="66">
        <f t="shared" si="12"/>
        <v>1219904282</v>
      </c>
      <c r="G27" s="66">
        <f t="shared" si="12"/>
        <v>1223071543</v>
      </c>
      <c r="H27" s="66">
        <f t="shared" si="12"/>
        <v>1221855078</v>
      </c>
      <c r="I27" s="66">
        <f t="shared" si="12"/>
        <v>1232881966</v>
      </c>
      <c r="J27" s="66">
        <f t="shared" si="12"/>
        <v>1241947454</v>
      </c>
      <c r="K27" s="66">
        <f t="shared" si="12"/>
        <v>1249261488</v>
      </c>
      <c r="L27" s="66">
        <f t="shared" si="12"/>
        <v>1306588126</v>
      </c>
      <c r="M27" s="66">
        <f t="shared" si="12"/>
        <v>1311703371</v>
      </c>
      <c r="N27" s="66">
        <f t="shared" si="12"/>
        <v>1318055486</v>
      </c>
      <c r="O27" s="66">
        <f t="shared" si="12"/>
        <v>1374861880</v>
      </c>
      <c r="P27" s="66">
        <f t="shared" si="12"/>
        <v>1372661880</v>
      </c>
      <c r="Q27" s="66">
        <f t="shared" si="12"/>
        <v>1380421207</v>
      </c>
      <c r="R27" s="66">
        <f t="shared" si="12"/>
        <v>1395092277</v>
      </c>
      <c r="S27" s="66">
        <f t="shared" si="12"/>
        <v>1374029443</v>
      </c>
      <c r="T27" s="66">
        <f t="shared" si="12"/>
        <v>1360681374</v>
      </c>
      <c r="U27" s="66">
        <f t="shared" si="12"/>
        <v>1364203576</v>
      </c>
      <c r="V27" s="66">
        <f t="shared" si="12"/>
        <v>1373206169</v>
      </c>
      <c r="W27" s="66">
        <f t="shared" si="12"/>
        <v>1381333307</v>
      </c>
      <c r="X27" s="66">
        <f t="shared" si="12"/>
        <v>1388996927</v>
      </c>
      <c r="Y27" s="66">
        <f t="shared" si="12"/>
        <v>1391514003</v>
      </c>
      <c r="Z27" s="66">
        <f t="shared" si="12"/>
        <v>1402469854</v>
      </c>
      <c r="AA27" s="66">
        <f t="shared" si="12"/>
        <v>1408173370</v>
      </c>
      <c r="AB27" s="285">
        <f t="shared" si="12"/>
        <v>1465789897</v>
      </c>
      <c r="AC27" s="279">
        <f t="shared" si="12"/>
        <v>1460789897</v>
      </c>
      <c r="AD27" s="279">
        <f t="shared" si="12"/>
        <v>1465615207</v>
      </c>
      <c r="AE27" s="279">
        <f t="shared" si="12"/>
        <v>1474942673</v>
      </c>
      <c r="AF27" s="279">
        <f t="shared" si="12"/>
        <v>1440235816</v>
      </c>
      <c r="AG27" s="279">
        <f t="shared" si="12"/>
        <v>1431550498</v>
      </c>
      <c r="AH27" s="279">
        <f t="shared" si="12"/>
        <v>1430683667</v>
      </c>
      <c r="AI27" s="279">
        <f t="shared" si="12"/>
        <v>1434050537</v>
      </c>
      <c r="AJ27" s="279">
        <f t="shared" si="12"/>
        <v>1469094532</v>
      </c>
      <c r="AK27" s="306">
        <f t="shared" si="12"/>
        <v>1486824700</v>
      </c>
      <c r="AL27" s="306">
        <f t="shared" si="12"/>
        <v>0</v>
      </c>
      <c r="AM27" s="306">
        <f t="shared" si="12"/>
        <v>0</v>
      </c>
      <c r="AN27" s="306">
        <f t="shared" si="12"/>
        <v>0</v>
      </c>
      <c r="AO27" s="306">
        <f t="shared" si="12"/>
        <v>0</v>
      </c>
    </row>
    <row r="28" spans="1:41">
      <c r="A28" s="12" t="s">
        <v>66</v>
      </c>
      <c r="B28" s="25">
        <v>8112861</v>
      </c>
      <c r="C28" s="163">
        <v>196597486</v>
      </c>
      <c r="D28" s="248">
        <v>160094607</v>
      </c>
      <c r="E28" s="248">
        <v>144474108</v>
      </c>
      <c r="F28" s="248">
        <v>165646387</v>
      </c>
      <c r="G28" s="248">
        <v>155276718</v>
      </c>
      <c r="H28" s="248">
        <v>144478780</v>
      </c>
      <c r="I28" s="248">
        <v>146250517</v>
      </c>
      <c r="J28" s="248">
        <v>152918909</v>
      </c>
      <c r="K28" s="248">
        <v>149269584</v>
      </c>
      <c r="L28" s="248">
        <v>145882062</v>
      </c>
      <c r="M28" s="248">
        <v>147305327</v>
      </c>
      <c r="N28" s="248">
        <v>155412239</v>
      </c>
      <c r="O28" s="248">
        <v>148467369</v>
      </c>
      <c r="P28" s="160">
        <v>184968757</v>
      </c>
      <c r="Q28" s="13">
        <v>149428757</v>
      </c>
      <c r="R28" s="13">
        <v>159822084</v>
      </c>
      <c r="S28" s="45">
        <v>189938230</v>
      </c>
      <c r="T28" s="71">
        <v>155584657</v>
      </c>
      <c r="U28" s="71">
        <v>148675981</v>
      </c>
      <c r="V28" s="71">
        <v>152995040</v>
      </c>
      <c r="W28" s="71">
        <v>151349612</v>
      </c>
      <c r="X28" s="71">
        <v>154851879</v>
      </c>
      <c r="Y28" s="71">
        <v>151477016</v>
      </c>
      <c r="Z28" s="251">
        <v>152988067</v>
      </c>
      <c r="AA28" s="253">
        <v>152119545</v>
      </c>
      <c r="AB28" s="254">
        <v>159702332</v>
      </c>
      <c r="AC28" s="280">
        <v>202098796</v>
      </c>
      <c r="AD28" s="289">
        <v>158213177</v>
      </c>
      <c r="AE28" s="291">
        <v>157480121</v>
      </c>
      <c r="AF28" s="291">
        <v>169957870</v>
      </c>
      <c r="AG28" s="291">
        <v>154024015</v>
      </c>
      <c r="AH28" s="291">
        <v>146668825</v>
      </c>
      <c r="AI28" s="289">
        <v>142176533</v>
      </c>
      <c r="AJ28" s="289">
        <v>172023155</v>
      </c>
      <c r="AK28" s="304">
        <v>182424131</v>
      </c>
      <c r="AL28" s="304"/>
      <c r="AM28" s="304"/>
      <c r="AN28" s="304"/>
      <c r="AO28" s="304"/>
    </row>
    <row r="29" spans="1:41">
      <c r="A29" s="12" t="s">
        <v>67</v>
      </c>
      <c r="B29" s="25">
        <v>8350444</v>
      </c>
      <c r="C29" s="159">
        <v>22744581</v>
      </c>
      <c r="D29" s="248">
        <v>27240666</v>
      </c>
      <c r="E29" s="248">
        <v>28980670</v>
      </c>
      <c r="F29" s="248">
        <v>31005770</v>
      </c>
      <c r="G29" s="248">
        <v>34844770</v>
      </c>
      <c r="H29" s="248">
        <v>36440611</v>
      </c>
      <c r="I29" s="248">
        <v>38825897</v>
      </c>
      <c r="J29" s="248">
        <v>36476526</v>
      </c>
      <c r="K29" s="248">
        <v>39644265</v>
      </c>
      <c r="L29" s="248">
        <v>40738819</v>
      </c>
      <c r="M29" s="248">
        <v>37281819</v>
      </c>
      <c r="N29" s="248">
        <v>34110327</v>
      </c>
      <c r="O29" s="248">
        <v>38432727</v>
      </c>
      <c r="P29" s="160">
        <v>38432727</v>
      </c>
      <c r="Q29" s="13">
        <v>36705237</v>
      </c>
      <c r="R29" s="13">
        <v>40412232</v>
      </c>
      <c r="S29" s="45">
        <v>39467005</v>
      </c>
      <c r="T29" s="71">
        <v>41096817</v>
      </c>
      <c r="U29" s="71">
        <v>44584817</v>
      </c>
      <c r="V29" s="71">
        <v>47714517</v>
      </c>
      <c r="W29" s="71">
        <v>49804418</v>
      </c>
      <c r="X29" s="71">
        <v>49666417</v>
      </c>
      <c r="Y29" s="71">
        <v>48013888</v>
      </c>
      <c r="Z29" s="251">
        <v>47171661</v>
      </c>
      <c r="AA29" s="253">
        <v>46054150</v>
      </c>
      <c r="AB29" s="254">
        <v>43583125</v>
      </c>
      <c r="AC29" s="280">
        <v>43583126</v>
      </c>
      <c r="AD29" s="251">
        <v>46097781</v>
      </c>
      <c r="AE29" s="253">
        <v>47319049</v>
      </c>
      <c r="AF29" s="253">
        <v>51294232</v>
      </c>
      <c r="AG29" s="253">
        <v>54835511</v>
      </c>
      <c r="AH29" s="253">
        <v>54422221</v>
      </c>
      <c r="AI29" s="251">
        <v>54570722</v>
      </c>
      <c r="AJ29" s="251">
        <v>55469442</v>
      </c>
      <c r="AK29" s="304">
        <v>55176774</v>
      </c>
      <c r="AL29" s="304"/>
      <c r="AM29" s="304"/>
      <c r="AN29" s="304"/>
      <c r="AO29" s="304"/>
    </row>
    <row r="30" spans="1:41">
      <c r="A30" s="12" t="s">
        <v>68</v>
      </c>
      <c r="B30" s="25">
        <v>112140909</v>
      </c>
      <c r="C30" s="163">
        <v>648119220</v>
      </c>
      <c r="D30" s="248">
        <v>653027408</v>
      </c>
      <c r="E30" s="248">
        <v>657560984</v>
      </c>
      <c r="F30" s="248">
        <v>658237631</v>
      </c>
      <c r="G30" s="248">
        <v>663672071</v>
      </c>
      <c r="H30" s="248">
        <v>667297041</v>
      </c>
      <c r="I30" s="248">
        <v>672478023</v>
      </c>
      <c r="J30" s="248">
        <v>671289225</v>
      </c>
      <c r="K30" s="248">
        <v>674145345</v>
      </c>
      <c r="L30" s="248">
        <v>677288785</v>
      </c>
      <c r="M30" s="248">
        <v>677014567</v>
      </c>
      <c r="N30" s="248">
        <v>681062853</v>
      </c>
      <c r="O30" s="248">
        <v>688606121</v>
      </c>
      <c r="P30" s="160">
        <v>688580171</v>
      </c>
      <c r="Q30" s="13">
        <v>693913233</v>
      </c>
      <c r="R30" s="13">
        <v>699331954</v>
      </c>
      <c r="S30" s="170">
        <v>703419370</v>
      </c>
      <c r="T30" s="71">
        <v>707120558</v>
      </c>
      <c r="U30" s="71">
        <v>711700029</v>
      </c>
      <c r="V30" s="71">
        <v>711246774</v>
      </c>
      <c r="W30" s="71">
        <v>711177383</v>
      </c>
      <c r="X30" s="71">
        <v>710435343</v>
      </c>
      <c r="Y30" s="71">
        <v>713581190</v>
      </c>
      <c r="Z30" s="251">
        <v>716857531</v>
      </c>
      <c r="AA30" s="253">
        <v>720983998</v>
      </c>
      <c r="AB30" s="254">
        <v>726994123</v>
      </c>
      <c r="AC30" s="280">
        <v>727001223</v>
      </c>
      <c r="AD30" s="251">
        <v>729441854</v>
      </c>
      <c r="AE30" s="253">
        <v>735032641</v>
      </c>
      <c r="AF30" s="253">
        <v>738093934</v>
      </c>
      <c r="AG30" s="253">
        <v>742920489</v>
      </c>
      <c r="AH30" s="253">
        <v>747616909</v>
      </c>
      <c r="AI30" s="251">
        <v>751271783</v>
      </c>
      <c r="AJ30" s="251">
        <v>746110350</v>
      </c>
      <c r="AK30" s="304">
        <v>747558830</v>
      </c>
      <c r="AL30" s="304"/>
      <c r="AM30" s="304"/>
      <c r="AN30" s="304"/>
      <c r="AO30" s="304"/>
    </row>
    <row r="31" spans="1:41">
      <c r="A31" s="11" t="s">
        <v>69</v>
      </c>
      <c r="B31" s="66">
        <f t="shared" ref="B31:G31" si="13">SUM(B28:B30)</f>
        <v>128604214</v>
      </c>
      <c r="C31" s="66">
        <f t="shared" si="13"/>
        <v>867461287</v>
      </c>
      <c r="D31" s="66">
        <f t="shared" si="13"/>
        <v>840362681</v>
      </c>
      <c r="E31" s="66">
        <f t="shared" si="13"/>
        <v>831015762</v>
      </c>
      <c r="F31" s="66">
        <f t="shared" si="13"/>
        <v>854889788</v>
      </c>
      <c r="G31" s="66">
        <f t="shared" si="13"/>
        <v>853793559</v>
      </c>
      <c r="H31" s="66">
        <f>SUM(H28:H30)</f>
        <v>848216432</v>
      </c>
      <c r="I31" s="66">
        <f>SUM(I28:I30)</f>
        <v>857554437</v>
      </c>
      <c r="J31" s="66">
        <f>SUM(J28:J30)</f>
        <v>860684660</v>
      </c>
      <c r="K31" s="66">
        <f>SUM(K28:K30)</f>
        <v>863059194</v>
      </c>
      <c r="L31" s="66">
        <f t="shared" ref="L31:AO31" si="14">SUM(L28:L30)</f>
        <v>863909666</v>
      </c>
      <c r="M31" s="66">
        <f t="shared" si="14"/>
        <v>861601713</v>
      </c>
      <c r="N31" s="66">
        <f t="shared" si="14"/>
        <v>870585419</v>
      </c>
      <c r="O31" s="66">
        <f t="shared" si="14"/>
        <v>875506217</v>
      </c>
      <c r="P31" s="66">
        <f t="shared" si="14"/>
        <v>911981655</v>
      </c>
      <c r="Q31" s="66">
        <f t="shared" si="14"/>
        <v>880047227</v>
      </c>
      <c r="R31" s="66">
        <f t="shared" si="14"/>
        <v>899566270</v>
      </c>
      <c r="S31" s="66">
        <f t="shared" si="14"/>
        <v>932824605</v>
      </c>
      <c r="T31" s="66">
        <f t="shared" si="14"/>
        <v>903802032</v>
      </c>
      <c r="U31" s="66">
        <f t="shared" si="14"/>
        <v>904960827</v>
      </c>
      <c r="V31" s="66">
        <f t="shared" si="14"/>
        <v>911956331</v>
      </c>
      <c r="W31" s="66">
        <f t="shared" si="14"/>
        <v>912331413</v>
      </c>
      <c r="X31" s="66">
        <f t="shared" si="14"/>
        <v>914953639</v>
      </c>
      <c r="Y31" s="66">
        <f t="shared" si="14"/>
        <v>913072094</v>
      </c>
      <c r="Z31" s="66">
        <f t="shared" si="14"/>
        <v>917017259</v>
      </c>
      <c r="AA31" s="66">
        <f t="shared" si="14"/>
        <v>919157693</v>
      </c>
      <c r="AB31" s="285">
        <f t="shared" si="14"/>
        <v>930279580</v>
      </c>
      <c r="AC31" s="279">
        <f t="shared" si="14"/>
        <v>972683145</v>
      </c>
      <c r="AD31" s="279">
        <f t="shared" si="14"/>
        <v>933752812</v>
      </c>
      <c r="AE31" s="279">
        <f t="shared" si="14"/>
        <v>939831811</v>
      </c>
      <c r="AF31" s="279">
        <f t="shared" si="14"/>
        <v>959346036</v>
      </c>
      <c r="AG31" s="279">
        <f t="shared" si="14"/>
        <v>951780015</v>
      </c>
      <c r="AH31" s="279">
        <f t="shared" si="14"/>
        <v>948707955</v>
      </c>
      <c r="AI31" s="279">
        <f t="shared" si="14"/>
        <v>948019038</v>
      </c>
      <c r="AJ31" s="279">
        <f t="shared" si="14"/>
        <v>973602947</v>
      </c>
      <c r="AK31" s="306">
        <f t="shared" si="14"/>
        <v>985159735</v>
      </c>
      <c r="AL31" s="306">
        <f t="shared" si="14"/>
        <v>0</v>
      </c>
      <c r="AM31" s="306">
        <f t="shared" si="14"/>
        <v>0</v>
      </c>
      <c r="AN31" s="306">
        <f t="shared" si="14"/>
        <v>0</v>
      </c>
      <c r="AO31" s="306">
        <f t="shared" si="14"/>
        <v>0</v>
      </c>
    </row>
    <row r="32" spans="1:41">
      <c r="A32" s="12" t="s">
        <v>70</v>
      </c>
      <c r="B32" s="25">
        <v>27231</v>
      </c>
      <c r="C32" s="159">
        <v>2147442</v>
      </c>
      <c r="D32" s="248">
        <v>237867</v>
      </c>
      <c r="E32" s="248">
        <v>248779</v>
      </c>
      <c r="F32" s="248">
        <v>396897</v>
      </c>
      <c r="G32" s="248">
        <v>301068</v>
      </c>
      <c r="H32" s="248">
        <v>312518</v>
      </c>
      <c r="I32" s="248">
        <v>343574</v>
      </c>
      <c r="J32" s="248">
        <v>0</v>
      </c>
      <c r="K32" s="248">
        <v>0</v>
      </c>
      <c r="L32" s="248">
        <v>0</v>
      </c>
      <c r="M32" s="248">
        <v>0</v>
      </c>
      <c r="N32" s="248">
        <v>0</v>
      </c>
      <c r="O32" s="248">
        <v>2947779</v>
      </c>
      <c r="P32" s="160">
        <v>2947779</v>
      </c>
      <c r="Q32" s="13">
        <v>300000</v>
      </c>
      <c r="R32" s="13">
        <v>0</v>
      </c>
      <c r="S32" s="45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s="250">
        <v>0</v>
      </c>
      <c r="AA32" s="252">
        <v>0</v>
      </c>
      <c r="AB32" s="254">
        <v>1731947</v>
      </c>
      <c r="AC32" s="280">
        <v>2057169</v>
      </c>
      <c r="AD32" s="288">
        <v>0</v>
      </c>
      <c r="AE32" s="290">
        <v>0</v>
      </c>
      <c r="AF32" s="290">
        <v>0</v>
      </c>
      <c r="AG32" s="290">
        <v>0</v>
      </c>
      <c r="AH32" s="290">
        <v>0</v>
      </c>
      <c r="AI32" s="288">
        <v>0</v>
      </c>
      <c r="AJ32" s="288">
        <v>0</v>
      </c>
      <c r="AK32" s="304">
        <v>0</v>
      </c>
      <c r="AL32" s="304"/>
      <c r="AM32" s="304"/>
      <c r="AN32" s="304"/>
      <c r="AO32" s="304"/>
    </row>
    <row r="33" spans="1:41">
      <c r="A33" s="12" t="s">
        <v>71</v>
      </c>
      <c r="B33" s="25">
        <v>3618123</v>
      </c>
      <c r="C33" s="163">
        <v>40280000</v>
      </c>
      <c r="D33" s="248">
        <v>1000000</v>
      </c>
      <c r="E33" s="248">
        <v>2000000</v>
      </c>
      <c r="F33" s="248">
        <v>5000000</v>
      </c>
      <c r="G33" s="248">
        <v>7000000</v>
      </c>
      <c r="H33" s="248">
        <v>12000000</v>
      </c>
      <c r="I33" s="248">
        <v>20000000</v>
      </c>
      <c r="J33" s="248">
        <v>30000000</v>
      </c>
      <c r="K33" s="248">
        <v>37000000</v>
      </c>
      <c r="L33" s="248">
        <v>44000000</v>
      </c>
      <c r="M33" s="248">
        <v>50000000</v>
      </c>
      <c r="N33" s="248">
        <v>55000000</v>
      </c>
      <c r="O33" s="248">
        <v>60000000</v>
      </c>
      <c r="P33" s="186">
        <v>58000000</v>
      </c>
      <c r="Q33" s="13">
        <v>2000000</v>
      </c>
      <c r="R33" s="13">
        <v>4000000</v>
      </c>
      <c r="S33" s="170">
        <v>6000000</v>
      </c>
      <c r="T33" s="71">
        <v>8000000</v>
      </c>
      <c r="U33" s="71">
        <v>16000000</v>
      </c>
      <c r="V33" s="71">
        <v>26000000</v>
      </c>
      <c r="W33" s="71">
        <v>40600000</v>
      </c>
      <c r="X33" s="71">
        <v>46400000</v>
      </c>
      <c r="Y33" s="71">
        <v>52200000</v>
      </c>
      <c r="Z33" s="251">
        <v>58000000</v>
      </c>
      <c r="AA33" s="253">
        <v>63800000</v>
      </c>
      <c r="AB33" s="254">
        <v>66000000</v>
      </c>
      <c r="AC33" s="281">
        <v>61000000</v>
      </c>
      <c r="AD33" s="251">
        <v>66000000</v>
      </c>
      <c r="AE33" s="253">
        <v>67000000</v>
      </c>
      <c r="AF33" s="253">
        <v>20361698</v>
      </c>
      <c r="AG33" s="253">
        <v>22460124</v>
      </c>
      <c r="AH33" s="253">
        <v>25000000</v>
      </c>
      <c r="AI33" s="251">
        <v>30000000</v>
      </c>
      <c r="AJ33" s="251">
        <v>35000000</v>
      </c>
      <c r="AK33" s="304">
        <v>40000000</v>
      </c>
      <c r="AL33" s="304"/>
      <c r="AM33" s="304"/>
      <c r="AN33" s="304"/>
      <c r="AO33" s="304"/>
    </row>
    <row r="34" spans="1:41">
      <c r="A34" s="12" t="s">
        <v>72</v>
      </c>
      <c r="B34" s="25"/>
      <c r="C34" s="162">
        <v>0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48">
        <v>0</v>
      </c>
      <c r="J34" s="248">
        <v>0</v>
      </c>
      <c r="K34" s="248">
        <v>0</v>
      </c>
      <c r="L34" s="248">
        <v>0</v>
      </c>
      <c r="M34" s="248">
        <v>0</v>
      </c>
      <c r="N34" s="248">
        <v>0</v>
      </c>
      <c r="O34" s="248">
        <v>0</v>
      </c>
      <c r="P34" s="160"/>
      <c r="Q34" s="13">
        <v>0</v>
      </c>
      <c r="R34" s="13">
        <v>0</v>
      </c>
      <c r="S34" s="45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s="250">
        <v>0</v>
      </c>
      <c r="AA34" s="252">
        <v>0</v>
      </c>
      <c r="AB34" s="255">
        <v>0</v>
      </c>
      <c r="AC34" s="280"/>
      <c r="AD34" s="250">
        <v>0</v>
      </c>
      <c r="AE34" s="252">
        <v>0</v>
      </c>
      <c r="AF34" s="252">
        <v>0</v>
      </c>
      <c r="AG34" s="252">
        <v>0</v>
      </c>
      <c r="AH34" s="252">
        <v>0</v>
      </c>
      <c r="AI34" s="250">
        <v>0</v>
      </c>
      <c r="AJ34" s="250">
        <v>0</v>
      </c>
      <c r="AK34" s="304">
        <v>0</v>
      </c>
      <c r="AL34" s="304"/>
      <c r="AM34" s="304"/>
      <c r="AN34" s="304"/>
      <c r="AO34" s="304"/>
    </row>
    <row r="35" spans="1:41">
      <c r="A35" s="12" t="s">
        <v>73</v>
      </c>
      <c r="B35" s="25"/>
      <c r="C35" s="163"/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48">
        <v>0</v>
      </c>
      <c r="J35" s="248">
        <v>0</v>
      </c>
      <c r="K35" s="248">
        <v>0</v>
      </c>
      <c r="L35" s="248">
        <v>0</v>
      </c>
      <c r="M35" s="248">
        <v>0</v>
      </c>
      <c r="N35" s="248">
        <v>0</v>
      </c>
      <c r="O35" s="248">
        <v>0</v>
      </c>
      <c r="P35" s="160"/>
      <c r="Q35" s="13">
        <v>0</v>
      </c>
      <c r="R35" s="13">
        <v>0</v>
      </c>
      <c r="S35" s="4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s="250">
        <v>0</v>
      </c>
      <c r="AA35" s="252">
        <v>0</v>
      </c>
      <c r="AB35" s="255">
        <v>0</v>
      </c>
      <c r="AC35" s="280"/>
      <c r="AD35" s="250">
        <v>0</v>
      </c>
      <c r="AE35" s="252">
        <v>0</v>
      </c>
      <c r="AF35" s="252">
        <v>0</v>
      </c>
      <c r="AG35" s="252">
        <v>0</v>
      </c>
      <c r="AH35" s="252">
        <v>0</v>
      </c>
      <c r="AI35" s="250">
        <v>0</v>
      </c>
      <c r="AJ35" s="250">
        <v>0</v>
      </c>
      <c r="AK35" s="304">
        <v>0</v>
      </c>
      <c r="AL35" s="304"/>
      <c r="AM35" s="304"/>
      <c r="AN35" s="304"/>
      <c r="AO35" s="304"/>
    </row>
    <row r="36" spans="1:41">
      <c r="A36" s="12" t="s">
        <v>74</v>
      </c>
      <c r="B36" s="25">
        <v>1214920</v>
      </c>
      <c r="C36" s="163">
        <v>1662567</v>
      </c>
      <c r="D36" s="248">
        <v>35647251</v>
      </c>
      <c r="E36" s="248">
        <v>33391294</v>
      </c>
      <c r="F36" s="248">
        <v>36018635</v>
      </c>
      <c r="G36" s="248">
        <v>35078954</v>
      </c>
      <c r="H36" s="248">
        <v>36224122</v>
      </c>
      <c r="I36" s="248">
        <v>33981112</v>
      </c>
      <c r="J36" s="248">
        <v>34508937</v>
      </c>
      <c r="K36" s="248">
        <v>35115761</v>
      </c>
      <c r="L36" s="248">
        <v>35455529</v>
      </c>
      <c r="M36" s="248">
        <v>39521305</v>
      </c>
      <c r="N36" s="248">
        <v>38355000</v>
      </c>
      <c r="O36" s="248">
        <v>39589774</v>
      </c>
      <c r="P36" s="160">
        <f>2754336+360000</f>
        <v>3114336</v>
      </c>
      <c r="Q36" s="13">
        <v>101366275</v>
      </c>
      <c r="R36" s="13">
        <v>98856737</v>
      </c>
      <c r="S36" s="71">
        <v>40685202</v>
      </c>
      <c r="T36" s="71">
        <v>46232258</v>
      </c>
      <c r="U36" s="71">
        <v>42153455</v>
      </c>
      <c r="V36" s="71">
        <v>38704100</v>
      </c>
      <c r="W36" s="71">
        <v>46433542</v>
      </c>
      <c r="X36" s="71">
        <v>43221390</v>
      </c>
      <c r="Y36" s="71">
        <v>42630921</v>
      </c>
      <c r="Z36" s="251">
        <v>43103540</v>
      </c>
      <c r="AA36" s="253">
        <v>43861370</v>
      </c>
      <c r="AB36" s="254">
        <v>45021948</v>
      </c>
      <c r="AC36" s="280">
        <f>820000+1731947</f>
        <v>2551947</v>
      </c>
      <c r="AD36" s="251">
        <v>46175731</v>
      </c>
      <c r="AE36" s="253">
        <v>48627384</v>
      </c>
      <c r="AF36" s="253">
        <v>46610040</v>
      </c>
      <c r="AG36" s="253">
        <v>48964308</v>
      </c>
      <c r="AH36" s="253">
        <v>47417317</v>
      </c>
      <c r="AI36" s="251">
        <v>49458537</v>
      </c>
      <c r="AJ36" s="251">
        <v>52426619</v>
      </c>
      <c r="AK36" s="304">
        <v>52438404</v>
      </c>
      <c r="AL36" s="304"/>
      <c r="AM36" s="304"/>
      <c r="AN36" s="304"/>
      <c r="AO36" s="304"/>
    </row>
    <row r="37" spans="1:41">
      <c r="A37" s="12" t="s">
        <v>75</v>
      </c>
      <c r="B37" s="25">
        <v>2291669</v>
      </c>
      <c r="C37" s="163">
        <v>86676534</v>
      </c>
      <c r="D37" s="248">
        <v>82942020</v>
      </c>
      <c r="E37" s="248">
        <v>78518799</v>
      </c>
      <c r="F37" s="248">
        <v>74852133</v>
      </c>
      <c r="G37" s="248">
        <v>71185467</v>
      </c>
      <c r="H37" s="248">
        <v>66760355</v>
      </c>
      <c r="I37" s="248">
        <v>63093688</v>
      </c>
      <c r="J37" s="248">
        <v>59427022</v>
      </c>
      <c r="K37" s="248">
        <v>55000013</v>
      </c>
      <c r="L37" s="248">
        <v>101333347</v>
      </c>
      <c r="M37" s="248">
        <v>96277793</v>
      </c>
      <c r="N37" s="248">
        <v>91184333</v>
      </c>
      <c r="O37" s="248">
        <v>145741122</v>
      </c>
      <c r="P37" s="160">
        <v>145741122</v>
      </c>
      <c r="Q37" s="13">
        <v>142364405</v>
      </c>
      <c r="R37" s="13">
        <v>138101668</v>
      </c>
      <c r="S37" s="45">
        <v>133841034</v>
      </c>
      <c r="T37" s="71">
        <v>129863219</v>
      </c>
      <c r="U37" s="71">
        <v>125572404</v>
      </c>
      <c r="V37" s="71">
        <v>121264026</v>
      </c>
      <c r="W37" s="71">
        <v>114161192</v>
      </c>
      <c r="X37" s="71">
        <v>109818728</v>
      </c>
      <c r="Y37" s="71">
        <v>105458661</v>
      </c>
      <c r="Z37" s="251">
        <v>101088594</v>
      </c>
      <c r="AA37" s="253">
        <v>96692814</v>
      </c>
      <c r="AB37" s="254">
        <v>138434460</v>
      </c>
      <c r="AC37" s="280">
        <v>138434460</v>
      </c>
      <c r="AD37" s="251">
        <v>133712944</v>
      </c>
      <c r="AE37" s="253">
        <v>128984534</v>
      </c>
      <c r="AF37" s="253">
        <v>124293770</v>
      </c>
      <c r="AG37" s="253">
        <v>119528144</v>
      </c>
      <c r="AH37" s="253">
        <v>114743280</v>
      </c>
      <c r="AI37" s="251">
        <v>109953977</v>
      </c>
      <c r="AJ37" s="251">
        <v>105130154</v>
      </c>
      <c r="AK37" s="304">
        <v>100316438</v>
      </c>
      <c r="AL37" s="304"/>
      <c r="AM37" s="304"/>
      <c r="AN37" s="304"/>
      <c r="AO37" s="304"/>
    </row>
    <row r="38" spans="1:41">
      <c r="A38" s="11" t="s">
        <v>76</v>
      </c>
      <c r="B38" s="66">
        <f t="shared" ref="B38:G38" si="15">SUM(B31:B37)</f>
        <v>135756157</v>
      </c>
      <c r="C38" s="66">
        <f t="shared" si="15"/>
        <v>998227830</v>
      </c>
      <c r="D38" s="66">
        <f t="shared" si="15"/>
        <v>960189819</v>
      </c>
      <c r="E38" s="66">
        <f t="shared" si="15"/>
        <v>945174634</v>
      </c>
      <c r="F38" s="66">
        <f t="shared" si="15"/>
        <v>971157453</v>
      </c>
      <c r="G38" s="66">
        <f t="shared" si="15"/>
        <v>967359048</v>
      </c>
      <c r="H38" s="66">
        <f t="shared" ref="H38:AO38" si="16">SUM(H31:H37)</f>
        <v>963513427</v>
      </c>
      <c r="I38" s="66">
        <f t="shared" si="16"/>
        <v>974972811</v>
      </c>
      <c r="J38" s="66">
        <f t="shared" si="16"/>
        <v>984620619</v>
      </c>
      <c r="K38" s="66">
        <f t="shared" si="16"/>
        <v>990174968</v>
      </c>
      <c r="L38" s="66">
        <f t="shared" si="16"/>
        <v>1044698542</v>
      </c>
      <c r="M38" s="66">
        <f t="shared" si="16"/>
        <v>1047400811</v>
      </c>
      <c r="N38" s="66">
        <f t="shared" si="16"/>
        <v>1055124752</v>
      </c>
      <c r="O38" s="66">
        <f t="shared" si="16"/>
        <v>1123784892</v>
      </c>
      <c r="P38" s="66">
        <f t="shared" si="16"/>
        <v>1121784892</v>
      </c>
      <c r="Q38" s="66">
        <f t="shared" si="16"/>
        <v>1126077907</v>
      </c>
      <c r="R38" s="66">
        <f t="shared" si="16"/>
        <v>1140524675</v>
      </c>
      <c r="S38" s="66">
        <f t="shared" si="16"/>
        <v>1113350841</v>
      </c>
      <c r="T38" s="66">
        <f t="shared" si="16"/>
        <v>1087897509</v>
      </c>
      <c r="U38" s="66">
        <f t="shared" si="16"/>
        <v>1088686686</v>
      </c>
      <c r="V38" s="66">
        <f t="shared" si="16"/>
        <v>1097924457</v>
      </c>
      <c r="W38" s="66">
        <f t="shared" si="16"/>
        <v>1113526147</v>
      </c>
      <c r="X38" s="66">
        <f t="shared" si="16"/>
        <v>1114393757</v>
      </c>
      <c r="Y38" s="66">
        <f t="shared" si="16"/>
        <v>1113361676</v>
      </c>
      <c r="Z38" s="66">
        <f t="shared" si="16"/>
        <v>1119209393</v>
      </c>
      <c r="AA38" s="66">
        <f t="shared" si="16"/>
        <v>1123511877</v>
      </c>
      <c r="AB38" s="285">
        <f t="shared" si="16"/>
        <v>1181467935</v>
      </c>
      <c r="AC38" s="279">
        <f t="shared" si="16"/>
        <v>1176726721</v>
      </c>
      <c r="AD38" s="279">
        <f t="shared" si="16"/>
        <v>1179641487</v>
      </c>
      <c r="AE38" s="279">
        <f t="shared" si="16"/>
        <v>1184443729</v>
      </c>
      <c r="AF38" s="279">
        <f t="shared" si="16"/>
        <v>1150611544</v>
      </c>
      <c r="AG38" s="279">
        <f t="shared" si="16"/>
        <v>1142732591</v>
      </c>
      <c r="AH38" s="279">
        <f t="shared" si="16"/>
        <v>1135868552</v>
      </c>
      <c r="AI38" s="279">
        <f t="shared" si="16"/>
        <v>1137431552</v>
      </c>
      <c r="AJ38" s="279">
        <f t="shared" si="16"/>
        <v>1166159720</v>
      </c>
      <c r="AK38" s="306">
        <f t="shared" si="16"/>
        <v>1177914577</v>
      </c>
      <c r="AL38" s="306">
        <f t="shared" si="16"/>
        <v>0</v>
      </c>
      <c r="AM38" s="306">
        <f t="shared" si="16"/>
        <v>0</v>
      </c>
      <c r="AN38" s="306">
        <f t="shared" si="16"/>
        <v>0</v>
      </c>
      <c r="AO38" s="306">
        <f t="shared" si="16"/>
        <v>0</v>
      </c>
    </row>
    <row r="39" spans="1:41">
      <c r="A39" s="12" t="s">
        <v>77</v>
      </c>
      <c r="B39" s="25">
        <v>10494697</v>
      </c>
      <c r="C39" s="163">
        <v>89412126</v>
      </c>
      <c r="D39" s="248">
        <v>89754772</v>
      </c>
      <c r="E39" s="248">
        <v>90040142</v>
      </c>
      <c r="F39" s="248">
        <v>90221432</v>
      </c>
      <c r="G39" s="248">
        <v>90641085</v>
      </c>
      <c r="H39" s="248">
        <v>90989813</v>
      </c>
      <c r="I39" s="248">
        <v>91325372</v>
      </c>
      <c r="J39" s="248">
        <v>91622528</v>
      </c>
      <c r="K39" s="248">
        <v>92044339</v>
      </c>
      <c r="L39" s="248">
        <v>92591109</v>
      </c>
      <c r="M39" s="248">
        <v>92961774</v>
      </c>
      <c r="N39" s="248">
        <v>93128535</v>
      </c>
      <c r="O39" s="248">
        <v>93531639</v>
      </c>
      <c r="P39" s="160">
        <v>93531639</v>
      </c>
      <c r="Q39" s="13">
        <v>93586416</v>
      </c>
      <c r="R39" s="13">
        <v>94151903</v>
      </c>
      <c r="S39" s="71">
        <v>94273046</v>
      </c>
      <c r="T39" s="71">
        <v>94633923</v>
      </c>
      <c r="U39" s="71">
        <v>95038260</v>
      </c>
      <c r="V39" s="71">
        <v>95442159</v>
      </c>
      <c r="W39" s="71">
        <v>95853606</v>
      </c>
      <c r="X39" s="71">
        <v>96212068</v>
      </c>
      <c r="Y39" s="71">
        <v>96665839</v>
      </c>
      <c r="Z39" s="251">
        <v>97149961</v>
      </c>
      <c r="AA39" s="253">
        <v>97328132</v>
      </c>
      <c r="AB39" s="254">
        <v>97671003</v>
      </c>
      <c r="AC39" s="280">
        <v>97671003</v>
      </c>
      <c r="AD39" s="289">
        <v>98127674</v>
      </c>
      <c r="AE39" s="291">
        <v>98548744</v>
      </c>
      <c r="AF39" s="291">
        <v>98813674</v>
      </c>
      <c r="AG39" s="291">
        <v>99188780</v>
      </c>
      <c r="AH39" s="291">
        <v>99563636</v>
      </c>
      <c r="AI39" s="289">
        <v>99964203</v>
      </c>
      <c r="AJ39" s="289">
        <v>100330070</v>
      </c>
      <c r="AK39" s="304">
        <v>100687987</v>
      </c>
      <c r="AL39" s="304"/>
      <c r="AM39" s="304"/>
      <c r="AN39" s="304"/>
      <c r="AO39" s="304"/>
    </row>
    <row r="40" spans="1:41">
      <c r="A40" s="12" t="s">
        <v>78</v>
      </c>
      <c r="B40" s="25">
        <v>340425</v>
      </c>
      <c r="C40" s="162">
        <v>0</v>
      </c>
      <c r="D40" s="248">
        <v>0</v>
      </c>
      <c r="E40" s="248">
        <v>0</v>
      </c>
      <c r="F40" s="248">
        <v>0</v>
      </c>
      <c r="G40" s="248">
        <v>0</v>
      </c>
      <c r="H40" s="248">
        <v>0</v>
      </c>
      <c r="I40" s="248">
        <v>0</v>
      </c>
      <c r="J40" s="248">
        <v>0</v>
      </c>
      <c r="K40" s="248">
        <v>0</v>
      </c>
      <c r="L40" s="248">
        <v>0</v>
      </c>
      <c r="M40" s="248">
        <v>0</v>
      </c>
      <c r="N40" s="248">
        <v>0</v>
      </c>
      <c r="O40" s="248">
        <v>0</v>
      </c>
      <c r="P40" s="160">
        <v>0</v>
      </c>
      <c r="Q40" s="13">
        <v>0</v>
      </c>
      <c r="R40" s="13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s="250">
        <v>0</v>
      </c>
      <c r="AA40" s="252">
        <v>0</v>
      </c>
      <c r="AB40" s="255">
        <v>0</v>
      </c>
      <c r="AC40" s="280"/>
      <c r="AD40" s="250">
        <v>0</v>
      </c>
      <c r="AE40" s="252">
        <v>0</v>
      </c>
      <c r="AF40" s="252">
        <v>0</v>
      </c>
      <c r="AG40" s="252">
        <v>0</v>
      </c>
      <c r="AH40" s="252">
        <v>0</v>
      </c>
      <c r="AI40" s="250">
        <v>0</v>
      </c>
      <c r="AJ40" s="250">
        <v>0</v>
      </c>
      <c r="AK40" s="304">
        <v>0</v>
      </c>
      <c r="AL40" s="304"/>
      <c r="AM40" s="304"/>
      <c r="AN40" s="304"/>
      <c r="AO40" s="304"/>
    </row>
    <row r="41" spans="1:41">
      <c r="A41" s="12" t="s">
        <v>79</v>
      </c>
      <c r="B41" s="25">
        <v>351220</v>
      </c>
      <c r="C41" s="165">
        <v>60964231</v>
      </c>
      <c r="D41" s="248">
        <v>64270660</v>
      </c>
      <c r="E41" s="248">
        <v>63291409</v>
      </c>
      <c r="F41" s="248">
        <v>63291409</v>
      </c>
      <c r="G41" s="248">
        <v>63291409</v>
      </c>
      <c r="H41" s="248">
        <v>63291409</v>
      </c>
      <c r="I41" s="248">
        <v>63291409</v>
      </c>
      <c r="J41" s="248">
        <v>63291409</v>
      </c>
      <c r="K41" s="248">
        <v>63291409</v>
      </c>
      <c r="L41" s="248">
        <v>63291409</v>
      </c>
      <c r="M41" s="248">
        <v>63291409</v>
      </c>
      <c r="N41" s="248">
        <v>63291409</v>
      </c>
      <c r="O41" s="248">
        <v>69329545</v>
      </c>
      <c r="P41" s="160">
        <f>63291409-2279292-2129357-360000</f>
        <v>58522760</v>
      </c>
      <c r="Q41" s="13">
        <v>69369767</v>
      </c>
      <c r="R41" s="13">
        <v>69369767</v>
      </c>
      <c r="S41" s="71">
        <v>69369767</v>
      </c>
      <c r="T41" s="71">
        <v>69369767</v>
      </c>
      <c r="U41" s="71">
        <v>69369767</v>
      </c>
      <c r="V41" s="71">
        <v>69369767</v>
      </c>
      <c r="W41" s="71">
        <v>69369767</v>
      </c>
      <c r="X41" s="71">
        <v>69369767</v>
      </c>
      <c r="Y41" s="71">
        <v>69369767</v>
      </c>
      <c r="Z41" s="251">
        <v>69369767</v>
      </c>
      <c r="AA41" s="253">
        <v>69369767</v>
      </c>
      <c r="AB41" s="254">
        <v>91210399</v>
      </c>
      <c r="AC41" s="280">
        <f>68909767-5838174-820000</f>
        <v>62251593</v>
      </c>
      <c r="AD41" s="251">
        <v>90655591</v>
      </c>
      <c r="AE41" s="253">
        <v>90655591</v>
      </c>
      <c r="AF41" s="253">
        <v>90655591</v>
      </c>
      <c r="AG41" s="253">
        <v>90655591</v>
      </c>
      <c r="AH41" s="253">
        <v>90655591</v>
      </c>
      <c r="AI41" s="289">
        <v>90655591</v>
      </c>
      <c r="AJ41" s="251">
        <v>90655591</v>
      </c>
      <c r="AK41" s="304">
        <v>90655591</v>
      </c>
      <c r="AL41" s="304"/>
      <c r="AM41" s="304"/>
      <c r="AN41" s="304"/>
      <c r="AO41" s="304"/>
    </row>
    <row r="42" spans="1:41">
      <c r="A42" s="12" t="s">
        <v>80</v>
      </c>
      <c r="B42" s="25">
        <v>3541956</v>
      </c>
      <c r="C42" s="165">
        <v>2327178</v>
      </c>
      <c r="D42" s="248">
        <v>4054484</v>
      </c>
      <c r="E42" s="248">
        <v>4498478</v>
      </c>
      <c r="F42" s="248">
        <v>9187541</v>
      </c>
      <c r="G42" s="248">
        <v>15733554</v>
      </c>
      <c r="H42" s="248">
        <v>18013982</v>
      </c>
      <c r="I42" s="248">
        <v>17245927</v>
      </c>
      <c r="J42" s="248">
        <v>16366451</v>
      </c>
      <c r="K42" s="248">
        <v>17704325</v>
      </c>
      <c r="L42" s="248">
        <v>19960619</v>
      </c>
      <c r="M42" s="248">
        <v>22002930</v>
      </c>
      <c r="N42" s="248">
        <v>20464343</v>
      </c>
      <c r="O42" s="248">
        <v>0</v>
      </c>
      <c r="P42" s="186">
        <f>10646785</f>
        <v>10646785</v>
      </c>
      <c r="Q42" s="13">
        <v>3161258</v>
      </c>
      <c r="R42" s="13">
        <v>2820073</v>
      </c>
      <c r="S42" s="71">
        <v>8809930</v>
      </c>
      <c r="T42" s="71">
        <v>20554316</v>
      </c>
      <c r="U42" s="71">
        <v>22883004</v>
      </c>
      <c r="V42" s="71">
        <v>22243927</v>
      </c>
      <c r="W42" s="71">
        <v>14357928</v>
      </c>
      <c r="X42" s="71">
        <v>20795476</v>
      </c>
      <c r="Y42" s="71">
        <v>23890862</v>
      </c>
      <c r="Z42" s="251">
        <v>28514874</v>
      </c>
      <c r="AA42" s="253">
        <v>29737735</v>
      </c>
      <c r="AB42" s="255">
        <v>0</v>
      </c>
      <c r="AC42" s="280">
        <v>28567777</v>
      </c>
      <c r="AD42" s="251">
        <v>1617652</v>
      </c>
      <c r="AE42" s="253">
        <v>5720906</v>
      </c>
      <c r="AF42" s="253">
        <v>4581304</v>
      </c>
      <c r="AG42" s="253">
        <v>3399833</v>
      </c>
      <c r="AH42" s="253">
        <v>6606108</v>
      </c>
      <c r="AI42" s="251">
        <v>8009411</v>
      </c>
      <c r="AJ42" s="251">
        <v>13959371</v>
      </c>
      <c r="AK42" s="304">
        <v>19577139</v>
      </c>
      <c r="AL42" s="304"/>
      <c r="AM42" s="304"/>
      <c r="AN42" s="304"/>
      <c r="AO42" s="304"/>
    </row>
    <row r="43" spans="1:41">
      <c r="A43" s="12" t="s">
        <v>81</v>
      </c>
      <c r="B43" s="25">
        <v>531274</v>
      </c>
      <c r="C43" s="165">
        <v>17513072</v>
      </c>
      <c r="D43" s="248">
        <v>17162784</v>
      </c>
      <c r="E43" s="248">
        <v>17513072</v>
      </c>
      <c r="F43" s="248">
        <v>17513072</v>
      </c>
      <c r="G43" s="248">
        <v>17513072</v>
      </c>
      <c r="H43" s="248">
        <v>17513072</v>
      </c>
      <c r="I43" s="248">
        <v>17513072</v>
      </c>
      <c r="J43" s="248">
        <v>17513072</v>
      </c>
      <c r="K43" s="248">
        <v>17513072</v>
      </c>
      <c r="L43" s="248">
        <v>17513072</v>
      </c>
      <c r="M43" s="248">
        <v>17513072</v>
      </c>
      <c r="N43" s="248">
        <v>17513072</v>
      </c>
      <c r="O43" s="248">
        <v>19682429</v>
      </c>
      <c r="P43" s="160">
        <v>19642429</v>
      </c>
      <c r="Q43" s="13">
        <v>19692484</v>
      </c>
      <c r="R43" s="13">
        <v>19692484</v>
      </c>
      <c r="S43" s="71">
        <v>19692484</v>
      </c>
      <c r="T43" s="71">
        <v>19692484</v>
      </c>
      <c r="U43" s="71">
        <v>19692484</v>
      </c>
      <c r="V43" s="71">
        <v>19692484</v>
      </c>
      <c r="W43" s="71">
        <v>19692484</v>
      </c>
      <c r="X43" s="71">
        <v>19692484</v>
      </c>
      <c r="Y43" s="71">
        <v>19692484</v>
      </c>
      <c r="Z43" s="251">
        <v>19692484</v>
      </c>
      <c r="AA43" s="253">
        <v>19692484</v>
      </c>
      <c r="AB43" s="254">
        <v>26907185</v>
      </c>
      <c r="AC43" s="280">
        <v>27039428</v>
      </c>
      <c r="AD43" s="251">
        <v>27039428</v>
      </c>
      <c r="AE43" s="253">
        <v>27039428</v>
      </c>
      <c r="AF43" s="253">
        <v>27039428</v>
      </c>
      <c r="AG43" s="253">
        <v>27039428</v>
      </c>
      <c r="AH43" s="253">
        <v>27039428</v>
      </c>
      <c r="AI43" s="289">
        <v>27039428</v>
      </c>
      <c r="AJ43" s="251">
        <v>27039428</v>
      </c>
      <c r="AK43" s="304">
        <v>27039428</v>
      </c>
      <c r="AL43" s="304"/>
      <c r="AM43" s="304"/>
      <c r="AN43" s="304"/>
      <c r="AO43" s="304"/>
    </row>
    <row r="44" spans="1:41">
      <c r="A44" s="12" t="s">
        <v>82</v>
      </c>
      <c r="B44" s="25"/>
      <c r="C44" s="159">
        <v>39875603</v>
      </c>
      <c r="D44" s="248">
        <v>39875603</v>
      </c>
      <c r="E44" s="248">
        <v>39875603</v>
      </c>
      <c r="F44" s="248">
        <v>39875603</v>
      </c>
      <c r="G44" s="248">
        <v>39875603</v>
      </c>
      <c r="H44" s="248">
        <v>39875603</v>
      </c>
      <c r="I44" s="248">
        <v>39875603</v>
      </c>
      <c r="J44" s="248">
        <v>39875603</v>
      </c>
      <c r="K44" s="248">
        <v>39875603</v>
      </c>
      <c r="L44" s="248">
        <v>39875603</v>
      </c>
      <c r="M44" s="248">
        <v>39875603</v>
      </c>
      <c r="N44" s="248">
        <v>39875603</v>
      </c>
      <c r="O44" s="248">
        <v>39875603</v>
      </c>
      <c r="P44" s="160">
        <f>680000+39195603</f>
        <v>39875603</v>
      </c>
      <c r="Q44" s="13">
        <v>39875603</v>
      </c>
      <c r="R44" s="13">
        <v>39875603</v>
      </c>
      <c r="S44" s="71">
        <v>39875603</v>
      </c>
      <c r="T44" s="71">
        <v>39875603</v>
      </c>
      <c r="U44" s="71">
        <v>39875603</v>
      </c>
      <c r="V44" s="71">
        <v>39875603</v>
      </c>
      <c r="W44" s="71">
        <v>39875603</v>
      </c>
      <c r="X44" s="71">
        <v>39875603</v>
      </c>
      <c r="Y44" s="71">
        <v>39875603</v>
      </c>
      <c r="Z44" s="251">
        <v>39875603</v>
      </c>
      <c r="AA44" s="253">
        <v>39875603</v>
      </c>
      <c r="AB44" s="254">
        <v>39875603</v>
      </c>
      <c r="AC44" s="280">
        <f>680000+39195603</f>
        <v>39875603</v>
      </c>
      <c r="AD44" s="251">
        <v>39875603</v>
      </c>
      <c r="AE44" s="253">
        <v>39876503</v>
      </c>
      <c r="AF44" s="253">
        <v>39876503</v>
      </c>
      <c r="AG44" s="253">
        <v>39876503</v>
      </c>
      <c r="AH44" s="253">
        <v>42292580</v>
      </c>
      <c r="AI44" s="251">
        <v>42292580</v>
      </c>
      <c r="AJ44" s="251">
        <v>42292580</v>
      </c>
      <c r="AK44" s="304">
        <v>42292206</v>
      </c>
      <c r="AL44" s="304"/>
      <c r="AM44" s="304"/>
      <c r="AN44" s="304"/>
      <c r="AO44" s="304"/>
    </row>
    <row r="45" spans="1:41">
      <c r="A45" s="12" t="s">
        <v>83</v>
      </c>
      <c r="B45" s="25"/>
      <c r="C45" s="166">
        <v>28657772</v>
      </c>
      <c r="D45" s="248">
        <v>0</v>
      </c>
      <c r="E45" s="248">
        <v>28657772</v>
      </c>
      <c r="F45" s="248">
        <v>28657772</v>
      </c>
      <c r="G45" s="248">
        <v>28657772</v>
      </c>
      <c r="H45" s="248">
        <v>28657772</v>
      </c>
      <c r="I45" s="248">
        <v>28657772</v>
      </c>
      <c r="J45" s="248">
        <v>28657772</v>
      </c>
      <c r="K45" s="248">
        <v>28657772</v>
      </c>
      <c r="L45" s="248">
        <v>28657772</v>
      </c>
      <c r="M45" s="248">
        <v>28657772</v>
      </c>
      <c r="N45" s="248">
        <v>28657772</v>
      </c>
      <c r="O45" s="248">
        <v>28657772</v>
      </c>
      <c r="P45" s="160">
        <v>28657772</v>
      </c>
      <c r="Q45" s="13">
        <v>28657772</v>
      </c>
      <c r="R45" s="13">
        <v>28657772</v>
      </c>
      <c r="S45" s="45">
        <v>28657772</v>
      </c>
      <c r="T45" s="71">
        <v>28657772</v>
      </c>
      <c r="U45" s="71">
        <v>28657772</v>
      </c>
      <c r="V45" s="71">
        <v>28657772</v>
      </c>
      <c r="W45" s="71">
        <v>28657772</v>
      </c>
      <c r="X45" s="71">
        <v>28657772</v>
      </c>
      <c r="Y45" s="71">
        <v>28657772</v>
      </c>
      <c r="Z45" s="251">
        <v>28657772</v>
      </c>
      <c r="AA45" s="253">
        <v>28657772</v>
      </c>
      <c r="AB45" s="254">
        <v>28657772</v>
      </c>
      <c r="AC45" s="280">
        <v>28657772</v>
      </c>
      <c r="AD45" s="251">
        <v>28657772</v>
      </c>
      <c r="AE45" s="253">
        <v>28657772</v>
      </c>
      <c r="AF45" s="253">
        <v>28657772</v>
      </c>
      <c r="AG45" s="253">
        <v>28657772</v>
      </c>
      <c r="AH45" s="253">
        <v>28657772</v>
      </c>
      <c r="AI45" s="251">
        <v>28657772</v>
      </c>
      <c r="AJ45" s="251">
        <v>28657772</v>
      </c>
      <c r="AK45" s="304">
        <v>28657772</v>
      </c>
      <c r="AL45" s="304"/>
      <c r="AM45" s="304"/>
      <c r="AN45" s="304"/>
      <c r="AO45" s="304"/>
    </row>
    <row r="46" spans="1:41">
      <c r="A46" s="12" t="s">
        <v>84</v>
      </c>
      <c r="B46" s="25"/>
      <c r="C46" s="166">
        <v>0</v>
      </c>
      <c r="D46" s="248">
        <v>0</v>
      </c>
      <c r="E46" s="248">
        <v>0</v>
      </c>
      <c r="F46" s="248">
        <v>0</v>
      </c>
      <c r="G46" s="248">
        <v>0</v>
      </c>
      <c r="H46" s="248">
        <v>0</v>
      </c>
      <c r="I46" s="248">
        <v>0</v>
      </c>
      <c r="J46" s="248">
        <v>0</v>
      </c>
      <c r="K46" s="248">
        <v>0</v>
      </c>
      <c r="L46" s="248">
        <v>0</v>
      </c>
      <c r="M46" s="248">
        <v>0</v>
      </c>
      <c r="N46" s="248">
        <v>0</v>
      </c>
      <c r="O46" s="248">
        <v>0</v>
      </c>
      <c r="P46" s="160"/>
      <c r="Q46" s="14">
        <v>0</v>
      </c>
      <c r="R46" s="25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s="250">
        <v>0</v>
      </c>
      <c r="AA46" s="252">
        <v>0</v>
      </c>
      <c r="AB46" s="255">
        <v>0</v>
      </c>
      <c r="AC46" s="280"/>
      <c r="AD46" s="250">
        <v>0</v>
      </c>
      <c r="AE46" s="252">
        <v>0</v>
      </c>
      <c r="AF46" s="252">
        <v>0</v>
      </c>
      <c r="AG46" s="252">
        <v>0</v>
      </c>
      <c r="AH46" s="252">
        <v>0</v>
      </c>
      <c r="AI46" s="250">
        <v>0</v>
      </c>
      <c r="AJ46" s="250">
        <v>0</v>
      </c>
      <c r="AK46" s="304">
        <v>0</v>
      </c>
      <c r="AL46" s="304"/>
      <c r="AM46" s="304"/>
      <c r="AN46" s="304"/>
      <c r="AO46" s="304"/>
    </row>
    <row r="47" spans="1:41">
      <c r="A47" s="12" t="s">
        <v>85</v>
      </c>
      <c r="B47" s="25"/>
      <c r="C47" s="166">
        <v>0</v>
      </c>
      <c r="D47" s="248">
        <v>0</v>
      </c>
      <c r="E47" s="248">
        <v>0</v>
      </c>
      <c r="F47" s="248">
        <v>0</v>
      </c>
      <c r="G47" s="248">
        <v>0</v>
      </c>
      <c r="H47" s="248">
        <v>0</v>
      </c>
      <c r="I47" s="248">
        <v>0</v>
      </c>
      <c r="J47" s="248">
        <v>0</v>
      </c>
      <c r="K47" s="248">
        <v>0</v>
      </c>
      <c r="L47" s="248">
        <v>0</v>
      </c>
      <c r="M47" s="248">
        <v>0</v>
      </c>
      <c r="N47" s="248">
        <v>0</v>
      </c>
      <c r="O47" s="313">
        <v>0</v>
      </c>
      <c r="P47" s="314"/>
      <c r="Q47" s="14">
        <v>0</v>
      </c>
      <c r="R47" s="14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s="250">
        <v>0</v>
      </c>
      <c r="AA47" s="252">
        <v>0</v>
      </c>
      <c r="AB47" s="255">
        <v>0</v>
      </c>
      <c r="AC47" s="280"/>
      <c r="AD47" s="250">
        <v>0</v>
      </c>
      <c r="AE47" s="252">
        <v>0</v>
      </c>
      <c r="AF47" s="252">
        <v>0</v>
      </c>
      <c r="AG47" s="252">
        <v>0</v>
      </c>
      <c r="AH47" s="252">
        <v>0</v>
      </c>
      <c r="AI47" s="250">
        <v>0</v>
      </c>
      <c r="AJ47" s="250">
        <v>0</v>
      </c>
      <c r="AK47" s="304">
        <v>0</v>
      </c>
      <c r="AL47" s="304"/>
      <c r="AM47" s="304"/>
      <c r="AN47" s="304"/>
      <c r="AO47" s="304"/>
    </row>
    <row r="48" spans="1:41">
      <c r="A48" s="11" t="s">
        <v>86</v>
      </c>
      <c r="B48" s="66">
        <f t="shared" ref="B48:G48" si="17">SUM(B39:B47)</f>
        <v>15259572</v>
      </c>
      <c r="C48" s="66">
        <f t="shared" si="17"/>
        <v>238749982</v>
      </c>
      <c r="D48" s="66">
        <f t="shared" si="17"/>
        <v>215118303</v>
      </c>
      <c r="E48" s="66">
        <f t="shared" si="17"/>
        <v>243876476</v>
      </c>
      <c r="F48" s="66">
        <f t="shared" si="17"/>
        <v>248746829</v>
      </c>
      <c r="G48" s="66">
        <f t="shared" si="17"/>
        <v>255712495</v>
      </c>
      <c r="H48" s="66">
        <f t="shared" ref="H48:AJ48" si="18">SUM(H39:H47)</f>
        <v>258341651</v>
      </c>
      <c r="I48" s="66">
        <f t="shared" si="18"/>
        <v>257909155</v>
      </c>
      <c r="J48" s="66">
        <f t="shared" si="18"/>
        <v>257326835</v>
      </c>
      <c r="K48" s="66">
        <f t="shared" si="18"/>
        <v>259086520</v>
      </c>
      <c r="L48" s="66">
        <f t="shared" si="18"/>
        <v>261889584</v>
      </c>
      <c r="M48" s="66">
        <f t="shared" si="18"/>
        <v>264302560</v>
      </c>
      <c r="N48" s="66">
        <f t="shared" si="18"/>
        <v>262930734</v>
      </c>
      <c r="O48" s="66">
        <f t="shared" si="18"/>
        <v>251076988</v>
      </c>
      <c r="P48" s="66">
        <f t="shared" si="18"/>
        <v>250876988</v>
      </c>
      <c r="Q48" s="66">
        <f t="shared" si="18"/>
        <v>254343300</v>
      </c>
      <c r="R48" s="66">
        <f t="shared" si="18"/>
        <v>254567602</v>
      </c>
      <c r="S48" s="66">
        <f t="shared" si="18"/>
        <v>260678602</v>
      </c>
      <c r="T48" s="66">
        <f t="shared" si="18"/>
        <v>272783865</v>
      </c>
      <c r="U48" s="66">
        <f t="shared" si="18"/>
        <v>275516890</v>
      </c>
      <c r="V48" s="66">
        <f t="shared" si="18"/>
        <v>275281712</v>
      </c>
      <c r="W48" s="66">
        <f t="shared" si="18"/>
        <v>267807160</v>
      </c>
      <c r="X48" s="66">
        <f t="shared" si="18"/>
        <v>274603170</v>
      </c>
      <c r="Y48" s="66">
        <f t="shared" si="18"/>
        <v>278152327</v>
      </c>
      <c r="Z48" s="66">
        <f t="shared" si="18"/>
        <v>283260461</v>
      </c>
      <c r="AA48" s="66">
        <f t="shared" si="18"/>
        <v>284661493</v>
      </c>
      <c r="AB48" s="285">
        <f t="shared" si="18"/>
        <v>284321962</v>
      </c>
      <c r="AC48" s="279">
        <f t="shared" si="18"/>
        <v>284063176</v>
      </c>
      <c r="AD48" s="279">
        <f t="shared" si="18"/>
        <v>285973720</v>
      </c>
      <c r="AE48" s="279">
        <f t="shared" si="18"/>
        <v>290498944</v>
      </c>
      <c r="AF48" s="279">
        <f t="shared" si="18"/>
        <v>289624272</v>
      </c>
      <c r="AG48" s="279">
        <f t="shared" si="18"/>
        <v>288817907</v>
      </c>
      <c r="AH48" s="279">
        <f t="shared" si="18"/>
        <v>294815115</v>
      </c>
      <c r="AI48" s="279">
        <f t="shared" si="18"/>
        <v>296618985</v>
      </c>
      <c r="AJ48" s="279">
        <f t="shared" si="18"/>
        <v>302934812</v>
      </c>
      <c r="AK48" s="306">
        <f t="shared" ref="AK48:AO48" si="19">SUM(AK39:AK47)</f>
        <v>308910123</v>
      </c>
      <c r="AL48" s="306">
        <f t="shared" si="19"/>
        <v>0</v>
      </c>
      <c r="AM48" s="306">
        <f t="shared" si="19"/>
        <v>0</v>
      </c>
      <c r="AN48" s="306">
        <f t="shared" si="19"/>
        <v>0</v>
      </c>
      <c r="AO48" s="306">
        <f t="shared" si="19"/>
        <v>0</v>
      </c>
    </row>
    <row r="49" spans="1:41">
      <c r="A49" s="11" t="s">
        <v>87</v>
      </c>
      <c r="B49" s="66">
        <f>B48+B38</f>
        <v>151015729</v>
      </c>
      <c r="C49" s="66">
        <f t="shared" ref="C49:AJ49" si="20">C48+C38</f>
        <v>1236977812</v>
      </c>
      <c r="D49" s="66">
        <f t="shared" si="20"/>
        <v>1175308122</v>
      </c>
      <c r="E49" s="66">
        <f t="shared" si="20"/>
        <v>1189051110</v>
      </c>
      <c r="F49" s="66">
        <f t="shared" si="20"/>
        <v>1219904282</v>
      </c>
      <c r="G49" s="66">
        <f t="shared" si="20"/>
        <v>1223071543</v>
      </c>
      <c r="H49" s="66">
        <f t="shared" si="20"/>
        <v>1221855078</v>
      </c>
      <c r="I49" s="66">
        <f t="shared" si="20"/>
        <v>1232881966</v>
      </c>
      <c r="J49" s="66">
        <f t="shared" si="20"/>
        <v>1241947454</v>
      </c>
      <c r="K49" s="66">
        <f t="shared" si="20"/>
        <v>1249261488</v>
      </c>
      <c r="L49" s="66">
        <f t="shared" si="20"/>
        <v>1306588126</v>
      </c>
      <c r="M49" s="66">
        <f t="shared" si="20"/>
        <v>1311703371</v>
      </c>
      <c r="N49" s="66">
        <f t="shared" si="20"/>
        <v>1318055486</v>
      </c>
      <c r="O49" s="66">
        <f t="shared" si="20"/>
        <v>1374861880</v>
      </c>
      <c r="P49" s="167">
        <f t="shared" si="20"/>
        <v>1372661880</v>
      </c>
      <c r="Q49" s="167">
        <f t="shared" si="20"/>
        <v>1380421207</v>
      </c>
      <c r="R49" s="167">
        <f t="shared" si="20"/>
        <v>1395092277</v>
      </c>
      <c r="S49" s="167">
        <f t="shared" si="20"/>
        <v>1374029443</v>
      </c>
      <c r="T49" s="167">
        <f t="shared" si="20"/>
        <v>1360681374</v>
      </c>
      <c r="U49" s="167">
        <f t="shared" si="20"/>
        <v>1364203576</v>
      </c>
      <c r="V49" s="167">
        <f t="shared" si="20"/>
        <v>1373206169</v>
      </c>
      <c r="W49" s="167">
        <f t="shared" si="20"/>
        <v>1381333307</v>
      </c>
      <c r="X49" s="167">
        <f t="shared" si="20"/>
        <v>1388996927</v>
      </c>
      <c r="Y49" s="167">
        <f t="shared" si="20"/>
        <v>1391514003</v>
      </c>
      <c r="Z49" s="167">
        <f t="shared" si="20"/>
        <v>1402469854</v>
      </c>
      <c r="AA49" s="167">
        <f t="shared" si="20"/>
        <v>1408173370</v>
      </c>
      <c r="AB49" s="287">
        <f t="shared" si="20"/>
        <v>1465789897</v>
      </c>
      <c r="AC49" s="283">
        <f t="shared" si="20"/>
        <v>1460789897</v>
      </c>
      <c r="AD49" s="283">
        <f t="shared" si="20"/>
        <v>1465615207</v>
      </c>
      <c r="AE49" s="283">
        <f t="shared" si="20"/>
        <v>1474942673</v>
      </c>
      <c r="AF49" s="283">
        <f t="shared" si="20"/>
        <v>1440235816</v>
      </c>
      <c r="AG49" s="283">
        <f t="shared" si="20"/>
        <v>1431550498</v>
      </c>
      <c r="AH49" s="283">
        <f t="shared" si="20"/>
        <v>1430683667</v>
      </c>
      <c r="AI49" s="283">
        <f t="shared" si="20"/>
        <v>1434050537</v>
      </c>
      <c r="AJ49" s="283">
        <f t="shared" si="20"/>
        <v>1469094532</v>
      </c>
      <c r="AK49" s="307">
        <f t="shared" ref="AK49:AO49" si="21">AK48+AK38</f>
        <v>1486824700</v>
      </c>
      <c r="AL49" s="307">
        <f t="shared" si="21"/>
        <v>0</v>
      </c>
      <c r="AM49" s="307">
        <f t="shared" si="21"/>
        <v>0</v>
      </c>
      <c r="AN49" s="307">
        <f t="shared" si="21"/>
        <v>0</v>
      </c>
      <c r="AO49" s="307">
        <f t="shared" si="21"/>
        <v>0</v>
      </c>
    </row>
    <row r="50" spans="1:41"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</row>
    <row r="51" spans="1:41">
      <c r="A51" s="308"/>
      <c r="B51" s="308">
        <f t="shared" ref="A51:AJ51" si="22">B49-B27</f>
        <v>0</v>
      </c>
      <c r="C51" s="308">
        <f t="shared" si="22"/>
        <v>0</v>
      </c>
      <c r="D51" s="308">
        <f t="shared" si="22"/>
        <v>0</v>
      </c>
      <c r="E51" s="308">
        <f t="shared" si="22"/>
        <v>0</v>
      </c>
      <c r="F51" s="308">
        <f t="shared" si="22"/>
        <v>0</v>
      </c>
      <c r="G51" s="308">
        <f t="shared" si="22"/>
        <v>0</v>
      </c>
      <c r="H51" s="308">
        <f t="shared" si="22"/>
        <v>0</v>
      </c>
      <c r="I51" s="308">
        <f t="shared" si="22"/>
        <v>0</v>
      </c>
      <c r="J51" s="308">
        <f t="shared" si="22"/>
        <v>0</v>
      </c>
      <c r="K51" s="308">
        <f t="shared" si="22"/>
        <v>0</v>
      </c>
      <c r="L51" s="308">
        <f t="shared" si="22"/>
        <v>0</v>
      </c>
      <c r="M51" s="308">
        <f t="shared" si="22"/>
        <v>0</v>
      </c>
      <c r="N51" s="308">
        <f t="shared" si="22"/>
        <v>0</v>
      </c>
      <c r="O51" s="308">
        <f t="shared" si="22"/>
        <v>0</v>
      </c>
      <c r="P51" s="308">
        <f t="shared" si="22"/>
        <v>0</v>
      </c>
      <c r="Q51" s="308">
        <f t="shared" si="22"/>
        <v>0</v>
      </c>
      <c r="R51" s="308">
        <f t="shared" si="22"/>
        <v>0</v>
      </c>
      <c r="S51" s="308">
        <f t="shared" si="22"/>
        <v>0</v>
      </c>
      <c r="T51" s="308">
        <f t="shared" si="22"/>
        <v>0</v>
      </c>
      <c r="U51" s="308">
        <f t="shared" si="22"/>
        <v>0</v>
      </c>
      <c r="V51" s="308">
        <f t="shared" si="22"/>
        <v>0</v>
      </c>
      <c r="W51" s="308">
        <f t="shared" si="22"/>
        <v>0</v>
      </c>
      <c r="X51" s="308">
        <f t="shared" si="22"/>
        <v>0</v>
      </c>
      <c r="Y51" s="308">
        <f t="shared" si="22"/>
        <v>0</v>
      </c>
      <c r="Z51" s="308">
        <f t="shared" si="22"/>
        <v>0</v>
      </c>
      <c r="AA51" s="308">
        <f t="shared" si="22"/>
        <v>0</v>
      </c>
      <c r="AB51" s="308">
        <f t="shared" si="22"/>
        <v>0</v>
      </c>
      <c r="AC51" s="308">
        <f t="shared" si="22"/>
        <v>0</v>
      </c>
      <c r="AD51" s="308">
        <f t="shared" si="22"/>
        <v>0</v>
      </c>
      <c r="AE51" s="308">
        <f t="shared" si="22"/>
        <v>0</v>
      </c>
      <c r="AF51" s="308">
        <f t="shared" si="22"/>
        <v>0</v>
      </c>
      <c r="AG51" s="308">
        <f t="shared" si="22"/>
        <v>0</v>
      </c>
      <c r="AH51" s="308">
        <f t="shared" si="22"/>
        <v>0</v>
      </c>
      <c r="AI51" s="308">
        <f t="shared" si="22"/>
        <v>0</v>
      </c>
      <c r="AJ51" s="308">
        <f t="shared" si="22"/>
        <v>0</v>
      </c>
      <c r="AK51" s="308">
        <f>AK49-AK27</f>
        <v>0</v>
      </c>
    </row>
    <row r="59" spans="1:41">
      <c r="J59" s="27"/>
    </row>
  </sheetData>
  <mergeCells count="1">
    <mergeCell ref="O47:P47"/>
  </mergeCells>
  <pageMargins left="0.7" right="0.7" top="0.75" bottom="0.75" header="0.3" footer="0.3"/>
  <pageSetup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"/>
  <sheetViews>
    <sheetView workbookViewId="0">
      <selection activeCell="I44" sqref="I44"/>
    </sheetView>
  </sheetViews>
  <sheetFormatPr defaultRowHeight="14.45"/>
  <cols>
    <col min="1" max="1" width="58.42578125" customWidth="1"/>
    <col min="2" max="2" width="18" bestFit="1" customWidth="1"/>
    <col min="3" max="3" width="16.28515625" bestFit="1" customWidth="1"/>
    <col min="4" max="4" width="21" bestFit="1" customWidth="1"/>
    <col min="5" max="6" width="16.28515625" bestFit="1" customWidth="1"/>
    <col min="7" max="7" width="31.85546875" bestFit="1" customWidth="1"/>
  </cols>
  <sheetData>
    <row r="1" spans="1:7">
      <c r="A1" s="315" t="s">
        <v>88</v>
      </c>
      <c r="B1" s="316"/>
      <c r="C1" s="316"/>
      <c r="D1" s="316"/>
      <c r="E1" s="316"/>
      <c r="F1" s="316"/>
      <c r="G1" s="317"/>
    </row>
    <row r="2" spans="1:7">
      <c r="A2" s="318" t="s">
        <v>89</v>
      </c>
      <c r="B2" s="319"/>
      <c r="C2" s="319"/>
      <c r="D2" s="319"/>
      <c r="E2" s="319"/>
      <c r="F2" s="319"/>
      <c r="G2" s="320"/>
    </row>
    <row r="3" spans="1:7">
      <c r="A3" s="206"/>
      <c r="B3" s="321" t="s">
        <v>90</v>
      </c>
      <c r="C3" s="207" t="s">
        <v>91</v>
      </c>
      <c r="D3" s="319" t="s">
        <v>92</v>
      </c>
      <c r="E3" s="320"/>
      <c r="F3" s="323" t="s">
        <v>2</v>
      </c>
      <c r="G3" s="325" t="s">
        <v>93</v>
      </c>
    </row>
    <row r="4" spans="1:7" ht="28.9">
      <c r="A4" s="208"/>
      <c r="B4" s="322"/>
      <c r="C4" s="209">
        <v>2020</v>
      </c>
      <c r="D4" s="210" t="s">
        <v>94</v>
      </c>
      <c r="E4" s="211" t="s">
        <v>95</v>
      </c>
      <c r="F4" s="324"/>
      <c r="G4" s="326"/>
    </row>
    <row r="5" spans="1:7">
      <c r="A5" s="330" t="s">
        <v>96</v>
      </c>
      <c r="B5" s="331"/>
      <c r="C5" s="331"/>
      <c r="D5" s="331"/>
      <c r="E5" s="331"/>
      <c r="F5" s="331"/>
      <c r="G5" s="332"/>
    </row>
    <row r="6" spans="1:7">
      <c r="A6" s="212" t="s">
        <v>97</v>
      </c>
      <c r="B6" s="213" t="s">
        <v>98</v>
      </c>
      <c r="C6" s="214">
        <f>C33</f>
        <v>207580690.40000001</v>
      </c>
      <c r="D6" s="214">
        <f>D33</f>
        <v>174842713.5</v>
      </c>
      <c r="E6" s="214">
        <f t="shared" ref="E6:G6" si="0">E33</f>
        <v>174010427</v>
      </c>
      <c r="F6" s="214">
        <f t="shared" si="0"/>
        <v>222237053</v>
      </c>
      <c r="G6" s="214">
        <f t="shared" si="0"/>
        <v>117178342530.965</v>
      </c>
    </row>
    <row r="7" spans="1:7">
      <c r="A7" s="212" t="s">
        <v>99</v>
      </c>
      <c r="B7" s="215" t="s">
        <v>100</v>
      </c>
      <c r="C7" s="216">
        <f>C33/C29</f>
        <v>0.16781278401782684</v>
      </c>
      <c r="D7" s="216">
        <f>D33/D29</f>
        <v>0.13381624248742024</v>
      </c>
      <c r="E7" s="216">
        <f t="shared" ref="E7:G7" si="1">E33/E29</f>
        <v>0.12656575146297605</v>
      </c>
      <c r="F7" s="216">
        <f t="shared" si="1"/>
        <v>0.16190225447216469</v>
      </c>
      <c r="G7" s="216">
        <f t="shared" si="1"/>
        <v>0.17065191277862507</v>
      </c>
    </row>
    <row r="8" spans="1:7">
      <c r="A8" s="212" t="s">
        <v>101</v>
      </c>
      <c r="B8" s="215" t="s">
        <v>102</v>
      </c>
      <c r="C8" s="217">
        <f>C34/C29</f>
        <v>9.5530059839100817E-2</v>
      </c>
      <c r="D8" s="217">
        <f>D34/D29</f>
        <v>6.2951440368439415E-2</v>
      </c>
      <c r="E8" s="217">
        <f t="shared" ref="E8:G8" si="2">E34/E29</f>
        <v>5.8535907621498677E-2</v>
      </c>
      <c r="F8" s="216">
        <f t="shared" si="2"/>
        <v>9.3763377475012274E-2</v>
      </c>
      <c r="G8" s="216">
        <f t="shared" si="2"/>
        <v>0.10490581833463876</v>
      </c>
    </row>
    <row r="9" spans="1:7">
      <c r="A9" s="330" t="s">
        <v>103</v>
      </c>
      <c r="B9" s="331"/>
      <c r="C9" s="331"/>
      <c r="D9" s="331"/>
      <c r="E9" s="331"/>
      <c r="F9" s="331"/>
      <c r="G9" s="332"/>
    </row>
    <row r="10" spans="1:7">
      <c r="A10" s="212" t="s">
        <v>104</v>
      </c>
      <c r="B10" s="213" t="s">
        <v>105</v>
      </c>
      <c r="C10" s="217">
        <f>C35/C32</f>
        <v>0</v>
      </c>
      <c r="D10" s="217">
        <f t="shared" ref="D10:G10" si="3">D35/D32</f>
        <v>2.0000000869221879E-2</v>
      </c>
      <c r="E10" s="217">
        <f t="shared" si="3"/>
        <v>1.7517801744799742E-2</v>
      </c>
      <c r="F10" s="217">
        <f t="shared" si="3"/>
        <v>4.6495215198040625E-2</v>
      </c>
      <c r="G10" s="217">
        <f t="shared" si="3"/>
        <v>8.1787340075982359E-2</v>
      </c>
    </row>
    <row r="11" spans="1:7">
      <c r="A11" s="212" t="s">
        <v>106</v>
      </c>
      <c r="B11" s="213" t="s">
        <v>107</v>
      </c>
      <c r="C11" s="216">
        <f>C36/C29</f>
        <v>9.2978506877211473E-2</v>
      </c>
      <c r="D11" s="216">
        <f t="shared" ref="D11:G11" si="4">D36/D29</f>
        <v>0.10111527065875081</v>
      </c>
      <c r="E11" s="216">
        <f t="shared" si="4"/>
        <v>6.439413172179885E-2</v>
      </c>
      <c r="F11" s="216">
        <f t="shared" si="4"/>
        <v>5.856069740932851E-2</v>
      </c>
      <c r="G11" s="216">
        <f t="shared" si="4"/>
        <v>0.10019207846734375</v>
      </c>
    </row>
    <row r="12" spans="1:7">
      <c r="A12" s="212" t="s">
        <v>108</v>
      </c>
      <c r="B12" s="213" t="s">
        <v>105</v>
      </c>
      <c r="C12" s="218">
        <f>C38/C31</f>
        <v>2.8952531226906497E-3</v>
      </c>
      <c r="D12" s="218">
        <f t="shared" ref="D12:G12" si="5">D38/D31</f>
        <v>5.6034549565972792E-2</v>
      </c>
      <c r="E12" s="218">
        <f t="shared" si="5"/>
        <v>5.529234180184011E-2</v>
      </c>
      <c r="F12" s="218">
        <f t="shared" si="5"/>
        <v>2.753915044486284E-3</v>
      </c>
      <c r="G12" s="218">
        <f t="shared" si="5"/>
        <v>2.8634759509649336E-2</v>
      </c>
    </row>
    <row r="13" spans="1:7">
      <c r="A13" s="219" t="s">
        <v>109</v>
      </c>
      <c r="B13" s="213" t="s">
        <v>110</v>
      </c>
      <c r="C13" s="220">
        <f>C38/C33</f>
        <v>1.2099005910233739E-2</v>
      </c>
      <c r="D13" s="220">
        <f t="shared" ref="D13:G13" si="6">D38/D33</f>
        <v>0.27687049709394951</v>
      </c>
      <c r="E13" s="220">
        <f t="shared" si="6"/>
        <v>0.27819476013354072</v>
      </c>
      <c r="F13" s="220">
        <f t="shared" si="6"/>
        <v>1.1301085782486505E-2</v>
      </c>
      <c r="G13" s="220">
        <f t="shared" si="6"/>
        <v>0.11343868336631721</v>
      </c>
    </row>
    <row r="14" spans="1:7">
      <c r="A14" s="330" t="s">
        <v>111</v>
      </c>
      <c r="B14" s="331"/>
      <c r="C14" s="331"/>
      <c r="D14" s="331"/>
      <c r="E14" s="331"/>
      <c r="F14" s="331"/>
      <c r="G14" s="332"/>
    </row>
    <row r="15" spans="1:7">
      <c r="A15" s="212" t="s">
        <v>112</v>
      </c>
      <c r="B15" s="213"/>
      <c r="C15" s="217">
        <f>C48/C32</f>
        <v>8.892180834393705E-2</v>
      </c>
      <c r="D15" s="217">
        <f t="shared" ref="D15:G15" si="7">D48/D32</f>
        <v>8.7141527605904892E-2</v>
      </c>
      <c r="E15" s="217">
        <f t="shared" si="7"/>
        <v>0.11633277920411171</v>
      </c>
      <c r="F15" s="217">
        <f t="shared" si="7"/>
        <v>0.11527457855261851</v>
      </c>
      <c r="G15" s="217">
        <f t="shared" si="7"/>
        <v>0.15855600053298116</v>
      </c>
    </row>
    <row r="16" spans="1:7">
      <c r="A16" s="212" t="s">
        <v>113</v>
      </c>
      <c r="B16" s="213"/>
      <c r="C16" s="217">
        <f>C49/C44</f>
        <v>0.35220066316371024</v>
      </c>
      <c r="D16" s="217">
        <f t="shared" ref="D16:G16" si="8">D49/D44</f>
        <v>0.75622526266334844</v>
      </c>
      <c r="E16" s="217">
        <f t="shared" si="8"/>
        <v>0.84171025480859885</v>
      </c>
      <c r="F16" s="217">
        <f t="shared" si="8"/>
        <v>0.82368587859719489</v>
      </c>
      <c r="G16" s="217">
        <f t="shared" si="8"/>
        <v>0.71531042726583971</v>
      </c>
    </row>
    <row r="17" spans="1:7">
      <c r="A17" s="212" t="s">
        <v>114</v>
      </c>
      <c r="B17" s="213"/>
      <c r="C17" s="220">
        <f>C50/C30</f>
        <v>5.1126500641598897E-2</v>
      </c>
      <c r="D17" s="220">
        <f t="shared" ref="D17:G17" si="9">D50/D30</f>
        <v>1.5886054114120151E-2</v>
      </c>
      <c r="E17" s="220">
        <f t="shared" si="9"/>
        <v>6.4379020163799379E-3</v>
      </c>
      <c r="F17" s="220">
        <f t="shared" si="9"/>
        <v>8.4980965257329486E-3</v>
      </c>
      <c r="G17" s="220">
        <f t="shared" si="9"/>
        <v>3.6318532562767597E-2</v>
      </c>
    </row>
    <row r="18" spans="1:7">
      <c r="A18" s="219" t="s">
        <v>115</v>
      </c>
      <c r="B18" s="221"/>
      <c r="C18" s="220">
        <f>C47/C44</f>
        <v>0.35220066316371024</v>
      </c>
      <c r="D18" s="220">
        <f t="shared" ref="D18:G18" si="10">D47/D44</f>
        <v>0.28592133884024873</v>
      </c>
      <c r="E18" s="220">
        <f t="shared" si="10"/>
        <v>0.27962389385975295</v>
      </c>
      <c r="F18" s="220">
        <f t="shared" si="10"/>
        <v>0.27885654443456909</v>
      </c>
      <c r="G18" s="220">
        <f t="shared" si="10"/>
        <v>0.32493127221120599</v>
      </c>
    </row>
    <row r="19" spans="1:7">
      <c r="A19" s="330" t="s">
        <v>116</v>
      </c>
      <c r="B19" s="331"/>
      <c r="C19" s="331"/>
      <c r="D19" s="331"/>
      <c r="E19" s="331"/>
      <c r="F19" s="331"/>
      <c r="G19" s="332"/>
    </row>
    <row r="20" spans="1:7">
      <c r="A20" s="212" t="s">
        <v>117</v>
      </c>
      <c r="B20" s="222" t="s">
        <v>118</v>
      </c>
      <c r="C20" s="216">
        <f>C40/C41</f>
        <v>0.31777559212494932</v>
      </c>
      <c r="D20" s="216">
        <f t="shared" ref="D20:G20" si="11">D40/D41</f>
        <v>0.33916319000245082</v>
      </c>
      <c r="E20" s="216">
        <f t="shared" si="11"/>
        <v>0.59633625962737147</v>
      </c>
      <c r="F20" s="216">
        <f t="shared" si="11"/>
        <v>0.75219845654037698</v>
      </c>
      <c r="G20" s="216">
        <f t="shared" si="11"/>
        <v>0.70602320788305861</v>
      </c>
    </row>
    <row r="21" spans="1:7">
      <c r="A21" s="212" t="s">
        <v>119</v>
      </c>
      <c r="B21" s="213" t="s">
        <v>120</v>
      </c>
      <c r="C21" s="216">
        <f>C42/C29</f>
        <v>0</v>
      </c>
      <c r="D21" s="216">
        <f t="shared" ref="D21:G21" si="12">D42/D29</f>
        <v>7.7555692558008135E-2</v>
      </c>
      <c r="E21" s="216">
        <f t="shared" si="12"/>
        <v>0.10600419149012991</v>
      </c>
      <c r="F21" s="216">
        <f t="shared" si="12"/>
        <v>0.10617408709565097</v>
      </c>
      <c r="G21" s="216">
        <f t="shared" si="12"/>
        <v>3.4506714466993833E-2</v>
      </c>
    </row>
    <row r="22" spans="1:7">
      <c r="A22" s="212" t="s">
        <v>121</v>
      </c>
      <c r="B22" s="213"/>
      <c r="C22" s="216">
        <f>C40/C29</f>
        <v>7.9593966071882946E-2</v>
      </c>
      <c r="D22" s="216">
        <f t="shared" ref="D22:G22" si="13">D40/D29</f>
        <v>6.9067919877912623E-2</v>
      </c>
      <c r="E22" s="216">
        <f t="shared" si="13"/>
        <v>0.12554145802631461</v>
      </c>
      <c r="F22" s="216">
        <f t="shared" si="13"/>
        <v>0.12574266650429602</v>
      </c>
      <c r="G22" s="216">
        <f t="shared" si="13"/>
        <v>0.13781953429116436</v>
      </c>
    </row>
    <row r="23" spans="1:7">
      <c r="A23" s="330" t="s">
        <v>122</v>
      </c>
      <c r="B23" s="331"/>
      <c r="C23" s="331"/>
      <c r="D23" s="331"/>
      <c r="E23" s="331"/>
      <c r="F23" s="331"/>
      <c r="G23" s="332"/>
    </row>
    <row r="24" spans="1:7">
      <c r="A24" s="223" t="s">
        <v>123</v>
      </c>
      <c r="B24" s="221" t="s">
        <v>124</v>
      </c>
      <c r="C24" s="220">
        <f>C32/C29</f>
        <v>0.80420868939563483</v>
      </c>
      <c r="D24" s="220">
        <f t="shared" ref="D24:G24" si="14">D32/D29</f>
        <v>0.81006239299009208</v>
      </c>
      <c r="E24" s="220">
        <f t="shared" si="14"/>
        <v>0.79233063469619214</v>
      </c>
      <c r="F24" s="220">
        <f t="shared" si="14"/>
        <v>0.80088563834817061</v>
      </c>
      <c r="G24" s="220">
        <f t="shared" si="14"/>
        <v>0.74612895055284634</v>
      </c>
    </row>
    <row r="25" spans="1:7">
      <c r="A25" s="223" t="s">
        <v>125</v>
      </c>
      <c r="B25" s="224" t="s">
        <v>126</v>
      </c>
      <c r="C25" s="220">
        <f>C32/C31</f>
        <v>1.1467812107677378</v>
      </c>
      <c r="D25" s="220">
        <f t="shared" ref="D25:G25" si="15">D32/D31</f>
        <v>1.2251488155012726</v>
      </c>
      <c r="E25" s="220">
        <f t="shared" si="15"/>
        <v>1.2442460885460509</v>
      </c>
      <c r="F25" s="220">
        <f t="shared" si="15"/>
        <v>1.2054466007871616</v>
      </c>
      <c r="G25" s="220">
        <f t="shared" si="15"/>
        <v>1.1036594689258235</v>
      </c>
    </row>
    <row r="26" spans="1:7">
      <c r="A26" s="223" t="s">
        <v>127</v>
      </c>
      <c r="B26" s="224"/>
      <c r="C26" s="220">
        <f>C39/C31</f>
        <v>9.0283881452337358E-2</v>
      </c>
      <c r="D26" s="220">
        <f t="shared" ref="D26:G26" si="16">D39/D31</f>
        <v>9.3246405463878676E-2</v>
      </c>
      <c r="E26" s="220">
        <f t="shared" si="16"/>
        <v>9.4263272376054419E-2</v>
      </c>
      <c r="F26" s="220">
        <f t="shared" si="16"/>
        <v>9.0493137167326029E-2</v>
      </c>
      <c r="G26" s="220">
        <f t="shared" si="16"/>
        <v>6.3826668220683419E-2</v>
      </c>
    </row>
    <row r="27" spans="1:7">
      <c r="A27" s="223" t="s">
        <v>128</v>
      </c>
      <c r="B27" s="222"/>
      <c r="C27" s="220">
        <f>C46/C44</f>
        <v>0</v>
      </c>
      <c r="D27" s="220">
        <f t="shared" ref="D27:G27" si="17">D46/D44</f>
        <v>0.3731953207277906</v>
      </c>
      <c r="E27" s="220">
        <f t="shared" si="17"/>
        <v>0.37379731880790179</v>
      </c>
      <c r="F27" s="220">
        <f t="shared" si="17"/>
        <v>0.36034581891212281</v>
      </c>
      <c r="G27" s="220">
        <f t="shared" si="17"/>
        <v>0.32674990652248093</v>
      </c>
    </row>
    <row r="28" spans="1:7">
      <c r="A28" s="225" t="s">
        <v>129</v>
      </c>
      <c r="B28" s="226"/>
      <c r="C28" s="226"/>
      <c r="D28" s="226"/>
      <c r="E28" s="226"/>
      <c r="F28" s="227"/>
      <c r="G28" s="228"/>
    </row>
    <row r="29" spans="1:7">
      <c r="A29" s="208" t="s">
        <v>65</v>
      </c>
      <c r="B29" s="229"/>
      <c r="C29" s="230">
        <v>1236977812</v>
      </c>
      <c r="D29" s="230">
        <v>1306588126</v>
      </c>
      <c r="E29" s="230">
        <v>1374861880</v>
      </c>
      <c r="F29" s="230">
        <f>'[1]Evolutive SFP'!P27</f>
        <v>1372661880</v>
      </c>
      <c r="G29" s="231">
        <v>686651210777.651</v>
      </c>
    </row>
    <row r="30" spans="1:7">
      <c r="A30" s="208" t="s">
        <v>130</v>
      </c>
      <c r="B30" s="229"/>
      <c r="C30" s="230">
        <v>1202710145</v>
      </c>
      <c r="D30" s="230">
        <v>1237602419</v>
      </c>
      <c r="E30" s="230">
        <v>1291946969.5</v>
      </c>
      <c r="F30" s="230">
        <f>('[1]Evolutive SFP'!C27+'[1]Evolutive SFP'!P27)/2</f>
        <v>1304819846</v>
      </c>
      <c r="G30" s="231">
        <v>651950138947.62</v>
      </c>
    </row>
    <row r="31" spans="1:7">
      <c r="A31" s="208" t="s">
        <v>131</v>
      </c>
      <c r="B31" s="229"/>
      <c r="C31" s="231">
        <v>867461287</v>
      </c>
      <c r="D31" s="231">
        <v>863909666</v>
      </c>
      <c r="E31" s="231">
        <v>875506217</v>
      </c>
      <c r="F31" s="231">
        <f>'[1]Evolutive SFP'!P31</f>
        <v>911981655</v>
      </c>
      <c r="G31" s="231">
        <v>464210530257.14001</v>
      </c>
    </row>
    <row r="32" spans="1:7">
      <c r="A32" s="208" t="s">
        <v>132</v>
      </c>
      <c r="B32" s="229"/>
      <c r="C32" s="232">
        <v>994788305</v>
      </c>
      <c r="D32" s="232">
        <v>1058417904</v>
      </c>
      <c r="E32" s="232">
        <v>1089345186</v>
      </c>
      <c r="F32" s="232">
        <f>'[1]Evolutive SFP'!P15</f>
        <v>1099345186</v>
      </c>
      <c r="G32" s="231">
        <v>512330347293.37</v>
      </c>
    </row>
    <row r="33" spans="1:7">
      <c r="A33" s="208" t="s">
        <v>133</v>
      </c>
      <c r="B33" s="229"/>
      <c r="C33" s="230">
        <v>207580690.40000001</v>
      </c>
      <c r="D33" s="230">
        <v>174842713.5</v>
      </c>
      <c r="E33" s="230">
        <v>174010427</v>
      </c>
      <c r="F33" s="230">
        <f>'[1]Evolutive SFP'!P39+'[1]Evolutive SFP'!P41+'[1]Evolutive SFP'!P42+'[1]Evolutive SFP'!P43+'[1]Evolutive SFP'!P44-'[1]Evolutive SFP'!P13</f>
        <v>222237053</v>
      </c>
      <c r="G33" s="231">
        <v>117178342530.965</v>
      </c>
    </row>
    <row r="34" spans="1:7">
      <c r="A34" s="208" t="s">
        <v>134</v>
      </c>
      <c r="B34" s="229"/>
      <c r="C34" s="230">
        <v>118168564.40000001</v>
      </c>
      <c r="D34" s="230">
        <v>82251604.5</v>
      </c>
      <c r="E34" s="230">
        <v>80478788</v>
      </c>
      <c r="F34" s="230">
        <f>[1]Financials!Q12</f>
        <v>128705414</v>
      </c>
      <c r="G34" s="231">
        <v>72033707177.100006</v>
      </c>
    </row>
    <row r="35" spans="1:7">
      <c r="A35" s="208" t="s">
        <v>135</v>
      </c>
      <c r="B35" s="229"/>
      <c r="C35" s="231">
        <v>0</v>
      </c>
      <c r="D35" s="231">
        <v>21168359</v>
      </c>
      <c r="E35" s="231">
        <v>19082933</v>
      </c>
      <c r="F35" s="231">
        <f>'[1]FORM 4'!D42+'[1]FORM 4'!D43+'[1]FORM 4'!D44</f>
        <v>51114291</v>
      </c>
      <c r="G35" s="231">
        <v>41902136345.329002</v>
      </c>
    </row>
    <row r="36" spans="1:7">
      <c r="A36" s="208" t="s">
        <v>106</v>
      </c>
      <c r="B36" s="229"/>
      <c r="C36" s="232">
        <v>115012350</v>
      </c>
      <c r="D36" s="232">
        <v>132116012</v>
      </c>
      <c r="E36" s="232">
        <v>88533037</v>
      </c>
      <c r="F36" s="232">
        <f>'[1]Evolutive SFP'!P7+'[1]Evolutive SFP'!P17+'[1]Evolutive SFP'!P23+'[1]Evolutive SFP'!P24+'[1]Evolutive SFP'!P25+'[1]Evolutive SFP'!P26</f>
        <v>80384037</v>
      </c>
      <c r="G36" s="231">
        <v>68797011989.931</v>
      </c>
    </row>
    <row r="37" spans="1:7">
      <c r="A37" s="208" t="s">
        <v>61</v>
      </c>
      <c r="B37" s="229"/>
      <c r="C37" s="230">
        <v>23927890</v>
      </c>
      <c r="D37" s="230">
        <v>20848187</v>
      </c>
      <c r="E37" s="230">
        <v>20227276</v>
      </c>
      <c r="F37" s="230">
        <f>'[1]Evolutive SFP'!P23+'[1]Evolutive SFP'!P25</f>
        <v>24078276</v>
      </c>
      <c r="G37" s="231">
        <v>19347630290.061001</v>
      </c>
    </row>
    <row r="38" spans="1:7">
      <c r="A38" s="208" t="s">
        <v>136</v>
      </c>
      <c r="B38" s="229"/>
      <c r="C38" s="230">
        <v>2511520</v>
      </c>
      <c r="D38" s="230">
        <v>48408789</v>
      </c>
      <c r="E38" s="230">
        <v>48408789</v>
      </c>
      <c r="F38" s="230">
        <f>'[1]Evolutive SFP'!P13</f>
        <v>2511520</v>
      </c>
      <c r="G38" s="231">
        <v>13292556895.76</v>
      </c>
    </row>
    <row r="39" spans="1:7">
      <c r="A39" s="208" t="s">
        <v>137</v>
      </c>
      <c r="B39" s="229"/>
      <c r="C39" s="230">
        <v>78317772</v>
      </c>
      <c r="D39" s="230">
        <v>80556471</v>
      </c>
      <c r="E39" s="230">
        <v>82528081</v>
      </c>
      <c r="F39" s="230">
        <f>'[1]Evolutive SFP'!P8</f>
        <v>82528081</v>
      </c>
      <c r="G39" s="231">
        <v>29629011499.27</v>
      </c>
    </row>
    <row r="40" spans="1:7">
      <c r="A40" s="208" t="s">
        <v>138</v>
      </c>
      <c r="B40" s="229"/>
      <c r="C40" s="230">
        <v>98455970</v>
      </c>
      <c r="D40" s="230">
        <v>90243324</v>
      </c>
      <c r="E40" s="230">
        <v>172602165</v>
      </c>
      <c r="F40" s="230">
        <f>'[1]Evolutive SFP'!P4+'[1]Evolutive SFP'!P9+'[1]Evolutive SFP'!P10</f>
        <v>172602165</v>
      </c>
      <c r="G40" s="231">
        <v>94633950089.839996</v>
      </c>
    </row>
    <row r="41" spans="1:7">
      <c r="A41" s="208" t="s">
        <v>139</v>
      </c>
      <c r="B41" s="229"/>
      <c r="C41" s="230">
        <v>309828610</v>
      </c>
      <c r="D41" s="230">
        <v>266076410</v>
      </c>
      <c r="E41" s="230">
        <v>289437649</v>
      </c>
      <c r="F41" s="230">
        <f>'[1]Evolutive SFP'!P28+'[1]Evolutive SFP'!P29+'[1]Evolutive SFP'!P32+'[1]Evolutive SFP'!P34+'[1]Evolutive SFP'!P35+'[1]Evolutive SFP'!P36</f>
        <v>229463599</v>
      </c>
      <c r="G41" s="231">
        <v>134038016078.24001</v>
      </c>
    </row>
    <row r="42" spans="1:7">
      <c r="A42" s="208" t="s">
        <v>140</v>
      </c>
      <c r="B42" s="229"/>
      <c r="C42" s="230">
        <v>0</v>
      </c>
      <c r="D42" s="230">
        <v>101333347</v>
      </c>
      <c r="E42" s="230">
        <v>145741122</v>
      </c>
      <c r="F42" s="230">
        <f>'[1]Evolutive SFP'!P37</f>
        <v>145741122</v>
      </c>
      <c r="G42" s="231">
        <v>23694077268.720001</v>
      </c>
    </row>
    <row r="43" spans="1:7">
      <c r="A43" s="208" t="s">
        <v>141</v>
      </c>
      <c r="B43" s="229"/>
      <c r="C43" s="230">
        <v>972889404</v>
      </c>
      <c r="D43" s="230">
        <v>1007763431.5</v>
      </c>
      <c r="E43" s="230">
        <v>1044069368.5</v>
      </c>
      <c r="F43" s="230">
        <f>('[1]Evolutive SFP'!P15+'[1]Evolutive SFP'!C15)/2</f>
        <v>1047066745.5</v>
      </c>
      <c r="G43" s="231">
        <v>488826652596.76501</v>
      </c>
    </row>
    <row r="44" spans="1:7">
      <c r="A44" s="208" t="s">
        <v>142</v>
      </c>
      <c r="B44" s="229"/>
      <c r="C44" s="230">
        <v>118584595</v>
      </c>
      <c r="D44" s="230">
        <v>117900728</v>
      </c>
      <c r="E44" s="230">
        <v>160514795</v>
      </c>
      <c r="F44" s="230">
        <f>'[1]Evolutitve SCI'!P3+'[1]Evolutitve SCI'!P31</f>
        <v>160956495</v>
      </c>
      <c r="G44" s="231">
        <v>94683788336.360001</v>
      </c>
    </row>
    <row r="45" spans="1:7">
      <c r="A45" s="208" t="s">
        <v>143</v>
      </c>
      <c r="B45" s="229"/>
      <c r="C45" s="230">
        <v>118584595</v>
      </c>
      <c r="D45" s="230">
        <v>62451553</v>
      </c>
      <c r="E45" s="230">
        <v>72820975</v>
      </c>
      <c r="F45" s="230">
        <f>'[1]Evolutitve SCI'!P19</f>
        <v>72820975</v>
      </c>
      <c r="G45" s="231">
        <v>57608722423.620003</v>
      </c>
    </row>
    <row r="46" spans="1:7">
      <c r="A46" s="208" t="s">
        <v>144</v>
      </c>
      <c r="B46" s="229"/>
      <c r="C46" s="230">
        <v>0</v>
      </c>
      <c r="D46" s="230">
        <v>44000000</v>
      </c>
      <c r="E46" s="230">
        <v>60000000</v>
      </c>
      <c r="F46" s="230">
        <f>'[1]Evolutitve SCI'!P15+'[1]Evolutitve SCI'!P13</f>
        <v>58000000</v>
      </c>
      <c r="G46" s="231">
        <v>30937918988.099998</v>
      </c>
    </row>
    <row r="47" spans="1:7">
      <c r="A47" s="208" t="s">
        <v>145</v>
      </c>
      <c r="B47" s="229"/>
      <c r="C47" s="230">
        <v>41765573</v>
      </c>
      <c r="D47" s="230">
        <v>33710334</v>
      </c>
      <c r="E47" s="230">
        <v>44883772</v>
      </c>
      <c r="F47" s="230">
        <f>'[1]Evolutitve SCI'!P23</f>
        <v>44883772</v>
      </c>
      <c r="G47" s="231">
        <v>30765723801.91</v>
      </c>
    </row>
    <row r="48" spans="1:7">
      <c r="A48" s="208" t="s">
        <v>146</v>
      </c>
      <c r="B48" s="229"/>
      <c r="C48" s="230">
        <v>88458375</v>
      </c>
      <c r="D48" s="230">
        <v>92232153</v>
      </c>
      <c r="E48" s="230">
        <v>126726553</v>
      </c>
      <c r="F48" s="230">
        <f>'[1]Evolutitve SCI'!P5+'[1]Evolutitve SCI'!P6</f>
        <v>126726553</v>
      </c>
      <c r="G48" s="231">
        <v>81233050818.509995</v>
      </c>
    </row>
    <row r="49" spans="1:7">
      <c r="A49" s="208" t="s">
        <v>40</v>
      </c>
      <c r="B49" s="229"/>
      <c r="C49" s="230">
        <v>41765573</v>
      </c>
      <c r="D49" s="230">
        <v>89159509</v>
      </c>
      <c r="E49" s="230">
        <v>135106949</v>
      </c>
      <c r="F49" s="230">
        <f>'[1]Evolutitve SCI'!P39</f>
        <v>132577592</v>
      </c>
      <c r="G49" s="231">
        <v>67728301090.029999</v>
      </c>
    </row>
    <row r="50" spans="1:7">
      <c r="A50" s="208" t="s">
        <v>147</v>
      </c>
      <c r="B50" s="229"/>
      <c r="C50" s="230">
        <v>61490361</v>
      </c>
      <c r="D50" s="230">
        <v>19660619</v>
      </c>
      <c r="E50" s="230">
        <v>8317428</v>
      </c>
      <c r="F50" s="230">
        <f>'[1]Evolutitve SCI'!P37</f>
        <v>11088485</v>
      </c>
      <c r="G50" s="231">
        <v>23677872350.669998</v>
      </c>
    </row>
    <row r="51" spans="1:7">
      <c r="A51" s="237" t="s">
        <v>148</v>
      </c>
      <c r="B51" s="238"/>
      <c r="C51" s="327"/>
      <c r="D51" s="328"/>
      <c r="E51" s="328"/>
      <c r="F51" s="328"/>
      <c r="G51" s="329"/>
    </row>
    <row r="52" spans="1:7">
      <c r="A52" s="208"/>
      <c r="B52" s="233"/>
      <c r="C52" s="234"/>
      <c r="D52" s="234"/>
      <c r="E52" s="234"/>
      <c r="F52" s="235"/>
      <c r="G52" s="236"/>
    </row>
    <row r="53" spans="1:7">
      <c r="A53" s="239" t="s">
        <v>149</v>
      </c>
      <c r="B53" s="233"/>
      <c r="C53" s="327"/>
      <c r="D53" s="328"/>
      <c r="E53" s="328"/>
      <c r="F53" s="328"/>
      <c r="G53" s="329"/>
    </row>
    <row r="54" spans="1:7" ht="15" thickBot="1">
      <c r="A54" s="240"/>
      <c r="B54" s="241"/>
      <c r="C54" s="242"/>
      <c r="D54" s="242"/>
      <c r="E54" s="242"/>
      <c r="F54" s="243"/>
      <c r="G54" s="244"/>
    </row>
    <row r="55" spans="1:7">
      <c r="A55" s="245" t="s">
        <v>150</v>
      </c>
      <c r="B55" s="246"/>
      <c r="C55" s="247"/>
      <c r="D55" s="247"/>
      <c r="E55" s="247"/>
      <c r="F55" s="247"/>
      <c r="G55" s="247"/>
    </row>
  </sheetData>
  <mergeCells count="13">
    <mergeCell ref="C51:G51"/>
    <mergeCell ref="C53:G53"/>
    <mergeCell ref="A5:G5"/>
    <mergeCell ref="A9:G9"/>
    <mergeCell ref="A14:G14"/>
    <mergeCell ref="A19:G19"/>
    <mergeCell ref="A23:G23"/>
    <mergeCell ref="A1:G1"/>
    <mergeCell ref="A2:G2"/>
    <mergeCell ref="B3:B4"/>
    <mergeCell ref="D3:E3"/>
    <mergeCell ref="F3:F4"/>
    <mergeCell ref="G3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91"/>
  <sheetViews>
    <sheetView topLeftCell="A73" workbookViewId="0">
      <selection activeCell="D78" sqref="D78"/>
    </sheetView>
  </sheetViews>
  <sheetFormatPr defaultRowHeight="14.45"/>
  <cols>
    <col min="2" max="2" width="19.42578125" customWidth="1"/>
    <col min="3" max="3" width="10.28515625" bestFit="1" customWidth="1"/>
    <col min="4" max="4" width="19.5703125" customWidth="1"/>
    <col min="5" max="5" width="12" customWidth="1"/>
    <col min="6" max="6" width="16.7109375" customWidth="1"/>
    <col min="8" max="8" width="14.28515625" bestFit="1" customWidth="1"/>
    <col min="9" max="9" width="14.7109375" bestFit="1" customWidth="1"/>
    <col min="10" max="10" width="12.5703125" bestFit="1" customWidth="1"/>
  </cols>
  <sheetData>
    <row r="1" spans="2:9">
      <c r="D1" s="5">
        <v>44256</v>
      </c>
    </row>
    <row r="2" spans="2:9" ht="41.45">
      <c r="B2" s="1" t="s">
        <v>151</v>
      </c>
      <c r="C2" s="1" t="s">
        <v>152</v>
      </c>
      <c r="D2" s="1" t="s">
        <v>153</v>
      </c>
      <c r="E2" s="1" t="s">
        <v>154</v>
      </c>
      <c r="F2" s="1" t="s">
        <v>155</v>
      </c>
    </row>
    <row r="3" spans="2:9">
      <c r="B3" s="6" t="s">
        <v>156</v>
      </c>
      <c r="C3" s="13">
        <v>95</v>
      </c>
      <c r="D3" s="13">
        <v>896051883</v>
      </c>
      <c r="E3" s="9">
        <v>0.01</v>
      </c>
      <c r="F3" s="8">
        <f>D3*E3</f>
        <v>8960518.8300000001</v>
      </c>
    </row>
    <row r="4" spans="2:9">
      <c r="B4" s="6" t="s">
        <v>157</v>
      </c>
      <c r="C4" s="13">
        <v>3</v>
      </c>
      <c r="D4" s="13">
        <v>28296375</v>
      </c>
      <c r="E4" s="9">
        <v>0.05</v>
      </c>
      <c r="F4" s="8">
        <f>D4*E4</f>
        <v>1414818.75</v>
      </c>
      <c r="H4" t="s">
        <v>158</v>
      </c>
      <c r="I4" s="71">
        <f>D5+D6+D7</f>
        <v>18864250</v>
      </c>
    </row>
    <row r="5" spans="2:9">
      <c r="B5" s="6" t="s">
        <v>159</v>
      </c>
      <c r="C5" s="13">
        <v>1</v>
      </c>
      <c r="D5" s="13">
        <v>9432125</v>
      </c>
      <c r="E5" s="9">
        <v>0.25</v>
      </c>
      <c r="F5" s="8">
        <f>D5*E5</f>
        <v>2358031.25</v>
      </c>
      <c r="H5" t="s">
        <v>160</v>
      </c>
      <c r="I5" s="110">
        <f>I4/D8</f>
        <v>1.9999999830366967E-2</v>
      </c>
    </row>
    <row r="6" spans="2:9">
      <c r="B6" s="6" t="s">
        <v>161</v>
      </c>
      <c r="C6" s="13">
        <v>0</v>
      </c>
      <c r="D6" s="13">
        <v>5659275</v>
      </c>
      <c r="E6" s="9">
        <v>0.5</v>
      </c>
      <c r="F6" s="8">
        <f>D6*E6</f>
        <v>2829637.5</v>
      </c>
    </row>
    <row r="7" spans="2:9">
      <c r="B7" s="6" t="s">
        <v>162</v>
      </c>
      <c r="C7" s="13">
        <v>0</v>
      </c>
      <c r="D7" s="13">
        <v>3772850</v>
      </c>
      <c r="E7" s="9">
        <v>1</v>
      </c>
      <c r="F7" s="8">
        <f>D7*E7</f>
        <v>3772850</v>
      </c>
    </row>
    <row r="8" spans="2:9">
      <c r="B8" s="7" t="s">
        <v>163</v>
      </c>
      <c r="C8" s="8">
        <f>SUM(C3:C7)</f>
        <v>99</v>
      </c>
      <c r="D8" s="8">
        <f>SUM(D3:D7)</f>
        <v>943212508</v>
      </c>
      <c r="E8" s="8">
        <f>SUM(E3:E7)</f>
        <v>1.81</v>
      </c>
      <c r="F8" s="8">
        <f>SUM(F3:F7)</f>
        <v>19335856.329999998</v>
      </c>
    </row>
    <row r="10" spans="2:9">
      <c r="D10" s="5">
        <v>44348</v>
      </c>
    </row>
    <row r="11" spans="2:9" ht="41.45">
      <c r="B11" s="1" t="s">
        <v>151</v>
      </c>
      <c r="C11" s="1" t="s">
        <v>152</v>
      </c>
      <c r="D11" s="1" t="s">
        <v>153</v>
      </c>
      <c r="E11" s="1" t="s">
        <v>154</v>
      </c>
      <c r="F11" s="1" t="s">
        <v>155</v>
      </c>
    </row>
    <row r="12" spans="2:9">
      <c r="B12" s="6" t="s">
        <v>156</v>
      </c>
      <c r="C12" s="156"/>
      <c r="D12" s="13">
        <v>969139948</v>
      </c>
      <c r="E12" s="9">
        <v>0.01</v>
      </c>
      <c r="F12" s="8">
        <f>D12*E12</f>
        <v>9691399.4800000004</v>
      </c>
    </row>
    <row r="13" spans="2:9">
      <c r="B13" s="6" t="s">
        <v>157</v>
      </c>
      <c r="C13" s="156"/>
      <c r="D13" s="13">
        <v>30604419</v>
      </c>
      <c r="E13" s="9">
        <v>0.05</v>
      </c>
      <c r="F13" s="8">
        <f>D13*E13</f>
        <v>1530220.9500000002</v>
      </c>
      <c r="H13" t="s">
        <v>158</v>
      </c>
      <c r="I13" s="158">
        <f>D14+D15+D16</f>
        <v>20402945</v>
      </c>
    </row>
    <row r="14" spans="2:9">
      <c r="B14" s="6" t="s">
        <v>159</v>
      </c>
      <c r="C14" s="156"/>
      <c r="D14" s="13">
        <v>10201473</v>
      </c>
      <c r="E14" s="9">
        <v>0.25</v>
      </c>
      <c r="F14" s="8">
        <f>D14*E14</f>
        <v>2550368.25</v>
      </c>
      <c r="H14" t="s">
        <v>160</v>
      </c>
      <c r="I14" s="110">
        <f>I13/D17</f>
        <v>1.9999998784489274E-2</v>
      </c>
    </row>
    <row r="15" spans="2:9">
      <c r="B15" s="6" t="s">
        <v>161</v>
      </c>
      <c r="C15" s="156"/>
      <c r="D15" s="13">
        <v>6120883</v>
      </c>
      <c r="E15" s="9">
        <v>0.5</v>
      </c>
      <c r="F15" s="8">
        <f>D15*E15</f>
        <v>3060441.5</v>
      </c>
    </row>
    <row r="16" spans="2:9">
      <c r="B16" s="6" t="s">
        <v>162</v>
      </c>
      <c r="C16" s="156"/>
      <c r="D16" s="13">
        <v>4080589</v>
      </c>
      <c r="E16" s="9">
        <v>1</v>
      </c>
      <c r="F16" s="8">
        <f>D16*E16</f>
        <v>4080589</v>
      </c>
    </row>
    <row r="17" spans="2:9">
      <c r="B17" s="7" t="s">
        <v>163</v>
      </c>
      <c r="C17" s="8">
        <f>SUM(C12:C16)</f>
        <v>0</v>
      </c>
      <c r="D17" s="8">
        <f>SUM(D12:D16)</f>
        <v>1020147312</v>
      </c>
      <c r="E17" s="8">
        <v>1.81</v>
      </c>
      <c r="F17" s="8">
        <f>SUM(F12:F16)</f>
        <v>20913019.18</v>
      </c>
    </row>
    <row r="19" spans="2:9">
      <c r="D19" s="5">
        <v>44440</v>
      </c>
    </row>
    <row r="20" spans="2:9" ht="41.45">
      <c r="B20" s="1" t="s">
        <v>151</v>
      </c>
      <c r="C20" s="1" t="s">
        <v>152</v>
      </c>
      <c r="D20" s="1" t="s">
        <v>153</v>
      </c>
      <c r="E20" s="1" t="s">
        <v>154</v>
      </c>
      <c r="F20" s="1" t="s">
        <v>155</v>
      </c>
    </row>
    <row r="21" spans="2:9">
      <c r="B21" s="6" t="s">
        <v>156</v>
      </c>
      <c r="C21" s="13">
        <v>95</v>
      </c>
      <c r="D21" s="13">
        <v>1005497008</v>
      </c>
      <c r="E21" s="9">
        <v>0.01</v>
      </c>
      <c r="F21" s="8">
        <f>D21*E21</f>
        <v>10054970.08</v>
      </c>
    </row>
    <row r="22" spans="2:9">
      <c r="B22" s="6" t="s">
        <v>157</v>
      </c>
      <c r="C22" s="13">
        <v>3</v>
      </c>
      <c r="D22" s="13">
        <v>31752537</v>
      </c>
      <c r="E22" s="9">
        <v>0.05</v>
      </c>
      <c r="F22" s="8">
        <f>D22*E22</f>
        <v>1587626.85</v>
      </c>
      <c r="H22" t="s">
        <v>158</v>
      </c>
      <c r="I22" s="158">
        <f>D23+D24+D25</f>
        <v>21168359</v>
      </c>
    </row>
    <row r="23" spans="2:9">
      <c r="B23" s="6" t="s">
        <v>159</v>
      </c>
      <c r="C23" s="13">
        <v>1</v>
      </c>
      <c r="D23" s="13">
        <v>10584179</v>
      </c>
      <c r="E23" s="9">
        <v>0.25</v>
      </c>
      <c r="F23" s="8">
        <f>D23*E23</f>
        <v>2646044.75</v>
      </c>
      <c r="H23" t="s">
        <v>160</v>
      </c>
      <c r="I23" s="110">
        <f>I22/D26</f>
        <v>2.0000000869221879E-2</v>
      </c>
    </row>
    <row r="24" spans="2:9">
      <c r="B24" s="6" t="s">
        <v>161</v>
      </c>
      <c r="C24" s="13">
        <v>0</v>
      </c>
      <c r="D24" s="13">
        <v>6350509</v>
      </c>
      <c r="E24" s="9">
        <v>0.5</v>
      </c>
      <c r="F24" s="8">
        <f>D24*E24</f>
        <v>3175254.5</v>
      </c>
    </row>
    <row r="25" spans="2:9">
      <c r="B25" s="6" t="s">
        <v>162</v>
      </c>
      <c r="C25" s="13">
        <v>0</v>
      </c>
      <c r="D25" s="13">
        <v>4233671</v>
      </c>
      <c r="E25" s="9">
        <v>1</v>
      </c>
      <c r="F25" s="8">
        <f>D25*E25</f>
        <v>4233671</v>
      </c>
    </row>
    <row r="26" spans="2:9">
      <c r="B26" s="7" t="s">
        <v>163</v>
      </c>
      <c r="C26" s="8">
        <f>SUM(C21:C25)</f>
        <v>99</v>
      </c>
      <c r="D26" s="8">
        <f>SUM(D21:D25)</f>
        <v>1058417904</v>
      </c>
      <c r="E26" s="8">
        <v>1.81</v>
      </c>
      <c r="F26" s="8">
        <f>SUM(F21:F25)</f>
        <v>21697567.18</v>
      </c>
    </row>
    <row r="28" spans="2:9">
      <c r="D28" s="5">
        <v>44531</v>
      </c>
    </row>
    <row r="29" spans="2:9" ht="41.45"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155</v>
      </c>
    </row>
    <row r="30" spans="2:9">
      <c r="B30" s="6" t="s">
        <v>156</v>
      </c>
      <c r="C30" s="13">
        <v>4961</v>
      </c>
      <c r="D30" s="13">
        <v>1043560612</v>
      </c>
      <c r="E30" s="9">
        <v>0.01</v>
      </c>
      <c r="F30" s="8">
        <f>D30*E30</f>
        <v>10435606.120000001</v>
      </c>
    </row>
    <row r="31" spans="2:9">
      <c r="B31" s="6" t="s">
        <v>157</v>
      </c>
      <c r="C31" s="13">
        <v>157</v>
      </c>
      <c r="D31" s="13">
        <v>26701641</v>
      </c>
      <c r="E31" s="9">
        <v>0.05</v>
      </c>
      <c r="F31" s="8">
        <f>D31*E31</f>
        <v>1335082.05</v>
      </c>
      <c r="H31" t="s">
        <v>158</v>
      </c>
      <c r="I31" s="158">
        <f>D32+D33+D34</f>
        <v>19082933</v>
      </c>
    </row>
    <row r="32" spans="2:9">
      <c r="B32" s="6" t="s">
        <v>159</v>
      </c>
      <c r="C32" s="13">
        <v>25</v>
      </c>
      <c r="D32" s="13">
        <v>2486540</v>
      </c>
      <c r="E32" s="9">
        <v>0.25</v>
      </c>
      <c r="F32" s="8">
        <f>D32*E32</f>
        <v>621635</v>
      </c>
      <c r="H32" t="s">
        <v>160</v>
      </c>
      <c r="I32" s="110">
        <f>I31/D35</f>
        <v>1.7517801744799742E-2</v>
      </c>
    </row>
    <row r="33" spans="2:8">
      <c r="B33" s="6" t="s">
        <v>161</v>
      </c>
      <c r="C33" s="13">
        <v>33</v>
      </c>
      <c r="D33" s="13">
        <v>5183552</v>
      </c>
      <c r="E33" s="9">
        <v>0.5</v>
      </c>
      <c r="F33" s="8">
        <f>D33*E33</f>
        <v>2591776</v>
      </c>
    </row>
    <row r="34" spans="2:8">
      <c r="B34" s="6" t="s">
        <v>162</v>
      </c>
      <c r="C34" s="13">
        <v>321</v>
      </c>
      <c r="D34" s="13">
        <v>11412841</v>
      </c>
      <c r="E34" s="9">
        <v>1</v>
      </c>
      <c r="F34" s="8">
        <f>D34*E34</f>
        <v>11412841</v>
      </c>
    </row>
    <row r="35" spans="2:8">
      <c r="B35" s="7" t="s">
        <v>163</v>
      </c>
      <c r="C35" s="8">
        <f>SUM(C30:C34)</f>
        <v>5497</v>
      </c>
      <c r="D35" s="8">
        <f>SUM(D30:D34)</f>
        <v>1089345186</v>
      </c>
      <c r="E35" s="8">
        <v>1.81</v>
      </c>
      <c r="F35" s="8">
        <f>SUM(F30:F34)</f>
        <v>26396940.170000002</v>
      </c>
    </row>
    <row r="38" spans="2:8">
      <c r="D38" s="5" t="s">
        <v>2</v>
      </c>
    </row>
    <row r="39" spans="2:8" ht="49.5" customHeight="1">
      <c r="B39" s="1" t="s">
        <v>151</v>
      </c>
      <c r="C39" s="1" t="s">
        <v>152</v>
      </c>
      <c r="D39" s="1" t="s">
        <v>153</v>
      </c>
      <c r="E39" s="1" t="s">
        <v>154</v>
      </c>
      <c r="F39" s="1" t="s">
        <v>155</v>
      </c>
    </row>
    <row r="40" spans="2:8">
      <c r="B40" s="6" t="s">
        <v>156</v>
      </c>
      <c r="C40" s="23">
        <v>4961</v>
      </c>
      <c r="D40" s="30">
        <v>10312387</v>
      </c>
      <c r="E40" s="9">
        <v>0.01</v>
      </c>
      <c r="F40" s="8">
        <f>D40*E40</f>
        <v>103123.87</v>
      </c>
    </row>
    <row r="41" spans="2:8">
      <c r="B41" s="6" t="s">
        <v>157</v>
      </c>
      <c r="C41" s="23">
        <v>157</v>
      </c>
      <c r="D41" s="30">
        <v>770911</v>
      </c>
      <c r="E41" s="9">
        <v>0.05</v>
      </c>
      <c r="F41" s="8">
        <f>D41*E41</f>
        <v>38545.550000000003</v>
      </c>
      <c r="H41" s="110"/>
    </row>
    <row r="42" spans="2:8">
      <c r="B42" s="6" t="s">
        <v>159</v>
      </c>
      <c r="C42" s="23">
        <v>25</v>
      </c>
      <c r="D42" s="30">
        <v>2716646</v>
      </c>
      <c r="E42" s="9">
        <v>0.25</v>
      </c>
      <c r="F42" s="8">
        <f>D42*E42</f>
        <v>679161.5</v>
      </c>
    </row>
    <row r="43" spans="2:8">
      <c r="B43" s="6" t="s">
        <v>161</v>
      </c>
      <c r="C43" s="23">
        <v>33</v>
      </c>
      <c r="D43" s="30">
        <v>4710165</v>
      </c>
      <c r="E43" s="9">
        <v>0.5</v>
      </c>
      <c r="F43" s="8">
        <f>D43*E43</f>
        <v>2355082.5</v>
      </c>
    </row>
    <row r="44" spans="2:8">
      <c r="B44" s="6" t="s">
        <v>162</v>
      </c>
      <c r="C44" s="23">
        <v>321</v>
      </c>
      <c r="D44" s="30">
        <v>43687480</v>
      </c>
      <c r="E44" s="9">
        <v>1</v>
      </c>
      <c r="F44" s="8">
        <f>D44*E44</f>
        <v>43687480</v>
      </c>
    </row>
    <row r="45" spans="2:8">
      <c r="B45" s="7" t="s">
        <v>163</v>
      </c>
      <c r="C45" s="8">
        <f>SUM(C40:C44)</f>
        <v>5497</v>
      </c>
      <c r="D45" s="8">
        <f>SUM(D40:D44)</f>
        <v>62197589</v>
      </c>
      <c r="E45" s="8">
        <v>1.81</v>
      </c>
      <c r="F45" s="8">
        <f>SUM(F40:F44)</f>
        <v>46863393.420000002</v>
      </c>
    </row>
    <row r="47" spans="2:8">
      <c r="D47" s="5">
        <v>44621</v>
      </c>
    </row>
    <row r="48" spans="2:8" ht="41.45">
      <c r="B48" s="1" t="s">
        <v>151</v>
      </c>
      <c r="C48" s="1" t="s">
        <v>152</v>
      </c>
      <c r="D48" s="1" t="s">
        <v>153</v>
      </c>
      <c r="E48" s="1" t="s">
        <v>154</v>
      </c>
      <c r="F48" s="1" t="s">
        <v>155</v>
      </c>
    </row>
    <row r="49" spans="2:6">
      <c r="B49" s="6" t="s">
        <v>156</v>
      </c>
      <c r="C49" s="13">
        <v>95</v>
      </c>
      <c r="D49" s="13">
        <v>896051883</v>
      </c>
      <c r="E49" s="9">
        <v>0.01</v>
      </c>
      <c r="F49" s="8">
        <f>D49*E49</f>
        <v>8960518.8300000001</v>
      </c>
    </row>
    <row r="50" spans="2:6">
      <c r="B50" s="6" t="s">
        <v>157</v>
      </c>
      <c r="C50" s="13">
        <v>3</v>
      </c>
      <c r="D50" s="13">
        <v>28296375</v>
      </c>
      <c r="E50" s="9">
        <v>0.05</v>
      </c>
      <c r="F50" s="8">
        <f>D50*E50</f>
        <v>1414818.75</v>
      </c>
    </row>
    <row r="51" spans="2:6">
      <c r="B51" s="6" t="s">
        <v>159</v>
      </c>
      <c r="C51" s="13">
        <v>1</v>
      </c>
      <c r="D51" s="13">
        <v>9432125</v>
      </c>
      <c r="E51" s="9">
        <v>0.25</v>
      </c>
      <c r="F51" s="8">
        <f>D51*E51</f>
        <v>2358031.25</v>
      </c>
    </row>
    <row r="52" spans="2:6">
      <c r="B52" s="6" t="s">
        <v>161</v>
      </c>
      <c r="C52" s="13">
        <v>0</v>
      </c>
      <c r="D52" s="13">
        <v>5659275</v>
      </c>
      <c r="E52" s="9">
        <v>0.5</v>
      </c>
      <c r="F52" s="8">
        <f>D52*E52</f>
        <v>2829637.5</v>
      </c>
    </row>
    <row r="53" spans="2:6">
      <c r="B53" s="6" t="s">
        <v>162</v>
      </c>
      <c r="C53" s="13">
        <v>0</v>
      </c>
      <c r="D53" s="13">
        <v>3772850</v>
      </c>
      <c r="E53" s="9">
        <v>1</v>
      </c>
      <c r="F53" s="8">
        <f>D53*E53</f>
        <v>3772850</v>
      </c>
    </row>
    <row r="54" spans="2:6">
      <c r="B54" s="7" t="s">
        <v>163</v>
      </c>
      <c r="C54" s="8">
        <f>SUM(C49:C53)</f>
        <v>99</v>
      </c>
      <c r="D54" s="8">
        <f>SUM(D49:D53)</f>
        <v>943212508</v>
      </c>
      <c r="E54" s="8">
        <f>SUM(E49:E53)</f>
        <v>1.81</v>
      </c>
      <c r="F54" s="8">
        <f>SUM(F49:F53)</f>
        <v>19335856.329999998</v>
      </c>
    </row>
    <row r="56" spans="2:6">
      <c r="D56" s="5">
        <v>44713</v>
      </c>
    </row>
    <row r="57" spans="2:6" ht="41.45">
      <c r="B57" s="1" t="s">
        <v>151</v>
      </c>
      <c r="C57" s="1" t="s">
        <v>152</v>
      </c>
      <c r="D57" s="1" t="s">
        <v>153</v>
      </c>
      <c r="E57" s="1" t="s">
        <v>154</v>
      </c>
      <c r="F57" s="1" t="s">
        <v>155</v>
      </c>
    </row>
    <row r="58" spans="2:6">
      <c r="B58" s="6" t="s">
        <v>156</v>
      </c>
      <c r="C58" s="156"/>
      <c r="D58" s="13">
        <v>969139948</v>
      </c>
      <c r="E58" s="9">
        <v>0.01</v>
      </c>
      <c r="F58" s="8">
        <f>D58*E58</f>
        <v>9691399.4800000004</v>
      </c>
    </row>
    <row r="59" spans="2:6">
      <c r="B59" s="6" t="s">
        <v>157</v>
      </c>
      <c r="C59" s="156"/>
      <c r="D59" s="13">
        <v>30604419</v>
      </c>
      <c r="E59" s="9">
        <v>0.05</v>
      </c>
      <c r="F59" s="8">
        <f>D59*E59</f>
        <v>1530220.9500000002</v>
      </c>
    </row>
    <row r="60" spans="2:6">
      <c r="B60" s="6" t="s">
        <v>159</v>
      </c>
      <c r="C60" s="156"/>
      <c r="D60" s="13">
        <v>10201473</v>
      </c>
      <c r="E60" s="9">
        <v>0.25</v>
      </c>
      <c r="F60" s="8">
        <f>D60*E60</f>
        <v>2550368.25</v>
      </c>
    </row>
    <row r="61" spans="2:6">
      <c r="B61" s="6" t="s">
        <v>161</v>
      </c>
      <c r="C61" s="156"/>
      <c r="D61" s="13">
        <v>6120883</v>
      </c>
      <c r="E61" s="9">
        <v>0.5</v>
      </c>
      <c r="F61" s="8">
        <f>D61*E61</f>
        <v>3060441.5</v>
      </c>
    </row>
    <row r="62" spans="2:6">
      <c r="B62" s="6" t="s">
        <v>162</v>
      </c>
      <c r="C62" s="156"/>
      <c r="D62" s="13">
        <v>4080589</v>
      </c>
      <c r="E62" s="9">
        <v>1</v>
      </c>
      <c r="F62" s="8">
        <f>D62*E62</f>
        <v>4080589</v>
      </c>
    </row>
    <row r="63" spans="2:6">
      <c r="B63" s="7" t="s">
        <v>163</v>
      </c>
      <c r="C63" s="8">
        <f>SUM(C58:C62)</f>
        <v>0</v>
      </c>
      <c r="D63" s="8">
        <f>SUM(D58:D62)</f>
        <v>1020147312</v>
      </c>
      <c r="E63" s="8">
        <v>1.81</v>
      </c>
      <c r="F63" s="8">
        <f>SUM(F58:F62)</f>
        <v>20913019.18</v>
      </c>
    </row>
    <row r="65" spans="2:10">
      <c r="D65" s="5">
        <v>44805</v>
      </c>
    </row>
    <row r="66" spans="2:10" ht="41.45">
      <c r="B66" s="1" t="s">
        <v>151</v>
      </c>
      <c r="C66" s="1" t="s">
        <v>152</v>
      </c>
      <c r="D66" s="1" t="s">
        <v>153</v>
      </c>
      <c r="E66" s="1" t="s">
        <v>154</v>
      </c>
      <c r="F66" s="1" t="s">
        <v>155</v>
      </c>
    </row>
    <row r="67" spans="2:10">
      <c r="B67" s="6" t="s">
        <v>156</v>
      </c>
      <c r="C67" s="13">
        <v>95</v>
      </c>
      <c r="D67" s="13">
        <v>1005497008</v>
      </c>
      <c r="E67" s="9">
        <v>0.01</v>
      </c>
      <c r="F67" s="8">
        <f>D67*E67</f>
        <v>10054970.08</v>
      </c>
    </row>
    <row r="68" spans="2:10">
      <c r="B68" s="6" t="s">
        <v>157</v>
      </c>
      <c r="C68" s="13">
        <v>3</v>
      </c>
      <c r="D68" s="13">
        <v>31752537</v>
      </c>
      <c r="E68" s="9">
        <v>0.05</v>
      </c>
      <c r="F68" s="8">
        <f>D68*E68</f>
        <v>1587626.85</v>
      </c>
    </row>
    <row r="69" spans="2:10">
      <c r="B69" s="6" t="s">
        <v>159</v>
      </c>
      <c r="C69" s="13">
        <v>1</v>
      </c>
      <c r="D69" s="13">
        <v>10584179</v>
      </c>
      <c r="E69" s="9">
        <v>0.25</v>
      </c>
      <c r="F69" s="8">
        <f>D69*E69</f>
        <v>2646044.75</v>
      </c>
    </row>
    <row r="70" spans="2:10">
      <c r="B70" s="6" t="s">
        <v>161</v>
      </c>
      <c r="C70" s="13">
        <v>0</v>
      </c>
      <c r="D70" s="13">
        <v>6350509</v>
      </c>
      <c r="E70" s="9">
        <v>0.5</v>
      </c>
      <c r="F70" s="8">
        <f>D70*E70</f>
        <v>3175254.5</v>
      </c>
    </row>
    <row r="71" spans="2:10">
      <c r="B71" s="6" t="s">
        <v>162</v>
      </c>
      <c r="C71" s="13">
        <v>0</v>
      </c>
      <c r="D71" s="13">
        <v>4233671</v>
      </c>
      <c r="E71" s="9">
        <v>1</v>
      </c>
      <c r="F71" s="8">
        <f>D71*E71</f>
        <v>4233671</v>
      </c>
    </row>
    <row r="72" spans="2:10">
      <c r="B72" s="7" t="s">
        <v>163</v>
      </c>
      <c r="C72" s="8">
        <f>SUM(C67:C71)</f>
        <v>99</v>
      </c>
      <c r="D72" s="8">
        <f>SUM(D67:D71)</f>
        <v>1058417904</v>
      </c>
      <c r="E72" s="8">
        <v>1.81</v>
      </c>
      <c r="F72" s="8">
        <f>SUM(F67:F71)</f>
        <v>21697567.18</v>
      </c>
    </row>
    <row r="74" spans="2:10">
      <c r="D74" s="5">
        <v>44896</v>
      </c>
    </row>
    <row r="75" spans="2:10" ht="41.45">
      <c r="B75" s="1" t="s">
        <v>151</v>
      </c>
      <c r="C75" s="1" t="s">
        <v>152</v>
      </c>
      <c r="D75" s="1" t="s">
        <v>153</v>
      </c>
      <c r="E75" s="1" t="s">
        <v>154</v>
      </c>
      <c r="F75" s="1" t="s">
        <v>155</v>
      </c>
    </row>
    <row r="76" spans="2:10">
      <c r="B76" s="6" t="s">
        <v>156</v>
      </c>
      <c r="C76" s="23">
        <f>7682+23</f>
        <v>7705</v>
      </c>
      <c r="D76" s="30">
        <f>706850894+3236633</f>
        <v>710087527</v>
      </c>
      <c r="E76" s="9">
        <v>0.01</v>
      </c>
      <c r="F76" s="8">
        <f>D76*E76</f>
        <v>7100875.2700000005</v>
      </c>
      <c r="I76" s="258"/>
    </row>
    <row r="77" spans="2:10">
      <c r="B77" s="6" t="s">
        <v>157</v>
      </c>
      <c r="C77" s="23">
        <v>6742</v>
      </c>
      <c r="D77" s="30">
        <v>13762599</v>
      </c>
      <c r="E77" s="9">
        <v>0.05</v>
      </c>
      <c r="F77" s="8">
        <f>D77*E77</f>
        <v>688129.95000000007</v>
      </c>
      <c r="J77" s="258">
        <f>I76*J76</f>
        <v>0</v>
      </c>
    </row>
    <row r="78" spans="2:10">
      <c r="B78" s="6" t="s">
        <v>159</v>
      </c>
      <c r="C78" s="23">
        <v>4802</v>
      </c>
      <c r="D78" s="30">
        <f>28622469+896584</f>
        <v>29519053</v>
      </c>
      <c r="E78" s="9">
        <v>0.25</v>
      </c>
      <c r="F78" s="8">
        <f>D78*E78</f>
        <v>7379763.25</v>
      </c>
    </row>
    <row r="79" spans="2:10">
      <c r="B79" s="6" t="s">
        <v>161</v>
      </c>
      <c r="C79" s="23">
        <v>4862</v>
      </c>
      <c r="D79" s="30">
        <f>5301136+340277</f>
        <v>5641413</v>
      </c>
      <c r="E79" s="9">
        <v>0.5</v>
      </c>
      <c r="F79" s="8">
        <f>D79*E79</f>
        <v>2820706.5</v>
      </c>
    </row>
    <row r="80" spans="2:10">
      <c r="B80" s="6" t="s">
        <v>162</v>
      </c>
      <c r="C80" s="23">
        <v>3927</v>
      </c>
      <c r="D80" s="30">
        <f>19629836+180239</f>
        <v>19810075</v>
      </c>
      <c r="E80" s="9">
        <v>1</v>
      </c>
      <c r="F80" s="8">
        <f>D80*E80</f>
        <v>19810075</v>
      </c>
    </row>
    <row r="81" spans="2:6">
      <c r="B81" s="7" t="s">
        <v>163</v>
      </c>
      <c r="C81" s="8">
        <f>SUM(C76:C80)</f>
        <v>28038</v>
      </c>
      <c r="D81" s="8">
        <f>SUM(D76:D80)</f>
        <v>778820667</v>
      </c>
      <c r="E81" s="8">
        <v>1.81</v>
      </c>
      <c r="F81" s="8">
        <f>SUM(F76:F80)</f>
        <v>37799549.969999999</v>
      </c>
    </row>
    <row r="84" spans="2:6">
      <c r="D84" s="5" t="s">
        <v>3</v>
      </c>
    </row>
    <row r="85" spans="2:6" ht="41.45">
      <c r="B85" s="1" t="s">
        <v>151</v>
      </c>
      <c r="C85" s="1" t="s">
        <v>152</v>
      </c>
      <c r="D85" s="1" t="s">
        <v>153</v>
      </c>
      <c r="E85" s="1" t="s">
        <v>154</v>
      </c>
      <c r="F85" s="1" t="s">
        <v>155</v>
      </c>
    </row>
    <row r="86" spans="2:6">
      <c r="B86" s="6" t="s">
        <v>156</v>
      </c>
      <c r="C86" s="23">
        <f>7682+23</f>
        <v>7705</v>
      </c>
      <c r="D86" s="30">
        <f>706850894+3236633</f>
        <v>710087527</v>
      </c>
      <c r="E86" s="9">
        <v>0.01</v>
      </c>
      <c r="F86" s="8">
        <f>D86*E86</f>
        <v>7100875.2700000005</v>
      </c>
    </row>
    <row r="87" spans="2:6">
      <c r="B87" s="6" t="s">
        <v>157</v>
      </c>
      <c r="C87" s="23">
        <v>6742</v>
      </c>
      <c r="D87" s="30">
        <v>13762599</v>
      </c>
      <c r="E87" s="9">
        <v>0.05</v>
      </c>
      <c r="F87" s="8">
        <f>D87*E87</f>
        <v>688129.95000000007</v>
      </c>
    </row>
    <row r="88" spans="2:6">
      <c r="B88" s="6" t="s">
        <v>159</v>
      </c>
      <c r="C88" s="23">
        <v>4802</v>
      </c>
      <c r="D88" s="30">
        <f>28622469+896584</f>
        <v>29519053</v>
      </c>
      <c r="E88" s="9">
        <v>0.25</v>
      </c>
      <c r="F88" s="8">
        <f>D88*E88</f>
        <v>7379763.25</v>
      </c>
    </row>
    <row r="89" spans="2:6">
      <c r="B89" s="6" t="s">
        <v>161</v>
      </c>
      <c r="C89" s="23">
        <v>4862</v>
      </c>
      <c r="D89" s="30">
        <f>5301136+340277</f>
        <v>5641413</v>
      </c>
      <c r="E89" s="9">
        <v>0.5</v>
      </c>
      <c r="F89" s="8">
        <f>D89*E89</f>
        <v>2820706.5</v>
      </c>
    </row>
    <row r="90" spans="2:6">
      <c r="B90" s="6" t="s">
        <v>162</v>
      </c>
      <c r="C90" s="23">
        <v>3927</v>
      </c>
      <c r="D90" s="30">
        <f>19629836+180239</f>
        <v>19810075</v>
      </c>
      <c r="E90" s="9">
        <v>1</v>
      </c>
      <c r="F90" s="8">
        <f>D90*E90</f>
        <v>19810075</v>
      </c>
    </row>
    <row r="91" spans="2:6">
      <c r="B91" s="7" t="s">
        <v>163</v>
      </c>
      <c r="C91" s="8">
        <f>SUM(C86:C90)</f>
        <v>28038</v>
      </c>
      <c r="D91" s="8">
        <f>SUM(D86:D90)</f>
        <v>778820667</v>
      </c>
      <c r="E91" s="8">
        <v>1.81</v>
      </c>
      <c r="F91" s="8">
        <f>SUM(F86:F90)</f>
        <v>37799549.969999999</v>
      </c>
    </row>
  </sheetData>
  <dataValidations count="2">
    <dataValidation type="decimal" showErrorMessage="1" errorTitle="Error Msg" error="Enter a NO" sqref="C3:C7 C49:C53" xr:uid="{00000000-0002-0000-0400-000000000000}">
      <formula1>0</formula1>
      <formula2>999999999999</formula2>
    </dataValidation>
    <dataValidation type="decimal" showErrorMessage="1" errorTitle="Error Msg" error="Enter a number" sqref="D3:D7 D49:D53" xr:uid="{00000000-0002-0000-0400-000001000000}">
      <formula1>0</formula1>
      <formula2>999999999999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41"/>
  <sheetViews>
    <sheetView zoomScale="104" workbookViewId="0">
      <pane xSplit="3" topLeftCell="X1" activePane="topRight" state="frozen"/>
      <selection pane="topRight" activeCell="AD32" sqref="AD32:AJ32"/>
    </sheetView>
  </sheetViews>
  <sheetFormatPr defaultRowHeight="14.45"/>
  <cols>
    <col min="1" max="1" width="20.42578125" customWidth="1"/>
    <col min="2" max="2" width="25.28515625" customWidth="1"/>
    <col min="3" max="3" width="10.5703125" bestFit="1" customWidth="1"/>
    <col min="4" max="10" width="12.5703125" customWidth="1"/>
    <col min="11" max="12" width="8" customWidth="1"/>
    <col min="13" max="13" width="11.7109375" customWidth="1"/>
    <col min="14" max="14" width="11.5703125" customWidth="1"/>
    <col min="15" max="15" width="8" customWidth="1"/>
    <col min="16" max="16" width="10.85546875" customWidth="1"/>
    <col min="17" max="17" width="9.7109375" customWidth="1"/>
    <col min="18" max="18" width="13.28515625" bestFit="1" customWidth="1"/>
    <col min="19" max="30" width="9.7109375" customWidth="1"/>
    <col min="31" max="31" width="12.7109375" customWidth="1"/>
  </cols>
  <sheetData>
    <row r="1" spans="1:39" ht="18.600000000000001" thickBot="1">
      <c r="A1" s="336" t="s">
        <v>164</v>
      </c>
      <c r="B1" s="336"/>
    </row>
    <row r="2" spans="1:39">
      <c r="A2" s="52"/>
      <c r="B2" s="53"/>
      <c r="C2" s="53"/>
      <c r="D2" s="54" t="s">
        <v>0</v>
      </c>
      <c r="E2" s="54" t="s">
        <v>165</v>
      </c>
      <c r="F2" s="151">
        <v>44198</v>
      </c>
      <c r="G2" s="151">
        <v>44230</v>
      </c>
      <c r="H2" s="151">
        <v>44259</v>
      </c>
      <c r="I2" s="151">
        <v>44291</v>
      </c>
      <c r="J2" s="151">
        <v>44322</v>
      </c>
      <c r="K2" s="151">
        <v>44354</v>
      </c>
      <c r="L2" s="151">
        <v>44385</v>
      </c>
      <c r="M2" s="151">
        <v>44417</v>
      </c>
      <c r="N2" s="151">
        <v>44449</v>
      </c>
      <c r="O2" s="151">
        <v>44480</v>
      </c>
      <c r="P2" s="151">
        <v>44512</v>
      </c>
      <c r="Q2" s="151">
        <v>44543</v>
      </c>
      <c r="R2" s="151" t="s">
        <v>166</v>
      </c>
      <c r="S2" s="151">
        <v>44576</v>
      </c>
      <c r="T2" s="151">
        <v>44608</v>
      </c>
      <c r="U2" s="151">
        <v>44637</v>
      </c>
      <c r="V2" s="151">
        <v>44669</v>
      </c>
      <c r="W2" s="151">
        <v>44700</v>
      </c>
      <c r="X2" s="151">
        <v>44732</v>
      </c>
      <c r="Y2" s="151">
        <v>44763</v>
      </c>
      <c r="Z2" s="151">
        <v>44795</v>
      </c>
      <c r="AA2" s="151">
        <v>44827</v>
      </c>
      <c r="AB2" s="151">
        <v>44858</v>
      </c>
      <c r="AC2" s="151">
        <v>44890</v>
      </c>
      <c r="AD2" s="151">
        <v>44921</v>
      </c>
      <c r="AE2" s="151" t="s">
        <v>167</v>
      </c>
      <c r="AF2" s="151">
        <v>44952</v>
      </c>
      <c r="AG2" s="151">
        <v>44983</v>
      </c>
      <c r="AH2" s="151">
        <v>45011</v>
      </c>
      <c r="AI2" s="151">
        <v>45042</v>
      </c>
      <c r="AJ2" s="151">
        <v>45072</v>
      </c>
      <c r="AK2" s="151">
        <v>45103</v>
      </c>
      <c r="AL2" s="151">
        <v>45133</v>
      </c>
      <c r="AM2" s="151">
        <v>45164</v>
      </c>
    </row>
    <row r="3" spans="1:39" ht="15">
      <c r="A3" s="337" t="s">
        <v>168</v>
      </c>
      <c r="B3" s="3" t="s">
        <v>133</v>
      </c>
      <c r="C3" s="20" t="s">
        <v>169</v>
      </c>
      <c r="D3" s="69">
        <f>(('Evolutive SFP'!B39+'Evolutive SFP'!B40+'Evolutive SFP'!B41+'Evolutive SFP'!B42+'Evolutive SFP'!B43+'Evolutive SFP'!B44)-'Evolutive SFP'!B10)/1000000</f>
        <v>15.259572</v>
      </c>
      <c r="E3" s="69">
        <f>(('Evolutive SFP'!C39+'Evolutive SFP'!C40+'Evolutive SFP'!C41+'Evolutive SFP'!C42+'Evolutive SFP'!C43+'Evolutive SFP'!C44)-'Evolutive SFP'!C10)/1000000</f>
        <v>210.09220999999999</v>
      </c>
      <c r="F3" s="69">
        <f>(('Evolutive SFP'!D39+'Evolutive SFP'!D40+'Evolutive SFP'!D41+'Evolutive SFP'!D42+'Evolutive SFP'!D43+'Evolutive SFP'!D44)-'Evolutive SFP'!D10)/1000000</f>
        <v>215.118303</v>
      </c>
      <c r="G3" s="69">
        <f>(('Evolutive SFP'!E39+'Evolutive SFP'!E40+'Evolutive SFP'!E41+'Evolutive SFP'!E42+'Evolutive SFP'!E43+'Evolutive SFP'!E44)-'Evolutive SFP'!E10)/1000000</f>
        <v>215.218704</v>
      </c>
      <c r="H3" s="69">
        <f>(('Evolutive SFP'!F39+'Evolutive SFP'!F40+'Evolutive SFP'!F41+'Evolutive SFP'!F42+'Evolutive SFP'!F43+'Evolutive SFP'!F44)-'Evolutive SFP'!F10)/1000000</f>
        <v>220.089057</v>
      </c>
      <c r="I3" s="69">
        <f>(('Evolutive SFP'!G39+'Evolutive SFP'!G40+'Evolutive SFP'!G41+'Evolutive SFP'!G42+'Evolutive SFP'!G43+'Evolutive SFP'!G44)-'Evolutive SFP'!G10)/1000000</f>
        <v>227.054723</v>
      </c>
      <c r="J3" s="69">
        <f>(('Evolutive SFP'!H39+'Evolutive SFP'!H40+'Evolutive SFP'!H41+'Evolutive SFP'!H42+'Evolutive SFP'!H43+'Evolutive SFP'!H44)-'Evolutive SFP'!H10)/1000000</f>
        <v>229.68387899999999</v>
      </c>
      <c r="K3" s="69">
        <f>(('Evolutive SFP'!I39+'Evolutive SFP'!I40+'Evolutive SFP'!I41+'Evolutive SFP'!I42+'Evolutive SFP'!I43+'Evolutive SFP'!I44)-'Evolutive SFP'!I10)/1000000</f>
        <v>229.251383</v>
      </c>
      <c r="L3" s="69">
        <f>(('Evolutive SFP'!J39+'Evolutive SFP'!J40+'Evolutive SFP'!J41+'Evolutive SFP'!J42+'Evolutive SFP'!J43+'Evolutive SFP'!J44)-'Evolutive SFP'!J10)/1000000</f>
        <v>228.66906299999999</v>
      </c>
      <c r="M3" s="69">
        <f>(('Evolutive SFP'!K39+'Evolutive SFP'!K40+'Evolutive SFP'!K41+'Evolutive SFP'!K42+'Evolutive SFP'!K43+'Evolutive SFP'!K44)-'Evolutive SFP'!K10)/1000000</f>
        <v>230.42874800000001</v>
      </c>
      <c r="N3" s="69">
        <f>(('Evolutive SFP'!L39+'Evolutive SFP'!L40+'Evolutive SFP'!L41+'Evolutive SFP'!L42+'Evolutive SFP'!L43+'Evolutive SFP'!L44)-'Evolutive SFP'!L10)/1000000</f>
        <v>233.23181199999999</v>
      </c>
      <c r="O3" s="69">
        <f>(('Evolutive SFP'!M39+'Evolutive SFP'!M40+'Evolutive SFP'!M41+'Evolutive SFP'!M42+'Evolutive SFP'!M43+'Evolutive SFP'!M44)-'Evolutive SFP'!M10)/1000000</f>
        <v>235.64478800000001</v>
      </c>
      <c r="P3" s="69">
        <f>(('Evolutive SFP'!N39+'Evolutive SFP'!N40+'Evolutive SFP'!N41+'Evolutive SFP'!N42+'Evolutive SFP'!N43+'Evolutive SFP'!N44)-'Evolutive SFP'!N10)/1000000</f>
        <v>234.27296200000001</v>
      </c>
      <c r="Q3" s="69">
        <f>(('Evolutive SFP'!O39+'Evolutive SFP'!O40+'Evolutive SFP'!O41+'Evolutive SFP'!O42+'Evolutive SFP'!O43+'Evolutive SFP'!O44)-'Evolutive SFP'!O10)/1000000</f>
        <v>222.41921600000001</v>
      </c>
      <c r="R3" s="69">
        <f>(('Evolutive SFP'!P39+'Evolutive SFP'!P40+'Evolutive SFP'!P41+'Evolutive SFP'!P42+'Evolutive SFP'!P43+'Evolutive SFP'!P44)-'Evolutive SFP'!P10)/1000000</f>
        <v>222.21921599999999</v>
      </c>
      <c r="S3" s="69">
        <f>(('Evolutive SFP'!Q39+'Evolutive SFP'!Q40+'Evolutive SFP'!Q41+'Evolutive SFP'!Q42+'Evolutive SFP'!Q43+'Evolutive SFP'!Q44)-'Evolutive SFP'!Q10)/1000000</f>
        <v>225.68552800000001</v>
      </c>
      <c r="T3" s="69">
        <f>(('Evolutive SFP'!R39+'Evolutive SFP'!R40+'Evolutive SFP'!R41+'Evolutive SFP'!R42+'Evolutive SFP'!R43+'Evolutive SFP'!R44)-'Evolutive SFP'!R10)/1000000</f>
        <v>225.90983</v>
      </c>
      <c r="U3" s="69">
        <f>(('Evolutive SFP'!S39+'Evolutive SFP'!S40+'Evolutive SFP'!S41+'Evolutive SFP'!S42+'Evolutive SFP'!S43+'Evolutive SFP'!S44)-'Evolutive SFP'!S10)/1000000</f>
        <v>232.02082999999999</v>
      </c>
      <c r="V3" s="69">
        <f>(('Evolutive SFP'!T39+'Evolutive SFP'!T40+'Evolutive SFP'!T41+'Evolutive SFP'!T42+'Evolutive SFP'!T43+'Evolutive SFP'!T44)-'Evolutive SFP'!T10)/1000000</f>
        <v>244.126093</v>
      </c>
      <c r="W3" s="69">
        <f>(('Evolutive SFP'!U39+'Evolutive SFP'!U40+'Evolutive SFP'!U41+'Evolutive SFP'!U42+'Evolutive SFP'!U43+'Evolutive SFP'!U44)-'Evolutive SFP'!U10)/1000000</f>
        <v>246.859118</v>
      </c>
      <c r="X3" s="69">
        <f>(('Evolutive SFP'!V39+'Evolutive SFP'!V40+'Evolutive SFP'!V41+'Evolutive SFP'!V42+'Evolutive SFP'!V43+'Evolutive SFP'!V44)-'Evolutive SFP'!V10)/1000000</f>
        <v>246.62394</v>
      </c>
      <c r="Y3" s="69">
        <f>(('Evolutive SFP'!W39+'Evolutive SFP'!W40+'Evolutive SFP'!W41+'Evolutive SFP'!W42+'Evolutive SFP'!W43+'Evolutive SFP'!W44)-'Evolutive SFP'!W10)/1000000</f>
        <v>239.14938799999999</v>
      </c>
      <c r="Z3" s="69">
        <f>(('Evolutive SFP'!X39+'Evolutive SFP'!X40+'Evolutive SFP'!X41+'Evolutive SFP'!X42+'Evolutive SFP'!X43+'Evolutive SFP'!X44)-'Evolutive SFP'!X10)/1000000</f>
        <v>245.94539800000001</v>
      </c>
      <c r="AA3" s="69">
        <f>(('Evolutive SFP'!Y39+'Evolutive SFP'!Y40+'Evolutive SFP'!Y41+'Evolutive SFP'!Y42+'Evolutive SFP'!Y43+'Evolutive SFP'!Y44)-'Evolutive SFP'!Y10)/1000000</f>
        <v>249.49455499999999</v>
      </c>
      <c r="AB3" s="69">
        <f>(('Evolutive SFP'!Z39+'Evolutive SFP'!Z40+'Evolutive SFP'!Z41+'Evolutive SFP'!Z42+'Evolutive SFP'!Z43+'Evolutive SFP'!Z44)-'Evolutive SFP'!Z10)/1000000</f>
        <v>254.602689</v>
      </c>
      <c r="AC3" s="69">
        <f>(('Evolutive SFP'!AA39+'Evolutive SFP'!AA40+'Evolutive SFP'!AA41+'Evolutive SFP'!AA42+'Evolutive SFP'!AA43+'Evolutive SFP'!AA44)-'Evolutive SFP'!AA10)/1000000</f>
        <v>256.00372099999998</v>
      </c>
      <c r="AD3" s="69">
        <f>(('Evolutive SFP'!AB39+'Evolutive SFP'!AB40+'Evolutive SFP'!AB41+'Evolutive SFP'!AB42+'Evolutive SFP'!AB43+'Evolutive SFP'!AB44)-'Evolutive SFP'!AB10)/1000000</f>
        <v>255.66418999999999</v>
      </c>
      <c r="AE3" s="69">
        <f>(('Evolutive SFP'!AC39+'Evolutive SFP'!AC40+'Evolutive SFP'!AC41+'Evolutive SFP'!AC42+'Evolutive SFP'!AC43+'Evolutive SFP'!AC44)-'Evolutive SFP'!AC10)/1000000</f>
        <v>255.405404</v>
      </c>
      <c r="AF3" s="69">
        <f>(('Evolutive SFP'!AD39+'Evolutive SFP'!AD40+'Evolutive SFP'!AD41+'Evolutive SFP'!AD42+'Evolutive SFP'!AD43+'Evolutive SFP'!AD44)-'Evolutive SFP'!AD10)/1000000</f>
        <v>257.31594799999999</v>
      </c>
      <c r="AG3" s="69">
        <f>(('Evolutive SFP'!AE39+'Evolutive SFP'!AE40+'Evolutive SFP'!AE41+'Evolutive SFP'!AE42+'Evolutive SFP'!AE43+'Evolutive SFP'!AE44)-'Evolutive SFP'!AE10)/1000000</f>
        <v>261.84117199999997</v>
      </c>
      <c r="AH3" s="69">
        <f>(('Evolutive SFP'!AF39+'Evolutive SFP'!AF40+'Evolutive SFP'!AF41+'Evolutive SFP'!AF42+'Evolutive SFP'!AF43+'Evolutive SFP'!AF44)-'Evolutive SFP'!AF10)/1000000</f>
        <v>260.9665</v>
      </c>
      <c r="AI3" s="69">
        <f>(('Evolutive SFP'!AG39+'Evolutive SFP'!AG40+'Evolutive SFP'!AG41+'Evolutive SFP'!AG42+'Evolutive SFP'!AG43+'Evolutive SFP'!AG44)-'Evolutive SFP'!AG10)/1000000</f>
        <v>260.16013500000003</v>
      </c>
      <c r="AJ3" s="69">
        <f>(('Evolutive SFP'!AH39+'Evolutive SFP'!AH40+'Evolutive SFP'!AH41+'Evolutive SFP'!AH42+'Evolutive SFP'!AH43+'Evolutive SFP'!AH44)-'Evolutive SFP'!AH10)/1000000</f>
        <v>266.15734300000003</v>
      </c>
    </row>
    <row r="4" spans="1:39" ht="15">
      <c r="A4" s="337"/>
      <c r="B4" s="3" t="s">
        <v>170</v>
      </c>
      <c r="C4" s="20" t="s">
        <v>171</v>
      </c>
      <c r="D4" s="47">
        <f>D3/(('Evolutive SFP'!B27)/1000000)</f>
        <v>0.10104624267317215</v>
      </c>
      <c r="E4" s="47">
        <f>E3/(('Evolutive SFP'!C27)/1000000)</f>
        <v>0.16984315156010249</v>
      </c>
      <c r="F4" s="47">
        <f>F3/(('Evolutive SFP'!D27)/1000000)</f>
        <v>0.18303141020921151</v>
      </c>
      <c r="G4" s="47">
        <f>G3/(('Evolutive SFP'!E27)/1000000)</f>
        <v>0.18100038105174468</v>
      </c>
      <c r="H4" s="47">
        <f>H3/(('Evolutive SFP'!F27)/1000000)</f>
        <v>0.18041502128279274</v>
      </c>
      <c r="I4" s="47">
        <f>I3/(('Evolutive SFP'!G27)/1000000)</f>
        <v>0.18564304295975267</v>
      </c>
      <c r="J4" s="47">
        <f>J3/(('Evolutive SFP'!H27)/1000000)</f>
        <v>0.1879796410683657</v>
      </c>
      <c r="K4" s="47">
        <f>K3/(('Evolutive SFP'!I27)/1000000)</f>
        <v>0.18594755160852114</v>
      </c>
      <c r="L4" s="47">
        <f>L3/(('Evolutive SFP'!J27)/1000000)</f>
        <v>0.18412136702202214</v>
      </c>
      <c r="M4" s="47">
        <f>M3/(('Evolutive SFP'!K27)/1000000)</f>
        <v>0.18445197439721284</v>
      </c>
      <c r="N4" s="47">
        <f>N3/(('Evolutive SFP'!L27)/1000000)</f>
        <v>0.17850446315781074</v>
      </c>
      <c r="O4" s="47">
        <f>O3/(('Evolutive SFP'!M27)/1000000)</f>
        <v>0.17964792437817101</v>
      </c>
      <c r="P4" s="47">
        <f>P3/(('Evolutive SFP'!N27)/1000000)</f>
        <v>0.1777413504123149</v>
      </c>
      <c r="Q4" s="47">
        <f>Q3/(('Evolutive SFP'!O27)/1000000)</f>
        <v>0.16177568033234002</v>
      </c>
      <c r="R4" s="47">
        <f>R3/(('Evolutive SFP'!P27)/1000000)</f>
        <v>0.16188926001208687</v>
      </c>
      <c r="S4" s="47">
        <f>S3/(('Evolutive SFP'!Q27)/1000000)</f>
        <v>0.16349033675777191</v>
      </c>
      <c r="T4" s="47">
        <f>T3/(('Evolutive SFP'!R27)/1000000)</f>
        <v>0.16193181893730749</v>
      </c>
      <c r="U4" s="47">
        <f>U3/(('Evolutive SFP'!S27)/1000000)</f>
        <v>0.16886161441592923</v>
      </c>
      <c r="V4" s="47">
        <f>V3/(('Evolutive SFP'!T27)/1000000)</f>
        <v>0.17941459158975745</v>
      </c>
      <c r="W4" s="47">
        <f>W3/(('Evolutive SFP'!U27)/1000000)</f>
        <v>0.18095475070063882</v>
      </c>
      <c r="X4" s="47">
        <f>X3/(('Evolutive SFP'!V27)/1000000)</f>
        <v>0.17959716870453413</v>
      </c>
      <c r="Y4" s="47">
        <f>Y3/(('Evolutive SFP'!W27)/1000000)</f>
        <v>0.173129386505121</v>
      </c>
      <c r="Z4" s="47">
        <f>Z3/(('Evolutive SFP'!X27)/1000000)</f>
        <v>0.17706691297813074</v>
      </c>
      <c r="AA4" s="47">
        <f>AA3/(('Evolutive SFP'!Y27)/1000000)</f>
        <v>0.17929719317384404</v>
      </c>
      <c r="AB4" s="47">
        <f>AB3/(('Evolutive SFP'!Z27)/1000000)</f>
        <v>0.18153879619860977</v>
      </c>
      <c r="AC4" s="47">
        <f>AC3/(('Evolutive SFP'!AA27)/1000000)</f>
        <v>0.18179843934983658</v>
      </c>
      <c r="AD4" s="47">
        <f>AD3/(('Evolutive SFP'!AB27)/1000000)</f>
        <v>0.17442076147697719</v>
      </c>
      <c r="AE4" s="47">
        <f>AE3/(('Evolutive SFP'!AC27)/1000000)</f>
        <v>0.17484061501556236</v>
      </c>
      <c r="AF4" s="47">
        <f>AF3/(('Evolutive SFP'!AD27)/1000000)</f>
        <v>0.17556855767531621</v>
      </c>
      <c r="AG4" s="47">
        <f>AG3/(('Evolutive SFP'!AE27)/1000000)</f>
        <v>0.17752633834060882</v>
      </c>
      <c r="AH4" s="47">
        <f>AH3/(('Evolutive SFP'!AF27)/1000000)</f>
        <v>0.18119706307873126</v>
      </c>
      <c r="AI4" s="47">
        <f>AI3/(('Evolutive SFP'!AG27)/1000000)</f>
        <v>0.18173311759764413</v>
      </c>
      <c r="AJ4" s="47">
        <f>AJ3/(('Evolutive SFP'!AH27)/1000000)</f>
        <v>0.18603507479616738</v>
      </c>
    </row>
    <row r="5" spans="1:39" ht="15">
      <c r="A5" s="337"/>
      <c r="B5" s="3" t="s">
        <v>172</v>
      </c>
      <c r="C5" s="20" t="s">
        <v>173</v>
      </c>
      <c r="D5" s="47">
        <f>D3/('Evolutive SFP'!B31/1000000)</f>
        <v>0.11865530316137229</v>
      </c>
      <c r="E5" s="47">
        <f>E3/('Evolutive SFP'!C31/1000000)</f>
        <v>0.24219202994819064</v>
      </c>
      <c r="F5" s="47">
        <f>F3/('Evolutive SFP'!D31/1000000)</f>
        <v>0.25598269397686402</v>
      </c>
      <c r="G5" s="47">
        <f>G3/('Evolutive SFP'!E31/1000000)</f>
        <v>0.25898269785164435</v>
      </c>
      <c r="H5" s="47">
        <f>H3/('Evolutive SFP'!F31/1000000)</f>
        <v>0.25744728746250972</v>
      </c>
      <c r="I5" s="47">
        <f>I3/('Evolutive SFP'!G31/1000000)</f>
        <v>0.26593632688671992</v>
      </c>
      <c r="J5" s="47">
        <f>J3/('Evolutive SFP'!H31/1000000)</f>
        <v>0.27078451953404264</v>
      </c>
      <c r="K5" s="47">
        <f>K3/('Evolutive SFP'!I31/1000000)</f>
        <v>0.26733158049067385</v>
      </c>
      <c r="L5" s="47">
        <f>L3/('Evolutive SFP'!J31/1000000)</f>
        <v>0.26568274494400773</v>
      </c>
      <c r="M5" s="47">
        <f>M3/('Evolutive SFP'!K31/1000000)</f>
        <v>0.26699066483729506</v>
      </c>
      <c r="N5" s="47">
        <f>N3/('Evolutive SFP'!L31/1000000)</f>
        <v>0.26997245334675996</v>
      </c>
      <c r="O5" s="47">
        <f>O3/('Evolutive SFP'!M31/1000000)</f>
        <v>0.27349619254993285</v>
      </c>
      <c r="P5" s="47">
        <f>P3/('Evolutive SFP'!N31/1000000)</f>
        <v>0.26909819173068417</v>
      </c>
      <c r="Q5" s="47">
        <f>Q3/('Evolutive SFP'!O31/1000000)</f>
        <v>0.25404641529804239</v>
      </c>
      <c r="R5" s="47">
        <f>R3/('Evolutive SFP'!P31/1000000)</f>
        <v>0.24366632243276865</v>
      </c>
      <c r="S5" s="47">
        <f>S3/('Evolutive SFP'!Q31/1000000)</f>
        <v>0.25644706451645916</v>
      </c>
      <c r="T5" s="47">
        <f>T3/('Evolutive SFP'!R31/1000000)</f>
        <v>0.25113194828881258</v>
      </c>
      <c r="U5" s="47">
        <f>U3/('Evolutive SFP'!S31/1000000)</f>
        <v>0.24872932034205936</v>
      </c>
      <c r="V5" s="47">
        <f>V3/('Evolutive SFP'!T31/1000000)</f>
        <v>0.27011013956206725</v>
      </c>
      <c r="W5" s="47">
        <f>W3/('Evolutive SFP'!U31/1000000)</f>
        <v>0.27278431356896732</v>
      </c>
      <c r="X5" s="47">
        <f>X3/('Evolutive SFP'!V31/1000000)</f>
        <v>0.2704339359424876</v>
      </c>
      <c r="Y5" s="47">
        <f>Y3/('Evolutive SFP'!W31/1000000)</f>
        <v>0.26212995035829156</v>
      </c>
      <c r="Z5" s="47">
        <f>Z3/('Evolutive SFP'!X31/1000000)</f>
        <v>0.26880640451772664</v>
      </c>
      <c r="AA5" s="47">
        <f>AA3/('Evolutive SFP'!Y31/1000000)</f>
        <v>0.27324737733141147</v>
      </c>
      <c r="AB5" s="47">
        <f>AB3/('Evolutive SFP'!Z31/1000000)</f>
        <v>0.27764219975275295</v>
      </c>
      <c r="AC5" s="47">
        <f>AC3/('Evolutive SFP'!AA31/1000000)</f>
        <v>0.27851991333983206</v>
      </c>
      <c r="AD5" s="47">
        <f>AD3/('Evolutive SFP'!AB31/1000000)</f>
        <v>0.27482511225281325</v>
      </c>
      <c r="AE5" s="47">
        <f>AE3/('Evolutive SFP'!AC31/1000000)</f>
        <v>0.26257821502602474</v>
      </c>
      <c r="AF5" s="47">
        <f>AF3/('Evolutive SFP'!AD31/1000000)</f>
        <v>0.27557180518563196</v>
      </c>
      <c r="AG5" s="47">
        <f>AG3/('Evolutive SFP'!AE31/1000000)</f>
        <v>0.27860428742180549</v>
      </c>
      <c r="AH5" s="47">
        <f>AH3/('Evolutive SFP'!AF31/1000000)</f>
        <v>0.2720254112771463</v>
      </c>
      <c r="AI5" s="47">
        <f>AI3/('Evolutive SFP'!AG31/1000000)</f>
        <v>0.27334061537318582</v>
      </c>
      <c r="AJ5" s="47">
        <f>AJ3/('Evolutive SFP'!AH31/1000000)</f>
        <v>0.28054718166667003</v>
      </c>
    </row>
    <row r="6" spans="1:39" ht="15">
      <c r="A6" s="337"/>
      <c r="B6" s="3" t="s">
        <v>174</v>
      </c>
      <c r="C6" s="20" t="s">
        <v>173</v>
      </c>
      <c r="D6" s="47">
        <f>((D3*1000000)-'Evolutive SFP'!B39)/'Evolutive SFP'!B27</f>
        <v>3.1552176925888298E-2</v>
      </c>
      <c r="E6" s="47">
        <f>((E3*1000000)-'Evolutive SFP'!C39)/'Evolutive SFP'!C27</f>
        <v>9.7560427381376505E-2</v>
      </c>
      <c r="F6" s="47">
        <f>((F3*1000000)-'Evolutive SFP'!D39)/'Evolutive SFP'!D27</f>
        <v>0.10666439604507387</v>
      </c>
      <c r="G6" s="47">
        <f>((G3*1000000)-'Evolutive SFP'!E39)/'Evolutive SFP'!E27</f>
        <v>0.10527601458611817</v>
      </c>
      <c r="H6" s="47">
        <f>((H3*1000000)-'Evolutive SFP'!F39)/'Evolutive SFP'!F27</f>
        <v>0.10645722530548507</v>
      </c>
      <c r="I6" s="47">
        <f>((I3*1000000)-'Evolutive SFP'!G39)/'Evolutive SFP'!G27</f>
        <v>0.11153365375945141</v>
      </c>
      <c r="J6" s="47">
        <f>((J3*1000000)-'Evolutive SFP'!H39)/'Evolutive SFP'!H27</f>
        <v>0.11351106076100459</v>
      </c>
      <c r="K6" s="47">
        <f>((K3*1000000)-'Evolutive SFP'!I39)/'Evolutive SFP'!I27</f>
        <v>0.11187284330834311</v>
      </c>
      <c r="L6" s="47">
        <f>((L3*1000000)-'Evolutive SFP'!J39)/'Evolutive SFP'!J27</f>
        <v>0.11034809448548537</v>
      </c>
      <c r="M6" s="47">
        <f>((M3*1000000)-'Evolutive SFP'!K39)/'Evolutive SFP'!K27</f>
        <v>0.11077297293583103</v>
      </c>
      <c r="N6" s="47">
        <f>((N3*1000000)-'Evolutive SFP'!L39)/'Evolutive SFP'!L27</f>
        <v>0.10763966103882992</v>
      </c>
      <c r="O6" s="47">
        <f>((O3*1000000)-'Evolutive SFP'!M39)/'Evolutive SFP'!M27</f>
        <v>0.10877689053373638</v>
      </c>
      <c r="P6" s="47">
        <f>((P3*1000000)-'Evolutive SFP'!N39)/'Evolutive SFP'!N27</f>
        <v>0.10708534541921401</v>
      </c>
      <c r="Q6" s="47">
        <f>((Q3*1000000)-'Evolutive SFP'!O39)/'Evolutive SFP'!O27</f>
        <v>9.3745836490862627E-2</v>
      </c>
      <c r="R6" s="47">
        <f>((R3*1000000)-'Evolutive SFP'!P39)/'Evolutive SFP'!P27</f>
        <v>9.3750383014934463E-2</v>
      </c>
      <c r="S6" s="47">
        <f>((S3*1000000)-'Evolutive SFP'!Q39)/'Evolutive SFP'!Q27</f>
        <v>9.569478600454448E-2</v>
      </c>
      <c r="T6" s="47">
        <f>((T3*1000000)-'Evolutive SFP'!R39)/'Evolutive SFP'!R27</f>
        <v>9.4443879571415618E-2</v>
      </c>
      <c r="U6" s="47">
        <f>((U3*1000000)-'Evolutive SFP'!S39)/'Evolutive SFP'!S27</f>
        <v>0.10025096965844275</v>
      </c>
      <c r="V6" s="47">
        <f>((V3*1000000)-'Evolutive SFP'!T39)/'Evolutive SFP'!T27</f>
        <v>0.10986566940395261</v>
      </c>
      <c r="W6" s="47">
        <f>((W3*1000000)-'Evolutive SFP'!U39)/'Evolutive SFP'!U27</f>
        <v>0.11128900456716</v>
      </c>
      <c r="X6" s="47">
        <f>((X3*1000000)-'Evolutive SFP'!V39)/'Evolutive SFP'!V27</f>
        <v>0.11009401531460787</v>
      </c>
      <c r="Y6" s="47">
        <f>((Y3*1000000)-'Evolutive SFP'!W39)/'Evolutive SFP'!W27</f>
        <v>0.10373729589653628</v>
      </c>
      <c r="Z6" s="47">
        <f>((Z3*1000000)-'Evolutive SFP'!X39)/'Evolutive SFP'!X27</f>
        <v>0.10779961214413832</v>
      </c>
      <c r="AA6" s="47">
        <f>((AA3*1000000)-'Evolutive SFP'!Y39)/'Evolutive SFP'!Y27</f>
        <v>0.1098290895172544</v>
      </c>
      <c r="AB6" s="47">
        <f>((AB3*1000000)-'Evolutive SFP'!Z39)/'Evolutive SFP'!Z27</f>
        <v>0.11226817286013478</v>
      </c>
      <c r="AC6" s="47">
        <f>((AC3*1000000)-'Evolutive SFP'!AA39)/'Evolutive SFP'!AA27</f>
        <v>0.11268185607003772</v>
      </c>
      <c r="AD6" s="47">
        <f>((AD3*1000000)-'Evolutive SFP'!AB39)/'Evolutive SFP'!AB27</f>
        <v>0.10778706233639704</v>
      </c>
      <c r="AE6" s="47">
        <f>((AE3*1000000)-'Evolutive SFP'!AC39)/'Evolutive SFP'!AC27</f>
        <v>0.10797884166911102</v>
      </c>
      <c r="AF6" s="47">
        <f>((AF3*1000000)-'Evolutive SFP'!AD39)/'Evolutive SFP'!AD27</f>
        <v>0.1086153263419298</v>
      </c>
      <c r="AG6" s="47">
        <f>((AG3*1000000)-'Evolutive SFP'!AE39)/'Evolutive SFP'!AE27</f>
        <v>0.11071103371622361</v>
      </c>
      <c r="AH6" s="47">
        <f>((AH3*1000000)-'Evolutive SFP'!AF39)/'Evolutive SFP'!AF27</f>
        <v>0.11258769168117952</v>
      </c>
      <c r="AI6" s="47">
        <f>((AI3*1000000)-'Evolutive SFP'!AG39)/'Evolutive SFP'!AG27</f>
        <v>0.11244546051633593</v>
      </c>
      <c r="AJ6" s="47">
        <f>((AJ3*1000000)-'Evolutive SFP'!AH39)/'Evolutive SFP'!AH27</f>
        <v>0.11644342550532523</v>
      </c>
    </row>
    <row r="7" spans="1:39" ht="15">
      <c r="A7" s="337" t="s">
        <v>175</v>
      </c>
      <c r="B7" s="3" t="s">
        <v>176</v>
      </c>
      <c r="C7" s="20"/>
      <c r="D7" s="20"/>
      <c r="E7" s="20"/>
      <c r="F7" s="20"/>
      <c r="G7" s="20"/>
      <c r="H7" s="20">
        <f>'Evolutive SFP'!P312</f>
        <v>0</v>
      </c>
      <c r="I7" s="111"/>
      <c r="J7" s="112"/>
      <c r="K7" s="2"/>
      <c r="L7" s="2"/>
      <c r="M7" s="22"/>
      <c r="N7" s="22">
        <f>'Evolutive SFP'!G16/('FORM 4'!E5+'FORM 4'!E6+'FORM 4'!E7)</f>
        <v>30626620</v>
      </c>
      <c r="O7" s="2"/>
      <c r="P7" s="22">
        <f>'Evolutive SFP'!N16/('FORM 4'!D14+'FORM 4'!D15+'FORM 4'!D16)</f>
        <v>3.0190046093835963</v>
      </c>
      <c r="Q7" s="22">
        <f>'Evolutive SFP'!O16/('FORM 4'!E14+'FORM 4'!E15+'FORM 4'!E16)</f>
        <v>35427193.714285716</v>
      </c>
      <c r="R7" s="22">
        <f>'Evolutive SFP'!P16/('FORM 4'!F14+'FORM 4'!F15+'FORM 4'!F16)</f>
        <v>6.4178134245069627</v>
      </c>
      <c r="S7" s="22" t="e">
        <f>'Evolutive SFP'!Q16/('FORM 4'!G14+'FORM 4'!G15+'FORM 4'!G16)</f>
        <v>#DIV/0!</v>
      </c>
      <c r="T7" s="22" t="e">
        <f>'Evolutive SFP'!R16/('FORM 4'!H14+'FORM 4'!H15+'FORM 4'!H16)</f>
        <v>#VALUE!</v>
      </c>
      <c r="U7" s="22">
        <f>'Evolutive SFP'!S16/('FORM 4'!I14+'FORM 4'!I15+'FORM 4'!I16)</f>
        <v>3259879648.120934</v>
      </c>
      <c r="V7" s="22" t="e">
        <f>'Evolutive SFP'!T16/('FORM 4'!J14+'FORM 4'!J15+'FORM 4'!J16)</f>
        <v>#DIV/0!</v>
      </c>
      <c r="W7" s="22" t="e">
        <f>'Evolutive SFP'!U16/('FORM 4'!K14+'FORM 4'!K15+'FORM 4'!K16)</f>
        <v>#DIV/0!</v>
      </c>
      <c r="X7" s="22" t="e">
        <f>'Evolutive SFP'!V16/('FORM 4'!L14+'FORM 4'!L15+'FORM 4'!L16)</f>
        <v>#DIV/0!</v>
      </c>
      <c r="Y7" s="22" t="e">
        <f>'Evolutive SFP'!W16/('FORM 4'!M14+'FORM 4'!M15+'FORM 4'!M16)</f>
        <v>#DIV/0!</v>
      </c>
      <c r="Z7" s="22" t="e">
        <f>'Evolutive SFP'!X16/('FORM 4'!N14+'FORM 4'!N15+'FORM 4'!N16)</f>
        <v>#DIV/0!</v>
      </c>
      <c r="AA7" s="22" t="e">
        <f>'Evolutive SFP'!Y16/('FORM 4'!O14+'FORM 4'!O15+'FORM 4'!O16)</f>
        <v>#DIV/0!</v>
      </c>
      <c r="AB7" s="22" t="e">
        <f>'Evolutive SFP'!Z16/('FORM 4'!P14+'FORM 4'!P15+'FORM 4'!P16)</f>
        <v>#DIV/0!</v>
      </c>
      <c r="AC7" s="22" t="e">
        <f>'Evolutive SFP'!AA16/('FORM 4'!Q14+'FORM 4'!Q15+'FORM 4'!Q16)</f>
        <v>#DIV/0!</v>
      </c>
      <c r="AD7" s="22" t="e">
        <f>'Evolutive SFP'!AB16/('FORM 4'!R14+'FORM 4'!R15+'FORM 4'!R16)</f>
        <v>#DIV/0!</v>
      </c>
      <c r="AE7" s="22" t="e">
        <f>'Evolutive SFP'!AC16/('FORM 4'!S14+'FORM 4'!S15+'FORM 4'!S16)</f>
        <v>#DIV/0!</v>
      </c>
      <c r="AF7" s="22" t="e">
        <f>'Evolutive SFP'!AD16/('FORM 4'!T14+'FORM 4'!T15+'FORM 4'!T16)</f>
        <v>#DIV/0!</v>
      </c>
      <c r="AG7" s="22" t="e">
        <f>'Evolutive SFP'!AE16/('FORM 4'!U14+'FORM 4'!U15+'FORM 4'!U16)</f>
        <v>#DIV/0!</v>
      </c>
      <c r="AH7" s="22" t="e">
        <f>'Evolutive SFP'!AF16/('FORM 4'!V14+'FORM 4'!V15+'FORM 4'!V16)</f>
        <v>#DIV/0!</v>
      </c>
      <c r="AI7" s="22" t="e">
        <f>'Evolutive SFP'!AG16/('FORM 4'!W14+'FORM 4'!W15+'FORM 4'!W16)</f>
        <v>#DIV/0!</v>
      </c>
      <c r="AJ7" s="22" t="e">
        <f>'Evolutive SFP'!AH16/('FORM 4'!X14+'FORM 4'!X15+'FORM 4'!X16)</f>
        <v>#DIV/0!</v>
      </c>
    </row>
    <row r="8" spans="1:39" ht="15">
      <c r="A8" s="337"/>
      <c r="B8" s="3" t="s">
        <v>177</v>
      </c>
      <c r="C8" s="20"/>
      <c r="D8" s="20"/>
      <c r="E8" s="20"/>
      <c r="F8" s="20"/>
      <c r="G8" s="20"/>
      <c r="H8" s="112">
        <f>('FORM 4'!D5+'FORM 4'!D6+'FORM 4'!D7)</f>
        <v>18864250</v>
      </c>
      <c r="I8" s="112"/>
      <c r="J8" s="120"/>
      <c r="K8" s="22">
        <f>('FORM 4'!D14+'FORM 4'!D15+'FORM 4'!D16)/'Evolutive SFP'!I15</f>
        <v>1.9999998745279253E-2</v>
      </c>
      <c r="L8" s="2"/>
      <c r="M8" s="22">
        <f>('FORM 4'!D5+'FORM 4'!D6+'FORM 4'!D7)/'Evolutive SFP'!K15</f>
        <v>1.8418262816847723E-2</v>
      </c>
      <c r="N8" s="22">
        <f>('FORM 4'!D23+'FORM 4'!D24+'FORM 4'!D25)/'Evolutive SFP'!L15</f>
        <v>2.0000000869221879E-2</v>
      </c>
      <c r="O8" s="22">
        <f>('FORM 4'!F5+'FORM 4'!F6+'FORM 4'!F7)/'Evolutive SFP'!M15</f>
        <v>8.4659553812687586E-3</v>
      </c>
      <c r="P8" s="22">
        <f>('FORM 4'!G5+'FORM 4'!G6+'FORM 4'!G7)/'Evolutive SFP'!N15</f>
        <v>0</v>
      </c>
      <c r="Q8" s="22" t="e">
        <f>('FORM 4'!H5+'FORM 4'!H6+'FORM 4'!H7)/'Evolutive SFP'!O15</f>
        <v>#VALUE!</v>
      </c>
      <c r="R8" s="22">
        <f>('FORM 4'!I5+'FORM 4'!I6+'FORM 4'!I7)/'Evolutive SFP'!P15</f>
        <v>1.8192647846248874E-11</v>
      </c>
      <c r="S8" s="22">
        <f>('FORM 4'!J5+'FORM 4'!J6+'FORM 4'!J7)/'Evolutive SFP'!Q15</f>
        <v>0</v>
      </c>
      <c r="T8" s="22">
        <f>('FORM 4'!K5+'FORM 4'!K6+'FORM 4'!K7)/'Evolutive SFP'!R15</f>
        <v>0</v>
      </c>
      <c r="U8" s="22">
        <f>('FORM 4'!L5+'FORM 4'!L6+'FORM 4'!L7)/'Evolutive SFP'!S15</f>
        <v>0</v>
      </c>
      <c r="V8" s="22">
        <f>('FORM 4'!M5+'FORM 4'!M6+'FORM 4'!M7)/'Evolutive SFP'!T15</f>
        <v>0</v>
      </c>
      <c r="W8" s="22">
        <f>('FORM 4'!N5+'FORM 4'!N6+'FORM 4'!N7)/'Evolutive SFP'!U15</f>
        <v>0</v>
      </c>
      <c r="X8" s="22">
        <f>('FORM 4'!O5+'FORM 4'!O6+'FORM 4'!O7)/'Evolutive SFP'!V15</f>
        <v>0</v>
      </c>
      <c r="Y8" s="22">
        <f>('FORM 4'!P5+'FORM 4'!P6+'FORM 4'!P7)/'Evolutive SFP'!W15</f>
        <v>0</v>
      </c>
      <c r="Z8" s="22">
        <f>('FORM 4'!Q5+'FORM 4'!Q6+'FORM 4'!Q7)/'Evolutive SFP'!X15</f>
        <v>0</v>
      </c>
      <c r="AA8" s="22">
        <f>('FORM 4'!R5+'FORM 4'!R6+'FORM 4'!R7)/'Evolutive SFP'!Y15</f>
        <v>0</v>
      </c>
      <c r="AB8" s="22">
        <f>('FORM 4'!S5+'FORM 4'!S6+'FORM 4'!S7)/'Evolutive SFP'!Z15</f>
        <v>0</v>
      </c>
      <c r="AC8" s="22">
        <f>('FORM 4'!T5+'FORM 4'!T6+'FORM 4'!T7)/'Evolutive SFP'!AA15</f>
        <v>0</v>
      </c>
      <c r="AD8" s="22">
        <f>('FORM 4'!U5+'FORM 4'!U6+'FORM 4'!U7)/'Evolutive SFP'!AB15</f>
        <v>0</v>
      </c>
      <c r="AE8" s="22">
        <f>('FORM 4'!V5+'FORM 4'!V6+'FORM 4'!V7)/'Evolutive SFP'!AC15</f>
        <v>0</v>
      </c>
      <c r="AF8" s="22">
        <f>('FORM 4'!W5+'FORM 4'!W6+'FORM 4'!W7)/'Evolutive SFP'!AD15</f>
        <v>0</v>
      </c>
      <c r="AG8" s="22">
        <f>('FORM 4'!X5+'FORM 4'!X6+'FORM 4'!X7)/'Evolutive SFP'!AE15</f>
        <v>0</v>
      </c>
      <c r="AH8" s="22">
        <f>('FORM 4'!Y5+'FORM 4'!Y6+'FORM 4'!Y7)/'Evolutive SFP'!AF15</f>
        <v>0</v>
      </c>
      <c r="AI8" s="22">
        <f>('FORM 4'!Z5+'FORM 4'!Z6+'FORM 4'!Z7)/'Evolutive SFP'!AG15</f>
        <v>0</v>
      </c>
      <c r="AJ8" s="22">
        <f>('FORM 4'!AA5+'FORM 4'!AA6+'FORM 4'!AA7)/'Evolutive SFP'!AH15</f>
        <v>0</v>
      </c>
    </row>
    <row r="9" spans="1:39" ht="15">
      <c r="A9" s="335" t="s">
        <v>178</v>
      </c>
      <c r="B9" s="3" t="s">
        <v>179</v>
      </c>
      <c r="C9" s="20"/>
      <c r="D9" s="20"/>
      <c r="E9" s="55">
        <f>'Evolutitve SCI'!C33/(('Evolutive SFP'!B27+'Evolutive SFP'!C27)/2)</f>
        <v>7.076998350383534E-3</v>
      </c>
      <c r="F9" s="55">
        <f>'Evolutitve SCI'!D33/(('Evolutive SFP'!C27+'Evolutive SFP'!D27)/2)</f>
        <v>3.5587414738040752E-3</v>
      </c>
      <c r="G9" s="55">
        <f>'Evolutitve SCI'!E33/(('Evolutive SFP'!D27+'Evolutive SFP'!E27)/2)</f>
        <v>4.0410585120425561E-3</v>
      </c>
      <c r="H9" s="55">
        <f>'Evolutitve SCI'!F33/(('Evolutive SFP'!E27+'Evolutive SFP'!F27)/2)</f>
        <v>7.9905489590734614E-3</v>
      </c>
      <c r="I9" s="55">
        <f>'Evolutitve SCI'!G33/(('Evolutive SFP'!F27+'Evolutive SFP'!G27)/2)</f>
        <v>1.3159869889420622E-2</v>
      </c>
      <c r="J9" s="55">
        <f>'Evolutitve SCI'!H33/(('Evolutive SFP'!G27+'Evolutive SFP'!H27)/2)</f>
        <v>1.5036443091680011E-2</v>
      </c>
      <c r="K9" s="55">
        <f>'Evolutitve SCI'!I33/(('Evolutive SFP'!H27+'Evolutive SFP'!I27)/2)</f>
        <v>1.4375878706134847E-2</v>
      </c>
      <c r="L9" s="55">
        <f>'Evolutitve SCI'!J33/(('Evolutive SFP'!I27+'Evolutive SFP'!J27)/2)</f>
        <v>1.3274814714300592E-2</v>
      </c>
      <c r="M9" s="55">
        <f>'Evolutitve SCI'!K33/(('Evolutive SFP'!J27+'Evolutive SFP'!K27)/2)</f>
        <v>1.427413389559036E-2</v>
      </c>
      <c r="N9" s="55">
        <f>'Evolutitve SCI'!L33/(('Evolutive SFP'!K27+'Evolutive SFP'!L27)/2)</f>
        <v>1.5447872121947157E-2</v>
      </c>
      <c r="O9" s="55">
        <f>'Evolutitve SCI'!M33/(('Evolutive SFP'!L27+'Evolutive SFP'!M27)/2)</f>
        <v>1.6883933683721541E-2</v>
      </c>
      <c r="P9" s="55">
        <f>'Evolutitve SCI'!N33/(('Evolutive SFP'!M27+'Evolutive SFP'!N27)/2)</f>
        <v>1.5659187111542829E-2</v>
      </c>
      <c r="Q9" s="55">
        <f>'Evolutitve SCI'!O33/(('Evolutive SFP'!N27+'Evolutive SFP'!O27)/2)</f>
        <v>9.6600379679084442E-3</v>
      </c>
      <c r="R9" s="55">
        <f>'Evolutitve SCI'!P33/(('Evolutive SFP'!O27+'Evolutive SFP'!P27)/2)</f>
        <v>1.1485177474861946E-2</v>
      </c>
      <c r="S9" s="55">
        <f>'Evolutitve SCI'!Q33/(('Evolutive SFP'!P27+'Evolutive SFP'!Q27)/2)</f>
        <v>2.4962980712249024E-3</v>
      </c>
      <c r="T9" s="55">
        <f>'Evolutitve SCI'!R33/(('Evolutive SFP'!Q27+'Evolutive SFP'!R27)/2)</f>
        <v>2.0443590105793915E-3</v>
      </c>
      <c r="U9" s="55">
        <f>'Evolutitve SCI'!S33/(('Evolutive SFP'!R27+'Evolutive SFP'!S27)/2)</f>
        <v>7.4462505028489679E-3</v>
      </c>
      <c r="V9" s="55">
        <f>'Evolutitve SCI'!T33/(('Evolutive SFP'!S27+'Evolutive SFP'!T27)/2)</f>
        <v>1.5048257294401889E-2</v>
      </c>
      <c r="W9" s="55">
        <f>'Evolutitve SCI'!U33/(('Evolutive SFP'!T27+'Evolutive SFP'!U27)/2)</f>
        <v>1.6819061663502527E-2</v>
      </c>
      <c r="X9" s="55">
        <f>'Evolutitve SCI'!V33/(('Evolutive SFP'!U27+'Evolutive SFP'!V27)/2)</f>
        <v>1.6324210901061141E-2</v>
      </c>
      <c r="Y9" s="55">
        <f>'Evolutitve SCI'!W33/(('Evolutive SFP'!V27+'Evolutive SFP'!W27)/2)</f>
        <v>1.0500505166839003E-2</v>
      </c>
      <c r="Z9" s="55">
        <f>'Evolutitve SCI'!X33/(('Evolutive SFP'!W27+'Evolutive SFP'!X27)/2)</f>
        <v>1.5095367146760165E-2</v>
      </c>
      <c r="AA9" s="55">
        <f>'Evolutitve SCI'!Y33/(('Evolutive SFP'!X27+'Evolutive SFP'!Y27)/2)</f>
        <v>1.7266583447668734E-2</v>
      </c>
      <c r="AB9" s="55">
        <f>'Evolutitve SCI'!Z33/(('Evolutive SFP'!Y27+'Evolutive SFP'!Z27)/2)</f>
        <v>2.0493299507277719E-2</v>
      </c>
      <c r="AC9" s="55">
        <f>'Evolutitve SCI'!AA33/(('Evolutive SFP'!Z27+'Evolutive SFP'!AA27)/2)</f>
        <v>2.1249822634905866E-2</v>
      </c>
      <c r="AD9" s="55">
        <f>'Evolutitve SCI'!AB33/(('Evolutive SFP'!AA27+'Evolutive SFP'!AB27)/2)</f>
        <v>2.3778960846405277E-2</v>
      </c>
      <c r="AE9" s="55">
        <f>'Evolutitve SCI'!AC33/(('Evolutive SFP'!AB27+'Evolutive SFP'!AC27)/2)</f>
        <v>2.5304497814078737E-2</v>
      </c>
      <c r="AF9" s="55">
        <f>'Evolutitve SCI'!AD33/(('Evolutive SFP'!AC27+'Evolutive SFP'!AD27)/2)</f>
        <v>1.1089729154600326E-3</v>
      </c>
      <c r="AG9" s="55">
        <f>'Evolutitve SCI'!AE33/(('Evolutive SFP'!AD27+'Evolutive SFP'!AE27)/2)</f>
        <v>6.8037701743860928E-4</v>
      </c>
      <c r="AH9" s="55">
        <f>'Evolutitve SCI'!AF33/(('Evolutive SFP'!AE27+'Evolutive SFP'!AF27)/2)</f>
        <v>3.1567905823690371E-3</v>
      </c>
      <c r="AI9" s="55">
        <f>'Evolutitve SCI'!AG33/(('Evolutive SFP'!AF27+'Evolutive SFP'!AG27)/2)</f>
        <v>2.3433728224111871E-3</v>
      </c>
      <c r="AJ9" s="55">
        <f>'Evolutitve SCI'!AH33/(('Evolutive SFP'!AG27+'Evolutive SFP'!AH27)/2)</f>
        <v>4.6370126393903907E-3</v>
      </c>
    </row>
    <row r="10" spans="1:39" ht="15">
      <c r="A10" s="335"/>
      <c r="B10" s="3" t="s">
        <v>180</v>
      </c>
      <c r="C10" s="20"/>
      <c r="D10" s="22">
        <f>'Evolutitve SCI'!B23/'Evolutitve SCI'!B19</f>
        <v>0.78428841146364925</v>
      </c>
      <c r="E10" s="22">
        <f>'Evolutitve SCI'!C23/'Evolutitve SCI'!C19</f>
        <v>0.69774181003687286</v>
      </c>
      <c r="F10" s="22">
        <f>'Evolutitve SCI'!D23/'Evolutitve SCI'!D19</f>
        <v>0.33995278206666385</v>
      </c>
      <c r="G10" s="22">
        <f>'Evolutitve SCI'!E23/'Evolutitve SCI'!E19</f>
        <v>0.55893474382089514</v>
      </c>
      <c r="H10" s="22">
        <f>'Evolutitve SCI'!F23/'Evolutitve SCI'!F19</f>
        <v>0.47699291968101321</v>
      </c>
      <c r="I10" s="22">
        <f>'Evolutitve SCI'!G23/'Evolutitve SCI'!G19</f>
        <v>0.42404205343963253</v>
      </c>
      <c r="J10" s="22">
        <f>'Evolutitve SCI'!H23/'Evolutitve SCI'!H19</f>
        <v>0.43144580912472391</v>
      </c>
      <c r="K10" s="22">
        <f>'Evolutitve SCI'!I23/'Evolutitve SCI'!I19</f>
        <v>0.48324721843667717</v>
      </c>
      <c r="L10" s="22">
        <f>'Evolutitve SCI'!J23/'Evolutitve SCI'!J19</f>
        <v>0.53234266521260365</v>
      </c>
      <c r="M10" s="22">
        <f>'Evolutitve SCI'!K23/'Evolutitve SCI'!K19</f>
        <v>0.53979615409490411</v>
      </c>
      <c r="N10" s="22">
        <f>'Evolutitve SCI'!L23/'Evolutitve SCI'!L19</f>
        <v>0.53978375845993776</v>
      </c>
      <c r="O10" s="22">
        <f>'Evolutitve SCI'!M23/'Evolutitve SCI'!M19</f>
        <v>0.5372465678317685</v>
      </c>
      <c r="P10" s="22">
        <f>'Evolutitve SCI'!N23/'Evolutitve SCI'!N19</f>
        <v>0.56675076865647034</v>
      </c>
      <c r="Q10" s="22">
        <f>'Evolutitve SCI'!O23/'Evolutitve SCI'!O19</f>
        <v>0.61635774582803926</v>
      </c>
      <c r="R10" s="22">
        <f>'Evolutitve SCI'!P23/'Evolutitve SCI'!P19</f>
        <v>0.61635774582803926</v>
      </c>
      <c r="S10" s="22">
        <f>'Evolutitve SCI'!Q23/'Evolutitve SCI'!Q19</f>
        <v>0.45184688191175199</v>
      </c>
      <c r="T10" s="22">
        <f>'Evolutitve SCI'!R23/'Evolutitve SCI'!R19</f>
        <v>0.69003918763169292</v>
      </c>
      <c r="U10" s="22">
        <f>'Evolutitve SCI'!S23/'Evolutitve SCI'!S19</f>
        <v>0.55021277202593633</v>
      </c>
      <c r="V10" s="22">
        <f>'Evolutitve SCI'!T23/'Evolutitve SCI'!T19</f>
        <v>0.46561871676637112</v>
      </c>
      <c r="W10" s="22">
        <f>'Evolutitve SCI'!U23/'Evolutitve SCI'!U19</f>
        <v>0.41375852342184677</v>
      </c>
      <c r="X10" s="22">
        <f>'Evolutitve SCI'!V23/'Evolutitve SCI'!V19</f>
        <v>0.45864804724761987</v>
      </c>
      <c r="Y10" s="22">
        <f>'Evolutitve SCI'!W23/'Evolutitve SCI'!W19</f>
        <v>0.54723295835262431</v>
      </c>
      <c r="Z10" s="22">
        <f>'Evolutitve SCI'!X23/'Evolutitve SCI'!X19</f>
        <v>0.50860461537120583</v>
      </c>
      <c r="AA10" s="22">
        <f>'Evolutitve SCI'!Y23/'Evolutitve SCI'!Y19</f>
        <v>0.53010715297586941</v>
      </c>
      <c r="AB10" s="22">
        <f>'Evolutitve SCI'!Z23/'Evolutitve SCI'!Z19</f>
        <v>0.52102542783765959</v>
      </c>
      <c r="AC10" s="22">
        <f>'Evolutitve SCI'!AA23/'Evolutitve SCI'!AA19</f>
        <v>0.53520780985634342</v>
      </c>
      <c r="AD10" s="22">
        <f>'Evolutitve SCI'!AB23/'Evolutitve SCI'!AB19</f>
        <v>0.50174575721619563</v>
      </c>
      <c r="AE10" s="22">
        <f>'Evolutitve SCI'!AC23/'Evolutitve SCI'!AC19</f>
        <v>0.56732227071237018</v>
      </c>
      <c r="AF10" s="22">
        <f>'Evolutitve SCI'!AD23/'Evolutitve SCI'!AD19</f>
        <v>0.77349897277970925</v>
      </c>
      <c r="AG10" s="22">
        <f>'Evolutitve SCI'!AE23/'Evolutitve SCI'!AE19</f>
        <v>0.79963003482436135</v>
      </c>
      <c r="AH10" s="22">
        <f>'Evolutitve SCI'!AF23/'Evolutitve SCI'!AF19</f>
        <v>0.80603790538655873</v>
      </c>
      <c r="AI10" s="22">
        <f>'Evolutitve SCI'!AG23/'Evolutitve SCI'!AG19</f>
        <v>0.88260203505952839</v>
      </c>
      <c r="AJ10" s="22">
        <f>'Evolutitve SCI'!AH23/'Evolutitve SCI'!AH19</f>
        <v>0.81779675547868635</v>
      </c>
    </row>
    <row r="11" spans="1:39" ht="18.75" customHeight="1">
      <c r="A11" s="335"/>
      <c r="B11" s="3" t="s">
        <v>181</v>
      </c>
      <c r="C11" s="20"/>
      <c r="D11" s="22">
        <f>('Evolutitve SCI'!B23+'Evolutitve SCI'!B12)/(('Evolutive SFP'!B27+'Evolutive SFP'!C27)/2)</f>
        <v>1.6669334918756658E-5</v>
      </c>
      <c r="E11" s="22">
        <f>('Evolutitve SCI'!C23+'Evolutitve SCI'!C12)/(('Evolutive SFP'!C27+'Evolutive SFP'!D27)/2)</f>
        <v>8.3316791416485542E-2</v>
      </c>
      <c r="F11" s="22">
        <f>('Evolutitve SCI'!D23+'Evolutitve SCI'!D12)/(('Evolutive SFP'!D27+'Evolutive SFP'!E27)/2)</f>
        <v>4.0492839964515175E-3</v>
      </c>
      <c r="G11" s="22">
        <f>('Evolutitve SCI'!E23+'Evolutitve SCI'!E12)/(('Evolutive SFP'!E27+'Evolutive SFP'!F27)/2)</f>
        <v>1.1431041891206592E-2</v>
      </c>
      <c r="H11" s="22">
        <f>('Evolutitve SCI'!F23+'Evolutitve SCI'!F12)/(('Evolutive SFP'!F27+'Evolutive SFP'!G27)/2)</f>
        <v>1.6936171687249504E-2</v>
      </c>
      <c r="I11" s="22">
        <f>('Evolutitve SCI'!G23+'Evolutitve SCI'!G12)/(('Evolutive SFP'!G27+'Evolutive SFP'!H27)/2)</f>
        <v>2.2106225003142948E-2</v>
      </c>
      <c r="J11" s="22">
        <f>('Evolutitve SCI'!H23+'Evolutitve SCI'!H12)/(('Evolutive SFP'!H27+'Evolutive SFP'!I27)/2)</f>
        <v>2.9354984549620051E-2</v>
      </c>
      <c r="K11" s="22">
        <f>('Evolutitve SCI'!I23+'Evolutitve SCI'!I12)/(('Evolutive SFP'!I27+'Evolutive SFP'!J27)/2)</f>
        <v>3.991531020348061E-2</v>
      </c>
      <c r="L11" s="22">
        <f>('Evolutitve SCI'!J23+'Evolutitve SCI'!J12)/(('Evolutive SFP'!J27+'Evolutive SFP'!K27)/2)</f>
        <v>5.3075737554895142E-2</v>
      </c>
      <c r="M11" s="22">
        <f>('Evolutitve SCI'!K23+'Evolutitve SCI'!K12)/(('Evolutive SFP'!K27+'Evolutive SFP'!L27)/2)</f>
        <v>6.0895948316934109E-2</v>
      </c>
      <c r="N11" s="22">
        <f>('Evolutitve SCI'!L23+'Evolutitve SCI'!L12)/(('Evolutive SFP'!L27+'Evolutive SFP'!M27)/2)</f>
        <v>6.8105105258262993E-2</v>
      </c>
      <c r="O11" s="22">
        <f>('Evolutitve SCI'!M23+'Evolutitve SCI'!M12)/(('Evolutive SFP'!M27+'Evolutive SFP'!N27)/2)</f>
        <v>7.6169542110986033E-2</v>
      </c>
      <c r="P11" s="22">
        <f>('Evolutitve SCI'!N23+'Evolutitve SCI'!N12)/(('Evolutive SFP'!N27+'Evolutive SFP'!O27)/2)</f>
        <v>8.3670603058526971E-2</v>
      </c>
      <c r="Q11" s="22">
        <f>('Evolutitve SCI'!O23+'Evolutitve SCI'!O12)/(('Evolutive SFP'!O27+'Evolutive SFP'!P27)/2)</f>
        <v>9.6506966694985014E-2</v>
      </c>
      <c r="R11" s="22">
        <f>('Evolutitve SCI'!P23+'Evolutitve SCI'!P12)/(('Evolutive SFP'!P27+'Evolutive SFP'!Q27)/2)</f>
        <v>9.6312089254427941E-2</v>
      </c>
      <c r="S11" s="22">
        <f>('Evolutitve SCI'!Q23+'Evolutitve SCI'!Q12)/(('Evolutive SFP'!Q27+'Evolutive SFP'!R27)/2)</f>
        <v>6.0798508446374385E-3</v>
      </c>
      <c r="T11" s="22">
        <f>('Evolutitve SCI'!R23+'Evolutitve SCI'!R12)/(('Evolutive SFP'!R27+'Evolutive SFP'!S27)/2)</f>
        <v>1.5779398097386634E-2</v>
      </c>
      <c r="U11" s="22">
        <f>('Evolutitve SCI'!S23+'Evolutitve SCI'!S12)/(('Evolutive SFP'!S27+'Evolutive SFP'!T27)/2)</f>
        <v>2.3554610454447917E-2</v>
      </c>
      <c r="V11" s="22">
        <f>('Evolutitve SCI'!T23+'Evolutitve SCI'!T12)/(('Evolutive SFP'!T27+'Evolutive SFP'!U27)/2)</f>
        <v>3.0201015275892657E-2</v>
      </c>
      <c r="W11" s="22">
        <f>('Evolutitve SCI'!U23+'Evolutitve SCI'!U12)/(('Evolutive SFP'!U27+'Evolutive SFP'!V27)/2)</f>
        <v>3.5724269696424275E-2</v>
      </c>
      <c r="X11" s="22">
        <f>('Evolutitve SCI'!V23+'Evolutitve SCI'!V12)/(('Evolutive SFP'!V27+'Evolutive SFP'!W27)/2)</f>
        <v>4.7072378932934922E-2</v>
      </c>
      <c r="Y11" s="22">
        <f>('Evolutitve SCI'!W23+'Evolutitve SCI'!W12)/(('Evolutive SFP'!W27+'Evolutive SFP'!X27)/2)</f>
        <v>6.2014450801391355E-2</v>
      </c>
      <c r="Z11" s="22">
        <f>('Evolutitve SCI'!X23+'Evolutitve SCI'!X12)/(('Evolutive SFP'!X27+'Evolutive SFP'!Y27)/2)</f>
        <v>6.904274891665324E-2</v>
      </c>
      <c r="AA11" s="22">
        <f>('Evolutitve SCI'!Y23+'Evolutitve SCI'!Y12)/(('Evolutive SFP'!Y27+'Evolutive SFP'!Z27)/2)</f>
        <v>7.7950912799422095E-2</v>
      </c>
      <c r="AB11" s="22">
        <f>('Evolutitve SCI'!Z23+'Evolutitve SCI'!Z12)/(('Evolutive SFP'!Z27+'Evolutive SFP'!AA27)/2)</f>
        <v>8.5552082863719597E-2</v>
      </c>
      <c r="AC11" s="22">
        <f>('Evolutitve SCI'!AA23+'Evolutitve SCI'!AA12)/(('Evolutive SFP'!AA27+'Evolutive SFP'!AB27)/2)</f>
        <v>9.2561736976438533E-2</v>
      </c>
      <c r="AD11" s="22">
        <f>('Evolutitve SCI'!AB23+'Evolutitve SCI'!AB12)/(('Evolutive SFP'!AB27+'Evolutive SFP'!AC27)/2)</f>
        <v>9.614446343710388E-2</v>
      </c>
      <c r="AE11" s="22">
        <f>('Evolutitve SCI'!AC23+'Evolutitve SCI'!AC12)/(('Evolutive SFP'!AC27+'Evolutive SFP'!AD27)/2)</f>
        <v>0.10444851725490976</v>
      </c>
      <c r="AF11" s="22">
        <f>('Evolutitve SCI'!AD23+'Evolutitve SCI'!AD12)/(('Evolutive SFP'!AD27+'Evolutive SFP'!AE27)/2)</f>
        <v>9.9965221565371798E-3</v>
      </c>
      <c r="AG11" s="22">
        <f>('Evolutitve SCI'!AE23+'Evolutitve SCI'!AE12)/(('Evolutive SFP'!AE27+'Evolutive SFP'!AF27)/2)</f>
        <v>1.9201489106487436E-2</v>
      </c>
      <c r="AH11" s="22">
        <f>('Evolutitve SCI'!AF23+'Evolutitve SCI'!AF12)/(('Evolutive SFP'!AF27+'Evolutive SFP'!AG27)/2)</f>
        <v>3.282393454570938E-2</v>
      </c>
      <c r="AI11" s="22">
        <f>('Evolutitve SCI'!AG23+'Evolutitve SCI'!AG12)/(('Evolutive SFP'!AG27+'Evolutive SFP'!AH27)/2)</f>
        <v>4.3240030991664166E-2</v>
      </c>
      <c r="AJ11" s="22">
        <f>('Evolutitve SCI'!AH23+'Evolutitve SCI'!AH12)/(('Evolutive SFP'!AH27+'Evolutive SFP'!AI27)/2)</f>
        <v>5.2544175229179479E-2</v>
      </c>
    </row>
    <row r="12" spans="1:39" ht="15">
      <c r="A12" s="335" t="s">
        <v>182</v>
      </c>
      <c r="B12" s="3" t="s">
        <v>183</v>
      </c>
      <c r="C12" s="20" t="s">
        <v>184</v>
      </c>
      <c r="D12" s="22">
        <f>('Evolutive SFP'!B4)/('Evolutive SFP'!B28+'Evolutive SFP'!B29+'Evolutive SFP'!B32+'Evolutive SFP'!B33+'Evolutive SFP'!B34+'Evolutive SFP'!B35+'Evolutive SFP'!B36)</f>
        <v>0.9080663241381759</v>
      </c>
      <c r="E12" s="22">
        <f>('Evolutive SFP'!C4)/('Evolutive SFP'!C28+'Evolutive SFP'!C29+'Evolutive SFP'!C32+'Evolutive SFP'!C33+'Evolutive SFP'!C34+'Evolutive SFP'!C35+'Evolutive SFP'!C36)</f>
        <v>0.48822814196703973</v>
      </c>
      <c r="F12" s="22">
        <f>('Evolutive SFP'!D4)/('Evolutive SFP'!D28+'Evolutive SFP'!D29+'Evolutive SFP'!D32+'Evolutive SFP'!D33+'Evolutive SFP'!D34+'Evolutive SFP'!D35+'Evolutive SFP'!D36)</f>
        <v>0.57026099379159501</v>
      </c>
      <c r="G12" s="22">
        <f>('Evolutive SFP'!E4)/('Evolutive SFP'!E28+'Evolutive SFP'!E29+'Evolutive SFP'!E32+'Evolutive SFP'!E33+'Evolutive SFP'!E34+'Evolutive SFP'!E35+'Evolutive SFP'!E36)</f>
        <v>0.56646192593236067</v>
      </c>
      <c r="H12" s="22">
        <f>('Evolutive SFP'!F4)/('Evolutive SFP'!F28+'Evolutive SFP'!F29+'Evolutive SFP'!F32+'Evolutive SFP'!F33+'Evolutive SFP'!F34+'Evolutive SFP'!F35+'Evolutive SFP'!F36)</f>
        <v>0.28050194581424276</v>
      </c>
      <c r="I12" s="22">
        <f>('Evolutive SFP'!G4)/('Evolutive SFP'!G28+'Evolutive SFP'!G29+'Evolutive SFP'!G32+'Evolutive SFP'!G33+'Evolutive SFP'!G34+'Evolutive SFP'!G35+'Evolutive SFP'!G36)</f>
        <v>0.36329890932751363</v>
      </c>
      <c r="J12" s="22">
        <f>('Evolutive SFP'!H4)/('Evolutive SFP'!H28+'Evolutive SFP'!H29+'Evolutive SFP'!H32+'Evolutive SFP'!H33+'Evolutive SFP'!H34+'Evolutive SFP'!H35+'Evolutive SFP'!H36)</f>
        <v>0.25075064163382133</v>
      </c>
      <c r="K12" s="22">
        <f>('Evolutive SFP'!I4)/('Evolutive SFP'!I28+'Evolutive SFP'!I29+'Evolutive SFP'!I32+'Evolutive SFP'!I33+'Evolutive SFP'!I34+'Evolutive SFP'!I35+'Evolutive SFP'!I36)</f>
        <v>0.38074033494415854</v>
      </c>
      <c r="L12" s="22">
        <f>('Evolutive SFP'!J4)/('Evolutive SFP'!J28+'Evolutive SFP'!J29+'Evolutive SFP'!J32+'Evolutive SFP'!J33+'Evolutive SFP'!J34+'Evolutive SFP'!J35+'Evolutive SFP'!J36)</f>
        <v>0.26709595611059428</v>
      </c>
      <c r="M12" s="22">
        <f>('Evolutive SFP'!K4)/('Evolutive SFP'!K28+'Evolutive SFP'!K29+'Evolutive SFP'!K32+'Evolutive SFP'!K33+'Evolutive SFP'!K34+'Evolutive SFP'!K35+'Evolutive SFP'!K36)</f>
        <v>0.28215931901365521</v>
      </c>
      <c r="N12" s="22">
        <f>('Evolutive SFP'!L4)/('Evolutive SFP'!L28+'Evolutive SFP'!L29+'Evolutive SFP'!L32+'Evolutive SFP'!L33+'Evolutive SFP'!L34+'Evolutive SFP'!L35+'Evolutive SFP'!L36)</f>
        <v>0.33916319000245082</v>
      </c>
      <c r="O12" s="22">
        <f>('Evolutive SFP'!M4)/('Evolutive SFP'!M28+'Evolutive SFP'!M29+'Evolutive SFP'!M32+'Evolutive SFP'!M33+'Evolutive SFP'!M34+'Evolutive SFP'!M35+'Evolutive SFP'!M36)</f>
        <v>0.41062184543883323</v>
      </c>
      <c r="P12" s="22">
        <f>('Evolutive SFP'!N4)/('Evolutive SFP'!N28+'Evolutive SFP'!N29+'Evolutive SFP'!N32+'Evolutive SFP'!N33+'Evolutive SFP'!N34+'Evolutive SFP'!N35+'Evolutive SFP'!N36)</f>
        <v>0.44219625390866096</v>
      </c>
      <c r="Q12" s="22">
        <f>('Evolutive SFP'!O4)/('Evolutive SFP'!O28+'Evolutive SFP'!O29+'Evolutive SFP'!O32+'Evolutive SFP'!O33+'Evolutive SFP'!O34+'Evolutive SFP'!O35+'Evolutive SFP'!O36)</f>
        <v>0.59633625962737147</v>
      </c>
      <c r="R12" s="22">
        <f>('Evolutive SFP'!P4)/('Evolutive SFP'!P28+'Evolutive SFP'!P29+'Evolutive SFP'!P32+'Evolutive SFP'!P33+'Evolutive SFP'!P34+'Evolutive SFP'!P35+'Evolutive SFP'!P36)</f>
        <v>0.60043137844384953</v>
      </c>
      <c r="S12" s="22">
        <f>('Evolutive SFP'!Q4)/('Evolutive SFP'!Q28+'Evolutive SFP'!Q29+'Evolutive SFP'!Q32+'Evolutive SFP'!Q33+'Evolutive SFP'!Q34+'Evolutive SFP'!Q35+'Evolutive SFP'!Q36)</f>
        <v>0.51513381445480988</v>
      </c>
      <c r="T12" s="22">
        <f>('Evolutive SFP'!R4)/('Evolutive SFP'!R28+'Evolutive SFP'!R29+'Evolutive SFP'!R32+'Evolutive SFP'!R33+'Evolutive SFP'!R34+'Evolutive SFP'!R35+'Evolutive SFP'!R36)</f>
        <v>0.64802012153093813</v>
      </c>
      <c r="U12" s="22">
        <f>('Evolutive SFP'!S4)/('Evolutive SFP'!S28+'Evolutive SFP'!S29+'Evolutive SFP'!S32+'Evolutive SFP'!S33+'Evolutive SFP'!S34+'Evolutive SFP'!S35+'Evolutive SFP'!S36)</f>
        <v>0.56131221596784242</v>
      </c>
      <c r="V12" s="22">
        <f>('Evolutive SFP'!T4)/('Evolutive SFP'!T28+'Evolutive SFP'!T29+'Evolutive SFP'!T32+'Evolutive SFP'!T33+'Evolutive SFP'!T34+'Evolutive SFP'!T35+'Evolutive SFP'!T36)</f>
        <v>0.35340363914399076</v>
      </c>
      <c r="W12" s="22">
        <f>('Evolutive SFP'!U4)/('Evolutive SFP'!U28+'Evolutive SFP'!U29+'Evolutive SFP'!U32+'Evolutive SFP'!U33+'Evolutive SFP'!U34+'Evolutive SFP'!U35+'Evolutive SFP'!U36)</f>
        <v>0.36369019619583781</v>
      </c>
      <c r="X12" s="22">
        <f>('Evolutive SFP'!V4)/('Evolutive SFP'!V28+'Evolutive SFP'!V29+'Evolutive SFP'!V32+'Evolutive SFP'!V33+'Evolutive SFP'!V34+'Evolutive SFP'!V35+'Evolutive SFP'!V36)</f>
        <v>0.52952556996718525</v>
      </c>
      <c r="Y12" s="22">
        <f>('Evolutive SFP'!W4)/('Evolutive SFP'!W28+'Evolutive SFP'!W29+'Evolutive SFP'!W32+'Evolutive SFP'!W33+'Evolutive SFP'!W34+'Evolutive SFP'!W35+'Evolutive SFP'!W36)</f>
        <v>0.36178349148241551</v>
      </c>
      <c r="Z12" s="22">
        <f>('Evolutive SFP'!X4)/('Evolutive SFP'!X28+'Evolutive SFP'!X29+'Evolutive SFP'!X32+'Evolutive SFP'!X33+'Evolutive SFP'!X34+'Evolutive SFP'!X35+'Evolutive SFP'!X36)</f>
        <v>0.38204239464646739</v>
      </c>
      <c r="AA12" s="22">
        <f>('Evolutive SFP'!Y4)/('Evolutive SFP'!Y28+'Evolutive SFP'!Y29+'Evolutive SFP'!Y32+'Evolutive SFP'!Y33+'Evolutive SFP'!Y34+'Evolutive SFP'!Y35+'Evolutive SFP'!Y36)</f>
        <v>0.3730648992815942</v>
      </c>
      <c r="AB12" s="22">
        <f>('Evolutive SFP'!Z4)/('Evolutive SFP'!Z28+'Evolutive SFP'!Z29+'Evolutive SFP'!Z32+'Evolutive SFP'!Z33+'Evolutive SFP'!Z34+'Evolutive SFP'!Z35+'Evolutive SFP'!Z36)</f>
        <v>0.38821564532719599</v>
      </c>
      <c r="AC12" s="22">
        <f>('Evolutive SFP'!AA4)/('Evolutive SFP'!AA28+'Evolutive SFP'!AA29+'Evolutive SFP'!AA32+'Evolutive SFP'!AA33+'Evolutive SFP'!AA34+'Evolutive SFP'!AA35+'Evolutive SFP'!AA36)</f>
        <v>0.40699730424959613</v>
      </c>
      <c r="AD12" s="22">
        <f>('Evolutive SFP'!AB4)/('Evolutive SFP'!AB28+'Evolutive SFP'!AB29+'Evolutive SFP'!AB32+'Evolutive SFP'!AB33+'Evolutive SFP'!AB34+'Evolutive SFP'!AB35+'Evolutive SFP'!AB36)</f>
        <v>0.56853354451884841</v>
      </c>
      <c r="AE12" s="22">
        <f>('Evolutive SFP'!AC4)/('Evolutive SFP'!AC28+'Evolutive SFP'!AC29+'Evolutive SFP'!AC32+'Evolutive SFP'!AC33+'Evolutive SFP'!AC34+'Evolutive SFP'!AC35+'Evolutive SFP'!AC36)</f>
        <v>0.57217564997807613</v>
      </c>
      <c r="AF12" s="22">
        <f>('Evolutive SFP'!AD4)/('Evolutive SFP'!AD28+'Evolutive SFP'!AD29+'Evolutive SFP'!AD32+'Evolutive SFP'!AD33+'Evolutive SFP'!AD34+'Evolutive SFP'!AD35+'Evolutive SFP'!AD36)</f>
        <v>0.52620174493341809</v>
      </c>
      <c r="AG12" s="22">
        <f>('Evolutive SFP'!AE4)/('Evolutive SFP'!AE28+'Evolutive SFP'!AE29+'Evolutive SFP'!AE32+'Evolutive SFP'!AE33+'Evolutive SFP'!AE34+'Evolutive SFP'!AE35+'Evolutive SFP'!AE36)</f>
        <v>0.52812079051351035</v>
      </c>
      <c r="AH12" s="22">
        <f>('Evolutive SFP'!AF4)/('Evolutive SFP'!AF28+'Evolutive SFP'!AF29+'Evolutive SFP'!AF32+'Evolutive SFP'!AF33+'Evolutive SFP'!AF34+'Evolutive SFP'!AF35+'Evolutive SFP'!AF36)</f>
        <v>0.51452789956583744</v>
      </c>
      <c r="AI12" s="22">
        <f>('Evolutive SFP'!AG4)/('Evolutive SFP'!AG28+'Evolutive SFP'!AG29+'Evolutive SFP'!AG32+'Evolutive SFP'!AG33+'Evolutive SFP'!AG34+'Evolutive SFP'!AG35+'Evolutive SFP'!AG36)</f>
        <v>0.46759771388700028</v>
      </c>
      <c r="AJ12" s="22">
        <f>('Evolutive SFP'!AH4)/('Evolutive SFP'!AH28+'Evolutive SFP'!AH29+'Evolutive SFP'!AH32+'Evolutive SFP'!AH33+'Evolutive SFP'!AH34+'Evolutive SFP'!AH35+'Evolutive SFP'!AH36)</f>
        <v>0.48793546762590218</v>
      </c>
    </row>
    <row r="13" spans="1:39" ht="15">
      <c r="A13" s="335"/>
      <c r="B13" s="3" t="s">
        <v>185</v>
      </c>
      <c r="C13" s="48"/>
      <c r="D13" s="22">
        <f>'Evolutive SFP'!B4/('Evolutive SFP'!B31+'Evolutive SFP'!B36)</f>
        <v>0.14915539337983874</v>
      </c>
      <c r="E13" s="22">
        <f>'Evolutive SFP'!C4/('Evolutive SFP'!C31+'Evolutive SFP'!C36)</f>
        <v>0.14798230701881068</v>
      </c>
      <c r="F13" s="22">
        <f>'Evolutive SFP'!D4/('Evolutive SFP'!D31+'Evolutive SFP'!D36)</f>
        <v>0.14596197865939264</v>
      </c>
      <c r="G13" s="22">
        <f>'Evolutive SFP'!E4/('Evolutive SFP'!E31+'Evolutive SFP'!E36)</f>
        <v>0.13702372184245568</v>
      </c>
      <c r="H13" s="22">
        <f>'Evolutive SFP'!F4/('Evolutive SFP'!F31+'Evolutive SFP'!F36)</f>
        <v>7.4955459254873388E-2</v>
      </c>
      <c r="I13" s="22">
        <f>'Evolutive SFP'!G4/('Evolutive SFP'!G31+'Evolutive SFP'!G36)</f>
        <v>9.502773880915362E-2</v>
      </c>
      <c r="J13" s="22">
        <f>'Evolutive SFP'!H4/('Evolutive SFP'!H31+'Evolutive SFP'!H36)</f>
        <v>6.5053831758148897E-2</v>
      </c>
      <c r="K13" s="22">
        <f>'Evolutive SFP'!I4/('Evolutive SFP'!I31+'Evolutive SFP'!I36)</f>
        <v>0.10223894616680058</v>
      </c>
      <c r="L13" s="22">
        <f>'Evolutive SFP'!J4/('Evolutive SFP'!J31+'Evolutive SFP'!J36)</f>
        <v>7.5756608656797619E-2</v>
      </c>
      <c r="M13" s="22">
        <f>'Evolutive SFP'!K4/('Evolutive SFP'!K31+'Evolutive SFP'!K36)</f>
        <v>8.2001771024666353E-2</v>
      </c>
      <c r="N13" s="22">
        <f>'Evolutive SFP'!L4/('Evolutive SFP'!L31+'Evolutive SFP'!L36)</f>
        <v>0.10034113450432113</v>
      </c>
      <c r="O13" s="22">
        <f>'Evolutive SFP'!M4/('Evolutive SFP'!M31+'Evolutive SFP'!M36)</f>
        <v>0.12490516361440897</v>
      </c>
      <c r="P13" s="22">
        <f>'Evolutive SFP'!N4/('Evolutive SFP'!N31+'Evolutive SFP'!N36)</f>
        <v>0.13761892131237702</v>
      </c>
      <c r="Q13" s="22">
        <f>'Evolutive SFP'!O4/('Evolutive SFP'!O31+'Evolutive SFP'!O36)</f>
        <v>0.1886164584891073</v>
      </c>
      <c r="R13" s="22">
        <f>'Evolutive SFP'!P4/('Evolutive SFP'!P31+'Evolutive SFP'!P36)</f>
        <v>0.1886164584891073</v>
      </c>
      <c r="S13" s="22">
        <f>'Evolutive SFP'!Q4/('Evolutive SFP'!Q31+'Evolutive SFP'!Q36)</f>
        <v>0.15211316911350176</v>
      </c>
      <c r="T13" s="22">
        <f>'Evolutive SFP'!R4/('Evolutive SFP'!R31+'Evolutive SFP'!R36)</f>
        <v>0.19671932600006684</v>
      </c>
      <c r="U13" s="22">
        <f>'Evolutive SFP'!S4/('Evolutive SFP'!S31+'Evolutive SFP'!S36)</f>
        <v>0.15918990634266922</v>
      </c>
      <c r="V13" s="22">
        <f>'Evolutive SFP'!T4/('Evolutive SFP'!T31+'Evolutive SFP'!T36)</f>
        <v>9.3337500481166846E-2</v>
      </c>
      <c r="W13" s="22">
        <f>'Evolutive SFP'!U4/('Evolutive SFP'!U31+'Evolutive SFP'!U36)</f>
        <v>9.6542625043004052E-2</v>
      </c>
      <c r="X13" s="22">
        <f>'Evolutive SFP'!V4/('Evolutive SFP'!V31+'Evolutive SFP'!V36)</f>
        <v>0.14783755946606764</v>
      </c>
      <c r="Y13" s="22">
        <f>'Evolutive SFP'!W4/('Evolutive SFP'!W31+'Evolutive SFP'!W36)</f>
        <v>0.10874563724536636</v>
      </c>
      <c r="Z13" s="22">
        <f>'Evolutive SFP'!X4/('Evolutive SFP'!X31+'Evolutive SFP'!X36)</f>
        <v>0.11727902168070381</v>
      </c>
      <c r="AA13" s="22">
        <f>'Evolutive SFP'!Y4/('Evolutive SFP'!Y31+'Evolutive SFP'!Y36)</f>
        <v>0.11489044219453468</v>
      </c>
      <c r="AB13" s="22">
        <f>'Evolutive SFP'!Z4/('Evolutive SFP'!Z31+'Evolutive SFP'!Z36)</f>
        <v>0.12181291575165637</v>
      </c>
      <c r="AC13" s="22">
        <f>'Evolutive SFP'!AA4/('Evolutive SFP'!AA31+'Evolutive SFP'!AA36)</f>
        <v>0.12925398030256852</v>
      </c>
      <c r="AD13" s="22">
        <f>'Evolutive SFP'!AB4/('Evolutive SFP'!AB31+'Evolutive SFP'!AB36)</f>
        <v>0.1842291515409171</v>
      </c>
      <c r="AE13" s="22">
        <f>'Evolutive SFP'!AC4/('Evolutive SFP'!AC31+'Evolutive SFP'!AC36)</f>
        <v>0.18263611867650062</v>
      </c>
      <c r="AF13" s="22">
        <f>'Evolutive SFP'!AD4/('Evolutive SFP'!AD31+'Evolutive SFP'!AD36)</f>
        <v>0.16994693050797277</v>
      </c>
      <c r="AG13" s="22">
        <f>'Evolutive SFP'!AE4/('Evolutive SFP'!AE31+'Evolutive SFP'!AE36)</f>
        <v>0.17119970743961768</v>
      </c>
      <c r="AH13" s="22">
        <f>'Evolutive SFP'!AF4/('Evolutive SFP'!AF31+'Evolutive SFP'!AF36)</f>
        <v>0.14742115539446277</v>
      </c>
      <c r="AI13" s="22">
        <f>'Evolutive SFP'!AG4/('Evolutive SFP'!AG31+'Evolutive SFP'!AG36)</f>
        <v>0.13096265948040756</v>
      </c>
      <c r="AJ13" s="22">
        <f>'Evolutive SFP'!AH4/('Evolutive SFP'!AH31+'Evolutive SFP'!AH36)</f>
        <v>0.13397354203458056</v>
      </c>
    </row>
    <row r="14" spans="1:39" ht="15">
      <c r="A14" s="335"/>
      <c r="B14" s="3" t="s">
        <v>186</v>
      </c>
      <c r="C14" s="20" t="s">
        <v>187</v>
      </c>
      <c r="D14" s="22">
        <f>'Evolutive SFP'!B37/'Evolutive SFP'!B27</f>
        <v>1.5175035177958185E-2</v>
      </c>
      <c r="E14" s="22">
        <f>'Evolutive SFP'!C37/'Evolutive SFP'!C27</f>
        <v>7.0071211592597271E-2</v>
      </c>
      <c r="F14" s="22">
        <f>'Evolutive SFP'!D37/'Evolutive SFP'!D27</f>
        <v>7.0570447397963268E-2</v>
      </c>
      <c r="G14" s="22">
        <f>'Evolutive SFP'!E37/'Evolutive SFP'!E27</f>
        <v>6.6034839326629111E-2</v>
      </c>
      <c r="H14" s="22">
        <f>'Evolutive SFP'!F37/'Evolutive SFP'!F27</f>
        <v>6.1359021444930051E-2</v>
      </c>
      <c r="I14" s="22">
        <f>'Evolutive SFP'!G37/'Evolutive SFP'!G27</f>
        <v>5.8202210171118339E-2</v>
      </c>
      <c r="J14" s="22">
        <f>'Evolutive SFP'!H37/'Evolutive SFP'!H27</f>
        <v>5.4638521541586618E-2</v>
      </c>
      <c r="K14" s="22">
        <f>'Evolutive SFP'!I37/'Evolutive SFP'!I27</f>
        <v>5.1175773301886385E-2</v>
      </c>
      <c r="L14" s="22">
        <f>'Evolutive SFP'!J37/'Evolutive SFP'!J27</f>
        <v>4.7849868211896185E-2</v>
      </c>
      <c r="M14" s="22">
        <f>'Evolutive SFP'!K37/'Evolutive SFP'!K27</f>
        <v>4.4026021396090617E-2</v>
      </c>
      <c r="N14" s="22">
        <f>'Evolutive SFP'!L37/'Evolutive SFP'!L27</f>
        <v>7.7555692558008135E-2</v>
      </c>
      <c r="O14" s="22">
        <f>'Evolutive SFP'!M37/'Evolutive SFP'!M27</f>
        <v>7.3399058909638187E-2</v>
      </c>
      <c r="P14" s="22">
        <f>'Evolutive SFP'!N37/'Evolutive SFP'!N27</f>
        <v>6.9180951764575407E-2</v>
      </c>
      <c r="Q14" s="22">
        <f>'Evolutive SFP'!O37/'Evolutive SFP'!O27</f>
        <v>0.10600419149012991</v>
      </c>
      <c r="R14" s="22">
        <f>'Evolutive SFP'!P37/'Evolutive SFP'!P27</f>
        <v>0.10617408709565097</v>
      </c>
      <c r="S14" s="22">
        <f>'Evolutive SFP'!Q37/'Evolutive SFP'!Q27</f>
        <v>0.10313113437991395</v>
      </c>
      <c r="T14" s="22">
        <f>'Evolutive SFP'!R37/'Evolutive SFP'!R27</f>
        <v>9.8991063370355112E-2</v>
      </c>
      <c r="U14" s="22">
        <f>'Evolutive SFP'!S37/'Evolutive SFP'!S27</f>
        <v>9.7407689974806463E-2</v>
      </c>
      <c r="V14" s="22">
        <f>'Evolutive SFP'!T37/'Evolutive SFP'!T27</f>
        <v>9.5439844684755706E-2</v>
      </c>
      <c r="W14" s="22">
        <f>'Evolutive SFP'!U37/'Evolutive SFP'!U27</f>
        <v>9.2048141647738946E-2</v>
      </c>
      <c r="X14" s="22">
        <f>'Evolutive SFP'!V37/'Evolutive SFP'!V27</f>
        <v>8.8307224900036119E-2</v>
      </c>
      <c r="Y14" s="22">
        <f>'Evolutive SFP'!W37/'Evolutive SFP'!W27</f>
        <v>8.2645652154683044E-2</v>
      </c>
      <c r="Z14" s="22">
        <f>'Evolutive SFP'!X37/'Evolutive SFP'!X27</f>
        <v>7.9063334025648274E-2</v>
      </c>
      <c r="AA14" s="22">
        <f>'Evolutive SFP'!Y37/'Evolutive SFP'!Y27</f>
        <v>7.5786992277935422E-2</v>
      </c>
      <c r="AB14" s="22">
        <f>'Evolutive SFP'!Z37/'Evolutive SFP'!Z27</f>
        <v>7.2078978176738764E-2</v>
      </c>
      <c r="AC14" s="22">
        <f>'Evolutive SFP'!AA37/'Evolutive SFP'!AA27</f>
        <v>6.866541866219214E-2</v>
      </c>
      <c r="AD14" s="22">
        <f>'Evolutive SFP'!AB37/'Evolutive SFP'!AB27</f>
        <v>9.4443589960151023E-2</v>
      </c>
      <c r="AE14" s="22">
        <f>'Evolutive SFP'!AC37/'Evolutive SFP'!AC27</f>
        <v>9.476685201910319E-2</v>
      </c>
      <c r="AF14" s="22">
        <f>'Evolutive SFP'!AD37/'Evolutive SFP'!AD27</f>
        <v>9.1233321926087241E-2</v>
      </c>
      <c r="AG14" s="22">
        <f>'Evolutive SFP'!AE37/'Evolutive SFP'!AE27</f>
        <v>8.74505405268724E-2</v>
      </c>
      <c r="AH14" s="22">
        <f>'Evolutive SFP'!AF37/'Evolutive SFP'!AF27</f>
        <v>8.6300985310311149E-2</v>
      </c>
      <c r="AI14" s="22">
        <f>'Evolutive SFP'!AG37/'Evolutive SFP'!AG27</f>
        <v>8.3495583402046353E-2</v>
      </c>
      <c r="AJ14" s="22">
        <f>'Evolutive SFP'!AH37/'Evolutive SFP'!AH27</f>
        <v>8.020171240271802E-2</v>
      </c>
    </row>
    <row r="15" spans="1:39" ht="15">
      <c r="A15" s="335"/>
      <c r="B15" s="3" t="s">
        <v>188</v>
      </c>
      <c r="C15" s="20"/>
      <c r="D15" s="22">
        <f>'Evolutive SFP'!B4/'Evolutive SFP'!B27</f>
        <v>0.12821991542351194</v>
      </c>
      <c r="E15" s="22">
        <f>'Evolutive SFP'!C4/'Evolutive SFP'!C27</f>
        <v>0.10397514955587578</v>
      </c>
      <c r="F15" s="22">
        <f>'Evolutive SFP'!D4/'Evolutive SFP'!D27</f>
        <v>0.10879201854098988</v>
      </c>
      <c r="G15" s="22">
        <f>'Evolutive SFP'!E4/'Evolutive SFP'!E27</f>
        <v>9.9612431294059348E-2</v>
      </c>
      <c r="H15" s="22">
        <f>'Evolutive SFP'!F4/'Evolutive SFP'!F27</f>
        <v>5.4740729240263457E-2</v>
      </c>
      <c r="I15" s="22">
        <f>'Evolutive SFP'!G4/'Evolutive SFP'!G27</f>
        <v>6.9061818569349218E-2</v>
      </c>
      <c r="J15" s="22">
        <f>'Evolutive SFP'!H4/'Evolutive SFP'!H27</f>
        <v>4.708925635778223E-2</v>
      </c>
      <c r="K15" s="22">
        <f>'Evolutive SFP'!I4/'Evolutive SFP'!I27</f>
        <v>7.3932182896411999E-2</v>
      </c>
      <c r="L15" s="22">
        <f>'Evolutive SFP'!J4/'Evolutive SFP'!J27</f>
        <v>5.460523372512989E-2</v>
      </c>
      <c r="M15" s="22">
        <f>'Evolutive SFP'!K4/'Evolutive SFP'!K27</f>
        <v>5.8956381596228312E-2</v>
      </c>
      <c r="N15" s="22">
        <f>'Evolutive SFP'!L4/'Evolutive SFP'!L27</f>
        <v>6.9067919877912623E-2</v>
      </c>
      <c r="O15" s="22">
        <f>'Evolutive SFP'!M4/'Evolutive SFP'!M27</f>
        <v>8.5808209758729062E-2</v>
      </c>
      <c r="P15" s="22">
        <f>'Evolutive SFP'!N4/'Evolutive SFP'!N27</f>
        <v>9.4902984987082703E-2</v>
      </c>
      <c r="Q15" s="22">
        <f>'Evolutive SFP'!O4/'Evolutive SFP'!O27</f>
        <v>0.12554145802631461</v>
      </c>
      <c r="R15" s="22">
        <f>'Evolutive SFP'!P4/'Evolutive SFP'!P27</f>
        <v>0.12574266650429602</v>
      </c>
      <c r="S15" s="22">
        <f>'Evolutive SFP'!Q4/'Evolutive SFP'!Q27</f>
        <v>0.10814519310699057</v>
      </c>
      <c r="T15" s="22">
        <f>'Evolutive SFP'!R4/'Evolutive SFP'!R27</f>
        <v>0.14078574173054503</v>
      </c>
      <c r="U15" s="22">
        <f>'Evolutive SFP'!S4/'Evolutive SFP'!S27</f>
        <v>0.11278720102361009</v>
      </c>
      <c r="V15" s="22">
        <f>'Evolutive SFP'!T4/'Evolutive SFP'!T27</f>
        <v>6.5168692461281541E-2</v>
      </c>
      <c r="W15" s="22">
        <f>'Evolutive SFP'!U4/'Evolutive SFP'!U27</f>
        <v>6.7025846148346405E-2</v>
      </c>
      <c r="X15" s="22">
        <f>'Evolutive SFP'!V4/'Evolutive SFP'!V27</f>
        <v>0.10234684432152445</v>
      </c>
      <c r="Y15" s="22">
        <f>'Evolutive SFP'!W4/'Evolutive SFP'!W27</f>
        <v>7.5478890917671904E-2</v>
      </c>
      <c r="Z15" s="22">
        <f>'Evolutive SFP'!X4/'Evolutive SFP'!X27</f>
        <v>8.0902864373291736E-2</v>
      </c>
      <c r="AA15" s="22">
        <f>'Evolutive SFP'!Y4/'Evolutive SFP'!Y27</f>
        <v>7.8907680241288955E-2</v>
      </c>
      <c r="AB15" s="22">
        <f>'Evolutive SFP'!Z4/'Evolutive SFP'!Z27</f>
        <v>8.3392248087494361E-2</v>
      </c>
      <c r="AC15" s="22">
        <f>'Evolutive SFP'!AA4/'Evolutive SFP'!AA27</f>
        <v>8.8393978789699734E-2</v>
      </c>
      <c r="AD15" s="22">
        <f>'Evolutive SFP'!AB4/'Evolutive SFP'!AB27</f>
        <v>0.12258166969750918</v>
      </c>
      <c r="AE15" s="22">
        <f>'Evolutive SFP'!AC4/'Evolutive SFP'!AC27</f>
        <v>0.12192934272463687</v>
      </c>
      <c r="AF15" s="22">
        <f>'Evolutive SFP'!AD4/'Evolutive SFP'!AD27</f>
        <v>0.11362862994638674</v>
      </c>
      <c r="AG15" s="22">
        <f>'Evolutive SFP'!AE4/'Evolutive SFP'!AE27</f>
        <v>0.11473254391358978</v>
      </c>
      <c r="AH15" s="22">
        <f>'Evolutive SFP'!AF4/'Evolutive SFP'!AF27</f>
        <v>0.10296869814824824</v>
      </c>
      <c r="AI15" s="22">
        <f>'Evolutive SFP'!AG4/'Evolutive SFP'!AG27</f>
        <v>9.1551180473970262E-2</v>
      </c>
      <c r="AJ15" s="22">
        <f>'Evolutive SFP'!AH4/'Evolutive SFP'!AH27</f>
        <v>9.3280180712372665E-2</v>
      </c>
    </row>
    <row r="16" spans="1:39" ht="15">
      <c r="A16" s="335" t="s">
        <v>189</v>
      </c>
      <c r="B16" s="3" t="s">
        <v>190</v>
      </c>
      <c r="C16" s="20" t="s">
        <v>191</v>
      </c>
      <c r="D16" s="22">
        <f>('Evolutive SFP'!B7+'Evolutive SFP'!B21)/'Evolutive SFP'!B27</f>
        <v>0.12101374552845419</v>
      </c>
      <c r="E16" s="22">
        <f>('Evolutive SFP'!C7+'Evolutive SFP'!C21)/'Evolutive SFP'!C27</f>
        <v>9.2978506877211473E-2</v>
      </c>
      <c r="F16" s="22">
        <f>('Evolutive SFP'!D7+'Evolutive SFP'!D21)/'Evolutive SFP'!D27</f>
        <v>3.9247259622017652E-2</v>
      </c>
      <c r="G16" s="22">
        <f>('Evolutive SFP'!E7+'Evolutive SFP'!E21)/'Evolutive SFP'!E27</f>
        <v>3.7199708766093326E-2</v>
      </c>
      <c r="H16" s="22">
        <f>('Evolutive SFP'!F7+'Evolutive SFP'!F21)/'Evolutive SFP'!F27</f>
        <v>0.10426899378651415</v>
      </c>
      <c r="I16" s="22">
        <f>('Evolutive SFP'!G7+'Evolutive SFP'!G21)/'Evolutive SFP'!G27</f>
        <v>9.247245972429595E-2</v>
      </c>
      <c r="J16" s="22">
        <f>('Evolutive SFP'!H7+'Evolutive SFP'!H21)/'Evolutive SFP'!H27</f>
        <v>0.11396338117931855</v>
      </c>
      <c r="K16" s="22">
        <f>('Evolutive SFP'!I7+'Evolutive SFP'!I21)/'Evolutive SFP'!I27</f>
        <v>7.8373367171144098E-2</v>
      </c>
      <c r="L16" s="22">
        <f>('Evolutive SFP'!J7+'Evolutive SFP'!J21)/'Evolutive SFP'!J27</f>
        <v>0.10206020197695095</v>
      </c>
      <c r="M16" s="22">
        <f>('Evolutive SFP'!K7+'Evolutive SFP'!K21)/'Evolutive SFP'!K27</f>
        <v>0.10280895251611247</v>
      </c>
      <c r="N16" s="22">
        <f>('Evolutive SFP'!L7+'Evolutive SFP'!L21)/'Evolutive SFP'!L27</f>
        <v>0.10406264169585756</v>
      </c>
      <c r="O16" s="22">
        <f>('Evolutive SFP'!M7+'Evolutive SFP'!M21)/'Evolutive SFP'!M27</f>
        <v>9.1136964075088894E-2</v>
      </c>
      <c r="P16" s="22">
        <f>('Evolutive SFP'!N7+'Evolutive SFP'!N21)/'Evolutive SFP'!N27</f>
        <v>8.2194875823308089E-2</v>
      </c>
      <c r="Q16" s="22">
        <f>('Evolutive SFP'!O7+'Evolutive SFP'!O21)/'Evolutive SFP'!O27</f>
        <v>6.719514035839004E-2</v>
      </c>
      <c r="R16" s="22">
        <f>('Evolutive SFP'!P7+'Evolutive SFP'!P21)/'Evolutive SFP'!P27</f>
        <v>5.856069740932851E-2</v>
      </c>
      <c r="S16" s="22">
        <f>('Evolutive SFP'!Q7+'Evolutive SFP'!Q21)/'Evolutive SFP'!Q27</f>
        <v>0.10601536129544553</v>
      </c>
      <c r="T16" s="22">
        <f>('Evolutive SFP'!R7+'Evolutive SFP'!R21)/'Evolutive SFP'!R27</f>
        <v>7.9663274488903216E-2</v>
      </c>
      <c r="U16" s="22">
        <f>('Evolutive SFP'!S7+'Evolutive SFP'!S21)/'Evolutive SFP'!S27</f>
        <v>8.6638502985849047E-2</v>
      </c>
      <c r="V16" s="22">
        <f>('Evolutive SFP'!T7+'Evolutive SFP'!T21)/'Evolutive SFP'!T27</f>
        <v>0.35923848693764804</v>
      </c>
      <c r="W16" s="22">
        <f>('Evolutive SFP'!U7+'Evolutive SFP'!U21)/'Evolutive SFP'!U27</f>
        <v>0.34146278692939008</v>
      </c>
      <c r="X16" s="22">
        <f>('Evolutive SFP'!V7+'Evolutive SFP'!V21)/'Evolutive SFP'!V27</f>
        <v>0.31498790404866001</v>
      </c>
      <c r="Y16" s="22">
        <f>('Evolutive SFP'!W7+'Evolutive SFP'!W21)/'Evolutive SFP'!W27</f>
        <v>0.34218590444804209</v>
      </c>
      <c r="Z16" s="22">
        <f>('Evolutive SFP'!X7+'Evolutive SFP'!X21)/'Evolutive SFP'!X27</f>
        <v>0.33024226265980788</v>
      </c>
      <c r="AA16" s="22">
        <f>('Evolutive SFP'!Y7+'Evolutive SFP'!Y21)/'Evolutive SFP'!Y27</f>
        <v>0.33257181314904816</v>
      </c>
      <c r="AB16" s="22">
        <f>('Evolutive SFP'!Z7+'Evolutive SFP'!Z21)/'Evolutive SFP'!Z27</f>
        <v>0.33208238428203679</v>
      </c>
      <c r="AC16" s="22">
        <f>('Evolutive SFP'!AA7+'Evolutive SFP'!AA21)/'Evolutive SFP'!AA27</f>
        <v>0.33003041521797843</v>
      </c>
      <c r="AD16" s="22">
        <f>('Evolutive SFP'!AB7+'Evolutive SFP'!AB21)/'Evolutive SFP'!AB27</f>
        <v>0.31275410339385085</v>
      </c>
      <c r="AE16" s="22">
        <f>('Evolutive SFP'!AC7+'Evolutive SFP'!AC21)/'Evolutive SFP'!AC27</f>
        <v>0.31040179147679303</v>
      </c>
      <c r="AF16" s="22">
        <f>('Evolutive SFP'!AD7+'Evolutive SFP'!AD21)/'Evolutive SFP'!AD27</f>
        <v>0.30951600517884093</v>
      </c>
      <c r="AG16" s="22">
        <f>('Evolutive SFP'!AE7+'Evolutive SFP'!AE21)/'Evolutive SFP'!AE27</f>
        <v>0.31116251661938321</v>
      </c>
      <c r="AH16" s="22">
        <f>('Evolutive SFP'!AF7+'Evolutive SFP'!AF21)/'Evolutive SFP'!AF27</f>
        <v>0.3118158130848761</v>
      </c>
      <c r="AI16" s="22">
        <f>('Evolutive SFP'!AG7+'Evolutive SFP'!AG21)/'Evolutive SFP'!AG27</f>
        <v>0.31770729892896871</v>
      </c>
      <c r="AJ16" s="22">
        <f>('Evolutive SFP'!AH7+'Evolutive SFP'!AH21)/'Evolutive SFP'!AH27</f>
        <v>0.31248256152769793</v>
      </c>
    </row>
    <row r="17" spans="1:36" ht="15">
      <c r="A17" s="335"/>
      <c r="B17" s="3" t="s">
        <v>192</v>
      </c>
      <c r="C17" s="20" t="s">
        <v>193</v>
      </c>
      <c r="D17" s="22">
        <f>'Evolutive SFP'!B21/'Evolutive SFP'!B27</f>
        <v>3.2278670786670176E-2</v>
      </c>
      <c r="E17" s="22">
        <f>'Evolutive SFP'!C21/'Evolutive SFP'!C27</f>
        <v>2.0791444883249046E-2</v>
      </c>
      <c r="F17" s="22">
        <f>'Evolutive SFP'!D21/'Evolutive SFP'!D27</f>
        <v>1.9701220102688953E-2</v>
      </c>
      <c r="G17" s="22">
        <f>'Evolutive SFP'!E21/'Evolutive SFP'!E27</f>
        <v>1.9776856353971192E-2</v>
      </c>
      <c r="H17" s="22">
        <f>'Evolutive SFP'!F21/'Evolutive SFP'!F27</f>
        <v>1.9330926489853899E-2</v>
      </c>
      <c r="I17" s="22">
        <f>'Evolutive SFP'!G21/'Evolutive SFP'!G27</f>
        <v>1.9870722313093666E-2</v>
      </c>
      <c r="J17" s="22">
        <f>'Evolutive SFP'!H21/'Evolutive SFP'!H27</f>
        <v>2.0313095592831017E-2</v>
      </c>
      <c r="K17" s="22">
        <f>'Evolutive SFP'!I21/'Evolutive SFP'!I27</f>
        <v>2.310818860659691E-2</v>
      </c>
      <c r="L17" s="22">
        <f>'Evolutive SFP'!J21/'Evolutive SFP'!J27</f>
        <v>1.9962287389978416E-2</v>
      </c>
      <c r="M17" s="22">
        <f>'Evolutive SFP'!K21/'Evolutive SFP'!K27</f>
        <v>1.962371948185759E-2</v>
      </c>
      <c r="N17" s="22">
        <f>'Evolutive SFP'!L21/'Evolutive SFP'!L27</f>
        <v>1.8903575280156803E-2</v>
      </c>
      <c r="O17" s="22">
        <f>'Evolutive SFP'!M21/'Evolutive SFP'!M27</f>
        <v>1.8618637826158337E-2</v>
      </c>
      <c r="P17" s="22">
        <f>'Evolutive SFP'!N21/'Evolutive SFP'!N27</f>
        <v>1.845858103730847E-2</v>
      </c>
      <c r="Q17" s="22">
        <f>'Evolutive SFP'!O21/'Evolutive SFP'!O27</f>
        <v>1.881566605075995E-2</v>
      </c>
      <c r="R17" s="22">
        <f>'Evolutive SFP'!P21/'Evolutive SFP'!P27</f>
        <v>1.8845822395825548E-2</v>
      </c>
      <c r="S17" s="22">
        <f>'Evolutive SFP'!Q21/'Evolutive SFP'!Q27</f>
        <v>1.6521459453353645E-2</v>
      </c>
      <c r="T17" s="22">
        <f>'Evolutive SFP'!R21/'Evolutive SFP'!R27</f>
        <v>1.7279759480741501E-2</v>
      </c>
      <c r="U17" s="22">
        <f>'Evolutive SFP'!S21/'Evolutive SFP'!S27</f>
        <v>2.0710655179169986E-2</v>
      </c>
      <c r="V17" s="22">
        <f>'Evolutive SFP'!T21/'Evolutive SFP'!T27</f>
        <v>0.32953874181568682</v>
      </c>
      <c r="W17" s="22">
        <f>'Evolutive SFP'!U21/'Evolutive SFP'!U27</f>
        <v>0.31787032201710047</v>
      </c>
      <c r="X17" s="22">
        <f>'Evolutive SFP'!V21/'Evolutive SFP'!V27</f>
        <v>0.31459853425694884</v>
      </c>
      <c r="Y17" s="22">
        <f>'Evolutive SFP'!W21/'Evolutive SFP'!W27</f>
        <v>0.31859133836117659</v>
      </c>
      <c r="Z17" s="22">
        <f>'Evolutive SFP'!X21/'Evolutive SFP'!X27</f>
        <v>0.30764392684649905</v>
      </c>
      <c r="AA17" s="22">
        <f>'Evolutive SFP'!Y21/'Evolutive SFP'!Y27</f>
        <v>0.31089200688410173</v>
      </c>
      <c r="AB17" s="22">
        <f>'Evolutive SFP'!Z21/'Evolutive SFP'!Z27</f>
        <v>0.30899208333357875</v>
      </c>
      <c r="AC17" s="22">
        <f>'Evolutive SFP'!AA21/'Evolutive SFP'!AA27</f>
        <v>0.30633229415494484</v>
      </c>
      <c r="AD17" s="22">
        <f>'Evolutive SFP'!AB21/'Evolutive SFP'!AB27</f>
        <v>0.29203706607346058</v>
      </c>
      <c r="AE17" s="22">
        <f>'Evolutive SFP'!AC21/'Evolutive SFP'!AC27</f>
        <v>0.28947350872868199</v>
      </c>
      <c r="AF17" s="22">
        <f>'Evolutive SFP'!AD21/'Evolutive SFP'!AD27</f>
        <v>0.28701421695879004</v>
      </c>
      <c r="AG17" s="22">
        <f>'Evolutive SFP'!AE21/'Evolutive SFP'!AE27</f>
        <v>0.28728589100899926</v>
      </c>
      <c r="AH17" s="22">
        <f>'Evolutive SFP'!AF21/'Evolutive SFP'!AF27</f>
        <v>0.28876400682428244</v>
      </c>
      <c r="AI17" s="22">
        <f>'Evolutive SFP'!AG21/'Evolutive SFP'!AG27</f>
        <v>0.28773387496666569</v>
      </c>
      <c r="AJ17" s="22">
        <f>'Evolutive SFP'!AH21/'Evolutive SFP'!AH27</f>
        <v>0.28815289606573807</v>
      </c>
    </row>
    <row r="18" spans="1:36" ht="15">
      <c r="A18" s="335"/>
      <c r="B18" s="3" t="s">
        <v>194</v>
      </c>
      <c r="C18" s="20" t="s">
        <v>193</v>
      </c>
      <c r="D18" s="22">
        <f>'Evolutive SFP'!B13/'Evolutive SFP'!B31</f>
        <v>3.6721969312762956E-3</v>
      </c>
      <c r="E18" s="22">
        <f>'Evolutive SFP'!C13/'Evolutive SFP'!C31</f>
        <v>2.8952531226906497E-3</v>
      </c>
      <c r="F18" s="22">
        <f>'Evolutive SFP'!D13/'Evolutive SFP'!D31</f>
        <v>2.3502967762082237E-2</v>
      </c>
      <c r="G18" s="22">
        <f>'Evolutive SFP'!E13/'Evolutive SFP'!E31</f>
        <v>5.8252552133902846E-2</v>
      </c>
      <c r="H18" s="22">
        <f>'Evolutive SFP'!F13/'Evolutive SFP'!F31</f>
        <v>5.662576589346275E-2</v>
      </c>
      <c r="I18" s="22">
        <f>'Evolutive SFP'!G13/'Evolutive SFP'!G31</f>
        <v>5.6698470595981619E-2</v>
      </c>
      <c r="J18" s="22">
        <f>'Evolutive SFP'!H13/'Evolutive SFP'!H31</f>
        <v>5.7071269989261417E-2</v>
      </c>
      <c r="K18" s="22">
        <f>'Evolutive SFP'!I13/'Evolutive SFP'!I31</f>
        <v>5.6449814625587437E-2</v>
      </c>
      <c r="L18" s="22">
        <f>'Evolutive SFP'!J13/'Evolutive SFP'!J31</f>
        <v>5.6244512362983209E-2</v>
      </c>
      <c r="M18" s="22">
        <f>'Evolutive SFP'!K13/'Evolutive SFP'!K31</f>
        <v>5.608976688567667E-2</v>
      </c>
      <c r="N18" s="22">
        <f>'Evolutive SFP'!L13/'Evolutive SFP'!L31</f>
        <v>5.6034549565972792E-2</v>
      </c>
      <c r="O18" s="22">
        <f>'Evolutive SFP'!M13/'Evolutive SFP'!M31</f>
        <v>5.618464804514612E-2</v>
      </c>
      <c r="P18" s="22">
        <f>'Evolutive SFP'!N13/'Evolutive SFP'!N31</f>
        <v>5.5604869945564753E-2</v>
      </c>
      <c r="Q18" s="22">
        <f>'Evolutive SFP'!O13/'Evolutive SFP'!O31</f>
        <v>5.529234180184011E-2</v>
      </c>
      <c r="R18" s="22">
        <f>'Evolutive SFP'!P13/'Evolutive SFP'!P31</f>
        <v>2.753915044486284E-3</v>
      </c>
      <c r="S18" s="22">
        <f>'Evolutive SFP'!Q13/'Evolutive SFP'!Q31</f>
        <v>5.5007035434928991E-2</v>
      </c>
      <c r="T18" s="22">
        <f>'Evolutive SFP'!R13/'Evolutive SFP'!R31</f>
        <v>5.3813477243872206E-2</v>
      </c>
      <c r="U18" s="22">
        <f>'Evolutive SFP'!S13/'Evolutive SFP'!S31</f>
        <v>5.2162848984884998E-2</v>
      </c>
      <c r="V18" s="22">
        <f>'Evolutive SFP'!T13/'Evolutive SFP'!T31</f>
        <v>5.3837884046713448E-2</v>
      </c>
      <c r="W18" s="22">
        <f>'Evolutive SFP'!U13/'Evolutive SFP'!U31</f>
        <v>5.3768945072801479E-2</v>
      </c>
      <c r="X18" s="22">
        <f>'Evolutive SFP'!V13/'Evolutive SFP'!V31</f>
        <v>5.3356490158518344E-2</v>
      </c>
      <c r="Y18" s="22">
        <f>'Evolutive SFP'!W13/'Evolutive SFP'!W31</f>
        <v>5.3334553986249734E-2</v>
      </c>
      <c r="Z18" s="22">
        <f>'Evolutive SFP'!X13/'Evolutive SFP'!X31</f>
        <v>5.3181698969121213E-2</v>
      </c>
      <c r="AA18" s="22">
        <f>'Evolutive SFP'!Y13/'Evolutive SFP'!Y31</f>
        <v>5.3291289176120631E-2</v>
      </c>
      <c r="AB18" s="22">
        <f>'Evolutive SFP'!Z13/'Evolutive SFP'!Z31</f>
        <v>5.3062020940654944E-2</v>
      </c>
      <c r="AC18" s="22">
        <f>'Evolutive SFP'!AA13/'Evolutive SFP'!AA31</f>
        <v>5.2938455904323264E-2</v>
      </c>
      <c r="AD18" s="22">
        <f>'Evolutive SFP'!AB13/'Evolutive SFP'!AB31</f>
        <v>5.2305554207693131E-2</v>
      </c>
      <c r="AE18" s="22">
        <f>'Evolutive SFP'!AC13/'Evolutive SFP'!AC31</f>
        <v>2.5820535833382821E-3</v>
      </c>
      <c r="AF18" s="22">
        <f>'Evolutive SFP'!AD13/'Evolutive SFP'!AD31</f>
        <v>0</v>
      </c>
      <c r="AG18" s="22">
        <f>'Evolutive SFP'!AE13/'Evolutive SFP'!AE31</f>
        <v>0</v>
      </c>
      <c r="AH18" s="22">
        <f>'Evolutive SFP'!AF13/'Evolutive SFP'!AF31</f>
        <v>0</v>
      </c>
      <c r="AI18" s="22">
        <f>'Evolutive SFP'!AG13/'Evolutive SFP'!AG31</f>
        <v>0</v>
      </c>
      <c r="AJ18" s="22">
        <f>'Evolutive SFP'!AH13/'Evolutive SFP'!AH31</f>
        <v>0</v>
      </c>
    </row>
    <row r="19" spans="1:36">
      <c r="A19" s="335"/>
      <c r="B19" s="49" t="s">
        <v>195</v>
      </c>
      <c r="C19" s="21" t="s">
        <v>196</v>
      </c>
      <c r="D19" s="22">
        <f>'Evolutive SFP'!B13/(CAELS!D3*1000000)</f>
        <v>3.0948443377048846E-2</v>
      </c>
      <c r="E19" s="22">
        <f>'Evolutive SFP'!C13/(CAELS!E3*1000000)</f>
        <v>1.1954369940703655E-2</v>
      </c>
      <c r="F19" s="22">
        <f>'Evolutive SFP'!D13/(CAELS!F3*1000000)</f>
        <v>9.1814674644397881E-2</v>
      </c>
      <c r="G19" s="22">
        <f>'Evolutive SFP'!E13/(CAELS!G3*1000000)</f>
        <v>0.22492835474002296</v>
      </c>
      <c r="H19" s="22">
        <f>'Evolutive SFP'!F13/(CAELS!H3*1000000)</f>
        <v>0.21995091287069307</v>
      </c>
      <c r="I19" s="22">
        <f>'Evolutive SFP'!G13/(CAELS!I3*1000000)</f>
        <v>0.21320318009857034</v>
      </c>
      <c r="J19" s="22">
        <f>'Evolutive SFP'!H13/(CAELS!J3*1000000)</f>
        <v>0.21076267612147043</v>
      </c>
      <c r="K19" s="22">
        <f>'Evolutive SFP'!I13/(CAELS!K3*1000000)</f>
        <v>0.21116029210606768</v>
      </c>
      <c r="L19" s="22">
        <f>'Evolutive SFP'!J13/(CAELS!L3*1000000)</f>
        <v>0.21169802493133932</v>
      </c>
      <c r="M19" s="22">
        <f>'Evolutive SFP'!K13/(CAELS!M3*1000000)</f>
        <v>0.21008137838773486</v>
      </c>
      <c r="N19" s="22">
        <f>'Evolutive SFP'!L13/(CAELS!N3*1000000)</f>
        <v>0.20755654464494749</v>
      </c>
      <c r="O19" s="22">
        <f>'Evolutive SFP'!M13/(CAELS!O3*1000000)</f>
        <v>0.20543118908278166</v>
      </c>
      <c r="P19" s="22">
        <f>'Evolutive SFP'!N13/(CAELS!P3*1000000)</f>
        <v>0.20663412707438258</v>
      </c>
      <c r="Q19" s="22">
        <f>'Evolutive SFP'!O13/(CAELS!Q3*1000000)</f>
        <v>0.21764661287179432</v>
      </c>
      <c r="R19" s="22">
        <f>'Evolutive SFP'!P13/(CAELS!R3*1000000)</f>
        <v>1.1301992893359862E-2</v>
      </c>
      <c r="S19" s="22">
        <f>'Evolutive SFP'!Q13/(CAELS!S3*1000000)</f>
        <v>0.21449664685632833</v>
      </c>
      <c r="T19" s="22">
        <f>'Evolutive SFP'!R13/(CAELS!T3*1000000)</f>
        <v>0.21428367681034508</v>
      </c>
      <c r="U19" s="22">
        <f>'Evolutive SFP'!S13/(CAELS!U3*1000000)</f>
        <v>0.2097173301207482</v>
      </c>
      <c r="V19" s="22">
        <f>'Evolutive SFP'!T13/(CAELS!V3*1000000)</f>
        <v>0.19931826377936585</v>
      </c>
      <c r="W19" s="22">
        <f>'Evolutive SFP'!U13/(CAELS!W3*1000000)</f>
        <v>0.19711157276353874</v>
      </c>
      <c r="X19" s="22">
        <f>'Evolutive SFP'!V13/(CAELS!X3*1000000)</f>
        <v>0.19729953628994817</v>
      </c>
      <c r="Y19" s="22">
        <f>'Evolutive SFP'!W13/(CAELS!Y3*1000000)</f>
        <v>0.20346608204575459</v>
      </c>
      <c r="Z19" s="22">
        <f>'Evolutive SFP'!X13/(CAELS!Z3*1000000)</f>
        <v>0.19784386858094413</v>
      </c>
      <c r="AA19" s="22">
        <f>'Evolutive SFP'!Y13/(CAELS!AA3*1000000)</f>
        <v>0.19502946266703095</v>
      </c>
      <c r="AB19" s="22">
        <f>'Evolutive SFP'!Z13/(CAELS!AB3*1000000)</f>
        <v>0.19111655572498687</v>
      </c>
      <c r="AC19" s="22">
        <f>'Evolutive SFP'!AA13/(CAELS!AC3*1000000)</f>
        <v>0.1900706318249179</v>
      </c>
      <c r="AD19" s="22">
        <f>'Evolutive SFP'!AB13/(CAELS!AD3*1000000)</f>
        <v>0.19032305228197974</v>
      </c>
      <c r="AE19" s="22">
        <f>'Evolutive SFP'!AC13/(CAELS!AE3*1000000)</f>
        <v>9.8334646043746199E-3</v>
      </c>
      <c r="AF19" s="22">
        <f>'Evolutive SFP'!AD13/(CAELS!AF3*1000000)</f>
        <v>0</v>
      </c>
      <c r="AG19" s="22">
        <f>'Evolutive SFP'!AE13/(CAELS!AG3*1000000)</f>
        <v>0</v>
      </c>
      <c r="AH19" s="22">
        <f>'Evolutive SFP'!AF13/(CAELS!AH3*1000000)</f>
        <v>0</v>
      </c>
      <c r="AI19" s="22">
        <f>'Evolutive SFP'!AG13/(CAELS!AI3*1000000)</f>
        <v>0</v>
      </c>
      <c r="AJ19" s="22">
        <f>'Evolutive SFP'!AH13/(CAELS!AJ3*1000000)</f>
        <v>0</v>
      </c>
    </row>
    <row r="20" spans="1:36">
      <c r="A20" s="335"/>
      <c r="B20" s="4" t="s">
        <v>197</v>
      </c>
      <c r="C20" s="21"/>
      <c r="D20" s="22">
        <f>'Evolutive SFP'!B15/'Evolutive SFP'!B27</f>
        <v>0.74763911512819969</v>
      </c>
      <c r="E20" s="22">
        <f>'Evolutive SFP'!C15/'Evolutive SFP'!C27</f>
        <v>0.80420868939563483</v>
      </c>
      <c r="F20" s="22">
        <f>'Evolutive SFP'!D15/'Evolutive SFP'!D27</f>
        <v>0.85098594085951529</v>
      </c>
      <c r="G20" s="22">
        <f>'Evolutive SFP'!E15/'Evolutive SFP'!E27</f>
        <v>0.83896397270929757</v>
      </c>
      <c r="H20" s="22">
        <f>'Evolutive SFP'!F15/'Evolutive SFP'!F27</f>
        <v>0.81819878389442358</v>
      </c>
      <c r="I20" s="22">
        <f>'Evolutive SFP'!G15/'Evolutive SFP'!G27</f>
        <v>0.81655086304301339</v>
      </c>
      <c r="J20" s="22">
        <f>'Evolutive SFP'!H15/'Evolutive SFP'!H27</f>
        <v>0.81770107354744737</v>
      </c>
      <c r="K20" s="22">
        <f>'Evolutive SFP'!I15/'Evolutive SFP'!I27</f>
        <v>0.82744929533667944</v>
      </c>
      <c r="L20" s="22">
        <f>'Evolutive SFP'!J15/'Evolutive SFP'!J27</f>
        <v>0.82404237450129669</v>
      </c>
      <c r="M20" s="22">
        <f>'Evolutive SFP'!K15/'Evolutive SFP'!K27</f>
        <v>0.81985589873558962</v>
      </c>
      <c r="N20" s="22">
        <f>'Evolutive SFP'!L15/'Evolutive SFP'!L27</f>
        <v>0.81006239299009208</v>
      </c>
      <c r="O20" s="22">
        <f>'Evolutive SFP'!M15/'Evolutive SFP'!M27</f>
        <v>0.80690339553911228</v>
      </c>
      <c r="P20" s="22">
        <f>'Evolutive SFP'!N15/'Evolutive SFP'!N27</f>
        <v>0.80817447013000787</v>
      </c>
      <c r="Q20" s="22">
        <f>'Evolutive SFP'!O15/'Evolutive SFP'!O27</f>
        <v>0.79233063469619214</v>
      </c>
      <c r="R20" s="22">
        <f>'Evolutive SFP'!P15/'Evolutive SFP'!P27</f>
        <v>0.80088563834817061</v>
      </c>
      <c r="S20" s="22">
        <f>'Evolutive SFP'!Q15/'Evolutive SFP'!Q27</f>
        <v>0.77166214818952716</v>
      </c>
      <c r="T20" s="22">
        <f>'Evolutive SFP'!R15/'Evolutive SFP'!R27</f>
        <v>0.76607757968399959</v>
      </c>
      <c r="U20" s="22">
        <f>'Evolutive SFP'!S15/'Evolutive SFP'!S27</f>
        <v>0.7872757148770938</v>
      </c>
      <c r="V20" s="22">
        <f>'Evolutive SFP'!T15/'Evolutive SFP'!T27</f>
        <v>0.55275411596837221</v>
      </c>
      <c r="W20" s="22">
        <f>'Evolutive SFP'!U15/'Evolutive SFP'!U27</f>
        <v>0.55910696791781467</v>
      </c>
      <c r="X20" s="22">
        <f>'Evolutive SFP'!V15/'Evolutive SFP'!V27</f>
        <v>0.54858354120895303</v>
      </c>
      <c r="Y20" s="22">
        <f>'Evolutive SFP'!W15/'Evolutive SFP'!W27</f>
        <v>0.54878664487310447</v>
      </c>
      <c r="Z20" s="22">
        <f>'Evolutive SFP'!X15/'Evolutive SFP'!X27</f>
        <v>0.55470993349433095</v>
      </c>
      <c r="AA20" s="22">
        <f>'Evolutive SFP'!Y15/'Evolutive SFP'!Y27</f>
        <v>0.55478604695004285</v>
      </c>
      <c r="AB20" s="22">
        <f>'Evolutive SFP'!Z15/'Evolutive SFP'!Z27</f>
        <v>0.55039779200844052</v>
      </c>
      <c r="AC20" s="22">
        <f>'Evolutive SFP'!AA15/'Evolutive SFP'!AA27</f>
        <v>0.54670784464557798</v>
      </c>
      <c r="AD20" s="22">
        <f>'Evolutive SFP'!AB15/'Evolutive SFP'!AB27</f>
        <v>0.53133172263910067</v>
      </c>
      <c r="AE20" s="22">
        <f>'Evolutive SFP'!AC15/'Evolutive SFP'!AC27</f>
        <v>0.53315036789304959</v>
      </c>
      <c r="AF20" s="22">
        <f>'Evolutive SFP'!AD15/'Evolutive SFP'!AD27</f>
        <v>0.5442164527158867</v>
      </c>
      <c r="AG20" s="22">
        <f>'Evolutive SFP'!AE15/'Evolutive SFP'!AE27</f>
        <v>0.54211431578805502</v>
      </c>
      <c r="AH20" s="22">
        <f>'Evolutive SFP'!AF15/'Evolutive SFP'!AF27</f>
        <v>0.54951872062040152</v>
      </c>
      <c r="AI20" s="22">
        <f>'Evolutive SFP'!AG15/'Evolutive SFP'!AG27</f>
        <v>0.55574188274286085</v>
      </c>
      <c r="AJ20" s="22">
        <f>'Evolutive SFP'!AH15/'Evolutive SFP'!AH27</f>
        <v>0.55917538338682937</v>
      </c>
    </row>
    <row r="21" spans="1:36">
      <c r="A21" s="334" t="s">
        <v>198</v>
      </c>
      <c r="B21" s="50" t="s">
        <v>199</v>
      </c>
      <c r="C21" s="2"/>
      <c r="D21" s="22">
        <f>'Evolutive SFP'!B31/'Evolutive SFP'!B27</f>
        <v>0.85159482956904442</v>
      </c>
      <c r="E21" s="22">
        <f>'Evolutive SFP'!C31/'Evolutive SFP'!C27</f>
        <v>0.70127473474843538</v>
      </c>
      <c r="F21" s="22">
        <f>'Evolutive SFP'!D31/'Evolutive SFP'!D27</f>
        <v>0.7150147823108467</v>
      </c>
      <c r="G21" s="22">
        <f>'Evolutive SFP'!E31/'Evolutive SFP'!E27</f>
        <v>0.69888985848556162</v>
      </c>
      <c r="H21" s="22">
        <f>'Evolutive SFP'!F31/'Evolutive SFP'!F27</f>
        <v>0.70078431612554992</v>
      </c>
      <c r="I21" s="22">
        <f>'Evolutive SFP'!G31/'Evolutive SFP'!G27</f>
        <v>0.69807327615993764</v>
      </c>
      <c r="J21" s="22">
        <f>'Evolutive SFP'!H31/'Evolutive SFP'!H27</f>
        <v>0.69420379492828854</v>
      </c>
      <c r="K21" s="22">
        <f>'Evolutive SFP'!I31/'Evolutive SFP'!I27</f>
        <v>0.69556896819756064</v>
      </c>
      <c r="L21" s="22">
        <f>'Evolutive SFP'!J31/'Evolutive SFP'!J27</f>
        <v>0.6930121376938706</v>
      </c>
      <c r="M21" s="22">
        <f>'Evolutive SFP'!K31/'Evolutive SFP'!K27</f>
        <v>0.69085551927299949</v>
      </c>
      <c r="N21" s="22">
        <f>'Evolutive SFP'!L31/'Evolutive SFP'!L27</f>
        <v>0.66119509951830069</v>
      </c>
      <c r="O21" s="22">
        <f>'Evolutive SFP'!M31/'Evolutive SFP'!M27</f>
        <v>0.65685713100145715</v>
      </c>
      <c r="P21" s="22">
        <f>'Evolutive SFP'!N31/'Evolutive SFP'!N27</f>
        <v>0.66050741281160297</v>
      </c>
      <c r="Q21" s="22">
        <f>'Evolutive SFP'!O31/'Evolutive SFP'!O27</f>
        <v>0.6367957608949053</v>
      </c>
      <c r="R21" s="22">
        <f>'Evolutive SFP'!P31/'Evolutive SFP'!P27</f>
        <v>0.66438914658284243</v>
      </c>
      <c r="S21" s="22">
        <f>'Evolutive SFP'!Q31/'Evolutive SFP'!Q27</f>
        <v>0.63752079621593349</v>
      </c>
      <c r="T21" s="22">
        <f>'Evolutive SFP'!R31/'Evolutive SFP'!R27</f>
        <v>0.64480771976920637</v>
      </c>
      <c r="U21" s="22">
        <f>'Evolutive SFP'!S31/'Evolutive SFP'!S27</f>
        <v>0.6788971006060166</v>
      </c>
      <c r="V21" s="22">
        <f>'Evolutive SFP'!T31/'Evolutive SFP'!T27</f>
        <v>0.66422753281548186</v>
      </c>
      <c r="W21" s="22">
        <f>'Evolutive SFP'!U31/'Evolutive SFP'!U27</f>
        <v>0.66336201056842858</v>
      </c>
      <c r="X21" s="22">
        <f>'Evolutive SFP'!V31/'Evolutive SFP'!V27</f>
        <v>0.6641073653667805</v>
      </c>
      <c r="Y21" s="22">
        <f>'Evolutive SFP'!W31/'Evolutive SFP'!W27</f>
        <v>0.66047159536130695</v>
      </c>
      <c r="Z21" s="22">
        <f>'Evolutive SFP'!X31/'Evolutive SFP'!X27</f>
        <v>0.65871538029687804</v>
      </c>
      <c r="AA21" s="22">
        <f>'Evolutive SFP'!Y31/'Evolutive SFP'!Y27</f>
        <v>0.65617168927620195</v>
      </c>
      <c r="AB21" s="22">
        <f>'Evolutive SFP'!Z31/'Evolutive SFP'!Z27</f>
        <v>0.65385880230121507</v>
      </c>
      <c r="AC21" s="22">
        <f>'Evolutive SFP'!AA31/'Evolutive SFP'!AA27</f>
        <v>0.65273048942830103</v>
      </c>
      <c r="AD21" s="22">
        <f>'Evolutive SFP'!AB31/'Evolutive SFP'!AB27</f>
        <v>0.63466093053580375</v>
      </c>
      <c r="AE21" s="22">
        <f>'Evolutive SFP'!AC31/'Evolutive SFP'!AC27</f>
        <v>0.6658610844705205</v>
      </c>
      <c r="AF21" s="22">
        <f>'Evolutive SFP'!AD31/'Evolutive SFP'!AD27</f>
        <v>0.6371063888667744</v>
      </c>
      <c r="AG21" s="22">
        <f>'Evolutive SFP'!AE31/'Evolutive SFP'!AE27</f>
        <v>0.63719887437279399</v>
      </c>
      <c r="AH21" s="22">
        <f>'Evolutive SFP'!AF31/'Evolutive SFP'!AF27</f>
        <v>0.66610344316003323</v>
      </c>
      <c r="AI21" s="22">
        <f>'Evolutive SFP'!AG31/'Evolutive SFP'!AG27</f>
        <v>0.6648595465753524</v>
      </c>
      <c r="AJ21" s="22">
        <f>'Evolutive SFP'!AH31/'Evolutive SFP'!AH27</f>
        <v>0.6631151084497563</v>
      </c>
    </row>
    <row r="22" spans="1:36">
      <c r="A22" s="334"/>
      <c r="B22" s="50" t="s">
        <v>200</v>
      </c>
      <c r="C22" s="2"/>
      <c r="D22" s="22">
        <f>'Evolutive SFP'!B30/'Evolutive SFP'!B27</f>
        <v>0.74257767546849374</v>
      </c>
      <c r="E22" s="22">
        <f>'Evolutive SFP'!C30/'Evolutive SFP'!C27</f>
        <v>0.5239537958664694</v>
      </c>
      <c r="F22" s="22">
        <f>'Evolutive SFP'!D30/'Evolutive SFP'!D27</f>
        <v>0.5556223051439102</v>
      </c>
      <c r="G22" s="22">
        <f>'Evolutive SFP'!E30/'Evolutive SFP'!E27</f>
        <v>0.55301322076895421</v>
      </c>
      <c r="H22" s="22">
        <f>'Evolutive SFP'!F30/'Evolutive SFP'!F27</f>
        <v>0.53958137594273969</v>
      </c>
      <c r="I22" s="22">
        <f>'Evolutive SFP'!G30/'Evolutive SFP'!G27</f>
        <v>0.54262735062261191</v>
      </c>
      <c r="J22" s="22">
        <f>'Evolutive SFP'!H30/'Evolutive SFP'!H27</f>
        <v>0.54613435997030735</v>
      </c>
      <c r="K22" s="22">
        <f>'Evolutive SFP'!I30/'Evolutive SFP'!I27</f>
        <v>0.54545207209235791</v>
      </c>
      <c r="L22" s="22">
        <f>'Evolutive SFP'!J30/'Evolutive SFP'!J27</f>
        <v>0.54051338713078922</v>
      </c>
      <c r="M22" s="22">
        <f>'Evolutive SFP'!K30/'Evolutive SFP'!K27</f>
        <v>0.5396350975961568</v>
      </c>
      <c r="N22" s="22">
        <f>'Evolutive SFP'!L30/'Evolutive SFP'!L27</f>
        <v>0.518364411494736</v>
      </c>
      <c r="O22" s="22">
        <f>'Evolutive SFP'!M30/'Evolutive SFP'!M27</f>
        <v>0.51613389274426136</v>
      </c>
      <c r="P22" s="22">
        <f>'Evolutive SFP'!N30/'Evolutive SFP'!N27</f>
        <v>0.51671789255767342</v>
      </c>
      <c r="Q22" s="22">
        <f>'Evolutive SFP'!O30/'Evolutive SFP'!O27</f>
        <v>0.50085476295262477</v>
      </c>
      <c r="R22" s="22">
        <f>'Evolutive SFP'!P30/'Evolutive SFP'!P27</f>
        <v>0.50163859070669314</v>
      </c>
      <c r="S22" s="22">
        <f>'Evolutive SFP'!Q30/'Evolutive SFP'!Q27</f>
        <v>0.50268224617328705</v>
      </c>
      <c r="T22" s="22">
        <f>'Evolutive SFP'!R30/'Evolutive SFP'!R27</f>
        <v>0.5012800698057337</v>
      </c>
      <c r="U22" s="22">
        <f>'Evolutive SFP'!S30/'Evolutive SFP'!S27</f>
        <v>0.51193908076975614</v>
      </c>
      <c r="V22" s="22">
        <f>'Evolutive SFP'!T30/'Evolutive SFP'!T27</f>
        <v>0.51968122112326354</v>
      </c>
      <c r="W22" s="22">
        <f>'Evolutive SFP'!U30/'Evolutive SFP'!U27</f>
        <v>0.52169635201132181</v>
      </c>
      <c r="X22" s="22">
        <f>'Evolutive SFP'!V30/'Evolutive SFP'!V27</f>
        <v>0.51794609582765427</v>
      </c>
      <c r="Y22" s="22">
        <f>'Evolutive SFP'!W30/'Evolutive SFP'!W27</f>
        <v>0.51484850136897475</v>
      </c>
      <c r="Z22" s="22">
        <f>'Evolutive SFP'!X30/'Evolutive SFP'!X27</f>
        <v>0.51147366073330414</v>
      </c>
      <c r="AA22" s="22">
        <f>'Evolutive SFP'!Y30/'Evolutive SFP'!Y27</f>
        <v>0.51280920526963614</v>
      </c>
      <c r="AB22" s="22">
        <f>'Evolutive SFP'!Z30/'Evolutive SFP'!Z27</f>
        <v>0.51113935102094532</v>
      </c>
      <c r="AC22" s="22">
        <f>'Evolutive SFP'!AA30/'Evolutive SFP'!AA27</f>
        <v>0.51199945501028754</v>
      </c>
      <c r="AD22" s="22">
        <f>'Evolutive SFP'!AB30/'Evolutive SFP'!AB27</f>
        <v>0.49597430333496151</v>
      </c>
      <c r="AE22" s="22">
        <f>'Evolutive SFP'!AC30/'Evolutive SFP'!AC27</f>
        <v>0.49767678739634658</v>
      </c>
      <c r="AF22" s="22">
        <f>'Evolutive SFP'!AD30/'Evolutive SFP'!AD27</f>
        <v>0.49770352444221055</v>
      </c>
      <c r="AG22" s="22">
        <f>'Evolutive SFP'!AE30/'Evolutive SFP'!AE27</f>
        <v>0.49834658285732575</v>
      </c>
      <c r="AH22" s="22">
        <f>'Evolutive SFP'!AF30/'Evolutive SFP'!AF27</f>
        <v>0.51248130743611509</v>
      </c>
      <c r="AI22" s="22">
        <f>'Evolutive SFP'!AG30/'Evolutive SFP'!AG27</f>
        <v>0.51896212535843078</v>
      </c>
      <c r="AJ22" s="22">
        <f>'Evolutive SFP'!AH30/'Evolutive SFP'!AH27</f>
        <v>0.52255919756718661</v>
      </c>
    </row>
    <row r="23" spans="1:36">
      <c r="A23" s="334"/>
      <c r="B23" s="50" t="s">
        <v>201</v>
      </c>
      <c r="C23" s="2"/>
      <c r="D23" s="22">
        <f>('Evolutive SFP'!B28+'Evolutive SFP'!B29)/'Evolutive SFP'!B27</f>
        <v>0.10901715410055068</v>
      </c>
      <c r="E23" s="22">
        <f>('Evolutive SFP'!C28+'Evolutive SFP'!C29)/'Evolutive SFP'!C27</f>
        <v>0.17732093888196598</v>
      </c>
      <c r="F23" s="22">
        <f>('Evolutive SFP'!D28+'Evolutive SFP'!D29)/'Evolutive SFP'!D27</f>
        <v>0.1593924771669365</v>
      </c>
      <c r="G23" s="22">
        <f>('Evolutive SFP'!E28+'Evolutive SFP'!E29)/'Evolutive SFP'!E27</f>
        <v>0.1458766377166075</v>
      </c>
      <c r="H23" s="22">
        <f>('Evolutive SFP'!F28+'Evolutive SFP'!F29)/'Evolutive SFP'!F27</f>
        <v>0.16120294018281017</v>
      </c>
      <c r="I23" s="22">
        <f>('Evolutive SFP'!G28+'Evolutive SFP'!G29)/'Evolutive SFP'!G27</f>
        <v>0.15544592553732567</v>
      </c>
      <c r="J23" s="22">
        <f>('Evolutive SFP'!H28+'Evolutive SFP'!H29)/'Evolutive SFP'!H27</f>
        <v>0.14806943495798117</v>
      </c>
      <c r="K23" s="22">
        <f>('Evolutive SFP'!I28+'Evolutive SFP'!I29)/'Evolutive SFP'!I27</f>
        <v>0.15011689610520265</v>
      </c>
      <c r="L23" s="22">
        <f>('Evolutive SFP'!J28+'Evolutive SFP'!J29)/'Evolutive SFP'!J27</f>
        <v>0.1524987505630814</v>
      </c>
      <c r="M23" s="22">
        <f>('Evolutive SFP'!K28+'Evolutive SFP'!K29)/'Evolutive SFP'!K27</f>
        <v>0.15122042167684271</v>
      </c>
      <c r="N23" s="22">
        <f>('Evolutive SFP'!L28+'Evolutive SFP'!L29)/'Evolutive SFP'!L27</f>
        <v>0.14283068802356466</v>
      </c>
      <c r="O23" s="22">
        <f>('Evolutive SFP'!M28+'Evolutive SFP'!M29)/'Evolutive SFP'!M27</f>
        <v>0.14072323825719588</v>
      </c>
      <c r="P23" s="22">
        <f>('Evolutive SFP'!N28+'Evolutive SFP'!N29)/'Evolutive SFP'!N27</f>
        <v>0.14378952025392958</v>
      </c>
      <c r="Q23" s="22">
        <f>('Evolutive SFP'!O28+'Evolutive SFP'!O29)/'Evolutive SFP'!O27</f>
        <v>0.13594099794228057</v>
      </c>
      <c r="R23" s="22">
        <f>('Evolutive SFP'!P28+'Evolutive SFP'!P29)/'Evolutive SFP'!P27</f>
        <v>0.1627505558761492</v>
      </c>
      <c r="S23" s="22">
        <f>('Evolutive SFP'!Q28+'Evolutive SFP'!Q29)/'Evolutive SFP'!Q27</f>
        <v>0.1348385500426465</v>
      </c>
      <c r="T23" s="22">
        <f>('Evolutive SFP'!R28+'Evolutive SFP'!R29)/'Evolutive SFP'!R27</f>
        <v>0.14352764996347264</v>
      </c>
      <c r="U23" s="22">
        <f>('Evolutive SFP'!S28+'Evolutive SFP'!S29)/'Evolutive SFP'!S27</f>
        <v>0.16695801983626052</v>
      </c>
      <c r="V23" s="22">
        <f>('Evolutive SFP'!T28+'Evolutive SFP'!T29)/'Evolutive SFP'!T27</f>
        <v>0.1445463116922184</v>
      </c>
      <c r="W23" s="22">
        <f>('Evolutive SFP'!U28+'Evolutive SFP'!U29)/'Evolutive SFP'!U27</f>
        <v>0.14166565855710672</v>
      </c>
      <c r="X23" s="22">
        <f>('Evolutive SFP'!V28+'Evolutive SFP'!V29)/'Evolutive SFP'!V27</f>
        <v>0.14616126953912628</v>
      </c>
      <c r="Y23" s="22">
        <f>('Evolutive SFP'!W28+'Evolutive SFP'!W29)/'Evolutive SFP'!W27</f>
        <v>0.14562309399233214</v>
      </c>
      <c r="Z23" s="22">
        <f>('Evolutive SFP'!X28+'Evolutive SFP'!X29)/'Evolutive SFP'!X27</f>
        <v>0.14724171956357396</v>
      </c>
      <c r="AA23" s="22">
        <f>('Evolutive SFP'!Y28+'Evolutive SFP'!Y29)/'Evolutive SFP'!Y27</f>
        <v>0.1433624840065659</v>
      </c>
      <c r="AB23" s="22">
        <f>('Evolutive SFP'!Z28+'Evolutive SFP'!Z29)/'Evolutive SFP'!Z27</f>
        <v>0.14271945128026972</v>
      </c>
      <c r="AC23" s="22">
        <f>('Evolutive SFP'!AA28+'Evolutive SFP'!AA29)/'Evolutive SFP'!AA27</f>
        <v>0.14073103441801346</v>
      </c>
      <c r="AD23" s="22">
        <f>('Evolutive SFP'!AB28+'Evolutive SFP'!AB29)/'Evolutive SFP'!AB27</f>
        <v>0.13868662720084227</v>
      </c>
      <c r="AE23" s="22">
        <f>('Evolutive SFP'!AC28+'Evolutive SFP'!AC29)/'Evolutive SFP'!AC27</f>
        <v>0.16818429707417398</v>
      </c>
      <c r="AF23" s="22">
        <f>('Evolutive SFP'!AD28+'Evolutive SFP'!AD29)/'Evolutive SFP'!AD27</f>
        <v>0.13940286442456379</v>
      </c>
      <c r="AG23" s="22">
        <f>('Evolutive SFP'!AE28+'Evolutive SFP'!AE29)/'Evolutive SFP'!AE27</f>
        <v>0.13885229151546827</v>
      </c>
      <c r="AH23" s="22">
        <f>('Evolutive SFP'!AF28+'Evolutive SFP'!AF29)/'Evolutive SFP'!AF27</f>
        <v>0.15362213572391814</v>
      </c>
      <c r="AI23" s="22">
        <f>('Evolutive SFP'!AG28+'Evolutive SFP'!AG29)/'Evolutive SFP'!AG27</f>
        <v>0.14589742121692167</v>
      </c>
      <c r="AJ23" s="22">
        <f>('Evolutive SFP'!AH28+'Evolutive SFP'!AH29)/'Evolutive SFP'!AH27</f>
        <v>0.14055591088256969</v>
      </c>
    </row>
    <row r="24" spans="1:36">
      <c r="A24" s="333" t="s">
        <v>202</v>
      </c>
      <c r="B24" s="50" t="s">
        <v>65</v>
      </c>
      <c r="C24" s="2"/>
      <c r="D24" s="22" t="e">
        <f>(Financials!C4-Financials!B4)/Financials!B4</f>
        <v>#VALUE!</v>
      </c>
      <c r="E24" s="22">
        <f>(Financials!D4-Financials!C4)/Financials!C4</f>
        <v>7.1910528141078602</v>
      </c>
      <c r="F24" s="22">
        <f>(Financials!E4-Financials!D4)/Financials!D4</f>
        <v>-4.9855130303663037E-2</v>
      </c>
      <c r="G24" s="22">
        <f>(Financials!F4-Financials!E4)/Financials!E4</f>
        <v>1.1693093702623116E-2</v>
      </c>
      <c r="H24" s="22">
        <f>(Financials!G4-Financials!F4)/Financials!F4</f>
        <v>2.5947725661683289E-2</v>
      </c>
      <c r="I24" s="22">
        <f>(Financials!H4-Financials!G4)/Financials!G4</f>
        <v>2.5963192741707253E-3</v>
      </c>
      <c r="J24" s="22">
        <f>(Financials!I4-Financials!H4)/Financials!H4</f>
        <v>-9.945984002016797E-4</v>
      </c>
      <c r="K24" s="22">
        <f>(Financials!J4-Financials!I4)/Financials!I4</f>
        <v>9.0247102119912787E-3</v>
      </c>
      <c r="L24" s="22">
        <f>(Financials!K4-Financials!J4)/Financials!J4</f>
        <v>7.3530867106543435E-3</v>
      </c>
      <c r="M24" s="22">
        <f>(Financials!L4-Financials!K4)/Financials!K4</f>
        <v>5.8891654203592414E-3</v>
      </c>
      <c r="N24" s="22">
        <f>(Financials!M4-Financials!L4)/Financials!L4</f>
        <v>4.588842172008107E-2</v>
      </c>
      <c r="O24" s="22">
        <f>(Financials!N4-Financials!M4)/Financials!M4</f>
        <v>3.9149636356024869E-3</v>
      </c>
      <c r="P24" s="22">
        <f>(Financials!O4-Financials!N4)/Financials!N4</f>
        <v>4.8426459369067219E-3</v>
      </c>
      <c r="Q24" s="22">
        <f>(Financials!P4-Financials!O4)/Financials!O4</f>
        <v>4.3098636289125088E-2</v>
      </c>
      <c r="R24" s="22">
        <f>(Financials!Q4-Financials!P4)/Financials!P4</f>
        <v>-1.6001607376007836E-3</v>
      </c>
      <c r="S24" s="22">
        <f>(Financials!R4-Financials!Q4)/Financials!Q4</f>
        <v>5.6527591485238888E-3</v>
      </c>
      <c r="T24" s="22">
        <f>(Financials!S4-Financials!R4)/Financials!R4</f>
        <v>1.0627966250883598E-2</v>
      </c>
      <c r="U24" s="22">
        <f>(Financials!T4-Financials!S4)/Financials!S4</f>
        <v>-1.5097807039182684E-2</v>
      </c>
      <c r="V24" s="22">
        <f>(Financials!U4-Financials!T4)/Financials!T4</f>
        <v>-9.7145436497025634E-3</v>
      </c>
      <c r="W24" s="22">
        <f>(Financials!V4-Financials!U4)/Financials!U4</f>
        <v>2.5885575178013717E-3</v>
      </c>
      <c r="X24" s="22">
        <f>(Financials!W4-Financials!V4)/Financials!V4</f>
        <v>6.5991565763202486E-3</v>
      </c>
      <c r="Y24" s="22">
        <f>(Financials!X4-Financials!W4)/Financials!W4</f>
        <v>5.9183669455245506E-3</v>
      </c>
      <c r="Z24" s="22">
        <f>(Financials!Y4-Financials!X4)/Financials!X4</f>
        <v>5.5479875575026585E-3</v>
      </c>
      <c r="AA24" s="22">
        <f>(Financials!Z4-Financials!Y4)/Financials!Y4</f>
        <v>1.8121537571983411E-3</v>
      </c>
      <c r="AB24" s="22">
        <f>(Financials!AA4-Financials!Z4)/Financials!Z4</f>
        <v>7.8733314766362434E-3</v>
      </c>
      <c r="AC24" s="22">
        <f>(Financials!AB4-Financials!AA4)/Financials!AA4</f>
        <v>4.0667654878519767E-3</v>
      </c>
      <c r="AD24" s="22">
        <f>(Financials!AC4-Financials!AB4)/Financials!AB4</f>
        <v>4.0915790787891405E-2</v>
      </c>
      <c r="AE24" s="22">
        <f>(Financials!AD4-Financials!AC4)/Financials!AC4</f>
        <v>-3.4111300741213935E-3</v>
      </c>
      <c r="AF24" s="22">
        <f>(Financials!AE4-Financials!AD4)/Financials!AD4</f>
        <v>3.3032197237327964E-3</v>
      </c>
      <c r="AG24" s="22">
        <f>(Financials!AF4-Financials!AE4)/Financials!AE4</f>
        <v>6.3641984304274486E-3</v>
      </c>
      <c r="AH24" s="22">
        <f>(Financials!AG4-Financials!AF4)/Financials!AF4</f>
        <v>-2.3530987092133582E-2</v>
      </c>
      <c r="AI24" s="22">
        <f>(Financials!AH4-Financials!AG4)/Financials!AG4</f>
        <v>-6.0304832746917326E-3</v>
      </c>
      <c r="AJ24" s="22">
        <f>(Financials!AI4-Financials!AH4)/Financials!AH4</f>
        <v>-6.0551898183894867E-4</v>
      </c>
    </row>
    <row r="25" spans="1:36">
      <c r="A25" s="333"/>
      <c r="B25" s="50" t="s">
        <v>131</v>
      </c>
      <c r="C25" s="2" t="e">
        <f ca="1">IF(CAELS!D16&lt;6%,"1",_xludf.IF)</f>
        <v>#NAME?</v>
      </c>
      <c r="D25" s="22">
        <f>Financials!D5/Financials!C5-1</f>
        <v>5.7452011098174438</v>
      </c>
      <c r="E25" s="22">
        <f>Financials!E5/Financials!D5-1</f>
        <v>-3.1238980235898439E-2</v>
      </c>
      <c r="F25" s="22">
        <f>Financials!F5/Financials!E5-1</f>
        <v>-1.1122482246448073E-2</v>
      </c>
      <c r="G25" s="22">
        <f>Financials!G5/Financials!F5-1</f>
        <v>2.8728728252449098E-2</v>
      </c>
      <c r="H25" s="22">
        <f>Financials!H5/Financials!G5-1</f>
        <v>-1.2823044740827294E-3</v>
      </c>
      <c r="I25" s="22">
        <f>Financials!I5/Financials!H5-1</f>
        <v>-6.5321727263112361E-3</v>
      </c>
      <c r="J25" s="22">
        <f>Financials!J5/Financials!I5-1</f>
        <v>1.1008988564371602E-2</v>
      </c>
      <c r="K25" s="22">
        <f>Financials!K5/Financials!J5-1</f>
        <v>3.6501741055070536E-3</v>
      </c>
      <c r="L25" s="22">
        <f>Financials!L5/Financials!K5-1</f>
        <v>2.7588896495494009E-3</v>
      </c>
      <c r="M25" s="22">
        <f>Financials!M5/Financials!L5-1</f>
        <v>9.8541560754172863E-4</v>
      </c>
      <c r="N25" s="22">
        <f>Financials!N5/Financials!M5-1</f>
        <v>-2.671521214348771E-3</v>
      </c>
      <c r="O25" s="22">
        <f>Financials!O5/Financials!N5-1</f>
        <v>1.0426750393426776E-2</v>
      </c>
      <c r="P25" s="22">
        <f>Financials!P5/Financials!O5-1</f>
        <v>5.6522862577370603E-3</v>
      </c>
      <c r="Q25" s="22">
        <f>Financials!Q5/Financials!P5-1</f>
        <v>4.1662111920788281E-2</v>
      </c>
      <c r="R25" s="22">
        <f>Financials!R5/Financials!Q5-1</f>
        <v>-3.5016524537437088E-2</v>
      </c>
      <c r="S25" s="22">
        <f>Financials!S5/Financials!R5-1</f>
        <v>2.2179540371416895E-2</v>
      </c>
      <c r="T25" s="22">
        <f>Financials!T5/Financials!S5-1</f>
        <v>3.697152295405659E-2</v>
      </c>
      <c r="U25" s="22">
        <f>Financials!U5/Financials!T5-1</f>
        <v>-3.1112572336146727E-2</v>
      </c>
      <c r="V25" s="22">
        <f>Financials!V5/Financials!U5-1</f>
        <v>1.2821336520296711E-3</v>
      </c>
      <c r="W25" s="22">
        <f>Financials!W5/Financials!V5-1</f>
        <v>7.7301732752239616E-3</v>
      </c>
      <c r="X25" s="22">
        <f>Financials!X5/Financials!W5-1</f>
        <v>4.1129381665538922E-4</v>
      </c>
      <c r="Y25" s="22">
        <f>Financials!Y5/Financials!X5-1</f>
        <v>2.8742033461035543E-3</v>
      </c>
      <c r="Z25" s="22">
        <f>Financials!Z5/Financials!Y5-1</f>
        <v>-2.0564375284155556E-3</v>
      </c>
      <c r="AA25" s="22">
        <f>Financials!AA5/Financials!Z5-1</f>
        <v>4.320759582868261E-3</v>
      </c>
      <c r="AB25" s="22">
        <f>Financials!AB5/Financials!AA5-1</f>
        <v>2.3341261890033049E-3</v>
      </c>
      <c r="AC25" s="22">
        <f>Financials!AC5/Financials!AB5-1</f>
        <v>1.2100085855452969E-2</v>
      </c>
      <c r="AD25" s="22">
        <f>Financials!AD5/Financials!AC5-1</f>
        <v>4.5581528297116813E-2</v>
      </c>
      <c r="AE25" s="22">
        <f>Financials!AE5/Financials!AD5-1</f>
        <v>-4.0023653334714693E-2</v>
      </c>
      <c r="AF25" s="22">
        <f>Financials!AF5/Financials!AE5-1</f>
        <v>6.5102872214963803E-3</v>
      </c>
      <c r="AG25" s="22">
        <f>Financials!AG5/Financials!AF5-1</f>
        <v>2.0763528933157138E-2</v>
      </c>
      <c r="AH25" s="22">
        <f>Financials!AH5/Financials!AG5-1</f>
        <v>-7.8866443557181753E-3</v>
      </c>
      <c r="AI25" s="22">
        <f>Financials!AI5/Financials!AH5-1</f>
        <v>-3.2276996276288106E-3</v>
      </c>
      <c r="AJ25" s="22">
        <f>Financials!AJ5/Financials!AI5-1</f>
        <v>-7.2616340610320851E-4</v>
      </c>
    </row>
    <row r="26" spans="1:36">
      <c r="A26" s="333"/>
      <c r="B26" s="51" t="s">
        <v>203</v>
      </c>
      <c r="C26" s="2"/>
      <c r="D26" s="22">
        <f>Financials!D6/Financials!C6-1</f>
        <v>4.7795074587811657</v>
      </c>
      <c r="E26" s="22">
        <f>Financials!E6/Financials!D6-1</f>
        <v>7.5729709111234111E-3</v>
      </c>
      <c r="F26" s="22">
        <f>Financials!F6/Financials!E6-1</f>
        <v>6.942397737768502E-3</v>
      </c>
      <c r="G26" s="22">
        <f>Financials!G6/Financials!F6-1</f>
        <v>1.029025469065914E-3</v>
      </c>
      <c r="H26" s="22">
        <f>Financials!H6/Financials!G6-1</f>
        <v>8.2560457562170786E-3</v>
      </c>
      <c r="I26" s="22">
        <f>Financials!I6/Financials!H6-1</f>
        <v>5.461989675922263E-3</v>
      </c>
      <c r="J26" s="22">
        <f>Financials!J6/Financials!I6-1</f>
        <v>7.7641315361385299E-3</v>
      </c>
      <c r="K26" s="22">
        <f>Financials!K6/Financials!J6-1</f>
        <v>-1.7677871385247679E-3</v>
      </c>
      <c r="L26" s="22">
        <f>Financials!L6/Financials!K6-1</f>
        <v>4.2546787489401439E-3</v>
      </c>
      <c r="M26" s="22">
        <f>Financials!M6/Financials!L6-1</f>
        <v>4.6628520441684973E-3</v>
      </c>
      <c r="N26" s="22">
        <f>Financials!N6/Financials!M6-1</f>
        <v>-4.0487603821759421E-4</v>
      </c>
      <c r="O26" s="22">
        <f>Financials!O6/Financials!N6-1</f>
        <v>5.9796143204700059E-3</v>
      </c>
      <c r="P26" s="22">
        <f>Financials!P6/Financials!O6-1</f>
        <v>1.107572959936487E-2</v>
      </c>
      <c r="Q26" s="22">
        <f>Financials!Q6/Financials!P6-1</f>
        <v>-3.7684823309902526E-5</v>
      </c>
      <c r="R26" s="22">
        <f>Financials!R6/Financials!Q6-1</f>
        <v>7.7450124540399123E-3</v>
      </c>
      <c r="S26" s="22">
        <f>Financials!S6/Financials!R6-1</f>
        <v>7.8089316391520835E-3</v>
      </c>
      <c r="T26" s="22">
        <f>Financials!T6/Financials!S6-1</f>
        <v>5.8447436537412134E-3</v>
      </c>
      <c r="U26" s="22">
        <f>Financials!U6/Financials!T6-1</f>
        <v>5.2617089574886755E-3</v>
      </c>
      <c r="V26" s="22">
        <f>Financials!V6/Financials!U6-1</f>
        <v>6.4762238181172993E-3</v>
      </c>
      <c r="W26" s="22">
        <f>Financials!W6/Financials!V6-1</f>
        <v>-6.3686241608962302E-4</v>
      </c>
      <c r="X26" s="22">
        <f>Financials!X6/Financials!W6-1</f>
        <v>-9.7562481176205473E-5</v>
      </c>
      <c r="Y26" s="22">
        <f>Financials!Y6/Financials!X6-1</f>
        <v>-1.0433965108251897E-3</v>
      </c>
      <c r="Z26" s="22">
        <f>Financials!Z6/Financials!Y6-1</f>
        <v>4.4280553198772221E-3</v>
      </c>
      <c r="AA26" s="22">
        <f>Financials!AA6/Financials!Z6-1</f>
        <v>4.5914060599046014E-3</v>
      </c>
      <c r="AB26" s="22">
        <f>Financials!AB6/Financials!AA6-1</f>
        <v>5.7563278916017424E-3</v>
      </c>
      <c r="AC26" s="22">
        <f>Financials!AC6/Financials!AB6-1</f>
        <v>8.3360033186201665E-3</v>
      </c>
      <c r="AD26" s="22">
        <f>Financials!AD6/Financials!AC6-1</f>
        <v>9.7662412601451365E-6</v>
      </c>
      <c r="AE26" s="22">
        <f>Financials!AE6/Financials!AD6-1</f>
        <v>3.3571208999190194E-3</v>
      </c>
      <c r="AF26" s="22">
        <f>Financials!AF6/Financials!AE6-1</f>
        <v>7.6644724584173929E-3</v>
      </c>
      <c r="AG26" s="22">
        <f>Financials!AG6/Financials!AF6-1</f>
        <v>4.1648395312556818E-3</v>
      </c>
      <c r="AH26" s="22">
        <f>Financials!AH6/Financials!AG6-1</f>
        <v>6.5392151021255174E-3</v>
      </c>
      <c r="AI26" s="22">
        <f>Financials!AI6/Financials!AH6-1</f>
        <v>6.3215647832266519E-3</v>
      </c>
      <c r="AJ26" s="22">
        <f>Financials!AJ6/Financials!AI6-1</f>
        <v>4.8886989526342184E-3</v>
      </c>
    </row>
    <row r="27" spans="1:36">
      <c r="A27" s="333"/>
      <c r="B27" s="51" t="s">
        <v>204</v>
      </c>
      <c r="C27" s="2"/>
      <c r="D27" s="22">
        <f>Financials!D7/Financials!C7-1</f>
        <v>12.323088347084623</v>
      </c>
      <c r="E27" s="22">
        <f>Financials!E7/Financials!D7-1</f>
        <v>-0.14592182173609225</v>
      </c>
      <c r="F27" s="22">
        <f>Financials!F7/Financials!E7-1</f>
        <v>-7.4094401858853298E-2</v>
      </c>
      <c r="G27" s="22">
        <f>Financials!G7/Financials!F7-1</f>
        <v>0.13373733066032933</v>
      </c>
      <c r="H27" s="22">
        <f>Financials!H7/Financials!G7-1</f>
        <v>-3.320924163572736E-2</v>
      </c>
      <c r="I27" s="22">
        <f>Financials!I7/Financials!H7-1</f>
        <v>-4.8401141274467596E-2</v>
      </c>
      <c r="J27" s="22">
        <f>Financials!J7/Financials!I7-1</f>
        <v>2.2977210883934562E-2</v>
      </c>
      <c r="K27" s="22">
        <f>Financials!K7/Financials!J7-1</f>
        <v>2.3336420382556122E-2</v>
      </c>
      <c r="L27" s="22">
        <f>Financials!L7/Financials!K7-1</f>
        <v>-2.5427540003801763E-3</v>
      </c>
      <c r="M27" s="22">
        <f>Financials!M7/Financials!L7-1</f>
        <v>-1.2137638463975198E-2</v>
      </c>
      <c r="N27" s="22">
        <f>Financials!N7/Financials!M7-1</f>
        <v>-1.0897681915883806E-2</v>
      </c>
      <c r="O27" s="22">
        <f>Financials!O7/Financials!N7-1</f>
        <v>2.6737614763272743E-2</v>
      </c>
      <c r="P27" s="22">
        <f>Financials!P7/Financials!O7-1</f>
        <v>-1.3837244056731479E-2</v>
      </c>
      <c r="Q27" s="22">
        <f>Financials!Q7/Financials!P7-1</f>
        <v>0.19529892590317344</v>
      </c>
      <c r="R27" s="22">
        <f>Financials!R7/Financials!Q7-1</f>
        <v>-0.16681845318449184</v>
      </c>
      <c r="S27" s="22">
        <f>Financials!S7/Financials!R7-1</f>
        <v>7.5753610057924137E-2</v>
      </c>
      <c r="T27" s="22">
        <f>Financials!T7/Financials!S7-1</f>
        <v>0.14568391463928698</v>
      </c>
      <c r="U27" s="22">
        <f>Financials!U7/Financials!T7-1</f>
        <v>-0.14264609523841076</v>
      </c>
      <c r="V27" s="22">
        <f>Financials!V7/Financials!U7-1</f>
        <v>-1.7391958329537438E-2</v>
      </c>
      <c r="W27" s="22">
        <f>Financials!W7/Financials!V7-1</f>
        <v>3.8542524283688318E-2</v>
      </c>
      <c r="X27" s="22">
        <f>Financials!X7/Financials!W7-1</f>
        <v>2.2145084003148963E-3</v>
      </c>
      <c r="Y27" s="22">
        <f>Financials!Y7/Financials!X7-1</f>
        <v>1.6724825249586184E-2</v>
      </c>
      <c r="Z27" s="22">
        <f>Financials!Z7/Financials!Y7-1</f>
        <v>-2.4581624716841999E-2</v>
      </c>
      <c r="AA27" s="22">
        <f>Financials!AA7/Financials!Z7-1</f>
        <v>3.3526541139941024E-3</v>
      </c>
      <c r="AB27" s="22">
        <f>Financials!AB7/Financials!AA7-1</f>
        <v>-9.9222407016860137E-3</v>
      </c>
      <c r="AC27" s="22">
        <f>Financials!AC7/Financials!AB7-1</f>
        <v>2.5794351768028578E-2</v>
      </c>
      <c r="AD27" s="22">
        <f>Financials!AD7/Financials!AC7-1</f>
        <v>0.20855631103999728</v>
      </c>
      <c r="AE27" s="22">
        <f>Financials!AE7/Financials!AD7-1</f>
        <v>-0.16839238175611471</v>
      </c>
      <c r="AF27" s="22">
        <f>Financials!AF7/Financials!AE7-1</f>
        <v>2.3895536723976818E-3</v>
      </c>
      <c r="AG27" s="22">
        <f>Financials!AG7/Financials!AF7-1</f>
        <v>8.0336907615397024E-2</v>
      </c>
      <c r="AH27" s="22">
        <f>Financials!AH7/Financials!AG7-1</f>
        <v>-5.6011110800655795E-2</v>
      </c>
      <c r="AI27" s="22">
        <f>Financials!AI7/Financials!AH7-1</f>
        <v>-3.7194760271552108E-2</v>
      </c>
      <c r="AJ27" s="22">
        <f>Financials!AJ7/Financials!AI7-1</f>
        <v>-2.1601115944267391E-2</v>
      </c>
    </row>
    <row r="28" spans="1:36">
      <c r="A28" s="333"/>
      <c r="B28" s="50" t="s">
        <v>205</v>
      </c>
      <c r="C28" s="2"/>
      <c r="D28" s="22">
        <f>Financials!D31/Financials!C31-1</f>
        <v>7.8108229159125315</v>
      </c>
      <c r="E28" s="22">
        <f>Financials!E31/Financials!D31-1</f>
        <v>5.4105812995057789E-3</v>
      </c>
      <c r="F28" s="22">
        <f>Financials!F31/Financials!E31-1</f>
        <v>-2.5992013475203413E-3</v>
      </c>
      <c r="G28" s="22">
        <f>Financials!G31/Financials!F31-1</f>
        <v>5.5450386604705137E-4</v>
      </c>
      <c r="H28" s="22">
        <f>Financials!H31/Financials!G31-1</f>
        <v>5.7700634850843535E-4</v>
      </c>
      <c r="I28" s="22">
        <f>Financials!I31/Financials!H31-1</f>
        <v>4.1262135659847488E-4</v>
      </c>
      <c r="J28" s="22">
        <f>Financials!J31/Financials!I31-1</f>
        <v>2.1053796370933853E-2</v>
      </c>
      <c r="K28" s="22">
        <f>Financials!K31/Financials!J31-1</f>
        <v>3.2054341124305719E-3</v>
      </c>
      <c r="L28" s="22">
        <f>Financials!L31/Financials!K31-1</f>
        <v>7.7883281571833329E-4</v>
      </c>
      <c r="M28" s="22">
        <f>Financials!M31/Financials!L31-1</f>
        <v>3.3394867324653799E-2</v>
      </c>
      <c r="N28" s="22">
        <f>Financials!N31/Financials!M31-1</f>
        <v>0</v>
      </c>
      <c r="O28" s="22">
        <f>Financials!O31/Financials!N31-1</f>
        <v>6.4255243361794889E-3</v>
      </c>
      <c r="P28" s="22">
        <f>Financials!P31/Financials!O31-1</f>
        <v>2.2649236134299811E-2</v>
      </c>
      <c r="Q28" s="22">
        <f>Financials!Q31/Financials!P31-1</f>
        <v>9.1798266780058757E-3</v>
      </c>
      <c r="R28" s="22">
        <f>Financials!R31/Financials!Q31-1</f>
        <v>-3.1042471859243692E-2</v>
      </c>
      <c r="S28" s="22">
        <f>Financials!S31/Financials!R31-1</f>
        <v>3.3139867789453437E-3</v>
      </c>
      <c r="T28" s="22">
        <f>Financials!T31/Financials!S31-1</f>
        <v>1.2155424737904985E-2</v>
      </c>
      <c r="U28" s="22">
        <f>Financials!U31/Financials!T31-1</f>
        <v>-0.30471072378156605</v>
      </c>
      <c r="V28" s="22">
        <f>Financials!V31/Financials!U31-1</f>
        <v>1.411139649468951E-2</v>
      </c>
      <c r="W28" s="22">
        <f>Financials!W31/Financials!V31-1</f>
        <v>-1.2346900363163105E-2</v>
      </c>
      <c r="X28" s="22">
        <f>Financials!X31/Financials!W31-1</f>
        <v>6.2907909991403166E-3</v>
      </c>
      <c r="Y28" s="22">
        <f>Financials!Y31/Financials!X31-1</f>
        <v>1.6401296413394606E-2</v>
      </c>
      <c r="Z28" s="22">
        <f>Financials!Z31/Financials!Y31-1</f>
        <v>1.9496154833951174E-3</v>
      </c>
      <c r="AA28" s="22">
        <f>Financials!AA31/Financials!Z31-1</f>
        <v>-9.8760020033505924E-5</v>
      </c>
      <c r="AB28" s="22">
        <f>Financials!AB31/Financials!AA31-1</f>
        <v>-2.6646450796400378E-3</v>
      </c>
      <c r="AC28" s="22">
        <f>Financials!AC31/Financials!AB31-1</f>
        <v>1.1640102951366416E-2</v>
      </c>
      <c r="AD28" s="22">
        <f>Financials!AD31/Financials!AC31-1</f>
        <v>0</v>
      </c>
      <c r="AE28" s="22">
        <f>Financials!AE31/Financials!AD31-1</f>
        <v>2.4127811060628668E-2</v>
      </c>
      <c r="AF28" s="22">
        <f>Financials!AF31/Financials!AE31-1</f>
        <v>2.476930168303193E-3</v>
      </c>
      <c r="AG28" s="22">
        <f>Financials!AG31/Financials!AF31-1</f>
        <v>-1.0193999546801336E-2</v>
      </c>
      <c r="AH28" s="22">
        <f>Financials!AH31/Financials!AG31-1</f>
        <v>5.2259729937691457E-3</v>
      </c>
      <c r="AI28" s="22">
        <f>Financials!AI31/Financials!AH31-1</f>
        <v>5.5689690326665708E-3</v>
      </c>
      <c r="AJ28" s="22">
        <f>Financials!AJ31/Financials!AI31-1</f>
        <v>5.0171368838516361E-3</v>
      </c>
    </row>
    <row r="29" spans="1:36">
      <c r="A29" s="333"/>
      <c r="B29" s="50" t="s">
        <v>206</v>
      </c>
      <c r="C29" s="2"/>
      <c r="D29" s="22">
        <f>Financials!D11/Financials!C11-1</f>
        <v>13.368541125849465</v>
      </c>
      <c r="E29" s="22">
        <f>Financials!E11/Financials!D11-1</f>
        <v>-5.8836898557375394E-2</v>
      </c>
      <c r="F29" s="22">
        <f>Financials!F11/Financials!E11-1</f>
        <v>-0.14617273743568304</v>
      </c>
      <c r="G29" s="22">
        <f>Financials!G11/Financials!F11-1</f>
        <v>2.9197023450314719E-2</v>
      </c>
      <c r="H29" s="22">
        <f>Financials!H11/Financials!G11-1</f>
        <v>4.0573480465442957E-2</v>
      </c>
      <c r="I29" s="22">
        <f>Financials!I11/Financials!H11-1</f>
        <v>1.4717133164642959E-2</v>
      </c>
      <c r="J29" s="22">
        <f>Financials!J11/Financials!I11-1</f>
        <v>-2.3858545594984681E-3</v>
      </c>
      <c r="K29" s="22">
        <f>Financials!K11/Financials!J11-1</f>
        <v>-3.2200378634250626E-3</v>
      </c>
      <c r="L29" s="22">
        <f>Financials!L11/Financials!K11-1</f>
        <v>9.7619123778764916E-3</v>
      </c>
      <c r="M29" s="22">
        <f>Financials!M11/Financials!L11-1</f>
        <v>1.539976173711799E-2</v>
      </c>
      <c r="N29" s="22">
        <f>Financials!N11/Financials!M11-1</f>
        <v>1.3055602926698162E-2</v>
      </c>
      <c r="O29" s="22">
        <f>Financials!O11/Financials!N11-1</f>
        <v>-7.3267213961349942E-3</v>
      </c>
      <c r="P29" s="22">
        <f>Financials!P11/Financials!O11-1</f>
        <v>-6.377639008460223E-2</v>
      </c>
      <c r="Q29" s="22">
        <f>Financials!Q11/Financials!P11-1</f>
        <v>0.26261224564433716</v>
      </c>
      <c r="R29" s="22">
        <f>Financials!R11/Financials!Q11-1</f>
        <v>-0.19312458221763884</v>
      </c>
      <c r="S29" s="22">
        <f>Financials!S11/Financials!R11-1</f>
        <v>1.2652647000688244E-3</v>
      </c>
      <c r="T29" s="22">
        <f>Financials!T11/Financials!S11-1</f>
        <v>3.3019524657323052E-2</v>
      </c>
      <c r="U29" s="22">
        <f>Financials!U11/Financials!T11-1</f>
        <v>6.6018369636275942E-2</v>
      </c>
      <c r="V29" s="22">
        <f>Financials!V11/Financials!U11-1</f>
        <v>1.3982005911331363E-2</v>
      </c>
      <c r="W29" s="22">
        <f>Financials!W11/Financials!V11-1</f>
        <v>-1.1865671524692312E-3</v>
      </c>
      <c r="X29" s="22">
        <f>Financials!X11/Financials!W11-1</f>
        <v>-3.7756908032767877E-2</v>
      </c>
      <c r="Y29" s="22">
        <f>Financials!Y11/Financials!X11-1</f>
        <v>3.5676353771137981E-2</v>
      </c>
      <c r="Z29" s="22">
        <f>Financials!Z11/Financials!Y11-1</f>
        <v>1.7989852519589844E-2</v>
      </c>
      <c r="AA29" s="22">
        <f>Financials!AA11/Financials!Z11-1</f>
        <v>2.5434384032971602E-2</v>
      </c>
      <c r="AB29" s="22">
        <f>Financials!AB11/Financials!AA11-1</f>
        <v>6.8029788694883297E-3</v>
      </c>
      <c r="AC29" s="22">
        <f>Financials!AC11/Financials!AB11-1</f>
        <v>-1.6375177185425915E-3</v>
      </c>
      <c r="AD29" s="22">
        <f>Financials!AD11/Financials!AC11-1</f>
        <v>0.22167770878596538</v>
      </c>
      <c r="AE29" s="22">
        <f>Financials!AE11/Financials!AD11-1</f>
        <v>1.7485847937706467E-2</v>
      </c>
      <c r="AF29" s="22">
        <f>Financials!AF11/Financials!AE11-1</f>
        <v>1.7586255477643364E-2</v>
      </c>
      <c r="AG29" s="22">
        <f>Financials!AG11/Financials!AF11-1</f>
        <v>-3.3404677855627396E-3</v>
      </c>
      <c r="AH29" s="22">
        <f>Financials!AH11/Financials!AG11-1</f>
        <v>-3.0899176714253018E-3</v>
      </c>
      <c r="AI29" s="22">
        <f>Financials!AI11/Financials!AH11-1</f>
        <v>2.3051986808048097E-2</v>
      </c>
      <c r="AJ29" s="22">
        <f>Financials!AJ11/Financials!AI11-1</f>
        <v>6.777457197564507E-3</v>
      </c>
    </row>
    <row r="30" spans="1:36">
      <c r="A30" s="333"/>
      <c r="B30" s="50" t="s">
        <v>207</v>
      </c>
      <c r="C30" s="2"/>
      <c r="D30" s="22">
        <f>Financials!D37/Financials!C37-1</f>
        <v>8121.6511584967502</v>
      </c>
      <c r="E30" s="22">
        <f>Financials!E37/Financials!D37-1</f>
        <v>-0.91500302379073772</v>
      </c>
      <c r="F30" s="22">
        <f>Financials!F37/Financials!E37-1</f>
        <v>1.0383981795618995</v>
      </c>
      <c r="G30" s="22">
        <f>Financials!G37/Financials!F37-1</f>
        <v>0.62135045147177315</v>
      </c>
      <c r="H30" s="22">
        <f>Financials!H37/Financials!G37-1</f>
        <v>0.41387489291696844</v>
      </c>
      <c r="I30" s="22">
        <f>Financials!I37/Financials!H37-1</f>
        <v>0.2614131723589399</v>
      </c>
      <c r="J30" s="22">
        <f>Financials!J37/Financials!I37-1</f>
        <v>0.22934196703755494</v>
      </c>
      <c r="K30" s="22">
        <f>Financials!K37/Financials!J37-1</f>
        <v>0.22593608358518424</v>
      </c>
      <c r="L30" s="22">
        <f>Financials!L37/Financials!K37-1</f>
        <v>0.15705698330159379</v>
      </c>
      <c r="M30" s="22">
        <f>Financials!M37/Financials!L37-1</f>
        <v>0.13803387262099309</v>
      </c>
      <c r="N30" s="22">
        <f>Financials!N37/Financials!M37-1</f>
        <v>0.12176825574817496</v>
      </c>
      <c r="O30" s="22">
        <f>Financials!O37/Financials!N37-1</f>
        <v>9.8230189103974963E-2</v>
      </c>
      <c r="P30" s="22">
        <f>Financials!P37/Financials!O37-1</f>
        <v>0.10510121887074808</v>
      </c>
      <c r="Q30" s="22">
        <f>Financials!Q37/Financials!P37-1</f>
        <v>0</v>
      </c>
      <c r="R30" s="22">
        <f>Financials!R37/Financials!Q37-1</f>
        <v>-0.91979797251711282</v>
      </c>
      <c r="S30" s="22">
        <f>Financials!S37/Financials!R37-1</f>
        <v>1.0728145294420868</v>
      </c>
      <c r="T30" s="22">
        <f>Financials!T37/Financials!S37-1</f>
        <v>0.70575140502334488</v>
      </c>
      <c r="U30" s="22">
        <f>Financials!U37/Financials!T37-1</f>
        <v>0.42195267202845099</v>
      </c>
      <c r="V30" s="22">
        <f>Financials!V37/Financials!U37-1</f>
        <v>0.23310749353920523</v>
      </c>
      <c r="W30" s="22">
        <f>Financials!W37/Financials!V37-1</f>
        <v>0.20502696207762683</v>
      </c>
      <c r="X30" s="22">
        <f>Financials!X37/Financials!W37-1</f>
        <v>0.14752255772040779</v>
      </c>
      <c r="Y30" s="22">
        <f>Financials!Y37/Financials!X37-1</f>
        <v>0.15887994233392155</v>
      </c>
      <c r="Z30" s="22">
        <f>Financials!Z37/Financials!Y37-1</f>
        <v>0.11942988179477898</v>
      </c>
      <c r="AA30" s="22">
        <f>Financials!AA37/Financials!Z37-1</f>
        <v>0.11357360935044847</v>
      </c>
      <c r="AB30" s="22">
        <f>Financials!AB37/Financials!AA37-1</f>
        <v>9.4179368158414656E-2</v>
      </c>
      <c r="AC30" s="22">
        <f>Financials!AC37/Financials!AB37-1</f>
        <v>9.1051450909578335E-2</v>
      </c>
      <c r="AD30" s="22">
        <f>Financials!AD37/Financials!AC37-1</f>
        <v>5.2540150008439923E-9</v>
      </c>
      <c r="AE30" s="22">
        <f>Financials!AE37/Financials!AD37-1</f>
        <v>-0.91425275329821309</v>
      </c>
      <c r="AF30" s="22">
        <f>Financials!AF37/Financials!AE37-1</f>
        <v>0.90646033584619135</v>
      </c>
      <c r="AG30" s="22">
        <f>Financials!AG37/Financials!AF37-1</f>
        <v>0.66268787568628951</v>
      </c>
      <c r="AH30" s="22">
        <f>Financials!AH37/Financials!AG37-1</f>
        <v>0.26121472986461414</v>
      </c>
      <c r="AI30" s="22">
        <f>Financials!AI37/Financials!AH37-1</f>
        <v>0.25522145443164823</v>
      </c>
      <c r="AJ30" s="22">
        <f>Financials!AJ37/Financials!AI37-1</f>
        <v>0.19876412868118365</v>
      </c>
    </row>
    <row r="31" spans="1:36">
      <c r="A31" s="333"/>
      <c r="B31" s="50" t="s">
        <v>208</v>
      </c>
      <c r="C31" s="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</row>
    <row r="32" spans="1:36">
      <c r="A32" s="333"/>
      <c r="B32" s="50" t="s">
        <v>209</v>
      </c>
      <c r="C32" s="2"/>
      <c r="D32" s="22">
        <f>'Evolutitve SCI'!E39/'Evolutitve SCI'!B39-1</f>
        <v>1189.1696098892849</v>
      </c>
      <c r="E32" s="22">
        <f>'Evolutitve SCI'!F39/'Evolutitve SCI'!C39-1</f>
        <v>-0.79413946560223392</v>
      </c>
      <c r="F32" s="22">
        <f>'Evolutitve SCI'!G39/'Evolutitve SCI'!D39-1</f>
        <v>4.6453219680629605</v>
      </c>
      <c r="G32" s="22">
        <f>'Evolutitve SCI'!H39/'Evolutitve SCI'!E39-1</f>
        <v>1.6168104072830354</v>
      </c>
      <c r="H32" s="22">
        <f>'Evolutitve SCI'!I39/'Evolutitve SCI'!F39-1</f>
        <v>1.3875383815861388</v>
      </c>
      <c r="I32" s="22">
        <f>'Evolutitve SCI'!I39/'Evolutitve SCI'!G39-1</f>
        <v>0.82769769252564629</v>
      </c>
      <c r="J32" s="22">
        <f>'Evolutitve SCI'!I39/'Evolutitve SCI'!H39-1</f>
        <v>0.370875283352055</v>
      </c>
      <c r="K32" s="22">
        <f>'Evolutitve SCI'!J39/'Evolutitve SCI'!I39-1</f>
        <v>0.33850936204136906</v>
      </c>
      <c r="L32" s="22">
        <f>'Evolutitve SCI'!K39/'Evolutitve SCI'!J39-1</f>
        <v>0.17711122817954972</v>
      </c>
      <c r="M32" s="22">
        <f>'Evolutitve SCI'!L39/'Evolutitve SCI'!K39-1</f>
        <v>0.14570806285438387</v>
      </c>
      <c r="N32" s="22">
        <f>'Evolutitve SCI'!M39/'Evolutitve SCI'!L39-1</f>
        <v>0.12330995452206905</v>
      </c>
      <c r="O32" s="22">
        <f>'Evolutitve SCI'!N39/'Evolutitve SCI'!M39-1</f>
        <v>0.12486046954760477</v>
      </c>
      <c r="P32" s="22">
        <f>'Evolutitve SCI'!O39/'Evolutitve SCI'!N39-1</f>
        <v>0.1768041632888484</v>
      </c>
      <c r="Q32" s="22">
        <f>'Evolutitve SCI'!P39/'Evolutitve SCI'!O39-1</f>
        <v>0</v>
      </c>
      <c r="R32" s="22">
        <f>'Evolutitve SCI'!Q39/'Evolutitve SCI'!P39-1</f>
        <v>-0.9363591247003491</v>
      </c>
      <c r="S32" s="22">
        <f>'Evolutitve SCI'!R39/'Evolutitve SCI'!Q39-1</f>
        <v>1.5893825244264965</v>
      </c>
      <c r="T32" s="22">
        <f>'Evolutitve SCI'!S39/'Evolutitve SCI'!R39-1</f>
        <v>0.47419473417072133</v>
      </c>
      <c r="U32" s="22">
        <f>'Evolutitve SCI'!T39/'Evolutitve SCI'!S39-1</f>
        <v>0.27756315573963408</v>
      </c>
      <c r="V32" s="22">
        <f>'Evolutitve SCI'!U39/'Evolutitve SCI'!T39-1</f>
        <v>0.18832013282282078</v>
      </c>
      <c r="W32" s="22">
        <f>'Evolutitve SCI'!V39/'Evolutitve SCI'!U39-1</f>
        <v>0.32590369081860349</v>
      </c>
      <c r="X32" s="22">
        <f>'Evolutitve SCI'!W39/'Evolutitve SCI'!V39-1</f>
        <v>0.32497991751307165</v>
      </c>
      <c r="Y32" s="22">
        <f>'Evolutitve SCI'!X39/'Evolutitve SCI'!W39-1</f>
        <v>0.11742462368039108</v>
      </c>
      <c r="Z32" s="22">
        <f>'Evolutitve SCI'!Y39/'Evolutitve SCI'!X39-1</f>
        <v>0.13449455722984482</v>
      </c>
      <c r="AA32" s="22">
        <f>'Evolutitve SCI'!Z39/'Evolutitve SCI'!Y39-1</f>
        <v>0.10405627544817753</v>
      </c>
      <c r="AB32" s="22">
        <f>'Evolutitve SCI'!AA39/'Evolutitve SCI'!Z39-1</f>
        <v>0.10630888557576323</v>
      </c>
      <c r="AC32" s="22">
        <f>'Evolutitve SCI'!AB39/'Evolutitve SCI'!AA39-1</f>
        <v>5.7722982767638875E-2</v>
      </c>
      <c r="AD32" s="22">
        <f>'Evolutitve SCI'!AC39/'Evolutitve SCI'!AB39-1</f>
        <v>8.630574139846181E-2</v>
      </c>
      <c r="AE32" s="22">
        <f>'Evolutitve SCI'!AD39/'Evolutitve SCI'!AC39-1</f>
        <v>-1</v>
      </c>
      <c r="AF32" s="22" t="e">
        <f>'Evolutitve SCI'!AE39/'Evolutitve SCI'!AD39-1</f>
        <v>#DIV/0!</v>
      </c>
      <c r="AG32" s="22" t="e">
        <f>'Evolutitve SCI'!AF39/'Evolutitve SCI'!AE39-1</f>
        <v>#DIV/0!</v>
      </c>
      <c r="AH32" s="22" t="e">
        <f>'Evolutitve SCI'!AG39/'Evolutitve SCI'!AF39-1</f>
        <v>#DIV/0!</v>
      </c>
      <c r="AI32" s="22" t="e">
        <f>'Evolutitve SCI'!AH39/'Evolutitve SCI'!AG39-1</f>
        <v>#DIV/0!</v>
      </c>
      <c r="AJ32" s="22" t="e">
        <f>'Evolutitve SCI'!AI39/'Evolutitve SCI'!AH39-1</f>
        <v>#DIV/0!</v>
      </c>
    </row>
    <row r="33" spans="1:36">
      <c r="A33" s="56" t="s">
        <v>210</v>
      </c>
      <c r="B33" s="50" t="s">
        <v>211</v>
      </c>
      <c r="C33" s="2"/>
      <c r="D33" s="22"/>
      <c r="E33" s="22"/>
      <c r="F33" s="22"/>
      <c r="G33" s="22"/>
      <c r="H33" s="22">
        <f>Financials!G44/('Evolutive SFP'!B30+'Evolutive SFP'!F30)/2</f>
        <v>3.3263244845839032E-3</v>
      </c>
      <c r="I33" s="22"/>
      <c r="J33" s="22"/>
      <c r="K33" s="22">
        <f>Financials!J44/('Evolutive SFP'!F30+'Evolutive SFP'!I30)/2</f>
        <v>7.6225424037883903E-3</v>
      </c>
      <c r="L33" s="22">
        <f>Financials!K44/('Evolutive SFP'!I30+'Evolutive SFP'!J30)/2</f>
        <v>1.1445004350932059E-2</v>
      </c>
      <c r="M33" s="22">
        <f>Financials!L44/('Evolutive SFP'!J30+'Evolutive SFP'!K30)/2</f>
        <v>1.411869103378249E-2</v>
      </c>
      <c r="N33" s="22">
        <f>Financials!M44/('Evolutive SFP'!K30+'Evolutive SFP'!L30)/2</f>
        <v>1.6660959272946585E-2</v>
      </c>
      <c r="O33" s="22">
        <f>Financials!N44/('Evolutive SFP'!L30+'Evolutive SFP'!M30)/2</f>
        <v>1.8840822451128364E-2</v>
      </c>
      <c r="P33" s="22">
        <f>Financials!O44/('Evolutive SFP'!M30+'Evolutive SFP'!N30)/2</f>
        <v>2.0629301825811963E-2</v>
      </c>
      <c r="Q33" s="22">
        <f>Financials!P44/('Evolutive SFP'!N30+'Evolutive SFP'!O30)/2</f>
        <v>2.2279973905578152E-2</v>
      </c>
      <c r="R33" s="22">
        <f>Financials!Q44/('Evolutive SFP'!O30+'Evolutive SFP'!P30)/2</f>
        <v>2.696545464889074E-2</v>
      </c>
      <c r="S33" s="22">
        <f>Financials!R44/('Evolutive SFP'!P30+'Evolutive SFP'!Q30)/2</f>
        <v>1.0849961349978347E-3</v>
      </c>
      <c r="T33" s="22">
        <f>Financials!S44/('Evolutive SFP'!Q30+'Evolutive SFP'!R30)/2</f>
        <v>2.1532462684904288E-3</v>
      </c>
      <c r="U33" s="22">
        <f>Financials!T44/('Evolutive SFP'!R30+'Evolutive SFP'!S30)/2</f>
        <v>3.2079812886350195E-3</v>
      </c>
      <c r="V33" s="22">
        <f>Financials!U44/('Evolutive SFP'!S30+'Evolutive SFP'!T30)/2</f>
        <v>4.2536902932676143E-3</v>
      </c>
      <c r="W33" s="22">
        <f>Financials!V44/('Evolutive SFP'!T30+'Evolutive SFP'!U30)/2</f>
        <v>5.8923390854350496E-3</v>
      </c>
      <c r="X33" s="22">
        <f>Financials!W44/('Evolutive SFP'!U30+'Evolutive SFP'!V30)/2</f>
        <v>9.1359704892636107E-3</v>
      </c>
      <c r="Y33" s="22">
        <f>Financials!X44/('Evolutive SFP'!V30+'Evolutive SFP'!W30)/2</f>
        <v>1.4271411168110527E-2</v>
      </c>
      <c r="Z33" s="22">
        <f>Financials!Y44/('Evolutive SFP'!W30+'Evolutive SFP'!X30)/2</f>
        <v>1.6319493752196476E-2</v>
      </c>
      <c r="AA33" s="22">
        <f>Financials!Z44/('Evolutive SFP'!X30+'Evolutive SFP'!Y30)/2</f>
        <v>1.8328438887584179E-2</v>
      </c>
      <c r="AB33" s="22">
        <f>Financials!AA44/('Evolutive SFP'!Y30+'Evolutive SFP'!Z30)/2</f>
        <v>2.0273500412325597E-2</v>
      </c>
      <c r="AC33" s="22">
        <f>Financials!AB44/('Evolutive SFP'!Z30+'Evolutive SFP'!AA30)/2</f>
        <v>2.218603327043004E-2</v>
      </c>
      <c r="AD33" s="22">
        <f>Financials!AC44/('Evolutive SFP'!AA30+'Evolutive SFP'!AB30)/2</f>
        <v>2.2790399607149864E-2</v>
      </c>
      <c r="AE33" s="22">
        <f>Financials!AD44/('Evolutive SFP'!AB30+'Evolutive SFP'!AC30)/2</f>
        <v>2.9047038297741568E-2</v>
      </c>
      <c r="AF33" s="22">
        <f>Financials!AE44/('Evolutive SFP'!AC30+'Evolutive SFP'!AD30)/2</f>
        <v>1.7165106137546631E-3</v>
      </c>
      <c r="AG33" s="22">
        <f>Financials!AF44/('Evolutive SFP'!AD30+'Evolutive SFP'!AE30)/2</f>
        <v>3.4141939767957518E-3</v>
      </c>
      <c r="AH33" s="22">
        <f>Financials!AG44/('Evolutive SFP'!AE30+'Evolutive SFP'!AF30)/2</f>
        <v>7.1276970887583103E-3</v>
      </c>
      <c r="AI33" s="22">
        <f>Financials!AH44/('Evolutive SFP'!AF30+'Evolutive SFP'!AG30)/2</f>
        <v>9.4529801888364184E-3</v>
      </c>
      <c r="AJ33" s="22">
        <f>Financials!AI44/('Evolutive SFP'!AG30+'Evolutive SFP'!AH30)/2</f>
        <v>1.1740731915536949E-2</v>
      </c>
    </row>
    <row r="34" spans="1:36">
      <c r="A34" s="57"/>
      <c r="B34" s="50" t="s">
        <v>212</v>
      </c>
      <c r="C34" s="2"/>
      <c r="D34" s="22"/>
      <c r="E34" s="22"/>
      <c r="F34" s="22"/>
      <c r="G34" s="22"/>
      <c r="H34" s="22">
        <f>Financials!G45/('Evolutive SFP'!B39+'Evolutive SFP'!F39)/2</f>
        <v>0</v>
      </c>
      <c r="I34" s="22"/>
      <c r="J34" s="22"/>
      <c r="K34" s="22">
        <f>Financials!J45/('Evolutive SFP'!F39+'Evolutive SFP'!I39)/2</f>
        <v>0</v>
      </c>
      <c r="L34" s="22">
        <f>Financials!K45/('Evolutive SFP'!I39+'Evolutive SFP'!J39)/2</f>
        <v>0</v>
      </c>
      <c r="M34" s="22">
        <f>Financials!L45/('Evolutive SFP'!J39+'Evolutive SFP'!K39)/2</f>
        <v>0</v>
      </c>
      <c r="N34" s="22">
        <f>Financials!M45/('Evolutive SFP'!K39+'Evolutive SFP'!L39)/2</f>
        <v>0</v>
      </c>
      <c r="O34" s="22">
        <f>Financials!N45/('Evolutive SFP'!L39+'Evolutive SFP'!M39)/2</f>
        <v>0</v>
      </c>
      <c r="P34" s="22">
        <f>Financials!O45/('Evolutive SFP'!M39+'Evolutive SFP'!N39)/2</f>
        <v>0</v>
      </c>
      <c r="Q34" s="22">
        <f>Financials!P45/('Evolutive SFP'!N39+'Evolutive SFP'!O39)/2</f>
        <v>0</v>
      </c>
      <c r="R34" s="22">
        <f>Financials!Q45/('Evolutive SFP'!O39+'Evolutive SFP'!P39)/2</f>
        <v>0</v>
      </c>
      <c r="S34" s="22">
        <f>Financials!R45/('Evolutive SFP'!P39+'Evolutive SFP'!Q39)/2</f>
        <v>0</v>
      </c>
      <c r="T34" s="22">
        <f>Financials!S45/('Evolutive SFP'!Q39+'Evolutive SFP'!R39)/2</f>
        <v>0</v>
      </c>
      <c r="U34" s="22">
        <f>Financials!T45/('Evolutive SFP'!R39+'Evolutive SFP'!S39)/2</f>
        <v>0</v>
      </c>
      <c r="V34" s="22">
        <f>Financials!U45/('Evolutive SFP'!S39+'Evolutive SFP'!T39)/2</f>
        <v>0</v>
      </c>
      <c r="W34" s="22">
        <f>Financials!V45/('Evolutive SFP'!T39+'Evolutive SFP'!U39)/2</f>
        <v>0</v>
      </c>
      <c r="X34" s="22">
        <f>Financials!W45/('Evolutive SFP'!U39+'Evolutive SFP'!V39)/2</f>
        <v>0</v>
      </c>
      <c r="Y34" s="22">
        <f>Financials!X45/('Evolutive SFP'!V39+'Evolutive SFP'!W39)/2</f>
        <v>0</v>
      </c>
      <c r="Z34" s="22">
        <f>Financials!Y45/('Evolutive SFP'!W39+'Evolutive SFP'!X39)/2</f>
        <v>0</v>
      </c>
      <c r="AA34" s="22">
        <f>Financials!Z45/('Evolutive SFP'!X39+'Evolutive SFP'!Y39)/2</f>
        <v>0</v>
      </c>
      <c r="AB34" s="22">
        <f>Financials!AA45/('Evolutive SFP'!Y39+'Evolutive SFP'!Z39)/2</f>
        <v>0</v>
      </c>
      <c r="AC34" s="22">
        <f>Financials!AB45/('Evolutive SFP'!Z39+'Evolutive SFP'!AA39)/2</f>
        <v>0</v>
      </c>
      <c r="AD34" s="22">
        <f>Financials!AC45/('Evolutive SFP'!AA39+'Evolutive SFP'!AB39)/2</f>
        <v>0</v>
      </c>
      <c r="AE34" s="22">
        <f>Financials!AD45/('Evolutive SFP'!AB39+'Evolutive SFP'!AC39)/2</f>
        <v>0</v>
      </c>
      <c r="AF34" s="22">
        <f>Financials!AE45/('Evolutive SFP'!AC39+'Evolutive SFP'!AD39)/2</f>
        <v>0</v>
      </c>
      <c r="AG34" s="22">
        <f>Financials!AF45/('Evolutive SFP'!AD39+'Evolutive SFP'!AE39)/2</f>
        <v>0</v>
      </c>
      <c r="AH34" s="22">
        <f>Financials!AG45/('Evolutive SFP'!AE39+'Evolutive SFP'!AF39)/2</f>
        <v>0</v>
      </c>
      <c r="AI34" s="22">
        <f>Financials!AH45/('Evolutive SFP'!AF39+'Evolutive SFP'!AG39)/2</f>
        <v>0</v>
      </c>
      <c r="AJ34" s="22">
        <f>Financials!AI45/('Evolutive SFP'!AG39+'Evolutive SFP'!AH39)/2</f>
        <v>0</v>
      </c>
    </row>
    <row r="35" spans="1:36">
      <c r="A35" s="57"/>
      <c r="B35" s="50" t="s">
        <v>213</v>
      </c>
      <c r="C35" s="2"/>
      <c r="D35" s="22"/>
      <c r="E35" s="22"/>
      <c r="F35" s="22"/>
      <c r="G35" s="22"/>
      <c r="H35" s="22">
        <f>Financials!G46/(Financials!F31+Financials!G31)/2</f>
        <v>6.252851002060539E-4</v>
      </c>
      <c r="I35" s="22"/>
      <c r="J35" s="22"/>
      <c r="K35" s="22">
        <f>Financials!J46/(Financials!G31+Financials!J31)/2</f>
        <v>1.1630080411470347E-3</v>
      </c>
      <c r="L35" s="22">
        <f>Financials!K46/(Financials!J31+Financials!K31)/2</f>
        <v>1.3066953908930006E-3</v>
      </c>
      <c r="M35" s="22">
        <f>Financials!L46/(Financials!K31+Financials!L31)/2</f>
        <v>1.4566496297928778E-3</v>
      </c>
      <c r="N35" s="22">
        <f>Financials!M46/(Financials!L31+Financials!M31)/2</f>
        <v>1.5723534076133297E-3</v>
      </c>
      <c r="O35" s="22">
        <f>Financials!N46/(Financials!M31+Financials!N31)/2</f>
        <v>1.8097239689172906E-3</v>
      </c>
      <c r="P35" s="22">
        <f>Financials!O46/(Financials!N31+Financials!O31)/2</f>
        <v>2.0519124123744071E-3</v>
      </c>
      <c r="Q35" s="22">
        <f>Financials!P46/(Financials!O31+Financials!P31)/2</f>
        <v>2.7175206001540972E-3</v>
      </c>
      <c r="R35" s="22">
        <f>Financials!Q46/(Financials!P31+Financials!Q31)/2</f>
        <v>2.6751486070867589E-3</v>
      </c>
      <c r="S35" s="22">
        <f>Financials!R46/(Financials!Q31+Financials!R31)/2</f>
        <v>2.5504212631312476E-4</v>
      </c>
      <c r="T35" s="22">
        <f>Financials!S46/(Financials!R31+Financials!S31)/2</f>
        <v>6.2479623959483263E-4</v>
      </c>
      <c r="U35" s="22">
        <f>Financials!T46/(Financials!S31+Financials!T31)/2</f>
        <v>9.5324601501656561E-4</v>
      </c>
      <c r="V35" s="22">
        <f>Financials!U46/(Financials!T31+Financials!U31)/2</f>
        <v>1.5300912117258152E-3</v>
      </c>
      <c r="W35" s="22">
        <f>Financials!V46/(Financials!U31+Financials!V31)/2</f>
        <v>2.3179358093676841E-3</v>
      </c>
      <c r="X35" s="22">
        <f>Financials!W46/(Financials!V31+Financials!W31)/2</f>
        <v>2.7759060180406712E-3</v>
      </c>
      <c r="Y35" s="22">
        <f>Financials!X46/(Financials!W31+Financials!X31)/2</f>
        <v>3.2202379631682469E-3</v>
      </c>
      <c r="Z35" s="22">
        <f>Financials!Y46/(Financials!X31+Financials!Y31)/2</f>
        <v>3.6088874622100106E-3</v>
      </c>
      <c r="AA35" s="22">
        <f>Financials!Z46/(Financials!Y31+Financials!Z31)/2</f>
        <v>3.9816242480518156E-3</v>
      </c>
      <c r="AB35" s="22">
        <f>Financials!AA46/(Financials!Z31+Financials!AA31)/2</f>
        <v>4.3610938812512707E-3</v>
      </c>
      <c r="AC35" s="22">
        <f>Financials!AB46/(Financials!AA31+Financials!AB31)/2</f>
        <v>4.4825779944381392E-3</v>
      </c>
      <c r="AD35" s="22">
        <f>Financials!AC46/(Financials!AB31+Financials!AC31)/2</f>
        <v>5.6955658600478989E-3</v>
      </c>
      <c r="AE35" s="22">
        <f>Financials!AD46/(Financials!AC31+Financials!AD31)/2</f>
        <v>5.6627987856783532E-3</v>
      </c>
      <c r="AF35" s="22">
        <f>Financials!AE46/(Financials!AD31+Financials!AE31)/2</f>
        <v>5.3261776662849732E-4</v>
      </c>
      <c r="AG35" s="22">
        <f>Financials!AF46/(Financials!AE31+Financials!AF31)/2</f>
        <v>9.8960746760138338E-4</v>
      </c>
      <c r="AH35" s="22">
        <f>Financials!AG46/(Financials!AF31+Financials!AG31)/2</f>
        <v>1.4416086012716987E-3</v>
      </c>
      <c r="AI35" s="22">
        <f>Financials!AH46/(Financials!AG31+Financials!AH31)/2</f>
        <v>1.9331287872277824E-3</v>
      </c>
      <c r="AJ35" s="22">
        <f>Financials!AI46/(Financials!AH31+Financials!AI31)/2</f>
        <v>2.3768716220768965E-3</v>
      </c>
    </row>
    <row r="36" spans="1:36">
      <c r="A36" s="57"/>
      <c r="B36" s="50" t="s">
        <v>214</v>
      </c>
      <c r="C36" s="2"/>
      <c r="D36" s="22"/>
      <c r="E36" s="22"/>
      <c r="F36" s="22"/>
      <c r="G36" s="22"/>
      <c r="H36" s="22">
        <f>Financials!G47/(Financials!F4+Financials!G4)/2</f>
        <v>2.3897785816699756E-3</v>
      </c>
      <c r="I36" s="22"/>
      <c r="J36" s="22"/>
      <c r="K36" s="22">
        <f>Financials!J47/(Financials!G4+Financials!J4)/2</f>
        <v>4.5074092815934608E-3</v>
      </c>
      <c r="L36" s="22">
        <f>Financials!K47/(Financials!J4+Financials!K4)/2</f>
        <v>5.3875927335630264E-3</v>
      </c>
      <c r="M36" s="22">
        <f>Financials!L47/(Financials!K4+Financials!L4)/2</f>
        <v>6.0690545642718714E-3</v>
      </c>
      <c r="N36" s="22">
        <f>Financials!M47/(Financials!L4+Financials!M4)/2</f>
        <v>6.5947412976388054E-3</v>
      </c>
      <c r="O36" s="22">
        <f>Financials!N47/(Financials!M4+Financials!N4)/2</f>
        <v>7.1175216821169705E-3</v>
      </c>
      <c r="P36" s="22">
        <f>Financials!O47/(Financials!N4+Financials!O4)/2</f>
        <v>8.1057274294408805E-3</v>
      </c>
      <c r="Q36" s="22">
        <f>Financials!P47/(Financials!O4+Financials!P4)/2</f>
        <v>8.3336704955543003E-3</v>
      </c>
      <c r="R36" s="22">
        <f>Financials!Q47/(Financials!P4+Financials!Q4)/2</f>
        <v>8.168040737889742E-3</v>
      </c>
      <c r="S36" s="22">
        <f>Financials!R47/(Financials!Q4+Financials!R4)/2</f>
        <v>6.6413578603339847E-4</v>
      </c>
      <c r="T36" s="22">
        <f>Financials!S47/(Financials!R4+Financials!S4)/2</f>
        <v>1.9398862700679281E-3</v>
      </c>
      <c r="U36" s="22">
        <f>Financials!T47/(Financials!S4+Financials!T4)/2</f>
        <v>2.9398326701218463E-3</v>
      </c>
      <c r="V36" s="22">
        <f>Financials!U47/(Financials!T4+Financials!U4)/2</f>
        <v>3.7558974923965426E-3</v>
      </c>
      <c r="W36" s="22">
        <f>Financials!V47/(Financials!U4+Financials!V4)/2</f>
        <v>4.0037002296188689E-3</v>
      </c>
      <c r="X36" s="22">
        <f>Financials!W47/(Financials!V4+Financials!W4)/2</f>
        <v>4.8503264899424107E-3</v>
      </c>
      <c r="Y36" s="22">
        <f>Financials!X47/(Financials!W4+Financials!X4)/2</f>
        <v>5.3667442884016954E-3</v>
      </c>
      <c r="Z36" s="22">
        <f>Financials!Y47/(Financials!X4+Financials!Y4)/2</f>
        <v>5.960857228257792E-3</v>
      </c>
      <c r="AA36" s="22">
        <f>Financials!Z47/(Financials!Y4+Financials!Z4)/2</f>
        <v>6.9531499737711874E-3</v>
      </c>
      <c r="AB36" s="22">
        <f>Financials!AA47/(Financials!Z4+Financials!AA4)/2</f>
        <v>7.6316527193163375E-3</v>
      </c>
      <c r="AC36" s="22">
        <f>Financials!AB47/(Financials!AA4+Financials!AB4)/2</f>
        <v>8.4883076928016395E-3</v>
      </c>
      <c r="AD36" s="22">
        <f>Financials!AC47/(Financials!AB4+Financials!AC4)/2</f>
        <v>8.6972734784087277E-3</v>
      </c>
      <c r="AE36" s="22">
        <f>Financials!AD47/(Financials!AC4+Financials!AD4)/2</f>
        <v>8.4008114353843581E-3</v>
      </c>
      <c r="AF36" s="22">
        <f>Financials!AE47/(Financials!AD4+Financials!AE4)/2</f>
        <v>9.4678313546298412E-4</v>
      </c>
      <c r="AG36" s="22">
        <f>Financials!AF47/(Financials!AE4+Financials!AF4)/2</f>
        <v>2.1213381115286873E-3</v>
      </c>
      <c r="AH36" s="22">
        <f>Financials!AG47/(Financials!AF4+Financials!AG4)/2</f>
        <v>3.2796264572052419E-3</v>
      </c>
      <c r="AI36" s="22">
        <f>Financials!AH47/(Financials!AG4+Financials!AH4)/2</f>
        <v>4.4043898525243826E-3</v>
      </c>
      <c r="AJ36" s="22">
        <f>Financials!AI47/(Financials!AH4+Financials!AI4)/2</f>
        <v>5.2031646055066914E-3</v>
      </c>
    </row>
    <row r="37" spans="1:36">
      <c r="A37" s="57"/>
      <c r="B37" s="50" t="s">
        <v>215</v>
      </c>
      <c r="C37" s="2"/>
      <c r="D37" s="22"/>
      <c r="E37" s="22"/>
      <c r="F37" s="22"/>
      <c r="G37" s="22"/>
      <c r="H37" s="22">
        <f>Financials!G47/Financials!G37</f>
        <v>0.3456358229210717</v>
      </c>
      <c r="I37" s="22"/>
      <c r="J37" s="22"/>
      <c r="K37" s="22">
        <f>Financials!J47/Financials!J37</f>
        <v>0.30274569110455812</v>
      </c>
      <c r="L37" s="22">
        <f>Financials!K47/Financials!K37</f>
        <v>0.29782659344636542</v>
      </c>
      <c r="M37" s="22">
        <f>Financials!L47/Financials!L37</f>
        <v>0.29187701340983652</v>
      </c>
      <c r="N37" s="22">
        <f>Financials!M47/Financials!M37</f>
        <v>0.28592133884024873</v>
      </c>
      <c r="O37" s="22">
        <f>Financials!N47/Financials!N37</f>
        <v>0.28181049129887686</v>
      </c>
      <c r="P37" s="22">
        <f>Financials!O47/Financials!O37</f>
        <v>0.29351135494931935</v>
      </c>
      <c r="Q37" s="22">
        <f>Financials!P47/Financials!P37</f>
        <v>0.27962389385975295</v>
      </c>
      <c r="R37" s="22">
        <f>Financials!Q47/Financials!Q37</f>
        <v>0.27962389385975295</v>
      </c>
      <c r="S37" s="22">
        <f>Financials!R47/Financials!R37</f>
        <v>0.2840571861261626</v>
      </c>
      <c r="T37" s="22">
        <f>Financials!S47/Financials!S37</f>
        <v>0.40354200417394148</v>
      </c>
      <c r="U37" s="22">
        <f>Financials!T47/Financials!T37</f>
        <v>0.35769927182209865</v>
      </c>
      <c r="V37" s="22">
        <f>Financials!U47/Financials!U37</f>
        <v>0.31739011426799141</v>
      </c>
      <c r="W37" s="22">
        <f>Financials!V47/Financials!V37</f>
        <v>0.27338648591561066</v>
      </c>
      <c r="X37" s="22">
        <f>Financials!W47/Financials!W37</f>
        <v>0.27610949235030241</v>
      </c>
      <c r="Y37" s="22">
        <f>Financials!X47/Financials!X37</f>
        <v>0.26789784937574956</v>
      </c>
      <c r="Z37" s="22">
        <f>Financials!Y47/Financials!Y37</f>
        <v>0.25823264232088672</v>
      </c>
      <c r="AA37" s="22">
        <f>Financials!Z47/Financials!Z37</f>
        <v>0.27007238845295234</v>
      </c>
      <c r="AB37" s="22">
        <f>Financials!AA47/Financials!AA37</f>
        <v>0.26748383656816066</v>
      </c>
      <c r="AC37" s="22">
        <f>Financials!AB47/Financials!AB37</f>
        <v>0.27352269386325417</v>
      </c>
      <c r="AD37" s="22">
        <f>Financials!AC47/Financials!AC37</f>
        <v>0.26265497932059123</v>
      </c>
      <c r="AE37" s="22">
        <f>Financials!AD47/Financials!AD37</f>
        <v>0.25834669096571505</v>
      </c>
      <c r="AF37" s="22">
        <f>Financials!AE47/Financials!AE37</f>
        <v>0.33953619069420665</v>
      </c>
      <c r="AG37" s="22">
        <f>Financials!AF47/Financials!AF37</f>
        <v>0.40097100159677018</v>
      </c>
      <c r="AH37" s="22">
        <f>Financials!AG47/Financials!AG37</f>
        <v>0.36961717274016004</v>
      </c>
      <c r="AI37" s="22">
        <f>Financials!AH47/Financials!AH37</f>
        <v>0.38771396972521693</v>
      </c>
      <c r="AJ37" s="22">
        <f>Financials!AI47/Financials!AI37</f>
        <v>0.36368546756127473</v>
      </c>
    </row>
    <row r="38" spans="1:36">
      <c r="A38" s="57"/>
      <c r="B38" s="50" t="s">
        <v>216</v>
      </c>
      <c r="C38" s="2"/>
      <c r="D38" s="22"/>
      <c r="E38" s="22"/>
      <c r="F38" s="22"/>
      <c r="G38" s="22"/>
      <c r="H38" s="22">
        <f>Financials!G38/('Evolutive SFP'!F14+'Evolutive SFP'!B14)/2</f>
        <v>1.1751293089315882E-2</v>
      </c>
      <c r="I38" s="22"/>
      <c r="J38" s="22"/>
      <c r="K38" s="22">
        <f>Financials!J38/('Evolutive SFP'!I14+'Evolutive SFP'!F14)/2</f>
        <v>1.4608535344977452E-2</v>
      </c>
      <c r="L38" s="22">
        <f>Financials!K38/('Evolutive SFP'!J14+'Evolutive SFP'!I14)/2</f>
        <v>1.7881370561177383E-2</v>
      </c>
      <c r="M38" s="22">
        <f>Financials!L38/('Evolutive SFP'!K14+'Evolutive SFP'!J14)/2</f>
        <v>2.0795057237709719E-2</v>
      </c>
      <c r="N38" s="22">
        <f>Financials!M38/('Evolutive SFP'!L14+'Evolutive SFP'!K14)/2</f>
        <v>2.3451565676580965E-2</v>
      </c>
      <c r="O38" s="22">
        <f>Financials!N38/('Evolutive SFP'!M14+'Evolutive SFP'!L14)/2</f>
        <v>2.600392637075323E-2</v>
      </c>
      <c r="P38" s="22">
        <f>Financials!O38/('Evolutive SFP'!N14+'Evolutive SFP'!M14)/2</f>
        <v>2.8649998463277513E-2</v>
      </c>
      <c r="Q38" s="22">
        <f>Financials!P38/('Evolutive SFP'!O14+'Evolutive SFP'!N14)/2</f>
        <v>3.1198532008111991E-2</v>
      </c>
      <c r="R38" s="22">
        <f>Financials!Q38/('Evolutive SFP'!P14+'Evolutive SFP'!O14)/2</f>
        <v>3.0691898283004674E-2</v>
      </c>
      <c r="S38" s="22">
        <f>Financials!R38/('Evolutive SFP'!Q14+'Evolutive SFP'!P14)/2</f>
        <v>2.5900026004811345E-3</v>
      </c>
      <c r="T38" s="22">
        <f>Financials!S38/('Evolutive SFP'!R14+'Evolutive SFP'!Q14)/2</f>
        <v>5.6383790394866117E-3</v>
      </c>
      <c r="U38" s="22">
        <f>Financials!T38/('Evolutive SFP'!S14+'Evolutive SFP'!R14)/2</f>
        <v>8.9275410944828961E-3</v>
      </c>
      <c r="V38" s="22">
        <f>Financials!U38/('Evolutive SFP'!T14+'Evolutive SFP'!S14)/2</f>
        <v>1.5104777142749519E-2</v>
      </c>
      <c r="W38" s="22">
        <f>Financials!V38/('Evolutive SFP'!U14+'Evolutive SFP'!T14)/2</f>
        <v>2.2571461628065115E-2</v>
      </c>
      <c r="X38" s="22">
        <f>Financials!W38/('Evolutive SFP'!V14+'Evolutive SFP'!U14)/2</f>
        <v>2.6713097089538101E-2</v>
      </c>
      <c r="Y38" s="22">
        <f>Financials!X38/('Evolutive SFP'!W14+'Evolutive SFP'!V14)/2</f>
        <v>3.1003085240761299E-2</v>
      </c>
      <c r="Z38" s="22">
        <f>Financials!Y38/('Evolutive SFP'!X14+'Evolutive SFP'!W14)/2</f>
        <v>3.5481248789520754E-2</v>
      </c>
      <c r="AA38" s="22">
        <f>Financials!Z38/('Evolutive SFP'!Y14+'Evolutive SFP'!X14)/2</f>
        <v>3.9438097426408504E-2</v>
      </c>
      <c r="AB38" s="22">
        <f>Financials!AA38/('Evolutive SFP'!Z14+'Evolutive SFP'!Y14)/2</f>
        <v>4.4096160294646719E-2</v>
      </c>
      <c r="AC38" s="22">
        <f>Financials!AB38/('Evolutive SFP'!AA14+'Evolutive SFP'!Z14)/2</f>
        <v>4.8478499660109975E-2</v>
      </c>
      <c r="AD38" s="22">
        <f>Financials!AC38/('Evolutive SFP'!AB14+'Evolutive SFP'!AA14)/2</f>
        <v>5.2599206252847586E-2</v>
      </c>
      <c r="AE38" s="22">
        <f>Financials!AD38/('Evolutive SFP'!AC14+'Evolutive SFP'!AB14)/2</f>
        <v>5.2313515564488045E-2</v>
      </c>
      <c r="AF38" s="22">
        <f>Financials!AE38/('Evolutive SFP'!AD14+'Evolutive SFP'!AC14)/2</f>
        <v>4.5420220910807503E-3</v>
      </c>
      <c r="AG38" s="22">
        <f>Financials!AF38/('Evolutive SFP'!AE14+'Evolutive SFP'!AD14)/2</f>
        <v>8.5380677225260371E-3</v>
      </c>
      <c r="AH38" s="22">
        <f>Financials!AG38/('Evolutive SFP'!AF14+'Evolutive SFP'!AE14)/2</f>
        <v>1.2983143465729801E-2</v>
      </c>
      <c r="AI38" s="22">
        <f>Financials!AH38/('Evolutive SFP'!AG14+'Evolutive SFP'!AF14)/2</f>
        <v>1.7269276899907347E-2</v>
      </c>
      <c r="AJ38" s="22">
        <f>Financials!AI38/('Evolutive SFP'!AH14+'Evolutive SFP'!AG14)/2</f>
        <v>2.1734462799450783E-2</v>
      </c>
    </row>
    <row r="39" spans="1:36">
      <c r="A39" s="57"/>
      <c r="B39" s="50" t="s">
        <v>217</v>
      </c>
      <c r="C39" s="2"/>
      <c r="D39" s="22"/>
      <c r="E39" s="22"/>
      <c r="F39" s="22"/>
      <c r="G39" s="22"/>
      <c r="H39" s="22">
        <f>Financials!G37/('Evolutive SFP'!F15+'Evolutive SFP'!B15)/2</f>
        <v>1.4991396726826325E-2</v>
      </c>
      <c r="I39" s="22"/>
      <c r="J39" s="22"/>
      <c r="K39" s="22">
        <f>Financials!J37/('Evolutive SFP'!I15+'Evolutive SFP'!F15)/2</f>
        <v>1.8093772937232269E-2</v>
      </c>
      <c r="L39" s="22">
        <f>Financials!K37/('Evolutive SFP'!J15+'Evolutive SFP'!I15)/2</f>
        <v>2.190726564650199E-2</v>
      </c>
      <c r="M39" s="22">
        <f>Financials!L37/('Evolutive SFP'!K15+'Evolutive SFP'!J15)/2</f>
        <v>2.5297607605102704E-2</v>
      </c>
      <c r="N39" s="22">
        <f>Financials!M37/('Evolutive SFP'!L15+'Evolutive SFP'!K15)/2</f>
        <v>2.8305699420285185E-2</v>
      </c>
      <c r="O39" s="22">
        <f>Financials!N37/('Evolutive SFP'!M15+'Evolutive SFP'!L15)/2</f>
        <v>3.1239384155391233E-2</v>
      </c>
      <c r="P39" s="22">
        <f>Financials!O37/('Evolutive SFP'!N15+'Evolutive SFP'!M15)/2</f>
        <v>3.4198164200306171E-2</v>
      </c>
      <c r="Q39" s="22">
        <f>Financials!P37/('Evolutive SFP'!O15+'Evolutive SFP'!N15)/2</f>
        <v>3.7249948595167733E-2</v>
      </c>
      <c r="R39" s="22">
        <f>Financials!Q37/('Evolutive SFP'!P15+'Evolutive SFP'!O15)/2</f>
        <v>3.6669141751037956E-2</v>
      </c>
      <c r="S39" s="22">
        <f>Financials!R37/('Evolutive SFP'!Q15+'Evolutive SFP'!P15)/2</f>
        <v>2.9737194462600269E-3</v>
      </c>
      <c r="T39" s="22">
        <f>Financials!S37/('Evolutive SFP'!R15+'Evolutive SFP'!Q15)/2</f>
        <v>6.2523462486001472E-3</v>
      </c>
      <c r="U39" s="22">
        <f>Financials!T37/('Evolutive SFP'!S15+'Evolutive SFP'!R15)/2</f>
        <v>1.0583014501613381E-2</v>
      </c>
      <c r="V39" s="22">
        <f>Financials!U37/('Evolutive SFP'!T15+'Evolutive SFP'!S15)/2</f>
        <v>1.7646762258819657E-2</v>
      </c>
      <c r="W39" s="22">
        <f>Financials!V37/('Evolutive SFP'!U15+'Evolutive SFP'!T15)/2</f>
        <v>2.6342729275894386E-2</v>
      </c>
      <c r="X39" s="22">
        <f>Financials!W37/('Evolutive SFP'!V15+'Evolutive SFP'!U15)/2</f>
        <v>3.1718655214047556E-2</v>
      </c>
      <c r="Y39" s="22">
        <f>Financials!X37/('Evolutive SFP'!W15+'Evolutive SFP'!V15)/2</f>
        <v>3.6510541753667379E-2</v>
      </c>
      <c r="Z39" s="22">
        <f>Financials!Y37/('Evolutive SFP'!X15+'Evolutive SFP'!W15)/2</f>
        <v>4.1835998317943192E-2</v>
      </c>
      <c r="AA39" s="22">
        <f>Financials!Z37/('Evolutive SFP'!Y15+'Evolutive SFP'!X15)/2</f>
        <v>4.6409367238475774E-2</v>
      </c>
      <c r="AB39" s="22">
        <f>Financials!AA37/('Evolutive SFP'!Z15+'Evolutive SFP'!Y15)/2</f>
        <v>5.1632515920317951E-2</v>
      </c>
      <c r="AC39" s="22">
        <f>Financials!AB37/('Evolutive SFP'!AA15+'Evolutive SFP'!Z15)/2</f>
        <v>5.6573397669737235E-2</v>
      </c>
      <c r="AD39" s="22">
        <f>Financials!AC37/('Evolutive SFP'!AB15+'Evolutive SFP'!AA15)/2</f>
        <v>6.1449306129425507E-2</v>
      </c>
      <c r="AE39" s="22">
        <f>Financials!AD37/('Evolutive SFP'!AC15+'Evolutive SFP'!AB15)/2</f>
        <v>6.1095783370649651E-2</v>
      </c>
      <c r="AF39" s="22">
        <f>Financials!AE37/('Evolutive SFP'!AD15+'Evolutive SFP'!AC15)/2</f>
        <v>5.1763482330465412E-3</v>
      </c>
      <c r="AG39" s="22">
        <f>Financials!AF37/('Evolutive SFP'!AE15+'Evolutive SFP'!AD15)/2</f>
        <v>9.7401918271513149E-3</v>
      </c>
      <c r="AH39" s="22">
        <f>Financials!AG37/('Evolutive SFP'!AF15+'Evolutive SFP'!AE15)/2</f>
        <v>1.6257757383371749E-2</v>
      </c>
      <c r="AI39" s="22">
        <f>Financials!AH37/('Evolutive SFP'!AG15+'Evolutive SFP'!AF15)/2</f>
        <v>2.0556397410275234E-2</v>
      </c>
      <c r="AJ39" s="22">
        <f>Financials!AI37/('Evolutive SFP'!AH15+'Evolutive SFP'!AG15)/2</f>
        <v>2.5664297283773365E-2</v>
      </c>
    </row>
    <row r="40" spans="1:36">
      <c r="A40" s="5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5" thickBot="1">
      <c r="A41" s="59" t="s">
        <v>218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  <pageSetup scale="4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X47"/>
  <sheetViews>
    <sheetView topLeftCell="Y1" zoomScale="80" zoomScaleNormal="80" workbookViewId="0">
      <pane ySplit="2" topLeftCell="A3" activePane="bottomLeft" state="frozen"/>
      <selection pane="bottomLeft" activeCell="A10" sqref="A10:XFD10"/>
    </sheetView>
  </sheetViews>
  <sheetFormatPr defaultRowHeight="14.45"/>
  <cols>
    <col min="2" max="2" width="35.5703125" bestFit="1" customWidth="1"/>
    <col min="3" max="3" width="14.28515625" hidden="1" customWidth="1"/>
    <col min="4" max="4" width="14.28515625" bestFit="1" customWidth="1"/>
    <col min="5" max="15" width="14.28515625" hidden="1" customWidth="1"/>
    <col min="16" max="39" width="14.28515625" bestFit="1" customWidth="1"/>
  </cols>
  <sheetData>
    <row r="1" spans="1:50">
      <c r="A1" s="34"/>
      <c r="B1" s="61" t="s">
        <v>219</v>
      </c>
      <c r="C1" s="121"/>
      <c r="D1" s="121"/>
      <c r="E1" s="121"/>
    </row>
    <row r="2" spans="1:50">
      <c r="A2" s="34"/>
      <c r="B2" s="35" t="s">
        <v>220</v>
      </c>
      <c r="C2" s="63" t="s">
        <v>0</v>
      </c>
      <c r="D2" s="62" t="s">
        <v>1</v>
      </c>
      <c r="E2" s="153">
        <v>44197</v>
      </c>
      <c r="F2" s="153">
        <v>44229</v>
      </c>
      <c r="G2" s="153">
        <v>44258</v>
      </c>
      <c r="H2" s="153">
        <v>44290</v>
      </c>
      <c r="I2" s="153">
        <v>44321</v>
      </c>
      <c r="J2" s="153">
        <v>44353</v>
      </c>
      <c r="K2" s="153">
        <v>44384</v>
      </c>
      <c r="L2" s="153">
        <v>44416</v>
      </c>
      <c r="M2" s="153">
        <v>44448</v>
      </c>
      <c r="N2" s="153">
        <v>44479</v>
      </c>
      <c r="O2" s="153">
        <v>44511</v>
      </c>
      <c r="P2" s="153">
        <v>44542</v>
      </c>
      <c r="Q2" s="153" t="s">
        <v>221</v>
      </c>
      <c r="R2" s="153">
        <v>44575</v>
      </c>
      <c r="S2" s="153">
        <v>44607</v>
      </c>
      <c r="T2" s="153">
        <v>44636</v>
      </c>
      <c r="U2" s="153">
        <v>44668</v>
      </c>
      <c r="V2" s="153">
        <v>44699</v>
      </c>
      <c r="W2" s="153">
        <v>44731</v>
      </c>
      <c r="X2" s="153">
        <v>44762</v>
      </c>
      <c r="Y2" s="153">
        <v>44794</v>
      </c>
      <c r="Z2" s="153">
        <v>44826</v>
      </c>
      <c r="AA2" s="153">
        <v>44857</v>
      </c>
      <c r="AB2" s="153">
        <v>44889</v>
      </c>
      <c r="AC2" s="153">
        <v>44920</v>
      </c>
      <c r="AD2" s="153" t="s">
        <v>3</v>
      </c>
      <c r="AE2" s="153">
        <v>44953</v>
      </c>
      <c r="AF2" s="153">
        <v>44984</v>
      </c>
      <c r="AG2" s="153">
        <v>45012</v>
      </c>
      <c r="AH2" s="153">
        <v>45043</v>
      </c>
      <c r="AI2" s="153">
        <v>45073</v>
      </c>
      <c r="AJ2" s="153">
        <v>45104</v>
      </c>
      <c r="AK2" s="153">
        <v>45134</v>
      </c>
      <c r="AL2" s="153">
        <v>45165</v>
      </c>
      <c r="AM2" s="153">
        <v>45196</v>
      </c>
      <c r="AN2" s="153">
        <v>45226</v>
      </c>
      <c r="AO2" s="153">
        <v>45257</v>
      </c>
    </row>
    <row r="3" spans="1:50">
      <c r="A3" s="36">
        <v>1</v>
      </c>
      <c r="B3" s="36" t="s">
        <v>208</v>
      </c>
      <c r="C3" s="36"/>
      <c r="D3" s="36"/>
      <c r="E3" s="36"/>
      <c r="F3" s="70"/>
      <c r="G3" s="70"/>
      <c r="H3" s="70"/>
      <c r="I3" s="70"/>
      <c r="J3" s="7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0">
      <c r="A4" s="36">
        <v>2</v>
      </c>
      <c r="B4" s="36" t="s">
        <v>65</v>
      </c>
      <c r="C4" s="64">
        <f>'Evolutive SFP'!B27</f>
        <v>151015729</v>
      </c>
      <c r="D4" s="64">
        <f>'Evolutive SFP'!C27</f>
        <v>1236977812</v>
      </c>
      <c r="E4" s="64">
        <f>'Evolutive SFP'!D27</f>
        <v>1175308122</v>
      </c>
      <c r="F4" s="64">
        <f>'Evolutive SFP'!E27</f>
        <v>1189051110</v>
      </c>
      <c r="G4" s="64">
        <f>'Evolutive SFP'!F27</f>
        <v>1219904282</v>
      </c>
      <c r="H4" s="64">
        <f>'Evolutive SFP'!G27</f>
        <v>1223071543</v>
      </c>
      <c r="I4" s="64">
        <f>'Evolutive SFP'!H27</f>
        <v>1221855078</v>
      </c>
      <c r="J4" s="64">
        <f>'Evolutive SFP'!I27</f>
        <v>1232881966</v>
      </c>
      <c r="K4" s="64">
        <f>'Evolutive SFP'!J27</f>
        <v>1241947454</v>
      </c>
      <c r="L4" s="64">
        <f>'Evolutive SFP'!K27</f>
        <v>1249261488</v>
      </c>
      <c r="M4" s="64">
        <f>'Evolutive SFP'!L27</f>
        <v>1306588126</v>
      </c>
      <c r="N4" s="64">
        <f>'Evolutive SFP'!M27</f>
        <v>1311703371</v>
      </c>
      <c r="O4" s="64">
        <f>'Evolutive SFP'!N27</f>
        <v>1318055486</v>
      </c>
      <c r="P4" s="64">
        <f>'Evolutive SFP'!O27</f>
        <v>1374861880</v>
      </c>
      <c r="Q4" s="64">
        <f>'Evolutive SFP'!P27</f>
        <v>1372661880</v>
      </c>
      <c r="R4" s="64">
        <f>'Evolutive SFP'!Q27</f>
        <v>1380421207</v>
      </c>
      <c r="S4" s="64">
        <f>'Evolutive SFP'!R27</f>
        <v>1395092277</v>
      </c>
      <c r="T4" s="64">
        <f>'Evolutive SFP'!S27</f>
        <v>1374029443</v>
      </c>
      <c r="U4" s="64">
        <f>'Evolutive SFP'!T27</f>
        <v>1360681374</v>
      </c>
      <c r="V4" s="64">
        <f>'Evolutive SFP'!U27</f>
        <v>1364203576</v>
      </c>
      <c r="W4" s="64">
        <f>'Evolutive SFP'!V27</f>
        <v>1373206169</v>
      </c>
      <c r="X4" s="64">
        <f>'Evolutive SFP'!W27</f>
        <v>1381333307</v>
      </c>
      <c r="Y4" s="64">
        <f>'Evolutive SFP'!X27</f>
        <v>1388996927</v>
      </c>
      <c r="Z4" s="64">
        <f>'Evolutive SFP'!Y27</f>
        <v>1391514003</v>
      </c>
      <c r="AA4" s="64">
        <f>'Evolutive SFP'!Z27</f>
        <v>1402469854</v>
      </c>
      <c r="AB4" s="64">
        <f>'Evolutive SFP'!AA27</f>
        <v>1408173370</v>
      </c>
      <c r="AC4" s="64">
        <f>'Evolutive SFP'!AB27</f>
        <v>1465789897</v>
      </c>
      <c r="AD4" s="64">
        <f>'Evolutive SFP'!AC27</f>
        <v>1460789897</v>
      </c>
      <c r="AE4" s="64">
        <f>'Evolutive SFP'!AD27</f>
        <v>1465615207</v>
      </c>
      <c r="AF4" s="64">
        <f>'Evolutive SFP'!AE27</f>
        <v>1474942673</v>
      </c>
      <c r="AG4" s="64">
        <f>'Evolutive SFP'!AF27</f>
        <v>1440235816</v>
      </c>
      <c r="AH4" s="64">
        <f>'Evolutive SFP'!AG27</f>
        <v>1431550498</v>
      </c>
      <c r="AI4" s="64">
        <f>'Evolutive SFP'!AH27</f>
        <v>1430683667</v>
      </c>
      <c r="AJ4" s="64">
        <f>'Evolutive SFP'!AI27</f>
        <v>1434050537</v>
      </c>
      <c r="AK4" s="64">
        <f>'Evolutive SFP'!AJ27</f>
        <v>1469094532</v>
      </c>
      <c r="AL4" s="64">
        <f>'Evolutive SFP'!AK27</f>
        <v>1486824700</v>
      </c>
      <c r="AM4" s="64">
        <f>'Evolutive SFP'!AL27</f>
        <v>0</v>
      </c>
      <c r="AN4" s="64">
        <f>'Evolutive SFP'!AM27</f>
        <v>0</v>
      </c>
      <c r="AO4" s="64">
        <f>'Evolutive SFP'!AN27</f>
        <v>0</v>
      </c>
      <c r="AP4" s="64">
        <f>'Evolutive SFP'!AO27</f>
        <v>0</v>
      </c>
      <c r="AQ4" s="64">
        <f>'Evolutive SFP'!AP27</f>
        <v>0</v>
      </c>
      <c r="AR4" s="64">
        <f>'Evolutive SFP'!AQ27</f>
        <v>0</v>
      </c>
      <c r="AS4" s="64">
        <f>'Evolutive SFP'!AR27</f>
        <v>0</v>
      </c>
      <c r="AT4" s="64">
        <f>'Evolutive SFP'!AS27</f>
        <v>0</v>
      </c>
      <c r="AU4" s="64">
        <f>'Evolutive SFP'!AT27</f>
        <v>0</v>
      </c>
      <c r="AV4" s="64">
        <f>'Evolutive SFP'!AU27</f>
        <v>0</v>
      </c>
      <c r="AW4" s="64">
        <f>'Evolutive SFP'!AV27</f>
        <v>0</v>
      </c>
      <c r="AX4" s="64">
        <f>'Evolutive SFP'!AW27</f>
        <v>0</v>
      </c>
    </row>
    <row r="5" spans="1:50">
      <c r="A5" s="36">
        <v>3</v>
      </c>
      <c r="B5" s="36" t="s">
        <v>131</v>
      </c>
      <c r="C5" s="64">
        <f>'Evolutive SFP'!B31</f>
        <v>128604214</v>
      </c>
      <c r="D5" s="64">
        <f>'Evolutive SFP'!C31</f>
        <v>867461287</v>
      </c>
      <c r="E5" s="64">
        <f>'Evolutive SFP'!D31</f>
        <v>840362681</v>
      </c>
      <c r="F5" s="64">
        <f>'Evolutive SFP'!E31</f>
        <v>831015762</v>
      </c>
      <c r="G5" s="64">
        <f>'Evolutive SFP'!F31</f>
        <v>854889788</v>
      </c>
      <c r="H5" s="64">
        <f>'Evolutive SFP'!G31</f>
        <v>853793559</v>
      </c>
      <c r="I5" s="64">
        <f>'Evolutive SFP'!H31</f>
        <v>848216432</v>
      </c>
      <c r="J5" s="64">
        <f>'Evolutive SFP'!I31</f>
        <v>857554437</v>
      </c>
      <c r="K5" s="64">
        <f>'Evolutive SFP'!J31</f>
        <v>860684660</v>
      </c>
      <c r="L5" s="64">
        <f>'Evolutive SFP'!K31</f>
        <v>863059194</v>
      </c>
      <c r="M5" s="64">
        <f>'Evolutive SFP'!L31</f>
        <v>863909666</v>
      </c>
      <c r="N5" s="64">
        <f>'Evolutive SFP'!M31</f>
        <v>861601713</v>
      </c>
      <c r="O5" s="64">
        <f>'Evolutive SFP'!N31</f>
        <v>870585419</v>
      </c>
      <c r="P5" s="64">
        <f>'Evolutive SFP'!O31</f>
        <v>875506217</v>
      </c>
      <c r="Q5" s="64">
        <f>'Evolutive SFP'!P31</f>
        <v>911981655</v>
      </c>
      <c r="R5" s="64">
        <f>'Evolutive SFP'!Q31</f>
        <v>880047227</v>
      </c>
      <c r="S5" s="64">
        <f>'Evolutive SFP'!R31</f>
        <v>899566270</v>
      </c>
      <c r="T5" s="64">
        <f>'Evolutive SFP'!S31</f>
        <v>932824605</v>
      </c>
      <c r="U5" s="64">
        <f>'Evolutive SFP'!T31</f>
        <v>903802032</v>
      </c>
      <c r="V5" s="64">
        <f>'Evolutive SFP'!U31</f>
        <v>904960827</v>
      </c>
      <c r="W5" s="64">
        <f>'Evolutive SFP'!V31</f>
        <v>911956331</v>
      </c>
      <c r="X5" s="64">
        <f>'Evolutive SFP'!W31</f>
        <v>912331413</v>
      </c>
      <c r="Y5" s="64">
        <f>'Evolutive SFP'!X31</f>
        <v>914953639</v>
      </c>
      <c r="Z5" s="64">
        <f>'Evolutive SFP'!Y31</f>
        <v>913072094</v>
      </c>
      <c r="AA5" s="64">
        <f>'Evolutive SFP'!Z31</f>
        <v>917017259</v>
      </c>
      <c r="AB5" s="64">
        <f>'Evolutive SFP'!AA31</f>
        <v>919157693</v>
      </c>
      <c r="AC5" s="64">
        <f>'Evolutive SFP'!AB31</f>
        <v>930279580</v>
      </c>
      <c r="AD5" s="64">
        <f>'Evolutive SFP'!AC31</f>
        <v>972683145</v>
      </c>
      <c r="AE5" s="64">
        <f>'Evolutive SFP'!AD31</f>
        <v>933752812</v>
      </c>
      <c r="AF5" s="64">
        <f>'Evolutive SFP'!AE31</f>
        <v>939831811</v>
      </c>
      <c r="AG5" s="64">
        <f>'Evolutive SFP'!AF31</f>
        <v>959346036</v>
      </c>
      <c r="AH5" s="64">
        <f>'Evolutive SFP'!AG31</f>
        <v>951780015</v>
      </c>
      <c r="AI5" s="64">
        <f>'Evolutive SFP'!AH31</f>
        <v>948707955</v>
      </c>
      <c r="AJ5" s="64">
        <f>'Evolutive SFP'!AI31</f>
        <v>948019038</v>
      </c>
      <c r="AK5" s="64">
        <f>'Evolutive SFP'!AJ31</f>
        <v>973602947</v>
      </c>
      <c r="AL5" s="64">
        <f>'Evolutive SFP'!AK31</f>
        <v>985159735</v>
      </c>
      <c r="AM5" s="64">
        <f>'Evolutive SFP'!AL31</f>
        <v>0</v>
      </c>
      <c r="AN5" s="64">
        <f>'Evolutive SFP'!AM31</f>
        <v>0</v>
      </c>
      <c r="AO5" s="64">
        <f>'Evolutive SFP'!AN31</f>
        <v>0</v>
      </c>
      <c r="AP5" s="64">
        <f>'Evolutive SFP'!AO31</f>
        <v>0</v>
      </c>
      <c r="AQ5" s="64">
        <f>'Evolutive SFP'!AP31</f>
        <v>0</v>
      </c>
      <c r="AR5" s="64">
        <f>'Evolutive SFP'!AQ31</f>
        <v>0</v>
      </c>
      <c r="AS5" s="64">
        <f>'Evolutive SFP'!AR31</f>
        <v>0</v>
      </c>
      <c r="AT5" s="64">
        <f>'Evolutive SFP'!AS31</f>
        <v>0</v>
      </c>
      <c r="AU5" s="64">
        <f>'Evolutive SFP'!AT31</f>
        <v>0</v>
      </c>
      <c r="AV5" s="64">
        <f>'Evolutive SFP'!AU31</f>
        <v>0</v>
      </c>
      <c r="AW5" s="64">
        <f>'Evolutive SFP'!AV31</f>
        <v>0</v>
      </c>
      <c r="AX5" s="64">
        <f>'Evolutive SFP'!AW31</f>
        <v>0</v>
      </c>
    </row>
    <row r="6" spans="1:50">
      <c r="A6" s="36">
        <v>3.1</v>
      </c>
      <c r="B6" s="37" t="s">
        <v>222</v>
      </c>
      <c r="C6" s="64">
        <f>'Evolutive SFP'!B30</f>
        <v>112140909</v>
      </c>
      <c r="D6" s="64">
        <f>'Evolutive SFP'!C30</f>
        <v>648119220</v>
      </c>
      <c r="E6" s="64">
        <f>'Evolutive SFP'!D30</f>
        <v>653027408</v>
      </c>
      <c r="F6" s="64">
        <f>'Evolutive SFP'!E30</f>
        <v>657560984</v>
      </c>
      <c r="G6" s="64">
        <f>'Evolutive SFP'!F30</f>
        <v>658237631</v>
      </c>
      <c r="H6" s="64">
        <f>'Evolutive SFP'!G30</f>
        <v>663672071</v>
      </c>
      <c r="I6" s="64">
        <f>'Evolutive SFP'!H30</f>
        <v>667297041</v>
      </c>
      <c r="J6" s="64">
        <f>'Evolutive SFP'!I30</f>
        <v>672478023</v>
      </c>
      <c r="K6" s="64">
        <f>'Evolutive SFP'!J30</f>
        <v>671289225</v>
      </c>
      <c r="L6" s="64">
        <f>'Evolutive SFP'!K30</f>
        <v>674145345</v>
      </c>
      <c r="M6" s="64">
        <f>'Evolutive SFP'!L30</f>
        <v>677288785</v>
      </c>
      <c r="N6" s="64">
        <f>'Evolutive SFP'!M30</f>
        <v>677014567</v>
      </c>
      <c r="O6" s="64">
        <f>'Evolutive SFP'!N30</f>
        <v>681062853</v>
      </c>
      <c r="P6" s="64">
        <f>'Evolutive SFP'!O30</f>
        <v>688606121</v>
      </c>
      <c r="Q6" s="64">
        <f>'Evolutive SFP'!P30</f>
        <v>688580171</v>
      </c>
      <c r="R6" s="64">
        <f>'Evolutive SFP'!Q30</f>
        <v>693913233</v>
      </c>
      <c r="S6" s="64">
        <f>'Evolutive SFP'!R30</f>
        <v>699331954</v>
      </c>
      <c r="T6" s="64">
        <f>'Evolutive SFP'!S30</f>
        <v>703419370</v>
      </c>
      <c r="U6" s="64">
        <f>'Evolutive SFP'!T30</f>
        <v>707120558</v>
      </c>
      <c r="V6" s="64">
        <f>'Evolutive SFP'!U30</f>
        <v>711700029</v>
      </c>
      <c r="W6" s="64">
        <f>'Evolutive SFP'!V30</f>
        <v>711246774</v>
      </c>
      <c r="X6" s="64">
        <f>'Evolutive SFP'!W30</f>
        <v>711177383</v>
      </c>
      <c r="Y6" s="64">
        <f>'Evolutive SFP'!X30</f>
        <v>710435343</v>
      </c>
      <c r="Z6" s="64">
        <f>'Evolutive SFP'!Y30</f>
        <v>713581190</v>
      </c>
      <c r="AA6" s="64">
        <f>'Evolutive SFP'!Z30</f>
        <v>716857531</v>
      </c>
      <c r="AB6" s="64">
        <f>'Evolutive SFP'!AA30</f>
        <v>720983998</v>
      </c>
      <c r="AC6" s="64">
        <f>'Evolutive SFP'!AB30</f>
        <v>726994123</v>
      </c>
      <c r="AD6" s="64">
        <f>'Evolutive SFP'!AC30</f>
        <v>727001223</v>
      </c>
      <c r="AE6" s="64">
        <f>'Evolutive SFP'!AD30</f>
        <v>729441854</v>
      </c>
      <c r="AF6" s="64">
        <f>'Evolutive SFP'!AE30</f>
        <v>735032641</v>
      </c>
      <c r="AG6" s="64">
        <f>'Evolutive SFP'!AF30</f>
        <v>738093934</v>
      </c>
      <c r="AH6" s="64">
        <f>'Evolutive SFP'!AG30</f>
        <v>742920489</v>
      </c>
      <c r="AI6" s="64">
        <f>'Evolutive SFP'!AH30</f>
        <v>747616909</v>
      </c>
      <c r="AJ6" s="64">
        <f>'Evolutive SFP'!AI30</f>
        <v>751271783</v>
      </c>
      <c r="AK6" s="64">
        <f>'Evolutive SFP'!AJ30</f>
        <v>746110350</v>
      </c>
      <c r="AL6" s="64">
        <f>'Evolutive SFP'!AK30</f>
        <v>747558830</v>
      </c>
      <c r="AM6" s="64">
        <f>'Evolutive SFP'!AL30</f>
        <v>0</v>
      </c>
      <c r="AN6" s="64">
        <f>'Evolutive SFP'!AM30</f>
        <v>0</v>
      </c>
      <c r="AO6" s="64">
        <f>'Evolutive SFP'!AN30</f>
        <v>0</v>
      </c>
      <c r="AP6" s="64">
        <f>'Evolutive SFP'!AO30</f>
        <v>0</v>
      </c>
      <c r="AQ6" s="64">
        <f>'Evolutive SFP'!AP30</f>
        <v>0</v>
      </c>
      <c r="AR6" s="64">
        <f>'Evolutive SFP'!AQ30</f>
        <v>0</v>
      </c>
      <c r="AS6" s="64">
        <f>'Evolutive SFP'!AR30</f>
        <v>0</v>
      </c>
      <c r="AT6" s="64">
        <f>'Evolutive SFP'!AS30</f>
        <v>0</v>
      </c>
      <c r="AU6" s="64">
        <f>'Evolutive SFP'!AT30</f>
        <v>0</v>
      </c>
      <c r="AV6" s="64">
        <f>'Evolutive SFP'!AU30</f>
        <v>0</v>
      </c>
      <c r="AW6" s="64">
        <f>'Evolutive SFP'!AV30</f>
        <v>0</v>
      </c>
      <c r="AX6" s="64">
        <f>'Evolutive SFP'!AW30</f>
        <v>0</v>
      </c>
    </row>
    <row r="7" spans="1:50">
      <c r="A7" s="36">
        <v>3.2</v>
      </c>
      <c r="B7" s="37" t="s">
        <v>223</v>
      </c>
      <c r="C7" s="64">
        <f>('Evolutive SFP'!B28+'Evolutive SFP'!B29)</f>
        <v>16463305</v>
      </c>
      <c r="D7" s="64">
        <f>('Evolutive SFP'!C28+'Evolutive SFP'!C29)</f>
        <v>219342067</v>
      </c>
      <c r="E7" s="64">
        <f>('Evolutive SFP'!D28+'Evolutive SFP'!D29)</f>
        <v>187335273</v>
      </c>
      <c r="F7" s="64">
        <f>('Evolutive SFP'!E28+'Evolutive SFP'!E29)</f>
        <v>173454778</v>
      </c>
      <c r="G7" s="64">
        <f>('Evolutive SFP'!F28+'Evolutive SFP'!F29)</f>
        <v>196652157</v>
      </c>
      <c r="H7" s="64">
        <f>('Evolutive SFP'!G28+'Evolutive SFP'!G29)</f>
        <v>190121488</v>
      </c>
      <c r="I7" s="64">
        <f>('Evolutive SFP'!H28+'Evolutive SFP'!H29)</f>
        <v>180919391</v>
      </c>
      <c r="J7" s="64">
        <f>('Evolutive SFP'!I28+'Evolutive SFP'!I29)</f>
        <v>185076414</v>
      </c>
      <c r="K7" s="64">
        <f>('Evolutive SFP'!J28+'Evolutive SFP'!J29)</f>
        <v>189395435</v>
      </c>
      <c r="L7" s="64">
        <f>('Evolutive SFP'!K28+'Evolutive SFP'!K29)</f>
        <v>188913849</v>
      </c>
      <c r="M7" s="64">
        <f>('Evolutive SFP'!L28+'Evolutive SFP'!L29)</f>
        <v>186620881</v>
      </c>
      <c r="N7" s="64">
        <f>('Evolutive SFP'!M28+'Evolutive SFP'!M29)</f>
        <v>184587146</v>
      </c>
      <c r="O7" s="64">
        <f>('Evolutive SFP'!N28+'Evolutive SFP'!N29)</f>
        <v>189522566</v>
      </c>
      <c r="P7" s="64">
        <f>('Evolutive SFP'!O28+'Evolutive SFP'!O29)</f>
        <v>186900096</v>
      </c>
      <c r="Q7" s="64">
        <f>('Evolutive SFP'!P28+'Evolutive SFP'!P29)</f>
        <v>223401484</v>
      </c>
      <c r="R7" s="64">
        <f>('Evolutive SFP'!Q28+'Evolutive SFP'!Q29)</f>
        <v>186133994</v>
      </c>
      <c r="S7" s="64">
        <f>('Evolutive SFP'!R28+'Evolutive SFP'!R29)</f>
        <v>200234316</v>
      </c>
      <c r="T7" s="64">
        <f>('Evolutive SFP'!S28+'Evolutive SFP'!S29)</f>
        <v>229405235</v>
      </c>
      <c r="U7" s="64">
        <f>('Evolutive SFP'!T28+'Evolutive SFP'!T29)</f>
        <v>196681474</v>
      </c>
      <c r="V7" s="64">
        <f>('Evolutive SFP'!U28+'Evolutive SFP'!U29)</f>
        <v>193260798</v>
      </c>
      <c r="W7" s="64">
        <f>('Evolutive SFP'!V28+'Evolutive SFP'!V29)</f>
        <v>200709557</v>
      </c>
      <c r="X7" s="64">
        <f>('Evolutive SFP'!W28+'Evolutive SFP'!W29)</f>
        <v>201154030</v>
      </c>
      <c r="Y7" s="64">
        <f>('Evolutive SFP'!X28+'Evolutive SFP'!X29)</f>
        <v>204518296</v>
      </c>
      <c r="Z7" s="64">
        <f>('Evolutive SFP'!Y28+'Evolutive SFP'!Y29)</f>
        <v>199490904</v>
      </c>
      <c r="AA7" s="64">
        <f>('Evolutive SFP'!Z28+'Evolutive SFP'!Z29)</f>
        <v>200159728</v>
      </c>
      <c r="AB7" s="64">
        <f>('Evolutive SFP'!AA28+'Evolutive SFP'!AA29)</f>
        <v>198173695</v>
      </c>
      <c r="AC7" s="64">
        <f>('Evolutive SFP'!AB28+'Evolutive SFP'!AB29)</f>
        <v>203285457</v>
      </c>
      <c r="AD7" s="64">
        <f>('Evolutive SFP'!AC28+'Evolutive SFP'!AC29)</f>
        <v>245681922</v>
      </c>
      <c r="AE7" s="64">
        <f>('Evolutive SFP'!AD28+'Evolutive SFP'!AD29)</f>
        <v>204310958</v>
      </c>
      <c r="AF7" s="64">
        <f>('Evolutive SFP'!AE28+'Evolutive SFP'!AE29)</f>
        <v>204799170</v>
      </c>
      <c r="AG7" s="64">
        <f>('Evolutive SFP'!AF28+'Evolutive SFP'!AF29)</f>
        <v>221252102</v>
      </c>
      <c r="AH7" s="64">
        <f>('Evolutive SFP'!AG28+'Evolutive SFP'!AG29)</f>
        <v>208859526</v>
      </c>
      <c r="AI7" s="64">
        <f>('Evolutive SFP'!AH28+'Evolutive SFP'!AH29)</f>
        <v>201091046</v>
      </c>
      <c r="AJ7" s="64">
        <f>('Evolutive SFP'!AI28+'Evolutive SFP'!AI29)</f>
        <v>196747255</v>
      </c>
      <c r="AK7" s="64">
        <f>('Evolutive SFP'!AJ28+'Evolutive SFP'!AJ29)</f>
        <v>227492597</v>
      </c>
      <c r="AL7" s="64">
        <f>('Evolutive SFP'!AK28+'Evolutive SFP'!AK29)</f>
        <v>237600905</v>
      </c>
      <c r="AM7" s="64">
        <f>('Evolutive SFP'!AL28+'Evolutive SFP'!AL29)</f>
        <v>0</v>
      </c>
      <c r="AN7" s="64">
        <f>('Evolutive SFP'!AM28+'Evolutive SFP'!AM29)</f>
        <v>0</v>
      </c>
      <c r="AO7" s="64">
        <f>('Evolutive SFP'!AN28+'Evolutive SFP'!AN29)</f>
        <v>0</v>
      </c>
      <c r="AP7" s="64">
        <f>('Evolutive SFP'!AO28+'Evolutive SFP'!AO29)</f>
        <v>0</v>
      </c>
      <c r="AQ7" s="64">
        <f>('Evolutive SFP'!AP28+'Evolutive SFP'!AP29)</f>
        <v>0</v>
      </c>
      <c r="AR7" s="64">
        <f>('Evolutive SFP'!AQ28+'Evolutive SFP'!AQ29)</f>
        <v>0</v>
      </c>
      <c r="AS7" s="64">
        <f>('Evolutive SFP'!AR28+'Evolutive SFP'!AR29)</f>
        <v>0</v>
      </c>
      <c r="AT7" s="64">
        <f>('Evolutive SFP'!AS28+'Evolutive SFP'!AS29)</f>
        <v>0</v>
      </c>
      <c r="AU7" s="64">
        <f>('Evolutive SFP'!AT28+'Evolutive SFP'!AT29)</f>
        <v>0</v>
      </c>
      <c r="AV7" s="64">
        <f>('Evolutive SFP'!AU28+'Evolutive SFP'!AU29)</f>
        <v>0</v>
      </c>
      <c r="AW7" s="64">
        <f>('Evolutive SFP'!AV28+'Evolutive SFP'!AV29)</f>
        <v>0</v>
      </c>
      <c r="AX7" s="64">
        <f>('Evolutive SFP'!AW28+'Evolutive SFP'!AW29)</f>
        <v>0</v>
      </c>
    </row>
    <row r="8" spans="1:50">
      <c r="A8" s="36">
        <v>4</v>
      </c>
      <c r="B8" s="36" t="s">
        <v>140</v>
      </c>
      <c r="C8" s="64">
        <f>'Evolutive SFP'!B37</f>
        <v>2291669</v>
      </c>
      <c r="D8" s="64">
        <f>'Evolutive SFP'!C37</f>
        <v>86676534</v>
      </c>
      <c r="E8" s="64">
        <f>'Evolutive SFP'!D37</f>
        <v>82942020</v>
      </c>
      <c r="F8" s="64">
        <f>'Evolutive SFP'!E37</f>
        <v>78518799</v>
      </c>
      <c r="G8" s="64">
        <f>'Evolutive SFP'!F37</f>
        <v>74852133</v>
      </c>
      <c r="H8" s="64">
        <f>'Evolutive SFP'!G37</f>
        <v>71185467</v>
      </c>
      <c r="I8" s="64">
        <f>'Evolutive SFP'!H37</f>
        <v>66760355</v>
      </c>
      <c r="J8" s="64">
        <f>'Evolutive SFP'!I37</f>
        <v>63093688</v>
      </c>
      <c r="K8" s="64">
        <f>'Evolutive SFP'!J37</f>
        <v>59427022</v>
      </c>
      <c r="L8" s="64">
        <f>'Evolutive SFP'!K37</f>
        <v>55000013</v>
      </c>
      <c r="M8" s="64">
        <f>'Evolutive SFP'!L37</f>
        <v>101333347</v>
      </c>
      <c r="N8" s="64">
        <f>'Evolutive SFP'!M37</f>
        <v>96277793</v>
      </c>
      <c r="O8" s="64">
        <f>'Evolutive SFP'!N37</f>
        <v>91184333</v>
      </c>
      <c r="P8" s="64">
        <f>'Evolutive SFP'!O37</f>
        <v>145741122</v>
      </c>
      <c r="Q8" s="64">
        <f>'Evolutive SFP'!P37</f>
        <v>145741122</v>
      </c>
      <c r="R8" s="64">
        <f>'Evolutive SFP'!Q37</f>
        <v>142364405</v>
      </c>
      <c r="S8" s="64">
        <f>'Evolutive SFP'!R37</f>
        <v>138101668</v>
      </c>
      <c r="T8" s="64">
        <f>'Evolutive SFP'!S37</f>
        <v>133841034</v>
      </c>
      <c r="U8" s="64">
        <f>'Evolutive SFP'!T37</f>
        <v>129863219</v>
      </c>
      <c r="V8" s="64">
        <f>'Evolutive SFP'!U37</f>
        <v>125572404</v>
      </c>
      <c r="W8" s="64">
        <f>'Evolutive SFP'!V37</f>
        <v>121264026</v>
      </c>
      <c r="X8" s="64">
        <f>'Evolutive SFP'!W37</f>
        <v>114161192</v>
      </c>
      <c r="Y8" s="64">
        <f>'Evolutive SFP'!X37</f>
        <v>109818728</v>
      </c>
      <c r="Z8" s="64">
        <f>'Evolutive SFP'!Y37</f>
        <v>105458661</v>
      </c>
      <c r="AA8" s="64">
        <f>'Evolutive SFP'!Z37</f>
        <v>101088594</v>
      </c>
      <c r="AB8" s="64">
        <f>'Evolutive SFP'!AA37</f>
        <v>96692814</v>
      </c>
      <c r="AC8" s="64">
        <f>'Evolutive SFP'!AB37</f>
        <v>138434460</v>
      </c>
      <c r="AD8" s="64">
        <f>'Evolutive SFP'!AC37</f>
        <v>138434460</v>
      </c>
      <c r="AE8" s="64">
        <f>'Evolutive SFP'!AD37</f>
        <v>133712944</v>
      </c>
      <c r="AF8" s="64">
        <f>'Evolutive SFP'!AE37</f>
        <v>128984534</v>
      </c>
      <c r="AG8" s="64">
        <f>'Evolutive SFP'!AF37</f>
        <v>124293770</v>
      </c>
      <c r="AH8" s="64">
        <f>'Evolutive SFP'!AG37</f>
        <v>119528144</v>
      </c>
      <c r="AI8" s="64">
        <f>'Evolutive SFP'!AH37</f>
        <v>114743280</v>
      </c>
      <c r="AJ8" s="64">
        <f>'Evolutive SFP'!AI37</f>
        <v>109953977</v>
      </c>
      <c r="AK8" s="64">
        <f>'Evolutive SFP'!AJ37</f>
        <v>105130154</v>
      </c>
      <c r="AL8" s="64">
        <f>'Evolutive SFP'!AK37</f>
        <v>100316438</v>
      </c>
      <c r="AM8" s="64">
        <f>'Evolutive SFP'!AL37</f>
        <v>0</v>
      </c>
      <c r="AN8" s="64">
        <f>'Evolutive SFP'!AM37</f>
        <v>0</v>
      </c>
      <c r="AO8" s="64">
        <f>'Evolutive SFP'!AN37</f>
        <v>0</v>
      </c>
      <c r="AP8" s="64">
        <f>'Evolutive SFP'!AO37</f>
        <v>0</v>
      </c>
      <c r="AQ8" s="64">
        <f>'Evolutive SFP'!AP37</f>
        <v>0</v>
      </c>
      <c r="AR8" s="64">
        <f>'Evolutive SFP'!AQ37</f>
        <v>0</v>
      </c>
      <c r="AS8" s="64">
        <f>'Evolutive SFP'!AR37</f>
        <v>0</v>
      </c>
      <c r="AT8" s="64">
        <f>'Evolutive SFP'!AS37</f>
        <v>0</v>
      </c>
      <c r="AU8" s="64">
        <f>'Evolutive SFP'!AT37</f>
        <v>0</v>
      </c>
      <c r="AV8" s="64">
        <f>'Evolutive SFP'!AU37</f>
        <v>0</v>
      </c>
      <c r="AW8" s="64">
        <f>'Evolutive SFP'!AV37</f>
        <v>0</v>
      </c>
      <c r="AX8" s="64">
        <f>'Evolutive SFP'!AW37</f>
        <v>0</v>
      </c>
    </row>
    <row r="9" spans="1:50">
      <c r="A9" s="36"/>
      <c r="B9" s="36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</row>
    <row r="10" spans="1:50">
      <c r="A10" s="38">
        <v>5</v>
      </c>
      <c r="B10" s="34" t="s">
        <v>224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</row>
    <row r="11" spans="1:50" s="29" customFormat="1">
      <c r="A11" s="46">
        <v>5.0999999999999996</v>
      </c>
      <c r="B11" s="34" t="s">
        <v>133</v>
      </c>
      <c r="C11" s="65">
        <f t="shared" ref="C11" si="0">C14-C22-C25</f>
        <v>14446887</v>
      </c>
      <c r="D11" s="65">
        <f>D14-D22-D26</f>
        <v>207580690</v>
      </c>
      <c r="E11" s="65">
        <f t="shared" ref="E11:P11" si="1">E14-E22-E26</f>
        <v>195367286</v>
      </c>
      <c r="F11" s="65">
        <f t="shared" si="1"/>
        <v>166809915</v>
      </c>
      <c r="G11" s="65">
        <f t="shared" si="1"/>
        <v>171680268</v>
      </c>
      <c r="H11" s="65">
        <f t="shared" si="1"/>
        <v>178645934</v>
      </c>
      <c r="I11" s="65">
        <f t="shared" si="1"/>
        <v>181275090</v>
      </c>
      <c r="J11" s="65">
        <f t="shared" si="1"/>
        <v>180842594</v>
      </c>
      <c r="K11" s="65">
        <f t="shared" si="1"/>
        <v>180260274</v>
      </c>
      <c r="L11" s="65">
        <f t="shared" si="1"/>
        <v>182019959</v>
      </c>
      <c r="M11" s="65">
        <f t="shared" si="1"/>
        <v>184823023</v>
      </c>
      <c r="N11" s="65">
        <f t="shared" si="1"/>
        <v>187235999</v>
      </c>
      <c r="O11" s="65">
        <f t="shared" si="1"/>
        <v>185864173</v>
      </c>
      <c r="P11" s="65">
        <f t="shared" si="1"/>
        <v>174010427</v>
      </c>
      <c r="Q11" s="65">
        <f t="shared" ref="Q11" si="2">Q14-Q22-Q26</f>
        <v>219707696</v>
      </c>
      <c r="R11" s="65">
        <f t="shared" ref="R11:AX11" si="3">R14-R22-R26</f>
        <v>177276739</v>
      </c>
      <c r="S11" s="65">
        <f t="shared" si="3"/>
        <v>177501041</v>
      </c>
      <c r="T11" s="65">
        <f t="shared" si="3"/>
        <v>183362041</v>
      </c>
      <c r="U11" s="65">
        <f t="shared" si="3"/>
        <v>195467304</v>
      </c>
      <c r="V11" s="65">
        <f t="shared" si="3"/>
        <v>198200329</v>
      </c>
      <c r="W11" s="65">
        <f t="shared" si="3"/>
        <v>197965151</v>
      </c>
      <c r="X11" s="65">
        <f t="shared" si="3"/>
        <v>190490599</v>
      </c>
      <c r="Y11" s="65">
        <f t="shared" si="3"/>
        <v>197286609</v>
      </c>
      <c r="Z11" s="65">
        <f t="shared" si="3"/>
        <v>200835766</v>
      </c>
      <c r="AA11" s="65">
        <f t="shared" si="3"/>
        <v>205943900</v>
      </c>
      <c r="AB11" s="65">
        <f t="shared" si="3"/>
        <v>207344932</v>
      </c>
      <c r="AC11" s="65">
        <f t="shared" si="3"/>
        <v>207005401</v>
      </c>
      <c r="AD11" s="65">
        <f t="shared" si="3"/>
        <v>252893884</v>
      </c>
      <c r="AE11" s="65">
        <f t="shared" si="3"/>
        <v>257315948</v>
      </c>
      <c r="AF11" s="65">
        <f t="shared" si="3"/>
        <v>261841172</v>
      </c>
      <c r="AG11" s="65">
        <f t="shared" si="3"/>
        <v>260966500</v>
      </c>
      <c r="AH11" s="65">
        <f t="shared" si="3"/>
        <v>260160135</v>
      </c>
      <c r="AI11" s="65">
        <f t="shared" si="3"/>
        <v>266157343</v>
      </c>
      <c r="AJ11" s="65">
        <f t="shared" si="3"/>
        <v>267961213</v>
      </c>
      <c r="AK11" s="65">
        <f t="shared" si="3"/>
        <v>274277040</v>
      </c>
      <c r="AL11" s="65">
        <f t="shared" si="3"/>
        <v>280252351</v>
      </c>
      <c r="AM11" s="65">
        <f t="shared" si="3"/>
        <v>0</v>
      </c>
      <c r="AN11" s="65">
        <f t="shared" si="3"/>
        <v>0</v>
      </c>
      <c r="AO11" s="65">
        <f t="shared" si="3"/>
        <v>0</v>
      </c>
      <c r="AP11" s="65">
        <f t="shared" si="3"/>
        <v>0</v>
      </c>
      <c r="AQ11" s="65">
        <f t="shared" si="3"/>
        <v>0</v>
      </c>
      <c r="AR11" s="65">
        <f t="shared" si="3"/>
        <v>0</v>
      </c>
      <c r="AS11" s="65">
        <f t="shared" si="3"/>
        <v>0</v>
      </c>
      <c r="AT11" s="65">
        <f t="shared" si="3"/>
        <v>0</v>
      </c>
      <c r="AU11" s="65">
        <f t="shared" si="3"/>
        <v>0</v>
      </c>
      <c r="AV11" s="65">
        <f t="shared" si="3"/>
        <v>0</v>
      </c>
      <c r="AW11" s="65">
        <f t="shared" si="3"/>
        <v>0</v>
      </c>
      <c r="AX11" s="65">
        <f t="shared" si="3"/>
        <v>0</v>
      </c>
    </row>
    <row r="12" spans="1:50" s="29" customFormat="1">
      <c r="A12" s="46">
        <v>5.2</v>
      </c>
      <c r="B12" s="34" t="s">
        <v>225</v>
      </c>
      <c r="C12" s="65">
        <f>C11-C15</f>
        <v>3952190</v>
      </c>
      <c r="D12" s="65">
        <f>D11-D15</f>
        <v>118168564</v>
      </c>
      <c r="E12" s="65">
        <f>E11-E15</f>
        <v>105612514</v>
      </c>
      <c r="F12" s="65">
        <f>F11-F15</f>
        <v>76769773</v>
      </c>
      <c r="G12" s="65">
        <f t="shared" ref="G12:N12" si="4">G11-G15</f>
        <v>81458836</v>
      </c>
      <c r="H12" s="65">
        <f>H11-H15</f>
        <v>88004849</v>
      </c>
      <c r="I12" s="65">
        <f>I11-I15</f>
        <v>90285277</v>
      </c>
      <c r="J12" s="65">
        <f t="shared" si="4"/>
        <v>89517222</v>
      </c>
      <c r="K12" s="65">
        <f t="shared" si="4"/>
        <v>88637746</v>
      </c>
      <c r="L12" s="65">
        <f t="shared" si="4"/>
        <v>89975620</v>
      </c>
      <c r="M12" s="65">
        <f t="shared" si="4"/>
        <v>92231914</v>
      </c>
      <c r="N12" s="65">
        <f t="shared" si="4"/>
        <v>94274225</v>
      </c>
      <c r="O12" s="65">
        <f t="shared" ref="O12:P12" si="5">O11-O15</f>
        <v>92735638</v>
      </c>
      <c r="P12" s="65">
        <f t="shared" si="5"/>
        <v>80478788</v>
      </c>
      <c r="Q12" s="65">
        <f t="shared" ref="Q12" si="6">Q11-Q15</f>
        <v>126176057</v>
      </c>
      <c r="R12" s="65">
        <f t="shared" ref="R12:AX12" si="7">R11-R15</f>
        <v>83690323</v>
      </c>
      <c r="S12" s="65">
        <f t="shared" si="7"/>
        <v>83349138</v>
      </c>
      <c r="T12" s="65">
        <f t="shared" si="7"/>
        <v>89088995</v>
      </c>
      <c r="U12" s="65">
        <f t="shared" si="7"/>
        <v>100833381</v>
      </c>
      <c r="V12" s="65">
        <f t="shared" si="7"/>
        <v>103162069</v>
      </c>
      <c r="W12" s="65">
        <f t="shared" si="7"/>
        <v>102522992</v>
      </c>
      <c r="X12" s="65">
        <f t="shared" si="7"/>
        <v>94636993</v>
      </c>
      <c r="Y12" s="65">
        <f t="shared" si="7"/>
        <v>101074541</v>
      </c>
      <c r="Z12" s="65">
        <f t="shared" si="7"/>
        <v>104169927</v>
      </c>
      <c r="AA12" s="65">
        <f t="shared" si="7"/>
        <v>108793939</v>
      </c>
      <c r="AB12" s="65">
        <f t="shared" si="7"/>
        <v>110016800</v>
      </c>
      <c r="AC12" s="65">
        <f t="shared" si="7"/>
        <v>109334398</v>
      </c>
      <c r="AD12" s="65">
        <f t="shared" si="7"/>
        <v>155222881</v>
      </c>
      <c r="AE12" s="65">
        <f t="shared" si="7"/>
        <v>159188274</v>
      </c>
      <c r="AF12" s="65">
        <f t="shared" si="7"/>
        <v>163292428</v>
      </c>
      <c r="AG12" s="65">
        <f t="shared" si="7"/>
        <v>162152826</v>
      </c>
      <c r="AH12" s="65">
        <f t="shared" si="7"/>
        <v>160971355</v>
      </c>
      <c r="AI12" s="65">
        <f t="shared" si="7"/>
        <v>166593707</v>
      </c>
      <c r="AJ12" s="65">
        <f t="shared" si="7"/>
        <v>167997010</v>
      </c>
      <c r="AK12" s="65">
        <f t="shared" si="7"/>
        <v>173946970</v>
      </c>
      <c r="AL12" s="65">
        <f t="shared" si="7"/>
        <v>179564364</v>
      </c>
      <c r="AM12" s="65">
        <f t="shared" si="7"/>
        <v>0</v>
      </c>
      <c r="AN12" s="65">
        <f t="shared" si="7"/>
        <v>0</v>
      </c>
      <c r="AO12" s="65">
        <f t="shared" si="7"/>
        <v>0</v>
      </c>
      <c r="AP12" s="65">
        <f t="shared" si="7"/>
        <v>0</v>
      </c>
      <c r="AQ12" s="65">
        <f t="shared" si="7"/>
        <v>0</v>
      </c>
      <c r="AR12" s="65">
        <f t="shared" si="7"/>
        <v>0</v>
      </c>
      <c r="AS12" s="65">
        <f t="shared" si="7"/>
        <v>0</v>
      </c>
      <c r="AT12" s="65">
        <f t="shared" si="7"/>
        <v>0</v>
      </c>
      <c r="AU12" s="65">
        <f t="shared" si="7"/>
        <v>0</v>
      </c>
      <c r="AV12" s="65">
        <f t="shared" si="7"/>
        <v>0</v>
      </c>
      <c r="AW12" s="65">
        <f t="shared" si="7"/>
        <v>0</v>
      </c>
      <c r="AX12" s="65">
        <f t="shared" si="7"/>
        <v>0</v>
      </c>
    </row>
    <row r="13" spans="1:50">
      <c r="A13" s="38"/>
      <c r="B13" s="3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</row>
    <row r="14" spans="1:50" s="29" customFormat="1">
      <c r="A14" s="46">
        <v>5.3</v>
      </c>
      <c r="B14" s="34" t="s">
        <v>226</v>
      </c>
      <c r="C14" s="65">
        <f>C15+C16+C17+C18+C19+C20+C21</f>
        <v>14919147</v>
      </c>
      <c r="D14" s="65">
        <f>D15+D16+D17+D18+D19+D20+D21</f>
        <v>210092210</v>
      </c>
      <c r="E14" s="65">
        <f t="shared" ref="E14:P14" si="8">E15+E16+E17+E18+E19+E20+E21</f>
        <v>215118303</v>
      </c>
      <c r="F14" s="65">
        <f t="shared" si="8"/>
        <v>215218704</v>
      </c>
      <c r="G14" s="65">
        <f t="shared" si="8"/>
        <v>220089057</v>
      </c>
      <c r="H14" s="65">
        <f t="shared" si="8"/>
        <v>227054723</v>
      </c>
      <c r="I14" s="65">
        <f t="shared" si="8"/>
        <v>229683879</v>
      </c>
      <c r="J14" s="65">
        <f t="shared" si="8"/>
        <v>229251383</v>
      </c>
      <c r="K14" s="65">
        <f t="shared" si="8"/>
        <v>228669063</v>
      </c>
      <c r="L14" s="65">
        <f t="shared" si="8"/>
        <v>230428748</v>
      </c>
      <c r="M14" s="65">
        <f t="shared" si="8"/>
        <v>233231812</v>
      </c>
      <c r="N14" s="65">
        <f t="shared" si="8"/>
        <v>235644788</v>
      </c>
      <c r="O14" s="65">
        <f t="shared" si="8"/>
        <v>234272962</v>
      </c>
      <c r="P14" s="65">
        <f t="shared" si="8"/>
        <v>222419216</v>
      </c>
      <c r="Q14" s="65">
        <f t="shared" ref="Q14" si="9">Q15+Q16+Q17+Q18+Q19+Q20+Q21</f>
        <v>222219216</v>
      </c>
      <c r="R14" s="65">
        <f t="shared" ref="R14:AX14" si="10">R15+R16+R17+R18+R19+R20+R21</f>
        <v>225685528</v>
      </c>
      <c r="S14" s="65">
        <f t="shared" si="10"/>
        <v>225909830</v>
      </c>
      <c r="T14" s="65">
        <f t="shared" si="10"/>
        <v>232020830</v>
      </c>
      <c r="U14" s="65">
        <f t="shared" si="10"/>
        <v>244126093</v>
      </c>
      <c r="V14" s="65">
        <f t="shared" si="10"/>
        <v>246859118</v>
      </c>
      <c r="W14" s="65">
        <f t="shared" si="10"/>
        <v>246623940</v>
      </c>
      <c r="X14" s="65">
        <f t="shared" si="10"/>
        <v>239149388</v>
      </c>
      <c r="Y14" s="65">
        <f t="shared" si="10"/>
        <v>245945398</v>
      </c>
      <c r="Z14" s="65">
        <f t="shared" si="10"/>
        <v>249494555</v>
      </c>
      <c r="AA14" s="65">
        <f t="shared" si="10"/>
        <v>254602689</v>
      </c>
      <c r="AB14" s="65">
        <f t="shared" si="10"/>
        <v>256003721</v>
      </c>
      <c r="AC14" s="65">
        <f t="shared" si="10"/>
        <v>255664190</v>
      </c>
      <c r="AD14" s="65">
        <f t="shared" si="10"/>
        <v>255405404</v>
      </c>
      <c r="AE14" s="65">
        <f t="shared" si="10"/>
        <v>257315948</v>
      </c>
      <c r="AF14" s="65">
        <f t="shared" si="10"/>
        <v>261841172</v>
      </c>
      <c r="AG14" s="65">
        <f t="shared" si="10"/>
        <v>260966500</v>
      </c>
      <c r="AH14" s="65">
        <f t="shared" si="10"/>
        <v>260160135</v>
      </c>
      <c r="AI14" s="65">
        <f t="shared" si="10"/>
        <v>266157343</v>
      </c>
      <c r="AJ14" s="65">
        <f t="shared" si="10"/>
        <v>267961213</v>
      </c>
      <c r="AK14" s="65">
        <f t="shared" si="10"/>
        <v>274277040</v>
      </c>
      <c r="AL14" s="65">
        <f t="shared" si="10"/>
        <v>280252351</v>
      </c>
      <c r="AM14" s="65">
        <f t="shared" si="10"/>
        <v>0</v>
      </c>
      <c r="AN14" s="65">
        <f t="shared" si="10"/>
        <v>0</v>
      </c>
      <c r="AO14" s="65">
        <f t="shared" si="10"/>
        <v>0</v>
      </c>
      <c r="AP14" s="65">
        <f t="shared" si="10"/>
        <v>0</v>
      </c>
      <c r="AQ14" s="65">
        <f t="shared" si="10"/>
        <v>0</v>
      </c>
      <c r="AR14" s="65">
        <f t="shared" si="10"/>
        <v>0</v>
      </c>
      <c r="AS14" s="65">
        <f t="shared" si="10"/>
        <v>0</v>
      </c>
      <c r="AT14" s="65">
        <f t="shared" si="10"/>
        <v>0</v>
      </c>
      <c r="AU14" s="65">
        <f t="shared" si="10"/>
        <v>0</v>
      </c>
      <c r="AV14" s="65">
        <f t="shared" si="10"/>
        <v>0</v>
      </c>
      <c r="AW14" s="65">
        <f t="shared" si="10"/>
        <v>0</v>
      </c>
      <c r="AX14" s="65">
        <f t="shared" si="10"/>
        <v>0</v>
      </c>
    </row>
    <row r="15" spans="1:50">
      <c r="A15" s="38" t="s">
        <v>227</v>
      </c>
      <c r="B15" s="39" t="s">
        <v>228</v>
      </c>
      <c r="C15" s="64">
        <f>'Evolutive SFP'!B39</f>
        <v>10494697</v>
      </c>
      <c r="D15" s="64">
        <f>'Evolutive SFP'!C39</f>
        <v>89412126</v>
      </c>
      <c r="E15" s="64">
        <f>'Evolutive SFP'!D39</f>
        <v>89754772</v>
      </c>
      <c r="F15" s="64">
        <f>'Evolutive SFP'!E39</f>
        <v>90040142</v>
      </c>
      <c r="G15" s="64">
        <f>'Evolutive SFP'!F39</f>
        <v>90221432</v>
      </c>
      <c r="H15" s="64">
        <f>'Evolutive SFP'!G39</f>
        <v>90641085</v>
      </c>
      <c r="I15" s="64">
        <f>'Evolutive SFP'!H39</f>
        <v>90989813</v>
      </c>
      <c r="J15" s="64">
        <f>'Evolutive SFP'!I39</f>
        <v>91325372</v>
      </c>
      <c r="K15" s="64">
        <f>'Evolutive SFP'!J39</f>
        <v>91622528</v>
      </c>
      <c r="L15" s="64">
        <f>'Evolutive SFP'!K39</f>
        <v>92044339</v>
      </c>
      <c r="M15" s="64">
        <f>'Evolutive SFP'!L39</f>
        <v>92591109</v>
      </c>
      <c r="N15" s="64">
        <f>'Evolutive SFP'!M39</f>
        <v>92961774</v>
      </c>
      <c r="O15" s="64">
        <f>'Evolutive SFP'!N39</f>
        <v>93128535</v>
      </c>
      <c r="P15" s="64">
        <f>'Evolutive SFP'!O39</f>
        <v>93531639</v>
      </c>
      <c r="Q15" s="64">
        <f>'Evolutive SFP'!P39</f>
        <v>93531639</v>
      </c>
      <c r="R15" s="64">
        <f>'Evolutive SFP'!Q39</f>
        <v>93586416</v>
      </c>
      <c r="S15" s="64">
        <f>'Evolutive SFP'!R39</f>
        <v>94151903</v>
      </c>
      <c r="T15" s="64">
        <f>'Evolutive SFP'!S39</f>
        <v>94273046</v>
      </c>
      <c r="U15" s="64">
        <f>'Evolutive SFP'!T39</f>
        <v>94633923</v>
      </c>
      <c r="V15" s="64">
        <f>'Evolutive SFP'!U39</f>
        <v>95038260</v>
      </c>
      <c r="W15" s="64">
        <f>'Evolutive SFP'!V39</f>
        <v>95442159</v>
      </c>
      <c r="X15" s="64">
        <f>'Evolutive SFP'!W39</f>
        <v>95853606</v>
      </c>
      <c r="Y15" s="64">
        <f>'Evolutive SFP'!X39</f>
        <v>96212068</v>
      </c>
      <c r="Z15" s="64">
        <f>'Evolutive SFP'!Y39</f>
        <v>96665839</v>
      </c>
      <c r="AA15" s="64">
        <f>'Evolutive SFP'!Z39</f>
        <v>97149961</v>
      </c>
      <c r="AB15" s="64">
        <f>'Evolutive SFP'!AA39</f>
        <v>97328132</v>
      </c>
      <c r="AC15" s="64">
        <f>'Evolutive SFP'!AB39</f>
        <v>97671003</v>
      </c>
      <c r="AD15" s="64">
        <f>'Evolutive SFP'!AC39</f>
        <v>97671003</v>
      </c>
      <c r="AE15" s="64">
        <f>'Evolutive SFP'!AD39</f>
        <v>98127674</v>
      </c>
      <c r="AF15" s="64">
        <f>'Evolutive SFP'!AE39</f>
        <v>98548744</v>
      </c>
      <c r="AG15" s="64">
        <f>'Evolutive SFP'!AF39</f>
        <v>98813674</v>
      </c>
      <c r="AH15" s="64">
        <f>'Evolutive SFP'!AG39</f>
        <v>99188780</v>
      </c>
      <c r="AI15" s="64">
        <f>'Evolutive SFP'!AH39</f>
        <v>99563636</v>
      </c>
      <c r="AJ15" s="64">
        <f>'Evolutive SFP'!AI39</f>
        <v>99964203</v>
      </c>
      <c r="AK15" s="64">
        <f>'Evolutive SFP'!AJ39</f>
        <v>100330070</v>
      </c>
      <c r="AL15" s="64">
        <f>'Evolutive SFP'!AK39</f>
        <v>100687987</v>
      </c>
      <c r="AM15" s="64">
        <f>'Evolutive SFP'!AL39</f>
        <v>0</v>
      </c>
      <c r="AN15" s="64">
        <f>'Evolutive SFP'!AM39</f>
        <v>0</v>
      </c>
      <c r="AO15" s="64">
        <f>'Evolutive SFP'!AN39</f>
        <v>0</v>
      </c>
      <c r="AP15" s="64">
        <f>'Evolutive SFP'!AO39</f>
        <v>0</v>
      </c>
      <c r="AQ15" s="64">
        <f>'Evolutive SFP'!AP39</f>
        <v>0</v>
      </c>
      <c r="AR15" s="64">
        <f>'Evolutive SFP'!AQ39</f>
        <v>0</v>
      </c>
      <c r="AS15" s="64">
        <f>'Evolutive SFP'!AR39</f>
        <v>0</v>
      </c>
      <c r="AT15" s="64">
        <f>'Evolutive SFP'!AS39</f>
        <v>0</v>
      </c>
      <c r="AU15" s="64">
        <f>'Evolutive SFP'!AT39</f>
        <v>0</v>
      </c>
      <c r="AV15" s="64">
        <f>'Evolutive SFP'!AU39</f>
        <v>0</v>
      </c>
      <c r="AW15" s="64">
        <f>'Evolutive SFP'!AV39</f>
        <v>0</v>
      </c>
      <c r="AX15" s="64">
        <f>'Evolutive SFP'!AW39</f>
        <v>0</v>
      </c>
    </row>
    <row r="16" spans="1:50">
      <c r="A16" s="38" t="s">
        <v>229</v>
      </c>
      <c r="B16" s="40" t="s">
        <v>230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</row>
    <row r="17" spans="1:50">
      <c r="A17" s="38" t="s">
        <v>231</v>
      </c>
      <c r="B17" s="37" t="s">
        <v>232</v>
      </c>
      <c r="C17" s="64">
        <f>'Evolutive SFP'!B41</f>
        <v>351220</v>
      </c>
      <c r="D17" s="64">
        <f>'Evolutive SFP'!C41</f>
        <v>60964231</v>
      </c>
      <c r="E17" s="64">
        <f>'Evolutive SFP'!D41</f>
        <v>64270660</v>
      </c>
      <c r="F17" s="64">
        <f>'Evolutive SFP'!E41</f>
        <v>63291409</v>
      </c>
      <c r="G17" s="64">
        <f>'Evolutive SFP'!F41</f>
        <v>63291409</v>
      </c>
      <c r="H17" s="64">
        <f>'Evolutive SFP'!G41</f>
        <v>63291409</v>
      </c>
      <c r="I17" s="64">
        <f>'Evolutive SFP'!H41</f>
        <v>63291409</v>
      </c>
      <c r="J17" s="64">
        <f>'Evolutive SFP'!I41</f>
        <v>63291409</v>
      </c>
      <c r="K17" s="64">
        <f>'Evolutive SFP'!J41</f>
        <v>63291409</v>
      </c>
      <c r="L17" s="64">
        <f>'Evolutive SFP'!K41</f>
        <v>63291409</v>
      </c>
      <c r="M17" s="64">
        <f>'Evolutive SFP'!L41</f>
        <v>63291409</v>
      </c>
      <c r="N17" s="64">
        <f>'Evolutive SFP'!M41</f>
        <v>63291409</v>
      </c>
      <c r="O17" s="64">
        <f>'Evolutive SFP'!N41</f>
        <v>63291409</v>
      </c>
      <c r="P17" s="64">
        <f>'Evolutive SFP'!O41</f>
        <v>69329545</v>
      </c>
      <c r="Q17" s="64">
        <f>'Evolutive SFP'!P41</f>
        <v>58522760</v>
      </c>
      <c r="R17" s="64">
        <f>'Evolutive SFP'!Q41</f>
        <v>69369767</v>
      </c>
      <c r="S17" s="64">
        <f>'Evolutive SFP'!R41</f>
        <v>69369767</v>
      </c>
      <c r="T17" s="64">
        <f>'Evolutive SFP'!S41</f>
        <v>69369767</v>
      </c>
      <c r="U17" s="64">
        <f>'Evolutive SFP'!T41</f>
        <v>69369767</v>
      </c>
      <c r="V17" s="64">
        <f>'Evolutive SFP'!U41</f>
        <v>69369767</v>
      </c>
      <c r="W17" s="64">
        <f>'Evolutive SFP'!V41</f>
        <v>69369767</v>
      </c>
      <c r="X17" s="64">
        <f>'Evolutive SFP'!W41</f>
        <v>69369767</v>
      </c>
      <c r="Y17" s="64">
        <f>'Evolutive SFP'!X41</f>
        <v>69369767</v>
      </c>
      <c r="Z17" s="64">
        <f>'Evolutive SFP'!Y41</f>
        <v>69369767</v>
      </c>
      <c r="AA17" s="64">
        <f>'Evolutive SFP'!Z41</f>
        <v>69369767</v>
      </c>
      <c r="AB17" s="64">
        <f>'Evolutive SFP'!AA41</f>
        <v>69369767</v>
      </c>
      <c r="AC17" s="64">
        <f>'Evolutive SFP'!AB41</f>
        <v>91210399</v>
      </c>
      <c r="AD17" s="64">
        <f>'Evolutive SFP'!AC41</f>
        <v>62251593</v>
      </c>
      <c r="AE17" s="64">
        <f>'Evolutive SFP'!AD41</f>
        <v>90655591</v>
      </c>
      <c r="AF17" s="64">
        <f>'Evolutive SFP'!AE41</f>
        <v>90655591</v>
      </c>
      <c r="AG17" s="64">
        <f>'Evolutive SFP'!AF41</f>
        <v>90655591</v>
      </c>
      <c r="AH17" s="64">
        <f>'Evolutive SFP'!AG41</f>
        <v>90655591</v>
      </c>
      <c r="AI17" s="64">
        <f>'Evolutive SFP'!AH41</f>
        <v>90655591</v>
      </c>
      <c r="AJ17" s="64">
        <f>'Evolutive SFP'!AI41</f>
        <v>90655591</v>
      </c>
      <c r="AK17" s="64">
        <f>'Evolutive SFP'!AJ41</f>
        <v>90655591</v>
      </c>
      <c r="AL17" s="64">
        <f>'Evolutive SFP'!AK41</f>
        <v>90655591</v>
      </c>
      <c r="AM17" s="64">
        <f>'Evolutive SFP'!AL41</f>
        <v>0</v>
      </c>
      <c r="AN17" s="64">
        <f>'Evolutive SFP'!AM41</f>
        <v>0</v>
      </c>
      <c r="AO17" s="64">
        <f>'Evolutive SFP'!AN41</f>
        <v>0</v>
      </c>
      <c r="AP17" s="64">
        <f>'Evolutive SFP'!AO41</f>
        <v>0</v>
      </c>
      <c r="AQ17" s="64">
        <f>'Evolutive SFP'!AP41</f>
        <v>0</v>
      </c>
      <c r="AR17" s="64">
        <f>'Evolutive SFP'!AQ41</f>
        <v>0</v>
      </c>
      <c r="AS17" s="64">
        <f>'Evolutive SFP'!AR41</f>
        <v>0</v>
      </c>
      <c r="AT17" s="64">
        <f>'Evolutive SFP'!AS41</f>
        <v>0</v>
      </c>
      <c r="AU17" s="64">
        <f>'Evolutive SFP'!AT41</f>
        <v>0</v>
      </c>
      <c r="AV17" s="64">
        <f>'Evolutive SFP'!AU41</f>
        <v>0</v>
      </c>
      <c r="AW17" s="64">
        <f>'Evolutive SFP'!AV41</f>
        <v>0</v>
      </c>
      <c r="AX17" s="64">
        <f>'Evolutive SFP'!AW41</f>
        <v>0</v>
      </c>
    </row>
    <row r="18" spans="1:50">
      <c r="A18" s="38" t="s">
        <v>233</v>
      </c>
      <c r="B18" s="37" t="s">
        <v>234</v>
      </c>
      <c r="C18" s="64">
        <f>'Evolutive SFP'!B42</f>
        <v>3541956</v>
      </c>
      <c r="D18" s="64">
        <f>'Evolutive SFP'!C42</f>
        <v>2327178</v>
      </c>
      <c r="E18" s="64">
        <f>'Evolutive SFP'!D42</f>
        <v>4054484</v>
      </c>
      <c r="F18" s="64">
        <f>'Evolutive SFP'!E42</f>
        <v>4498478</v>
      </c>
      <c r="G18" s="64">
        <f>'Evolutive SFP'!F42</f>
        <v>9187541</v>
      </c>
      <c r="H18" s="64">
        <f>'Evolutive SFP'!G42</f>
        <v>15733554</v>
      </c>
      <c r="I18" s="64">
        <f>'Evolutive SFP'!H42</f>
        <v>18013982</v>
      </c>
      <c r="J18" s="64">
        <f>'Evolutive SFP'!I42</f>
        <v>17245927</v>
      </c>
      <c r="K18" s="64">
        <f>'Evolutive SFP'!J42</f>
        <v>16366451</v>
      </c>
      <c r="L18" s="64">
        <f>'Evolutive SFP'!K42</f>
        <v>17704325</v>
      </c>
      <c r="M18" s="64">
        <f>'Evolutive SFP'!L42</f>
        <v>19960619</v>
      </c>
      <c r="N18" s="64">
        <f>'Evolutive SFP'!M42</f>
        <v>22002930</v>
      </c>
      <c r="O18" s="64">
        <f>'Evolutive SFP'!N42</f>
        <v>20464343</v>
      </c>
      <c r="P18" s="64">
        <f>'Evolutive SFP'!O42</f>
        <v>0</v>
      </c>
      <c r="Q18" s="64">
        <f>'Evolutive SFP'!P42</f>
        <v>10646785</v>
      </c>
      <c r="R18" s="64">
        <f>'Evolutive SFP'!Q42</f>
        <v>3161258</v>
      </c>
      <c r="S18" s="64">
        <f>'Evolutive SFP'!R42</f>
        <v>2820073</v>
      </c>
      <c r="T18" s="64">
        <f>'Evolutive SFP'!S42</f>
        <v>8809930</v>
      </c>
      <c r="U18" s="64">
        <f>'Evolutive SFP'!T42</f>
        <v>20554316</v>
      </c>
      <c r="V18" s="64">
        <f>'Evolutive SFP'!U42</f>
        <v>22883004</v>
      </c>
      <c r="W18" s="64">
        <f>'Evolutive SFP'!V42</f>
        <v>22243927</v>
      </c>
      <c r="X18" s="64">
        <f>'Evolutive SFP'!W42</f>
        <v>14357928</v>
      </c>
      <c r="Y18" s="64">
        <f>'Evolutive SFP'!X42</f>
        <v>20795476</v>
      </c>
      <c r="Z18" s="64">
        <f>'Evolutive SFP'!Y42</f>
        <v>23890862</v>
      </c>
      <c r="AA18" s="64">
        <f>'Evolutive SFP'!Z42</f>
        <v>28514874</v>
      </c>
      <c r="AB18" s="64">
        <f>'Evolutive SFP'!AA42</f>
        <v>29737735</v>
      </c>
      <c r="AC18" s="64">
        <f>'Evolutive SFP'!AB42</f>
        <v>0</v>
      </c>
      <c r="AD18" s="64">
        <f>'Evolutive SFP'!AC42</f>
        <v>28567777</v>
      </c>
      <c r="AE18" s="64">
        <f>'Evolutive SFP'!AD42</f>
        <v>1617652</v>
      </c>
      <c r="AF18" s="64">
        <f>'Evolutive SFP'!AE42</f>
        <v>5720906</v>
      </c>
      <c r="AG18" s="64">
        <f>'Evolutive SFP'!AF42</f>
        <v>4581304</v>
      </c>
      <c r="AH18" s="64">
        <f>'Evolutive SFP'!AG42</f>
        <v>3399833</v>
      </c>
      <c r="AI18" s="64">
        <f>'Evolutive SFP'!AH42</f>
        <v>6606108</v>
      </c>
      <c r="AJ18" s="64">
        <f>'Evolutive SFP'!AI42</f>
        <v>8009411</v>
      </c>
      <c r="AK18" s="64">
        <f>'Evolutive SFP'!AJ42</f>
        <v>13959371</v>
      </c>
      <c r="AL18" s="64">
        <f>'Evolutive SFP'!AK42</f>
        <v>19577139</v>
      </c>
      <c r="AM18" s="64">
        <f>'Evolutive SFP'!AL42</f>
        <v>0</v>
      </c>
      <c r="AN18" s="64">
        <f>'Evolutive SFP'!AM42</f>
        <v>0</v>
      </c>
      <c r="AO18" s="64">
        <f>'Evolutive SFP'!AN42</f>
        <v>0</v>
      </c>
      <c r="AP18" s="64">
        <f>'Evolutive SFP'!AO42</f>
        <v>0</v>
      </c>
      <c r="AQ18" s="64">
        <f>'Evolutive SFP'!AP42</f>
        <v>0</v>
      </c>
      <c r="AR18" s="64">
        <f>'Evolutive SFP'!AQ42</f>
        <v>0</v>
      </c>
      <c r="AS18" s="64">
        <f>'Evolutive SFP'!AR42</f>
        <v>0</v>
      </c>
      <c r="AT18" s="64">
        <f>'Evolutive SFP'!AS42</f>
        <v>0</v>
      </c>
      <c r="AU18" s="64">
        <f>'Evolutive SFP'!AT42</f>
        <v>0</v>
      </c>
      <c r="AV18" s="64">
        <f>'Evolutive SFP'!AU42</f>
        <v>0</v>
      </c>
      <c r="AW18" s="64">
        <f>'Evolutive SFP'!AV42</f>
        <v>0</v>
      </c>
      <c r="AX18" s="64">
        <f>'Evolutive SFP'!AW42</f>
        <v>0</v>
      </c>
    </row>
    <row r="19" spans="1:50">
      <c r="A19" s="38" t="s">
        <v>235</v>
      </c>
      <c r="B19" s="37" t="s">
        <v>81</v>
      </c>
      <c r="C19" s="64">
        <f>'Evolutive SFP'!B43</f>
        <v>531274</v>
      </c>
      <c r="D19" s="64">
        <f>'Evolutive SFP'!C43</f>
        <v>17513072</v>
      </c>
      <c r="E19" s="64">
        <f>'Evolutive SFP'!D43</f>
        <v>17162784</v>
      </c>
      <c r="F19" s="64">
        <f>'Evolutive SFP'!E43</f>
        <v>17513072</v>
      </c>
      <c r="G19" s="64">
        <f>'Evolutive SFP'!F43</f>
        <v>17513072</v>
      </c>
      <c r="H19" s="64">
        <f>'Evolutive SFP'!G43</f>
        <v>17513072</v>
      </c>
      <c r="I19" s="64">
        <f>'Evolutive SFP'!H43</f>
        <v>17513072</v>
      </c>
      <c r="J19" s="64">
        <f>'Evolutive SFP'!I43</f>
        <v>17513072</v>
      </c>
      <c r="K19" s="64">
        <f>'Evolutive SFP'!J43</f>
        <v>17513072</v>
      </c>
      <c r="L19" s="64">
        <f>'Evolutive SFP'!K43</f>
        <v>17513072</v>
      </c>
      <c r="M19" s="64">
        <f>'Evolutive SFP'!L43</f>
        <v>17513072</v>
      </c>
      <c r="N19" s="64">
        <f>'Evolutive SFP'!M43</f>
        <v>17513072</v>
      </c>
      <c r="O19" s="64">
        <f>'Evolutive SFP'!N43</f>
        <v>17513072</v>
      </c>
      <c r="P19" s="64">
        <f>'Evolutive SFP'!O43</f>
        <v>19682429</v>
      </c>
      <c r="Q19" s="64">
        <f>'Evolutive SFP'!P43</f>
        <v>19642429</v>
      </c>
      <c r="R19" s="64">
        <f>'Evolutive SFP'!Q43</f>
        <v>19692484</v>
      </c>
      <c r="S19" s="64">
        <f>'Evolutive SFP'!R43</f>
        <v>19692484</v>
      </c>
      <c r="T19" s="64">
        <f>'Evolutive SFP'!S43</f>
        <v>19692484</v>
      </c>
      <c r="U19" s="64">
        <f>'Evolutive SFP'!T43</f>
        <v>19692484</v>
      </c>
      <c r="V19" s="64">
        <f>'Evolutive SFP'!U43</f>
        <v>19692484</v>
      </c>
      <c r="W19" s="64">
        <f>'Evolutive SFP'!V43</f>
        <v>19692484</v>
      </c>
      <c r="X19" s="64">
        <f>'Evolutive SFP'!W43</f>
        <v>19692484</v>
      </c>
      <c r="Y19" s="64">
        <f>'Evolutive SFP'!X43</f>
        <v>19692484</v>
      </c>
      <c r="Z19" s="64">
        <f>'Evolutive SFP'!Y43</f>
        <v>19692484</v>
      </c>
      <c r="AA19" s="64">
        <f>'Evolutive SFP'!Z43</f>
        <v>19692484</v>
      </c>
      <c r="AB19" s="64">
        <f>'Evolutive SFP'!AA43</f>
        <v>19692484</v>
      </c>
      <c r="AC19" s="64">
        <f>'Evolutive SFP'!AB43</f>
        <v>26907185</v>
      </c>
      <c r="AD19" s="64">
        <f>'Evolutive SFP'!AC43</f>
        <v>27039428</v>
      </c>
      <c r="AE19" s="64">
        <f>'Evolutive SFP'!AD43</f>
        <v>27039428</v>
      </c>
      <c r="AF19" s="64">
        <f>'Evolutive SFP'!AE43</f>
        <v>27039428</v>
      </c>
      <c r="AG19" s="64">
        <f>'Evolutive SFP'!AF43</f>
        <v>27039428</v>
      </c>
      <c r="AH19" s="64">
        <f>'Evolutive SFP'!AG43</f>
        <v>27039428</v>
      </c>
      <c r="AI19" s="64">
        <f>'Evolutive SFP'!AH43</f>
        <v>27039428</v>
      </c>
      <c r="AJ19" s="64">
        <f>'Evolutive SFP'!AI43</f>
        <v>27039428</v>
      </c>
      <c r="AK19" s="64">
        <f>'Evolutive SFP'!AJ43</f>
        <v>27039428</v>
      </c>
      <c r="AL19" s="64">
        <f>'Evolutive SFP'!AK43</f>
        <v>27039428</v>
      </c>
      <c r="AM19" s="64">
        <f>'Evolutive SFP'!AL43</f>
        <v>0</v>
      </c>
      <c r="AN19" s="64">
        <f>'Evolutive SFP'!AM43</f>
        <v>0</v>
      </c>
      <c r="AO19" s="64">
        <f>'Evolutive SFP'!AN43</f>
        <v>0</v>
      </c>
      <c r="AP19" s="64">
        <f>'Evolutive SFP'!AO43</f>
        <v>0</v>
      </c>
      <c r="AQ19" s="64">
        <f>'Evolutive SFP'!AP43</f>
        <v>0</v>
      </c>
      <c r="AR19" s="64">
        <f>'Evolutive SFP'!AQ43</f>
        <v>0</v>
      </c>
      <c r="AS19" s="64">
        <f>'Evolutive SFP'!AR43</f>
        <v>0</v>
      </c>
      <c r="AT19" s="64">
        <f>'Evolutive SFP'!AS43</f>
        <v>0</v>
      </c>
      <c r="AU19" s="64">
        <f>'Evolutive SFP'!AT43</f>
        <v>0</v>
      </c>
      <c r="AV19" s="64">
        <f>'Evolutive SFP'!AU43</f>
        <v>0</v>
      </c>
      <c r="AW19" s="64">
        <f>'Evolutive SFP'!AV43</f>
        <v>0</v>
      </c>
      <c r="AX19" s="64">
        <f>'Evolutive SFP'!AW43</f>
        <v>0</v>
      </c>
    </row>
    <row r="20" spans="1:50">
      <c r="A20" s="38" t="s">
        <v>236</v>
      </c>
      <c r="B20" s="37" t="s">
        <v>237</v>
      </c>
      <c r="C20" s="64">
        <f>('Evolutive SFP'!B44)</f>
        <v>0</v>
      </c>
      <c r="D20" s="64">
        <f>('Evolutive SFP'!C44)</f>
        <v>39875603</v>
      </c>
      <c r="E20" s="64">
        <f>('Evolutive SFP'!D44)</f>
        <v>39875603</v>
      </c>
      <c r="F20" s="64">
        <f>('Evolutive SFP'!E44)</f>
        <v>39875603</v>
      </c>
      <c r="G20" s="64">
        <f>('Evolutive SFP'!F44)</f>
        <v>39875603</v>
      </c>
      <c r="H20" s="64">
        <f>('Evolutive SFP'!G44)</f>
        <v>39875603</v>
      </c>
      <c r="I20" s="64">
        <f>('Evolutive SFP'!H44)</f>
        <v>39875603</v>
      </c>
      <c r="J20" s="64">
        <f>('Evolutive SFP'!I44)</f>
        <v>39875603</v>
      </c>
      <c r="K20" s="64">
        <f>('Evolutive SFP'!J44)</f>
        <v>39875603</v>
      </c>
      <c r="L20" s="64">
        <f>('Evolutive SFP'!K44)</f>
        <v>39875603</v>
      </c>
      <c r="M20" s="64">
        <f>('Evolutive SFP'!L44)</f>
        <v>39875603</v>
      </c>
      <c r="N20" s="64">
        <f>('Evolutive SFP'!M44)</f>
        <v>39875603</v>
      </c>
      <c r="O20" s="64">
        <f>('Evolutive SFP'!N44)</f>
        <v>39875603</v>
      </c>
      <c r="P20" s="64">
        <f>('Evolutive SFP'!O44)</f>
        <v>39875603</v>
      </c>
      <c r="Q20" s="64">
        <f>('Evolutive SFP'!P44)</f>
        <v>39875603</v>
      </c>
      <c r="R20" s="64">
        <f>('Evolutive SFP'!Q44)</f>
        <v>39875603</v>
      </c>
      <c r="S20" s="64">
        <f>('Evolutive SFP'!R44)</f>
        <v>39875603</v>
      </c>
      <c r="T20" s="64">
        <f>('Evolutive SFP'!S44)</f>
        <v>39875603</v>
      </c>
      <c r="U20" s="64">
        <f>('Evolutive SFP'!T44)</f>
        <v>39875603</v>
      </c>
      <c r="V20" s="64">
        <f>('Evolutive SFP'!U44)</f>
        <v>39875603</v>
      </c>
      <c r="W20" s="64">
        <f>('Evolutive SFP'!V44)</f>
        <v>39875603</v>
      </c>
      <c r="X20" s="64">
        <f>('Evolutive SFP'!W44)</f>
        <v>39875603</v>
      </c>
      <c r="Y20" s="64">
        <f>('Evolutive SFP'!X44)</f>
        <v>39875603</v>
      </c>
      <c r="Z20" s="64">
        <f>('Evolutive SFP'!Y44)</f>
        <v>39875603</v>
      </c>
      <c r="AA20" s="64">
        <f>('Evolutive SFP'!Z44)</f>
        <v>39875603</v>
      </c>
      <c r="AB20" s="64">
        <f>('Evolutive SFP'!AA44)</f>
        <v>39875603</v>
      </c>
      <c r="AC20" s="64">
        <f>('Evolutive SFP'!AB44)</f>
        <v>39875603</v>
      </c>
      <c r="AD20" s="64">
        <f>('Evolutive SFP'!AC44)</f>
        <v>39875603</v>
      </c>
      <c r="AE20" s="64">
        <f>('Evolutive SFP'!AD44)</f>
        <v>39875603</v>
      </c>
      <c r="AF20" s="64">
        <f>('Evolutive SFP'!AE44)</f>
        <v>39876503</v>
      </c>
      <c r="AG20" s="64">
        <f>('Evolutive SFP'!AF44)</f>
        <v>39876503</v>
      </c>
      <c r="AH20" s="64">
        <f>('Evolutive SFP'!AG44)</f>
        <v>39876503</v>
      </c>
      <c r="AI20" s="64">
        <f>('Evolutive SFP'!AH44)</f>
        <v>42292580</v>
      </c>
      <c r="AJ20" s="64">
        <f>('Evolutive SFP'!AI44)</f>
        <v>42292580</v>
      </c>
      <c r="AK20" s="64">
        <f>('Evolutive SFP'!AJ44)</f>
        <v>42292580</v>
      </c>
      <c r="AL20" s="64">
        <f>('Evolutive SFP'!AK44)</f>
        <v>42292206</v>
      </c>
      <c r="AM20" s="64">
        <f>('Evolutive SFP'!AL44)</f>
        <v>0</v>
      </c>
      <c r="AN20" s="64">
        <f>('Evolutive SFP'!AM44)</f>
        <v>0</v>
      </c>
      <c r="AO20" s="64">
        <f>('Evolutive SFP'!AN44)</f>
        <v>0</v>
      </c>
      <c r="AP20" s="64">
        <f>('Evolutive SFP'!AO44)</f>
        <v>0</v>
      </c>
      <c r="AQ20" s="64">
        <f>('Evolutive SFP'!AP44)</f>
        <v>0</v>
      </c>
      <c r="AR20" s="64">
        <f>('Evolutive SFP'!AQ44)</f>
        <v>0</v>
      </c>
      <c r="AS20" s="64">
        <f>('Evolutive SFP'!AR44)</f>
        <v>0</v>
      </c>
      <c r="AT20" s="64">
        <f>('Evolutive SFP'!AS44)</f>
        <v>0</v>
      </c>
      <c r="AU20" s="64">
        <f>('Evolutive SFP'!AT44)</f>
        <v>0</v>
      </c>
      <c r="AV20" s="64">
        <f>('Evolutive SFP'!AU44)</f>
        <v>0</v>
      </c>
      <c r="AW20" s="64">
        <f>('Evolutive SFP'!AV44)</f>
        <v>0</v>
      </c>
      <c r="AX20" s="64">
        <f>('Evolutive SFP'!AW44)</f>
        <v>0</v>
      </c>
    </row>
    <row r="21" spans="1:50">
      <c r="A21" s="38" t="s">
        <v>238</v>
      </c>
      <c r="B21" s="41" t="s">
        <v>239</v>
      </c>
      <c r="C21" s="64">
        <f>C22+C23</f>
        <v>0</v>
      </c>
      <c r="D21" s="64">
        <f>D22+D23</f>
        <v>0</v>
      </c>
      <c r="E21" s="64">
        <f>E22+E23</f>
        <v>0</v>
      </c>
      <c r="F21" s="64">
        <f>F22+F23</f>
        <v>0</v>
      </c>
      <c r="G21" s="64">
        <f t="shared" ref="G21:N21" si="11">G22+G23</f>
        <v>0</v>
      </c>
      <c r="H21" s="64">
        <f>H22+H23</f>
        <v>0</v>
      </c>
      <c r="I21" s="64">
        <f>I22+I23</f>
        <v>0</v>
      </c>
      <c r="J21" s="64">
        <f t="shared" si="11"/>
        <v>0</v>
      </c>
      <c r="K21" s="64">
        <f t="shared" si="11"/>
        <v>0</v>
      </c>
      <c r="L21" s="64">
        <f t="shared" si="11"/>
        <v>0</v>
      </c>
      <c r="M21" s="64">
        <f t="shared" si="11"/>
        <v>0</v>
      </c>
      <c r="N21" s="64">
        <f t="shared" si="11"/>
        <v>0</v>
      </c>
      <c r="O21" s="64">
        <f t="shared" ref="O21:P21" si="12">O22+O23</f>
        <v>0</v>
      </c>
      <c r="P21" s="64">
        <f t="shared" si="12"/>
        <v>0</v>
      </c>
      <c r="Q21" s="64">
        <f t="shared" ref="Q21" si="13">Q22+Q23</f>
        <v>0</v>
      </c>
      <c r="R21" s="64">
        <f t="shared" ref="R21:AX21" si="14">R22+R23</f>
        <v>0</v>
      </c>
      <c r="S21" s="64">
        <f t="shared" si="14"/>
        <v>0</v>
      </c>
      <c r="T21" s="64">
        <f t="shared" si="14"/>
        <v>0</v>
      </c>
      <c r="U21" s="64">
        <f t="shared" si="14"/>
        <v>0</v>
      </c>
      <c r="V21" s="64">
        <f t="shared" si="14"/>
        <v>0</v>
      </c>
      <c r="W21" s="64">
        <f t="shared" si="14"/>
        <v>0</v>
      </c>
      <c r="X21" s="64">
        <f t="shared" si="14"/>
        <v>0</v>
      </c>
      <c r="Y21" s="64">
        <f t="shared" si="14"/>
        <v>0</v>
      </c>
      <c r="Z21" s="64">
        <f t="shared" si="14"/>
        <v>0</v>
      </c>
      <c r="AA21" s="64">
        <f t="shared" si="14"/>
        <v>0</v>
      </c>
      <c r="AB21" s="64">
        <f t="shared" si="14"/>
        <v>0</v>
      </c>
      <c r="AC21" s="64">
        <f t="shared" si="14"/>
        <v>0</v>
      </c>
      <c r="AD21" s="64">
        <f t="shared" si="14"/>
        <v>0</v>
      </c>
      <c r="AE21" s="64">
        <f t="shared" si="14"/>
        <v>0</v>
      </c>
      <c r="AF21" s="64">
        <f t="shared" si="14"/>
        <v>0</v>
      </c>
      <c r="AG21" s="64">
        <f t="shared" si="14"/>
        <v>0</v>
      </c>
      <c r="AH21" s="64">
        <f t="shared" si="14"/>
        <v>0</v>
      </c>
      <c r="AI21" s="64">
        <f t="shared" si="14"/>
        <v>0</v>
      </c>
      <c r="AJ21" s="64">
        <f t="shared" si="14"/>
        <v>0</v>
      </c>
      <c r="AK21" s="64">
        <f t="shared" si="14"/>
        <v>0</v>
      </c>
      <c r="AL21" s="64">
        <f t="shared" si="14"/>
        <v>0</v>
      </c>
      <c r="AM21" s="64">
        <f t="shared" si="14"/>
        <v>0</v>
      </c>
      <c r="AN21" s="64">
        <f t="shared" si="14"/>
        <v>0</v>
      </c>
      <c r="AO21" s="64">
        <f t="shared" si="14"/>
        <v>0</v>
      </c>
      <c r="AP21" s="64">
        <f t="shared" si="14"/>
        <v>0</v>
      </c>
      <c r="AQ21" s="64">
        <f t="shared" si="14"/>
        <v>0</v>
      </c>
      <c r="AR21" s="64">
        <f t="shared" si="14"/>
        <v>0</v>
      </c>
      <c r="AS21" s="64">
        <f t="shared" si="14"/>
        <v>0</v>
      </c>
      <c r="AT21" s="64">
        <f t="shared" si="14"/>
        <v>0</v>
      </c>
      <c r="AU21" s="64">
        <f t="shared" si="14"/>
        <v>0</v>
      </c>
      <c r="AV21" s="64">
        <f t="shared" si="14"/>
        <v>0</v>
      </c>
      <c r="AW21" s="64">
        <f t="shared" si="14"/>
        <v>0</v>
      </c>
      <c r="AX21" s="64">
        <f t="shared" si="14"/>
        <v>0</v>
      </c>
    </row>
    <row r="22" spans="1:50">
      <c r="A22" s="42" t="s">
        <v>240</v>
      </c>
      <c r="B22" s="37" t="s">
        <v>84</v>
      </c>
      <c r="C22" s="64">
        <f>'Evolutive SFP'!B46</f>
        <v>0</v>
      </c>
      <c r="D22" s="64">
        <f>'Evolutive SFP'!C46</f>
        <v>0</v>
      </c>
      <c r="E22" s="64">
        <f>'Evolutive SFP'!D46</f>
        <v>0</v>
      </c>
      <c r="F22" s="64">
        <f>'Evolutive SFP'!E46</f>
        <v>0</v>
      </c>
      <c r="G22" s="64">
        <f>'Evolutive SFP'!F46</f>
        <v>0</v>
      </c>
      <c r="H22" s="64">
        <f>'Evolutive SFP'!G46</f>
        <v>0</v>
      </c>
      <c r="I22" s="64">
        <f>'Evolutive SFP'!H46</f>
        <v>0</v>
      </c>
      <c r="J22" s="64">
        <f>'Evolutive SFP'!I46</f>
        <v>0</v>
      </c>
      <c r="K22" s="64">
        <f>'Evolutive SFP'!J46</f>
        <v>0</v>
      </c>
      <c r="L22" s="64">
        <f>'Evolutive SFP'!K46</f>
        <v>0</v>
      </c>
      <c r="M22" s="64">
        <f>'Evolutive SFP'!L46</f>
        <v>0</v>
      </c>
      <c r="N22" s="64">
        <f>'Evolutive SFP'!M46</f>
        <v>0</v>
      </c>
      <c r="O22" s="64">
        <f>'Evolutive SFP'!N46</f>
        <v>0</v>
      </c>
      <c r="P22" s="64">
        <f>'Evolutive SFP'!O46</f>
        <v>0</v>
      </c>
      <c r="Q22" s="64">
        <f>'Evolutive SFP'!P46</f>
        <v>0</v>
      </c>
      <c r="R22" s="64">
        <f>'Evolutive SFP'!Q46</f>
        <v>0</v>
      </c>
      <c r="S22" s="64">
        <f>'Evolutive SFP'!R46</f>
        <v>0</v>
      </c>
      <c r="T22" s="64">
        <f>'Evolutive SFP'!S46</f>
        <v>0</v>
      </c>
      <c r="U22" s="64">
        <f>'Evolutive SFP'!T46</f>
        <v>0</v>
      </c>
      <c r="V22" s="64">
        <f>'Evolutive SFP'!U46</f>
        <v>0</v>
      </c>
      <c r="W22" s="64">
        <f>'Evolutive SFP'!V46</f>
        <v>0</v>
      </c>
      <c r="X22" s="64">
        <f>'Evolutive SFP'!W46</f>
        <v>0</v>
      </c>
      <c r="Y22" s="64">
        <f>'Evolutive SFP'!X46</f>
        <v>0</v>
      </c>
      <c r="Z22" s="64">
        <f>'Evolutive SFP'!Y46</f>
        <v>0</v>
      </c>
      <c r="AA22" s="64">
        <f>'Evolutive SFP'!Z46</f>
        <v>0</v>
      </c>
      <c r="AB22" s="64">
        <f>'Evolutive SFP'!AA46</f>
        <v>0</v>
      </c>
      <c r="AC22" s="64">
        <f>'Evolutive SFP'!AB46</f>
        <v>0</v>
      </c>
      <c r="AD22" s="64">
        <f>'Evolutive SFP'!AC46</f>
        <v>0</v>
      </c>
      <c r="AE22" s="64">
        <f>'Evolutive SFP'!AD46</f>
        <v>0</v>
      </c>
      <c r="AF22" s="64">
        <f>'Evolutive SFP'!AE46</f>
        <v>0</v>
      </c>
      <c r="AG22" s="64">
        <f>'Evolutive SFP'!AF46</f>
        <v>0</v>
      </c>
      <c r="AH22" s="64">
        <f>'Evolutive SFP'!AG46</f>
        <v>0</v>
      </c>
      <c r="AI22" s="64">
        <f>'Evolutive SFP'!AH46</f>
        <v>0</v>
      </c>
      <c r="AJ22" s="64">
        <f>'Evolutive SFP'!AI46</f>
        <v>0</v>
      </c>
      <c r="AK22" s="64">
        <f>'Evolutive SFP'!AJ46</f>
        <v>0</v>
      </c>
      <c r="AL22" s="64">
        <f>'Evolutive SFP'!AK46</f>
        <v>0</v>
      </c>
      <c r="AM22" s="64">
        <f>'Evolutive SFP'!AL46</f>
        <v>0</v>
      </c>
      <c r="AN22" s="64">
        <f>'Evolutive SFP'!AM46</f>
        <v>0</v>
      </c>
      <c r="AO22" s="64">
        <f>'Evolutive SFP'!AN46</f>
        <v>0</v>
      </c>
      <c r="AP22" s="64">
        <f>'Evolutive SFP'!AO46</f>
        <v>0</v>
      </c>
      <c r="AQ22" s="64">
        <f>'Evolutive SFP'!AP46</f>
        <v>0</v>
      </c>
      <c r="AR22" s="64">
        <f>'Evolutive SFP'!AQ46</f>
        <v>0</v>
      </c>
      <c r="AS22" s="64">
        <f>'Evolutive SFP'!AR46</f>
        <v>0</v>
      </c>
      <c r="AT22" s="64">
        <f>'Evolutive SFP'!AS46</f>
        <v>0</v>
      </c>
      <c r="AU22" s="64">
        <f>'Evolutive SFP'!AT46</f>
        <v>0</v>
      </c>
      <c r="AV22" s="64">
        <f>'Evolutive SFP'!AU46</f>
        <v>0</v>
      </c>
      <c r="AW22" s="64">
        <f>'Evolutive SFP'!AV46</f>
        <v>0</v>
      </c>
      <c r="AX22" s="64">
        <f>'Evolutive SFP'!AW46</f>
        <v>0</v>
      </c>
    </row>
    <row r="23" spans="1:50">
      <c r="A23" s="42" t="s">
        <v>241</v>
      </c>
      <c r="B23" s="37" t="s">
        <v>242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</row>
    <row r="24" spans="1:50">
      <c r="A24" s="36"/>
      <c r="B24" s="43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</row>
    <row r="25" spans="1:50" s="29" customFormat="1">
      <c r="A25" s="46">
        <v>6</v>
      </c>
      <c r="B25" s="41" t="s">
        <v>243</v>
      </c>
      <c r="C25" s="65">
        <f>C26+C27+C28</f>
        <v>472260</v>
      </c>
      <c r="D25" s="65">
        <f>D26+D27+D28</f>
        <v>48158789</v>
      </c>
      <c r="E25" s="65">
        <f t="shared" ref="E25:P25" si="15">E26+E27+E28</f>
        <v>51742253</v>
      </c>
      <c r="F25" s="65">
        <f t="shared" si="15"/>
        <v>80400025</v>
      </c>
      <c r="G25" s="65">
        <f t="shared" si="15"/>
        <v>80400025</v>
      </c>
      <c r="H25" s="65">
        <f t="shared" si="15"/>
        <v>80400025</v>
      </c>
      <c r="I25" s="65">
        <f t="shared" si="15"/>
        <v>80556471</v>
      </c>
      <c r="J25" s="65">
        <f t="shared" si="15"/>
        <v>80556471</v>
      </c>
      <c r="K25" s="65">
        <f t="shared" si="15"/>
        <v>80556471</v>
      </c>
      <c r="L25" s="65">
        <f t="shared" si="15"/>
        <v>80556471</v>
      </c>
      <c r="M25" s="65">
        <f t="shared" si="15"/>
        <v>80556471</v>
      </c>
      <c r="N25" s="65">
        <f t="shared" si="15"/>
        <v>80782471</v>
      </c>
      <c r="O25" s="65">
        <f t="shared" si="15"/>
        <v>81008470</v>
      </c>
      <c r="P25" s="65">
        <f t="shared" si="15"/>
        <v>82528081</v>
      </c>
      <c r="Q25" s="65">
        <f t="shared" ref="Q25" si="16">Q26+Q27+Q28</f>
        <v>36630812</v>
      </c>
      <c r="R25" s="65">
        <f t="shared" ref="R25:AX25" si="17">R26+R27+R28</f>
        <v>82768231</v>
      </c>
      <c r="S25" s="65">
        <f t="shared" si="17"/>
        <v>82994231</v>
      </c>
      <c r="T25" s="65">
        <f t="shared" si="17"/>
        <v>83470231</v>
      </c>
      <c r="U25" s="65">
        <f t="shared" si="17"/>
        <v>84142486</v>
      </c>
      <c r="V25" s="65">
        <f t="shared" si="17"/>
        <v>84368486</v>
      </c>
      <c r="W25" s="65">
        <f t="shared" si="17"/>
        <v>84594486</v>
      </c>
      <c r="X25" s="65">
        <f t="shared" si="17"/>
        <v>84820486</v>
      </c>
      <c r="Y25" s="65">
        <f t="shared" si="17"/>
        <v>85147819</v>
      </c>
      <c r="Z25" s="65">
        <f t="shared" si="17"/>
        <v>85373819</v>
      </c>
      <c r="AA25" s="65">
        <f t="shared" si="17"/>
        <v>85599819</v>
      </c>
      <c r="AB25" s="65">
        <f t="shared" si="17"/>
        <v>85825819</v>
      </c>
      <c r="AC25" s="65">
        <f t="shared" si="17"/>
        <v>86494221</v>
      </c>
      <c r="AD25" s="65">
        <f t="shared" si="17"/>
        <v>41912774</v>
      </c>
      <c r="AE25" s="65">
        <f t="shared" si="17"/>
        <v>38061432</v>
      </c>
      <c r="AF25" s="65">
        <f t="shared" si="17"/>
        <v>38287432</v>
      </c>
      <c r="AG25" s="65">
        <f t="shared" si="17"/>
        <v>38513432</v>
      </c>
      <c r="AH25" s="65">
        <f t="shared" si="17"/>
        <v>38739432</v>
      </c>
      <c r="AI25" s="65">
        <f t="shared" si="17"/>
        <v>38965432</v>
      </c>
      <c r="AJ25" s="65">
        <f t="shared" si="17"/>
        <v>39381283</v>
      </c>
      <c r="AK25" s="65">
        <f t="shared" si="17"/>
        <v>39813015</v>
      </c>
      <c r="AL25" s="65">
        <f t="shared" si="17"/>
        <v>40039015</v>
      </c>
      <c r="AM25" s="65">
        <f t="shared" si="17"/>
        <v>0</v>
      </c>
      <c r="AN25" s="65">
        <f t="shared" si="17"/>
        <v>0</v>
      </c>
      <c r="AO25" s="65">
        <f t="shared" si="17"/>
        <v>0</v>
      </c>
      <c r="AP25" s="65">
        <f t="shared" si="17"/>
        <v>0</v>
      </c>
      <c r="AQ25" s="65">
        <f t="shared" si="17"/>
        <v>0</v>
      </c>
      <c r="AR25" s="65">
        <f t="shared" si="17"/>
        <v>0</v>
      </c>
      <c r="AS25" s="65">
        <f t="shared" si="17"/>
        <v>0</v>
      </c>
      <c r="AT25" s="65">
        <f t="shared" si="17"/>
        <v>0</v>
      </c>
      <c r="AU25" s="65">
        <f t="shared" si="17"/>
        <v>0</v>
      </c>
      <c r="AV25" s="65">
        <f t="shared" si="17"/>
        <v>0</v>
      </c>
      <c r="AW25" s="65">
        <f t="shared" si="17"/>
        <v>0</v>
      </c>
      <c r="AX25" s="65">
        <f t="shared" si="17"/>
        <v>0</v>
      </c>
    </row>
    <row r="26" spans="1:50">
      <c r="A26" s="38">
        <v>6.1</v>
      </c>
      <c r="B26" s="37" t="s">
        <v>244</v>
      </c>
      <c r="C26" s="64">
        <f>'Evolutive SFP'!B13</f>
        <v>472260</v>
      </c>
      <c r="D26" s="64">
        <f>'Evolutive SFP'!C13</f>
        <v>2511520</v>
      </c>
      <c r="E26" s="64">
        <f>'Evolutive SFP'!D13</f>
        <v>19751017</v>
      </c>
      <c r="F26" s="64">
        <f>'Evolutive SFP'!E13</f>
        <v>48408789</v>
      </c>
      <c r="G26" s="64">
        <f>'Evolutive SFP'!F13</f>
        <v>48408789</v>
      </c>
      <c r="H26" s="64">
        <f>'Evolutive SFP'!G13</f>
        <v>48408789</v>
      </c>
      <c r="I26" s="64">
        <f>'Evolutive SFP'!H13</f>
        <v>48408789</v>
      </c>
      <c r="J26" s="64">
        <f>'Evolutive SFP'!I13</f>
        <v>48408789</v>
      </c>
      <c r="K26" s="64">
        <f>'Evolutive SFP'!J13</f>
        <v>48408789</v>
      </c>
      <c r="L26" s="64">
        <f>'Evolutive SFP'!K13</f>
        <v>48408789</v>
      </c>
      <c r="M26" s="64">
        <f>'Evolutive SFP'!L13</f>
        <v>48408789</v>
      </c>
      <c r="N26" s="64">
        <f>'Evolutive SFP'!M13</f>
        <v>48408789</v>
      </c>
      <c r="O26" s="64">
        <f>'Evolutive SFP'!N13</f>
        <v>48408789</v>
      </c>
      <c r="P26" s="64">
        <f>'Evolutive SFP'!O13</f>
        <v>48408789</v>
      </c>
      <c r="Q26" s="64">
        <f>'Evolutive SFP'!P13</f>
        <v>2511520</v>
      </c>
      <c r="R26" s="64">
        <f>'Evolutive SFP'!Q13</f>
        <v>48408789</v>
      </c>
      <c r="S26" s="64">
        <f>'Evolutive SFP'!R13</f>
        <v>48408789</v>
      </c>
      <c r="T26" s="64">
        <f>'Evolutive SFP'!S13</f>
        <v>48658789</v>
      </c>
      <c r="U26" s="64">
        <f>'Evolutive SFP'!T13</f>
        <v>48658789</v>
      </c>
      <c r="V26" s="64">
        <f>'Evolutive SFP'!U13</f>
        <v>48658789</v>
      </c>
      <c r="W26" s="64">
        <f>'Evolutive SFP'!V13</f>
        <v>48658789</v>
      </c>
      <c r="X26" s="64">
        <f>'Evolutive SFP'!W13</f>
        <v>48658789</v>
      </c>
      <c r="Y26" s="64">
        <f>'Evolutive SFP'!X13</f>
        <v>48658789</v>
      </c>
      <c r="Z26" s="64">
        <f>'Evolutive SFP'!Y13</f>
        <v>48658789</v>
      </c>
      <c r="AA26" s="64">
        <f>'Evolutive SFP'!Z13</f>
        <v>48658789</v>
      </c>
      <c r="AB26" s="64">
        <f>'Evolutive SFP'!AA13</f>
        <v>48658789</v>
      </c>
      <c r="AC26" s="64">
        <f>'Evolutive SFP'!AB13</f>
        <v>48658789</v>
      </c>
      <c r="AD26" s="64">
        <f>'Evolutive SFP'!AC13</f>
        <v>2511520</v>
      </c>
      <c r="AE26" s="64">
        <f>'Evolutive SFP'!AD13</f>
        <v>0</v>
      </c>
      <c r="AF26" s="64">
        <f>'Evolutive SFP'!AE13</f>
        <v>0</v>
      </c>
      <c r="AG26" s="64">
        <f>'Evolutive SFP'!AF13</f>
        <v>0</v>
      </c>
      <c r="AH26" s="64">
        <f>'Evolutive SFP'!AG13</f>
        <v>0</v>
      </c>
      <c r="AI26" s="64">
        <f>'Evolutive SFP'!AH13</f>
        <v>0</v>
      </c>
      <c r="AJ26" s="64">
        <f>'Evolutive SFP'!AI13</f>
        <v>0</v>
      </c>
      <c r="AK26" s="64">
        <f>'Evolutive SFP'!AJ13</f>
        <v>0</v>
      </c>
      <c r="AL26" s="64">
        <f>'Evolutive SFP'!AK13</f>
        <v>0</v>
      </c>
      <c r="AM26" s="64">
        <f>'Evolutive SFP'!AL13</f>
        <v>0</v>
      </c>
      <c r="AN26" s="64">
        <f>'Evolutive SFP'!AM13</f>
        <v>0</v>
      </c>
      <c r="AO26" s="64">
        <f>'Evolutive SFP'!AN13</f>
        <v>0</v>
      </c>
      <c r="AP26" s="64">
        <f>'Evolutive SFP'!AO13</f>
        <v>0</v>
      </c>
      <c r="AQ26" s="64">
        <f>'Evolutive SFP'!AP13</f>
        <v>0</v>
      </c>
      <c r="AR26" s="64">
        <f>'Evolutive SFP'!AQ13</f>
        <v>0</v>
      </c>
      <c r="AS26" s="64">
        <f>'Evolutive SFP'!AR13</f>
        <v>0</v>
      </c>
      <c r="AT26" s="64">
        <f>'Evolutive SFP'!AS13</f>
        <v>0</v>
      </c>
      <c r="AU26" s="64">
        <f>'Evolutive SFP'!AT13</f>
        <v>0</v>
      </c>
      <c r="AV26" s="64">
        <f>'Evolutive SFP'!AU13</f>
        <v>0</v>
      </c>
      <c r="AW26" s="64">
        <f>'Evolutive SFP'!AV13</f>
        <v>0</v>
      </c>
      <c r="AX26" s="64">
        <f>'Evolutive SFP'!AW13</f>
        <v>0</v>
      </c>
    </row>
    <row r="27" spans="1:50">
      <c r="A27" s="38">
        <v>6.2</v>
      </c>
      <c r="B27" s="37" t="s">
        <v>245</v>
      </c>
      <c r="C27" s="64">
        <f>'Evolutive SFP'!B10</f>
        <v>0</v>
      </c>
      <c r="D27" s="64">
        <f>'Evolutive SFP'!C10</f>
        <v>0</v>
      </c>
      <c r="E27" s="64">
        <f>'Evolutive SFP'!D10</f>
        <v>0</v>
      </c>
      <c r="F27" s="64">
        <f>'Evolutive SFP'!E10</f>
        <v>0</v>
      </c>
      <c r="G27" s="64">
        <f>'Evolutive SFP'!F10</f>
        <v>0</v>
      </c>
      <c r="H27" s="64">
        <f>'Evolutive SFP'!G10</f>
        <v>0</v>
      </c>
      <c r="I27" s="64">
        <f>'Evolutive SFP'!H10</f>
        <v>0</v>
      </c>
      <c r="J27" s="64">
        <f>'Evolutive SFP'!I10</f>
        <v>0</v>
      </c>
      <c r="K27" s="64">
        <f>'Evolutive SFP'!J10</f>
        <v>0</v>
      </c>
      <c r="L27" s="64">
        <f>'Evolutive SFP'!K10</f>
        <v>0</v>
      </c>
      <c r="M27" s="64">
        <f>'Evolutive SFP'!L10</f>
        <v>0</v>
      </c>
      <c r="N27" s="64">
        <f>'Evolutive SFP'!M10</f>
        <v>0</v>
      </c>
      <c r="O27" s="64">
        <f>'Evolutive SFP'!N10</f>
        <v>0</v>
      </c>
      <c r="P27" s="64">
        <f>'Evolutive SFP'!O10</f>
        <v>0</v>
      </c>
      <c r="Q27" s="64">
        <f>'Evolutive SFP'!P10</f>
        <v>0</v>
      </c>
      <c r="R27" s="64">
        <f>'Evolutive SFP'!Q10</f>
        <v>0</v>
      </c>
      <c r="S27" s="64">
        <f>'Evolutive SFP'!R10</f>
        <v>0</v>
      </c>
      <c r="T27" s="64">
        <f>'Evolutive SFP'!S10</f>
        <v>0</v>
      </c>
      <c r="U27" s="64">
        <f>'Evolutive SFP'!T10</f>
        <v>0</v>
      </c>
      <c r="V27" s="64">
        <f>'Evolutive SFP'!U10</f>
        <v>0</v>
      </c>
      <c r="W27" s="64">
        <f>'Evolutive SFP'!V10</f>
        <v>0</v>
      </c>
      <c r="X27" s="64">
        <f>'Evolutive SFP'!W10</f>
        <v>0</v>
      </c>
      <c r="Y27" s="64">
        <f>'Evolutive SFP'!X10</f>
        <v>0</v>
      </c>
      <c r="Z27" s="64">
        <f>'Evolutive SFP'!Y10</f>
        <v>0</v>
      </c>
      <c r="AA27" s="64">
        <f>'Evolutive SFP'!Z10</f>
        <v>0</v>
      </c>
      <c r="AB27" s="64">
        <f>'Evolutive SFP'!AA10</f>
        <v>0</v>
      </c>
      <c r="AC27" s="64">
        <f>'Evolutive SFP'!AB10</f>
        <v>0</v>
      </c>
      <c r="AD27" s="64">
        <f>'Evolutive SFP'!AC10</f>
        <v>0</v>
      </c>
      <c r="AE27" s="64">
        <f>'Evolutive SFP'!AD10</f>
        <v>0</v>
      </c>
      <c r="AF27" s="64">
        <f>'Evolutive SFP'!AE10</f>
        <v>0</v>
      </c>
      <c r="AG27" s="64">
        <f>'Evolutive SFP'!AF10</f>
        <v>0</v>
      </c>
      <c r="AH27" s="64">
        <f>'Evolutive SFP'!AG10</f>
        <v>0</v>
      </c>
      <c r="AI27" s="64">
        <f>'Evolutive SFP'!AH10</f>
        <v>0</v>
      </c>
      <c r="AJ27" s="64">
        <f>'Evolutive SFP'!AI10</f>
        <v>0</v>
      </c>
      <c r="AK27" s="64">
        <f>'Evolutive SFP'!AJ10</f>
        <v>0</v>
      </c>
      <c r="AL27" s="64">
        <f>'Evolutive SFP'!AK10</f>
        <v>0</v>
      </c>
      <c r="AM27" s="64">
        <f>'Evolutive SFP'!AL10</f>
        <v>0</v>
      </c>
      <c r="AN27" s="64">
        <f>'Evolutive SFP'!AM10</f>
        <v>0</v>
      </c>
      <c r="AO27" s="64">
        <f>'Evolutive SFP'!AN10</f>
        <v>0</v>
      </c>
      <c r="AP27" s="64">
        <f>'Evolutive SFP'!AO10</f>
        <v>0</v>
      </c>
      <c r="AQ27" s="64">
        <f>'Evolutive SFP'!AP10</f>
        <v>0</v>
      </c>
      <c r="AR27" s="64">
        <f>'Evolutive SFP'!AQ10</f>
        <v>0</v>
      </c>
      <c r="AS27" s="64">
        <f>'Evolutive SFP'!AR10</f>
        <v>0</v>
      </c>
      <c r="AT27" s="64">
        <f>'Evolutive SFP'!AS10</f>
        <v>0</v>
      </c>
      <c r="AU27" s="64">
        <f>'Evolutive SFP'!AT10</f>
        <v>0</v>
      </c>
      <c r="AV27" s="64">
        <f>'Evolutive SFP'!AU10</f>
        <v>0</v>
      </c>
      <c r="AW27" s="64">
        <f>'Evolutive SFP'!AV10</f>
        <v>0</v>
      </c>
      <c r="AX27" s="64">
        <f>'Evolutive SFP'!AW10</f>
        <v>0</v>
      </c>
    </row>
    <row r="28" spans="1:50">
      <c r="A28" s="38">
        <v>6.3</v>
      </c>
      <c r="B28" s="37" t="s">
        <v>246</v>
      </c>
      <c r="C28" s="64">
        <f>'Evolutive SFP'!B11</f>
        <v>0</v>
      </c>
      <c r="D28" s="64">
        <f>'Evolutive SFP'!C11</f>
        <v>45647269</v>
      </c>
      <c r="E28" s="64">
        <f>'Evolutive SFP'!D11</f>
        <v>31991236</v>
      </c>
      <c r="F28" s="64">
        <f>'Evolutive SFP'!E11</f>
        <v>31991236</v>
      </c>
      <c r="G28" s="64">
        <f>'Evolutive SFP'!F11</f>
        <v>31991236</v>
      </c>
      <c r="H28" s="64">
        <f>'Evolutive SFP'!G11</f>
        <v>31991236</v>
      </c>
      <c r="I28" s="64">
        <f>'Evolutive SFP'!H11</f>
        <v>32147682</v>
      </c>
      <c r="J28" s="64">
        <f>'Evolutive SFP'!I11</f>
        <v>32147682</v>
      </c>
      <c r="K28" s="64">
        <f>'Evolutive SFP'!J11</f>
        <v>32147682</v>
      </c>
      <c r="L28" s="64">
        <f>'Evolutive SFP'!K11</f>
        <v>32147682</v>
      </c>
      <c r="M28" s="64">
        <f>'Evolutive SFP'!L11</f>
        <v>32147682</v>
      </c>
      <c r="N28" s="64">
        <f>'Evolutive SFP'!M11</f>
        <v>32373682</v>
      </c>
      <c r="O28" s="64">
        <f>'Evolutive SFP'!N11</f>
        <v>32599681</v>
      </c>
      <c r="P28" s="64">
        <f>'Evolutive SFP'!O11</f>
        <v>34119292</v>
      </c>
      <c r="Q28" s="64">
        <f>'Evolutive SFP'!P11</f>
        <v>34119292</v>
      </c>
      <c r="R28" s="64">
        <f>'Evolutive SFP'!Q11</f>
        <v>34359442</v>
      </c>
      <c r="S28" s="64">
        <f>'Evolutive SFP'!R11</f>
        <v>34585442</v>
      </c>
      <c r="T28" s="64">
        <f>'Evolutive SFP'!S11</f>
        <v>34811442</v>
      </c>
      <c r="U28" s="64">
        <f>'Evolutive SFP'!T11</f>
        <v>35483697</v>
      </c>
      <c r="V28" s="64">
        <f>'Evolutive SFP'!U11</f>
        <v>35709697</v>
      </c>
      <c r="W28" s="64">
        <f>'Evolutive SFP'!V11</f>
        <v>35935697</v>
      </c>
      <c r="X28" s="64">
        <f>'Evolutive SFP'!W11</f>
        <v>36161697</v>
      </c>
      <c r="Y28" s="64">
        <f>'Evolutive SFP'!X11</f>
        <v>36489030</v>
      </c>
      <c r="Z28" s="64">
        <f>'Evolutive SFP'!Y11</f>
        <v>36715030</v>
      </c>
      <c r="AA28" s="64">
        <f>'Evolutive SFP'!Z11</f>
        <v>36941030</v>
      </c>
      <c r="AB28" s="64">
        <f>'Evolutive SFP'!AA11</f>
        <v>37167030</v>
      </c>
      <c r="AC28" s="64">
        <f>'Evolutive SFP'!AB11</f>
        <v>37835432</v>
      </c>
      <c r="AD28" s="64">
        <f>'Evolutive SFP'!AC11</f>
        <v>39401254</v>
      </c>
      <c r="AE28" s="64">
        <f>'Evolutive SFP'!AD11</f>
        <v>38061432</v>
      </c>
      <c r="AF28" s="64">
        <f>'Evolutive SFP'!AE11</f>
        <v>38287432</v>
      </c>
      <c r="AG28" s="64">
        <f>'Evolutive SFP'!AF11</f>
        <v>38513432</v>
      </c>
      <c r="AH28" s="64">
        <f>'Evolutive SFP'!AG11</f>
        <v>38739432</v>
      </c>
      <c r="AI28" s="64">
        <f>'Evolutive SFP'!AH11</f>
        <v>38965432</v>
      </c>
      <c r="AJ28" s="64">
        <f>'Evolutive SFP'!AI11</f>
        <v>39381283</v>
      </c>
      <c r="AK28" s="64">
        <f>'Evolutive SFP'!AJ11</f>
        <v>39813015</v>
      </c>
      <c r="AL28" s="64">
        <f>'Evolutive SFP'!AK11</f>
        <v>40039015</v>
      </c>
      <c r="AM28" s="64">
        <f>'Evolutive SFP'!AL11</f>
        <v>0</v>
      </c>
      <c r="AN28" s="64">
        <f>'Evolutive SFP'!AM11</f>
        <v>0</v>
      </c>
      <c r="AO28" s="64">
        <f>'Evolutive SFP'!AN11</f>
        <v>0</v>
      </c>
      <c r="AP28" s="64">
        <f>'Evolutive SFP'!AO11</f>
        <v>0</v>
      </c>
      <c r="AQ28" s="64">
        <f>'Evolutive SFP'!AP11</f>
        <v>0</v>
      </c>
      <c r="AR28" s="64">
        <f>'Evolutive SFP'!AQ11</f>
        <v>0</v>
      </c>
      <c r="AS28" s="64">
        <f>'Evolutive SFP'!AR11</f>
        <v>0</v>
      </c>
      <c r="AT28" s="64">
        <f>'Evolutive SFP'!AS11</f>
        <v>0</v>
      </c>
      <c r="AU28" s="64">
        <f>'Evolutive SFP'!AT11</f>
        <v>0</v>
      </c>
      <c r="AV28" s="64">
        <f>'Evolutive SFP'!AU11</f>
        <v>0</v>
      </c>
      <c r="AW28" s="64">
        <f>'Evolutive SFP'!AV11</f>
        <v>0</v>
      </c>
      <c r="AX28" s="64">
        <f>'Evolutive SFP'!AW11</f>
        <v>0</v>
      </c>
    </row>
    <row r="29" spans="1:50">
      <c r="A29" s="36"/>
      <c r="B29" s="37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</row>
    <row r="30" spans="1:50">
      <c r="A30" s="38">
        <v>7</v>
      </c>
      <c r="B30" s="36" t="s">
        <v>247</v>
      </c>
      <c r="C30" s="64">
        <f>'Evolutive SFP'!B14</f>
        <v>112905266</v>
      </c>
      <c r="D30" s="64">
        <f>'Evolutive SFP'!C14</f>
        <v>945191720</v>
      </c>
      <c r="E30" s="64">
        <f>'Evolutive SFP'!D14</f>
        <v>949574103</v>
      </c>
      <c r="F30" s="64">
        <f>'Evolutive SFP'!E14</f>
        <v>945974458</v>
      </c>
      <c r="G30" s="64">
        <f>'Evolutive SFP'!F14</f>
        <v>945527615</v>
      </c>
      <c r="H30" s="64">
        <f>'Evolutive SFP'!G14</f>
        <v>945103539</v>
      </c>
      <c r="I30" s="64">
        <f>'Evolutive SFP'!H14</f>
        <v>944515624</v>
      </c>
      <c r="J30" s="64">
        <f>'Evolutive SFP'!I14</f>
        <v>964550729</v>
      </c>
      <c r="K30" s="64">
        <f>'Evolutive SFP'!J14</f>
        <v>966820744</v>
      </c>
      <c r="L30" s="64">
        <f>'Evolutive SFP'!K14</f>
        <v>966617815</v>
      </c>
      <c r="M30" s="64">
        <f>'Evolutive SFP'!L14</f>
        <v>999821319</v>
      </c>
      <c r="N30" s="64">
        <f>'Evolutive SFP'!M14</f>
        <v>998821319</v>
      </c>
      <c r="O30" s="64">
        <f>'Evolutive SFP'!N14</f>
        <v>1003622209</v>
      </c>
      <c r="P30" s="64">
        <f>'Evolutive SFP'!O14</f>
        <v>1027347597</v>
      </c>
      <c r="Q30" s="64">
        <f>'Evolutive SFP'!P14</f>
        <v>1037147597</v>
      </c>
      <c r="R30" s="64">
        <f>'Evolutive SFP'!Q14</f>
        <v>1002021205</v>
      </c>
      <c r="S30" s="64">
        <f>'Evolutive SFP'!R14</f>
        <v>1004551326</v>
      </c>
      <c r="T30" s="64">
        <f>'Evolutive SFP'!S14</f>
        <v>1016542423</v>
      </c>
      <c r="U30" s="64">
        <f>'Evolutive SFP'!T14</f>
        <v>699055944</v>
      </c>
      <c r="V30" s="64">
        <f>'Evolutive SFP'!U14</f>
        <v>722573436</v>
      </c>
      <c r="W30" s="64">
        <f>'Evolutive SFP'!V14</f>
        <v>715525032</v>
      </c>
      <c r="X30" s="64">
        <f>'Evolutive SFP'!W14</f>
        <v>719578528</v>
      </c>
      <c r="Y30" s="64">
        <f>'Evolutive SFP'!X14</f>
        <v>732769790</v>
      </c>
      <c r="Z30" s="64">
        <f>'Evolutive SFP'!Y14</f>
        <v>733560707</v>
      </c>
      <c r="AA30" s="64">
        <f>'Evolutive SFP'!Z14</f>
        <v>734179388</v>
      </c>
      <c r="AB30" s="64">
        <f>'Evolutive SFP'!AA14</f>
        <v>733133462</v>
      </c>
      <c r="AC30" s="64">
        <f>'Evolutive SFP'!AB14</f>
        <v>741184898</v>
      </c>
      <c r="AD30" s="64">
        <f>'Evolutive SFP'!AC14</f>
        <v>741184900</v>
      </c>
      <c r="AE30" s="64">
        <f>'Evolutive SFP'!AD14</f>
        <v>758727774</v>
      </c>
      <c r="AF30" s="64">
        <f>'Evolutive SFP'!AE14</f>
        <v>759825653</v>
      </c>
      <c r="AG30" s="64">
        <f>'Evolutive SFP'!AF14</f>
        <v>755676086</v>
      </c>
      <c r="AH30" s="64">
        <f>'Evolutive SFP'!AG14</f>
        <v>758278097</v>
      </c>
      <c r="AI30" s="64">
        <f>'Evolutive SFP'!AH14</f>
        <v>762541318</v>
      </c>
      <c r="AJ30" s="64">
        <f>'Evolutive SFP'!AI14</f>
        <v>766731067</v>
      </c>
      <c r="AK30" s="64">
        <f>'Evolutive SFP'!AJ14</f>
        <v>762154746</v>
      </c>
      <c r="AL30" s="64">
        <f>'Evolutive SFP'!AK14</f>
        <v>786014236.46000004</v>
      </c>
      <c r="AM30" s="64">
        <f>'Evolutive SFP'!AL14</f>
        <v>0</v>
      </c>
      <c r="AN30" s="64">
        <f>'Evolutive SFP'!AM14</f>
        <v>0</v>
      </c>
      <c r="AO30" s="64">
        <f>'Evolutive SFP'!AN14</f>
        <v>0</v>
      </c>
      <c r="AP30" s="64">
        <f>'Evolutive SFP'!AO14</f>
        <v>0</v>
      </c>
      <c r="AQ30" s="64">
        <f>'Evolutive SFP'!AP14</f>
        <v>0</v>
      </c>
      <c r="AR30" s="64">
        <f>'Evolutive SFP'!AQ14</f>
        <v>0</v>
      </c>
      <c r="AS30" s="64">
        <f>'Evolutive SFP'!AR14</f>
        <v>0</v>
      </c>
      <c r="AT30" s="64">
        <f>'Evolutive SFP'!AS14</f>
        <v>0</v>
      </c>
      <c r="AU30" s="64">
        <f>'Evolutive SFP'!AT14</f>
        <v>0</v>
      </c>
      <c r="AV30" s="64">
        <f>'Evolutive SFP'!AU14</f>
        <v>0</v>
      </c>
      <c r="AW30" s="64">
        <f>'Evolutive SFP'!AV14</f>
        <v>0</v>
      </c>
      <c r="AX30" s="64">
        <f>'Evolutive SFP'!AW14</f>
        <v>0</v>
      </c>
    </row>
    <row r="31" spans="1:50">
      <c r="A31" s="38">
        <v>7.1</v>
      </c>
      <c r="B31" s="36" t="s">
        <v>248</v>
      </c>
      <c r="C31" s="64">
        <f>'Evolutive SFP'!B15</f>
        <v>112905266</v>
      </c>
      <c r="D31" s="64">
        <f>'Evolutive SFP'!C15</f>
        <v>994788305</v>
      </c>
      <c r="E31" s="64">
        <f>'Evolutive SFP'!D15</f>
        <v>1000170688</v>
      </c>
      <c r="F31" s="64">
        <f>'Evolutive SFP'!E15</f>
        <v>997571043</v>
      </c>
      <c r="G31" s="64">
        <f>'Evolutive SFP'!F15</f>
        <v>998124200</v>
      </c>
      <c r="H31" s="64">
        <f>'Evolutive SFP'!G15</f>
        <v>998700124</v>
      </c>
      <c r="I31" s="64">
        <f>'Evolutive SFP'!H15</f>
        <v>999112209</v>
      </c>
      <c r="J31" s="64">
        <f>'Evolutive SFP'!I15</f>
        <v>1020147314</v>
      </c>
      <c r="K31" s="64">
        <f>'Evolutive SFP'!J15</f>
        <v>1023417329</v>
      </c>
      <c r="L31" s="64">
        <f>'Evolutive SFP'!K15</f>
        <v>1024214400</v>
      </c>
      <c r="M31" s="64">
        <f>'Evolutive SFP'!L15</f>
        <v>1058417904</v>
      </c>
      <c r="N31" s="64">
        <f>'Evolutive SFP'!M15</f>
        <v>1058417904</v>
      </c>
      <c r="O31" s="64">
        <f>'Evolutive SFP'!N15</f>
        <v>1065218794</v>
      </c>
      <c r="P31" s="64">
        <f>'Evolutive SFP'!O15</f>
        <v>1089345186</v>
      </c>
      <c r="Q31" s="64">
        <f>'Evolutive SFP'!P15</f>
        <v>1099345186</v>
      </c>
      <c r="R31" s="64">
        <f>'Evolutive SFP'!Q15</f>
        <v>1065218794</v>
      </c>
      <c r="S31" s="64">
        <f>'Evolutive SFP'!R15</f>
        <v>1068748915</v>
      </c>
      <c r="T31" s="64">
        <f>'Evolutive SFP'!S15</f>
        <v>1081740012</v>
      </c>
      <c r="U31" s="64">
        <f>'Evolutive SFP'!T15</f>
        <v>752122230</v>
      </c>
      <c r="V31" s="64">
        <f>'Evolutive SFP'!U15</f>
        <v>762735725</v>
      </c>
      <c r="W31" s="64">
        <f>'Evolutive SFP'!V15</f>
        <v>753318303</v>
      </c>
      <c r="X31" s="64">
        <f>'Evolutive SFP'!W15</f>
        <v>758057271</v>
      </c>
      <c r="Y31" s="64">
        <f>'Evolutive SFP'!X15</f>
        <v>770490393</v>
      </c>
      <c r="Z31" s="64">
        <f>'Evolutive SFP'!Y15</f>
        <v>771992553</v>
      </c>
      <c r="AA31" s="64">
        <f>'Evolutive SFP'!Z15</f>
        <v>771916311</v>
      </c>
      <c r="AB31" s="64">
        <f>'Evolutive SFP'!AA15</f>
        <v>769859428</v>
      </c>
      <c r="AC31" s="64">
        <f>'Evolutive SFP'!AB15</f>
        <v>778820671</v>
      </c>
      <c r="AD31" s="64">
        <f>'Evolutive SFP'!AC15</f>
        <v>778820671</v>
      </c>
      <c r="AE31" s="64">
        <f>'Evolutive SFP'!AD15</f>
        <v>797611909</v>
      </c>
      <c r="AF31" s="64">
        <f>'Evolutive SFP'!AE15</f>
        <v>799587538</v>
      </c>
      <c r="AG31" s="64">
        <f>'Evolutive SFP'!AF15</f>
        <v>791436543</v>
      </c>
      <c r="AH31" s="64">
        <f>'Evolutive SFP'!AG15</f>
        <v>795572569</v>
      </c>
      <c r="AI31" s="64">
        <f>'Evolutive SFP'!AH15</f>
        <v>800003088</v>
      </c>
      <c r="AJ31" s="64">
        <f>'Evolutive SFP'!AI15</f>
        <v>804016813</v>
      </c>
      <c r="AK31" s="64">
        <f>'Evolutive SFP'!AJ15</f>
        <v>800870142</v>
      </c>
      <c r="AL31" s="64">
        <f>'Evolutive SFP'!AK15</f>
        <v>825108150</v>
      </c>
      <c r="AM31" s="64">
        <f>'Evolutive SFP'!AL15</f>
        <v>0</v>
      </c>
      <c r="AN31" s="64">
        <f>'Evolutive SFP'!AM15</f>
        <v>0</v>
      </c>
      <c r="AO31" s="64">
        <f>'Evolutive SFP'!AN15</f>
        <v>0</v>
      </c>
      <c r="AP31" s="64">
        <f>'Evolutive SFP'!AO15</f>
        <v>0</v>
      </c>
      <c r="AQ31" s="64">
        <f>'Evolutive SFP'!AP15</f>
        <v>0</v>
      </c>
      <c r="AR31" s="64">
        <f>'Evolutive SFP'!AQ15</f>
        <v>0</v>
      </c>
      <c r="AS31" s="64">
        <f>'Evolutive SFP'!AR15</f>
        <v>0</v>
      </c>
      <c r="AT31" s="64">
        <f>'Evolutive SFP'!AS15</f>
        <v>0</v>
      </c>
      <c r="AU31" s="64">
        <f>'Evolutive SFP'!AT15</f>
        <v>0</v>
      </c>
      <c r="AV31" s="64">
        <f>'Evolutive SFP'!AU15</f>
        <v>0</v>
      </c>
      <c r="AW31" s="64">
        <f>'Evolutive SFP'!AV15</f>
        <v>0</v>
      </c>
      <c r="AX31" s="64">
        <f>'Evolutive SFP'!AW15</f>
        <v>0</v>
      </c>
    </row>
    <row r="32" spans="1:50">
      <c r="A32" s="38">
        <v>7.2</v>
      </c>
      <c r="B32" s="36" t="s">
        <v>249</v>
      </c>
      <c r="C32" s="64">
        <f>'Evolutive SFP'!B16</f>
        <v>0</v>
      </c>
      <c r="D32" s="64">
        <f>'Evolutive SFP'!C16</f>
        <v>49596585</v>
      </c>
      <c r="E32" s="64">
        <f>'Evolutive SFP'!D16</f>
        <v>50596585</v>
      </c>
      <c r="F32" s="64">
        <f>'Evolutive SFP'!E16</f>
        <v>51596585</v>
      </c>
      <c r="G32" s="64">
        <f>'Evolutive SFP'!F16</f>
        <v>52596585</v>
      </c>
      <c r="H32" s="64">
        <f>'Evolutive SFP'!G16</f>
        <v>53596585</v>
      </c>
      <c r="I32" s="64">
        <f>'Evolutive SFP'!H16</f>
        <v>54596585</v>
      </c>
      <c r="J32" s="64">
        <f>'Evolutive SFP'!I16</f>
        <v>55596585</v>
      </c>
      <c r="K32" s="64">
        <f>'Evolutive SFP'!J16</f>
        <v>56596585</v>
      </c>
      <c r="L32" s="64">
        <f>'Evolutive SFP'!K16</f>
        <v>57596585</v>
      </c>
      <c r="M32" s="64">
        <f>'Evolutive SFP'!L16</f>
        <v>58596585</v>
      </c>
      <c r="N32" s="64">
        <f>'Evolutive SFP'!M16</f>
        <v>59596585</v>
      </c>
      <c r="O32" s="64">
        <f>'Evolutive SFP'!N16</f>
        <v>61596585</v>
      </c>
      <c r="P32" s="64">
        <f>'Evolutive SFP'!O16</f>
        <v>61997589</v>
      </c>
      <c r="Q32" s="64">
        <f>'Evolutive SFP'!P16</f>
        <v>62197589</v>
      </c>
      <c r="R32" s="64">
        <f>'Evolutive SFP'!Q16</f>
        <v>63197589</v>
      </c>
      <c r="S32" s="64">
        <f>'Evolutive SFP'!R16</f>
        <v>64197589</v>
      </c>
      <c r="T32" s="64">
        <f>'Evolutive SFP'!S16</f>
        <v>65197589</v>
      </c>
      <c r="U32" s="64">
        <f>'Evolutive SFP'!T16</f>
        <v>53066286</v>
      </c>
      <c r="V32" s="64">
        <f>'Evolutive SFP'!U16</f>
        <v>40162289</v>
      </c>
      <c r="W32" s="64">
        <f>'Evolutive SFP'!V16</f>
        <v>37793271</v>
      </c>
      <c r="X32" s="64">
        <f>'Evolutive SFP'!W16</f>
        <v>38478743</v>
      </c>
      <c r="Y32" s="64">
        <f>'Evolutive SFP'!X16</f>
        <v>37720603</v>
      </c>
      <c r="Z32" s="64">
        <f>'Evolutive SFP'!Y16</f>
        <v>38431846</v>
      </c>
      <c r="AA32" s="64">
        <f>'Evolutive SFP'!Z16</f>
        <v>37736923</v>
      </c>
      <c r="AB32" s="64">
        <f>'Evolutive SFP'!AA16</f>
        <v>36725966</v>
      </c>
      <c r="AC32" s="64">
        <f>'Evolutive SFP'!AB16</f>
        <v>37635773</v>
      </c>
      <c r="AD32" s="64">
        <f>'Evolutive SFP'!AC16</f>
        <v>37635771</v>
      </c>
      <c r="AE32" s="64">
        <f>'Evolutive SFP'!AD16</f>
        <v>38884135</v>
      </c>
      <c r="AF32" s="64">
        <f>'Evolutive SFP'!AE16</f>
        <v>39761885</v>
      </c>
      <c r="AG32" s="64">
        <f>'Evolutive SFP'!AF16</f>
        <v>35760457</v>
      </c>
      <c r="AH32" s="64">
        <f>'Evolutive SFP'!AG16</f>
        <v>37294472</v>
      </c>
      <c r="AI32" s="64">
        <f>'Evolutive SFP'!AH16</f>
        <v>37461770</v>
      </c>
      <c r="AJ32" s="64">
        <f>'Evolutive SFP'!AI16</f>
        <v>37285746</v>
      </c>
      <c r="AK32" s="64">
        <f>'Evolutive SFP'!AJ16</f>
        <v>38715396</v>
      </c>
      <c r="AL32" s="64">
        <f>'Evolutive SFP'!AK16</f>
        <v>39093913.539999999</v>
      </c>
      <c r="AM32" s="64">
        <f>'Evolutive SFP'!AL16</f>
        <v>0</v>
      </c>
      <c r="AN32" s="64">
        <f>'Evolutive SFP'!AM16</f>
        <v>0</v>
      </c>
      <c r="AO32" s="64">
        <f>'Evolutive SFP'!AN16</f>
        <v>0</v>
      </c>
      <c r="AP32" s="64">
        <f>'Evolutive SFP'!AO16</f>
        <v>0</v>
      </c>
      <c r="AQ32" s="64">
        <f>'Evolutive SFP'!AP16</f>
        <v>0</v>
      </c>
      <c r="AR32" s="64">
        <f>'Evolutive SFP'!AQ16</f>
        <v>0</v>
      </c>
      <c r="AS32" s="64">
        <f>'Evolutive SFP'!AR16</f>
        <v>0</v>
      </c>
      <c r="AT32" s="64">
        <f>'Evolutive SFP'!AS16</f>
        <v>0</v>
      </c>
      <c r="AU32" s="64">
        <f>'Evolutive SFP'!AT16</f>
        <v>0</v>
      </c>
      <c r="AV32" s="64">
        <f>'Evolutive SFP'!AU16</f>
        <v>0</v>
      </c>
      <c r="AW32" s="64">
        <f>'Evolutive SFP'!AV16</f>
        <v>0</v>
      </c>
      <c r="AX32" s="64">
        <f>'Evolutive SFP'!AW16</f>
        <v>0</v>
      </c>
    </row>
    <row r="33" spans="1:50">
      <c r="A33" s="36"/>
      <c r="B33" s="36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</row>
    <row r="34" spans="1:50">
      <c r="A34" s="38">
        <v>8</v>
      </c>
      <c r="B34" s="36" t="s">
        <v>106</v>
      </c>
      <c r="C34" s="64">
        <f>'Evolutive SFP'!B21+'Evolutive SFP'!B7</f>
        <v>18274979</v>
      </c>
      <c r="D34" s="64">
        <f>'Evolutive SFP'!C21+'Evolutive SFP'!C7</f>
        <v>115012350</v>
      </c>
      <c r="E34" s="64">
        <f>'Evolutive SFP'!D21+'Evolutive SFP'!D7</f>
        <v>46127623</v>
      </c>
      <c r="F34" s="64">
        <f>'Evolutive SFP'!E21+'Evolutive SFP'!E7</f>
        <v>44232355</v>
      </c>
      <c r="G34" s="64">
        <f>'Evolutive SFP'!F21+'Evolutive SFP'!F7</f>
        <v>127198192</v>
      </c>
      <c r="H34" s="64">
        <f>'Evolutive SFP'!G21+'Evolutive SFP'!G7</f>
        <v>113100434</v>
      </c>
      <c r="I34" s="64">
        <f>'Evolutive SFP'!H21+'Evolutive SFP'!H7</f>
        <v>139246736</v>
      </c>
      <c r="J34" s="64">
        <f>'Evolutive SFP'!I21+'Evolutive SFP'!I7</f>
        <v>96625111</v>
      </c>
      <c r="K34" s="64">
        <f>'Evolutive SFP'!J21+'Evolutive SFP'!J7</f>
        <v>126753408</v>
      </c>
      <c r="L34" s="64">
        <f>'Evolutive SFP'!K21+'Evolutive SFP'!K7</f>
        <v>128435265</v>
      </c>
      <c r="M34" s="64">
        <f>'Evolutive SFP'!L21+'Evolutive SFP'!L7</f>
        <v>135967012</v>
      </c>
      <c r="N34" s="64">
        <f>'Evolutive SFP'!M21+'Evolutive SFP'!M7</f>
        <v>119544663</v>
      </c>
      <c r="O34" s="64">
        <f>'Evolutive SFP'!N21+'Evolutive SFP'!N7</f>
        <v>108337407</v>
      </c>
      <c r="P34" s="64">
        <f>'Evolutive SFP'!O21+'Evolutive SFP'!O7</f>
        <v>92384037</v>
      </c>
      <c r="Q34" s="64">
        <f>'Evolutive SFP'!P21+'Evolutive SFP'!P7</f>
        <v>80384037</v>
      </c>
      <c r="R34" s="64">
        <f>'Evolutive SFP'!Q21+'Evolutive SFP'!Q7</f>
        <v>146345853</v>
      </c>
      <c r="S34" s="64">
        <f>'Evolutive SFP'!R21+'Evolutive SFP'!R7</f>
        <v>111137619</v>
      </c>
      <c r="T34" s="64">
        <f>'Evolutive SFP'!S21+'Evolutive SFP'!S7</f>
        <v>119043854</v>
      </c>
      <c r="U34" s="64">
        <f>'Evolutive SFP'!T21+'Evolutive SFP'!T7</f>
        <v>488809118</v>
      </c>
      <c r="V34" s="64">
        <f>'Evolutive SFP'!U21+'Evolutive SFP'!U7</f>
        <v>465824755</v>
      </c>
      <c r="W34" s="64">
        <f>'Evolutive SFP'!V21+'Evolutive SFP'!V7</f>
        <v>432543333</v>
      </c>
      <c r="X34" s="64">
        <f>'Evolutive SFP'!W21+'Evolutive SFP'!W7</f>
        <v>472672787</v>
      </c>
      <c r="Y34" s="64">
        <f>'Evolutive SFP'!X21+'Evolutive SFP'!X7</f>
        <v>458705488</v>
      </c>
      <c r="Z34" s="64">
        <f>'Evolutive SFP'!Y21+'Evolutive SFP'!Y7</f>
        <v>462778335</v>
      </c>
      <c r="AA34" s="64">
        <f>'Evolutive SFP'!Z21+'Evolutive SFP'!Z7</f>
        <v>465735533</v>
      </c>
      <c r="AB34" s="64">
        <f>'Evolutive SFP'!AA21+'Evolutive SFP'!AA7</f>
        <v>464740042</v>
      </c>
      <c r="AC34" s="64">
        <f>'Evolutive SFP'!AB21+'Evolutive SFP'!AB7</f>
        <v>458431805</v>
      </c>
      <c r="AD34" s="64">
        <f>'Evolutive SFP'!AC21+'Evolutive SFP'!AC7</f>
        <v>453431801</v>
      </c>
      <c r="AE34" s="64">
        <f>'Evolutive SFP'!AD21+'Evolutive SFP'!AD7</f>
        <v>453631364</v>
      </c>
      <c r="AF34" s="64">
        <f>'Evolutive SFP'!AE21+'Evolutive SFP'!AE7</f>
        <v>458946874</v>
      </c>
      <c r="AG34" s="64">
        <f>'Evolutive SFP'!AF21+'Evolutive SFP'!AF7</f>
        <v>449088302</v>
      </c>
      <c r="AH34" s="64">
        <f>'Evolutive SFP'!AG21+'Evolutive SFP'!AG7</f>
        <v>454814042</v>
      </c>
      <c r="AI34" s="64">
        <f>'Evolutive SFP'!AH21+'Evolutive SFP'!AH7</f>
        <v>447063697</v>
      </c>
      <c r="AJ34" s="64">
        <f>'Evolutive SFP'!AI21+'Evolutive SFP'!AI7</f>
        <v>436971603</v>
      </c>
      <c r="AK34" s="64">
        <f>'Evolutive SFP'!AJ21+'Evolutive SFP'!AJ7</f>
        <v>445299712</v>
      </c>
      <c r="AL34" s="64">
        <f>'Evolutive SFP'!AK21+'Evolutive SFP'!AK7</f>
        <v>443731827.54000002</v>
      </c>
      <c r="AM34" s="64">
        <f>'Evolutive SFP'!AL21+'Evolutive SFP'!AL7</f>
        <v>0</v>
      </c>
      <c r="AN34" s="64">
        <f>'Evolutive SFP'!AM21+'Evolutive SFP'!AM7</f>
        <v>0</v>
      </c>
      <c r="AO34" s="64">
        <f>'Evolutive SFP'!AN21+'Evolutive SFP'!AN7</f>
        <v>0</v>
      </c>
      <c r="AP34" s="64">
        <f>'Evolutive SFP'!AO21+'Evolutive SFP'!AO7</f>
        <v>0</v>
      </c>
      <c r="AQ34" s="64">
        <f>'Evolutive SFP'!AP21+'Evolutive SFP'!AP7</f>
        <v>0</v>
      </c>
      <c r="AR34" s="64">
        <f>'Evolutive SFP'!AQ21+'Evolutive SFP'!AQ7</f>
        <v>0</v>
      </c>
      <c r="AS34" s="64">
        <f>'Evolutive SFP'!AR21+'Evolutive SFP'!AR7</f>
        <v>0</v>
      </c>
      <c r="AT34" s="64">
        <f>'Evolutive SFP'!AS21+'Evolutive SFP'!AS7</f>
        <v>0</v>
      </c>
      <c r="AU34" s="64">
        <f>'Evolutive SFP'!AT21+'Evolutive SFP'!AT7</f>
        <v>0</v>
      </c>
      <c r="AV34" s="64">
        <f>'Evolutive SFP'!AU21+'Evolutive SFP'!AU7</f>
        <v>0</v>
      </c>
      <c r="AW34" s="64">
        <f>'Evolutive SFP'!AV21+'Evolutive SFP'!AV7</f>
        <v>0</v>
      </c>
      <c r="AX34" s="64">
        <f>'Evolutive SFP'!AW21+'Evolutive SFP'!AW7</f>
        <v>0</v>
      </c>
    </row>
    <row r="35" spans="1:50">
      <c r="A35" s="38">
        <v>8.1</v>
      </c>
      <c r="B35" s="36" t="s">
        <v>61</v>
      </c>
      <c r="C35" s="64">
        <f>'Evolutive SFP'!B23</f>
        <v>4123114</v>
      </c>
      <c r="D35" s="64">
        <f>'Evolutive SFP'!C23</f>
        <v>22098514</v>
      </c>
      <c r="E35" s="64">
        <f>'Evolutive SFP'!D23</f>
        <v>18083810</v>
      </c>
      <c r="F35" s="64">
        <f>'Evolutive SFP'!E23</f>
        <v>17937047</v>
      </c>
      <c r="G35" s="64">
        <f>'Evolutive SFP'!F23</f>
        <v>18054199</v>
      </c>
      <c r="H35" s="64">
        <f>'Evolutive SFP'!G23</f>
        <v>18826000</v>
      </c>
      <c r="I35" s="64">
        <f>'Evolutive SFP'!H23</f>
        <v>18824438</v>
      </c>
      <c r="J35" s="64">
        <f>'Evolutive SFP'!I23</f>
        <v>22477624</v>
      </c>
      <c r="K35" s="64">
        <f>'Evolutive SFP'!J23</f>
        <v>18901572</v>
      </c>
      <c r="L35" s="64">
        <f>'Evolutive SFP'!K23</f>
        <v>18696523</v>
      </c>
      <c r="M35" s="64">
        <f>'Evolutive SFP'!L23</f>
        <v>18940393</v>
      </c>
      <c r="N35" s="64">
        <f>'Evolutive SFP'!M23</f>
        <v>18733901</v>
      </c>
      <c r="O35" s="64">
        <f>'Evolutive SFP'!N23</f>
        <v>18711770</v>
      </c>
      <c r="P35" s="64">
        <f>'Evolutive SFP'!O23</f>
        <v>18484754</v>
      </c>
      <c r="Q35" s="64">
        <f>'Evolutive SFP'!P23</f>
        <v>22335754</v>
      </c>
      <c r="R35" s="64">
        <f>'Evolutive SFP'!Q23</f>
        <v>17256614</v>
      </c>
      <c r="S35" s="64">
        <f>'Evolutive SFP'!R23</f>
        <v>18600463</v>
      </c>
      <c r="T35" s="64">
        <f>'Evolutive SFP'!S23</f>
        <v>22994217</v>
      </c>
      <c r="U35" s="64">
        <f>'Evolutive SFP'!T23</f>
        <v>22983810</v>
      </c>
      <c r="V35" s="64">
        <f>'Evolutive SFP'!U23</f>
        <v>22784839</v>
      </c>
      <c r="W35" s="64">
        <f>'Evolutive SFP'!V23</f>
        <v>22585868</v>
      </c>
      <c r="X35" s="64">
        <f>'Evolutive SFP'!W23</f>
        <v>22386897</v>
      </c>
      <c r="Y35" s="64">
        <f>'Evolutive SFP'!X23</f>
        <v>22187926</v>
      </c>
      <c r="Z35" s="64">
        <f>'Evolutive SFP'!Y23</f>
        <v>22013955</v>
      </c>
      <c r="AA35" s="64">
        <f>'Evolutive SFP'!Z23</f>
        <v>21814984</v>
      </c>
      <c r="AB35" s="64">
        <f>'Evolutive SFP'!AA23</f>
        <v>21905973</v>
      </c>
      <c r="AC35" s="64">
        <f>'Evolutive SFP'!AB23</f>
        <v>21048793</v>
      </c>
      <c r="AD35" s="64">
        <f>'Evolutive SFP'!AC23</f>
        <v>25899792</v>
      </c>
      <c r="AE35" s="64">
        <f>'Evolutive SFP'!AD23</f>
        <v>20853838</v>
      </c>
      <c r="AF35" s="64">
        <f>'Evolutive SFP'!AE23</f>
        <v>20658883</v>
      </c>
      <c r="AG35" s="64">
        <f>'Evolutive SFP'!AF23</f>
        <v>21216919</v>
      </c>
      <c r="AH35" s="64">
        <f>'Evolutive SFP'!AG23</f>
        <v>21038961</v>
      </c>
      <c r="AI35" s="64">
        <f>'Evolutive SFP'!AH23</f>
        <v>21302932</v>
      </c>
      <c r="AJ35" s="64">
        <f>'Evolutive SFP'!AI23</f>
        <v>21338119</v>
      </c>
      <c r="AK35" s="64">
        <f>'Evolutive SFP'!AJ23</f>
        <v>21124927</v>
      </c>
      <c r="AL35" s="64">
        <f>'Evolutive SFP'!AK23</f>
        <v>21124927</v>
      </c>
      <c r="AM35" s="64">
        <f>'Evolutive SFP'!AL23</f>
        <v>0</v>
      </c>
      <c r="AN35" s="64">
        <f>'Evolutive SFP'!AM23</f>
        <v>0</v>
      </c>
      <c r="AO35" s="64">
        <f>'Evolutive SFP'!AN23</f>
        <v>0</v>
      </c>
      <c r="AP35" s="64">
        <f>'Evolutive SFP'!AO23</f>
        <v>0</v>
      </c>
      <c r="AQ35" s="64">
        <f>'Evolutive SFP'!AP23</f>
        <v>0</v>
      </c>
      <c r="AR35" s="64">
        <f>'Evolutive SFP'!AQ23</f>
        <v>0</v>
      </c>
      <c r="AS35" s="64">
        <f>'Evolutive SFP'!AR23</f>
        <v>0</v>
      </c>
      <c r="AT35" s="64">
        <f>'Evolutive SFP'!AS23</f>
        <v>0</v>
      </c>
      <c r="AU35" s="64">
        <f>'Evolutive SFP'!AT23</f>
        <v>0</v>
      </c>
      <c r="AV35" s="64">
        <f>'Evolutive SFP'!AU23</f>
        <v>0</v>
      </c>
      <c r="AW35" s="64">
        <f>'Evolutive SFP'!AV23</f>
        <v>0</v>
      </c>
      <c r="AX35" s="64">
        <f>'Evolutive SFP'!AW23</f>
        <v>0</v>
      </c>
    </row>
    <row r="36" spans="1:50">
      <c r="A36" s="34"/>
      <c r="B36" s="36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</row>
    <row r="37" spans="1:50">
      <c r="A37" s="38">
        <v>9</v>
      </c>
      <c r="B37" s="36" t="s">
        <v>207</v>
      </c>
      <c r="C37" s="64">
        <f>C38+C39+C40+C41</f>
        <v>14599.247546899</v>
      </c>
      <c r="D37" s="64">
        <f>D38+D39+D40+D41</f>
        <v>118584595</v>
      </c>
      <c r="E37" s="64">
        <f>E38+E39+E40+E41</f>
        <v>10079332</v>
      </c>
      <c r="F37" s="64">
        <f>F38+F39+F40+F41</f>
        <v>20545692</v>
      </c>
      <c r="G37" s="64">
        <f t="shared" ref="G37:O37" si="18">G38+G39+G40+G41</f>
        <v>33311767</v>
      </c>
      <c r="H37" s="64">
        <f>H38+H39+H40+H41</f>
        <v>47098671</v>
      </c>
      <c r="I37" s="64">
        <f>I38+I39+I40+I41</f>
        <v>59410884</v>
      </c>
      <c r="J37" s="64">
        <f t="shared" si="18"/>
        <v>73036293</v>
      </c>
      <c r="K37" s="64">
        <f t="shared" si="18"/>
        <v>89537827</v>
      </c>
      <c r="L37" s="64">
        <f t="shared" si="18"/>
        <v>103600368</v>
      </c>
      <c r="M37" s="64">
        <f t="shared" si="18"/>
        <v>117900728</v>
      </c>
      <c r="N37" s="64">
        <f t="shared" si="18"/>
        <v>132257294</v>
      </c>
      <c r="O37" s="64">
        <f t="shared" si="18"/>
        <v>145248953</v>
      </c>
      <c r="P37" s="64">
        <f t="shared" ref="P37" si="19">P38+P39+P40+P41</f>
        <v>160514795</v>
      </c>
      <c r="Q37" s="64">
        <f t="shared" ref="Q37" si="20">Q38+Q39+Q40+Q41</f>
        <v>160514795</v>
      </c>
      <c r="R37" s="64">
        <f t="shared" ref="R37:AX37" si="21">R38+R39+R40+R41</f>
        <v>12873612</v>
      </c>
      <c r="S37" s="64">
        <f t="shared" si="21"/>
        <v>26684610</v>
      </c>
      <c r="T37" s="64">
        <f t="shared" si="21"/>
        <v>45517311</v>
      </c>
      <c r="U37" s="64">
        <f t="shared" si="21"/>
        <v>64723462</v>
      </c>
      <c r="V37" s="64">
        <f t="shared" si="21"/>
        <v>79810986</v>
      </c>
      <c r="W37" s="64">
        <f t="shared" si="21"/>
        <v>96174390</v>
      </c>
      <c r="X37" s="64">
        <f t="shared" si="21"/>
        <v>110362282</v>
      </c>
      <c r="Y37" s="64">
        <f t="shared" si="21"/>
        <v>127896635</v>
      </c>
      <c r="Z37" s="64">
        <f t="shared" si="21"/>
        <v>143171315</v>
      </c>
      <c r="AA37" s="64">
        <f t="shared" si="21"/>
        <v>159431798</v>
      </c>
      <c r="AB37" s="64">
        <f t="shared" si="21"/>
        <v>174446984</v>
      </c>
      <c r="AC37" s="64">
        <f t="shared" si="21"/>
        <v>190330635</v>
      </c>
      <c r="AD37" s="64">
        <f t="shared" si="21"/>
        <v>190330636</v>
      </c>
      <c r="AE37" s="64">
        <f t="shared" si="21"/>
        <v>16320328</v>
      </c>
      <c r="AF37" s="64">
        <f t="shared" si="21"/>
        <v>31114058</v>
      </c>
      <c r="AG37" s="64">
        <f t="shared" si="21"/>
        <v>51732967</v>
      </c>
      <c r="AH37" s="64">
        <f t="shared" si="21"/>
        <v>65246380</v>
      </c>
      <c r="AI37" s="64">
        <f t="shared" si="21"/>
        <v>81898656</v>
      </c>
      <c r="AJ37" s="64">
        <f t="shared" si="21"/>
        <v>98177171</v>
      </c>
      <c r="AK37" s="64">
        <f t="shared" si="21"/>
        <v>118023006</v>
      </c>
      <c r="AL37" s="64">
        <f t="shared" si="21"/>
        <v>135747384</v>
      </c>
      <c r="AM37" s="64">
        <f t="shared" si="21"/>
        <v>0</v>
      </c>
      <c r="AN37" s="64">
        <f t="shared" si="21"/>
        <v>0</v>
      </c>
      <c r="AO37" s="64">
        <f t="shared" si="21"/>
        <v>0</v>
      </c>
      <c r="AP37" s="64">
        <f t="shared" si="21"/>
        <v>0</v>
      </c>
      <c r="AQ37" s="64">
        <f t="shared" si="21"/>
        <v>0</v>
      </c>
      <c r="AR37" s="64">
        <f t="shared" si="21"/>
        <v>0</v>
      </c>
      <c r="AS37" s="64">
        <f t="shared" si="21"/>
        <v>0</v>
      </c>
      <c r="AT37" s="64">
        <f t="shared" si="21"/>
        <v>0</v>
      </c>
      <c r="AU37" s="64">
        <f t="shared" si="21"/>
        <v>0</v>
      </c>
      <c r="AV37" s="64">
        <f t="shared" si="21"/>
        <v>0</v>
      </c>
      <c r="AW37" s="64">
        <f t="shared" si="21"/>
        <v>0</v>
      </c>
      <c r="AX37" s="64">
        <f t="shared" si="21"/>
        <v>0</v>
      </c>
    </row>
    <row r="38" spans="1:50">
      <c r="A38" s="36">
        <v>9.1</v>
      </c>
      <c r="B38" s="36" t="s">
        <v>250</v>
      </c>
      <c r="C38" s="64">
        <f>'Evolutitve SCI'!B5</f>
        <v>11945.43491</v>
      </c>
      <c r="D38" s="64">
        <f>'Evolutitve SCI'!C5</f>
        <v>88458375</v>
      </c>
      <c r="E38" s="64">
        <f>'Evolutitve SCI'!D5</f>
        <v>8099005</v>
      </c>
      <c r="F38" s="64">
        <f>'Evolutitve SCI'!E5</f>
        <v>15832497</v>
      </c>
      <c r="G38" s="64">
        <f>'Evolutitve SCI'!F5</f>
        <v>24875910</v>
      </c>
      <c r="H38" s="64">
        <f>'Evolutitve SCI'!G5</f>
        <v>34583604</v>
      </c>
      <c r="I38" s="64">
        <f>'Evolutitve SCI'!H5</f>
        <v>44665750</v>
      </c>
      <c r="J38" s="64">
        <f>'Evolutitve SCI'!I5</f>
        <v>55806894</v>
      </c>
      <c r="K38" s="64">
        <f>'Evolutitve SCI'!J5</f>
        <v>69071138</v>
      </c>
      <c r="L38" s="64">
        <f>'Evolutitve SCI'!K5</f>
        <v>80411931</v>
      </c>
      <c r="M38" s="64">
        <f>'Evolutitve SCI'!L5</f>
        <v>92232153</v>
      </c>
      <c r="N38" s="64">
        <f>'Evolutitve SCI'!M5</f>
        <v>103945112</v>
      </c>
      <c r="O38" s="64">
        <f>'Evolutitve SCI'!N5</f>
        <v>114740008</v>
      </c>
      <c r="P38" s="64">
        <f>'Evolutitve SCI'!O5</f>
        <v>126726553</v>
      </c>
      <c r="Q38" s="64">
        <f>'Evolutitve SCI'!P5</f>
        <v>126726553</v>
      </c>
      <c r="R38" s="64">
        <f>'Evolutitve SCI'!Q5</f>
        <v>10562905</v>
      </c>
      <c r="S38" s="64">
        <f>'Evolutitve SCI'!R5</f>
        <v>22627633</v>
      </c>
      <c r="T38" s="64">
        <f>'Evolutitve SCI'!S5</f>
        <v>36086795</v>
      </c>
      <c r="U38" s="64">
        <f>'Evolutitve SCI'!T5</f>
        <v>51827462</v>
      </c>
      <c r="V38" s="64">
        <f>'Evolutitve SCI'!U5</f>
        <v>64176506</v>
      </c>
      <c r="W38" s="64">
        <f>'Evolutitve SCI'!V5</f>
        <v>76832128</v>
      </c>
      <c r="X38" s="64">
        <f>'Evolutitve SCI'!W5</f>
        <v>88985276</v>
      </c>
      <c r="Y38" s="64">
        <f>'Evolutitve SCI'!X5</f>
        <v>103062264</v>
      </c>
      <c r="Z38" s="64">
        <f>'Evolutitve SCI'!Y5</f>
        <v>115658570</v>
      </c>
      <c r="AA38" s="64">
        <f>'Evolutitve SCI'!Z5</f>
        <v>129443405</v>
      </c>
      <c r="AB38" s="64">
        <f>'Evolutitve SCI'!AA5</f>
        <v>142266251</v>
      </c>
      <c r="AC38" s="64">
        <f>'Evolutitve SCI'!AB5</f>
        <v>155095951</v>
      </c>
      <c r="AD38" s="64">
        <f>'Evolutitve SCI'!AC5</f>
        <v>155095951</v>
      </c>
      <c r="AE38" s="64">
        <f>'Evolutitve SCI'!AD5</f>
        <v>13625273</v>
      </c>
      <c r="AF38" s="64">
        <f>'Evolutitve SCI'!AE5</f>
        <v>25931024</v>
      </c>
      <c r="AG38" s="64">
        <f>'Evolutitve SCI'!AF5</f>
        <v>39351953</v>
      </c>
      <c r="AH38" s="64">
        <f>'Evolutitve SCI'!AG5</f>
        <v>52289788</v>
      </c>
      <c r="AI38" s="64">
        <f>'Evolutitve SCI'!AH5</f>
        <v>66108386</v>
      </c>
      <c r="AJ38" s="64">
        <f>'Evolutitve SCI'!AI5</f>
        <v>78795356</v>
      </c>
      <c r="AK38" s="64">
        <f>'Evolutitve SCI'!AJ5</f>
        <v>91844866</v>
      </c>
      <c r="AL38" s="64">
        <f>'Evolutitve SCI'!AK5</f>
        <v>105795895</v>
      </c>
      <c r="AM38" s="64">
        <f>'Evolutitve SCI'!AL5</f>
        <v>0</v>
      </c>
      <c r="AN38" s="64">
        <f>'Evolutitve SCI'!AM5</f>
        <v>0</v>
      </c>
      <c r="AO38" s="64">
        <f>'Evolutitve SCI'!AN5</f>
        <v>0</v>
      </c>
      <c r="AP38" s="64">
        <f>'Evolutitve SCI'!AO5</f>
        <v>0</v>
      </c>
      <c r="AQ38" s="64">
        <f>'Evolutitve SCI'!AP5</f>
        <v>0</v>
      </c>
      <c r="AR38" s="64">
        <f>'Evolutitve SCI'!AQ5</f>
        <v>0</v>
      </c>
      <c r="AS38" s="64">
        <f>'Evolutitve SCI'!AR5</f>
        <v>0</v>
      </c>
      <c r="AT38" s="64">
        <f>'Evolutitve SCI'!AS5</f>
        <v>0</v>
      </c>
      <c r="AU38" s="64">
        <f>'Evolutitve SCI'!AT5</f>
        <v>0</v>
      </c>
      <c r="AV38" s="64">
        <f>'Evolutitve SCI'!AU5</f>
        <v>0</v>
      </c>
      <c r="AW38" s="64">
        <f>'Evolutitve SCI'!AV5</f>
        <v>0</v>
      </c>
      <c r="AX38" s="64">
        <f>'Evolutitve SCI'!AW5</f>
        <v>0</v>
      </c>
    </row>
    <row r="39" spans="1:50">
      <c r="A39" s="36">
        <v>9.1999999999999993</v>
      </c>
      <c r="B39" s="36" t="s">
        <v>251</v>
      </c>
      <c r="C39" s="64">
        <f>'Evolutitve SCI'!B7</f>
        <v>1743.4416368990005</v>
      </c>
      <c r="D39" s="64">
        <f>'Evolutitve SCI'!C7</f>
        <v>30126220</v>
      </c>
      <c r="E39" s="64">
        <f>'Evolutitve SCI'!D7</f>
        <v>1980327</v>
      </c>
      <c r="F39" s="64">
        <f>'Evolutitve SCI'!E7</f>
        <v>4713195</v>
      </c>
      <c r="G39" s="64">
        <f>'Evolutitve SCI'!F7</f>
        <v>8435857</v>
      </c>
      <c r="H39" s="64">
        <f>'Evolutitve SCI'!G7</f>
        <v>12515067</v>
      </c>
      <c r="I39" s="64">
        <f>'Evolutitve SCI'!H7</f>
        <v>14745134</v>
      </c>
      <c r="J39" s="64">
        <f>'Evolutitve SCI'!I7</f>
        <v>17229399</v>
      </c>
      <c r="K39" s="64">
        <f>'Evolutitve SCI'!J7</f>
        <v>20466689</v>
      </c>
      <c r="L39" s="64">
        <f>'Evolutitve SCI'!K7</f>
        <v>23188437</v>
      </c>
      <c r="M39" s="64">
        <f>'Evolutitve SCI'!L7</f>
        <v>25668575</v>
      </c>
      <c r="N39" s="64">
        <f>'Evolutitve SCI'!M7</f>
        <v>28312182</v>
      </c>
      <c r="O39" s="64">
        <f>'Evolutitve SCI'!N7</f>
        <v>30508945</v>
      </c>
      <c r="P39" s="64">
        <f>'Evolutitve SCI'!O7</f>
        <v>33788242</v>
      </c>
      <c r="Q39" s="64">
        <f>'Evolutitve SCI'!P7</f>
        <v>33788242</v>
      </c>
      <c r="R39" s="64">
        <f>'Evolutitve SCI'!Q7</f>
        <v>2310707</v>
      </c>
      <c r="S39" s="64">
        <f>'Evolutitve SCI'!R7</f>
        <v>4056977</v>
      </c>
      <c r="T39" s="64">
        <f>'Evolutitve SCI'!S7</f>
        <v>9430516</v>
      </c>
      <c r="U39" s="64">
        <f>'Evolutitve SCI'!T7</f>
        <v>12896000</v>
      </c>
      <c r="V39" s="64">
        <f>'Evolutitve SCI'!U7</f>
        <v>15634480</v>
      </c>
      <c r="W39" s="64">
        <f>'Evolutitve SCI'!V7</f>
        <v>19342262</v>
      </c>
      <c r="X39" s="64">
        <f>'Evolutitve SCI'!W7</f>
        <v>21377006</v>
      </c>
      <c r="Y39" s="64">
        <f>'Evolutitve SCI'!X7</f>
        <v>24834371</v>
      </c>
      <c r="Z39" s="64">
        <f>'Evolutitve SCI'!Y7</f>
        <v>27512745</v>
      </c>
      <c r="AA39" s="64">
        <f>'Evolutitve SCI'!Z7</f>
        <v>29988393</v>
      </c>
      <c r="AB39" s="64">
        <f>'Evolutitve SCI'!AA7</f>
        <v>32180733</v>
      </c>
      <c r="AC39" s="64">
        <f>'Evolutitve SCI'!AB7</f>
        <v>35234684</v>
      </c>
      <c r="AD39" s="64">
        <f>'Evolutitve SCI'!AC7</f>
        <v>35234685</v>
      </c>
      <c r="AE39" s="64">
        <f>'Evolutitve SCI'!AD7</f>
        <v>2695055</v>
      </c>
      <c r="AF39" s="64">
        <f>'Evolutitve SCI'!AE7</f>
        <v>5183034</v>
      </c>
      <c r="AG39" s="64">
        <f>'Evolutitve SCI'!AF7</f>
        <v>12381014</v>
      </c>
      <c r="AH39" s="64">
        <f>'Evolutitve SCI'!AG7</f>
        <v>12956592</v>
      </c>
      <c r="AI39" s="64">
        <f>'Evolutitve SCI'!AH7</f>
        <v>15790270</v>
      </c>
      <c r="AJ39" s="64">
        <f>'Evolutitve SCI'!AI7</f>
        <v>19381815</v>
      </c>
      <c r="AK39" s="64">
        <f>'Evolutitve SCI'!AJ7</f>
        <v>26178140</v>
      </c>
      <c r="AL39" s="64">
        <f>'Evolutitve SCI'!AK7</f>
        <v>29951489</v>
      </c>
      <c r="AM39" s="64">
        <f>'Evolutitve SCI'!AL7</f>
        <v>0</v>
      </c>
      <c r="AN39" s="64">
        <f>'Evolutitve SCI'!AM7</f>
        <v>0</v>
      </c>
      <c r="AO39" s="64">
        <f>'Evolutitve SCI'!AN7</f>
        <v>0</v>
      </c>
      <c r="AP39" s="64">
        <f>'Evolutitve SCI'!AO7</f>
        <v>0</v>
      </c>
      <c r="AQ39" s="64">
        <f>'Evolutitve SCI'!AP7</f>
        <v>0</v>
      </c>
      <c r="AR39" s="64">
        <f>'Evolutitve SCI'!AQ7</f>
        <v>0</v>
      </c>
      <c r="AS39" s="64">
        <f>'Evolutitve SCI'!AR7</f>
        <v>0</v>
      </c>
      <c r="AT39" s="64">
        <f>'Evolutitve SCI'!AS7</f>
        <v>0</v>
      </c>
      <c r="AU39" s="64">
        <f>'Evolutitve SCI'!AT7</f>
        <v>0</v>
      </c>
      <c r="AV39" s="64">
        <f>'Evolutitve SCI'!AU7</f>
        <v>0</v>
      </c>
      <c r="AW39" s="64">
        <f>'Evolutitve SCI'!AV7</f>
        <v>0</v>
      </c>
      <c r="AX39" s="64">
        <f>'Evolutitve SCI'!AW7</f>
        <v>0</v>
      </c>
    </row>
    <row r="40" spans="1:50">
      <c r="A40" s="36">
        <v>9.3000000000000007</v>
      </c>
      <c r="B40" s="36" t="s">
        <v>252</v>
      </c>
      <c r="C40" s="64">
        <f>'Evolutitve SCI'!B6</f>
        <v>910.37099999999998</v>
      </c>
      <c r="D40" s="64">
        <f>'Evolutitve SCI'!C6</f>
        <v>0</v>
      </c>
      <c r="E40" s="64">
        <f>'Evolutitve SCI'!D6</f>
        <v>0</v>
      </c>
      <c r="F40" s="64">
        <f>'Evolutitve SCI'!E6</f>
        <v>0</v>
      </c>
      <c r="G40" s="64">
        <f>'Evolutitve SCI'!F6</f>
        <v>0</v>
      </c>
      <c r="H40" s="64">
        <f>'Evolutitve SCI'!G6</f>
        <v>0</v>
      </c>
      <c r="I40" s="64">
        <f>'Evolutitve SCI'!H6</f>
        <v>0</v>
      </c>
      <c r="J40" s="64">
        <f>'Evolutitve SCI'!I6</f>
        <v>0</v>
      </c>
      <c r="K40" s="64">
        <f>'Evolutitve SCI'!J6</f>
        <v>0</v>
      </c>
      <c r="L40" s="64">
        <f>'Evolutitve SCI'!K6</f>
        <v>0</v>
      </c>
      <c r="M40" s="64">
        <f>'Evolutitve SCI'!L6</f>
        <v>0</v>
      </c>
      <c r="N40" s="64">
        <f>'Evolutitve SCI'!M6</f>
        <v>0</v>
      </c>
      <c r="O40" s="64">
        <f>'Evolutitve SCI'!N6</f>
        <v>0</v>
      </c>
      <c r="P40" s="64">
        <f>'Evolutitve SCI'!O6</f>
        <v>0</v>
      </c>
      <c r="Q40" s="64">
        <f>'Evolutitve SCI'!P6</f>
        <v>0</v>
      </c>
      <c r="R40" s="64">
        <f>'Evolutitve SCI'!Q6</f>
        <v>0</v>
      </c>
      <c r="S40" s="64">
        <f>'Evolutitve SCI'!R6</f>
        <v>0</v>
      </c>
      <c r="T40" s="64">
        <f>'Evolutitve SCI'!S6</f>
        <v>0</v>
      </c>
      <c r="U40" s="64">
        <f>'Evolutitve SCI'!T6</f>
        <v>0</v>
      </c>
      <c r="V40" s="64">
        <f>'Evolutitve SCI'!U6</f>
        <v>0</v>
      </c>
      <c r="W40" s="64">
        <f>'Evolutitve SCI'!V6</f>
        <v>0</v>
      </c>
      <c r="X40" s="64">
        <f>'Evolutitve SCI'!W6</f>
        <v>0</v>
      </c>
      <c r="Y40" s="64">
        <f>'Evolutitve SCI'!X6</f>
        <v>0</v>
      </c>
      <c r="Z40" s="64">
        <f>'Evolutitve SCI'!Y6</f>
        <v>0</v>
      </c>
      <c r="AA40" s="64">
        <f>'Evolutitve SCI'!Z6</f>
        <v>0</v>
      </c>
      <c r="AB40" s="64">
        <f>'Evolutitve SCI'!AA6</f>
        <v>0</v>
      </c>
      <c r="AC40" s="64">
        <f>'Evolutitve SCI'!AB6</f>
        <v>0</v>
      </c>
      <c r="AD40" s="64">
        <f>'Evolutitve SCI'!AC6</f>
        <v>0</v>
      </c>
      <c r="AE40" s="64">
        <f>'Evolutitve SCI'!AD6</f>
        <v>0</v>
      </c>
      <c r="AF40" s="64">
        <f>'Evolutitve SCI'!AE6</f>
        <v>0</v>
      </c>
      <c r="AG40" s="64">
        <f>'Evolutitve SCI'!AF6</f>
        <v>0</v>
      </c>
      <c r="AH40" s="64">
        <f>'Evolutitve SCI'!AG6</f>
        <v>0</v>
      </c>
      <c r="AI40" s="64">
        <f>'Evolutitve SCI'!AH6</f>
        <v>0</v>
      </c>
      <c r="AJ40" s="64">
        <f>'Evolutitve SCI'!AI6</f>
        <v>0</v>
      </c>
      <c r="AK40" s="64">
        <f>'Evolutitve SCI'!AJ6</f>
        <v>0</v>
      </c>
      <c r="AL40" s="64">
        <f>'Evolutitve SCI'!AK6</f>
        <v>0</v>
      </c>
      <c r="AM40" s="64">
        <f>'Evolutitve SCI'!AL6</f>
        <v>0</v>
      </c>
      <c r="AN40" s="64">
        <f>'Evolutitve SCI'!AM6</f>
        <v>0</v>
      </c>
      <c r="AO40" s="64">
        <f>'Evolutitve SCI'!AN6</f>
        <v>0</v>
      </c>
      <c r="AP40" s="64">
        <f>'Evolutitve SCI'!AO6</f>
        <v>0</v>
      </c>
      <c r="AQ40" s="64">
        <f>'Evolutitve SCI'!AP6</f>
        <v>0</v>
      </c>
      <c r="AR40" s="64">
        <f>'Evolutitve SCI'!AQ6</f>
        <v>0</v>
      </c>
      <c r="AS40" s="64">
        <f>'Evolutitve SCI'!AR6</f>
        <v>0</v>
      </c>
      <c r="AT40" s="64">
        <f>'Evolutitve SCI'!AS6</f>
        <v>0</v>
      </c>
      <c r="AU40" s="64">
        <f>'Evolutitve SCI'!AT6</f>
        <v>0</v>
      </c>
      <c r="AV40" s="64">
        <f>'Evolutitve SCI'!AU6</f>
        <v>0</v>
      </c>
      <c r="AW40" s="64">
        <f>'Evolutitve SCI'!AV6</f>
        <v>0</v>
      </c>
      <c r="AX40" s="64">
        <f>'Evolutitve SCI'!AW6</f>
        <v>0</v>
      </c>
    </row>
    <row r="41" spans="1:50">
      <c r="A41" s="36">
        <v>9.4</v>
      </c>
      <c r="B41" s="36" t="s">
        <v>253</v>
      </c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</row>
    <row r="42" spans="1:50">
      <c r="A42" s="36"/>
      <c r="B42" s="36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</row>
    <row r="43" spans="1:50">
      <c r="A43" s="38">
        <v>10</v>
      </c>
      <c r="B43" s="44" t="s">
        <v>254</v>
      </c>
      <c r="C43" s="65">
        <f>SUM(C44:C47)</f>
        <v>11568.464599999999</v>
      </c>
      <c r="D43" s="65" t="e">
        <f>SUM(D44:D47)</f>
        <v>#VALUE!</v>
      </c>
      <c r="E43" s="65">
        <f>SUM(E44:E47)</f>
        <v>4664326</v>
      </c>
      <c r="F43" s="65">
        <f>SUM(F44:F47)</f>
        <v>12389017</v>
      </c>
      <c r="G43" s="65">
        <f t="shared" ref="G43:N43" si="22">SUM(G44:G47)</f>
        <v>19134555</v>
      </c>
      <c r="H43" s="65">
        <f>SUM(H44:H47)</f>
        <v>25228157</v>
      </c>
      <c r="I43" s="65">
        <f>SUM(I44:I47)</f>
        <v>33988533</v>
      </c>
      <c r="J43" s="65">
        <f t="shared" si="22"/>
        <v>47092828</v>
      </c>
      <c r="K43" s="65">
        <f t="shared" si="22"/>
        <v>62766223</v>
      </c>
      <c r="L43" s="65">
        <f t="shared" si="22"/>
        <v>74195480</v>
      </c>
      <c r="M43" s="65">
        <f t="shared" si="22"/>
        <v>85291980</v>
      </c>
      <c r="N43" s="65">
        <f t="shared" si="22"/>
        <v>95965648</v>
      </c>
      <c r="O43" s="65">
        <f t="shared" ref="O43:P43" si="23">SUM(O44:O47)</f>
        <v>107379628</v>
      </c>
      <c r="P43" s="65">
        <f t="shared" si="23"/>
        <v>117626294</v>
      </c>
      <c r="Q43" s="65">
        <f t="shared" ref="Q43" si="24">SUM(Q44:Q47)</f>
        <v>130866825</v>
      </c>
      <c r="R43" s="65">
        <f t="shared" ref="R43:AX43" si="25">SUM(R44:R47)</f>
        <v>7760952</v>
      </c>
      <c r="S43" s="65">
        <f t="shared" si="25"/>
        <v>19434951</v>
      </c>
      <c r="T43" s="65">
        <f t="shared" si="25"/>
        <v>29381399</v>
      </c>
      <c r="U43" s="65">
        <f t="shared" si="25"/>
        <v>38154540</v>
      </c>
      <c r="V43" s="65">
        <f t="shared" si="25"/>
        <v>45562276</v>
      </c>
      <c r="W43" s="65">
        <f t="shared" si="25"/>
        <v>60971509</v>
      </c>
      <c r="X43" s="65">
        <f t="shared" si="25"/>
        <v>79899796</v>
      </c>
      <c r="Y43" s="65">
        <f t="shared" si="25"/>
        <v>90459799</v>
      </c>
      <c r="Z43" s="65">
        <f t="shared" si="25"/>
        <v>103149794</v>
      </c>
      <c r="AA43" s="65">
        <f t="shared" si="25"/>
        <v>114111692</v>
      </c>
      <c r="AB43" s="65">
        <f t="shared" si="25"/>
        <v>125337469</v>
      </c>
      <c r="AC43" s="65">
        <f t="shared" si="25"/>
        <v>133632508</v>
      </c>
      <c r="AD43" s="65">
        <f t="shared" si="25"/>
        <v>151281026</v>
      </c>
      <c r="AE43" s="65">
        <f t="shared" si="25"/>
        <v>12220614</v>
      </c>
      <c r="AF43" s="65">
        <f t="shared" si="25"/>
        <v>25637036</v>
      </c>
      <c r="AG43" s="65">
        <f t="shared" si="25"/>
        <v>44708661</v>
      </c>
      <c r="AH43" s="65">
        <f t="shared" si="25"/>
        <v>59432719</v>
      </c>
      <c r="AI43" s="65">
        <f t="shared" si="25"/>
        <v>72370308</v>
      </c>
      <c r="AJ43" s="65">
        <f t="shared" si="25"/>
        <v>86619713</v>
      </c>
      <c r="AK43" s="65">
        <f t="shared" si="25"/>
        <v>98734503</v>
      </c>
      <c r="AL43" s="65">
        <f t="shared" si="25"/>
        <v>110290720</v>
      </c>
      <c r="AM43" s="65">
        <f t="shared" si="25"/>
        <v>0</v>
      </c>
      <c r="AN43" s="65">
        <f t="shared" si="25"/>
        <v>0</v>
      </c>
      <c r="AO43" s="65">
        <f t="shared" si="25"/>
        <v>0</v>
      </c>
      <c r="AP43" s="65">
        <f t="shared" si="25"/>
        <v>0</v>
      </c>
      <c r="AQ43" s="65">
        <f t="shared" si="25"/>
        <v>0</v>
      </c>
      <c r="AR43" s="65">
        <f t="shared" si="25"/>
        <v>0</v>
      </c>
      <c r="AS43" s="65">
        <f t="shared" si="25"/>
        <v>0</v>
      </c>
      <c r="AT43" s="65">
        <f t="shared" si="25"/>
        <v>0</v>
      </c>
      <c r="AU43" s="65">
        <f t="shared" si="25"/>
        <v>0</v>
      </c>
      <c r="AV43" s="65">
        <f t="shared" si="25"/>
        <v>0</v>
      </c>
      <c r="AW43" s="65">
        <f t="shared" si="25"/>
        <v>0</v>
      </c>
      <c r="AX43" s="65">
        <f t="shared" si="25"/>
        <v>0</v>
      </c>
    </row>
    <row r="44" spans="1:50">
      <c r="A44" s="36">
        <v>10.1</v>
      </c>
      <c r="B44" s="36" t="s">
        <v>255</v>
      </c>
      <c r="C44" s="64">
        <f>'Evolutitve SCI'!B13+'Evolutitve SCI'!B16</f>
        <v>185.36</v>
      </c>
      <c r="D44" s="64" t="e">
        <f>'Evolutitve SCI'!C13+'Evolutitve SCI'!C16</f>
        <v>#VALUE!</v>
      </c>
      <c r="E44" s="64">
        <f>'Evolutitve SCI'!D13+'Evolutitve SCI'!D16</f>
        <v>1043217</v>
      </c>
      <c r="F44" s="64">
        <f>'Evolutitve SCI'!E13+'Evolutitve SCI'!E16</f>
        <v>2043217</v>
      </c>
      <c r="G44" s="64">
        <f>'Evolutitve SCI'!F13+'Evolutitve SCI'!F16</f>
        <v>5125058</v>
      </c>
      <c r="H44" s="64">
        <f>'Evolutitve SCI'!G13+'Evolutitve SCI'!G16</f>
        <v>7174164</v>
      </c>
      <c r="I44" s="64">
        <f>'Evolutitve SCI'!H13+'Evolutitve SCI'!H16</f>
        <v>12251698</v>
      </c>
      <c r="J44" s="64">
        <f>'Evolutitve SCI'!I13+'Evolutitve SCI'!I16</f>
        <v>20286873</v>
      </c>
      <c r="K44" s="64">
        <f>'Evolutitve SCI'!J13+'Evolutitve SCI'!J16</f>
        <v>30758844</v>
      </c>
      <c r="L44" s="64">
        <f>'Evolutitve SCI'!K13+'Evolutitve SCI'!K16</f>
        <v>37991550</v>
      </c>
      <c r="M44" s="64">
        <f>'Evolutitve SCI'!L13+'Evolutitve SCI'!L16</f>
        <v>45032378</v>
      </c>
      <c r="N44" s="64">
        <f>'Evolutitve SCI'!M13+'Evolutitve SCI'!M16</f>
        <v>51032378</v>
      </c>
      <c r="O44" s="64">
        <f>'Evolutitve SCI'!N13+'Evolutitve SCI'!N16</f>
        <v>56032378</v>
      </c>
      <c r="P44" s="64">
        <f>'Evolutitve SCI'!O13+'Evolutitve SCI'!O16</f>
        <v>61032378</v>
      </c>
      <c r="Q44" s="64">
        <f>'Evolutitve SCI'!P13+'Evolutitve SCI'!P16</f>
        <v>74272909</v>
      </c>
      <c r="R44" s="64">
        <f>'Evolutitve SCI'!Q13+'Evolutitve SCI'!Q16</f>
        <v>3000000</v>
      </c>
      <c r="S44" s="64">
        <f>'Evolutitve SCI'!R13+'Evolutitve SCI'!R16</f>
        <v>6000000</v>
      </c>
      <c r="T44" s="64">
        <f>'Evolutitve SCI'!S13+'Evolutitve SCI'!S16</f>
        <v>9000000</v>
      </c>
      <c r="U44" s="64">
        <f>'Evolutitve SCI'!T13+'Evolutitve SCI'!T16</f>
        <v>12000000</v>
      </c>
      <c r="V44" s="64">
        <f>'Evolutitve SCI'!U13+'Evolutitve SCI'!U16</f>
        <v>16720344</v>
      </c>
      <c r="W44" s="64">
        <f>'Evolutitve SCI'!V13+'Evolutitve SCI'!V16</f>
        <v>26000000</v>
      </c>
      <c r="X44" s="64">
        <f>'Evolutitve SCI'!W13+'Evolutitve SCI'!W16</f>
        <v>40600000</v>
      </c>
      <c r="Y44" s="64">
        <f>'Evolutitve SCI'!X13+'Evolutitve SCI'!X16</f>
        <v>46400000</v>
      </c>
      <c r="Z44" s="64">
        <f>'Evolutitve SCI'!Y13+'Evolutitve SCI'!Y16</f>
        <v>52200000</v>
      </c>
      <c r="AA44" s="64">
        <f>'Evolutitve SCI'!Z13+'Evolutitve SCI'!Z16</f>
        <v>58000000</v>
      </c>
      <c r="AB44" s="64">
        <f>'Evolutitve SCI'!AA13+'Evolutitve SCI'!AA16</f>
        <v>63800000</v>
      </c>
      <c r="AC44" s="64">
        <f>'Evolutitve SCI'!AB13+'Evolutitve SCI'!AB16</f>
        <v>66000000</v>
      </c>
      <c r="AD44" s="64">
        <f>'Evolutitve SCI'!AC13+'Evolutitve SCI'!AC16</f>
        <v>84468517</v>
      </c>
      <c r="AE44" s="64">
        <f>'Evolutitve SCI'!AD13+'Evolutitve SCI'!AD16</f>
        <v>5000000</v>
      </c>
      <c r="AF44" s="64">
        <f>'Evolutitve SCI'!AE13+'Evolutitve SCI'!AE16</f>
        <v>10000000</v>
      </c>
      <c r="AG44" s="64">
        <f>'Evolutitve SCI'!AF13+'Evolutitve SCI'!AF16</f>
        <v>21000000</v>
      </c>
      <c r="AH44" s="64">
        <f>'Evolutitve SCI'!AG13+'Evolutitve SCI'!AG16</f>
        <v>28000000</v>
      </c>
      <c r="AI44" s="64">
        <f>'Evolutitve SCI'!AH13+'Evolutitve SCI'!AH16</f>
        <v>35000000</v>
      </c>
      <c r="AJ44" s="64">
        <f>'Evolutitve SCI'!AI13+'Evolutitve SCI'!AI16</f>
        <v>42000000</v>
      </c>
      <c r="AK44" s="64">
        <f>'Evolutitve SCI'!AJ13+'Evolutitve SCI'!AJ16</f>
        <v>49000000</v>
      </c>
      <c r="AL44" s="64">
        <f>'Evolutitve SCI'!AK13+'Evolutitve SCI'!AK16</f>
        <v>56000000</v>
      </c>
      <c r="AM44" s="64">
        <f>'Evolutitve SCI'!AL13+'Evolutitve SCI'!AL16</f>
        <v>0</v>
      </c>
      <c r="AN44" s="64">
        <f>'Evolutitve SCI'!AM13+'Evolutitve SCI'!AM16</f>
        <v>0</v>
      </c>
      <c r="AO44" s="64">
        <f>'Evolutitve SCI'!AN13+'Evolutitve SCI'!AN16</f>
        <v>0</v>
      </c>
      <c r="AP44" s="64">
        <f>'Evolutitve SCI'!AO13+'Evolutitve SCI'!AO16</f>
        <v>0</v>
      </c>
      <c r="AQ44" s="64">
        <f>'Evolutitve SCI'!AP13+'Evolutitve SCI'!AP16</f>
        <v>0</v>
      </c>
      <c r="AR44" s="64">
        <f>'Evolutitve SCI'!AQ13+'Evolutitve SCI'!AQ16</f>
        <v>0</v>
      </c>
      <c r="AS44" s="64">
        <f>'Evolutitve SCI'!AR13+'Evolutitve SCI'!AR16</f>
        <v>0</v>
      </c>
      <c r="AT44" s="64">
        <f>'Evolutitve SCI'!AS13+'Evolutitve SCI'!AS16</f>
        <v>0</v>
      </c>
      <c r="AU44" s="64">
        <f>'Evolutitve SCI'!AT13+'Evolutitve SCI'!AT16</f>
        <v>0</v>
      </c>
      <c r="AV44" s="64">
        <f>'Evolutitve SCI'!AU13+'Evolutitve SCI'!AU16</f>
        <v>0</v>
      </c>
      <c r="AW44" s="64">
        <f>'Evolutitve SCI'!AV13+'Evolutitve SCI'!AV16</f>
        <v>0</v>
      </c>
      <c r="AX44" s="64">
        <f>'Evolutitve SCI'!AW13+'Evolutitve SCI'!AW16</f>
        <v>0</v>
      </c>
    </row>
    <row r="45" spans="1:50">
      <c r="A45" s="36">
        <v>10.199999999999999</v>
      </c>
      <c r="B45" s="36" t="s">
        <v>256</v>
      </c>
      <c r="C45" s="64">
        <f>'Evolutitve SCI'!B15</f>
        <v>0</v>
      </c>
      <c r="D45" s="64">
        <f>'Evolutitve SCI'!C15</f>
        <v>0</v>
      </c>
      <c r="E45" s="64">
        <f>'Evolutitve SCI'!D15</f>
        <v>0</v>
      </c>
      <c r="F45" s="64">
        <f>'Evolutitve SCI'!E15</f>
        <v>0</v>
      </c>
      <c r="G45" s="64">
        <f>'Evolutitve SCI'!F15</f>
        <v>0</v>
      </c>
      <c r="H45" s="64">
        <f>'Evolutitve SCI'!G15</f>
        <v>0</v>
      </c>
      <c r="I45" s="64">
        <f>'Evolutitve SCI'!H15</f>
        <v>0</v>
      </c>
      <c r="J45" s="64">
        <f>'Evolutitve SCI'!I15</f>
        <v>0</v>
      </c>
      <c r="K45" s="64">
        <f>'Evolutitve SCI'!J15</f>
        <v>0</v>
      </c>
      <c r="L45" s="64">
        <f>'Evolutitve SCI'!K15</f>
        <v>0</v>
      </c>
      <c r="M45" s="64">
        <f>'Evolutitve SCI'!L15</f>
        <v>0</v>
      </c>
      <c r="N45" s="64">
        <f>'Evolutitve SCI'!M15</f>
        <v>0</v>
      </c>
      <c r="O45" s="64">
        <f>'Evolutitve SCI'!N15</f>
        <v>0</v>
      </c>
      <c r="P45" s="64">
        <f>'Evolutitve SCI'!O15</f>
        <v>0</v>
      </c>
      <c r="Q45" s="64">
        <f>'Evolutitve SCI'!P15</f>
        <v>0</v>
      </c>
      <c r="R45" s="64">
        <f>'Evolutitve SCI'!Q15</f>
        <v>0</v>
      </c>
      <c r="S45" s="64">
        <f>'Evolutitve SCI'!R15</f>
        <v>0</v>
      </c>
      <c r="T45" s="64">
        <f>'Evolutitve SCI'!S15</f>
        <v>0</v>
      </c>
      <c r="U45" s="64">
        <f>'Evolutitve SCI'!T15</f>
        <v>0</v>
      </c>
      <c r="V45" s="64">
        <f>'Evolutitve SCI'!U15</f>
        <v>0</v>
      </c>
      <c r="W45" s="64">
        <f>'Evolutitve SCI'!V15</f>
        <v>0</v>
      </c>
      <c r="X45" s="64">
        <f>'Evolutitve SCI'!W15</f>
        <v>0</v>
      </c>
      <c r="Y45" s="64">
        <f>'Evolutitve SCI'!X15</f>
        <v>0</v>
      </c>
      <c r="Z45" s="64">
        <f>'Evolutitve SCI'!Y15</f>
        <v>0</v>
      </c>
      <c r="AA45" s="64">
        <f>'Evolutitve SCI'!Z15</f>
        <v>0</v>
      </c>
      <c r="AB45" s="64">
        <f>'Evolutitve SCI'!AA15</f>
        <v>0</v>
      </c>
      <c r="AC45" s="64">
        <f>'Evolutitve SCI'!AB15</f>
        <v>0</v>
      </c>
      <c r="AD45" s="64">
        <f>'Evolutitve SCI'!AC15</f>
        <v>0</v>
      </c>
      <c r="AE45" s="64">
        <f>'Evolutitve SCI'!AD15</f>
        <v>0</v>
      </c>
      <c r="AF45" s="64">
        <f>'Evolutitve SCI'!AE15</f>
        <v>0</v>
      </c>
      <c r="AG45" s="64">
        <f>'Evolutitve SCI'!AF15</f>
        <v>0</v>
      </c>
      <c r="AH45" s="64">
        <f>'Evolutitve SCI'!AG15</f>
        <v>0</v>
      </c>
      <c r="AI45" s="64">
        <f>'Evolutitve SCI'!AH15</f>
        <v>0</v>
      </c>
      <c r="AJ45" s="64">
        <f>'Evolutitve SCI'!AI15</f>
        <v>0</v>
      </c>
      <c r="AK45" s="64">
        <f>'Evolutitve SCI'!AJ15</f>
        <v>0</v>
      </c>
      <c r="AL45" s="64">
        <f>'Evolutitve SCI'!AK15</f>
        <v>0</v>
      </c>
      <c r="AM45" s="64">
        <f>'Evolutitve SCI'!AL15</f>
        <v>0</v>
      </c>
      <c r="AN45" s="64">
        <f>'Evolutitve SCI'!AM15</f>
        <v>0</v>
      </c>
      <c r="AO45" s="64">
        <f>'Evolutitve SCI'!AN15</f>
        <v>0</v>
      </c>
      <c r="AP45" s="64">
        <f>'Evolutitve SCI'!AO15</f>
        <v>0</v>
      </c>
      <c r="AQ45" s="64">
        <f>'Evolutitve SCI'!AP15</f>
        <v>0</v>
      </c>
      <c r="AR45" s="64">
        <f>'Evolutitve SCI'!AQ15</f>
        <v>0</v>
      </c>
      <c r="AS45" s="64">
        <f>'Evolutitve SCI'!AR15</f>
        <v>0</v>
      </c>
      <c r="AT45" s="64">
        <f>'Evolutitve SCI'!AS15</f>
        <v>0</v>
      </c>
      <c r="AU45" s="64">
        <f>'Evolutitve SCI'!AT15</f>
        <v>0</v>
      </c>
      <c r="AV45" s="64">
        <f>'Evolutitve SCI'!AU15</f>
        <v>0</v>
      </c>
      <c r="AW45" s="64">
        <f>'Evolutitve SCI'!AV15</f>
        <v>0</v>
      </c>
      <c r="AX45" s="64">
        <f>'Evolutitve SCI'!AW15</f>
        <v>0</v>
      </c>
    </row>
    <row r="46" spans="1:50">
      <c r="A46" s="36">
        <v>10.3</v>
      </c>
      <c r="B46" s="36" t="s">
        <v>257</v>
      </c>
      <c r="C46" s="64">
        <f>'Evolutitve SCI'!B14</f>
        <v>363.72469999999998</v>
      </c>
      <c r="D46" s="64">
        <f>'Evolutitve SCI'!C14</f>
        <v>14829925</v>
      </c>
      <c r="E46" s="64">
        <f>'Evolutitve SCI'!D14</f>
        <v>895320</v>
      </c>
      <c r="F46" s="64">
        <f>'Evolutitve SCI'!E14</f>
        <v>1757401</v>
      </c>
      <c r="G46" s="64">
        <f>'Evolutitve SCI'!F14</f>
        <v>2495757</v>
      </c>
      <c r="H46" s="64">
        <f>'Evolutitve SCI'!G14</f>
        <v>3274296</v>
      </c>
      <c r="I46" s="64">
        <f>'Evolutitve SCI'!H14</f>
        <v>3993847</v>
      </c>
      <c r="J46" s="64">
        <f>'Evolutitve SCI'!I14</f>
        <v>4694532</v>
      </c>
      <c r="K46" s="64">
        <f>'Evolutitve SCI'!J14</f>
        <v>5340633</v>
      </c>
      <c r="L46" s="64">
        <f>'Evolutitve SCI'!K14</f>
        <v>5965364</v>
      </c>
      <c r="M46" s="64">
        <f>'Evolutitve SCI'!L14</f>
        <v>6549268</v>
      </c>
      <c r="N46" s="64">
        <f>'Evolutitve SCI'!M14</f>
        <v>7661777</v>
      </c>
      <c r="O46" s="64">
        <f>'Evolutitve SCI'!N14</f>
        <v>8715033</v>
      </c>
      <c r="P46" s="64">
        <f>'Evolutitve SCI'!O14</f>
        <v>11710144</v>
      </c>
      <c r="Q46" s="64">
        <f>'Evolutitve SCI'!P14</f>
        <v>11710144</v>
      </c>
      <c r="R46" s="64">
        <f>'Evolutitve SCI'!Q14</f>
        <v>1104110</v>
      </c>
      <c r="S46" s="64">
        <f>'Evolutitve SCI'!R14</f>
        <v>2666590</v>
      </c>
      <c r="T46" s="64">
        <f>'Evolutitve SCI'!S14</f>
        <v>4099890</v>
      </c>
      <c r="U46" s="64">
        <f>'Evolutitve SCI'!T14</f>
        <v>5611953</v>
      </c>
      <c r="V46" s="64">
        <f>'Evolutitve SCI'!U14</f>
        <v>7022687</v>
      </c>
      <c r="W46" s="64">
        <f>'Evolutitve SCI'!V14</f>
        <v>8416847</v>
      </c>
      <c r="X46" s="64">
        <f>'Evolutitve SCI'!W14</f>
        <v>9733978</v>
      </c>
      <c r="Y46" s="64">
        <f>'Evolutitve SCI'!X14</f>
        <v>11032713</v>
      </c>
      <c r="Z46" s="64">
        <f>'Evolutitve SCI'!Y14</f>
        <v>12283175</v>
      </c>
      <c r="AA46" s="64">
        <f>'Evolutitve SCI'!Z14</f>
        <v>13466263</v>
      </c>
      <c r="AB46" s="64">
        <f>'Evolutitve SCI'!AA14</f>
        <v>13822260</v>
      </c>
      <c r="AC46" s="64">
        <f>'Evolutitve SCI'!AB14</f>
        <v>17641219</v>
      </c>
      <c r="AD46" s="64">
        <f>'Evolutitve SCI'!AC14</f>
        <v>17641219</v>
      </c>
      <c r="AE46" s="64">
        <f>'Evolutitve SCI'!AD14</f>
        <v>1679272</v>
      </c>
      <c r="AF46" s="64">
        <f>'Evolutitve SCI'!AE14</f>
        <v>3161201</v>
      </c>
      <c r="AG46" s="64">
        <f>'Evolutitve SCI'!AF14</f>
        <v>4587268</v>
      </c>
      <c r="AH46" s="64">
        <f>'Evolutitve SCI'!AG14</f>
        <v>6135786</v>
      </c>
      <c r="AI46" s="64">
        <f>'Evolutitve SCI'!AH14</f>
        <v>7584957</v>
      </c>
      <c r="AJ46" s="64">
        <f>'Evolutitve SCI'!AI14</f>
        <v>9032944</v>
      </c>
      <c r="AK46" s="64">
        <f>'Evolutitve SCI'!AJ14</f>
        <v>10163081</v>
      </c>
      <c r="AL46" s="64">
        <f>'Evolutitve SCI'!AK14</f>
        <v>11477801</v>
      </c>
      <c r="AM46" s="64">
        <f>'Evolutitve SCI'!AL14</f>
        <v>0</v>
      </c>
      <c r="AN46" s="64">
        <f>'Evolutitve SCI'!AM14</f>
        <v>0</v>
      </c>
      <c r="AO46" s="64">
        <f>'Evolutitve SCI'!AN14</f>
        <v>0</v>
      </c>
      <c r="AP46" s="64">
        <f>'Evolutitve SCI'!AO14</f>
        <v>0</v>
      </c>
      <c r="AQ46" s="64">
        <f>'Evolutitve SCI'!AP14</f>
        <v>0</v>
      </c>
      <c r="AR46" s="64">
        <f>'Evolutitve SCI'!AQ14</f>
        <v>0</v>
      </c>
      <c r="AS46" s="64">
        <f>'Evolutitve SCI'!AR14</f>
        <v>0</v>
      </c>
      <c r="AT46" s="64">
        <f>'Evolutitve SCI'!AS14</f>
        <v>0</v>
      </c>
      <c r="AU46" s="64">
        <f>'Evolutitve SCI'!AT14</f>
        <v>0</v>
      </c>
      <c r="AV46" s="64">
        <f>'Evolutitve SCI'!AU14</f>
        <v>0</v>
      </c>
      <c r="AW46" s="64">
        <f>'Evolutitve SCI'!AV14</f>
        <v>0</v>
      </c>
      <c r="AX46" s="64">
        <f>'Evolutitve SCI'!AW14</f>
        <v>0</v>
      </c>
    </row>
    <row r="47" spans="1:50">
      <c r="A47" s="36">
        <v>10.4</v>
      </c>
      <c r="B47" s="36" t="s">
        <v>258</v>
      </c>
      <c r="C47" s="64">
        <f>'Evolutitve SCI'!B23</f>
        <v>11019.3799</v>
      </c>
      <c r="D47" s="64">
        <f>'Evolutitve SCI'!C23</f>
        <v>41765573</v>
      </c>
      <c r="E47" s="64">
        <f>'Evolutitve SCI'!D23</f>
        <v>2725789</v>
      </c>
      <c r="F47" s="64">
        <f>'Evolutitve SCI'!E23</f>
        <v>8588399</v>
      </c>
      <c r="G47" s="64">
        <f>'Evolutitve SCI'!F23</f>
        <v>11513740</v>
      </c>
      <c r="H47" s="64">
        <f>'Evolutitve SCI'!G23</f>
        <v>14779697</v>
      </c>
      <c r="I47" s="64">
        <f>'Evolutitve SCI'!H23</f>
        <v>17742988</v>
      </c>
      <c r="J47" s="64">
        <f>'Evolutitve SCI'!I23</f>
        <v>22111423</v>
      </c>
      <c r="K47" s="64">
        <f>'Evolutitve SCI'!J23</f>
        <v>26666746</v>
      </c>
      <c r="L47" s="64">
        <f>'Evolutitve SCI'!K23</f>
        <v>30238566</v>
      </c>
      <c r="M47" s="64">
        <f>'Evolutitve SCI'!L23</f>
        <v>33710334</v>
      </c>
      <c r="N47" s="64">
        <f>'Evolutitve SCI'!M23</f>
        <v>37271493</v>
      </c>
      <c r="O47" s="64">
        <f>'Evolutitve SCI'!N23</f>
        <v>42632217</v>
      </c>
      <c r="P47" s="64">
        <f>'Evolutitve SCI'!O23</f>
        <v>44883772</v>
      </c>
      <c r="Q47" s="64">
        <f>'Evolutitve SCI'!P23</f>
        <v>44883772</v>
      </c>
      <c r="R47" s="64">
        <f>'Evolutitve SCI'!Q23</f>
        <v>3656842</v>
      </c>
      <c r="S47" s="64">
        <f>'Evolutitve SCI'!R23</f>
        <v>10768361</v>
      </c>
      <c r="T47" s="64">
        <f>'Evolutitve SCI'!S23</f>
        <v>16281509</v>
      </c>
      <c r="U47" s="64">
        <f>'Evolutitve SCI'!T23</f>
        <v>20542587</v>
      </c>
      <c r="V47" s="64">
        <f>'Evolutitve SCI'!U23</f>
        <v>21819245</v>
      </c>
      <c r="W47" s="64">
        <f>'Evolutitve SCI'!V23</f>
        <v>26554662</v>
      </c>
      <c r="X47" s="64">
        <f>'Evolutitve SCI'!W23</f>
        <v>29565818</v>
      </c>
      <c r="Y47" s="64">
        <f>'Evolutitve SCI'!X23</f>
        <v>33027086</v>
      </c>
      <c r="Z47" s="64">
        <f>'Evolutitve SCI'!Y23</f>
        <v>38666619</v>
      </c>
      <c r="AA47" s="64">
        <f>'Evolutitve SCI'!Z23</f>
        <v>42645429</v>
      </c>
      <c r="AB47" s="64">
        <f>'Evolutitve SCI'!AA23</f>
        <v>47715209</v>
      </c>
      <c r="AC47" s="64">
        <f>'Evolutitve SCI'!AB23</f>
        <v>49991289</v>
      </c>
      <c r="AD47" s="64">
        <f>'Evolutitve SCI'!AC23</f>
        <v>49171290</v>
      </c>
      <c r="AE47" s="64">
        <f>'Evolutitve SCI'!AD23</f>
        <v>5541342</v>
      </c>
      <c r="AF47" s="64">
        <f>'Evolutitve SCI'!AE23</f>
        <v>12475835</v>
      </c>
      <c r="AG47" s="64">
        <f>'Evolutitve SCI'!AF23</f>
        <v>19121393</v>
      </c>
      <c r="AH47" s="64">
        <f>'Evolutitve SCI'!AG23</f>
        <v>25296933</v>
      </c>
      <c r="AI47" s="64">
        <f>'Evolutitve SCI'!AH23</f>
        <v>29785351</v>
      </c>
      <c r="AJ47" s="64">
        <f>'Evolutitve SCI'!AI23</f>
        <v>35586769</v>
      </c>
      <c r="AK47" s="64">
        <f>'Evolutitve SCI'!AJ23</f>
        <v>39571422</v>
      </c>
      <c r="AL47" s="64">
        <f>'Evolutitve SCI'!AK23</f>
        <v>42812919</v>
      </c>
      <c r="AM47" s="64">
        <f>'Evolutitve SCI'!AL23</f>
        <v>0</v>
      </c>
      <c r="AN47" s="64">
        <f>'Evolutitve SCI'!AM23</f>
        <v>0</v>
      </c>
      <c r="AO47" s="64">
        <f>'Evolutitve SCI'!AN23</f>
        <v>0</v>
      </c>
      <c r="AP47" s="64">
        <f>'Evolutitve SCI'!AO23</f>
        <v>0</v>
      </c>
      <c r="AQ47" s="64">
        <f>'Evolutitve SCI'!AP23</f>
        <v>0</v>
      </c>
      <c r="AR47" s="64">
        <f>'Evolutitve SCI'!AQ23</f>
        <v>0</v>
      </c>
      <c r="AS47" s="64">
        <f>'Evolutitve SCI'!AR23</f>
        <v>0</v>
      </c>
      <c r="AT47" s="64">
        <f>'Evolutitve SCI'!AS23</f>
        <v>0</v>
      </c>
      <c r="AU47" s="64">
        <f>'Evolutitve SCI'!AT23</f>
        <v>0</v>
      </c>
      <c r="AV47" s="64">
        <f>'Evolutitve SCI'!AU23</f>
        <v>0</v>
      </c>
      <c r="AW47" s="64">
        <f>'Evolutitve SCI'!AV23</f>
        <v>0</v>
      </c>
      <c r="AX47" s="64">
        <f>'Evolutitve SCI'!AW23</f>
        <v>0</v>
      </c>
    </row>
  </sheetData>
  <pageMargins left="0.7" right="0.7" top="0.75" bottom="0.75" header="0.3" footer="0.3"/>
  <pageSetup scale="4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U30"/>
  <sheetViews>
    <sheetView workbookViewId="0">
      <pane xSplit="2" ySplit="3" topLeftCell="X9" activePane="bottomRight" state="frozen"/>
      <selection pane="bottomRight" activeCell="X9" sqref="X9"/>
      <selection pane="bottomLeft" activeCell="A4" sqref="A4"/>
      <selection pane="topRight" activeCell="C1" sqref="C1"/>
    </sheetView>
  </sheetViews>
  <sheetFormatPr defaultRowHeight="14.45"/>
  <cols>
    <col min="1" max="1" width="13.5703125" bestFit="1" customWidth="1"/>
    <col min="2" max="2" width="10.42578125" bestFit="1" customWidth="1"/>
    <col min="3" max="4" width="12.85546875" bestFit="1" customWidth="1"/>
    <col min="5" max="5" width="12.5703125" bestFit="1" customWidth="1"/>
    <col min="6" max="7" width="12.85546875" bestFit="1" customWidth="1"/>
    <col min="8" max="9" width="12.5703125" bestFit="1" customWidth="1"/>
    <col min="10" max="10" width="6.5703125" bestFit="1" customWidth="1"/>
    <col min="11" max="11" width="7" bestFit="1" customWidth="1"/>
    <col min="12" max="12" width="7.28515625" bestFit="1" customWidth="1"/>
    <col min="13" max="13" width="6.85546875" bestFit="1" customWidth="1"/>
    <col min="14" max="14" width="7.5703125" bestFit="1" customWidth="1"/>
    <col min="15" max="15" width="9.28515625" customWidth="1"/>
    <col min="16" max="16" width="10.140625" customWidth="1"/>
    <col min="17" max="17" width="12" customWidth="1"/>
    <col min="18" max="18" width="14.28515625" customWidth="1"/>
    <col min="19" max="19" width="10.7109375" customWidth="1"/>
    <col min="20" max="20" width="10.42578125" customWidth="1"/>
    <col min="21" max="21" width="12.140625" customWidth="1"/>
  </cols>
  <sheetData>
    <row r="2" spans="1:21" ht="26.45" thickBot="1">
      <c r="A2" s="338" t="s">
        <v>259</v>
      </c>
      <c r="B2" s="339"/>
      <c r="C2" s="339"/>
      <c r="D2" s="339"/>
      <c r="E2" s="339"/>
      <c r="F2" s="340"/>
    </row>
    <row r="3" spans="1:21" ht="40.15">
      <c r="A3" s="124" t="s">
        <v>260</v>
      </c>
      <c r="B3" s="125" t="s">
        <v>261</v>
      </c>
      <c r="C3" s="126" t="s">
        <v>0</v>
      </c>
      <c r="D3" s="126" t="s">
        <v>262</v>
      </c>
      <c r="E3" s="154">
        <v>44197.120173611111</v>
      </c>
      <c r="F3" s="154">
        <v>44229</v>
      </c>
      <c r="G3" s="154">
        <v>44258</v>
      </c>
      <c r="H3" s="154">
        <v>44290</v>
      </c>
      <c r="I3" s="154">
        <v>44321</v>
      </c>
      <c r="J3" s="154">
        <v>44353</v>
      </c>
      <c r="K3" s="154">
        <v>44384</v>
      </c>
      <c r="L3" s="154">
        <v>44416</v>
      </c>
      <c r="M3" s="154">
        <v>44448</v>
      </c>
      <c r="N3" s="154">
        <v>44479</v>
      </c>
      <c r="O3" s="154">
        <v>44511</v>
      </c>
      <c r="P3" s="154">
        <v>44542</v>
      </c>
      <c r="Q3" s="127" t="s">
        <v>2</v>
      </c>
      <c r="R3" s="127">
        <v>44562</v>
      </c>
      <c r="S3" s="127">
        <v>44593</v>
      </c>
      <c r="T3" s="127">
        <v>44621</v>
      </c>
      <c r="U3" s="127">
        <v>44652</v>
      </c>
    </row>
    <row r="4" spans="1:21">
      <c r="A4" s="128" t="s">
        <v>263</v>
      </c>
      <c r="B4" s="129"/>
      <c r="C4" s="129"/>
      <c r="D4" s="129"/>
      <c r="E4" s="130"/>
      <c r="F4" s="130"/>
      <c r="G4" s="129"/>
      <c r="H4" s="129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1">
      <c r="A5" s="57" t="s">
        <v>264</v>
      </c>
      <c r="B5" s="131" t="s">
        <v>265</v>
      </c>
      <c r="C5" s="132" t="str">
        <f>IF(CAELS!D3&gt;10,"1","5")</f>
        <v>1</v>
      </c>
      <c r="D5" s="132" t="str">
        <f>IF(CAELS!E3&gt;10,"1","5")</f>
        <v>1</v>
      </c>
      <c r="E5" s="132" t="str">
        <f>IF(CAELS!F3&gt;10,"1","5")</f>
        <v>1</v>
      </c>
      <c r="F5" s="132" t="str">
        <f>IF(CAELS!G3&gt;10,"1","5")</f>
        <v>1</v>
      </c>
      <c r="G5" s="132" t="str">
        <f>IF(CAELS!H3&gt;10,"1","5")</f>
        <v>1</v>
      </c>
      <c r="H5" s="132" t="str">
        <f>IF(CAELS!I3&gt;10,"1","5")</f>
        <v>1</v>
      </c>
      <c r="I5" s="132" t="str">
        <f>IF(CAELS!J3&gt;10,"1","5")</f>
        <v>1</v>
      </c>
      <c r="J5" s="132" t="str">
        <f>IF(CAELS!K3&gt;10,"1","5")</f>
        <v>1</v>
      </c>
      <c r="K5" s="132" t="str">
        <f>IF(CAELS!L3&gt;10,"1","5")</f>
        <v>1</v>
      </c>
      <c r="L5" s="132" t="str">
        <f>IF(CAELS!M3&gt;10,"1","5")</f>
        <v>1</v>
      </c>
      <c r="M5" s="132" t="str">
        <f>IF(CAELS!N3&gt;10,"1","5")</f>
        <v>1</v>
      </c>
      <c r="N5" s="132" t="str">
        <f>IF(CAELS!O3&gt;10,"1","5")</f>
        <v>1</v>
      </c>
      <c r="O5" s="132" t="str">
        <f>IF(CAELS!P3&gt;10,"1","5")</f>
        <v>1</v>
      </c>
      <c r="P5" s="132" t="str">
        <f>IF(CAELS!Q3&gt;10,"1","5")</f>
        <v>1</v>
      </c>
      <c r="Q5" s="132" t="str">
        <f>IF(CAELS!R3&gt;10,"1","5")</f>
        <v>1</v>
      </c>
      <c r="R5" s="132" t="str">
        <f>IF(CAELS!S3&gt;10,"1","5")</f>
        <v>1</v>
      </c>
      <c r="S5" s="132" t="str">
        <f>IF(CAELS!T3&gt;10,"1","5")</f>
        <v>1</v>
      </c>
      <c r="T5" s="132" t="str">
        <f>IF(CAELS!U3&gt;10,"1","5")</f>
        <v>1</v>
      </c>
      <c r="U5" s="132" t="str">
        <f>IF(CAELS!V3&gt;10,"1","5")</f>
        <v>1</v>
      </c>
    </row>
    <row r="6" spans="1:21">
      <c r="A6" s="57" t="s">
        <v>170</v>
      </c>
      <c r="B6" s="131" t="s">
        <v>266</v>
      </c>
      <c r="C6" s="133" t="str">
        <f>IF(CAELS!D4&gt;20%,"1",IF(CAELS!D4&gt;15%,"2",IF(CAELS!D4&gt;12%,"3",IF(CAELS!D4&gt;10%,"4","5"))))</f>
        <v>4</v>
      </c>
      <c r="D6" s="133" t="str">
        <f>IF(CAELS!E4&gt;20%,"1",IF(CAELS!E4&gt;15%,"2",IF(CAELS!E4&gt;12%,"3",IF(CAELS!E4&gt;10%,"4","5"))))</f>
        <v>2</v>
      </c>
      <c r="E6" s="133" t="str">
        <f>IF(CAELS!F4&gt;20%,"1",IF(CAELS!F4&gt;15%,"2",IF(CAELS!F4&gt;12%,"3",IF(CAELS!F4&gt;10%,"4","5"))))</f>
        <v>2</v>
      </c>
      <c r="F6" s="133" t="str">
        <f>IF(CAELS!G4&gt;20%,"1",IF(CAELS!G4&gt;15%,"2",IF(CAELS!G4&gt;12%,"3",IF(CAELS!G4&gt;10%,"4","5"))))</f>
        <v>2</v>
      </c>
      <c r="G6" s="133" t="str">
        <f>IF(CAELS!H4&gt;20%,"1",IF(CAELS!H4&gt;15%,"2",IF(CAELS!H4&gt;12%,"3",IF(CAELS!H4&gt;10%,"4","5"))))</f>
        <v>2</v>
      </c>
      <c r="H6" s="133" t="str">
        <f>IF(CAELS!I4&gt;20%,"1",IF(CAELS!I4&gt;15%,"2",IF(CAELS!I4&gt;12%,"3",IF(CAELS!I4&gt;10%,"4","5"))))</f>
        <v>2</v>
      </c>
      <c r="I6" s="133" t="str">
        <f>IF(CAELS!J4&gt;20%,"1",IF(CAELS!J4&gt;15%,"2",IF(CAELS!J4&gt;12%,"3",IF(CAELS!J4&gt;10%,"4","5"))))</f>
        <v>2</v>
      </c>
      <c r="J6" s="133" t="str">
        <f>IF(CAELS!K4&gt;20%,"1",IF(CAELS!K4&gt;15%,"2",IF(CAELS!K4&gt;12%,"3",IF(CAELS!K4&gt;10%,"4","5"))))</f>
        <v>2</v>
      </c>
      <c r="K6" s="133" t="str">
        <f>IF(CAELS!L4&gt;20%,"1",IF(CAELS!L4&gt;15%,"2",IF(CAELS!L4&gt;12%,"3",IF(CAELS!L4&gt;10%,"4","5"))))</f>
        <v>2</v>
      </c>
      <c r="L6" s="133" t="str">
        <f>IF(CAELS!M4&gt;20%,"1",IF(CAELS!M4&gt;15%,"2",IF(CAELS!M4&gt;12%,"3",IF(CAELS!M4&gt;10%,"4","5"))))</f>
        <v>2</v>
      </c>
      <c r="M6" s="133" t="str">
        <f>IF(CAELS!N4&gt;20%,"1",IF(CAELS!N4&gt;15%,"2",IF(CAELS!N4&gt;12%,"3",IF(CAELS!N4&gt;10%,"4","5"))))</f>
        <v>2</v>
      </c>
      <c r="N6" s="133" t="str">
        <f>IF(CAELS!O4&gt;20%,"1",IF(CAELS!O4&gt;15%,"2",IF(CAELS!O4&gt;12%,"3",IF(CAELS!O4&gt;10%,"4","5"))))</f>
        <v>2</v>
      </c>
      <c r="O6" s="133" t="str">
        <f>IF(CAELS!P4&gt;20%,"1",IF(CAELS!P4&gt;15%,"2",IF(CAELS!P4&gt;12%,"3",IF(CAELS!P4&gt;10%,"4","5"))))</f>
        <v>2</v>
      </c>
      <c r="P6" s="133" t="str">
        <f>IF(CAELS!Q4&gt;20%,"1",IF(CAELS!Q4&gt;15%,"2",IF(CAELS!Q4&gt;12%,"3",IF(CAELS!Q4&gt;10%,"4","5"))))</f>
        <v>2</v>
      </c>
      <c r="Q6" s="133" t="str">
        <f>IF(CAELS!R4&gt;20%,"1",IF(CAELS!R4&gt;15%,"2",IF(CAELS!R4&gt;12%,"3",IF(CAELS!R4&gt;10%,"4","5"))))</f>
        <v>2</v>
      </c>
      <c r="R6" s="133" t="str">
        <f>IF(CAELS!S4&gt;20%,"1",IF(CAELS!S4&gt;15%,"2",IF(CAELS!S4&gt;12%,"3",IF(CAELS!S4&gt;10%,"4","5"))))</f>
        <v>2</v>
      </c>
      <c r="S6" s="133" t="str">
        <f>IF(CAELS!T4&gt;20%,"1",IF(CAELS!T4&gt;15%,"2",IF(CAELS!T4&gt;12%,"3",IF(CAELS!T4&gt;10%,"4","5"))))</f>
        <v>2</v>
      </c>
      <c r="T6" s="133" t="str">
        <f>IF(CAELS!U4&gt;20%,"1",IF(CAELS!U4&gt;15%,"2",IF(CAELS!U4&gt;12%,"3",IF(CAELS!U4&gt;10%,"4","5"))))</f>
        <v>2</v>
      </c>
      <c r="U6" s="133" t="str">
        <f>IF(CAELS!V4&gt;20%,"1",IF(CAELS!V4&gt;15%,"2",IF(CAELS!V4&gt;12%,"3",IF(CAELS!V4&gt;10%,"4","5"))))</f>
        <v>2</v>
      </c>
    </row>
    <row r="7" spans="1:21">
      <c r="A7" s="57" t="s">
        <v>174</v>
      </c>
      <c r="B7" s="131" t="s">
        <v>267</v>
      </c>
      <c r="C7" s="133" t="str">
        <f>IF(CAELS!D6&gt;15%,"1",IF(CAELS!D6&gt;12%,"2",IF(CAELS!D6&gt;10%,"3",IF(CAELS!D6&gt;8,"4","5"))))</f>
        <v>5</v>
      </c>
      <c r="D7" s="133" t="str">
        <f>IF(CAELS!E6&gt;15%,"1",IF(CAELS!E6&gt;12%,"2",IF(CAELS!E6&gt;10%,"3",IF(CAELS!E6&gt;8,"4","5"))))</f>
        <v>5</v>
      </c>
      <c r="E7" s="133" t="str">
        <f>IF(CAELS!F6&gt;15%,"1",IF(CAELS!F6&gt;12%,"2",IF(CAELS!F6&gt;10%,"3",IF(CAELS!F6&gt;8,"4","5"))))</f>
        <v>3</v>
      </c>
      <c r="F7" s="133" t="str">
        <f>IF(CAELS!G6&gt;15%,"1",IF(CAELS!G6&gt;12%,"2",IF(CAELS!G6&gt;10%,"3",IF(CAELS!G6&gt;8,"4","5"))))</f>
        <v>3</v>
      </c>
      <c r="G7" s="133" t="str">
        <f>IF(CAELS!H6&gt;15%,"1",IF(CAELS!H6&gt;12%,"2",IF(CAELS!H6&gt;10%,"3",IF(CAELS!H6&gt;8,"4","5"))))</f>
        <v>3</v>
      </c>
      <c r="H7" s="133" t="str">
        <f>IF(CAELS!I6&gt;15%,"1",IF(CAELS!I6&gt;12%,"2",IF(CAELS!I6&gt;10%,"3",IF(CAELS!I6&gt;8,"4","5"))))</f>
        <v>3</v>
      </c>
      <c r="I7" s="133" t="str">
        <f>IF(CAELS!J6&gt;15%,"1",IF(CAELS!J6&gt;12%,"2",IF(CAELS!J6&gt;10%,"3",IF(CAELS!J6&gt;8,"4","5"))))</f>
        <v>3</v>
      </c>
      <c r="J7" s="133" t="str">
        <f>IF(CAELS!K6&gt;15%,"1",IF(CAELS!K6&gt;12%,"2",IF(CAELS!K6&gt;10%,"3",IF(CAELS!K6&gt;8,"4","5"))))</f>
        <v>3</v>
      </c>
      <c r="K7" s="133" t="str">
        <f>IF(CAELS!L6&gt;15%,"1",IF(CAELS!L6&gt;12%,"2",IF(CAELS!L6&gt;10%,"3",IF(CAELS!L6&gt;8,"4","5"))))</f>
        <v>3</v>
      </c>
      <c r="L7" s="133" t="str">
        <f>IF(CAELS!M6&gt;15%,"1",IF(CAELS!M6&gt;12%,"2",IF(CAELS!M6&gt;10%,"3",IF(CAELS!M6&gt;8,"4","5"))))</f>
        <v>3</v>
      </c>
      <c r="M7" s="133" t="str">
        <f>IF(CAELS!N6&gt;15%,"1",IF(CAELS!N6&gt;12%,"2",IF(CAELS!N6&gt;10%,"3",IF(CAELS!N6&gt;8,"4","5"))))</f>
        <v>3</v>
      </c>
      <c r="N7" s="133" t="str">
        <f>IF(CAELS!O6&gt;15%,"1",IF(CAELS!O6&gt;12%,"2",IF(CAELS!O6&gt;10%,"3",IF(CAELS!O6&gt;8,"4","5"))))</f>
        <v>3</v>
      </c>
      <c r="O7" s="133" t="str">
        <f>IF(CAELS!P6&gt;15%,"1",IF(CAELS!P6&gt;12%,"2",IF(CAELS!P6&gt;10%,"3",IF(CAELS!P6&gt;8,"4","5"))))</f>
        <v>3</v>
      </c>
      <c r="P7" s="133" t="str">
        <f>IF(CAELS!Q6&gt;15%,"1",IF(CAELS!Q6&gt;12%,"2",IF(CAELS!Q6&gt;10%,"3",IF(CAELS!Q6&gt;8,"4","5"))))</f>
        <v>5</v>
      </c>
      <c r="Q7" s="133" t="str">
        <f>IF(CAELS!R6&gt;15%,"1",IF(CAELS!R6&gt;12%,"2",IF(CAELS!R6&gt;10%,"3",IF(CAELS!R6&gt;8,"4","5"))))</f>
        <v>5</v>
      </c>
      <c r="R7" s="133" t="str">
        <f>IF(CAELS!S6&gt;15%,"1",IF(CAELS!S6&gt;12%,"2",IF(CAELS!S6&gt;10%,"3",IF(CAELS!S6&gt;8,"4","5"))))</f>
        <v>5</v>
      </c>
      <c r="S7" s="133" t="str">
        <f>IF(CAELS!T6&gt;15%,"1",IF(CAELS!T6&gt;12%,"2",IF(CAELS!T6&gt;10%,"3",IF(CAELS!T6&gt;8,"4","5"))))</f>
        <v>5</v>
      </c>
      <c r="T7" s="133" t="str">
        <f>IF(CAELS!U6&gt;15%,"1",IF(CAELS!U6&gt;12%,"2",IF(CAELS!U6&gt;10%,"3",IF(CAELS!U6&gt;8,"4","5"))))</f>
        <v>3</v>
      </c>
      <c r="U7" s="133" t="str">
        <f>IF(CAELS!V6&gt;15%,"1",IF(CAELS!V6&gt;12%,"2",IF(CAELS!V6&gt;10%,"3",IF(CAELS!V6&gt;8,"4","5"))))</f>
        <v>3</v>
      </c>
    </row>
    <row r="8" spans="1:21">
      <c r="A8" s="57" t="s">
        <v>172</v>
      </c>
      <c r="B8" s="131" t="s">
        <v>267</v>
      </c>
      <c r="C8" s="133" t="str">
        <f>IF(CAELS!D5&gt;20%,"1",IF(CAELS!D5&gt;15%,"2",IF(CAELS!D5&gt;12%,"3",IF(CAELS!D5&gt;10%,"4","5"))))</f>
        <v>4</v>
      </c>
      <c r="D8" s="133" t="str">
        <f>IF(CAELS!E5&gt;20%,"1",IF(CAELS!E5&gt;15%,"2",IF(CAELS!E5&gt;12%,"3",IF(CAELS!E5&gt;10%,"4","5"))))</f>
        <v>1</v>
      </c>
      <c r="E8" s="133" t="str">
        <f>IF(CAELS!F5&gt;20%,"1",IF(CAELS!F5&gt;15%,"2",IF(CAELS!F5&gt;12%,"3",IF(CAELS!F5&gt;10%,"4","5"))))</f>
        <v>1</v>
      </c>
      <c r="F8" s="133" t="str">
        <f>IF(CAELS!G5&gt;20%,"1",IF(CAELS!G5&gt;15%,"2",IF(CAELS!G5&gt;12%,"3",IF(CAELS!G5&gt;10%,"4","5"))))</f>
        <v>1</v>
      </c>
      <c r="G8" s="133" t="str">
        <f>IF(CAELS!H5&gt;20%,"1",IF(CAELS!H5&gt;15%,"2",IF(CAELS!H5&gt;12%,"3",IF(CAELS!H5&gt;10%,"4","5"))))</f>
        <v>1</v>
      </c>
      <c r="H8" s="133" t="str">
        <f>IF(CAELS!I5&gt;20%,"1",IF(CAELS!I5&gt;15%,"2",IF(CAELS!I5&gt;12%,"3",IF(CAELS!I5&gt;10%,"4","5"))))</f>
        <v>1</v>
      </c>
      <c r="I8" s="133" t="str">
        <f>IF(CAELS!J5&gt;20%,"1",IF(CAELS!J5&gt;15%,"2",IF(CAELS!J5&gt;12%,"3",IF(CAELS!J5&gt;10%,"4","5"))))</f>
        <v>1</v>
      </c>
      <c r="J8" s="133" t="str">
        <f>IF(CAELS!K5&gt;20%,"1",IF(CAELS!K5&gt;15%,"2",IF(CAELS!K5&gt;12%,"3",IF(CAELS!K5&gt;10%,"4","5"))))</f>
        <v>1</v>
      </c>
      <c r="K8" s="133" t="str">
        <f>IF(CAELS!L5&gt;20%,"1",IF(CAELS!L5&gt;15%,"2",IF(CAELS!L5&gt;12%,"3",IF(CAELS!L5&gt;10%,"4","5"))))</f>
        <v>1</v>
      </c>
      <c r="L8" s="133" t="str">
        <f>IF(CAELS!M5&gt;20%,"1",IF(CAELS!M5&gt;15%,"2",IF(CAELS!M5&gt;12%,"3",IF(CAELS!M5&gt;10%,"4","5"))))</f>
        <v>1</v>
      </c>
      <c r="M8" s="133" t="str">
        <f>IF(CAELS!N5&gt;20%,"1",IF(CAELS!N5&gt;15%,"2",IF(CAELS!N5&gt;12%,"3",IF(CAELS!N5&gt;10%,"4","5"))))</f>
        <v>1</v>
      </c>
      <c r="N8" s="133" t="str">
        <f>IF(CAELS!O5&gt;20%,"1",IF(CAELS!O5&gt;15%,"2",IF(CAELS!O5&gt;12%,"3",IF(CAELS!O5&gt;10%,"4","5"))))</f>
        <v>1</v>
      </c>
      <c r="O8" s="133" t="str">
        <f>IF(CAELS!P5&gt;20%,"1",IF(CAELS!P5&gt;15%,"2",IF(CAELS!P5&gt;12%,"3",IF(CAELS!P5&gt;10%,"4","5"))))</f>
        <v>1</v>
      </c>
      <c r="P8" s="133" t="str">
        <f>IF(CAELS!Q5&gt;20%,"1",IF(CAELS!Q5&gt;15%,"2",IF(CAELS!Q5&gt;12%,"3",IF(CAELS!Q5&gt;10%,"4","5"))))</f>
        <v>1</v>
      </c>
      <c r="Q8" s="133" t="str">
        <f>IF(CAELS!R5&gt;20%,"1",IF(CAELS!R5&gt;15%,"2",IF(CAELS!R5&gt;12%,"3",IF(CAELS!R5&gt;10%,"4","5"))))</f>
        <v>1</v>
      </c>
      <c r="R8" s="133" t="str">
        <f>IF(CAELS!S5&gt;20%,"1",IF(CAELS!S5&gt;15%,"2",IF(CAELS!S5&gt;12%,"3",IF(CAELS!S5&gt;10%,"4","5"))))</f>
        <v>1</v>
      </c>
      <c r="S8" s="133" t="str">
        <f>IF(CAELS!T5&gt;20%,"1",IF(CAELS!T5&gt;15%,"2",IF(CAELS!T5&gt;12%,"3",IF(CAELS!T5&gt;10%,"4","5"))))</f>
        <v>1</v>
      </c>
      <c r="T8" s="133" t="str">
        <f>IF(CAELS!U5&gt;20%,"1",IF(CAELS!U5&gt;15%,"2",IF(CAELS!U5&gt;12%,"3",IF(CAELS!U5&gt;10%,"4","5"))))</f>
        <v>1</v>
      </c>
      <c r="U8" s="133" t="str">
        <f>IF(CAELS!V5&gt;20%,"1",IF(CAELS!V5&gt;15%,"2",IF(CAELS!V5&gt;12%,"3",IF(CAELS!V5&gt;10%,"4","5"))))</f>
        <v>1</v>
      </c>
    </row>
    <row r="9" spans="1:21">
      <c r="A9" s="57"/>
      <c r="B9" s="131"/>
      <c r="C9" s="143">
        <f t="shared" ref="C9:K9" si="0">(C5+C6+C7+C8)/4</f>
        <v>3.5</v>
      </c>
      <c r="D9" s="143">
        <f t="shared" si="0"/>
        <v>2.25</v>
      </c>
      <c r="E9" s="144">
        <f t="shared" si="0"/>
        <v>1.75</v>
      </c>
      <c r="F9" s="144">
        <f t="shared" si="0"/>
        <v>1.75</v>
      </c>
      <c r="G9" s="143">
        <f t="shared" si="0"/>
        <v>1.75</v>
      </c>
      <c r="H9" s="143">
        <f t="shared" si="0"/>
        <v>1.75</v>
      </c>
      <c r="I9" s="144">
        <f t="shared" si="0"/>
        <v>1.75</v>
      </c>
      <c r="J9" s="144">
        <f t="shared" si="0"/>
        <v>1.75</v>
      </c>
      <c r="K9" s="144">
        <f t="shared" si="0"/>
        <v>1.75</v>
      </c>
      <c r="L9" s="144">
        <f t="shared" ref="L9:S9" si="1">(L5+L6+L7+L8)/4</f>
        <v>1.75</v>
      </c>
      <c r="M9" s="144">
        <f t="shared" si="1"/>
        <v>1.75</v>
      </c>
      <c r="N9" s="144">
        <f t="shared" si="1"/>
        <v>1.75</v>
      </c>
      <c r="O9" s="144">
        <f t="shared" si="1"/>
        <v>1.75</v>
      </c>
      <c r="P9" s="144">
        <f t="shared" si="1"/>
        <v>2.25</v>
      </c>
      <c r="Q9" s="144">
        <f t="shared" si="1"/>
        <v>2.25</v>
      </c>
      <c r="R9" s="144">
        <f t="shared" si="1"/>
        <v>2.25</v>
      </c>
      <c r="S9" s="144">
        <f t="shared" si="1"/>
        <v>2.25</v>
      </c>
      <c r="T9" s="144">
        <f>(T5+T6+T7+T8)/4</f>
        <v>1.75</v>
      </c>
      <c r="U9" s="144">
        <f>(U5+U6+U7+U8)/4</f>
        <v>1.75</v>
      </c>
    </row>
    <row r="10" spans="1:21">
      <c r="A10" s="128" t="s">
        <v>268</v>
      </c>
      <c r="B10" s="129"/>
      <c r="C10" s="129"/>
      <c r="D10" s="129"/>
      <c r="E10" s="134"/>
      <c r="F10" s="134"/>
      <c r="G10" s="129"/>
      <c r="H10" s="129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</row>
    <row r="11" spans="1:21">
      <c r="A11" s="57" t="s">
        <v>158</v>
      </c>
      <c r="B11" s="131" t="s">
        <v>269</v>
      </c>
      <c r="C11" s="135"/>
      <c r="D11" s="136"/>
      <c r="E11" s="136"/>
      <c r="F11" s="136"/>
      <c r="G11" s="136"/>
      <c r="H11" s="136"/>
      <c r="I11" s="136"/>
      <c r="J11" s="136"/>
      <c r="K11" s="136"/>
      <c r="L11" s="136" t="str">
        <f>IF(CAELS!M8&lt;4%,"1",IF(CAELS!M8&lt;8%,"2",IF(CAELS!M8&lt;12%,"3",IF(CAELS!M8&lt;15%,"4","5"))))</f>
        <v>1</v>
      </c>
      <c r="M11" s="136"/>
      <c r="N11" s="136"/>
      <c r="O11" s="136" t="str">
        <f>IF(CAELS!P8&lt;4%,"1",IF(CAELS!P8&lt;8%,"2",IF(CAELS!P8&lt;12%,"3",IF(CAELS!P8&lt;15%,"4","5"))))</f>
        <v>1</v>
      </c>
      <c r="P11" s="136"/>
      <c r="Q11" s="136"/>
      <c r="R11" s="136" t="str">
        <f>IF(CAELS!S8&lt;4%,"1",IF(CAELS!S8&lt;8%,"2",IF(CAELS!S8&lt;12%,"3",IF(CAELS!S8&lt;15%,"4","5"))))</f>
        <v>1</v>
      </c>
      <c r="S11" s="136"/>
      <c r="T11" s="136"/>
      <c r="U11" s="136" t="str">
        <f>IF(CAELS!V8&lt;4%,"1",IF(CAELS!V8&lt;8%,"2",IF(CAELS!V8&lt;12%,"3",IF(CAELS!V8&lt;15%,"4","5"))))</f>
        <v>1</v>
      </c>
    </row>
    <row r="12" spans="1:21">
      <c r="A12" s="57"/>
      <c r="B12" s="131"/>
      <c r="C12" s="135">
        <f t="shared" ref="C12:K12" si="2">C11</f>
        <v>0</v>
      </c>
      <c r="D12" s="135">
        <f t="shared" si="2"/>
        <v>0</v>
      </c>
      <c r="E12" s="136">
        <f t="shared" si="2"/>
        <v>0</v>
      </c>
      <c r="F12" s="136">
        <f t="shared" si="2"/>
        <v>0</v>
      </c>
      <c r="G12" s="135">
        <f t="shared" si="2"/>
        <v>0</v>
      </c>
      <c r="H12" s="135">
        <f t="shared" si="2"/>
        <v>0</v>
      </c>
      <c r="I12" s="136">
        <f t="shared" si="2"/>
        <v>0</v>
      </c>
      <c r="J12" s="136">
        <f t="shared" si="2"/>
        <v>0</v>
      </c>
      <c r="K12" s="136">
        <f t="shared" si="2"/>
        <v>0</v>
      </c>
      <c r="L12" s="136" t="str">
        <f t="shared" ref="L12:S12" si="3">L11</f>
        <v>1</v>
      </c>
      <c r="M12" s="136">
        <f t="shared" si="3"/>
        <v>0</v>
      </c>
      <c r="N12" s="136">
        <f t="shared" si="3"/>
        <v>0</v>
      </c>
      <c r="O12" s="136" t="str">
        <f t="shared" si="3"/>
        <v>1</v>
      </c>
      <c r="P12" s="136">
        <f t="shared" si="3"/>
        <v>0</v>
      </c>
      <c r="Q12" s="136">
        <f t="shared" si="3"/>
        <v>0</v>
      </c>
      <c r="R12" s="136" t="str">
        <f t="shared" si="3"/>
        <v>1</v>
      </c>
      <c r="S12" s="136">
        <f t="shared" si="3"/>
        <v>0</v>
      </c>
      <c r="T12" s="136">
        <f>T11</f>
        <v>0</v>
      </c>
      <c r="U12" s="136" t="str">
        <f>U11</f>
        <v>1</v>
      </c>
    </row>
    <row r="13" spans="1:21">
      <c r="A13" s="128" t="s">
        <v>270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</row>
    <row r="14" spans="1:21">
      <c r="A14" s="57" t="s">
        <v>179</v>
      </c>
      <c r="B14" s="2"/>
      <c r="C14" s="133"/>
      <c r="D14" s="133" t="str">
        <f>IF(CAELS!E9&gt;6%,"1",IF(CAELS!E9&gt;4%,"2",IF(CAELS!E9&gt;2%,"3",IF(CAELS!E9&gt;0%,"4","5"))))</f>
        <v>4</v>
      </c>
      <c r="E14" s="133" t="str">
        <f>IF(CAELS!F9&gt;6%,"1",IF(CAELS!F9&gt;4%,"2",IF(CAELS!F9&gt;2%,"3",IF(CAELS!F9&gt;0%,"4","5"))))</f>
        <v>4</v>
      </c>
      <c r="F14" s="133" t="str">
        <f>IF(CAELS!G9&gt;6%,"1",IF(CAELS!G9&gt;4%,"2",IF(CAELS!G9&gt;2%,"3",IF(CAELS!G9&gt;0%,"4","5"))))</f>
        <v>4</v>
      </c>
      <c r="G14" s="133" t="str">
        <f>IF(CAELS!H9&gt;6%,"1",IF(CAELS!H9&gt;4%,"2",IF(CAELS!H9&gt;2%,"3",IF(CAELS!H9&gt;0%,"4","5"))))</f>
        <v>4</v>
      </c>
      <c r="H14" s="133" t="str">
        <f>IF(CAELS!I9&gt;6%,"1",IF(CAELS!I9&gt;4%,"2",IF(CAELS!I9&gt;2%,"3",IF(CAELS!I9&gt;0%,"4","5"))))</f>
        <v>4</v>
      </c>
      <c r="I14" s="133" t="str">
        <f>IF(CAELS!J9&gt;6%,"1",IF(CAELS!J9&gt;4%,"2",IF(CAELS!J9&gt;2%,"3",IF(CAELS!J9&gt;0%,"4","5"))))</f>
        <v>4</v>
      </c>
      <c r="J14" s="133" t="str">
        <f>IF(CAELS!K9&gt;6%,"1",IF(CAELS!K9&gt;4%,"2",IF(CAELS!K9&gt;2%,"3",IF(CAELS!K9&gt;0%,"4","5"))))</f>
        <v>4</v>
      </c>
      <c r="K14" s="133" t="str">
        <f>IF(CAELS!L9&gt;6%,"1",IF(CAELS!L9&gt;4%,"2",IF(CAELS!L9&gt;2%,"3",IF(CAELS!L9&gt;0%,"4","5"))))</f>
        <v>4</v>
      </c>
      <c r="L14" s="133" t="str">
        <f>IF(CAELS!M9&gt;6%,"1",IF(CAELS!M9&gt;4%,"2",IF(CAELS!M9&gt;2%,"3",IF(CAELS!M9&gt;0%,"4","5"))))</f>
        <v>4</v>
      </c>
      <c r="M14" s="133" t="str">
        <f>IF(CAELS!N9&gt;6%,"1",IF(CAELS!N9&gt;4%,"2",IF(CAELS!N9&gt;2%,"3",IF(CAELS!N9&gt;0%,"4","5"))))</f>
        <v>4</v>
      </c>
      <c r="N14" s="133" t="str">
        <f>IF(CAELS!O9&gt;6%,"1",IF(CAELS!O9&gt;4%,"2",IF(CAELS!O9&gt;2%,"3",IF(CAELS!O9&gt;0%,"4","5"))))</f>
        <v>4</v>
      </c>
      <c r="O14" s="133" t="str">
        <f>IF(CAELS!P9&gt;6%,"1",IF(CAELS!P9&gt;4%,"2",IF(CAELS!P9&gt;2%,"3",IF(CAELS!P9&gt;0%,"4","5"))))</f>
        <v>4</v>
      </c>
      <c r="P14" s="133" t="str">
        <f>IF(CAELS!Q9&gt;6%,"1",IF(CAELS!Q9&gt;4%,"2",IF(CAELS!Q9&gt;2%,"3",IF(CAELS!Q9&gt;0%,"4","5"))))</f>
        <v>4</v>
      </c>
      <c r="Q14" s="133" t="str">
        <f>IF(CAELS!R9&gt;6%,"1",IF(CAELS!R9&gt;4%,"2",IF(CAELS!R9&gt;2%,"3",IF(CAELS!R9&gt;0%,"4","5"))))</f>
        <v>4</v>
      </c>
      <c r="R14" s="133" t="str">
        <f>IF(CAELS!S9&gt;6%,"1",IF(CAELS!S9&gt;4%,"2",IF(CAELS!S9&gt;2%,"3",IF(CAELS!S9&gt;0%,"4","5"))))</f>
        <v>4</v>
      </c>
      <c r="S14" s="133" t="str">
        <f>IF(CAELS!T9&gt;6%,"1",IF(CAELS!T9&gt;4%,"2",IF(CAELS!T9&gt;2%,"3",IF(CAELS!T9&gt;0%,"4","5"))))</f>
        <v>4</v>
      </c>
      <c r="T14" s="133" t="str">
        <f>IF(CAELS!U9&gt;6%,"1",IF(CAELS!U9&gt;4%,"2",IF(CAELS!U9&gt;2%,"3",IF(CAELS!U9&gt;0%,"4","5"))))</f>
        <v>4</v>
      </c>
      <c r="U14" s="133" t="str">
        <f>IF(CAELS!V9&gt;6%,"1",IF(CAELS!V9&gt;4%,"2",IF(CAELS!V9&gt;2%,"3",IF(CAELS!V9&gt;0%,"4","5"))))</f>
        <v>4</v>
      </c>
    </row>
    <row r="15" spans="1:21">
      <c r="A15" s="57" t="s">
        <v>271</v>
      </c>
      <c r="B15" s="2"/>
      <c r="C15" s="136" t="str">
        <f>IF(CAELS!D10&lt;60%,"1",IF(CAELS!D10&lt;70%,"2",IF(CAELS!D10&lt;80%,"3",IF(CAELS!D10&lt;90%,"4","5"))))</f>
        <v>3</v>
      </c>
      <c r="D15" s="136" t="str">
        <f>IF(CAELS!E10&lt;60%,"1",IF(CAELS!E10&lt;70%,"2",IF(CAELS!E10&lt;80%,"3",IF(CAELS!E10&lt;90%,"4","5"))))</f>
        <v>2</v>
      </c>
      <c r="E15" s="136" t="str">
        <f>IF(CAELS!F10&lt;60%,"1",IF(CAELS!F10&lt;70%,"2",IF(CAELS!F10&lt;80%,"3",IF(CAELS!F10&lt;90%,"4","5"))))</f>
        <v>1</v>
      </c>
      <c r="F15" s="136" t="str">
        <f>IF(CAELS!G10&lt;60%,"1",IF(CAELS!G10&lt;70%,"2",IF(CAELS!G10&lt;80%,"3",IF(CAELS!G10&lt;90%,"4","5"))))</f>
        <v>1</v>
      </c>
      <c r="G15" s="136" t="str">
        <f>IF(CAELS!H10&lt;60%,"1",IF(CAELS!H10&lt;70%,"2",IF(CAELS!H10&lt;80%,"3",IF(CAELS!H10&lt;90%,"4","5"))))</f>
        <v>1</v>
      </c>
      <c r="H15" s="136" t="str">
        <f>IF(CAELS!I10&lt;60%,"1",IF(CAELS!I10&lt;70%,"2",IF(CAELS!I10&lt;80%,"3",IF(CAELS!I10&lt;90%,"4","5"))))</f>
        <v>1</v>
      </c>
      <c r="I15" s="136" t="str">
        <f>IF(CAELS!J10&lt;60%,"1",IF(CAELS!J10&lt;70%,"2",IF(CAELS!J10&lt;80%,"3",IF(CAELS!J10&lt;90%,"4","5"))))</f>
        <v>1</v>
      </c>
      <c r="J15" s="136" t="str">
        <f>IF(CAELS!K10&lt;60%,"1",IF(CAELS!K10&lt;70%,"2",IF(CAELS!K10&lt;80%,"3",IF(CAELS!K10&lt;90%,"4","5"))))</f>
        <v>1</v>
      </c>
      <c r="K15" s="136" t="str">
        <f>IF(CAELS!L10&lt;60%,"1",IF(CAELS!L10&lt;70%,"2",IF(CAELS!L10&lt;80%,"3",IF(CAELS!L10&lt;90%,"4","5"))))</f>
        <v>1</v>
      </c>
      <c r="L15" s="136" t="str">
        <f>IF(CAELS!M10&lt;60%,"1",IF(CAELS!M10&lt;70%,"2",IF(CAELS!M10&lt;80%,"3",IF(CAELS!M10&lt;90%,"4","5"))))</f>
        <v>1</v>
      </c>
      <c r="M15" s="136" t="str">
        <f>IF(CAELS!N10&lt;60%,"1",IF(CAELS!N10&lt;70%,"2",IF(CAELS!N10&lt;80%,"3",IF(CAELS!N10&lt;90%,"4","5"))))</f>
        <v>1</v>
      </c>
      <c r="N15" s="136" t="str">
        <f>IF(CAELS!O10&lt;60%,"1",IF(CAELS!O10&lt;70%,"2",IF(CAELS!O10&lt;80%,"3",IF(CAELS!O10&lt;90%,"4","5"))))</f>
        <v>1</v>
      </c>
      <c r="O15" s="136" t="str">
        <f>IF(CAELS!P10&lt;60%,"1",IF(CAELS!P10&lt;70%,"2",IF(CAELS!P10&lt;80%,"3",IF(CAELS!P10&lt;90%,"4","5"))))</f>
        <v>1</v>
      </c>
      <c r="P15" s="136" t="str">
        <f>IF(CAELS!Q10&lt;60%,"1",IF(CAELS!Q10&lt;70%,"2",IF(CAELS!Q10&lt;80%,"3",IF(CAELS!Q10&lt;90%,"4","5"))))</f>
        <v>2</v>
      </c>
      <c r="Q15" s="136" t="str">
        <f>IF(CAELS!R10&lt;60%,"1",IF(CAELS!R10&lt;70%,"2",IF(CAELS!R10&lt;80%,"3",IF(CAELS!R10&lt;90%,"4","5"))))</f>
        <v>2</v>
      </c>
      <c r="R15" s="136" t="str">
        <f>IF(CAELS!S10&lt;60%,"1",IF(CAELS!S10&lt;70%,"2",IF(CAELS!S10&lt;80%,"3",IF(CAELS!S10&lt;90%,"4","5"))))</f>
        <v>1</v>
      </c>
      <c r="S15" s="136" t="str">
        <f>IF(CAELS!T10&lt;60%,"1",IF(CAELS!T10&lt;70%,"2",IF(CAELS!T10&lt;80%,"3",IF(CAELS!T10&lt;90%,"4","5"))))</f>
        <v>2</v>
      </c>
      <c r="T15" s="136" t="str">
        <f>IF(CAELS!U10&lt;60%,"1",IF(CAELS!U10&lt;70%,"2",IF(CAELS!U10&lt;80%,"3",IF(CAELS!U10&lt;90%,"4","5"))))</f>
        <v>1</v>
      </c>
      <c r="U15" s="136" t="str">
        <f>IF(CAELS!V10&lt;60%,"1",IF(CAELS!V10&lt;70%,"2",IF(CAELS!V10&lt;80%,"3",IF(CAELS!V10&lt;90%,"4","5"))))</f>
        <v>1</v>
      </c>
    </row>
    <row r="16" spans="1:21">
      <c r="A16" s="57" t="s">
        <v>272</v>
      </c>
      <c r="B16" s="2"/>
      <c r="C16" s="133" t="str">
        <f>IF(CAELS!D11&lt;4%,"1",IF(CAELS!D11&lt;6%,"2",IF(CAELS!D11&lt;8%,"3",IF(CAELS!D11&lt;10%,"4","5"))))</f>
        <v>1</v>
      </c>
      <c r="D16" s="133" t="str">
        <f>IF(CAELS!E11&lt;4%,"1",IF(CAELS!E11&lt;6%,"2",IF(CAELS!E11&lt;8%,"3",IF(CAELS!E11&lt;10%,"4","5"))))</f>
        <v>4</v>
      </c>
      <c r="E16" s="133" t="str">
        <f>IF(CAELS!F11&lt;4%,"1",IF(CAELS!F11&lt;6%,"2",IF(CAELS!F11&lt;8%,"3",IF(CAELS!F11&lt;10%,"4","5"))))</f>
        <v>1</v>
      </c>
      <c r="F16" s="133" t="str">
        <f>IF(CAELS!G11&lt;4%,"1",IF(CAELS!G11&lt;6%,"2",IF(CAELS!G11&lt;8%,"3",IF(CAELS!G11&lt;10%,"4","5"))))</f>
        <v>1</v>
      </c>
      <c r="G16" s="133" t="str">
        <f>IF(CAELS!H11&lt;4%,"1",IF(CAELS!H11&lt;6%,"2",IF(CAELS!H11&lt;8%,"3",IF(CAELS!H11&lt;10%,"4","5"))))</f>
        <v>1</v>
      </c>
      <c r="H16" s="133" t="str">
        <f>IF(CAELS!I11&lt;4%,"1",IF(CAELS!I11&lt;6%,"2",IF(CAELS!I11&lt;8%,"3",IF(CAELS!I11&lt;10%,"4","5"))))</f>
        <v>1</v>
      </c>
      <c r="I16" s="133" t="str">
        <f>IF(CAELS!J11&lt;4%,"1",IF(CAELS!J11&lt;6%,"2",IF(CAELS!J11&lt;8%,"3",IF(CAELS!J11&lt;10%,"4","5"))))</f>
        <v>1</v>
      </c>
      <c r="J16" s="133" t="str">
        <f>IF(CAELS!K11&lt;4%,"1",IF(CAELS!K11&lt;6%,"2",IF(CAELS!K11&lt;8%,"3",IF(CAELS!K11&lt;10%,"4","5"))))</f>
        <v>1</v>
      </c>
      <c r="K16" s="133" t="str">
        <f>IF(CAELS!L11&lt;4%,"1",IF(CAELS!L11&lt;6%,"2",IF(CAELS!L11&lt;8%,"3",IF(CAELS!L11&lt;10%,"4","5"))))</f>
        <v>2</v>
      </c>
      <c r="L16" s="133" t="str">
        <f>IF(CAELS!M11&lt;4%,"1",IF(CAELS!M11&lt;6%,"2",IF(CAELS!M11&lt;8%,"3",IF(CAELS!M11&lt;10%,"4","5"))))</f>
        <v>3</v>
      </c>
      <c r="M16" s="133" t="str">
        <f>IF(CAELS!N11&lt;4%,"1",IF(CAELS!N11&lt;6%,"2",IF(CAELS!N11&lt;8%,"3",IF(CAELS!N11&lt;10%,"4","5"))))</f>
        <v>3</v>
      </c>
      <c r="N16" s="133" t="str">
        <f>IF(CAELS!O11&lt;4%,"1",IF(CAELS!O11&lt;6%,"2",IF(CAELS!O11&lt;8%,"3",IF(CAELS!O11&lt;10%,"4","5"))))</f>
        <v>3</v>
      </c>
      <c r="O16" s="133" t="str">
        <f>IF(CAELS!P11&lt;4%,"1",IF(CAELS!P11&lt;6%,"2",IF(CAELS!P11&lt;8%,"3",IF(CAELS!P11&lt;10%,"4","5"))))</f>
        <v>4</v>
      </c>
      <c r="P16" s="133" t="str">
        <f>IF(CAELS!Q11&lt;4%,"1",IF(CAELS!Q11&lt;6%,"2",IF(CAELS!Q11&lt;8%,"3",IF(CAELS!Q11&lt;10%,"4","5"))))</f>
        <v>4</v>
      </c>
      <c r="Q16" s="133" t="str">
        <f>IF(CAELS!R11&lt;4%,"1",IF(CAELS!R11&lt;6%,"2",IF(CAELS!R11&lt;8%,"3",IF(CAELS!R11&lt;10%,"4","5"))))</f>
        <v>4</v>
      </c>
      <c r="R16" s="133" t="str">
        <f>IF(CAELS!S11&lt;4%,"1",IF(CAELS!S11&lt;6%,"2",IF(CAELS!S11&lt;8%,"3",IF(CAELS!S11&lt;10%,"4","5"))))</f>
        <v>1</v>
      </c>
      <c r="S16" s="133" t="str">
        <f>IF(CAELS!T11&lt;4%,"1",IF(CAELS!T11&lt;6%,"2",IF(CAELS!T11&lt;8%,"3",IF(CAELS!T11&lt;10%,"4","5"))))</f>
        <v>1</v>
      </c>
      <c r="T16" s="133" t="str">
        <f>IF(CAELS!U11&lt;4%,"1",IF(CAELS!U11&lt;6%,"2",IF(CAELS!U11&lt;8%,"3",IF(CAELS!U11&lt;10%,"4","5"))))</f>
        <v>1</v>
      </c>
      <c r="U16" s="133" t="str">
        <f>IF(CAELS!V11&lt;4%,"1",IF(CAELS!V11&lt;6%,"2",IF(CAELS!V11&lt;8%,"3",IF(CAELS!V11&lt;10%,"4","5"))))</f>
        <v>1</v>
      </c>
    </row>
    <row r="17" spans="1:21">
      <c r="A17" s="57"/>
      <c r="B17" s="2"/>
      <c r="C17" s="145">
        <f t="shared" ref="C17:K17" si="4">(C14+C15+C16)/3</f>
        <v>1.3333333333333333</v>
      </c>
      <c r="D17" s="145">
        <f t="shared" si="4"/>
        <v>3.3333333333333335</v>
      </c>
      <c r="E17" s="145">
        <f t="shared" si="4"/>
        <v>2</v>
      </c>
      <c r="F17" s="145">
        <f t="shared" si="4"/>
        <v>2</v>
      </c>
      <c r="G17" s="145">
        <f t="shared" si="4"/>
        <v>2</v>
      </c>
      <c r="H17" s="145">
        <f t="shared" si="4"/>
        <v>2</v>
      </c>
      <c r="I17" s="145">
        <f t="shared" si="4"/>
        <v>2</v>
      </c>
      <c r="J17" s="145">
        <f t="shared" si="4"/>
        <v>2</v>
      </c>
      <c r="K17" s="145">
        <f t="shared" si="4"/>
        <v>2.3333333333333335</v>
      </c>
      <c r="L17" s="145">
        <f t="shared" ref="L17:S17" si="5">(L14+L15+L16)/3</f>
        <v>2.6666666666666665</v>
      </c>
      <c r="M17" s="145">
        <f t="shared" si="5"/>
        <v>2.6666666666666665</v>
      </c>
      <c r="N17" s="145">
        <f t="shared" si="5"/>
        <v>2.6666666666666665</v>
      </c>
      <c r="O17" s="145">
        <f t="shared" si="5"/>
        <v>3</v>
      </c>
      <c r="P17" s="145">
        <f t="shared" si="5"/>
        <v>3.3333333333333335</v>
      </c>
      <c r="Q17" s="145">
        <f t="shared" si="5"/>
        <v>3.3333333333333335</v>
      </c>
      <c r="R17" s="145">
        <f t="shared" si="5"/>
        <v>2</v>
      </c>
      <c r="S17" s="145">
        <f t="shared" si="5"/>
        <v>2.3333333333333335</v>
      </c>
      <c r="T17" s="145">
        <f>(T14+T15+T16)/3</f>
        <v>2</v>
      </c>
      <c r="U17" s="145">
        <f>(U14+U15+U16)/3</f>
        <v>2</v>
      </c>
    </row>
    <row r="18" spans="1:21">
      <c r="A18" s="128" t="s">
        <v>182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</row>
    <row r="19" spans="1:21">
      <c r="A19" s="57" t="s">
        <v>273</v>
      </c>
      <c r="B19" s="137">
        <v>0.15</v>
      </c>
      <c r="C19" s="133" t="str">
        <f>IF(CAELS!D12&gt;30%,"1",IF(CAELS!D12&gt;25%,"2",IF(CAELS!D12&gt;20%,"3",IF(CAELS!D12&gt;15%,"4","5"))))</f>
        <v>1</v>
      </c>
      <c r="D19" s="133" t="str">
        <f>IF(CAELS!E12&gt;30%,"1",IF(CAELS!E12&gt;25%,"2",IF(CAELS!E12&gt;20%,"3",IF(CAELS!E12&gt;15%,"4","5"))))</f>
        <v>1</v>
      </c>
      <c r="E19" s="133" t="str">
        <f>IF(CAELS!F12&gt;30%,"1",IF(CAELS!F12&gt;25%,"2",IF(CAELS!F12&gt;20%,"3",IF(CAELS!F12&gt;15%,"4","5"))))</f>
        <v>1</v>
      </c>
      <c r="F19" s="133" t="str">
        <f>IF(CAELS!G12&gt;30%,"1",IF(CAELS!G12&gt;25%,"2",IF(CAELS!G12&gt;20%,"3",IF(CAELS!G12&gt;15%,"4","5"))))</f>
        <v>1</v>
      </c>
      <c r="G19" s="133" t="str">
        <f>IF(CAELS!H12&gt;30%,"1",IF(CAELS!H12&gt;25%,"2",IF(CAELS!H12&gt;20%,"3",IF(CAELS!H12&gt;15%,"4","5"))))</f>
        <v>2</v>
      </c>
      <c r="H19" s="133" t="str">
        <f>IF(CAELS!I12&gt;30%,"1",IF(CAELS!I12&gt;25%,"2",IF(CAELS!I12&gt;20%,"3",IF(CAELS!I12&gt;15%,"4","5"))))</f>
        <v>1</v>
      </c>
      <c r="I19" s="133" t="str">
        <f>IF(CAELS!J12&gt;30%,"1",IF(CAELS!J12&gt;25%,"2",IF(CAELS!J12&gt;20%,"3",IF(CAELS!J12&gt;15%,"4","5"))))</f>
        <v>2</v>
      </c>
      <c r="J19" s="133" t="str">
        <f>IF(CAELS!K12&gt;30%,"1",IF(CAELS!K12&gt;25%,"2",IF(CAELS!K12&gt;20%,"3",IF(CAELS!K12&gt;15%,"4","5"))))</f>
        <v>1</v>
      </c>
      <c r="K19" s="133" t="str">
        <f>IF(CAELS!L12&gt;30%,"1",IF(CAELS!L12&gt;25%,"2",IF(CAELS!L12&gt;20%,"3",IF(CAELS!L12&gt;15%,"4","5"))))</f>
        <v>2</v>
      </c>
      <c r="L19" s="133" t="str">
        <f>IF(CAELS!M12&gt;30%,"1",IF(CAELS!M12&gt;25%,"2",IF(CAELS!M12&gt;20%,"3",IF(CAELS!M12&gt;15%,"4","5"))))</f>
        <v>2</v>
      </c>
      <c r="M19" s="133" t="str">
        <f>IF(CAELS!N12&gt;30%,"1",IF(CAELS!N12&gt;25%,"2",IF(CAELS!N12&gt;20%,"3",IF(CAELS!N12&gt;15%,"4","5"))))</f>
        <v>1</v>
      </c>
      <c r="N19" s="133" t="str">
        <f>IF(CAELS!O12&gt;30%,"1",IF(CAELS!O12&gt;25%,"2",IF(CAELS!O12&gt;20%,"3",IF(CAELS!O12&gt;15%,"4","5"))))</f>
        <v>1</v>
      </c>
      <c r="O19" s="133" t="str">
        <f>IF(CAELS!P12&gt;30%,"1",IF(CAELS!P12&gt;25%,"2",IF(CAELS!P12&gt;20%,"3",IF(CAELS!P12&gt;15%,"4","5"))))</f>
        <v>1</v>
      </c>
      <c r="P19" s="133" t="str">
        <f>IF(CAELS!Q12&gt;30%,"1",IF(CAELS!Q12&gt;25%,"2",IF(CAELS!Q12&gt;20%,"3",IF(CAELS!Q12&gt;15%,"4","5"))))</f>
        <v>1</v>
      </c>
      <c r="Q19" s="133" t="str">
        <f>IF(CAELS!R12&gt;30%,"1",IF(CAELS!R12&gt;25%,"2",IF(CAELS!R12&gt;20%,"3",IF(CAELS!R12&gt;15%,"4","5"))))</f>
        <v>1</v>
      </c>
      <c r="R19" s="133" t="str">
        <f>IF(CAELS!S12&gt;30%,"1",IF(CAELS!S12&gt;25%,"2",IF(CAELS!S12&gt;20%,"3",IF(CAELS!S12&gt;15%,"4","5"))))</f>
        <v>1</v>
      </c>
      <c r="S19" s="133" t="str">
        <f>IF(CAELS!T12&gt;30%,"1",IF(CAELS!T12&gt;25%,"2",IF(CAELS!T12&gt;20%,"3",IF(CAELS!T12&gt;15%,"4","5"))))</f>
        <v>1</v>
      </c>
      <c r="T19" s="133" t="str">
        <f>IF(CAELS!U12&gt;30%,"1",IF(CAELS!U12&gt;25%,"2",IF(CAELS!U12&gt;20%,"3",IF(CAELS!U12&gt;15%,"4","5"))))</f>
        <v>1</v>
      </c>
      <c r="U19" s="133" t="str">
        <f>IF(CAELS!V12&gt;30%,"1",IF(CAELS!V12&gt;25%,"2",IF(CAELS!V12&gt;20%,"3",IF(CAELS!V12&gt;15%,"4","5"))))</f>
        <v>1</v>
      </c>
    </row>
    <row r="20" spans="1:21">
      <c r="A20" s="57" t="s">
        <v>274</v>
      </c>
      <c r="B20" s="137"/>
      <c r="C20" s="133" t="str">
        <f>IF(CAELS!D13&gt;30%,"1",IF(CAELS!D13&gt;25%,"2",IF(CAELS!D13&gt;20%,"3",IF(CAELS!D13&gt;15%,"4","5"))))</f>
        <v>5</v>
      </c>
      <c r="D20" s="133" t="str">
        <f>IF(CAELS!E13&gt;30%,"1",IF(CAELS!E13&gt;25%,"2",IF(CAELS!E13&gt;20%,"3",IF(CAELS!E13&gt;15%,"4","5"))))</f>
        <v>5</v>
      </c>
      <c r="E20" s="133" t="str">
        <f>IF(CAELS!F13&gt;30%,"1",IF(CAELS!F13&gt;25%,"2",IF(CAELS!F13&gt;20%,"3",IF(CAELS!F13&gt;15%,"4","5"))))</f>
        <v>5</v>
      </c>
      <c r="F20" s="133" t="str">
        <f>IF(CAELS!G13&gt;30%,"1",IF(CAELS!G13&gt;25%,"2",IF(CAELS!G13&gt;20%,"3",IF(CAELS!G13&gt;15%,"4","5"))))</f>
        <v>5</v>
      </c>
      <c r="G20" s="133" t="str">
        <f>IF(CAELS!H13&gt;30%,"1",IF(CAELS!H13&gt;25%,"2",IF(CAELS!H13&gt;20%,"3",IF(CAELS!H13&gt;15%,"4","5"))))</f>
        <v>5</v>
      </c>
      <c r="H20" s="133" t="str">
        <f>IF(CAELS!I13&gt;30%,"1",IF(CAELS!I13&gt;25%,"2",IF(CAELS!I13&gt;20%,"3",IF(CAELS!I13&gt;15%,"4","5"))))</f>
        <v>5</v>
      </c>
      <c r="I20" s="133" t="str">
        <f>IF(CAELS!J13&gt;30%,"1",IF(CAELS!J13&gt;25%,"2",IF(CAELS!J13&gt;20%,"3",IF(CAELS!J13&gt;15%,"4","5"))))</f>
        <v>5</v>
      </c>
      <c r="J20" s="133" t="str">
        <f>IF(CAELS!K13&gt;30%,"1",IF(CAELS!K13&gt;25%,"2",IF(CAELS!K13&gt;20%,"3",IF(CAELS!K13&gt;15%,"4","5"))))</f>
        <v>5</v>
      </c>
      <c r="K20" s="133" t="str">
        <f>IF(CAELS!L13&gt;30%,"1",IF(CAELS!L13&gt;25%,"2",IF(CAELS!L13&gt;20%,"3",IF(CAELS!L13&gt;15%,"4","5"))))</f>
        <v>5</v>
      </c>
      <c r="L20" s="133" t="str">
        <f>IF(CAELS!M13&gt;30%,"1",IF(CAELS!M13&gt;25%,"2",IF(CAELS!M13&gt;20%,"3",IF(CAELS!M13&gt;15%,"4","5"))))</f>
        <v>5</v>
      </c>
      <c r="M20" s="133" t="str">
        <f>IF(CAELS!N13&gt;30%,"1",IF(CAELS!N13&gt;25%,"2",IF(CAELS!N13&gt;20%,"3",IF(CAELS!N13&gt;15%,"4","5"))))</f>
        <v>5</v>
      </c>
      <c r="N20" s="133" t="str">
        <f>IF(CAELS!O13&gt;30%,"1",IF(CAELS!O13&gt;25%,"2",IF(CAELS!O13&gt;20%,"3",IF(CAELS!O13&gt;15%,"4","5"))))</f>
        <v>5</v>
      </c>
      <c r="O20" s="133" t="str">
        <f>IF(CAELS!P13&gt;30%,"1",IF(CAELS!P13&gt;25%,"2",IF(CAELS!P13&gt;20%,"3",IF(CAELS!P13&gt;15%,"4","5"))))</f>
        <v>5</v>
      </c>
      <c r="P20" s="133" t="str">
        <f>IF(CAELS!Q13&gt;30%,"1",IF(CAELS!Q13&gt;25%,"2",IF(CAELS!Q13&gt;20%,"3",IF(CAELS!Q13&gt;15%,"4","5"))))</f>
        <v>4</v>
      </c>
      <c r="Q20" s="133" t="str">
        <f>IF(CAELS!R13&gt;30%,"1",IF(CAELS!R13&gt;25%,"2",IF(CAELS!R13&gt;20%,"3",IF(CAELS!R13&gt;15%,"4","5"))))</f>
        <v>4</v>
      </c>
      <c r="R20" s="133" t="str">
        <f>IF(CAELS!S13&gt;30%,"1",IF(CAELS!S13&gt;25%,"2",IF(CAELS!S13&gt;20%,"3",IF(CAELS!S13&gt;15%,"4","5"))))</f>
        <v>4</v>
      </c>
      <c r="S20" s="133" t="str">
        <f>IF(CAELS!T13&gt;30%,"1",IF(CAELS!T13&gt;25%,"2",IF(CAELS!T13&gt;20%,"3",IF(CAELS!T13&gt;15%,"4","5"))))</f>
        <v>4</v>
      </c>
      <c r="T20" s="133" t="str">
        <f>IF(CAELS!U13&gt;30%,"1",IF(CAELS!U13&gt;25%,"2",IF(CAELS!U13&gt;20%,"3",IF(CAELS!U13&gt;15%,"4","5"))))</f>
        <v>4</v>
      </c>
      <c r="U20" s="133" t="str">
        <f>IF(CAELS!V13&gt;30%,"1",IF(CAELS!V13&gt;25%,"2",IF(CAELS!V13&gt;20%,"3",IF(CAELS!V13&gt;15%,"4","5"))))</f>
        <v>5</v>
      </c>
    </row>
    <row r="21" spans="1:21">
      <c r="A21" s="57" t="s">
        <v>275</v>
      </c>
      <c r="B21" s="131" t="s">
        <v>276</v>
      </c>
      <c r="C21" s="133" t="str">
        <f>IF(CAELS!D14&lt;15%,"1",IF(CAELS!D14&lt;18%,"2",IF(CAELS!D14&lt;22%,"3",IF(CAELS!D14&lt;25%,"4","5"))))</f>
        <v>1</v>
      </c>
      <c r="D21" s="133" t="str">
        <f>IF(CAELS!E14&lt;15%,"1",IF(CAELS!E14&lt;18%,"2",IF(CAELS!E14&lt;22%,"3",IF(CAELS!E14&lt;25%,"4","5"))))</f>
        <v>1</v>
      </c>
      <c r="E21" s="133" t="str">
        <f>IF(CAELS!F14&lt;15%,"1",IF(CAELS!F14&lt;18%,"2",IF(CAELS!F14&lt;22%,"3",IF(CAELS!F14&lt;25%,"4","5"))))</f>
        <v>1</v>
      </c>
      <c r="F21" s="133" t="str">
        <f>IF(CAELS!G14&lt;15%,"1",IF(CAELS!G14&lt;18%,"2",IF(CAELS!G14&lt;22%,"3",IF(CAELS!G14&lt;25%,"4","5"))))</f>
        <v>1</v>
      </c>
      <c r="G21" s="133" t="str">
        <f>IF(CAELS!H14&lt;15%,"1",IF(CAELS!H14&lt;18%,"2",IF(CAELS!H14&lt;22%,"3",IF(CAELS!H14&lt;25%,"4","5"))))</f>
        <v>1</v>
      </c>
      <c r="H21" s="133" t="str">
        <f>IF(CAELS!I14&lt;15%,"1",IF(CAELS!I14&lt;18%,"2",IF(CAELS!I14&lt;22%,"3",IF(CAELS!I14&lt;25%,"4","5"))))</f>
        <v>1</v>
      </c>
      <c r="I21" s="133" t="str">
        <f>IF(CAELS!J14&lt;15%,"1",IF(CAELS!J14&lt;18%,"2",IF(CAELS!J14&lt;22%,"3",IF(CAELS!J14&lt;25%,"4","5"))))</f>
        <v>1</v>
      </c>
      <c r="J21" s="133" t="str">
        <f>IF(CAELS!K14&lt;15%,"1",IF(CAELS!K14&lt;18%,"2",IF(CAELS!K14&lt;22%,"3",IF(CAELS!K14&lt;25%,"4","5"))))</f>
        <v>1</v>
      </c>
      <c r="K21" s="133" t="str">
        <f>IF(CAELS!L14&lt;15%,"1",IF(CAELS!L14&lt;18%,"2",IF(CAELS!L14&lt;22%,"3",IF(CAELS!L14&lt;25%,"4","5"))))</f>
        <v>1</v>
      </c>
      <c r="L21" s="133" t="str">
        <f>IF(CAELS!M14&lt;15%,"1",IF(CAELS!M14&lt;18%,"2",IF(CAELS!M14&lt;22%,"3",IF(CAELS!M14&lt;25%,"4","5"))))</f>
        <v>1</v>
      </c>
      <c r="M21" s="133" t="str">
        <f>IF(CAELS!N14&lt;15%,"1",IF(CAELS!N14&lt;18%,"2",IF(CAELS!N14&lt;22%,"3",IF(CAELS!N14&lt;25%,"4","5"))))</f>
        <v>1</v>
      </c>
      <c r="N21" s="133" t="str">
        <f>IF(CAELS!O14&lt;15%,"1",IF(CAELS!O14&lt;18%,"2",IF(CAELS!O14&lt;22%,"3",IF(CAELS!O14&lt;25%,"4","5"))))</f>
        <v>1</v>
      </c>
      <c r="O21" s="133" t="str">
        <f>IF(CAELS!P14&lt;15%,"1",IF(CAELS!P14&lt;18%,"2",IF(CAELS!P14&lt;22%,"3",IF(CAELS!P14&lt;25%,"4","5"))))</f>
        <v>1</v>
      </c>
      <c r="P21" s="133" t="str">
        <f>IF(CAELS!Q14&lt;15%,"1",IF(CAELS!Q14&lt;18%,"2",IF(CAELS!Q14&lt;22%,"3",IF(CAELS!Q14&lt;25%,"4","5"))))</f>
        <v>1</v>
      </c>
      <c r="Q21" s="133" t="str">
        <f>IF(CAELS!R14&lt;15%,"1",IF(CAELS!R14&lt;18%,"2",IF(CAELS!R14&lt;22%,"3",IF(CAELS!R14&lt;25%,"4","5"))))</f>
        <v>1</v>
      </c>
      <c r="R21" s="133" t="str">
        <f>IF(CAELS!S14&lt;15%,"1",IF(CAELS!S14&lt;18%,"2",IF(CAELS!S14&lt;22%,"3",IF(CAELS!S14&lt;25%,"4","5"))))</f>
        <v>1</v>
      </c>
      <c r="S21" s="133" t="str">
        <f>IF(CAELS!T14&lt;15%,"1",IF(CAELS!T14&lt;18%,"2",IF(CAELS!T14&lt;22%,"3",IF(CAELS!T14&lt;25%,"4","5"))))</f>
        <v>1</v>
      </c>
      <c r="T21" s="133" t="str">
        <f>IF(CAELS!U14&lt;15%,"1",IF(CAELS!U14&lt;18%,"2",IF(CAELS!U14&lt;22%,"3",IF(CAELS!U14&lt;25%,"4","5"))))</f>
        <v>1</v>
      </c>
      <c r="U21" s="133" t="str">
        <f>IF(CAELS!V14&lt;15%,"1",IF(CAELS!V14&lt;18%,"2",IF(CAELS!V14&lt;22%,"3",IF(CAELS!V14&lt;25%,"4","5"))))</f>
        <v>1</v>
      </c>
    </row>
    <row r="22" spans="1:21">
      <c r="A22" s="57" t="s">
        <v>277</v>
      </c>
      <c r="B22" s="2"/>
      <c r="C22" s="133" t="str">
        <f>IF(CAELS!D15&gt;15%,"1",IF(CAELS!D15&gt;12%,"2",IF(CAELS!D15&gt;9%,"3",IF(CAELS!D15&gt;6%,"4","5"))))</f>
        <v>2</v>
      </c>
      <c r="D22" s="133" t="str">
        <f>IF(CAELS!E15&gt;15%,"1",IF(CAELS!E15&gt;12%,"2",IF(CAELS!E15&gt;9%,"3",IF(CAELS!E15&gt;6%,"4","5"))))</f>
        <v>3</v>
      </c>
      <c r="E22" s="133" t="str">
        <f>IF(CAELS!F15&gt;15%,"1",IF(CAELS!F15&gt;12%,"2",IF(CAELS!F15&gt;9%,"3",IF(CAELS!F15&gt;6%,"4","5"))))</f>
        <v>3</v>
      </c>
      <c r="F22" s="133" t="str">
        <f>IF(CAELS!G15&gt;15%,"1",IF(CAELS!G15&gt;12%,"2",IF(CAELS!G15&gt;9%,"3",IF(CAELS!G15&gt;6%,"4","5"))))</f>
        <v>3</v>
      </c>
      <c r="G22" s="133" t="str">
        <f>IF(CAELS!H15&gt;15%,"1",IF(CAELS!H15&gt;12%,"2",IF(CAELS!H15&gt;9%,"3",IF(CAELS!H15&gt;6%,"4","5"))))</f>
        <v>5</v>
      </c>
      <c r="H22" s="133" t="str">
        <f>IF(CAELS!I15&gt;15%,"1",IF(CAELS!I15&gt;12%,"2",IF(CAELS!I15&gt;9%,"3",IF(CAELS!I15&gt;6%,"4","5"))))</f>
        <v>4</v>
      </c>
      <c r="I22" s="133" t="str">
        <f>IF(CAELS!J15&gt;15%,"1",IF(CAELS!J15&gt;12%,"2",IF(CAELS!J15&gt;9%,"3",IF(CAELS!J15&gt;6%,"4","5"))))</f>
        <v>5</v>
      </c>
      <c r="J22" s="133" t="str">
        <f>IF(CAELS!K15&gt;15%,"1",IF(CAELS!K15&gt;12%,"2",IF(CAELS!K15&gt;9%,"3",IF(CAELS!K15&gt;6%,"4","5"))))</f>
        <v>4</v>
      </c>
      <c r="K22" s="133" t="str">
        <f>IF(CAELS!L15&gt;15%,"1",IF(CAELS!L15&gt;12%,"2",IF(CAELS!L15&gt;9%,"3",IF(CAELS!L15&gt;6%,"4","5"))))</f>
        <v>5</v>
      </c>
      <c r="L22" s="133" t="str">
        <f>IF(CAELS!M15&gt;15%,"1",IF(CAELS!M15&gt;12%,"2",IF(CAELS!M15&gt;9%,"3",IF(CAELS!M15&gt;6%,"4","5"))))</f>
        <v>5</v>
      </c>
      <c r="M22" s="133" t="str">
        <f>IF(CAELS!N15&gt;15%,"1",IF(CAELS!N15&gt;12%,"2",IF(CAELS!N15&gt;9%,"3",IF(CAELS!N15&gt;6%,"4","5"))))</f>
        <v>4</v>
      </c>
      <c r="N22" s="133" t="str">
        <f>IF(CAELS!O15&gt;15%,"1",IF(CAELS!O15&gt;12%,"2",IF(CAELS!O15&gt;9%,"3",IF(CAELS!O15&gt;6%,"4","5"))))</f>
        <v>4</v>
      </c>
      <c r="O22" s="133" t="str">
        <f>IF(CAELS!P15&gt;15%,"1",IF(CAELS!P15&gt;12%,"2",IF(CAELS!P15&gt;9%,"3",IF(CAELS!P15&gt;6%,"4","5"))))</f>
        <v>3</v>
      </c>
      <c r="P22" s="133" t="str">
        <f>IF(CAELS!Q15&gt;15%,"1",IF(CAELS!Q15&gt;12%,"2",IF(CAELS!Q15&gt;9%,"3",IF(CAELS!Q15&gt;6%,"4","5"))))</f>
        <v>2</v>
      </c>
      <c r="Q22" s="133" t="str">
        <f>IF(CAELS!R15&gt;15%,"1",IF(CAELS!R15&gt;12%,"2",IF(CAELS!R15&gt;9%,"3",IF(CAELS!R15&gt;6%,"4","5"))))</f>
        <v>2</v>
      </c>
      <c r="R22" s="133" t="str">
        <f>IF(CAELS!S15&gt;15%,"1",IF(CAELS!S15&gt;12%,"2",IF(CAELS!S15&gt;9%,"3",IF(CAELS!S15&gt;6%,"4","5"))))</f>
        <v>3</v>
      </c>
      <c r="S22" s="133" t="str">
        <f>IF(CAELS!T15&gt;15%,"1",IF(CAELS!T15&gt;12%,"2",IF(CAELS!T15&gt;9%,"3",IF(CAELS!T15&gt;6%,"4","5"))))</f>
        <v>2</v>
      </c>
      <c r="T22" s="133" t="str">
        <f>IF(CAELS!U15&gt;15%,"1",IF(CAELS!U15&gt;12%,"2",IF(CAELS!U15&gt;9%,"3",IF(CAELS!U15&gt;6%,"4","5"))))</f>
        <v>3</v>
      </c>
      <c r="U22" s="133" t="str">
        <f>IF(CAELS!V15&gt;15%,"1",IF(CAELS!V15&gt;12%,"2",IF(CAELS!V15&gt;9%,"3",IF(CAELS!V15&gt;6%,"4","5"))))</f>
        <v>4</v>
      </c>
    </row>
    <row r="23" spans="1:21">
      <c r="A23" s="57"/>
      <c r="B23" s="2"/>
      <c r="C23" s="146">
        <f t="shared" ref="C23:K23" si="6">(C19+C20+C21+C22)/4</f>
        <v>2.25</v>
      </c>
      <c r="D23" s="146">
        <f t="shared" si="6"/>
        <v>2.5</v>
      </c>
      <c r="E23" s="146">
        <f t="shared" si="6"/>
        <v>2.5</v>
      </c>
      <c r="F23" s="146">
        <f t="shared" si="6"/>
        <v>2.5</v>
      </c>
      <c r="G23" s="146">
        <f t="shared" si="6"/>
        <v>3.25</v>
      </c>
      <c r="H23" s="146">
        <f t="shared" si="6"/>
        <v>2.75</v>
      </c>
      <c r="I23" s="146">
        <f t="shared" si="6"/>
        <v>3.25</v>
      </c>
      <c r="J23" s="146">
        <f t="shared" si="6"/>
        <v>2.75</v>
      </c>
      <c r="K23" s="146">
        <f t="shared" si="6"/>
        <v>3.25</v>
      </c>
      <c r="L23" s="146">
        <f t="shared" ref="L23:S23" si="7">(L19+L20+L21+L22)/4</f>
        <v>3.25</v>
      </c>
      <c r="M23" s="146">
        <f t="shared" si="7"/>
        <v>2.75</v>
      </c>
      <c r="N23" s="146">
        <f t="shared" si="7"/>
        <v>2.75</v>
      </c>
      <c r="O23" s="146">
        <f t="shared" si="7"/>
        <v>2.5</v>
      </c>
      <c r="P23" s="146">
        <f t="shared" si="7"/>
        <v>2</v>
      </c>
      <c r="Q23" s="146">
        <f t="shared" si="7"/>
        <v>2</v>
      </c>
      <c r="R23" s="146">
        <f t="shared" si="7"/>
        <v>2.25</v>
      </c>
      <c r="S23" s="146">
        <f t="shared" si="7"/>
        <v>2</v>
      </c>
      <c r="T23" s="146">
        <f>(T19+T20+T21+T22)/4</f>
        <v>2.25</v>
      </c>
      <c r="U23" s="146">
        <f>(U19+U20+U21+U22)/4</f>
        <v>2.75</v>
      </c>
    </row>
    <row r="24" spans="1:21">
      <c r="A24" s="128" t="s">
        <v>189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</row>
    <row r="25" spans="1:21">
      <c r="A25" s="57" t="s">
        <v>278</v>
      </c>
      <c r="B25" s="131" t="s">
        <v>279</v>
      </c>
      <c r="C25" s="133" t="str">
        <f>IF(CAELS!D16&lt;6%,"1",IF(CAELS!D16&lt;7%,"2",IF(CAELS!D16&lt;8%,"3",IF(CAELS!D16&lt;10%,"4","5"))))</f>
        <v>5</v>
      </c>
      <c r="D25" s="133" t="str">
        <f>IF(CAELS!E16&lt;6%,"1",IF(CAELS!E16&lt;7%,"2",IF(CAELS!E16&lt;8%,"3",IF(CAELS!E16&lt;10%,"4","5"))))</f>
        <v>4</v>
      </c>
      <c r="E25" s="133" t="str">
        <f>IF(CAELS!F16&lt;6%,"1",IF(CAELS!F16&lt;7%,"2",IF(CAELS!F16&lt;8%,"3",IF(CAELS!F16&lt;10%,"4","5"))))</f>
        <v>1</v>
      </c>
      <c r="F25" s="133" t="str">
        <f>IF(CAELS!G16&lt;6%,"1",IF(CAELS!G16&lt;7%,"2",IF(CAELS!G16&lt;8%,"3",IF(CAELS!G16&lt;10%,"4","5"))))</f>
        <v>1</v>
      </c>
      <c r="G25" s="133" t="str">
        <f>IF(CAELS!H16&lt;6%,"1",IF(CAELS!H16&lt;7%,"2",IF(CAELS!H16&lt;8%,"3",IF(CAELS!H16&lt;10%,"4","5"))))</f>
        <v>5</v>
      </c>
      <c r="H25" s="133" t="str">
        <f>IF(CAELS!I16&lt;6%,"1",IF(CAELS!I16&lt;7%,"2",IF(CAELS!I16&lt;8%,"3",IF(CAELS!I16&lt;10%,"4","5"))))</f>
        <v>4</v>
      </c>
      <c r="I25" s="133" t="str">
        <f>IF(CAELS!J16&lt;6%,"1",IF(CAELS!J16&lt;7%,"2",IF(CAELS!J16&lt;8%,"3",IF(CAELS!J16&lt;10%,"4","5"))))</f>
        <v>5</v>
      </c>
      <c r="J25" s="133" t="str">
        <f>IF(CAELS!K16&lt;6%,"1",IF(CAELS!K16&lt;7%,"2",IF(CAELS!K16&lt;8%,"3",IF(CAELS!K16&lt;10%,"4","5"))))</f>
        <v>3</v>
      </c>
      <c r="K25" s="133" t="str">
        <f>IF(CAELS!L16&lt;6%,"1",IF(CAELS!L16&lt;7%,"2",IF(CAELS!L16&lt;8%,"3",IF(CAELS!L16&lt;10%,"4","5"))))</f>
        <v>5</v>
      </c>
      <c r="L25" s="133" t="str">
        <f>IF(CAELS!M16&lt;6%,"1",IF(CAELS!M16&lt;7%,"2",IF(CAELS!M16&lt;8%,"3",IF(CAELS!M16&lt;10%,"4","5"))))</f>
        <v>5</v>
      </c>
      <c r="M25" s="133" t="str">
        <f>IF(CAELS!N16&lt;6%,"1",IF(CAELS!N16&lt;7%,"2",IF(CAELS!N16&lt;8%,"3",IF(CAELS!N16&lt;10%,"4","5"))))</f>
        <v>5</v>
      </c>
      <c r="N25" s="133" t="str">
        <f>IF(CAELS!O16&lt;6%,"1",IF(CAELS!O16&lt;7%,"2",IF(CAELS!O16&lt;8%,"3",IF(CAELS!O16&lt;10%,"4","5"))))</f>
        <v>4</v>
      </c>
      <c r="O25" s="133" t="str">
        <f>IF(CAELS!P16&lt;6%,"1",IF(CAELS!P16&lt;7%,"2",IF(CAELS!P16&lt;8%,"3",IF(CAELS!P16&lt;10%,"4","5"))))</f>
        <v>4</v>
      </c>
      <c r="P25" s="133" t="str">
        <f>IF(CAELS!Q16&lt;6%,"1",IF(CAELS!Q16&lt;7%,"2",IF(CAELS!Q16&lt;8%,"3",IF(CAELS!Q16&lt;10%,"4","5"))))</f>
        <v>2</v>
      </c>
      <c r="Q25" s="133" t="str">
        <f>IF(CAELS!R16&lt;6%,"1",IF(CAELS!R16&lt;7%,"2",IF(CAELS!R16&lt;8%,"3",IF(CAELS!R16&lt;10%,"4","5"))))</f>
        <v>1</v>
      </c>
      <c r="R25" s="133" t="str">
        <f>IF(CAELS!S16&lt;6%,"1",IF(CAELS!S16&lt;7%,"2",IF(CAELS!S16&lt;8%,"3",IF(CAELS!S16&lt;10%,"4","5"))))</f>
        <v>5</v>
      </c>
      <c r="S25" s="133" t="str">
        <f>IF(CAELS!T16&lt;6%,"1",IF(CAELS!T16&lt;7%,"2",IF(CAELS!T16&lt;8%,"3",IF(CAELS!T16&lt;10%,"4","5"))))</f>
        <v>3</v>
      </c>
      <c r="T25" s="133" t="str">
        <f>IF(CAELS!U16&lt;6%,"1",IF(CAELS!U16&lt;7%,"2",IF(CAELS!U16&lt;8%,"3",IF(CAELS!U16&lt;10%,"4","5"))))</f>
        <v>4</v>
      </c>
      <c r="U25" s="133" t="str">
        <f>IF(CAELS!V16&lt;6%,"1",IF(CAELS!V16&lt;7%,"2",IF(CAELS!V16&lt;8%,"3",IF(CAELS!V16&lt;10%,"4","5"))))</f>
        <v>5</v>
      </c>
    </row>
    <row r="26" spans="1:21">
      <c r="A26" s="57" t="s">
        <v>280</v>
      </c>
      <c r="B26" s="131" t="s">
        <v>281</v>
      </c>
      <c r="C26" s="133" t="str">
        <f>IF(CAELS!D17&lt;2%,"1",IF(CAELS!D17&lt;3%,"2",IF(CAELS!D17&lt;4%,"3",IF(CAELS!D17&lt;5%,"4","5"))))</f>
        <v>3</v>
      </c>
      <c r="D26" s="133" t="str">
        <f>IF(CAELS!E17&lt;2%,"1",IF(CAELS!E17&lt;3%,"2",IF(CAELS!E17&lt;4%,"3",IF(CAELS!E17&lt;5%,"4","5"))))</f>
        <v>2</v>
      </c>
      <c r="E26" s="133" t="str">
        <f>IF(CAELS!F17&lt;2%,"1",IF(CAELS!F17&lt;3%,"2",IF(CAELS!F17&lt;4%,"3",IF(CAELS!F17&lt;5%,"4","5"))))</f>
        <v>1</v>
      </c>
      <c r="F26" s="133" t="str">
        <f>IF(CAELS!G17&lt;2%,"1",IF(CAELS!G17&lt;3%,"2",IF(CAELS!G17&lt;4%,"3",IF(CAELS!G17&lt;5%,"4","5"))))</f>
        <v>1</v>
      </c>
      <c r="G26" s="133" t="str">
        <f>IF(CAELS!H17&lt;2%,"1",IF(CAELS!H17&lt;3%,"2",IF(CAELS!H17&lt;4%,"3",IF(CAELS!H17&lt;5%,"4","5"))))</f>
        <v>1</v>
      </c>
      <c r="H26" s="133" t="str">
        <f>IF(CAELS!I17&lt;2%,"1",IF(CAELS!I17&lt;3%,"2",IF(CAELS!I17&lt;4%,"3",IF(CAELS!I17&lt;5%,"4","5"))))</f>
        <v>1</v>
      </c>
      <c r="I26" s="133" t="str">
        <f>IF(CAELS!J17&lt;2%,"1",IF(CAELS!J17&lt;3%,"2",IF(CAELS!J17&lt;4%,"3",IF(CAELS!J17&lt;5%,"4","5"))))</f>
        <v>2</v>
      </c>
      <c r="J26" s="133" t="str">
        <f>IF(CAELS!K17&lt;2%,"1",IF(CAELS!K17&lt;3%,"2",IF(CAELS!K17&lt;4%,"3",IF(CAELS!K17&lt;5%,"4","5"))))</f>
        <v>2</v>
      </c>
      <c r="K26" s="133" t="str">
        <f>IF(CAELS!L17&lt;2%,"1",IF(CAELS!L17&lt;3%,"2",IF(CAELS!L17&lt;4%,"3",IF(CAELS!L17&lt;5%,"4","5"))))</f>
        <v>1</v>
      </c>
      <c r="L26" s="133" t="str">
        <f>IF(CAELS!M17&lt;2%,"1",IF(CAELS!M17&lt;3%,"2",IF(CAELS!M17&lt;4%,"3",IF(CAELS!M17&lt;5%,"4","5"))))</f>
        <v>1</v>
      </c>
      <c r="M26" s="133" t="str">
        <f>IF(CAELS!N17&lt;2%,"1",IF(CAELS!N17&lt;3%,"2",IF(CAELS!N17&lt;4%,"3",IF(CAELS!N17&lt;5%,"4","5"))))</f>
        <v>1</v>
      </c>
      <c r="N26" s="133" t="str">
        <f>IF(CAELS!O17&lt;2%,"1",IF(CAELS!O17&lt;3%,"2",IF(CAELS!O17&lt;4%,"3",IF(CAELS!O17&lt;5%,"4","5"))))</f>
        <v>1</v>
      </c>
      <c r="O26" s="133" t="str">
        <f>IF(CAELS!P17&lt;2%,"1",IF(CAELS!P17&lt;3%,"2",IF(CAELS!P17&lt;4%,"3",IF(CAELS!P17&lt;5%,"4","5"))))</f>
        <v>1</v>
      </c>
      <c r="P26" s="133" t="str">
        <f>IF(CAELS!Q17&lt;2%,"1",IF(CAELS!Q17&lt;3%,"2",IF(CAELS!Q17&lt;4%,"3",IF(CAELS!Q17&lt;5%,"4","5"))))</f>
        <v>1</v>
      </c>
      <c r="Q26" s="133" t="str">
        <f>IF(CAELS!R17&lt;2%,"1",IF(CAELS!R17&lt;3%,"2",IF(CAELS!R17&lt;4%,"3",IF(CAELS!R17&lt;5%,"4","5"))))</f>
        <v>1</v>
      </c>
      <c r="R26" s="133" t="str">
        <f>IF(CAELS!S17&lt;2%,"1",IF(CAELS!S17&lt;3%,"2",IF(CAELS!S17&lt;4%,"3",IF(CAELS!S17&lt;5%,"4","5"))))</f>
        <v>1</v>
      </c>
      <c r="S26" s="133" t="str">
        <f>IF(CAELS!T17&lt;2%,"1",IF(CAELS!T17&lt;3%,"2",IF(CAELS!T17&lt;4%,"3",IF(CAELS!T17&lt;5%,"4","5"))))</f>
        <v>1</v>
      </c>
      <c r="T26" s="133" t="str">
        <f>IF(CAELS!U17&lt;2%,"1",IF(CAELS!U17&lt;3%,"2",IF(CAELS!U17&lt;4%,"3",IF(CAELS!U17&lt;5%,"4","5"))))</f>
        <v>2</v>
      </c>
      <c r="U26" s="133" t="str">
        <f>IF(CAELS!V17&lt;2%,"1",IF(CAELS!V17&lt;3%,"2",IF(CAELS!V17&lt;4%,"3",IF(CAELS!V17&lt;5%,"4","5"))))</f>
        <v>5</v>
      </c>
    </row>
    <row r="27" spans="1:21">
      <c r="A27" s="57" t="s">
        <v>282</v>
      </c>
      <c r="B27" s="131" t="s">
        <v>281</v>
      </c>
      <c r="C27" s="133" t="str">
        <f>IF(CAELS!D18&lt;2%,"1",IF(CAELS!D18&lt;3%,"2",IF(CAELS!D18&lt;4%,"3",IF(CAELS!D18&lt;5%,"4","5"))))</f>
        <v>1</v>
      </c>
      <c r="D27" s="133" t="str">
        <f>IF(CAELS!E18&lt;2%,"1",IF(CAELS!E18&lt;3%,"2",IF(CAELS!E18&lt;4%,"3",IF(CAELS!E18&lt;5%,"4","5"))))</f>
        <v>1</v>
      </c>
      <c r="E27" s="133" t="str">
        <f>IF(CAELS!F18&lt;2%,"1",IF(CAELS!F18&lt;3%,"2",IF(CAELS!F18&lt;4%,"3",IF(CAELS!F18&lt;5%,"4","5"))))</f>
        <v>2</v>
      </c>
      <c r="F27" s="133" t="str">
        <f>IF(CAELS!G18&lt;2%,"1",IF(CAELS!G18&lt;3%,"2",IF(CAELS!G18&lt;4%,"3",IF(CAELS!G18&lt;5%,"4","5"))))</f>
        <v>5</v>
      </c>
      <c r="G27" s="133" t="str">
        <f>IF(CAELS!H18&lt;2%,"1",IF(CAELS!H18&lt;3%,"2",IF(CAELS!H18&lt;4%,"3",IF(CAELS!H18&lt;5%,"4","5"))))</f>
        <v>5</v>
      </c>
      <c r="H27" s="133" t="str">
        <f>IF(CAELS!I18&lt;2%,"1",IF(CAELS!I18&lt;3%,"2",IF(CAELS!I18&lt;4%,"3",IF(CAELS!I18&lt;5%,"4","5"))))</f>
        <v>5</v>
      </c>
      <c r="I27" s="133" t="str">
        <f>IF(CAELS!J18&lt;2%,"1",IF(CAELS!J18&lt;3%,"2",IF(CAELS!J18&lt;4%,"3",IF(CAELS!J18&lt;5%,"4","5"))))</f>
        <v>5</v>
      </c>
      <c r="J27" s="133" t="str">
        <f>IF(CAELS!K18&lt;2%,"1",IF(CAELS!K18&lt;3%,"2",IF(CAELS!K18&lt;4%,"3",IF(CAELS!K18&lt;5%,"4","5"))))</f>
        <v>5</v>
      </c>
      <c r="K27" s="133" t="str">
        <f>IF(CAELS!L18&lt;2%,"1",IF(CAELS!L18&lt;3%,"2",IF(CAELS!L18&lt;4%,"3",IF(CAELS!L18&lt;5%,"4","5"))))</f>
        <v>5</v>
      </c>
      <c r="L27" s="133" t="str">
        <f>IF(CAELS!M18&lt;2%,"1",IF(CAELS!M18&lt;3%,"2",IF(CAELS!M18&lt;4%,"3",IF(CAELS!M18&lt;5%,"4","5"))))</f>
        <v>5</v>
      </c>
      <c r="M27" s="133" t="str">
        <f>IF(CAELS!N18&lt;2%,"1",IF(CAELS!N18&lt;3%,"2",IF(CAELS!N18&lt;4%,"3",IF(CAELS!N18&lt;5%,"4","5"))))</f>
        <v>5</v>
      </c>
      <c r="N27" s="133" t="str">
        <f>IF(CAELS!O18&lt;2%,"1",IF(CAELS!O18&lt;3%,"2",IF(CAELS!O18&lt;4%,"3",IF(CAELS!O18&lt;5%,"4","5"))))</f>
        <v>5</v>
      </c>
      <c r="O27" s="133" t="str">
        <f>IF(CAELS!P18&lt;2%,"1",IF(CAELS!P18&lt;3%,"2",IF(CAELS!P18&lt;4%,"3",IF(CAELS!P18&lt;5%,"4","5"))))</f>
        <v>5</v>
      </c>
      <c r="P27" s="133" t="str">
        <f>IF(CAELS!Q18&lt;2%,"1",IF(CAELS!Q18&lt;3%,"2",IF(CAELS!Q18&lt;4%,"3",IF(CAELS!Q18&lt;5%,"4","5"))))</f>
        <v>5</v>
      </c>
      <c r="Q27" s="133" t="str">
        <f>IF(CAELS!R18&lt;2%,"1",IF(CAELS!R18&lt;3%,"2",IF(CAELS!R18&lt;4%,"3",IF(CAELS!R18&lt;5%,"4","5"))))</f>
        <v>1</v>
      </c>
      <c r="R27" s="133" t="str">
        <f>IF(CAELS!S18&lt;2%,"1",IF(CAELS!S18&lt;3%,"2",IF(CAELS!S18&lt;4%,"3",IF(CAELS!S18&lt;5%,"4","5"))))</f>
        <v>5</v>
      </c>
      <c r="S27" s="133" t="str">
        <f>IF(CAELS!T18&lt;2%,"1",IF(CAELS!T18&lt;3%,"2",IF(CAELS!T18&lt;4%,"3",IF(CAELS!T18&lt;5%,"4","5"))))</f>
        <v>5</v>
      </c>
      <c r="T27" s="133" t="str">
        <f>IF(CAELS!U18&lt;2%,"1",IF(CAELS!U18&lt;3%,"2",IF(CAELS!U18&lt;4%,"3",IF(CAELS!U18&lt;5%,"4","5"))))</f>
        <v>5</v>
      </c>
      <c r="U27" s="133" t="str">
        <f>IF(CAELS!V18&lt;2%,"1",IF(CAELS!V18&lt;3%,"2",IF(CAELS!V18&lt;4%,"3",IF(CAELS!V18&lt;5%,"4","5"))))</f>
        <v>5</v>
      </c>
    </row>
    <row r="28" spans="1:21">
      <c r="A28" s="57" t="s">
        <v>283</v>
      </c>
      <c r="B28" s="131" t="s">
        <v>284</v>
      </c>
      <c r="C28" s="133" t="str">
        <f>IF(CAELS!D19&lt;20%,"1",IF(CAELS!D19&lt;25%,"2",IF(CAELS!D19&lt;30%,"3",IF(CAELS!D19&lt;40%,"4","5"))))</f>
        <v>1</v>
      </c>
      <c r="D28" s="133" t="str">
        <f>IF(CAELS!E19&lt;20%,"1",IF(CAELS!E19&lt;25%,"2",IF(CAELS!E19&lt;30%,"3",IF(CAELS!E19&lt;40%,"4","5"))))</f>
        <v>1</v>
      </c>
      <c r="E28" s="133" t="str">
        <f>IF(CAELS!F19&lt;20%,"1",IF(CAELS!F19&lt;25%,"2",IF(CAELS!F19&lt;30%,"3",IF(CAELS!F19&lt;40%,"4","5"))))</f>
        <v>1</v>
      </c>
      <c r="F28" s="133" t="str">
        <f>IF(CAELS!G19&lt;20%,"1",IF(CAELS!G19&lt;25%,"2",IF(CAELS!G19&lt;30%,"3",IF(CAELS!G19&lt;40%,"4","5"))))</f>
        <v>2</v>
      </c>
      <c r="G28" s="133" t="str">
        <f>IF(CAELS!H19&lt;20%,"1",IF(CAELS!H19&lt;25%,"2",IF(CAELS!H19&lt;30%,"3",IF(CAELS!H19&lt;40%,"4","5"))))</f>
        <v>2</v>
      </c>
      <c r="H28" s="133" t="str">
        <f>IF(CAELS!I19&lt;20%,"1",IF(CAELS!I19&lt;25%,"2",IF(CAELS!I19&lt;30%,"3",IF(CAELS!I19&lt;40%,"4","5"))))</f>
        <v>2</v>
      </c>
      <c r="I28" s="133" t="str">
        <f>IF(CAELS!J19&lt;20%,"1",IF(CAELS!J19&lt;25%,"2",IF(CAELS!J19&lt;30%,"3",IF(CAELS!J19&lt;40%,"4","5"))))</f>
        <v>2</v>
      </c>
      <c r="J28" s="133" t="str">
        <f>IF(CAELS!K19&lt;20%,"1",IF(CAELS!K19&lt;25%,"2",IF(CAELS!K19&lt;30%,"3",IF(CAELS!K19&lt;40%,"4","5"))))</f>
        <v>2</v>
      </c>
      <c r="K28" s="133" t="str">
        <f>IF(CAELS!L19&lt;20%,"1",IF(CAELS!L19&lt;25%,"2",IF(CAELS!L19&lt;30%,"3",IF(CAELS!L19&lt;40%,"4","5"))))</f>
        <v>2</v>
      </c>
      <c r="L28" s="133" t="str">
        <f>IF(CAELS!M19&lt;20%,"1",IF(CAELS!M19&lt;25%,"2",IF(CAELS!M19&lt;30%,"3",IF(CAELS!M19&lt;40%,"4","5"))))</f>
        <v>2</v>
      </c>
      <c r="M28" s="133" t="str">
        <f>IF(CAELS!N19&lt;20%,"1",IF(CAELS!N19&lt;25%,"2",IF(CAELS!N19&lt;30%,"3",IF(CAELS!N19&lt;40%,"4","5"))))</f>
        <v>2</v>
      </c>
      <c r="N28" s="133" t="str">
        <f>IF(CAELS!O19&lt;20%,"1",IF(CAELS!O19&lt;25%,"2",IF(CAELS!O19&lt;30%,"3",IF(CAELS!O19&lt;40%,"4","5"))))</f>
        <v>2</v>
      </c>
      <c r="O28" s="133" t="str">
        <f>IF(CAELS!P19&lt;20%,"1",IF(CAELS!P19&lt;25%,"2",IF(CAELS!P19&lt;30%,"3",IF(CAELS!P19&lt;40%,"4","5"))))</f>
        <v>2</v>
      </c>
      <c r="P28" s="133" t="str">
        <f>IF(CAELS!Q19&lt;20%,"1",IF(CAELS!Q19&lt;25%,"2",IF(CAELS!Q19&lt;30%,"3",IF(CAELS!Q19&lt;40%,"4","5"))))</f>
        <v>2</v>
      </c>
      <c r="Q28" s="133" t="str">
        <f>IF(CAELS!R19&lt;20%,"1",IF(CAELS!R19&lt;25%,"2",IF(CAELS!R19&lt;30%,"3",IF(CAELS!R19&lt;40%,"4","5"))))</f>
        <v>1</v>
      </c>
      <c r="R28" s="133" t="str">
        <f>IF(CAELS!S19&lt;20%,"1",IF(CAELS!S19&lt;25%,"2",IF(CAELS!S19&lt;30%,"3",IF(CAELS!S19&lt;40%,"4","5"))))</f>
        <v>2</v>
      </c>
      <c r="S28" s="133" t="str">
        <f>IF(CAELS!T19&lt;20%,"1",IF(CAELS!T19&lt;25%,"2",IF(CAELS!T19&lt;30%,"3",IF(CAELS!T19&lt;40%,"4","5"))))</f>
        <v>2</v>
      </c>
      <c r="T28" s="133" t="str">
        <f>IF(CAELS!U19&lt;20%,"1",IF(CAELS!U19&lt;25%,"2",IF(CAELS!U19&lt;30%,"3",IF(CAELS!U19&lt;40%,"4","5"))))</f>
        <v>2</v>
      </c>
      <c r="U28" s="133" t="str">
        <f>IF(CAELS!V19&lt;20%,"1",IF(CAELS!V19&lt;25%,"2",IF(CAELS!V19&lt;30%,"3",IF(CAELS!V19&lt;40%,"4","5"))))</f>
        <v>1</v>
      </c>
    </row>
    <row r="29" spans="1:21">
      <c r="A29" s="57"/>
      <c r="B29" s="2"/>
      <c r="C29" s="147">
        <f t="shared" ref="C29:K29" si="8">(C25+C26+C27+C28)/4</f>
        <v>2.5</v>
      </c>
      <c r="D29" s="147">
        <f t="shared" si="8"/>
        <v>2</v>
      </c>
      <c r="E29" s="147">
        <f t="shared" si="8"/>
        <v>1.25</v>
      </c>
      <c r="F29" s="147">
        <f t="shared" si="8"/>
        <v>2.25</v>
      </c>
      <c r="G29" s="147">
        <f t="shared" si="8"/>
        <v>3.25</v>
      </c>
      <c r="H29" s="147">
        <f t="shared" si="8"/>
        <v>3</v>
      </c>
      <c r="I29" s="147">
        <f t="shared" si="8"/>
        <v>3.5</v>
      </c>
      <c r="J29" s="147">
        <f t="shared" si="8"/>
        <v>3</v>
      </c>
      <c r="K29" s="147">
        <f t="shared" si="8"/>
        <v>3.25</v>
      </c>
      <c r="L29" s="147">
        <f t="shared" ref="L29:S29" si="9">(L25+L26+L27+L28)/4</f>
        <v>3.25</v>
      </c>
      <c r="M29" s="147">
        <f t="shared" si="9"/>
        <v>3.25</v>
      </c>
      <c r="N29" s="147">
        <f t="shared" si="9"/>
        <v>3</v>
      </c>
      <c r="O29" s="147">
        <f t="shared" si="9"/>
        <v>3</v>
      </c>
      <c r="P29" s="147">
        <f t="shared" si="9"/>
        <v>2.5</v>
      </c>
      <c r="Q29" s="147">
        <f t="shared" si="9"/>
        <v>1</v>
      </c>
      <c r="R29" s="147">
        <f t="shared" si="9"/>
        <v>3.25</v>
      </c>
      <c r="S29" s="147">
        <f t="shared" si="9"/>
        <v>2.75</v>
      </c>
      <c r="T29" s="147">
        <f>(T25+T26+T27+T28)/4</f>
        <v>3.25</v>
      </c>
      <c r="U29" s="147">
        <f>(U25+U26+U27+U28)/4</f>
        <v>4</v>
      </c>
    </row>
    <row r="30" spans="1:21" ht="15" thickBot="1">
      <c r="A30" s="138" t="s">
        <v>285</v>
      </c>
      <c r="B30" s="139"/>
      <c r="C30" s="148">
        <f t="shared" ref="C30:K30" si="10">(C9+C12+C17+C23)/4</f>
        <v>1.7708333333333333</v>
      </c>
      <c r="D30" s="148">
        <f t="shared" si="10"/>
        <v>2.0208333333333335</v>
      </c>
      <c r="E30" s="148">
        <f t="shared" si="10"/>
        <v>1.5625</v>
      </c>
      <c r="F30" s="148">
        <f t="shared" si="10"/>
        <v>1.5625</v>
      </c>
      <c r="G30" s="148">
        <f t="shared" si="10"/>
        <v>1.75</v>
      </c>
      <c r="H30" s="148">
        <f t="shared" si="10"/>
        <v>1.625</v>
      </c>
      <c r="I30" s="148">
        <f t="shared" si="10"/>
        <v>1.75</v>
      </c>
      <c r="J30" s="148">
        <f t="shared" si="10"/>
        <v>1.625</v>
      </c>
      <c r="K30" s="148">
        <f t="shared" si="10"/>
        <v>1.8333333333333335</v>
      </c>
      <c r="L30" s="148">
        <f t="shared" ref="L30:S30" si="11">(L9+L12+L17+L23)/4</f>
        <v>2.1666666666666665</v>
      </c>
      <c r="M30" s="148">
        <f t="shared" si="11"/>
        <v>1.7916666666666665</v>
      </c>
      <c r="N30" s="148">
        <f t="shared" si="11"/>
        <v>1.7916666666666665</v>
      </c>
      <c r="O30" s="148">
        <f t="shared" si="11"/>
        <v>2.0625</v>
      </c>
      <c r="P30" s="148">
        <f t="shared" si="11"/>
        <v>1.8958333333333335</v>
      </c>
      <c r="Q30" s="148">
        <f t="shared" si="11"/>
        <v>1.8958333333333335</v>
      </c>
      <c r="R30" s="148">
        <f t="shared" si="11"/>
        <v>1.875</v>
      </c>
      <c r="S30" s="148">
        <f t="shared" si="11"/>
        <v>1.6458333333333335</v>
      </c>
      <c r="T30" s="148">
        <f>(T9+T12+T17+T23)/4</f>
        <v>1.5</v>
      </c>
      <c r="U30" s="148">
        <f>(U9+U12+U17+U23)/4</f>
        <v>1.875</v>
      </c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84CC-116E-4CBE-BFF5-9A89DC1E0ABB}">
  <dimension ref="A1:F50"/>
  <sheetViews>
    <sheetView workbookViewId="0">
      <selection activeCell="F11" sqref="F11"/>
    </sheetView>
  </sheetViews>
  <sheetFormatPr defaultRowHeight="14.45"/>
  <cols>
    <col min="1" max="1" width="41.7109375" bestFit="1" customWidth="1"/>
    <col min="3" max="3" width="14.140625" bestFit="1" customWidth="1"/>
    <col min="4" max="4" width="20" bestFit="1" customWidth="1"/>
    <col min="5" max="5" width="14.140625" bestFit="1" customWidth="1"/>
    <col min="6" max="6" width="16" bestFit="1" customWidth="1"/>
  </cols>
  <sheetData>
    <row r="1" spans="1:6">
      <c r="A1" s="347" t="s">
        <v>286</v>
      </c>
      <c r="B1" s="348"/>
      <c r="C1" s="348"/>
      <c r="D1" s="348"/>
      <c r="E1" s="348"/>
      <c r="F1" s="349"/>
    </row>
    <row r="2" spans="1:6">
      <c r="A2" s="350" t="s">
        <v>287</v>
      </c>
      <c r="B2" s="351"/>
      <c r="C2" s="351"/>
      <c r="D2" s="351"/>
      <c r="E2" s="351"/>
      <c r="F2" s="352"/>
    </row>
    <row r="3" spans="1:6">
      <c r="A3" s="261" t="s">
        <v>50</v>
      </c>
      <c r="B3" s="341" t="s">
        <v>90</v>
      </c>
      <c r="C3" s="262" t="s">
        <v>91</v>
      </c>
      <c r="D3" s="351" t="s">
        <v>92</v>
      </c>
      <c r="E3" s="353"/>
      <c r="F3" s="343" t="s">
        <v>93</v>
      </c>
    </row>
    <row r="4" spans="1:6" ht="24">
      <c r="A4" s="263" t="s">
        <v>50</v>
      </c>
      <c r="B4" s="342"/>
      <c r="C4" s="264">
        <v>2021</v>
      </c>
      <c r="D4" s="265" t="s">
        <v>288</v>
      </c>
      <c r="E4" s="266" t="s">
        <v>289</v>
      </c>
      <c r="F4" s="344"/>
    </row>
    <row r="5" spans="1:6">
      <c r="A5" s="354" t="s">
        <v>96</v>
      </c>
      <c r="B5" s="355"/>
      <c r="C5" s="355"/>
      <c r="D5" s="355"/>
      <c r="E5" s="355"/>
      <c r="F5" s="356"/>
    </row>
    <row r="6" spans="1:6">
      <c r="A6" s="263" t="s">
        <v>97</v>
      </c>
      <c r="B6" s="267" t="s">
        <v>290</v>
      </c>
      <c r="C6" s="268">
        <v>173810427</v>
      </c>
      <c r="D6" s="268">
        <v>188890335</v>
      </c>
      <c r="E6" s="268">
        <v>207005401</v>
      </c>
      <c r="F6" s="268">
        <v>133542865117</v>
      </c>
    </row>
    <row r="7" spans="1:6">
      <c r="A7" s="263" t="s">
        <v>99</v>
      </c>
      <c r="B7" s="267" t="s">
        <v>291</v>
      </c>
      <c r="C7" s="269">
        <v>0.127</v>
      </c>
      <c r="D7" s="269">
        <v>0.13600000000000001</v>
      </c>
      <c r="E7" s="269">
        <v>0.14099999999999999</v>
      </c>
      <c r="F7" s="269">
        <v>0.17699999999999999</v>
      </c>
    </row>
    <row r="8" spans="1:6">
      <c r="A8" s="263" t="s">
        <v>101</v>
      </c>
      <c r="B8" s="267" t="s">
        <v>292</v>
      </c>
      <c r="C8" s="269">
        <v>5.8000000000000003E-2</v>
      </c>
      <c r="D8" s="269">
        <v>6.6000000000000003E-2</v>
      </c>
      <c r="E8" s="271">
        <v>7.4999999999999997E-2</v>
      </c>
      <c r="F8" s="269">
        <v>0.11</v>
      </c>
    </row>
    <row r="9" spans="1:6">
      <c r="A9" s="354" t="s">
        <v>103</v>
      </c>
      <c r="B9" s="355"/>
      <c r="C9" s="355"/>
      <c r="D9" s="355"/>
      <c r="E9" s="355"/>
      <c r="F9" s="356"/>
    </row>
    <row r="10" spans="1:6">
      <c r="A10" s="263" t="s">
        <v>104</v>
      </c>
      <c r="B10" s="267" t="s">
        <v>105</v>
      </c>
      <c r="C10" s="269">
        <v>5.8000000000000003E-2</v>
      </c>
      <c r="D10" s="269">
        <v>7.1999999999999995E-2</v>
      </c>
      <c r="E10" s="271">
        <v>7.4999999999999997E-2</v>
      </c>
      <c r="F10" s="269">
        <v>7.3999999999999996E-2</v>
      </c>
    </row>
    <row r="11" spans="1:6">
      <c r="A11" s="263" t="s">
        <v>106</v>
      </c>
      <c r="B11" s="267" t="s">
        <v>107</v>
      </c>
      <c r="C11" s="269">
        <v>5.8999999999999997E-2</v>
      </c>
      <c r="D11" s="269">
        <v>0.32900000000000001</v>
      </c>
      <c r="E11" s="271">
        <v>0.309</v>
      </c>
      <c r="F11" s="269">
        <v>0.10299999999999999</v>
      </c>
    </row>
    <row r="12" spans="1:6">
      <c r="A12" s="263" t="s">
        <v>108</v>
      </c>
      <c r="B12" s="267" t="s">
        <v>105</v>
      </c>
      <c r="C12" s="273">
        <v>5.2999999999999999E-2</v>
      </c>
      <c r="D12" s="273">
        <v>5.2999999999999999E-2</v>
      </c>
      <c r="E12" s="274">
        <v>5.1999999999999998E-2</v>
      </c>
      <c r="F12" s="273">
        <v>2.7E-2</v>
      </c>
    </row>
    <row r="13" spans="1:6">
      <c r="A13" s="275" t="s">
        <v>109</v>
      </c>
      <c r="B13" s="267" t="s">
        <v>110</v>
      </c>
      <c r="C13" s="273">
        <v>0.27900000000000003</v>
      </c>
      <c r="D13" s="273">
        <v>0.25800000000000001</v>
      </c>
      <c r="E13" s="273">
        <v>0.23499999999999999</v>
      </c>
      <c r="F13" s="273">
        <v>0.105</v>
      </c>
    </row>
    <row r="14" spans="1:6">
      <c r="A14" s="354" t="s">
        <v>111</v>
      </c>
      <c r="B14" s="355"/>
      <c r="C14" s="355"/>
      <c r="D14" s="355"/>
      <c r="E14" s="355"/>
      <c r="F14" s="356"/>
    </row>
    <row r="15" spans="1:6">
      <c r="A15" s="263" t="s">
        <v>112</v>
      </c>
      <c r="B15" s="267" t="s">
        <v>50</v>
      </c>
      <c r="C15" s="269">
        <v>0.115</v>
      </c>
      <c r="D15" s="269">
        <v>0.15</v>
      </c>
      <c r="E15" s="269">
        <v>0.19900000000000001</v>
      </c>
      <c r="F15" s="269">
        <v>0.16</v>
      </c>
    </row>
    <row r="16" spans="1:6">
      <c r="A16" s="263" t="s">
        <v>113</v>
      </c>
      <c r="B16" s="267" t="s">
        <v>50</v>
      </c>
      <c r="C16" s="269">
        <v>0.82399999999999995</v>
      </c>
      <c r="D16" s="269">
        <v>0.76100000000000001</v>
      </c>
      <c r="E16" s="269">
        <v>0.73899999999999999</v>
      </c>
      <c r="F16" s="269">
        <v>0.71199999999999997</v>
      </c>
    </row>
    <row r="17" spans="1:6">
      <c r="A17" s="263" t="s">
        <v>114</v>
      </c>
      <c r="B17" s="267" t="s">
        <v>50</v>
      </c>
      <c r="C17" s="273">
        <v>8.0000000000000002E-3</v>
      </c>
      <c r="D17" s="273">
        <v>1.7999999999999999E-2</v>
      </c>
      <c r="E17" s="273">
        <v>2.4E-2</v>
      </c>
      <c r="F17" s="273">
        <v>3.6999999999999998E-2</v>
      </c>
    </row>
    <row r="18" spans="1:6">
      <c r="A18" s="275" t="s">
        <v>115</v>
      </c>
      <c r="B18" s="272" t="s">
        <v>50</v>
      </c>
      <c r="C18" s="273">
        <v>0.27900000000000003</v>
      </c>
      <c r="D18" s="273">
        <v>0.27</v>
      </c>
      <c r="E18" s="273">
        <v>0.26300000000000001</v>
      </c>
      <c r="F18" s="273">
        <v>0.34100000000000003</v>
      </c>
    </row>
    <row r="19" spans="1:6">
      <c r="A19" s="354" t="s">
        <v>116</v>
      </c>
      <c r="B19" s="355"/>
      <c r="C19" s="355"/>
      <c r="D19" s="355"/>
      <c r="E19" s="355"/>
      <c r="F19" s="356"/>
    </row>
    <row r="20" spans="1:6">
      <c r="A20" s="263" t="s">
        <v>117</v>
      </c>
      <c r="B20" s="267" t="s">
        <v>118</v>
      </c>
      <c r="C20" s="269">
        <v>0.752</v>
      </c>
      <c r="D20" s="269">
        <v>0.373</v>
      </c>
      <c r="E20" s="269">
        <v>0.56899999999999995</v>
      </c>
      <c r="F20" s="269">
        <v>0.65100000000000002</v>
      </c>
    </row>
    <row r="21" spans="1:6">
      <c r="A21" s="263" t="s">
        <v>119</v>
      </c>
      <c r="B21" s="267" t="s">
        <v>120</v>
      </c>
      <c r="C21" s="269">
        <v>0.106</v>
      </c>
      <c r="D21" s="269">
        <v>7.5999999999999998E-2</v>
      </c>
      <c r="E21" s="269">
        <v>9.4E-2</v>
      </c>
      <c r="F21" s="269">
        <v>2.5000000000000001E-2</v>
      </c>
    </row>
    <row r="22" spans="1:6">
      <c r="A22" s="263" t="s">
        <v>121</v>
      </c>
      <c r="B22" s="267" t="s">
        <v>50</v>
      </c>
      <c r="C22" s="269">
        <v>0.126</v>
      </c>
      <c r="D22" s="269">
        <v>7.9000000000000001E-2</v>
      </c>
      <c r="E22" s="269">
        <v>0.123</v>
      </c>
      <c r="F22" s="269">
        <v>0.128</v>
      </c>
    </row>
    <row r="23" spans="1:6">
      <c r="A23" s="354" t="s">
        <v>122</v>
      </c>
      <c r="B23" s="355"/>
      <c r="C23" s="355"/>
      <c r="D23" s="355"/>
      <c r="E23" s="355"/>
      <c r="F23" s="356"/>
    </row>
    <row r="24" spans="1:6">
      <c r="A24" s="275" t="s">
        <v>123</v>
      </c>
      <c r="B24" s="272" t="s">
        <v>124</v>
      </c>
      <c r="C24" s="273">
        <v>0.80100000000000005</v>
      </c>
      <c r="D24" s="273">
        <v>0.55500000000000005</v>
      </c>
      <c r="E24" s="274">
        <v>0.53100000000000003</v>
      </c>
      <c r="F24" s="273">
        <v>0.753</v>
      </c>
    </row>
    <row r="25" spans="1:6">
      <c r="A25" s="275" t="s">
        <v>125</v>
      </c>
      <c r="B25" s="272" t="s">
        <v>126</v>
      </c>
      <c r="C25" s="273">
        <v>1.2050000000000001</v>
      </c>
      <c r="D25" s="273">
        <v>0.84499999999999997</v>
      </c>
      <c r="E25" s="274">
        <v>0.83699999999999997</v>
      </c>
      <c r="F25" s="273">
        <v>1.103</v>
      </c>
    </row>
    <row r="26" spans="1:6">
      <c r="A26" s="275" t="s">
        <v>127</v>
      </c>
      <c r="B26" s="272" t="s">
        <v>50</v>
      </c>
      <c r="C26" s="273">
        <v>0.09</v>
      </c>
      <c r="D26" s="273">
        <v>9.4E-2</v>
      </c>
      <c r="E26" s="273">
        <v>9.2999999999999999E-2</v>
      </c>
      <c r="F26" s="273">
        <v>7.5999999999999998E-2</v>
      </c>
    </row>
    <row r="27" spans="1:6">
      <c r="A27" s="275" t="s">
        <v>128</v>
      </c>
      <c r="B27" s="270" t="s">
        <v>50</v>
      </c>
      <c r="C27" s="273">
        <v>0.36</v>
      </c>
      <c r="D27" s="273">
        <v>0.36499999999999999</v>
      </c>
      <c r="E27" s="273">
        <v>0.34699999999999998</v>
      </c>
      <c r="F27" s="273">
        <v>0.313</v>
      </c>
    </row>
    <row r="28" spans="1:6">
      <c r="A28" s="354" t="s">
        <v>129</v>
      </c>
      <c r="B28" s="355"/>
      <c r="C28" s="355"/>
      <c r="D28" s="355"/>
      <c r="E28" s="355"/>
      <c r="F28" s="356"/>
    </row>
    <row r="29" spans="1:6">
      <c r="A29" s="276" t="s">
        <v>65</v>
      </c>
      <c r="B29" s="277" t="s">
        <v>50</v>
      </c>
      <c r="C29" s="278">
        <v>1372661880</v>
      </c>
      <c r="D29" s="278">
        <v>1391514003</v>
      </c>
      <c r="E29" s="278">
        <v>1465789897</v>
      </c>
      <c r="F29" s="278">
        <v>753296847335.25</v>
      </c>
    </row>
    <row r="30" spans="1:6">
      <c r="A30" s="276" t="s">
        <v>130</v>
      </c>
      <c r="B30" s="277" t="s">
        <v>50</v>
      </c>
      <c r="C30" s="278">
        <v>1304819846</v>
      </c>
      <c r="D30" s="278">
        <v>1349051064.5</v>
      </c>
      <c r="E30" s="278">
        <v>1420325888.5</v>
      </c>
      <c r="F30" s="278">
        <v>723824834366.57996</v>
      </c>
    </row>
    <row r="31" spans="1:6">
      <c r="A31" s="276" t="s">
        <v>131</v>
      </c>
      <c r="B31" s="277" t="s">
        <v>50</v>
      </c>
      <c r="C31" s="278">
        <v>911981655</v>
      </c>
      <c r="D31" s="278">
        <v>913072094</v>
      </c>
      <c r="E31" s="278">
        <v>930279580</v>
      </c>
      <c r="F31" s="278">
        <v>514461286381.42999</v>
      </c>
    </row>
    <row r="32" spans="1:6">
      <c r="A32" s="276" t="s">
        <v>132</v>
      </c>
      <c r="B32" s="277" t="s">
        <v>50</v>
      </c>
      <c r="C32" s="278">
        <v>1099345186</v>
      </c>
      <c r="D32" s="278">
        <v>771992553</v>
      </c>
      <c r="E32" s="278">
        <v>778820671</v>
      </c>
      <c r="F32" s="278">
        <v>567232199240.65002</v>
      </c>
    </row>
    <row r="33" spans="1:6">
      <c r="A33" s="276" t="s">
        <v>133</v>
      </c>
      <c r="B33" s="277" t="s">
        <v>50</v>
      </c>
      <c r="C33" s="278">
        <v>173810427</v>
      </c>
      <c r="D33" s="278">
        <v>188890335</v>
      </c>
      <c r="E33" s="278">
        <v>207005401</v>
      </c>
      <c r="F33" s="278">
        <v>133542865116.96001</v>
      </c>
    </row>
    <row r="34" spans="1:6">
      <c r="A34" s="276" t="s">
        <v>134</v>
      </c>
      <c r="B34" s="277" t="s">
        <v>50</v>
      </c>
      <c r="C34" s="278">
        <v>80278788</v>
      </c>
      <c r="D34" s="278">
        <v>92224496</v>
      </c>
      <c r="E34" s="278">
        <v>109334398</v>
      </c>
      <c r="F34" s="278">
        <v>82971467014.729996</v>
      </c>
    </row>
    <row r="35" spans="1:6">
      <c r="A35" s="276" t="s">
        <v>135</v>
      </c>
      <c r="B35" s="277" t="s">
        <v>50</v>
      </c>
      <c r="C35" s="278">
        <v>63974397</v>
      </c>
      <c r="D35" s="278">
        <v>55446903</v>
      </c>
      <c r="E35" s="278">
        <v>58207177</v>
      </c>
      <c r="F35" s="278">
        <v>41840690181.239998</v>
      </c>
    </row>
    <row r="36" spans="1:6">
      <c r="A36" s="276" t="s">
        <v>106</v>
      </c>
      <c r="B36" s="277" t="s">
        <v>50</v>
      </c>
      <c r="C36" s="278">
        <v>80384037</v>
      </c>
      <c r="D36" s="278">
        <v>457927335</v>
      </c>
      <c r="E36" s="278">
        <v>453580805</v>
      </c>
      <c r="F36" s="278">
        <v>77758147897.910004</v>
      </c>
    </row>
    <row r="37" spans="1:6">
      <c r="A37" s="276" t="s">
        <v>61</v>
      </c>
      <c r="B37" s="277" t="s">
        <v>50</v>
      </c>
      <c r="C37" s="278">
        <v>24078276</v>
      </c>
      <c r="D37" s="278">
        <v>23350768</v>
      </c>
      <c r="E37" s="278">
        <v>22237269</v>
      </c>
      <c r="F37" s="278">
        <v>21946422358.810001</v>
      </c>
    </row>
    <row r="38" spans="1:6">
      <c r="A38" s="276" t="s">
        <v>136</v>
      </c>
      <c r="B38" s="277" t="s">
        <v>50</v>
      </c>
      <c r="C38" s="278">
        <v>48408789</v>
      </c>
      <c r="D38" s="278">
        <v>48658789</v>
      </c>
      <c r="E38" s="278">
        <v>48658789</v>
      </c>
      <c r="F38" s="278">
        <v>14010325415.959999</v>
      </c>
    </row>
    <row r="39" spans="1:6">
      <c r="A39" s="276" t="s">
        <v>137</v>
      </c>
      <c r="B39" s="277" t="s">
        <v>50</v>
      </c>
      <c r="C39" s="278">
        <v>82528081</v>
      </c>
      <c r="D39" s="278">
        <v>85373819</v>
      </c>
      <c r="E39" s="278">
        <v>86494221</v>
      </c>
      <c r="F39" s="278">
        <v>38922698607.080002</v>
      </c>
    </row>
    <row r="40" spans="1:6">
      <c r="A40" s="276" t="s">
        <v>138</v>
      </c>
      <c r="B40" s="277" t="s">
        <v>50</v>
      </c>
      <c r="C40" s="278">
        <v>172602165</v>
      </c>
      <c r="D40" s="278">
        <v>109801142</v>
      </c>
      <c r="E40" s="278">
        <v>179678973</v>
      </c>
      <c r="F40" s="278">
        <v>96165936379.789993</v>
      </c>
    </row>
    <row r="41" spans="1:6">
      <c r="A41" s="276" t="s">
        <v>139</v>
      </c>
      <c r="B41" s="277" t="s">
        <v>50</v>
      </c>
      <c r="C41" s="278">
        <v>229463599</v>
      </c>
      <c r="D41" s="278">
        <v>294321825</v>
      </c>
      <c r="E41" s="278">
        <v>316039352</v>
      </c>
      <c r="F41" s="278">
        <v>147749079680.06</v>
      </c>
    </row>
    <row r="42" spans="1:6">
      <c r="A42" s="276" t="s">
        <v>140</v>
      </c>
      <c r="B42" s="277" t="s">
        <v>50</v>
      </c>
      <c r="C42" s="278">
        <v>145741122</v>
      </c>
      <c r="D42" s="278">
        <v>105458661</v>
      </c>
      <c r="E42" s="278">
        <v>138434460</v>
      </c>
      <c r="F42" s="278">
        <v>18648093320.639999</v>
      </c>
    </row>
    <row r="43" spans="1:6">
      <c r="A43" s="276" t="s">
        <v>141</v>
      </c>
      <c r="B43" s="277" t="s">
        <v>50</v>
      </c>
      <c r="C43" s="278">
        <v>1047066745.5</v>
      </c>
      <c r="D43" s="278">
        <v>915205228.5</v>
      </c>
      <c r="E43" s="278">
        <v>934082928.5</v>
      </c>
      <c r="F43" s="278">
        <v>543464981802.89001</v>
      </c>
    </row>
    <row r="44" spans="1:6">
      <c r="A44" s="276" t="s">
        <v>142</v>
      </c>
      <c r="B44" s="277" t="s">
        <v>50</v>
      </c>
      <c r="C44" s="278">
        <v>160956495</v>
      </c>
      <c r="D44" s="278">
        <v>143171315</v>
      </c>
      <c r="E44" s="278">
        <v>190330635</v>
      </c>
      <c r="F44" s="278">
        <v>105633889901.48</v>
      </c>
    </row>
    <row r="45" spans="1:6">
      <c r="A45" s="276" t="s">
        <v>143</v>
      </c>
      <c r="B45" s="277" t="s">
        <v>50</v>
      </c>
      <c r="C45" s="278">
        <v>72820975</v>
      </c>
      <c r="D45" s="278">
        <v>72941138</v>
      </c>
      <c r="E45" s="278">
        <v>99634702</v>
      </c>
      <c r="F45" s="278">
        <v>66471397338.209999</v>
      </c>
    </row>
    <row r="46" spans="1:6">
      <c r="A46" s="276" t="s">
        <v>144</v>
      </c>
      <c r="B46" s="277" t="s">
        <v>50</v>
      </c>
      <c r="C46" s="278">
        <v>58000000</v>
      </c>
      <c r="D46" s="278">
        <v>52200000</v>
      </c>
      <c r="E46" s="278">
        <v>66000000</v>
      </c>
      <c r="F46" s="278">
        <v>33025660037.990002</v>
      </c>
    </row>
    <row r="47" spans="1:6">
      <c r="A47" s="276" t="s">
        <v>145</v>
      </c>
      <c r="B47" s="277" t="s">
        <v>50</v>
      </c>
      <c r="C47" s="278">
        <v>44883772</v>
      </c>
      <c r="D47" s="278">
        <v>38666619</v>
      </c>
      <c r="E47" s="278">
        <v>49991289</v>
      </c>
      <c r="F47" s="278">
        <v>36040219578.639999</v>
      </c>
    </row>
    <row r="48" spans="1:6">
      <c r="A48" s="276" t="s">
        <v>146</v>
      </c>
      <c r="B48" s="277" t="s">
        <v>50</v>
      </c>
      <c r="C48" s="278">
        <v>126726553</v>
      </c>
      <c r="D48" s="278">
        <v>115658570</v>
      </c>
      <c r="E48" s="278">
        <v>155095951</v>
      </c>
      <c r="F48" s="278">
        <v>90518837732.75</v>
      </c>
    </row>
    <row r="49" spans="1:6">
      <c r="A49" s="276" t="s">
        <v>40</v>
      </c>
      <c r="B49" s="277" t="s">
        <v>50</v>
      </c>
      <c r="C49" s="278">
        <v>132577592</v>
      </c>
      <c r="D49" s="278">
        <v>108896796</v>
      </c>
      <c r="E49" s="278">
        <v>140687222</v>
      </c>
      <c r="F49" s="278">
        <v>75170480907.039993</v>
      </c>
    </row>
    <row r="50" spans="1:6">
      <c r="A50" s="276" t="s">
        <v>147</v>
      </c>
      <c r="B50" s="277" t="s">
        <v>50</v>
      </c>
      <c r="C50" s="278">
        <v>11088485</v>
      </c>
      <c r="D50" s="278">
        <v>23890862</v>
      </c>
      <c r="E50" s="278">
        <v>33675621</v>
      </c>
      <c r="F50" s="278">
        <v>26549394988.09</v>
      </c>
    </row>
  </sheetData>
  <mergeCells count="11">
    <mergeCell ref="A5:F5"/>
    <mergeCell ref="A1:F1"/>
    <mergeCell ref="A2:F2"/>
    <mergeCell ref="B3:B4"/>
    <mergeCell ref="D3:E3"/>
    <mergeCell ref="F3:F4"/>
    <mergeCell ref="A9:F9"/>
    <mergeCell ref="A14:F14"/>
    <mergeCell ref="A19:F19"/>
    <mergeCell ref="A23:F23"/>
    <mergeCell ref="A28:F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G4:H4"/>
  <sheetViews>
    <sheetView workbookViewId="0">
      <selection activeCell="H5" sqref="H5"/>
    </sheetView>
  </sheetViews>
  <sheetFormatPr defaultRowHeight="14.45"/>
  <sheetData>
    <row r="4" spans="7:8">
      <c r="G4">
        <f>16*2</f>
        <v>32</v>
      </c>
      <c r="H4">
        <f>32/4</f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T14"/>
  <sheetViews>
    <sheetView topLeftCell="I1" workbookViewId="0">
      <selection activeCell="N18" sqref="M16:N18"/>
    </sheetView>
  </sheetViews>
  <sheetFormatPr defaultRowHeight="14.45"/>
  <cols>
    <col min="1" max="1" width="16.85546875" bestFit="1" customWidth="1"/>
    <col min="2" max="2" width="15.5703125" bestFit="1" customWidth="1"/>
    <col min="3" max="4" width="15.85546875" bestFit="1" customWidth="1"/>
    <col min="5" max="5" width="15.5703125" bestFit="1" customWidth="1"/>
    <col min="6" max="6" width="15.85546875" bestFit="1" customWidth="1"/>
    <col min="7" max="8" width="15.5703125" bestFit="1" customWidth="1"/>
    <col min="9" max="9" width="15.85546875" bestFit="1" customWidth="1"/>
    <col min="10" max="10" width="14.7109375" bestFit="1" customWidth="1"/>
    <col min="11" max="14" width="15.85546875" bestFit="1" customWidth="1"/>
    <col min="15" max="15" width="15.140625" bestFit="1" customWidth="1"/>
    <col min="16" max="20" width="15.85546875" bestFit="1" customWidth="1"/>
  </cols>
  <sheetData>
    <row r="2" spans="1:20" ht="15">
      <c r="B2" s="140" t="s">
        <v>0</v>
      </c>
      <c r="C2" s="140" t="s">
        <v>293</v>
      </c>
      <c r="D2" s="155">
        <v>44197</v>
      </c>
      <c r="E2" s="155">
        <v>44229</v>
      </c>
      <c r="F2" s="155">
        <v>44258</v>
      </c>
      <c r="G2" s="155">
        <v>44290</v>
      </c>
      <c r="H2" s="155">
        <v>44321</v>
      </c>
      <c r="I2" s="155">
        <v>44353</v>
      </c>
      <c r="J2" s="155">
        <v>44384</v>
      </c>
      <c r="K2" s="155">
        <v>44416</v>
      </c>
      <c r="L2" s="155">
        <v>44448</v>
      </c>
      <c r="M2" s="155">
        <v>44479</v>
      </c>
      <c r="N2" s="155">
        <v>44511</v>
      </c>
      <c r="O2" s="155">
        <v>44542</v>
      </c>
      <c r="P2" s="155" t="s">
        <v>294</v>
      </c>
      <c r="Q2" s="155">
        <v>44563</v>
      </c>
      <c r="R2" s="155">
        <v>44595</v>
      </c>
      <c r="S2" s="155">
        <v>44624</v>
      </c>
      <c r="T2" s="155">
        <v>44656</v>
      </c>
    </row>
    <row r="3" spans="1:20">
      <c r="A3" s="141" t="s">
        <v>264</v>
      </c>
      <c r="B3" s="2" t="str">
        <f>IF(CAELS!D3&gt;10,"Compliant","Non-Compliant")</f>
        <v>Compliant</v>
      </c>
      <c r="C3" s="2" t="str">
        <f>IF(CAELS!E3&gt;10,"Compliant","Non-Compliant")</f>
        <v>Compliant</v>
      </c>
      <c r="D3" s="2" t="str">
        <f>IF(CAELS!F3&gt;10,"Compliant","Non-Compliant")</f>
        <v>Compliant</v>
      </c>
      <c r="E3" s="2" t="str">
        <f>IF(CAELS!G3&gt;10,"Compliant","Non-Compliant")</f>
        <v>Compliant</v>
      </c>
      <c r="F3" s="2" t="str">
        <f>IF(CAELS!H3&gt;10,"Compliant","Non-Compliant")</f>
        <v>Compliant</v>
      </c>
      <c r="G3" s="2" t="str">
        <f>IF(CAELS!I3&gt;10,"Compliant","Non-Compliant")</f>
        <v>Compliant</v>
      </c>
      <c r="H3" s="2" t="str">
        <f>IF(CAELS!J3&gt;10,"Compliant","Non-Compliant")</f>
        <v>Compliant</v>
      </c>
      <c r="I3" s="2" t="str">
        <f>IF(CAELS!K3&gt;10,"Compliant","Non-Compliant")</f>
        <v>Compliant</v>
      </c>
      <c r="J3" s="2" t="str">
        <f>IF(CAELS!L3&gt;10,"Compliant","Non-Compliant")</f>
        <v>Compliant</v>
      </c>
      <c r="K3" s="2" t="str">
        <f>IF(CAELS!M3&gt;10,"Compliant","Non-Compliant")</f>
        <v>Compliant</v>
      </c>
      <c r="L3" s="2" t="str">
        <f>IF(CAELS!N3&gt;10,"Compliant","Non-Compliant")</f>
        <v>Compliant</v>
      </c>
      <c r="M3" s="2" t="str">
        <f>IF(CAELS!O3&gt;10,"Compliant","Non-Compliant")</f>
        <v>Compliant</v>
      </c>
      <c r="N3" s="2" t="str">
        <f>IF(CAELS!P3&gt;10,"Compliant","Non-Compliant")</f>
        <v>Compliant</v>
      </c>
      <c r="O3" s="2" t="str">
        <f>IF(CAELS!Q3&gt;10,"Compliant","Non-Compliant")</f>
        <v>Compliant</v>
      </c>
      <c r="P3" s="2" t="str">
        <f>IF(CAELS!R3&gt;10,"Compliant","Non-Compliant")</f>
        <v>Compliant</v>
      </c>
      <c r="Q3" s="2" t="str">
        <f>IF(CAELS!S3&gt;10,"Compliant","Non-Compliant")</f>
        <v>Compliant</v>
      </c>
      <c r="R3" s="2" t="str">
        <f>IF(CAELS!T3&gt;10,"Compliant","Non-Compliant")</f>
        <v>Compliant</v>
      </c>
      <c r="S3" s="2" t="str">
        <f>IF(CAELS!U3&gt;10,"Compliant","Non-Compliant")</f>
        <v>Compliant</v>
      </c>
      <c r="T3" s="2" t="str">
        <f>IF(CAELS!V3&gt;10,"Compliant","Non-Compliant")</f>
        <v>Compliant</v>
      </c>
    </row>
    <row r="4" spans="1:20">
      <c r="A4" s="142" t="s">
        <v>295</v>
      </c>
      <c r="B4" s="2" t="str">
        <f>IF(CAELS!D4&gt;10%,"Compliant","Non-Compliant")</f>
        <v>Compliant</v>
      </c>
      <c r="C4" s="2" t="str">
        <f>IF(CAELS!E4&gt;10%,"Compliant","Non-Compliant")</f>
        <v>Compliant</v>
      </c>
      <c r="D4" s="2" t="str">
        <f>IF(CAELS!F4&gt;10%,"Compliant","Non-Compliant")</f>
        <v>Compliant</v>
      </c>
      <c r="E4" s="2" t="str">
        <f>IF(CAELS!G4&gt;10%,"Compliant","Non-Compliant")</f>
        <v>Compliant</v>
      </c>
      <c r="F4" s="2" t="str">
        <f>IF(CAELS!H4&gt;10%,"Compliant","Non-Compliant")</f>
        <v>Compliant</v>
      </c>
      <c r="G4" s="2" t="str">
        <f>IF(CAELS!I4&gt;10%,"Compliant","Non-Compliant")</f>
        <v>Compliant</v>
      </c>
      <c r="H4" s="2" t="str">
        <f>IF(CAELS!J4&gt;10%,"Compliant","Non-Compliant")</f>
        <v>Compliant</v>
      </c>
      <c r="I4" s="2" t="str">
        <f>IF(CAELS!K4&gt;10%,"Compliant","Non-Compliant")</f>
        <v>Compliant</v>
      </c>
      <c r="J4" s="2" t="str">
        <f>IF(CAELS!L4&gt;10%,"Compliant","Non-Compliant")</f>
        <v>Compliant</v>
      </c>
      <c r="K4" s="2" t="str">
        <f>IF(CAELS!M4&gt;10%,"Compliant","Non-Compliant")</f>
        <v>Compliant</v>
      </c>
      <c r="L4" s="2" t="str">
        <f>IF(CAELS!N4&gt;10%,"Compliant","Non-Compliant")</f>
        <v>Compliant</v>
      </c>
      <c r="M4" s="2" t="str">
        <f>IF(CAELS!O4&gt;10%,"Compliant","Non-Compliant")</f>
        <v>Compliant</v>
      </c>
      <c r="N4" s="2" t="str">
        <f>IF(CAELS!P4&gt;10%,"Compliant","Non-Compliant")</f>
        <v>Compliant</v>
      </c>
      <c r="O4" s="2" t="str">
        <f>IF(CAELS!Q4&gt;10%,"Compliant","Non-Compliant")</f>
        <v>Compliant</v>
      </c>
      <c r="P4" s="2" t="str">
        <f>IF(CAELS!R4&gt;10%,"Compliant","Non-Compliant")</f>
        <v>Compliant</v>
      </c>
      <c r="Q4" s="2" t="str">
        <f>IF(CAELS!S4&gt;10%,"Compliant","Non-Compliant")</f>
        <v>Compliant</v>
      </c>
      <c r="R4" s="2" t="str">
        <f>IF(CAELS!T4&gt;10%,"Compliant","Non-Compliant")</f>
        <v>Compliant</v>
      </c>
      <c r="S4" s="2" t="str">
        <f>IF(CAELS!U4&gt;10%,"Compliant","Non-Compliant")</f>
        <v>Compliant</v>
      </c>
      <c r="T4" s="2" t="str">
        <f>IF(CAELS!V4&gt;10%,"Compliant","Non-Compliant")</f>
        <v>Compliant</v>
      </c>
    </row>
    <row r="5" spans="1:20">
      <c r="A5" s="142" t="s">
        <v>296</v>
      </c>
      <c r="B5" s="2" t="str">
        <f>IF(CAELS!D6&gt;8%,"Compliant","Non-Compliant")</f>
        <v>Non-Compliant</v>
      </c>
      <c r="C5" s="2" t="str">
        <f>IF(CAELS!E6&gt;8%,"Compliant","Non-Compliant")</f>
        <v>Compliant</v>
      </c>
      <c r="D5" s="2" t="str">
        <f>IF(CAELS!F6&gt;8%,"Compliant","Non-Compliant")</f>
        <v>Compliant</v>
      </c>
      <c r="E5" s="2" t="str">
        <f>IF(CAELS!G6&gt;8%,"Compliant","Non-Compliant")</f>
        <v>Compliant</v>
      </c>
      <c r="F5" s="2" t="str">
        <f>IF(CAELS!H6&gt;8%,"Compliant","Non-Compliant")</f>
        <v>Compliant</v>
      </c>
      <c r="G5" s="2" t="str">
        <f>IF(CAELS!I6&gt;8%,"Compliant","Non-Compliant")</f>
        <v>Compliant</v>
      </c>
      <c r="H5" s="2" t="str">
        <f>IF(CAELS!J6&gt;8%,"Compliant","Non-Compliant")</f>
        <v>Compliant</v>
      </c>
      <c r="I5" s="2" t="str">
        <f>IF(CAELS!K6&gt;8%,"Compliant","Non-Compliant")</f>
        <v>Compliant</v>
      </c>
      <c r="J5" s="2" t="str">
        <f>IF(CAELS!L6&gt;8%,"Compliant","Non-Compliant")</f>
        <v>Compliant</v>
      </c>
      <c r="K5" s="2" t="str">
        <f>IF(CAELS!M6&gt;8%,"Compliant","Non-Compliant")</f>
        <v>Compliant</v>
      </c>
      <c r="L5" s="2" t="str">
        <f>IF(CAELS!N6&gt;8%,"Compliant","Non-Compliant")</f>
        <v>Compliant</v>
      </c>
      <c r="M5" s="2" t="str">
        <f>IF(CAELS!O6&gt;8%,"Compliant","Non-Compliant")</f>
        <v>Compliant</v>
      </c>
      <c r="N5" s="2" t="str">
        <f>IF(CAELS!P6&gt;8%,"Compliant","Non-Compliant")</f>
        <v>Compliant</v>
      </c>
      <c r="O5" s="2" t="str">
        <f>IF(CAELS!Q6&gt;8%,"Compliant","Non-Compliant")</f>
        <v>Compliant</v>
      </c>
      <c r="P5" s="2" t="str">
        <f>IF(CAELS!R6&gt;8%,"Compliant","Non-Compliant")</f>
        <v>Compliant</v>
      </c>
      <c r="Q5" s="2" t="str">
        <f>IF(CAELS!S6&gt;8%,"Compliant","Non-Compliant")</f>
        <v>Compliant</v>
      </c>
      <c r="R5" s="2" t="str">
        <f>IF(CAELS!T6&gt;8%,"Compliant","Non-Compliant")</f>
        <v>Compliant</v>
      </c>
      <c r="S5" s="2" t="str">
        <f>IF(CAELS!U6&gt;8%,"Compliant","Non-Compliant")</f>
        <v>Compliant</v>
      </c>
      <c r="T5" s="2" t="str">
        <f>IF(CAELS!V6&gt;8%,"Compliant","Non-Compliant")</f>
        <v>Compliant</v>
      </c>
    </row>
    <row r="6" spans="1:20">
      <c r="A6" s="142" t="s">
        <v>297</v>
      </c>
      <c r="B6" s="2" t="str">
        <f>IF(CAELS!D5&gt;8%,"Compliant","Non-Compiant")</f>
        <v>Compliant</v>
      </c>
      <c r="C6" s="2" t="str">
        <f>IF(CAELS!E5&gt;8%,"Compliant","Non-Compiant")</f>
        <v>Compliant</v>
      </c>
      <c r="D6" s="2" t="str">
        <f>IF(CAELS!F5&gt;8%,"Compliant","Non-Compiant")</f>
        <v>Compliant</v>
      </c>
      <c r="E6" s="2" t="str">
        <f>IF(CAELS!G5&gt;8%,"Compliant","Non-Compiant")</f>
        <v>Compliant</v>
      </c>
      <c r="F6" s="2" t="str">
        <f>IF(CAELS!H5&gt;8%,"Compliant","Non-Compiant")</f>
        <v>Compliant</v>
      </c>
      <c r="G6" s="2" t="str">
        <f>IF(CAELS!I5&gt;8%,"Compliant","Non-Compiant")</f>
        <v>Compliant</v>
      </c>
      <c r="H6" s="2" t="str">
        <f>IF(CAELS!J5&gt;8%,"Compliant","Non-Compiant")</f>
        <v>Compliant</v>
      </c>
      <c r="I6" s="2" t="str">
        <f>IF(CAELS!K5&gt;8%,"Compliant","Non-Compiant")</f>
        <v>Compliant</v>
      </c>
      <c r="J6" s="2" t="str">
        <f>IF(CAELS!L5&gt;8%,"Compliant","Non-Compiant")</f>
        <v>Compliant</v>
      </c>
      <c r="K6" s="2" t="str">
        <f>IF(CAELS!M5&gt;8%,"Compliant","Non-Compiant")</f>
        <v>Compliant</v>
      </c>
      <c r="L6" s="2" t="str">
        <f>IF(CAELS!N5&gt;8%,"Compliant","Non-Compiant")</f>
        <v>Compliant</v>
      </c>
      <c r="M6" s="2" t="str">
        <f>IF(CAELS!O5&gt;8%,"Compliant","Non-Compiant")</f>
        <v>Compliant</v>
      </c>
      <c r="N6" s="2" t="str">
        <f>IF(CAELS!P5&gt;8%,"Compliant","Non-Compiant")</f>
        <v>Compliant</v>
      </c>
      <c r="O6" s="2" t="str">
        <f>IF(CAELS!Q5&gt;8%,"Compliant","Non-Compiant")</f>
        <v>Compliant</v>
      </c>
      <c r="P6" s="2" t="str">
        <f>IF(CAELS!R5&gt;8%,"Compliant","Non-Compiant")</f>
        <v>Compliant</v>
      </c>
      <c r="Q6" s="2" t="str">
        <f>IF(CAELS!S5&gt;8%,"Compliant","Non-Compiant")</f>
        <v>Compliant</v>
      </c>
      <c r="R6" s="2" t="str">
        <f>IF(CAELS!T5&gt;8%,"Compliant","Non-Compiant")</f>
        <v>Compliant</v>
      </c>
      <c r="S6" s="2" t="str">
        <f>IF(CAELS!U5&gt;8%,"Compliant","Non-Compiant")</f>
        <v>Compliant</v>
      </c>
      <c r="T6" s="2" t="str">
        <f>IF(CAELS!V5&gt;8%,"Compliant","Non-Compiant")</f>
        <v>Compliant</v>
      </c>
    </row>
    <row r="7" spans="1:20">
      <c r="A7" s="142" t="s">
        <v>298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142" t="s">
        <v>299</v>
      </c>
      <c r="B8" s="2" t="str">
        <f>IF(CAELS!D12&gt;15%,"Compliant","Non-Compliant")</f>
        <v>Compliant</v>
      </c>
      <c r="C8" s="2" t="str">
        <f>IF(CAELS!E12&gt;15%,"Compliant","Non-Compliant")</f>
        <v>Compliant</v>
      </c>
      <c r="D8" s="2" t="str">
        <f>IF(CAELS!F12&gt;15%,"Compliant","Non-Compliant")</f>
        <v>Compliant</v>
      </c>
      <c r="E8" s="2" t="str">
        <f>IF(CAELS!G12&gt;15%,"Compliant","Non-Compliant")</f>
        <v>Compliant</v>
      </c>
      <c r="F8" s="2" t="str">
        <f>IF(CAELS!H12&gt;15%,"Compliant","Non-Compliant")</f>
        <v>Compliant</v>
      </c>
      <c r="G8" s="2" t="str">
        <f>IF(CAELS!I12&gt;15%,"Compliant","Non-Compliant")</f>
        <v>Compliant</v>
      </c>
      <c r="H8" s="2" t="str">
        <f>IF(CAELS!J12&gt;15%,"Compliant","Non-Compliant")</f>
        <v>Compliant</v>
      </c>
      <c r="I8" s="2" t="str">
        <f>IF(CAELS!K12&gt;15%,"Compliant","Non-Compliant")</f>
        <v>Compliant</v>
      </c>
      <c r="J8" s="2" t="str">
        <f>IF(CAELS!L12&gt;15%,"Compliant","Non-Compliant")</f>
        <v>Compliant</v>
      </c>
      <c r="K8" s="2" t="str">
        <f>IF(CAELS!M12&gt;15%,"Compliant","Non-Compliant")</f>
        <v>Compliant</v>
      </c>
      <c r="L8" s="2" t="str">
        <f>IF(CAELS!N12&gt;15%,"Compliant","Non-Compliant")</f>
        <v>Compliant</v>
      </c>
      <c r="M8" s="2" t="str">
        <f>IF(CAELS!O12&gt;15%,"Compliant","Non-Compliant")</f>
        <v>Compliant</v>
      </c>
      <c r="N8" s="2" t="str">
        <f>IF(CAELS!P12&gt;15%,"Compliant","Non-Compliant")</f>
        <v>Compliant</v>
      </c>
      <c r="O8" s="2" t="str">
        <f>IF(CAELS!Q12&gt;15%,"Compliant","Non-Compliant")</f>
        <v>Compliant</v>
      </c>
      <c r="P8" s="2" t="str">
        <f>IF(CAELS!R12&gt;15%,"Compliant","Non-Compliant")</f>
        <v>Compliant</v>
      </c>
      <c r="Q8" s="2" t="str">
        <f>IF(CAELS!S12&gt;15%,"Compliant","Non-Compliant")</f>
        <v>Compliant</v>
      </c>
      <c r="R8" s="2" t="str">
        <f>IF(CAELS!T12&gt;15%,"Compliant","Non-Compliant")</f>
        <v>Compliant</v>
      </c>
      <c r="S8" s="2" t="str">
        <f>IF(CAELS!U12&gt;15%,"Compliant","Non-Compliant")</f>
        <v>Compliant</v>
      </c>
      <c r="T8" s="2" t="str">
        <f>IF(CAELS!V12&gt;15%,"Compliant","Non-Compliant")</f>
        <v>Compliant</v>
      </c>
    </row>
    <row r="9" spans="1:20">
      <c r="A9" s="142" t="s">
        <v>300</v>
      </c>
      <c r="B9" s="2" t="str">
        <f>IF(CAELS!D16&lt;10%,"Compliant","Non-Compliant")</f>
        <v>Non-Compliant</v>
      </c>
      <c r="C9" s="2" t="str">
        <f>IF(CAELS!E16&lt;10%,"Compliant","Non-Compliant")</f>
        <v>Compliant</v>
      </c>
      <c r="D9" s="2" t="str">
        <f>IF(CAELS!F16&lt;10%,"Compliant","Non-Compliant")</f>
        <v>Compliant</v>
      </c>
      <c r="E9" s="2" t="str">
        <f>IF(CAELS!G16&lt;10%,"Compliant","Non-Compliant")</f>
        <v>Compliant</v>
      </c>
      <c r="F9" s="2" t="str">
        <f>IF(CAELS!H16&lt;10%,"Compliant","Non-Compliant")</f>
        <v>Non-Compliant</v>
      </c>
      <c r="G9" s="2" t="str">
        <f>IF(CAELS!I16&lt;10%,"Compliant","Non-Compliant")</f>
        <v>Compliant</v>
      </c>
      <c r="H9" s="2" t="str">
        <f>IF(CAELS!J16&lt;10%,"Compliant","Non-Compliant")</f>
        <v>Non-Compliant</v>
      </c>
      <c r="I9" s="2" t="str">
        <f>IF(CAELS!K16&lt;10%,"Compliant","Non-Compliant")</f>
        <v>Compliant</v>
      </c>
      <c r="J9" s="2" t="str">
        <f>IF(CAELS!L16&lt;10%,"Compliant","Non-Compliant")</f>
        <v>Non-Compliant</v>
      </c>
      <c r="K9" s="2" t="str">
        <f>IF(CAELS!M16&lt;10%,"Compliant","Non-Compliant")</f>
        <v>Non-Compliant</v>
      </c>
      <c r="L9" s="2" t="str">
        <f>IF(CAELS!N16&lt;10%,"Compliant","Non-Compliant")</f>
        <v>Non-Compliant</v>
      </c>
      <c r="M9" s="2" t="str">
        <f>IF(CAELS!O16&lt;10%,"Compliant","Non-Compliant")</f>
        <v>Compliant</v>
      </c>
      <c r="N9" s="2" t="str">
        <f>IF(CAELS!P16&lt;10%,"Compliant","Non-Compliant")</f>
        <v>Compliant</v>
      </c>
      <c r="O9" s="2" t="str">
        <f>IF(CAELS!Q16&lt;10%,"Compliant","Non-Compliant")</f>
        <v>Compliant</v>
      </c>
      <c r="P9" s="2" t="str">
        <f>IF(CAELS!R16&lt;10%,"Compliant","Non-Compliant")</f>
        <v>Compliant</v>
      </c>
      <c r="Q9" s="2" t="str">
        <f>IF(CAELS!S16&lt;10%,"Compliant","Non-Compliant")</f>
        <v>Non-Compliant</v>
      </c>
      <c r="R9" s="2" t="str">
        <f>IF(CAELS!T16&lt;10%,"Compliant","Non-Compliant")</f>
        <v>Compliant</v>
      </c>
      <c r="S9" s="2" t="str">
        <f>IF(CAELS!U16&lt;10%,"Compliant","Non-Compliant")</f>
        <v>Compliant</v>
      </c>
      <c r="T9" s="2" t="str">
        <f>IF(CAELS!V16&lt;10%,"Compliant","Non-Compliant")</f>
        <v>Non-Compliant</v>
      </c>
    </row>
    <row r="10" spans="1:20">
      <c r="A10" s="142" t="s">
        <v>301</v>
      </c>
      <c r="B10" s="2" t="str">
        <f>IF(CAELS!D17&lt;5%,"Compliant","Non-Compliant")</f>
        <v>Compliant</v>
      </c>
      <c r="C10" s="2" t="str">
        <f>IF(CAELS!E17&lt;5%,"Compliant","Non-Compliant")</f>
        <v>Compliant</v>
      </c>
      <c r="D10" s="2" t="str">
        <f>IF(CAELS!F17&lt;5%,"Compliant","Non-Compliant")</f>
        <v>Compliant</v>
      </c>
      <c r="E10" s="2" t="str">
        <f>IF(CAELS!G17&lt;5%,"Compliant","Non-Compliant")</f>
        <v>Compliant</v>
      </c>
      <c r="F10" s="2" t="str">
        <f>IF(CAELS!H17&lt;5%,"Compliant","Non-Compliant")</f>
        <v>Compliant</v>
      </c>
      <c r="G10" s="2" t="str">
        <f>IF(CAELS!I17&lt;5%,"Compliant","Non-Compliant")</f>
        <v>Compliant</v>
      </c>
      <c r="H10" s="2" t="str">
        <f>IF(CAELS!J17&lt;5%,"Compliant","Non-Compliant")</f>
        <v>Compliant</v>
      </c>
      <c r="I10" s="2" t="str">
        <f>IF(CAELS!K17&lt;5%,"Compliant","Non-Compliant")</f>
        <v>Compliant</v>
      </c>
      <c r="J10" s="2" t="str">
        <f>IF(CAELS!L17&lt;5%,"Compliant","Non-Compliant")</f>
        <v>Compliant</v>
      </c>
      <c r="K10" s="2" t="str">
        <f>IF(CAELS!M17&lt;5%,"Compliant","Non-Compliant")</f>
        <v>Compliant</v>
      </c>
      <c r="L10" s="2" t="str">
        <f>IF(CAELS!N17&lt;5%,"Compliant","Non-Compliant")</f>
        <v>Compliant</v>
      </c>
      <c r="M10" s="2" t="str">
        <f>IF(CAELS!O17&lt;5%,"Compliant","Non-Compliant")</f>
        <v>Compliant</v>
      </c>
      <c r="N10" s="2" t="str">
        <f>IF(CAELS!P17&lt;5%,"Compliant","Non-Compliant")</f>
        <v>Compliant</v>
      </c>
      <c r="O10" s="2" t="str">
        <f>IF(CAELS!Q17&lt;5%,"Compliant","Non-Compliant")</f>
        <v>Compliant</v>
      </c>
      <c r="P10" s="2" t="str">
        <f>IF(CAELS!R17&lt;5%,"Compliant","Non-Compliant")</f>
        <v>Compliant</v>
      </c>
      <c r="Q10" s="2" t="str">
        <f>IF(CAELS!S17&lt;5%,"Compliant","Non-Compliant")</f>
        <v>Compliant</v>
      </c>
      <c r="R10" s="2" t="str">
        <f>IF(CAELS!T17&lt;5%,"Compliant","Non-Compliant")</f>
        <v>Compliant</v>
      </c>
      <c r="S10" s="2" t="str">
        <f>IF(CAELS!U17&lt;5%,"Compliant","Non-Compliant")</f>
        <v>Compliant</v>
      </c>
      <c r="T10" s="2" t="str">
        <f>IF(CAELS!V17&lt;5%,"Compliant","Non-Compliant")</f>
        <v>Non-Compliant</v>
      </c>
    </row>
    <row r="11" spans="1:20">
      <c r="A11" s="142" t="s">
        <v>302</v>
      </c>
      <c r="B11" s="2" t="str">
        <f>IF(CAELS!D18&lt;5%,"Compliant","Non-Compliant")</f>
        <v>Compliant</v>
      </c>
      <c r="C11" s="2" t="str">
        <f>IF(CAELS!E18&lt;5%,"Compliant","Non-Compliant")</f>
        <v>Compliant</v>
      </c>
      <c r="D11" s="2" t="str">
        <f>IF(CAELS!F18&lt;5%,"Compliant","Non-Compliant")</f>
        <v>Compliant</v>
      </c>
      <c r="E11" s="2" t="str">
        <f>IF(CAELS!G18&lt;5%,"Compliant","Non-Compliant")</f>
        <v>Non-Compliant</v>
      </c>
      <c r="F11" s="2" t="str">
        <f>IF(CAELS!H18&lt;5%,"Compliant","Non-Compliant")</f>
        <v>Non-Compliant</v>
      </c>
      <c r="G11" s="2" t="str">
        <f>IF(CAELS!I18&lt;5%,"Compliant","Non-Compliant")</f>
        <v>Non-Compliant</v>
      </c>
      <c r="H11" s="2" t="str">
        <f>IF(CAELS!J18&lt;5%,"Compliant","Non-Compliant")</f>
        <v>Non-Compliant</v>
      </c>
      <c r="I11" s="2" t="str">
        <f>IF(CAELS!K18&lt;5%,"Compliant","Non-Compliant")</f>
        <v>Non-Compliant</v>
      </c>
      <c r="J11" s="2" t="str">
        <f>IF(CAELS!L18&lt;5%,"Compliant","Non-Compliant")</f>
        <v>Non-Compliant</v>
      </c>
      <c r="K11" s="2" t="str">
        <f>IF(CAELS!M18&lt;5%,"Compliant","Non-Compliant")</f>
        <v>Non-Compliant</v>
      </c>
      <c r="L11" s="2" t="str">
        <f>IF(CAELS!N18&lt;5%,"Compliant","Non-Compliant")</f>
        <v>Non-Compliant</v>
      </c>
      <c r="M11" s="2" t="str">
        <f>IF(CAELS!O18&lt;5%,"Compliant","Non-Compliant")</f>
        <v>Non-Compliant</v>
      </c>
      <c r="N11" s="2" t="str">
        <f>IF(CAELS!P18&lt;5%,"Compliant","Non-Compliant")</f>
        <v>Non-Compliant</v>
      </c>
      <c r="O11" s="2" t="str">
        <f>IF(CAELS!Q18&lt;5%,"Compliant","Non-Compliant")</f>
        <v>Non-Compliant</v>
      </c>
      <c r="P11" s="2" t="str">
        <f>IF(CAELS!R18&lt;5%,"Compliant","Non-Compliant")</f>
        <v>Compliant</v>
      </c>
      <c r="Q11" s="2" t="str">
        <f>IF(CAELS!S18&lt;5%,"Compliant","Non-Compliant")</f>
        <v>Non-Compliant</v>
      </c>
      <c r="R11" s="2" t="str">
        <f>IF(CAELS!T18&lt;5%,"Compliant","Non-Compliant")</f>
        <v>Non-Compliant</v>
      </c>
      <c r="S11" s="2" t="str">
        <f>IF(CAELS!U18&lt;5%,"Compliant","Non-Compliant")</f>
        <v>Non-Compliant</v>
      </c>
      <c r="T11" s="2" t="str">
        <f>IF(CAELS!V18&lt;5%,"Compliant","Non-Compliant")</f>
        <v>Non-Compliant</v>
      </c>
    </row>
    <row r="12" spans="1:20">
      <c r="A12" s="142" t="s">
        <v>303</v>
      </c>
      <c r="B12" s="2" t="str">
        <f>IF(CAELS!D19&lt;40%,"Compliant","Non-Compliant")</f>
        <v>Compliant</v>
      </c>
      <c r="C12" s="2" t="str">
        <f>IF(CAELS!E19&lt;40%,"Compliant","Non-Compliant")</f>
        <v>Compliant</v>
      </c>
      <c r="D12" s="2" t="str">
        <f>IF(CAELS!F19&lt;40%,"Compliant","Non-Compliant")</f>
        <v>Compliant</v>
      </c>
      <c r="E12" s="2" t="str">
        <f>IF(CAELS!G19&lt;40%,"Compliant","Non-Compliant")</f>
        <v>Compliant</v>
      </c>
      <c r="F12" s="2" t="str">
        <f>IF(CAELS!H19&lt;40%,"Compliant","Non-Compliant")</f>
        <v>Compliant</v>
      </c>
      <c r="G12" s="2" t="str">
        <f>IF(CAELS!I19&lt;40%,"Compliant","Non-Compliant")</f>
        <v>Compliant</v>
      </c>
      <c r="H12" s="2" t="str">
        <f>IF(CAELS!J19&lt;40%,"Compliant","Non-Compliant")</f>
        <v>Compliant</v>
      </c>
      <c r="I12" s="2" t="str">
        <f>IF(CAELS!K19&lt;40%,"Compliant","Non-Compliant")</f>
        <v>Compliant</v>
      </c>
      <c r="J12" s="2" t="str">
        <f>IF(CAELS!L19&lt;40%,"Compliant","Non-Compliant")</f>
        <v>Compliant</v>
      </c>
      <c r="K12" s="2" t="str">
        <f>IF(CAELS!M19&lt;40%,"Compliant","Non-Compliant")</f>
        <v>Compliant</v>
      </c>
      <c r="L12" s="2" t="str">
        <f>IF(CAELS!N19&lt;40%,"Compliant","Non-Compliant")</f>
        <v>Compliant</v>
      </c>
      <c r="M12" s="2" t="str">
        <f>IF(CAELS!O19&lt;40%,"Compliant","Non-Compliant")</f>
        <v>Compliant</v>
      </c>
      <c r="N12" s="2" t="str">
        <f>IF(CAELS!P19&lt;40%,"Compliant","Non-Compliant")</f>
        <v>Compliant</v>
      </c>
      <c r="O12" s="2" t="str">
        <f>IF(CAELS!Q19&lt;40%,"Compliant","Non-Compliant")</f>
        <v>Compliant</v>
      </c>
      <c r="P12" s="2" t="str">
        <f>IF(CAELS!R19&lt;40%,"Compliant","Non-Compliant")</f>
        <v>Compliant</v>
      </c>
      <c r="Q12" s="2" t="str">
        <f>IF(CAELS!S19&lt;40%,"Compliant","Non-Compliant")</f>
        <v>Compliant</v>
      </c>
      <c r="R12" s="2" t="str">
        <f>IF(CAELS!T19&lt;40%,"Compliant","Non-Compliant")</f>
        <v>Compliant</v>
      </c>
      <c r="S12" s="2" t="str">
        <f>IF(CAELS!U19&lt;40%,"Compliant","Non-Compliant")</f>
        <v>Compliant</v>
      </c>
      <c r="T12" s="2" t="str">
        <f>IF(CAELS!V19&lt;40%,"Compliant","Non-Compliant")</f>
        <v>Compliant</v>
      </c>
    </row>
    <row r="13" spans="1:20">
      <c r="A13" s="142" t="s">
        <v>304</v>
      </c>
      <c r="B13" s="2" t="str">
        <f>IF(CAELS!D14&lt;25%,"Compliant","Non-Compliant")</f>
        <v>Compliant</v>
      </c>
      <c r="C13" s="2" t="str">
        <f>IF(CAELS!E14&lt;25%,"Compliant","Non-Compliant")</f>
        <v>Compliant</v>
      </c>
      <c r="D13" s="2" t="str">
        <f>IF(CAELS!F14&lt;25%,"Compliant","Non-Compliant")</f>
        <v>Compliant</v>
      </c>
      <c r="E13" s="2" t="str">
        <f>IF(CAELS!G14&lt;25%,"Compliant","Non-Compliant")</f>
        <v>Compliant</v>
      </c>
      <c r="F13" s="2" t="str">
        <f>IF(CAELS!H14&lt;25%,"Compliant","Non-Compliant")</f>
        <v>Compliant</v>
      </c>
      <c r="G13" s="2" t="str">
        <f>IF(CAELS!I14&lt;25%,"Compliant","Non-Compliant")</f>
        <v>Compliant</v>
      </c>
      <c r="H13" s="2" t="str">
        <f>IF(CAELS!J14&lt;25%,"Compliant","Non-Compliant")</f>
        <v>Compliant</v>
      </c>
      <c r="I13" s="2" t="str">
        <f>IF(CAELS!K14&lt;25%,"Compliant","Non-Compliant")</f>
        <v>Compliant</v>
      </c>
      <c r="J13" s="2" t="str">
        <f>IF(CAELS!L14&lt;25%,"Compliant","Non-Compliant")</f>
        <v>Compliant</v>
      </c>
      <c r="K13" s="2" t="str">
        <f>IF(CAELS!M14&lt;25%,"Compliant","Non-Compliant")</f>
        <v>Compliant</v>
      </c>
      <c r="L13" s="2" t="str">
        <f>IF(CAELS!N14&lt;25%,"Compliant","Non-Compliant")</f>
        <v>Compliant</v>
      </c>
      <c r="M13" s="2" t="str">
        <f>IF(CAELS!O14&lt;25%,"Compliant","Non-Compliant")</f>
        <v>Compliant</v>
      </c>
      <c r="N13" s="2" t="str">
        <f>IF(CAELS!P14&lt;25%,"Compliant","Non-Compliant")</f>
        <v>Compliant</v>
      </c>
      <c r="O13" s="2" t="str">
        <f>IF(CAELS!Q14&lt;25%,"Compliant","Non-Compliant")</f>
        <v>Compliant</v>
      </c>
      <c r="P13" s="2" t="str">
        <f>IF(CAELS!R14&lt;25%,"Compliant","Non-Compliant")</f>
        <v>Compliant</v>
      </c>
      <c r="Q13" s="2" t="str">
        <f>IF(CAELS!S14&lt;25%,"Compliant","Non-Compliant")</f>
        <v>Compliant</v>
      </c>
      <c r="R13" s="2" t="str">
        <f>IF(CAELS!T14&lt;25%,"Compliant","Non-Compliant")</f>
        <v>Compliant</v>
      </c>
      <c r="S13" s="2" t="str">
        <f>IF(CAELS!U14&lt;25%,"Compliant","Non-Compliant")</f>
        <v>Compliant</v>
      </c>
      <c r="T13" s="2" t="str">
        <f>IF(CAELS!V14&lt;25%,"Compliant","Non-Compliant")</f>
        <v>Compliant</v>
      </c>
    </row>
    <row r="14" spans="1:20">
      <c r="A14" s="142" t="s">
        <v>305</v>
      </c>
      <c r="B14" s="2" t="str">
        <f>IF('Evolutive SFP'!B27='Evolutive SFP'!B49,"BALANCING","NOT BALANCING")</f>
        <v>BALANCING</v>
      </c>
      <c r="C14" s="2" t="str">
        <f>IF('Evolutive SFP'!C27='Evolutive SFP'!C49,"BALANCING","NOT BALANCING")</f>
        <v>BALANCING</v>
      </c>
      <c r="D14" s="2" t="str">
        <f>IF('Evolutive SFP'!D27='Evolutive SFP'!D49,"BALANCING","NOT BALANCING")</f>
        <v>BALANCING</v>
      </c>
      <c r="E14" s="2" t="str">
        <f>IF('Evolutive SFP'!E27='Evolutive SFP'!E49,"BALANCING","NOT BALANCING")</f>
        <v>BALANCING</v>
      </c>
      <c r="F14" s="2" t="str">
        <f>IF('Evolutive SFP'!F27='Evolutive SFP'!F49,"BALANCING","NOT BALANCING")</f>
        <v>BALANCING</v>
      </c>
      <c r="G14" s="2" t="str">
        <f>IF('Evolutive SFP'!G27='Evolutive SFP'!G49,"BALANCING","NOT BALANCING")</f>
        <v>BALANCING</v>
      </c>
      <c r="H14" s="2" t="str">
        <f>IF('Evolutive SFP'!H27='Evolutive SFP'!H49,"BALANCING","NOT BALANCING")</f>
        <v>BALANCING</v>
      </c>
      <c r="I14" s="2" t="str">
        <f>IF('Evolutive SFP'!I27='Evolutive SFP'!I49,"BALANCING","NOT BALANCING")</f>
        <v>BALANCING</v>
      </c>
      <c r="J14" s="2" t="str">
        <f>IF('Evolutive SFP'!J27='Evolutive SFP'!J49,"BALANCING","NOT BALANCING")</f>
        <v>BALANCING</v>
      </c>
      <c r="K14" s="2" t="str">
        <f>IF('Evolutive SFP'!K27='Evolutive SFP'!K49,"BALANCING","NOT BALANCING")</f>
        <v>BALANCING</v>
      </c>
      <c r="L14" s="2" t="str">
        <f>IF('Evolutive SFP'!L27='Evolutive SFP'!L49,"BALANCING","NOT BALANCING")</f>
        <v>BALANCING</v>
      </c>
      <c r="M14" s="2" t="str">
        <f>IF('Evolutive SFP'!M27='Evolutive SFP'!M49,"BALANCING","NOT BALANCING")</f>
        <v>BALANCING</v>
      </c>
      <c r="N14" s="2" t="str">
        <f>IF('Evolutive SFP'!N27='Evolutive SFP'!N49,"BALANCING","NOT BALANCING")</f>
        <v>BALANCING</v>
      </c>
      <c r="O14" s="2" t="str">
        <f>IF('Evolutive SFP'!O27='Evolutive SFP'!O49,"BALANCING","NOT BALANCING")</f>
        <v>BALANCING</v>
      </c>
      <c r="P14" s="2" t="str">
        <f>IF('Evolutive SFP'!P27='Evolutive SFP'!P49,"BALANCING","NOT BALANCING")</f>
        <v>BALANCING</v>
      </c>
      <c r="Q14" s="2" t="e">
        <f>IF('Evolutive SFP'!#REF!='Evolutive SFP'!#REF!,"BALANCING","NOT BALANCING")</f>
        <v>#REF!</v>
      </c>
      <c r="R14" s="2" t="e">
        <f>IF('Evolutive SFP'!#REF!='Evolutive SFP'!#REF!,"BALANCING","NOT BALANCING")</f>
        <v>#REF!</v>
      </c>
      <c r="S14" s="2" t="str">
        <f>IF('Evolutive SFP'!Q27='Evolutive SFP'!Q49,"BALANCING","NOT BALANCING")</f>
        <v>BALANCING</v>
      </c>
      <c r="T14" s="2" t="str">
        <f>IF('Evolutive SFP'!R27='Evolutive SFP'!R49,"BALANCING","NOT BALANCING")</f>
        <v>BALANCING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0"/>
  <sheetViews>
    <sheetView workbookViewId="0">
      <pane xSplit="1" ySplit="2" topLeftCell="B3" activePane="bottomRight" state="frozen"/>
      <selection pane="bottomRight" activeCell="I16" sqref="I16"/>
      <selection pane="bottomLeft" activeCell="A3" sqref="A3"/>
      <selection pane="topRight" activeCell="B1" sqref="B1"/>
    </sheetView>
  </sheetViews>
  <sheetFormatPr defaultRowHeight="14.45"/>
  <cols>
    <col min="1" max="1" width="54.85546875" style="109" bestFit="1" customWidth="1"/>
    <col min="2" max="2" width="15" style="109" bestFit="1" customWidth="1"/>
    <col min="3" max="3" width="15.140625" style="109" customWidth="1"/>
    <col min="4" max="4" width="17.7109375" style="113" bestFit="1" customWidth="1"/>
    <col min="5" max="5" width="13.5703125" bestFit="1" customWidth="1"/>
    <col min="6" max="6" width="11.5703125" bestFit="1" customWidth="1"/>
    <col min="8" max="8" width="16" bestFit="1" customWidth="1"/>
    <col min="10" max="10" width="10.7109375" bestFit="1" customWidth="1"/>
  </cols>
  <sheetData>
    <row r="1" spans="1:10">
      <c r="A1" s="345" t="s">
        <v>306</v>
      </c>
      <c r="B1" s="345"/>
      <c r="C1" s="345"/>
    </row>
    <row r="2" spans="1:10" ht="15.6">
      <c r="A2" s="72"/>
      <c r="B2" s="73">
        <v>2020</v>
      </c>
      <c r="C2" s="73">
        <v>2021</v>
      </c>
      <c r="D2" s="114" t="s">
        <v>307</v>
      </c>
      <c r="E2" t="s">
        <v>308</v>
      </c>
    </row>
    <row r="3" spans="1:10">
      <c r="A3" s="74" t="s">
        <v>309</v>
      </c>
      <c r="B3" s="75"/>
      <c r="C3" s="76"/>
    </row>
    <row r="4" spans="1:10">
      <c r="A4" s="77" t="s">
        <v>310</v>
      </c>
      <c r="B4" s="78"/>
      <c r="C4" s="79"/>
    </row>
    <row r="5" spans="1:10">
      <c r="A5" s="80" t="s">
        <v>311</v>
      </c>
      <c r="B5" s="81"/>
      <c r="C5" s="82"/>
      <c r="J5" t="s">
        <v>312</v>
      </c>
    </row>
    <row r="6" spans="1:10" ht="15.6">
      <c r="A6" s="80" t="s">
        <v>313</v>
      </c>
      <c r="B6" s="83"/>
      <c r="C6" s="84"/>
      <c r="D6" s="115"/>
      <c r="J6" t="s">
        <v>312</v>
      </c>
    </row>
    <row r="7" spans="1:10" ht="15.6">
      <c r="A7" s="80" t="s">
        <v>314</v>
      </c>
      <c r="B7" s="78"/>
      <c r="C7" s="82"/>
      <c r="D7" s="115"/>
      <c r="E7" s="83"/>
      <c r="F7" s="84"/>
    </row>
    <row r="8" spans="1:10" ht="17.45">
      <c r="A8" s="85" t="s">
        <v>315</v>
      </c>
      <c r="B8" s="86">
        <f>B4+B5+B6+B7</f>
        <v>0</v>
      </c>
      <c r="C8" s="87">
        <f>SUM(C4:C7)</f>
        <v>0</v>
      </c>
      <c r="D8" s="116">
        <f>SUM(D4:D7)</f>
        <v>0</v>
      </c>
      <c r="H8" s="88"/>
    </row>
    <row r="9" spans="1:10">
      <c r="A9" s="80" t="s">
        <v>316</v>
      </c>
      <c r="B9" s="81"/>
      <c r="C9" s="82"/>
      <c r="D9" s="115"/>
      <c r="E9" s="89"/>
    </row>
    <row r="10" spans="1:10">
      <c r="A10" s="80" t="s">
        <v>317</v>
      </c>
      <c r="B10" s="81"/>
      <c r="C10" s="82"/>
    </row>
    <row r="11" spans="1:10">
      <c r="A11" s="80" t="s">
        <v>318</v>
      </c>
      <c r="B11" s="81"/>
      <c r="C11" s="82"/>
      <c r="D11" s="115"/>
    </row>
    <row r="12" spans="1:10">
      <c r="A12" s="80" t="s">
        <v>319</v>
      </c>
      <c r="B12" s="81"/>
      <c r="C12" s="82"/>
    </row>
    <row r="13" spans="1:10" ht="15.6">
      <c r="A13" s="80" t="s">
        <v>320</v>
      </c>
      <c r="B13" s="90"/>
      <c r="C13" s="84"/>
      <c r="H13" s="113"/>
    </row>
    <row r="14" spans="1:10">
      <c r="A14" s="91" t="s">
        <v>321</v>
      </c>
      <c r="B14" s="92">
        <f>SUM(B9:B13)</f>
        <v>0</v>
      </c>
      <c r="C14" s="93">
        <f>SUM(C9:C13)</f>
        <v>0</v>
      </c>
      <c r="D14" s="117">
        <f>SUM(D9:D13)</f>
        <v>0</v>
      </c>
      <c r="H14" s="113"/>
    </row>
    <row r="15" spans="1:10">
      <c r="A15" s="94" t="s">
        <v>322</v>
      </c>
      <c r="B15" s="81"/>
      <c r="C15" s="82"/>
      <c r="H15" s="113"/>
    </row>
    <row r="16" spans="1:10">
      <c r="A16" s="94" t="s">
        <v>323</v>
      </c>
      <c r="B16" s="78"/>
      <c r="C16" s="82"/>
      <c r="H16" s="113"/>
    </row>
    <row r="17" spans="1:8" ht="15.6">
      <c r="A17" s="94" t="s">
        <v>324</v>
      </c>
      <c r="B17" s="90"/>
      <c r="C17" s="84"/>
      <c r="H17" s="113"/>
    </row>
    <row r="18" spans="1:8">
      <c r="A18" s="95" t="s">
        <v>325</v>
      </c>
      <c r="B18" s="96">
        <f>B8+B14+B15+B16+B17</f>
        <v>0</v>
      </c>
      <c r="C18" s="97">
        <f>C8+C14+C15+C16+C17</f>
        <v>0</v>
      </c>
      <c r="D18" s="117">
        <f>D8+D14+D15+D16+D17</f>
        <v>0</v>
      </c>
      <c r="H18" s="113"/>
    </row>
    <row r="19" spans="1:8" ht="15.6">
      <c r="A19" s="94" t="s">
        <v>326</v>
      </c>
      <c r="B19" s="90"/>
      <c r="C19" s="84"/>
      <c r="H19" s="113"/>
    </row>
    <row r="20" spans="1:8" ht="17.45">
      <c r="A20" s="95" t="s">
        <v>327</v>
      </c>
      <c r="B20" s="98"/>
      <c r="C20" s="99"/>
      <c r="D20" s="116"/>
      <c r="F20" s="113"/>
      <c r="H20" s="45"/>
    </row>
    <row r="21" spans="1:8">
      <c r="A21" s="94"/>
      <c r="B21" s="100"/>
      <c r="C21" s="82"/>
    </row>
    <row r="22" spans="1:8">
      <c r="A22" s="95" t="s">
        <v>328</v>
      </c>
      <c r="B22" s="101"/>
      <c r="C22" s="102"/>
      <c r="D22" s="118"/>
    </row>
    <row r="23" spans="1:8">
      <c r="A23" s="94" t="s">
        <v>329</v>
      </c>
      <c r="B23" s="78"/>
      <c r="C23" s="82"/>
    </row>
    <row r="24" spans="1:8">
      <c r="A24" s="94" t="s">
        <v>330</v>
      </c>
      <c r="B24" s="78"/>
      <c r="C24" s="82"/>
    </row>
    <row r="25" spans="1:8">
      <c r="A25" s="94" t="s">
        <v>331</v>
      </c>
      <c r="B25" s="78"/>
      <c r="C25" s="82"/>
    </row>
    <row r="26" spans="1:8">
      <c r="A26" s="94" t="s">
        <v>332</v>
      </c>
      <c r="B26" s="78"/>
      <c r="C26" s="82"/>
      <c r="D26" s="115"/>
    </row>
    <row r="27" spans="1:8" ht="15.6">
      <c r="A27" s="94" t="s">
        <v>333</v>
      </c>
      <c r="B27" s="90"/>
      <c r="C27" s="84"/>
      <c r="D27" s="115"/>
    </row>
    <row r="28" spans="1:8" ht="17.45">
      <c r="A28" s="95" t="s">
        <v>334</v>
      </c>
      <c r="B28" s="86">
        <f>SUM(B23:B27)</f>
        <v>0</v>
      </c>
      <c r="C28" s="87">
        <f>SUM(C23:C27)</f>
        <v>0</v>
      </c>
      <c r="D28" s="116">
        <f>SUM(D23:D27)</f>
        <v>0</v>
      </c>
    </row>
    <row r="29" spans="1:8">
      <c r="A29" s="94"/>
      <c r="B29" s="100"/>
      <c r="C29" s="103"/>
    </row>
    <row r="30" spans="1:8">
      <c r="A30" s="95" t="s">
        <v>335</v>
      </c>
      <c r="B30" s="101"/>
      <c r="C30" s="102"/>
      <c r="D30" s="118"/>
    </row>
    <row r="31" spans="1:8">
      <c r="A31" s="94" t="s">
        <v>336</v>
      </c>
      <c r="B31" s="78"/>
      <c r="C31" s="82"/>
    </row>
    <row r="32" spans="1:8">
      <c r="A32" s="94" t="s">
        <v>337</v>
      </c>
      <c r="B32" s="78"/>
      <c r="C32" s="82"/>
    </row>
    <row r="33" spans="1:4">
      <c r="A33" s="94" t="s">
        <v>338</v>
      </c>
      <c r="B33" s="78"/>
      <c r="C33" s="82"/>
    </row>
    <row r="34" spans="1:4">
      <c r="A34" s="94" t="s">
        <v>339</v>
      </c>
      <c r="B34" s="78"/>
      <c r="C34" s="82"/>
      <c r="D34" s="115"/>
    </row>
    <row r="35" spans="1:4">
      <c r="A35" s="94" t="s">
        <v>340</v>
      </c>
      <c r="B35" s="78"/>
      <c r="C35" s="82"/>
      <c r="D35" s="115"/>
    </row>
    <row r="36" spans="1:4">
      <c r="A36" s="94" t="s">
        <v>341</v>
      </c>
      <c r="B36" s="78"/>
      <c r="C36" s="82"/>
      <c r="D36" s="115"/>
    </row>
    <row r="37" spans="1:4" ht="17.45">
      <c r="A37" s="95" t="s">
        <v>342</v>
      </c>
      <c r="B37" s="86">
        <f>SUM(B31:B36)</f>
        <v>0</v>
      </c>
      <c r="C37" s="87">
        <f>SUM(C31:C36)</f>
        <v>0</v>
      </c>
      <c r="D37" s="116">
        <f>SUM(D31:D36)</f>
        <v>0</v>
      </c>
    </row>
    <row r="38" spans="1:4">
      <c r="A38" s="95" t="s">
        <v>343</v>
      </c>
      <c r="B38" s="104">
        <f>B20+B28+B37</f>
        <v>0</v>
      </c>
      <c r="C38" s="105">
        <f>C20+C28+C37</f>
        <v>0</v>
      </c>
      <c r="D38" s="118">
        <f>D20+D28+D37</f>
        <v>0</v>
      </c>
    </row>
    <row r="39" spans="1:4" ht="15.6">
      <c r="A39" s="94" t="s">
        <v>344</v>
      </c>
      <c r="B39" s="106"/>
      <c r="C39" s="107"/>
      <c r="D39" s="115"/>
    </row>
    <row r="40" spans="1:4" ht="17.45">
      <c r="A40" s="95" t="s">
        <v>345</v>
      </c>
      <c r="B40" s="98">
        <f>SUM(B38:B39)</f>
        <v>0</v>
      </c>
      <c r="C40" s="108">
        <f>SUM(C38:C39)</f>
        <v>0</v>
      </c>
      <c r="D40" s="119">
        <f>SUM(D38:D39)</f>
        <v>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3F3BFA-098D-4AF0-818E-8ECEC9187879}"/>
</file>

<file path=customXml/itemProps2.xml><?xml version="1.0" encoding="utf-8"?>
<ds:datastoreItem xmlns:ds="http://schemas.openxmlformats.org/officeDocument/2006/customXml" ds:itemID="{48CCC5EA-A419-4CC7-AAF8-7BABB90E66C4}"/>
</file>

<file path=customXml/itemProps3.xml><?xml version="1.0" encoding="utf-8"?>
<ds:datastoreItem xmlns:ds="http://schemas.openxmlformats.org/officeDocument/2006/customXml" ds:itemID="{BD86B7D5-5E44-49EE-AFC6-72906F1EBE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Cynthia Jepkoech</cp:lastModifiedBy>
  <cp:revision/>
  <dcterms:created xsi:type="dcterms:W3CDTF">2012-11-01T05:11:14Z</dcterms:created>
  <dcterms:modified xsi:type="dcterms:W3CDTF">2023-09-18T13:38:13Z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7a02b3b2-3762-4506-88a3-8b8c11cc60e6_Enabled">
    <vt:lpwstr>true</vt:lpwstr>
  </property>
  <property fmtid="{D5CDD505-2E9C-101B-9397-08002B2CF9AE}" pid="4" name="MSIP_Label_7a02b3b2-3762-4506-88a3-8b8c11cc60e6_SetDate">
    <vt:lpwstr>2022-01-18T08:56:53Z</vt:lpwstr>
  </property>
  <property fmtid="{D5CDD505-2E9C-101B-9397-08002B2CF9AE}" pid="5" name="MSIP_Label_7a02b3b2-3762-4506-88a3-8b8c11cc60e6_Method">
    <vt:lpwstr>Privileged</vt:lpwstr>
  </property>
  <property fmtid="{D5CDD505-2E9C-101B-9397-08002B2CF9AE}" pid="6" name="MSIP_Label_7a02b3b2-3762-4506-88a3-8b8c11cc60e6_Name">
    <vt:lpwstr>Internal Use</vt:lpwstr>
  </property>
  <property fmtid="{D5CDD505-2E9C-101B-9397-08002B2CF9AE}" pid="7" name="MSIP_Label_7a02b3b2-3762-4506-88a3-8b8c11cc60e6_SiteId">
    <vt:lpwstr>d6c8161d-ccd5-4325-b291-dd442c369fe4</vt:lpwstr>
  </property>
  <property fmtid="{D5CDD505-2E9C-101B-9397-08002B2CF9AE}" pid="8" name="MSIP_Label_7a02b3b2-3762-4506-88a3-8b8c11cc60e6_ActionId">
    <vt:lpwstr>b2cd598b-c75c-408c-874c-77c9efc1acb2</vt:lpwstr>
  </property>
  <property fmtid="{D5CDD505-2E9C-101B-9397-08002B2CF9AE}" pid="9" name="MSIP_Label_7a02b3b2-3762-4506-88a3-8b8c11cc60e6_ContentBits">
    <vt:lpwstr>0</vt:lpwstr>
  </property>
  <property fmtid="{D5CDD505-2E9C-101B-9397-08002B2CF9AE}" pid="10" name="MediaServiceImageTags">
    <vt:lpwstr/>
  </property>
</Properties>
</file>
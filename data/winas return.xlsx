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emison\Desktop\"/>
    </mc:Choice>
  </mc:AlternateContent>
  <xr:revisionPtr revIDLastSave="1" documentId="13_ncr:1_{8AD87347-B601-48AA-A21A-CC1E492A8515}" xr6:coauthVersionLast="47" xr6:coauthVersionMax="47" xr10:uidLastSave="{2330B499-CC97-4E88-8613-94E284DECA4F}"/>
  <bookViews>
    <workbookView xWindow="0" yWindow="0" windowWidth="14380" windowHeight="3780" firstSheet="2" activeTab="1" xr2:uid="{00000000-000D-0000-FFFF-FFFF00000000}"/>
  </bookViews>
  <sheets>
    <sheet name="Evolutive SFP" sheetId="1" r:id="rId1"/>
    <sheet name="Evolutitve SCI" sheetId="2" r:id="rId2"/>
    <sheet name="CAELS" sheetId="3" r:id="rId3"/>
    <sheet name="Financials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1" l="1"/>
  <c r="P44" i="1"/>
  <c r="P48" i="1" s="1"/>
  <c r="P23" i="1"/>
  <c r="P21" i="1" s="1"/>
  <c r="T24" i="1"/>
  <c r="U10" i="1"/>
  <c r="K39" i="2"/>
  <c r="L39" i="2"/>
  <c r="M39" i="2"/>
  <c r="M23" i="2"/>
  <c r="N23" i="2"/>
  <c r="O23" i="2"/>
  <c r="P23" i="2"/>
  <c r="M20" i="2"/>
  <c r="N20" i="2"/>
  <c r="O20" i="2"/>
  <c r="P20" i="2"/>
  <c r="M12" i="2"/>
  <c r="N12" i="2"/>
  <c r="O12" i="2"/>
  <c r="P12" i="2"/>
  <c r="M7" i="2"/>
  <c r="N7" i="2"/>
  <c r="O7" i="2"/>
  <c r="P7" i="2"/>
  <c r="M4" i="2"/>
  <c r="N4" i="2"/>
  <c r="O4" i="2"/>
  <c r="P4" i="2"/>
  <c r="P3" i="2" s="1"/>
  <c r="P19" i="2" s="1"/>
  <c r="R3" i="3"/>
  <c r="R19" i="3" s="1"/>
  <c r="R8" i="3"/>
  <c r="R32" i="3"/>
  <c r="M21" i="1"/>
  <c r="N21" i="1"/>
  <c r="O21" i="1"/>
  <c r="Q21" i="1"/>
  <c r="M48" i="1"/>
  <c r="N48" i="1"/>
  <c r="O48" i="1"/>
  <c r="M31" i="1"/>
  <c r="M38" i="1" s="1"/>
  <c r="N31" i="1"/>
  <c r="N38" i="1" s="1"/>
  <c r="O31" i="1"/>
  <c r="O38" i="1" s="1"/>
  <c r="P31" i="1"/>
  <c r="R18" i="3" s="1"/>
  <c r="M14" i="1"/>
  <c r="N14" i="1"/>
  <c r="O14" i="1"/>
  <c r="P14" i="1"/>
  <c r="M8" i="1"/>
  <c r="N8" i="1"/>
  <c r="O8" i="1"/>
  <c r="P8" i="1"/>
  <c r="M4" i="1"/>
  <c r="N4" i="1"/>
  <c r="O4" i="1"/>
  <c r="P4" i="1"/>
  <c r="R12" i="3" s="1"/>
  <c r="C31" i="5"/>
  <c r="C32" i="5"/>
  <c r="C35" i="5"/>
  <c r="C17" i="5"/>
  <c r="C18" i="5"/>
  <c r="C19" i="5"/>
  <c r="C6" i="5"/>
  <c r="C7" i="5"/>
  <c r="C8" i="5"/>
  <c r="C15" i="5"/>
  <c r="D15" i="5"/>
  <c r="E15" i="5"/>
  <c r="F15" i="5"/>
  <c r="G15" i="5"/>
  <c r="C22" i="5"/>
  <c r="C21" i="5" s="1"/>
  <c r="C27" i="5"/>
  <c r="C38" i="5"/>
  <c r="C40" i="5"/>
  <c r="C44" i="5"/>
  <c r="C45" i="5"/>
  <c r="C46" i="5"/>
  <c r="F3" i="3"/>
  <c r="D6" i="5"/>
  <c r="E6" i="5"/>
  <c r="F6" i="5"/>
  <c r="G6" i="5"/>
  <c r="H6" i="5"/>
  <c r="I6" i="5"/>
  <c r="J6" i="5"/>
  <c r="K6" i="5"/>
  <c r="D7" i="5"/>
  <c r="E7" i="5"/>
  <c r="F7" i="5"/>
  <c r="G7" i="5"/>
  <c r="H7" i="5"/>
  <c r="I7" i="5"/>
  <c r="J7" i="5"/>
  <c r="K7" i="5"/>
  <c r="D8" i="5"/>
  <c r="E8" i="5"/>
  <c r="F8" i="5"/>
  <c r="G8" i="5"/>
  <c r="H8" i="5"/>
  <c r="I8" i="5"/>
  <c r="J8" i="5"/>
  <c r="K8" i="5"/>
  <c r="H15" i="5"/>
  <c r="I15" i="5"/>
  <c r="J15" i="5"/>
  <c r="K15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2" i="5"/>
  <c r="D21" i="5" s="1"/>
  <c r="E22" i="5"/>
  <c r="E21" i="5" s="1"/>
  <c r="F22" i="5"/>
  <c r="F21" i="5" s="1"/>
  <c r="G22" i="5"/>
  <c r="G21" i="5" s="1"/>
  <c r="H22" i="5"/>
  <c r="H21" i="5" s="1"/>
  <c r="I22" i="5"/>
  <c r="I21" i="5" s="1"/>
  <c r="J22" i="5"/>
  <c r="J21" i="5" s="1"/>
  <c r="K22" i="5"/>
  <c r="K21" i="5" s="1"/>
  <c r="D26" i="5"/>
  <c r="E26" i="5"/>
  <c r="F26" i="5"/>
  <c r="G26" i="5"/>
  <c r="H26" i="5"/>
  <c r="I26" i="5"/>
  <c r="J26" i="5"/>
  <c r="K26" i="5"/>
  <c r="D27" i="5"/>
  <c r="E27" i="5"/>
  <c r="F27" i="5"/>
  <c r="G27" i="5"/>
  <c r="G25" i="5" s="1"/>
  <c r="H27" i="5"/>
  <c r="I27" i="5"/>
  <c r="J27" i="5"/>
  <c r="K27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5" i="5"/>
  <c r="E35" i="5"/>
  <c r="F35" i="5"/>
  <c r="G35" i="5"/>
  <c r="H35" i="5"/>
  <c r="I35" i="5"/>
  <c r="J35" i="5"/>
  <c r="K35" i="5"/>
  <c r="D38" i="5"/>
  <c r="E38" i="5"/>
  <c r="F38" i="5"/>
  <c r="G38" i="5"/>
  <c r="H38" i="5"/>
  <c r="I38" i="5"/>
  <c r="J38" i="5"/>
  <c r="K38" i="5"/>
  <c r="D40" i="5"/>
  <c r="E40" i="5"/>
  <c r="F40" i="5"/>
  <c r="G40" i="5"/>
  <c r="H40" i="5"/>
  <c r="I40" i="5"/>
  <c r="J40" i="5"/>
  <c r="K40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K25" i="5" l="1"/>
  <c r="J25" i="5"/>
  <c r="I25" i="5"/>
  <c r="H25" i="5"/>
  <c r="F25" i="5"/>
  <c r="D25" i="5"/>
  <c r="N27" i="1"/>
  <c r="M27" i="1"/>
  <c r="P29" i="2"/>
  <c r="R10" i="3"/>
  <c r="O3" i="2"/>
  <c r="O19" i="2" s="1"/>
  <c r="O29" i="2" s="1"/>
  <c r="N3" i="2"/>
  <c r="N19" i="2" s="1"/>
  <c r="N29" i="2" s="1"/>
  <c r="P38" i="1"/>
  <c r="P49" i="1" s="1"/>
  <c r="R13" i="3"/>
  <c r="M3" i="2"/>
  <c r="M19" i="2" s="1"/>
  <c r="M29" i="2" s="1"/>
  <c r="R5" i="3"/>
  <c r="E14" i="5"/>
  <c r="D14" i="5"/>
  <c r="I14" i="5"/>
  <c r="G14" i="5"/>
  <c r="G11" i="5" s="1"/>
  <c r="G12" i="5" s="1"/>
  <c r="J14" i="5"/>
  <c r="J11" i="5" s="1"/>
  <c r="J12" i="5" s="1"/>
  <c r="F14" i="5"/>
  <c r="F11" i="5" s="1"/>
  <c r="F12" i="5" s="1"/>
  <c r="H14" i="5"/>
  <c r="O49" i="1"/>
  <c r="N49" i="1"/>
  <c r="M49" i="1"/>
  <c r="E25" i="5"/>
  <c r="P27" i="1"/>
  <c r="O27" i="1"/>
  <c r="C14" i="5"/>
  <c r="H11" i="5"/>
  <c r="H12" i="5" s="1"/>
  <c r="D11" i="5"/>
  <c r="D12" i="5" s="1"/>
  <c r="E11" i="5"/>
  <c r="E12" i="5" s="1"/>
  <c r="K14" i="5"/>
  <c r="K11" i="5" s="1"/>
  <c r="K12" i="5" s="1"/>
  <c r="I11" i="5"/>
  <c r="I12" i="5" s="1"/>
  <c r="J8" i="1"/>
  <c r="K8" i="1"/>
  <c r="O3" i="3"/>
  <c r="O4" i="3" s="1"/>
  <c r="P3" i="3"/>
  <c r="P4" i="3" s="1"/>
  <c r="Q3" i="3"/>
  <c r="Q5" i="3" s="1"/>
  <c r="O8" i="3"/>
  <c r="P8" i="3"/>
  <c r="Q8" i="3"/>
  <c r="P10" i="3"/>
  <c r="Q10" i="3"/>
  <c r="O11" i="3"/>
  <c r="P11" i="3"/>
  <c r="Q11" i="3"/>
  <c r="O12" i="3"/>
  <c r="P12" i="3"/>
  <c r="Q12" i="3"/>
  <c r="O13" i="3"/>
  <c r="P13" i="3"/>
  <c r="Q13" i="3"/>
  <c r="O14" i="3"/>
  <c r="P14" i="3"/>
  <c r="Q14" i="3"/>
  <c r="O15" i="3"/>
  <c r="P15" i="3"/>
  <c r="Q15" i="3"/>
  <c r="O16" i="3"/>
  <c r="P16" i="3"/>
  <c r="Q16" i="3"/>
  <c r="O17" i="3"/>
  <c r="P17" i="3"/>
  <c r="Q17" i="3"/>
  <c r="O18" i="3"/>
  <c r="P18" i="3"/>
  <c r="Q18" i="3"/>
  <c r="O20" i="3"/>
  <c r="P20" i="3"/>
  <c r="Q20" i="3"/>
  <c r="O21" i="3"/>
  <c r="P21" i="3"/>
  <c r="Q21" i="3"/>
  <c r="O22" i="3"/>
  <c r="P22" i="3"/>
  <c r="Q22" i="3"/>
  <c r="O23" i="3"/>
  <c r="P23" i="3"/>
  <c r="Q23" i="3"/>
  <c r="O32" i="3"/>
  <c r="P32" i="3"/>
  <c r="Q32" i="3"/>
  <c r="N3" i="3"/>
  <c r="N19" i="3" s="1"/>
  <c r="N8" i="3"/>
  <c r="N32" i="3"/>
  <c r="M3" i="3"/>
  <c r="M19" i="3" s="1"/>
  <c r="M8" i="3"/>
  <c r="M32" i="3"/>
  <c r="F19" i="3"/>
  <c r="G3" i="3"/>
  <c r="G19" i="3" s="1"/>
  <c r="H3" i="3"/>
  <c r="H19" i="3" s="1"/>
  <c r="I3" i="3"/>
  <c r="J3" i="3"/>
  <c r="J19" i="3" s="1"/>
  <c r="K3" i="3"/>
  <c r="L3" i="3"/>
  <c r="L19" i="3" s="1"/>
  <c r="F8" i="3"/>
  <c r="G8" i="3"/>
  <c r="H8" i="3"/>
  <c r="I8" i="3"/>
  <c r="J8" i="3"/>
  <c r="K8" i="3"/>
  <c r="L8" i="3"/>
  <c r="I32" i="3"/>
  <c r="J32" i="3"/>
  <c r="K32" i="3"/>
  <c r="L32" i="3"/>
  <c r="L4" i="5"/>
  <c r="M4" i="5"/>
  <c r="N4" i="5"/>
  <c r="L5" i="5"/>
  <c r="M5" i="5"/>
  <c r="O25" i="3" s="1"/>
  <c r="N5" i="5"/>
  <c r="P25" i="3" s="1"/>
  <c r="O5" i="5"/>
  <c r="R25" i="3" s="1"/>
  <c r="J26" i="3"/>
  <c r="L6" i="5"/>
  <c r="M6" i="5"/>
  <c r="N6" i="5"/>
  <c r="O6" i="5"/>
  <c r="F27" i="3"/>
  <c r="L27" i="3"/>
  <c r="M27" i="3"/>
  <c r="L7" i="5"/>
  <c r="M7" i="5"/>
  <c r="N7" i="5"/>
  <c r="O7" i="5"/>
  <c r="R27" i="3" s="1"/>
  <c r="L8" i="5"/>
  <c r="M8" i="5"/>
  <c r="N8" i="5"/>
  <c r="O8" i="5"/>
  <c r="L15" i="5"/>
  <c r="M15" i="5"/>
  <c r="N15" i="5"/>
  <c r="O15" i="5"/>
  <c r="L17" i="5"/>
  <c r="M17" i="5"/>
  <c r="N17" i="5"/>
  <c r="O17" i="5"/>
  <c r="L18" i="5"/>
  <c r="M18" i="5"/>
  <c r="N18" i="5"/>
  <c r="O18" i="5"/>
  <c r="L19" i="5"/>
  <c r="M19" i="5"/>
  <c r="N19" i="5"/>
  <c r="O19" i="5"/>
  <c r="L20" i="5"/>
  <c r="M20" i="5"/>
  <c r="N20" i="5"/>
  <c r="O20" i="5"/>
  <c r="L22" i="5"/>
  <c r="L21" i="5" s="1"/>
  <c r="M22" i="5"/>
  <c r="M21" i="5" s="1"/>
  <c r="N22" i="5"/>
  <c r="N21" i="5" s="1"/>
  <c r="O22" i="5"/>
  <c r="O21" i="5" s="1"/>
  <c r="L26" i="5"/>
  <c r="M26" i="5"/>
  <c r="N26" i="5"/>
  <c r="O26" i="5"/>
  <c r="L27" i="5"/>
  <c r="M27" i="5"/>
  <c r="M25" i="5" s="1"/>
  <c r="N27" i="5"/>
  <c r="O27" i="5"/>
  <c r="L30" i="5"/>
  <c r="M30" i="5"/>
  <c r="N30" i="5"/>
  <c r="O30" i="5"/>
  <c r="F28" i="3"/>
  <c r="L28" i="3"/>
  <c r="M28" i="3"/>
  <c r="L31" i="5"/>
  <c r="M31" i="5"/>
  <c r="N31" i="5"/>
  <c r="O31" i="5"/>
  <c r="L32" i="5"/>
  <c r="M32" i="5"/>
  <c r="N32" i="5"/>
  <c r="O32" i="5"/>
  <c r="L34" i="5"/>
  <c r="M34" i="5"/>
  <c r="N34" i="5"/>
  <c r="O34" i="5"/>
  <c r="L35" i="5"/>
  <c r="M35" i="5"/>
  <c r="N35" i="5"/>
  <c r="O35" i="5"/>
  <c r="L38" i="5"/>
  <c r="M38" i="5"/>
  <c r="P38" i="3" s="1"/>
  <c r="N38" i="5"/>
  <c r="Q38" i="3" s="1"/>
  <c r="O38" i="5"/>
  <c r="R38" i="3" s="1"/>
  <c r="L39" i="5"/>
  <c r="M39" i="5"/>
  <c r="N39" i="5"/>
  <c r="O39" i="5"/>
  <c r="L40" i="5"/>
  <c r="M40" i="5"/>
  <c r="N40" i="5"/>
  <c r="O40" i="5"/>
  <c r="F33" i="3"/>
  <c r="G33" i="3"/>
  <c r="J33" i="3"/>
  <c r="L33" i="3"/>
  <c r="M33" i="3"/>
  <c r="N33" i="3"/>
  <c r="L44" i="5"/>
  <c r="M44" i="5"/>
  <c r="N44" i="5"/>
  <c r="O44" i="5"/>
  <c r="R33" i="3" s="1"/>
  <c r="G34" i="3"/>
  <c r="H34" i="3"/>
  <c r="I34" i="3"/>
  <c r="J34" i="3"/>
  <c r="K34" i="3"/>
  <c r="M34" i="3"/>
  <c r="L45" i="5"/>
  <c r="O34" i="3" s="1"/>
  <c r="M45" i="5"/>
  <c r="P34" i="3" s="1"/>
  <c r="N45" i="5"/>
  <c r="Q34" i="3" s="1"/>
  <c r="O45" i="5"/>
  <c r="R34" i="3" s="1"/>
  <c r="J35" i="3"/>
  <c r="L46" i="5"/>
  <c r="M46" i="5"/>
  <c r="N46" i="5"/>
  <c r="O46" i="5"/>
  <c r="L47" i="5"/>
  <c r="M47" i="5"/>
  <c r="N47" i="5"/>
  <c r="O47" i="5"/>
  <c r="D23" i="2"/>
  <c r="C47" i="5" s="1"/>
  <c r="C43" i="5" s="1"/>
  <c r="E23" i="2"/>
  <c r="D47" i="5" s="1"/>
  <c r="D43" i="5" s="1"/>
  <c r="F23" i="2"/>
  <c r="E47" i="5" s="1"/>
  <c r="E43" i="5" s="1"/>
  <c r="G23" i="2"/>
  <c r="F47" i="5" s="1"/>
  <c r="F43" i="5" s="1"/>
  <c r="H23" i="2"/>
  <c r="G47" i="5" s="1"/>
  <c r="G43" i="5" s="1"/>
  <c r="I23" i="2"/>
  <c r="H47" i="5" s="1"/>
  <c r="H43" i="5" s="1"/>
  <c r="J23" i="2"/>
  <c r="I47" i="5" s="1"/>
  <c r="I43" i="5" s="1"/>
  <c r="K23" i="2"/>
  <c r="J47" i="5" s="1"/>
  <c r="J43" i="5" s="1"/>
  <c r="L23" i="2"/>
  <c r="K47" i="5" s="1"/>
  <c r="K43" i="5" s="1"/>
  <c r="L20" i="2"/>
  <c r="D20" i="2"/>
  <c r="E20" i="2"/>
  <c r="F20" i="2"/>
  <c r="G20" i="2"/>
  <c r="H20" i="2"/>
  <c r="I20" i="2"/>
  <c r="J20" i="2"/>
  <c r="K20" i="2"/>
  <c r="D12" i="2"/>
  <c r="E12" i="2"/>
  <c r="F12" i="2"/>
  <c r="G12" i="2"/>
  <c r="H12" i="2"/>
  <c r="I12" i="2"/>
  <c r="J12" i="2"/>
  <c r="K12" i="2"/>
  <c r="L12" i="2"/>
  <c r="D7" i="2"/>
  <c r="C39" i="5" s="1"/>
  <c r="C37" i="5" s="1"/>
  <c r="E7" i="2"/>
  <c r="D39" i="5" s="1"/>
  <c r="D37" i="5" s="1"/>
  <c r="F7" i="2"/>
  <c r="E39" i="5" s="1"/>
  <c r="E37" i="5" s="1"/>
  <c r="G7" i="2"/>
  <c r="F39" i="5" s="1"/>
  <c r="F37" i="5" s="1"/>
  <c r="H7" i="2"/>
  <c r="I7" i="2"/>
  <c r="H39" i="5" s="1"/>
  <c r="H37" i="5" s="1"/>
  <c r="J7" i="2"/>
  <c r="I39" i="5" s="1"/>
  <c r="I37" i="5" s="1"/>
  <c r="K7" i="2"/>
  <c r="J39" i="5" s="1"/>
  <c r="J37" i="5" s="1"/>
  <c r="L7" i="2"/>
  <c r="K39" i="5" s="1"/>
  <c r="K37" i="5" s="1"/>
  <c r="N39" i="3" s="1"/>
  <c r="D4" i="2"/>
  <c r="E4" i="2"/>
  <c r="F4" i="2"/>
  <c r="G4" i="2"/>
  <c r="H4" i="2"/>
  <c r="I4" i="2"/>
  <c r="J4" i="2"/>
  <c r="K4" i="2"/>
  <c r="L4" i="2"/>
  <c r="D48" i="1"/>
  <c r="E48" i="1"/>
  <c r="F48" i="1"/>
  <c r="G48" i="1"/>
  <c r="H48" i="1"/>
  <c r="I48" i="1"/>
  <c r="J48" i="1"/>
  <c r="K48" i="1"/>
  <c r="L48" i="1"/>
  <c r="D31" i="1"/>
  <c r="E31" i="1"/>
  <c r="F31" i="1"/>
  <c r="G31" i="1"/>
  <c r="H31" i="1"/>
  <c r="G5" i="5" s="1"/>
  <c r="I31" i="1"/>
  <c r="H5" i="5" s="1"/>
  <c r="J31" i="1"/>
  <c r="K31" i="1"/>
  <c r="L31" i="1"/>
  <c r="K5" i="5" s="1"/>
  <c r="D21" i="1"/>
  <c r="C34" i="5" s="1"/>
  <c r="E21" i="1"/>
  <c r="D34" i="5" s="1"/>
  <c r="F21" i="1"/>
  <c r="E34" i="5" s="1"/>
  <c r="G21" i="1"/>
  <c r="F34" i="5" s="1"/>
  <c r="H21" i="1"/>
  <c r="G34" i="5" s="1"/>
  <c r="I21" i="1"/>
  <c r="H34" i="5" s="1"/>
  <c r="J21" i="1"/>
  <c r="I34" i="5" s="1"/>
  <c r="K21" i="1"/>
  <c r="J34" i="5" s="1"/>
  <c r="L21" i="1"/>
  <c r="K34" i="5" s="1"/>
  <c r="D14" i="1"/>
  <c r="C30" i="5" s="1"/>
  <c r="E14" i="1"/>
  <c r="D30" i="5" s="1"/>
  <c r="F14" i="1"/>
  <c r="E30" i="5" s="1"/>
  <c r="G14" i="1"/>
  <c r="H14" i="1"/>
  <c r="G30" i="5" s="1"/>
  <c r="I14" i="1"/>
  <c r="H30" i="5" s="1"/>
  <c r="J14" i="1"/>
  <c r="I30" i="5" s="1"/>
  <c r="K14" i="1"/>
  <c r="J30" i="5" s="1"/>
  <c r="L14" i="1"/>
  <c r="K30" i="5" s="1"/>
  <c r="D8" i="1"/>
  <c r="E8" i="1"/>
  <c r="F8" i="1"/>
  <c r="G8" i="1"/>
  <c r="H8" i="1"/>
  <c r="I8" i="1"/>
  <c r="L8" i="1"/>
  <c r="D4" i="1"/>
  <c r="F12" i="3" s="1"/>
  <c r="E4" i="1"/>
  <c r="F4" i="1"/>
  <c r="H12" i="3" s="1"/>
  <c r="G4" i="1"/>
  <c r="H4" i="1"/>
  <c r="J13" i="3" s="1"/>
  <c r="I4" i="1"/>
  <c r="J4" i="1"/>
  <c r="K4" i="1"/>
  <c r="M12" i="3" s="1"/>
  <c r="L4" i="1"/>
  <c r="N12" i="3" s="1"/>
  <c r="D28" i="3"/>
  <c r="D3" i="3"/>
  <c r="E3" i="3"/>
  <c r="C25" i="3"/>
  <c r="B4" i="2"/>
  <c r="C4" i="2"/>
  <c r="B7" i="2"/>
  <c r="C7" i="2"/>
  <c r="B12" i="2"/>
  <c r="C12" i="2"/>
  <c r="D39" i="2"/>
  <c r="H39" i="2"/>
  <c r="B20" i="2"/>
  <c r="C20" i="2"/>
  <c r="B23" i="2"/>
  <c r="B39" i="2" s="1"/>
  <c r="C23" i="2"/>
  <c r="G39" i="2"/>
  <c r="E32" i="3" s="1"/>
  <c r="I39" i="2"/>
  <c r="B30" i="2"/>
  <c r="B34" i="2" s="1"/>
  <c r="E39" i="2"/>
  <c r="F39" i="2"/>
  <c r="J39" i="2"/>
  <c r="B4" i="1"/>
  <c r="C4" i="1"/>
  <c r="B8" i="1"/>
  <c r="C8" i="1"/>
  <c r="B14" i="1"/>
  <c r="C14" i="1"/>
  <c r="B21" i="1"/>
  <c r="B27" i="1" s="1"/>
  <c r="C21" i="1"/>
  <c r="B31" i="1"/>
  <c r="B38" i="1" s="1"/>
  <c r="C31" i="1"/>
  <c r="C38" i="1" s="1"/>
  <c r="B48" i="1"/>
  <c r="C48" i="1"/>
  <c r="D30" i="3"/>
  <c r="E30" i="3"/>
  <c r="D27" i="3"/>
  <c r="O39" i="2" l="1"/>
  <c r="N39" i="2"/>
  <c r="F30" i="5"/>
  <c r="I38" i="3"/>
  <c r="M33" i="2"/>
  <c r="M35" i="2" s="1"/>
  <c r="M37" i="2" s="1"/>
  <c r="N33" i="2"/>
  <c r="O33" i="2"/>
  <c r="O35" i="2" s="1"/>
  <c r="O37" i="2" s="1"/>
  <c r="P33" i="2"/>
  <c r="P35" i="2" s="1"/>
  <c r="P37" i="2" s="1"/>
  <c r="Q9" i="3"/>
  <c r="F37" i="3"/>
  <c r="O10" i="3"/>
  <c r="Q26" i="3"/>
  <c r="R26" i="3"/>
  <c r="R4" i="3"/>
  <c r="T28" i="1"/>
  <c r="R35" i="3"/>
  <c r="R28" i="3"/>
  <c r="R14" i="3"/>
  <c r="R22" i="3"/>
  <c r="R16" i="3"/>
  <c r="R9" i="3"/>
  <c r="R11" i="3"/>
  <c r="R21" i="3"/>
  <c r="R6" i="3"/>
  <c r="R15" i="3"/>
  <c r="R23" i="3"/>
  <c r="R17" i="3"/>
  <c r="R20" i="3"/>
  <c r="O4" i="5"/>
  <c r="R24" i="3" s="1"/>
  <c r="I18" i="3"/>
  <c r="F5" i="5"/>
  <c r="H18" i="3"/>
  <c r="E5" i="5"/>
  <c r="I5" i="5"/>
  <c r="K25" i="3" s="1"/>
  <c r="E38" i="1"/>
  <c r="E49" i="1" s="1"/>
  <c r="D5" i="5"/>
  <c r="F18" i="3"/>
  <c r="C5" i="5"/>
  <c r="M18" i="3"/>
  <c r="J5" i="5"/>
  <c r="O5" i="3"/>
  <c r="P19" i="3"/>
  <c r="E3" i="2"/>
  <c r="E19" i="2" s="1"/>
  <c r="O37" i="5"/>
  <c r="C39" i="2"/>
  <c r="R41" i="2"/>
  <c r="G3" i="2"/>
  <c r="G19" i="2" s="1"/>
  <c r="G29" i="2" s="1"/>
  <c r="H3" i="2"/>
  <c r="H19" i="2" s="1"/>
  <c r="H29" i="2" s="1"/>
  <c r="G39" i="5"/>
  <c r="G37" i="5" s="1"/>
  <c r="J37" i="3" s="1"/>
  <c r="N37" i="5"/>
  <c r="Q37" i="3" s="1"/>
  <c r="H28" i="3"/>
  <c r="N37" i="3"/>
  <c r="N43" i="5"/>
  <c r="I35" i="3"/>
  <c r="M37" i="5"/>
  <c r="L37" i="5"/>
  <c r="N30" i="3" s="1"/>
  <c r="K35" i="3"/>
  <c r="Q36" i="3"/>
  <c r="J27" i="3"/>
  <c r="O26" i="3"/>
  <c r="G13" i="3"/>
  <c r="N27" i="3"/>
  <c r="K26" i="3"/>
  <c r="G26" i="3"/>
  <c r="N28" i="3"/>
  <c r="M35" i="3"/>
  <c r="D27" i="1"/>
  <c r="N35" i="3"/>
  <c r="H38" i="3"/>
  <c r="I19" i="3"/>
  <c r="B49" i="1"/>
  <c r="F38" i="1"/>
  <c r="F49" i="1" s="1"/>
  <c r="L35" i="3"/>
  <c r="D26" i="3"/>
  <c r="L5" i="3"/>
  <c r="O19" i="3"/>
  <c r="I13" i="3"/>
  <c r="O25" i="5"/>
  <c r="P24" i="3"/>
  <c r="O6" i="3"/>
  <c r="N25" i="5"/>
  <c r="P27" i="3"/>
  <c r="H27" i="3"/>
  <c r="M26" i="3"/>
  <c r="O14" i="5"/>
  <c r="J38" i="1"/>
  <c r="J49" i="1" s="1"/>
  <c r="E26" i="3"/>
  <c r="J5" i="3"/>
  <c r="D38" i="1"/>
  <c r="D49" i="1" s="1"/>
  <c r="P6" i="3"/>
  <c r="K28" i="3"/>
  <c r="P26" i="3"/>
  <c r="H26" i="3"/>
  <c r="G18" i="3"/>
  <c r="H5" i="3"/>
  <c r="N38" i="3"/>
  <c r="E27" i="3"/>
  <c r="M38" i="3"/>
  <c r="K27" i="3"/>
  <c r="H13" i="3"/>
  <c r="P5" i="3"/>
  <c r="C49" i="1"/>
  <c r="Q35" i="3"/>
  <c r="Q28" i="3"/>
  <c r="I28" i="3"/>
  <c r="Q27" i="3"/>
  <c r="I27" i="3"/>
  <c r="N26" i="3"/>
  <c r="F26" i="3"/>
  <c r="Q24" i="3"/>
  <c r="F13" i="3"/>
  <c r="L13" i="3"/>
  <c r="P35" i="3"/>
  <c r="H35" i="3"/>
  <c r="F39" i="3"/>
  <c r="P28" i="3"/>
  <c r="I5" i="3"/>
  <c r="Q4" i="3"/>
  <c r="K13" i="3"/>
  <c r="L38" i="1"/>
  <c r="L49" i="1" s="1"/>
  <c r="O35" i="3"/>
  <c r="G35" i="3"/>
  <c r="J38" i="3"/>
  <c r="O28" i="3"/>
  <c r="G28" i="3"/>
  <c r="O27" i="3"/>
  <c r="G27" i="3"/>
  <c r="Q25" i="3"/>
  <c r="Q19" i="3"/>
  <c r="N25" i="3"/>
  <c r="D32" i="3"/>
  <c r="K38" i="3"/>
  <c r="M13" i="3"/>
  <c r="C27" i="1"/>
  <c r="I38" i="1"/>
  <c r="I49" i="1" s="1"/>
  <c r="M43" i="5"/>
  <c r="I26" i="3"/>
  <c r="L18" i="3"/>
  <c r="L12" i="3"/>
  <c r="F5" i="3"/>
  <c r="N34" i="3"/>
  <c r="Q33" i="3"/>
  <c r="H38" i="1"/>
  <c r="H49" i="1" s="1"/>
  <c r="H37" i="3"/>
  <c r="O43" i="5"/>
  <c r="L43" i="5"/>
  <c r="F34" i="3"/>
  <c r="J28" i="3"/>
  <c r="K18" i="3"/>
  <c r="K12" i="3"/>
  <c r="G5" i="3"/>
  <c r="N18" i="3"/>
  <c r="P36" i="3"/>
  <c r="P33" i="3"/>
  <c r="I27" i="1"/>
  <c r="K6" i="3" s="1"/>
  <c r="L27" i="1"/>
  <c r="N17" i="3" s="1"/>
  <c r="G38" i="1"/>
  <c r="G49" i="1" s="1"/>
  <c r="F3" i="2"/>
  <c r="F19" i="2" s="1"/>
  <c r="F29" i="2" s="1"/>
  <c r="J18" i="3"/>
  <c r="J12" i="3"/>
  <c r="N13" i="3"/>
  <c r="O33" i="3"/>
  <c r="H27" i="1"/>
  <c r="L14" i="5"/>
  <c r="L25" i="3"/>
  <c r="H39" i="3"/>
  <c r="G38" i="3"/>
  <c r="L34" i="3"/>
  <c r="K33" i="3"/>
  <c r="I12" i="3"/>
  <c r="K27" i="1"/>
  <c r="M17" i="3" s="1"/>
  <c r="E28" i="3"/>
  <c r="G27" i="1"/>
  <c r="I22" i="3" s="1"/>
  <c r="O38" i="3"/>
  <c r="J27" i="1"/>
  <c r="F27" i="1"/>
  <c r="H21" i="3" s="1"/>
  <c r="M37" i="3"/>
  <c r="L25" i="5"/>
  <c r="N14" i="5"/>
  <c r="M14" i="5"/>
  <c r="M11" i="5" s="1"/>
  <c r="I33" i="3"/>
  <c r="H32" i="3"/>
  <c r="L26" i="3"/>
  <c r="G12" i="3"/>
  <c r="E27" i="1"/>
  <c r="K38" i="1"/>
  <c r="K49" i="1" s="1"/>
  <c r="K3" i="2"/>
  <c r="K19" i="2" s="1"/>
  <c r="K29" i="2" s="1"/>
  <c r="L37" i="3"/>
  <c r="L38" i="3"/>
  <c r="H33" i="3"/>
  <c r="G32" i="3"/>
  <c r="Q6" i="3"/>
  <c r="N5" i="3"/>
  <c r="M5" i="3"/>
  <c r="K19" i="3"/>
  <c r="K5" i="3"/>
  <c r="L3" i="2"/>
  <c r="L19" i="2" s="1"/>
  <c r="L29" i="2" s="1"/>
  <c r="D3" i="2"/>
  <c r="D19" i="2" s="1"/>
  <c r="J3" i="2"/>
  <c r="J19" i="2" s="1"/>
  <c r="I3" i="2"/>
  <c r="I19" i="2" s="1"/>
  <c r="I29" i="2" s="1"/>
  <c r="E18" i="3"/>
  <c r="E5" i="3"/>
  <c r="D18" i="3"/>
  <c r="D5" i="3"/>
  <c r="E12" i="3"/>
  <c r="E13" i="3"/>
  <c r="D12" i="3"/>
  <c r="D13" i="3"/>
  <c r="C3" i="2"/>
  <c r="C19" i="2" s="1"/>
  <c r="C29" i="2" s="1"/>
  <c r="C33" i="2" s="1"/>
  <c r="C35" i="2" s="1"/>
  <c r="C37" i="2" s="1"/>
  <c r="B3" i="2"/>
  <c r="B19" i="2" s="1"/>
  <c r="B29" i="2" s="1"/>
  <c r="B33" i="2" s="1"/>
  <c r="B35" i="2" s="1"/>
  <c r="B37" i="2" s="1"/>
  <c r="E19" i="3"/>
  <c r="D19" i="3"/>
  <c r="F35" i="3"/>
  <c r="F38" i="3"/>
  <c r="I33" i="2" l="1"/>
  <c r="I35" i="2" s="1"/>
  <c r="I37" i="2" s="1"/>
  <c r="L33" i="2"/>
  <c r="L35" i="2" s="1"/>
  <c r="L37" i="2" s="1"/>
  <c r="K33" i="2"/>
  <c r="K35" i="2" s="1"/>
  <c r="K37" i="2" s="1"/>
  <c r="F33" i="2"/>
  <c r="F35" i="2" s="1"/>
  <c r="F37" i="2" s="1"/>
  <c r="H33" i="2"/>
  <c r="H35" i="2" s="1"/>
  <c r="H37" i="2" s="1"/>
  <c r="G33" i="2"/>
  <c r="G35" i="2" s="1"/>
  <c r="G37" i="2" s="1"/>
  <c r="P9" i="3"/>
  <c r="N35" i="2"/>
  <c r="N37" i="2" s="1"/>
  <c r="O30" i="3"/>
  <c r="O39" i="3"/>
  <c r="R36" i="3"/>
  <c r="Q30" i="3"/>
  <c r="R30" i="3"/>
  <c r="R39" i="3"/>
  <c r="R37" i="3"/>
  <c r="O37" i="3"/>
  <c r="M21" i="3"/>
  <c r="M23" i="3"/>
  <c r="M11" i="3"/>
  <c r="H11" i="3"/>
  <c r="K4" i="3"/>
  <c r="K11" i="3"/>
  <c r="M15" i="3"/>
  <c r="J4" i="5"/>
  <c r="J23" i="3"/>
  <c r="G4" i="5"/>
  <c r="N16" i="3"/>
  <c r="K4" i="5"/>
  <c r="G11" i="3"/>
  <c r="D4" i="5"/>
  <c r="K17" i="3"/>
  <c r="H4" i="5"/>
  <c r="I6" i="3"/>
  <c r="H14" i="3"/>
  <c r="E4" i="5"/>
  <c r="L11" i="3"/>
  <c r="I4" i="5"/>
  <c r="I20" i="3"/>
  <c r="F4" i="5"/>
  <c r="J36" i="3" s="1"/>
  <c r="I11" i="3"/>
  <c r="F16" i="3"/>
  <c r="C4" i="5"/>
  <c r="I23" i="3"/>
  <c r="F20" i="3"/>
  <c r="F6" i="3"/>
  <c r="F4" i="3"/>
  <c r="F23" i="3"/>
  <c r="F14" i="3"/>
  <c r="F15" i="3"/>
  <c r="F11" i="3"/>
  <c r="F21" i="3"/>
  <c r="F22" i="3"/>
  <c r="F17" i="3"/>
  <c r="Q41" i="2"/>
  <c r="F32" i="3"/>
  <c r="J10" i="3"/>
  <c r="E29" i="2"/>
  <c r="G10" i="3"/>
  <c r="I10" i="3"/>
  <c r="Q39" i="3"/>
  <c r="P39" i="3"/>
  <c r="O11" i="5"/>
  <c r="P30" i="3"/>
  <c r="I29" i="3"/>
  <c r="P37" i="3"/>
  <c r="I25" i="3"/>
  <c r="I21" i="3"/>
  <c r="I17" i="3"/>
  <c r="M14" i="3"/>
  <c r="I15" i="3"/>
  <c r="I14" i="3"/>
  <c r="I16" i="3"/>
  <c r="J15" i="3"/>
  <c r="J21" i="3"/>
  <c r="H22" i="3"/>
  <c r="I4" i="3"/>
  <c r="J22" i="3"/>
  <c r="N6" i="3"/>
  <c r="N20" i="3"/>
  <c r="J6" i="3"/>
  <c r="M22" i="3"/>
  <c r="N14" i="3"/>
  <c r="M6" i="3"/>
  <c r="M4" i="3"/>
  <c r="H17" i="3"/>
  <c r="K14" i="3"/>
  <c r="J17" i="3"/>
  <c r="O9" i="3"/>
  <c r="H6" i="3"/>
  <c r="K16" i="3"/>
  <c r="J11" i="3"/>
  <c r="N21" i="3"/>
  <c r="N11" i="3"/>
  <c r="L21" i="3"/>
  <c r="L14" i="3"/>
  <c r="J16" i="3"/>
  <c r="L22" i="3"/>
  <c r="O24" i="3"/>
  <c r="J9" i="3"/>
  <c r="J4" i="3"/>
  <c r="L16" i="3"/>
  <c r="J20" i="3"/>
  <c r="L4" i="3"/>
  <c r="N15" i="3"/>
  <c r="N22" i="3"/>
  <c r="J14" i="3"/>
  <c r="M16" i="3"/>
  <c r="G17" i="3"/>
  <c r="G16" i="3"/>
  <c r="G21" i="3"/>
  <c r="G4" i="3"/>
  <c r="G20" i="3"/>
  <c r="K21" i="3"/>
  <c r="N11" i="5"/>
  <c r="G22" i="3"/>
  <c r="G14" i="3"/>
  <c r="K15" i="3"/>
  <c r="L11" i="5"/>
  <c r="L12" i="5" s="1"/>
  <c r="G6" i="3"/>
  <c r="G23" i="3"/>
  <c r="G15" i="3"/>
  <c r="K22" i="3"/>
  <c r="K23" i="3"/>
  <c r="K20" i="3"/>
  <c r="F25" i="3"/>
  <c r="M29" i="3"/>
  <c r="G25" i="3"/>
  <c r="H10" i="3"/>
  <c r="H15" i="3"/>
  <c r="N9" i="3"/>
  <c r="M12" i="5"/>
  <c r="M30" i="3"/>
  <c r="H30" i="3"/>
  <c r="I39" i="3"/>
  <c r="J30" i="3"/>
  <c r="K39" i="3"/>
  <c r="K37" i="3"/>
  <c r="J29" i="2"/>
  <c r="J33" i="2" s="1"/>
  <c r="L10" i="3"/>
  <c r="H16" i="3"/>
  <c r="F30" i="3"/>
  <c r="G39" i="3"/>
  <c r="M25" i="3"/>
  <c r="H25" i="3"/>
  <c r="M10" i="3"/>
  <c r="F10" i="3"/>
  <c r="D29" i="2"/>
  <c r="D33" i="2" s="1"/>
  <c r="H23" i="3"/>
  <c r="I9" i="3"/>
  <c r="L15" i="3"/>
  <c r="L23" i="3"/>
  <c r="N4" i="3"/>
  <c r="I30" i="3"/>
  <c r="J39" i="3"/>
  <c r="G30" i="3"/>
  <c r="J25" i="3"/>
  <c r="H20" i="3"/>
  <c r="H4" i="3"/>
  <c r="K9" i="3"/>
  <c r="L6" i="3"/>
  <c r="L17" i="3"/>
  <c r="M20" i="3"/>
  <c r="N23" i="3"/>
  <c r="I37" i="3"/>
  <c r="K10" i="3"/>
  <c r="H9" i="3"/>
  <c r="L20" i="3"/>
  <c r="M9" i="3"/>
  <c r="K30" i="3"/>
  <c r="L39" i="3"/>
  <c r="M39" i="3"/>
  <c r="L30" i="3"/>
  <c r="G37" i="3"/>
  <c r="N10" i="3"/>
  <c r="J29" i="3"/>
  <c r="H29" i="3"/>
  <c r="O36" i="3"/>
  <c r="E4" i="3"/>
  <c r="E21" i="3"/>
  <c r="E15" i="3"/>
  <c r="E14" i="3"/>
  <c r="E22" i="3"/>
  <c r="E17" i="3"/>
  <c r="E23" i="3"/>
  <c r="E20" i="3"/>
  <c r="E16" i="3"/>
  <c r="E6" i="3"/>
  <c r="D29" i="3"/>
  <c r="E29" i="3"/>
  <c r="D10" i="3"/>
  <c r="E10" i="3"/>
  <c r="D21" i="3"/>
  <c r="D14" i="3"/>
  <c r="D16" i="3"/>
  <c r="D17" i="3"/>
  <c r="D20" i="3"/>
  <c r="D4" i="3"/>
  <c r="D6" i="3"/>
  <c r="D15" i="3"/>
  <c r="D23" i="3"/>
  <c r="D22" i="3"/>
  <c r="D24" i="3"/>
  <c r="D11" i="3"/>
  <c r="E11" i="3"/>
  <c r="D25" i="3"/>
  <c r="E25" i="3"/>
  <c r="E33" i="2" l="1"/>
  <c r="E35" i="2" s="1"/>
  <c r="E37" i="2" s="1"/>
  <c r="O12" i="5"/>
  <c r="R29" i="3"/>
  <c r="K36" i="3"/>
  <c r="G24" i="3"/>
  <c r="L36" i="3"/>
  <c r="L24" i="3"/>
  <c r="Q29" i="3"/>
  <c r="P29" i="3"/>
  <c r="G9" i="3"/>
  <c r="N12" i="5"/>
  <c r="J24" i="3"/>
  <c r="K29" i="3"/>
  <c r="G29" i="3"/>
  <c r="F29" i="3"/>
  <c r="K24" i="3"/>
  <c r="N36" i="3"/>
  <c r="M24" i="3"/>
  <c r="M36" i="3"/>
  <c r="L29" i="3"/>
  <c r="G36" i="3"/>
  <c r="H36" i="3"/>
  <c r="N29" i="3"/>
  <c r="O29" i="3"/>
  <c r="H24" i="3"/>
  <c r="I24" i="3"/>
  <c r="I36" i="3"/>
  <c r="N24" i="3"/>
  <c r="J35" i="2"/>
  <c r="J37" i="2" s="1"/>
  <c r="L9" i="3"/>
  <c r="D35" i="2"/>
  <c r="D37" i="2" s="1"/>
  <c r="F9" i="3"/>
  <c r="E24" i="3"/>
  <c r="E9" i="3"/>
  <c r="D9" i="3"/>
  <c r="F24" i="3" l="1"/>
  <c r="F36" i="3"/>
</calcChain>
</file>

<file path=xl/sharedStrings.xml><?xml version="1.0" encoding="utf-8"?>
<sst xmlns="http://schemas.openxmlformats.org/spreadsheetml/2006/main" count="197" uniqueCount="181">
  <si>
    <t>Washa Sacco</t>
  </si>
  <si>
    <t>2010 Audited</t>
  </si>
  <si>
    <t>2020 Audited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</si>
  <si>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</si>
  <si>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</si>
  <si>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</si>
  <si>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</si>
  <si>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</si>
  <si>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</si>
  <si>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</si>
  <si>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</si>
  <si>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</si>
  <si>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</si>
  <si>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</si>
  <si>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</si>
  <si>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</si>
  <si>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</si>
  <si>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</si>
  <si>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</si>
  <si>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</si>
  <si>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</si>
  <si>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</si>
  <si>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</si>
  <si>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</si>
  <si>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</si>
  <si>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</si>
  <si>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</si>
  <si>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</si>
  <si>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</si>
  <si>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</si>
  <si>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</si>
  <si>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</si>
  <si>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</si>
  <si>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</si>
  <si>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</si>
  <si>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</si>
  <si>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</si>
  <si>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</si>
  <si>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</si>
  <si>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</si>
  <si>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</si>
  <si>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</si>
  <si>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</si>
  <si>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</si>
  <si>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</si>
  <si>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</si>
  <si>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</si>
  <si>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</si>
  <si>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</si>
  <si>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</si>
  <si>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</si>
  <si>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</si>
  <si>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</si>
  <si>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</si>
  <si>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</si>
  <si>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</si>
  <si>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</si>
  <si>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</si>
  <si>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</si>
  <si>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</si>
  <si>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</si>
  <si>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</si>
  <si>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</si>
  <si>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</si>
  <si>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</si>
  <si>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</si>
  <si>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</si>
  <si>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</si>
  <si>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</si>
  <si>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</si>
  <si>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</si>
  <si>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</si>
  <si>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</si>
  <si>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</si>
  <si>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</si>
  <si>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</si>
  <si>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</si>
  <si>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</si>
  <si>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</si>
  <si>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</si>
  <si>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</si>
  <si>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</si>
  <si>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</si>
  <si>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</si>
  <si>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</si>
  <si>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</si>
  <si>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Winas  SACCO 2021</t>
  </si>
  <si>
    <t>CAPITAL ADEQUACY</t>
  </si>
  <si>
    <t>Core Capital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</si>
  <si>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</si>
  <si>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</si>
  <si>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</si>
  <si>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</si>
  <si>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</si>
  <si>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</si>
  <si>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</si>
  <si>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</si>
  <si>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</si>
  <si>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</si>
  <si>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</si>
  <si>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</si>
  <si>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</si>
  <si>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</si>
  <si>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</si>
  <si>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</si>
  <si>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</si>
  <si>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</si>
  <si>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</si>
  <si>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</si>
  <si>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</si>
  <si>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</si>
  <si>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</si>
  <si>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</si>
  <si>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</si>
  <si>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</si>
  <si>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</si>
  <si>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</si>
  <si>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</si>
  <si>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</si>
  <si>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</si>
  <si>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</si>
  <si>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</si>
  <si>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</si>
  <si>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Total Deposits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</si>
  <si>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</si>
  <si>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</si>
  <si>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</si>
  <si>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</si>
  <si>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</si>
  <si>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</si>
  <si>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</si>
  <si>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</si>
  <si>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</si>
  <si>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</si>
  <si>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</si>
  <si>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</si>
  <si>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</si>
  <si>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</si>
  <si>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</si>
  <si>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</si>
  <si>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Washa Sacco Financial Performance</t>
  </si>
  <si>
    <t>Year</t>
  </si>
  <si>
    <t>Deposits-Members(BOSA)</t>
  </si>
  <si>
    <t>Deposits-Customers(FOSA)</t>
  </si>
  <si>
    <t>External Borrowing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</si>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</sst>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10409]#,##0.00;\-\ #,##0.00"/>
    <numFmt numFmtId="165" formatCode="[$-10409]0.00;\-\ 0.00"/>
    <numFmt numFmtId="166" formatCode="_(* #,##0.00_);_(* \(#,##0.00\);_(* \-??_);_(@_)"/>
    <numFmt numFmtId="167" formatCode="d/mmm/yy"/>
    <numFmt numFmtId="168" formatCode="\£#,##0;&quot;-£&quot;#,##0"/>
    <numFmt numFmtId="169" formatCode="_-* #,##0.00_-;\-* #,##0.00_-;_-* \-??_-;_-@_-"/>
    <numFmt numFmtId="170" formatCode="0.0%"/>
    <numFmt numFmtId="171" formatCode="0.0"/>
    <numFmt numFmtId="172" formatCode="_(* #,##0_);_(* \(#,##0\);_(* &quot;-&quot;??_);_(@_)"/>
    <numFmt numFmtId="173" formatCode="[$-409]mmm\-yy;@"/>
  </numFmts>
  <fonts count="4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u/>
      <sz val="10"/>
      <color indexed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1"/>
      <name val="Cambria"/>
      <family val="1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</borders>
  <cellStyleXfs count="484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2" applyNumberFormat="0" applyAlignment="0" applyProtection="0"/>
    <xf numFmtId="43" fontId="27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8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43" fontId="20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13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23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7" borderId="3" applyNumberFormat="0" applyAlignment="0" applyProtection="0"/>
    <xf numFmtId="9" fontId="27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</cellStyleXfs>
  <cellXfs count="85">
    <xf numFmtId="0" fontId="0" fillId="0" borderId="0" xfId="0"/>
    <xf numFmtId="0" fontId="0" fillId="0" borderId="6" xfId="0" applyBorder="1"/>
    <xf numFmtId="0" fontId="29" fillId="0" borderId="6" xfId="0" applyFont="1" applyBorder="1" applyAlignment="1">
      <alignment horizontal="left" vertical="top" wrapText="1"/>
    </xf>
    <xf numFmtId="0" fontId="30" fillId="0" borderId="6" xfId="0" applyFont="1" applyBorder="1" applyAlignment="1">
      <alignment horizontal="left" vertical="top" wrapText="1"/>
    </xf>
    <xf numFmtId="17" fontId="28" fillId="0" borderId="0" xfId="0" applyNumberFormat="1" applyFont="1"/>
    <xf numFmtId="0" fontId="17" fillId="0" borderId="5" xfId="241" applyFont="1" applyBorder="1" applyAlignment="1">
      <alignment wrapText="1"/>
    </xf>
    <xf numFmtId="0" fontId="7" fillId="0" borderId="7" xfId="0" applyFont="1" applyBorder="1" applyAlignment="1" applyProtection="1">
      <alignment vertical="top" wrapText="1" readingOrder="1"/>
      <protection locked="0"/>
    </xf>
    <xf numFmtId="0" fontId="9" fillId="0" borderId="7" xfId="0" applyFont="1" applyBorder="1" applyAlignment="1" applyProtection="1">
      <alignment vertical="top" wrapText="1" readingOrder="1"/>
      <protection locked="0"/>
    </xf>
    <xf numFmtId="0" fontId="8" fillId="0" borderId="7" xfId="0" applyFont="1" applyBorder="1" applyAlignment="1" applyProtection="1">
      <alignment vertical="top" wrapText="1" readingOrder="1"/>
      <protection locked="0"/>
    </xf>
    <xf numFmtId="164" fontId="8" fillId="0" borderId="7" xfId="0" applyNumberFormat="1" applyFont="1" applyBorder="1" applyAlignment="1" applyProtection="1">
      <alignment vertical="top" wrapText="1" readingOrder="1"/>
      <protection locked="0"/>
    </xf>
    <xf numFmtId="165" fontId="8" fillId="0" borderId="7" xfId="0" applyNumberFormat="1" applyFont="1" applyBorder="1" applyAlignment="1" applyProtection="1">
      <alignment vertical="top" wrapText="1" readingOrder="1"/>
      <protection locked="0"/>
    </xf>
    <xf numFmtId="0" fontId="3" fillId="0" borderId="7" xfId="0" applyFont="1" applyBorder="1" applyAlignment="1" applyProtection="1">
      <alignment vertical="top" wrapText="1" readingOrder="1"/>
      <protection locked="0"/>
    </xf>
    <xf numFmtId="0" fontId="4" fillId="8" borderId="7" xfId="0" applyFont="1" applyFill="1" applyBorder="1" applyAlignment="1" applyProtection="1">
      <alignment vertical="top" wrapText="1" readingOrder="1"/>
      <protection locked="0"/>
    </xf>
    <xf numFmtId="0" fontId="4" fillId="0" borderId="7" xfId="0" applyFont="1" applyBorder="1" applyAlignment="1" applyProtection="1">
      <alignment vertical="top" wrapText="1" readingOrder="1"/>
      <protection locked="0"/>
    </xf>
    <xf numFmtId="0" fontId="5" fillId="0" borderId="7" xfId="0" applyFont="1" applyBorder="1" applyAlignment="1" applyProtection="1">
      <alignment vertical="top" wrapText="1" readingOrder="1"/>
      <protection locked="0"/>
    </xf>
    <xf numFmtId="0" fontId="4" fillId="9" borderId="7" xfId="0" applyFont="1" applyFill="1" applyBorder="1" applyAlignment="1" applyProtection="1">
      <alignment vertical="top" wrapText="1" readingOrder="1"/>
      <protection locked="0"/>
    </xf>
    <xf numFmtId="164" fontId="0" fillId="0" borderId="0" xfId="0" applyNumberFormat="1"/>
    <xf numFmtId="0" fontId="29" fillId="0" borderId="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9" fontId="27" fillId="0" borderId="6" xfId="478" applyFont="1" applyBorder="1"/>
    <xf numFmtId="43" fontId="9" fillId="0" borderId="7" xfId="27" applyFont="1" applyBorder="1" applyAlignment="1" applyProtection="1">
      <alignment vertical="top" wrapText="1" readingOrder="1"/>
      <protection locked="0"/>
    </xf>
    <xf numFmtId="43" fontId="8" fillId="0" borderId="7" xfId="27" applyFont="1" applyBorder="1" applyAlignment="1" applyProtection="1">
      <alignment vertical="top" wrapText="1" readingOrder="1"/>
      <protection locked="0"/>
    </xf>
    <xf numFmtId="43" fontId="4" fillId="0" borderId="7" xfId="27" applyFont="1" applyBorder="1" applyAlignment="1" applyProtection="1">
      <alignment vertical="top" wrapText="1" readingOrder="1"/>
      <protection locked="0"/>
    </xf>
    <xf numFmtId="43" fontId="5" fillId="0" borderId="7" xfId="27" applyFont="1" applyBorder="1" applyAlignment="1" applyProtection="1">
      <alignment vertical="top" wrapText="1" readingOrder="1"/>
      <protection locked="0"/>
    </xf>
    <xf numFmtId="0" fontId="21" fillId="11" borderId="7" xfId="0" applyFont="1" applyFill="1" applyBorder="1" applyAlignment="1" applyProtection="1">
      <alignment vertical="top" wrapText="1" readingOrder="1"/>
      <protection locked="0"/>
    </xf>
    <xf numFmtId="0" fontId="28" fillId="0" borderId="0" xfId="0" applyFont="1"/>
    <xf numFmtId="0" fontId="31" fillId="0" borderId="6" xfId="0" applyFont="1" applyBorder="1"/>
    <xf numFmtId="43" fontId="31" fillId="0" borderId="6" xfId="27" applyFont="1" applyBorder="1"/>
    <xf numFmtId="0" fontId="32" fillId="0" borderId="6" xfId="0" applyFont="1" applyBorder="1"/>
    <xf numFmtId="0" fontId="33" fillId="0" borderId="6" xfId="0" applyFont="1" applyBorder="1"/>
    <xf numFmtId="171" fontId="32" fillId="0" borderId="6" xfId="0" applyNumberFormat="1" applyFont="1" applyBorder="1"/>
    <xf numFmtId="9" fontId="33" fillId="0" borderId="6" xfId="478" applyFont="1" applyBorder="1"/>
    <xf numFmtId="0" fontId="34" fillId="0" borderId="6" xfId="0" applyFont="1" applyBorder="1"/>
    <xf numFmtId="0" fontId="35" fillId="0" borderId="6" xfId="0" applyFont="1" applyBorder="1"/>
    <xf numFmtId="171" fontId="32" fillId="0" borderId="6" xfId="0" applyNumberFormat="1" applyFont="1" applyBorder="1" applyAlignment="1">
      <alignment horizontal="right"/>
    </xf>
    <xf numFmtId="172" fontId="33" fillId="0" borderId="6" xfId="0" applyNumberFormat="1" applyFont="1" applyBorder="1"/>
    <xf numFmtId="0" fontId="36" fillId="0" borderId="6" xfId="0" applyFont="1" applyBorder="1"/>
    <xf numFmtId="43" fontId="0" fillId="0" borderId="0" xfId="0" applyNumberFormat="1"/>
    <xf numFmtId="171" fontId="36" fillId="0" borderId="6" xfId="0" applyNumberFormat="1" applyFont="1" applyBorder="1"/>
    <xf numFmtId="170" fontId="27" fillId="0" borderId="6" xfId="478" applyNumberFormat="1" applyFont="1" applyBorder="1"/>
    <xf numFmtId="0" fontId="0" fillId="0" borderId="6" xfId="0" applyBorder="1" applyAlignment="1">
      <alignment horizontal="center" vertical="center"/>
    </xf>
    <xf numFmtId="0" fontId="30" fillId="0" borderId="6" xfId="0" applyFont="1" applyBorder="1" applyAlignment="1">
      <alignment vertical="top" wrapText="1"/>
    </xf>
    <xf numFmtId="0" fontId="32" fillId="0" borderId="6" xfId="241" applyFont="1" applyBorder="1"/>
    <xf numFmtId="0" fontId="33" fillId="0" borderId="6" xfId="241" applyFont="1" applyBorder="1"/>
    <xf numFmtId="0" fontId="0" fillId="0" borderId="8" xfId="0" applyBorder="1"/>
    <xf numFmtId="0" fontId="0" fillId="0" borderId="9" xfId="0" applyBorder="1"/>
    <xf numFmtId="10" fontId="27" fillId="0" borderId="10" xfId="478" applyNumberFormat="1" applyFont="1" applyBorder="1"/>
    <xf numFmtId="0" fontId="36" fillId="0" borderId="11" xfId="241" applyFont="1" applyBorder="1"/>
    <xf numFmtId="0" fontId="0" fillId="0" borderId="11" xfId="0" applyBorder="1"/>
    <xf numFmtId="0" fontId="32" fillId="0" borderId="11" xfId="241" applyFont="1" applyBorder="1"/>
    <xf numFmtId="0" fontId="36" fillId="0" borderId="12" xfId="241" applyFont="1" applyBorder="1"/>
    <xf numFmtId="0" fontId="0" fillId="0" borderId="13" xfId="0" applyBorder="1"/>
    <xf numFmtId="0" fontId="31" fillId="0" borderId="14" xfId="0" applyFont="1" applyBorder="1"/>
    <xf numFmtId="172" fontId="0" fillId="0" borderId="6" xfId="0" applyNumberFormat="1" applyBorder="1"/>
    <xf numFmtId="172" fontId="28" fillId="0" borderId="6" xfId="0" applyNumberFormat="1" applyFont="1" applyBorder="1"/>
    <xf numFmtId="43" fontId="9" fillId="12" borderId="7" xfId="27" applyFont="1" applyFill="1" applyBorder="1" applyAlignment="1" applyProtection="1">
      <alignment vertical="top" wrapText="1" readingOrder="1"/>
      <protection locked="0"/>
    </xf>
    <xf numFmtId="43" fontId="4" fillId="12" borderId="7" xfId="27" applyFont="1" applyFill="1" applyBorder="1" applyAlignment="1" applyProtection="1">
      <alignment vertical="top" wrapText="1" readingOrder="1"/>
      <protection locked="0"/>
    </xf>
    <xf numFmtId="43" fontId="4" fillId="13" borderId="7" xfId="27" applyFont="1" applyFill="1" applyBorder="1" applyAlignment="1" applyProtection="1">
      <alignment vertical="top" wrapText="1" readingOrder="1"/>
      <protection locked="0"/>
    </xf>
    <xf numFmtId="43" fontId="28" fillId="0" borderId="0" xfId="0" applyNumberFormat="1" applyFont="1"/>
    <xf numFmtId="43" fontId="27" fillId="0" borderId="6" xfId="27" applyFont="1" applyBorder="1"/>
    <xf numFmtId="4" fontId="0" fillId="0" borderId="0" xfId="0" applyNumberFormat="1"/>
    <xf numFmtId="0" fontId="6" fillId="0" borderId="0" xfId="0" applyFont="1" applyAlignment="1" applyProtection="1">
      <alignment vertical="top" wrapText="1" readingOrder="1"/>
      <protection locked="0"/>
    </xf>
    <xf numFmtId="173" fontId="28" fillId="0" borderId="9" xfId="0" applyNumberFormat="1" applyFont="1" applyBorder="1"/>
    <xf numFmtId="4" fontId="37" fillId="0" borderId="6" xfId="0" applyNumberFormat="1" applyFont="1" applyBorder="1"/>
    <xf numFmtId="4" fontId="38" fillId="0" borderId="6" xfId="0" applyNumberFormat="1" applyFont="1" applyBorder="1"/>
    <xf numFmtId="0" fontId="37" fillId="0" borderId="16" xfId="0" applyFont="1" applyBorder="1" applyAlignment="1">
      <alignment vertical="top" wrapText="1" readingOrder="1"/>
    </xf>
    <xf numFmtId="0" fontId="37" fillId="0" borderId="6" xfId="0" applyFont="1" applyBorder="1"/>
    <xf numFmtId="0" fontId="39" fillId="0" borderId="16" xfId="0" applyFont="1" applyBorder="1" applyAlignment="1">
      <alignment vertical="top" wrapText="1" readingOrder="1"/>
    </xf>
    <xf numFmtId="0" fontId="39" fillId="0" borderId="16" xfId="0" applyFont="1" applyBorder="1" applyAlignment="1">
      <alignment wrapText="1" readingOrder="1"/>
    </xf>
    <xf numFmtId="0" fontId="40" fillId="0" borderId="6" xfId="0" applyFont="1" applyBorder="1" applyAlignment="1">
      <alignment vertical="top" wrapText="1" readingOrder="1"/>
    </xf>
    <xf numFmtId="0" fontId="40" fillId="14" borderId="17" xfId="0" applyFont="1" applyFill="1" applyBorder="1" applyAlignment="1">
      <alignment vertical="top" wrapText="1" readingOrder="1"/>
    </xf>
    <xf numFmtId="0" fontId="40" fillId="0" borderId="17" xfId="0" applyFont="1" applyBorder="1" applyAlignment="1">
      <alignment vertical="top" wrapText="1" readingOrder="1"/>
    </xf>
    <xf numFmtId="43" fontId="26" fillId="0" borderId="15" xfId="27" applyFont="1" applyBorder="1" applyAlignment="1" applyProtection="1">
      <alignment vertical="top" wrapText="1"/>
      <protection locked="0"/>
    </xf>
    <xf numFmtId="164" fontId="8" fillId="10" borderId="7" xfId="0" applyNumberFormat="1" applyFont="1" applyFill="1" applyBorder="1" applyAlignment="1" applyProtection="1">
      <alignment vertical="top" wrapText="1" readingOrder="1"/>
      <protection locked="0"/>
    </xf>
    <xf numFmtId="43" fontId="0" fillId="0" borderId="0" xfId="27" applyFont="1"/>
    <xf numFmtId="43" fontId="0" fillId="0" borderId="0" xfId="27" applyFont="1" applyFill="1" applyBorder="1"/>
    <xf numFmtId="43" fontId="28" fillId="0" borderId="0" xfId="27" applyFont="1"/>
    <xf numFmtId="43" fontId="5" fillId="10" borderId="7" xfId="27" applyFont="1" applyFill="1" applyBorder="1" applyAlignment="1" applyProtection="1">
      <alignment vertical="top" wrapText="1" readingOrder="1"/>
      <protection locked="0"/>
    </xf>
    <xf numFmtId="0" fontId="18" fillId="0" borderId="0" xfId="0" applyFont="1" applyAlignment="1" applyProtection="1">
      <alignment vertical="top" wrapText="1" readingOrder="1"/>
      <protection locked="0"/>
    </xf>
    <xf numFmtId="0" fontId="31" fillId="0" borderId="11" xfId="241" applyFont="1" applyBorder="1" applyAlignment="1">
      <alignment horizontal="left" vertical="top"/>
    </xf>
    <xf numFmtId="0" fontId="31" fillId="0" borderId="11" xfId="241" applyFont="1" applyBorder="1" applyAlignment="1">
      <alignment horizontal="left" vertical="top" wrapText="1"/>
    </xf>
    <xf numFmtId="0" fontId="41" fillId="0" borderId="11" xfId="0" applyFont="1" applyBorder="1" applyAlignment="1">
      <alignment horizontal="center" vertical="top" wrapText="1"/>
    </xf>
    <xf numFmtId="0" fontId="42" fillId="0" borderId="0" xfId="0" applyFont="1" applyAlignment="1">
      <alignment horizontal="center"/>
    </xf>
    <xf numFmtId="0" fontId="41" fillId="0" borderId="11" xfId="0" applyFont="1" applyBorder="1" applyAlignment="1">
      <alignment horizontal="center" vertical="top"/>
    </xf>
    <xf numFmtId="0" fontId="0" fillId="0" borderId="0" xfId="0" applyAlignment="1"/>
  </cellXfs>
  <cellStyles count="484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30" xr:uid="{00000000-0005-0000-0000-00001D000000}"/>
    <cellStyle name="Comma 10 11" xfId="31" xr:uid="{00000000-0005-0000-0000-00001E000000}"/>
    <cellStyle name="Comma 10 12" xfId="32" xr:uid="{00000000-0005-0000-0000-00001F000000}"/>
    <cellStyle name="Comma 10 13" xfId="33" xr:uid="{00000000-0005-0000-0000-000020000000}"/>
    <cellStyle name="Comma 10 14" xfId="34" xr:uid="{00000000-0005-0000-0000-000021000000}"/>
    <cellStyle name="Comma 10 15" xfId="35" xr:uid="{00000000-0005-0000-0000-000022000000}"/>
    <cellStyle name="Comma 10 16" xfId="36" xr:uid="{00000000-0005-0000-0000-000023000000}"/>
    <cellStyle name="Comma 10 2" xfId="37" xr:uid="{00000000-0005-0000-0000-000024000000}"/>
    <cellStyle name="Comma 10 3" xfId="38" xr:uid="{00000000-0005-0000-0000-000025000000}"/>
    <cellStyle name="Comma 10 4" xfId="39" xr:uid="{00000000-0005-0000-0000-000026000000}"/>
    <cellStyle name="Comma 10 5" xfId="40" xr:uid="{00000000-0005-0000-0000-000027000000}"/>
    <cellStyle name="Comma 10 6" xfId="41" xr:uid="{00000000-0005-0000-0000-000028000000}"/>
    <cellStyle name="Comma 10 7" xfId="42" xr:uid="{00000000-0005-0000-0000-000029000000}"/>
    <cellStyle name="Comma 10 8" xfId="43" xr:uid="{00000000-0005-0000-0000-00002A000000}"/>
    <cellStyle name="Comma 10 9" xfId="44" xr:uid="{00000000-0005-0000-0000-00002B000000}"/>
    <cellStyle name="Comma 11" xfId="45" xr:uid="{00000000-0005-0000-0000-00002C000000}"/>
    <cellStyle name="Comma 11 10" xfId="46" xr:uid="{00000000-0005-0000-0000-00002D000000}"/>
    <cellStyle name="Comma 11 11" xfId="47" xr:uid="{00000000-0005-0000-0000-00002E000000}"/>
    <cellStyle name="Comma 11 12" xfId="48" xr:uid="{00000000-0005-0000-0000-00002F000000}"/>
    <cellStyle name="Comma 11 13" xfId="49" xr:uid="{00000000-0005-0000-0000-000030000000}"/>
    <cellStyle name="Comma 11 14" xfId="50" xr:uid="{00000000-0005-0000-0000-000031000000}"/>
    <cellStyle name="Comma 11 15" xfId="51" xr:uid="{00000000-0005-0000-0000-000032000000}"/>
    <cellStyle name="Comma 11 16" xfId="52" xr:uid="{00000000-0005-0000-0000-000033000000}"/>
    <cellStyle name="Comma 11 17" xfId="53" xr:uid="{00000000-0005-0000-0000-000034000000}"/>
    <cellStyle name="Comma 11 2" xfId="54" xr:uid="{00000000-0005-0000-0000-000035000000}"/>
    <cellStyle name="Comma 11 2 2" xfId="55" xr:uid="{00000000-0005-0000-0000-000036000000}"/>
    <cellStyle name="Comma 11 3" xfId="56" xr:uid="{00000000-0005-0000-0000-000037000000}"/>
    <cellStyle name="Comma 11 4" xfId="57" xr:uid="{00000000-0005-0000-0000-000038000000}"/>
    <cellStyle name="Comma 11 5" xfId="58" xr:uid="{00000000-0005-0000-0000-000039000000}"/>
    <cellStyle name="Comma 11 6" xfId="59" xr:uid="{00000000-0005-0000-0000-00003A000000}"/>
    <cellStyle name="Comma 11 7" xfId="60" xr:uid="{00000000-0005-0000-0000-00003B000000}"/>
    <cellStyle name="Comma 11 8" xfId="61" xr:uid="{00000000-0005-0000-0000-00003C000000}"/>
    <cellStyle name="Comma 11 9" xfId="62" xr:uid="{00000000-0005-0000-0000-00003D000000}"/>
    <cellStyle name="Comma 12" xfId="63" xr:uid="{00000000-0005-0000-0000-00003E000000}"/>
    <cellStyle name="Comma 13" xfId="64" xr:uid="{00000000-0005-0000-0000-00003F000000}"/>
    <cellStyle name="Comma 14" xfId="65" xr:uid="{00000000-0005-0000-0000-000040000000}"/>
    <cellStyle name="Comma 15" xfId="66" xr:uid="{00000000-0005-0000-0000-000041000000}"/>
    <cellStyle name="Comma 16" xfId="67" xr:uid="{00000000-0005-0000-0000-000042000000}"/>
    <cellStyle name="Comma 16 10" xfId="68" xr:uid="{00000000-0005-0000-0000-000043000000}"/>
    <cellStyle name="Comma 16 11" xfId="69" xr:uid="{00000000-0005-0000-0000-000044000000}"/>
    <cellStyle name="Comma 16 12" xfId="70" xr:uid="{00000000-0005-0000-0000-000045000000}"/>
    <cellStyle name="Comma 16 13" xfId="71" xr:uid="{00000000-0005-0000-0000-000046000000}"/>
    <cellStyle name="Comma 16 14" xfId="72" xr:uid="{00000000-0005-0000-0000-000047000000}"/>
    <cellStyle name="Comma 16 15" xfId="73" xr:uid="{00000000-0005-0000-0000-000048000000}"/>
    <cellStyle name="Comma 16 16" xfId="74" xr:uid="{00000000-0005-0000-0000-000049000000}"/>
    <cellStyle name="Comma 16 2" xfId="75" xr:uid="{00000000-0005-0000-0000-00004A000000}"/>
    <cellStyle name="Comma 16 3" xfId="76" xr:uid="{00000000-0005-0000-0000-00004B000000}"/>
    <cellStyle name="Comma 16 4" xfId="77" xr:uid="{00000000-0005-0000-0000-00004C000000}"/>
    <cellStyle name="Comma 16 5" xfId="78" xr:uid="{00000000-0005-0000-0000-00004D000000}"/>
    <cellStyle name="Comma 16 6" xfId="79" xr:uid="{00000000-0005-0000-0000-00004E000000}"/>
    <cellStyle name="Comma 16 7" xfId="80" xr:uid="{00000000-0005-0000-0000-00004F000000}"/>
    <cellStyle name="Comma 16 8" xfId="81" xr:uid="{00000000-0005-0000-0000-000050000000}"/>
    <cellStyle name="Comma 16 9" xfId="82" xr:uid="{00000000-0005-0000-0000-000051000000}"/>
    <cellStyle name="Comma 17" xfId="83" xr:uid="{00000000-0005-0000-0000-000052000000}"/>
    <cellStyle name="Comma 17 10" xfId="84" xr:uid="{00000000-0005-0000-0000-000053000000}"/>
    <cellStyle name="Comma 17 2" xfId="85" xr:uid="{00000000-0005-0000-0000-000054000000}"/>
    <cellStyle name="Comma 17 3" xfId="86" xr:uid="{00000000-0005-0000-0000-000055000000}"/>
    <cellStyle name="Comma 17 4" xfId="87" xr:uid="{00000000-0005-0000-0000-000056000000}"/>
    <cellStyle name="Comma 17 5" xfId="88" xr:uid="{00000000-0005-0000-0000-000057000000}"/>
    <cellStyle name="Comma 17 6" xfId="89" xr:uid="{00000000-0005-0000-0000-000058000000}"/>
    <cellStyle name="Comma 17 7" xfId="90" xr:uid="{00000000-0005-0000-0000-000059000000}"/>
    <cellStyle name="Comma 17 8" xfId="91" xr:uid="{00000000-0005-0000-0000-00005A000000}"/>
    <cellStyle name="Comma 17 9" xfId="92" xr:uid="{00000000-0005-0000-0000-00005B000000}"/>
    <cellStyle name="Comma 18" xfId="93" xr:uid="{00000000-0005-0000-0000-00005C000000}"/>
    <cellStyle name="Comma 18 2" xfId="94" xr:uid="{00000000-0005-0000-0000-00005D000000}"/>
    <cellStyle name="Comma 18 3" xfId="95" xr:uid="{00000000-0005-0000-0000-00005E000000}"/>
    <cellStyle name="Comma 2" xfId="96" xr:uid="{00000000-0005-0000-0000-00005F000000}"/>
    <cellStyle name="Comma 2 10" xfId="97" xr:uid="{00000000-0005-0000-0000-000060000000}"/>
    <cellStyle name="Comma 2 11" xfId="98" xr:uid="{00000000-0005-0000-0000-000061000000}"/>
    <cellStyle name="Comma 2 12" xfId="99" xr:uid="{00000000-0005-0000-0000-000062000000}"/>
    <cellStyle name="Comma 2 13" xfId="100" xr:uid="{00000000-0005-0000-0000-000063000000}"/>
    <cellStyle name="Comma 2 14" xfId="101" xr:uid="{00000000-0005-0000-0000-000064000000}"/>
    <cellStyle name="Comma 2 15" xfId="102" xr:uid="{00000000-0005-0000-0000-000065000000}"/>
    <cellStyle name="Comma 2 16" xfId="103" xr:uid="{00000000-0005-0000-0000-000066000000}"/>
    <cellStyle name="Comma 2 17" xfId="104" xr:uid="{00000000-0005-0000-0000-000067000000}"/>
    <cellStyle name="Comma 2 18" xfId="105" xr:uid="{00000000-0005-0000-0000-000068000000}"/>
    <cellStyle name="Comma 2 19" xfId="106" xr:uid="{00000000-0005-0000-0000-000069000000}"/>
    <cellStyle name="Comma 2 2" xfId="107" xr:uid="{00000000-0005-0000-0000-00006A000000}"/>
    <cellStyle name="Comma 2 20" xfId="108" xr:uid="{00000000-0005-0000-0000-00006B000000}"/>
    <cellStyle name="Comma 2 21" xfId="109" xr:uid="{00000000-0005-0000-0000-00006C000000}"/>
    <cellStyle name="Comma 2 22" xfId="110" xr:uid="{00000000-0005-0000-0000-00006D000000}"/>
    <cellStyle name="Comma 2 23" xfId="111" xr:uid="{00000000-0005-0000-0000-00006E000000}"/>
    <cellStyle name="Comma 2 24" xfId="112" xr:uid="{00000000-0005-0000-0000-00006F000000}"/>
    <cellStyle name="Comma 2 25" xfId="113" xr:uid="{00000000-0005-0000-0000-000070000000}"/>
    <cellStyle name="Comma 2 26" xfId="114" xr:uid="{00000000-0005-0000-0000-000071000000}"/>
    <cellStyle name="Comma 2 3" xfId="115" xr:uid="{00000000-0005-0000-0000-000072000000}"/>
    <cellStyle name="Comma 2 4" xfId="116" xr:uid="{00000000-0005-0000-0000-000073000000}"/>
    <cellStyle name="Comma 2 5" xfId="117" xr:uid="{00000000-0005-0000-0000-000074000000}"/>
    <cellStyle name="Comma 2 6" xfId="118" xr:uid="{00000000-0005-0000-0000-000075000000}"/>
    <cellStyle name="Comma 2 7" xfId="119" xr:uid="{00000000-0005-0000-0000-000076000000}"/>
    <cellStyle name="Comma 2 8" xfId="120" xr:uid="{00000000-0005-0000-0000-000077000000}"/>
    <cellStyle name="Comma 2 9" xfId="121" xr:uid="{00000000-0005-0000-0000-000078000000}"/>
    <cellStyle name="Comma 24" xfId="122" xr:uid="{00000000-0005-0000-0000-000079000000}"/>
    <cellStyle name="Comma 3" xfId="123" xr:uid="{00000000-0005-0000-0000-00007A000000}"/>
    <cellStyle name="Comma 3 10" xfId="124" xr:uid="{00000000-0005-0000-0000-00007B000000}"/>
    <cellStyle name="Comma 3 11" xfId="125" xr:uid="{00000000-0005-0000-0000-00007C000000}"/>
    <cellStyle name="Comma 3 12" xfId="126" xr:uid="{00000000-0005-0000-0000-00007D000000}"/>
    <cellStyle name="Comma 3 13" xfId="127" xr:uid="{00000000-0005-0000-0000-00007E000000}"/>
    <cellStyle name="Comma 3 14" xfId="128" xr:uid="{00000000-0005-0000-0000-00007F000000}"/>
    <cellStyle name="Comma 3 15" xfId="129" xr:uid="{00000000-0005-0000-0000-000080000000}"/>
    <cellStyle name="Comma 3 16" xfId="130" xr:uid="{00000000-0005-0000-0000-000081000000}"/>
    <cellStyle name="Comma 3 17" xfId="131" xr:uid="{00000000-0005-0000-0000-000082000000}"/>
    <cellStyle name="Comma 3 18" xfId="132" xr:uid="{00000000-0005-0000-0000-000083000000}"/>
    <cellStyle name="Comma 3 19" xfId="133" xr:uid="{00000000-0005-0000-0000-000084000000}"/>
    <cellStyle name="Comma 3 2" xfId="134" xr:uid="{00000000-0005-0000-0000-000085000000}"/>
    <cellStyle name="Comma 3 20" xfId="135" xr:uid="{00000000-0005-0000-0000-000086000000}"/>
    <cellStyle name="Comma 3 3" xfId="136" xr:uid="{00000000-0005-0000-0000-000087000000}"/>
    <cellStyle name="Comma 3 4" xfId="137" xr:uid="{00000000-0005-0000-0000-000088000000}"/>
    <cellStyle name="Comma 3 5" xfId="138" xr:uid="{00000000-0005-0000-0000-000089000000}"/>
    <cellStyle name="Comma 3 6" xfId="139" xr:uid="{00000000-0005-0000-0000-00008A000000}"/>
    <cellStyle name="Comma 3 7" xfId="140" xr:uid="{00000000-0005-0000-0000-00008B000000}"/>
    <cellStyle name="Comma 3 8" xfId="141" xr:uid="{00000000-0005-0000-0000-00008C000000}"/>
    <cellStyle name="Comma 3 9" xfId="142" xr:uid="{00000000-0005-0000-0000-00008D000000}"/>
    <cellStyle name="Comma 4" xfId="143" xr:uid="{00000000-0005-0000-0000-00008E000000}"/>
    <cellStyle name="Comma 5" xfId="144" xr:uid="{00000000-0005-0000-0000-00008F000000}"/>
    <cellStyle name="Comma 5 10" xfId="145" xr:uid="{00000000-0005-0000-0000-000090000000}"/>
    <cellStyle name="Comma 5 11" xfId="146" xr:uid="{00000000-0005-0000-0000-000091000000}"/>
    <cellStyle name="Comma 5 12" xfId="147" xr:uid="{00000000-0005-0000-0000-000092000000}"/>
    <cellStyle name="Comma 5 13" xfId="148" xr:uid="{00000000-0005-0000-0000-000093000000}"/>
    <cellStyle name="Comma 5 14" xfId="149" xr:uid="{00000000-0005-0000-0000-000094000000}"/>
    <cellStyle name="Comma 5 15" xfId="150" xr:uid="{00000000-0005-0000-0000-000095000000}"/>
    <cellStyle name="Comma 5 16" xfId="151" xr:uid="{00000000-0005-0000-0000-000096000000}"/>
    <cellStyle name="Comma 5 17" xfId="152" xr:uid="{00000000-0005-0000-0000-000097000000}"/>
    <cellStyle name="Comma 5 18" xfId="153" xr:uid="{00000000-0005-0000-0000-000098000000}"/>
    <cellStyle name="Comma 5 19" xfId="154" xr:uid="{00000000-0005-0000-0000-000099000000}"/>
    <cellStyle name="Comma 5 2" xfId="155" xr:uid="{00000000-0005-0000-0000-00009A000000}"/>
    <cellStyle name="Comma 5 20" xfId="156" xr:uid="{00000000-0005-0000-0000-00009B000000}"/>
    <cellStyle name="Comma 5 3" xfId="157" xr:uid="{00000000-0005-0000-0000-00009C000000}"/>
    <cellStyle name="Comma 5 4" xfId="158" xr:uid="{00000000-0005-0000-0000-00009D000000}"/>
    <cellStyle name="Comma 5 5" xfId="159" xr:uid="{00000000-0005-0000-0000-00009E000000}"/>
    <cellStyle name="Comma 5 6" xfId="160" xr:uid="{00000000-0005-0000-0000-00009F000000}"/>
    <cellStyle name="Comma 5 7" xfId="161" xr:uid="{00000000-0005-0000-0000-0000A0000000}"/>
    <cellStyle name="Comma 5 8" xfId="162" xr:uid="{00000000-0005-0000-0000-0000A1000000}"/>
    <cellStyle name="Comma 5 9" xfId="163" xr:uid="{00000000-0005-0000-0000-0000A2000000}"/>
    <cellStyle name="Comma 6" xfId="164" xr:uid="{00000000-0005-0000-0000-0000A3000000}"/>
    <cellStyle name="Comma 6 10" xfId="165" xr:uid="{00000000-0005-0000-0000-0000A4000000}"/>
    <cellStyle name="Comma 6 11" xfId="166" xr:uid="{00000000-0005-0000-0000-0000A5000000}"/>
    <cellStyle name="Comma 6 12" xfId="167" xr:uid="{00000000-0005-0000-0000-0000A6000000}"/>
    <cellStyle name="Comma 6 13" xfId="168" xr:uid="{00000000-0005-0000-0000-0000A7000000}"/>
    <cellStyle name="Comma 6 14" xfId="169" xr:uid="{00000000-0005-0000-0000-0000A8000000}"/>
    <cellStyle name="Comma 6 15" xfId="170" xr:uid="{00000000-0005-0000-0000-0000A9000000}"/>
    <cellStyle name="Comma 6 16" xfId="171" xr:uid="{00000000-0005-0000-0000-0000AA000000}"/>
    <cellStyle name="Comma 6 17" xfId="172" xr:uid="{00000000-0005-0000-0000-0000AB000000}"/>
    <cellStyle name="Comma 6 18" xfId="173" xr:uid="{00000000-0005-0000-0000-0000AC000000}"/>
    <cellStyle name="Comma 6 19" xfId="174" xr:uid="{00000000-0005-0000-0000-0000AD000000}"/>
    <cellStyle name="Comma 6 2" xfId="175" xr:uid="{00000000-0005-0000-0000-0000AE000000}"/>
    <cellStyle name="Comma 6 3" xfId="176" xr:uid="{00000000-0005-0000-0000-0000AF000000}"/>
    <cellStyle name="Comma 6 4" xfId="177" xr:uid="{00000000-0005-0000-0000-0000B0000000}"/>
    <cellStyle name="Comma 6 5" xfId="178" xr:uid="{00000000-0005-0000-0000-0000B1000000}"/>
    <cellStyle name="Comma 6 6" xfId="179" xr:uid="{00000000-0005-0000-0000-0000B2000000}"/>
    <cellStyle name="Comma 6 7" xfId="180" xr:uid="{00000000-0005-0000-0000-0000B3000000}"/>
    <cellStyle name="Comma 6 8" xfId="181" xr:uid="{00000000-0005-0000-0000-0000B4000000}"/>
    <cellStyle name="Comma 6 9" xfId="182" xr:uid="{00000000-0005-0000-0000-0000B5000000}"/>
    <cellStyle name="Comma 7" xfId="183" xr:uid="{00000000-0005-0000-0000-0000B6000000}"/>
    <cellStyle name="Comma 7 10" xfId="184" xr:uid="{00000000-0005-0000-0000-0000B7000000}"/>
    <cellStyle name="Comma 7 11" xfId="185" xr:uid="{00000000-0005-0000-0000-0000B8000000}"/>
    <cellStyle name="Comma 7 12" xfId="186" xr:uid="{00000000-0005-0000-0000-0000B9000000}"/>
    <cellStyle name="Comma 7 13" xfId="187" xr:uid="{00000000-0005-0000-0000-0000BA000000}"/>
    <cellStyle name="Comma 7 14" xfId="188" xr:uid="{00000000-0005-0000-0000-0000BB000000}"/>
    <cellStyle name="Comma 7 15" xfId="189" xr:uid="{00000000-0005-0000-0000-0000BC000000}"/>
    <cellStyle name="Comma 7 16" xfId="190" xr:uid="{00000000-0005-0000-0000-0000BD000000}"/>
    <cellStyle name="Comma 7 17" xfId="191" xr:uid="{00000000-0005-0000-0000-0000BE000000}"/>
    <cellStyle name="Comma 7 18" xfId="192" xr:uid="{00000000-0005-0000-0000-0000BF000000}"/>
    <cellStyle name="Comma 7 19" xfId="193" xr:uid="{00000000-0005-0000-0000-0000C0000000}"/>
    <cellStyle name="Comma 7 2" xfId="194" xr:uid="{00000000-0005-0000-0000-0000C1000000}"/>
    <cellStyle name="Comma 7 3" xfId="195" xr:uid="{00000000-0005-0000-0000-0000C2000000}"/>
    <cellStyle name="Comma 7 4" xfId="196" xr:uid="{00000000-0005-0000-0000-0000C3000000}"/>
    <cellStyle name="Comma 7 5" xfId="197" xr:uid="{00000000-0005-0000-0000-0000C4000000}"/>
    <cellStyle name="Comma 7 6" xfId="198" xr:uid="{00000000-0005-0000-0000-0000C5000000}"/>
    <cellStyle name="Comma 7 7" xfId="199" xr:uid="{00000000-0005-0000-0000-0000C6000000}"/>
    <cellStyle name="Comma 7 8" xfId="200" xr:uid="{00000000-0005-0000-0000-0000C7000000}"/>
    <cellStyle name="Comma 7 9" xfId="201" xr:uid="{00000000-0005-0000-0000-0000C8000000}"/>
    <cellStyle name="Comma 8" xfId="202" xr:uid="{00000000-0005-0000-0000-0000C9000000}"/>
    <cellStyle name="Comma 8 10" xfId="203" xr:uid="{00000000-0005-0000-0000-0000CA000000}"/>
    <cellStyle name="Comma 8 11" xfId="204" xr:uid="{00000000-0005-0000-0000-0000CB000000}"/>
    <cellStyle name="Comma 8 12" xfId="205" xr:uid="{00000000-0005-0000-0000-0000CC000000}"/>
    <cellStyle name="Comma 8 13" xfId="206" xr:uid="{00000000-0005-0000-0000-0000CD000000}"/>
    <cellStyle name="Comma 8 14" xfId="207" xr:uid="{00000000-0005-0000-0000-0000CE000000}"/>
    <cellStyle name="Comma 8 15" xfId="208" xr:uid="{00000000-0005-0000-0000-0000CF000000}"/>
    <cellStyle name="Comma 8 16" xfId="209" xr:uid="{00000000-0005-0000-0000-0000D0000000}"/>
    <cellStyle name="Comma 8 17" xfId="210" xr:uid="{00000000-0005-0000-0000-0000D1000000}"/>
    <cellStyle name="Comma 8 18" xfId="211" xr:uid="{00000000-0005-0000-0000-0000D2000000}"/>
    <cellStyle name="Comma 8 19" xfId="212" xr:uid="{00000000-0005-0000-0000-0000D3000000}"/>
    <cellStyle name="Comma 8 2" xfId="213" xr:uid="{00000000-0005-0000-0000-0000D4000000}"/>
    <cellStyle name="Comma 8 3" xfId="214" xr:uid="{00000000-0005-0000-0000-0000D5000000}"/>
    <cellStyle name="Comma 8 4" xfId="215" xr:uid="{00000000-0005-0000-0000-0000D6000000}"/>
    <cellStyle name="Comma 8 5" xfId="216" xr:uid="{00000000-0005-0000-0000-0000D7000000}"/>
    <cellStyle name="Comma 8 6" xfId="217" xr:uid="{00000000-0005-0000-0000-0000D8000000}"/>
    <cellStyle name="Comma 8 7" xfId="218" xr:uid="{00000000-0005-0000-0000-0000D9000000}"/>
    <cellStyle name="Comma 8 8" xfId="219" xr:uid="{00000000-0005-0000-0000-0000DA000000}"/>
    <cellStyle name="Comma 8 9" xfId="220" xr:uid="{00000000-0005-0000-0000-0000DB000000}"/>
    <cellStyle name="Comma 9" xfId="221" xr:uid="{00000000-0005-0000-0000-0000DC000000}"/>
    <cellStyle name="Comma 9 10" xfId="222" xr:uid="{00000000-0005-0000-0000-0000DD000000}"/>
    <cellStyle name="Comma 9 11" xfId="223" xr:uid="{00000000-0005-0000-0000-0000DE000000}"/>
    <cellStyle name="Comma 9 12" xfId="224" xr:uid="{00000000-0005-0000-0000-0000DF000000}"/>
    <cellStyle name="Comma 9 13" xfId="225" xr:uid="{00000000-0005-0000-0000-0000E0000000}"/>
    <cellStyle name="Comma 9 14" xfId="226" xr:uid="{00000000-0005-0000-0000-0000E1000000}"/>
    <cellStyle name="Comma 9 15" xfId="227" xr:uid="{00000000-0005-0000-0000-0000E2000000}"/>
    <cellStyle name="Comma 9 16" xfId="228" xr:uid="{00000000-0005-0000-0000-0000E3000000}"/>
    <cellStyle name="Comma 9 17" xfId="229" xr:uid="{00000000-0005-0000-0000-0000E4000000}"/>
    <cellStyle name="Comma 9 18" xfId="230" xr:uid="{00000000-0005-0000-0000-0000E5000000}"/>
    <cellStyle name="Comma 9 19" xfId="231" xr:uid="{00000000-0005-0000-0000-0000E6000000}"/>
    <cellStyle name="Comma 9 2" xfId="232" xr:uid="{00000000-0005-0000-0000-0000E7000000}"/>
    <cellStyle name="Comma 9 3" xfId="233" xr:uid="{00000000-0005-0000-0000-0000E8000000}"/>
    <cellStyle name="Comma 9 4" xfId="234" xr:uid="{00000000-0005-0000-0000-0000E9000000}"/>
    <cellStyle name="Comma 9 5" xfId="235" xr:uid="{00000000-0005-0000-0000-0000EA000000}"/>
    <cellStyle name="Comma 9 6" xfId="236" xr:uid="{00000000-0005-0000-0000-0000EB000000}"/>
    <cellStyle name="Comma 9 7" xfId="237" xr:uid="{00000000-0005-0000-0000-0000EC000000}"/>
    <cellStyle name="Comma 9 8" xfId="238" xr:uid="{00000000-0005-0000-0000-0000ED000000}"/>
    <cellStyle name="Comma 9 9" xfId="239" xr:uid="{00000000-0005-0000-0000-0000EE000000}"/>
    <cellStyle name="Input 2" xfId="240" xr:uid="{00000000-0005-0000-0000-0000EF000000}"/>
    <cellStyle name="Normal" xfId="0" builtinId="0"/>
    <cellStyle name="Normal 10" xfId="241" xr:uid="{00000000-0005-0000-0000-0000F1000000}"/>
    <cellStyle name="Normal 10 2" xfId="242" xr:uid="{00000000-0005-0000-0000-0000F2000000}"/>
    <cellStyle name="Normal 10 3" xfId="243" xr:uid="{00000000-0005-0000-0000-0000F3000000}"/>
    <cellStyle name="Normal 10 4" xfId="244" xr:uid="{00000000-0005-0000-0000-0000F4000000}"/>
    <cellStyle name="Normal 10 5" xfId="245" xr:uid="{00000000-0005-0000-0000-0000F5000000}"/>
    <cellStyle name="Normal 11" xfId="246" xr:uid="{00000000-0005-0000-0000-0000F6000000}"/>
    <cellStyle name="Normal 12" xfId="247" xr:uid="{00000000-0005-0000-0000-0000F7000000}"/>
    <cellStyle name="Normal 12 2" xfId="248" xr:uid="{00000000-0005-0000-0000-0000F8000000}"/>
    <cellStyle name="Normal 12 3" xfId="249" xr:uid="{00000000-0005-0000-0000-0000F9000000}"/>
    <cellStyle name="Normal 12 4" xfId="250" xr:uid="{00000000-0005-0000-0000-0000FA000000}"/>
    <cellStyle name="Normal 12 5" xfId="251" xr:uid="{00000000-0005-0000-0000-0000FB000000}"/>
    <cellStyle name="Normal 13" xfId="252" xr:uid="{00000000-0005-0000-0000-0000FC000000}"/>
    <cellStyle name="Normal 13 2" xfId="253" xr:uid="{00000000-0005-0000-0000-0000FD000000}"/>
    <cellStyle name="Normal 13 3" xfId="254" xr:uid="{00000000-0005-0000-0000-0000FE000000}"/>
    <cellStyle name="Normal 13 4" xfId="255" xr:uid="{00000000-0005-0000-0000-0000FF000000}"/>
    <cellStyle name="Normal 13 5" xfId="256" xr:uid="{00000000-0005-0000-0000-000000010000}"/>
    <cellStyle name="Normal 14" xfId="257" xr:uid="{00000000-0005-0000-0000-000001010000}"/>
    <cellStyle name="Normal 14 10" xfId="258" xr:uid="{00000000-0005-0000-0000-000002010000}"/>
    <cellStyle name="Normal 14 11" xfId="259" xr:uid="{00000000-0005-0000-0000-000003010000}"/>
    <cellStyle name="Normal 14 12" xfId="260" xr:uid="{00000000-0005-0000-0000-000004010000}"/>
    <cellStyle name="Normal 14 2" xfId="261" xr:uid="{00000000-0005-0000-0000-000005010000}"/>
    <cellStyle name="Normal 14 3" xfId="262" xr:uid="{00000000-0005-0000-0000-000006010000}"/>
    <cellStyle name="Normal 14 4" xfId="263" xr:uid="{00000000-0005-0000-0000-000007010000}"/>
    <cellStyle name="Normal 14 5" xfId="264" xr:uid="{00000000-0005-0000-0000-000008010000}"/>
    <cellStyle name="Normal 14 6" xfId="265" xr:uid="{00000000-0005-0000-0000-000009010000}"/>
    <cellStyle name="Normal 14 7" xfId="266" xr:uid="{00000000-0005-0000-0000-00000A010000}"/>
    <cellStyle name="Normal 14 8" xfId="267" xr:uid="{00000000-0005-0000-0000-00000B010000}"/>
    <cellStyle name="Normal 14 9" xfId="268" xr:uid="{00000000-0005-0000-0000-00000C010000}"/>
    <cellStyle name="Normal 15" xfId="269" xr:uid="{00000000-0005-0000-0000-00000D010000}"/>
    <cellStyle name="Normal 16" xfId="270" xr:uid="{00000000-0005-0000-0000-00000E010000}"/>
    <cellStyle name="Normal 17" xfId="271" xr:uid="{00000000-0005-0000-0000-00000F010000}"/>
    <cellStyle name="Normal 17 2" xfId="272" xr:uid="{00000000-0005-0000-0000-000010010000}"/>
    <cellStyle name="Normal 17 2 2" xfId="273" xr:uid="{00000000-0005-0000-0000-000011010000}"/>
    <cellStyle name="Normal 17 3" xfId="274" xr:uid="{00000000-0005-0000-0000-000012010000}"/>
    <cellStyle name="Normal 17 3 2" xfId="275" xr:uid="{00000000-0005-0000-0000-000013010000}"/>
    <cellStyle name="Normal 17 4" xfId="276" xr:uid="{00000000-0005-0000-0000-000014010000}"/>
    <cellStyle name="Normal 17 4 2" xfId="277" xr:uid="{00000000-0005-0000-0000-000015010000}"/>
    <cellStyle name="Normal 17 5" xfId="278" xr:uid="{00000000-0005-0000-0000-000016010000}"/>
    <cellStyle name="Normal 17 5 2" xfId="279" xr:uid="{00000000-0005-0000-0000-000017010000}"/>
    <cellStyle name="Normal 17 6" xfId="280" xr:uid="{00000000-0005-0000-0000-000018010000}"/>
    <cellStyle name="Normal 18" xfId="281" xr:uid="{00000000-0005-0000-0000-000019010000}"/>
    <cellStyle name="Normal 19" xfId="282" xr:uid="{00000000-0005-0000-0000-00001A010000}"/>
    <cellStyle name="Normal 2" xfId="283" xr:uid="{00000000-0005-0000-0000-00001B010000}"/>
    <cellStyle name="Normal 2 10" xfId="284" xr:uid="{00000000-0005-0000-0000-00001C010000}"/>
    <cellStyle name="Normal 2 11" xfId="285" xr:uid="{00000000-0005-0000-0000-00001D010000}"/>
    <cellStyle name="Normal 2 12" xfId="286" xr:uid="{00000000-0005-0000-0000-00001E010000}"/>
    <cellStyle name="Normal 2 13" xfId="287" xr:uid="{00000000-0005-0000-0000-00001F010000}"/>
    <cellStyle name="Normal 2 14" xfId="288" xr:uid="{00000000-0005-0000-0000-000020010000}"/>
    <cellStyle name="Normal 2 15" xfId="289" xr:uid="{00000000-0005-0000-0000-000021010000}"/>
    <cellStyle name="Normal 2 16" xfId="290" xr:uid="{00000000-0005-0000-0000-000022010000}"/>
    <cellStyle name="Normal 2 17" xfId="291" xr:uid="{00000000-0005-0000-0000-000023010000}"/>
    <cellStyle name="Normal 2 18" xfId="292" xr:uid="{00000000-0005-0000-0000-000024010000}"/>
    <cellStyle name="Normal 2 19" xfId="293" xr:uid="{00000000-0005-0000-0000-000025010000}"/>
    <cellStyle name="Normal 2 2" xfId="294" xr:uid="{00000000-0005-0000-0000-000026010000}"/>
    <cellStyle name="Normal 2 20" xfId="295" xr:uid="{00000000-0005-0000-0000-000027010000}"/>
    <cellStyle name="Normal 2 3" xfId="296" xr:uid="{00000000-0005-0000-0000-000028010000}"/>
    <cellStyle name="Normal 2 4" xfId="297" xr:uid="{00000000-0005-0000-0000-000029010000}"/>
    <cellStyle name="Normal 2 5" xfId="298" xr:uid="{00000000-0005-0000-0000-00002A010000}"/>
    <cellStyle name="Normal 2 6" xfId="299" xr:uid="{00000000-0005-0000-0000-00002B010000}"/>
    <cellStyle name="Normal 2 7" xfId="300" xr:uid="{00000000-0005-0000-0000-00002C010000}"/>
    <cellStyle name="Normal 2 8" xfId="301" xr:uid="{00000000-0005-0000-0000-00002D010000}"/>
    <cellStyle name="Normal 2 9" xfId="302" xr:uid="{00000000-0005-0000-0000-00002E010000}"/>
    <cellStyle name="Normal 2_deposits mobilized" xfId="303" xr:uid="{00000000-0005-0000-0000-00002F010000}"/>
    <cellStyle name="Normal 20" xfId="304" xr:uid="{00000000-0005-0000-0000-000030010000}"/>
    <cellStyle name="Normal 21" xfId="305" xr:uid="{00000000-0005-0000-0000-000031010000}"/>
    <cellStyle name="Normal 21 10" xfId="306" xr:uid="{00000000-0005-0000-0000-000032010000}"/>
    <cellStyle name="Normal 21 10 2" xfId="307" xr:uid="{00000000-0005-0000-0000-000033010000}"/>
    <cellStyle name="Normal 21 11" xfId="308" xr:uid="{00000000-0005-0000-0000-000034010000}"/>
    <cellStyle name="Normal 21 11 2" xfId="309" xr:uid="{00000000-0005-0000-0000-000035010000}"/>
    <cellStyle name="Normal 21 12" xfId="310" xr:uid="{00000000-0005-0000-0000-000036010000}"/>
    <cellStyle name="Normal 21 12 2" xfId="311" xr:uid="{00000000-0005-0000-0000-000037010000}"/>
    <cellStyle name="Normal 21 13" xfId="312" xr:uid="{00000000-0005-0000-0000-000038010000}"/>
    <cellStyle name="Normal 21 13 2" xfId="313" xr:uid="{00000000-0005-0000-0000-000039010000}"/>
    <cellStyle name="Normal 21 14" xfId="314" xr:uid="{00000000-0005-0000-0000-00003A010000}"/>
    <cellStyle name="Normal 21 14 2" xfId="315" xr:uid="{00000000-0005-0000-0000-00003B010000}"/>
    <cellStyle name="Normal 21 15" xfId="316" xr:uid="{00000000-0005-0000-0000-00003C010000}"/>
    <cellStyle name="Normal 21 15 2" xfId="317" xr:uid="{00000000-0005-0000-0000-00003D010000}"/>
    <cellStyle name="Normal 21 16" xfId="318" xr:uid="{00000000-0005-0000-0000-00003E010000}"/>
    <cellStyle name="Normal 21 16 2" xfId="319" xr:uid="{00000000-0005-0000-0000-00003F010000}"/>
    <cellStyle name="Normal 21 17" xfId="320" xr:uid="{00000000-0005-0000-0000-000040010000}"/>
    <cellStyle name="Normal 21 2" xfId="321" xr:uid="{00000000-0005-0000-0000-000041010000}"/>
    <cellStyle name="Normal 21 2 2" xfId="322" xr:uid="{00000000-0005-0000-0000-000042010000}"/>
    <cellStyle name="Normal 21 3" xfId="323" xr:uid="{00000000-0005-0000-0000-000043010000}"/>
    <cellStyle name="Normal 21 3 2" xfId="324" xr:uid="{00000000-0005-0000-0000-000044010000}"/>
    <cellStyle name="Normal 21 4" xfId="325" xr:uid="{00000000-0005-0000-0000-000045010000}"/>
    <cellStyle name="Normal 21 4 2" xfId="326" xr:uid="{00000000-0005-0000-0000-000046010000}"/>
    <cellStyle name="Normal 21 5" xfId="327" xr:uid="{00000000-0005-0000-0000-000047010000}"/>
    <cellStyle name="Normal 21 5 2" xfId="328" xr:uid="{00000000-0005-0000-0000-000048010000}"/>
    <cellStyle name="Normal 21 6" xfId="329" xr:uid="{00000000-0005-0000-0000-000049010000}"/>
    <cellStyle name="Normal 21 6 2" xfId="330" xr:uid="{00000000-0005-0000-0000-00004A010000}"/>
    <cellStyle name="Normal 21 7" xfId="331" xr:uid="{00000000-0005-0000-0000-00004B010000}"/>
    <cellStyle name="Normal 21 7 2" xfId="332" xr:uid="{00000000-0005-0000-0000-00004C010000}"/>
    <cellStyle name="Normal 21 8" xfId="333" xr:uid="{00000000-0005-0000-0000-00004D010000}"/>
    <cellStyle name="Normal 21 8 2" xfId="334" xr:uid="{00000000-0005-0000-0000-00004E010000}"/>
    <cellStyle name="Normal 21 9" xfId="335" xr:uid="{00000000-0005-0000-0000-00004F010000}"/>
    <cellStyle name="Normal 21 9 2" xfId="336" xr:uid="{00000000-0005-0000-0000-000050010000}"/>
    <cellStyle name="Normal 22" xfId="337" xr:uid="{00000000-0005-0000-0000-000051010000}"/>
    <cellStyle name="Normal 23" xfId="338" xr:uid="{00000000-0005-0000-0000-000052010000}"/>
    <cellStyle name="Normal 24" xfId="339" xr:uid="{00000000-0005-0000-0000-000053010000}"/>
    <cellStyle name="Normal 25" xfId="340" xr:uid="{00000000-0005-0000-0000-000054010000}"/>
    <cellStyle name="Normal 26" xfId="341" xr:uid="{00000000-0005-0000-0000-000055010000}"/>
    <cellStyle name="Normal 27" xfId="342" xr:uid="{00000000-0005-0000-0000-000056010000}"/>
    <cellStyle name="Normal 28" xfId="343" xr:uid="{00000000-0005-0000-0000-000057010000}"/>
    <cellStyle name="Normal 29" xfId="344" xr:uid="{00000000-0005-0000-0000-000058010000}"/>
    <cellStyle name="Normal 3" xfId="345" xr:uid="{00000000-0005-0000-0000-000059010000}"/>
    <cellStyle name="Normal 3 10" xfId="346" xr:uid="{00000000-0005-0000-0000-00005A010000}"/>
    <cellStyle name="Normal 3 11" xfId="347" xr:uid="{00000000-0005-0000-0000-00005B010000}"/>
    <cellStyle name="Normal 3 12" xfId="348" xr:uid="{00000000-0005-0000-0000-00005C010000}"/>
    <cellStyle name="Normal 3 13" xfId="349" xr:uid="{00000000-0005-0000-0000-00005D010000}"/>
    <cellStyle name="Normal 3 14" xfId="350" xr:uid="{00000000-0005-0000-0000-00005E010000}"/>
    <cellStyle name="Normal 3 15" xfId="351" xr:uid="{00000000-0005-0000-0000-00005F010000}"/>
    <cellStyle name="Normal 3 16" xfId="352" xr:uid="{00000000-0005-0000-0000-000060010000}"/>
    <cellStyle name="Normal 3 17" xfId="353" xr:uid="{00000000-0005-0000-0000-000061010000}"/>
    <cellStyle name="Normal 3 18" xfId="354" xr:uid="{00000000-0005-0000-0000-000062010000}"/>
    <cellStyle name="Normal 3 19" xfId="355" xr:uid="{00000000-0005-0000-0000-000063010000}"/>
    <cellStyle name="Normal 3 2" xfId="356" xr:uid="{00000000-0005-0000-0000-000064010000}"/>
    <cellStyle name="Normal 3 20" xfId="357" xr:uid="{00000000-0005-0000-0000-000065010000}"/>
    <cellStyle name="Normal 3 21" xfId="358" xr:uid="{00000000-0005-0000-0000-000066010000}"/>
    <cellStyle name="Normal 3 22" xfId="359" xr:uid="{00000000-0005-0000-0000-000067010000}"/>
    <cellStyle name="Normal 3 23" xfId="360" xr:uid="{00000000-0005-0000-0000-000068010000}"/>
    <cellStyle name="Normal 3 24" xfId="361" xr:uid="{00000000-0005-0000-0000-000069010000}"/>
    <cellStyle name="Normal 3 25" xfId="362" xr:uid="{00000000-0005-0000-0000-00006A010000}"/>
    <cellStyle name="Normal 3 26" xfId="363" xr:uid="{00000000-0005-0000-0000-00006B010000}"/>
    <cellStyle name="Normal 3 27" xfId="364" xr:uid="{00000000-0005-0000-0000-00006C010000}"/>
    <cellStyle name="Normal 3 28" xfId="365" xr:uid="{00000000-0005-0000-0000-00006D010000}"/>
    <cellStyle name="Normal 3 29" xfId="366" xr:uid="{00000000-0005-0000-0000-00006E010000}"/>
    <cellStyle name="Normal 3 3" xfId="367" xr:uid="{00000000-0005-0000-0000-00006F010000}"/>
    <cellStyle name="Normal 3 30" xfId="368" xr:uid="{00000000-0005-0000-0000-000070010000}"/>
    <cellStyle name="Normal 3 4" xfId="369" xr:uid="{00000000-0005-0000-0000-000071010000}"/>
    <cellStyle name="Normal 3 5" xfId="370" xr:uid="{00000000-0005-0000-0000-000072010000}"/>
    <cellStyle name="Normal 3 6" xfId="371" xr:uid="{00000000-0005-0000-0000-000073010000}"/>
    <cellStyle name="Normal 3 7" xfId="372" xr:uid="{00000000-0005-0000-0000-000074010000}"/>
    <cellStyle name="Normal 3 8" xfId="373" xr:uid="{00000000-0005-0000-0000-000075010000}"/>
    <cellStyle name="Normal 3 9" xfId="374" xr:uid="{00000000-0005-0000-0000-000076010000}"/>
    <cellStyle name="Normal 3_deposits mobilized" xfId="375" xr:uid="{00000000-0005-0000-0000-000077010000}"/>
    <cellStyle name="Normal 30" xfId="376" xr:uid="{00000000-0005-0000-0000-000078010000}"/>
    <cellStyle name="Normal 31" xfId="377" xr:uid="{00000000-0005-0000-0000-000079010000}"/>
    <cellStyle name="Normal 32" xfId="378" xr:uid="{00000000-0005-0000-0000-00007A010000}"/>
    <cellStyle name="Normal 33" xfId="379" xr:uid="{00000000-0005-0000-0000-00007B010000}"/>
    <cellStyle name="Normal 34" xfId="380" xr:uid="{00000000-0005-0000-0000-00007C010000}"/>
    <cellStyle name="Normal 35" xfId="381" xr:uid="{00000000-0005-0000-0000-00007D010000}"/>
    <cellStyle name="Normal 36" xfId="382" xr:uid="{00000000-0005-0000-0000-00007E010000}"/>
    <cellStyle name="Normal 37" xfId="383" xr:uid="{00000000-0005-0000-0000-00007F010000}"/>
    <cellStyle name="Normal 38" xfId="384" xr:uid="{00000000-0005-0000-0000-000080010000}"/>
    <cellStyle name="Normal 39" xfId="385" xr:uid="{00000000-0005-0000-0000-000081010000}"/>
    <cellStyle name="Normal 4" xfId="386" xr:uid="{00000000-0005-0000-0000-000082010000}"/>
    <cellStyle name="Normal 4 10" xfId="387" xr:uid="{00000000-0005-0000-0000-000083010000}"/>
    <cellStyle name="Normal 4 11" xfId="388" xr:uid="{00000000-0005-0000-0000-000084010000}"/>
    <cellStyle name="Normal 4 12" xfId="389" xr:uid="{00000000-0005-0000-0000-000085010000}"/>
    <cellStyle name="Normal 4 13" xfId="390" xr:uid="{00000000-0005-0000-0000-000086010000}"/>
    <cellStyle name="Normal 4 14" xfId="391" xr:uid="{00000000-0005-0000-0000-000087010000}"/>
    <cellStyle name="Normal 4 15" xfId="392" xr:uid="{00000000-0005-0000-0000-000088010000}"/>
    <cellStyle name="Normal 4 16" xfId="393" xr:uid="{00000000-0005-0000-0000-000089010000}"/>
    <cellStyle name="Normal 4 17" xfId="394" xr:uid="{00000000-0005-0000-0000-00008A010000}"/>
    <cellStyle name="Normal 4 18" xfId="395" xr:uid="{00000000-0005-0000-0000-00008B010000}"/>
    <cellStyle name="Normal 4 19" xfId="396" xr:uid="{00000000-0005-0000-0000-00008C010000}"/>
    <cellStyle name="Normal 4 2" xfId="397" xr:uid="{00000000-0005-0000-0000-00008D010000}"/>
    <cellStyle name="Normal 4 20" xfId="398" xr:uid="{00000000-0005-0000-0000-00008E010000}"/>
    <cellStyle name="Normal 4 21" xfId="399" xr:uid="{00000000-0005-0000-0000-00008F010000}"/>
    <cellStyle name="Normal 4 22" xfId="400" xr:uid="{00000000-0005-0000-0000-000090010000}"/>
    <cellStyle name="Normal 4 23" xfId="401" xr:uid="{00000000-0005-0000-0000-000091010000}"/>
    <cellStyle name="Normal 4 24" xfId="402" xr:uid="{00000000-0005-0000-0000-000092010000}"/>
    <cellStyle name="Normal 4 25" xfId="403" xr:uid="{00000000-0005-0000-0000-000093010000}"/>
    <cellStyle name="Normal 4 26" xfId="404" xr:uid="{00000000-0005-0000-0000-000094010000}"/>
    <cellStyle name="Normal 4 27" xfId="405" xr:uid="{00000000-0005-0000-0000-000095010000}"/>
    <cellStyle name="Normal 4 28" xfId="406" xr:uid="{00000000-0005-0000-0000-000096010000}"/>
    <cellStyle name="Normal 4 29" xfId="407" xr:uid="{00000000-0005-0000-0000-000097010000}"/>
    <cellStyle name="Normal 4 3" xfId="408" xr:uid="{00000000-0005-0000-0000-000098010000}"/>
    <cellStyle name="Normal 4 30" xfId="409" xr:uid="{00000000-0005-0000-0000-000099010000}"/>
    <cellStyle name="Normal 4 4" xfId="410" xr:uid="{00000000-0005-0000-0000-00009A010000}"/>
    <cellStyle name="Normal 4 5" xfId="411" xr:uid="{00000000-0005-0000-0000-00009B010000}"/>
    <cellStyle name="Normal 4 6" xfId="412" xr:uid="{00000000-0005-0000-0000-00009C010000}"/>
    <cellStyle name="Normal 4 7" xfId="413" xr:uid="{00000000-0005-0000-0000-00009D010000}"/>
    <cellStyle name="Normal 4 8" xfId="414" xr:uid="{00000000-0005-0000-0000-00009E010000}"/>
    <cellStyle name="Normal 4 9" xfId="415" xr:uid="{00000000-0005-0000-0000-00009F010000}"/>
    <cellStyle name="Normal 40" xfId="416" xr:uid="{00000000-0005-0000-0000-0000A0010000}"/>
    <cellStyle name="Normal 41" xfId="417" xr:uid="{00000000-0005-0000-0000-0000A1010000}"/>
    <cellStyle name="Normal 42" xfId="418" xr:uid="{00000000-0005-0000-0000-0000A2010000}"/>
    <cellStyle name="Normal 43" xfId="419" xr:uid="{00000000-0005-0000-0000-0000A3010000}"/>
    <cellStyle name="Normal 44" xfId="420" xr:uid="{00000000-0005-0000-0000-0000A4010000}"/>
    <cellStyle name="Normal 45" xfId="421" xr:uid="{00000000-0005-0000-0000-0000A5010000}"/>
    <cellStyle name="Normal 46" xfId="422" xr:uid="{00000000-0005-0000-0000-0000A6010000}"/>
    <cellStyle name="Normal 47" xfId="423" xr:uid="{00000000-0005-0000-0000-0000A7010000}"/>
    <cellStyle name="Normal 48" xfId="424" xr:uid="{00000000-0005-0000-0000-0000A8010000}"/>
    <cellStyle name="Normal 49" xfId="425" xr:uid="{00000000-0005-0000-0000-0000A9010000}"/>
    <cellStyle name="Normal 5" xfId="426" xr:uid="{00000000-0005-0000-0000-0000AA010000}"/>
    <cellStyle name="Normal 5 10" xfId="427" xr:uid="{00000000-0005-0000-0000-0000AB010000}"/>
    <cellStyle name="Normal 5 11" xfId="428" xr:uid="{00000000-0005-0000-0000-0000AC010000}"/>
    <cellStyle name="Normal 5 12" xfId="429" xr:uid="{00000000-0005-0000-0000-0000AD010000}"/>
    <cellStyle name="Normal 5 13" xfId="430" xr:uid="{00000000-0005-0000-0000-0000AE010000}"/>
    <cellStyle name="Normal 5 14" xfId="431" xr:uid="{00000000-0005-0000-0000-0000AF010000}"/>
    <cellStyle name="Normal 5 15" xfId="432" xr:uid="{00000000-0005-0000-0000-0000B0010000}"/>
    <cellStyle name="Normal 5 2" xfId="433" xr:uid="{00000000-0005-0000-0000-0000B1010000}"/>
    <cellStyle name="Normal 5 3" xfId="434" xr:uid="{00000000-0005-0000-0000-0000B2010000}"/>
    <cellStyle name="Normal 5 4" xfId="435" xr:uid="{00000000-0005-0000-0000-0000B3010000}"/>
    <cellStyle name="Normal 5 5" xfId="436" xr:uid="{00000000-0005-0000-0000-0000B4010000}"/>
    <cellStyle name="Normal 5 6" xfId="437" xr:uid="{00000000-0005-0000-0000-0000B5010000}"/>
    <cellStyle name="Normal 5 7" xfId="438" xr:uid="{00000000-0005-0000-0000-0000B6010000}"/>
    <cellStyle name="Normal 5 8" xfId="439" xr:uid="{00000000-0005-0000-0000-0000B7010000}"/>
    <cellStyle name="Normal 5 9" xfId="440" xr:uid="{00000000-0005-0000-0000-0000B8010000}"/>
    <cellStyle name="Normal 50" xfId="441" xr:uid="{00000000-0005-0000-0000-0000B9010000}"/>
    <cellStyle name="Normal 51" xfId="442" xr:uid="{00000000-0005-0000-0000-0000BA010000}"/>
    <cellStyle name="Normal 52" xfId="443" xr:uid="{00000000-0005-0000-0000-0000BB010000}"/>
    <cellStyle name="Normal 53" xfId="444" xr:uid="{00000000-0005-0000-0000-0000BC010000}"/>
    <cellStyle name="Normal 54" xfId="445" xr:uid="{00000000-0005-0000-0000-0000BD010000}"/>
    <cellStyle name="Normal 55" xfId="446" xr:uid="{00000000-0005-0000-0000-0000BE010000}"/>
    <cellStyle name="Normal 56" xfId="447" xr:uid="{00000000-0005-0000-0000-0000BF010000}"/>
    <cellStyle name="Normal 57" xfId="448" xr:uid="{00000000-0005-0000-0000-0000C0010000}"/>
    <cellStyle name="Normal 6" xfId="449" xr:uid="{00000000-0005-0000-0000-0000C1010000}"/>
    <cellStyle name="Normal 6 2" xfId="450" xr:uid="{00000000-0005-0000-0000-0000C2010000}"/>
    <cellStyle name="Normal 6 3" xfId="451" xr:uid="{00000000-0005-0000-0000-0000C3010000}"/>
    <cellStyle name="Normal 6 4" xfId="452" xr:uid="{00000000-0005-0000-0000-0000C4010000}"/>
    <cellStyle name="Normal 6 5" xfId="453" xr:uid="{00000000-0005-0000-0000-0000C5010000}"/>
    <cellStyle name="Normal 7" xfId="454" xr:uid="{00000000-0005-0000-0000-0000C6010000}"/>
    <cellStyle name="Normal 7 2" xfId="455" xr:uid="{00000000-0005-0000-0000-0000C7010000}"/>
    <cellStyle name="Normal 7 3" xfId="456" xr:uid="{00000000-0005-0000-0000-0000C8010000}"/>
    <cellStyle name="Normal 7 4" xfId="457" xr:uid="{00000000-0005-0000-0000-0000C9010000}"/>
    <cellStyle name="Normal 7 5" xfId="458" xr:uid="{00000000-0005-0000-0000-0000CA010000}"/>
    <cellStyle name="Normal 8" xfId="459" xr:uid="{00000000-0005-0000-0000-0000CB010000}"/>
    <cellStyle name="Normal 9" xfId="460" xr:uid="{00000000-0005-0000-0000-0000CC010000}"/>
    <cellStyle name="Normal 9 10" xfId="461" xr:uid="{00000000-0005-0000-0000-0000CD010000}"/>
    <cellStyle name="Normal 9 11" xfId="462" xr:uid="{00000000-0005-0000-0000-0000CE010000}"/>
    <cellStyle name="Normal 9 12" xfId="463" xr:uid="{00000000-0005-0000-0000-0000CF010000}"/>
    <cellStyle name="Normal 9 13" xfId="464" xr:uid="{00000000-0005-0000-0000-0000D0010000}"/>
    <cellStyle name="Normal 9 14" xfId="465" xr:uid="{00000000-0005-0000-0000-0000D1010000}"/>
    <cellStyle name="Normal 9 2" xfId="466" xr:uid="{00000000-0005-0000-0000-0000D2010000}"/>
    <cellStyle name="Normal 9 2 2" xfId="467" xr:uid="{00000000-0005-0000-0000-0000D3010000}"/>
    <cellStyle name="Normal 9 2 3" xfId="468" xr:uid="{00000000-0005-0000-0000-0000D4010000}"/>
    <cellStyle name="Normal 9 2 4" xfId="469" xr:uid="{00000000-0005-0000-0000-0000D5010000}"/>
    <cellStyle name="Normal 9 3" xfId="470" xr:uid="{00000000-0005-0000-0000-0000D6010000}"/>
    <cellStyle name="Normal 9 4" xfId="471" xr:uid="{00000000-0005-0000-0000-0000D7010000}"/>
    <cellStyle name="Normal 9 5" xfId="472" xr:uid="{00000000-0005-0000-0000-0000D8010000}"/>
    <cellStyle name="Normal 9 6" xfId="473" xr:uid="{00000000-0005-0000-0000-0000D9010000}"/>
    <cellStyle name="Normal 9 7" xfId="474" xr:uid="{00000000-0005-0000-0000-0000DA010000}"/>
    <cellStyle name="Normal 9 8" xfId="475" xr:uid="{00000000-0005-0000-0000-0000DB010000}"/>
    <cellStyle name="Normal 9 9" xfId="476" xr:uid="{00000000-0005-0000-0000-0000DC010000}"/>
    <cellStyle name="Note 2" xfId="477" xr:uid="{00000000-0005-0000-0000-0000DD010000}"/>
    <cellStyle name="Percent" xfId="478" builtinId="5"/>
    <cellStyle name="Percent 2" xfId="479" xr:uid="{00000000-0005-0000-0000-0000DF010000}"/>
    <cellStyle name="Percent 2 2" xfId="480" xr:uid="{00000000-0005-0000-0000-0000E0010000}"/>
    <cellStyle name="Percent 3" xfId="481" xr:uid="{00000000-0005-0000-0000-0000E1010000}"/>
    <cellStyle name="Total 2" xfId="482" xr:uid="{00000000-0005-0000-0000-0000E2010000}"/>
    <cellStyle name="Total 2 2" xfId="483" xr:uid="{00000000-0005-0000-0000-0000E3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workbookViewId="0">
      <pane xSplit="1" ySplit="3" topLeftCell="P23" activePane="bottomRight" state="frozen"/>
      <selection pane="bottomRight" activeCell="P45" sqref="P45"/>
      <selection pane="bottomLeft" activeCell="A4" sqref="A4"/>
      <selection pane="topRight" activeCell="B1" sqref="B1"/>
    </sheetView>
  </sheetViews>
  <sheetFormatPr defaultRowHeight="14.45"/>
  <cols>
    <col min="1" max="1" width="37.42578125" customWidth="1"/>
    <col min="2" max="3" width="16.5703125" hidden="1" customWidth="1"/>
    <col min="4" max="15" width="16.140625" bestFit="1" customWidth="1"/>
    <col min="16" max="16" width="17.140625" bestFit="1" customWidth="1"/>
    <col min="20" max="20" width="13.5703125" bestFit="1" customWidth="1"/>
    <col min="21" max="21" width="9.85546875" bestFit="1" customWidth="1"/>
  </cols>
  <sheetData>
    <row r="1" spans="1:21" ht="15" customHeight="1">
      <c r="A1" s="61"/>
      <c r="B1" s="61"/>
      <c r="C1" s="61"/>
    </row>
    <row r="2" spans="1:21">
      <c r="A2" s="25" t="s">
        <v>0</v>
      </c>
    </row>
    <row r="3" spans="1:21">
      <c r="A3" s="6"/>
      <c r="B3" s="24" t="s">
        <v>1</v>
      </c>
      <c r="C3" s="24" t="s">
        <v>2</v>
      </c>
      <c r="D3" s="4">
        <v>44562</v>
      </c>
      <c r="E3" s="4">
        <v>44593</v>
      </c>
      <c r="F3" s="4">
        <v>44621</v>
      </c>
      <c r="G3" s="4">
        <v>44652</v>
      </c>
      <c r="H3" s="4">
        <v>44682</v>
      </c>
      <c r="I3" s="4">
        <v>44713</v>
      </c>
      <c r="J3" s="4">
        <v>44743</v>
      </c>
      <c r="K3" s="4">
        <v>44774</v>
      </c>
      <c r="L3" s="4">
        <v>44805</v>
      </c>
      <c r="M3" s="4">
        <v>44835</v>
      </c>
      <c r="N3" s="4">
        <v>44866</v>
      </c>
      <c r="O3" s="4">
        <v>44896</v>
      </c>
      <c r="P3" s="4" t="s">
        <v>3</v>
      </c>
    </row>
    <row r="4" spans="1:21">
      <c r="A4" s="7" t="s">
        <v>4</v>
      </c>
      <c r="B4" s="55">
        <f t="shared" ref="B4:C4" si="0">SUM(B5:B6)</f>
        <v>0</v>
      </c>
      <c r="C4" s="55">
        <f t="shared" si="0"/>
        <v>0</v>
      </c>
      <c r="D4" s="55">
        <f t="shared" ref="D4:P4" si="1">SUM(D5:D6)</f>
        <v>710786156.10000002</v>
      </c>
      <c r="E4" s="55">
        <f t="shared" si="1"/>
        <v>480055912.38</v>
      </c>
      <c r="F4" s="55">
        <f t="shared" si="1"/>
        <v>538391803.37</v>
      </c>
      <c r="G4" s="55">
        <f t="shared" si="1"/>
        <v>508409052.40999997</v>
      </c>
      <c r="H4" s="55">
        <f t="shared" si="1"/>
        <v>517021369.13</v>
      </c>
      <c r="I4" s="55">
        <f t="shared" si="1"/>
        <v>805245228.63</v>
      </c>
      <c r="J4" s="55">
        <f t="shared" si="1"/>
        <v>449750553.65000004</v>
      </c>
      <c r="K4" s="55">
        <f t="shared" si="1"/>
        <v>515588177.42000002</v>
      </c>
      <c r="L4" s="55">
        <f t="shared" si="1"/>
        <v>510109768.12</v>
      </c>
      <c r="M4" s="55">
        <f t="shared" si="1"/>
        <v>497229319.76999998</v>
      </c>
      <c r="N4" s="55">
        <f t="shared" si="1"/>
        <v>370524813.33000004</v>
      </c>
      <c r="O4" s="55">
        <f t="shared" si="1"/>
        <v>469473880.20999998</v>
      </c>
      <c r="P4" s="55">
        <f t="shared" si="1"/>
        <v>469474880</v>
      </c>
    </row>
    <row r="5" spans="1:21">
      <c r="A5" s="8" t="s">
        <v>5</v>
      </c>
      <c r="B5" s="21"/>
      <c r="C5" s="63"/>
      <c r="D5" s="9">
        <v>106301803.01000001</v>
      </c>
      <c r="E5" s="9">
        <v>63165348.590000004</v>
      </c>
      <c r="F5" s="9">
        <v>61720871.689999998</v>
      </c>
      <c r="G5" s="9">
        <v>68302498.629999995</v>
      </c>
      <c r="H5" s="9">
        <v>82293591.400000006</v>
      </c>
      <c r="I5" s="9">
        <v>79298037.230000004</v>
      </c>
      <c r="J5" s="9">
        <v>74301213.920000002</v>
      </c>
      <c r="K5" s="9">
        <v>54212455.939999998</v>
      </c>
      <c r="L5" s="9">
        <v>67267283.109999999</v>
      </c>
      <c r="M5">
        <v>46556977.57</v>
      </c>
      <c r="N5">
        <v>63179963.039999999</v>
      </c>
      <c r="O5">
        <v>91972824.519999996</v>
      </c>
      <c r="P5" s="74">
        <v>37278923</v>
      </c>
    </row>
    <row r="6" spans="1:21">
      <c r="A6" s="8" t="s">
        <v>6</v>
      </c>
      <c r="B6" s="21"/>
      <c r="C6" s="63"/>
      <c r="D6" s="9">
        <v>604484353.09000003</v>
      </c>
      <c r="E6" s="9">
        <v>416890563.79000002</v>
      </c>
      <c r="F6" s="9">
        <v>476670931.68000001</v>
      </c>
      <c r="G6" s="9">
        <v>440106553.77999997</v>
      </c>
      <c r="H6" s="9">
        <v>434727777.73000002</v>
      </c>
      <c r="I6" s="9">
        <v>725947191.39999998</v>
      </c>
      <c r="J6" s="9">
        <v>375449339.73000002</v>
      </c>
      <c r="K6" s="9">
        <v>461375721.48000002</v>
      </c>
      <c r="L6" s="9">
        <v>442842485.00999999</v>
      </c>
      <c r="M6">
        <v>450672342.19999999</v>
      </c>
      <c r="N6">
        <v>307344850.29000002</v>
      </c>
      <c r="O6">
        <v>377501055.69</v>
      </c>
      <c r="P6" s="74">
        <v>432195957</v>
      </c>
    </row>
    <row r="7" spans="1:21" s="25" customFormat="1">
      <c r="A7" s="7" t="s">
        <v>7</v>
      </c>
      <c r="B7" s="20"/>
      <c r="C7" s="64"/>
      <c r="D7" s="9"/>
      <c r="E7" s="9">
        <v>159714477.78</v>
      </c>
      <c r="F7" s="9">
        <v>337939691.94</v>
      </c>
      <c r="G7" s="9">
        <v>192687117.09999999</v>
      </c>
      <c r="H7" s="9">
        <v>160050531.03</v>
      </c>
      <c r="I7" s="9">
        <v>182458471.25999999</v>
      </c>
      <c r="J7" s="9">
        <v>4386941.16</v>
      </c>
      <c r="K7" s="9">
        <v>303810348.22000003</v>
      </c>
      <c r="L7" s="9">
        <v>188076009.81</v>
      </c>
      <c r="M7" s="25">
        <v>164093867.16</v>
      </c>
      <c r="N7" s="25">
        <v>334510461.31</v>
      </c>
      <c r="O7" s="25">
        <v>438349495.91000003</v>
      </c>
      <c r="P7" s="76">
        <v>335415092</v>
      </c>
    </row>
    <row r="8" spans="1:21">
      <c r="A8" s="7" t="s">
        <v>8</v>
      </c>
      <c r="B8" s="55">
        <f t="shared" ref="B8:C8" si="2">SUM(B9:B13)</f>
        <v>0</v>
      </c>
      <c r="C8" s="55">
        <f t="shared" si="2"/>
        <v>0</v>
      </c>
      <c r="D8" s="55">
        <f t="shared" ref="D8:P8" si="3">SUM(D9:D13)</f>
        <v>81856794.670000002</v>
      </c>
      <c r="E8" s="55">
        <f t="shared" si="3"/>
        <v>86044846.969999999</v>
      </c>
      <c r="F8" s="55">
        <f t="shared" si="3"/>
        <v>86544846.969999999</v>
      </c>
      <c r="G8" s="55">
        <f t="shared" si="3"/>
        <v>87044846.969999999</v>
      </c>
      <c r="H8" s="55">
        <f t="shared" si="3"/>
        <v>88744846.969999999</v>
      </c>
      <c r="I8" s="55">
        <f t="shared" si="3"/>
        <v>89340839.530000001</v>
      </c>
      <c r="J8" s="55">
        <f t="shared" si="3"/>
        <v>89840839.530000001</v>
      </c>
      <c r="K8" s="55">
        <f t="shared" si="3"/>
        <v>90444812.060000002</v>
      </c>
      <c r="L8" s="55">
        <f t="shared" si="3"/>
        <v>90944812.060000002</v>
      </c>
      <c r="M8" s="55">
        <f t="shared" si="3"/>
        <v>91444812.060000002</v>
      </c>
      <c r="N8" s="55">
        <f t="shared" si="3"/>
        <v>91944812.060000002</v>
      </c>
      <c r="O8" s="55">
        <f t="shared" si="3"/>
        <v>92444812.060000002</v>
      </c>
      <c r="P8" s="55">
        <f t="shared" si="3"/>
        <v>92444812</v>
      </c>
    </row>
    <row r="9" spans="1:21" ht="21" customHeight="1">
      <c r="A9" s="5" t="s">
        <v>9</v>
      </c>
      <c r="B9" s="21"/>
      <c r="C9" s="66"/>
      <c r="D9" s="9">
        <v>76528.899999999994</v>
      </c>
      <c r="E9" s="9">
        <v>76528.899999999994</v>
      </c>
      <c r="F9" s="9">
        <v>76528.899999999994</v>
      </c>
      <c r="G9" s="9">
        <v>76528.899999999994</v>
      </c>
      <c r="H9" s="9">
        <v>76528.899999999994</v>
      </c>
      <c r="I9" s="9">
        <v>76528.899999999994</v>
      </c>
      <c r="J9" s="9">
        <v>76528.899999999994</v>
      </c>
      <c r="K9" s="9">
        <v>76528.899999999994</v>
      </c>
      <c r="L9" s="21">
        <v>76528.899999999994</v>
      </c>
      <c r="M9" s="74">
        <v>76528.899999999994</v>
      </c>
      <c r="N9" s="74">
        <v>76528.899999999994</v>
      </c>
      <c r="O9" s="74">
        <v>76528.899999999994</v>
      </c>
      <c r="P9" s="74">
        <v>76529</v>
      </c>
    </row>
    <row r="10" spans="1:21" ht="21.6" customHeight="1">
      <c r="A10" s="5" t="s">
        <v>10</v>
      </c>
      <c r="B10" s="21"/>
      <c r="C10" s="66"/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21">
        <v>0</v>
      </c>
      <c r="M10" s="74">
        <v>0</v>
      </c>
      <c r="N10" s="74">
        <v>0</v>
      </c>
      <c r="O10" s="74">
        <v>0</v>
      </c>
      <c r="P10" s="74"/>
      <c r="U10">
        <f>469474880-37278923</f>
        <v>432195957</v>
      </c>
    </row>
    <row r="11" spans="1:21" ht="23.1" customHeight="1">
      <c r="A11" s="5" t="s">
        <v>11</v>
      </c>
      <c r="B11" s="21"/>
      <c r="C11" s="66"/>
      <c r="D11" s="9">
        <v>81780265.769999996</v>
      </c>
      <c r="E11" s="9">
        <v>85968318.069999993</v>
      </c>
      <c r="F11" s="9">
        <v>86468318.069999993</v>
      </c>
      <c r="G11" s="9">
        <v>86968318.069999993</v>
      </c>
      <c r="H11" s="9">
        <v>88668318.069999993</v>
      </c>
      <c r="I11" s="9">
        <v>89264310.629999995</v>
      </c>
      <c r="J11" s="9">
        <v>89764310.629999995</v>
      </c>
      <c r="K11" s="9">
        <v>90368283.159999996</v>
      </c>
      <c r="L11" s="21">
        <v>90868283.159999996</v>
      </c>
      <c r="M11" s="74">
        <v>91368283.159999996</v>
      </c>
      <c r="N11" s="74">
        <v>91868283.159999996</v>
      </c>
      <c r="O11" s="74">
        <v>92368283.159999996</v>
      </c>
      <c r="P11" s="74">
        <v>92368283</v>
      </c>
    </row>
    <row r="12" spans="1:21" ht="18.600000000000001" customHeight="1">
      <c r="A12" s="5" t="s">
        <v>12</v>
      </c>
      <c r="B12" s="21"/>
      <c r="C12" s="63"/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21">
        <v>0</v>
      </c>
      <c r="M12" s="74">
        <v>0</v>
      </c>
      <c r="N12" s="74">
        <v>0</v>
      </c>
      <c r="O12" s="74">
        <v>0</v>
      </c>
      <c r="P12" s="74"/>
    </row>
    <row r="13" spans="1:21" ht="17.45" customHeight="1">
      <c r="A13" s="5" t="s">
        <v>13</v>
      </c>
      <c r="B13" s="9"/>
      <c r="C13" s="63"/>
      <c r="D13" s="72"/>
      <c r="E13" s="72"/>
      <c r="F13" s="72"/>
      <c r="G13" s="72"/>
      <c r="H13" s="72"/>
      <c r="I13" s="72"/>
      <c r="J13" s="72"/>
      <c r="K13" s="72"/>
      <c r="L13" s="72"/>
      <c r="M13" s="74"/>
      <c r="N13" s="74"/>
      <c r="O13" s="74"/>
      <c r="P13" s="74"/>
    </row>
    <row r="14" spans="1:21">
      <c r="A14" s="7" t="s">
        <v>14</v>
      </c>
      <c r="B14" s="55">
        <f t="shared" ref="B14:C14" si="4">B15-B16</f>
        <v>0</v>
      </c>
      <c r="C14" s="55">
        <f t="shared" si="4"/>
        <v>0</v>
      </c>
      <c r="D14" s="55">
        <f t="shared" ref="D14:P14" si="5">D15-D16</f>
        <v>7240823671.0599995</v>
      </c>
      <c r="E14" s="55">
        <f t="shared" si="5"/>
        <v>7295454434.0900002</v>
      </c>
      <c r="F14" s="55">
        <f t="shared" si="5"/>
        <v>7518766037.8999996</v>
      </c>
      <c r="G14" s="55">
        <f t="shared" si="5"/>
        <v>7672767920.46</v>
      </c>
      <c r="H14" s="55">
        <f t="shared" si="5"/>
        <v>7751662739.2300005</v>
      </c>
      <c r="I14" s="55">
        <f t="shared" si="5"/>
        <v>7828087533.6900005</v>
      </c>
      <c r="J14" s="55">
        <f t="shared" si="5"/>
        <v>7973318395.5200005</v>
      </c>
      <c r="K14" s="55">
        <f t="shared" si="5"/>
        <v>8114248597.6999998</v>
      </c>
      <c r="L14" s="55">
        <f t="shared" si="5"/>
        <v>8300020569.4299994</v>
      </c>
      <c r="M14" s="55">
        <f t="shared" si="5"/>
        <v>8334773608.7600002</v>
      </c>
      <c r="N14" s="55">
        <f t="shared" si="5"/>
        <v>8405407742.7999992</v>
      </c>
      <c r="O14" s="55">
        <f t="shared" si="5"/>
        <v>8571140428.1300011</v>
      </c>
      <c r="P14" s="55">
        <f t="shared" si="5"/>
        <v>8571140428</v>
      </c>
    </row>
    <row r="15" spans="1:21">
      <c r="A15" s="8" t="s">
        <v>15</v>
      </c>
      <c r="B15" s="21"/>
      <c r="C15" s="63"/>
      <c r="D15" s="9">
        <v>8146710185.79</v>
      </c>
      <c r="E15" s="9">
        <v>8220838930.8199997</v>
      </c>
      <c r="F15" s="9">
        <v>8486393655.4399996</v>
      </c>
      <c r="G15" s="9">
        <v>8603889627.8199997</v>
      </c>
      <c r="H15" s="9">
        <v>8701560012.1200008</v>
      </c>
      <c r="I15" s="9">
        <v>8786076216.2700005</v>
      </c>
      <c r="J15" s="9">
        <v>8929953749.4400005</v>
      </c>
      <c r="K15" s="9">
        <v>9100925325.4799995</v>
      </c>
      <c r="L15" s="9">
        <v>9310531868.4799995</v>
      </c>
      <c r="M15" s="74">
        <v>9365280417.4300003</v>
      </c>
      <c r="N15" s="74">
        <v>9570914551.4699993</v>
      </c>
      <c r="O15" s="74">
        <v>9734915300.4500008</v>
      </c>
      <c r="P15" s="75">
        <v>9734915300</v>
      </c>
    </row>
    <row r="16" spans="1:21">
      <c r="A16" s="8" t="s">
        <v>16</v>
      </c>
      <c r="B16" s="21"/>
      <c r="C16" s="63"/>
      <c r="D16" s="9">
        <v>905886514.73000002</v>
      </c>
      <c r="E16" s="9">
        <v>925384496.73000002</v>
      </c>
      <c r="F16" s="9">
        <v>967627617.53999996</v>
      </c>
      <c r="G16" s="9">
        <v>931121707.36000001</v>
      </c>
      <c r="H16" s="9">
        <v>949897272.88999999</v>
      </c>
      <c r="I16" s="9">
        <v>957988682.58000004</v>
      </c>
      <c r="J16" s="9">
        <v>956635353.91999996</v>
      </c>
      <c r="K16" s="9">
        <v>986676727.77999997</v>
      </c>
      <c r="L16" s="9">
        <v>1010511299.05</v>
      </c>
      <c r="M16" s="74">
        <v>1030506808.67</v>
      </c>
      <c r="N16" s="74">
        <v>1165506808.6700001</v>
      </c>
      <c r="O16" s="74">
        <v>1163774872.3199999</v>
      </c>
      <c r="P16" s="75">
        <v>1163774872</v>
      </c>
    </row>
    <row r="17" spans="1:20">
      <c r="A17" s="7" t="s">
        <v>17</v>
      </c>
      <c r="B17" s="55"/>
      <c r="C17" s="55"/>
      <c r="D17" s="73"/>
      <c r="E17" s="73"/>
      <c r="F17" s="73"/>
      <c r="G17" s="73"/>
      <c r="H17" s="73"/>
      <c r="I17" s="73"/>
      <c r="J17" s="73"/>
      <c r="K17" s="73"/>
      <c r="L17" s="73"/>
      <c r="P17" s="74"/>
    </row>
    <row r="18" spans="1:20">
      <c r="A18" s="8" t="s">
        <v>18</v>
      </c>
      <c r="B18" s="21"/>
      <c r="C18" s="63"/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>
        <v>0</v>
      </c>
      <c r="N18">
        <v>0</v>
      </c>
      <c r="O18">
        <v>0</v>
      </c>
      <c r="P18" s="74"/>
    </row>
    <row r="19" spans="1:20">
      <c r="A19" s="8" t="s">
        <v>19</v>
      </c>
      <c r="B19" s="21"/>
      <c r="C19" s="66"/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>
        <v>0</v>
      </c>
      <c r="N19">
        <v>0</v>
      </c>
      <c r="O19">
        <v>0</v>
      </c>
      <c r="P19" s="74"/>
    </row>
    <row r="20" spans="1:20">
      <c r="A20" s="8" t="s">
        <v>20</v>
      </c>
      <c r="B20" s="21"/>
      <c r="C20" s="66"/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>
        <v>0</v>
      </c>
      <c r="N20">
        <v>0</v>
      </c>
      <c r="O20">
        <v>0</v>
      </c>
      <c r="P20" s="74"/>
    </row>
    <row r="21" spans="1:20">
      <c r="A21" s="7" t="s">
        <v>21</v>
      </c>
      <c r="B21" s="55">
        <f t="shared" ref="B21:C21" si="6">SUM(B22:B26)</f>
        <v>0</v>
      </c>
      <c r="C21" s="55">
        <f t="shared" si="6"/>
        <v>0</v>
      </c>
      <c r="D21" s="55">
        <f t="shared" ref="D21:Q21" si="7">SUM(D22:D26)</f>
        <v>179930408.67000002</v>
      </c>
      <c r="E21" s="55">
        <f t="shared" si="7"/>
        <v>204989436.87</v>
      </c>
      <c r="F21" s="55">
        <f t="shared" si="7"/>
        <v>207170520.05000001</v>
      </c>
      <c r="G21" s="55">
        <f t="shared" si="7"/>
        <v>215553073.38999999</v>
      </c>
      <c r="H21" s="55">
        <f t="shared" si="7"/>
        <v>247977642.20000002</v>
      </c>
      <c r="I21" s="55">
        <f t="shared" si="7"/>
        <v>290129541.91000003</v>
      </c>
      <c r="J21" s="55">
        <f t="shared" si="7"/>
        <v>340049014.63</v>
      </c>
      <c r="K21" s="55">
        <f t="shared" si="7"/>
        <v>341097153.35000002</v>
      </c>
      <c r="L21" s="55">
        <f t="shared" si="7"/>
        <v>316023207.52000004</v>
      </c>
      <c r="M21" s="55">
        <f t="shared" si="7"/>
        <v>323749833.71999997</v>
      </c>
      <c r="N21" s="55">
        <f t="shared" si="7"/>
        <v>328347625.38999999</v>
      </c>
      <c r="O21" s="55">
        <f t="shared" si="7"/>
        <v>324835780.89000005</v>
      </c>
      <c r="P21" s="55">
        <f t="shared" si="7"/>
        <v>322033440</v>
      </c>
      <c r="Q21" s="55">
        <f t="shared" si="7"/>
        <v>0</v>
      </c>
    </row>
    <row r="22" spans="1:20">
      <c r="A22" s="8" t="s">
        <v>22</v>
      </c>
      <c r="B22" s="21"/>
      <c r="C22" s="65"/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21">
        <v>0</v>
      </c>
      <c r="M22" s="74">
        <v>0</v>
      </c>
      <c r="N22" s="74">
        <v>0</v>
      </c>
      <c r="O22" s="74">
        <v>0</v>
      </c>
      <c r="P22" s="74"/>
    </row>
    <row r="23" spans="1:20">
      <c r="A23" s="8" t="s">
        <v>23</v>
      </c>
      <c r="B23" s="21"/>
      <c r="C23" s="63"/>
      <c r="D23" s="9">
        <v>175763729.83000001</v>
      </c>
      <c r="E23" s="9">
        <v>201075298.13</v>
      </c>
      <c r="F23" s="9">
        <v>203731829.16</v>
      </c>
      <c r="G23" s="9">
        <v>212862822.38999999</v>
      </c>
      <c r="H23" s="9">
        <v>243394667.27000001</v>
      </c>
      <c r="I23" s="9">
        <v>285433495.69999999</v>
      </c>
      <c r="J23" s="9">
        <v>293224720.50999999</v>
      </c>
      <c r="K23" s="9">
        <v>294536113.75</v>
      </c>
      <c r="L23" s="21">
        <v>294091129.13</v>
      </c>
      <c r="M23" s="74">
        <v>294021154.31</v>
      </c>
      <c r="N23" s="74">
        <v>297240852.77999997</v>
      </c>
      <c r="O23" s="74">
        <v>293773073.80000001</v>
      </c>
      <c r="P23" s="74">
        <f>135428782+102144250+37304398+10681331+8214314</f>
        <v>293773075</v>
      </c>
    </row>
    <row r="24" spans="1:20">
      <c r="A24" s="8" t="s">
        <v>24</v>
      </c>
      <c r="B24" s="21"/>
      <c r="C24" s="65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21">
        <v>0</v>
      </c>
      <c r="M24" s="74">
        <v>0</v>
      </c>
      <c r="N24" s="74">
        <v>0</v>
      </c>
      <c r="O24" s="74">
        <v>0</v>
      </c>
      <c r="P24" s="74"/>
      <c r="T24">
        <f>295500805-1727731</f>
        <v>293773074</v>
      </c>
    </row>
    <row r="25" spans="1:20">
      <c r="A25" s="8" t="s">
        <v>25</v>
      </c>
      <c r="B25" s="21"/>
      <c r="C25" s="63"/>
      <c r="D25" s="9">
        <v>1727730.84</v>
      </c>
      <c r="E25" s="9">
        <v>1151820.56</v>
      </c>
      <c r="F25" s="9">
        <v>575910.28</v>
      </c>
      <c r="G25" s="9">
        <v>0</v>
      </c>
      <c r="H25" s="9">
        <v>2063678.5</v>
      </c>
      <c r="I25" s="9">
        <v>2015685.98</v>
      </c>
      <c r="J25" s="9">
        <v>1967693.46</v>
      </c>
      <c r="K25" s="9">
        <v>1919700.94</v>
      </c>
      <c r="L25" s="21">
        <v>1871708.41</v>
      </c>
      <c r="M25" s="74">
        <v>1823715.89</v>
      </c>
      <c r="N25" s="74">
        <v>1775723.37</v>
      </c>
      <c r="O25" s="74">
        <v>1727730.85</v>
      </c>
      <c r="P25" s="74">
        <v>1727731</v>
      </c>
    </row>
    <row r="26" spans="1:20">
      <c r="A26" s="8" t="s">
        <v>26</v>
      </c>
      <c r="B26" s="21"/>
      <c r="C26" s="63"/>
      <c r="D26" s="9">
        <v>2438948</v>
      </c>
      <c r="E26" s="9">
        <v>2762318.18</v>
      </c>
      <c r="F26" s="9">
        <v>2862780.61</v>
      </c>
      <c r="G26" s="9">
        <v>2690251</v>
      </c>
      <c r="H26" s="9">
        <v>2519296.4300000002</v>
      </c>
      <c r="I26" s="9">
        <v>2680360.23</v>
      </c>
      <c r="J26" s="9">
        <v>44856600.659999996</v>
      </c>
      <c r="K26" s="9">
        <v>44641338.659999996</v>
      </c>
      <c r="L26" s="21">
        <v>20060369.98</v>
      </c>
      <c r="M26" s="74">
        <v>27904963.52</v>
      </c>
      <c r="N26" s="74">
        <v>29331049.239999998</v>
      </c>
      <c r="O26" s="74">
        <v>29334976.239999998</v>
      </c>
      <c r="P26" s="74">
        <v>26532634</v>
      </c>
    </row>
    <row r="27" spans="1:20">
      <c r="A27" s="7" t="s">
        <v>27</v>
      </c>
      <c r="B27" s="55">
        <f t="shared" ref="B27:C27" si="8">B21+B17+B14+B8+B7+B4</f>
        <v>0</v>
      </c>
      <c r="C27" s="55">
        <f t="shared" si="8"/>
        <v>0</v>
      </c>
      <c r="D27" s="55">
        <f t="shared" ref="D27:P27" si="9">D21+D17+D14+D8+D7+D4</f>
        <v>8213397030.5</v>
      </c>
      <c r="E27" s="55">
        <f t="shared" si="9"/>
        <v>8226259108.0900002</v>
      </c>
      <c r="F27" s="55">
        <f t="shared" si="9"/>
        <v>8688812900.2299995</v>
      </c>
      <c r="G27" s="55">
        <f t="shared" si="9"/>
        <v>8676462010.3300018</v>
      </c>
      <c r="H27" s="55">
        <f t="shared" si="9"/>
        <v>8765457128.5599995</v>
      </c>
      <c r="I27" s="55">
        <f t="shared" si="9"/>
        <v>9195261615.0200005</v>
      </c>
      <c r="J27" s="55">
        <f t="shared" si="9"/>
        <v>8857345744.4899998</v>
      </c>
      <c r="K27" s="55">
        <f t="shared" si="9"/>
        <v>9365189088.75</v>
      </c>
      <c r="L27" s="55">
        <f t="shared" si="9"/>
        <v>9405174366.9399986</v>
      </c>
      <c r="M27" s="55">
        <f t="shared" si="9"/>
        <v>9411291441.4699993</v>
      </c>
      <c r="N27" s="55">
        <f t="shared" si="9"/>
        <v>9530735454.8899975</v>
      </c>
      <c r="O27" s="55">
        <f t="shared" si="9"/>
        <v>9896244397.1999989</v>
      </c>
      <c r="P27" s="55">
        <f t="shared" si="9"/>
        <v>9790508652</v>
      </c>
    </row>
    <row r="28" spans="1:20">
      <c r="A28" s="8" t="s">
        <v>28</v>
      </c>
      <c r="B28" s="21"/>
      <c r="C28" s="63"/>
      <c r="D28" s="9">
        <v>1163334267.0899999</v>
      </c>
      <c r="E28" s="9">
        <v>1112814641.1600001</v>
      </c>
      <c r="F28" s="9">
        <v>1098477431</v>
      </c>
      <c r="G28" s="9">
        <v>1066819562.63</v>
      </c>
      <c r="H28" s="9">
        <v>1073023058.53</v>
      </c>
      <c r="I28" s="9">
        <v>1082500169.4000001</v>
      </c>
      <c r="J28" s="9">
        <v>1110603325.4000001</v>
      </c>
      <c r="K28" s="9">
        <v>1115921317.27</v>
      </c>
      <c r="L28" s="21">
        <v>1082832142.96</v>
      </c>
      <c r="M28" s="74">
        <v>1125617090.21</v>
      </c>
      <c r="N28" s="74">
        <v>1186345367.6800001</v>
      </c>
      <c r="O28" s="74">
        <v>1118202007.6900001</v>
      </c>
      <c r="P28" s="74">
        <v>1118202008</v>
      </c>
      <c r="T28" s="37">
        <f>P27-9790508651</f>
        <v>1</v>
      </c>
    </row>
    <row r="29" spans="1:20">
      <c r="A29" s="8" t="s">
        <v>29</v>
      </c>
      <c r="B29" s="21"/>
      <c r="C29" s="63"/>
      <c r="D29" s="9">
        <v>210396467</v>
      </c>
      <c r="E29" s="9">
        <v>230045882</v>
      </c>
      <c r="F29" s="9">
        <v>245452654</v>
      </c>
      <c r="G29" s="9">
        <v>242260285</v>
      </c>
      <c r="H29" s="9">
        <v>248562038</v>
      </c>
      <c r="I29" s="9">
        <v>295289738</v>
      </c>
      <c r="J29" s="9">
        <v>222728676</v>
      </c>
      <c r="K29" s="9">
        <v>224263557</v>
      </c>
      <c r="L29" s="21">
        <v>216785812</v>
      </c>
      <c r="M29" s="74">
        <v>223745510</v>
      </c>
      <c r="N29" s="74">
        <v>182520647</v>
      </c>
      <c r="O29" s="74">
        <v>234212902</v>
      </c>
      <c r="P29" s="74">
        <v>234212902</v>
      </c>
    </row>
    <row r="30" spans="1:20">
      <c r="A30" s="8" t="s">
        <v>30</v>
      </c>
      <c r="B30" s="21"/>
      <c r="C30" s="63"/>
      <c r="D30" s="9">
        <v>3962285849.6999998</v>
      </c>
      <c r="E30" s="9">
        <v>3940434936.9299998</v>
      </c>
      <c r="F30" s="9">
        <v>3987746208.29</v>
      </c>
      <c r="G30" s="9">
        <v>4027478644.8200002</v>
      </c>
      <c r="H30" s="9">
        <v>4071236198.3400002</v>
      </c>
      <c r="I30" s="9">
        <v>4124006276.9499998</v>
      </c>
      <c r="J30" s="9">
        <v>4188466612.3400002</v>
      </c>
      <c r="K30" s="9">
        <v>4233245396.6500001</v>
      </c>
      <c r="L30" s="21">
        <v>4277152781.02</v>
      </c>
      <c r="M30" s="74">
        <v>4337236817</v>
      </c>
      <c r="N30" s="74">
        <v>4385987052.1099997</v>
      </c>
      <c r="O30" s="74">
        <v>4422132438.6199999</v>
      </c>
      <c r="P30" s="74">
        <v>4422132439</v>
      </c>
    </row>
    <row r="31" spans="1:20">
      <c r="A31" s="7" t="s">
        <v>31</v>
      </c>
      <c r="B31" s="55">
        <f t="shared" ref="B31:P31" si="10">SUM(B28:B30)</f>
        <v>0</v>
      </c>
      <c r="C31" s="55">
        <f t="shared" si="10"/>
        <v>0</v>
      </c>
      <c r="D31" s="55">
        <f t="shared" si="10"/>
        <v>5336016583.79</v>
      </c>
      <c r="E31" s="55">
        <f t="shared" si="10"/>
        <v>5283295460.0900002</v>
      </c>
      <c r="F31" s="55">
        <f t="shared" si="10"/>
        <v>5331676293.29</v>
      </c>
      <c r="G31" s="55">
        <f t="shared" si="10"/>
        <v>5336558492.4500008</v>
      </c>
      <c r="H31" s="55">
        <f t="shared" si="10"/>
        <v>5392821294.8699999</v>
      </c>
      <c r="I31" s="55">
        <f t="shared" si="10"/>
        <v>5501796184.3500004</v>
      </c>
      <c r="J31" s="55">
        <f t="shared" si="10"/>
        <v>5521798613.7399998</v>
      </c>
      <c r="K31" s="55">
        <f t="shared" si="10"/>
        <v>5573430270.9200001</v>
      </c>
      <c r="L31" s="55">
        <f t="shared" si="10"/>
        <v>5576770735.9799995</v>
      </c>
      <c r="M31" s="55">
        <f t="shared" si="10"/>
        <v>5686599417.21</v>
      </c>
      <c r="N31" s="55">
        <f t="shared" si="10"/>
        <v>5754853066.79</v>
      </c>
      <c r="O31" s="55">
        <f t="shared" si="10"/>
        <v>5774547348.3099995</v>
      </c>
      <c r="P31" s="55">
        <f t="shared" si="10"/>
        <v>5774547349</v>
      </c>
    </row>
    <row r="32" spans="1:20">
      <c r="A32" s="8" t="s">
        <v>32</v>
      </c>
      <c r="B32" s="21"/>
      <c r="C32" s="65"/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21">
        <v>0</v>
      </c>
      <c r="M32" s="74">
        <v>0</v>
      </c>
      <c r="N32" s="74">
        <v>0</v>
      </c>
      <c r="O32" s="74">
        <v>0</v>
      </c>
      <c r="P32" s="74">
        <v>30567374</v>
      </c>
    </row>
    <row r="33" spans="1:16">
      <c r="A33" s="8" t="s">
        <v>33</v>
      </c>
      <c r="B33" s="21"/>
      <c r="C33" s="65"/>
      <c r="D33" s="9">
        <v>524900000</v>
      </c>
      <c r="E33" s="9">
        <v>60600000</v>
      </c>
      <c r="F33" s="9">
        <v>111200000</v>
      </c>
      <c r="G33" s="9">
        <v>161500000</v>
      </c>
      <c r="H33" s="9">
        <v>209000000</v>
      </c>
      <c r="I33" s="9">
        <v>239300000</v>
      </c>
      <c r="J33" s="9">
        <v>309600000</v>
      </c>
      <c r="K33" s="9">
        <v>339900000</v>
      </c>
      <c r="L33" s="21">
        <v>500200000</v>
      </c>
      <c r="M33" s="74">
        <v>570500000</v>
      </c>
      <c r="N33" s="74">
        <v>583300000</v>
      </c>
      <c r="O33" s="74">
        <v>563300000</v>
      </c>
      <c r="P33" s="74">
        <v>573850000</v>
      </c>
    </row>
    <row r="34" spans="1:16">
      <c r="A34" s="8" t="s">
        <v>34</v>
      </c>
      <c r="B34" s="21"/>
      <c r="C34" s="65"/>
      <c r="D34" s="9">
        <v>71937015.599999994</v>
      </c>
      <c r="E34" s="9">
        <v>73893259.599999994</v>
      </c>
      <c r="F34" s="9">
        <v>75893259.599999994</v>
      </c>
      <c r="G34" s="9">
        <v>55184362.600000001</v>
      </c>
      <c r="H34" s="9">
        <v>57171512.600000001</v>
      </c>
      <c r="I34" s="9">
        <v>31242953.600000001</v>
      </c>
      <c r="J34" s="9">
        <v>33242953.600000001</v>
      </c>
      <c r="K34" s="9">
        <v>35234013.600000001</v>
      </c>
      <c r="L34" s="21">
        <v>30637762.600000001</v>
      </c>
      <c r="M34" s="74">
        <v>33714539.600000001</v>
      </c>
      <c r="N34" s="74">
        <v>39707029.600000001</v>
      </c>
      <c r="O34" s="74">
        <v>42117373.600000001</v>
      </c>
      <c r="P34" s="74">
        <v>38447563</v>
      </c>
    </row>
    <row r="35" spans="1:16">
      <c r="A35" s="8" t="s">
        <v>35</v>
      </c>
      <c r="B35" s="21"/>
      <c r="C35" s="65"/>
      <c r="D35" s="9">
        <v>1063920</v>
      </c>
      <c r="E35" s="9">
        <v>1196910</v>
      </c>
      <c r="F35" s="9">
        <v>1329900</v>
      </c>
      <c r="G35" s="9">
        <v>1462890</v>
      </c>
      <c r="H35" s="9">
        <v>1606110</v>
      </c>
      <c r="I35" s="9">
        <v>586520</v>
      </c>
      <c r="J35" s="9">
        <v>641080</v>
      </c>
      <c r="K35" s="9">
        <v>726330</v>
      </c>
      <c r="L35" s="21">
        <v>2687280</v>
      </c>
      <c r="M35" s="74">
        <v>763880</v>
      </c>
      <c r="N35" s="74">
        <v>763880</v>
      </c>
      <c r="O35" s="74">
        <v>411326</v>
      </c>
      <c r="P35" s="74"/>
    </row>
    <row r="36" spans="1:16">
      <c r="A36" s="8" t="s">
        <v>36</v>
      </c>
      <c r="B36" s="21"/>
      <c r="C36" s="63"/>
      <c r="D36" s="9">
        <v>277461264.80000001</v>
      </c>
      <c r="E36" s="9">
        <v>308443109.31</v>
      </c>
      <c r="F36" s="9">
        <v>322838152.68000001</v>
      </c>
      <c r="G36" s="9">
        <v>324134852.25</v>
      </c>
      <c r="H36" s="9">
        <v>302370976.25999999</v>
      </c>
      <c r="I36" s="9">
        <v>309647042.08999997</v>
      </c>
      <c r="J36" s="9">
        <v>317256184.48000002</v>
      </c>
      <c r="K36" s="9">
        <v>275815495.62</v>
      </c>
      <c r="L36" s="21">
        <v>284735587.44</v>
      </c>
      <c r="M36" s="74">
        <v>296714844.74000001</v>
      </c>
      <c r="N36" s="74">
        <v>257379245.66</v>
      </c>
      <c r="O36" s="74">
        <v>283070134.82999998</v>
      </c>
      <c r="P36" s="74">
        <v>208872348</v>
      </c>
    </row>
    <row r="37" spans="1:16">
      <c r="A37" s="8" t="s">
        <v>37</v>
      </c>
      <c r="B37" s="21"/>
      <c r="C37" s="65"/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21">
        <v>0</v>
      </c>
      <c r="M37" s="74">
        <v>0</v>
      </c>
      <c r="N37" s="74">
        <v>0</v>
      </c>
      <c r="O37" s="74">
        <v>0</v>
      </c>
      <c r="P37" s="74"/>
    </row>
    <row r="38" spans="1:16">
      <c r="A38" s="7" t="s">
        <v>38</v>
      </c>
      <c r="B38" s="55">
        <f t="shared" ref="B38:P38" si="11">SUM(B31:B37)</f>
        <v>0</v>
      </c>
      <c r="C38" s="55">
        <f t="shared" si="11"/>
        <v>0</v>
      </c>
      <c r="D38" s="55">
        <f t="shared" si="11"/>
        <v>6211378784.1900005</v>
      </c>
      <c r="E38" s="55">
        <f t="shared" si="11"/>
        <v>5727428739.000001</v>
      </c>
      <c r="F38" s="55">
        <f t="shared" si="11"/>
        <v>5842937605.5700006</v>
      </c>
      <c r="G38" s="55">
        <f t="shared" si="11"/>
        <v>5878840597.3000011</v>
      </c>
      <c r="H38" s="55">
        <f t="shared" si="11"/>
        <v>5962969893.7300005</v>
      </c>
      <c r="I38" s="55">
        <f t="shared" si="11"/>
        <v>6082572700.0400009</v>
      </c>
      <c r="J38" s="55">
        <f t="shared" si="11"/>
        <v>6182538831.8199997</v>
      </c>
      <c r="K38" s="55">
        <f t="shared" si="11"/>
        <v>6225106110.1400003</v>
      </c>
      <c r="L38" s="55">
        <f t="shared" si="11"/>
        <v>6395031366.0199995</v>
      </c>
      <c r="M38" s="55">
        <f t="shared" si="11"/>
        <v>6588292681.5500002</v>
      </c>
      <c r="N38" s="55">
        <f t="shared" si="11"/>
        <v>6636003222.0500002</v>
      </c>
      <c r="O38" s="55">
        <f t="shared" si="11"/>
        <v>6663446182.7399998</v>
      </c>
      <c r="P38" s="55">
        <f t="shared" si="11"/>
        <v>6626284634</v>
      </c>
    </row>
    <row r="39" spans="1:16">
      <c r="A39" s="8" t="s">
        <v>39</v>
      </c>
      <c r="B39" s="21"/>
      <c r="C39" s="63"/>
      <c r="D39" s="9">
        <v>288023154.89999998</v>
      </c>
      <c r="E39" s="9">
        <v>290093005.75</v>
      </c>
      <c r="F39" s="9">
        <v>291260314.88</v>
      </c>
      <c r="G39" s="9">
        <v>292910846.08999997</v>
      </c>
      <c r="H39" s="9">
        <v>294517465.63</v>
      </c>
      <c r="I39" s="9">
        <v>295284217.19999999</v>
      </c>
      <c r="J39" s="9">
        <v>312819362.79000002</v>
      </c>
      <c r="K39" s="9">
        <v>313684273.94999999</v>
      </c>
      <c r="L39" s="21">
        <v>315225495.63</v>
      </c>
      <c r="M39" s="74">
        <v>316525040.55000001</v>
      </c>
      <c r="N39" s="74">
        <v>317863348.52999997</v>
      </c>
      <c r="O39" s="74">
        <v>319300806.75</v>
      </c>
      <c r="P39" s="74">
        <v>319300807</v>
      </c>
    </row>
    <row r="40" spans="1:16">
      <c r="A40" s="8" t="s">
        <v>40</v>
      </c>
      <c r="B40" s="21"/>
      <c r="C40" s="65"/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21">
        <v>0</v>
      </c>
      <c r="M40" s="74">
        <v>0</v>
      </c>
      <c r="N40" s="74">
        <v>0</v>
      </c>
      <c r="O40" s="74">
        <v>0</v>
      </c>
      <c r="P40" s="74"/>
    </row>
    <row r="41" spans="1:16">
      <c r="A41" s="8" t="s">
        <v>41</v>
      </c>
      <c r="B41" s="21"/>
      <c r="C41" s="63"/>
      <c r="D41" s="9">
        <v>583713728.36000001</v>
      </c>
      <c r="E41" s="9">
        <v>583713728.36000001</v>
      </c>
      <c r="F41" s="9">
        <v>583713728.36000001</v>
      </c>
      <c r="G41" s="9">
        <v>583713728.36000001</v>
      </c>
      <c r="H41" s="9">
        <v>583713728.36000001</v>
      </c>
      <c r="I41" s="9">
        <v>583713728.36000001</v>
      </c>
      <c r="J41" s="9">
        <v>583713728.36000001</v>
      </c>
      <c r="K41" s="9">
        <v>583713728.36000001</v>
      </c>
      <c r="L41" s="21">
        <v>583713728.36000001</v>
      </c>
      <c r="M41" s="74">
        <v>583713728.36000001</v>
      </c>
      <c r="N41" s="74">
        <v>520736943.44</v>
      </c>
      <c r="O41" s="74">
        <v>451992798.44</v>
      </c>
      <c r="P41" s="74">
        <v>532285947</v>
      </c>
    </row>
    <row r="42" spans="1:16">
      <c r="A42" s="8" t="s">
        <v>42</v>
      </c>
      <c r="B42" s="21"/>
      <c r="C42" s="63"/>
      <c r="D42" s="9">
        <v>69314542.879999995</v>
      </c>
      <c r="E42" s="9">
        <v>88615150.239999995</v>
      </c>
      <c r="F42" s="9">
        <v>98514977.680000007</v>
      </c>
      <c r="G42" s="9">
        <v>148726553.61000001</v>
      </c>
      <c r="H42" s="9">
        <v>194530282.16999999</v>
      </c>
      <c r="I42" s="9">
        <v>269956438.75999999</v>
      </c>
      <c r="J42" s="9">
        <v>279443387.37</v>
      </c>
      <c r="K42" s="9">
        <v>316287637.32999998</v>
      </c>
      <c r="L42" s="21">
        <v>239558633.68000001</v>
      </c>
      <c r="M42" s="74">
        <v>192513584.21000001</v>
      </c>
      <c r="N42" s="74">
        <v>226213373.34999999</v>
      </c>
      <c r="O42" s="74">
        <v>344012953.44999999</v>
      </c>
      <c r="P42" s="74">
        <f>786133989-532285947</f>
        <v>253848042</v>
      </c>
    </row>
    <row r="43" spans="1:16">
      <c r="A43" s="8" t="s">
        <v>43</v>
      </c>
      <c r="B43" s="21"/>
      <c r="C43" s="63"/>
      <c r="D43" s="9">
        <v>347660931.89999998</v>
      </c>
      <c r="E43" s="9">
        <v>347660931.89999998</v>
      </c>
      <c r="F43" s="9">
        <v>347660931.89999998</v>
      </c>
      <c r="G43" s="9">
        <v>347660931.89999998</v>
      </c>
      <c r="H43" s="9">
        <v>347660931.89999998</v>
      </c>
      <c r="I43" s="9">
        <v>347660931.89999998</v>
      </c>
      <c r="J43" s="9">
        <v>347660931.89999998</v>
      </c>
      <c r="K43" s="9">
        <v>347660931.89999998</v>
      </c>
      <c r="L43" s="21">
        <v>347660931.89999998</v>
      </c>
      <c r="M43" s="74">
        <v>347660931.89999998</v>
      </c>
      <c r="N43" s="74">
        <v>357755533.45999998</v>
      </c>
      <c r="O43" s="74">
        <v>426499678.45999998</v>
      </c>
      <c r="P43" s="74">
        <v>480787154</v>
      </c>
    </row>
    <row r="44" spans="1:16">
      <c r="A44" s="8" t="s">
        <v>44</v>
      </c>
      <c r="B44" s="21"/>
      <c r="C44" s="63"/>
      <c r="D44" s="9">
        <v>1356972767</v>
      </c>
      <c r="E44" s="9">
        <v>1366972767</v>
      </c>
      <c r="F44" s="9">
        <v>1379472767</v>
      </c>
      <c r="G44" s="9">
        <v>1391972767</v>
      </c>
      <c r="H44" s="9">
        <v>1404472767</v>
      </c>
      <c r="I44" s="9">
        <v>1416972767</v>
      </c>
      <c r="J44" s="9">
        <v>1429563607.6500001</v>
      </c>
      <c r="K44" s="9">
        <v>1441972767</v>
      </c>
      <c r="L44" s="21">
        <v>1478972767</v>
      </c>
      <c r="M44" s="74">
        <v>1531972767</v>
      </c>
      <c r="N44" s="74">
        <v>1554972767</v>
      </c>
      <c r="O44" s="74">
        <v>1556972767</v>
      </c>
      <c r="P44" s="74">
        <f>1312972767+244000000</f>
        <v>1556972767</v>
      </c>
    </row>
    <row r="45" spans="1:16">
      <c r="A45" s="8" t="s">
        <v>45</v>
      </c>
      <c r="B45" s="21"/>
      <c r="C45" s="63"/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21029301.66</v>
      </c>
      <c r="J45" s="9">
        <v>21029301.66</v>
      </c>
      <c r="K45" s="9">
        <v>21029301.66</v>
      </c>
      <c r="L45" s="21">
        <v>21029301.66</v>
      </c>
      <c r="M45" s="74">
        <v>21029301.66</v>
      </c>
      <c r="N45" s="74">
        <v>21029301.66</v>
      </c>
      <c r="O45" s="74">
        <v>21029301.66</v>
      </c>
      <c r="P45" s="74">
        <v>21029302</v>
      </c>
    </row>
    <row r="46" spans="1:16">
      <c r="A46" s="8" t="s">
        <v>46</v>
      </c>
      <c r="B46" s="21"/>
      <c r="C46" s="66"/>
      <c r="D46" s="10">
        <v>-483952400.94999999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21">
        <v>0</v>
      </c>
      <c r="M46" s="74">
        <v>0</v>
      </c>
      <c r="N46" s="74">
        <v>0</v>
      </c>
      <c r="O46" s="74">
        <v>0</v>
      </c>
      <c r="P46" s="74"/>
    </row>
    <row r="47" spans="1:16">
      <c r="A47" s="8" t="s">
        <v>47</v>
      </c>
      <c r="B47" s="21"/>
      <c r="C47" s="66"/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21">
        <v>0</v>
      </c>
      <c r="M47" s="74">
        <v>0</v>
      </c>
      <c r="N47" s="74">
        <v>0</v>
      </c>
      <c r="O47" s="74">
        <v>0</v>
      </c>
      <c r="P47" s="74"/>
    </row>
    <row r="48" spans="1:16">
      <c r="A48" s="7" t="s">
        <v>48</v>
      </c>
      <c r="B48" s="55">
        <f t="shared" ref="B48:C48" si="12">SUM(B39:B47)</f>
        <v>0</v>
      </c>
      <c r="C48" s="55">
        <f t="shared" si="12"/>
        <v>0</v>
      </c>
      <c r="D48" s="55">
        <f t="shared" ref="D48:L48" si="13">SUM(D39:D47)</f>
        <v>2161732724.0900002</v>
      </c>
      <c r="E48" s="55">
        <f t="shared" si="13"/>
        <v>2677055583.25</v>
      </c>
      <c r="F48" s="55">
        <f t="shared" si="13"/>
        <v>2700622719.8200002</v>
      </c>
      <c r="G48" s="55">
        <f t="shared" si="13"/>
        <v>2764984826.96</v>
      </c>
      <c r="H48" s="55">
        <f t="shared" si="13"/>
        <v>2824895175.0599999</v>
      </c>
      <c r="I48" s="55">
        <f t="shared" si="13"/>
        <v>2934617384.8799996</v>
      </c>
      <c r="J48" s="55">
        <f t="shared" si="13"/>
        <v>2974230319.73</v>
      </c>
      <c r="K48" s="55">
        <f t="shared" si="13"/>
        <v>3024348640.1999998</v>
      </c>
      <c r="L48" s="55">
        <f t="shared" si="13"/>
        <v>2986160858.23</v>
      </c>
      <c r="M48" s="55">
        <f t="shared" ref="M48:P48" si="14">SUM(M39:M47)</f>
        <v>2993415353.6799998</v>
      </c>
      <c r="N48" s="55">
        <f t="shared" si="14"/>
        <v>2998571267.4399996</v>
      </c>
      <c r="O48" s="55">
        <f t="shared" si="14"/>
        <v>3119808305.7600002</v>
      </c>
      <c r="P48" s="55">
        <f t="shared" si="14"/>
        <v>3164224019</v>
      </c>
    </row>
    <row r="49" spans="1:16">
      <c r="A49" s="7" t="s">
        <v>49</v>
      </c>
      <c r="B49" s="55">
        <f t="shared" ref="B49:C49" si="15">B48+B38</f>
        <v>0</v>
      </c>
      <c r="C49" s="55">
        <f t="shared" si="15"/>
        <v>0</v>
      </c>
      <c r="D49" s="55">
        <f t="shared" ref="D49:L49" si="16">D48+D38</f>
        <v>8373111508.2800007</v>
      </c>
      <c r="E49" s="55">
        <f t="shared" si="16"/>
        <v>8404484322.250001</v>
      </c>
      <c r="F49" s="55">
        <f t="shared" si="16"/>
        <v>8543560325.3900013</v>
      </c>
      <c r="G49" s="55">
        <f t="shared" si="16"/>
        <v>8643825424.2600021</v>
      </c>
      <c r="H49" s="55">
        <f t="shared" si="16"/>
        <v>8787865068.7900009</v>
      </c>
      <c r="I49" s="55">
        <f t="shared" si="16"/>
        <v>9017190084.9200001</v>
      </c>
      <c r="J49" s="55">
        <f t="shared" si="16"/>
        <v>9156769151.5499992</v>
      </c>
      <c r="K49" s="55">
        <f t="shared" si="16"/>
        <v>9249454750.3400002</v>
      </c>
      <c r="L49" s="55">
        <f t="shared" si="16"/>
        <v>9381192224.25</v>
      </c>
      <c r="M49" s="55">
        <f t="shared" ref="M49:P49" si="17">M48+M38</f>
        <v>9581708035.2299995</v>
      </c>
      <c r="N49" s="55">
        <f t="shared" si="17"/>
        <v>9634574489.4899998</v>
      </c>
      <c r="O49" s="55">
        <f t="shared" si="17"/>
        <v>9783254488.5</v>
      </c>
      <c r="P49" s="55">
        <f t="shared" si="17"/>
        <v>9790508653</v>
      </c>
    </row>
    <row r="51" spans="1:16">
      <c r="B51" s="16"/>
      <c r="C51" s="16"/>
    </row>
  </sheetData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3"/>
  <sheetViews>
    <sheetView tabSelected="1" workbookViewId="0">
      <pane xSplit="1" ySplit="2" topLeftCell="O13" activePane="bottomRight" state="frozen"/>
      <selection pane="bottomRight" activeCell="P34" sqref="P34"/>
      <selection pane="bottomLeft" activeCell="A3" sqref="A3"/>
      <selection pane="topRight" activeCell="B1" sqref="B1"/>
    </sheetView>
  </sheetViews>
  <sheetFormatPr defaultRowHeight="14.45"/>
  <cols>
    <col min="1" max="1" width="41" customWidth="1"/>
    <col min="2" max="3" width="15.42578125" hidden="1" customWidth="1"/>
    <col min="4" max="4" width="15.42578125" customWidth="1"/>
    <col min="5" max="6" width="15.42578125" bestFit="1" customWidth="1"/>
    <col min="7" max="7" width="15.42578125" customWidth="1"/>
    <col min="8" max="9" width="14.42578125" customWidth="1"/>
    <col min="10" max="11" width="15.42578125" bestFit="1" customWidth="1"/>
    <col min="12" max="12" width="15.42578125" customWidth="1"/>
    <col min="13" max="15" width="16.140625" bestFit="1" customWidth="1"/>
    <col min="16" max="16" width="18.42578125" customWidth="1"/>
    <col min="17" max="17" width="11" bestFit="1" customWidth="1"/>
    <col min="18" max="24" width="11.85546875" bestFit="1" customWidth="1"/>
  </cols>
  <sheetData>
    <row r="1" spans="1:18" ht="15" customHeight="1">
      <c r="A1" s="78"/>
      <c r="B1" s="78"/>
      <c r="C1" s="78"/>
      <c r="D1" s="78"/>
      <c r="E1" s="78"/>
      <c r="F1" s="78"/>
      <c r="G1" s="78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spans="1:18">
      <c r="A2" s="11"/>
      <c r="B2" s="12" t="s">
        <v>1</v>
      </c>
      <c r="C2" s="12" t="s">
        <v>2</v>
      </c>
      <c r="D2" s="4">
        <v>44562</v>
      </c>
      <c r="E2" s="4">
        <v>44593</v>
      </c>
      <c r="F2" s="4">
        <v>44621</v>
      </c>
      <c r="G2" s="4">
        <v>44652</v>
      </c>
      <c r="H2" s="4">
        <v>44682</v>
      </c>
      <c r="I2" s="4">
        <v>44713</v>
      </c>
      <c r="J2" s="4">
        <v>44743</v>
      </c>
      <c r="K2" s="4">
        <v>44774</v>
      </c>
      <c r="L2" s="4">
        <v>44805</v>
      </c>
      <c r="M2" s="4">
        <v>44835</v>
      </c>
      <c r="N2" s="4">
        <v>44866</v>
      </c>
      <c r="O2" s="4">
        <v>44896</v>
      </c>
      <c r="P2" t="s">
        <v>3</v>
      </c>
    </row>
    <row r="3" spans="1:18">
      <c r="A3" s="13" t="s">
        <v>50</v>
      </c>
      <c r="B3" s="56">
        <f t="shared" ref="B3:C3" si="0">B4+B7</f>
        <v>0</v>
      </c>
      <c r="C3" s="56">
        <f t="shared" si="0"/>
        <v>0</v>
      </c>
      <c r="D3" s="56">
        <f t="shared" ref="D3:L3" si="1">D4+D7</f>
        <v>131691172.61999999</v>
      </c>
      <c r="E3" s="56">
        <f t="shared" si="1"/>
        <v>275608323.38</v>
      </c>
      <c r="F3" s="56">
        <f t="shared" si="1"/>
        <v>412958948.21000004</v>
      </c>
      <c r="G3" s="56">
        <f t="shared" si="1"/>
        <v>548066967.77999997</v>
      </c>
      <c r="H3" s="56">
        <f t="shared" si="1"/>
        <v>663235759.33000004</v>
      </c>
      <c r="I3" s="56">
        <f t="shared" si="1"/>
        <v>808288518.34000003</v>
      </c>
      <c r="J3" s="56">
        <f t="shared" si="1"/>
        <v>921447899.2700001</v>
      </c>
      <c r="K3" s="56">
        <f t="shared" si="1"/>
        <v>1044404649.1099999</v>
      </c>
      <c r="L3" s="56">
        <f t="shared" si="1"/>
        <v>1207111597.3800001</v>
      </c>
      <c r="M3" s="56">
        <f t="shared" ref="M3:P3" si="2">M4+M7</f>
        <v>1343079947.51</v>
      </c>
      <c r="N3" s="56">
        <f t="shared" si="2"/>
        <v>1480891155.04</v>
      </c>
      <c r="O3" s="56">
        <f t="shared" si="2"/>
        <v>1630072681.77</v>
      </c>
      <c r="P3" s="56">
        <f t="shared" si="2"/>
        <v>1740269835</v>
      </c>
    </row>
    <row r="4" spans="1:18">
      <c r="A4" s="13" t="s">
        <v>51</v>
      </c>
      <c r="B4" s="56">
        <f t="shared" ref="B4:C4" si="3">SUM(B5:B6)</f>
        <v>0</v>
      </c>
      <c r="C4" s="56">
        <f t="shared" si="3"/>
        <v>0</v>
      </c>
      <c r="D4" s="56">
        <f t="shared" ref="D4:L4" si="4">SUM(D5:D6)</f>
        <v>131641922.61999999</v>
      </c>
      <c r="E4" s="56">
        <f t="shared" si="4"/>
        <v>275459573.38</v>
      </c>
      <c r="F4" s="56">
        <f t="shared" si="4"/>
        <v>412741198.21000004</v>
      </c>
      <c r="G4" s="56">
        <f t="shared" si="4"/>
        <v>547791717.77999997</v>
      </c>
      <c r="H4" s="56">
        <f t="shared" si="4"/>
        <v>662889509.33000004</v>
      </c>
      <c r="I4" s="56">
        <f t="shared" si="4"/>
        <v>807889268.34000003</v>
      </c>
      <c r="J4" s="56">
        <f t="shared" si="4"/>
        <v>920992149.2700001</v>
      </c>
      <c r="K4" s="56">
        <f t="shared" si="4"/>
        <v>1043915999.1099999</v>
      </c>
      <c r="L4" s="56">
        <f t="shared" si="4"/>
        <v>1206542147.3800001</v>
      </c>
      <c r="M4" s="56">
        <f t="shared" ref="M4:P4" si="5">SUM(M5:M6)</f>
        <v>1342435397.51</v>
      </c>
      <c r="N4" s="56">
        <f t="shared" si="5"/>
        <v>1480198855.04</v>
      </c>
      <c r="O4" s="56">
        <f t="shared" si="5"/>
        <v>1629298981.77</v>
      </c>
      <c r="P4" s="56">
        <f t="shared" si="5"/>
        <v>1614234972</v>
      </c>
    </row>
    <row r="5" spans="1:18">
      <c r="A5" s="14" t="s">
        <v>52</v>
      </c>
      <c r="B5" s="23"/>
      <c r="C5" s="63"/>
      <c r="D5" s="23">
        <v>128931920.52</v>
      </c>
      <c r="E5" s="23">
        <v>269684673.88</v>
      </c>
      <c r="F5" s="23">
        <v>401333622.11000001</v>
      </c>
      <c r="G5" s="23">
        <v>533807056.68000001</v>
      </c>
      <c r="H5" s="23">
        <v>646150311.73000002</v>
      </c>
      <c r="I5" s="23">
        <v>788334079.84000003</v>
      </c>
      <c r="J5" s="23">
        <v>898705063.57000005</v>
      </c>
      <c r="K5" s="23">
        <v>1017911709.3099999</v>
      </c>
      <c r="L5" s="23">
        <v>1177381789.47</v>
      </c>
      <c r="M5" s="74">
        <v>1310447678.76</v>
      </c>
      <c r="N5" s="74">
        <v>1445148147.22</v>
      </c>
      <c r="O5" s="74">
        <v>1586874847.9100001</v>
      </c>
      <c r="P5" s="74">
        <v>1586970740</v>
      </c>
    </row>
    <row r="6" spans="1:18">
      <c r="A6" s="14" t="s">
        <v>53</v>
      </c>
      <c r="B6" s="23"/>
      <c r="C6" s="66"/>
      <c r="D6" s="23">
        <v>2710002.1</v>
      </c>
      <c r="E6" s="23">
        <v>5774899.5</v>
      </c>
      <c r="F6" s="23">
        <v>11407576.1</v>
      </c>
      <c r="G6" s="23">
        <v>13984661.1</v>
      </c>
      <c r="H6" s="23">
        <v>16739197.6</v>
      </c>
      <c r="I6" s="23">
        <v>19555188.5</v>
      </c>
      <c r="J6" s="23">
        <v>22287085.699999999</v>
      </c>
      <c r="K6" s="23">
        <v>26004289.800000001</v>
      </c>
      <c r="L6" s="23">
        <v>29160357.91</v>
      </c>
      <c r="M6" s="74">
        <v>31987718.75</v>
      </c>
      <c r="N6" s="74">
        <v>35050707.82</v>
      </c>
      <c r="O6" s="74">
        <v>42424133.859999999</v>
      </c>
      <c r="P6" s="74">
        <v>27264232</v>
      </c>
    </row>
    <row r="7" spans="1:18">
      <c r="A7" s="13" t="s">
        <v>54</v>
      </c>
      <c r="B7" s="56">
        <f>SUM(B8:B11)</f>
        <v>0</v>
      </c>
      <c r="C7" s="56">
        <f>SUM(C8:C11)</f>
        <v>0</v>
      </c>
      <c r="D7" s="56">
        <f t="shared" ref="D7:P7" si="6">SUM(D8:D11)</f>
        <v>49250</v>
      </c>
      <c r="E7" s="56">
        <f t="shared" si="6"/>
        <v>148750</v>
      </c>
      <c r="F7" s="56">
        <f t="shared" si="6"/>
        <v>217750</v>
      </c>
      <c r="G7" s="56">
        <f t="shared" si="6"/>
        <v>275250</v>
      </c>
      <c r="H7" s="56">
        <f t="shared" si="6"/>
        <v>346250</v>
      </c>
      <c r="I7" s="56">
        <f t="shared" si="6"/>
        <v>399250</v>
      </c>
      <c r="J7" s="56">
        <f t="shared" si="6"/>
        <v>455750</v>
      </c>
      <c r="K7" s="56">
        <f t="shared" si="6"/>
        <v>488650</v>
      </c>
      <c r="L7" s="56">
        <f t="shared" si="6"/>
        <v>569450</v>
      </c>
      <c r="M7" s="56">
        <f t="shared" si="6"/>
        <v>644550</v>
      </c>
      <c r="N7" s="56">
        <f t="shared" si="6"/>
        <v>692300</v>
      </c>
      <c r="O7" s="56">
        <f t="shared" si="6"/>
        <v>773700</v>
      </c>
      <c r="P7" s="56">
        <f t="shared" si="6"/>
        <v>126034863</v>
      </c>
    </row>
    <row r="8" spans="1:18">
      <c r="A8" s="14" t="s">
        <v>55</v>
      </c>
      <c r="B8" s="23"/>
      <c r="C8" s="67"/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74">
        <v>0</v>
      </c>
      <c r="N8" s="74">
        <v>0</v>
      </c>
      <c r="O8" s="74">
        <v>0</v>
      </c>
      <c r="P8" s="74"/>
    </row>
    <row r="9" spans="1:18">
      <c r="A9" s="14" t="s">
        <v>56</v>
      </c>
      <c r="B9" s="23"/>
      <c r="C9" s="68"/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74">
        <v>0</v>
      </c>
      <c r="N9" s="74">
        <v>0</v>
      </c>
      <c r="O9" s="74">
        <v>0</v>
      </c>
      <c r="P9" s="74"/>
    </row>
    <row r="10" spans="1:18">
      <c r="A10" s="14" t="s">
        <v>57</v>
      </c>
      <c r="B10" s="23"/>
      <c r="C10" s="63"/>
      <c r="D10" s="23">
        <v>49250</v>
      </c>
      <c r="E10" s="23">
        <v>148750</v>
      </c>
      <c r="F10" s="23">
        <v>217750</v>
      </c>
      <c r="G10" s="23">
        <v>275250</v>
      </c>
      <c r="H10" s="23">
        <v>346250</v>
      </c>
      <c r="I10" s="23">
        <v>399250</v>
      </c>
      <c r="J10" s="23">
        <v>455750</v>
      </c>
      <c r="K10" s="23">
        <v>488650</v>
      </c>
      <c r="L10" s="23">
        <v>569450</v>
      </c>
      <c r="M10" s="74">
        <v>644550</v>
      </c>
      <c r="N10" s="74">
        <v>692300</v>
      </c>
      <c r="O10" s="74">
        <v>773700</v>
      </c>
      <c r="P10" s="74">
        <v>126034863</v>
      </c>
    </row>
    <row r="11" spans="1:18" s="25" customFormat="1">
      <c r="A11" s="13" t="s">
        <v>58</v>
      </c>
      <c r="B11" s="22"/>
      <c r="C11" s="64"/>
      <c r="D11" s="77"/>
      <c r="E11" s="77"/>
      <c r="F11" s="77"/>
      <c r="G11" s="77"/>
      <c r="H11" s="77"/>
      <c r="I11" s="77"/>
      <c r="J11" s="77"/>
      <c r="K11" s="77"/>
      <c r="L11" s="77"/>
      <c r="M11" s="76"/>
      <c r="N11" s="76"/>
      <c r="O11" s="76"/>
      <c r="P11" s="76"/>
    </row>
    <row r="12" spans="1:18">
      <c r="A12" s="13" t="s">
        <v>59</v>
      </c>
      <c r="B12" s="56">
        <f t="shared" ref="B12:P12" si="7">SUM(B13:B18)</f>
        <v>0</v>
      </c>
      <c r="C12" s="56">
        <f t="shared" si="7"/>
        <v>0</v>
      </c>
      <c r="D12" s="56">
        <f t="shared" si="7"/>
        <v>16287723.130000001</v>
      </c>
      <c r="E12" s="56">
        <f t="shared" si="7"/>
        <v>89210236.260000005</v>
      </c>
      <c r="F12" s="56">
        <f t="shared" si="7"/>
        <v>152824351.17000002</v>
      </c>
      <c r="G12" s="56">
        <f t="shared" si="7"/>
        <v>219429898.23999998</v>
      </c>
      <c r="H12" s="56">
        <f t="shared" si="7"/>
        <v>281760280.26999998</v>
      </c>
      <c r="I12" s="56">
        <f t="shared" si="7"/>
        <v>325919264.76999998</v>
      </c>
      <c r="J12" s="56">
        <f t="shared" si="7"/>
        <v>414072525.04000002</v>
      </c>
      <c r="K12" s="56">
        <f t="shared" si="7"/>
        <v>457731808.69000006</v>
      </c>
      <c r="L12" s="56">
        <f t="shared" si="7"/>
        <v>655638663.1500001</v>
      </c>
      <c r="M12" s="56">
        <f t="shared" si="7"/>
        <v>788436541.70000005</v>
      </c>
      <c r="N12" s="56">
        <f t="shared" si="7"/>
        <v>825353673.97000003</v>
      </c>
      <c r="O12" s="56">
        <f t="shared" si="7"/>
        <v>821067364.78999996</v>
      </c>
      <c r="P12" s="56">
        <f t="shared" si="7"/>
        <v>549923210</v>
      </c>
    </row>
    <row r="13" spans="1:18">
      <c r="A13" s="14" t="s">
        <v>60</v>
      </c>
      <c r="B13" s="23"/>
      <c r="C13" s="63"/>
      <c r="D13" s="23">
        <v>1078750.78</v>
      </c>
      <c r="E13" s="23">
        <v>63771490.310000002</v>
      </c>
      <c r="F13" s="23">
        <v>114868130.62</v>
      </c>
      <c r="G13" s="23">
        <v>165734863.69</v>
      </c>
      <c r="H13" s="23">
        <v>215264356.81999999</v>
      </c>
      <c r="I13" s="23">
        <v>246340984.31999999</v>
      </c>
      <c r="J13" s="23">
        <v>318963278.58999997</v>
      </c>
      <c r="K13" s="23">
        <v>349923971.24000001</v>
      </c>
      <c r="L13" s="23">
        <v>510817500.69999999</v>
      </c>
      <c r="M13" s="74">
        <v>582490254.85000002</v>
      </c>
      <c r="N13" s="74">
        <v>596049203.51999998</v>
      </c>
      <c r="O13" s="74">
        <v>587309015.63999999</v>
      </c>
      <c r="P13" s="74">
        <v>531164861</v>
      </c>
    </row>
    <row r="14" spans="1:18">
      <c r="A14" s="14" t="s">
        <v>61</v>
      </c>
      <c r="B14" s="23"/>
      <c r="C14" s="66"/>
      <c r="D14" s="23">
        <v>192161.35</v>
      </c>
      <c r="E14" s="23">
        <v>192161.35</v>
      </c>
      <c r="F14" s="23">
        <v>192161.35</v>
      </c>
      <c r="G14" s="23">
        <v>192161.35</v>
      </c>
      <c r="H14" s="23">
        <v>192161.35</v>
      </c>
      <c r="I14" s="23">
        <v>192161.35</v>
      </c>
      <c r="J14" s="23">
        <v>192161.35</v>
      </c>
      <c r="K14" s="23">
        <v>192161.35</v>
      </c>
      <c r="L14" s="23">
        <v>192161.35</v>
      </c>
      <c r="M14" s="74">
        <v>192161.35</v>
      </c>
      <c r="N14" s="74">
        <v>192161.35</v>
      </c>
      <c r="O14" s="74">
        <v>192161.35</v>
      </c>
      <c r="P14" s="74"/>
    </row>
    <row r="15" spans="1:18">
      <c r="A15" s="14" t="s">
        <v>62</v>
      </c>
      <c r="B15" s="23"/>
      <c r="C15" s="66"/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74">
        <v>0</v>
      </c>
      <c r="N15" s="74">
        <v>0</v>
      </c>
      <c r="O15" s="74">
        <v>0</v>
      </c>
      <c r="P15" s="74"/>
    </row>
    <row r="16" spans="1:18">
      <c r="A16" s="14" t="s">
        <v>63</v>
      </c>
      <c r="B16" s="23"/>
      <c r="C16" s="63"/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74">
        <v>0</v>
      </c>
      <c r="N16" s="74">
        <v>0</v>
      </c>
      <c r="O16" s="74">
        <v>0</v>
      </c>
      <c r="P16" s="74"/>
    </row>
    <row r="17" spans="1:16">
      <c r="A17" s="14" t="s">
        <v>64</v>
      </c>
      <c r="B17" s="23"/>
      <c r="C17" s="66"/>
      <c r="D17" s="23">
        <v>16811</v>
      </c>
      <c r="E17" s="23">
        <v>246584.6</v>
      </c>
      <c r="F17" s="23">
        <v>264059.2</v>
      </c>
      <c r="G17" s="23">
        <v>3502873.2</v>
      </c>
      <c r="H17" s="23">
        <v>3803762.1</v>
      </c>
      <c r="I17" s="23">
        <v>4386119.0999999996</v>
      </c>
      <c r="J17" s="23">
        <v>7417085.0999999996</v>
      </c>
      <c r="K17" s="23">
        <v>7615676.0999999996</v>
      </c>
      <c r="L17" s="23">
        <v>7629001.0999999996</v>
      </c>
      <c r="M17" s="74">
        <v>15754125.5</v>
      </c>
      <c r="N17" s="74">
        <v>16112309.1</v>
      </c>
      <c r="O17" s="74">
        <v>18566187.800000001</v>
      </c>
      <c r="P17" s="74">
        <v>18758349</v>
      </c>
    </row>
    <row r="18" spans="1:16">
      <c r="A18" s="14" t="s">
        <v>65</v>
      </c>
      <c r="B18" s="23"/>
      <c r="C18" s="66"/>
      <c r="D18" s="23">
        <v>15000000</v>
      </c>
      <c r="E18" s="23">
        <v>25000000</v>
      </c>
      <c r="F18" s="23">
        <v>37500000</v>
      </c>
      <c r="G18" s="23">
        <v>50000000</v>
      </c>
      <c r="H18" s="23">
        <v>62500000</v>
      </c>
      <c r="I18" s="23">
        <v>75000000</v>
      </c>
      <c r="J18" s="23">
        <v>87500000</v>
      </c>
      <c r="K18" s="23">
        <v>100000000</v>
      </c>
      <c r="L18" s="23">
        <v>137000000</v>
      </c>
      <c r="M18" s="74">
        <v>190000000</v>
      </c>
      <c r="N18" s="74">
        <v>213000000</v>
      </c>
      <c r="O18" s="74">
        <v>215000000</v>
      </c>
      <c r="P18" s="74"/>
    </row>
    <row r="19" spans="1:16">
      <c r="A19" s="13" t="s">
        <v>66</v>
      </c>
      <c r="B19" s="56">
        <f>B3-B12</f>
        <v>0</v>
      </c>
      <c r="C19" s="56">
        <f>C3-C12</f>
        <v>0</v>
      </c>
      <c r="D19" s="56">
        <f t="shared" ref="D19:L19" si="8">D3-D12</f>
        <v>115403449.48999999</v>
      </c>
      <c r="E19" s="56">
        <f t="shared" si="8"/>
        <v>186398087.12</v>
      </c>
      <c r="F19" s="56">
        <f t="shared" si="8"/>
        <v>260134597.04000002</v>
      </c>
      <c r="G19" s="56">
        <f t="shared" si="8"/>
        <v>328637069.53999996</v>
      </c>
      <c r="H19" s="56">
        <f t="shared" si="8"/>
        <v>381475479.06000006</v>
      </c>
      <c r="I19" s="56">
        <f t="shared" si="8"/>
        <v>482369253.57000005</v>
      </c>
      <c r="J19" s="56">
        <f t="shared" si="8"/>
        <v>507375374.23000008</v>
      </c>
      <c r="K19" s="56">
        <f t="shared" si="8"/>
        <v>586672840.41999984</v>
      </c>
      <c r="L19" s="56">
        <f t="shared" si="8"/>
        <v>551472934.23000002</v>
      </c>
      <c r="M19" s="56">
        <f t="shared" ref="M19:P19" si="9">M3-M12</f>
        <v>554643405.80999994</v>
      </c>
      <c r="N19" s="56">
        <f t="shared" si="9"/>
        <v>655537481.06999993</v>
      </c>
      <c r="O19" s="56">
        <f t="shared" si="9"/>
        <v>809005316.98000002</v>
      </c>
      <c r="P19" s="56">
        <f t="shared" si="9"/>
        <v>1190346625</v>
      </c>
    </row>
    <row r="20" spans="1:16">
      <c r="A20" s="13" t="s">
        <v>67</v>
      </c>
      <c r="B20" s="56">
        <f t="shared" ref="B20:C20" si="10">B21-B22</f>
        <v>0</v>
      </c>
      <c r="C20" s="56">
        <f t="shared" si="10"/>
        <v>0</v>
      </c>
      <c r="D20" s="56">
        <f t="shared" ref="D20:L20" si="11">D21-D22</f>
        <v>15000000</v>
      </c>
      <c r="E20" s="56">
        <f t="shared" si="11"/>
        <v>34497982</v>
      </c>
      <c r="F20" s="56">
        <f t="shared" si="11"/>
        <v>76861563.5</v>
      </c>
      <c r="G20" s="56">
        <f t="shared" si="11"/>
        <v>76861563.5</v>
      </c>
      <c r="H20" s="56">
        <f t="shared" si="11"/>
        <v>91453794.799999997</v>
      </c>
      <c r="I20" s="56">
        <f t="shared" si="11"/>
        <v>101453794.8</v>
      </c>
      <c r="J20" s="56">
        <f t="shared" si="11"/>
        <v>101453794.8</v>
      </c>
      <c r="K20" s="56">
        <f t="shared" si="11"/>
        <v>131453794.8</v>
      </c>
      <c r="L20" s="56">
        <f t="shared" si="11"/>
        <v>155453794.80000001</v>
      </c>
      <c r="M20" s="56">
        <f t="shared" ref="M20:P20" si="12">M21-M22</f>
        <v>175453794.80000001</v>
      </c>
      <c r="N20" s="56">
        <f t="shared" si="12"/>
        <v>210453794.80000001</v>
      </c>
      <c r="O20" s="56">
        <f t="shared" si="12"/>
        <v>210453794.80000001</v>
      </c>
      <c r="P20" s="56">
        <f t="shared" si="12"/>
        <v>0</v>
      </c>
    </row>
    <row r="21" spans="1:16">
      <c r="A21" s="14" t="s">
        <v>68</v>
      </c>
      <c r="B21" s="23"/>
      <c r="C21" s="63"/>
      <c r="D21" s="23">
        <v>15000000</v>
      </c>
      <c r="E21" s="23">
        <v>34497982</v>
      </c>
      <c r="F21" s="23">
        <v>76861563.5</v>
      </c>
      <c r="G21" s="23">
        <v>76861563.5</v>
      </c>
      <c r="H21" s="23">
        <v>91453794.799999997</v>
      </c>
      <c r="I21" s="23">
        <v>101453794.8</v>
      </c>
      <c r="J21" s="23">
        <v>101453794.8</v>
      </c>
      <c r="K21" s="23">
        <v>131453794.8</v>
      </c>
      <c r="L21" s="23">
        <v>155453794.80000001</v>
      </c>
      <c r="M21" s="74">
        <v>175453794.80000001</v>
      </c>
      <c r="N21" s="74">
        <v>210453794.80000001</v>
      </c>
      <c r="O21" s="74">
        <v>210453794.80000001</v>
      </c>
      <c r="P21" s="74"/>
    </row>
    <row r="22" spans="1:16">
      <c r="A22" s="14" t="s">
        <v>69</v>
      </c>
      <c r="B22" s="23"/>
      <c r="C22" s="69"/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74">
        <v>0</v>
      </c>
      <c r="N22" s="74">
        <v>0</v>
      </c>
      <c r="O22" s="74">
        <v>0</v>
      </c>
      <c r="P22" s="74"/>
    </row>
    <row r="23" spans="1:16">
      <c r="A23" s="13" t="s">
        <v>70</v>
      </c>
      <c r="B23" s="56">
        <f t="shared" ref="B23:C23" si="13">SUM(B24:B28)</f>
        <v>0</v>
      </c>
      <c r="C23" s="56">
        <f t="shared" si="13"/>
        <v>0</v>
      </c>
      <c r="D23" s="56">
        <f t="shared" ref="D23:P23" si="14">SUM(D24:D28)</f>
        <v>41657631.18</v>
      </c>
      <c r="E23" s="56">
        <f t="shared" si="14"/>
        <v>82994717.760000005</v>
      </c>
      <c r="F23" s="56">
        <f t="shared" si="14"/>
        <v>114199332.51000001</v>
      </c>
      <c r="G23" s="56">
        <f t="shared" si="14"/>
        <v>140931777.75999999</v>
      </c>
      <c r="H23" s="56">
        <f t="shared" si="14"/>
        <v>142490810.88</v>
      </c>
      <c r="I23" s="56">
        <f t="shared" si="14"/>
        <v>167431127.13</v>
      </c>
      <c r="J23" s="56">
        <f t="shared" si="14"/>
        <v>190813475.48000002</v>
      </c>
      <c r="K23" s="56">
        <f t="shared" si="14"/>
        <v>212261060.25999999</v>
      </c>
      <c r="L23" s="56">
        <f t="shared" si="14"/>
        <v>236889532.30999997</v>
      </c>
      <c r="M23" s="56">
        <f t="shared" si="14"/>
        <v>278514048.94</v>
      </c>
      <c r="N23" s="56">
        <f t="shared" si="14"/>
        <v>319489740.98000002</v>
      </c>
      <c r="O23" s="56">
        <f t="shared" si="14"/>
        <v>364734725.88999999</v>
      </c>
      <c r="P23" s="56">
        <f t="shared" si="14"/>
        <v>535188521</v>
      </c>
    </row>
    <row r="24" spans="1:16">
      <c r="A24" s="14" t="s">
        <v>71</v>
      </c>
      <c r="B24" s="23"/>
      <c r="C24" s="63"/>
      <c r="D24" s="23">
        <v>8744548.5999999996</v>
      </c>
      <c r="E24" s="23">
        <v>16591972.199999999</v>
      </c>
      <c r="F24" s="23">
        <v>28439722.699999999</v>
      </c>
      <c r="G24" s="23">
        <v>37866177.200000003</v>
      </c>
      <c r="H24" s="23">
        <v>47042303.200000003</v>
      </c>
      <c r="I24" s="23">
        <v>56971771.200000003</v>
      </c>
      <c r="J24" s="23">
        <v>66139371.200000003</v>
      </c>
      <c r="K24" s="23">
        <v>75791291.299999997</v>
      </c>
      <c r="L24" s="23">
        <v>87297654.200000003</v>
      </c>
      <c r="M24" s="74">
        <v>96708196.200000003</v>
      </c>
      <c r="N24" s="74">
        <v>110004142.2</v>
      </c>
      <c r="O24" s="74">
        <v>129049436.2</v>
      </c>
      <c r="P24" s="74">
        <v>129049436</v>
      </c>
    </row>
    <row r="25" spans="1:16">
      <c r="A25" s="14" t="s">
        <v>72</v>
      </c>
      <c r="B25" s="23"/>
      <c r="C25" s="63"/>
      <c r="D25" s="23">
        <v>9259601</v>
      </c>
      <c r="E25" s="23">
        <v>13069124</v>
      </c>
      <c r="F25" s="23">
        <v>15723044</v>
      </c>
      <c r="G25" s="23">
        <v>18323696</v>
      </c>
      <c r="H25" s="23">
        <v>19813523</v>
      </c>
      <c r="I25" s="23">
        <v>21210075</v>
      </c>
      <c r="J25" s="23">
        <v>22050075</v>
      </c>
      <c r="K25" s="23">
        <v>23014618</v>
      </c>
      <c r="L25" s="23">
        <v>23674618</v>
      </c>
      <c r="M25" s="74">
        <v>30943634</v>
      </c>
      <c r="N25" s="74">
        <v>38759089</v>
      </c>
      <c r="O25" s="74">
        <v>42931553</v>
      </c>
      <c r="P25" s="74">
        <v>42931553</v>
      </c>
    </row>
    <row r="26" spans="1:16">
      <c r="A26" s="14" t="s">
        <v>73</v>
      </c>
      <c r="B26" s="23"/>
      <c r="C26" s="63"/>
      <c r="D26" s="23">
        <v>4208495</v>
      </c>
      <c r="E26" s="23">
        <v>6668798</v>
      </c>
      <c r="F26" s="23">
        <v>8933219</v>
      </c>
      <c r="G26" s="23">
        <v>10832558</v>
      </c>
      <c r="H26" s="23">
        <v>13854589</v>
      </c>
      <c r="I26" s="23">
        <v>16619416</v>
      </c>
      <c r="J26" s="23">
        <v>21468563</v>
      </c>
      <c r="K26" s="23">
        <v>24749083</v>
      </c>
      <c r="L26" s="23">
        <v>27321135</v>
      </c>
      <c r="M26" s="74">
        <v>32232632.289999999</v>
      </c>
      <c r="N26" s="74">
        <v>37936132.280000001</v>
      </c>
      <c r="O26" s="74">
        <v>43308033.890000001</v>
      </c>
      <c r="P26" s="74">
        <v>43308034</v>
      </c>
    </row>
    <row r="27" spans="1:16">
      <c r="A27" s="14" t="s">
        <v>74</v>
      </c>
      <c r="B27" s="23"/>
      <c r="C27" s="63"/>
      <c r="D27" s="23">
        <v>5568336.3300000001</v>
      </c>
      <c r="E27" s="23">
        <v>11270109.310000001</v>
      </c>
      <c r="F27" s="23">
        <v>18769524.559999999</v>
      </c>
      <c r="G27" s="23">
        <v>23716940.609999999</v>
      </c>
      <c r="H27" s="23">
        <v>3836973.23</v>
      </c>
      <c r="I27" s="23">
        <v>6307502.4800000004</v>
      </c>
      <c r="J27" s="23">
        <v>7360737.8300000001</v>
      </c>
      <c r="K27" s="23">
        <v>7769538.1100000003</v>
      </c>
      <c r="L27" s="23">
        <v>8724728.2599999998</v>
      </c>
      <c r="M27" s="74">
        <v>9999831.5999999996</v>
      </c>
      <c r="N27" s="74">
        <v>12265726.65</v>
      </c>
      <c r="O27" s="74">
        <v>15640553.15</v>
      </c>
      <c r="P27" s="74">
        <v>226094348</v>
      </c>
    </row>
    <row r="28" spans="1:16">
      <c r="A28" s="14" t="s">
        <v>75</v>
      </c>
      <c r="B28" s="23"/>
      <c r="C28" s="63"/>
      <c r="D28" s="23">
        <v>13876650.25</v>
      </c>
      <c r="E28" s="23">
        <v>35394714.25</v>
      </c>
      <c r="F28" s="23">
        <v>42333822.25</v>
      </c>
      <c r="G28" s="23">
        <v>50192405.950000003</v>
      </c>
      <c r="H28" s="23">
        <v>57943422.450000003</v>
      </c>
      <c r="I28" s="23">
        <v>66322362.450000003</v>
      </c>
      <c r="J28" s="23">
        <v>73794728.450000003</v>
      </c>
      <c r="K28" s="23">
        <v>80936529.849999994</v>
      </c>
      <c r="L28" s="23">
        <v>89871396.849999994</v>
      </c>
      <c r="M28" s="74">
        <v>108629754.84999999</v>
      </c>
      <c r="N28" s="74">
        <v>120524650.84999999</v>
      </c>
      <c r="O28" s="74">
        <v>133805149.65000001</v>
      </c>
      <c r="P28" s="74">
        <v>93805150</v>
      </c>
    </row>
    <row r="29" spans="1:16">
      <c r="A29" s="13" t="s">
        <v>76</v>
      </c>
      <c r="B29" s="56">
        <f>B19-B20-B23</f>
        <v>0</v>
      </c>
      <c r="C29" s="56">
        <f>C19-C20-C23</f>
        <v>0</v>
      </c>
      <c r="D29" s="56">
        <f t="shared" ref="D29:L29" si="15">D19-D20-D23</f>
        <v>58745818.309999995</v>
      </c>
      <c r="E29" s="56">
        <f t="shared" si="15"/>
        <v>68905387.359999999</v>
      </c>
      <c r="F29" s="56">
        <f t="shared" si="15"/>
        <v>69073701.030000016</v>
      </c>
      <c r="G29" s="56">
        <f t="shared" si="15"/>
        <v>110843728.27999997</v>
      </c>
      <c r="H29" s="56">
        <f t="shared" si="15"/>
        <v>147530873.38000005</v>
      </c>
      <c r="I29" s="56">
        <f t="shared" si="15"/>
        <v>213484331.64000005</v>
      </c>
      <c r="J29" s="56">
        <f t="shared" si="15"/>
        <v>215108103.95000005</v>
      </c>
      <c r="K29" s="56">
        <f t="shared" si="15"/>
        <v>242957985.35999984</v>
      </c>
      <c r="L29" s="56">
        <f t="shared" si="15"/>
        <v>159129607.12000003</v>
      </c>
      <c r="M29" s="56">
        <f t="shared" ref="M29:P29" si="16">M19-M20-M23</f>
        <v>100675562.06999993</v>
      </c>
      <c r="N29" s="56">
        <f t="shared" si="16"/>
        <v>125593945.2899999</v>
      </c>
      <c r="O29" s="56">
        <f t="shared" si="16"/>
        <v>233816796.29000008</v>
      </c>
      <c r="P29" s="56">
        <f t="shared" si="16"/>
        <v>655158104</v>
      </c>
    </row>
    <row r="30" spans="1:16">
      <c r="A30" s="13" t="s">
        <v>77</v>
      </c>
      <c r="B30" s="56">
        <f>B31-B32</f>
        <v>0</v>
      </c>
      <c r="C30" s="70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1" spans="1:16">
      <c r="A31" s="14" t="s">
        <v>78</v>
      </c>
      <c r="B31" s="23"/>
      <c r="C31" s="71"/>
      <c r="D31" s="23"/>
      <c r="E31" s="23"/>
      <c r="F31" s="23"/>
      <c r="G31" s="23"/>
      <c r="H31" s="23"/>
      <c r="I31" s="23"/>
      <c r="J31" s="23"/>
      <c r="K31" s="23"/>
      <c r="L31" s="23"/>
      <c r="M31" s="74"/>
      <c r="N31" s="74"/>
      <c r="O31" s="74"/>
      <c r="P31" s="74"/>
    </row>
    <row r="32" spans="1:16">
      <c r="A32" s="14" t="s">
        <v>79</v>
      </c>
      <c r="B32" s="23"/>
      <c r="C32" s="71"/>
      <c r="D32" s="23"/>
      <c r="E32" s="23"/>
      <c r="F32" s="23"/>
      <c r="G32" s="23"/>
      <c r="H32" s="23"/>
      <c r="I32" s="23"/>
      <c r="J32" s="23"/>
      <c r="K32" s="23"/>
      <c r="L32" s="23"/>
      <c r="M32" s="74"/>
      <c r="N32" s="74"/>
      <c r="O32" s="74"/>
      <c r="P32" s="74"/>
    </row>
    <row r="33" spans="1:18">
      <c r="A33" s="15" t="s">
        <v>80</v>
      </c>
      <c r="B33" s="57">
        <f t="shared" ref="B33:P33" si="17">B29+B30</f>
        <v>0</v>
      </c>
      <c r="C33" s="57">
        <f t="shared" si="17"/>
        <v>0</v>
      </c>
      <c r="D33" s="57">
        <f t="shared" si="17"/>
        <v>58745818.309999995</v>
      </c>
      <c r="E33" s="57">
        <f t="shared" si="17"/>
        <v>68905387.359999999</v>
      </c>
      <c r="F33" s="57">
        <f t="shared" si="17"/>
        <v>69073701.030000016</v>
      </c>
      <c r="G33" s="57">
        <f t="shared" si="17"/>
        <v>110843728.27999997</v>
      </c>
      <c r="H33" s="57">
        <f t="shared" si="17"/>
        <v>147530873.38000005</v>
      </c>
      <c r="I33" s="57">
        <f t="shared" si="17"/>
        <v>213484331.64000005</v>
      </c>
      <c r="J33" s="57">
        <f t="shared" si="17"/>
        <v>215108103.95000005</v>
      </c>
      <c r="K33" s="57">
        <f t="shared" si="17"/>
        <v>242957985.35999984</v>
      </c>
      <c r="L33" s="57">
        <f t="shared" si="17"/>
        <v>159129607.12000003</v>
      </c>
      <c r="M33" s="57">
        <f t="shared" si="17"/>
        <v>100675562.06999993</v>
      </c>
      <c r="N33" s="57">
        <f t="shared" si="17"/>
        <v>125593945.2899999</v>
      </c>
      <c r="O33" s="57">
        <f t="shared" si="17"/>
        <v>233816796.29000008</v>
      </c>
      <c r="P33" s="57">
        <f t="shared" si="17"/>
        <v>655158104</v>
      </c>
    </row>
    <row r="34" spans="1:18">
      <c r="A34" s="14" t="s">
        <v>81</v>
      </c>
      <c r="B34" s="57">
        <f>B30+B31</f>
        <v>0</v>
      </c>
      <c r="C34" s="63"/>
      <c r="D34" s="23"/>
      <c r="E34" s="23"/>
      <c r="F34" s="23"/>
      <c r="G34" s="23"/>
      <c r="H34" s="23"/>
      <c r="I34" s="23"/>
      <c r="J34" s="23"/>
      <c r="K34" s="23"/>
      <c r="L34" s="23"/>
      <c r="M34" s="74"/>
      <c r="N34" s="74"/>
      <c r="O34" s="74"/>
      <c r="P34" s="74">
        <v>40000000</v>
      </c>
    </row>
    <row r="35" spans="1:18">
      <c r="A35" s="13" t="s">
        <v>82</v>
      </c>
      <c r="B35" s="57">
        <f>B33-B34</f>
        <v>0</v>
      </c>
      <c r="C35" s="57">
        <f>C33-C34</f>
        <v>0</v>
      </c>
      <c r="D35" s="57">
        <f t="shared" ref="D35:P35" si="18">D33-D34</f>
        <v>58745818.309999995</v>
      </c>
      <c r="E35" s="57">
        <f t="shared" si="18"/>
        <v>68905387.359999999</v>
      </c>
      <c r="F35" s="57">
        <f t="shared" si="18"/>
        <v>69073701.030000016</v>
      </c>
      <c r="G35" s="57">
        <f t="shared" si="18"/>
        <v>110843728.27999997</v>
      </c>
      <c r="H35" s="57">
        <f t="shared" si="18"/>
        <v>147530873.38000005</v>
      </c>
      <c r="I35" s="57">
        <f t="shared" si="18"/>
        <v>213484331.64000005</v>
      </c>
      <c r="J35" s="57">
        <f t="shared" si="18"/>
        <v>215108103.95000005</v>
      </c>
      <c r="K35" s="57">
        <f t="shared" si="18"/>
        <v>242957985.35999984</v>
      </c>
      <c r="L35" s="57">
        <f t="shared" si="18"/>
        <v>159129607.12000003</v>
      </c>
      <c r="M35" s="57">
        <f t="shared" si="18"/>
        <v>100675562.06999993</v>
      </c>
      <c r="N35" s="57">
        <f t="shared" si="18"/>
        <v>125593945.2899999</v>
      </c>
      <c r="O35" s="57">
        <f t="shared" si="18"/>
        <v>233816796.29000008</v>
      </c>
      <c r="P35" s="57">
        <f t="shared" si="18"/>
        <v>615158104</v>
      </c>
    </row>
    <row r="36" spans="1:18">
      <c r="A36" s="14" t="s">
        <v>83</v>
      </c>
      <c r="B36" s="23"/>
      <c r="C36" s="67">
        <v>0</v>
      </c>
      <c r="D36" s="23">
        <v>0</v>
      </c>
      <c r="E36" s="23">
        <v>0</v>
      </c>
      <c r="F36" s="23"/>
      <c r="G36" s="23"/>
      <c r="H36" s="23"/>
      <c r="I36" s="23"/>
      <c r="J36" s="23"/>
      <c r="K36" s="23"/>
      <c r="L36" s="23"/>
      <c r="M36" s="74"/>
      <c r="N36" s="74"/>
      <c r="O36" s="74"/>
      <c r="P36" s="74"/>
    </row>
    <row r="37" spans="1:18">
      <c r="A37" s="13" t="s">
        <v>84</v>
      </c>
      <c r="B37" s="56">
        <f>B35-B36</f>
        <v>0</v>
      </c>
      <c r="C37" s="56">
        <f>C35-C36</f>
        <v>0</v>
      </c>
      <c r="D37" s="56">
        <f t="shared" ref="D37:P37" si="19">D35-D36</f>
        <v>58745818.309999995</v>
      </c>
      <c r="E37" s="56">
        <f t="shared" si="19"/>
        <v>68905387.359999999</v>
      </c>
      <c r="F37" s="56">
        <f t="shared" si="19"/>
        <v>69073701.030000016</v>
      </c>
      <c r="G37" s="56">
        <f t="shared" si="19"/>
        <v>110843728.27999997</v>
      </c>
      <c r="H37" s="56">
        <f t="shared" si="19"/>
        <v>147530873.38000005</v>
      </c>
      <c r="I37" s="56">
        <f t="shared" si="19"/>
        <v>213484331.64000005</v>
      </c>
      <c r="J37" s="56">
        <f t="shared" si="19"/>
        <v>215108103.95000005</v>
      </c>
      <c r="K37" s="56">
        <f t="shared" si="19"/>
        <v>242957985.35999984</v>
      </c>
      <c r="L37" s="56">
        <f t="shared" si="19"/>
        <v>159129607.12000003</v>
      </c>
      <c r="M37" s="56">
        <f t="shared" si="19"/>
        <v>100675562.06999993</v>
      </c>
      <c r="N37" s="56">
        <f t="shared" si="19"/>
        <v>125593945.2899999</v>
      </c>
      <c r="O37" s="56">
        <f t="shared" si="19"/>
        <v>233816796.29000008</v>
      </c>
      <c r="P37" s="56">
        <f t="shared" si="19"/>
        <v>615158104</v>
      </c>
    </row>
    <row r="39" spans="1:18" s="25" customFormat="1">
      <c r="A39" s="25" t="s">
        <v>85</v>
      </c>
      <c r="B39" s="58">
        <f>B12+B23</f>
        <v>0</v>
      </c>
      <c r="C39" s="58">
        <f>C12+C23</f>
        <v>0</v>
      </c>
      <c r="D39" s="58" t="e">
        <f>#REF!+#REF!</f>
        <v>#REF!</v>
      </c>
      <c r="E39" s="58" t="e">
        <f>#REF!+#REF!</f>
        <v>#REF!</v>
      </c>
      <c r="F39" s="58" t="e">
        <f>#REF!+#REF!</f>
        <v>#REF!</v>
      </c>
      <c r="G39" s="58" t="e">
        <f>#REF!+#REF!</f>
        <v>#REF!</v>
      </c>
      <c r="H39" s="58" t="e">
        <f>#REF!+#REF!</f>
        <v>#REF!</v>
      </c>
      <c r="I39" s="58" t="e">
        <f>#REF!+#REF!</f>
        <v>#REF!</v>
      </c>
      <c r="J39" s="58" t="e">
        <f>#REF!+#REF!</f>
        <v>#REF!</v>
      </c>
      <c r="K39" s="58" t="e">
        <f>#REF!+#REF!</f>
        <v>#REF!</v>
      </c>
      <c r="L39" s="58" t="e">
        <f>#REF!+#REF!</f>
        <v>#REF!</v>
      </c>
      <c r="M39" s="58" t="e">
        <f t="shared" ref="M39:O39" si="20">A12+A23</f>
        <v>#VALUE!</v>
      </c>
      <c r="N39" s="58">
        <f t="shared" si="20"/>
        <v>0</v>
      </c>
      <c r="O39" s="58">
        <f t="shared" si="20"/>
        <v>0</v>
      </c>
      <c r="P39" s="58"/>
      <c r="Q39" s="58"/>
      <c r="R39" s="58"/>
    </row>
    <row r="41" spans="1:18"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>
        <f>Q39-P39</f>
        <v>0</v>
      </c>
      <c r="R41" s="37">
        <f>R39-Q39</f>
        <v>0</v>
      </c>
    </row>
    <row r="42" spans="1:18">
      <c r="J42" s="37"/>
      <c r="K42" s="37"/>
      <c r="L42" s="37"/>
      <c r="M42" s="37"/>
    </row>
    <row r="43" spans="1:18">
      <c r="I43" s="60"/>
      <c r="J43" s="60"/>
      <c r="K43" s="60"/>
    </row>
  </sheetData>
  <mergeCells count="1">
    <mergeCell ref="A1:R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41"/>
  <sheetViews>
    <sheetView workbookViewId="0">
      <pane xSplit="3" topLeftCell="I1" activePane="topRight" state="frozen"/>
      <selection pane="topRight" activeCell="S28" sqref="S28"/>
    </sheetView>
  </sheetViews>
  <sheetFormatPr defaultRowHeight="14.45"/>
  <cols>
    <col min="1" max="1" width="20.42578125" customWidth="1"/>
    <col min="2" max="2" width="30.42578125" bestFit="1" customWidth="1"/>
    <col min="3" max="3" width="10.7109375" customWidth="1"/>
    <col min="4" max="5" width="12.5703125" hidden="1" customWidth="1"/>
    <col min="6" max="7" width="9.5703125" bestFit="1" customWidth="1"/>
    <col min="8" max="10" width="9.140625" bestFit="1" customWidth="1"/>
    <col min="11" max="11" width="9.140625" customWidth="1"/>
    <col min="12" max="17" width="9.140625" bestFit="1" customWidth="1"/>
    <col min="18" max="18" width="11.42578125" customWidth="1"/>
  </cols>
  <sheetData>
    <row r="1" spans="1:18" ht="18.95" thickBot="1">
      <c r="A1" s="82" t="s">
        <v>86</v>
      </c>
      <c r="B1" s="82"/>
    </row>
    <row r="2" spans="1:18">
      <c r="A2" s="44"/>
      <c r="B2" s="45"/>
      <c r="C2" s="45"/>
      <c r="D2" s="62">
        <v>44198</v>
      </c>
      <c r="E2" s="62">
        <v>44230</v>
      </c>
      <c r="F2" s="4">
        <v>44562</v>
      </c>
      <c r="G2" s="4">
        <v>44593</v>
      </c>
      <c r="H2" s="4">
        <v>44621</v>
      </c>
      <c r="I2" s="4">
        <v>44652</v>
      </c>
      <c r="J2" s="4">
        <v>44682</v>
      </c>
      <c r="K2" s="4">
        <v>44713</v>
      </c>
      <c r="L2" s="4">
        <v>44743</v>
      </c>
      <c r="M2" s="4">
        <v>44774</v>
      </c>
      <c r="N2" s="4">
        <v>44805</v>
      </c>
      <c r="O2" s="4">
        <v>44835</v>
      </c>
      <c r="P2" s="4">
        <v>44866</v>
      </c>
      <c r="Q2" s="4">
        <v>44896</v>
      </c>
      <c r="R2" t="s">
        <v>3</v>
      </c>
    </row>
    <row r="3" spans="1:18" ht="15">
      <c r="A3" s="83" t="s">
        <v>87</v>
      </c>
      <c r="B3" s="2" t="s">
        <v>88</v>
      </c>
      <c r="C3" s="17" t="s">
        <v>89</v>
      </c>
      <c r="D3" s="59" t="e">
        <f>(('Evolutive SFP'!#REF!+'Evolutive SFP'!#REF!+'Evolutive SFP'!#REF!+'Evolutive SFP'!#REF!+'Evolutive SFP'!#REF!+'Evolutive SFP'!#REF!)-'Evolutive SFP'!#REF!)/1000000</f>
        <v>#REF!</v>
      </c>
      <c r="E3" s="59" t="e">
        <f>(('Evolutive SFP'!#REF!+'Evolutive SFP'!#REF!+'Evolutive SFP'!#REF!+'Evolutive SFP'!#REF!+'Evolutive SFP'!#REF!+'Evolutive SFP'!#REF!)-'Evolutive SFP'!#REF!)/1000000</f>
        <v>#REF!</v>
      </c>
      <c r="F3" s="59">
        <f>(('Evolutive SFP'!D39+'Evolutive SFP'!D40+'Evolutive SFP'!D41+'Evolutive SFP'!D42+'Evolutive SFP'!D43+'Evolutive SFP'!D44)-'Evolutive SFP'!D10)/1000000</f>
        <v>2645.68512504</v>
      </c>
      <c r="G3" s="59">
        <f>(('Evolutive SFP'!E39+'Evolutive SFP'!E40+'Evolutive SFP'!E41+'Evolutive SFP'!E42+'Evolutive SFP'!E43+'Evolutive SFP'!E44)-'Evolutive SFP'!E10)/1000000</f>
        <v>2677.0555832499999</v>
      </c>
      <c r="H3" s="59">
        <f>(('Evolutive SFP'!F39+'Evolutive SFP'!F40+'Evolutive SFP'!F41+'Evolutive SFP'!F42+'Evolutive SFP'!F43+'Evolutive SFP'!F44)-'Evolutive SFP'!F10)/1000000</f>
        <v>2700.6227198200004</v>
      </c>
      <c r="I3" s="59">
        <f>(('Evolutive SFP'!G39+'Evolutive SFP'!G40+'Evolutive SFP'!G41+'Evolutive SFP'!G42+'Evolutive SFP'!G43+'Evolutive SFP'!G44)-'Evolutive SFP'!G10)/1000000</f>
        <v>2764.9848269600002</v>
      </c>
      <c r="J3" s="59">
        <f>(('Evolutive SFP'!H39+'Evolutive SFP'!H40+'Evolutive SFP'!H41+'Evolutive SFP'!H42+'Evolutive SFP'!H43+'Evolutive SFP'!H44)-'Evolutive SFP'!H10)/1000000</f>
        <v>2824.8951750599999</v>
      </c>
      <c r="K3" s="59">
        <f>(('Evolutive SFP'!I39+'Evolutive SFP'!I40+'Evolutive SFP'!I41+'Evolutive SFP'!I42+'Evolutive SFP'!I43+'Evolutive SFP'!I44)-'Evolutive SFP'!I10)/1000000</f>
        <v>2913.5880832199996</v>
      </c>
      <c r="L3" s="59">
        <f>(('Evolutive SFP'!J39+'Evolutive SFP'!J40+'Evolutive SFP'!J41+'Evolutive SFP'!J42+'Evolutive SFP'!J43+'Evolutive SFP'!J44)-'Evolutive SFP'!J10)/1000000</f>
        <v>2953.2010180700004</v>
      </c>
      <c r="M3" s="59">
        <f>(('Evolutive SFP'!K39+'Evolutive SFP'!K40+'Evolutive SFP'!K41+'Evolutive SFP'!K42+'Evolutive SFP'!K43+'Evolutive SFP'!K44)-'Evolutive SFP'!K10)/1000000</f>
        <v>3003.31933854</v>
      </c>
      <c r="N3" s="59">
        <f>(('Evolutive SFP'!L39+'Evolutive SFP'!L40+'Evolutive SFP'!L41+'Evolutive SFP'!L42+'Evolutive SFP'!L43+'Evolutive SFP'!L44)-'Evolutive SFP'!L10)/1000000</f>
        <v>2965.1315565700002</v>
      </c>
      <c r="O3" s="59">
        <f>(('Evolutive SFP'!M39+'Evolutive SFP'!M40+'Evolutive SFP'!M41+'Evolutive SFP'!M42+'Evolutive SFP'!M43+'Evolutive SFP'!M44)-'Evolutive SFP'!M10)/1000000</f>
        <v>2972.3860520200001</v>
      </c>
      <c r="P3" s="59">
        <f>(('Evolutive SFP'!N39+'Evolutive SFP'!N40+'Evolutive SFP'!N41+'Evolutive SFP'!N42+'Evolutive SFP'!N43+'Evolutive SFP'!N44)-'Evolutive SFP'!N10)/1000000</f>
        <v>2977.5419657799998</v>
      </c>
      <c r="Q3" s="59">
        <f>(('Evolutive SFP'!O39+'Evolutive SFP'!O40+'Evolutive SFP'!O41+'Evolutive SFP'!O42+'Evolutive SFP'!O43+'Evolutive SFP'!O44)-'Evolutive SFP'!O10)/1000000</f>
        <v>3098.7790041000003</v>
      </c>
      <c r="R3" s="59">
        <f>(('Evolutive SFP'!P39+'Evolutive SFP'!P40+'Evolutive SFP'!P41+'Evolutive SFP'!P42+'Evolutive SFP'!P43+'Evolutive SFP'!P44)-'Evolutive SFP'!P10)/1000000</f>
        <v>3143.1947169999999</v>
      </c>
    </row>
    <row r="4" spans="1:18" ht="15">
      <c r="A4" s="83"/>
      <c r="B4" s="2" t="s">
        <v>90</v>
      </c>
      <c r="C4" s="17" t="s">
        <v>91</v>
      </c>
      <c r="D4" s="39" t="e">
        <f>D3/(('Evolutive SFP'!#REF!)/1000000)</f>
        <v>#REF!</v>
      </c>
      <c r="E4" s="39" t="e">
        <f>E3/(('Evolutive SFP'!#REF!)/1000000)</f>
        <v>#REF!</v>
      </c>
      <c r="F4" s="39">
        <f>F3/(('Evolutive SFP'!D27)/1000000)</f>
        <v>0.32211825572481073</v>
      </c>
      <c r="G4" s="39">
        <f>G3/(('Evolutive SFP'!E27)/1000000)</f>
        <v>0.32542806494112092</v>
      </c>
      <c r="H4" s="39">
        <f>H3/(('Evolutive SFP'!F27)/1000000)</f>
        <v>0.31081607474232908</v>
      </c>
      <c r="I4" s="39">
        <f>I3/(('Evolutive SFP'!G27)/1000000)</f>
        <v>0.31867653240088772</v>
      </c>
      <c r="J4" s="39">
        <f>J3/(('Evolutive SFP'!H27)/1000000)</f>
        <v>0.32227585323026697</v>
      </c>
      <c r="K4" s="39">
        <f>K3/(('Evolutive SFP'!I27)/1000000)</f>
        <v>0.31685755177001151</v>
      </c>
      <c r="L4" s="39">
        <f>L3/(('Evolutive SFP'!J27)/1000000)</f>
        <v>0.33341828390374567</v>
      </c>
      <c r="M4" s="39">
        <f>M3/(('Evolutive SFP'!K27)/1000000)</f>
        <v>0.32068966361263956</v>
      </c>
      <c r="N4" s="39">
        <f>N3/(('Evolutive SFP'!L27)/1000000)</f>
        <v>0.31526598454066884</v>
      </c>
      <c r="O4" s="39">
        <f>O3/(('Evolutive SFP'!M27)/1000000)</f>
        <v>0.31583189942694279</v>
      </c>
      <c r="P4" s="39">
        <f>P3/(('Evolutive SFP'!N27)/1000000)</f>
        <v>0.31241471131719356</v>
      </c>
      <c r="Q4" s="39">
        <f>Q3/(('Evolutive SFP'!O27)/1000000)</f>
        <v>0.31312676604639594</v>
      </c>
      <c r="R4" s="39">
        <f>R3/(('Evolutive SFP'!P27)/1000000)</f>
        <v>0.32104508853663183</v>
      </c>
    </row>
    <row r="5" spans="1:18" ht="15">
      <c r="A5" s="83"/>
      <c r="B5" s="2" t="s">
        <v>92</v>
      </c>
      <c r="C5" s="17" t="s">
        <v>93</v>
      </c>
      <c r="D5" s="39" t="e">
        <f>D3/('Evolutive SFP'!#REF!/1000000)</f>
        <v>#REF!</v>
      </c>
      <c r="E5" s="39" t="e">
        <f>E3/('Evolutive SFP'!#REF!/1000000)</f>
        <v>#REF!</v>
      </c>
      <c r="F5" s="39">
        <f>F3/('Evolutive SFP'!D31/1000000)</f>
        <v>0.4958165109675981</v>
      </c>
      <c r="G5" s="39">
        <f>G3/('Evolutive SFP'!E31/1000000)</f>
        <v>0.50670184991024458</v>
      </c>
      <c r="H5" s="39">
        <f>H3/('Evolutive SFP'!F31/1000000)</f>
        <v>0.50652413448632982</v>
      </c>
      <c r="I5" s="39">
        <f>I3/('Evolutive SFP'!G31/1000000)</f>
        <v>0.51812133810054095</v>
      </c>
      <c r="J5" s="39">
        <f>J3/('Evolutive SFP'!H31/1000000)</f>
        <v>0.5238251038926921</v>
      </c>
      <c r="K5" s="39">
        <f>K3/('Evolutive SFP'!I31/1000000)</f>
        <v>0.52957034132012648</v>
      </c>
      <c r="L5" s="39">
        <f>L3/('Evolutive SFP'!J31/1000000)</f>
        <v>0.53482591898978216</v>
      </c>
      <c r="M5" s="39">
        <f>M3/('Evolutive SFP'!K31/1000000)</f>
        <v>0.53886371454401372</v>
      </c>
      <c r="N5" s="39">
        <f>N3/('Evolutive SFP'!L31/1000000)</f>
        <v>0.53169328576476627</v>
      </c>
      <c r="O5" s="39">
        <f>O3/('Evolutive SFP'!M31/1000000)</f>
        <v>0.52270009436999054</v>
      </c>
      <c r="P5" s="39">
        <f>P3/('Evolutive SFP'!N31/1000000)</f>
        <v>0.51739669653127096</v>
      </c>
      <c r="Q5" s="39">
        <f>Q3/('Evolutive SFP'!O31/1000000)</f>
        <v>0.53662717044079666</v>
      </c>
      <c r="R5" s="39">
        <f>R3/('Evolutive SFP'!P31/1000000)</f>
        <v>0.54431880579251268</v>
      </c>
    </row>
    <row r="6" spans="1:18" ht="15">
      <c r="A6" s="83"/>
      <c r="B6" s="2" t="s">
        <v>94</v>
      </c>
      <c r="C6" s="17" t="s">
        <v>93</v>
      </c>
      <c r="D6" s="39" t="e">
        <f>((D3*1000000)-'Evolutive SFP'!#REF!)/'Evolutive SFP'!#REF!</f>
        <v>#REF!</v>
      </c>
      <c r="E6" s="39" t="e">
        <f>((E3*1000000)-'Evolutive SFP'!#REF!)/'Evolutive SFP'!#REF!</f>
        <v>#REF!</v>
      </c>
      <c r="F6" s="39">
        <f>((F3*1000000)-'Evolutive SFP'!D39)/'Evolutive SFP'!D27</f>
        <v>0.28705077343576008</v>
      </c>
      <c r="G6" s="39">
        <f>((G3*1000000)-'Evolutive SFP'!E39)/'Evolutive SFP'!E27</f>
        <v>0.29016379695025346</v>
      </c>
      <c r="H6" s="39">
        <f>((H3*1000000)-'Evolutive SFP'!F39)/'Evolutive SFP'!F27</f>
        <v>0.27729477347546777</v>
      </c>
      <c r="I6" s="39">
        <f>((I3*1000000)-'Evolutive SFP'!G39)/'Evolutive SFP'!G27</f>
        <v>0.28491728286562007</v>
      </c>
      <c r="J6" s="39">
        <f>((J3*1000000)-'Evolutive SFP'!H39)/'Evolutive SFP'!H27</f>
        <v>0.28867606929311324</v>
      </c>
      <c r="K6" s="39">
        <f>((K3*1000000)-'Evolutive SFP'!I39)/'Evolutive SFP'!I27</f>
        <v>0.28474490184630868</v>
      </c>
      <c r="L6" s="39">
        <f>((L3*1000000)-'Evolutive SFP'!J39)/'Evolutive SFP'!J27</f>
        <v>0.29810077775529259</v>
      </c>
      <c r="M6" s="39">
        <f>((M3*1000000)-'Evolutive SFP'!K39)/'Evolutive SFP'!K27</f>
        <v>0.28719495560649633</v>
      </c>
      <c r="N6" s="39">
        <f>((N3*1000000)-'Evolutive SFP'!L39)/'Evolutive SFP'!L27</f>
        <v>0.28174980681428397</v>
      </c>
      <c r="O6" s="39">
        <f>((O3*1000000)-'Evolutive SFP'!M39)/'Evolutive SFP'!M27</f>
        <v>0.28219942268148129</v>
      </c>
      <c r="P6" s="39">
        <f>((P3*1000000)-'Evolutive SFP'!N39)/'Evolutive SFP'!N27</f>
        <v>0.27906331361714393</v>
      </c>
      <c r="Q6" s="39">
        <f>((Q3*1000000)-'Evolutive SFP'!O39)/'Evolutive SFP'!O27</f>
        <v>0.28086191951124551</v>
      </c>
      <c r="R6" s="39">
        <f>((R3*1000000)-'Evolutive SFP'!P39)/'Evolutive SFP'!P27</f>
        <v>0.28843178739473729</v>
      </c>
    </row>
    <row r="7" spans="1:18" ht="15">
      <c r="A7" s="83" t="s">
        <v>95</v>
      </c>
      <c r="B7" s="2" t="s">
        <v>96</v>
      </c>
      <c r="C7" s="17"/>
      <c r="D7" s="17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">
      <c r="A8" s="83"/>
      <c r="B8" s="2" t="s">
        <v>97</v>
      </c>
      <c r="C8" s="17"/>
      <c r="D8" s="17"/>
      <c r="E8" s="17"/>
      <c r="F8" s="19">
        <f t="shared" ref="F8:L8" si="0">(2494410+2429401+5048799)/207093162</f>
        <v>4.8155187277501704E-2</v>
      </c>
      <c r="G8" s="19">
        <f t="shared" si="0"/>
        <v>4.8155187277501704E-2</v>
      </c>
      <c r="H8" s="19">
        <f t="shared" si="0"/>
        <v>4.8155187277501704E-2</v>
      </c>
      <c r="I8" s="19">
        <f t="shared" si="0"/>
        <v>4.8155187277501704E-2</v>
      </c>
      <c r="J8" s="19">
        <f t="shared" si="0"/>
        <v>4.8155187277501704E-2</v>
      </c>
      <c r="K8" s="19">
        <f t="shared" si="0"/>
        <v>4.8155187277501704E-2</v>
      </c>
      <c r="L8" s="19">
        <f t="shared" si="0"/>
        <v>4.8155187277501704E-2</v>
      </c>
      <c r="M8" s="19">
        <f>(2494410+2429401+5048799)/207093162</f>
        <v>4.8155187277501704E-2</v>
      </c>
      <c r="N8" s="19">
        <f>(2494410+2429401+5048799)/207093162</f>
        <v>4.8155187277501704E-2</v>
      </c>
      <c r="O8" s="19">
        <f>(2494410+2429401+5048799)/207093162</f>
        <v>4.8155187277501704E-2</v>
      </c>
      <c r="P8" s="19">
        <f t="shared" ref="P8:R8" si="1">(2494410+2429401+5048799)/207093162</f>
        <v>4.8155187277501704E-2</v>
      </c>
      <c r="Q8" s="19">
        <f t="shared" si="1"/>
        <v>4.8155187277501704E-2</v>
      </c>
      <c r="R8" s="19">
        <f t="shared" si="1"/>
        <v>4.8155187277501704E-2</v>
      </c>
    </row>
    <row r="9" spans="1:18" ht="15">
      <c r="A9" s="81" t="s">
        <v>98</v>
      </c>
      <c r="B9" s="2" t="s">
        <v>99</v>
      </c>
      <c r="C9" s="17"/>
      <c r="D9" s="46" t="e">
        <f>'Evolutitve SCI'!#REF!/(('Evolutive SFP'!C27+'Evolutive SFP'!#REF!)/2)</f>
        <v>#REF!</v>
      </c>
      <c r="E9" s="46" t="e">
        <f>'Evolutitve SCI'!#REF!/(('Evolutive SFP'!#REF!+'Evolutive SFP'!#REF!)/2)</f>
        <v>#REF!</v>
      </c>
      <c r="F9" s="46" t="e">
        <f>'Evolutitve SCI'!D33/(('Evolutive SFP'!#REF!+'Evolutive SFP'!D27)/2)</f>
        <v>#REF!</v>
      </c>
      <c r="G9" s="46">
        <f>'Evolutitve SCI'!E33/(('Evolutive SFP'!D27+'Evolutive SFP'!E27)/2)</f>
        <v>8.3828258668079275E-3</v>
      </c>
      <c r="H9" s="46">
        <f>'Evolutitve SCI'!F33/(('Evolutive SFP'!E27+'Evolutive SFP'!F27)/2)</f>
        <v>8.1671187679277744E-3</v>
      </c>
      <c r="I9" s="46">
        <f>'Evolutitve SCI'!G33/(('Evolutive SFP'!F27+'Evolutive SFP'!G27)/2)</f>
        <v>1.2766135733629506E-2</v>
      </c>
      <c r="J9" s="46">
        <f>'Evolutitve SCI'!H33/(('Evolutive SFP'!G27+'Evolutive SFP'!H27)/2)</f>
        <v>1.6916816573361193E-2</v>
      </c>
      <c r="K9" s="46">
        <f>'Evolutitve SCI'!I33/(('Evolutive SFP'!H27+'Evolutive SFP'!I27)/2)</f>
        <v>2.377235952389815E-2</v>
      </c>
      <c r="L9" s="46">
        <f>'Evolutitve SCI'!J33/(('Evolutive SFP'!I27+'Evolutive SFP'!J27)/2)</f>
        <v>2.3831250485452166E-2</v>
      </c>
      <c r="M9" s="46">
        <f>'Evolutitve SCI'!K33/(('Evolutive SFP'!J27+'Evolutive SFP'!K27)/2)</f>
        <v>2.6665662882072425E-2</v>
      </c>
      <c r="N9" s="46">
        <f>'Evolutitve SCI'!L33/(('Evolutive SFP'!K27+'Evolutive SFP'!L27)/2)</f>
        <v>1.6955410319640016E-2</v>
      </c>
      <c r="O9" s="46">
        <f>'Evolutitve SCI'!M33/(('Evolutive SFP'!L27+'Evolutive SFP'!M27)/2)</f>
        <v>1.0700793984915394E-2</v>
      </c>
      <c r="P9" s="46">
        <f>'Evolutitve SCI'!N33/(('Evolutive SFP'!M27+'Evolutive SFP'!N27)/2)</f>
        <v>1.3260877093795566E-2</v>
      </c>
      <c r="Q9" s="46">
        <f>'Evolutitve SCI'!O33/(('Evolutive SFP'!N27+'Evolutive SFP'!O27)/2)</f>
        <v>2.4071347998525418E-2</v>
      </c>
      <c r="R9" s="46">
        <f>'Evolutitve SCI'!P33/(('Evolutive SFP'!O27+'Evolutive SFP'!P27)/2)</f>
        <v>6.6558269142978188E-2</v>
      </c>
    </row>
    <row r="10" spans="1:18" ht="15">
      <c r="A10" s="81"/>
      <c r="B10" s="2" t="s">
        <v>100</v>
      </c>
      <c r="C10" s="17"/>
      <c r="D10" s="19" t="e">
        <f>'Evolutitve SCI'!#REF!/'Evolutitve SCI'!#REF!</f>
        <v>#REF!</v>
      </c>
      <c r="E10" s="19" t="e">
        <f>'Evolutitve SCI'!#REF!/'Evolutitve SCI'!#REF!</f>
        <v>#REF!</v>
      </c>
      <c r="F10" s="19">
        <f>'Evolutitve SCI'!D23/'Evolutitve SCI'!D19</f>
        <v>0.36097388218546916</v>
      </c>
      <c r="G10" s="19">
        <f>'Evolutitve SCI'!E23/'Evolutitve SCI'!E19</f>
        <v>0.44525520107172228</v>
      </c>
      <c r="H10" s="19">
        <f>'Evolutitve SCI'!F23/'Evolutitve SCI'!F19</f>
        <v>0.43900093954992059</v>
      </c>
      <c r="I10" s="19">
        <f>'Evolutitve SCI'!G23/'Evolutitve SCI'!G19</f>
        <v>0.42883713014257668</v>
      </c>
      <c r="J10" s="19">
        <f>'Evolutitve SCI'!H23/'Evolutitve SCI'!H19</f>
        <v>0.37352547857365281</v>
      </c>
      <c r="K10" s="19">
        <f>'Evolutitve SCI'!I23/'Evolutitve SCI'!I19</f>
        <v>0.34710157393085767</v>
      </c>
      <c r="L10" s="19">
        <f>'Evolutitve SCI'!J23/'Evolutitve SCI'!J19</f>
        <v>0.37607949690026088</v>
      </c>
      <c r="M10" s="19">
        <f>'Evolutitve SCI'!K23/'Evolutitve SCI'!K19</f>
        <v>0.36180481801073666</v>
      </c>
      <c r="N10" s="19">
        <f>'Evolutitve SCI'!L23/'Evolutitve SCI'!L19</f>
        <v>0.42955785788609829</v>
      </c>
      <c r="O10" s="19">
        <f>'Evolutitve SCI'!M23/'Evolutitve SCI'!M19</f>
        <v>0.50214975247611338</v>
      </c>
      <c r="P10" s="19">
        <f>'Evolutitve SCI'!N23/'Evolutitve SCI'!N19</f>
        <v>0.48737066942154617</v>
      </c>
      <c r="Q10" s="19">
        <f>'Evolutitve SCI'!O23/'Evolutitve SCI'!O19</f>
        <v>0.45084342245307746</v>
      </c>
      <c r="R10" s="19">
        <f>'Evolutitve SCI'!P23/'Evolutitve SCI'!P19</f>
        <v>0.44960729064947785</v>
      </c>
    </row>
    <row r="11" spans="1:18" ht="18.75" customHeight="1">
      <c r="A11" s="81"/>
      <c r="B11" s="2" t="s">
        <v>101</v>
      </c>
      <c r="C11" s="17"/>
      <c r="D11" s="19" t="e">
        <f>('Evolutitve SCI'!#REF!+'Evolutitve SCI'!#REF!)/(('Evolutive SFP'!#REF!+'Evolutive SFP'!#REF!)/2)</f>
        <v>#REF!</v>
      </c>
      <c r="E11" s="19" t="e">
        <f>('Evolutitve SCI'!#REF!+'Evolutitve SCI'!#REF!)/(('Evolutive SFP'!#REF!+'Evolutive SFP'!#REF!)/2)</f>
        <v>#REF!</v>
      </c>
      <c r="F11" s="19" t="e">
        <f>('Evolutitve SCI'!D23+'Evolutitve SCI'!D12)/(('Evolutive SFP'!D27+'Evolutive SFP'!#REF!)/2)</f>
        <v>#REF!</v>
      </c>
      <c r="G11" s="19" t="e">
        <f>('Evolutitve SCI'!E23+'Evolutitve SCI'!E12)/(('Evolutive SFP'!E27+'Evolutive SFP'!#REF!)/2)</f>
        <v>#REF!</v>
      </c>
      <c r="H11" s="19" t="e">
        <f>('Evolutitve SCI'!F23+'Evolutitve SCI'!F12)/(('Evolutive SFP'!F27+'Evolutive SFP'!#REF!)/2)</f>
        <v>#REF!</v>
      </c>
      <c r="I11" s="19" t="e">
        <f>('Evolutitve SCI'!G23+'Evolutitve SCI'!G12)/(('Evolutive SFP'!G27+'Evolutive SFP'!#REF!)/2)</f>
        <v>#REF!</v>
      </c>
      <c r="J11" s="19" t="e">
        <f>('Evolutitve SCI'!H23+'Evolutitve SCI'!H12)/(('Evolutive SFP'!H27+'Evolutive SFP'!#REF!)/2)</f>
        <v>#REF!</v>
      </c>
      <c r="K11" s="19" t="e">
        <f>('Evolutitve SCI'!I23+'Evolutitve SCI'!I12)/(('Evolutive SFP'!I27+'Evolutive SFP'!#REF!)/2)</f>
        <v>#REF!</v>
      </c>
      <c r="L11" s="19" t="e">
        <f>('Evolutitve SCI'!J23+'Evolutitve SCI'!J12)/(('Evolutive SFP'!J27+'Evolutive SFP'!#REF!)/2)</f>
        <v>#REF!</v>
      </c>
      <c r="M11" s="19" t="e">
        <f>('Evolutitve SCI'!K23+'Evolutitve SCI'!K12)/(('Evolutive SFP'!K27+'Evolutive SFP'!#REF!)/2)</f>
        <v>#REF!</v>
      </c>
      <c r="N11" s="19" t="e">
        <f>('Evolutitve SCI'!L23+'Evolutitve SCI'!L12)/(('Evolutive SFP'!L27+'Evolutive SFP'!#REF!)/2)</f>
        <v>#REF!</v>
      </c>
      <c r="O11" s="19" t="e">
        <f>('Evolutitve SCI'!M23+'Evolutitve SCI'!M12)/(('Evolutive SFP'!M27+'Evolutive SFP'!#REF!)/2)</f>
        <v>#REF!</v>
      </c>
      <c r="P11" s="19" t="e">
        <f>('Evolutitve SCI'!N23+'Evolutitve SCI'!N12)/(('Evolutive SFP'!N27+'Evolutive SFP'!#REF!)/2)</f>
        <v>#REF!</v>
      </c>
      <c r="Q11" s="19" t="e">
        <f>('Evolutitve SCI'!O23+'Evolutitve SCI'!O12)/(('Evolutive SFP'!O27+'Evolutive SFP'!#REF!)/2)</f>
        <v>#REF!</v>
      </c>
      <c r="R11" s="19" t="e">
        <f>('Evolutitve SCI'!P23+'Evolutitve SCI'!P12)/(('Evolutive SFP'!P27+'Evolutive SFP'!#REF!)/2)</f>
        <v>#REF!</v>
      </c>
    </row>
    <row r="12" spans="1:18" ht="15">
      <c r="A12" s="81" t="s">
        <v>102</v>
      </c>
      <c r="B12" s="2" t="s">
        <v>103</v>
      </c>
      <c r="C12" s="17" t="s">
        <v>104</v>
      </c>
      <c r="D12" s="19" t="e">
        <f>('Evolutive SFP'!#REF!)/('Evolutive SFP'!#REF!+'Evolutive SFP'!#REF!+'Evolutive SFP'!#REF!+'Evolutive SFP'!#REF!+'Evolutive SFP'!#REF!+'Evolutive SFP'!#REF!+'Evolutive SFP'!#REF!)</f>
        <v>#REF!</v>
      </c>
      <c r="E12" s="19" t="e">
        <f>('Evolutive SFP'!#REF!)/('Evolutive SFP'!#REF!+'Evolutive SFP'!#REF!+'Evolutive SFP'!#REF!+'Evolutive SFP'!#REF!+'Evolutive SFP'!#REF!+'Evolutive SFP'!#REF!+'Evolutive SFP'!#REF!)</f>
        <v>#REF!</v>
      </c>
      <c r="F12" s="19">
        <f>('Evolutive SFP'!D4)/('Evolutive SFP'!D28+'Evolutive SFP'!D29+'Evolutive SFP'!D32+'Evolutive SFP'!D33+'Evolutive SFP'!D34+'Evolutive SFP'!D35+'Evolutive SFP'!D36)</f>
        <v>0.31603236362537263</v>
      </c>
      <c r="G12" s="19">
        <f>('Evolutive SFP'!E4)/('Evolutive SFP'!E28+'Evolutive SFP'!E29+'Evolutive SFP'!E32+'Evolutive SFP'!E33+'Evolutive SFP'!E34+'Evolutive SFP'!E35+'Evolutive SFP'!E36)</f>
        <v>0.26863882338255324</v>
      </c>
      <c r="H12" s="19">
        <f>('Evolutive SFP'!F4)/('Evolutive SFP'!F28+'Evolutive SFP'!F29+'Evolutive SFP'!F32+'Evolutive SFP'!F33+'Evolutive SFP'!F34+'Evolutive SFP'!F35+'Evolutive SFP'!F36)</f>
        <v>0.29020822550135061</v>
      </c>
      <c r="I12" s="19">
        <f>('Evolutive SFP'!G4)/('Evolutive SFP'!G28+'Evolutive SFP'!G29+'Evolutive SFP'!G32+'Evolutive SFP'!G33+'Evolutive SFP'!G34+'Evolutive SFP'!G35+'Evolutive SFP'!G36)</f>
        <v>0.27461353612077766</v>
      </c>
      <c r="J12" s="19">
        <f>('Evolutive SFP'!H4)/('Evolutive SFP'!H28+'Evolutive SFP'!H29+'Evolutive SFP'!H32+'Evolutive SFP'!H33+'Evolutive SFP'!H34+'Evolutive SFP'!H35+'Evolutive SFP'!H36)</f>
        <v>0.27330557699000591</v>
      </c>
      <c r="K12" s="19">
        <f>('Evolutive SFP'!I4)/('Evolutive SFP'!I28+'Evolutive SFP'!I29+'Evolutive SFP'!I32+'Evolutive SFP'!I33+'Evolutive SFP'!I34+'Evolutive SFP'!I35+'Evolutive SFP'!I36)</f>
        <v>0.41114011714730464</v>
      </c>
      <c r="L12" s="19">
        <f>('Evolutive SFP'!J4)/('Evolutive SFP'!J28+'Evolutive SFP'!J29+'Evolutive SFP'!J32+'Evolutive SFP'!J33+'Evolutive SFP'!J34+'Evolutive SFP'!J35+'Evolutive SFP'!J36)</f>
        <v>0.22554376378970004</v>
      </c>
      <c r="M12" s="19">
        <f>('Evolutive SFP'!K4)/('Evolutive SFP'!K28+'Evolutive SFP'!K29+'Evolutive SFP'!K32+'Evolutive SFP'!K33+'Evolutive SFP'!K34+'Evolutive SFP'!K35+'Evolutive SFP'!K36)</f>
        <v>0.25884750571570952</v>
      </c>
      <c r="N12" s="19">
        <f>('Evolutive SFP'!L4)/('Evolutive SFP'!L28+'Evolutive SFP'!L29+'Evolutive SFP'!L32+'Evolutive SFP'!L33+'Evolutive SFP'!L34+'Evolutive SFP'!L35+'Evolutive SFP'!L36)</f>
        <v>0.24085883474760192</v>
      </c>
      <c r="O12" s="19">
        <f>('Evolutive SFP'!M4)/('Evolutive SFP'!M28+'Evolutive SFP'!M29+'Evolutive SFP'!M32+'Evolutive SFP'!M33+'Evolutive SFP'!M34+'Evolutive SFP'!M35+'Evolutive SFP'!M36)</f>
        <v>0.22088715238055595</v>
      </c>
      <c r="P12" s="19">
        <f>('Evolutive SFP'!N4)/('Evolutive SFP'!N28+'Evolutive SFP'!N29+'Evolutive SFP'!N32+'Evolutive SFP'!N33+'Evolutive SFP'!N34+'Evolutive SFP'!N35+'Evolutive SFP'!N36)</f>
        <v>0.16467651134252986</v>
      </c>
      <c r="Q12" s="19">
        <f>('Evolutive SFP'!O4)/('Evolutive SFP'!O28+'Evolutive SFP'!O29+'Evolutive SFP'!O32+'Evolutive SFP'!O33+'Evolutive SFP'!O34+'Evolutive SFP'!O35+'Evolutive SFP'!O36)</f>
        <v>0.2094637046873275</v>
      </c>
      <c r="R12" s="19">
        <f>('Evolutive SFP'!P4)/('Evolutive SFP'!P28+'Evolutive SFP'!P29+'Evolutive SFP'!P32+'Evolutive SFP'!P33+'Evolutive SFP'!P34+'Evolutive SFP'!P35+'Evolutive SFP'!P36)</f>
        <v>0.21299567292357505</v>
      </c>
    </row>
    <row r="13" spans="1:18" ht="15">
      <c r="A13" s="81"/>
      <c r="B13" s="2" t="s">
        <v>105</v>
      </c>
      <c r="C13" s="40"/>
      <c r="D13" s="19" t="e">
        <f>'Evolutive SFP'!#REF!/('Evolutive SFP'!#REF!+'Evolutive SFP'!#REF!)</f>
        <v>#REF!</v>
      </c>
      <c r="E13" s="19" t="e">
        <f>'Evolutive SFP'!#REF!/('Evolutive SFP'!#REF!+'Evolutive SFP'!#REF!)</f>
        <v>#REF!</v>
      </c>
      <c r="F13" s="19">
        <f>'Evolutive SFP'!D4/('Evolutive SFP'!D31+'Evolutive SFP'!D36)</f>
        <v>0.12662135226534049</v>
      </c>
      <c r="G13" s="19">
        <f>'Evolutive SFP'!E4/('Evolutive SFP'!E31+'Evolutive SFP'!E36)</f>
        <v>8.5850922109813599E-2</v>
      </c>
      <c r="H13" s="19">
        <f>'Evolutive SFP'!F4/('Evolutive SFP'!F31+'Evolutive SFP'!F36)</f>
        <v>9.5214506659137541E-2</v>
      </c>
      <c r="I13" s="19">
        <f>'Evolutive SFP'!G4/('Evolutive SFP'!G31+'Evolutive SFP'!G36)</f>
        <v>8.9813918799543105E-2</v>
      </c>
      <c r="J13" s="19">
        <f>'Evolutive SFP'!H4/('Evolutive SFP'!H31+'Evolutive SFP'!H36)</f>
        <v>9.0782074514126329E-2</v>
      </c>
      <c r="K13" s="19">
        <f>'Evolutive SFP'!I4/('Evolutive SFP'!I31+'Evolutive SFP'!I36)</f>
        <v>0.13856200555593842</v>
      </c>
      <c r="L13" s="19">
        <f>'Evolutive SFP'!J4/('Evolutive SFP'!J31+'Evolutive SFP'!J36)</f>
        <v>7.702454749818477E-2</v>
      </c>
      <c r="M13" s="19">
        <f>'Evolutive SFP'!K4/('Evolutive SFP'!K31+'Evolutive SFP'!K36)</f>
        <v>8.8146095752954748E-2</v>
      </c>
      <c r="N13" s="19">
        <f>'Evolutive SFP'!L4/('Evolutive SFP'!L31+'Evolutive SFP'!L36)</f>
        <v>8.7027078019488932E-2</v>
      </c>
      <c r="O13" s="19">
        <f>'Evolutive SFP'!M4/('Evolutive SFP'!M31+'Evolutive SFP'!M36)</f>
        <v>8.3102658159217233E-2</v>
      </c>
      <c r="P13" s="19">
        <f>'Evolutive SFP'!N4/('Evolutive SFP'!N31+'Evolutive SFP'!N36)</f>
        <v>6.1628492392538682E-2</v>
      </c>
      <c r="Q13" s="19">
        <f>'Evolutive SFP'!O4/('Evolutive SFP'!O31+'Evolutive SFP'!O36)</f>
        <v>7.7501407362989452E-2</v>
      </c>
      <c r="R13" s="19">
        <f>'Evolutive SFP'!P4/('Evolutive SFP'!P31+'Evolutive SFP'!P36)</f>
        <v>7.8462635712381656E-2</v>
      </c>
    </row>
    <row r="14" spans="1:18" ht="15">
      <c r="A14" s="81"/>
      <c r="B14" s="2" t="s">
        <v>106</v>
      </c>
      <c r="C14" s="17" t="s">
        <v>107</v>
      </c>
      <c r="D14" s="19" t="e">
        <f>'Evolutive SFP'!#REF!/'Evolutive SFP'!#REF!</f>
        <v>#REF!</v>
      </c>
      <c r="E14" s="19" t="e">
        <f>'Evolutive SFP'!#REF!/'Evolutive SFP'!#REF!</f>
        <v>#REF!</v>
      </c>
      <c r="F14" s="19">
        <f>'Evolutive SFP'!D37/'Evolutive SFP'!D27</f>
        <v>0</v>
      </c>
      <c r="G14" s="19">
        <f>'Evolutive SFP'!E37/'Evolutive SFP'!E27</f>
        <v>0</v>
      </c>
      <c r="H14" s="19">
        <f>'Evolutive SFP'!F37/'Evolutive SFP'!F27</f>
        <v>0</v>
      </c>
      <c r="I14" s="19">
        <f>'Evolutive SFP'!G37/'Evolutive SFP'!G27</f>
        <v>0</v>
      </c>
      <c r="J14" s="19">
        <f>'Evolutive SFP'!H37/'Evolutive SFP'!H27</f>
        <v>0</v>
      </c>
      <c r="K14" s="19">
        <f>'Evolutive SFP'!I37/'Evolutive SFP'!I27</f>
        <v>0</v>
      </c>
      <c r="L14" s="19">
        <f>'Evolutive SFP'!J37/'Evolutive SFP'!J27</f>
        <v>0</v>
      </c>
      <c r="M14" s="19">
        <f>'Evolutive SFP'!K37/'Evolutive SFP'!K27</f>
        <v>0</v>
      </c>
      <c r="N14" s="19">
        <f>'Evolutive SFP'!L37/'Evolutive SFP'!L27</f>
        <v>0</v>
      </c>
      <c r="O14" s="19">
        <f>'Evolutive SFP'!M37/'Evolutive SFP'!M27</f>
        <v>0</v>
      </c>
      <c r="P14" s="19">
        <f>'Evolutive SFP'!N37/'Evolutive SFP'!N27</f>
        <v>0</v>
      </c>
      <c r="Q14" s="19">
        <f>'Evolutive SFP'!O37/'Evolutive SFP'!O27</f>
        <v>0</v>
      </c>
      <c r="R14" s="19">
        <f>'Evolutive SFP'!P37/'Evolutive SFP'!P27</f>
        <v>0</v>
      </c>
    </row>
    <row r="15" spans="1:18" ht="15">
      <c r="A15" s="81"/>
      <c r="B15" s="2" t="s">
        <v>108</v>
      </c>
      <c r="C15" s="17"/>
      <c r="D15" s="19" t="e">
        <f>'Evolutive SFP'!#REF!/'Evolutive SFP'!#REF!</f>
        <v>#REF!</v>
      </c>
      <c r="E15" s="19" t="e">
        <f>'Evolutive SFP'!#REF!/'Evolutive SFP'!#REF!</f>
        <v>#REF!</v>
      </c>
      <c r="F15" s="19">
        <f>'Evolutive SFP'!D4/'Evolutive SFP'!D27</f>
        <v>8.653985110673873E-2</v>
      </c>
      <c r="G15" s="19">
        <f>'Evolutive SFP'!E4/'Evolutive SFP'!E27</f>
        <v>5.835652707655363E-2</v>
      </c>
      <c r="H15" s="19">
        <f>'Evolutive SFP'!F4/'Evolutive SFP'!F27</f>
        <v>6.1963792931454237E-2</v>
      </c>
      <c r="I15" s="19">
        <f>'Evolutive SFP'!G4/'Evolutive SFP'!G27</f>
        <v>5.8596355496595212E-2</v>
      </c>
      <c r="J15" s="19">
        <f>'Evolutive SFP'!H4/'Evolutive SFP'!H27</f>
        <v>5.89839595981159E-2</v>
      </c>
      <c r="K15" s="19">
        <f>'Evolutive SFP'!I4/'Evolutive SFP'!I27</f>
        <v>8.7571758405945971E-2</v>
      </c>
      <c r="L15" s="19">
        <f>'Evolutive SFP'!J4/'Evolutive SFP'!J27</f>
        <v>5.0777125182200546E-2</v>
      </c>
      <c r="M15" s="19">
        <f>'Evolutive SFP'!K4/'Evolutive SFP'!K27</f>
        <v>5.5053685786158227E-2</v>
      </c>
      <c r="N15" s="19">
        <f>'Evolutive SFP'!L4/'Evolutive SFP'!L27</f>
        <v>5.4237140984124653E-2</v>
      </c>
      <c r="O15" s="19">
        <f>'Evolutive SFP'!M4/'Evolutive SFP'!M27</f>
        <v>5.2833271911972061E-2</v>
      </c>
      <c r="P15" s="19">
        <f>'Evolutive SFP'!N4/'Evolutive SFP'!N27</f>
        <v>3.8876833281516844E-2</v>
      </c>
      <c r="Q15" s="19">
        <f>'Evolutive SFP'!O4/'Evolutive SFP'!O27</f>
        <v>4.7439600455181856E-2</v>
      </c>
      <c r="R15" s="19">
        <f>'Evolutive SFP'!P4/'Evolutive SFP'!P27</f>
        <v>4.7952041787338182E-2</v>
      </c>
    </row>
    <row r="16" spans="1:18" ht="15">
      <c r="A16" s="81" t="s">
        <v>109</v>
      </c>
      <c r="B16" s="2" t="s">
        <v>110</v>
      </c>
      <c r="C16" s="17" t="s">
        <v>111</v>
      </c>
      <c r="D16" s="19" t="e">
        <f>('Evolutive SFP'!#REF!+'Evolutive SFP'!#REF!)/'Evolutive SFP'!#REF!</f>
        <v>#REF!</v>
      </c>
      <c r="E16" s="19" t="e">
        <f>('Evolutive SFP'!#REF!+'Evolutive SFP'!#REF!)/'Evolutive SFP'!#REF!</f>
        <v>#REF!</v>
      </c>
      <c r="F16" s="19">
        <f>('Evolutive SFP'!D7+'Evolutive SFP'!D21)/'Evolutive SFP'!D27</f>
        <v>2.1906941549499959E-2</v>
      </c>
      <c r="G16" s="19">
        <f>('Evolutive SFP'!E7+'Evolutive SFP'!E21)/'Evolutive SFP'!E27</f>
        <v>4.4334114675689824E-2</v>
      </c>
      <c r="H16" s="19">
        <f>('Evolutive SFP'!F7+'Evolutive SFP'!F21)/'Evolutive SFP'!F27</f>
        <v>6.2737018077069023E-2</v>
      </c>
      <c r="I16" s="19">
        <f>('Evolutive SFP'!G7+'Evolutive SFP'!G21)/'Evolutive SFP'!G27</f>
        <v>4.7051458302238676E-2</v>
      </c>
      <c r="J16" s="19">
        <f>('Evolutive SFP'!H7+'Evolutive SFP'!H21)/'Evolutive SFP'!H27</f>
        <v>4.6549560079478865E-2</v>
      </c>
      <c r="K16" s="19">
        <f>('Evolutive SFP'!I7+'Evolutive SFP'!I21)/'Evolutive SFP'!I27</f>
        <v>5.1394732739093701E-2</v>
      </c>
      <c r="L16" s="19">
        <f>('Evolutive SFP'!J7+'Evolutive SFP'!J21)/'Evolutive SFP'!J27</f>
        <v>3.8887039721156605E-2</v>
      </c>
      <c r="M16" s="19">
        <f>('Evolutive SFP'!K7+'Evolutive SFP'!K21)/'Evolutive SFP'!K27</f>
        <v>6.8862197597771915E-2</v>
      </c>
      <c r="N16" s="19">
        <f>('Evolutive SFP'!L7+'Evolutive SFP'!L21)/'Evolutive SFP'!L27</f>
        <v>5.3598072471888705E-2</v>
      </c>
      <c r="O16" s="19">
        <f>('Evolutive SFP'!M7+'Evolutive SFP'!M21)/'Evolutive SFP'!M27</f>
        <v>5.1835999757733689E-2</v>
      </c>
      <c r="P16" s="19">
        <f>('Evolutive SFP'!N7+'Evolutive SFP'!N21)/'Evolutive SFP'!N27</f>
        <v>6.9549521108562828E-2</v>
      </c>
      <c r="Q16" s="19">
        <f>('Evolutive SFP'!O7+'Evolutive SFP'!O21)/'Evolutive SFP'!O27</f>
        <v>7.7118677163625068E-2</v>
      </c>
      <c r="R16" s="19">
        <f>('Evolutive SFP'!P7+'Evolutive SFP'!P21)/'Evolutive SFP'!P27</f>
        <v>6.715162157235792E-2</v>
      </c>
    </row>
    <row r="17" spans="1:18" ht="15">
      <c r="A17" s="81"/>
      <c r="B17" s="2" t="s">
        <v>112</v>
      </c>
      <c r="C17" s="17" t="s">
        <v>113</v>
      </c>
      <c r="D17" s="19" t="e">
        <f>'Evolutive SFP'!#REF!/'Evolutive SFP'!#REF!</f>
        <v>#REF!</v>
      </c>
      <c r="E17" s="19" t="e">
        <f>'Evolutive SFP'!#REF!/'Evolutive SFP'!#REF!</f>
        <v>#REF!</v>
      </c>
      <c r="F17" s="19">
        <f>'Evolutive SFP'!D21/'Evolutive SFP'!D27</f>
        <v>2.1906941549499959E-2</v>
      </c>
      <c r="G17" s="19">
        <f>'Evolutive SFP'!E21/'Evolutive SFP'!E27</f>
        <v>2.4918913223679763E-2</v>
      </c>
      <c r="H17" s="19">
        <f>'Evolutive SFP'!F21/'Evolutive SFP'!F27</f>
        <v>2.3843363003537118E-2</v>
      </c>
      <c r="I17" s="19">
        <f>'Evolutive SFP'!G21/'Evolutive SFP'!G27</f>
        <v>2.4843429629884544E-2</v>
      </c>
      <c r="J17" s="19">
        <f>'Evolutive SFP'!H21/'Evolutive SFP'!H27</f>
        <v>2.8290326284527514E-2</v>
      </c>
      <c r="K17" s="19">
        <f>'Evolutive SFP'!I21/'Evolutive SFP'!I27</f>
        <v>3.1552070409403894E-2</v>
      </c>
      <c r="L17" s="19">
        <f>'Evolutive SFP'!J21/'Evolutive SFP'!J27</f>
        <v>3.8391751258162021E-2</v>
      </c>
      <c r="M17" s="19">
        <f>'Evolutive SFP'!K21/'Evolutive SFP'!K27</f>
        <v>3.6421811681276721E-2</v>
      </c>
      <c r="N17" s="19">
        <f>'Evolutive SFP'!L21/'Evolutive SFP'!L27</f>
        <v>3.3600994005049914E-2</v>
      </c>
      <c r="O17" s="19">
        <f>'Evolutive SFP'!M21/'Evolutive SFP'!M27</f>
        <v>3.4400149621700779E-2</v>
      </c>
      <c r="P17" s="19">
        <f>'Evolutive SFP'!N21/'Evolutive SFP'!N27</f>
        <v>3.4451446789610818E-2</v>
      </c>
      <c r="Q17" s="19">
        <f>'Evolutive SFP'!O21/'Evolutive SFP'!O27</f>
        <v>3.2824147004888816E-2</v>
      </c>
      <c r="R17" s="19">
        <f>'Evolutive SFP'!P21/'Evolutive SFP'!P27</f>
        <v>3.2892411563745991E-2</v>
      </c>
    </row>
    <row r="18" spans="1:18" ht="15">
      <c r="A18" s="81"/>
      <c r="B18" s="2" t="s">
        <v>114</v>
      </c>
      <c r="C18" s="17" t="s">
        <v>113</v>
      </c>
      <c r="D18" s="19" t="e">
        <f>'Evolutive SFP'!#REF!/'Evolutive SFP'!#REF!</f>
        <v>#REF!</v>
      </c>
      <c r="E18" s="19" t="e">
        <f>'Evolutive SFP'!#REF!/'Evolutive SFP'!#REF!</f>
        <v>#REF!</v>
      </c>
      <c r="F18" s="19">
        <f>'Evolutive SFP'!D41/'Evolutive SFP'!D31</f>
        <v>0.10939128827545866</v>
      </c>
      <c r="G18" s="19">
        <f>'Evolutive SFP'!E41/'Evolutive SFP'!E31</f>
        <v>0.11048288568552941</v>
      </c>
      <c r="H18" s="19">
        <f>'Evolutive SFP'!F41/'Evolutive SFP'!F31</f>
        <v>0.10948033906233451</v>
      </c>
      <c r="I18" s="19">
        <f>'Evolutive SFP'!G41/'Evolutive SFP'!G31</f>
        <v>0.10938017997663106</v>
      </c>
      <c r="J18" s="19">
        <f>'Evolutive SFP'!H41/'Evolutive SFP'!H31</f>
        <v>0.10823902674380592</v>
      </c>
      <c r="K18" s="19">
        <f>'Evolutive SFP'!I41/'Evolutive SFP'!I31</f>
        <v>0.1060951203573096</v>
      </c>
      <c r="L18" s="19">
        <f>'Evolutive SFP'!J41/'Evolutive SFP'!J31</f>
        <v>0.10571079628067813</v>
      </c>
      <c r="M18" s="19">
        <f>'Evolutive SFP'!K41/'Evolutive SFP'!K31</f>
        <v>0.10473150286020301</v>
      </c>
      <c r="N18" s="19">
        <f>'Evolutive SFP'!L41/'Evolutive SFP'!L31</f>
        <v>0.10466876907706063</v>
      </c>
      <c r="O18" s="19">
        <f>'Evolutive SFP'!M41/'Evolutive SFP'!M31</f>
        <v>0.10264723880381675</v>
      </c>
      <c r="P18" s="19">
        <f>'Evolutive SFP'!N41/'Evolutive SFP'!N31</f>
        <v>9.0486574964886449E-2</v>
      </c>
      <c r="Q18" s="19">
        <f>'Evolutive SFP'!O41/'Evolutive SFP'!O31</f>
        <v>7.8273286402661832E-2</v>
      </c>
      <c r="R18" s="19">
        <f>'Evolutive SFP'!P41/'Evolutive SFP'!P31</f>
        <v>9.2177951764856159E-2</v>
      </c>
    </row>
    <row r="19" spans="1:18">
      <c r="A19" s="81"/>
      <c r="B19" s="41" t="s">
        <v>115</v>
      </c>
      <c r="C19" s="18" t="s">
        <v>116</v>
      </c>
      <c r="D19" s="19" t="e">
        <f>'Evolutive SFP'!#REF!/(CAELS!D3*1000000)</f>
        <v>#REF!</v>
      </c>
      <c r="E19" s="19" t="e">
        <f>'Evolutive SFP'!#REF!/(CAELS!E3*1000000)</f>
        <v>#REF!</v>
      </c>
      <c r="F19" s="19">
        <f>'Evolutive SFP'!D41/(CAELS!F3*1000000)</f>
        <v>0.22062857096464752</v>
      </c>
      <c r="G19" s="19">
        <f>'Evolutive SFP'!E41/(CAELS!G3*1000000)</f>
        <v>0.21804318595856709</v>
      </c>
      <c r="H19" s="19">
        <f>'Evolutive SFP'!F41/(CAELS!H3*1000000)</f>
        <v>0.21614041979136769</v>
      </c>
      <c r="I19" s="19">
        <f>'Evolutive SFP'!G41/(CAELS!I3*1000000)</f>
        <v>0.21110919765942152</v>
      </c>
      <c r="J19" s="19">
        <f>'Evolutive SFP'!H41/(CAELS!J3*1000000)</f>
        <v>0.20663199594569101</v>
      </c>
      <c r="K19" s="19">
        <f>'Evolutive SFP'!I41/(CAELS!K3*1000000)</f>
        <v>0.20034188488130389</v>
      </c>
      <c r="L19" s="19">
        <f>'Evolutive SFP'!J41/(CAELS!L3*1000000)</f>
        <v>0.1976545872727192</v>
      </c>
      <c r="M19" s="19">
        <f>'Evolutive SFP'!K41/(CAELS!M3*1000000)</f>
        <v>0.19435619811370444</v>
      </c>
      <c r="N19" s="19">
        <f>'Evolutive SFP'!L41/(CAELS!N3*1000000)</f>
        <v>0.19685930193101697</v>
      </c>
      <c r="O19" s="19">
        <f>'Evolutive SFP'!M41/(CAELS!O3*1000000)</f>
        <v>0.19637884115467261</v>
      </c>
      <c r="P19" s="19">
        <f>'Evolutive SFP'!N41/(CAELS!P3*1000000)</f>
        <v>0.17488819617814766</v>
      </c>
      <c r="Q19" s="19">
        <f>'Evolutive SFP'!O41/(CAELS!Q3*1000000)</f>
        <v>0.14586157897738672</v>
      </c>
      <c r="R19" s="19">
        <f>'Evolutive SFP'!P41/(CAELS!R3*1000000)</f>
        <v>0.16934552101437628</v>
      </c>
    </row>
    <row r="20" spans="1:18">
      <c r="A20" s="81"/>
      <c r="B20" s="3" t="s">
        <v>117</v>
      </c>
      <c r="C20" s="18"/>
      <c r="D20" s="19" t="e">
        <f>'Evolutive SFP'!#REF!/'Evolutive SFP'!#REF!</f>
        <v>#REF!</v>
      </c>
      <c r="E20" s="19" t="e">
        <f>'Evolutive SFP'!#REF!/'Evolutive SFP'!#REF!</f>
        <v>#REF!</v>
      </c>
      <c r="F20" s="19">
        <f>'Evolutive SFP'!D15/'Evolutive SFP'!D27</f>
        <v>0.99188072310855524</v>
      </c>
      <c r="G20" s="19">
        <f>'Evolutive SFP'!E15/'Evolutive SFP'!E27</f>
        <v>0.99934111274653747</v>
      </c>
      <c r="H20" s="19">
        <f>'Evolutive SFP'!F15/'Evolutive SFP'!F27</f>
        <v>0.97670346373960459</v>
      </c>
      <c r="I20" s="19">
        <f>'Evolutive SFP'!G15/'Evolutive SFP'!G27</f>
        <v>0.99163571713636278</v>
      </c>
      <c r="J20" s="19">
        <f>'Evolutive SFP'!H15/'Evolutive SFP'!H27</f>
        <v>0.99271034978520334</v>
      </c>
      <c r="K20" s="19">
        <f>'Evolutive SFP'!I15/'Evolutive SFP'!I27</f>
        <v>0.95550040707035289</v>
      </c>
      <c r="L20" s="19">
        <f>'Evolutive SFP'!J15/'Evolutive SFP'!J27</f>
        <v>1.008197490201302</v>
      </c>
      <c r="M20" s="19">
        <f>'Evolutive SFP'!K15/'Evolutive SFP'!K27</f>
        <v>0.97178233554435656</v>
      </c>
      <c r="N20" s="19">
        <f>'Evolutive SFP'!L15/'Evolutive SFP'!L27</f>
        <v>0.98993718832128452</v>
      </c>
      <c r="O20" s="19">
        <f>'Evolutive SFP'!M15/'Evolutive SFP'!M27</f>
        <v>0.9951110828597598</v>
      </c>
      <c r="P20" s="19">
        <f>'Evolutive SFP'!N15/'Evolutive SFP'!N27</f>
        <v>1.0042157393592734</v>
      </c>
      <c r="Q20" s="19">
        <f>'Evolutive SFP'!O15/'Evolutive SFP'!O27</f>
        <v>0.98369794739551464</v>
      </c>
      <c r="R20" s="19">
        <f>'Evolutive SFP'!P15/'Evolutive SFP'!P27</f>
        <v>0.99432170952745713</v>
      </c>
    </row>
    <row r="21" spans="1:18">
      <c r="A21" s="80" t="s">
        <v>118</v>
      </c>
      <c r="B21" s="42" t="s">
        <v>119</v>
      </c>
      <c r="C21" s="1"/>
      <c r="D21" s="19" t="e">
        <f>'Evolutive SFP'!#REF!/'Evolutive SFP'!#REF!</f>
        <v>#REF!</v>
      </c>
      <c r="E21" s="19" t="e">
        <f>'Evolutive SFP'!#REF!/'Evolutive SFP'!#REF!</f>
        <v>#REF!</v>
      </c>
      <c r="F21" s="19">
        <f>'Evolutive SFP'!D31/'Evolutive SFP'!D27</f>
        <v>0.64967230537802989</v>
      </c>
      <c r="G21" s="19">
        <f>'Evolutive SFP'!E31/'Evolutive SFP'!E27</f>
        <v>0.64224763536735874</v>
      </c>
      <c r="H21" s="19">
        <f>'Evolutive SFP'!F31/'Evolutive SFP'!F27</f>
        <v>0.6136254002142072</v>
      </c>
      <c r="I21" s="19">
        <f>'Evolutive SFP'!G31/'Evolutive SFP'!G27</f>
        <v>0.615061586865293</v>
      </c>
      <c r="J21" s="19">
        <f>'Evolutive SFP'!H31/'Evolutive SFP'!H27</f>
        <v>0.61523560217970508</v>
      </c>
      <c r="K21" s="19">
        <f>'Evolutive SFP'!I31/'Evolutive SFP'!I27</f>
        <v>0.59832948911024908</v>
      </c>
      <c r="L21" s="19">
        <f>'Evolutive SFP'!J31/'Evolutive SFP'!J27</f>
        <v>0.62341459541364463</v>
      </c>
      <c r="M21" s="19">
        <f>'Evolutive SFP'!K31/'Evolutive SFP'!K27</f>
        <v>0.59512202242826284</v>
      </c>
      <c r="N21" s="19">
        <f>'Evolutive SFP'!L31/'Evolutive SFP'!L27</f>
        <v>0.59294708618936731</v>
      </c>
      <c r="O21" s="19">
        <f>'Evolutive SFP'!M31/'Evolutive SFP'!M27</f>
        <v>0.60423157146664452</v>
      </c>
      <c r="P21" s="19">
        <f>'Evolutive SFP'!N31/'Evolutive SFP'!N27</f>
        <v>0.60382046002937995</v>
      </c>
      <c r="Q21" s="19">
        <f>'Evolutive SFP'!O31/'Evolutive SFP'!O27</f>
        <v>0.58350896729509083</v>
      </c>
      <c r="R21" s="19">
        <f>'Evolutive SFP'!P31/'Evolutive SFP'!P27</f>
        <v>0.58981076001810984</v>
      </c>
    </row>
    <row r="22" spans="1:18">
      <c r="A22" s="80"/>
      <c r="B22" s="42" t="s">
        <v>120</v>
      </c>
      <c r="C22" s="1"/>
      <c r="D22" s="19" t="e">
        <f>'Evolutive SFP'!#REF!/'Evolutive SFP'!#REF!</f>
        <v>#REF!</v>
      </c>
      <c r="E22" s="19" t="e">
        <f>'Evolutive SFP'!#REF!/'Evolutive SFP'!#REF!</f>
        <v>#REF!</v>
      </c>
      <c r="F22" s="19">
        <f>'Evolutive SFP'!D30/'Evolutive SFP'!D27</f>
        <v>0.48241742545578503</v>
      </c>
      <c r="G22" s="19">
        <f>'Evolutive SFP'!E30/'Evolutive SFP'!E27</f>
        <v>0.47900690765439591</v>
      </c>
      <c r="H22" s="19">
        <f>'Evolutive SFP'!F30/'Evolutive SFP'!F27</f>
        <v>0.45895178709446505</v>
      </c>
      <c r="I22" s="19">
        <f>'Evolutive SFP'!G30/'Evolutive SFP'!G27</f>
        <v>0.4641844383142546</v>
      </c>
      <c r="J22" s="19">
        <f>'Evolutive SFP'!H30/'Evolutive SFP'!H27</f>
        <v>0.46446364845878013</v>
      </c>
      <c r="K22" s="19">
        <f>'Evolutive SFP'!I30/'Evolutive SFP'!I27</f>
        <v>0.44849254427015339</v>
      </c>
      <c r="L22" s="19">
        <f>'Evolutive SFP'!J30/'Evolutive SFP'!J27</f>
        <v>0.47288055961297121</v>
      </c>
      <c r="M22" s="19">
        <f>'Evolutive SFP'!K30/'Evolutive SFP'!K27</f>
        <v>0.45201921248287619</v>
      </c>
      <c r="N22" s="19">
        <f>'Evolutive SFP'!L30/'Evolutive SFP'!L27</f>
        <v>0.45476592077384148</v>
      </c>
      <c r="O22" s="19">
        <f>'Evolutive SFP'!M30/'Evolutive SFP'!M27</f>
        <v>0.46085458557667874</v>
      </c>
      <c r="P22" s="19">
        <f>'Evolutive SFP'!N30/'Evolutive SFP'!N27</f>
        <v>0.46019397693591968</v>
      </c>
      <c r="Q22" s="19">
        <f>'Evolutive SFP'!O30/'Evolutive SFP'!O27</f>
        <v>0.44684955839117912</v>
      </c>
      <c r="R22" s="19">
        <f>'Evolutive SFP'!P30/'Evolutive SFP'!P27</f>
        <v>0.45167545386895186</v>
      </c>
    </row>
    <row r="23" spans="1:18">
      <c r="A23" s="80"/>
      <c r="B23" s="42" t="s">
        <v>121</v>
      </c>
      <c r="C23" s="1"/>
      <c r="D23" s="19" t="e">
        <f>('Evolutive SFP'!#REF!+'Evolutive SFP'!#REF!)/'Evolutive SFP'!#REF!</f>
        <v>#REF!</v>
      </c>
      <c r="E23" s="19" t="e">
        <f>('Evolutive SFP'!#REF!+'Evolutive SFP'!#REF!)/'Evolutive SFP'!#REF!</f>
        <v>#REF!</v>
      </c>
      <c r="F23" s="19">
        <f>('Evolutive SFP'!D28+'Evolutive SFP'!D29)/'Evolutive SFP'!D27</f>
        <v>0.16725487992224486</v>
      </c>
      <c r="G23" s="19">
        <f>('Evolutive SFP'!E28+'Evolutive SFP'!E29)/'Evolutive SFP'!E27</f>
        <v>0.16324072771296283</v>
      </c>
      <c r="H23" s="19">
        <f>('Evolutive SFP'!F28+'Evolutive SFP'!F29)/'Evolutive SFP'!F27</f>
        <v>0.15467361311974218</v>
      </c>
      <c r="I23" s="19">
        <f>('Evolutive SFP'!G28+'Evolutive SFP'!G29)/'Evolutive SFP'!G27</f>
        <v>0.15087714855103831</v>
      </c>
      <c r="J23" s="19">
        <f>('Evolutive SFP'!H28+'Evolutive SFP'!H29)/'Evolutive SFP'!H27</f>
        <v>0.15077195372092494</v>
      </c>
      <c r="K23" s="19">
        <f>('Evolutive SFP'!I28+'Evolutive SFP'!I29)/'Evolutive SFP'!I27</f>
        <v>0.14983694484009558</v>
      </c>
      <c r="L23" s="19">
        <f>('Evolutive SFP'!J28+'Evolutive SFP'!J29)/'Evolutive SFP'!J27</f>
        <v>0.15053403580067343</v>
      </c>
      <c r="M23" s="19">
        <f>('Evolutive SFP'!K28+'Evolutive SFP'!K29)/'Evolutive SFP'!K27</f>
        <v>0.14310280994538666</v>
      </c>
      <c r="N23" s="19">
        <f>('Evolutive SFP'!L28+'Evolutive SFP'!L29)/'Evolutive SFP'!L27</f>
        <v>0.13818116541552589</v>
      </c>
      <c r="O23" s="19">
        <f>('Evolutive SFP'!M28+'Evolutive SFP'!M29)/'Evolutive SFP'!M27</f>
        <v>0.14337698588996581</v>
      </c>
      <c r="P23" s="19">
        <f>('Evolutive SFP'!N28+'Evolutive SFP'!N29)/'Evolutive SFP'!N27</f>
        <v>0.14362648309346021</v>
      </c>
      <c r="Q23" s="19">
        <f>('Evolutive SFP'!O28+'Evolutive SFP'!O29)/'Evolutive SFP'!O27</f>
        <v>0.13665940890391173</v>
      </c>
      <c r="R23" s="19">
        <f>('Evolutive SFP'!P28+'Evolutive SFP'!P29)/'Evolutive SFP'!P27</f>
        <v>0.13813530614915798</v>
      </c>
    </row>
    <row r="24" spans="1:18">
      <c r="A24" s="79" t="s">
        <v>122</v>
      </c>
      <c r="B24" s="42" t="s">
        <v>27</v>
      </c>
      <c r="C24" s="1"/>
      <c r="D24" s="19" t="e">
        <f>(Financials!#REF!-Financials!#REF!)/Financials!#REF!</f>
        <v>#REF!</v>
      </c>
      <c r="E24" s="19" t="e">
        <f>(Financials!#REF!-Financials!#REF!)/Financials!#REF!</f>
        <v>#REF!</v>
      </c>
      <c r="F24" s="19" t="e">
        <f>(Financials!C4-Financials!#REF!)/Financials!#REF!</f>
        <v>#REF!</v>
      </c>
      <c r="G24" s="19">
        <f>(Financials!D4-Financials!C4)/Financials!C4</f>
        <v>1.5659875618136481E-3</v>
      </c>
      <c r="H24" s="19">
        <f>(Financials!E4-Financials!D4)/Financials!D4</f>
        <v>5.6228935420367117E-2</v>
      </c>
      <c r="I24" s="19">
        <f>(Financials!F4-Financials!E4)/Financials!E4</f>
        <v>-1.4214703483453734E-3</v>
      </c>
      <c r="J24" s="19">
        <f>(Financials!G4-Financials!F4)/Financials!F4</f>
        <v>1.0257074614519378E-2</v>
      </c>
      <c r="K24" s="19">
        <f>(Financials!H4-Financials!G4)/Financials!G4</f>
        <v>4.9033892945479482E-2</v>
      </c>
      <c r="L24" s="19">
        <f>(Financials!I4-Financials!H4)/Financials!H4</f>
        <v>-3.6748913155231169E-2</v>
      </c>
      <c r="M24" s="19">
        <f>(Financials!J4-Financials!I4)/Financials!I4</f>
        <v>5.7335838400112214E-2</v>
      </c>
      <c r="N24" s="19">
        <f>(Financials!K4-Financials!J4)/Financials!J4</f>
        <v>4.2695644274851029E-3</v>
      </c>
      <c r="O24" s="19">
        <f>(Financials!L4-Financials!K4)/Financials!K4</f>
        <v>6.5039459039725332E-4</v>
      </c>
      <c r="P24" s="19">
        <f>(Financials!M4-Financials!L4)/Financials!L4</f>
        <v>1.2691564612873319E-2</v>
      </c>
      <c r="Q24" s="19">
        <f>(Financials!N4-Financials!M4)/Financials!M4</f>
        <v>3.835054954992663E-2</v>
      </c>
      <c r="R24" s="19">
        <f>(Financials!O4-Financials!N4)/Financials!N4</f>
        <v>-1.0684431482908333E-2</v>
      </c>
    </row>
    <row r="25" spans="1:18">
      <c r="A25" s="79"/>
      <c r="B25" s="42" t="s">
        <v>123</v>
      </c>
      <c r="C25" s="1" t="e">
        <f>IF(CAELS!#REF!&lt;6%,"1",_xludf.IF)</f>
        <v>#REF!</v>
      </c>
      <c r="D25" s="19" t="e">
        <f>Financials!#REF!/Financials!#REF!-1</f>
        <v>#REF!</v>
      </c>
      <c r="E25" s="19" t="e">
        <f>Financials!#REF!/Financials!#REF!-1</f>
        <v>#REF!</v>
      </c>
      <c r="F25" s="19">
        <f>Financials!D5/Financials!C5-1</f>
        <v>-9.8802398516073531E-3</v>
      </c>
      <c r="G25" s="19">
        <f>Financials!E5/Financials!D5-1</f>
        <v>9.1573211389497366E-3</v>
      </c>
      <c r="H25" s="19">
        <f>Financials!F5/Financials!E5-1</f>
        <v>9.156968449388625E-4</v>
      </c>
      <c r="I25" s="19">
        <f>Financials!G5/Financials!F5-1</f>
        <v>1.054289997937774E-2</v>
      </c>
      <c r="J25" s="19">
        <f>Financials!H5/Financials!G5-1</f>
        <v>2.0207398599257242E-2</v>
      </c>
      <c r="K25" s="19">
        <f>Financials!I5/Financials!H5-1</f>
        <v>3.6356180272356653E-3</v>
      </c>
      <c r="L25" s="19">
        <f>Financials!J5/Financials!I5-1</f>
        <v>9.350514350799477E-3</v>
      </c>
      <c r="M25" s="19">
        <f>Financials!K5/Financials!J5-1</f>
        <v>5.9935531577903767E-4</v>
      </c>
      <c r="N25" s="19">
        <f>Financials!L5/Financials!K5-1</f>
        <v>1.9693956669477597E-2</v>
      </c>
      <c r="O25" s="19">
        <f>Financials!M5/Financials!L5-1</f>
        <v>1.2002542217662837E-2</v>
      </c>
      <c r="P25" s="19">
        <f>Financials!N5/Financials!M5-1</f>
        <v>3.4222040582845281E-3</v>
      </c>
      <c r="Q25" s="19">
        <f>Financials!O5/Financials!N5-1</f>
        <v>1.1948997347133172E-10</v>
      </c>
      <c r="R25" s="19">
        <f>Financials!P5/Financials!O5-1</f>
        <v>-1</v>
      </c>
    </row>
    <row r="26" spans="1:18">
      <c r="A26" s="79"/>
      <c r="B26" s="43" t="s">
        <v>124</v>
      </c>
      <c r="C26" s="1"/>
      <c r="D26" s="19" t="e">
        <f>Financials!#REF!/Financials!#REF!-1</f>
        <v>#REF!</v>
      </c>
      <c r="E26" s="19" t="e">
        <f>Financials!#REF!/Financials!#REF!-1</f>
        <v>#REF!</v>
      </c>
      <c r="F26" s="19">
        <f>Financials!D6/Financials!C6-1</f>
        <v>-5.5147239747113108E-3</v>
      </c>
      <c r="G26" s="19">
        <f>Financials!E6/Financials!D6-1</f>
        <v>1.2006611482553886E-2</v>
      </c>
      <c r="H26" s="19">
        <f>Financials!F6/Financials!E6-1</f>
        <v>9.9636322009162281E-3</v>
      </c>
      <c r="I26" s="19">
        <f>Financials!G6/Financials!F6-1</f>
        <v>1.0864751220041713E-2</v>
      </c>
      <c r="J26" s="19">
        <f>Financials!H6/Financials!G6-1</f>
        <v>1.2961684372799542E-2</v>
      </c>
      <c r="K26" s="19">
        <f>Financials!I6/Financials!H6-1</f>
        <v>1.5630513403988688E-2</v>
      </c>
      <c r="L26" s="19">
        <f>Financials!J6/Financials!I6-1</f>
        <v>1.0690973202000409E-2</v>
      </c>
      <c r="M26" s="19">
        <f>Financials!K6/Financials!J6-1</f>
        <v>1.0372038532126204E-2</v>
      </c>
      <c r="N26" s="19">
        <f>Financials!L6/Financials!K6-1</f>
        <v>1.4047671209367341E-2</v>
      </c>
      <c r="O26" s="19">
        <f>Financials!M6/Financials!L6-1</f>
        <v>1.1239929283759942E-2</v>
      </c>
      <c r="P26" s="19">
        <f>Financials!N6/Financials!M6-1</f>
        <v>8.2411065241543291E-3</v>
      </c>
      <c r="Q26" s="19">
        <f>Financials!O6/Financials!N6-1</f>
        <v>8.5931484150592041E-11</v>
      </c>
      <c r="R26" s="19">
        <f>Financials!P6/Financials!O6-1</f>
        <v>-1</v>
      </c>
    </row>
    <row r="27" spans="1:18">
      <c r="A27" s="79"/>
      <c r="B27" s="43" t="s">
        <v>125</v>
      </c>
      <c r="C27" s="1"/>
      <c r="D27" s="19" t="e">
        <f>Financials!#REF!/Financials!#REF!-1</f>
        <v>#REF!</v>
      </c>
      <c r="E27" s="19" t="e">
        <f>Financials!#REF!/Financials!#REF!-1</f>
        <v>#REF!</v>
      </c>
      <c r="F27" s="19">
        <f>Financials!D7/Financials!C7-1</f>
        <v>-2.247180627464751E-2</v>
      </c>
      <c r="G27" s="19">
        <f>Financials!E7/Financials!D7-1</f>
        <v>7.9648021633915711E-4</v>
      </c>
      <c r="H27" s="19">
        <f>Financials!F7/Financials!E7-1</f>
        <v>-2.5931585101765076E-2</v>
      </c>
      <c r="I27" s="19">
        <f>Financials!G7/Financials!F7-1</f>
        <v>9.5527014052196879E-3</v>
      </c>
      <c r="J27" s="19">
        <f>Financials!H7/Financials!G7-1</f>
        <v>4.2528332846347494E-2</v>
      </c>
      <c r="K27" s="19">
        <f>Financials!I7/Financials!H7-1</f>
        <v>-3.2267550924288346E-2</v>
      </c>
      <c r="L27" s="19">
        <f>Financials!J7/Financials!I7-1</f>
        <v>5.1396597867630067E-3</v>
      </c>
      <c r="M27" s="19">
        <f>Financials!K7/Financials!J7-1</f>
        <v>-3.0269644202705059E-2</v>
      </c>
      <c r="N27" s="19">
        <f>Financials!L7/Financials!K7-1</f>
        <v>3.8276360418189936E-2</v>
      </c>
      <c r="O27" s="19">
        <f>Financials!M7/Financials!L7-1</f>
        <v>1.4453798013198682E-2</v>
      </c>
      <c r="P27" s="19">
        <f>Financials!N7/Financials!M7-1</f>
        <v>-1.2018053493603409E-2</v>
      </c>
      <c r="Q27" s="19">
        <f>Financials!O7/Financials!N7-1</f>
        <v>2.2921953224397384E-10</v>
      </c>
      <c r="R27" s="19">
        <f>Financials!P7/Financials!O7-1</f>
        <v>-1</v>
      </c>
    </row>
    <row r="28" spans="1:18">
      <c r="A28" s="79"/>
      <c r="B28" s="42" t="s">
        <v>126</v>
      </c>
      <c r="C28" s="1"/>
      <c r="D28" s="19" t="e">
        <f>Financials!#REF!/Financials!#REF!-1</f>
        <v>#REF!</v>
      </c>
      <c r="E28" s="19" t="e">
        <f>Financials!#REF!/Financials!#REF!-1</f>
        <v>#REF!</v>
      </c>
      <c r="F28" s="19">
        <f>Financials!D31/Financials!C31-1</f>
        <v>9.0992245138779015E-3</v>
      </c>
      <c r="G28" s="19">
        <f>Financials!E31/Financials!D31-1</f>
        <v>3.2302630772199192E-2</v>
      </c>
      <c r="H28" s="19">
        <f>Financials!F31/Financials!E31-1</f>
        <v>1.3845218257661385E-2</v>
      </c>
      <c r="I28" s="19">
        <f>Financials!G31/Financials!F31-1</f>
        <v>1.1351887172540209E-2</v>
      </c>
      <c r="J28" s="19">
        <f>Financials!H31/Financials!G31-1</f>
        <v>9.7127646114352206E-3</v>
      </c>
      <c r="K28" s="19">
        <f>Financials!I31/Financials!H31-1</f>
        <v>1.6375629988682361E-2</v>
      </c>
      <c r="L28" s="19">
        <f>Financials!J31/Financials!I31-1</f>
        <v>1.9145852356818871E-2</v>
      </c>
      <c r="M28" s="19">
        <f>Financials!K31/Financials!J31-1</f>
        <v>2.3031344122026898E-2</v>
      </c>
      <c r="N28" s="19">
        <f>Financials!L31/Financials!K31-1</f>
        <v>5.8802815696648025E-3</v>
      </c>
      <c r="O28" s="19">
        <f>Financials!M31/Financials!L31-1</f>
        <v>2.195707174526107E-2</v>
      </c>
      <c r="P28" s="19">
        <f>Financials!N31/Financials!M31-1</f>
        <v>1.7135326838208176E-2</v>
      </c>
      <c r="Q28" s="19">
        <f>Financials!O31/Financials!N31-1</f>
        <v>-4.6225467897897943E-11</v>
      </c>
      <c r="R28" s="19">
        <f>Financials!P31/Financials!O31-1</f>
        <v>-1</v>
      </c>
    </row>
    <row r="29" spans="1:18">
      <c r="A29" s="79"/>
      <c r="B29" s="42" t="s">
        <v>127</v>
      </c>
      <c r="C29" s="1"/>
      <c r="D29" s="19" t="e">
        <f>Financials!#REF!/Financials!#REF!-1</f>
        <v>#REF!</v>
      </c>
      <c r="E29" s="19" t="e">
        <f>Financials!#REF!/Financials!#REF!-1</f>
        <v>#REF!</v>
      </c>
      <c r="F29" s="19" t="e">
        <f>Financials!D11/Financials!C11-1</f>
        <v>#DIV/0!</v>
      </c>
      <c r="G29" s="19">
        <f>Financials!E11/Financials!D11-1</f>
        <v>8.902492748040558E-3</v>
      </c>
      <c r="H29" s="19">
        <f>Financials!F11/Financials!E11-1</f>
        <v>2.4429355117867813E-2</v>
      </c>
      <c r="I29" s="19">
        <f>Financials!G11/Financials!F11-1</f>
        <v>2.1736366073065394E-2</v>
      </c>
      <c r="J29" s="19">
        <f>Financials!H11/Financials!G11-1</f>
        <v>3.2196495161184835E-2</v>
      </c>
      <c r="K29" s="19">
        <f>Financials!I11/Financials!H11-1</f>
        <v>1.3848601322795195E-2</v>
      </c>
      <c r="L29" s="19">
        <f>Financials!J11/Financials!I11-1</f>
        <v>1.7291929984829535E-2</v>
      </c>
      <c r="M29" s="19">
        <f>Financials!K11/Financials!J11-1</f>
        <v>-1.3281302136813E-2</v>
      </c>
      <c r="N29" s="19">
        <f>Financials!L11/Financials!K11-1</f>
        <v>2.3499915730182952E-3</v>
      </c>
      <c r="O29" s="19">
        <f>Financials!M11/Financials!L11-1</f>
        <v>1.6160652761272321E-3</v>
      </c>
      <c r="P29" s="19">
        <f>Financials!N11/Financials!M11-1</f>
        <v>4.184015625447346E-2</v>
      </c>
      <c r="Q29" s="19">
        <f>Financials!O11/Financials!N11-1</f>
        <v>1.4773667459313744E-2</v>
      </c>
      <c r="R29" s="19">
        <f>Financials!P11/Financials!O11-1</f>
        <v>-1</v>
      </c>
    </row>
    <row r="30" spans="1:18">
      <c r="A30" s="79"/>
      <c r="B30" s="42" t="s">
        <v>128</v>
      </c>
      <c r="C30" s="1"/>
      <c r="D30" s="19" t="e">
        <f>Financials!#REF!/Financials!#REF!-1</f>
        <v>#REF!</v>
      </c>
      <c r="E30" s="19" t="e">
        <f>Financials!#REF!/Financials!#REF!-1</f>
        <v>#REF!</v>
      </c>
      <c r="F30" s="19">
        <f>Financials!D37/Financials!C37-1</f>
        <v>1.0928382510138213</v>
      </c>
      <c r="G30" s="19">
        <f>Financials!E37/Financials!D37-1</f>
        <v>0.49835441522796597</v>
      </c>
      <c r="H30" s="19">
        <f>Financials!F37/Financials!E37-1</f>
        <v>0.32717058234392371</v>
      </c>
      <c r="I30" s="19">
        <f>Financials!G37/Financials!F37-1</f>
        <v>0.21013634887813581</v>
      </c>
      <c r="J30" s="19">
        <f>Financials!H37/Financials!G37-1</f>
        <v>0.21870467170909502</v>
      </c>
      <c r="K30" s="19">
        <f>Financials!I37/Financials!H37-1</f>
        <v>0.1399987484201779</v>
      </c>
      <c r="L30" s="19">
        <f>Financials!J37/Financials!I37-1</f>
        <v>0.13343863493249053</v>
      </c>
      <c r="M30" s="19">
        <f>Financials!K37/Financials!J37-1</f>
        <v>0.15578918421002119</v>
      </c>
      <c r="N30" s="19">
        <f>Financials!L37/Financials!K37-1</f>
        <v>0.11263941993856674</v>
      </c>
      <c r="O30" s="19">
        <f>Financials!M37/Financials!L37-1</f>
        <v>0.10260834270178387</v>
      </c>
      <c r="P30" s="19">
        <f>Financials!N37/Financials!M37-1</f>
        <v>0.10073767151777635</v>
      </c>
      <c r="Q30" s="19">
        <f>Financials!O37/Financials!N37-1</f>
        <v>6.7602601075642532E-2</v>
      </c>
      <c r="R30" s="19">
        <f>Financials!P37/Financials!O37-1</f>
        <v>-1</v>
      </c>
    </row>
    <row r="31" spans="1:18">
      <c r="A31" s="79"/>
      <c r="B31" s="42" t="s">
        <v>129</v>
      </c>
      <c r="C31" s="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18">
      <c r="A32" s="79"/>
      <c r="B32" s="42" t="s">
        <v>130</v>
      </c>
      <c r="C32" s="1"/>
      <c r="D32" s="19" t="e">
        <f>'Evolutitve SCI'!F39/'Evolutitve SCI'!#REF!-1</f>
        <v>#REF!</v>
      </c>
      <c r="E32" s="19" t="e">
        <f>'Evolutitve SCI'!G39/'Evolutitve SCI'!D39-1</f>
        <v>#REF!</v>
      </c>
      <c r="F32" s="19" t="e">
        <f>'Evolutitve SCI'!Q39/'Evolutitve SCI'!P39-1</f>
        <v>#DIV/0!</v>
      </c>
      <c r="G32" s="19" t="e">
        <f>'Evolutitve SCI'!R39/'Evolutitve SCI'!Q39-1</f>
        <v>#DIV/0!</v>
      </c>
      <c r="H32" s="19" t="e">
        <f>'Evolutitve SCI'!S39/'Evolutitve SCI'!R39-1</f>
        <v>#DIV/0!</v>
      </c>
      <c r="I32" s="19" t="e">
        <f>'Evolutitve SCI'!T39/'Evolutitve SCI'!S39-1</f>
        <v>#DIV/0!</v>
      </c>
      <c r="J32" s="19" t="e">
        <f>'Evolutitve SCI'!U39/'Evolutitve SCI'!T39-1</f>
        <v>#DIV/0!</v>
      </c>
      <c r="K32" s="19" t="e">
        <f>'Evolutitve SCI'!V39/'Evolutitve SCI'!U39-1</f>
        <v>#DIV/0!</v>
      </c>
      <c r="L32" s="19" t="e">
        <f>'Evolutitve SCI'!W39/'Evolutitve SCI'!V39-1</f>
        <v>#DIV/0!</v>
      </c>
      <c r="M32" s="19" t="e">
        <f>'Evolutitve SCI'!X39/'Evolutitve SCI'!W39-1</f>
        <v>#DIV/0!</v>
      </c>
      <c r="N32" s="19" t="e">
        <f>'Evolutitve SCI'!Y39/'Evolutitve SCI'!X39-1</f>
        <v>#DIV/0!</v>
      </c>
      <c r="O32" s="19" t="e">
        <f>'Evolutitve SCI'!Z39/'Evolutitve SCI'!Y39-1</f>
        <v>#DIV/0!</v>
      </c>
      <c r="P32" s="19" t="e">
        <f>'Evolutitve SCI'!AA39/'Evolutitve SCI'!Z39-1</f>
        <v>#DIV/0!</v>
      </c>
      <c r="Q32" s="19" t="e">
        <f>'Evolutitve SCI'!AB39/'Evolutitve SCI'!AA39-1</f>
        <v>#DIV/0!</v>
      </c>
      <c r="R32" s="19" t="e">
        <f>'Evolutitve SCI'!AC39/'Evolutitve SCI'!AB39-1</f>
        <v>#DIV/0!</v>
      </c>
    </row>
    <row r="33" spans="1:18">
      <c r="A33" s="47" t="s">
        <v>131</v>
      </c>
      <c r="B33" s="42" t="s">
        <v>132</v>
      </c>
      <c r="C33" s="1"/>
      <c r="D33" s="19"/>
      <c r="E33" s="19"/>
      <c r="F33" s="19" t="e">
        <f>Financials!C44/('Evolutive SFP'!#REF!+'Evolutive SFP'!D30)/2</f>
        <v>#REF!</v>
      </c>
      <c r="G33" s="19">
        <f>Financials!D44/('Evolutive SFP'!D30+'Evolutive SFP'!E30)/2</f>
        <v>4.0347806807175856E-3</v>
      </c>
      <c r="H33" s="19">
        <f>Financials!E44/('Evolutive SFP'!E30+'Evolutive SFP'!F30)/2</f>
        <v>7.2442927650092515E-3</v>
      </c>
      <c r="I33" s="19">
        <f>Financials!F44/('Evolutive SFP'!F30+'Evolutive SFP'!G30)/2</f>
        <v>1.0338753230715227E-2</v>
      </c>
      <c r="J33" s="19">
        <f>Financials!G44/('Evolutive SFP'!G30+'Evolutive SFP'!H30)/2</f>
        <v>1.3290031874736746E-2</v>
      </c>
      <c r="K33" s="19">
        <f>Financials!H44/('Evolutive SFP'!H30+'Evolutive SFP'!I30)/2</f>
        <v>1.5029511638170467E-2</v>
      </c>
      <c r="L33" s="19">
        <f>Financials!I44/('Evolutive SFP'!I30+'Evolutive SFP'!J30)/2</f>
        <v>1.9185823691585228E-2</v>
      </c>
      <c r="M33" s="19">
        <f>Financials!J44/('Evolutive SFP'!J30+'Evolutive SFP'!K30)/2</f>
        <v>2.0775109079155377E-2</v>
      </c>
      <c r="N33" s="19">
        <f>Financials!K44/('Evolutive SFP'!K30+'Evolutive SFP'!L30)/2</f>
        <v>3.0011374910771389E-2</v>
      </c>
      <c r="O33" s="19">
        <f>Financials!L44/('Evolutive SFP'!L30+'Evolutive SFP'!M30)/2</f>
        <v>3.3809142726948654E-2</v>
      </c>
      <c r="P33" s="19">
        <f>Financials!M44/('Evolutive SFP'!M30+'Evolutive SFP'!N30)/2</f>
        <v>3.4164502279408586E-2</v>
      </c>
      <c r="Q33" s="19">
        <f>Financials!N44/('Evolutive SFP'!N30+'Evolutive SFP'!O30)/2</f>
        <v>3.3339069494805695E-2</v>
      </c>
      <c r="R33" s="19">
        <f>Financials!O44/('Evolutive SFP'!O30+'Evolutive SFP'!P30)/2</f>
        <v>3.0028773920152935E-2</v>
      </c>
    </row>
    <row r="34" spans="1:18">
      <c r="A34" s="48"/>
      <c r="B34" s="42" t="s">
        <v>133</v>
      </c>
      <c r="C34" s="1"/>
      <c r="D34" s="19"/>
      <c r="E34" s="19"/>
      <c r="F34" s="19" t="e">
        <f>Financials!C45/('Evolutive SFP'!#REF!+'Evolutive SFP'!D39)/2</f>
        <v>#REF!</v>
      </c>
      <c r="G34" s="19">
        <f>Financials!D45/('Evolutive SFP'!D39+'Evolutive SFP'!E39)/2</f>
        <v>0</v>
      </c>
      <c r="H34" s="19">
        <f>Financials!E45/('Evolutive SFP'!E39+'Evolutive SFP'!F39)/2</f>
        <v>0</v>
      </c>
      <c r="I34" s="19">
        <f>Financials!F45/('Evolutive SFP'!F39+'Evolutive SFP'!G39)/2</f>
        <v>0</v>
      </c>
      <c r="J34" s="19">
        <f>Financials!G45/('Evolutive SFP'!G39+'Evolutive SFP'!H39)/2</f>
        <v>0</v>
      </c>
      <c r="K34" s="19">
        <f>Financials!H45/('Evolutive SFP'!H39+'Evolutive SFP'!I39)/2</f>
        <v>0</v>
      </c>
      <c r="L34" s="19">
        <f>Financials!I45/('Evolutive SFP'!I39+'Evolutive SFP'!J39)/2</f>
        <v>0</v>
      </c>
      <c r="M34" s="19">
        <f>Financials!J45/('Evolutive SFP'!J39+'Evolutive SFP'!K39)/2</f>
        <v>0</v>
      </c>
      <c r="N34" s="19">
        <f>Financials!K45/('Evolutive SFP'!K39+'Evolutive SFP'!L39)/2</f>
        <v>0</v>
      </c>
      <c r="O34" s="19">
        <f>Financials!L45/('Evolutive SFP'!L39+'Evolutive SFP'!M39)/2</f>
        <v>0</v>
      </c>
      <c r="P34" s="19">
        <f>Financials!M45/('Evolutive SFP'!M39+'Evolutive SFP'!N39)/2</f>
        <v>0</v>
      </c>
      <c r="Q34" s="19">
        <f>Financials!N45/('Evolutive SFP'!N39+'Evolutive SFP'!O39)/2</f>
        <v>0</v>
      </c>
      <c r="R34" s="19">
        <f>Financials!O45/('Evolutive SFP'!O39+'Evolutive SFP'!P39)/2</f>
        <v>0</v>
      </c>
    </row>
    <row r="35" spans="1:18">
      <c r="A35" s="48"/>
      <c r="B35" s="42" t="s">
        <v>134</v>
      </c>
      <c r="C35" s="1"/>
      <c r="D35" s="19"/>
      <c r="E35" s="19"/>
      <c r="F35" s="19" t="e">
        <f>Financials!C46/(Financials!#REF!+Financials!C31)/2</f>
        <v>#REF!</v>
      </c>
      <c r="G35" s="19">
        <f>Financials!D46/(Financials!C31+Financials!D31)/2</f>
        <v>5.8701931679249452E-6</v>
      </c>
      <c r="H35" s="19">
        <f>Financials!E46/(Financials!D31+Financials!E31)/2</f>
        <v>5.7508432054161142E-6</v>
      </c>
      <c r="I35" s="19">
        <f>Financials!F46/(Financials!E31+Financials!F31)/2</f>
        <v>5.6219474778461635E-6</v>
      </c>
      <c r="J35" s="19">
        <f>Financials!G46/(Financials!F31+Financials!G31)/2</f>
        <v>5.5520473029635256E-6</v>
      </c>
      <c r="K35" s="19">
        <f>Financials!H46/(Financials!G31+Financials!H31)/2</f>
        <v>5.4942059490018153E-6</v>
      </c>
      <c r="L35" s="19">
        <f>Financials!I46/(Financials!H31+Financials!I31)/2</f>
        <v>5.4233750555834205E-6</v>
      </c>
      <c r="M35" s="19">
        <f>Financials!J46/(Financials!I31+Financials!J31)/2</f>
        <v>5.3286739154966186E-6</v>
      </c>
      <c r="N35" s="19">
        <f>Financials!K46/(Financials!J31+Financials!K31)/2</f>
        <v>5.2185263766911349E-6</v>
      </c>
      <c r="O35" s="19">
        <f>Financials!L46/(Financials!K31+Financials!L31)/2</f>
        <v>5.144658423906319E-6</v>
      </c>
      <c r="P35" s="19">
        <f>Financials!M46/(Financials!L31+Financials!M31)/2</f>
        <v>5.0739166531501603E-6</v>
      </c>
      <c r="Q35" s="19">
        <f>Financials!N46/(Financials!M31+Financials!N31)/2</f>
        <v>4.9767700086947889E-6</v>
      </c>
      <c r="R35" s="19">
        <f>Financials!O46/(Financials!N31+Financials!O31)/2</f>
        <v>0</v>
      </c>
    </row>
    <row r="36" spans="1:18">
      <c r="A36" s="48"/>
      <c r="B36" s="42" t="s">
        <v>135</v>
      </c>
      <c r="C36" s="1"/>
      <c r="D36" s="19"/>
      <c r="E36" s="19"/>
      <c r="F36" s="19" t="e">
        <f>Financials!C47/(Financials!#REF!+Financials!C4)/2</f>
        <v>#REF!</v>
      </c>
      <c r="G36" s="19">
        <f>Financials!D47/(Financials!C4+Financials!D4)/2</f>
        <v>2.5242230451882892E-3</v>
      </c>
      <c r="H36" s="19">
        <f>Financials!E47/(Financials!D4+Financials!E4)/2</f>
        <v>3.3756679384465194E-3</v>
      </c>
      <c r="I36" s="19">
        <f>Financials!F47/(Financials!E4+Financials!F4)/2</f>
        <v>4.0578619827751168E-3</v>
      </c>
      <c r="J36" s="19">
        <f>Financials!G47/(Financials!F4+Financials!G4)/2</f>
        <v>4.0847228377033995E-3</v>
      </c>
      <c r="K36" s="19">
        <f>Financials!H47/(Financials!G4+Financials!H4)/2</f>
        <v>4.661036385023503E-3</v>
      </c>
      <c r="L36" s="19">
        <f>Financials!I47/(Financials!H4+Financials!I4)/2</f>
        <v>5.2849284228042729E-3</v>
      </c>
      <c r="M36" s="19">
        <f>Financials!J47/(Financials!I4+Financials!J4)/2</f>
        <v>5.8241364937004101E-3</v>
      </c>
      <c r="N36" s="19">
        <f>Financials!K47/(Financials!J4+Financials!K4)/2</f>
        <v>6.3102009950209538E-3</v>
      </c>
      <c r="O36" s="19">
        <f>Financials!L47/(Financials!K4+Financials!L4)/2</f>
        <v>7.4008066067199106E-3</v>
      </c>
      <c r="P36" s="19">
        <f>Financials!M47/(Financials!L4+Financials!M4)/2</f>
        <v>8.4333567555379962E-3</v>
      </c>
      <c r="Q36" s="19">
        <f>Financials!N47/(Financials!M4+Financials!N4)/2</f>
        <v>9.387324449475893E-3</v>
      </c>
      <c r="R36" s="19">
        <f>Financials!O47/(Financials!N4+Financials!O4)/2</f>
        <v>1.3592605130528323E-2</v>
      </c>
    </row>
    <row r="37" spans="1:18">
      <c r="A37" s="48"/>
      <c r="B37" s="42" t="s">
        <v>136</v>
      </c>
      <c r="C37" s="1"/>
      <c r="D37" s="19"/>
      <c r="E37" s="19"/>
      <c r="F37" s="19">
        <f>Financials!C47/Financials!C37</f>
        <v>0.3163281968807789</v>
      </c>
      <c r="G37" s="19">
        <f>Financials!D47/Financials!D37</f>
        <v>0.30113284222396114</v>
      </c>
      <c r="H37" s="19">
        <f>Financials!E47/Financials!E37</f>
        <v>0.27653918871356375</v>
      </c>
      <c r="I37" s="19">
        <f>Financials!F47/Financials!F37</f>
        <v>0.25714335299362823</v>
      </c>
      <c r="J37" s="19">
        <f>Financials!G47/Financials!G37</f>
        <v>0.21484187014274386</v>
      </c>
      <c r="K37" s="19">
        <f>Financials!H47/Financials!H37</f>
        <v>0.20714277554487226</v>
      </c>
      <c r="L37" s="19">
        <f>Financials!I47/Financials!I37</f>
        <v>0.20708004829265814</v>
      </c>
      <c r="M37" s="19">
        <f>Financials!J47/Financials!J37</f>
        <v>0.20323641841395518</v>
      </c>
      <c r="N37" s="19">
        <f>Financials!K47/Financials!K37</f>
        <v>0.19624493114320304</v>
      </c>
      <c r="O37" s="19">
        <f>Financials!L47/Financials!L37</f>
        <v>0.20736967256219593</v>
      </c>
      <c r="P37" s="19">
        <f>Financials!M47/Financials!M37</f>
        <v>0.21574154176872665</v>
      </c>
      <c r="Q37" s="19">
        <f>Financials!N47/Financials!N37</f>
        <v>0.22375365833010344</v>
      </c>
      <c r="R37" s="19">
        <f>Financials!O47/Financials!O37</f>
        <v>0.30753191846251821</v>
      </c>
    </row>
    <row r="38" spans="1:18">
      <c r="A38" s="48"/>
      <c r="B38" s="42" t="s">
        <v>137</v>
      </c>
      <c r="C38" s="1"/>
      <c r="D38" s="19"/>
      <c r="E38" s="19"/>
      <c r="F38" s="19" t="e">
        <f>Financials!C38/('Evolutive SFP'!D14+'Evolutive SFP'!#REF!)/2</f>
        <v>#REF!</v>
      </c>
      <c r="G38" s="19">
        <f>Financials!D38/('Evolutive SFP'!E14+'Evolutive SFP'!D14)/2</f>
        <v>9.2762628758614116E-3</v>
      </c>
      <c r="H38" s="19">
        <f>Financials!E38/('Evolutive SFP'!F14+'Evolutive SFP'!E14)/2</f>
        <v>1.354555316862004E-2</v>
      </c>
      <c r="I38" s="19">
        <f>Financials!F38/('Evolutive SFP'!G14+'Evolutive SFP'!F14)/2</f>
        <v>1.7569228299892735E-2</v>
      </c>
      <c r="J38" s="19">
        <f>Financials!G38/('Evolutive SFP'!H14+'Evolutive SFP'!G14)/2</f>
        <v>2.0945677866044045E-2</v>
      </c>
      <c r="K38" s="19">
        <f>Financials!H38/('Evolutive SFP'!I14+'Evolutive SFP'!H14)/2</f>
        <v>2.529995879363502E-2</v>
      </c>
      <c r="L38" s="19">
        <f>Financials!I38/('Evolutive SFP'!J14+'Evolutive SFP'!I14)/2</f>
        <v>2.8437503206872279E-2</v>
      </c>
      <c r="M38" s="19">
        <f>Financials!J38/('Evolutive SFP'!K14+'Evolutive SFP'!J14)/2</f>
        <v>3.163659581772036E-2</v>
      </c>
      <c r="N38" s="19">
        <f>Financials!K38/('Evolutive SFP'!L14+'Evolutive SFP'!K14)/2</f>
        <v>3.5864581526046178E-2</v>
      </c>
      <c r="O38" s="19">
        <f>Financials!L38/('Evolutive SFP'!M14+'Evolutive SFP'!L14)/2</f>
        <v>3.9388755421997872E-2</v>
      </c>
      <c r="P38" s="19">
        <f>Financials!M38/('Evolutive SFP'!N14+'Evolutive SFP'!M14)/2</f>
        <v>4.3164052911688684E-2</v>
      </c>
      <c r="Q38" s="19">
        <f>Financials!N38/('Evolutive SFP'!O14+'Evolutive SFP'!N14)/2</f>
        <v>4.6737264605631212E-2</v>
      </c>
      <c r="R38" s="19">
        <f>Financials!O38/('Evolutive SFP'!P14+'Evolutive SFP'!O14)/2</f>
        <v>4.6288202641146976E-2</v>
      </c>
    </row>
    <row r="39" spans="1:18">
      <c r="A39" s="48"/>
      <c r="B39" s="42" t="s">
        <v>138</v>
      </c>
      <c r="C39" s="1"/>
      <c r="D39" s="19"/>
      <c r="E39" s="19"/>
      <c r="F39" s="19" t="e">
        <f>Financials!C37/('Evolutive SFP'!D15+'Evolutive SFP'!#REF!)/2</f>
        <v>#REF!</v>
      </c>
      <c r="G39" s="19">
        <f>Financials!D37/('Evolutive SFP'!E15+'Evolutive SFP'!D15)/2</f>
        <v>8.4193522627132086E-3</v>
      </c>
      <c r="H39" s="19">
        <f>Financials!E37/('Evolutive SFP'!F15+'Evolutive SFP'!E15)/2</f>
        <v>1.2358687953791248E-2</v>
      </c>
      <c r="I39" s="19">
        <f>Financials!F37/('Evolutive SFP'!G15+'Evolutive SFP'!F15)/2</f>
        <v>1.6034461181718203E-2</v>
      </c>
      <c r="J39" s="19">
        <f>Financials!G37/('Evolutive SFP'!H15+'Evolutive SFP'!G15)/2</f>
        <v>1.9162627181881751E-2</v>
      </c>
      <c r="K39" s="19">
        <f>Financials!H37/('Evolutive SFP'!I15+'Evolutive SFP'!H15)/2</f>
        <v>2.3110285111826549E-2</v>
      </c>
      <c r="L39" s="19">
        <f>Financials!I37/('Evolutive SFP'!J15+'Evolutive SFP'!I15)/2</f>
        <v>2.6006049353424415E-2</v>
      </c>
      <c r="M39" s="19">
        <f>Financials!J37/('Evolutive SFP'!K15+'Evolutive SFP'!J15)/2</f>
        <v>2.8961556582194365E-2</v>
      </c>
      <c r="N39" s="19">
        <f>Financials!K37/('Evolutive SFP'!L15+'Evolutive SFP'!K15)/2</f>
        <v>3.2781533386070087E-2</v>
      </c>
      <c r="O39" s="19">
        <f>Financials!L37/('Evolutive SFP'!M15+'Evolutive SFP'!L15)/2</f>
        <v>3.595773846268762E-2</v>
      </c>
      <c r="P39" s="19">
        <f>Financials!M37/('Evolutive SFP'!N15+'Evolutive SFP'!M15)/2</f>
        <v>3.9102131063609991E-2</v>
      </c>
      <c r="Q39" s="19">
        <f>Financials!N37/('Evolutive SFP'!O15+'Evolutive SFP'!N15)/2</f>
        <v>4.2217109916357375E-2</v>
      </c>
      <c r="R39" s="19">
        <f>Financials!O37/('Evolutive SFP'!P15+'Evolutive SFP'!O15)/2</f>
        <v>4.4691447776638013E-2</v>
      </c>
    </row>
    <row r="40" spans="1:18">
      <c r="A40" s="49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8" ht="15" thickBot="1">
      <c r="A41" s="50" t="s">
        <v>139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47"/>
  <sheetViews>
    <sheetView topLeftCell="A16" workbookViewId="0">
      <pane xSplit="2" topLeftCell="H1" activePane="topRight" state="frozen"/>
      <selection pane="topRight" activeCell="O6" sqref="O6"/>
    </sheetView>
  </sheetViews>
  <sheetFormatPr defaultRowHeight="14.45"/>
  <cols>
    <col min="2" max="2" width="35.5703125" bestFit="1" customWidth="1"/>
    <col min="3" max="3" width="13.5703125" bestFit="1" customWidth="1"/>
    <col min="4" max="15" width="13.85546875" bestFit="1" customWidth="1"/>
  </cols>
  <sheetData>
    <row r="1" spans="1:15">
      <c r="A1" s="26"/>
      <c r="B1" s="52" t="s">
        <v>140</v>
      </c>
    </row>
    <row r="2" spans="1:15">
      <c r="A2" s="26"/>
      <c r="B2" s="27" t="s">
        <v>141</v>
      </c>
      <c r="C2" s="4">
        <v>44562</v>
      </c>
      <c r="D2" s="4">
        <v>44593</v>
      </c>
      <c r="E2" s="4">
        <v>44621</v>
      </c>
      <c r="F2" s="4">
        <v>44652</v>
      </c>
      <c r="G2" s="4">
        <v>44682</v>
      </c>
      <c r="H2" s="4">
        <v>44713</v>
      </c>
      <c r="I2" s="4">
        <v>44743</v>
      </c>
      <c r="J2" s="4">
        <v>44774</v>
      </c>
      <c r="K2" s="4">
        <v>44805</v>
      </c>
      <c r="L2" s="4">
        <v>44835</v>
      </c>
      <c r="M2" s="4">
        <v>44866</v>
      </c>
      <c r="N2" s="4">
        <v>44896</v>
      </c>
      <c r="O2" s="4" t="s">
        <v>3</v>
      </c>
    </row>
    <row r="3" spans="1:15">
      <c r="A3" s="28">
        <v>1</v>
      </c>
      <c r="B3" s="28" t="s">
        <v>129</v>
      </c>
      <c r="C3" s="1"/>
      <c r="D3" s="1"/>
      <c r="E3" s="1"/>
      <c r="F3" s="1"/>
    </row>
    <row r="4" spans="1:15">
      <c r="A4" s="28">
        <v>2</v>
      </c>
      <c r="B4" s="28" t="s">
        <v>27</v>
      </c>
      <c r="C4" s="53">
        <f>'Evolutive SFP'!D27</f>
        <v>8213397030.5</v>
      </c>
      <c r="D4" s="53">
        <f>'Evolutive SFP'!E27</f>
        <v>8226259108.0900002</v>
      </c>
      <c r="E4" s="53">
        <f>'Evolutive SFP'!F27</f>
        <v>8688812900.2299995</v>
      </c>
      <c r="F4" s="53">
        <f>'Evolutive SFP'!G27</f>
        <v>8676462010.3300018</v>
      </c>
      <c r="G4" s="53">
        <f>'Evolutive SFP'!H27</f>
        <v>8765457128.5599995</v>
      </c>
      <c r="H4" s="53">
        <f>'Evolutive SFP'!I27</f>
        <v>9195261615.0200005</v>
      </c>
      <c r="I4" s="53">
        <f>'Evolutive SFP'!J27</f>
        <v>8857345744.4899998</v>
      </c>
      <c r="J4" s="53">
        <f>'Evolutive SFP'!K27</f>
        <v>9365189088.75</v>
      </c>
      <c r="K4" s="53">
        <f>'Evolutive SFP'!L27</f>
        <v>9405174366.9399986</v>
      </c>
      <c r="L4" s="53">
        <f>'Evolutive SFP'!M27</f>
        <v>9411291441.4699993</v>
      </c>
      <c r="M4" s="53">
        <f>'Evolutive SFP'!N27</f>
        <v>9530735454.8899975</v>
      </c>
      <c r="N4" s="53">
        <f>'Evolutive SFP'!O27</f>
        <v>9896244397.1999989</v>
      </c>
      <c r="O4" s="53">
        <f>'Evolutive SFP'!P27</f>
        <v>9790508652</v>
      </c>
    </row>
    <row r="5" spans="1:15">
      <c r="A5" s="28">
        <v>3</v>
      </c>
      <c r="B5" s="28" t="s">
        <v>123</v>
      </c>
      <c r="C5" s="53">
        <f>'Evolutive SFP'!D31</f>
        <v>5336016583.79</v>
      </c>
      <c r="D5" s="53">
        <f>'Evolutive SFP'!E31</f>
        <v>5283295460.0900002</v>
      </c>
      <c r="E5" s="53">
        <f>'Evolutive SFP'!F31</f>
        <v>5331676293.29</v>
      </c>
      <c r="F5" s="53">
        <f>'Evolutive SFP'!G31</f>
        <v>5336558492.4500008</v>
      </c>
      <c r="G5" s="53">
        <f>'Evolutive SFP'!H31</f>
        <v>5392821294.8699999</v>
      </c>
      <c r="H5" s="53">
        <f>'Evolutive SFP'!I31</f>
        <v>5501796184.3500004</v>
      </c>
      <c r="I5" s="53">
        <f>'Evolutive SFP'!J31</f>
        <v>5521798613.7399998</v>
      </c>
      <c r="J5" s="53">
        <f>'Evolutive SFP'!K31</f>
        <v>5573430270.9200001</v>
      </c>
      <c r="K5" s="53">
        <f>'Evolutive SFP'!L31</f>
        <v>5576770735.9799995</v>
      </c>
      <c r="L5" s="53">
        <f>'Evolutive SFP'!M31</f>
        <v>5686599417.21</v>
      </c>
      <c r="M5" s="53">
        <f>'Evolutive SFP'!N31</f>
        <v>5754853066.79</v>
      </c>
      <c r="N5" s="53">
        <f>'Evolutive SFP'!O31</f>
        <v>5774547348.3099995</v>
      </c>
      <c r="O5" s="53">
        <f>'Evolutive SFP'!P31</f>
        <v>5774547349</v>
      </c>
    </row>
    <row r="6" spans="1:15">
      <c r="A6" s="28">
        <v>3.1</v>
      </c>
      <c r="B6" s="29" t="s">
        <v>142</v>
      </c>
      <c r="C6" s="53">
        <f>'Evolutive SFP'!D30</f>
        <v>3962285849.6999998</v>
      </c>
      <c r="D6" s="53">
        <f>'Evolutive SFP'!E30</f>
        <v>3940434936.9299998</v>
      </c>
      <c r="E6" s="53">
        <f>'Evolutive SFP'!F30</f>
        <v>3987746208.29</v>
      </c>
      <c r="F6" s="53">
        <f>'Evolutive SFP'!G30</f>
        <v>4027478644.8200002</v>
      </c>
      <c r="G6" s="53">
        <f>'Evolutive SFP'!H30</f>
        <v>4071236198.3400002</v>
      </c>
      <c r="H6" s="53">
        <f>'Evolutive SFP'!I30</f>
        <v>4124006276.9499998</v>
      </c>
      <c r="I6" s="53">
        <f>'Evolutive SFP'!J30</f>
        <v>4188466612.3400002</v>
      </c>
      <c r="J6" s="53">
        <f>'Evolutive SFP'!K30</f>
        <v>4233245396.6500001</v>
      </c>
      <c r="K6" s="53">
        <f>'Evolutive SFP'!L30</f>
        <v>4277152781.02</v>
      </c>
      <c r="L6" s="53">
        <f>'Evolutive SFP'!M30</f>
        <v>4337236817</v>
      </c>
      <c r="M6" s="53">
        <f>'Evolutive SFP'!N30</f>
        <v>4385987052.1099997</v>
      </c>
      <c r="N6" s="53">
        <f>'Evolutive SFP'!O30</f>
        <v>4422132438.6199999</v>
      </c>
      <c r="O6" s="53">
        <f>'Evolutive SFP'!P30</f>
        <v>4422132439</v>
      </c>
    </row>
    <row r="7" spans="1:15">
      <c r="A7" s="28">
        <v>3.2</v>
      </c>
      <c r="B7" s="29" t="s">
        <v>143</v>
      </c>
      <c r="C7" s="53">
        <f>('Evolutive SFP'!D28+'Evolutive SFP'!D29)</f>
        <v>1373730734.0899999</v>
      </c>
      <c r="D7" s="53">
        <f>('Evolutive SFP'!E28+'Evolutive SFP'!E29)</f>
        <v>1342860523.1600001</v>
      </c>
      <c r="E7" s="53">
        <f>('Evolutive SFP'!F28+'Evolutive SFP'!F29)</f>
        <v>1343930085</v>
      </c>
      <c r="F7" s="53">
        <f>('Evolutive SFP'!G28+'Evolutive SFP'!G29)</f>
        <v>1309079847.6300001</v>
      </c>
      <c r="G7" s="53">
        <f>('Evolutive SFP'!H28+'Evolutive SFP'!H29)</f>
        <v>1321585096.53</v>
      </c>
      <c r="H7" s="53">
        <f>('Evolutive SFP'!I28+'Evolutive SFP'!I29)</f>
        <v>1377789907.4000001</v>
      </c>
      <c r="I7" s="53">
        <f>('Evolutive SFP'!J28+'Evolutive SFP'!J29)</f>
        <v>1333332001.4000001</v>
      </c>
      <c r="J7" s="53">
        <f>('Evolutive SFP'!K28+'Evolutive SFP'!K29)</f>
        <v>1340184874.27</v>
      </c>
      <c r="K7" s="53">
        <f>('Evolutive SFP'!L28+'Evolutive SFP'!L29)</f>
        <v>1299617954.96</v>
      </c>
      <c r="L7" s="53">
        <f>('Evolutive SFP'!M28+'Evolutive SFP'!M29)</f>
        <v>1349362600.21</v>
      </c>
      <c r="M7" s="53">
        <f>('Evolutive SFP'!N28+'Evolutive SFP'!N29)</f>
        <v>1368866014.6800001</v>
      </c>
      <c r="N7" s="53">
        <f>('Evolutive SFP'!O28+'Evolutive SFP'!O29)</f>
        <v>1352414909.6900001</v>
      </c>
      <c r="O7" s="53">
        <f>('Evolutive SFP'!P28+'Evolutive SFP'!P29)</f>
        <v>1352414910</v>
      </c>
    </row>
    <row r="8" spans="1:15">
      <c r="A8" s="28">
        <v>4</v>
      </c>
      <c r="B8" s="28" t="s">
        <v>144</v>
      </c>
      <c r="C8" s="53">
        <f>'Evolutive SFP'!D37</f>
        <v>0</v>
      </c>
      <c r="D8" s="53">
        <f>'Evolutive SFP'!E37</f>
        <v>0</v>
      </c>
      <c r="E8" s="53">
        <f>'Evolutive SFP'!F37</f>
        <v>0</v>
      </c>
      <c r="F8" s="53">
        <f>'Evolutive SFP'!G37</f>
        <v>0</v>
      </c>
      <c r="G8" s="53">
        <f>'Evolutive SFP'!H37</f>
        <v>0</v>
      </c>
      <c r="H8" s="53">
        <f>'Evolutive SFP'!I37</f>
        <v>0</v>
      </c>
      <c r="I8" s="53">
        <f>'Evolutive SFP'!J37</f>
        <v>0</v>
      </c>
      <c r="J8" s="53">
        <f>'Evolutive SFP'!K37</f>
        <v>0</v>
      </c>
      <c r="K8" s="53">
        <f>'Evolutive SFP'!L37</f>
        <v>0</v>
      </c>
      <c r="L8" s="53">
        <f>'Evolutive SFP'!M37</f>
        <v>0</v>
      </c>
      <c r="M8" s="53">
        <f>'Evolutive SFP'!N37</f>
        <v>0</v>
      </c>
      <c r="N8" s="53">
        <f>'Evolutive SFP'!O37</f>
        <v>0</v>
      </c>
      <c r="O8" s="53">
        <f>'Evolutive SFP'!P37</f>
        <v>0</v>
      </c>
    </row>
    <row r="9" spans="1:15">
      <c r="A9" s="28"/>
      <c r="B9" s="28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</row>
    <row r="10" spans="1:15">
      <c r="A10" s="30">
        <v>5</v>
      </c>
      <c r="B10" s="26" t="s">
        <v>145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</row>
    <row r="11" spans="1:15" s="25" customFormat="1">
      <c r="A11" s="38">
        <v>5.0999999999999996</v>
      </c>
      <c r="B11" s="26" t="s">
        <v>88</v>
      </c>
      <c r="C11" s="54"/>
      <c r="D11" s="54">
        <f t="shared" ref="D11:O11" si="0">D14-D22-D25</f>
        <v>2591087263.1799998</v>
      </c>
      <c r="E11" s="54">
        <f t="shared" si="0"/>
        <v>2614154398.75</v>
      </c>
      <c r="F11" s="54">
        <f t="shared" si="0"/>
        <v>2678016504.8899999</v>
      </c>
      <c r="G11" s="54">
        <f t="shared" si="0"/>
        <v>2736226851.9899998</v>
      </c>
      <c r="H11" s="54">
        <f t="shared" si="0"/>
        <v>2824323766.5899997</v>
      </c>
      <c r="I11" s="54">
        <f t="shared" si="0"/>
        <v>2863436700.4400001</v>
      </c>
      <c r="J11" s="54">
        <f t="shared" si="0"/>
        <v>2912951047.3800001</v>
      </c>
      <c r="K11" s="54">
        <f t="shared" si="0"/>
        <v>2874263264.4100003</v>
      </c>
      <c r="L11" s="54">
        <f t="shared" si="0"/>
        <v>2881017758.8600001</v>
      </c>
      <c r="M11" s="54">
        <f t="shared" si="0"/>
        <v>2885673671.6199999</v>
      </c>
      <c r="N11" s="54">
        <f t="shared" si="0"/>
        <v>3006410708.9400005</v>
      </c>
      <c r="O11" s="54">
        <f t="shared" si="0"/>
        <v>3050826421</v>
      </c>
    </row>
    <row r="12" spans="1:15" s="25" customFormat="1">
      <c r="A12" s="38">
        <v>5.2</v>
      </c>
      <c r="B12" s="26" t="s">
        <v>146</v>
      </c>
      <c r="C12" s="54"/>
      <c r="D12" s="54">
        <f t="shared" ref="D12:O12" si="1">D11-D15</f>
        <v>2300994257.4299998</v>
      </c>
      <c r="E12" s="54">
        <f t="shared" si="1"/>
        <v>2322894083.8699999</v>
      </c>
      <c r="F12" s="54">
        <f t="shared" si="1"/>
        <v>2385105658.7999997</v>
      </c>
      <c r="G12" s="54">
        <f t="shared" si="1"/>
        <v>2441709386.3599997</v>
      </c>
      <c r="H12" s="54">
        <f t="shared" si="1"/>
        <v>2529039549.3899999</v>
      </c>
      <c r="I12" s="54">
        <f t="shared" si="1"/>
        <v>2550617337.6500001</v>
      </c>
      <c r="J12" s="54">
        <f t="shared" si="1"/>
        <v>2599266773.4300003</v>
      </c>
      <c r="K12" s="54">
        <f t="shared" si="1"/>
        <v>2559037768.7800002</v>
      </c>
      <c r="L12" s="54">
        <f t="shared" si="1"/>
        <v>2564492718.3099999</v>
      </c>
      <c r="M12" s="54">
        <f t="shared" si="1"/>
        <v>2567810323.0900002</v>
      </c>
      <c r="N12" s="54">
        <f t="shared" si="1"/>
        <v>2687109902.1900005</v>
      </c>
      <c r="O12" s="54">
        <f t="shared" si="1"/>
        <v>2731525614</v>
      </c>
    </row>
    <row r="13" spans="1:15">
      <c r="A13" s="30"/>
      <c r="B13" s="26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</row>
    <row r="14" spans="1:15" s="25" customFormat="1">
      <c r="A14" s="38">
        <v>5.3</v>
      </c>
      <c r="B14" s="26" t="s">
        <v>147</v>
      </c>
      <c r="C14" s="54">
        <f t="shared" ref="C14:O14" si="2">C15+C16+C17+C18+C19+C20+C21</f>
        <v>804759957.08999991</v>
      </c>
      <c r="D14" s="54">
        <f t="shared" si="2"/>
        <v>2677055583.25</v>
      </c>
      <c r="E14" s="54">
        <f t="shared" si="2"/>
        <v>2700622719.8200002</v>
      </c>
      <c r="F14" s="54">
        <f t="shared" si="2"/>
        <v>2764984826.96</v>
      </c>
      <c r="G14" s="54">
        <f t="shared" si="2"/>
        <v>2824895175.0599999</v>
      </c>
      <c r="H14" s="54">
        <f t="shared" si="2"/>
        <v>2913588083.2199998</v>
      </c>
      <c r="I14" s="54">
        <f t="shared" si="2"/>
        <v>2953201018.0700002</v>
      </c>
      <c r="J14" s="54">
        <f t="shared" si="2"/>
        <v>3003319338.54</v>
      </c>
      <c r="K14" s="54">
        <f t="shared" si="2"/>
        <v>2965131556.5700002</v>
      </c>
      <c r="L14" s="54">
        <f t="shared" si="2"/>
        <v>2972386052.02</v>
      </c>
      <c r="M14" s="54">
        <f t="shared" si="2"/>
        <v>2977541965.7799997</v>
      </c>
      <c r="N14" s="54">
        <f t="shared" si="2"/>
        <v>3098779004.1000004</v>
      </c>
      <c r="O14" s="54">
        <f t="shared" si="2"/>
        <v>3143194717</v>
      </c>
    </row>
    <row r="15" spans="1:15">
      <c r="A15" s="30" t="s">
        <v>148</v>
      </c>
      <c r="B15" s="31" t="s">
        <v>149</v>
      </c>
      <c r="C15" s="53">
        <f>'Evolutive SFP'!D39</f>
        <v>288023154.89999998</v>
      </c>
      <c r="D15" s="53">
        <f>'Evolutive SFP'!E39</f>
        <v>290093005.75</v>
      </c>
      <c r="E15" s="53">
        <f>'Evolutive SFP'!F39</f>
        <v>291260314.88</v>
      </c>
      <c r="F15" s="53">
        <f>'Evolutive SFP'!G39</f>
        <v>292910846.08999997</v>
      </c>
      <c r="G15" s="53">
        <f>'Evolutive SFP'!H39</f>
        <v>294517465.63</v>
      </c>
      <c r="H15" s="53">
        <f>'Evolutive SFP'!I39</f>
        <v>295284217.19999999</v>
      </c>
      <c r="I15" s="53">
        <f>'Evolutive SFP'!J39</f>
        <v>312819362.79000002</v>
      </c>
      <c r="J15" s="53">
        <f>'Evolutive SFP'!K39</f>
        <v>313684273.94999999</v>
      </c>
      <c r="K15" s="53">
        <f>'Evolutive SFP'!L39</f>
        <v>315225495.63</v>
      </c>
      <c r="L15" s="53">
        <f>'Evolutive SFP'!M39</f>
        <v>316525040.55000001</v>
      </c>
      <c r="M15" s="53">
        <f>'Evolutive SFP'!N39</f>
        <v>317863348.52999997</v>
      </c>
      <c r="N15" s="53">
        <f>'Evolutive SFP'!O39</f>
        <v>319300806.75</v>
      </c>
      <c r="O15" s="53">
        <f>'Evolutive SFP'!P39</f>
        <v>319300807</v>
      </c>
    </row>
    <row r="16" spans="1:15">
      <c r="A16" s="30" t="s">
        <v>150</v>
      </c>
      <c r="B16" s="32" t="s">
        <v>151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</row>
    <row r="17" spans="1:15">
      <c r="A17" s="30" t="s">
        <v>152</v>
      </c>
      <c r="B17" s="29" t="s">
        <v>153</v>
      </c>
      <c r="C17" s="53">
        <f>'Evolutive SFP'!D41</f>
        <v>583713728.36000001</v>
      </c>
      <c r="D17" s="53">
        <f>'Evolutive SFP'!E41</f>
        <v>583713728.36000001</v>
      </c>
      <c r="E17" s="53">
        <f>'Evolutive SFP'!F41</f>
        <v>583713728.36000001</v>
      </c>
      <c r="F17" s="53">
        <f>'Evolutive SFP'!G41</f>
        <v>583713728.36000001</v>
      </c>
      <c r="G17" s="53">
        <f>'Evolutive SFP'!H41</f>
        <v>583713728.36000001</v>
      </c>
      <c r="H17" s="53">
        <f>'Evolutive SFP'!I41</f>
        <v>583713728.36000001</v>
      </c>
      <c r="I17" s="53">
        <f>'Evolutive SFP'!J41</f>
        <v>583713728.36000001</v>
      </c>
      <c r="J17" s="53">
        <f>'Evolutive SFP'!K41</f>
        <v>583713728.36000001</v>
      </c>
      <c r="K17" s="53">
        <f>'Evolutive SFP'!L41</f>
        <v>583713728.36000001</v>
      </c>
      <c r="L17" s="53">
        <f>'Evolutive SFP'!M41</f>
        <v>583713728.36000001</v>
      </c>
      <c r="M17" s="53">
        <f>'Evolutive SFP'!N41</f>
        <v>520736943.44</v>
      </c>
      <c r="N17" s="53">
        <f>'Evolutive SFP'!O41</f>
        <v>451992798.44</v>
      </c>
      <c r="O17" s="53">
        <f>'Evolutive SFP'!P41</f>
        <v>532285947</v>
      </c>
    </row>
    <row r="18" spans="1:15">
      <c r="A18" s="30" t="s">
        <v>154</v>
      </c>
      <c r="B18" s="29" t="s">
        <v>155</v>
      </c>
      <c r="C18" s="53">
        <f>'Evolutive SFP'!D42</f>
        <v>69314542.879999995</v>
      </c>
      <c r="D18" s="53">
        <f>'Evolutive SFP'!E42</f>
        <v>88615150.239999995</v>
      </c>
      <c r="E18" s="53">
        <f>'Evolutive SFP'!F42</f>
        <v>98514977.680000007</v>
      </c>
      <c r="F18" s="53">
        <f>'Evolutive SFP'!G42</f>
        <v>148726553.61000001</v>
      </c>
      <c r="G18" s="53">
        <f>'Evolutive SFP'!H42</f>
        <v>194530282.16999999</v>
      </c>
      <c r="H18" s="53">
        <f>'Evolutive SFP'!I42</f>
        <v>269956438.75999999</v>
      </c>
      <c r="I18" s="53">
        <f>'Evolutive SFP'!J42</f>
        <v>279443387.37</v>
      </c>
      <c r="J18" s="53">
        <f>'Evolutive SFP'!K42</f>
        <v>316287637.32999998</v>
      </c>
      <c r="K18" s="53">
        <f>'Evolutive SFP'!L42</f>
        <v>239558633.68000001</v>
      </c>
      <c r="L18" s="53">
        <f>'Evolutive SFP'!M42</f>
        <v>192513584.21000001</v>
      </c>
      <c r="M18" s="53">
        <f>'Evolutive SFP'!N42</f>
        <v>226213373.34999999</v>
      </c>
      <c r="N18" s="53">
        <f>'Evolutive SFP'!O42</f>
        <v>344012953.44999999</v>
      </c>
      <c r="O18" s="53">
        <f>'Evolutive SFP'!P42</f>
        <v>253848042</v>
      </c>
    </row>
    <row r="19" spans="1:15">
      <c r="A19" s="30" t="s">
        <v>156</v>
      </c>
      <c r="B19" s="29" t="s">
        <v>43</v>
      </c>
      <c r="C19" s="53">
        <f>'Evolutive SFP'!D43</f>
        <v>347660931.89999998</v>
      </c>
      <c r="D19" s="53">
        <f>'Evolutive SFP'!E43</f>
        <v>347660931.89999998</v>
      </c>
      <c r="E19" s="53">
        <f>'Evolutive SFP'!F43</f>
        <v>347660931.89999998</v>
      </c>
      <c r="F19" s="53">
        <f>'Evolutive SFP'!G43</f>
        <v>347660931.89999998</v>
      </c>
      <c r="G19" s="53">
        <f>'Evolutive SFP'!H43</f>
        <v>347660931.89999998</v>
      </c>
      <c r="H19" s="53">
        <f>'Evolutive SFP'!I43</f>
        <v>347660931.89999998</v>
      </c>
      <c r="I19" s="53">
        <f>'Evolutive SFP'!J43</f>
        <v>347660931.89999998</v>
      </c>
      <c r="J19" s="53">
        <f>'Evolutive SFP'!K43</f>
        <v>347660931.89999998</v>
      </c>
      <c r="K19" s="53">
        <f>'Evolutive SFP'!L43</f>
        <v>347660931.89999998</v>
      </c>
      <c r="L19" s="53">
        <f>'Evolutive SFP'!M43</f>
        <v>347660931.89999998</v>
      </c>
      <c r="M19" s="53">
        <f>'Evolutive SFP'!N43</f>
        <v>357755533.45999998</v>
      </c>
      <c r="N19" s="53">
        <f>'Evolutive SFP'!O43</f>
        <v>426499678.45999998</v>
      </c>
      <c r="O19" s="53">
        <f>'Evolutive SFP'!P43</f>
        <v>480787154</v>
      </c>
    </row>
    <row r="20" spans="1:15">
      <c r="A20" s="30" t="s">
        <v>157</v>
      </c>
      <c r="B20" s="29" t="s">
        <v>158</v>
      </c>
      <c r="C20" s="53"/>
      <c r="D20" s="53">
        <f>('Evolutive SFP'!E44)</f>
        <v>1366972767</v>
      </c>
      <c r="E20" s="53">
        <f>('Evolutive SFP'!F44)</f>
        <v>1379472767</v>
      </c>
      <c r="F20" s="53">
        <f>('Evolutive SFP'!G44)</f>
        <v>1391972767</v>
      </c>
      <c r="G20" s="53">
        <f>('Evolutive SFP'!H44)</f>
        <v>1404472767</v>
      </c>
      <c r="H20" s="53">
        <f>('Evolutive SFP'!I44)</f>
        <v>1416972767</v>
      </c>
      <c r="I20" s="53">
        <f>('Evolutive SFP'!J44)</f>
        <v>1429563607.6500001</v>
      </c>
      <c r="J20" s="53">
        <f>('Evolutive SFP'!K44)</f>
        <v>1441972767</v>
      </c>
      <c r="K20" s="53">
        <f>('Evolutive SFP'!L44)</f>
        <v>1478972767</v>
      </c>
      <c r="L20" s="53">
        <f>('Evolutive SFP'!M44)</f>
        <v>1531972767</v>
      </c>
      <c r="M20" s="53">
        <f>('Evolutive SFP'!N44)</f>
        <v>1554972767</v>
      </c>
      <c r="N20" s="53">
        <f>('Evolutive SFP'!O44)</f>
        <v>1556972767</v>
      </c>
      <c r="O20" s="53">
        <f>('Evolutive SFP'!P44)</f>
        <v>1556972767</v>
      </c>
    </row>
    <row r="21" spans="1:15">
      <c r="A21" s="30" t="s">
        <v>159</v>
      </c>
      <c r="B21" s="33" t="s">
        <v>160</v>
      </c>
      <c r="C21" s="53">
        <f t="shared" ref="C21:O21" si="3">C22+C23</f>
        <v>-483952400.94999999</v>
      </c>
      <c r="D21" s="53">
        <f t="shared" si="3"/>
        <v>0</v>
      </c>
      <c r="E21" s="53">
        <f t="shared" si="3"/>
        <v>0</v>
      </c>
      <c r="F21" s="53">
        <f t="shared" si="3"/>
        <v>0</v>
      </c>
      <c r="G21" s="53">
        <f t="shared" si="3"/>
        <v>0</v>
      </c>
      <c r="H21" s="53">
        <f t="shared" si="3"/>
        <v>0</v>
      </c>
      <c r="I21" s="53">
        <f t="shared" si="3"/>
        <v>0</v>
      </c>
      <c r="J21" s="53">
        <f t="shared" si="3"/>
        <v>0</v>
      </c>
      <c r="K21" s="53">
        <f t="shared" si="3"/>
        <v>0</v>
      </c>
      <c r="L21" s="53">
        <f t="shared" si="3"/>
        <v>0</v>
      </c>
      <c r="M21" s="53">
        <f t="shared" si="3"/>
        <v>0</v>
      </c>
      <c r="N21" s="53">
        <f t="shared" si="3"/>
        <v>0</v>
      </c>
      <c r="O21" s="53">
        <f t="shared" si="3"/>
        <v>0</v>
      </c>
    </row>
    <row r="22" spans="1:15">
      <c r="A22" s="34" t="s">
        <v>161</v>
      </c>
      <c r="B22" s="29" t="s">
        <v>46</v>
      </c>
      <c r="C22" s="53">
        <f>'Evolutive SFP'!D46</f>
        <v>-483952400.94999999</v>
      </c>
      <c r="D22" s="53">
        <f>'Evolutive SFP'!E46</f>
        <v>0</v>
      </c>
      <c r="E22" s="53">
        <f>'Evolutive SFP'!F46</f>
        <v>0</v>
      </c>
      <c r="F22" s="53">
        <f>'Evolutive SFP'!G46</f>
        <v>0</v>
      </c>
      <c r="G22" s="53">
        <f>'Evolutive SFP'!H46</f>
        <v>0</v>
      </c>
      <c r="H22" s="53">
        <f>'Evolutive SFP'!I46</f>
        <v>0</v>
      </c>
      <c r="I22" s="53">
        <f>'Evolutive SFP'!J46</f>
        <v>0</v>
      </c>
      <c r="J22" s="53">
        <f>'Evolutive SFP'!K46</f>
        <v>0</v>
      </c>
      <c r="K22" s="53">
        <f>'Evolutive SFP'!L46</f>
        <v>0</v>
      </c>
      <c r="L22" s="53">
        <f>'Evolutive SFP'!M46</f>
        <v>0</v>
      </c>
      <c r="M22" s="53">
        <f>'Evolutive SFP'!N46</f>
        <v>0</v>
      </c>
      <c r="N22" s="53">
        <f>'Evolutive SFP'!O46</f>
        <v>0</v>
      </c>
      <c r="O22" s="53">
        <f>'Evolutive SFP'!P46</f>
        <v>0</v>
      </c>
    </row>
    <row r="23" spans="1:15">
      <c r="A23" s="34" t="s">
        <v>162</v>
      </c>
      <c r="B23" s="29" t="s">
        <v>163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</row>
    <row r="24" spans="1:15">
      <c r="A24" s="28"/>
      <c r="B24" s="35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5" s="25" customFormat="1">
      <c r="A25" s="38">
        <v>6</v>
      </c>
      <c r="B25" s="33" t="s">
        <v>164</v>
      </c>
      <c r="C25" s="54"/>
      <c r="D25" s="54">
        <f t="shared" ref="D25:O25" si="4">D26+D27+D28</f>
        <v>85968320.069999993</v>
      </c>
      <c r="E25" s="54">
        <f t="shared" si="4"/>
        <v>86468321.069999993</v>
      </c>
      <c r="F25" s="54">
        <f t="shared" si="4"/>
        <v>86968322.069999993</v>
      </c>
      <c r="G25" s="54">
        <f t="shared" si="4"/>
        <v>88668323.069999993</v>
      </c>
      <c r="H25" s="54">
        <f t="shared" si="4"/>
        <v>89264316.629999995</v>
      </c>
      <c r="I25" s="54">
        <f t="shared" si="4"/>
        <v>89764317.629999995</v>
      </c>
      <c r="J25" s="54">
        <f t="shared" si="4"/>
        <v>90368291.159999996</v>
      </c>
      <c r="K25" s="54">
        <f t="shared" si="4"/>
        <v>90868292.159999996</v>
      </c>
      <c r="L25" s="54">
        <f t="shared" si="4"/>
        <v>91368293.159999996</v>
      </c>
      <c r="M25" s="54">
        <f t="shared" si="4"/>
        <v>91868294.159999996</v>
      </c>
      <c r="N25" s="54">
        <f t="shared" si="4"/>
        <v>92368295.159999996</v>
      </c>
      <c r="O25" s="54">
        <f t="shared" si="4"/>
        <v>92368296</v>
      </c>
    </row>
    <row r="26" spans="1:15">
      <c r="A26" s="30">
        <v>6.1</v>
      </c>
      <c r="B26" s="29" t="s">
        <v>165</v>
      </c>
      <c r="C26" s="53"/>
      <c r="D26" s="53">
        <f>'Evolutive SFP'!E11</f>
        <v>85968318.069999993</v>
      </c>
      <c r="E26" s="53">
        <f>'Evolutive SFP'!F11</f>
        <v>86468318.069999993</v>
      </c>
      <c r="F26" s="53">
        <f>'Evolutive SFP'!G11</f>
        <v>86968318.069999993</v>
      </c>
      <c r="G26" s="53">
        <f>'Evolutive SFP'!H11</f>
        <v>88668318.069999993</v>
      </c>
      <c r="H26" s="53">
        <f>'Evolutive SFP'!I11</f>
        <v>89264310.629999995</v>
      </c>
      <c r="I26" s="53">
        <f>'Evolutive SFP'!J11</f>
        <v>89764310.629999995</v>
      </c>
      <c r="J26" s="53">
        <f>'Evolutive SFP'!K11</f>
        <v>90368283.159999996</v>
      </c>
      <c r="K26" s="53">
        <f>'Evolutive SFP'!L11</f>
        <v>90868283.159999996</v>
      </c>
      <c r="L26" s="53">
        <f>'Evolutive SFP'!M11</f>
        <v>91368283.159999996</v>
      </c>
      <c r="M26" s="53">
        <f>'Evolutive SFP'!N11</f>
        <v>91868283.159999996</v>
      </c>
      <c r="N26" s="53">
        <f>'Evolutive SFP'!O11</f>
        <v>92368283.159999996</v>
      </c>
      <c r="O26" s="53">
        <f>'Evolutive SFP'!P11</f>
        <v>92368283</v>
      </c>
    </row>
    <row r="27" spans="1:15">
      <c r="A27" s="30">
        <v>6.2</v>
      </c>
      <c r="B27" s="29" t="s">
        <v>166</v>
      </c>
      <c r="C27" s="53">
        <f>'Evolutive SFP'!D13</f>
        <v>0</v>
      </c>
      <c r="D27" s="53">
        <f>'Evolutive SFP'!E13</f>
        <v>0</v>
      </c>
      <c r="E27" s="53">
        <f>'Evolutive SFP'!F13</f>
        <v>0</v>
      </c>
      <c r="F27" s="53">
        <f>'Evolutive SFP'!G13</f>
        <v>0</v>
      </c>
      <c r="G27" s="53">
        <f>'Evolutive SFP'!H13</f>
        <v>0</v>
      </c>
      <c r="H27" s="53">
        <f>'Evolutive SFP'!I13</f>
        <v>0</v>
      </c>
      <c r="I27" s="53">
        <f>'Evolutive SFP'!J13</f>
        <v>0</v>
      </c>
      <c r="J27" s="53">
        <f>'Evolutive SFP'!K13</f>
        <v>0</v>
      </c>
      <c r="K27" s="53">
        <f>'Evolutive SFP'!L13</f>
        <v>0</v>
      </c>
      <c r="L27" s="53">
        <f>'Evolutive SFP'!M13</f>
        <v>0</v>
      </c>
      <c r="M27" s="53">
        <f>'Evolutive SFP'!N13</f>
        <v>0</v>
      </c>
      <c r="N27" s="53">
        <f>'Evolutive SFP'!O13</f>
        <v>0</v>
      </c>
      <c r="O27" s="53">
        <f>'Evolutive SFP'!P13</f>
        <v>0</v>
      </c>
    </row>
    <row r="28" spans="1:15">
      <c r="A28" s="30">
        <v>6.3</v>
      </c>
      <c r="B28" s="29" t="s">
        <v>167</v>
      </c>
      <c r="C28" s="53"/>
      <c r="D28" s="53">
        <v>2</v>
      </c>
      <c r="E28" s="53">
        <v>3</v>
      </c>
      <c r="F28" s="53">
        <v>4</v>
      </c>
      <c r="G28" s="53">
        <v>5</v>
      </c>
      <c r="H28" s="53">
        <v>6</v>
      </c>
      <c r="I28" s="53">
        <v>7</v>
      </c>
      <c r="J28" s="53">
        <v>8</v>
      </c>
      <c r="K28" s="53">
        <v>9</v>
      </c>
      <c r="L28" s="53">
        <v>10</v>
      </c>
      <c r="M28" s="53">
        <v>11</v>
      </c>
      <c r="N28" s="53">
        <v>12</v>
      </c>
      <c r="O28" s="53">
        <v>13</v>
      </c>
    </row>
    <row r="29" spans="1:15">
      <c r="A29" s="28"/>
      <c r="B29" s="29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5">
      <c r="A30" s="30">
        <v>7</v>
      </c>
      <c r="B30" s="28" t="s">
        <v>168</v>
      </c>
      <c r="C30" s="53">
        <f>'Evolutive SFP'!D14</f>
        <v>7240823671.0599995</v>
      </c>
      <c r="D30" s="53">
        <f>'Evolutive SFP'!E14</f>
        <v>7295454434.0900002</v>
      </c>
      <c r="E30" s="53">
        <f>'Evolutive SFP'!F14</f>
        <v>7518766037.8999996</v>
      </c>
      <c r="F30" s="53">
        <f>'Evolutive SFP'!G14</f>
        <v>7672767920.46</v>
      </c>
      <c r="G30" s="53">
        <f>'Evolutive SFP'!H14</f>
        <v>7751662739.2300005</v>
      </c>
      <c r="H30" s="53">
        <f>'Evolutive SFP'!I14</f>
        <v>7828087533.6900005</v>
      </c>
      <c r="I30" s="53">
        <f>'Evolutive SFP'!J14</f>
        <v>7973318395.5200005</v>
      </c>
      <c r="J30" s="53">
        <f>'Evolutive SFP'!K14</f>
        <v>8114248597.6999998</v>
      </c>
      <c r="K30" s="53">
        <f>'Evolutive SFP'!L14</f>
        <v>8300020569.4299994</v>
      </c>
      <c r="L30" s="53">
        <f>'Evolutive SFP'!M14</f>
        <v>8334773608.7600002</v>
      </c>
      <c r="M30" s="53">
        <f>'Evolutive SFP'!N14</f>
        <v>8405407742.7999992</v>
      </c>
      <c r="N30" s="53">
        <f>'Evolutive SFP'!O14</f>
        <v>8571140428.1300011</v>
      </c>
      <c r="O30" s="53">
        <f>'Evolutive SFP'!P14</f>
        <v>8571140428</v>
      </c>
    </row>
    <row r="31" spans="1:15">
      <c r="A31" s="30">
        <v>7.1</v>
      </c>
      <c r="B31" s="28" t="s">
        <v>169</v>
      </c>
      <c r="C31" s="53">
        <f>'Evolutive SFP'!D15</f>
        <v>8146710185.79</v>
      </c>
      <c r="D31" s="53">
        <f>'Evolutive SFP'!E15</f>
        <v>8220838930.8199997</v>
      </c>
      <c r="E31" s="53">
        <f>'Evolutive SFP'!F15</f>
        <v>8486393655.4399996</v>
      </c>
      <c r="F31" s="53">
        <f>'Evolutive SFP'!G15</f>
        <v>8603889627.8199997</v>
      </c>
      <c r="G31" s="53">
        <f>'Evolutive SFP'!H15</f>
        <v>8701560012.1200008</v>
      </c>
      <c r="H31" s="53">
        <f>'Evolutive SFP'!I15</f>
        <v>8786076216.2700005</v>
      </c>
      <c r="I31" s="53">
        <f>'Evolutive SFP'!J15</f>
        <v>8929953749.4400005</v>
      </c>
      <c r="J31" s="53">
        <f>'Evolutive SFP'!K15</f>
        <v>9100925325.4799995</v>
      </c>
      <c r="K31" s="53">
        <f>'Evolutive SFP'!L15</f>
        <v>9310531868.4799995</v>
      </c>
      <c r="L31" s="53">
        <f>'Evolutive SFP'!M15</f>
        <v>9365280417.4300003</v>
      </c>
      <c r="M31" s="53">
        <f>'Evolutive SFP'!N15</f>
        <v>9570914551.4699993</v>
      </c>
      <c r="N31" s="53">
        <f>'Evolutive SFP'!O15</f>
        <v>9734915300.4500008</v>
      </c>
      <c r="O31" s="53">
        <f>'Evolutive SFP'!P15</f>
        <v>9734915300</v>
      </c>
    </row>
    <row r="32" spans="1:15">
      <c r="A32" s="30">
        <v>7.2</v>
      </c>
      <c r="B32" s="28" t="s">
        <v>170</v>
      </c>
      <c r="C32" s="53">
        <f>'Evolutive SFP'!D16</f>
        <v>905886514.73000002</v>
      </c>
      <c r="D32" s="53">
        <f>'Evolutive SFP'!E16</f>
        <v>925384496.73000002</v>
      </c>
      <c r="E32" s="53">
        <f>'Evolutive SFP'!F16</f>
        <v>967627617.53999996</v>
      </c>
      <c r="F32" s="53">
        <f>'Evolutive SFP'!G16</f>
        <v>931121707.36000001</v>
      </c>
      <c r="G32" s="53">
        <f>'Evolutive SFP'!H16</f>
        <v>949897272.88999999</v>
      </c>
      <c r="H32" s="53">
        <f>'Evolutive SFP'!I16</f>
        <v>957988682.58000004</v>
      </c>
      <c r="I32" s="53">
        <f>'Evolutive SFP'!J16</f>
        <v>956635353.91999996</v>
      </c>
      <c r="J32" s="53">
        <f>'Evolutive SFP'!K16</f>
        <v>986676727.77999997</v>
      </c>
      <c r="K32" s="53">
        <f>'Evolutive SFP'!L16</f>
        <v>1010511299.05</v>
      </c>
      <c r="L32" s="53">
        <f>'Evolutive SFP'!M16</f>
        <v>1030506808.67</v>
      </c>
      <c r="M32" s="53">
        <f>'Evolutive SFP'!N16</f>
        <v>1165506808.6700001</v>
      </c>
      <c r="N32" s="53">
        <f>'Evolutive SFP'!O16</f>
        <v>1163774872.3199999</v>
      </c>
      <c r="O32" s="53">
        <f>'Evolutive SFP'!P16</f>
        <v>1163774872</v>
      </c>
    </row>
    <row r="33" spans="1:15">
      <c r="A33" s="28"/>
      <c r="B33" s="28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</row>
    <row r="34" spans="1:15">
      <c r="A34" s="30">
        <v>8</v>
      </c>
      <c r="B34" s="28" t="s">
        <v>171</v>
      </c>
      <c r="C34" s="53">
        <f>'Evolutive SFP'!D21+'Evolutive SFP'!D7</f>
        <v>179930408.67000002</v>
      </c>
      <c r="D34" s="53">
        <f>'Evolutive SFP'!E21+'Evolutive SFP'!E7</f>
        <v>364703914.64999998</v>
      </c>
      <c r="E34" s="53">
        <f>'Evolutive SFP'!F21+'Evolutive SFP'!F7</f>
        <v>545110211.99000001</v>
      </c>
      <c r="F34" s="53">
        <f>'Evolutive SFP'!G21+'Evolutive SFP'!G7</f>
        <v>408240190.49000001</v>
      </c>
      <c r="G34" s="53">
        <f>'Evolutive SFP'!H21+'Evolutive SFP'!H7</f>
        <v>408028173.23000002</v>
      </c>
      <c r="H34" s="53">
        <f>'Evolutive SFP'!I21+'Evolutive SFP'!I7</f>
        <v>472588013.17000002</v>
      </c>
      <c r="I34" s="53">
        <f>'Evolutive SFP'!J21+'Evolutive SFP'!J7</f>
        <v>344435955.79000002</v>
      </c>
      <c r="J34" s="53">
        <f>'Evolutive SFP'!K21+'Evolutive SFP'!K7</f>
        <v>644907501.57000005</v>
      </c>
      <c r="K34" s="53">
        <f>'Evolutive SFP'!L21+'Evolutive SFP'!L7</f>
        <v>504099217.33000004</v>
      </c>
      <c r="L34" s="53">
        <f>'Evolutive SFP'!M21+'Evolutive SFP'!M7</f>
        <v>487843700.88</v>
      </c>
      <c r="M34" s="53">
        <f>'Evolutive SFP'!N21+'Evolutive SFP'!N7</f>
        <v>662858086.70000005</v>
      </c>
      <c r="N34" s="53">
        <f>'Evolutive SFP'!O21+'Evolutive SFP'!O7</f>
        <v>763185276.80000007</v>
      </c>
      <c r="O34" s="53">
        <f>'Evolutive SFP'!P21+'Evolutive SFP'!P7</f>
        <v>657448532</v>
      </c>
    </row>
    <row r="35" spans="1:15">
      <c r="A35" s="30">
        <v>8.1</v>
      </c>
      <c r="B35" s="28" t="s">
        <v>23</v>
      </c>
      <c r="C35" s="53">
        <f>'Evolutive SFP'!D23</f>
        <v>175763729.83000001</v>
      </c>
      <c r="D35" s="53">
        <f>'Evolutive SFP'!E23</f>
        <v>201075298.13</v>
      </c>
      <c r="E35" s="53">
        <f>'Evolutive SFP'!F23</f>
        <v>203731829.16</v>
      </c>
      <c r="F35" s="53">
        <f>'Evolutive SFP'!G23</f>
        <v>212862822.38999999</v>
      </c>
      <c r="G35" s="53">
        <f>'Evolutive SFP'!H23</f>
        <v>243394667.27000001</v>
      </c>
      <c r="H35" s="53">
        <f>'Evolutive SFP'!I23</f>
        <v>285433495.69999999</v>
      </c>
      <c r="I35" s="53">
        <f>'Evolutive SFP'!J23</f>
        <v>293224720.50999999</v>
      </c>
      <c r="J35" s="53">
        <f>'Evolutive SFP'!K23</f>
        <v>294536113.75</v>
      </c>
      <c r="K35" s="53">
        <f>'Evolutive SFP'!L23</f>
        <v>294091129.13</v>
      </c>
      <c r="L35" s="53">
        <f>'Evolutive SFP'!M23</f>
        <v>294021154.31</v>
      </c>
      <c r="M35" s="53">
        <f>'Evolutive SFP'!N23</f>
        <v>297240852.77999997</v>
      </c>
      <c r="N35" s="53">
        <f>'Evolutive SFP'!O23</f>
        <v>293773073.80000001</v>
      </c>
      <c r="O35" s="53">
        <f>'Evolutive SFP'!P23</f>
        <v>293773075</v>
      </c>
    </row>
    <row r="36" spans="1:15">
      <c r="A36" s="26"/>
      <c r="B36" s="28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</row>
    <row r="37" spans="1:15">
      <c r="A37" s="30">
        <v>9</v>
      </c>
      <c r="B37" s="28" t="s">
        <v>128</v>
      </c>
      <c r="C37" s="53">
        <f t="shared" ref="C37" si="5">C38+C39+C40+C41</f>
        <v>131691172.61999999</v>
      </c>
      <c r="D37" s="53">
        <f t="shared" ref="D37:O37" si="6">D38+D39+D40+D41</f>
        <v>275608323.38</v>
      </c>
      <c r="E37" s="53">
        <f t="shared" si="6"/>
        <v>412958948.21000004</v>
      </c>
      <c r="F37" s="53">
        <f t="shared" si="6"/>
        <v>548066967.77999997</v>
      </c>
      <c r="G37" s="53">
        <f t="shared" si="6"/>
        <v>663235759.33000004</v>
      </c>
      <c r="H37" s="53">
        <f t="shared" si="6"/>
        <v>808288518.34000003</v>
      </c>
      <c r="I37" s="53">
        <f t="shared" si="6"/>
        <v>921447899.2700001</v>
      </c>
      <c r="J37" s="53">
        <f t="shared" si="6"/>
        <v>1044404649.1099999</v>
      </c>
      <c r="K37" s="53">
        <f t="shared" si="6"/>
        <v>1207111597.3800001</v>
      </c>
      <c r="L37" s="53">
        <f t="shared" si="6"/>
        <v>1343079947.51</v>
      </c>
      <c r="M37" s="53">
        <f t="shared" si="6"/>
        <v>1480891155.04</v>
      </c>
      <c r="N37" s="53">
        <f t="shared" si="6"/>
        <v>1630072681.77</v>
      </c>
      <c r="O37" s="53">
        <f t="shared" si="6"/>
        <v>1740269835</v>
      </c>
    </row>
    <row r="38" spans="1:15">
      <c r="A38" s="28">
        <v>9.1</v>
      </c>
      <c r="B38" s="28" t="s">
        <v>172</v>
      </c>
      <c r="C38" s="53">
        <f>'Evolutitve SCI'!D5</f>
        <v>128931920.52</v>
      </c>
      <c r="D38" s="53">
        <f>'Evolutitve SCI'!E5</f>
        <v>269684673.88</v>
      </c>
      <c r="E38" s="53">
        <f>'Evolutitve SCI'!F5</f>
        <v>401333622.11000001</v>
      </c>
      <c r="F38" s="53">
        <f>'Evolutitve SCI'!G5</f>
        <v>533807056.68000001</v>
      </c>
      <c r="G38" s="53">
        <f>'Evolutitve SCI'!H5</f>
        <v>646150311.73000002</v>
      </c>
      <c r="H38" s="53">
        <f>'Evolutitve SCI'!I5</f>
        <v>788334079.84000003</v>
      </c>
      <c r="I38" s="53">
        <f>'Evolutitve SCI'!J5</f>
        <v>898705063.57000005</v>
      </c>
      <c r="J38" s="53">
        <f>'Evolutitve SCI'!K5</f>
        <v>1017911709.3099999</v>
      </c>
      <c r="K38" s="53">
        <f>'Evolutitve SCI'!L5</f>
        <v>1177381789.47</v>
      </c>
      <c r="L38" s="53">
        <f>'Evolutitve SCI'!M5</f>
        <v>1310447678.76</v>
      </c>
      <c r="M38" s="53">
        <f>'Evolutitve SCI'!N5</f>
        <v>1445148147.22</v>
      </c>
      <c r="N38" s="53">
        <f>'Evolutitve SCI'!O5</f>
        <v>1586874847.9100001</v>
      </c>
      <c r="O38" s="53">
        <f>'Evolutitve SCI'!P5</f>
        <v>1586970740</v>
      </c>
    </row>
    <row r="39" spans="1:15">
      <c r="A39" s="28">
        <v>9.1999999999999993</v>
      </c>
      <c r="B39" s="28" t="s">
        <v>173</v>
      </c>
      <c r="C39" s="53">
        <f>'Evolutitve SCI'!D7</f>
        <v>49250</v>
      </c>
      <c r="D39" s="53">
        <f>'Evolutitve SCI'!E7</f>
        <v>148750</v>
      </c>
      <c r="E39" s="53">
        <f>'Evolutitve SCI'!F7</f>
        <v>217750</v>
      </c>
      <c r="F39" s="53">
        <f>'Evolutitve SCI'!G7</f>
        <v>275250</v>
      </c>
      <c r="G39" s="53">
        <f>'Evolutitve SCI'!H7</f>
        <v>346250</v>
      </c>
      <c r="H39" s="53">
        <f>'Evolutitve SCI'!I7</f>
        <v>399250</v>
      </c>
      <c r="I39" s="53">
        <f>'Evolutitve SCI'!J7</f>
        <v>455750</v>
      </c>
      <c r="J39" s="53">
        <f>'Evolutitve SCI'!K7</f>
        <v>488650</v>
      </c>
      <c r="K39" s="53">
        <f>'Evolutitve SCI'!L7</f>
        <v>569450</v>
      </c>
      <c r="L39" s="53">
        <f>'Evolutitve SCI'!M7</f>
        <v>644550</v>
      </c>
      <c r="M39" s="53">
        <f>'Evolutitve SCI'!N7</f>
        <v>692300</v>
      </c>
      <c r="N39" s="53">
        <f>'Evolutitve SCI'!O7</f>
        <v>773700</v>
      </c>
      <c r="O39" s="53">
        <f>'Evolutitve SCI'!P7</f>
        <v>126034863</v>
      </c>
    </row>
    <row r="40" spans="1:15">
      <c r="A40" s="28">
        <v>9.3000000000000007</v>
      </c>
      <c r="B40" s="28" t="s">
        <v>174</v>
      </c>
      <c r="C40" s="53">
        <f>'Evolutitve SCI'!D6</f>
        <v>2710002.1</v>
      </c>
      <c r="D40" s="53">
        <f>'Evolutitve SCI'!E6</f>
        <v>5774899.5</v>
      </c>
      <c r="E40" s="53">
        <f>'Evolutitve SCI'!F6</f>
        <v>11407576.1</v>
      </c>
      <c r="F40" s="53">
        <f>'Evolutitve SCI'!G6</f>
        <v>13984661.1</v>
      </c>
      <c r="G40" s="53">
        <f>'Evolutitve SCI'!H6</f>
        <v>16739197.6</v>
      </c>
      <c r="H40" s="53">
        <f>'Evolutitve SCI'!I6</f>
        <v>19555188.5</v>
      </c>
      <c r="I40" s="53">
        <f>'Evolutitve SCI'!J6</f>
        <v>22287085.699999999</v>
      </c>
      <c r="J40" s="53">
        <f>'Evolutitve SCI'!K6</f>
        <v>26004289.800000001</v>
      </c>
      <c r="K40" s="53">
        <f>'Evolutitve SCI'!L6</f>
        <v>29160357.91</v>
      </c>
      <c r="L40" s="53">
        <f>'Evolutitve SCI'!M6</f>
        <v>31987718.75</v>
      </c>
      <c r="M40" s="53">
        <f>'Evolutitve SCI'!N6</f>
        <v>35050707.82</v>
      </c>
      <c r="N40" s="53">
        <f>'Evolutitve SCI'!O6</f>
        <v>42424133.859999999</v>
      </c>
      <c r="O40" s="53">
        <f>'Evolutitve SCI'!P6</f>
        <v>27264232</v>
      </c>
    </row>
    <row r="41" spans="1:15">
      <c r="A41" s="28">
        <v>9.4</v>
      </c>
      <c r="B41" s="28" t="s">
        <v>175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>
      <c r="A42" s="28"/>
      <c r="B42" s="28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1:15">
      <c r="A43" s="30">
        <v>10</v>
      </c>
      <c r="B43" s="36" t="s">
        <v>176</v>
      </c>
      <c r="C43" s="54">
        <f t="shared" ref="C43:O43" si="7">SUM(C44:C47)</f>
        <v>42928543.310000002</v>
      </c>
      <c r="D43" s="54">
        <f t="shared" si="7"/>
        <v>146958369.42000002</v>
      </c>
      <c r="E43" s="54">
        <f t="shared" si="7"/>
        <v>229259624.48000002</v>
      </c>
      <c r="F43" s="54">
        <f t="shared" si="7"/>
        <v>306858802.79999995</v>
      </c>
      <c r="G43" s="54">
        <f t="shared" si="7"/>
        <v>357947329.04999995</v>
      </c>
      <c r="H43" s="54">
        <f t="shared" si="7"/>
        <v>413964272.79999995</v>
      </c>
      <c r="I43" s="54">
        <f t="shared" si="7"/>
        <v>509968915.42000002</v>
      </c>
      <c r="J43" s="54">
        <f t="shared" si="7"/>
        <v>562377192.85000002</v>
      </c>
      <c r="K43" s="54">
        <f t="shared" si="7"/>
        <v>747899194.36000001</v>
      </c>
      <c r="L43" s="54">
        <f t="shared" si="7"/>
        <v>861196465.1400001</v>
      </c>
      <c r="M43" s="54">
        <f t="shared" si="7"/>
        <v>915731105.85000002</v>
      </c>
      <c r="N43" s="54">
        <f t="shared" si="7"/>
        <v>952235902.88</v>
      </c>
      <c r="O43" s="54">
        <f t="shared" si="7"/>
        <v>1066353382</v>
      </c>
    </row>
    <row r="44" spans="1:15">
      <c r="A44" s="28">
        <v>10.1</v>
      </c>
      <c r="B44" s="28" t="s">
        <v>177</v>
      </c>
      <c r="C44" s="53">
        <f>'Evolutitve SCI'!D13+'Evolutitve SCI'!D16</f>
        <v>1078750.78</v>
      </c>
      <c r="D44" s="53">
        <f>'Evolutitve SCI'!E13+'Evolutitve SCI'!E16</f>
        <v>63771490.310000002</v>
      </c>
      <c r="E44" s="53">
        <f>'Evolutitve SCI'!F13+'Evolutitve SCI'!F16</f>
        <v>114868130.62</v>
      </c>
      <c r="F44" s="53">
        <f>'Evolutitve SCI'!G13+'Evolutitve SCI'!G16</f>
        <v>165734863.69</v>
      </c>
      <c r="G44" s="53">
        <f>'Evolutitve SCI'!H13+'Evolutitve SCI'!H16</f>
        <v>215264356.81999999</v>
      </c>
      <c r="H44" s="53">
        <f>'Evolutitve SCI'!I13+'Evolutitve SCI'!I16</f>
        <v>246340984.31999999</v>
      </c>
      <c r="I44" s="53">
        <f>'Evolutitve SCI'!J13+'Evolutitve SCI'!J16</f>
        <v>318963278.58999997</v>
      </c>
      <c r="J44" s="53">
        <f>'Evolutitve SCI'!K13+'Evolutitve SCI'!K16</f>
        <v>349923971.24000001</v>
      </c>
      <c r="K44" s="53">
        <f>'Evolutitve SCI'!L13+'Evolutitve SCI'!L16</f>
        <v>510817500.69999999</v>
      </c>
      <c r="L44" s="53">
        <f>'Evolutitve SCI'!M13+'Evolutitve SCI'!M16</f>
        <v>582490254.85000002</v>
      </c>
      <c r="M44" s="53">
        <f>'Evolutitve SCI'!N13+'Evolutitve SCI'!N16</f>
        <v>596049203.51999998</v>
      </c>
      <c r="N44" s="53">
        <f>'Evolutitve SCI'!O13+'Evolutitve SCI'!O16</f>
        <v>587309015.63999999</v>
      </c>
      <c r="O44" s="53">
        <f>'Evolutitve SCI'!P13+'Evolutitve SCI'!P16</f>
        <v>531164861</v>
      </c>
    </row>
    <row r="45" spans="1:15">
      <c r="A45" s="28">
        <v>10.199999999999999</v>
      </c>
      <c r="B45" s="28" t="s">
        <v>178</v>
      </c>
      <c r="C45" s="53">
        <f>'Evolutitve SCI'!D15</f>
        <v>0</v>
      </c>
      <c r="D45" s="53">
        <f>'Evolutitve SCI'!E15</f>
        <v>0</v>
      </c>
      <c r="E45" s="53">
        <f>'Evolutitve SCI'!F15</f>
        <v>0</v>
      </c>
      <c r="F45" s="53">
        <f>'Evolutitve SCI'!G15</f>
        <v>0</v>
      </c>
      <c r="G45" s="53">
        <f>'Evolutitve SCI'!H15</f>
        <v>0</v>
      </c>
      <c r="H45" s="53">
        <f>'Evolutitve SCI'!I15</f>
        <v>0</v>
      </c>
      <c r="I45" s="53">
        <f>'Evolutitve SCI'!J15</f>
        <v>0</v>
      </c>
      <c r="J45" s="53">
        <f>'Evolutitve SCI'!K15</f>
        <v>0</v>
      </c>
      <c r="K45" s="53">
        <f>'Evolutitve SCI'!L15</f>
        <v>0</v>
      </c>
      <c r="L45" s="53">
        <f>'Evolutitve SCI'!M15</f>
        <v>0</v>
      </c>
      <c r="M45" s="53">
        <f>'Evolutitve SCI'!N15</f>
        <v>0</v>
      </c>
      <c r="N45" s="53">
        <f>'Evolutitve SCI'!O15</f>
        <v>0</v>
      </c>
      <c r="O45" s="53">
        <f>'Evolutitve SCI'!P15</f>
        <v>0</v>
      </c>
    </row>
    <row r="46" spans="1:15">
      <c r="A46" s="28">
        <v>10.3</v>
      </c>
      <c r="B46" s="28" t="s">
        <v>179</v>
      </c>
      <c r="C46" s="53">
        <f>'Evolutitve SCI'!D14</f>
        <v>192161.35</v>
      </c>
      <c r="D46" s="53">
        <f>'Evolutitve SCI'!E14</f>
        <v>192161.35</v>
      </c>
      <c r="E46" s="53">
        <f>'Evolutitve SCI'!F14</f>
        <v>192161.35</v>
      </c>
      <c r="F46" s="53">
        <f>'Evolutitve SCI'!G14</f>
        <v>192161.35</v>
      </c>
      <c r="G46" s="53">
        <f>'Evolutitve SCI'!H14</f>
        <v>192161.35</v>
      </c>
      <c r="H46" s="53">
        <f>'Evolutitve SCI'!I14</f>
        <v>192161.35</v>
      </c>
      <c r="I46" s="53">
        <f>'Evolutitve SCI'!J14</f>
        <v>192161.35</v>
      </c>
      <c r="J46" s="53">
        <f>'Evolutitve SCI'!K14</f>
        <v>192161.35</v>
      </c>
      <c r="K46" s="53">
        <f>'Evolutitve SCI'!L14</f>
        <v>192161.35</v>
      </c>
      <c r="L46" s="53">
        <f>'Evolutitve SCI'!M14</f>
        <v>192161.35</v>
      </c>
      <c r="M46" s="53">
        <f>'Evolutitve SCI'!N14</f>
        <v>192161.35</v>
      </c>
      <c r="N46" s="53">
        <f>'Evolutitve SCI'!O14</f>
        <v>192161.35</v>
      </c>
      <c r="O46" s="53">
        <f>'Evolutitve SCI'!P14</f>
        <v>0</v>
      </c>
    </row>
    <row r="47" spans="1:15">
      <c r="A47" s="28">
        <v>10.4</v>
      </c>
      <c r="B47" s="28" t="s">
        <v>180</v>
      </c>
      <c r="C47" s="53">
        <f>'Evolutitve SCI'!D23</f>
        <v>41657631.18</v>
      </c>
      <c r="D47" s="53">
        <f>'Evolutitve SCI'!E23</f>
        <v>82994717.760000005</v>
      </c>
      <c r="E47" s="53">
        <f>'Evolutitve SCI'!F23</f>
        <v>114199332.51000001</v>
      </c>
      <c r="F47" s="53">
        <f>'Evolutitve SCI'!G23</f>
        <v>140931777.75999999</v>
      </c>
      <c r="G47" s="53">
        <f>'Evolutitve SCI'!H23</f>
        <v>142490810.88</v>
      </c>
      <c r="H47" s="53">
        <f>'Evolutitve SCI'!I23</f>
        <v>167431127.13</v>
      </c>
      <c r="I47" s="53">
        <f>'Evolutitve SCI'!J23</f>
        <v>190813475.48000002</v>
      </c>
      <c r="J47" s="53">
        <f>'Evolutitve SCI'!K23</f>
        <v>212261060.25999999</v>
      </c>
      <c r="K47" s="53">
        <f>'Evolutitve SCI'!L23</f>
        <v>236889532.30999997</v>
      </c>
      <c r="L47" s="53">
        <f>'Evolutitve SCI'!M23</f>
        <v>278514048.94</v>
      </c>
      <c r="M47" s="53">
        <f>'Evolutitve SCI'!N23</f>
        <v>319489740.98000002</v>
      </c>
      <c r="N47" s="53">
        <f>'Evolutitve SCI'!O23</f>
        <v>364734725.88999999</v>
      </c>
      <c r="O47" s="53">
        <f>'Evolutitve SCI'!P23</f>
        <v>535188521</v>
      </c>
    </row>
  </sheetData>
  <pageMargins left="0.7" right="0.7" top="0.75" bottom="0.75" header="0.3" footer="0.3"/>
  <pageSetup scale="4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7E873-A20D-44D2-B3A9-E0B062B8B7AA}"/>
</file>

<file path=customXml/itemProps2.xml><?xml version="1.0" encoding="utf-8"?>
<ds:datastoreItem xmlns:ds="http://schemas.openxmlformats.org/officeDocument/2006/customXml" ds:itemID="{F136E5DF-E895-4B17-8D49-BA6D313D75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David Onyango</cp:lastModifiedBy>
  <cp:revision/>
  <dcterms:created xsi:type="dcterms:W3CDTF">2012-11-01T05:11:14Z</dcterms:created>
  <dcterms:modified xsi:type="dcterms:W3CDTF">2023-02-06T14:07:00Z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0x0101009F982204BFA5644E905B4D3DDC7EECBC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2022-01-20T06:10:43Z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3886435a-03c1-4609-916b-a20f113396ff</vt:lpwstr>
  </property>
  <property fmtid="{D5CDD505-2E9C-101B-9397-08002B2CF9AE}" pid="9" name="MSIP_Label_6294dde6-398b-42fd-9ab1-a1959fc6b9e2_ContentBits">
    <vt:lpwstr>0</vt:lpwstr>
  </property>
</Properties>
</file>
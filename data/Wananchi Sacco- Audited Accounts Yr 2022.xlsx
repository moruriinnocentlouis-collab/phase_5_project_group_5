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kamwaro\OneDrive - Sacco Societies Regulatory Authority\Desktop\"/>
    </mc:Choice>
  </mc:AlternateContent>
  <xr:revisionPtr revIDLastSave="93" documentId="11_F03D87FE575156F6CBC324867418F71E53E537B3" xr6:coauthVersionLast="47" xr6:coauthVersionMax="47" xr10:uidLastSave="{A34A2158-06AB-47DF-84DF-0F0BF6DD2806}"/>
  <bookViews>
    <workbookView xWindow="0" yWindow="0" windowWidth="23040" windowHeight="8616" firstSheet="2" activeTab="2" xr2:uid="{00000000-000D-0000-FFFF-FFFF00000000}"/>
  </bookViews>
  <sheets>
    <sheet name="CAELS" sheetId="3" r:id="rId1"/>
    <sheet name="Sheet1" sheetId="12" r:id="rId2"/>
    <sheet name="Financials" sheetId="5" r:id="rId3"/>
    <sheet name="CAELS Rating" sheetId="7" r:id="rId4"/>
    <sheet name="Compliance Status" sheetId="8" r:id="rId5"/>
    <sheet name="CashFlow Stmnt" sheetId="6" r:id="rId6"/>
    <sheet name="FORM 4" sheetId="4" r:id="rId7"/>
    <sheet name="DEC 2020 PERFORMANCE REPORT" sheetId="13" r:id="rId8"/>
    <sheet name="Evolutive SFP" sheetId="1" r:id="rId9"/>
    <sheet name="Evolutitve SCI" sheetId="2" r:id="rId10"/>
    <sheet name="June Performance Report" sheetId="9" r:id="rId11"/>
    <sheet name="Sept perfomance report" sheetId="10" r:id="rId12"/>
    <sheet name="march 2020 performance report" sheetId="11" r:id="rId13"/>
  </sheets>
  <externalReferences>
    <externalReference r:id="rId14"/>
  </externalReferenc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23" i="3" l="1"/>
  <c r="BI23" i="3"/>
  <c r="BJ23" i="3"/>
  <c r="BK23" i="3"/>
  <c r="BL23" i="3"/>
  <c r="BM23" i="3"/>
  <c r="BN23" i="3"/>
  <c r="BO23" i="3"/>
  <c r="BP23" i="3"/>
  <c r="BQ23" i="3"/>
  <c r="BH22" i="3"/>
  <c r="BI22" i="3"/>
  <c r="BJ22" i="3"/>
  <c r="BK22" i="3"/>
  <c r="BL22" i="3"/>
  <c r="BM22" i="3"/>
  <c r="BN22" i="3"/>
  <c r="BO22" i="3"/>
  <c r="BP22" i="3"/>
  <c r="BQ22" i="3"/>
  <c r="BH21" i="3"/>
  <c r="BI21" i="3"/>
  <c r="BJ21" i="3"/>
  <c r="BK21" i="3"/>
  <c r="BL21" i="3"/>
  <c r="BM21" i="3"/>
  <c r="BN21" i="3"/>
  <c r="BO21" i="3"/>
  <c r="BP21" i="3"/>
  <c r="BQ21" i="3"/>
  <c r="BH20" i="3"/>
  <c r="BI20" i="3"/>
  <c r="BJ20" i="3"/>
  <c r="BK20" i="3"/>
  <c r="BL20" i="3"/>
  <c r="BM20" i="3"/>
  <c r="BN20" i="3"/>
  <c r="BO20" i="3"/>
  <c r="BP20" i="3"/>
  <c r="BQ20" i="3"/>
  <c r="BH18" i="3"/>
  <c r="BI18" i="3"/>
  <c r="BJ18" i="3"/>
  <c r="BK18" i="3"/>
  <c r="BL18" i="3"/>
  <c r="BM18" i="3"/>
  <c r="BN18" i="3"/>
  <c r="BO18" i="3"/>
  <c r="BP18" i="3"/>
  <c r="BQ18" i="3"/>
  <c r="BH17" i="3"/>
  <c r="BI17" i="3"/>
  <c r="BJ17" i="3"/>
  <c r="BK17" i="3"/>
  <c r="BL17" i="3"/>
  <c r="BM17" i="3"/>
  <c r="BN17" i="3"/>
  <c r="BO17" i="3"/>
  <c r="BP17" i="3"/>
  <c r="BQ17" i="3"/>
  <c r="BH15" i="3"/>
  <c r="BI15" i="3"/>
  <c r="BJ15" i="3"/>
  <c r="BK15" i="3"/>
  <c r="BL15" i="3"/>
  <c r="BM15" i="3"/>
  <c r="BN15" i="3"/>
  <c r="BO15" i="3"/>
  <c r="BP15" i="3"/>
  <c r="BQ15" i="3"/>
  <c r="BH9" i="3"/>
  <c r="BI9" i="3"/>
  <c r="BJ9" i="3"/>
  <c r="BK9" i="3"/>
  <c r="BL9" i="3"/>
  <c r="BM9" i="3"/>
  <c r="BN9" i="3"/>
  <c r="BO9" i="3"/>
  <c r="BP9" i="3"/>
  <c r="BQ9" i="3"/>
  <c r="BH10" i="3"/>
  <c r="BI10" i="3"/>
  <c r="BJ10" i="3"/>
  <c r="BK10" i="3"/>
  <c r="BL10" i="3"/>
  <c r="BM10" i="3"/>
  <c r="BN10" i="3"/>
  <c r="BO10" i="3"/>
  <c r="BP10" i="3"/>
  <c r="BQ10" i="3"/>
  <c r="BH11" i="3"/>
  <c r="BI11" i="3"/>
  <c r="BJ11" i="3"/>
  <c r="BK11" i="3"/>
  <c r="BL11" i="3"/>
  <c r="BM11" i="3"/>
  <c r="BN11" i="3"/>
  <c r="BO11" i="3"/>
  <c r="BP11" i="3"/>
  <c r="BQ11" i="3"/>
  <c r="BH12" i="3"/>
  <c r="BI12" i="3"/>
  <c r="BJ12" i="3"/>
  <c r="BK12" i="3"/>
  <c r="BL12" i="3"/>
  <c r="BM12" i="3"/>
  <c r="BN12" i="3"/>
  <c r="BO12" i="3"/>
  <c r="BP12" i="3"/>
  <c r="BQ12" i="3"/>
  <c r="BH13" i="3"/>
  <c r="BI13" i="3"/>
  <c r="BJ13" i="3"/>
  <c r="BK13" i="3"/>
  <c r="BL13" i="3"/>
  <c r="BM13" i="3"/>
  <c r="BN13" i="3"/>
  <c r="BO13" i="3"/>
  <c r="BP13" i="3"/>
  <c r="BQ13" i="3"/>
  <c r="BK14" i="3"/>
  <c r="BL14" i="3"/>
  <c r="BM14" i="3"/>
  <c r="BN14" i="3"/>
  <c r="BO14" i="3"/>
  <c r="BP14" i="3"/>
  <c r="BQ14" i="3"/>
  <c r="BO23" i="2"/>
  <c r="BO21" i="2"/>
  <c r="BO36" i="1"/>
  <c r="BO42" i="1"/>
  <c r="BO13" i="1"/>
  <c r="BO8" i="1" s="1"/>
  <c r="BO7" i="1"/>
  <c r="BO6" i="1"/>
  <c r="BN51" i="1" l="1"/>
  <c r="BN52" i="1" s="1"/>
  <c r="BM3" i="3"/>
  <c r="BM19" i="3" s="1"/>
  <c r="BN3" i="3"/>
  <c r="BN19" i="3" s="1"/>
  <c r="BO3" i="3"/>
  <c r="BO19" i="3" s="1"/>
  <c r="BP3" i="3"/>
  <c r="BP19" i="3" s="1"/>
  <c r="BQ3" i="3"/>
  <c r="BQ19" i="3" s="1"/>
  <c r="BH26" i="5"/>
  <c r="BI26" i="5"/>
  <c r="BJ26" i="5"/>
  <c r="BK26" i="5"/>
  <c r="BL26" i="5"/>
  <c r="BM26" i="5"/>
  <c r="BN26" i="5"/>
  <c r="BO26" i="5"/>
  <c r="BP26" i="5"/>
  <c r="BH30" i="2"/>
  <c r="BI30" i="2"/>
  <c r="BJ30" i="2"/>
  <c r="BK30" i="2"/>
  <c r="BL30" i="2"/>
  <c r="BM30" i="2"/>
  <c r="BN30" i="2"/>
  <c r="BO30" i="2"/>
  <c r="BH23" i="2"/>
  <c r="BI23" i="2"/>
  <c r="BJ23" i="2"/>
  <c r="BK23" i="2"/>
  <c r="BL23" i="2"/>
  <c r="BM23" i="2"/>
  <c r="BN23" i="2"/>
  <c r="BH20" i="2"/>
  <c r="BI20" i="2"/>
  <c r="BJ20" i="2"/>
  <c r="BK20" i="2"/>
  <c r="BL20" i="2"/>
  <c r="BM20" i="2"/>
  <c r="BN20" i="2"/>
  <c r="BO20" i="2"/>
  <c r="BH12" i="2"/>
  <c r="BH39" i="2" s="1"/>
  <c r="BI12" i="2"/>
  <c r="BI39" i="2" s="1"/>
  <c r="BJ12" i="2"/>
  <c r="BJ39" i="2" s="1"/>
  <c r="BK12" i="2"/>
  <c r="BK39" i="2" s="1"/>
  <c r="BL12" i="2"/>
  <c r="BL39" i="2" s="1"/>
  <c r="BM32" i="3" s="1"/>
  <c r="BM12" i="2"/>
  <c r="BM39" i="2" s="1"/>
  <c r="BN32" i="3" s="1"/>
  <c r="BN12" i="2"/>
  <c r="BN39" i="2" s="1"/>
  <c r="BO32" i="3" s="1"/>
  <c r="BO12" i="2"/>
  <c r="BH4" i="2"/>
  <c r="BI4" i="2"/>
  <c r="BJ4" i="2"/>
  <c r="BK4" i="2"/>
  <c r="BL4" i="2"/>
  <c r="BM4" i="2"/>
  <c r="BN4" i="2"/>
  <c r="BO4" i="2"/>
  <c r="BH7" i="2"/>
  <c r="BI7" i="2"/>
  <c r="BJ7" i="2"/>
  <c r="BK7" i="2"/>
  <c r="BL7" i="2"/>
  <c r="BM7" i="2"/>
  <c r="BN7" i="2"/>
  <c r="BO7" i="2"/>
  <c r="BI3" i="2"/>
  <c r="BI19" i="2" s="1"/>
  <c r="BI29" i="2" s="1"/>
  <c r="BI33" i="2" s="1"/>
  <c r="BI35" i="2" s="1"/>
  <c r="BI37" i="2" s="1"/>
  <c r="BJ3" i="2"/>
  <c r="BJ19" i="2" s="1"/>
  <c r="BJ29" i="2" s="1"/>
  <c r="BJ33" i="2" s="1"/>
  <c r="BJ35" i="2" s="1"/>
  <c r="BJ37" i="2" s="1"/>
  <c r="BK3" i="2"/>
  <c r="BK19" i="2" s="1"/>
  <c r="BK29" i="2" s="1"/>
  <c r="BK33" i="2" s="1"/>
  <c r="BG8" i="1"/>
  <c r="BH8" i="1"/>
  <c r="BI8" i="1"/>
  <c r="BJ8" i="1"/>
  <c r="BK8" i="1"/>
  <c r="BL8" i="1"/>
  <c r="BM8" i="1"/>
  <c r="BN8" i="1"/>
  <c r="BK48" i="1"/>
  <c r="BL48" i="1"/>
  <c r="BM48" i="1"/>
  <c r="BN48" i="1"/>
  <c r="BO48" i="1"/>
  <c r="BP48" i="1" s="1"/>
  <c r="BK31" i="1"/>
  <c r="BL31" i="1"/>
  <c r="BM31" i="1"/>
  <c r="BN31" i="1"/>
  <c r="BO31" i="1"/>
  <c r="BK21" i="1"/>
  <c r="BL21" i="1"/>
  <c r="BM21" i="1"/>
  <c r="BN21" i="1"/>
  <c r="BO21" i="1"/>
  <c r="BK14" i="1"/>
  <c r="BL14" i="1"/>
  <c r="BM14" i="1"/>
  <c r="BN14" i="1"/>
  <c r="BO14" i="1"/>
  <c r="BK4" i="1"/>
  <c r="BL4" i="1"/>
  <c r="BM4" i="1"/>
  <c r="BN4" i="1"/>
  <c r="BO4" i="1"/>
  <c r="BN27" i="1" l="1"/>
  <c r="BM27" i="1"/>
  <c r="BL27" i="1"/>
  <c r="BK27" i="1"/>
  <c r="BP5" i="3"/>
  <c r="BN38" i="1"/>
  <c r="BN49" i="1" s="1"/>
  <c r="BO5" i="3"/>
  <c r="BM38" i="1"/>
  <c r="BN5" i="3"/>
  <c r="BL38" i="1"/>
  <c r="BL49" i="1" s="1"/>
  <c r="BK38" i="1"/>
  <c r="BK35" i="2"/>
  <c r="BK37" i="2" s="1"/>
  <c r="BM3" i="2"/>
  <c r="BM19" i="2" s="1"/>
  <c r="BM29" i="2" s="1"/>
  <c r="BM33" i="2" s="1"/>
  <c r="BH3" i="2"/>
  <c r="BH19" i="2" s="1"/>
  <c r="BH29" i="2" s="1"/>
  <c r="BH33" i="2" s="1"/>
  <c r="BH35" i="2" s="1"/>
  <c r="BH37" i="2" s="1"/>
  <c r="BM5" i="3"/>
  <c r="BO52" i="1"/>
  <c r="BN53" i="1"/>
  <c r="BO53" i="1" s="1"/>
  <c r="BO39" i="2"/>
  <c r="BO38" i="1"/>
  <c r="BQ5" i="3"/>
  <c r="BO27" i="1"/>
  <c r="BP27" i="1" s="1"/>
  <c r="BO3" i="2"/>
  <c r="BO19" i="2" s="1"/>
  <c r="BN3" i="2"/>
  <c r="BN19" i="2" s="1"/>
  <c r="BL3" i="2"/>
  <c r="BL19" i="2" s="1"/>
  <c r="BL30" i="5"/>
  <c r="BM30" i="5"/>
  <c r="BN30" i="5"/>
  <c r="BO30" i="5"/>
  <c r="BP30" i="5"/>
  <c r="AX31" i="5"/>
  <c r="AY31" i="5"/>
  <c r="AZ31" i="5"/>
  <c r="BA31" i="5"/>
  <c r="BB31" i="5"/>
  <c r="BD31" i="5"/>
  <c r="BE31" i="5"/>
  <c r="BF31" i="5"/>
  <c r="BG31" i="5"/>
  <c r="BH31" i="5"/>
  <c r="BH28" i="3" s="1"/>
  <c r="BI31" i="5"/>
  <c r="BI28" i="3" s="1"/>
  <c r="BJ31" i="5"/>
  <c r="BJ28" i="3" s="1"/>
  <c r="BK31" i="5"/>
  <c r="BK28" i="3" s="1"/>
  <c r="BL31" i="5"/>
  <c r="BL28" i="3" s="1"/>
  <c r="BM31" i="5"/>
  <c r="BM28" i="3" s="1"/>
  <c r="BN31" i="5"/>
  <c r="BN28" i="3" s="1"/>
  <c r="BO31" i="5"/>
  <c r="BO28" i="3" s="1"/>
  <c r="BP31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P28" i="3" l="1"/>
  <c r="BQ28" i="3"/>
  <c r="BL29" i="2"/>
  <c r="BL33" i="2" s="1"/>
  <c r="BN29" i="2"/>
  <c r="BN33" i="2" s="1"/>
  <c r="BM35" i="2"/>
  <c r="BM37" i="2" s="1"/>
  <c r="BK49" i="1"/>
  <c r="BM49" i="1"/>
  <c r="BP32" i="3"/>
  <c r="BQ32" i="3"/>
  <c r="BO29" i="2"/>
  <c r="BO33" i="2" s="1"/>
  <c r="BP38" i="1"/>
  <c r="BO49" i="1"/>
  <c r="BM4" i="5"/>
  <c r="BN4" i="5"/>
  <c r="BO24" i="3" s="1"/>
  <c r="BO4" i="5"/>
  <c r="BP24" i="3" s="1"/>
  <c r="BP4" i="5"/>
  <c r="BQ24" i="3" s="1"/>
  <c r="BQ4" i="5"/>
  <c r="BR4" i="5"/>
  <c r="BL5" i="5"/>
  <c r="BM5" i="5"/>
  <c r="BM25" i="3" s="1"/>
  <c r="BN5" i="5"/>
  <c r="BN25" i="3" s="1"/>
  <c r="BO5" i="5"/>
  <c r="BO25" i="3" s="1"/>
  <c r="BP5" i="5"/>
  <c r="BQ5" i="5"/>
  <c r="BR5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H26" i="3" s="1"/>
  <c r="BI6" i="5"/>
  <c r="BI26" i="3" s="1"/>
  <c r="BJ6" i="5"/>
  <c r="BJ26" i="3" s="1"/>
  <c r="BK6" i="5"/>
  <c r="BK26" i="3" s="1"/>
  <c r="BL6" i="5"/>
  <c r="BL26" i="3" s="1"/>
  <c r="BM6" i="5"/>
  <c r="BM26" i="3" s="1"/>
  <c r="BN6" i="5"/>
  <c r="BN26" i="3" s="1"/>
  <c r="BO6" i="5"/>
  <c r="BO26" i="3" s="1"/>
  <c r="BP6" i="5"/>
  <c r="BQ6" i="5"/>
  <c r="BR6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H27" i="3" s="1"/>
  <c r="BI7" i="5"/>
  <c r="BI27" i="3" s="1"/>
  <c r="BJ7" i="5"/>
  <c r="BJ27" i="3" s="1"/>
  <c r="BK7" i="5"/>
  <c r="BK27" i="3" s="1"/>
  <c r="BL7" i="5"/>
  <c r="BL27" i="3" s="1"/>
  <c r="BM7" i="5"/>
  <c r="BM27" i="3" s="1"/>
  <c r="BN7" i="5"/>
  <c r="BN27" i="3" s="1"/>
  <c r="BO7" i="5"/>
  <c r="BO27" i="3" s="1"/>
  <c r="BP7" i="5"/>
  <c r="BQ7" i="5"/>
  <c r="BR7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AE18" i="5"/>
  <c r="AF18" i="5"/>
  <c r="AG18" i="5"/>
  <c r="AH18" i="5"/>
  <c r="AI18" i="5"/>
  <c r="AJ18" i="5"/>
  <c r="AK18" i="5"/>
  <c r="AL18" i="5"/>
  <c r="AM18" i="5"/>
  <c r="AN18" i="5"/>
  <c r="AO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AE22" i="5"/>
  <c r="AE21" i="5" s="1"/>
  <c r="AE14" i="5" s="1"/>
  <c r="AE11" i="5" s="1"/>
  <c r="AE12" i="5" s="1"/>
  <c r="AF22" i="5"/>
  <c r="AF21" i="5" s="1"/>
  <c r="AG22" i="5"/>
  <c r="AG21" i="5" s="1"/>
  <c r="AH22" i="5"/>
  <c r="AH21" i="5" s="1"/>
  <c r="AI22" i="5"/>
  <c r="AI21" i="5" s="1"/>
  <c r="AJ22" i="5"/>
  <c r="AJ21" i="5" s="1"/>
  <c r="AK22" i="5"/>
  <c r="AK21" i="5" s="1"/>
  <c r="AL22" i="5"/>
  <c r="AL21" i="5" s="1"/>
  <c r="AM22" i="5"/>
  <c r="AM21" i="5" s="1"/>
  <c r="AM14" i="5" s="1"/>
  <c r="AM11" i="5" s="1"/>
  <c r="AM12" i="5" s="1"/>
  <c r="AN22" i="5"/>
  <c r="AN21" i="5" s="1"/>
  <c r="AO22" i="5"/>
  <c r="AO21" i="5" s="1"/>
  <c r="AP22" i="5"/>
  <c r="AP21" i="5" s="1"/>
  <c r="AQ22" i="5"/>
  <c r="AQ21" i="5" s="1"/>
  <c r="AR22" i="5"/>
  <c r="AR21" i="5" s="1"/>
  <c r="AS22" i="5"/>
  <c r="AS21" i="5" s="1"/>
  <c r="AT22" i="5"/>
  <c r="AT21" i="5" s="1"/>
  <c r="AU22" i="5"/>
  <c r="AU21" i="5" s="1"/>
  <c r="AU14" i="5" s="1"/>
  <c r="AU11" i="5" s="1"/>
  <c r="AU12" i="5" s="1"/>
  <c r="AV22" i="5"/>
  <c r="AV21" i="5" s="1"/>
  <c r="AW22" i="5"/>
  <c r="AW21" i="5" s="1"/>
  <c r="AX22" i="5"/>
  <c r="AX21" i="5" s="1"/>
  <c r="AY22" i="5"/>
  <c r="AY21" i="5" s="1"/>
  <c r="AZ22" i="5"/>
  <c r="AZ21" i="5" s="1"/>
  <c r="BA22" i="5"/>
  <c r="BA21" i="5" s="1"/>
  <c r="BB22" i="5"/>
  <c r="BB21" i="5" s="1"/>
  <c r="BC22" i="5"/>
  <c r="BC21" i="5" s="1"/>
  <c r="BD22" i="5"/>
  <c r="BD21" i="5" s="1"/>
  <c r="BE22" i="5"/>
  <c r="BE21" i="5" s="1"/>
  <c r="BF22" i="5"/>
  <c r="BF21" i="5" s="1"/>
  <c r="BG22" i="5"/>
  <c r="BG21" i="5" s="1"/>
  <c r="BH22" i="5"/>
  <c r="BH21" i="5" s="1"/>
  <c r="BI22" i="5"/>
  <c r="BI21" i="5" s="1"/>
  <c r="BJ22" i="5"/>
  <c r="BJ21" i="5" s="1"/>
  <c r="BK22" i="5"/>
  <c r="BK21" i="5" s="1"/>
  <c r="BL22" i="5"/>
  <c r="BL21" i="5" s="1"/>
  <c r="BM22" i="5"/>
  <c r="BM21" i="5" s="1"/>
  <c r="BN22" i="5"/>
  <c r="BN21" i="5" s="1"/>
  <c r="BO22" i="5"/>
  <c r="BO21" i="5" s="1"/>
  <c r="BP22" i="5"/>
  <c r="BP21" i="5" s="1"/>
  <c r="BQ22" i="5"/>
  <c r="BQ21" i="5" s="1"/>
  <c r="BR22" i="5"/>
  <c r="BR21" i="5" s="1"/>
  <c r="BR14" i="5" s="1"/>
  <c r="BR11" i="5" s="1"/>
  <c r="BR12" i="5" s="1"/>
  <c r="BQ26" i="5"/>
  <c r="BR26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AE28" i="5"/>
  <c r="AF28" i="5"/>
  <c r="AG28" i="5"/>
  <c r="AH28" i="5"/>
  <c r="AI28" i="5"/>
  <c r="AJ28" i="5"/>
  <c r="AK28" i="5"/>
  <c r="AL28" i="5"/>
  <c r="AM28" i="5"/>
  <c r="AN28" i="5"/>
  <c r="AN25" i="5" s="1"/>
  <c r="AO28" i="5"/>
  <c r="AO25" i="5" s="1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B25" i="5" s="1"/>
  <c r="BC28" i="5"/>
  <c r="BD28" i="5"/>
  <c r="BD25" i="5" s="1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Q30" i="5"/>
  <c r="BR30" i="5"/>
  <c r="AE31" i="5"/>
  <c r="AF31" i="5"/>
  <c r="AG31" i="5"/>
  <c r="AH31" i="5"/>
  <c r="AI31" i="5"/>
  <c r="AJ31" i="5"/>
  <c r="AK31" i="5"/>
  <c r="AL31" i="5"/>
  <c r="AM31" i="5"/>
  <c r="AN31" i="5"/>
  <c r="AO31" i="5"/>
  <c r="AQ31" i="5"/>
  <c r="AR31" i="5"/>
  <c r="AS31" i="5"/>
  <c r="AT31" i="5"/>
  <c r="AU31" i="5"/>
  <c r="AV31" i="5"/>
  <c r="AW31" i="5"/>
  <c r="BQ31" i="5"/>
  <c r="BR31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BQ32" i="5"/>
  <c r="BR32" i="5"/>
  <c r="BL34" i="5"/>
  <c r="BM34" i="5"/>
  <c r="BN16" i="3" s="1"/>
  <c r="BN34" i="5"/>
  <c r="BO16" i="3" s="1"/>
  <c r="BO34" i="5"/>
  <c r="BP16" i="3" s="1"/>
  <c r="BP34" i="5"/>
  <c r="BR34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AE38" i="5"/>
  <c r="AF38" i="5"/>
  <c r="AG38" i="5"/>
  <c r="AH38" i="5"/>
  <c r="AI38" i="5"/>
  <c r="AJ38" i="5"/>
  <c r="AK38" i="5"/>
  <c r="AL38" i="5"/>
  <c r="AM38" i="5"/>
  <c r="AN38" i="5"/>
  <c r="AO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BN38" i="3" s="1"/>
  <c r="BN38" i="5"/>
  <c r="BO38" i="5"/>
  <c r="BP38" i="3" s="1"/>
  <c r="BP38" i="5"/>
  <c r="BQ38" i="3" s="1"/>
  <c r="BQ38" i="5"/>
  <c r="BR38" i="5"/>
  <c r="BI39" i="5"/>
  <c r="BJ39" i="5"/>
  <c r="BK39" i="5"/>
  <c r="BL39" i="5"/>
  <c r="BM39" i="5"/>
  <c r="BN39" i="5"/>
  <c r="BO39" i="5"/>
  <c r="BP39" i="5"/>
  <c r="BQ39" i="5"/>
  <c r="BR39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AE44" i="5"/>
  <c r="AF44" i="5"/>
  <c r="AG44" i="5"/>
  <c r="AH44" i="5"/>
  <c r="AI44" i="5"/>
  <c r="AJ44" i="5"/>
  <c r="AK44" i="5"/>
  <c r="AL44" i="5"/>
  <c r="AM44" i="5"/>
  <c r="AN44" i="5"/>
  <c r="AO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BM33" i="3" s="1"/>
  <c r="BM44" i="5"/>
  <c r="BN33" i="3" s="1"/>
  <c r="BN44" i="5"/>
  <c r="BO44" i="5"/>
  <c r="BP44" i="5"/>
  <c r="BQ33" i="3" s="1"/>
  <c r="BQ44" i="5"/>
  <c r="BR44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BM34" i="3" s="1"/>
  <c r="BM45" i="5"/>
  <c r="BN34" i="3" s="1"/>
  <c r="BN45" i="5"/>
  <c r="BO34" i="3" s="1"/>
  <c r="BO45" i="5"/>
  <c r="BP34" i="3" s="1"/>
  <c r="BP45" i="5"/>
  <c r="BQ34" i="3" s="1"/>
  <c r="BQ45" i="5"/>
  <c r="BR45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BM35" i="3" s="1"/>
  <c r="BM46" i="5"/>
  <c r="BN35" i="3" s="1"/>
  <c r="BN46" i="5"/>
  <c r="BO35" i="3" s="1"/>
  <c r="BO46" i="5"/>
  <c r="BP35" i="3" s="1"/>
  <c r="BP46" i="5"/>
  <c r="BQ35" i="3" s="1"/>
  <c r="BQ46" i="5"/>
  <c r="BR46" i="5"/>
  <c r="BI47" i="5"/>
  <c r="BJ47" i="5"/>
  <c r="BK47" i="5"/>
  <c r="BL47" i="5"/>
  <c r="BM47" i="5"/>
  <c r="BN47" i="5"/>
  <c r="BO47" i="5"/>
  <c r="BP47" i="5"/>
  <c r="BQ47" i="5"/>
  <c r="BR47" i="5"/>
  <c r="BL4" i="5"/>
  <c r="BJ48" i="1"/>
  <c r="BJ31" i="1"/>
  <c r="BJ21" i="1"/>
  <c r="BK34" i="5" s="1"/>
  <c r="BJ14" i="1"/>
  <c r="BK30" i="5" s="1"/>
  <c r="BJ4" i="1"/>
  <c r="BJ27" i="1" s="1"/>
  <c r="BQ16" i="3" l="1"/>
  <c r="BQ34" i="5"/>
  <c r="BM16" i="3"/>
  <c r="BP27" i="3"/>
  <c r="BQ27" i="3"/>
  <c r="BP26" i="3"/>
  <c r="BQ26" i="3"/>
  <c r="BP25" i="3"/>
  <c r="BQ25" i="3"/>
  <c r="BN24" i="3"/>
  <c r="BK4" i="5"/>
  <c r="BK5" i="5"/>
  <c r="BJ38" i="1"/>
  <c r="BJ49" i="1" s="1"/>
  <c r="BP36" i="3"/>
  <c r="BO36" i="3"/>
  <c r="BN36" i="3"/>
  <c r="BM36" i="3"/>
  <c r="BR43" i="5"/>
  <c r="BQ43" i="5"/>
  <c r="BO43" i="5"/>
  <c r="BP33" i="3"/>
  <c r="BN43" i="5"/>
  <c r="BO33" i="3"/>
  <c r="BJ43" i="5"/>
  <c r="BR37" i="5"/>
  <c r="BQ37" i="5"/>
  <c r="BN37" i="5"/>
  <c r="BO38" i="3"/>
  <c r="BM38" i="3"/>
  <c r="BJ37" i="5"/>
  <c r="BI37" i="5"/>
  <c r="BO25" i="5"/>
  <c r="BN25" i="5"/>
  <c r="BM25" i="5"/>
  <c r="BL25" i="5"/>
  <c r="BK25" i="5"/>
  <c r="BJ25" i="5"/>
  <c r="BI25" i="5"/>
  <c r="BH25" i="5"/>
  <c r="BG25" i="5"/>
  <c r="BF25" i="5"/>
  <c r="BE25" i="5"/>
  <c r="BC25" i="5"/>
  <c r="BA25" i="5"/>
  <c r="AZ25" i="5"/>
  <c r="AY25" i="5"/>
  <c r="AX25" i="5"/>
  <c r="AW25" i="5"/>
  <c r="AV25" i="5"/>
  <c r="AU25" i="5"/>
  <c r="AT25" i="5"/>
  <c r="AS25" i="5"/>
  <c r="AR25" i="5"/>
  <c r="AQ25" i="5"/>
  <c r="AM25" i="5"/>
  <c r="AL25" i="5"/>
  <c r="AK25" i="5"/>
  <c r="AJ25" i="5"/>
  <c r="AI25" i="5"/>
  <c r="AG25" i="5"/>
  <c r="AF25" i="5"/>
  <c r="AE25" i="5"/>
  <c r="BR25" i="5"/>
  <c r="BL14" i="5"/>
  <c r="BL11" i="5" s="1"/>
  <c r="BN35" i="2"/>
  <c r="BN37" i="2" s="1"/>
  <c r="BL35" i="2"/>
  <c r="BL37" i="2" s="1"/>
  <c r="BP37" i="5"/>
  <c r="BO35" i="2"/>
  <c r="BO37" i="2" s="1"/>
  <c r="BP25" i="5"/>
  <c r="BQ36" i="3"/>
  <c r="BL43" i="5"/>
  <c r="BI43" i="5"/>
  <c r="BK43" i="5"/>
  <c r="BP43" i="5"/>
  <c r="BL37" i="5"/>
  <c r="BK37" i="5"/>
  <c r="BK30" i="3" s="1"/>
  <c r="BO37" i="5"/>
  <c r="BO30" i="3" s="1"/>
  <c r="BM43" i="5"/>
  <c r="BM37" i="5"/>
  <c r="BM30" i="3" s="1"/>
  <c r="BH14" i="5"/>
  <c r="BH11" i="5" s="1"/>
  <c r="BP14" i="5"/>
  <c r="BP11" i="5" s="1"/>
  <c r="AJ14" i="5"/>
  <c r="AJ11" i="5" s="1"/>
  <c r="AJ12" i="5" s="1"/>
  <c r="BM14" i="5"/>
  <c r="BM11" i="5" s="1"/>
  <c r="BM29" i="3" s="1"/>
  <c r="BE14" i="5"/>
  <c r="BE11" i="5" s="1"/>
  <c r="BE12" i="5" s="1"/>
  <c r="AW14" i="5"/>
  <c r="AW11" i="5" s="1"/>
  <c r="AW12" i="5" s="1"/>
  <c r="AO14" i="5"/>
  <c r="AO11" i="5" s="1"/>
  <c r="AO12" i="5" s="1"/>
  <c r="AG14" i="5"/>
  <c r="AG11" i="5" s="1"/>
  <c r="AG12" i="5" s="1"/>
  <c r="AH25" i="5"/>
  <c r="AZ14" i="5"/>
  <c r="AZ11" i="5" s="1"/>
  <c r="AZ12" i="5" s="1"/>
  <c r="BQ25" i="5"/>
  <c r="BI14" i="5"/>
  <c r="BI11" i="5" s="1"/>
  <c r="BI29" i="3" s="1"/>
  <c r="BA14" i="5"/>
  <c r="BA11" i="5" s="1"/>
  <c r="BA12" i="5" s="1"/>
  <c r="AS14" i="5"/>
  <c r="AS11" i="5" s="1"/>
  <c r="AS12" i="5" s="1"/>
  <c r="AK14" i="5"/>
  <c r="AK11" i="5" s="1"/>
  <c r="AK12" i="5" s="1"/>
  <c r="BN14" i="5"/>
  <c r="BN11" i="5" s="1"/>
  <c r="BN29" i="3" s="1"/>
  <c r="BF14" i="5"/>
  <c r="BF11" i="5" s="1"/>
  <c r="BF12" i="5" s="1"/>
  <c r="AX14" i="5"/>
  <c r="AX11" i="5" s="1"/>
  <c r="AX12" i="5" s="1"/>
  <c r="AH14" i="5"/>
  <c r="AH11" i="5" s="1"/>
  <c r="AH12" i="5" s="1"/>
  <c r="AP25" i="5"/>
  <c r="AR14" i="5"/>
  <c r="AR11" i="5" s="1"/>
  <c r="AR12" i="5" s="1"/>
  <c r="BK14" i="5"/>
  <c r="BK11" i="5" s="1"/>
  <c r="BL12" i="5"/>
  <c r="BM6" i="3" s="1"/>
  <c r="BD14" i="5"/>
  <c r="BD11" i="5" s="1"/>
  <c r="BD12" i="5" s="1"/>
  <c r="AV14" i="5"/>
  <c r="AV11" i="5" s="1"/>
  <c r="AV12" i="5" s="1"/>
  <c r="AN14" i="5"/>
  <c r="AN11" i="5" s="1"/>
  <c r="AN12" i="5" s="1"/>
  <c r="AF14" i="5"/>
  <c r="AF11" i="5" s="1"/>
  <c r="AF12" i="5" s="1"/>
  <c r="BQ14" i="5"/>
  <c r="BQ11" i="5" s="1"/>
  <c r="BQ12" i="5" s="1"/>
  <c r="BJ14" i="5"/>
  <c r="BJ11" i="5" s="1"/>
  <c r="BJ29" i="3" s="1"/>
  <c r="BB14" i="5"/>
  <c r="BB11" i="5" s="1"/>
  <c r="BB12" i="5" s="1"/>
  <c r="AT14" i="5"/>
  <c r="AT11" i="5" s="1"/>
  <c r="AT12" i="5" s="1"/>
  <c r="AL14" i="5"/>
  <c r="AL11" i="5" s="1"/>
  <c r="AL12" i="5" s="1"/>
  <c r="BO14" i="5"/>
  <c r="BO11" i="5" s="1"/>
  <c r="BO29" i="3" s="1"/>
  <c r="BG14" i="5"/>
  <c r="BG11" i="5" s="1"/>
  <c r="BG12" i="5" s="1"/>
  <c r="AY14" i="5"/>
  <c r="AY11" i="5" s="1"/>
  <c r="AY12" i="5" s="1"/>
  <c r="AQ14" i="5"/>
  <c r="AQ11" i="5" s="1"/>
  <c r="AQ12" i="5" s="1"/>
  <c r="AI14" i="5"/>
  <c r="AI11" i="5" s="1"/>
  <c r="AI12" i="5" s="1"/>
  <c r="BG33" i="3"/>
  <c r="BG34" i="3"/>
  <c r="BL32" i="3"/>
  <c r="BG35" i="3"/>
  <c r="BE26" i="3"/>
  <c r="BF26" i="3"/>
  <c r="BG26" i="3"/>
  <c r="BK29" i="3" l="1"/>
  <c r="BP29" i="3"/>
  <c r="BQ29" i="3"/>
  <c r="BH12" i="5"/>
  <c r="BH29" i="3"/>
  <c r="BL30" i="3"/>
  <c r="BQ37" i="3"/>
  <c r="BP30" i="3"/>
  <c r="BQ30" i="3"/>
  <c r="BM4" i="3"/>
  <c r="BL29" i="3"/>
  <c r="BJ30" i="3"/>
  <c r="BN30" i="3"/>
  <c r="BL25" i="3"/>
  <c r="BL16" i="3"/>
  <c r="BM24" i="3"/>
  <c r="BO12" i="5"/>
  <c r="BP6" i="3" s="1"/>
  <c r="BP4" i="3"/>
  <c r="BN12" i="5"/>
  <c r="BO6" i="3" s="1"/>
  <c r="BO4" i="3"/>
  <c r="BM12" i="5"/>
  <c r="BN6" i="3" s="1"/>
  <c r="BN4" i="3"/>
  <c r="BN39" i="3"/>
  <c r="BN37" i="3"/>
  <c r="BP39" i="3"/>
  <c r="BP37" i="3"/>
  <c r="BM39" i="3"/>
  <c r="BM37" i="3"/>
  <c r="BO39" i="3"/>
  <c r="BO37" i="3"/>
  <c r="BQ39" i="3"/>
  <c r="BP12" i="5"/>
  <c r="BQ6" i="3" s="1"/>
  <c r="BQ4" i="3"/>
  <c r="BJ12" i="5"/>
  <c r="BK12" i="5"/>
  <c r="BL6" i="3" s="1"/>
  <c r="BL4" i="3"/>
  <c r="BI12" i="5"/>
  <c r="BH56" i="1"/>
  <c r="BD30" i="2"/>
  <c r="BE30" i="2"/>
  <c r="BF30" i="2"/>
  <c r="BG30" i="2"/>
  <c r="BD23" i="2"/>
  <c r="BE47" i="5" s="1"/>
  <c r="BE43" i="5" s="1"/>
  <c r="BE23" i="2"/>
  <c r="BF47" i="5" s="1"/>
  <c r="BF23" i="2"/>
  <c r="BG47" i="5" s="1"/>
  <c r="BG43" i="5" s="1"/>
  <c r="BG23" i="2"/>
  <c r="BH47" i="5" s="1"/>
  <c r="BH43" i="5" s="1"/>
  <c r="BD20" i="2"/>
  <c r="BE20" i="2"/>
  <c r="BF20" i="2"/>
  <c r="BG20" i="2"/>
  <c r="BD12" i="2"/>
  <c r="BD39" i="2" s="1"/>
  <c r="BE12" i="2"/>
  <c r="BE39" i="2" s="1"/>
  <c r="BF32" i="3" s="1"/>
  <c r="BF12" i="2"/>
  <c r="BF39" i="2" s="1"/>
  <c r="BG32" i="3" s="1"/>
  <c r="BG12" i="2"/>
  <c r="BG39" i="2" s="1"/>
  <c r="BD7" i="2"/>
  <c r="BE39" i="5" s="1"/>
  <c r="BE37" i="5" s="1"/>
  <c r="BE7" i="2"/>
  <c r="BF39" i="5" s="1"/>
  <c r="BF37" i="5" s="1"/>
  <c r="BG39" i="3" s="1"/>
  <c r="BF7" i="2"/>
  <c r="BG39" i="5" s="1"/>
  <c r="BG37" i="5" s="1"/>
  <c r="BG7" i="2"/>
  <c r="BD4" i="2"/>
  <c r="BE4" i="2"/>
  <c r="BF4" i="2"/>
  <c r="BG4" i="2"/>
  <c r="BF3" i="2"/>
  <c r="BF19" i="2" s="1"/>
  <c r="BF29" i="2" s="1"/>
  <c r="BF33" i="2" s="1"/>
  <c r="BF35" i="2" s="1"/>
  <c r="BF37" i="2" s="1"/>
  <c r="BG48" i="1"/>
  <c r="BH48" i="1"/>
  <c r="BI48" i="1"/>
  <c r="BG31" i="1"/>
  <c r="BH31" i="1"/>
  <c r="BI31" i="1"/>
  <c r="BE21" i="1"/>
  <c r="BF34" i="5" s="1"/>
  <c r="BF21" i="1"/>
  <c r="BG34" i="5" s="1"/>
  <c r="BG21" i="1"/>
  <c r="BH34" i="5" s="1"/>
  <c r="BH21" i="1"/>
  <c r="BI34" i="5" s="1"/>
  <c r="BI21" i="1"/>
  <c r="BJ34" i="5" s="1"/>
  <c r="BE14" i="1"/>
  <c r="BF14" i="1"/>
  <c r="BG30" i="5" s="1"/>
  <c r="BG14" i="1"/>
  <c r="BH30" i="5" s="1"/>
  <c r="BH14" i="1"/>
  <c r="BI30" i="5" s="1"/>
  <c r="BI14" i="1"/>
  <c r="BJ30" i="5" s="1"/>
  <c r="BF8" i="1"/>
  <c r="BF4" i="1"/>
  <c r="BG4" i="1"/>
  <c r="BG27" i="1" s="1"/>
  <c r="BH4" i="5" s="1"/>
  <c r="BH4" i="1"/>
  <c r="BH27" i="1" s="1"/>
  <c r="BI4" i="5" s="1"/>
  <c r="BJ24" i="3" s="1"/>
  <c r="BI4" i="1"/>
  <c r="BI27" i="1" s="1"/>
  <c r="BJ4" i="5" s="1"/>
  <c r="BK24" i="3" l="1"/>
  <c r="BL24" i="3"/>
  <c r="BK16" i="3"/>
  <c r="BJ16" i="3"/>
  <c r="BI16" i="3"/>
  <c r="BF27" i="1"/>
  <c r="BG4" i="5" s="1"/>
  <c r="BF30" i="5"/>
  <c r="BJ5" i="5"/>
  <c r="BI38" i="1"/>
  <c r="BI49" i="1" s="1"/>
  <c r="BI5" i="5"/>
  <c r="BH38" i="1"/>
  <c r="BH49" i="1" s="1"/>
  <c r="BH5" i="5"/>
  <c r="BG38" i="1"/>
  <c r="BG49" i="1" s="1"/>
  <c r="BG3" i="2"/>
  <c r="BG19" i="2" s="1"/>
  <c r="BG29" i="2" s="1"/>
  <c r="BG33" i="2" s="1"/>
  <c r="BG35" i="2" s="1"/>
  <c r="BG37" i="2" s="1"/>
  <c r="BH39" i="5"/>
  <c r="BH37" i="5" s="1"/>
  <c r="BH32" i="3"/>
  <c r="BI32" i="3"/>
  <c r="BF43" i="5"/>
  <c r="BG37" i="3"/>
  <c r="BK32" i="3"/>
  <c r="BJ32" i="3"/>
  <c r="BK4" i="3"/>
  <c r="BK6" i="3"/>
  <c r="BJ4" i="3"/>
  <c r="BJ6" i="3"/>
  <c r="BE3" i="2"/>
  <c r="BE19" i="2" s="1"/>
  <c r="BE29" i="2" s="1"/>
  <c r="BE33" i="2" s="1"/>
  <c r="BE35" i="2" s="1"/>
  <c r="BE37" i="2" s="1"/>
  <c r="BD3" i="2"/>
  <c r="BD19" i="2" s="1"/>
  <c r="BD29" i="2" s="1"/>
  <c r="BD33" i="2" s="1"/>
  <c r="BD35" i="2" s="1"/>
  <c r="BD37" i="2" s="1"/>
  <c r="BC30" i="2"/>
  <c r="BC23" i="2"/>
  <c r="BD47" i="5" s="1"/>
  <c r="BD43" i="5" s="1"/>
  <c r="BC20" i="2"/>
  <c r="BC12" i="2"/>
  <c r="BC39" i="2" s="1"/>
  <c r="BC7" i="2"/>
  <c r="BD39" i="5" s="1"/>
  <c r="BD37" i="5" s="1"/>
  <c r="BC4" i="2"/>
  <c r="BE48" i="1"/>
  <c r="BF48" i="1"/>
  <c r="BE31" i="1"/>
  <c r="BF31" i="1"/>
  <c r="BE8" i="1"/>
  <c r="BE4" i="1"/>
  <c r="BH30" i="3" l="1"/>
  <c r="BI30" i="3"/>
  <c r="BI25" i="3"/>
  <c r="BJ25" i="3"/>
  <c r="BK25" i="3"/>
  <c r="BI24" i="3"/>
  <c r="BH16" i="3"/>
  <c r="BE27" i="1"/>
  <c r="BF4" i="5" s="1"/>
  <c r="BG5" i="5"/>
  <c r="BH25" i="3" s="1"/>
  <c r="BF38" i="1"/>
  <c r="BF5" i="5"/>
  <c r="BE38" i="1"/>
  <c r="BF49" i="1"/>
  <c r="BE49" i="1"/>
  <c r="BE32" i="3"/>
  <c r="BE3" i="3"/>
  <c r="BF3" i="3"/>
  <c r="BG3" i="3"/>
  <c r="BH3" i="3"/>
  <c r="BH19" i="3" s="1"/>
  <c r="BI3" i="3"/>
  <c r="BI19" i="3" s="1"/>
  <c r="BJ3" i="3"/>
  <c r="BJ19" i="3" s="1"/>
  <c r="BK3" i="3"/>
  <c r="BK19" i="3" s="1"/>
  <c r="BL3" i="3"/>
  <c r="BL19" i="3" s="1"/>
  <c r="BG12" i="3"/>
  <c r="BG13" i="3"/>
  <c r="BG18" i="3"/>
  <c r="BF19" i="3"/>
  <c r="BG19" i="3"/>
  <c r="BA30" i="2"/>
  <c r="BB30" i="2"/>
  <c r="AZ23" i="2"/>
  <c r="BA47" i="5" s="1"/>
  <c r="BA43" i="5" s="1"/>
  <c r="BA23" i="2"/>
  <c r="BB47" i="5" s="1"/>
  <c r="BB43" i="5" s="1"/>
  <c r="BB23" i="2"/>
  <c r="BC47" i="5" s="1"/>
  <c r="BC43" i="5" s="1"/>
  <c r="AZ20" i="2"/>
  <c r="BA20" i="2"/>
  <c r="BB20" i="2"/>
  <c r="AZ12" i="2"/>
  <c r="BA12" i="2"/>
  <c r="BA39" i="2" s="1"/>
  <c r="BB12" i="2"/>
  <c r="BB39" i="2" s="1"/>
  <c r="AZ7" i="2"/>
  <c r="BA39" i="5" s="1"/>
  <c r="BA37" i="5" s="1"/>
  <c r="BA7" i="2"/>
  <c r="BB39" i="5" s="1"/>
  <c r="BB37" i="5" s="1"/>
  <c r="BB7" i="2"/>
  <c r="BC3" i="2"/>
  <c r="BC19" i="2" s="1"/>
  <c r="BC29" i="2" s="1"/>
  <c r="BC33" i="2" s="1"/>
  <c r="BC35" i="2" s="1"/>
  <c r="BC37" i="2" s="1"/>
  <c r="AZ4" i="2"/>
  <c r="BA4" i="2"/>
  <c r="BB4" i="2"/>
  <c r="BC48" i="1"/>
  <c r="BD48" i="1"/>
  <c r="BB31" i="1"/>
  <c r="BC31" i="1"/>
  <c r="BD31" i="1"/>
  <c r="BB21" i="1"/>
  <c r="BC21" i="1"/>
  <c r="BD34" i="5" s="1"/>
  <c r="BD21" i="1"/>
  <c r="BE34" i="5" s="1"/>
  <c r="BC14" i="1"/>
  <c r="BD30" i="5" s="1"/>
  <c r="BD14" i="1"/>
  <c r="BB8" i="1"/>
  <c r="BC8" i="1"/>
  <c r="BD8" i="1"/>
  <c r="BC4" i="1"/>
  <c r="BD4" i="1"/>
  <c r="BG16" i="3" l="1"/>
  <c r="BH24" i="3"/>
  <c r="BF12" i="3"/>
  <c r="BF13" i="3"/>
  <c r="BE12" i="3"/>
  <c r="BE13" i="3"/>
  <c r="BD27" i="1"/>
  <c r="BE4" i="5" s="1"/>
  <c r="BC27" i="1"/>
  <c r="BD4" i="5" s="1"/>
  <c r="BE30" i="5"/>
  <c r="BG38" i="3"/>
  <c r="BE5" i="5"/>
  <c r="BF18" i="3"/>
  <c r="BD38" i="1"/>
  <c r="BD5" i="5"/>
  <c r="BE18" i="3"/>
  <c r="BC38" i="1"/>
  <c r="BC5" i="5"/>
  <c r="BD18" i="3"/>
  <c r="BB38" i="1"/>
  <c r="BB3" i="2"/>
  <c r="BB19" i="2" s="1"/>
  <c r="BC39" i="5"/>
  <c r="BC37" i="5" s="1"/>
  <c r="BC32" i="3"/>
  <c r="BD32" i="3"/>
  <c r="BF25" i="3"/>
  <c r="BG25" i="3"/>
  <c r="BG36" i="3"/>
  <c r="BF24" i="3"/>
  <c r="BG24" i="3"/>
  <c r="BE6" i="3"/>
  <c r="BE4" i="3"/>
  <c r="BI6" i="3"/>
  <c r="BI4" i="3"/>
  <c r="BH4" i="3"/>
  <c r="BH6" i="3"/>
  <c r="BG4" i="3"/>
  <c r="BG6" i="3"/>
  <c r="BF4" i="3"/>
  <c r="BF6" i="3"/>
  <c r="BD49" i="1"/>
  <c r="BC49" i="1"/>
  <c r="BI5" i="3"/>
  <c r="BH5" i="3"/>
  <c r="BJ5" i="3"/>
  <c r="BG5" i="3"/>
  <c r="BF5" i="3"/>
  <c r="BK5" i="3"/>
  <c r="BE5" i="3"/>
  <c r="BL5" i="3"/>
  <c r="BF23" i="3"/>
  <c r="BF15" i="3"/>
  <c r="BF17" i="3"/>
  <c r="BF22" i="3"/>
  <c r="BF16" i="3"/>
  <c r="BF11" i="3"/>
  <c r="BF21" i="3"/>
  <c r="BF20" i="3"/>
  <c r="BF14" i="3"/>
  <c r="BE17" i="3"/>
  <c r="BE20" i="3"/>
  <c r="BE22" i="3"/>
  <c r="BE23" i="3"/>
  <c r="BE16" i="3"/>
  <c r="BE21" i="3"/>
  <c r="BE15" i="3"/>
  <c r="BE14" i="3"/>
  <c r="BE11" i="3"/>
  <c r="BA3" i="2"/>
  <c r="BA19" i="2" s="1"/>
  <c r="BA29" i="2" s="1"/>
  <c r="BA33" i="2" s="1"/>
  <c r="BA35" i="2" s="1"/>
  <c r="BA37" i="2" s="1"/>
  <c r="BG10" i="3"/>
  <c r="AZ3" i="2"/>
  <c r="AZ19" i="2" s="1"/>
  <c r="AZ29" i="2" s="1"/>
  <c r="BF10" i="3"/>
  <c r="BB29" i="2"/>
  <c r="BB33" i="2" s="1"/>
  <c r="BD10" i="3"/>
  <c r="BE10" i="3"/>
  <c r="BJ14" i="3"/>
  <c r="BG22" i="3"/>
  <c r="BG21" i="3"/>
  <c r="BG15" i="3"/>
  <c r="BI14" i="3"/>
  <c r="BG11" i="3"/>
  <c r="BH14" i="3"/>
  <c r="BG20" i="3"/>
  <c r="BG14" i="3"/>
  <c r="BG23" i="3"/>
  <c r="BG17" i="3"/>
  <c r="BE19" i="3"/>
  <c r="BB3" i="3"/>
  <c r="BC3" i="3"/>
  <c r="BB42" i="1"/>
  <c r="BB15" i="1"/>
  <c r="BB7" i="1"/>
  <c r="BB6" i="1"/>
  <c r="BB4" i="1" s="1"/>
  <c r="AW30" i="2"/>
  <c r="AX30" i="2"/>
  <c r="AY30" i="2"/>
  <c r="AZ30" i="2"/>
  <c r="AW23" i="2"/>
  <c r="AX47" i="5" s="1"/>
  <c r="AX43" i="5" s="1"/>
  <c r="AX23" i="2"/>
  <c r="AY47" i="5" s="1"/>
  <c r="AY43" i="5" s="1"/>
  <c r="AY23" i="2"/>
  <c r="AZ47" i="5" s="1"/>
  <c r="AZ43" i="5" s="1"/>
  <c r="AW20" i="2"/>
  <c r="AX20" i="2"/>
  <c r="AY20" i="2"/>
  <c r="AW12" i="2"/>
  <c r="AW39" i="2" s="1"/>
  <c r="AX12" i="2"/>
  <c r="AY12" i="2"/>
  <c r="AZ39" i="2"/>
  <c r="AW7" i="2"/>
  <c r="AX39" i="5" s="1"/>
  <c r="AX37" i="5" s="1"/>
  <c r="AX7" i="2"/>
  <c r="AY7" i="2"/>
  <c r="AZ39" i="5" s="1"/>
  <c r="AZ37" i="5" s="1"/>
  <c r="AW4" i="2"/>
  <c r="AX4" i="2"/>
  <c r="AY4" i="2"/>
  <c r="AW48" i="1"/>
  <c r="AX48" i="1"/>
  <c r="AY48" i="1"/>
  <c r="AZ48" i="1"/>
  <c r="BA48" i="1"/>
  <c r="AW31" i="1"/>
  <c r="AX31" i="1"/>
  <c r="AY31" i="1"/>
  <c r="AZ31" i="1"/>
  <c r="BA5" i="5" s="1"/>
  <c r="BA31" i="1"/>
  <c r="BB5" i="5" s="1"/>
  <c r="AW21" i="1"/>
  <c r="AX34" i="5" s="1"/>
  <c r="AX21" i="1"/>
  <c r="AY34" i="5" s="1"/>
  <c r="AY21" i="1"/>
  <c r="AZ34" i="5" s="1"/>
  <c r="AZ21" i="1"/>
  <c r="BA34" i="5" s="1"/>
  <c r="BA21" i="1"/>
  <c r="BB34" i="5" s="1"/>
  <c r="AW14" i="1"/>
  <c r="AX30" i="5" s="1"/>
  <c r="AX14" i="1"/>
  <c r="AY30" i="5" s="1"/>
  <c r="AY14" i="1"/>
  <c r="AZ30" i="5" s="1"/>
  <c r="AZ14" i="1"/>
  <c r="BA30" i="5" s="1"/>
  <c r="BA14" i="1"/>
  <c r="BB30" i="5" s="1"/>
  <c r="AW8" i="1"/>
  <c r="AX8" i="1"/>
  <c r="AY8" i="1"/>
  <c r="AZ8" i="1"/>
  <c r="BA8" i="1"/>
  <c r="AW4" i="1"/>
  <c r="AW27" i="1" s="1"/>
  <c r="AX4" i="5" s="1"/>
  <c r="AX4" i="1"/>
  <c r="AX27" i="1" s="1"/>
  <c r="AY4" i="5" s="1"/>
  <c r="AY4" i="1"/>
  <c r="AZ4" i="1"/>
  <c r="BA4" i="1"/>
  <c r="AY38" i="1" l="1"/>
  <c r="AZ5" i="5"/>
  <c r="AX38" i="1"/>
  <c r="AY5" i="5"/>
  <c r="AW38" i="1"/>
  <c r="AW49" i="1" s="1"/>
  <c r="AX5" i="5"/>
  <c r="AX3" i="2"/>
  <c r="AX19" i="2" s="1"/>
  <c r="AX29" i="2" s="1"/>
  <c r="AX33" i="2" s="1"/>
  <c r="AX35" i="2" s="1"/>
  <c r="AX37" i="2" s="1"/>
  <c r="AY39" i="5"/>
  <c r="AY37" i="5" s="1"/>
  <c r="BB32" i="3"/>
  <c r="BD12" i="3"/>
  <c r="BD13" i="3"/>
  <c r="BC34" i="5"/>
  <c r="BC31" i="5"/>
  <c r="BB14" i="1"/>
  <c r="BC18" i="5"/>
  <c r="BC14" i="5" s="1"/>
  <c r="BC11" i="5" s="1"/>
  <c r="BC12" i="5" s="1"/>
  <c r="BD3" i="3"/>
  <c r="BB48" i="1"/>
  <c r="BB49" i="1"/>
  <c r="BE25" i="3"/>
  <c r="BC19" i="3"/>
  <c r="AY27" i="1"/>
  <c r="AZ4" i="5" s="1"/>
  <c r="BG9" i="3"/>
  <c r="AY39" i="2"/>
  <c r="AX39" i="2"/>
  <c r="AY32" i="3" s="1"/>
  <c r="BF9" i="3"/>
  <c r="BB35" i="2"/>
  <c r="BB37" i="2" s="1"/>
  <c r="BA27" i="1"/>
  <c r="BC12" i="3"/>
  <c r="BC13" i="3"/>
  <c r="AZ27" i="1"/>
  <c r="BB12" i="3"/>
  <c r="BB13" i="3"/>
  <c r="BB15" i="3"/>
  <c r="BC16" i="3"/>
  <c r="BC17" i="3"/>
  <c r="BB17" i="3"/>
  <c r="BA38" i="1"/>
  <c r="BC5" i="3"/>
  <c r="BC18" i="3"/>
  <c r="AZ38" i="1"/>
  <c r="BB18" i="3"/>
  <c r="BC9" i="3"/>
  <c r="BC10" i="3"/>
  <c r="BB11" i="3"/>
  <c r="BB19" i="3"/>
  <c r="BB5" i="3"/>
  <c r="BA49" i="1"/>
  <c r="AZ49" i="1"/>
  <c r="AY49" i="1"/>
  <c r="AX49" i="1"/>
  <c r="AY3" i="2"/>
  <c r="AY19" i="2" s="1"/>
  <c r="AY29" i="2" s="1"/>
  <c r="AY33" i="2" s="1"/>
  <c r="AY35" i="2" s="1"/>
  <c r="AY37" i="2" s="1"/>
  <c r="AW3" i="2"/>
  <c r="AW19" i="2" s="1"/>
  <c r="AW29" i="2" s="1"/>
  <c r="AW33" i="2" s="1"/>
  <c r="AW35" i="2" s="1"/>
  <c r="AW37" i="2" s="1"/>
  <c r="BA23" i="3"/>
  <c r="AY18" i="3"/>
  <c r="AZ18" i="3"/>
  <c r="BA18" i="3"/>
  <c r="AY13" i="3"/>
  <c r="AZ13" i="3"/>
  <c r="BA13" i="3"/>
  <c r="AY12" i="3"/>
  <c r="AZ12" i="3"/>
  <c r="BA12" i="3"/>
  <c r="AX3" i="3"/>
  <c r="AY3" i="3"/>
  <c r="AZ3" i="3"/>
  <c r="BA3" i="3"/>
  <c r="AZ10" i="3"/>
  <c r="AZ21" i="3"/>
  <c r="BA22" i="3"/>
  <c r="AS3" i="3"/>
  <c r="AT3" i="3"/>
  <c r="AU3" i="3"/>
  <c r="AV3" i="3"/>
  <c r="AW3" i="3"/>
  <c r="AG8" i="1"/>
  <c r="AH8" i="1"/>
  <c r="AI8" i="1"/>
  <c r="AJ8" i="1"/>
  <c r="AK8" i="1"/>
  <c r="AL8" i="1"/>
  <c r="AM8" i="1"/>
  <c r="AN8" i="1"/>
  <c r="AP8" i="1"/>
  <c r="AQ8" i="1"/>
  <c r="AR8" i="1"/>
  <c r="AS8" i="1"/>
  <c r="AT8" i="1"/>
  <c r="AU8" i="1"/>
  <c r="AV8" i="1"/>
  <c r="AN14" i="1"/>
  <c r="AO30" i="5" s="1"/>
  <c r="AP14" i="1"/>
  <c r="AQ30" i="5" s="1"/>
  <c r="AQ14" i="1"/>
  <c r="AR30" i="5" s="1"/>
  <c r="AR14" i="1"/>
  <c r="AS30" i="5" s="1"/>
  <c r="AS14" i="1"/>
  <c r="AT30" i="5" s="1"/>
  <c r="AT14" i="1"/>
  <c r="AU30" i="5" s="1"/>
  <c r="AU14" i="1"/>
  <c r="AV30" i="5" s="1"/>
  <c r="AV14" i="1"/>
  <c r="AW30" i="5" s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D14" i="1"/>
  <c r="AE30" i="5" s="1"/>
  <c r="AE14" i="1"/>
  <c r="AF30" i="5" s="1"/>
  <c r="AF14" i="1"/>
  <c r="AG30" i="5" s="1"/>
  <c r="AG14" i="1"/>
  <c r="AH30" i="5" s="1"/>
  <c r="AH14" i="1"/>
  <c r="AI30" i="5" s="1"/>
  <c r="AI14" i="1"/>
  <c r="AJ30" i="5" s="1"/>
  <c r="AJ14" i="1"/>
  <c r="AK30" i="5" s="1"/>
  <c r="AK14" i="1"/>
  <c r="AL30" i="5" s="1"/>
  <c r="AL14" i="1"/>
  <c r="AM30" i="5" s="1"/>
  <c r="AM14" i="1"/>
  <c r="AN30" i="5" s="1"/>
  <c r="AU30" i="2"/>
  <c r="AV30" i="2"/>
  <c r="AU23" i="2"/>
  <c r="AV47" i="5" s="1"/>
  <c r="AV43" i="5" s="1"/>
  <c r="AV23" i="2"/>
  <c r="AW47" i="5" s="1"/>
  <c r="AW43" i="5" s="1"/>
  <c r="AU20" i="2"/>
  <c r="AV20" i="2"/>
  <c r="AU12" i="2"/>
  <c r="AV12" i="2"/>
  <c r="AU7" i="2"/>
  <c r="AV39" i="5" s="1"/>
  <c r="AV37" i="5" s="1"/>
  <c r="AV7" i="2"/>
  <c r="AW39" i="5" s="1"/>
  <c r="AW37" i="5" s="1"/>
  <c r="AU4" i="2"/>
  <c r="AV4" i="2"/>
  <c r="AV48" i="1"/>
  <c r="AV31" i="1"/>
  <c r="AW5" i="5" s="1"/>
  <c r="AV21" i="1"/>
  <c r="AW34" i="5" s="1"/>
  <c r="AV4" i="1"/>
  <c r="AM3" i="3"/>
  <c r="AN3" i="3"/>
  <c r="AO3" i="3"/>
  <c r="AP3" i="3"/>
  <c r="AR3" i="3"/>
  <c r="BS4" i="5"/>
  <c r="BT4" i="5"/>
  <c r="BU4" i="5"/>
  <c r="BV4" i="5"/>
  <c r="BW4" i="5"/>
  <c r="AO30" i="2"/>
  <c r="AP30" i="2"/>
  <c r="AQ30" i="2"/>
  <c r="AR30" i="2"/>
  <c r="AS30" i="2"/>
  <c r="AT30" i="2"/>
  <c r="AO23" i="2"/>
  <c r="AP47" i="5" s="1"/>
  <c r="AP23" i="2"/>
  <c r="AQ47" i="5" s="1"/>
  <c r="AQ43" i="5" s="1"/>
  <c r="AQ23" i="2"/>
  <c r="AR47" i="5" s="1"/>
  <c r="AR43" i="5" s="1"/>
  <c r="AR23" i="2"/>
  <c r="AS47" i="5" s="1"/>
  <c r="AS43" i="5" s="1"/>
  <c r="AS23" i="2"/>
  <c r="AT47" i="5" s="1"/>
  <c r="AT43" i="5" s="1"/>
  <c r="AT23" i="2"/>
  <c r="AU47" i="5" s="1"/>
  <c r="AU43" i="5" s="1"/>
  <c r="AO20" i="2"/>
  <c r="AP20" i="2"/>
  <c r="AQ20" i="2"/>
  <c r="AR20" i="2"/>
  <c r="AS20" i="2"/>
  <c r="AT20" i="2"/>
  <c r="AP12" i="2"/>
  <c r="AQ12" i="2"/>
  <c r="AR12" i="2"/>
  <c r="AR39" i="2" s="1"/>
  <c r="AS12" i="2"/>
  <c r="AS39" i="2" s="1"/>
  <c r="AT32" i="3" s="1"/>
  <c r="AT12" i="2"/>
  <c r="AT39" i="2" s="1"/>
  <c r="AU32" i="3" s="1"/>
  <c r="AP7" i="2"/>
  <c r="AQ7" i="2"/>
  <c r="AR7" i="2"/>
  <c r="AS39" i="5" s="1"/>
  <c r="AS37" i="5" s="1"/>
  <c r="AS7" i="2"/>
  <c r="AT39" i="5" s="1"/>
  <c r="AT37" i="5" s="1"/>
  <c r="AT7" i="2"/>
  <c r="AU39" i="5" s="1"/>
  <c r="AU37" i="5" s="1"/>
  <c r="AP4" i="2"/>
  <c r="AQ4" i="2"/>
  <c r="AR4" i="2"/>
  <c r="AS4" i="2"/>
  <c r="AT4" i="2"/>
  <c r="AP48" i="1"/>
  <c r="AQ48" i="1"/>
  <c r="AR48" i="1"/>
  <c r="AS48" i="1"/>
  <c r="AT48" i="1"/>
  <c r="AU48" i="1"/>
  <c r="AP31" i="1"/>
  <c r="AQ5" i="5" s="1"/>
  <c r="AQ31" i="1"/>
  <c r="AR5" i="5" s="1"/>
  <c r="AR31" i="1"/>
  <c r="AS5" i="5" s="1"/>
  <c r="AS31" i="1"/>
  <c r="AT5" i="5" s="1"/>
  <c r="AT31" i="1"/>
  <c r="AU5" i="5" s="1"/>
  <c r="AU31" i="1"/>
  <c r="AV5" i="5" s="1"/>
  <c r="AP21" i="1"/>
  <c r="AQ34" i="5" s="1"/>
  <c r="AQ21" i="1"/>
  <c r="AR34" i="5" s="1"/>
  <c r="AR21" i="1"/>
  <c r="AS34" i="5" s="1"/>
  <c r="AS21" i="1"/>
  <c r="AT34" i="5" s="1"/>
  <c r="AT21" i="1"/>
  <c r="AU34" i="5" s="1"/>
  <c r="AU21" i="1"/>
  <c r="AV34" i="5" s="1"/>
  <c r="AP4" i="1"/>
  <c r="AQ4" i="1"/>
  <c r="AR4" i="1"/>
  <c r="AS4" i="1"/>
  <c r="AT4" i="1"/>
  <c r="AU4" i="1"/>
  <c r="AQ3" i="2" l="1"/>
  <c r="AQ19" i="2" s="1"/>
  <c r="AQ29" i="2" s="1"/>
  <c r="AQ33" i="2" s="1"/>
  <c r="AR39" i="5"/>
  <c r="AR37" i="5" s="1"/>
  <c r="AP3" i="2"/>
  <c r="AP19" i="2" s="1"/>
  <c r="AP29" i="2" s="1"/>
  <c r="AP33" i="2" s="1"/>
  <c r="AQ39" i="5"/>
  <c r="AQ37" i="5" s="1"/>
  <c r="BB16" i="3"/>
  <c r="BA4" i="5"/>
  <c r="BB4" i="3"/>
  <c r="BB6" i="3"/>
  <c r="BC15" i="3"/>
  <c r="BB4" i="5"/>
  <c r="BC6" i="3"/>
  <c r="BC4" i="3"/>
  <c r="AZ32" i="3"/>
  <c r="BA32" i="3"/>
  <c r="BD19" i="3"/>
  <c r="BD5" i="3"/>
  <c r="BC30" i="5"/>
  <c r="BB27" i="1"/>
  <c r="BA6" i="3"/>
  <c r="BA4" i="3"/>
  <c r="AZ4" i="3"/>
  <c r="AZ6" i="3"/>
  <c r="AY4" i="3"/>
  <c r="AY6" i="3"/>
  <c r="BB24" i="3"/>
  <c r="BC24" i="3"/>
  <c r="BD9" i="3"/>
  <c r="BC21" i="3"/>
  <c r="AY19" i="3"/>
  <c r="BA19" i="3"/>
  <c r="AZ19" i="3"/>
  <c r="BC11" i="3"/>
  <c r="BB21" i="3"/>
  <c r="AV3" i="2"/>
  <c r="AV19" i="2" s="1"/>
  <c r="AV29" i="2" s="1"/>
  <c r="AV33" i="2" s="1"/>
  <c r="AQ39" i="2"/>
  <c r="AU3" i="2"/>
  <c r="AU19" i="2" s="1"/>
  <c r="AU29" i="2" s="1"/>
  <c r="AU33" i="2" s="1"/>
  <c r="AU35" i="2" s="1"/>
  <c r="AU37" i="2" s="1"/>
  <c r="AP39" i="2"/>
  <c r="AV39" i="2"/>
  <c r="AU39" i="2"/>
  <c r="AV32" i="3" s="1"/>
  <c r="AY10" i="3"/>
  <c r="AZ33" i="2"/>
  <c r="BB10" i="3"/>
  <c r="BB14" i="3"/>
  <c r="BB20" i="3"/>
  <c r="BB22" i="3"/>
  <c r="BB23" i="3"/>
  <c r="BC14" i="3"/>
  <c r="BC20" i="3"/>
  <c r="BC22" i="3"/>
  <c r="BC23" i="3"/>
  <c r="AX13" i="3"/>
  <c r="AX12" i="3"/>
  <c r="AX18" i="3"/>
  <c r="AV35" i="2"/>
  <c r="AV37" i="2" s="1"/>
  <c r="AX10" i="3"/>
  <c r="AW10" i="3"/>
  <c r="AX5" i="3"/>
  <c r="BA10" i="3"/>
  <c r="BA20" i="3"/>
  <c r="BA16" i="3"/>
  <c r="AZ23" i="3"/>
  <c r="AZ14" i="3"/>
  <c r="AZ16" i="3"/>
  <c r="BA11" i="3"/>
  <c r="BA14" i="3"/>
  <c r="BA17" i="3"/>
  <c r="BA21" i="3"/>
  <c r="BA15" i="3"/>
  <c r="BA9" i="3"/>
  <c r="AZ24" i="3"/>
  <c r="AZ11" i="3"/>
  <c r="AZ15" i="3"/>
  <c r="AZ17" i="3"/>
  <c r="AZ20" i="3"/>
  <c r="AZ22" i="3"/>
  <c r="AX19" i="3"/>
  <c r="BA5" i="3"/>
  <c r="AZ5" i="3"/>
  <c r="AY5" i="3"/>
  <c r="AW13" i="3"/>
  <c r="AW12" i="3"/>
  <c r="AV13" i="3"/>
  <c r="AV12" i="3"/>
  <c r="AU13" i="3"/>
  <c r="AU12" i="3"/>
  <c r="AT13" i="3"/>
  <c r="AT12" i="3"/>
  <c r="AW18" i="3"/>
  <c r="AV18" i="3"/>
  <c r="AU18" i="3"/>
  <c r="AT18" i="3"/>
  <c r="AV27" i="1"/>
  <c r="AV38" i="1"/>
  <c r="AV49" i="1" s="1"/>
  <c r="AW19" i="3"/>
  <c r="AW5" i="3"/>
  <c r="AV19" i="3"/>
  <c r="AV5" i="3"/>
  <c r="AU19" i="3"/>
  <c r="AU5" i="3"/>
  <c r="AT19" i="3"/>
  <c r="AT5" i="3"/>
  <c r="AU27" i="1"/>
  <c r="AT27" i="1"/>
  <c r="AS27" i="1"/>
  <c r="AR27" i="1"/>
  <c r="AS13" i="3"/>
  <c r="AS12" i="3"/>
  <c r="AQ27" i="1"/>
  <c r="AR13" i="3"/>
  <c r="AR12" i="3"/>
  <c r="AP27" i="1"/>
  <c r="AR17" i="3"/>
  <c r="AU38" i="1"/>
  <c r="AU49" i="1" s="1"/>
  <c r="AT38" i="1"/>
  <c r="AT49" i="1" s="1"/>
  <c r="AS38" i="1"/>
  <c r="AS49" i="1" s="1"/>
  <c r="AR38" i="1"/>
  <c r="AR49" i="1" s="1"/>
  <c r="AS18" i="3"/>
  <c r="AQ38" i="1"/>
  <c r="AQ49" i="1" s="1"/>
  <c r="AR21" i="3"/>
  <c r="AR18" i="3"/>
  <c r="AP38" i="1"/>
  <c r="AP49" i="1" s="1"/>
  <c r="AQ35" i="2"/>
  <c r="AQ37" i="2" s="1"/>
  <c r="AP35" i="2"/>
  <c r="AP37" i="2" s="1"/>
  <c r="AT3" i="2"/>
  <c r="AT19" i="2" s="1"/>
  <c r="AR3" i="2"/>
  <c r="AR19" i="2" s="1"/>
  <c r="AS10" i="3"/>
  <c r="AR10" i="3"/>
  <c r="AS19" i="3"/>
  <c r="AS5" i="3"/>
  <c r="AR19" i="3"/>
  <c r="AR5" i="3"/>
  <c r="AP19" i="3"/>
  <c r="AO19" i="3"/>
  <c r="AN19" i="3"/>
  <c r="AM19" i="3"/>
  <c r="AS3" i="2"/>
  <c r="AS19" i="2" s="1"/>
  <c r="AU10" i="3" s="1"/>
  <c r="AO11" i="2"/>
  <c r="AO7" i="2" s="1"/>
  <c r="AP39" i="5" s="1"/>
  <c r="AR16" i="3" l="1"/>
  <c r="AQ4" i="5"/>
  <c r="AR4" i="3"/>
  <c r="AR6" i="3"/>
  <c r="AR4" i="5"/>
  <c r="AS6" i="3"/>
  <c r="AS4" i="3"/>
  <c r="AS4" i="5"/>
  <c r="AT4" i="3"/>
  <c r="AT6" i="3"/>
  <c r="AT4" i="5"/>
  <c r="AU6" i="3"/>
  <c r="AU4" i="3"/>
  <c r="AU4" i="5"/>
  <c r="AV6" i="3"/>
  <c r="AV4" i="3"/>
  <c r="AV4" i="5"/>
  <c r="AW6" i="3"/>
  <c r="AW4" i="3"/>
  <c r="AW4" i="5"/>
  <c r="AX4" i="3"/>
  <c r="AX6" i="3"/>
  <c r="AW32" i="3"/>
  <c r="AX32" i="3"/>
  <c r="AR32" i="3"/>
  <c r="AS32" i="3"/>
  <c r="BD22" i="3"/>
  <c r="BC4" i="5"/>
  <c r="BD23" i="3"/>
  <c r="BD21" i="3"/>
  <c r="BD17" i="3"/>
  <c r="BD14" i="3"/>
  <c r="BD11" i="3"/>
  <c r="BE9" i="3"/>
  <c r="BD15" i="3"/>
  <c r="BD16" i="3"/>
  <c r="BD20" i="3"/>
  <c r="BD6" i="3"/>
  <c r="BD4" i="3"/>
  <c r="AY24" i="3"/>
  <c r="BA24" i="3"/>
  <c r="AR11" i="3"/>
  <c r="AS11" i="3"/>
  <c r="AS21" i="3"/>
  <c r="AS17" i="3"/>
  <c r="AS9" i="3"/>
  <c r="AX9" i="3"/>
  <c r="AS16" i="3"/>
  <c r="AZ35" i="2"/>
  <c r="AZ37" i="2" s="1"/>
  <c r="BB9" i="3"/>
  <c r="AR29" i="2"/>
  <c r="AR33" i="2" s="1"/>
  <c r="AT9" i="3" s="1"/>
  <c r="AT10" i="3"/>
  <c r="AT29" i="2"/>
  <c r="AT33" i="2" s="1"/>
  <c r="AV9" i="3" s="1"/>
  <c r="AV10" i="3"/>
  <c r="AX23" i="3"/>
  <c r="AX22" i="3"/>
  <c r="AX20" i="3"/>
  <c r="AX14" i="3"/>
  <c r="AX15" i="3"/>
  <c r="AX17" i="3"/>
  <c r="AX16" i="3"/>
  <c r="AX21" i="3"/>
  <c r="AX11" i="3"/>
  <c r="AY22" i="3"/>
  <c r="AY20" i="3"/>
  <c r="AY17" i="3"/>
  <c r="AY15" i="3"/>
  <c r="AY11" i="3"/>
  <c r="AY9" i="3"/>
  <c r="AZ9" i="3"/>
  <c r="AY23" i="3"/>
  <c r="AY21" i="3"/>
  <c r="AY16" i="3"/>
  <c r="AY14" i="3"/>
  <c r="AT23" i="3"/>
  <c r="AT22" i="3"/>
  <c r="AT20" i="3"/>
  <c r="AT14" i="3"/>
  <c r="AT11" i="3"/>
  <c r="AT15" i="3"/>
  <c r="AT17" i="3"/>
  <c r="AT16" i="3"/>
  <c r="AT21" i="3"/>
  <c r="AU23" i="3"/>
  <c r="AU22" i="3"/>
  <c r="AU20" i="3"/>
  <c r="AU14" i="3"/>
  <c r="AU11" i="3"/>
  <c r="AU15" i="3"/>
  <c r="AU17" i="3"/>
  <c r="AU16" i="3"/>
  <c r="AU21" i="3"/>
  <c r="AV23" i="3"/>
  <c r="AV22" i="3"/>
  <c r="AV20" i="3"/>
  <c r="AV14" i="3"/>
  <c r="AV11" i="3"/>
  <c r="AW9" i="3"/>
  <c r="AV15" i="3"/>
  <c r="AV17" i="3"/>
  <c r="AV16" i="3"/>
  <c r="AV21" i="3"/>
  <c r="AW23" i="3"/>
  <c r="AW22" i="3"/>
  <c r="AW20" i="3"/>
  <c r="AW14" i="3"/>
  <c r="AW11" i="3"/>
  <c r="AW15" i="3"/>
  <c r="AW17" i="3"/>
  <c r="AW16" i="3"/>
  <c r="AW21" i="3"/>
  <c r="AS29" i="2"/>
  <c r="AS33" i="2" s="1"/>
  <c r="AU9" i="3" s="1"/>
  <c r="AR23" i="3"/>
  <c r="AR22" i="3"/>
  <c r="AR20" i="3"/>
  <c r="AR14" i="3"/>
  <c r="AR15" i="3"/>
  <c r="AS23" i="3"/>
  <c r="AS22" i="3"/>
  <c r="AS20" i="3"/>
  <c r="AS14" i="3"/>
  <c r="AS24" i="3"/>
  <c r="AS15" i="3"/>
  <c r="AU24" i="3"/>
  <c r="AV24" i="3"/>
  <c r="AX24" i="3"/>
  <c r="BD24" i="3" l="1"/>
  <c r="BE24" i="3"/>
  <c r="AT24" i="3"/>
  <c r="AW24" i="3"/>
  <c r="AR35" i="2"/>
  <c r="AR37" i="2" s="1"/>
  <c r="AT35" i="2"/>
  <c r="AT37" i="2" s="1"/>
  <c r="AS35" i="2"/>
  <c r="AS37" i="2" s="1"/>
  <c r="F42" i="13"/>
  <c r="F38" i="13"/>
  <c r="F35" i="13"/>
  <c r="E149" i="4" l="1"/>
  <c r="AQ8" i="4"/>
  <c r="AO26" i="1"/>
  <c r="AO12" i="1"/>
  <c r="AO8" i="1" s="1"/>
  <c r="AO42" i="1" l="1"/>
  <c r="AO36" i="1"/>
  <c r="F41" i="13" s="1"/>
  <c r="AO15" i="1"/>
  <c r="AO7" i="1"/>
  <c r="AO6" i="1"/>
  <c r="AO5" i="1"/>
  <c r="AO16" i="2"/>
  <c r="AO13" i="2"/>
  <c r="AP44" i="5" s="1"/>
  <c r="AP43" i="5" s="1"/>
  <c r="AO5" i="2"/>
  <c r="AP38" i="5" s="1"/>
  <c r="AP37" i="5" s="1"/>
  <c r="AO14" i="1" l="1"/>
  <c r="AP30" i="5" s="1"/>
  <c r="AP31" i="5"/>
  <c r="AQ3" i="3"/>
  <c r="AP18" i="5"/>
  <c r="AP14" i="5" s="1"/>
  <c r="AP11" i="5" s="1"/>
  <c r="AP12" i="5" s="1"/>
  <c r="AO4" i="2"/>
  <c r="AO3" i="2" s="1"/>
  <c r="F48" i="13"/>
  <c r="AO12" i="2"/>
  <c r="F46" i="13"/>
  <c r="F32" i="13"/>
  <c r="F10" i="13" s="1"/>
  <c r="AQ19" i="3"/>
  <c r="G27" i="13"/>
  <c r="E27" i="13"/>
  <c r="D27" i="13"/>
  <c r="C27" i="13"/>
  <c r="G26" i="13"/>
  <c r="E26" i="13"/>
  <c r="D26" i="13"/>
  <c r="C26" i="13"/>
  <c r="G25" i="13"/>
  <c r="E25" i="13"/>
  <c r="D25" i="13"/>
  <c r="C25" i="13"/>
  <c r="G24" i="13"/>
  <c r="E24" i="13"/>
  <c r="D24" i="13"/>
  <c r="C24" i="13"/>
  <c r="G22" i="13"/>
  <c r="E22" i="13"/>
  <c r="D22" i="13"/>
  <c r="C22" i="13"/>
  <c r="G21" i="13"/>
  <c r="E21" i="13"/>
  <c r="D21" i="13"/>
  <c r="C21" i="13"/>
  <c r="G20" i="13"/>
  <c r="E20" i="13"/>
  <c r="D20" i="13"/>
  <c r="C20" i="13"/>
  <c r="G18" i="13"/>
  <c r="E18" i="13"/>
  <c r="D18" i="13"/>
  <c r="C18" i="13"/>
  <c r="G17" i="13"/>
  <c r="E17" i="13"/>
  <c r="D17" i="13"/>
  <c r="C17" i="13"/>
  <c r="G16" i="13"/>
  <c r="E16" i="13"/>
  <c r="D16" i="13"/>
  <c r="C16" i="13"/>
  <c r="G15" i="13"/>
  <c r="E15" i="13"/>
  <c r="D15" i="13"/>
  <c r="C15" i="13"/>
  <c r="G13" i="13"/>
  <c r="E13" i="13"/>
  <c r="D13" i="13"/>
  <c r="C13" i="13"/>
  <c r="G12" i="13"/>
  <c r="E12" i="13"/>
  <c r="D12" i="13"/>
  <c r="C12" i="13"/>
  <c r="G11" i="13"/>
  <c r="E11" i="13"/>
  <c r="D11" i="13"/>
  <c r="C11" i="13"/>
  <c r="G10" i="13"/>
  <c r="E10" i="13"/>
  <c r="D10" i="13"/>
  <c r="C10" i="13"/>
  <c r="G8" i="13"/>
  <c r="E8" i="13"/>
  <c r="D8" i="13"/>
  <c r="C8" i="13"/>
  <c r="G7" i="13"/>
  <c r="E7" i="13"/>
  <c r="D7" i="13"/>
  <c r="C7" i="13"/>
  <c r="G6" i="13"/>
  <c r="E6" i="13"/>
  <c r="D6" i="13"/>
  <c r="C6" i="13"/>
  <c r="Z48" i="1"/>
  <c r="AA48" i="1"/>
  <c r="AB48" i="1"/>
  <c r="Z31" i="1"/>
  <c r="Z38" i="1" s="1"/>
  <c r="Z49" i="1" s="1"/>
  <c r="AA31" i="1"/>
  <c r="AA38" i="1" s="1"/>
  <c r="AA49" i="1" s="1"/>
  <c r="AB31" i="1"/>
  <c r="AB38" i="1"/>
  <c r="AB49" i="1"/>
  <c r="Z21" i="1"/>
  <c r="AA21" i="1"/>
  <c r="AB21" i="1"/>
  <c r="Z14" i="1"/>
  <c r="AA14" i="1"/>
  <c r="AB14" i="1"/>
  <c r="Z4" i="1"/>
  <c r="AA4" i="1"/>
  <c r="AA27" i="1" s="1"/>
  <c r="AB4" i="1"/>
  <c r="AB27" i="1" s="1"/>
  <c r="Z30" i="2"/>
  <c r="AA30" i="2"/>
  <c r="AB30" i="2"/>
  <c r="Z23" i="2"/>
  <c r="AA23" i="2"/>
  <c r="AB47" i="5" s="1"/>
  <c r="AB23" i="2"/>
  <c r="Z20" i="2"/>
  <c r="AA20" i="2"/>
  <c r="AB20" i="2"/>
  <c r="Z12" i="2"/>
  <c r="AA12" i="2"/>
  <c r="AB12" i="2"/>
  <c r="Z7" i="2"/>
  <c r="AA7" i="2"/>
  <c r="AB7" i="2"/>
  <c r="Z4" i="2"/>
  <c r="Z3" i="2" s="1"/>
  <c r="Z19" i="2" s="1"/>
  <c r="AA4" i="2"/>
  <c r="AB4" i="2"/>
  <c r="AC6" i="1"/>
  <c r="AC4" i="1"/>
  <c r="AC7" i="1"/>
  <c r="AC15" i="1"/>
  <c r="AC21" i="1"/>
  <c r="AD34" i="5" s="1"/>
  <c r="AC31" i="1"/>
  <c r="AC38" i="1"/>
  <c r="AC42" i="1"/>
  <c r="AD18" i="5"/>
  <c r="AC48" i="1"/>
  <c r="AH8" i="3"/>
  <c r="AK8" i="3"/>
  <c r="F99" i="4"/>
  <c r="AB3" i="3"/>
  <c r="AC3" i="3"/>
  <c r="AD3" i="3"/>
  <c r="AF3" i="3"/>
  <c r="AG3" i="3"/>
  <c r="AH3" i="3"/>
  <c r="AI3" i="3"/>
  <c r="AJ3" i="3"/>
  <c r="AK3" i="3"/>
  <c r="AL3" i="3"/>
  <c r="AB8" i="3"/>
  <c r="AC8" i="3"/>
  <c r="AD8" i="3"/>
  <c r="AF8" i="3"/>
  <c r="AB13" i="3"/>
  <c r="AR25" i="3"/>
  <c r="AS25" i="3"/>
  <c r="AU25" i="3"/>
  <c r="AV25" i="3"/>
  <c r="AW25" i="3"/>
  <c r="AX25" i="3"/>
  <c r="AY25" i="3"/>
  <c r="AZ25" i="3"/>
  <c r="BA25" i="3"/>
  <c r="BS5" i="5"/>
  <c r="BT5" i="5"/>
  <c r="BU5" i="5"/>
  <c r="BV5" i="5"/>
  <c r="BW5" i="5"/>
  <c r="S6" i="5"/>
  <c r="T6" i="5"/>
  <c r="T26" i="3" s="1"/>
  <c r="U6" i="5"/>
  <c r="U26" i="3" s="1"/>
  <c r="V6" i="5"/>
  <c r="W6" i="5"/>
  <c r="W26" i="3" s="1"/>
  <c r="X6" i="5"/>
  <c r="Y6" i="5"/>
  <c r="Y26" i="3" s="1"/>
  <c r="Z6" i="5"/>
  <c r="AA6" i="5"/>
  <c r="AA26" i="3" s="1"/>
  <c r="AB6" i="5"/>
  <c r="AB26" i="3" s="1"/>
  <c r="AC6" i="5"/>
  <c r="AC26" i="3" s="1"/>
  <c r="AD6" i="5"/>
  <c r="AE26" i="3"/>
  <c r="AF26" i="3"/>
  <c r="AG26" i="3"/>
  <c r="AH26" i="3"/>
  <c r="AI26" i="3"/>
  <c r="AJ26" i="3"/>
  <c r="AK26" i="3"/>
  <c r="AM26" i="3"/>
  <c r="AN26" i="3"/>
  <c r="AO26" i="3"/>
  <c r="AP26" i="3"/>
  <c r="AQ26" i="3"/>
  <c r="AR26" i="3"/>
  <c r="AS26" i="3"/>
  <c r="AU26" i="3"/>
  <c r="AV26" i="3"/>
  <c r="AW26" i="3"/>
  <c r="AX26" i="3"/>
  <c r="AY26" i="3"/>
  <c r="AZ26" i="3"/>
  <c r="BA26" i="3"/>
  <c r="BS6" i="5"/>
  <c r="BT6" i="5"/>
  <c r="BU6" i="5"/>
  <c r="BV6" i="5"/>
  <c r="BW6" i="5"/>
  <c r="S7" i="5"/>
  <c r="T7" i="5"/>
  <c r="U7" i="5"/>
  <c r="V7" i="5"/>
  <c r="W7" i="5"/>
  <c r="X7" i="5"/>
  <c r="Y7" i="5"/>
  <c r="Z7" i="5"/>
  <c r="AA7" i="5"/>
  <c r="AB7" i="5"/>
  <c r="AC7" i="5"/>
  <c r="AD7" i="5"/>
  <c r="AL27" i="3"/>
  <c r="AO27" i="3"/>
  <c r="AW27" i="3"/>
  <c r="BE27" i="3"/>
  <c r="BS7" i="5"/>
  <c r="BT7" i="5"/>
  <c r="BU7" i="5"/>
  <c r="BV7" i="5"/>
  <c r="BW7" i="5"/>
  <c r="S8" i="5"/>
  <c r="T8" i="5"/>
  <c r="U8" i="5"/>
  <c r="V8" i="5"/>
  <c r="W8" i="5"/>
  <c r="X8" i="5"/>
  <c r="Y8" i="5"/>
  <c r="Z8" i="5"/>
  <c r="AA8" i="5"/>
  <c r="AB8" i="5"/>
  <c r="AC8" i="5"/>
  <c r="AD8" i="5"/>
  <c r="BS8" i="5"/>
  <c r="BT8" i="5"/>
  <c r="BU8" i="5"/>
  <c r="BV8" i="5"/>
  <c r="BW8" i="5"/>
  <c r="S15" i="5"/>
  <c r="T15" i="5"/>
  <c r="U15" i="5"/>
  <c r="V15" i="5"/>
  <c r="W15" i="5"/>
  <c r="X15" i="5"/>
  <c r="Y15" i="5"/>
  <c r="Z15" i="5"/>
  <c r="AA15" i="5"/>
  <c r="AB15" i="5"/>
  <c r="AC15" i="5"/>
  <c r="AD15" i="5"/>
  <c r="BS15" i="5"/>
  <c r="BT15" i="5"/>
  <c r="BU15" i="5"/>
  <c r="BV15" i="5"/>
  <c r="BW15" i="5"/>
  <c r="S17" i="5"/>
  <c r="T17" i="5"/>
  <c r="U17" i="5"/>
  <c r="V17" i="5"/>
  <c r="W17" i="5"/>
  <c r="X17" i="5"/>
  <c r="Y17" i="5"/>
  <c r="Z17" i="5"/>
  <c r="AA17" i="5"/>
  <c r="AB17" i="5"/>
  <c r="AC17" i="5"/>
  <c r="AD17" i="5"/>
  <c r="BS17" i="5"/>
  <c r="BT17" i="5"/>
  <c r="BU17" i="5"/>
  <c r="BV17" i="5"/>
  <c r="BW17" i="5"/>
  <c r="S18" i="5"/>
  <c r="T18" i="5"/>
  <c r="U18" i="5"/>
  <c r="V18" i="5"/>
  <c r="W18" i="5"/>
  <c r="X18" i="5"/>
  <c r="Y18" i="5"/>
  <c r="Z18" i="5"/>
  <c r="AA18" i="5"/>
  <c r="AB18" i="5"/>
  <c r="AC18" i="5"/>
  <c r="BS18" i="5"/>
  <c r="BT18" i="5"/>
  <c r="BU18" i="5"/>
  <c r="BV18" i="5"/>
  <c r="BW18" i="5"/>
  <c r="S19" i="5"/>
  <c r="T19" i="5"/>
  <c r="U19" i="5"/>
  <c r="V19" i="5"/>
  <c r="W19" i="5"/>
  <c r="X19" i="5"/>
  <c r="Y19" i="5"/>
  <c r="Z19" i="5"/>
  <c r="AA19" i="5"/>
  <c r="AB19" i="5"/>
  <c r="AC19" i="5"/>
  <c r="AD19" i="5"/>
  <c r="BS19" i="5"/>
  <c r="BT19" i="5"/>
  <c r="BU19" i="5"/>
  <c r="BV19" i="5"/>
  <c r="BW19" i="5"/>
  <c r="S20" i="5"/>
  <c r="T20" i="5"/>
  <c r="U20" i="5"/>
  <c r="V20" i="5"/>
  <c r="W20" i="5"/>
  <c r="X20" i="5"/>
  <c r="Y20" i="5"/>
  <c r="Z20" i="5"/>
  <c r="AA20" i="5"/>
  <c r="AB20" i="5"/>
  <c r="AC20" i="5"/>
  <c r="AD20" i="5"/>
  <c r="BS20" i="5"/>
  <c r="BT20" i="5"/>
  <c r="BU20" i="5"/>
  <c r="BV20" i="5"/>
  <c r="BW20" i="5"/>
  <c r="S22" i="5"/>
  <c r="S21" i="5" s="1"/>
  <c r="T22" i="5"/>
  <c r="T21" i="5" s="1"/>
  <c r="U22" i="5"/>
  <c r="U21" i="5" s="1"/>
  <c r="V22" i="5"/>
  <c r="V21" i="5" s="1"/>
  <c r="W22" i="5"/>
  <c r="W21" i="5" s="1"/>
  <c r="X22" i="5"/>
  <c r="X21" i="5" s="1"/>
  <c r="Y22" i="5"/>
  <c r="Y21" i="5" s="1"/>
  <c r="Z22" i="5"/>
  <c r="Z21" i="5" s="1"/>
  <c r="AA22" i="5"/>
  <c r="AA21" i="5" s="1"/>
  <c r="AB22" i="5"/>
  <c r="AB21" i="5" s="1"/>
  <c r="AC22" i="5"/>
  <c r="AC21" i="5" s="1"/>
  <c r="AD22" i="5"/>
  <c r="AD21" i="5" s="1"/>
  <c r="BS22" i="5"/>
  <c r="BS21" i="5" s="1"/>
  <c r="BT22" i="5"/>
  <c r="BT21" i="5" s="1"/>
  <c r="BU22" i="5"/>
  <c r="BU21" i="5" s="1"/>
  <c r="BV22" i="5"/>
  <c r="BV21" i="5" s="1"/>
  <c r="BW22" i="5"/>
  <c r="BW21" i="5" s="1"/>
  <c r="BS26" i="5"/>
  <c r="BT26" i="5"/>
  <c r="BU26" i="5"/>
  <c r="BV26" i="5"/>
  <c r="BW26" i="5"/>
  <c r="S27" i="5"/>
  <c r="T27" i="5"/>
  <c r="U27" i="5"/>
  <c r="V27" i="5"/>
  <c r="W27" i="5"/>
  <c r="X27" i="5"/>
  <c r="Y27" i="5"/>
  <c r="Z27" i="5"/>
  <c r="AA27" i="5"/>
  <c r="AB27" i="5"/>
  <c r="AC27" i="5"/>
  <c r="AD27" i="5"/>
  <c r="BS27" i="5"/>
  <c r="BT27" i="5"/>
  <c r="BU27" i="5"/>
  <c r="BV27" i="5"/>
  <c r="BW27" i="5"/>
  <c r="S28" i="5"/>
  <c r="T28" i="5"/>
  <c r="U28" i="5"/>
  <c r="V28" i="5"/>
  <c r="W28" i="5"/>
  <c r="X28" i="5"/>
  <c r="Y28" i="5"/>
  <c r="Z28" i="5"/>
  <c r="AA28" i="5"/>
  <c r="AB28" i="5"/>
  <c r="AC28" i="5"/>
  <c r="AD28" i="5"/>
  <c r="BS28" i="5"/>
  <c r="BT28" i="5"/>
  <c r="BU28" i="5"/>
  <c r="BV28" i="5"/>
  <c r="BV25" i="5" s="1"/>
  <c r="BW28" i="5"/>
  <c r="BS30" i="5"/>
  <c r="BT30" i="5"/>
  <c r="BU30" i="5"/>
  <c r="BV30" i="5"/>
  <c r="BW30" i="5"/>
  <c r="S31" i="5"/>
  <c r="T31" i="5"/>
  <c r="U31" i="5"/>
  <c r="V31" i="5"/>
  <c r="W31" i="5"/>
  <c r="X31" i="5"/>
  <c r="Y31" i="5"/>
  <c r="Z31" i="5"/>
  <c r="AA31" i="5"/>
  <c r="AB31" i="5"/>
  <c r="AC31" i="5"/>
  <c r="AH28" i="3"/>
  <c r="BS31" i="5"/>
  <c r="BT31" i="5"/>
  <c r="BU31" i="5"/>
  <c r="BV31" i="5"/>
  <c r="BW31" i="5"/>
  <c r="S32" i="5"/>
  <c r="T32" i="5"/>
  <c r="U32" i="5"/>
  <c r="V32" i="5"/>
  <c r="W32" i="5"/>
  <c r="X32" i="5"/>
  <c r="Y32" i="5"/>
  <c r="Z32" i="5"/>
  <c r="AA32" i="5"/>
  <c r="AB32" i="5"/>
  <c r="AC32" i="5"/>
  <c r="AD32" i="5"/>
  <c r="BS32" i="5"/>
  <c r="BT32" i="5"/>
  <c r="BU32" i="5"/>
  <c r="BV32" i="5"/>
  <c r="BW32" i="5"/>
  <c r="BS34" i="5"/>
  <c r="BT34" i="5"/>
  <c r="BU34" i="5"/>
  <c r="BV34" i="5"/>
  <c r="BW34" i="5"/>
  <c r="S35" i="5"/>
  <c r="T35" i="5"/>
  <c r="U35" i="5"/>
  <c r="V35" i="5"/>
  <c r="W35" i="5"/>
  <c r="X35" i="5"/>
  <c r="Y35" i="5"/>
  <c r="Z35" i="5"/>
  <c r="AA35" i="5"/>
  <c r="AB35" i="5"/>
  <c r="AC35" i="5"/>
  <c r="AD35" i="5"/>
  <c r="F37" i="13"/>
  <c r="BS35" i="5"/>
  <c r="BT35" i="5"/>
  <c r="BU35" i="5"/>
  <c r="BV35" i="5"/>
  <c r="BW35" i="5"/>
  <c r="S38" i="5"/>
  <c r="T38" i="5"/>
  <c r="U38" i="5"/>
  <c r="V38" i="5"/>
  <c r="W38" i="5"/>
  <c r="X38" i="5"/>
  <c r="Y38" i="5"/>
  <c r="Z38" i="5"/>
  <c r="AA38" i="5"/>
  <c r="AB38" i="5"/>
  <c r="AC38" i="5"/>
  <c r="AD38" i="5"/>
  <c r="AS38" i="3"/>
  <c r="AT38" i="3"/>
  <c r="AU38" i="3"/>
  <c r="AV38" i="3"/>
  <c r="AW38" i="3"/>
  <c r="AX38" i="3"/>
  <c r="AY38" i="3"/>
  <c r="AZ38" i="3"/>
  <c r="BA38" i="3"/>
  <c r="BB38" i="3"/>
  <c r="BC38" i="3"/>
  <c r="BD38" i="3"/>
  <c r="BE38" i="3"/>
  <c r="BF38" i="3"/>
  <c r="BH38" i="3"/>
  <c r="BI38" i="3"/>
  <c r="BJ38" i="3"/>
  <c r="BK38" i="3"/>
  <c r="BL38" i="3"/>
  <c r="BS38" i="5"/>
  <c r="BT38" i="5"/>
  <c r="BU38" i="5"/>
  <c r="BV38" i="5"/>
  <c r="BW38" i="5"/>
  <c r="BS39" i="5"/>
  <c r="BT39" i="5"/>
  <c r="BU39" i="5"/>
  <c r="BV39" i="5"/>
  <c r="BW39" i="5"/>
  <c r="S40" i="5"/>
  <c r="T40" i="5"/>
  <c r="U40" i="5"/>
  <c r="V40" i="5"/>
  <c r="W40" i="5"/>
  <c r="X40" i="5"/>
  <c r="Y40" i="5"/>
  <c r="Z40" i="5"/>
  <c r="AA40" i="5"/>
  <c r="AB40" i="5"/>
  <c r="AC40" i="5"/>
  <c r="AD40" i="5"/>
  <c r="BS40" i="5"/>
  <c r="BT40" i="5"/>
  <c r="BU40" i="5"/>
  <c r="BV40" i="5"/>
  <c r="BV37" i="5" s="1"/>
  <c r="BW40" i="5"/>
  <c r="S44" i="5"/>
  <c r="T44" i="5"/>
  <c r="U44" i="5"/>
  <c r="V44" i="5"/>
  <c r="W44" i="5"/>
  <c r="X44" i="5"/>
  <c r="Y33" i="3" s="1"/>
  <c r="Y44" i="5"/>
  <c r="Z33" i="3" s="1"/>
  <c r="Z44" i="5"/>
  <c r="AA44" i="5"/>
  <c r="AB44" i="5"/>
  <c r="AC33" i="3" s="1"/>
  <c r="AC44" i="5"/>
  <c r="AF33" i="3"/>
  <c r="AH33" i="3"/>
  <c r="AI33" i="3"/>
  <c r="AJ33" i="3"/>
  <c r="AK33" i="3"/>
  <c r="AM33" i="3"/>
  <c r="AO33" i="3"/>
  <c r="AP33" i="3"/>
  <c r="AQ33" i="3"/>
  <c r="AR33" i="3"/>
  <c r="AS33" i="3"/>
  <c r="AT33" i="3"/>
  <c r="AU33" i="3"/>
  <c r="AV33" i="3"/>
  <c r="AW33" i="3"/>
  <c r="AX33" i="3"/>
  <c r="AY33" i="3"/>
  <c r="AZ33" i="3"/>
  <c r="BA33" i="3"/>
  <c r="BB33" i="3"/>
  <c r="BC33" i="3"/>
  <c r="BD33" i="3"/>
  <c r="BE33" i="3"/>
  <c r="BF33" i="3"/>
  <c r="BH33" i="3"/>
  <c r="BI33" i="3"/>
  <c r="BK33" i="3"/>
  <c r="BS44" i="5"/>
  <c r="BT44" i="5"/>
  <c r="BU44" i="5"/>
  <c r="BV44" i="5"/>
  <c r="BW44" i="5"/>
  <c r="S45" i="5"/>
  <c r="T34" i="3"/>
  <c r="T45" i="5"/>
  <c r="U34" i="3" s="1"/>
  <c r="U45" i="5"/>
  <c r="V34" i="3" s="1"/>
  <c r="V45" i="5"/>
  <c r="W34" i="3" s="1"/>
  <c r="W45" i="5"/>
  <c r="X45" i="5"/>
  <c r="Y34" i="3"/>
  <c r="Y45" i="5"/>
  <c r="Z34" i="3"/>
  <c r="Z45" i="5"/>
  <c r="AA34" i="3" s="1"/>
  <c r="AA45" i="5"/>
  <c r="AB34" i="3" s="1"/>
  <c r="AB45" i="5"/>
  <c r="AC34" i="3" s="1"/>
  <c r="AC45" i="5"/>
  <c r="AD34" i="3" s="1"/>
  <c r="AD45" i="5"/>
  <c r="AE34" i="3" s="1"/>
  <c r="AF34" i="3"/>
  <c r="AG34" i="3"/>
  <c r="AH34" i="3"/>
  <c r="AI34" i="3"/>
  <c r="AJ34" i="3"/>
  <c r="AK34" i="3"/>
  <c r="AL34" i="3"/>
  <c r="AM34" i="3"/>
  <c r="AN34" i="3"/>
  <c r="AO34" i="3"/>
  <c r="AP34" i="3"/>
  <c r="AQ34" i="3"/>
  <c r="AT34" i="3"/>
  <c r="AU34" i="3"/>
  <c r="AV34" i="3"/>
  <c r="AW34" i="3"/>
  <c r="AX34" i="3"/>
  <c r="AY34" i="3"/>
  <c r="AZ34" i="3"/>
  <c r="BA34" i="3"/>
  <c r="BB34" i="3"/>
  <c r="BC34" i="3"/>
  <c r="BD34" i="3"/>
  <c r="BE34" i="3"/>
  <c r="BF34" i="3"/>
  <c r="BH34" i="3"/>
  <c r="BI34" i="3"/>
  <c r="BJ34" i="3"/>
  <c r="BK34" i="3"/>
  <c r="BL34" i="3"/>
  <c r="BS45" i="5"/>
  <c r="BT45" i="5"/>
  <c r="BU45" i="5"/>
  <c r="BV45" i="5"/>
  <c r="BW45" i="5"/>
  <c r="S46" i="5"/>
  <c r="T46" i="5"/>
  <c r="U46" i="5"/>
  <c r="V46" i="5"/>
  <c r="W46" i="5"/>
  <c r="X35" i="3" s="1"/>
  <c r="X46" i="5"/>
  <c r="Y46" i="5"/>
  <c r="Z46" i="5"/>
  <c r="AA46" i="5"/>
  <c r="AB46" i="5"/>
  <c r="AC46" i="5"/>
  <c r="AD46" i="5"/>
  <c r="AH35" i="3"/>
  <c r="BB35" i="3"/>
  <c r="BC35" i="3"/>
  <c r="BS46" i="5"/>
  <c r="BT46" i="5"/>
  <c r="BU46" i="5"/>
  <c r="BV46" i="5"/>
  <c r="BW46" i="5"/>
  <c r="AY36" i="3"/>
  <c r="AZ36" i="3"/>
  <c r="BA36" i="3"/>
  <c r="BD36" i="3"/>
  <c r="BS47" i="5"/>
  <c r="BT47" i="5"/>
  <c r="BU47" i="5"/>
  <c r="BV47" i="5"/>
  <c r="BW47" i="5"/>
  <c r="R6" i="5"/>
  <c r="R7" i="5"/>
  <c r="R8" i="5"/>
  <c r="R15" i="5"/>
  <c r="R17" i="5"/>
  <c r="R18" i="5"/>
  <c r="R19" i="5"/>
  <c r="R20" i="5"/>
  <c r="R22" i="5"/>
  <c r="R21" i="5" s="1"/>
  <c r="R27" i="5"/>
  <c r="R28" i="5"/>
  <c r="R31" i="5"/>
  <c r="R32" i="5"/>
  <c r="R35" i="5"/>
  <c r="R38" i="5"/>
  <c r="R40" i="5"/>
  <c r="R44" i="5"/>
  <c r="S33" i="3"/>
  <c r="R45" i="5"/>
  <c r="S34" i="3" s="1"/>
  <c r="R46" i="5"/>
  <c r="D139" i="4"/>
  <c r="H138" i="4" s="1"/>
  <c r="C139" i="4"/>
  <c r="F138" i="4"/>
  <c r="F137" i="4"/>
  <c r="F136" i="4"/>
  <c r="F135" i="4"/>
  <c r="F134" i="4"/>
  <c r="D129" i="4"/>
  <c r="C129" i="4"/>
  <c r="F128" i="4"/>
  <c r="F127" i="4"/>
  <c r="F126" i="4"/>
  <c r="F125" i="4"/>
  <c r="F124" i="4"/>
  <c r="F129" i="4" s="1"/>
  <c r="D120" i="4"/>
  <c r="C120" i="4"/>
  <c r="F119" i="4"/>
  <c r="F118" i="4"/>
  <c r="F117" i="4"/>
  <c r="F116" i="4"/>
  <c r="F115" i="4"/>
  <c r="D111" i="4"/>
  <c r="C111" i="4"/>
  <c r="F110" i="4"/>
  <c r="F109" i="4"/>
  <c r="F108" i="4"/>
  <c r="F107" i="4"/>
  <c r="F106" i="4"/>
  <c r="E102" i="4"/>
  <c r="F101" i="4"/>
  <c r="F100" i="4"/>
  <c r="F98" i="4"/>
  <c r="F97" i="4"/>
  <c r="AD30" i="2"/>
  <c r="AE30" i="2"/>
  <c r="AF30" i="2"/>
  <c r="AG30" i="2"/>
  <c r="AH30" i="2"/>
  <c r="AI30" i="2"/>
  <c r="AJ30" i="2"/>
  <c r="AK30" i="2"/>
  <c r="AL30" i="2"/>
  <c r="AM30" i="2"/>
  <c r="AN30" i="2"/>
  <c r="AD23" i="2"/>
  <c r="AE47" i="5" s="1"/>
  <c r="AE43" i="5" s="1"/>
  <c r="AE23" i="2"/>
  <c r="AF47" i="5" s="1"/>
  <c r="AF43" i="5" s="1"/>
  <c r="AF23" i="2"/>
  <c r="AG47" i="5" s="1"/>
  <c r="AG43" i="5" s="1"/>
  <c r="AG23" i="2"/>
  <c r="AH47" i="5" s="1"/>
  <c r="AH43" i="5" s="1"/>
  <c r="AH23" i="2"/>
  <c r="AI47" i="5" s="1"/>
  <c r="AI43" i="5" s="1"/>
  <c r="AI23" i="2"/>
  <c r="AJ47" i="5" s="1"/>
  <c r="AJ43" i="5" s="1"/>
  <c r="AJ23" i="2"/>
  <c r="AK47" i="5" s="1"/>
  <c r="AK43" i="5" s="1"/>
  <c r="AK23" i="2"/>
  <c r="AL47" i="5" s="1"/>
  <c r="AL43" i="5" s="1"/>
  <c r="AL23" i="2"/>
  <c r="AM47" i="5" s="1"/>
  <c r="AM43" i="5" s="1"/>
  <c r="AM23" i="2"/>
  <c r="AN47" i="5" s="1"/>
  <c r="AN43" i="5" s="1"/>
  <c r="AN23" i="2"/>
  <c r="AO47" i="5" s="1"/>
  <c r="AO43" i="5" s="1"/>
  <c r="F47" i="13"/>
  <c r="AD20" i="2"/>
  <c r="AE20" i="2"/>
  <c r="AF20" i="2"/>
  <c r="AG20" i="2"/>
  <c r="AH20" i="2"/>
  <c r="AI20" i="2"/>
  <c r="AJ20" i="2"/>
  <c r="AK20" i="2"/>
  <c r="AL20" i="2"/>
  <c r="AM20" i="2"/>
  <c r="AN20" i="2"/>
  <c r="AD12" i="2"/>
  <c r="AE12" i="2"/>
  <c r="AF12" i="2"/>
  <c r="AG12" i="2"/>
  <c r="AG39" i="2" s="1"/>
  <c r="AH12" i="2"/>
  <c r="AI12" i="2"/>
  <c r="AI39" i="2"/>
  <c r="AJ12" i="2"/>
  <c r="AK12" i="2"/>
  <c r="AL12" i="2"/>
  <c r="AM12" i="2"/>
  <c r="AN12" i="2"/>
  <c r="AN39" i="2" s="1"/>
  <c r="AC7" i="2"/>
  <c r="AD7" i="2"/>
  <c r="AE39" i="5" s="1"/>
  <c r="AE37" i="5" s="1"/>
  <c r="AE7" i="2"/>
  <c r="AF39" i="5" s="1"/>
  <c r="AF37" i="5" s="1"/>
  <c r="AF7" i="2"/>
  <c r="AG39" i="5" s="1"/>
  <c r="AG37" i="5" s="1"/>
  <c r="AG7" i="2"/>
  <c r="AH39" i="5" s="1"/>
  <c r="AH37" i="5" s="1"/>
  <c r="AH7" i="2"/>
  <c r="AI39" i="5" s="1"/>
  <c r="AI37" i="5" s="1"/>
  <c r="AI7" i="2"/>
  <c r="AJ7" i="2"/>
  <c r="AK7" i="2"/>
  <c r="AL39" i="5" s="1"/>
  <c r="AL37" i="5" s="1"/>
  <c r="AL7" i="2"/>
  <c r="AM39" i="5" s="1"/>
  <c r="AM37" i="5" s="1"/>
  <c r="AM7" i="2"/>
  <c r="AN39" i="5" s="1"/>
  <c r="AN37" i="5" s="1"/>
  <c r="AN7" i="2"/>
  <c r="AO39" i="5" s="1"/>
  <c r="AO37" i="5" s="1"/>
  <c r="AC4" i="2"/>
  <c r="AC3" i="2" s="1"/>
  <c r="AD4" i="2"/>
  <c r="AE4" i="2"/>
  <c r="AF4" i="2"/>
  <c r="AG4" i="2"/>
  <c r="AH4" i="2"/>
  <c r="AI4" i="2"/>
  <c r="AJ4" i="2"/>
  <c r="AK4" i="2"/>
  <c r="AL4" i="2"/>
  <c r="AL3" i="2" s="1"/>
  <c r="AL19" i="2" s="1"/>
  <c r="AL29" i="2" s="1"/>
  <c r="AL33" i="2" s="1"/>
  <c r="AL35" i="2" s="1"/>
  <c r="AL37" i="2" s="1"/>
  <c r="AM4" i="2"/>
  <c r="AN4" i="2"/>
  <c r="AD48" i="1"/>
  <c r="AE48" i="1"/>
  <c r="AF48" i="1"/>
  <c r="AG48" i="1"/>
  <c r="AH48" i="1"/>
  <c r="AI48" i="1"/>
  <c r="AJ48" i="1"/>
  <c r="AK48" i="1"/>
  <c r="AL48" i="1"/>
  <c r="AM48" i="1"/>
  <c r="AN48" i="1"/>
  <c r="AO48" i="1"/>
  <c r="AD31" i="1"/>
  <c r="AF18" i="3"/>
  <c r="AE31" i="1"/>
  <c r="AF5" i="5" s="1"/>
  <c r="AF31" i="1"/>
  <c r="AG5" i="5" s="1"/>
  <c r="AG31" i="1"/>
  <c r="AH5" i="5" s="1"/>
  <c r="AI18" i="3"/>
  <c r="AH31" i="1"/>
  <c r="AI5" i="5" s="1"/>
  <c r="AJ18" i="3"/>
  <c r="AI31" i="1"/>
  <c r="AJ5" i="5" s="1"/>
  <c r="AK18" i="3"/>
  <c r="AJ31" i="1"/>
  <c r="AK5" i="5" s="1"/>
  <c r="AL18" i="3"/>
  <c r="AK31" i="1"/>
  <c r="AL5" i="5" s="1"/>
  <c r="AK38" i="1"/>
  <c r="AL31" i="1"/>
  <c r="AM5" i="5" s="1"/>
  <c r="AM31" i="1"/>
  <c r="AN5" i="5" s="1"/>
  <c r="AN31" i="1"/>
  <c r="AO5" i="5" s="1"/>
  <c r="AO31" i="1"/>
  <c r="AP5" i="5" s="1"/>
  <c r="AA34" i="5"/>
  <c r="AB34" i="5"/>
  <c r="AC34" i="5"/>
  <c r="AD21" i="1"/>
  <c r="AE34" i="5" s="1"/>
  <c r="AE21" i="1"/>
  <c r="AF34" i="5" s="1"/>
  <c r="AF21" i="1"/>
  <c r="AG34" i="5" s="1"/>
  <c r="AG21" i="1"/>
  <c r="AH34" i="5" s="1"/>
  <c r="AH21" i="1"/>
  <c r="AI34" i="5" s="1"/>
  <c r="AI21" i="1"/>
  <c r="AJ34" i="5" s="1"/>
  <c r="AJ21" i="1"/>
  <c r="AK34" i="5" s="1"/>
  <c r="AK21" i="1"/>
  <c r="AL34" i="5" s="1"/>
  <c r="AL21" i="1"/>
  <c r="AM34" i="5" s="1"/>
  <c r="AM21" i="1"/>
  <c r="AN34" i="5" s="1"/>
  <c r="AN21" i="1"/>
  <c r="AO34" i="5" s="1"/>
  <c r="AO21" i="1"/>
  <c r="AP34" i="5" s="1"/>
  <c r="AC38" i="3"/>
  <c r="AK38" i="3"/>
  <c r="F39" i="13"/>
  <c r="AC12" i="3"/>
  <c r="AD4" i="1"/>
  <c r="AF12" i="3"/>
  <c r="AE4" i="1"/>
  <c r="AG12" i="3"/>
  <c r="AF4" i="1"/>
  <c r="AG4" i="1"/>
  <c r="AI12" i="3"/>
  <c r="AH4" i="1"/>
  <c r="AJ12" i="3"/>
  <c r="AI4" i="1"/>
  <c r="AJ4" i="1"/>
  <c r="AK4" i="1"/>
  <c r="AL4" i="1"/>
  <c r="AM4" i="1"/>
  <c r="AN4" i="1"/>
  <c r="AO4" i="1"/>
  <c r="AC30" i="2"/>
  <c r="AA47" i="5"/>
  <c r="AC47" i="5"/>
  <c r="AC23" i="2"/>
  <c r="AD47" i="5"/>
  <c r="AC20" i="2"/>
  <c r="AC16" i="2"/>
  <c r="AD44" i="5" s="1"/>
  <c r="AE33" i="3" s="1"/>
  <c r="AC12" i="2"/>
  <c r="AC39" i="2" s="1"/>
  <c r="T33" i="3"/>
  <c r="U33" i="3"/>
  <c r="T8" i="3"/>
  <c r="U8" i="3"/>
  <c r="V8" i="3"/>
  <c r="W8" i="3"/>
  <c r="X8" i="3"/>
  <c r="Y8" i="3"/>
  <c r="Z8" i="3"/>
  <c r="AA8" i="3"/>
  <c r="R3" i="3"/>
  <c r="S3" i="3"/>
  <c r="T3" i="3"/>
  <c r="U3" i="3"/>
  <c r="V3" i="3"/>
  <c r="W3" i="3"/>
  <c r="X3" i="3"/>
  <c r="Y3" i="3"/>
  <c r="Z3" i="3"/>
  <c r="AA3" i="3"/>
  <c r="D93" i="4"/>
  <c r="I93" i="4"/>
  <c r="C93" i="4"/>
  <c r="F92" i="4"/>
  <c r="F91" i="4"/>
  <c r="F90" i="4"/>
  <c r="F89" i="4"/>
  <c r="F88" i="4"/>
  <c r="D83" i="4"/>
  <c r="I83" i="4"/>
  <c r="C83" i="4"/>
  <c r="F82" i="4"/>
  <c r="F81" i="4"/>
  <c r="F80" i="4"/>
  <c r="F79" i="4"/>
  <c r="F78" i="4"/>
  <c r="D74" i="4"/>
  <c r="I74" i="4"/>
  <c r="C74" i="4"/>
  <c r="F73" i="4"/>
  <c r="F72" i="4"/>
  <c r="F71" i="4"/>
  <c r="F70" i="4"/>
  <c r="F69" i="4"/>
  <c r="D65" i="4"/>
  <c r="I65" i="4"/>
  <c r="C65" i="4"/>
  <c r="F64" i="4"/>
  <c r="F63" i="4"/>
  <c r="F62" i="4"/>
  <c r="F61" i="4"/>
  <c r="F60" i="4"/>
  <c r="I56" i="4"/>
  <c r="E56" i="4"/>
  <c r="F55" i="4"/>
  <c r="F54" i="4"/>
  <c r="F53" i="4"/>
  <c r="F52" i="4"/>
  <c r="F51" i="4"/>
  <c r="T30" i="2"/>
  <c r="U30" i="2"/>
  <c r="V30" i="2"/>
  <c r="W30" i="2"/>
  <c r="X30" i="2"/>
  <c r="Y30" i="2"/>
  <c r="T23" i="2"/>
  <c r="U23" i="2"/>
  <c r="V23" i="2"/>
  <c r="W23" i="2"/>
  <c r="X47" i="5" s="1"/>
  <c r="X43" i="5" s="1"/>
  <c r="X23" i="2"/>
  <c r="Y47" i="5" s="1"/>
  <c r="Y23" i="2"/>
  <c r="Z47" i="5" s="1"/>
  <c r="T20" i="2"/>
  <c r="U20" i="2"/>
  <c r="V20" i="2"/>
  <c r="W20" i="2"/>
  <c r="X20" i="2"/>
  <c r="Y20" i="2"/>
  <c r="T12" i="2"/>
  <c r="U12" i="2"/>
  <c r="V12" i="2"/>
  <c r="W12" i="2"/>
  <c r="X12" i="2"/>
  <c r="X39" i="2" s="1"/>
  <c r="Y12" i="2"/>
  <c r="Y39" i="2" s="1"/>
  <c r="Z32" i="3" s="1"/>
  <c r="T7" i="2"/>
  <c r="U7" i="2"/>
  <c r="V39" i="5" s="1"/>
  <c r="V7" i="2"/>
  <c r="W39" i="5" s="1"/>
  <c r="W37" i="5" s="1"/>
  <c r="W7" i="2"/>
  <c r="X39" i="5" s="1"/>
  <c r="X7" i="2"/>
  <c r="Y39" i="5"/>
  <c r="Y7" i="2"/>
  <c r="Z39" i="5" s="1"/>
  <c r="T4" i="2"/>
  <c r="T3" i="2" s="1"/>
  <c r="U4" i="2"/>
  <c r="V4" i="2"/>
  <c r="W4" i="2"/>
  <c r="W3" i="2" s="1"/>
  <c r="X4" i="2"/>
  <c r="Y4" i="2"/>
  <c r="T48" i="1"/>
  <c r="U48" i="1"/>
  <c r="V48" i="1"/>
  <c r="W48" i="1"/>
  <c r="X48" i="1"/>
  <c r="Y48" i="1"/>
  <c r="T31" i="1"/>
  <c r="T38" i="1"/>
  <c r="T49" i="1" s="1"/>
  <c r="U31" i="1"/>
  <c r="U38" i="1"/>
  <c r="U49" i="1" s="1"/>
  <c r="V31" i="1"/>
  <c r="X18" i="3"/>
  <c r="W31" i="1"/>
  <c r="X31" i="1"/>
  <c r="Y5" i="5"/>
  <c r="Y31" i="1"/>
  <c r="Y38" i="1"/>
  <c r="T21" i="1"/>
  <c r="U34" i="5"/>
  <c r="U21" i="1"/>
  <c r="V34" i="5"/>
  <c r="V21" i="1"/>
  <c r="W34" i="5"/>
  <c r="W21" i="1"/>
  <c r="X34" i="5"/>
  <c r="X21" i="1"/>
  <c r="Y34" i="5"/>
  <c r="Y21" i="1"/>
  <c r="Z34" i="5"/>
  <c r="T14" i="1"/>
  <c r="U30" i="5"/>
  <c r="U14" i="1"/>
  <c r="V30" i="5"/>
  <c r="V14" i="1"/>
  <c r="W14" i="1"/>
  <c r="X30" i="5"/>
  <c r="X14" i="1"/>
  <c r="Y30" i="5"/>
  <c r="Y14" i="1"/>
  <c r="Z30" i="5"/>
  <c r="T4" i="1"/>
  <c r="V12" i="3"/>
  <c r="U4" i="1"/>
  <c r="U27" i="1" s="1"/>
  <c r="V4" i="1"/>
  <c r="W4" i="1"/>
  <c r="X4" i="1"/>
  <c r="Z12" i="3"/>
  <c r="Y4" i="1"/>
  <c r="AA12" i="3"/>
  <c r="P30" i="2"/>
  <c r="Q30" i="2"/>
  <c r="R30" i="2"/>
  <c r="S30" i="2"/>
  <c r="Q23" i="2"/>
  <c r="R47" i="5"/>
  <c r="R23" i="2"/>
  <c r="S23" i="2"/>
  <c r="Q20" i="2"/>
  <c r="R20" i="2"/>
  <c r="S20" i="2"/>
  <c r="Q12" i="2"/>
  <c r="R12" i="2"/>
  <c r="S12" i="2"/>
  <c r="S39" i="2" s="1"/>
  <c r="Q7" i="2"/>
  <c r="R39" i="5"/>
  <c r="R7" i="2"/>
  <c r="S39" i="5" s="1"/>
  <c r="S37" i="5" s="1"/>
  <c r="S7" i="2"/>
  <c r="T39" i="5" s="1"/>
  <c r="Q4" i="2"/>
  <c r="R4" i="2"/>
  <c r="S4" i="2"/>
  <c r="S3" i="2"/>
  <c r="S19" i="2" s="1"/>
  <c r="S29" i="2" s="1"/>
  <c r="S33" i="2" s="1"/>
  <c r="Q48" i="1"/>
  <c r="R48" i="1"/>
  <c r="S48" i="1"/>
  <c r="Q31" i="1"/>
  <c r="Q38" i="1"/>
  <c r="R31" i="1"/>
  <c r="R38" i="1"/>
  <c r="S31" i="1"/>
  <c r="T5" i="5"/>
  <c r="Q21" i="1"/>
  <c r="R21" i="1"/>
  <c r="S34" i="5"/>
  <c r="S21" i="1"/>
  <c r="T34" i="5"/>
  <c r="Q14" i="1"/>
  <c r="R30" i="5"/>
  <c r="R14" i="1"/>
  <c r="S14" i="1"/>
  <c r="Q8" i="1"/>
  <c r="R8" i="1"/>
  <c r="Q4" i="1"/>
  <c r="S12" i="3"/>
  <c r="R4" i="1"/>
  <c r="T12" i="3"/>
  <c r="S4" i="1"/>
  <c r="U12" i="3"/>
  <c r="P16" i="2"/>
  <c r="P7" i="1"/>
  <c r="B7" i="12"/>
  <c r="B6" i="12"/>
  <c r="B5" i="12"/>
  <c r="B4" i="12"/>
  <c r="B3" i="12"/>
  <c r="B8" i="12" s="1"/>
  <c r="J3" i="3"/>
  <c r="P11" i="2"/>
  <c r="P6" i="2"/>
  <c r="P13" i="2"/>
  <c r="P14" i="2"/>
  <c r="P48" i="1"/>
  <c r="P36" i="1"/>
  <c r="P13" i="1"/>
  <c r="P11" i="1"/>
  <c r="P31" i="1"/>
  <c r="Q5" i="5"/>
  <c r="P14" i="1"/>
  <c r="Q30" i="5"/>
  <c r="P21" i="1"/>
  <c r="Q34" i="5"/>
  <c r="P6" i="1"/>
  <c r="P4" i="1"/>
  <c r="N4" i="2"/>
  <c r="N7" i="2"/>
  <c r="O39" i="5" s="1"/>
  <c r="N3" i="2"/>
  <c r="N12" i="2"/>
  <c r="N20" i="2"/>
  <c r="N23" i="2"/>
  <c r="N30" i="2"/>
  <c r="O4" i="2"/>
  <c r="O7" i="2"/>
  <c r="O12" i="2"/>
  <c r="O20" i="2"/>
  <c r="O23" i="2"/>
  <c r="O30" i="2"/>
  <c r="N31" i="1"/>
  <c r="N48" i="1"/>
  <c r="O31" i="1"/>
  <c r="O38" i="1"/>
  <c r="O48" i="1"/>
  <c r="N4" i="1"/>
  <c r="N8" i="1"/>
  <c r="N14" i="1"/>
  <c r="N21" i="1"/>
  <c r="O4" i="1"/>
  <c r="Q12" i="3"/>
  <c r="O8" i="8" s="1"/>
  <c r="O8" i="1"/>
  <c r="O14" i="1"/>
  <c r="P30" i="5"/>
  <c r="O21" i="1"/>
  <c r="P34" i="5"/>
  <c r="I13" i="10"/>
  <c r="J13" i="10"/>
  <c r="I15" i="10"/>
  <c r="J15" i="10"/>
  <c r="I16" i="10"/>
  <c r="J16" i="10"/>
  <c r="I17" i="10"/>
  <c r="J17" i="10"/>
  <c r="I18" i="10"/>
  <c r="J18" i="10"/>
  <c r="I20" i="10"/>
  <c r="J20" i="10"/>
  <c r="I21" i="10"/>
  <c r="J21" i="10"/>
  <c r="I22" i="10"/>
  <c r="J22" i="10"/>
  <c r="I24" i="10"/>
  <c r="J24" i="10"/>
  <c r="I25" i="10"/>
  <c r="J25" i="10"/>
  <c r="I26" i="10"/>
  <c r="J26" i="10"/>
  <c r="I27" i="10"/>
  <c r="J27" i="10"/>
  <c r="C8" i="1"/>
  <c r="C39" i="9" s="1"/>
  <c r="C14" i="1"/>
  <c r="D30" i="5"/>
  <c r="C21" i="1"/>
  <c r="C37" i="10"/>
  <c r="F4" i="1"/>
  <c r="H12" i="3"/>
  <c r="F8" i="8" s="1"/>
  <c r="F8" i="1"/>
  <c r="D39" i="10"/>
  <c r="F14" i="1"/>
  <c r="G30" i="5"/>
  <c r="F21" i="1"/>
  <c r="D37" i="10"/>
  <c r="I4" i="1"/>
  <c r="E46" i="10"/>
  <c r="I8" i="1"/>
  <c r="I14" i="1"/>
  <c r="I21" i="1"/>
  <c r="E37" i="9"/>
  <c r="J4" i="1"/>
  <c r="J8" i="1"/>
  <c r="J14" i="1"/>
  <c r="J21" i="1"/>
  <c r="K34" i="5"/>
  <c r="K4" i="1"/>
  <c r="M12" i="3"/>
  <c r="L19" i="7" s="1"/>
  <c r="K8" i="1"/>
  <c r="G39" i="10" s="1"/>
  <c r="K14" i="1"/>
  <c r="K21" i="1"/>
  <c r="G37" i="10"/>
  <c r="L4" i="1"/>
  <c r="H46" i="10"/>
  <c r="L8" i="1"/>
  <c r="L14" i="1"/>
  <c r="L21" i="1"/>
  <c r="H37" i="10"/>
  <c r="D4" i="1"/>
  <c r="F12" i="3"/>
  <c r="D8" i="8" s="1"/>
  <c r="D8" i="1"/>
  <c r="D14" i="1"/>
  <c r="D21" i="1"/>
  <c r="E4" i="1"/>
  <c r="E8" i="1"/>
  <c r="E14" i="1"/>
  <c r="F30" i="5"/>
  <c r="E21" i="1"/>
  <c r="F34" i="5"/>
  <c r="C31" i="1"/>
  <c r="C31" i="9"/>
  <c r="F31" i="1"/>
  <c r="D31" i="10"/>
  <c r="I31" i="1"/>
  <c r="J31" i="1"/>
  <c r="J38" i="1"/>
  <c r="K31" i="1"/>
  <c r="G31" i="10"/>
  <c r="L31" i="1"/>
  <c r="N18" i="3"/>
  <c r="L11" i="8" s="1"/>
  <c r="H31" i="10"/>
  <c r="C32" i="10"/>
  <c r="D32" i="10"/>
  <c r="E32" i="10"/>
  <c r="F32" i="10"/>
  <c r="G32" i="10"/>
  <c r="H32" i="10"/>
  <c r="C33" i="10"/>
  <c r="C6" i="10" s="1"/>
  <c r="D33" i="10"/>
  <c r="E33" i="10"/>
  <c r="E6" i="10" s="1"/>
  <c r="F33" i="10"/>
  <c r="F6" i="10" s="1"/>
  <c r="G33" i="10"/>
  <c r="G6" i="10" s="1"/>
  <c r="H33" i="10"/>
  <c r="H6" i="10" s="1"/>
  <c r="C34" i="10"/>
  <c r="D34" i="10"/>
  <c r="E34" i="10"/>
  <c r="F34" i="10"/>
  <c r="G34" i="10"/>
  <c r="H34" i="10"/>
  <c r="C35" i="10"/>
  <c r="D35" i="10"/>
  <c r="E35" i="10"/>
  <c r="F35" i="10"/>
  <c r="F14" i="4"/>
  <c r="F15" i="4"/>
  <c r="F16" i="4"/>
  <c r="H35" i="10"/>
  <c r="C36" i="10"/>
  <c r="D36" i="10"/>
  <c r="E36" i="10"/>
  <c r="F36" i="10"/>
  <c r="G36" i="10"/>
  <c r="H36" i="10"/>
  <c r="D38" i="10"/>
  <c r="E38" i="10"/>
  <c r="F38" i="10"/>
  <c r="G38" i="10"/>
  <c r="H38" i="10"/>
  <c r="C4" i="2"/>
  <c r="C7" i="2"/>
  <c r="C3" i="2" s="1"/>
  <c r="D39" i="5"/>
  <c r="F4" i="2"/>
  <c r="F7" i="2"/>
  <c r="F3" i="2" s="1"/>
  <c r="D40" i="9" s="1"/>
  <c r="I4" i="2"/>
  <c r="I7" i="2"/>
  <c r="J39" i="5" s="1"/>
  <c r="J4" i="2"/>
  <c r="J7" i="2"/>
  <c r="K4" i="2"/>
  <c r="K7" i="2"/>
  <c r="K3" i="2" s="1"/>
  <c r="L4" i="2"/>
  <c r="L7" i="2"/>
  <c r="M39" i="5" s="1"/>
  <c r="C12" i="2"/>
  <c r="F12" i="2"/>
  <c r="I12" i="2"/>
  <c r="J12" i="2"/>
  <c r="K12" i="2"/>
  <c r="L12" i="2"/>
  <c r="C20" i="2"/>
  <c r="C23" i="2"/>
  <c r="C39" i="2" s="1"/>
  <c r="C44" i="9" s="1"/>
  <c r="C30" i="2"/>
  <c r="F20" i="2"/>
  <c r="F23" i="2"/>
  <c r="G47" i="5" s="1"/>
  <c r="F30" i="2"/>
  <c r="I20" i="2"/>
  <c r="I23" i="2"/>
  <c r="E45" i="9" s="1"/>
  <c r="I30" i="2"/>
  <c r="J20" i="2"/>
  <c r="J23" i="2"/>
  <c r="J30" i="2"/>
  <c r="K20" i="2"/>
  <c r="K23" i="2"/>
  <c r="L47" i="5"/>
  <c r="K39" i="2"/>
  <c r="K30" i="2"/>
  <c r="L20" i="2"/>
  <c r="L23" i="2"/>
  <c r="H45" i="10" s="1"/>
  <c r="L30" i="2"/>
  <c r="C43" i="10"/>
  <c r="D43" i="10"/>
  <c r="E43" i="10"/>
  <c r="F43" i="10"/>
  <c r="G43" i="10"/>
  <c r="H43" i="10"/>
  <c r="C46" i="10"/>
  <c r="C47" i="10"/>
  <c r="D47" i="10"/>
  <c r="E47" i="10"/>
  <c r="F47" i="10"/>
  <c r="G47" i="10"/>
  <c r="H47" i="10"/>
  <c r="C48" i="10"/>
  <c r="D48" i="10"/>
  <c r="E48" i="10"/>
  <c r="F48" i="10"/>
  <c r="G48" i="10"/>
  <c r="H48" i="10"/>
  <c r="J12" i="10"/>
  <c r="I12" i="10"/>
  <c r="J11" i="10"/>
  <c r="I11" i="10"/>
  <c r="J10" i="10"/>
  <c r="I10" i="10"/>
  <c r="J8" i="10"/>
  <c r="I8" i="10"/>
  <c r="J7" i="10"/>
  <c r="I7" i="10"/>
  <c r="J6" i="10"/>
  <c r="I6" i="10"/>
  <c r="N8" i="3"/>
  <c r="K8" i="3"/>
  <c r="H8" i="3"/>
  <c r="K48" i="1"/>
  <c r="L48" i="1"/>
  <c r="M31" i="1"/>
  <c r="M38" i="1"/>
  <c r="M48" i="1"/>
  <c r="M4" i="1"/>
  <c r="M8" i="1"/>
  <c r="M14" i="1"/>
  <c r="N30" i="5"/>
  <c r="M21" i="1"/>
  <c r="N34" i="5"/>
  <c r="M38" i="5"/>
  <c r="O18" i="3"/>
  <c r="M11" i="8" s="1"/>
  <c r="M4" i="2"/>
  <c r="M7" i="2"/>
  <c r="N39" i="5"/>
  <c r="M12" i="2"/>
  <c r="M20" i="2"/>
  <c r="M23" i="2"/>
  <c r="M30" i="2"/>
  <c r="F6" i="9"/>
  <c r="G6" i="9"/>
  <c r="F7" i="9"/>
  <c r="G7" i="9"/>
  <c r="F8" i="9"/>
  <c r="G8" i="9"/>
  <c r="F10" i="9"/>
  <c r="G10" i="9"/>
  <c r="F11" i="9"/>
  <c r="G11" i="9"/>
  <c r="F12" i="9"/>
  <c r="G12" i="9"/>
  <c r="F13" i="9"/>
  <c r="G13" i="9"/>
  <c r="F15" i="9"/>
  <c r="G15" i="9"/>
  <c r="F16" i="9"/>
  <c r="G16" i="9"/>
  <c r="F17" i="9"/>
  <c r="G17" i="9"/>
  <c r="F18" i="9"/>
  <c r="G18" i="9"/>
  <c r="F20" i="9"/>
  <c r="G20" i="9"/>
  <c r="F21" i="9"/>
  <c r="G21" i="9"/>
  <c r="F22" i="9"/>
  <c r="G22" i="9"/>
  <c r="F24" i="9"/>
  <c r="G24" i="9"/>
  <c r="F25" i="9"/>
  <c r="G25" i="9"/>
  <c r="F26" i="9"/>
  <c r="G26" i="9"/>
  <c r="F27" i="9"/>
  <c r="G27" i="9"/>
  <c r="C32" i="9"/>
  <c r="D32" i="9"/>
  <c r="E32" i="9"/>
  <c r="C33" i="9"/>
  <c r="C6" i="9" s="1"/>
  <c r="D33" i="9"/>
  <c r="D6" i="9" s="1"/>
  <c r="E33" i="9"/>
  <c r="C34" i="9"/>
  <c r="D34" i="9"/>
  <c r="E34" i="9"/>
  <c r="C35" i="9"/>
  <c r="C10" i="9" s="1"/>
  <c r="D35" i="9"/>
  <c r="E35" i="9"/>
  <c r="C36" i="9"/>
  <c r="D36" i="9"/>
  <c r="E36" i="9"/>
  <c r="D38" i="9"/>
  <c r="E38" i="9"/>
  <c r="C43" i="9"/>
  <c r="D43" i="9"/>
  <c r="E43" i="9"/>
  <c r="C46" i="9"/>
  <c r="C47" i="9"/>
  <c r="D47" i="9"/>
  <c r="E47" i="9"/>
  <c r="C48" i="9"/>
  <c r="D48" i="9"/>
  <c r="E48" i="9"/>
  <c r="B4" i="2"/>
  <c r="B7" i="2"/>
  <c r="B12" i="2"/>
  <c r="B20" i="2"/>
  <c r="B23" i="2"/>
  <c r="B39" i="2" s="1"/>
  <c r="B30" i="2"/>
  <c r="D30" i="2"/>
  <c r="E30" i="2"/>
  <c r="G30" i="2"/>
  <c r="H30" i="2"/>
  <c r="I48" i="1"/>
  <c r="J48" i="1"/>
  <c r="L30" i="5"/>
  <c r="H23" i="2"/>
  <c r="M47" i="5"/>
  <c r="P23" i="2"/>
  <c r="Q47" i="5" s="1"/>
  <c r="H20" i="2"/>
  <c r="P20" i="2"/>
  <c r="H12" i="2"/>
  <c r="H7" i="2"/>
  <c r="P7" i="2"/>
  <c r="Q39" i="5" s="1"/>
  <c r="H4" i="2"/>
  <c r="H3" i="2" s="1"/>
  <c r="H19" i="2" s="1"/>
  <c r="H29" i="2" s="1"/>
  <c r="H33" i="2" s="1"/>
  <c r="P4" i="2"/>
  <c r="D23" i="2"/>
  <c r="E47" i="5" s="1"/>
  <c r="E23" i="2"/>
  <c r="G23" i="2"/>
  <c r="D20" i="2"/>
  <c r="E20" i="2"/>
  <c r="G20" i="2"/>
  <c r="D12" i="2"/>
  <c r="D39" i="2"/>
  <c r="E12" i="2"/>
  <c r="E39" i="2"/>
  <c r="D32" i="3" s="1"/>
  <c r="G12" i="2"/>
  <c r="D7" i="2"/>
  <c r="E7" i="2"/>
  <c r="F39" i="5" s="1"/>
  <c r="G7" i="2"/>
  <c r="H39" i="5" s="1"/>
  <c r="H38" i="5"/>
  <c r="H40" i="5"/>
  <c r="G4" i="2"/>
  <c r="G3" i="2" s="1"/>
  <c r="G19" i="2" s="1"/>
  <c r="E4" i="2"/>
  <c r="E3" i="2" s="1"/>
  <c r="E19" i="2" s="1"/>
  <c r="D4" i="2"/>
  <c r="C48" i="1"/>
  <c r="B48" i="1"/>
  <c r="D48" i="1"/>
  <c r="E48" i="1"/>
  <c r="F48" i="1"/>
  <c r="G48" i="1"/>
  <c r="G31" i="1"/>
  <c r="I18" i="3"/>
  <c r="G11" i="8" s="1"/>
  <c r="B31" i="1"/>
  <c r="C5" i="5"/>
  <c r="B4" i="1"/>
  <c r="D12" i="3"/>
  <c r="C19" i="7" s="1"/>
  <c r="B8" i="1"/>
  <c r="B14" i="1"/>
  <c r="B21" i="1"/>
  <c r="D31" i="1"/>
  <c r="D38" i="1"/>
  <c r="E31" i="1"/>
  <c r="F5" i="5"/>
  <c r="C37" i="9"/>
  <c r="G21" i="1"/>
  <c r="G14" i="1"/>
  <c r="H4" i="5"/>
  <c r="G8" i="1"/>
  <c r="H48" i="1"/>
  <c r="H31" i="1"/>
  <c r="H21" i="1"/>
  <c r="I34" i="5"/>
  <c r="H14" i="1"/>
  <c r="I30" i="5"/>
  <c r="H8" i="1"/>
  <c r="D46" i="9"/>
  <c r="G4" i="1"/>
  <c r="I12" i="3"/>
  <c r="G8" i="8" s="1"/>
  <c r="H4" i="1"/>
  <c r="D17" i="4"/>
  <c r="I17" i="4"/>
  <c r="I8" i="4"/>
  <c r="I3" i="3"/>
  <c r="H30" i="5"/>
  <c r="Q8" i="3"/>
  <c r="P8" i="3"/>
  <c r="O11" i="7" s="1"/>
  <c r="O12" i="7" s="1"/>
  <c r="C45" i="4"/>
  <c r="D45" i="4"/>
  <c r="I45" i="4"/>
  <c r="G12" i="7"/>
  <c r="J12" i="7"/>
  <c r="K12" i="7"/>
  <c r="Q12" i="7"/>
  <c r="C12" i="7"/>
  <c r="M12" i="7"/>
  <c r="N12" i="7"/>
  <c r="P12" i="7"/>
  <c r="I12" i="7"/>
  <c r="H12" i="7"/>
  <c r="F12" i="7"/>
  <c r="E12" i="7"/>
  <c r="D12" i="7"/>
  <c r="S9" i="8"/>
  <c r="D3" i="3"/>
  <c r="C5" i="7" s="1"/>
  <c r="F3" i="3"/>
  <c r="F19" i="3" s="1"/>
  <c r="G3" i="3"/>
  <c r="F5" i="7" s="1"/>
  <c r="H3" i="3"/>
  <c r="K3" i="3"/>
  <c r="K5" i="3" s="1"/>
  <c r="L3" i="3"/>
  <c r="L5" i="3" s="1"/>
  <c r="M3" i="3"/>
  <c r="L5" i="7" s="1"/>
  <c r="N3" i="3"/>
  <c r="M5" i="7" s="1"/>
  <c r="O3" i="3"/>
  <c r="O19" i="3" s="1"/>
  <c r="P3" i="3"/>
  <c r="Q3" i="3"/>
  <c r="O3" i="8" s="1"/>
  <c r="C46" i="5"/>
  <c r="D46" i="5"/>
  <c r="E46" i="5"/>
  <c r="F46" i="5"/>
  <c r="C45" i="5"/>
  <c r="C44" i="5"/>
  <c r="D45" i="5"/>
  <c r="E45" i="5"/>
  <c r="F45" i="5"/>
  <c r="D44" i="5"/>
  <c r="E44" i="5"/>
  <c r="F44" i="5"/>
  <c r="C40" i="5"/>
  <c r="D40" i="5"/>
  <c r="E40" i="5"/>
  <c r="E38" i="5"/>
  <c r="F40" i="5"/>
  <c r="G40" i="5"/>
  <c r="C38" i="5"/>
  <c r="D38" i="5"/>
  <c r="F38" i="5"/>
  <c r="C35" i="5"/>
  <c r="D35" i="5"/>
  <c r="E35" i="5"/>
  <c r="F35" i="5"/>
  <c r="C32" i="5"/>
  <c r="D32" i="5"/>
  <c r="E32" i="5"/>
  <c r="F32" i="5"/>
  <c r="C31" i="5"/>
  <c r="D31" i="5"/>
  <c r="E31" i="5"/>
  <c r="F31" i="5"/>
  <c r="C28" i="5"/>
  <c r="D28" i="5"/>
  <c r="F28" i="5"/>
  <c r="C27" i="5"/>
  <c r="D27" i="5"/>
  <c r="E27" i="5"/>
  <c r="F27" i="5"/>
  <c r="F26" i="5"/>
  <c r="C26" i="5"/>
  <c r="C25" i="5" s="1"/>
  <c r="D26" i="5"/>
  <c r="E26" i="5"/>
  <c r="C22" i="5"/>
  <c r="C21" i="5"/>
  <c r="D22" i="5"/>
  <c r="D21" i="5" s="1"/>
  <c r="E22" i="5"/>
  <c r="E21" i="5" s="1"/>
  <c r="E15" i="5"/>
  <c r="E17" i="5"/>
  <c r="E18" i="5"/>
  <c r="E19" i="5"/>
  <c r="E20" i="5"/>
  <c r="F22" i="5"/>
  <c r="F21" i="5" s="1"/>
  <c r="C20" i="5"/>
  <c r="D20" i="5"/>
  <c r="F20" i="5"/>
  <c r="C19" i="5"/>
  <c r="D19" i="5"/>
  <c r="F19" i="5"/>
  <c r="C17" i="5"/>
  <c r="D17" i="5"/>
  <c r="F17" i="5"/>
  <c r="C18" i="5"/>
  <c r="D18" i="5"/>
  <c r="F18" i="5"/>
  <c r="C15" i="5"/>
  <c r="F15" i="5"/>
  <c r="H8" i="5"/>
  <c r="I8" i="5"/>
  <c r="J8" i="5"/>
  <c r="K8" i="5"/>
  <c r="L8" i="5"/>
  <c r="M8" i="5"/>
  <c r="N8" i="5"/>
  <c r="O8" i="5"/>
  <c r="P8" i="5"/>
  <c r="Q8" i="5"/>
  <c r="C8" i="5"/>
  <c r="E8" i="5"/>
  <c r="F8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D6" i="5"/>
  <c r="C6" i="5"/>
  <c r="F6" i="5"/>
  <c r="G6" i="5"/>
  <c r="H6" i="5"/>
  <c r="I6" i="5"/>
  <c r="J6" i="5"/>
  <c r="K6" i="5"/>
  <c r="L6" i="5"/>
  <c r="M6" i="5"/>
  <c r="N6" i="5"/>
  <c r="O6" i="5"/>
  <c r="P6" i="5"/>
  <c r="Q6" i="5"/>
  <c r="H5" i="5"/>
  <c r="T11" i="8"/>
  <c r="T9" i="8"/>
  <c r="E30" i="5"/>
  <c r="I15" i="5"/>
  <c r="I17" i="5"/>
  <c r="I18" i="5"/>
  <c r="I19" i="5"/>
  <c r="I20" i="5"/>
  <c r="I22" i="5"/>
  <c r="I21" i="5" s="1"/>
  <c r="I26" i="5"/>
  <c r="I27" i="5"/>
  <c r="I28" i="5"/>
  <c r="I32" i="5"/>
  <c r="I35" i="5"/>
  <c r="I38" i="5"/>
  <c r="I40" i="5"/>
  <c r="I45" i="5"/>
  <c r="I46" i="5"/>
  <c r="I44" i="5"/>
  <c r="J11" i="6"/>
  <c r="D37" i="6"/>
  <c r="D28" i="6"/>
  <c r="D38" i="6" s="1"/>
  <c r="D40" i="6" s="1"/>
  <c r="D14" i="6"/>
  <c r="D8" i="6"/>
  <c r="T8" i="8"/>
  <c r="H17" i="5"/>
  <c r="H22" i="5"/>
  <c r="H21" i="5" s="1"/>
  <c r="H27" i="5"/>
  <c r="H31" i="5"/>
  <c r="G31" i="5"/>
  <c r="H32" i="5"/>
  <c r="H35" i="5"/>
  <c r="H45" i="5"/>
  <c r="H46" i="5"/>
  <c r="H20" i="5"/>
  <c r="H18" i="5"/>
  <c r="H28" i="5"/>
  <c r="C37" i="6"/>
  <c r="B37" i="6"/>
  <c r="C28" i="6"/>
  <c r="C38" i="6"/>
  <c r="C40" i="6"/>
  <c r="B28" i="6"/>
  <c r="B38" i="6"/>
  <c r="B40" i="6"/>
  <c r="C14" i="6"/>
  <c r="B14" i="6"/>
  <c r="C8" i="6"/>
  <c r="C18" i="6"/>
  <c r="B8" i="6"/>
  <c r="F44" i="4"/>
  <c r="F43" i="4"/>
  <c r="F42" i="4"/>
  <c r="F41" i="4"/>
  <c r="F40" i="4"/>
  <c r="G46" i="5"/>
  <c r="G20" i="5"/>
  <c r="J20" i="5"/>
  <c r="K20" i="5"/>
  <c r="L20" i="5"/>
  <c r="M20" i="5"/>
  <c r="N20" i="5"/>
  <c r="O20" i="5"/>
  <c r="P20" i="5"/>
  <c r="Q20" i="5"/>
  <c r="P15" i="5"/>
  <c r="Q15" i="5"/>
  <c r="P17" i="5"/>
  <c r="Q17" i="5"/>
  <c r="P18" i="5"/>
  <c r="Q18" i="5"/>
  <c r="P19" i="5"/>
  <c r="Q19" i="5"/>
  <c r="P22" i="5"/>
  <c r="P21" i="5" s="1"/>
  <c r="Q22" i="5"/>
  <c r="Q21" i="5" s="1"/>
  <c r="P26" i="5"/>
  <c r="P27" i="5"/>
  <c r="Q27" i="5"/>
  <c r="P28" i="5"/>
  <c r="P31" i="5"/>
  <c r="Q31" i="5"/>
  <c r="P32" i="5"/>
  <c r="Q32" i="5"/>
  <c r="P35" i="5"/>
  <c r="Q35" i="5"/>
  <c r="P38" i="5"/>
  <c r="Q38" i="5"/>
  <c r="R38" i="3" s="1"/>
  <c r="P40" i="5"/>
  <c r="Q40" i="5"/>
  <c r="P44" i="5"/>
  <c r="Q33" i="3" s="1"/>
  <c r="Q44" i="5"/>
  <c r="R33" i="3" s="1"/>
  <c r="P45" i="5"/>
  <c r="Q34" i="3" s="1"/>
  <c r="Q45" i="5"/>
  <c r="P46" i="5"/>
  <c r="O31" i="5"/>
  <c r="Q46" i="5"/>
  <c r="O15" i="5"/>
  <c r="O17" i="5"/>
  <c r="O18" i="5"/>
  <c r="O19" i="5"/>
  <c r="O22" i="5"/>
  <c r="O21" i="5" s="1"/>
  <c r="O26" i="5"/>
  <c r="O27" i="5"/>
  <c r="O28" i="5"/>
  <c r="O32" i="5"/>
  <c r="O35" i="5"/>
  <c r="O38" i="5"/>
  <c r="O40" i="5"/>
  <c r="O44" i="5"/>
  <c r="O45" i="5"/>
  <c r="P34" i="3" s="1"/>
  <c r="O46" i="5"/>
  <c r="G17" i="5"/>
  <c r="K17" i="5"/>
  <c r="L17" i="5"/>
  <c r="M17" i="5"/>
  <c r="N17" i="5"/>
  <c r="M46" i="5"/>
  <c r="N46" i="5"/>
  <c r="G45" i="5"/>
  <c r="H34" i="3" s="1"/>
  <c r="M45" i="5"/>
  <c r="N45" i="5"/>
  <c r="O34" i="3"/>
  <c r="M44" i="5"/>
  <c r="N44" i="5"/>
  <c r="J40" i="5"/>
  <c r="K40" i="5"/>
  <c r="L40" i="5"/>
  <c r="M40" i="5"/>
  <c r="N40" i="5"/>
  <c r="G38" i="5"/>
  <c r="H38" i="3" s="1"/>
  <c r="J38" i="5"/>
  <c r="K38" i="5"/>
  <c r="L38" i="3" s="1"/>
  <c r="L38" i="5"/>
  <c r="N38" i="5"/>
  <c r="O38" i="3" s="1"/>
  <c r="K35" i="5"/>
  <c r="L35" i="5"/>
  <c r="M35" i="5"/>
  <c r="N35" i="5"/>
  <c r="K32" i="5"/>
  <c r="L32" i="5"/>
  <c r="M32" i="5"/>
  <c r="N32" i="5"/>
  <c r="K31" i="5"/>
  <c r="L31" i="5"/>
  <c r="M31" i="5"/>
  <c r="N31" i="5"/>
  <c r="K28" i="5"/>
  <c r="L28" i="5"/>
  <c r="M28" i="5"/>
  <c r="N28" i="5"/>
  <c r="K27" i="5"/>
  <c r="L27" i="5"/>
  <c r="M27" i="5"/>
  <c r="N27" i="5"/>
  <c r="K26" i="5"/>
  <c r="L26" i="5"/>
  <c r="M26" i="5"/>
  <c r="N26" i="5"/>
  <c r="G22" i="5"/>
  <c r="G21" i="5" s="1"/>
  <c r="K22" i="5"/>
  <c r="K21" i="5" s="1"/>
  <c r="L22" i="5"/>
  <c r="L21" i="5" s="1"/>
  <c r="M22" i="5"/>
  <c r="M21" i="5" s="1"/>
  <c r="N22" i="5"/>
  <c r="N21" i="5" s="1"/>
  <c r="G19" i="5"/>
  <c r="K19" i="5"/>
  <c r="L19" i="5"/>
  <c r="M19" i="5"/>
  <c r="N19" i="5"/>
  <c r="K18" i="5"/>
  <c r="L18" i="5"/>
  <c r="M18" i="5"/>
  <c r="N18" i="5"/>
  <c r="G15" i="5"/>
  <c r="K15" i="5"/>
  <c r="L15" i="5"/>
  <c r="M15" i="5"/>
  <c r="N15" i="5"/>
  <c r="G8" i="5"/>
  <c r="D35" i="4"/>
  <c r="I35" i="4"/>
  <c r="C35" i="4"/>
  <c r="F34" i="4"/>
  <c r="F33" i="4"/>
  <c r="F32" i="4"/>
  <c r="S8" i="3"/>
  <c r="F31" i="4"/>
  <c r="F30" i="4"/>
  <c r="F35" i="4"/>
  <c r="E8" i="4"/>
  <c r="L11" i="7"/>
  <c r="L12" i="7" s="1"/>
  <c r="F4" i="4"/>
  <c r="F5" i="4"/>
  <c r="F6" i="4"/>
  <c r="F7" i="4"/>
  <c r="F3" i="4"/>
  <c r="F22" i="4"/>
  <c r="F23" i="4"/>
  <c r="F21" i="4"/>
  <c r="F24" i="4"/>
  <c r="F25" i="4"/>
  <c r="D26" i="4"/>
  <c r="I26" i="4"/>
  <c r="C26" i="4"/>
  <c r="C17" i="4"/>
  <c r="F13" i="4"/>
  <c r="F12" i="4"/>
  <c r="L45" i="5"/>
  <c r="M34" i="3"/>
  <c r="L46" i="5"/>
  <c r="L44" i="5"/>
  <c r="M33" i="3"/>
  <c r="G35" i="5"/>
  <c r="G32" i="5"/>
  <c r="G26" i="5"/>
  <c r="J44" i="5"/>
  <c r="K33" i="3"/>
  <c r="J46" i="5"/>
  <c r="J45" i="5"/>
  <c r="K34" i="3"/>
  <c r="J27" i="5"/>
  <c r="J35" i="5"/>
  <c r="J26" i="5"/>
  <c r="J18" i="5"/>
  <c r="J15" i="5"/>
  <c r="J17" i="5"/>
  <c r="J19" i="5"/>
  <c r="J22" i="5"/>
  <c r="J21" i="5" s="1"/>
  <c r="J31" i="5"/>
  <c r="J28" i="5"/>
  <c r="J32" i="5"/>
  <c r="G27" i="5"/>
  <c r="G28" i="5"/>
  <c r="K44" i="5"/>
  <c r="L33" i="3" s="1"/>
  <c r="K45" i="5"/>
  <c r="K46" i="5"/>
  <c r="G18" i="5"/>
  <c r="G44" i="5"/>
  <c r="H33" i="3" s="1"/>
  <c r="H44" i="5"/>
  <c r="I33" i="3" s="1"/>
  <c r="H26" i="5"/>
  <c r="M30" i="5"/>
  <c r="I31" i="5"/>
  <c r="P47" i="5"/>
  <c r="Q11" i="8"/>
  <c r="F14" i="3"/>
  <c r="D13" i="8" s="1"/>
  <c r="F20" i="3"/>
  <c r="E4" i="5"/>
  <c r="D34" i="5"/>
  <c r="D5" i="5"/>
  <c r="D25" i="3" s="1"/>
  <c r="E12" i="3"/>
  <c r="C8" i="8" s="1"/>
  <c r="D8" i="5"/>
  <c r="D15" i="5"/>
  <c r="E3" i="3"/>
  <c r="E19" i="3" s="1"/>
  <c r="C12" i="8" s="1"/>
  <c r="F17" i="3"/>
  <c r="E26" i="7" s="1"/>
  <c r="Q9" i="8"/>
  <c r="Q10" i="8"/>
  <c r="Q13" i="8"/>
  <c r="R10" i="8"/>
  <c r="Q14" i="8"/>
  <c r="R9" i="8"/>
  <c r="R14" i="8"/>
  <c r="S13" i="8"/>
  <c r="T3" i="8"/>
  <c r="T13" i="8"/>
  <c r="R13" i="8"/>
  <c r="R11" i="8"/>
  <c r="S8" i="8"/>
  <c r="T5" i="8"/>
  <c r="S12" i="8"/>
  <c r="T6" i="8"/>
  <c r="T12" i="8"/>
  <c r="J30" i="5"/>
  <c r="S11" i="8"/>
  <c r="T4" i="8"/>
  <c r="Q8" i="8"/>
  <c r="E38" i="1"/>
  <c r="E49" i="1"/>
  <c r="N5" i="5"/>
  <c r="B18" i="6"/>
  <c r="F47" i="5"/>
  <c r="R8" i="8"/>
  <c r="L39" i="5"/>
  <c r="R6" i="8"/>
  <c r="Q4" i="8"/>
  <c r="I13" i="3"/>
  <c r="H20" i="7" s="1"/>
  <c r="N12" i="3"/>
  <c r="M19" i="7" s="1"/>
  <c r="O12" i="3"/>
  <c r="M8" i="8" s="1"/>
  <c r="O13" i="3"/>
  <c r="N20" i="7" s="1"/>
  <c r="G39" i="2"/>
  <c r="H47" i="5"/>
  <c r="H18" i="3"/>
  <c r="G27" i="7" s="1"/>
  <c r="T10" i="8"/>
  <c r="C39" i="5"/>
  <c r="R3" i="8"/>
  <c r="B3" i="2"/>
  <c r="B19" i="2" s="1"/>
  <c r="B29" i="2" s="1"/>
  <c r="B33" i="2" s="1"/>
  <c r="B35" i="2" s="1"/>
  <c r="B37" i="2" s="1"/>
  <c r="O34" i="5"/>
  <c r="P5" i="5"/>
  <c r="Q3" i="8"/>
  <c r="S10" i="8"/>
  <c r="S3" i="8"/>
  <c r="D18" i="6"/>
  <c r="R12" i="8"/>
  <c r="Q6" i="8"/>
  <c r="S5" i="8"/>
  <c r="Q12" i="8"/>
  <c r="R5" i="8"/>
  <c r="R4" i="8"/>
  <c r="Q5" i="8"/>
  <c r="S6" i="8"/>
  <c r="S4" i="8"/>
  <c r="M5" i="5"/>
  <c r="N5" i="3"/>
  <c r="M8" i="7" s="1"/>
  <c r="N13" i="3"/>
  <c r="M20" i="7" s="1"/>
  <c r="J12" i="3"/>
  <c r="C31" i="10"/>
  <c r="C38" i="1"/>
  <c r="C49" i="1"/>
  <c r="E18" i="3"/>
  <c r="D27" i="7" s="1"/>
  <c r="E13" i="3"/>
  <c r="D20" i="7" s="1"/>
  <c r="F37" i="10"/>
  <c r="F39" i="10"/>
  <c r="P12" i="3"/>
  <c r="N8" i="8" s="1"/>
  <c r="F83" i="4"/>
  <c r="F74" i="4"/>
  <c r="F65" i="4"/>
  <c r="F56" i="4"/>
  <c r="W12" i="3"/>
  <c r="C37" i="5"/>
  <c r="C34" i="5"/>
  <c r="C30" i="5"/>
  <c r="O8" i="3"/>
  <c r="F8" i="4"/>
  <c r="F17" i="4"/>
  <c r="G35" i="10"/>
  <c r="G10" i="10" s="1"/>
  <c r="D45" i="9"/>
  <c r="D45" i="10"/>
  <c r="L18" i="3"/>
  <c r="J11" i="8" s="1"/>
  <c r="F31" i="10"/>
  <c r="F25" i="10" s="1"/>
  <c r="F46" i="10"/>
  <c r="T19" i="2"/>
  <c r="T29" i="2" s="1"/>
  <c r="T33" i="2" s="1"/>
  <c r="Q18" i="3"/>
  <c r="O11" i="8" s="1"/>
  <c r="Q26" i="5"/>
  <c r="J34" i="5"/>
  <c r="V5" i="3"/>
  <c r="V13" i="3"/>
  <c r="S13" i="3"/>
  <c r="X27" i="3"/>
  <c r="F18" i="3"/>
  <c r="D11" i="8" s="1"/>
  <c r="S18" i="3"/>
  <c r="X38" i="1"/>
  <c r="AK13" i="3"/>
  <c r="M34" i="5"/>
  <c r="S38" i="1"/>
  <c r="S49" i="1" s="1"/>
  <c r="AE27" i="1"/>
  <c r="AF4" i="5" s="1"/>
  <c r="E5" i="5"/>
  <c r="V38" i="3"/>
  <c r="U5" i="3"/>
  <c r="AJ27" i="1"/>
  <c r="AL38" i="1"/>
  <c r="D40" i="10"/>
  <c r="D27" i="10" s="1"/>
  <c r="AH39" i="2"/>
  <c r="AI32" i="3" s="1"/>
  <c r="C19" i="2"/>
  <c r="M3" i="2"/>
  <c r="M19" i="2" s="1"/>
  <c r="O10" i="3" s="1"/>
  <c r="N15" i="7" s="1"/>
  <c r="D37" i="5"/>
  <c r="D30" i="3" s="1"/>
  <c r="AM39" i="2"/>
  <c r="AE39" i="2"/>
  <c r="P39" i="5"/>
  <c r="P37" i="5" s="1"/>
  <c r="L3" i="2"/>
  <c r="AL39" i="2"/>
  <c r="G45" i="10"/>
  <c r="L39" i="2"/>
  <c r="H44" i="10"/>
  <c r="AK39" i="2"/>
  <c r="G44" i="10"/>
  <c r="L41" i="2"/>
  <c r="M32" i="3"/>
  <c r="N33" i="3"/>
  <c r="AD10" i="3"/>
  <c r="U39" i="2"/>
  <c r="AD39" i="5"/>
  <c r="O47" i="5"/>
  <c r="N39" i="2"/>
  <c r="E45" i="10"/>
  <c r="Q39" i="2"/>
  <c r="S47" i="5"/>
  <c r="AC39" i="5"/>
  <c r="AC37" i="5" s="1"/>
  <c r="AG33" i="3"/>
  <c r="BU37" i="5"/>
  <c r="T39" i="2"/>
  <c r="AA39" i="5"/>
  <c r="AA37" i="5" s="1"/>
  <c r="AT39" i="3"/>
  <c r="Q3" i="2"/>
  <c r="Q19" i="2"/>
  <c r="Q29" i="2" s="1"/>
  <c r="Q33" i="2" s="1"/>
  <c r="AM3" i="2"/>
  <c r="AM19" i="2" s="1"/>
  <c r="AF39" i="2"/>
  <c r="AG32" i="3" s="1"/>
  <c r="AD3" i="2"/>
  <c r="AD19" i="2" s="1"/>
  <c r="U39" i="5"/>
  <c r="N38" i="3"/>
  <c r="AC43" i="5"/>
  <c r="S43" i="5"/>
  <c r="AD33" i="3"/>
  <c r="W13" i="3"/>
  <c r="AA38" i="3"/>
  <c r="L38" i="1"/>
  <c r="L49" i="1"/>
  <c r="J49" i="1"/>
  <c r="L13" i="3"/>
  <c r="K20" i="7" s="1"/>
  <c r="R49" i="1"/>
  <c r="AA18" i="3"/>
  <c r="AK49" i="1"/>
  <c r="I38" i="3"/>
  <c r="B27" i="1"/>
  <c r="C4" i="5" s="1"/>
  <c r="D24" i="3" s="1"/>
  <c r="V18" i="3"/>
  <c r="Q49" i="1"/>
  <c r="G25" i="10"/>
  <c r="F20" i="10"/>
  <c r="M27" i="7"/>
  <c r="E20" i="10"/>
  <c r="AD5" i="3"/>
  <c r="N19" i="7"/>
  <c r="R13" i="3"/>
  <c r="Q20" i="7" s="1"/>
  <c r="R12" i="3"/>
  <c r="P8" i="8" s="1"/>
  <c r="E34" i="5"/>
  <c r="D46" i="10"/>
  <c r="D20" i="10" s="1"/>
  <c r="Y49" i="1"/>
  <c r="V38" i="1"/>
  <c r="V49" i="1"/>
  <c r="AH38" i="3"/>
  <c r="AG18" i="3"/>
  <c r="R18" i="3"/>
  <c r="P11" i="8" s="1"/>
  <c r="F13" i="10"/>
  <c r="Y35" i="3"/>
  <c r="AK12" i="3"/>
  <c r="K27" i="1"/>
  <c r="M23" i="3"/>
  <c r="K12" i="3"/>
  <c r="J19" i="7" s="1"/>
  <c r="H13" i="3"/>
  <c r="G20" i="7" s="1"/>
  <c r="H27" i="1"/>
  <c r="J15" i="3" s="1"/>
  <c r="I22" i="7" s="1"/>
  <c r="F13" i="3"/>
  <c r="E20" i="7" s="1"/>
  <c r="Q13" i="3"/>
  <c r="P20" i="7" s="1"/>
  <c r="X27" i="1"/>
  <c r="Z17" i="3"/>
  <c r="M15" i="3"/>
  <c r="L22" i="7" s="1"/>
  <c r="M13" i="3"/>
  <c r="L20" i="7" s="1"/>
  <c r="F38" i="1"/>
  <c r="F49" i="1"/>
  <c r="K38" i="3"/>
  <c r="K38" i="1"/>
  <c r="K49" i="1" s="1"/>
  <c r="G5" i="5"/>
  <c r="O49" i="1"/>
  <c r="V27" i="1"/>
  <c r="V51" i="1" s="1"/>
  <c r="T27" i="1"/>
  <c r="W18" i="3"/>
  <c r="W30" i="5"/>
  <c r="AO38" i="1"/>
  <c r="AO49" i="1" s="1"/>
  <c r="D31" i="9"/>
  <c r="M49" i="1"/>
  <c r="E37" i="10"/>
  <c r="M18" i="3"/>
  <c r="K11" i="8" s="1"/>
  <c r="L3" i="8"/>
  <c r="K5" i="5"/>
  <c r="S38" i="3"/>
  <c r="S27" i="1"/>
  <c r="U22" i="3" s="1"/>
  <c r="Y27" i="1"/>
  <c r="AI27" i="1"/>
  <c r="AJ38" i="1"/>
  <c r="AJ49" i="1"/>
  <c r="L5" i="5"/>
  <c r="E46" i="9"/>
  <c r="E20" i="9" s="1"/>
  <c r="G46" i="10"/>
  <c r="G18" i="3"/>
  <c r="E11" i="8" s="1"/>
  <c r="N19" i="3"/>
  <c r="L12" i="8" s="1"/>
  <c r="W27" i="3"/>
  <c r="L12" i="3"/>
  <c r="J8" i="8" s="1"/>
  <c r="K18" i="3"/>
  <c r="J27" i="7" s="1"/>
  <c r="P38" i="1"/>
  <c r="P49" i="1"/>
  <c r="G27" i="1"/>
  <c r="H15" i="5" s="1"/>
  <c r="D49" i="1"/>
  <c r="AB5" i="3"/>
  <c r="AJ38" i="3"/>
  <c r="AB38" i="3"/>
  <c r="AG38" i="1"/>
  <c r="AG49" i="1" s="1"/>
  <c r="W5" i="5"/>
  <c r="AJ13" i="3"/>
  <c r="C38" i="10"/>
  <c r="M14" i="3"/>
  <c r="K13" i="8" s="1"/>
  <c r="M17" i="3"/>
  <c r="L26" i="7" s="1"/>
  <c r="AG28" i="3"/>
  <c r="G29" i="10"/>
  <c r="I15" i="3"/>
  <c r="H22" i="7" s="1"/>
  <c r="M16" i="3"/>
  <c r="K9" i="8" s="1"/>
  <c r="I20" i="3"/>
  <c r="H34" i="5"/>
  <c r="D19" i="3"/>
  <c r="B12" i="8" s="1"/>
  <c r="I22" i="3"/>
  <c r="I21" i="3"/>
  <c r="I23" i="3"/>
  <c r="M20" i="3"/>
  <c r="I14" i="3"/>
  <c r="G13" i="8" s="1"/>
  <c r="H19" i="7"/>
  <c r="AF27" i="3"/>
  <c r="P13" i="3"/>
  <c r="O20" i="7" s="1"/>
  <c r="P18" i="3"/>
  <c r="O27" i="7" s="1"/>
  <c r="AL12" i="3"/>
  <c r="AL13" i="3"/>
  <c r="AC13" i="3"/>
  <c r="X5" i="5"/>
  <c r="X25" i="3" s="1"/>
  <c r="Y18" i="3"/>
  <c r="W38" i="1"/>
  <c r="W49" i="1"/>
  <c r="AA51" i="1"/>
  <c r="AC18" i="3"/>
  <c r="AB5" i="5"/>
  <c r="O5" i="3"/>
  <c r="N8" i="7" s="1"/>
  <c r="AD12" i="3"/>
  <c r="AD13" i="3"/>
  <c r="G19" i="7"/>
  <c r="O30" i="5"/>
  <c r="Q38" i="3"/>
  <c r="P38" i="3"/>
  <c r="AE12" i="3"/>
  <c r="AE13" i="3"/>
  <c r="F11" i="8"/>
  <c r="T13" i="3"/>
  <c r="AL38" i="3"/>
  <c r="R27" i="1"/>
  <c r="X15" i="3"/>
  <c r="B38" i="1"/>
  <c r="B49" i="1"/>
  <c r="D13" i="3"/>
  <c r="C20" i="7" s="1"/>
  <c r="D18" i="3"/>
  <c r="B11" i="8" s="1"/>
  <c r="D37" i="9"/>
  <c r="G34" i="5"/>
  <c r="U38" i="3"/>
  <c r="X49" i="1"/>
  <c r="X51" i="1"/>
  <c r="AD38" i="3"/>
  <c r="AC30" i="5"/>
  <c r="X12" i="3"/>
  <c r="J27" i="1"/>
  <c r="K4" i="5" s="1"/>
  <c r="K30" i="5"/>
  <c r="T38" i="3"/>
  <c r="S30" i="5"/>
  <c r="AO25" i="3"/>
  <c r="AN38" i="1"/>
  <c r="AN49" i="1" s="1"/>
  <c r="AH18" i="3"/>
  <c r="AG25" i="3"/>
  <c r="AF38" i="1"/>
  <c r="AF49" i="1" s="1"/>
  <c r="X13" i="3"/>
  <c r="G12" i="3"/>
  <c r="F19" i="7" s="1"/>
  <c r="G13" i="3"/>
  <c r="F20" i="7" s="1"/>
  <c r="L27" i="1"/>
  <c r="H39" i="10"/>
  <c r="L4" i="5"/>
  <c r="N27" i="1"/>
  <c r="AI38" i="1"/>
  <c r="AI49" i="1"/>
  <c r="AH27" i="3"/>
  <c r="AD5" i="5"/>
  <c r="V5" i="5"/>
  <c r="AI13" i="3"/>
  <c r="AB12" i="3"/>
  <c r="AE3" i="3"/>
  <c r="M21" i="3"/>
  <c r="G38" i="1"/>
  <c r="G49" i="1"/>
  <c r="AA13" i="3"/>
  <c r="U18" i="3"/>
  <c r="AH27" i="1"/>
  <c r="AJ21" i="3"/>
  <c r="AH38" i="1"/>
  <c r="AH49" i="1"/>
  <c r="AH51" i="1" s="1"/>
  <c r="AG27" i="3"/>
  <c r="AK25" i="3"/>
  <c r="AC5" i="5"/>
  <c r="AC25" i="3" s="1"/>
  <c r="AE18" i="3"/>
  <c r="AH13" i="3"/>
  <c r="H19" i="5"/>
  <c r="Z13" i="3"/>
  <c r="T18" i="3"/>
  <c r="AG27" i="1"/>
  <c r="AL27" i="1"/>
  <c r="AB30" i="5"/>
  <c r="T30" i="5"/>
  <c r="AD18" i="3"/>
  <c r="AG13" i="3"/>
  <c r="AH12" i="3"/>
  <c r="AN27" i="1"/>
  <c r="AA30" i="5"/>
  <c r="AI25" i="3"/>
  <c r="AA5" i="5"/>
  <c r="S5" i="5"/>
  <c r="AC15" i="3"/>
  <c r="AF13" i="3"/>
  <c r="M22" i="3"/>
  <c r="F10" i="10"/>
  <c r="X5" i="3"/>
  <c r="Z18" i="3"/>
  <c r="AM27" i="1"/>
  <c r="AM38" i="1"/>
  <c r="AM49" i="1"/>
  <c r="AE38" i="1"/>
  <c r="AE49" i="1" s="1"/>
  <c r="AE51" i="1" s="1"/>
  <c r="AH25" i="3"/>
  <c r="Z5" i="5"/>
  <c r="Z25" i="3" s="1"/>
  <c r="AB18" i="3"/>
  <c r="D26" i="3"/>
  <c r="U13" i="3"/>
  <c r="AD27" i="1"/>
  <c r="R5" i="5"/>
  <c r="R25" i="3" s="1"/>
  <c r="E27" i="1"/>
  <c r="G16" i="3" s="1"/>
  <c r="F25" i="7" s="1"/>
  <c r="AD31" i="5"/>
  <c r="AE35" i="3" s="1"/>
  <c r="D22" i="3"/>
  <c r="D23" i="3"/>
  <c r="E28" i="5"/>
  <c r="D27" i="1"/>
  <c r="F16" i="3" s="1"/>
  <c r="D9" i="8" s="1"/>
  <c r="Z16" i="3"/>
  <c r="D14" i="3"/>
  <c r="B13" i="8" s="1"/>
  <c r="D15" i="3"/>
  <c r="C22" i="7" s="1"/>
  <c r="D17" i="3"/>
  <c r="C26" i="7" s="1"/>
  <c r="D39" i="9"/>
  <c r="AA14" i="3"/>
  <c r="AK5" i="3"/>
  <c r="D16" i="3"/>
  <c r="B9" i="8" s="1"/>
  <c r="D20" i="3"/>
  <c r="H13" i="10"/>
  <c r="F27" i="1"/>
  <c r="F14" i="8" s="1"/>
  <c r="C25" i="9"/>
  <c r="S4" i="5"/>
  <c r="E39" i="9"/>
  <c r="E39" i="10"/>
  <c r="I16" i="3"/>
  <c r="G9" i="8" s="1"/>
  <c r="I17" i="3"/>
  <c r="G10" i="8" s="1"/>
  <c r="AL28" i="3"/>
  <c r="V28" i="3"/>
  <c r="C39" i="10"/>
  <c r="C38" i="9"/>
  <c r="C13" i="9" s="1"/>
  <c r="C27" i="1"/>
  <c r="C14" i="8" s="1"/>
  <c r="AC28" i="3"/>
  <c r="W35" i="3"/>
  <c r="U28" i="3"/>
  <c r="V35" i="3"/>
  <c r="J16" i="3"/>
  <c r="H9" i="8" s="1"/>
  <c r="G12" i="10"/>
  <c r="P17" i="3"/>
  <c r="N10" i="8" s="1"/>
  <c r="P16" i="3"/>
  <c r="N9" i="8" s="1"/>
  <c r="P21" i="3"/>
  <c r="P23" i="3"/>
  <c r="AD35" i="3"/>
  <c r="BW25" i="5"/>
  <c r="AB27" i="3"/>
  <c r="AC16" i="3"/>
  <c r="AC17" i="3"/>
  <c r="AC20" i="3"/>
  <c r="AC22" i="3"/>
  <c r="AC14" i="3"/>
  <c r="AC23" i="3"/>
  <c r="AB4" i="5"/>
  <c r="S27" i="3"/>
  <c r="AE27" i="3"/>
  <c r="AG21" i="3"/>
  <c r="AG22" i="3"/>
  <c r="AG15" i="3"/>
  <c r="AG17" i="3"/>
  <c r="AH19" i="3"/>
  <c r="AG23" i="3"/>
  <c r="AG35" i="3"/>
  <c r="BU25" i="5"/>
  <c r="F120" i="4"/>
  <c r="F111" i="4"/>
  <c r="F102" i="4"/>
  <c r="AJ5" i="3"/>
  <c r="AD14" i="5"/>
  <c r="AD11" i="5" s="1"/>
  <c r="AD12" i="5" s="1"/>
  <c r="X33" i="3"/>
  <c r="V33" i="3"/>
  <c r="W38" i="3"/>
  <c r="Y27" i="3"/>
  <c r="X34" i="3"/>
  <c r="AH3" i="2"/>
  <c r="AH19" i="2"/>
  <c r="AJ10" i="3" s="1"/>
  <c r="AG3" i="2"/>
  <c r="AG20" i="3"/>
  <c r="AG16" i="3"/>
  <c r="AG14" i="3"/>
  <c r="V14" i="3"/>
  <c r="B51" i="1"/>
  <c r="I11" i="3"/>
  <c r="H16" i="7" s="1"/>
  <c r="X21" i="3"/>
  <c r="J14" i="3"/>
  <c r="H13" i="8" s="1"/>
  <c r="X14" i="3"/>
  <c r="AF14" i="3"/>
  <c r="V22" i="3"/>
  <c r="V16" i="3"/>
  <c r="Z15" i="3"/>
  <c r="Z14" i="3"/>
  <c r="Z22" i="3"/>
  <c r="Y4" i="5"/>
  <c r="V20" i="3"/>
  <c r="V15" i="3"/>
  <c r="W21" i="3"/>
  <c r="W16" i="3"/>
  <c r="W17" i="3"/>
  <c r="W14" i="3"/>
  <c r="W20" i="3"/>
  <c r="W22" i="3"/>
  <c r="W23" i="3"/>
  <c r="Z21" i="3"/>
  <c r="V17" i="3"/>
  <c r="Z20" i="3"/>
  <c r="G14" i="3"/>
  <c r="E13" i="8" s="1"/>
  <c r="U4" i="5"/>
  <c r="V21" i="3"/>
  <c r="AI15" i="3"/>
  <c r="Z23" i="3"/>
  <c r="V23" i="3"/>
  <c r="AD16" i="3"/>
  <c r="AC4" i="5"/>
  <c r="AD23" i="3"/>
  <c r="AD15" i="3"/>
  <c r="G24" i="10"/>
  <c r="G7" i="10"/>
  <c r="G21" i="10"/>
  <c r="AD20" i="3"/>
  <c r="AD21" i="3"/>
  <c r="AD9" i="3"/>
  <c r="F4" i="5"/>
  <c r="E51" i="1"/>
  <c r="G23" i="3"/>
  <c r="L20" i="3"/>
  <c r="L16" i="3"/>
  <c r="J9" i="8" s="1"/>
  <c r="N15" i="3"/>
  <c r="M22" i="7" s="1"/>
  <c r="N22" i="3"/>
  <c r="N20" i="3"/>
  <c r="N6" i="3"/>
  <c r="M7" i="7" s="1"/>
  <c r="L14" i="8"/>
  <c r="N16" i="3"/>
  <c r="L9" i="8" s="1"/>
  <c r="M4" i="5"/>
  <c r="N21" i="3"/>
  <c r="N4" i="3"/>
  <c r="L4" i="8" s="1"/>
  <c r="M11" i="3"/>
  <c r="L16" i="7" s="1"/>
  <c r="G51" i="1"/>
  <c r="G14" i="8"/>
  <c r="L51" i="1"/>
  <c r="AC21" i="3"/>
  <c r="H29" i="10"/>
  <c r="R51" i="1"/>
  <c r="T22" i="3"/>
  <c r="T14" i="3"/>
  <c r="T23" i="3"/>
  <c r="T14" i="8"/>
  <c r="T21" i="3"/>
  <c r="T16" i="3"/>
  <c r="T20" i="3"/>
  <c r="T17" i="3"/>
  <c r="G15" i="3"/>
  <c r="F22" i="7" s="1"/>
  <c r="N17" i="3"/>
  <c r="L10" i="8" s="1"/>
  <c r="N14" i="3"/>
  <c r="L13" i="8" s="1"/>
  <c r="P22" i="3"/>
  <c r="P15" i="3"/>
  <c r="O22" i="7" s="1"/>
  <c r="P20" i="3"/>
  <c r="T15" i="3"/>
  <c r="N23" i="3"/>
  <c r="F23" i="3"/>
  <c r="E17" i="3"/>
  <c r="D26" i="7" s="1"/>
  <c r="E22" i="3"/>
  <c r="C30" i="9"/>
  <c r="D4" i="5"/>
  <c r="E11" i="3"/>
  <c r="D16" i="7" s="1"/>
  <c r="E15" i="3"/>
  <c r="D22" i="7" s="1"/>
  <c r="H30" i="10"/>
  <c r="H14" i="3"/>
  <c r="F13" i="8" s="1"/>
  <c r="H17" i="3"/>
  <c r="H23" i="3"/>
  <c r="D29" i="10"/>
  <c r="D29" i="9"/>
  <c r="H16" i="3"/>
  <c r="G25" i="7" s="1"/>
  <c r="H20" i="3"/>
  <c r="H21" i="3"/>
  <c r="H22" i="3"/>
  <c r="H15" i="3"/>
  <c r="G22" i="7" s="1"/>
  <c r="G4" i="5"/>
  <c r="F51" i="1"/>
  <c r="AD14" i="3"/>
  <c r="AD22" i="3"/>
  <c r="AD17" i="3"/>
  <c r="R34" i="5"/>
  <c r="Y12" i="3"/>
  <c r="Y13" i="3"/>
  <c r="W27" i="1"/>
  <c r="Y15" i="3" s="1"/>
  <c r="W11" i="3"/>
  <c r="V4" i="5"/>
  <c r="Q28" i="5"/>
  <c r="P8" i="1"/>
  <c r="P27" i="1" s="1"/>
  <c r="AE3" i="2"/>
  <c r="AE19" i="2" s="1"/>
  <c r="AJ39" i="2"/>
  <c r="AK32" i="3" s="1"/>
  <c r="K13" i="3"/>
  <c r="J20" i="7" s="1"/>
  <c r="J5" i="5"/>
  <c r="E31" i="9"/>
  <c r="E12" i="9" s="1"/>
  <c r="E31" i="10"/>
  <c r="E25" i="10" s="1"/>
  <c r="I38" i="1"/>
  <c r="I49" i="1" s="1"/>
  <c r="P14" i="3"/>
  <c r="N13" i="8" s="1"/>
  <c r="O4" i="5"/>
  <c r="AA23" i="3"/>
  <c r="W15" i="3"/>
  <c r="I3" i="8"/>
  <c r="I5" i="5"/>
  <c r="J18" i="3"/>
  <c r="H11" i="8" s="1"/>
  <c r="J13" i="3"/>
  <c r="I20" i="7" s="1"/>
  <c r="H38" i="1"/>
  <c r="H49" i="1"/>
  <c r="I39" i="5"/>
  <c r="I37" i="5" s="1"/>
  <c r="G40" i="10"/>
  <c r="K19" i="2"/>
  <c r="AI38" i="3"/>
  <c r="AF27" i="1"/>
  <c r="AG4" i="5" s="1"/>
  <c r="B14" i="8"/>
  <c r="F32" i="3"/>
  <c r="N38" i="1"/>
  <c r="N49" i="1" s="1"/>
  <c r="O5" i="5"/>
  <c r="O25" i="3" s="1"/>
  <c r="F93" i="4"/>
  <c r="L34" i="3"/>
  <c r="F45" i="4"/>
  <c r="C40" i="9"/>
  <c r="C40" i="10"/>
  <c r="C27" i="10" s="1"/>
  <c r="U3" i="2"/>
  <c r="U19" i="2" s="1"/>
  <c r="F26" i="4"/>
  <c r="C45" i="9"/>
  <c r="L34" i="5"/>
  <c r="U5" i="5"/>
  <c r="U25" i="3" s="1"/>
  <c r="X4" i="5"/>
  <c r="Y14" i="3"/>
  <c r="Y23" i="3"/>
  <c r="Y22" i="3"/>
  <c r="Y20" i="3"/>
  <c r="Y16" i="3"/>
  <c r="Y21" i="3"/>
  <c r="U29" i="2"/>
  <c r="U33" i="2" s="1"/>
  <c r="H51" i="1"/>
  <c r="W51" i="1"/>
  <c r="S35" i="2"/>
  <c r="S37" i="2" s="1"/>
  <c r="C16" i="9"/>
  <c r="K29" i="2"/>
  <c r="M10" i="3"/>
  <c r="L15" i="7" s="1"/>
  <c r="G41" i="10"/>
  <c r="G15" i="10" s="1"/>
  <c r="AF22" i="3" l="1"/>
  <c r="AE4" i="5"/>
  <c r="AN4" i="5"/>
  <c r="AO6" i="3"/>
  <c r="AO4" i="3"/>
  <c r="AO4" i="5"/>
  <c r="AP24" i="3" s="1"/>
  <c r="AP4" i="3"/>
  <c r="AP6" i="3"/>
  <c r="AM4" i="5"/>
  <c r="AN6" i="3"/>
  <c r="AN4" i="3"/>
  <c r="AI20" i="3"/>
  <c r="AH4" i="5"/>
  <c r="AJ17" i="3"/>
  <c r="AI4" i="5"/>
  <c r="AD25" i="3"/>
  <c r="AN51" i="1"/>
  <c r="AK16" i="3"/>
  <c r="AJ4" i="5"/>
  <c r="T41" i="2"/>
  <c r="U32" i="3"/>
  <c r="V32" i="3"/>
  <c r="AL32" i="3"/>
  <c r="AM32" i="3"/>
  <c r="AN32" i="3"/>
  <c r="AL21" i="3"/>
  <c r="AK4" i="5"/>
  <c r="D18" i="10"/>
  <c r="D25" i="5"/>
  <c r="E43" i="5"/>
  <c r="D3" i="2"/>
  <c r="D19" i="2" s="1"/>
  <c r="I39" i="2"/>
  <c r="J37" i="5"/>
  <c r="D27" i="9"/>
  <c r="E10" i="10"/>
  <c r="H12" i="10"/>
  <c r="O27" i="1"/>
  <c r="O3" i="2"/>
  <c r="Q27" i="1"/>
  <c r="U51" i="1"/>
  <c r="T51" i="1"/>
  <c r="V10" i="3"/>
  <c r="R5" i="3"/>
  <c r="AD38" i="1"/>
  <c r="AD49" i="1" s="1"/>
  <c r="AE5" i="5"/>
  <c r="AL49" i="1"/>
  <c r="AL51" i="1" s="1"/>
  <c r="AJ3" i="2"/>
  <c r="AJ19" i="2" s="1"/>
  <c r="AL10" i="3" s="1"/>
  <c r="AK39" i="5"/>
  <c r="AK37" i="5" s="1"/>
  <c r="AJ39" i="5"/>
  <c r="AJ37" i="5" s="1"/>
  <c r="AJ30" i="3" s="1"/>
  <c r="AO32" i="3"/>
  <c r="AJ32" i="3"/>
  <c r="AH32" i="3"/>
  <c r="R25" i="5"/>
  <c r="BU43" i="5"/>
  <c r="BT43" i="5"/>
  <c r="BS37" i="5"/>
  <c r="AD37" i="5"/>
  <c r="Z38" i="3"/>
  <c r="Y38" i="3"/>
  <c r="X38" i="3"/>
  <c r="AA25" i="5"/>
  <c r="Y25" i="5"/>
  <c r="W25" i="5"/>
  <c r="S25" i="5"/>
  <c r="AC49" i="1"/>
  <c r="AB3" i="2"/>
  <c r="AB19" i="2" s="1"/>
  <c r="AB29" i="2" s="1"/>
  <c r="AB33" i="2" s="1"/>
  <c r="AB35" i="2" s="1"/>
  <c r="AB37" i="2" s="1"/>
  <c r="AA3" i="2"/>
  <c r="AA19" i="2" s="1"/>
  <c r="W6" i="3"/>
  <c r="W4" i="3"/>
  <c r="AJ4" i="3"/>
  <c r="AJ6" i="3"/>
  <c r="V4" i="3"/>
  <c r="V6" i="3"/>
  <c r="AB35" i="3"/>
  <c r="AD25" i="5"/>
  <c r="V25" i="5"/>
  <c r="AI4" i="3"/>
  <c r="AI6" i="3"/>
  <c r="U6" i="3"/>
  <c r="U4" i="3"/>
  <c r="AC25" i="5"/>
  <c r="U25" i="5"/>
  <c r="S14" i="5"/>
  <c r="S11" i="5" s="1"/>
  <c r="V27" i="3"/>
  <c r="AH4" i="3"/>
  <c r="AH6" i="3"/>
  <c r="W24" i="3"/>
  <c r="N24" i="3"/>
  <c r="D4" i="3"/>
  <c r="C6" i="7" s="1"/>
  <c r="W25" i="3"/>
  <c r="T4" i="3"/>
  <c r="T6" i="3"/>
  <c r="AB25" i="5"/>
  <c r="T25" i="5"/>
  <c r="T27" i="3"/>
  <c r="Z26" i="3"/>
  <c r="AG6" i="3"/>
  <c r="AG4" i="3"/>
  <c r="AA4" i="3"/>
  <c r="AA6" i="3"/>
  <c r="S4" i="3"/>
  <c r="S6" i="3"/>
  <c r="AF6" i="3"/>
  <c r="AF4" i="3"/>
  <c r="Z4" i="3"/>
  <c r="Z6" i="3"/>
  <c r="Z25" i="5"/>
  <c r="X26" i="3"/>
  <c r="AD4" i="3"/>
  <c r="AD6" i="3"/>
  <c r="Y6" i="3"/>
  <c r="Y4" i="3"/>
  <c r="AL4" i="3"/>
  <c r="AL6" i="3"/>
  <c r="AC6" i="3"/>
  <c r="AC4" i="3"/>
  <c r="X6" i="3"/>
  <c r="X4" i="3"/>
  <c r="Y28" i="3"/>
  <c r="X25" i="5"/>
  <c r="AK6" i="3"/>
  <c r="AK4" i="3"/>
  <c r="N51" i="1"/>
  <c r="N14" i="8"/>
  <c r="K51" i="1"/>
  <c r="K14" i="8"/>
  <c r="AL25" i="3"/>
  <c r="AE25" i="3"/>
  <c r="K28" i="3"/>
  <c r="T25" i="3"/>
  <c r="AF25" i="3"/>
  <c r="X14" i="5"/>
  <c r="X11" i="5" s="1"/>
  <c r="X12" i="5" s="1"/>
  <c r="AB51" i="1"/>
  <c r="AC5" i="3"/>
  <c r="S25" i="3"/>
  <c r="Y25" i="3"/>
  <c r="S26" i="3"/>
  <c r="AQ25" i="3"/>
  <c r="AC19" i="3"/>
  <c r="AP25" i="3"/>
  <c r="AA25" i="3"/>
  <c r="AJ25" i="3"/>
  <c r="AM25" i="3"/>
  <c r="AN25" i="3"/>
  <c r="AM28" i="3"/>
  <c r="C12" i="9"/>
  <c r="Y51" i="1"/>
  <c r="AF51" i="1"/>
  <c r="D21" i="9"/>
  <c r="AO24" i="3"/>
  <c r="AD24" i="3"/>
  <c r="Z24" i="3"/>
  <c r="AB25" i="3"/>
  <c r="G20" i="10"/>
  <c r="D25" i="9"/>
  <c r="K27" i="7"/>
  <c r="AG24" i="3"/>
  <c r="BC26" i="3"/>
  <c r="BD26" i="3"/>
  <c r="BC25" i="3"/>
  <c r="BD25" i="3"/>
  <c r="H11" i="10"/>
  <c r="V25" i="3"/>
  <c r="BB26" i="3"/>
  <c r="AT26" i="3"/>
  <c r="AL26" i="3"/>
  <c r="AD26" i="3"/>
  <c r="V26" i="3"/>
  <c r="BB25" i="3"/>
  <c r="AT25" i="3"/>
  <c r="R22" i="3"/>
  <c r="R23" i="3"/>
  <c r="R14" i="3"/>
  <c r="O14" i="8"/>
  <c r="Q16" i="3"/>
  <c r="P25" i="7" s="1"/>
  <c r="P11" i="3"/>
  <c r="O16" i="7" s="1"/>
  <c r="Q23" i="3"/>
  <c r="Q15" i="3"/>
  <c r="P22" i="7" s="1"/>
  <c r="O51" i="1"/>
  <c r="Q20" i="3"/>
  <c r="Q17" i="3"/>
  <c r="P26" i="7" s="1"/>
  <c r="Q14" i="3"/>
  <c r="O13" i="8" s="1"/>
  <c r="Q22" i="3"/>
  <c r="Q21" i="3"/>
  <c r="P4" i="5"/>
  <c r="S14" i="3"/>
  <c r="S16" i="3"/>
  <c r="S23" i="3"/>
  <c r="S17" i="3"/>
  <c r="S11" i="3"/>
  <c r="S15" i="3"/>
  <c r="R4" i="5"/>
  <c r="S22" i="3"/>
  <c r="S21" i="3"/>
  <c r="S20" i="3"/>
  <c r="U19" i="3"/>
  <c r="AJ19" i="3"/>
  <c r="AH23" i="3"/>
  <c r="AH16" i="3"/>
  <c r="F6" i="3"/>
  <c r="E7" i="7" s="1"/>
  <c r="F15" i="3"/>
  <c r="E22" i="7" s="1"/>
  <c r="J14" i="8"/>
  <c r="L23" i="3"/>
  <c r="U16" i="3"/>
  <c r="AH14" i="3"/>
  <c r="H14" i="8"/>
  <c r="AA16" i="3"/>
  <c r="C51" i="1"/>
  <c r="E14" i="3"/>
  <c r="D21" i="7" s="1"/>
  <c r="F21" i="3"/>
  <c r="D14" i="8"/>
  <c r="J51" i="1"/>
  <c r="L15" i="3"/>
  <c r="K22" i="7" s="1"/>
  <c r="G17" i="3"/>
  <c r="E10" i="8" s="1"/>
  <c r="Z11" i="3"/>
  <c r="AF15" i="3"/>
  <c r="X20" i="3"/>
  <c r="J23" i="3"/>
  <c r="AA15" i="3"/>
  <c r="U21" i="3"/>
  <c r="S51" i="1"/>
  <c r="D21" i="3"/>
  <c r="AH5" i="3"/>
  <c r="F29" i="10"/>
  <c r="X17" i="3"/>
  <c r="Z19" i="3"/>
  <c r="AG19" i="3"/>
  <c r="AH22" i="3"/>
  <c r="S19" i="3"/>
  <c r="Z4" i="5"/>
  <c r="AA24" i="3" s="1"/>
  <c r="AH20" i="3"/>
  <c r="E16" i="3"/>
  <c r="C9" i="8" s="1"/>
  <c r="C29" i="10"/>
  <c r="C11" i="10" s="1"/>
  <c r="E6" i="5"/>
  <c r="E26" i="3" s="1"/>
  <c r="I21" i="7"/>
  <c r="L22" i="3"/>
  <c r="E14" i="8"/>
  <c r="F11" i="3"/>
  <c r="E16" i="7" s="1"/>
  <c r="AF23" i="3"/>
  <c r="AD51" i="1"/>
  <c r="I4" i="5"/>
  <c r="J24" i="3" s="1"/>
  <c r="AA20" i="3"/>
  <c r="U17" i="3"/>
  <c r="U23" i="3"/>
  <c r="AN28" i="3"/>
  <c r="AH24" i="3"/>
  <c r="G30" i="10"/>
  <c r="AF20" i="3"/>
  <c r="J20" i="3"/>
  <c r="T11" i="3"/>
  <c r="U15" i="3"/>
  <c r="T4" i="5"/>
  <c r="U24" i="3" s="1"/>
  <c r="X16" i="3"/>
  <c r="U14" i="3"/>
  <c r="J25" i="5"/>
  <c r="X19" i="3"/>
  <c r="AD19" i="3"/>
  <c r="AH21" i="3"/>
  <c r="L21" i="3"/>
  <c r="J17" i="3"/>
  <c r="H10" i="8" s="1"/>
  <c r="AG11" i="3"/>
  <c r="D30" i="9"/>
  <c r="L14" i="3"/>
  <c r="AH17" i="3"/>
  <c r="Y17" i="3"/>
  <c r="E23" i="3"/>
  <c r="C29" i="9"/>
  <c r="C21" i="9" s="1"/>
  <c r="E21" i="3"/>
  <c r="F22" i="3"/>
  <c r="L17" i="3"/>
  <c r="J10" i="8" s="1"/>
  <c r="G21" i="3"/>
  <c r="AA22" i="3"/>
  <c r="AJ23" i="3"/>
  <c r="AF21" i="3"/>
  <c r="AM51" i="1"/>
  <c r="X23" i="3"/>
  <c r="G19" i="3"/>
  <c r="F28" i="7" s="1"/>
  <c r="U20" i="3"/>
  <c r="W19" i="3"/>
  <c r="AL19" i="3"/>
  <c r="AE5" i="3"/>
  <c r="F30" i="10"/>
  <c r="C30" i="10"/>
  <c r="D51" i="1"/>
  <c r="AH15" i="3"/>
  <c r="J21" i="3"/>
  <c r="AA17" i="3"/>
  <c r="D30" i="10"/>
  <c r="E20" i="3"/>
  <c r="G20" i="3"/>
  <c r="G22" i="3"/>
  <c r="L21" i="7"/>
  <c r="AF17" i="3"/>
  <c r="AF16" i="3"/>
  <c r="AA21" i="3"/>
  <c r="X22" i="3"/>
  <c r="J22" i="3"/>
  <c r="V19" i="3"/>
  <c r="BV14" i="5"/>
  <c r="BV11" i="5" s="1"/>
  <c r="BV12" i="5" s="1"/>
  <c r="BD27" i="3"/>
  <c r="AV27" i="3"/>
  <c r="AN27" i="3"/>
  <c r="AK19" i="3"/>
  <c r="AB19" i="3"/>
  <c r="F15" i="13"/>
  <c r="S14" i="8"/>
  <c r="R16" i="3"/>
  <c r="Q25" i="7" s="1"/>
  <c r="R15" i="3"/>
  <c r="Q22" i="7" s="1"/>
  <c r="D28" i="3"/>
  <c r="R20" i="3"/>
  <c r="R17" i="3"/>
  <c r="P10" i="8" s="1"/>
  <c r="W4" i="5"/>
  <c r="K25" i="5"/>
  <c r="J9" i="3"/>
  <c r="I14" i="7" s="1"/>
  <c r="T36" i="3"/>
  <c r="Q4" i="5"/>
  <c r="S36" i="3" s="1"/>
  <c r="Y14" i="5"/>
  <c r="Y11" i="5" s="1"/>
  <c r="R21" i="3"/>
  <c r="D27" i="3"/>
  <c r="E13" i="9"/>
  <c r="H11" i="3"/>
  <c r="G16" i="7" s="1"/>
  <c r="U9" i="3"/>
  <c r="Q51" i="1"/>
  <c r="P14" i="8"/>
  <c r="P51" i="1"/>
  <c r="BW14" i="5"/>
  <c r="BW11" i="5" s="1"/>
  <c r="BW12" i="5" s="1"/>
  <c r="BG27" i="3"/>
  <c r="AY27" i="3"/>
  <c r="AQ27" i="3"/>
  <c r="AI27" i="3"/>
  <c r="AA27" i="3"/>
  <c r="K27" i="3"/>
  <c r="G11" i="3"/>
  <c r="F16" i="7" s="1"/>
  <c r="H10" i="10"/>
  <c r="Q11" i="3"/>
  <c r="P16" i="7" s="1"/>
  <c r="G18" i="10"/>
  <c r="G16" i="10"/>
  <c r="C41" i="9"/>
  <c r="C15" i="9" s="1"/>
  <c r="C41" i="10"/>
  <c r="C15" i="10" s="1"/>
  <c r="C29" i="2"/>
  <c r="C33" i="2" s="1"/>
  <c r="AI35" i="3"/>
  <c r="AD39" i="3"/>
  <c r="AD37" i="3"/>
  <c r="L19" i="2"/>
  <c r="H41" i="10" s="1"/>
  <c r="H15" i="10" s="1"/>
  <c r="H40" i="10"/>
  <c r="H16" i="10" s="1"/>
  <c r="J10" i="3"/>
  <c r="I15" i="7" s="1"/>
  <c r="I47" i="5"/>
  <c r="X11" i="3"/>
  <c r="W47" i="5"/>
  <c r="W43" i="5" s="1"/>
  <c r="H35" i="2"/>
  <c r="H37" i="2" s="1"/>
  <c r="D18" i="9"/>
  <c r="L37" i="5"/>
  <c r="M39" i="3" s="1"/>
  <c r="M38" i="3"/>
  <c r="F37" i="5"/>
  <c r="U10" i="3"/>
  <c r="T47" i="5"/>
  <c r="U11" i="3"/>
  <c r="Y41" i="2"/>
  <c r="W10" i="3"/>
  <c r="E39" i="5"/>
  <c r="E44" i="10"/>
  <c r="E44" i="9"/>
  <c r="AF11" i="3"/>
  <c r="AD39" i="2"/>
  <c r="AA33" i="3"/>
  <c r="Z43" i="5"/>
  <c r="H39" i="2"/>
  <c r="G32" i="3" s="1"/>
  <c r="W39" i="2"/>
  <c r="Y11" i="3"/>
  <c r="BL33" i="3"/>
  <c r="AN33" i="3"/>
  <c r="U41" i="2"/>
  <c r="AM29" i="2"/>
  <c r="AM33" i="2" s="1"/>
  <c r="I3" i="2"/>
  <c r="G10" i="3"/>
  <c r="F15" i="7" s="1"/>
  <c r="E29" i="2"/>
  <c r="E33" i="2" s="1"/>
  <c r="F45" i="10"/>
  <c r="L11" i="3"/>
  <c r="K16" i="7" s="1"/>
  <c r="J39" i="2"/>
  <c r="K47" i="5"/>
  <c r="V39" i="2"/>
  <c r="W32" i="3" s="1"/>
  <c r="BW37" i="5"/>
  <c r="AD30" i="3"/>
  <c r="AE39" i="3"/>
  <c r="V37" i="5"/>
  <c r="H43" i="5"/>
  <c r="I43" i="5"/>
  <c r="E37" i="5"/>
  <c r="E30" i="3" s="1"/>
  <c r="G29" i="2"/>
  <c r="G33" i="2" s="1"/>
  <c r="I10" i="3"/>
  <c r="H15" i="7" s="1"/>
  <c r="AC19" i="2"/>
  <c r="N34" i="3"/>
  <c r="M43" i="5"/>
  <c r="M39" i="2"/>
  <c r="N47" i="5"/>
  <c r="N43" i="5" s="1"/>
  <c r="W19" i="2"/>
  <c r="W29" i="2" s="1"/>
  <c r="W33" i="2" s="1"/>
  <c r="W35" i="2" s="1"/>
  <c r="W37" i="2" s="1"/>
  <c r="AO37" i="3"/>
  <c r="C18" i="9"/>
  <c r="D11" i="3"/>
  <c r="C16" i="7" s="1"/>
  <c r="S10" i="3"/>
  <c r="AG19" i="2"/>
  <c r="V11" i="3"/>
  <c r="V47" i="5"/>
  <c r="G39" i="5"/>
  <c r="G37" i="5" s="1"/>
  <c r="H37" i="5"/>
  <c r="I39" i="3" s="1"/>
  <c r="C47" i="5"/>
  <c r="C43" i="5" s="1"/>
  <c r="C45" i="10"/>
  <c r="C18" i="10" s="1"/>
  <c r="U47" i="5"/>
  <c r="BA30" i="3"/>
  <c r="AN39" i="3"/>
  <c r="Q43" i="5"/>
  <c r="R43" i="5"/>
  <c r="BT37" i="5"/>
  <c r="N41" i="2"/>
  <c r="E10" i="3"/>
  <c r="D15" i="7" s="1"/>
  <c r="O33" i="3"/>
  <c r="O39" i="2"/>
  <c r="P12" i="2"/>
  <c r="R11" i="3" s="1"/>
  <c r="Q16" i="7" s="1"/>
  <c r="R39" i="2"/>
  <c r="Z37" i="5"/>
  <c r="AA30" i="3" s="1"/>
  <c r="R37" i="5"/>
  <c r="S30" i="3" s="1"/>
  <c r="V43" i="5"/>
  <c r="AB39" i="2"/>
  <c r="J47" i="5"/>
  <c r="J43" i="5" s="1"/>
  <c r="R34" i="3"/>
  <c r="L43" i="5"/>
  <c r="O19" i="2"/>
  <c r="O29" i="2" s="1"/>
  <c r="O33" i="2" s="1"/>
  <c r="Y37" i="5"/>
  <c r="Z37" i="3" s="1"/>
  <c r="AI30" i="3"/>
  <c r="AA39" i="2"/>
  <c r="F43" i="5"/>
  <c r="O43" i="5"/>
  <c r="AE37" i="3"/>
  <c r="AI3" i="2"/>
  <c r="AI19" i="2" s="1"/>
  <c r="AK10" i="3" s="1"/>
  <c r="D10" i="3"/>
  <c r="C15" i="7" s="1"/>
  <c r="K33" i="2"/>
  <c r="AC11" i="3"/>
  <c r="U37" i="5"/>
  <c r="D47" i="5"/>
  <c r="D43" i="5" s="1"/>
  <c r="O37" i="5"/>
  <c r="X3" i="2"/>
  <c r="X19" i="2" s="1"/>
  <c r="X29" i="2" s="1"/>
  <c r="X33" i="2" s="1"/>
  <c r="AN3" i="2"/>
  <c r="AN19" i="2" s="1"/>
  <c r="AN29" i="2" s="1"/>
  <c r="AN33" i="2" s="1"/>
  <c r="AN35" i="2" s="1"/>
  <c r="AN37" i="2" s="1"/>
  <c r="BW43" i="5"/>
  <c r="AB43" i="5"/>
  <c r="T43" i="5"/>
  <c r="AA43" i="5"/>
  <c r="Z39" i="2"/>
  <c r="AA32" i="3" s="1"/>
  <c r="P43" i="5"/>
  <c r="M36" i="3"/>
  <c r="C44" i="10"/>
  <c r="C16" i="10" s="1"/>
  <c r="F39" i="2"/>
  <c r="H32" i="3" s="1"/>
  <c r="J3" i="2"/>
  <c r="T37" i="5"/>
  <c r="AK3" i="2"/>
  <c r="AK19" i="2" s="1"/>
  <c r="AK29" i="2" s="1"/>
  <c r="AK33" i="2" s="1"/>
  <c r="AK35" i="2" s="1"/>
  <c r="AK37" i="2" s="1"/>
  <c r="AG30" i="3"/>
  <c r="BS43" i="5"/>
  <c r="BV43" i="5"/>
  <c r="AE30" i="3"/>
  <c r="AF39" i="3"/>
  <c r="AF37" i="3"/>
  <c r="AF10" i="3"/>
  <c r="AD29" i="2"/>
  <c r="AD33" i="2" s="1"/>
  <c r="AD35" i="2" s="1"/>
  <c r="AD37" i="2" s="1"/>
  <c r="AM39" i="3"/>
  <c r="AL30" i="3"/>
  <c r="L29" i="2"/>
  <c r="L33" i="2" s="1"/>
  <c r="N10" i="3"/>
  <c r="M15" i="7" s="1"/>
  <c r="T39" i="3"/>
  <c r="X39" i="3"/>
  <c r="X37" i="3"/>
  <c r="AG10" i="3"/>
  <c r="AE29" i="2"/>
  <c r="AE33" i="2" s="1"/>
  <c r="P30" i="3"/>
  <c r="Q39" i="3"/>
  <c r="J30" i="3"/>
  <c r="K37" i="3"/>
  <c r="K39" i="3"/>
  <c r="AG39" i="3"/>
  <c r="AF30" i="3"/>
  <c r="AG37" i="3"/>
  <c r="AC10" i="3"/>
  <c r="AA29" i="2"/>
  <c r="AA33" i="2" s="1"/>
  <c r="AA35" i="2" s="1"/>
  <c r="AA37" i="2" s="1"/>
  <c r="AI29" i="2"/>
  <c r="AI33" i="2" s="1"/>
  <c r="AI35" i="2" s="1"/>
  <c r="AI37" i="2" s="1"/>
  <c r="AI10" i="3"/>
  <c r="AG29" i="2"/>
  <c r="AG33" i="2" s="1"/>
  <c r="AG35" i="2" s="1"/>
  <c r="AG37" i="2" s="1"/>
  <c r="T35" i="2"/>
  <c r="T37" i="2" s="1"/>
  <c r="V9" i="3"/>
  <c r="U35" i="2"/>
  <c r="U37" i="2" s="1"/>
  <c r="W9" i="3"/>
  <c r="S9" i="3"/>
  <c r="Q35" i="2"/>
  <c r="Q37" i="2" s="1"/>
  <c r="AA37" i="3"/>
  <c r="Z30" i="3"/>
  <c r="AA39" i="3"/>
  <c r="AJ37" i="3"/>
  <c r="AJ39" i="3"/>
  <c r="S39" i="3"/>
  <c r="O35" i="2"/>
  <c r="O37" i="2" s="1"/>
  <c r="Q9" i="3"/>
  <c r="P14" i="7" s="1"/>
  <c r="Z39" i="3"/>
  <c r="AI39" i="3"/>
  <c r="M9" i="3"/>
  <c r="L14" i="7" s="1"/>
  <c r="L17" i="7" s="1"/>
  <c r="K35" i="2"/>
  <c r="K37" i="2" s="1"/>
  <c r="G42" i="10" s="1"/>
  <c r="AO9" i="3"/>
  <c r="AM35" i="2"/>
  <c r="AM37" i="2" s="1"/>
  <c r="P37" i="3"/>
  <c r="P39" i="3"/>
  <c r="Y9" i="3"/>
  <c r="Z10" i="3"/>
  <c r="AE10" i="3"/>
  <c r="AC29" i="2"/>
  <c r="AC33" i="2" s="1"/>
  <c r="AC35" i="2" s="1"/>
  <c r="AC37" i="2" s="1"/>
  <c r="M37" i="5"/>
  <c r="J19" i="2"/>
  <c r="F40" i="10"/>
  <c r="F18" i="10" s="1"/>
  <c r="T30" i="3"/>
  <c r="U39" i="3"/>
  <c r="U37" i="3"/>
  <c r="AB10" i="3"/>
  <c r="Z29" i="2"/>
  <c r="Z33" i="2" s="1"/>
  <c r="Z35" i="2" s="1"/>
  <c r="Z37" i="2" s="1"/>
  <c r="G27" i="10"/>
  <c r="AB37" i="3"/>
  <c r="AK39" i="3"/>
  <c r="AH29" i="2"/>
  <c r="AH33" i="2" s="1"/>
  <c r="Y43" i="5"/>
  <c r="AL33" i="3"/>
  <c r="AB39" i="5"/>
  <c r="AB37" i="5" s="1"/>
  <c r="AF3" i="2"/>
  <c r="AF19" i="2" s="1"/>
  <c r="Q37" i="5"/>
  <c r="I34" i="3"/>
  <c r="P3" i="2"/>
  <c r="N19" i="2"/>
  <c r="AB33" i="3"/>
  <c r="BD37" i="3"/>
  <c r="T37" i="3"/>
  <c r="BE36" i="3"/>
  <c r="BJ33" i="3"/>
  <c r="C27" i="9"/>
  <c r="AD43" i="5"/>
  <c r="AJ29" i="2"/>
  <c r="AJ33" i="2" s="1"/>
  <c r="AJ35" i="2" s="1"/>
  <c r="AJ37" i="2" s="1"/>
  <c r="AB39" i="3"/>
  <c r="Q37" i="3"/>
  <c r="R3" i="2"/>
  <c r="R19" i="2" s="1"/>
  <c r="G43" i="5"/>
  <c r="P33" i="3"/>
  <c r="V3" i="2"/>
  <c r="V19" i="2" s="1"/>
  <c r="AG38" i="3"/>
  <c r="BL36" i="3"/>
  <c r="I37" i="3"/>
  <c r="M29" i="2"/>
  <c r="M33" i="2" s="1"/>
  <c r="M35" i="2" s="1"/>
  <c r="M37" i="2" s="1"/>
  <c r="Y3" i="2"/>
  <c r="Y19" i="2" s="1"/>
  <c r="N37" i="5"/>
  <c r="Y10" i="3"/>
  <c r="BF36" i="3"/>
  <c r="X37" i="5"/>
  <c r="Y30" i="3" s="1"/>
  <c r="K39" i="5"/>
  <c r="K37" i="5" s="1"/>
  <c r="L37" i="3" s="1"/>
  <c r="AL39" i="3"/>
  <c r="BL39" i="3"/>
  <c r="BJ36" i="3"/>
  <c r="BI37" i="3"/>
  <c r="BI36" i="3"/>
  <c r="W33" i="3"/>
  <c r="BH39" i="3"/>
  <c r="Q10" i="3"/>
  <c r="P15" i="7" s="1"/>
  <c r="BH37" i="3"/>
  <c r="BH36" i="3"/>
  <c r="BI39" i="3"/>
  <c r="BD39" i="3"/>
  <c r="BK36" i="3"/>
  <c r="BK37" i="3"/>
  <c r="E12" i="8"/>
  <c r="K10" i="8"/>
  <c r="K25" i="3"/>
  <c r="M28" i="3"/>
  <c r="K26" i="3"/>
  <c r="Q27" i="3"/>
  <c r="I27" i="3"/>
  <c r="F25" i="5"/>
  <c r="BF28" i="3"/>
  <c r="BH35" i="3"/>
  <c r="AP28" i="3"/>
  <c r="Z35" i="3"/>
  <c r="AD28" i="3"/>
  <c r="L25" i="5"/>
  <c r="I25" i="3"/>
  <c r="J26" i="3"/>
  <c r="F8" i="10"/>
  <c r="G26" i="10"/>
  <c r="R14" i="5"/>
  <c r="R11" i="5" s="1"/>
  <c r="R12" i="5" s="1"/>
  <c r="BE28" i="3"/>
  <c r="Q25" i="3"/>
  <c r="BF35" i="3"/>
  <c r="BD28" i="3"/>
  <c r="AF28" i="3"/>
  <c r="W28" i="3"/>
  <c r="AB14" i="5"/>
  <c r="AB11" i="5" s="1"/>
  <c r="AC14" i="5"/>
  <c r="AC11" i="5" s="1"/>
  <c r="AC12" i="5" s="1"/>
  <c r="AL29" i="3"/>
  <c r="AZ27" i="3"/>
  <c r="AR27" i="3"/>
  <c r="AJ27" i="3"/>
  <c r="E25" i="9"/>
  <c r="M24" i="3"/>
  <c r="Q14" i="5"/>
  <c r="Q11" i="5" s="1"/>
  <c r="H25" i="10"/>
  <c r="BC28" i="3"/>
  <c r="BE35" i="3"/>
  <c r="W14" i="5"/>
  <c r="W11" i="5" s="1"/>
  <c r="X29" i="3" s="1"/>
  <c r="E25" i="5"/>
  <c r="K35" i="3"/>
  <c r="BD35" i="3"/>
  <c r="BF27" i="3"/>
  <c r="I27" i="7"/>
  <c r="BJ35" i="3"/>
  <c r="BT25" i="5"/>
  <c r="BU14" i="5"/>
  <c r="BU11" i="5" s="1"/>
  <c r="BU12" i="5" s="1"/>
  <c r="AD36" i="3"/>
  <c r="BG28" i="3"/>
  <c r="BI35" i="3"/>
  <c r="Z28" i="3"/>
  <c r="BS25" i="5"/>
  <c r="BK35" i="3"/>
  <c r="BL35" i="3"/>
  <c r="BE39" i="3"/>
  <c r="BG29" i="3"/>
  <c r="AK29" i="3"/>
  <c r="I19" i="3"/>
  <c r="H28" i="7" s="1"/>
  <c r="I4" i="3"/>
  <c r="G4" i="8" s="1"/>
  <c r="C25" i="10"/>
  <c r="C24" i="10"/>
  <c r="P3" i="8"/>
  <c r="R4" i="3"/>
  <c r="Q5" i="7"/>
  <c r="R6" i="3"/>
  <c r="R19" i="3"/>
  <c r="AK35" i="3"/>
  <c r="AI28" i="3"/>
  <c r="AI19" i="3"/>
  <c r="AI5" i="3"/>
  <c r="AJ35" i="3"/>
  <c r="L28" i="3"/>
  <c r="N35" i="3"/>
  <c r="Q19" i="3"/>
  <c r="P28" i="7" s="1"/>
  <c r="P5" i="7"/>
  <c r="Q5" i="3"/>
  <c r="Q4" i="3"/>
  <c r="G5" i="3"/>
  <c r="E6" i="8" s="1"/>
  <c r="G4" i="3"/>
  <c r="G6" i="3"/>
  <c r="E5" i="8" s="1"/>
  <c r="E3" i="8"/>
  <c r="C20" i="9"/>
  <c r="C20" i="10"/>
  <c r="Y19" i="3"/>
  <c r="Y5" i="3"/>
  <c r="S28" i="3"/>
  <c r="R28" i="3"/>
  <c r="S35" i="3"/>
  <c r="BT14" i="5"/>
  <c r="BT11" i="5" s="1"/>
  <c r="BT12" i="5" s="1"/>
  <c r="AK27" i="3"/>
  <c r="AC27" i="3"/>
  <c r="AD27" i="3"/>
  <c r="P6" i="8"/>
  <c r="Q8" i="7"/>
  <c r="C26" i="10"/>
  <c r="C21" i="10"/>
  <c r="G5" i="7"/>
  <c r="H4" i="3"/>
  <c r="J27" i="3"/>
  <c r="H19" i="3"/>
  <c r="D26" i="9"/>
  <c r="T14" i="5"/>
  <c r="T11" i="5" s="1"/>
  <c r="T12" i="5" s="1"/>
  <c r="D14" i="5"/>
  <c r="D11" i="5" s="1"/>
  <c r="D12" i="5" s="1"/>
  <c r="C14" i="5"/>
  <c r="C11" i="5" s="1"/>
  <c r="C12" i="5" s="1"/>
  <c r="D8" i="9"/>
  <c r="Q6" i="3"/>
  <c r="AA35" i="3"/>
  <c r="I5" i="3"/>
  <c r="G6" i="8" s="1"/>
  <c r="BS14" i="5"/>
  <c r="BS11" i="5" s="1"/>
  <c r="BS12" i="5" s="1"/>
  <c r="G14" i="5"/>
  <c r="D24" i="9"/>
  <c r="G22" i="10"/>
  <c r="U27" i="3"/>
  <c r="E6" i="9"/>
  <c r="I19" i="7"/>
  <c r="I23" i="7" s="1"/>
  <c r="H8" i="8"/>
  <c r="I36" i="3"/>
  <c r="Q27" i="7"/>
  <c r="C22" i="10"/>
  <c r="T35" i="3"/>
  <c r="AF35" i="3"/>
  <c r="AE28" i="3"/>
  <c r="G3" i="8"/>
  <c r="D13" i="9"/>
  <c r="F28" i="3"/>
  <c r="G28" i="3"/>
  <c r="F25" i="3"/>
  <c r="E25" i="3"/>
  <c r="M26" i="3"/>
  <c r="L26" i="3"/>
  <c r="AL35" i="3"/>
  <c r="AJ28" i="3"/>
  <c r="AK28" i="3"/>
  <c r="AC35" i="3"/>
  <c r="AB28" i="3"/>
  <c r="AA28" i="3"/>
  <c r="U35" i="3"/>
  <c r="T28" i="3"/>
  <c r="E10" i="9"/>
  <c r="F26" i="10"/>
  <c r="H25" i="3"/>
  <c r="AR35" i="3"/>
  <c r="F27" i="7"/>
  <c r="K26" i="7"/>
  <c r="E9" i="8"/>
  <c r="AE19" i="3"/>
  <c r="I11" i="8"/>
  <c r="AA36" i="3"/>
  <c r="G13" i="10"/>
  <c r="D6" i="3"/>
  <c r="C7" i="7" s="1"/>
  <c r="D12" i="9"/>
  <c r="L25" i="3"/>
  <c r="X28" i="3"/>
  <c r="G26" i="3"/>
  <c r="M27" i="3"/>
  <c r="AQ35" i="3"/>
  <c r="AA14" i="5"/>
  <c r="AA11" i="5" s="1"/>
  <c r="AA12" i="5" s="1"/>
  <c r="D24" i="10"/>
  <c r="J14" i="5"/>
  <c r="J11" i="5" s="1"/>
  <c r="J12" i="5" s="1"/>
  <c r="B10" i="8"/>
  <c r="E24" i="3"/>
  <c r="K8" i="8"/>
  <c r="H25" i="5"/>
  <c r="D10" i="10"/>
  <c r="BB28" i="3"/>
  <c r="BC27" i="3"/>
  <c r="C12" i="10"/>
  <c r="P27" i="7"/>
  <c r="C10" i="10"/>
  <c r="BA28" i="3"/>
  <c r="BB27" i="3"/>
  <c r="AT27" i="3"/>
  <c r="N25" i="3"/>
  <c r="Q28" i="3"/>
  <c r="F12" i="10"/>
  <c r="BC36" i="3"/>
  <c r="BB36" i="3"/>
  <c r="BB37" i="3"/>
  <c r="BB39" i="3"/>
  <c r="D26" i="10"/>
  <c r="L5" i="8"/>
  <c r="M25" i="5"/>
  <c r="Q26" i="3"/>
  <c r="I26" i="3"/>
  <c r="O27" i="3"/>
  <c r="G27" i="3"/>
  <c r="V14" i="5"/>
  <c r="V11" i="5" s="1"/>
  <c r="V12" i="5" s="1"/>
  <c r="U14" i="5"/>
  <c r="U11" i="5" s="1"/>
  <c r="M6" i="7"/>
  <c r="Q35" i="3"/>
  <c r="I25" i="5"/>
  <c r="F14" i="5"/>
  <c r="F11" i="5" s="1"/>
  <c r="F12" i="5" s="1"/>
  <c r="D10" i="9"/>
  <c r="Z14" i="5"/>
  <c r="Z11" i="5" s="1"/>
  <c r="Z12" i="5" s="1"/>
  <c r="F9" i="8"/>
  <c r="D19" i="7"/>
  <c r="D23" i="7" s="1"/>
  <c r="H27" i="7"/>
  <c r="E21" i="7"/>
  <c r="M14" i="5"/>
  <c r="M11" i="5" s="1"/>
  <c r="M12" i="5" s="1"/>
  <c r="N28" i="3"/>
  <c r="N26" i="3"/>
  <c r="L27" i="3"/>
  <c r="H20" i="10"/>
  <c r="AS35" i="3"/>
  <c r="AX27" i="3"/>
  <c r="AP27" i="3"/>
  <c r="Z27" i="3"/>
  <c r="H21" i="10"/>
  <c r="H24" i="10"/>
  <c r="F8" i="7"/>
  <c r="M25" i="3"/>
  <c r="AO29" i="3"/>
  <c r="L27" i="7"/>
  <c r="D25" i="10"/>
  <c r="Q24" i="3"/>
  <c r="U36" i="3"/>
  <c r="N36" i="3"/>
  <c r="H26" i="10"/>
  <c r="Y36" i="3"/>
  <c r="AX39" i="3"/>
  <c r="P25" i="3"/>
  <c r="F24" i="3"/>
  <c r="G25" i="5"/>
  <c r="L14" i="5"/>
  <c r="L11" i="5" s="1"/>
  <c r="L12" i="5" s="1"/>
  <c r="N25" i="5"/>
  <c r="M35" i="3"/>
  <c r="K14" i="5"/>
  <c r="K11" i="5" s="1"/>
  <c r="O25" i="5"/>
  <c r="O14" i="5"/>
  <c r="O11" i="5" s="1"/>
  <c r="O12" i="5" s="1"/>
  <c r="R35" i="3"/>
  <c r="P25" i="5"/>
  <c r="H14" i="5"/>
  <c r="H28" i="3"/>
  <c r="I14" i="5"/>
  <c r="P26" i="3"/>
  <c r="F27" i="3"/>
  <c r="H35" i="3"/>
  <c r="E28" i="3"/>
  <c r="D13" i="10"/>
  <c r="D12" i="10"/>
  <c r="AX37" i="3"/>
  <c r="AX36" i="3"/>
  <c r="AW36" i="3"/>
  <c r="AV36" i="3"/>
  <c r="AU36" i="3"/>
  <c r="AT37" i="3"/>
  <c r="AT36" i="3"/>
  <c r="AX30" i="3"/>
  <c r="AX35" i="3"/>
  <c r="AY37" i="3"/>
  <c r="BA39" i="3"/>
  <c r="BA37" i="3"/>
  <c r="AZ30" i="3"/>
  <c r="AZ39" i="3"/>
  <c r="AZ37" i="3"/>
  <c r="R29" i="3"/>
  <c r="Q12" i="5"/>
  <c r="Y29" i="3"/>
  <c r="Y12" i="5"/>
  <c r="AB12" i="5"/>
  <c r="Z36" i="3"/>
  <c r="R36" i="3"/>
  <c r="D7" i="9"/>
  <c r="H24" i="3"/>
  <c r="H8" i="10"/>
  <c r="B4" i="8"/>
  <c r="C27" i="7"/>
  <c r="F7" i="10"/>
  <c r="I35" i="3"/>
  <c r="C13" i="10"/>
  <c r="H26" i="3"/>
  <c r="N27" i="3"/>
  <c r="Q36" i="3"/>
  <c r="H36" i="3"/>
  <c r="M6" i="8"/>
  <c r="D5" i="7"/>
  <c r="E5" i="3"/>
  <c r="D8" i="7" s="1"/>
  <c r="P14" i="5"/>
  <c r="P11" i="5" s="1"/>
  <c r="D21" i="10"/>
  <c r="C10" i="8"/>
  <c r="H7" i="10"/>
  <c r="C7" i="10"/>
  <c r="C8" i="10"/>
  <c r="L25" i="7"/>
  <c r="I26" i="7"/>
  <c r="P35" i="3"/>
  <c r="R26" i="3"/>
  <c r="I28" i="3"/>
  <c r="P27" i="3"/>
  <c r="E27" i="3"/>
  <c r="W36" i="3"/>
  <c r="R24" i="3"/>
  <c r="D28" i="7"/>
  <c r="F24" i="10"/>
  <c r="D8" i="10"/>
  <c r="C13" i="8"/>
  <c r="G24" i="3"/>
  <c r="O35" i="3"/>
  <c r="O26" i="3"/>
  <c r="AN29" i="3"/>
  <c r="D11" i="9"/>
  <c r="P28" i="3"/>
  <c r="F11" i="10"/>
  <c r="F22" i="10"/>
  <c r="D7" i="10"/>
  <c r="F26" i="7"/>
  <c r="I8" i="8"/>
  <c r="AD29" i="3"/>
  <c r="G25" i="3"/>
  <c r="L35" i="3"/>
  <c r="J28" i="3"/>
  <c r="D11" i="10"/>
  <c r="O28" i="3"/>
  <c r="D22" i="10"/>
  <c r="H22" i="10"/>
  <c r="G26" i="7"/>
  <c r="F10" i="8"/>
  <c r="M28" i="7"/>
  <c r="G11" i="10"/>
  <c r="G8" i="10"/>
  <c r="E14" i="5"/>
  <c r="D22" i="9"/>
  <c r="D20" i="9"/>
  <c r="K19" i="7"/>
  <c r="Q25" i="5"/>
  <c r="H27" i="3"/>
  <c r="I24" i="3"/>
  <c r="F21" i="10"/>
  <c r="E12" i="10"/>
  <c r="E13" i="10"/>
  <c r="J25" i="3"/>
  <c r="N5" i="7"/>
  <c r="B3" i="8"/>
  <c r="I6" i="3"/>
  <c r="R27" i="3"/>
  <c r="AW35" i="3"/>
  <c r="BA29" i="3"/>
  <c r="N14" i="5"/>
  <c r="N11" i="5" s="1"/>
  <c r="AP35" i="3"/>
  <c r="AV35" i="3"/>
  <c r="D6" i="10"/>
  <c r="AO35" i="3"/>
  <c r="AU35" i="3"/>
  <c r="AN35" i="3"/>
  <c r="AZ28" i="3"/>
  <c r="H6" i="3"/>
  <c r="G7" i="7" s="1"/>
  <c r="D5" i="3"/>
  <c r="M3" i="8"/>
  <c r="F3" i="8"/>
  <c r="H5" i="3"/>
  <c r="H5" i="7"/>
  <c r="AM35" i="3"/>
  <c r="AY28" i="3"/>
  <c r="BA35" i="3"/>
  <c r="AQ28" i="3"/>
  <c r="AU27" i="3"/>
  <c r="AM27" i="3"/>
  <c r="AZ35" i="3"/>
  <c r="AX28" i="3"/>
  <c r="AP29" i="3"/>
  <c r="AY35" i="3"/>
  <c r="AO28" i="3"/>
  <c r="BA27" i="3"/>
  <c r="AS27" i="3"/>
  <c r="AW28" i="3"/>
  <c r="AV28" i="3"/>
  <c r="AU28" i="3"/>
  <c r="AT28" i="3"/>
  <c r="AS28" i="3"/>
  <c r="AR28" i="3"/>
  <c r="AT35" i="3"/>
  <c r="F43" i="13"/>
  <c r="AC14" i="1"/>
  <c r="F31" i="13"/>
  <c r="F26" i="13" s="1"/>
  <c r="AO23" i="3"/>
  <c r="AO22" i="3"/>
  <c r="AO20" i="3"/>
  <c r="AO14" i="3"/>
  <c r="AP23" i="3"/>
  <c r="AP22" i="3"/>
  <c r="AP20" i="3"/>
  <c r="AP14" i="3"/>
  <c r="AN23" i="3"/>
  <c r="AN22" i="3"/>
  <c r="AN20" i="3"/>
  <c r="AN14" i="3"/>
  <c r="AO36" i="3"/>
  <c r="AN30" i="3"/>
  <c r="AP39" i="3"/>
  <c r="AP9" i="3"/>
  <c r="K43" i="5"/>
  <c r="P4" i="3"/>
  <c r="N4" i="8" s="1"/>
  <c r="M27" i="1"/>
  <c r="F19" i="2"/>
  <c r="I27" i="1"/>
  <c r="K6" i="3" s="1"/>
  <c r="J6" i="3"/>
  <c r="I7" i="7" s="1"/>
  <c r="AA5" i="3"/>
  <c r="AQ13" i="3"/>
  <c r="AQ12" i="3"/>
  <c r="F40" i="13"/>
  <c r="AP15" i="3"/>
  <c r="AP13" i="3"/>
  <c r="AP12" i="3"/>
  <c r="AO15" i="3"/>
  <c r="AO13" i="3"/>
  <c r="AO12" i="3"/>
  <c r="AN15" i="3"/>
  <c r="AN13" i="3"/>
  <c r="AN12" i="3"/>
  <c r="AM13" i="3"/>
  <c r="AM12" i="3"/>
  <c r="AK27" i="1"/>
  <c r="F36" i="13"/>
  <c r="AP17" i="3"/>
  <c r="AP16" i="3"/>
  <c r="AO17" i="3"/>
  <c r="AO16" i="3"/>
  <c r="AN17" i="3"/>
  <c r="AN16" i="3"/>
  <c r="AQ18" i="3"/>
  <c r="AQ5" i="3"/>
  <c r="AP21" i="3"/>
  <c r="AP18" i="3"/>
  <c r="AP5" i="3"/>
  <c r="AO21" i="3"/>
  <c r="AO18" i="3"/>
  <c r="AO5" i="3"/>
  <c r="AN21" i="3"/>
  <c r="AN18" i="3"/>
  <c r="AN5" i="3"/>
  <c r="AM18" i="3"/>
  <c r="AM5" i="3"/>
  <c r="AP37" i="3"/>
  <c r="AP36" i="3"/>
  <c r="AP10" i="3"/>
  <c r="AO11" i="3"/>
  <c r="AO10" i="3"/>
  <c r="AN11" i="3"/>
  <c r="AN10" i="3"/>
  <c r="AM37" i="3"/>
  <c r="AM10" i="3"/>
  <c r="AK37" i="3"/>
  <c r="AS36" i="3"/>
  <c r="AS34" i="3"/>
  <c r="AR34" i="3"/>
  <c r="BF37" i="3"/>
  <c r="AR38" i="3"/>
  <c r="AQ38" i="3"/>
  <c r="AP38" i="3"/>
  <c r="AO38" i="3"/>
  <c r="AN38" i="3"/>
  <c r="AM38" i="3"/>
  <c r="AF5" i="3"/>
  <c r="Z27" i="1"/>
  <c r="AO39" i="2"/>
  <c r="AO19" i="2"/>
  <c r="F139" i="4"/>
  <c r="AK15" i="3"/>
  <c r="AL17" i="3"/>
  <c r="AL16" i="3"/>
  <c r="AK9" i="3"/>
  <c r="AG36" i="3"/>
  <c r="AL15" i="3"/>
  <c r="AK20" i="3"/>
  <c r="AJ11" i="3"/>
  <c r="AI9" i="3"/>
  <c r="AJ20" i="3"/>
  <c r="AK21" i="3"/>
  <c r="AI11" i="3"/>
  <c r="AJ16" i="3"/>
  <c r="AJ24" i="3"/>
  <c r="AL20" i="3"/>
  <c r="AH11" i="3"/>
  <c r="AJ22" i="3"/>
  <c r="AK14" i="3"/>
  <c r="AK23" i="3"/>
  <c r="AJ14" i="3"/>
  <c r="AI17" i="3"/>
  <c r="AK22" i="3"/>
  <c r="AL14" i="3"/>
  <c r="AK24" i="3"/>
  <c r="AI16" i="3"/>
  <c r="AI51" i="1"/>
  <c r="AJ51" i="1"/>
  <c r="AK11" i="3"/>
  <c r="AI22" i="3"/>
  <c r="AI21" i="3"/>
  <c r="AL24" i="3"/>
  <c r="AG51" i="1"/>
  <c r="AI14" i="3"/>
  <c r="AI23" i="3"/>
  <c r="AJ15" i="3"/>
  <c r="AL22" i="3"/>
  <c r="AK17" i="3"/>
  <c r="AL23" i="3"/>
  <c r="AO27" i="1"/>
  <c r="I6" i="8"/>
  <c r="J8" i="7"/>
  <c r="G12" i="8"/>
  <c r="F7" i="7"/>
  <c r="L6" i="8"/>
  <c r="P9" i="8"/>
  <c r="Q26" i="7"/>
  <c r="J5" i="7"/>
  <c r="C3" i="8"/>
  <c r="C25" i="7"/>
  <c r="L6" i="3"/>
  <c r="J5" i="8" s="1"/>
  <c r="H21" i="7"/>
  <c r="H23" i="7" s="1"/>
  <c r="J3" i="8"/>
  <c r="E27" i="7"/>
  <c r="K19" i="3"/>
  <c r="O19" i="7"/>
  <c r="E6" i="3"/>
  <c r="N3" i="8"/>
  <c r="E25" i="7"/>
  <c r="G21" i="7"/>
  <c r="G23" i="7" s="1"/>
  <c r="M21" i="7"/>
  <c r="M23" i="7" s="1"/>
  <c r="O26" i="7"/>
  <c r="E4" i="3"/>
  <c r="C4" i="8" s="1"/>
  <c r="C28" i="7"/>
  <c r="J19" i="3"/>
  <c r="N27" i="7"/>
  <c r="C17" i="7"/>
  <c r="H6" i="7"/>
  <c r="T19" i="3"/>
  <c r="AF19" i="3"/>
  <c r="AG5" i="3"/>
  <c r="Z5" i="3"/>
  <c r="O25" i="7"/>
  <c r="J4" i="3"/>
  <c r="I6" i="7" s="1"/>
  <c r="D10" i="8"/>
  <c r="T5" i="3"/>
  <c r="P17" i="7"/>
  <c r="M25" i="7"/>
  <c r="O21" i="7"/>
  <c r="D25" i="7"/>
  <c r="K25" i="7"/>
  <c r="F21" i="7"/>
  <c r="F23" i="7" s="1"/>
  <c r="L23" i="7"/>
  <c r="E28" i="7"/>
  <c r="D12" i="8"/>
  <c r="N28" i="7"/>
  <c r="M12" i="8"/>
  <c r="M9" i="7"/>
  <c r="J6" i="8"/>
  <c r="K8" i="7"/>
  <c r="M26" i="7"/>
  <c r="J5" i="3"/>
  <c r="M5" i="3"/>
  <c r="F5" i="3"/>
  <c r="H25" i="7"/>
  <c r="I25" i="7"/>
  <c r="E8" i="8"/>
  <c r="C11" i="8"/>
  <c r="P5" i="3"/>
  <c r="K3" i="8"/>
  <c r="E19" i="7"/>
  <c r="O5" i="7"/>
  <c r="L19" i="3"/>
  <c r="L4" i="3"/>
  <c r="L8" i="8"/>
  <c r="P19" i="7"/>
  <c r="AA19" i="3"/>
  <c r="B8" i="8"/>
  <c r="C21" i="7"/>
  <c r="C23" i="7" s="1"/>
  <c r="H3" i="8"/>
  <c r="W5" i="3"/>
  <c r="M19" i="3"/>
  <c r="S5" i="3"/>
  <c r="M6" i="3"/>
  <c r="P19" i="3"/>
  <c r="P6" i="3"/>
  <c r="P21" i="7"/>
  <c r="H26" i="7"/>
  <c r="N11" i="8"/>
  <c r="I5" i="7"/>
  <c r="M4" i="3"/>
  <c r="Q19" i="7"/>
  <c r="K5" i="7"/>
  <c r="E5" i="7"/>
  <c r="F4" i="3"/>
  <c r="AL5" i="3"/>
  <c r="D3" i="8"/>
  <c r="AO51" i="1" l="1"/>
  <c r="AP4" i="5"/>
  <c r="AQ4" i="3"/>
  <c r="AQ6" i="3"/>
  <c r="F49" i="13"/>
  <c r="AP32" i="3"/>
  <c r="AQ32" i="3"/>
  <c r="AB15" i="3"/>
  <c r="AB4" i="3"/>
  <c r="AB6" i="3"/>
  <c r="AL4" i="5"/>
  <c r="AM6" i="3"/>
  <c r="AM4" i="3"/>
  <c r="U30" i="3"/>
  <c r="AB32" i="3"/>
  <c r="AC32" i="3"/>
  <c r="AD32" i="3"/>
  <c r="S32" i="3"/>
  <c r="T32" i="3"/>
  <c r="S41" i="2"/>
  <c r="V30" i="3"/>
  <c r="X32" i="3"/>
  <c r="Y32" i="3"/>
  <c r="AE32" i="3"/>
  <c r="AF32" i="3"/>
  <c r="G17" i="10"/>
  <c r="T29" i="3"/>
  <c r="F10" i="3"/>
  <c r="E15" i="7" s="1"/>
  <c r="D29" i="2"/>
  <c r="D33" i="2" s="1"/>
  <c r="S29" i="3"/>
  <c r="S12" i="5"/>
  <c r="C6" i="8"/>
  <c r="K7" i="7"/>
  <c r="Z29" i="3"/>
  <c r="O12" i="8"/>
  <c r="O9" i="8"/>
  <c r="C22" i="9"/>
  <c r="P29" i="7"/>
  <c r="C26" i="9"/>
  <c r="X36" i="3"/>
  <c r="X24" i="3"/>
  <c r="Y24" i="3"/>
  <c r="H5" i="8"/>
  <c r="O10" i="8"/>
  <c r="AH36" i="3"/>
  <c r="AE29" i="3"/>
  <c r="C11" i="9"/>
  <c r="C24" i="9"/>
  <c r="C8" i="9"/>
  <c r="C7" i="9"/>
  <c r="S24" i="3"/>
  <c r="T24" i="3"/>
  <c r="AI24" i="3"/>
  <c r="AZ29" i="3"/>
  <c r="V24" i="3"/>
  <c r="AK51" i="1"/>
  <c r="AM17" i="3"/>
  <c r="F29" i="7"/>
  <c r="W12" i="5"/>
  <c r="F26" i="3"/>
  <c r="K21" i="7"/>
  <c r="K23" i="7" s="1"/>
  <c r="J13" i="8"/>
  <c r="AM21" i="3"/>
  <c r="AL11" i="3"/>
  <c r="AM11" i="3"/>
  <c r="AM16" i="3"/>
  <c r="AM29" i="3"/>
  <c r="AJ29" i="3"/>
  <c r="AC29" i="3"/>
  <c r="P13" i="8"/>
  <c r="Q21" i="7"/>
  <c r="Q23" i="7" s="1"/>
  <c r="AY29" i="3"/>
  <c r="D5" i="8"/>
  <c r="BJ39" i="3"/>
  <c r="BJ37" i="3"/>
  <c r="O23" i="7"/>
  <c r="H37" i="3"/>
  <c r="H30" i="3"/>
  <c r="AO30" i="3"/>
  <c r="AN37" i="3"/>
  <c r="V37" i="3"/>
  <c r="M41" i="2"/>
  <c r="N32" i="3"/>
  <c r="V41" i="2"/>
  <c r="E40" i="9"/>
  <c r="I19" i="2"/>
  <c r="E40" i="10"/>
  <c r="E9" i="3"/>
  <c r="D14" i="7" s="1"/>
  <c r="D17" i="7" s="1"/>
  <c r="C35" i="2"/>
  <c r="C37" i="2" s="1"/>
  <c r="AH37" i="3"/>
  <c r="W41" i="2"/>
  <c r="J32" i="3"/>
  <c r="W37" i="3"/>
  <c r="W39" i="3"/>
  <c r="E16" i="9"/>
  <c r="W30" i="3"/>
  <c r="O32" i="3"/>
  <c r="AM30" i="3"/>
  <c r="AH39" i="3"/>
  <c r="S37" i="3"/>
  <c r="AO39" i="3"/>
  <c r="BC30" i="3"/>
  <c r="BG30" i="3"/>
  <c r="P19" i="2"/>
  <c r="AH30" i="3"/>
  <c r="R41" i="2"/>
  <c r="H18" i="10"/>
  <c r="I30" i="3"/>
  <c r="U43" i="5"/>
  <c r="V36" i="3"/>
  <c r="G35" i="2"/>
  <c r="G37" i="2" s="1"/>
  <c r="I9" i="3"/>
  <c r="H14" i="7" s="1"/>
  <c r="H17" i="7" s="1"/>
  <c r="I32" i="3"/>
  <c r="F44" i="10"/>
  <c r="K32" i="3"/>
  <c r="K41" i="2"/>
  <c r="L32" i="3"/>
  <c r="J41" i="2"/>
  <c r="V39" i="3"/>
  <c r="D44" i="9"/>
  <c r="D16" i="9" s="1"/>
  <c r="E32" i="3"/>
  <c r="D44" i="10"/>
  <c r="D16" i="10" s="1"/>
  <c r="E35" i="2"/>
  <c r="E37" i="2" s="1"/>
  <c r="G9" i="3"/>
  <c r="F14" i="7" s="1"/>
  <c r="F17" i="7" s="1"/>
  <c r="P39" i="2"/>
  <c r="AI37" i="3"/>
  <c r="H27" i="10"/>
  <c r="P32" i="3"/>
  <c r="O41" i="2"/>
  <c r="AK30" i="3"/>
  <c r="AL37" i="3"/>
  <c r="X41" i="2"/>
  <c r="F30" i="3"/>
  <c r="M37" i="3"/>
  <c r="BD30" i="3"/>
  <c r="R29" i="2"/>
  <c r="R33" i="2" s="1"/>
  <c r="T10" i="3"/>
  <c r="J29" i="2"/>
  <c r="J33" i="2" s="1"/>
  <c r="J35" i="2" s="1"/>
  <c r="J37" i="2" s="1"/>
  <c r="F42" i="10" s="1"/>
  <c r="F17" i="10" s="1"/>
  <c r="F41" i="10"/>
  <c r="F15" i="10" s="1"/>
  <c r="L10" i="3"/>
  <c r="K15" i="7" s="1"/>
  <c r="N29" i="2"/>
  <c r="N33" i="2" s="1"/>
  <c r="N35" i="2" s="1"/>
  <c r="N37" i="2" s="1"/>
  <c r="P10" i="3"/>
  <c r="O15" i="7" s="1"/>
  <c r="N39" i="3"/>
  <c r="N37" i="3"/>
  <c r="M30" i="3"/>
  <c r="AE35" i="2"/>
  <c r="AE37" i="2" s="1"/>
  <c r="AG9" i="3"/>
  <c r="AL9" i="3"/>
  <c r="BE30" i="3"/>
  <c r="BF39" i="3"/>
  <c r="L39" i="3"/>
  <c r="K30" i="3"/>
  <c r="O37" i="3"/>
  <c r="N30" i="3"/>
  <c r="O39" i="3"/>
  <c r="BL37" i="3"/>
  <c r="R10" i="3"/>
  <c r="Q15" i="7" s="1"/>
  <c r="P29" i="2"/>
  <c r="P33" i="2" s="1"/>
  <c r="AH35" i="2"/>
  <c r="AH37" i="2" s="1"/>
  <c r="AJ9" i="3"/>
  <c r="L30" i="3"/>
  <c r="L35" i="2"/>
  <c r="L37" i="2" s="1"/>
  <c r="H42" i="10" s="1"/>
  <c r="H17" i="10" s="1"/>
  <c r="N9" i="3"/>
  <c r="M14" i="7" s="1"/>
  <c r="BF30" i="3"/>
  <c r="AY39" i="3"/>
  <c r="O30" i="3"/>
  <c r="Y29" i="2"/>
  <c r="Y33" i="2" s="1"/>
  <c r="AA10" i="3"/>
  <c r="V29" i="2"/>
  <c r="V33" i="2" s="1"/>
  <c r="X10" i="3"/>
  <c r="BE37" i="3"/>
  <c r="R39" i="3"/>
  <c r="Q30" i="3"/>
  <c r="X30" i="3"/>
  <c r="Y37" i="3"/>
  <c r="Y39" i="3"/>
  <c r="AY30" i="3"/>
  <c r="G30" i="3"/>
  <c r="H39" i="3"/>
  <c r="AF29" i="2"/>
  <c r="AF33" i="2" s="1"/>
  <c r="AH10" i="3"/>
  <c r="Z9" i="3"/>
  <c r="X35" i="2"/>
  <c r="X37" i="2" s="1"/>
  <c r="R37" i="3"/>
  <c r="R30" i="3"/>
  <c r="AB30" i="3"/>
  <c r="AC39" i="3"/>
  <c r="AC37" i="3"/>
  <c r="AC30" i="3"/>
  <c r="F27" i="10"/>
  <c r="F16" i="10"/>
  <c r="BK39" i="3"/>
  <c r="BE29" i="3"/>
  <c r="AI29" i="3"/>
  <c r="AG29" i="3"/>
  <c r="I11" i="5"/>
  <c r="I12" i="5" s="1"/>
  <c r="E11" i="5"/>
  <c r="AF29" i="3"/>
  <c r="H4" i="8"/>
  <c r="F5" i="8"/>
  <c r="BD29" i="3"/>
  <c r="H11" i="5"/>
  <c r="H12" i="5" s="1"/>
  <c r="M29" i="3"/>
  <c r="BF29" i="3"/>
  <c r="BC39" i="3"/>
  <c r="BB30" i="3"/>
  <c r="BC37" i="3"/>
  <c r="AX29" i="3"/>
  <c r="L29" i="3"/>
  <c r="G6" i="7"/>
  <c r="F4" i="8"/>
  <c r="AA29" i="3"/>
  <c r="H8" i="7"/>
  <c r="P7" i="7"/>
  <c r="O5" i="8"/>
  <c r="Q28" i="7"/>
  <c r="Q29" i="7" s="1"/>
  <c r="P12" i="8"/>
  <c r="E4" i="8"/>
  <c r="F6" i="7"/>
  <c r="F9" i="7" s="1"/>
  <c r="P5" i="8"/>
  <c r="Q7" i="7"/>
  <c r="AB29" i="3"/>
  <c r="F12" i="8"/>
  <c r="G28" i="7"/>
  <c r="G29" i="7" s="1"/>
  <c r="D29" i="3"/>
  <c r="P6" i="7"/>
  <c r="O4" i="8"/>
  <c r="Q6" i="7"/>
  <c r="P4" i="8"/>
  <c r="E23" i="7"/>
  <c r="D6" i="7"/>
  <c r="E29" i="7"/>
  <c r="B5" i="8"/>
  <c r="G11" i="5"/>
  <c r="G12" i="5" s="1"/>
  <c r="O6" i="8"/>
  <c r="P8" i="7"/>
  <c r="BC29" i="3"/>
  <c r="BB29" i="3"/>
  <c r="V29" i="3"/>
  <c r="W29" i="3"/>
  <c r="AT29" i="3"/>
  <c r="U29" i="3"/>
  <c r="U12" i="5"/>
  <c r="AH29" i="3"/>
  <c r="AS39" i="3"/>
  <c r="AS37" i="3"/>
  <c r="AU39" i="3"/>
  <c r="AT30" i="3"/>
  <c r="AU37" i="3"/>
  <c r="AV39" i="3"/>
  <c r="AU30" i="3"/>
  <c r="AV37" i="3"/>
  <c r="AW39" i="3"/>
  <c r="AV30" i="3"/>
  <c r="AW30" i="3"/>
  <c r="AW37" i="3"/>
  <c r="K29" i="3"/>
  <c r="K12" i="5"/>
  <c r="N12" i="5"/>
  <c r="N29" i="3"/>
  <c r="AM36" i="3"/>
  <c r="F33" i="13"/>
  <c r="F13" i="13" s="1"/>
  <c r="O29" i="3"/>
  <c r="E29" i="3"/>
  <c r="E12" i="5"/>
  <c r="F34" i="13"/>
  <c r="O6" i="7"/>
  <c r="P29" i="3"/>
  <c r="P12" i="5"/>
  <c r="Q29" i="3"/>
  <c r="C8" i="7"/>
  <c r="C9" i="7" s="1"/>
  <c r="C30" i="7" s="1"/>
  <c r="B6" i="8"/>
  <c r="D29" i="7"/>
  <c r="AU29" i="3"/>
  <c r="G8" i="7"/>
  <c r="F6" i="8"/>
  <c r="H7" i="7"/>
  <c r="H9" i="7" s="1"/>
  <c r="H30" i="7" s="1"/>
  <c r="G5" i="8"/>
  <c r="F29" i="3"/>
  <c r="AV29" i="3"/>
  <c r="AW29" i="3"/>
  <c r="AF38" i="3"/>
  <c r="AE38" i="3"/>
  <c r="AD30" i="5"/>
  <c r="AC27" i="1"/>
  <c r="AQ39" i="3"/>
  <c r="AP30" i="3"/>
  <c r="M29" i="7"/>
  <c r="F29" i="13"/>
  <c r="F11" i="13" s="1"/>
  <c r="AR36" i="3"/>
  <c r="AQ23" i="3"/>
  <c r="AQ22" i="3"/>
  <c r="AQ14" i="3"/>
  <c r="AR9" i="3"/>
  <c r="AQ20" i="3"/>
  <c r="AQ15" i="3"/>
  <c r="AQ17" i="3"/>
  <c r="AQ16" i="3"/>
  <c r="AQ21" i="3"/>
  <c r="AP11" i="3"/>
  <c r="AQ11" i="3"/>
  <c r="AQ37" i="3"/>
  <c r="AQ36" i="3"/>
  <c r="AR30" i="3"/>
  <c r="AS30" i="3"/>
  <c r="AO29" i="2"/>
  <c r="AO33" i="2" s="1"/>
  <c r="AQ10" i="3"/>
  <c r="AB17" i="3"/>
  <c r="AB16" i="3"/>
  <c r="AB20" i="3"/>
  <c r="AA11" i="3"/>
  <c r="AB23" i="3"/>
  <c r="AB22" i="3"/>
  <c r="AB14" i="3"/>
  <c r="AB21" i="3"/>
  <c r="AB11" i="3"/>
  <c r="Z51" i="1"/>
  <c r="AA4" i="5"/>
  <c r="AC9" i="3"/>
  <c r="AB9" i="3"/>
  <c r="AS29" i="3"/>
  <c r="AQ29" i="3"/>
  <c r="AR29" i="3"/>
  <c r="AR39" i="3"/>
  <c r="AQ30" i="3"/>
  <c r="AR37" i="3"/>
  <c r="AM23" i="3"/>
  <c r="AM22" i="3"/>
  <c r="AM20" i="3"/>
  <c r="AM14" i="3"/>
  <c r="AN9" i="3"/>
  <c r="AM9" i="3"/>
  <c r="AM15" i="3"/>
  <c r="F20" i="13"/>
  <c r="P41" i="2"/>
  <c r="Q32" i="3"/>
  <c r="Q41" i="2"/>
  <c r="R32" i="3"/>
  <c r="E29" i="10"/>
  <c r="E29" i="9"/>
  <c r="K15" i="3"/>
  <c r="J22" i="7" s="1"/>
  <c r="K21" i="3"/>
  <c r="J4" i="5"/>
  <c r="K14" i="3"/>
  <c r="J11" i="3"/>
  <c r="I16" i="7" s="1"/>
  <c r="I17" i="7" s="1"/>
  <c r="K11" i="3"/>
  <c r="J16" i="7" s="1"/>
  <c r="E30" i="9"/>
  <c r="E30" i="10"/>
  <c r="L9" i="3"/>
  <c r="K14" i="7" s="1"/>
  <c r="I51" i="1"/>
  <c r="K16" i="3"/>
  <c r="K22" i="3"/>
  <c r="K23" i="3"/>
  <c r="K20" i="3"/>
  <c r="K4" i="3"/>
  <c r="K17" i="3"/>
  <c r="I14" i="8"/>
  <c r="F29" i="2"/>
  <c r="F33" i="2" s="1"/>
  <c r="D41" i="10"/>
  <c r="D15" i="10" s="1"/>
  <c r="H10" i="3"/>
  <c r="G15" i="7" s="1"/>
  <c r="D41" i="9"/>
  <c r="D15" i="9" s="1"/>
  <c r="M14" i="8"/>
  <c r="O21" i="3"/>
  <c r="O16" i="3"/>
  <c r="O20" i="3"/>
  <c r="O4" i="3"/>
  <c r="O23" i="3"/>
  <c r="N11" i="3"/>
  <c r="M16" i="7" s="1"/>
  <c r="O11" i="3"/>
  <c r="N16" i="7" s="1"/>
  <c r="P9" i="3"/>
  <c r="O14" i="7" s="1"/>
  <c r="O9" i="3"/>
  <c r="N14" i="7" s="1"/>
  <c r="M51" i="1"/>
  <c r="O17" i="3"/>
  <c r="O15" i="3"/>
  <c r="N22" i="7" s="1"/>
  <c r="O22" i="3"/>
  <c r="O6" i="3"/>
  <c r="N4" i="5"/>
  <c r="O14" i="3"/>
  <c r="F25" i="13"/>
  <c r="F12" i="13"/>
  <c r="F44" i="13"/>
  <c r="AI36" i="3"/>
  <c r="AJ36" i="3"/>
  <c r="AK36" i="3"/>
  <c r="AL36" i="3"/>
  <c r="J7" i="7"/>
  <c r="I5" i="8"/>
  <c r="H12" i="8"/>
  <c r="I28" i="7"/>
  <c r="I29" i="7" s="1"/>
  <c r="D7" i="7"/>
  <c r="C5" i="8"/>
  <c r="I12" i="8"/>
  <c r="J28" i="7"/>
  <c r="C29" i="7"/>
  <c r="O7" i="7"/>
  <c r="N5" i="8"/>
  <c r="O8" i="7"/>
  <c r="N6" i="8"/>
  <c r="D4" i="8"/>
  <c r="E6" i="7"/>
  <c r="J4" i="8"/>
  <c r="K6" i="7"/>
  <c r="K9" i="7" s="1"/>
  <c r="I8" i="7"/>
  <c r="I9" i="7" s="1"/>
  <c r="H6" i="8"/>
  <c r="K28" i="7"/>
  <c r="K29" i="7" s="1"/>
  <c r="J12" i="8"/>
  <c r="O28" i="7"/>
  <c r="O29" i="7" s="1"/>
  <c r="N12" i="8"/>
  <c r="K5" i="8"/>
  <c r="L7" i="7"/>
  <c r="H29" i="7"/>
  <c r="K12" i="8"/>
  <c r="L28" i="7"/>
  <c r="L29" i="7" s="1"/>
  <c r="E8" i="7"/>
  <c r="D6" i="8"/>
  <c r="L8" i="7"/>
  <c r="K6" i="8"/>
  <c r="L6" i="7"/>
  <c r="K4" i="8"/>
  <c r="P23" i="7"/>
  <c r="AE6" i="3" l="1"/>
  <c r="AE4" i="3"/>
  <c r="D35" i="2"/>
  <c r="D37" i="2" s="1"/>
  <c r="F9" i="3"/>
  <c r="E14" i="7" s="1"/>
  <c r="E17" i="7" s="1"/>
  <c r="AM24" i="3"/>
  <c r="AN24" i="3"/>
  <c r="AB24" i="3"/>
  <c r="AC24" i="3"/>
  <c r="AQ24" i="3"/>
  <c r="AR24" i="3"/>
  <c r="AN36" i="3"/>
  <c r="D9" i="7"/>
  <c r="D30" i="7" s="1"/>
  <c r="I29" i="3"/>
  <c r="K17" i="7"/>
  <c r="K30" i="7" s="1"/>
  <c r="F22" i="13"/>
  <c r="G29" i="3"/>
  <c r="J29" i="3"/>
  <c r="H29" i="3"/>
  <c r="G9" i="7"/>
  <c r="E27" i="10"/>
  <c r="E18" i="10"/>
  <c r="F30" i="7"/>
  <c r="K10" i="3"/>
  <c r="J15" i="7" s="1"/>
  <c r="I29" i="2"/>
  <c r="I33" i="2" s="1"/>
  <c r="E41" i="10"/>
  <c r="E15" i="10" s="1"/>
  <c r="E41" i="9"/>
  <c r="E15" i="9" s="1"/>
  <c r="E18" i="9"/>
  <c r="E27" i="9"/>
  <c r="E16" i="10"/>
  <c r="C42" i="10"/>
  <c r="C17" i="10" s="1"/>
  <c r="C42" i="9"/>
  <c r="C17" i="9" s="1"/>
  <c r="V35" i="2"/>
  <c r="V37" i="2" s="1"/>
  <c r="X9" i="3"/>
  <c r="AA9" i="3"/>
  <c r="Y35" i="2"/>
  <c r="Y37" i="2" s="1"/>
  <c r="P35" i="2"/>
  <c r="P37" i="2" s="1"/>
  <c r="R9" i="3"/>
  <c r="Q14" i="7" s="1"/>
  <c r="Q17" i="7" s="1"/>
  <c r="I30" i="7"/>
  <c r="T9" i="3"/>
  <c r="R35" i="2"/>
  <c r="R37" i="2" s="1"/>
  <c r="O17" i="7"/>
  <c r="M17" i="7"/>
  <c r="M30" i="7" s="1"/>
  <c r="AH9" i="3"/>
  <c r="AF35" i="2"/>
  <c r="AF37" i="2" s="1"/>
  <c r="E9" i="7"/>
  <c r="E30" i="7" s="1"/>
  <c r="N17" i="7"/>
  <c r="P9" i="7"/>
  <c r="P30" i="7" s="1"/>
  <c r="Q9" i="7"/>
  <c r="F7" i="13"/>
  <c r="F6" i="13"/>
  <c r="AE9" i="3"/>
  <c r="AE14" i="3"/>
  <c r="AF9" i="3"/>
  <c r="AE23" i="3"/>
  <c r="AD11" i="3"/>
  <c r="AE17" i="3"/>
  <c r="AE22" i="3"/>
  <c r="AE20" i="3"/>
  <c r="AE21" i="3"/>
  <c r="AE16" i="3"/>
  <c r="AC51" i="1"/>
  <c r="AD4" i="5"/>
  <c r="AE15" i="3"/>
  <c r="AE11" i="3"/>
  <c r="M13" i="8"/>
  <c r="N21" i="7"/>
  <c r="N23" i="7" s="1"/>
  <c r="P24" i="3"/>
  <c r="P36" i="3"/>
  <c r="O24" i="3"/>
  <c r="O36" i="3"/>
  <c r="M5" i="8"/>
  <c r="N7" i="7"/>
  <c r="M10" i="8"/>
  <c r="N26" i="7"/>
  <c r="N6" i="7"/>
  <c r="M4" i="8"/>
  <c r="N25" i="7"/>
  <c r="M9" i="8"/>
  <c r="F35" i="2"/>
  <c r="F37" i="2" s="1"/>
  <c r="H9" i="3"/>
  <c r="G14" i="7" s="1"/>
  <c r="G17" i="7" s="1"/>
  <c r="G30" i="7" s="1"/>
  <c r="J26" i="7"/>
  <c r="I10" i="8"/>
  <c r="J6" i="7"/>
  <c r="J9" i="7" s="1"/>
  <c r="I4" i="8"/>
  <c r="J25" i="7"/>
  <c r="I9" i="8"/>
  <c r="I13" i="8"/>
  <c r="J21" i="7"/>
  <c r="J23" i="7" s="1"/>
  <c r="K24" i="3"/>
  <c r="L24" i="3"/>
  <c r="L36" i="3"/>
  <c r="K36" i="3"/>
  <c r="E7" i="9"/>
  <c r="E8" i="9"/>
  <c r="E22" i="9"/>
  <c r="E24" i="9"/>
  <c r="E21" i="9"/>
  <c r="E26" i="9"/>
  <c r="E11" i="9"/>
  <c r="E21" i="10"/>
  <c r="E11" i="10"/>
  <c r="E8" i="10"/>
  <c r="E22" i="10"/>
  <c r="E7" i="10"/>
  <c r="E24" i="10"/>
  <c r="E26" i="10"/>
  <c r="AC36" i="3"/>
  <c r="AB36" i="3"/>
  <c r="AQ9" i="3"/>
  <c r="AO35" i="2"/>
  <c r="AO37" i="2" s="1"/>
  <c r="F50" i="13" s="1"/>
  <c r="F24" i="13"/>
  <c r="F21" i="13"/>
  <c r="F8" i="13"/>
  <c r="F18" i="13"/>
  <c r="F27" i="13"/>
  <c r="F16" i="13"/>
  <c r="F45" i="13"/>
  <c r="O9" i="7"/>
  <c r="L9" i="7"/>
  <c r="L30" i="7" s="1"/>
  <c r="AE24" i="3" l="1"/>
  <c r="AF24" i="3"/>
  <c r="O30" i="7"/>
  <c r="I35" i="2"/>
  <c r="I37" i="2" s="1"/>
  <c r="K9" i="3"/>
  <c r="J14" i="7" s="1"/>
  <c r="J17" i="7" s="1"/>
  <c r="J30" i="7" s="1"/>
  <c r="Q30" i="7"/>
  <c r="J29" i="7"/>
  <c r="N29" i="7"/>
  <c r="N9" i="7"/>
  <c r="N30" i="7" s="1"/>
  <c r="AE36" i="3"/>
  <c r="AF36" i="3"/>
  <c r="F30" i="13"/>
  <c r="F17" i="13" s="1"/>
  <c r="D42" i="10"/>
  <c r="D17" i="10" s="1"/>
  <c r="D42" i="9"/>
  <c r="D17" i="9" s="1"/>
  <c r="E42" i="10" l="1"/>
  <c r="E17" i="10" s="1"/>
  <c r="E42" i="9"/>
  <c r="E17" i="9" s="1"/>
  <c r="A3" i="10"/>
</calcChain>
</file>

<file path=xl/sharedStrings.xml><?xml version="1.0" encoding="utf-8"?>
<sst xmlns="http://schemas.openxmlformats.org/spreadsheetml/2006/main" count="789" uniqueCount="378">
  <si>
    <t>WANANCHI SACCO CAELS</t>
  </si>
  <si>
    <t>2010 Audited</t>
  </si>
  <si>
    <t>2017Audited</t>
  </si>
  <si>
    <t>Audited 2018</t>
  </si>
  <si>
    <t>AUDITED 2019</t>
  </si>
  <si>
    <t>AUDITED 2020</t>
  </si>
  <si>
    <t>Audited 2021</t>
  </si>
  <si>
    <t>Audited 2022</t>
  </si>
  <si>
    <t>CAPITAL ADEQUACY</t>
  </si>
  <si>
    <t>Core Capital</t>
  </si>
  <si>
    <t>10 M</t>
  </si>
  <si>
    <t>CCA</t>
  </si>
  <si>
    <t>Min 10%</t>
  </si>
  <si>
    <t>CCD</t>
  </si>
  <si>
    <t>Min 8%</t>
  </si>
  <si>
    <t>ICA</t>
  </si>
  <si>
    <t>ASSET QUALITY</t>
  </si>
  <si>
    <t>A/LNPL30</t>
  </si>
  <si>
    <t>NPL30</t>
  </si>
  <si>
    <t>EARNINGS</t>
  </si>
  <si>
    <t>ROA</t>
  </si>
  <si>
    <t>Cost Income ratio</t>
  </si>
  <si>
    <t>Operating Expense  ratio</t>
  </si>
  <si>
    <t>LIQUIDITY</t>
  </si>
  <si>
    <t>MIN LIQ ratio</t>
  </si>
  <si>
    <t>Min 15%</t>
  </si>
  <si>
    <t>T/LIQ ratio</t>
  </si>
  <si>
    <t>EB ratio</t>
  </si>
  <si>
    <t>Max 25%</t>
  </si>
  <si>
    <t>LA to TA ratio</t>
  </si>
  <si>
    <t>STRUCTURE</t>
  </si>
  <si>
    <t>NEA ratio</t>
  </si>
  <si>
    <t>Max 10%</t>
  </si>
  <si>
    <t>LB ratio</t>
  </si>
  <si>
    <t>Max 5%</t>
  </si>
  <si>
    <t>PI to Deposit ratio</t>
  </si>
  <si>
    <t>PI to CC ratio</t>
  </si>
  <si>
    <t>Max 40%</t>
  </si>
  <si>
    <t>Gross loans/TA</t>
  </si>
  <si>
    <t>FUNDING MIX</t>
  </si>
  <si>
    <t>Total Deposits/Total Assets</t>
  </si>
  <si>
    <t>BOSA Deposits/Total Assets</t>
  </si>
  <si>
    <t>FOSA Deposits/Total Assets</t>
  </si>
  <si>
    <t>GROWTH RATIOS</t>
  </si>
  <si>
    <t>Total Assets</t>
  </si>
  <si>
    <t>Total Deposits</t>
  </si>
  <si>
    <t>BOSA Deposits</t>
  </si>
  <si>
    <t>FOSA Deposits</t>
  </si>
  <si>
    <t>Total Loans &amp; advances</t>
  </si>
  <si>
    <t>Core capital</t>
  </si>
  <si>
    <t>Turnover</t>
  </si>
  <si>
    <t>Membership</t>
  </si>
  <si>
    <t>Expenses</t>
  </si>
  <si>
    <t xml:space="preserve">Efficiency Ratios </t>
  </si>
  <si>
    <t>FinCost-Deposits/Avg Deposits</t>
  </si>
  <si>
    <t>FinCost-Shares/Avg Share capital</t>
  </si>
  <si>
    <t>FinCost-Ext Loans/Avg Ext Loans</t>
  </si>
  <si>
    <t>OpEx/Average Total Assets</t>
  </si>
  <si>
    <t>Opex/Turnover</t>
  </si>
  <si>
    <t xml:space="preserve">Avge yield on Net loans </t>
  </si>
  <si>
    <t xml:space="preserve">Avge yield on Gross loans </t>
  </si>
  <si>
    <t>ALL/Average Gross Loan portfolio</t>
  </si>
  <si>
    <t>WANANCHI Sacco Financial Performance</t>
  </si>
  <si>
    <t>Year</t>
  </si>
  <si>
    <t>2017 Audited</t>
  </si>
  <si>
    <t>AUDITED2020</t>
  </si>
  <si>
    <t>Deposits-Members(BOSA)</t>
  </si>
  <si>
    <t>Deposits-Customers(FOSA)</t>
  </si>
  <si>
    <t>External Borrowing</t>
  </si>
  <si>
    <t>Share capital and Reserves</t>
  </si>
  <si>
    <t>Institutional  Capital</t>
  </si>
  <si>
    <t>Total Capital</t>
  </si>
  <si>
    <t>5.3.1</t>
  </si>
  <si>
    <t>Members Share Capital</t>
  </si>
  <si>
    <t>5.3.2</t>
  </si>
  <si>
    <t>Entrance Fees</t>
  </si>
  <si>
    <t>5.3.3</t>
  </si>
  <si>
    <t>Retained Earnings</t>
  </si>
  <si>
    <t>5.3.4</t>
  </si>
  <si>
    <t>Appropriation Account</t>
  </si>
  <si>
    <t>5.3.5</t>
  </si>
  <si>
    <t>Statutory Reserves</t>
  </si>
  <si>
    <t>5.3.6</t>
  </si>
  <si>
    <t>Capital Reserves</t>
  </si>
  <si>
    <t>5.3.7</t>
  </si>
  <si>
    <t>Supplementary Capital &amp; reserves</t>
  </si>
  <si>
    <t>a</t>
  </si>
  <si>
    <t>Proposed Dividends</t>
  </si>
  <si>
    <t>b</t>
  </si>
  <si>
    <t>Risk Mgt  Fund</t>
  </si>
  <si>
    <t>Investments</t>
  </si>
  <si>
    <t>Shares in Kusco,CIC,Coop Bank</t>
  </si>
  <si>
    <t>Equity Investments (at cost)</t>
  </si>
  <si>
    <t>Deposits in KUSCCO CFP</t>
  </si>
  <si>
    <t>Net Loans &amp; Advances</t>
  </si>
  <si>
    <t>Gross Loans &amp; advances</t>
  </si>
  <si>
    <t>Allowance for loan losses</t>
  </si>
  <si>
    <t>Non-Earning Assets</t>
  </si>
  <si>
    <t>Property and Equipment</t>
  </si>
  <si>
    <t>Loan Interest</t>
  </si>
  <si>
    <t>Income from investments</t>
  </si>
  <si>
    <t>Fees &amp; Commissions</t>
  </si>
  <si>
    <t>Average yield on loans</t>
  </si>
  <si>
    <t>Financial and Operating costs</t>
  </si>
  <si>
    <t>Interest expense on deposits</t>
  </si>
  <si>
    <t>Dividend expense on share capital</t>
  </si>
  <si>
    <t>Interest expense on borrowed funds</t>
  </si>
  <si>
    <t>Opperating expenses</t>
  </si>
  <si>
    <t>CAELS RATINGS WANANCHI SACCO</t>
  </si>
  <si>
    <t>FINANCIAL SOUNDNESS INDICATORS</t>
  </si>
  <si>
    <t>Prude.  Std</t>
  </si>
  <si>
    <t>CAPITAL</t>
  </si>
  <si>
    <t>CORE CAPITAL</t>
  </si>
  <si>
    <t>≥ Ksh.10M</t>
  </si>
  <si>
    <t>≥ 10%</t>
  </si>
  <si>
    <t>≥ 8%</t>
  </si>
  <si>
    <t>Asset Quality</t>
  </si>
  <si>
    <t>NPL</t>
  </si>
  <si>
    <t>≤ 6%</t>
  </si>
  <si>
    <t>Earnings</t>
  </si>
  <si>
    <t>CIR</t>
  </si>
  <si>
    <t>OER</t>
  </si>
  <si>
    <t>MIN LIQ</t>
  </si>
  <si>
    <t>TECH LIQ</t>
  </si>
  <si>
    <t>EB</t>
  </si>
  <si>
    <t>≤ 25%</t>
  </si>
  <si>
    <t>LIQ/TA</t>
  </si>
  <si>
    <t>NEA</t>
  </si>
  <si>
    <t>≤ 10%</t>
  </si>
  <si>
    <t>LB</t>
  </si>
  <si>
    <t>≤ 5%</t>
  </si>
  <si>
    <t>FITD</t>
  </si>
  <si>
    <t>FICC</t>
  </si>
  <si>
    <t>≤ 40%</t>
  </si>
  <si>
    <t>FINAL RATING</t>
  </si>
  <si>
    <t>2017 audited</t>
  </si>
  <si>
    <t>AUDITED 2018</t>
  </si>
  <si>
    <t>CCA (Min 10%)</t>
  </si>
  <si>
    <t>ICA (Min 8%)</t>
  </si>
  <si>
    <t>CCD (Min 8%)</t>
  </si>
  <si>
    <t>NPL(5%)</t>
  </si>
  <si>
    <t>Liquidity(15%)</t>
  </si>
  <si>
    <t>NEA (Max 10%)</t>
  </si>
  <si>
    <t>LB ratio (Max 5%)</t>
  </si>
  <si>
    <t>FITD (Max 5%)</t>
  </si>
  <si>
    <t>FICC (Max 40%)</t>
  </si>
  <si>
    <t>EB ratio (Max 25%)</t>
  </si>
  <si>
    <t>A=S+L</t>
  </si>
  <si>
    <t>STATEMENT OF CASHFLOWS FOR THE YEAR ENDED 31ST DECEMBER 2015</t>
  </si>
  <si>
    <t>Audited -2016</t>
  </si>
  <si>
    <t>Variance</t>
  </si>
  <si>
    <t>Cash flows from operating activities</t>
  </si>
  <si>
    <t>Interest receipts</t>
  </si>
  <si>
    <t>Interest Payments</t>
  </si>
  <si>
    <t>Payment to employees and suppliers</t>
  </si>
  <si>
    <t>Other operating income</t>
  </si>
  <si>
    <t>(Increase)/Decrease in Operating assets</t>
  </si>
  <si>
    <t>Net loans to members</t>
  </si>
  <si>
    <t>Recievables and prepayments</t>
  </si>
  <si>
    <t>Trade and Other Receivables</t>
  </si>
  <si>
    <t>Inventories</t>
  </si>
  <si>
    <t>Short term investments</t>
  </si>
  <si>
    <t>Increase/(Decrease) in Operating liabilities</t>
  </si>
  <si>
    <t>Deposits from members</t>
  </si>
  <si>
    <t>Trade and Accrued Expenses</t>
  </si>
  <si>
    <t>Sundry creditors</t>
  </si>
  <si>
    <t>Net cashflow from operating activities before income taxes</t>
  </si>
  <si>
    <t>Income tax paid</t>
  </si>
  <si>
    <t>Net Cash from Operating activities</t>
  </si>
  <si>
    <t>Cashflow from investing activities</t>
  </si>
  <si>
    <t>Purchase of Property and equipment</t>
  </si>
  <si>
    <t>Purchase of intangible assets</t>
  </si>
  <si>
    <t>Increase in Other Assets</t>
  </si>
  <si>
    <t>Purchase of Investment Securities</t>
  </si>
  <si>
    <t>Dividends Received</t>
  </si>
  <si>
    <t>Net Cash from investing activities</t>
  </si>
  <si>
    <t>Cashflow from financing activities</t>
  </si>
  <si>
    <t>Share capital contributions</t>
  </si>
  <si>
    <t>Proceeds from long-term borrowings</t>
  </si>
  <si>
    <t>Prior Year Adjustments</t>
  </si>
  <si>
    <t>Housing Contributions Plaza</t>
  </si>
  <si>
    <t>Repayments of long term borrowings</t>
  </si>
  <si>
    <t>Dividend paid</t>
  </si>
  <si>
    <t>Net cash from financing activities</t>
  </si>
  <si>
    <t>Net (Decrease)/Increase in cash and cash equivalent</t>
  </si>
  <si>
    <t>Cash and cash equivalent at the beginning  of the year</t>
  </si>
  <si>
    <t>Cash and cash equivalent at the end of the year</t>
  </si>
  <si>
    <t>CLASSIFICATION</t>
  </si>
  <si>
    <t>NO. OF A/Cs</t>
  </si>
  <si>
    <t>OUTSTANDING LOAN PORTFOLIO(Kshs)</t>
  </si>
  <si>
    <t>REQUIRED PROVISION</t>
  </si>
  <si>
    <t>REQUIRED PROVISION AMOUNT(Kshs)</t>
  </si>
  <si>
    <t>Performing</t>
  </si>
  <si>
    <t>Watch</t>
  </si>
  <si>
    <t>Substandard</t>
  </si>
  <si>
    <t>Doubtful</t>
  </si>
  <si>
    <t>Loss</t>
  </si>
  <si>
    <t>subtotal</t>
  </si>
  <si>
    <t>Audited 2019</t>
  </si>
  <si>
    <t>Audited 2020</t>
  </si>
  <si>
    <t>WANANCHI SACCO SOCIETY LIMITED</t>
  </si>
  <si>
    <t>PERFORMANCE AND COMPLIANCE REPORT AS AT :  31st December , 2020</t>
  </si>
  <si>
    <t>Prudential Standard</t>
  </si>
  <si>
    <t>Audited</t>
  </si>
  <si>
    <t>Returns</t>
  </si>
  <si>
    <t>Aggregate for all Licensed Saccos</t>
  </si>
  <si>
    <t xml:space="preserve"> 30th September  , 2020</t>
  </si>
  <si>
    <t xml:space="preserve"> 31st December  , 2020</t>
  </si>
  <si>
    <t>A. CAPITAL  ADEQUACY</t>
  </si>
  <si>
    <t xml:space="preserve">Core Capital 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</si>
  <si>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10M</t>
    </r>
  </si>
  <si>
    <t>Core Capital/Total Assets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</si>
  <si>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10%</t>
    </r>
  </si>
  <si>
    <t>Institutional Capital/Total Assets</t>
  </si>
  <si>
    <r>
      <rPr>
        <sz val="11"/>
        <color indexed="8"/>
        <rFont val="Calibri"/>
        <family val="2"/>
      </rPr>
      <t>≥</t>
    </r>
    <r>
      <rPr>
        <sz val="11"/>
        <color indexed="8"/>
        <rFont val="Cambria"/>
        <family val="1"/>
      </rPr>
      <t>8%</t>
    </r>
  </si>
  <si>
    <t>B. ASSET QUALITY</t>
  </si>
  <si>
    <t>NPL  (Substandard+Doubtful+Loss)</t>
  </si>
  <si>
    <t>&lt;5%</t>
  </si>
  <si>
    <t>&lt;10%</t>
  </si>
  <si>
    <t>Equity investments/Deposits</t>
  </si>
  <si>
    <t>Equity investments/Core capital</t>
  </si>
  <si>
    <t>&lt;40%</t>
  </si>
  <si>
    <t>C. EARNINGS RATING</t>
  </si>
  <si>
    <t xml:space="preserve">Yield on Gross Loans </t>
  </si>
  <si>
    <t>Total Expense/Total Income</t>
  </si>
  <si>
    <t>Net Income/Average Assets (ROA)</t>
  </si>
  <si>
    <t>Operating Expenses/Financial Income (OPEX)</t>
  </si>
  <si>
    <t>D. LIQUIDITY</t>
  </si>
  <si>
    <t>Liquid Assets/Short-term Liabilities</t>
  </si>
  <si>
    <t>&gt;15%</t>
  </si>
  <si>
    <t>External Borrowing/Total Assets</t>
  </si>
  <si>
    <t>&lt;25%</t>
  </si>
  <si>
    <t>Liquid Assets/Total Assets</t>
  </si>
  <si>
    <t>E. STRUCTURE/SENSITIVITY TO RISK</t>
  </si>
  <si>
    <t>Gross loans /Total Assets</t>
  </si>
  <si>
    <t>70-80</t>
  </si>
  <si>
    <t>Gross loans/Deposits</t>
  </si>
  <si>
    <t>&gt;100%</t>
  </si>
  <si>
    <t>Financial Investments/Total Assets</t>
  </si>
  <si>
    <t>Dividends+Interest on Deposits/Total Income</t>
  </si>
  <si>
    <t>F. KEY FINANCIAL STATISTICS</t>
  </si>
  <si>
    <t>AGGREGATE</t>
  </si>
  <si>
    <t>Average Assets</t>
  </si>
  <si>
    <t>Gross Loans</t>
  </si>
  <si>
    <t>Institutional Capital</t>
  </si>
  <si>
    <t>Non-performing Loans</t>
  </si>
  <si>
    <t>Equity Investments</t>
  </si>
  <si>
    <t>Financial Investments</t>
  </si>
  <si>
    <t>Liquid Assets</t>
  </si>
  <si>
    <t>Short-term Liabilities)</t>
  </si>
  <si>
    <t>Average Gross Loans</t>
  </si>
  <si>
    <t>Total Income</t>
  </si>
  <si>
    <t>Net Financial Income/Loss</t>
  </si>
  <si>
    <t>Dividends+Interest on Deposits</t>
  </si>
  <si>
    <t>Operating Expenses</t>
  </si>
  <si>
    <t>Interest on Loan portfolio+Fees&amp;Commission on Loan</t>
  </si>
  <si>
    <t>Total Expenses</t>
  </si>
  <si>
    <t>Net Income</t>
  </si>
  <si>
    <t>G. AREAS OF IMPROVEMENT/REGULATORY CONCERNS</t>
  </si>
  <si>
    <t xml:space="preserve">1.Drastic change in Equity investments to Core capital of negative-275% </t>
  </si>
  <si>
    <t>2.Gross loans to Deposits of 81.0% against  required 100% and above.</t>
  </si>
  <si>
    <t>3.Gross loans to Total Assets at 56.2% against recommended industry level of 70-80%.</t>
  </si>
  <si>
    <t>4.Non perfoming loan of 26.1% against required 5% and below.</t>
  </si>
  <si>
    <t>5.Equity invetments to Deposits of 51.2 % against 5% and below</t>
  </si>
  <si>
    <t xml:space="preserve">6.Core Capital to Total Assets of -12.9% below the required minimum 10% </t>
  </si>
  <si>
    <r>
      <t xml:space="preserve">7.Institution Capital of -26.7 </t>
    </r>
    <r>
      <rPr>
        <strike/>
        <sz val="11"/>
        <color theme="1"/>
        <rFont val="Calibri"/>
        <family val="2"/>
        <scheme val="minor"/>
      </rPr>
      <t>% below the required minimum of 8%</t>
    </r>
  </si>
  <si>
    <t>8.Negative core capital against required minimum of 10 million</t>
  </si>
  <si>
    <t>Prepared by:</t>
  </si>
  <si>
    <t>Checked by:</t>
  </si>
  <si>
    <t>Approved by:</t>
  </si>
  <si>
    <t>DISCLAIMER: This report is prepared based on information submitted by the Sacco as at the stated date and may change upon verification by the Authority.</t>
  </si>
  <si>
    <t>Cash &amp; cash Equivalent</t>
  </si>
  <si>
    <t>Cash In Hand</t>
  </si>
  <si>
    <t>Cash at Bank</t>
  </si>
  <si>
    <t>Prepayment and Sundry</t>
  </si>
  <si>
    <t>Financial Investment</t>
  </si>
  <si>
    <t>Government Security</t>
  </si>
  <si>
    <t>Other Securities</t>
  </si>
  <si>
    <t>Balances with Other Saccos</t>
  </si>
  <si>
    <t>Equity Investments in NACCOs(Shares in- CIC, KUSCCO, COOP BANK,CAK, KERUSSU)</t>
  </si>
  <si>
    <t>Investment In Companies</t>
  </si>
  <si>
    <t>Net Loan Portfolio</t>
  </si>
  <si>
    <t>Gross Loan Portfolio</t>
  </si>
  <si>
    <t>Allowance For Loan Loss</t>
  </si>
  <si>
    <t>Accounts Receivables</t>
  </si>
  <si>
    <t>Tax Recoverable</t>
  </si>
  <si>
    <t>Deffered Tax Assets</t>
  </si>
  <si>
    <t>Retirement Benefit Assets</t>
  </si>
  <si>
    <t>Property, Equipment &amp; Other Assets</t>
  </si>
  <si>
    <t>Investment Properties</t>
  </si>
  <si>
    <t>Prepaid Lease Rentals</t>
  </si>
  <si>
    <t>Intangible Assets</t>
  </si>
  <si>
    <t>Other Assets</t>
  </si>
  <si>
    <t>Savings and Deposits</t>
  </si>
  <si>
    <t>Short Terrm Deposits</t>
  </si>
  <si>
    <t>Non Withdrawable Deposits</t>
  </si>
  <si>
    <t>Total Deposit Liabilities</t>
  </si>
  <si>
    <t>Tax Payable</t>
  </si>
  <si>
    <t>Dividends Payable</t>
  </si>
  <si>
    <t>Deferred Tax Liability</t>
  </si>
  <si>
    <t>Retirement Benefits Liabilty</t>
  </si>
  <si>
    <t>Other Liabilities</t>
  </si>
  <si>
    <t>External Borrowings</t>
  </si>
  <si>
    <t>Total Liabilities</t>
  </si>
  <si>
    <t>Share Capital</t>
  </si>
  <si>
    <t>Capital Grants</t>
  </si>
  <si>
    <t>Prior Year Retained Earnigs</t>
  </si>
  <si>
    <t>Current Year Surplus</t>
  </si>
  <si>
    <t>Other Reserves</t>
  </si>
  <si>
    <t>Revaluation Reserves</t>
  </si>
  <si>
    <t>Adjustment To Equity</t>
  </si>
  <si>
    <t>Total Equity</t>
  </si>
  <si>
    <t>Total Liabilities and Equity</t>
  </si>
  <si>
    <t>cc</t>
  </si>
  <si>
    <t>ica</t>
  </si>
  <si>
    <t>Financial Income</t>
  </si>
  <si>
    <t>Financial Income From Loans Portfolio</t>
  </si>
  <si>
    <t>Interest from Loans Portfolio</t>
  </si>
  <si>
    <t>Fees&amp;Commision on Loan Portfolio</t>
  </si>
  <si>
    <t>Financial Income from Investments</t>
  </si>
  <si>
    <t>Government Securities</t>
  </si>
  <si>
    <t>Deposits with Banks &amp; other Financial Institutions</t>
  </si>
  <si>
    <t>Other Investments</t>
  </si>
  <si>
    <t>Other Operating Income</t>
  </si>
  <si>
    <t>Financial Expenses</t>
  </si>
  <si>
    <t>Interest Expense on Deposits</t>
  </si>
  <si>
    <t>Cost of External Borrowings</t>
  </si>
  <si>
    <t>Dividend Expenses</t>
  </si>
  <si>
    <t>Other Financial Expense</t>
  </si>
  <si>
    <t>Fees &amp; Commision Expense</t>
  </si>
  <si>
    <t>Other Expenses</t>
  </si>
  <si>
    <t>Net Financial Income</t>
  </si>
  <si>
    <t>Allowance for Loan Loss</t>
  </si>
  <si>
    <t>Provision for Loan Losses</t>
  </si>
  <si>
    <t>Value of Loans Recovered</t>
  </si>
  <si>
    <t>Operating Expeses</t>
  </si>
  <si>
    <t>Personel Expenses</t>
  </si>
  <si>
    <t>Governance Expenses</t>
  </si>
  <si>
    <t>Marketing Expenses</t>
  </si>
  <si>
    <t>Depreciation and Amortization</t>
  </si>
  <si>
    <t>Administrative Expenses</t>
  </si>
  <si>
    <t>Net Operating Income</t>
  </si>
  <si>
    <t>Net Non operating Income/Expense</t>
  </si>
  <si>
    <t>Non Operating Income</t>
  </si>
  <si>
    <t>Non Operating Expense</t>
  </si>
  <si>
    <t>Net Income(Before Tax &amp; Donations)</t>
  </si>
  <si>
    <t>Taxes</t>
  </si>
  <si>
    <t>Net Income(After Tax Before Donations)</t>
  </si>
  <si>
    <t>Donations</t>
  </si>
  <si>
    <t>Net Income/(After Tax &amp; Donations)</t>
  </si>
  <si>
    <t>WANANCHI SACCO SOCIETY LIMITED     CS/NO: 6531</t>
  </si>
  <si>
    <t>PERFORMANCE AND COMPLIANCE REPORT AS AT :  30TH JUNE , 2018</t>
  </si>
  <si>
    <t>Validated</t>
  </si>
  <si>
    <t>Average for all Licensed Saccos</t>
  </si>
  <si>
    <t>Net Income/Average Assets</t>
  </si>
  <si>
    <t>Operating Expenses/Total Income (OPEX)</t>
  </si>
  <si>
    <t>Short-term (Deposits + liabilities)</t>
  </si>
  <si>
    <t>G. AREAS OF IMPROVEMENT/REGULARTORY CONCERNS</t>
  </si>
  <si>
    <t>1.Institutional Capital at 2.5% against minimum 8%</t>
  </si>
  <si>
    <t>2.Non performing loan at 22.8% against 5% and below</t>
  </si>
  <si>
    <t>3.Equity investment at 6.2%against 5% and below</t>
  </si>
  <si>
    <t>Prepared by: Masphine Abongo</t>
  </si>
  <si>
    <t>Checked by: Daniel Mwatu</t>
  </si>
  <si>
    <t>Approved by: Peter Owira</t>
  </si>
  <si>
    <t>PERFORMANCE AND COMPLIANCE REPORT AS AT :  30TH SEPT , 2018</t>
  </si>
  <si>
    <t>1.Institutional Capital at 3.1% against minimum 8%</t>
  </si>
  <si>
    <t>2.Non performing loan at 22.4% against 5% and below</t>
  </si>
  <si>
    <t>3.Equity investment at 6.6%against 5% and below</t>
  </si>
  <si>
    <t>PERFORMANCE AND COMPLIANCE REPORT AS AT :  31st March , 2020</t>
  </si>
  <si>
    <t xml:space="preserve"> 31st December  , 2019</t>
  </si>
  <si>
    <t xml:space="preserve"> 31st March  , 2020</t>
  </si>
  <si>
    <t>1.Equity investments to Core capital of 505.1% against  recommended industry level  of 40% and below .</t>
  </si>
  <si>
    <t>2.Gross loans to Deposits of 93.1% against  required 100% and above.</t>
  </si>
  <si>
    <t>3.Gross loans to Total Assets at 64.7% against recommended industry level of 70-80%.</t>
  </si>
  <si>
    <t>4.Non perfoming loan of 21.5% against required 5% and below.</t>
  </si>
  <si>
    <t>5.Equity invetments to Deposits of 27.7 % against 5% and below</t>
  </si>
  <si>
    <t xml:space="preserve">6.Core Capital to Total Assets of 3.8% below the required minimum 10% </t>
  </si>
  <si>
    <r>
      <t xml:space="preserve">7.Institution Capital of -10.5 </t>
    </r>
    <r>
      <rPr>
        <strike/>
        <sz val="11"/>
        <color indexed="8"/>
        <rFont val="Calibri"/>
        <family val="2"/>
      </rPr>
      <t>% below the required minimum of 8%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</si>
</sst>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(* #,##0.00_);_(* \(#,##0.00\);_(* &quot;-&quot;??_);_(@_)"/>
    <numFmt numFmtId="164" formatCode="_-* #,##0.00_-;\-* #,##0.00_-;_-* &quot;-&quot;??_-;_-@_-"/>
    <numFmt numFmtId="165" formatCode="[$-10409]#,##0.00;\-\ #,##0.00"/>
    <numFmt numFmtId="166" formatCode="[$-10409]0.00;\-\ 0.00"/>
    <numFmt numFmtId="167" formatCode="_(* #,##0.00_);_(* \(#,##0.00\);_(* \-??_);_(@_)"/>
    <numFmt numFmtId="168" formatCode="d/mmm/yy"/>
    <numFmt numFmtId="169" formatCode="\£#,##0;&quot;-£&quot;#,##0"/>
    <numFmt numFmtId="170" formatCode="_-* #,##0.00_-;\-* #,##0.00_-;_-* \-??_-;_-@_-"/>
    <numFmt numFmtId="171" formatCode="0.0%"/>
    <numFmt numFmtId="172" formatCode="_(* #,##0.0_);_(* \(#,##0.0\);_(* \-??_);_(@_)"/>
    <numFmt numFmtId="173" formatCode="#,##0.00_);\-#,##0.00"/>
    <numFmt numFmtId="174" formatCode="0.0"/>
    <numFmt numFmtId="175" formatCode="_(* #,##0_);_(* \(#,##0\);_(* &quot;-&quot;??_);_(@_)"/>
    <numFmt numFmtId="176" formatCode="[$-409]mmm\-yy;@"/>
    <numFmt numFmtId="177" formatCode="[$-409]mmmm\-yy;@"/>
    <numFmt numFmtId="178" formatCode="#,##0.0"/>
  </numFmts>
  <fonts count="8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9"/>
      <name val="Arial"/>
      <family val="2"/>
    </font>
    <font>
      <sz val="10"/>
      <color indexed="9"/>
      <name val="Trebuchet MS"/>
      <family val="2"/>
    </font>
    <font>
      <b/>
      <sz val="11"/>
      <color indexed="9"/>
      <name val="Arial"/>
      <family val="2"/>
    </font>
    <font>
      <sz val="11"/>
      <color indexed="62"/>
      <name val="Arial"/>
      <family val="2"/>
    </font>
    <font>
      <sz val="11"/>
      <color indexed="8"/>
      <name val="Calibri"/>
      <family val="2"/>
    </font>
    <font>
      <sz val="8"/>
      <color indexed="8"/>
      <name val="Trebuchet MS"/>
      <family val="2"/>
    </font>
    <font>
      <b/>
      <sz val="11"/>
      <color indexed="8"/>
      <name val="Arial"/>
      <family val="2"/>
    </font>
    <font>
      <sz val="11"/>
      <name val="Cambria"/>
      <family val="1"/>
    </font>
    <font>
      <sz val="10"/>
      <color indexed="8"/>
      <name val="MS Sans Serif"/>
      <family val="2"/>
    </font>
    <font>
      <b/>
      <sz val="14"/>
      <color indexed="8"/>
      <name val="Times New Roman"/>
      <family val="1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1"/>
      <color indexed="8"/>
      <name val="Cambria"/>
      <family val="1"/>
    </font>
    <font>
      <sz val="11"/>
      <color indexed="8"/>
      <name val="Cambria"/>
      <family val="1"/>
    </font>
    <font>
      <b/>
      <u/>
      <sz val="11"/>
      <color indexed="11"/>
      <name val="Cambria"/>
      <family val="1"/>
    </font>
    <font>
      <u/>
      <sz val="11.95"/>
      <color indexed="9"/>
      <name val="Cambria"/>
      <family val="1"/>
    </font>
    <font>
      <sz val="9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Cambria"/>
      <family val="1"/>
    </font>
    <font>
      <strike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mbria"/>
      <family val="1"/>
    </font>
    <font>
      <b/>
      <sz val="11"/>
      <color theme="1"/>
      <name val="Cambria"/>
      <family val="1"/>
      <scheme val="major"/>
    </font>
    <font>
      <sz val="11"/>
      <name val="Cambria"/>
      <family val="1"/>
      <scheme val="major"/>
    </font>
    <font>
      <b/>
      <sz val="11"/>
      <name val="Cambria"/>
      <family val="1"/>
      <scheme val="maj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u val="singleAccounting"/>
      <sz val="11"/>
      <color theme="1"/>
      <name val="Arial"/>
      <family val="2"/>
    </font>
    <font>
      <b/>
      <u val="singleAccounting"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color indexed="8"/>
      <name val="Cambria"/>
      <family val="1"/>
      <scheme val="major"/>
    </font>
    <font>
      <sz val="10"/>
      <color indexed="8"/>
      <name val="Cambria"/>
      <family val="1"/>
      <scheme val="major"/>
    </font>
    <font>
      <b/>
      <sz val="12"/>
      <name val="Cambria"/>
      <family val="1"/>
      <scheme val="major"/>
    </font>
    <font>
      <sz val="11"/>
      <color theme="1"/>
      <name val="Cambria"/>
      <family val="1"/>
      <scheme val="major"/>
    </font>
    <font>
      <u/>
      <sz val="11"/>
      <name val="Cambria"/>
      <family val="1"/>
      <scheme val="major"/>
    </font>
    <font>
      <b/>
      <sz val="11"/>
      <color indexed="8"/>
      <name val="Cambria"/>
      <family val="1"/>
      <scheme val="maj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sz val="11"/>
      <color rgb="FFFF0000"/>
      <name val="Cambria"/>
      <family val="1"/>
    </font>
    <font>
      <sz val="10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1"/>
      <color rgb="FFFF0000"/>
      <name val="Calibri"/>
      <family val="2"/>
      <scheme val="minor"/>
    </font>
    <font>
      <b/>
      <sz val="10"/>
      <name val="Cambria"/>
      <family val="1"/>
      <scheme val="major"/>
    </font>
    <font>
      <sz val="11"/>
      <name val="Calibri"/>
      <family val="2"/>
      <scheme val="minor"/>
    </font>
    <font>
      <sz val="11"/>
      <color rgb="FFFF0000"/>
      <name val="Cambria"/>
      <family val="1"/>
      <scheme val="major"/>
    </font>
    <font>
      <b/>
      <u/>
      <sz val="11"/>
      <color indexed="11"/>
      <name val="Cambria"/>
      <family val="1"/>
      <scheme val="major"/>
    </font>
    <font>
      <sz val="11"/>
      <color indexed="8"/>
      <name val="Cambria"/>
      <family val="1"/>
      <scheme val="major"/>
    </font>
    <font>
      <b/>
      <sz val="11"/>
      <color rgb="FFFF0000"/>
      <name val="Cambria"/>
      <family val="1"/>
      <scheme val="major"/>
    </font>
    <font>
      <sz val="10"/>
      <color theme="1"/>
      <name val="Calibri"/>
      <family val="2"/>
      <scheme val="minor"/>
    </font>
    <font>
      <sz val="11"/>
      <color rgb="FF00B0F0"/>
      <name val="Cambria"/>
      <family val="1"/>
    </font>
    <font>
      <sz val="11"/>
      <color rgb="FF00B0F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rgb="FFFF0000"/>
      <name val="Arial"/>
      <family val="2"/>
    </font>
    <font>
      <sz val="9"/>
      <name val="Arial"/>
      <family val="2"/>
    </font>
    <font>
      <strike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2"/>
      <color indexed="8"/>
      <name val="Arial"/>
      <family val="2"/>
    </font>
    <font>
      <sz val="10"/>
      <color indexed="8"/>
      <name val="Arial"/>
      <charset val="1"/>
    </font>
    <font>
      <sz val="9"/>
      <color indexed="8"/>
      <name val="Arial"/>
      <charset val="1"/>
    </font>
    <font>
      <sz val="14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b/>
      <sz val="14"/>
      <color rgb="FFFF0000"/>
      <name val="Calibri"/>
      <family val="2"/>
      <scheme val="minor"/>
    </font>
    <font>
      <sz val="14"/>
      <color rgb="FF000000"/>
      <name val="Cambria"/>
      <family val="1"/>
      <scheme val="major"/>
    </font>
    <font>
      <b/>
      <sz val="14"/>
      <color theme="1"/>
      <name val="Cambria"/>
      <family val="1"/>
      <scheme val="major"/>
    </font>
    <font>
      <sz val="14"/>
      <name val="Cambria"/>
      <family val="1"/>
      <scheme val="major"/>
    </font>
    <font>
      <i/>
      <sz val="14"/>
      <color theme="1"/>
      <name val="Cambria"/>
      <family val="1"/>
      <scheme val="major"/>
    </font>
    <font>
      <b/>
      <sz val="14"/>
      <name val="Cambria"/>
      <family val="1"/>
      <scheme val="major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name val="Cambria"/>
      <family val="1"/>
      <scheme val="major"/>
    </font>
    <font>
      <i/>
      <sz val="12"/>
      <color theme="1"/>
      <name val="Cambria"/>
      <family val="1"/>
      <scheme val="major"/>
    </font>
    <font>
      <i/>
      <sz val="12"/>
      <name val="Cambria"/>
      <family val="1"/>
      <scheme val="major"/>
    </font>
    <font>
      <b/>
      <i/>
      <sz val="12"/>
      <color theme="1"/>
      <name val="Cambria"/>
      <family val="1"/>
      <scheme val="major"/>
    </font>
  </fonts>
  <fills count="23">
    <fill>
      <patternFill patternType="none"/>
    </fill>
    <fill>
      <patternFill patternType="gray125"/>
    </fill>
    <fill>
      <patternFill patternType="solid">
        <fgColor indexed="29"/>
        <bgColor indexed="45"/>
      </patternFill>
    </fill>
    <fill>
      <patternFill patternType="solid">
        <fgColor indexed="62"/>
        <bgColor indexed="59"/>
      </patternFill>
    </fill>
    <fill>
      <patternFill patternType="solid">
        <fgColor indexed="49"/>
        <bgColor indexed="40"/>
      </patternFill>
    </fill>
    <fill>
      <patternFill patternType="solid">
        <fgColor indexed="55"/>
        <bgColor indexed="23"/>
      </patternFill>
    </fill>
    <fill>
      <patternFill patternType="solid">
        <fgColor indexed="47"/>
        <bgColor indexed="22"/>
      </patternFill>
    </fill>
    <fill>
      <patternFill patternType="solid">
        <fgColor indexed="26"/>
        <bgColor indexed="9"/>
      </patternFill>
    </fill>
    <fill>
      <patternFill patternType="solid">
        <fgColor indexed="13"/>
        <bgColor indexed="0"/>
      </patternFill>
    </fill>
    <fill>
      <patternFill patternType="solid">
        <fgColor indexed="9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0"/>
      </patternFill>
    </fill>
    <fill>
      <patternFill patternType="solid">
        <fgColor rgb="FFFFFF00"/>
        <bgColor indexed="0"/>
      </patternFill>
    </fill>
    <fill>
      <patternFill patternType="solid">
        <fgColor theme="0"/>
        <bgColor indexed="51"/>
      </patternFill>
    </fill>
    <fill>
      <patternFill patternType="solid">
        <fgColor rgb="FFFFFFFF"/>
        <bgColor indexed="64"/>
      </patternFill>
    </fill>
    <fill>
      <patternFill patternType="solid">
        <fgColor rgb="FFDAA52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6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12"/>
      </right>
      <top style="thin">
        <color indexed="12"/>
      </top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/>
      <diagonal/>
    </border>
    <border>
      <left/>
      <right style="thin">
        <color indexed="59"/>
      </right>
      <top/>
      <bottom style="thin">
        <color indexed="59"/>
      </bottom>
      <diagonal/>
    </border>
    <border>
      <left style="thin">
        <color indexed="59"/>
      </left>
      <right style="thin">
        <color indexed="59"/>
      </right>
      <top/>
      <bottom style="thin">
        <color indexed="59"/>
      </bottom>
      <diagonal/>
    </border>
    <border>
      <left style="thin">
        <color indexed="59"/>
      </left>
      <right/>
      <top/>
      <bottom style="thin">
        <color indexed="59"/>
      </bottom>
      <diagonal/>
    </border>
    <border>
      <left/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59"/>
      </left>
      <right/>
      <top style="thin">
        <color indexed="59"/>
      </top>
      <bottom style="thin">
        <color indexed="59"/>
      </bottom>
      <diagonal/>
    </border>
    <border>
      <left/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 style="thin">
        <color indexed="59"/>
      </right>
      <top style="thin">
        <color indexed="59"/>
      </top>
      <bottom/>
      <diagonal/>
    </border>
    <border>
      <left style="thin">
        <color indexed="59"/>
      </left>
      <right/>
      <top style="thin">
        <color indexed="5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12"/>
      </left>
      <right style="thin">
        <color indexed="12"/>
      </right>
      <top/>
      <bottom style="thin">
        <color indexed="1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3" tint="0.39997558519241921"/>
      </left>
      <right style="thin">
        <color theme="3"/>
      </right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/>
      <bottom/>
      <diagonal/>
    </border>
    <border>
      <left style="thin">
        <color theme="3" tint="0.39997558519241921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3"/>
      </bottom>
      <diagonal/>
    </border>
    <border>
      <left style="thin">
        <color theme="3" tint="0.39997558519241921"/>
      </left>
      <right/>
      <top/>
      <bottom/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 style="thin">
        <color theme="3"/>
      </right>
      <top style="thin">
        <color indexed="64"/>
      </top>
      <bottom style="thin">
        <color theme="3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12"/>
      </left>
      <right/>
      <top style="thin">
        <color indexed="12"/>
      </top>
      <bottom style="thin">
        <color indexed="1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474">
    <xf numFmtId="0" fontId="0" fillId="0" borderId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2" applyNumberFormat="0" applyAlignment="0" applyProtection="0"/>
    <xf numFmtId="43" fontId="26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8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9" fontId="2" fillId="0" borderId="0" applyFill="0" applyBorder="0" applyAlignment="0" applyProtection="0"/>
    <xf numFmtId="167" fontId="2" fillId="0" borderId="0" applyFill="0" applyBorder="0" applyAlignment="0" applyProtection="0"/>
    <xf numFmtId="170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" fillId="0" borderId="0" applyFill="0" applyBorder="0" applyAlignment="0" applyProtection="0"/>
    <xf numFmtId="167" fontId="2" fillId="0" borderId="0" applyFill="0" applyBorder="0" applyAlignment="0" applyProtection="0"/>
    <xf numFmtId="43" fontId="12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43" fontId="26" fillId="0" borderId="0" applyFont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70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167" fontId="2" fillId="0" borderId="0" applyFill="0" applyBorder="0" applyAlignment="0" applyProtection="0"/>
    <xf numFmtId="0" fontId="6" fillId="6" borderId="1" applyNumberFormat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/>
    <xf numFmtId="0" fontId="2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4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7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2" fillId="0" borderId="0"/>
    <xf numFmtId="0" fontId="16" fillId="0" borderId="0"/>
    <xf numFmtId="0" fontId="16" fillId="0" borderId="0"/>
    <xf numFmtId="0" fontId="16" fillId="0" borderId="0"/>
    <xf numFmtId="0" fontId="2" fillId="0" borderId="0"/>
    <xf numFmtId="0" fontId="2" fillId="0" borderId="0"/>
    <xf numFmtId="0" fontId="16" fillId="0" borderId="0"/>
    <xf numFmtId="0" fontId="1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7" borderId="3" applyNumberFormat="0" applyAlignment="0" applyProtection="0"/>
    <xf numFmtId="9" fontId="26" fillId="0" borderId="0" applyFont="0" applyFill="0" applyBorder="0" applyAlignment="0" applyProtection="0"/>
    <xf numFmtId="9" fontId="2" fillId="0" borderId="0" applyFill="0" applyBorder="0" applyAlignment="0" applyProtection="0"/>
    <xf numFmtId="9" fontId="2" fillId="0" borderId="0" applyFont="0" applyFill="0" applyBorder="0" applyAlignment="0" applyProtection="0"/>
    <xf numFmtId="9" fontId="2" fillId="0" borderId="0" applyFill="0" applyBorder="0" applyAlignment="0" applyProtection="0"/>
    <xf numFmtId="0" fontId="9" fillId="0" borderId="4" applyNumberFormat="0" applyFill="0" applyAlignment="0" applyProtection="0"/>
    <xf numFmtId="0" fontId="9" fillId="0" borderId="4" applyNumberFormat="0" applyFill="0" applyAlignment="0" applyProtection="0"/>
  </cellStyleXfs>
  <cellXfs count="408">
    <xf numFmtId="0" fontId="0" fillId="0" borderId="0" xfId="0"/>
    <xf numFmtId="0" fontId="0" fillId="0" borderId="5" xfId="0" applyBorder="1"/>
    <xf numFmtId="43" fontId="0" fillId="0" borderId="0" xfId="0" applyNumberFormat="1"/>
    <xf numFmtId="0" fontId="0" fillId="0" borderId="9" xfId="0" applyBorder="1"/>
    <xf numFmtId="175" fontId="0" fillId="0" borderId="5" xfId="0" applyNumberFormat="1" applyBorder="1"/>
    <xf numFmtId="0" fontId="33" fillId="0" borderId="5" xfId="0" applyFont="1" applyBorder="1"/>
    <xf numFmtId="0" fontId="34" fillId="0" borderId="5" xfId="0" applyFont="1" applyBorder="1"/>
    <xf numFmtId="0" fontId="34" fillId="11" borderId="5" xfId="0" applyFont="1" applyFill="1" applyBorder="1"/>
    <xf numFmtId="0" fontId="33" fillId="11" borderId="13" xfId="0" applyFont="1" applyFill="1" applyBorder="1"/>
    <xf numFmtId="0" fontId="33" fillId="11" borderId="44" xfId="0" applyFont="1" applyFill="1" applyBorder="1"/>
    <xf numFmtId="0" fontId="33" fillId="0" borderId="45" xfId="0" applyFont="1" applyBorder="1"/>
    <xf numFmtId="175" fontId="33" fillId="0" borderId="14" xfId="27" applyNumberFormat="1" applyFont="1" applyBorder="1"/>
    <xf numFmtId="175" fontId="33" fillId="0" borderId="46" xfId="27" applyNumberFormat="1" applyFont="1" applyBorder="1"/>
    <xf numFmtId="0" fontId="33" fillId="0" borderId="47" xfId="0" applyFont="1" applyBorder="1"/>
    <xf numFmtId="175" fontId="33" fillId="12" borderId="14" xfId="27" applyNumberFormat="1" applyFont="1" applyFill="1" applyBorder="1"/>
    <xf numFmtId="175" fontId="33" fillId="0" borderId="48" xfId="27" applyNumberFormat="1" applyFont="1" applyBorder="1"/>
    <xf numFmtId="175" fontId="35" fillId="12" borderId="14" xfId="27" applyNumberFormat="1" applyFont="1" applyFill="1" applyBorder="1"/>
    <xf numFmtId="175" fontId="35" fillId="0" borderId="48" xfId="27" applyNumberFormat="1" applyFont="1" applyBorder="1"/>
    <xf numFmtId="0" fontId="34" fillId="11" borderId="47" xfId="0" applyFont="1" applyFill="1" applyBorder="1"/>
    <xf numFmtId="175" fontId="36" fillId="11" borderId="14" xfId="27" applyNumberFormat="1" applyFont="1" applyFill="1" applyBorder="1"/>
    <xf numFmtId="175" fontId="36" fillId="11" borderId="48" xfId="27" applyNumberFormat="1" applyFont="1" applyFill="1" applyBorder="1"/>
    <xf numFmtId="0" fontId="0" fillId="0" borderId="49" xfId="0" applyBorder="1"/>
    <xf numFmtId="0" fontId="0" fillId="0" borderId="50" xfId="0" applyBorder="1"/>
    <xf numFmtId="175" fontId="35" fillId="0" borderId="14" xfId="27" applyNumberFormat="1" applyFont="1" applyBorder="1"/>
    <xf numFmtId="0" fontId="34" fillId="11" borderId="51" xfId="0" applyFont="1" applyFill="1" applyBorder="1"/>
    <xf numFmtId="175" fontId="34" fillId="11" borderId="14" xfId="27" applyNumberFormat="1" applyFont="1" applyFill="1" applyBorder="1"/>
    <xf numFmtId="175" fontId="34" fillId="11" borderId="48" xfId="27" applyNumberFormat="1" applyFont="1" applyFill="1" applyBorder="1"/>
    <xf numFmtId="0" fontId="33" fillId="0" borderId="52" xfId="0" applyFont="1" applyBorder="1"/>
    <xf numFmtId="0" fontId="34" fillId="11" borderId="52" xfId="0" applyFont="1" applyFill="1" applyBorder="1"/>
    <xf numFmtId="175" fontId="34" fillId="11" borderId="14" xfId="0" applyNumberFormat="1" applyFont="1" applyFill="1" applyBorder="1"/>
    <xf numFmtId="175" fontId="34" fillId="11" borderId="48" xfId="0" applyNumberFormat="1" applyFont="1" applyFill="1" applyBorder="1"/>
    <xf numFmtId="175" fontId="36" fillId="11" borderId="14" xfId="0" applyNumberFormat="1" applyFont="1" applyFill="1" applyBorder="1"/>
    <xf numFmtId="175" fontId="36" fillId="11" borderId="48" xfId="0" applyNumberFormat="1" applyFont="1" applyFill="1" applyBorder="1"/>
    <xf numFmtId="0" fontId="33" fillId="0" borderId="14" xfId="0" applyFont="1" applyBorder="1"/>
    <xf numFmtId="0" fontId="33" fillId="11" borderId="14" xfId="0" applyFont="1" applyFill="1" applyBorder="1"/>
    <xf numFmtId="0" fontId="33" fillId="11" borderId="48" xfId="0" applyFont="1" applyFill="1" applyBorder="1"/>
    <xf numFmtId="0" fontId="33" fillId="0" borderId="48" xfId="0" applyFont="1" applyBorder="1"/>
    <xf numFmtId="175" fontId="33" fillId="11" borderId="14" xfId="0" applyNumberFormat="1" applyFont="1" applyFill="1" applyBorder="1"/>
    <xf numFmtId="175" fontId="33" fillId="11" borderId="48" xfId="0" applyNumberFormat="1" applyFont="1" applyFill="1" applyBorder="1"/>
    <xf numFmtId="175" fontId="35" fillId="0" borderId="14" xfId="0" applyNumberFormat="1" applyFont="1" applyBorder="1"/>
    <xf numFmtId="175" fontId="35" fillId="0" borderId="48" xfId="0" applyNumberFormat="1" applyFont="1" applyBorder="1"/>
    <xf numFmtId="175" fontId="36" fillId="11" borderId="53" xfId="0" applyNumberFormat="1" applyFont="1" applyFill="1" applyBorder="1"/>
    <xf numFmtId="0" fontId="33" fillId="0" borderId="0" xfId="0" applyFont="1"/>
    <xf numFmtId="43" fontId="26" fillId="0" borderId="0" xfId="27" applyFont="1"/>
    <xf numFmtId="43" fontId="37" fillId="0" borderId="0" xfId="27" applyFont="1"/>
    <xf numFmtId="43" fontId="26" fillId="0" borderId="0" xfId="27" applyFont="1" applyFill="1" applyBorder="1"/>
    <xf numFmtId="43" fontId="36" fillId="11" borderId="48" xfId="27" applyFont="1" applyFill="1" applyBorder="1"/>
    <xf numFmtId="43" fontId="34" fillId="11" borderId="48" xfId="27" applyFont="1" applyFill="1" applyBorder="1"/>
    <xf numFmtId="43" fontId="33" fillId="11" borderId="48" xfId="27" applyFont="1" applyFill="1" applyBorder="1"/>
    <xf numFmtId="43" fontId="36" fillId="11" borderId="53" xfId="27" applyFont="1" applyFill="1" applyBorder="1"/>
    <xf numFmtId="0" fontId="38" fillId="13" borderId="9" xfId="444" applyFont="1" applyFill="1" applyBorder="1" applyAlignment="1">
      <alignment horizontal="center" wrapText="1"/>
    </xf>
    <xf numFmtId="0" fontId="38" fillId="13" borderId="5" xfId="444" applyFont="1" applyFill="1" applyBorder="1" applyAlignment="1">
      <alignment horizontal="center"/>
    </xf>
    <xf numFmtId="0" fontId="38" fillId="13" borderId="7" xfId="444" applyFont="1" applyFill="1" applyBorder="1" applyAlignment="1">
      <alignment horizontal="center"/>
    </xf>
    <xf numFmtId="17" fontId="27" fillId="13" borderId="8" xfId="0" applyNumberFormat="1" applyFont="1" applyFill="1" applyBorder="1"/>
    <xf numFmtId="0" fontId="27" fillId="0" borderId="9" xfId="0" applyFont="1" applyBorder="1"/>
    <xf numFmtId="0" fontId="27" fillId="0" borderId="5" xfId="0" applyFont="1" applyBorder="1"/>
    <xf numFmtId="0" fontId="27" fillId="0" borderId="8" xfId="0" applyFont="1" applyBorder="1"/>
    <xf numFmtId="0" fontId="39" fillId="0" borderId="5" xfId="444" applyFont="1" applyBorder="1" applyAlignment="1">
      <alignment horizontal="center"/>
    </xf>
    <xf numFmtId="43" fontId="26" fillId="0" borderId="5" xfId="27" applyFont="1" applyFill="1" applyBorder="1" applyAlignment="1">
      <alignment horizontal="center"/>
    </xf>
    <xf numFmtId="171" fontId="26" fillId="0" borderId="5" xfId="468" applyNumberFormat="1" applyFont="1" applyFill="1" applyBorder="1" applyAlignment="1">
      <alignment horizontal="center"/>
    </xf>
    <xf numFmtId="0" fontId="27" fillId="0" borderId="5" xfId="0" applyFont="1" applyBorder="1" applyAlignment="1">
      <alignment horizontal="center"/>
    </xf>
    <xf numFmtId="171" fontId="2" fillId="0" borderId="5" xfId="470" applyNumberFormat="1" applyFont="1" applyFill="1" applyBorder="1" applyAlignment="1">
      <alignment horizontal="right"/>
    </xf>
    <xf numFmtId="171" fontId="2" fillId="0" borderId="5" xfId="470" applyNumberFormat="1" applyFont="1" applyFill="1" applyBorder="1" applyAlignment="1">
      <alignment horizontal="center"/>
    </xf>
    <xf numFmtId="9" fontId="39" fillId="0" borderId="5" xfId="444" applyNumberFormat="1" applyFont="1" applyBorder="1" applyAlignment="1">
      <alignment horizontal="center"/>
    </xf>
    <xf numFmtId="0" fontId="27" fillId="0" borderId="10" xfId="0" applyFont="1" applyBorder="1"/>
    <xf numFmtId="0" fontId="27" fillId="0" borderId="11" xfId="0" applyFont="1" applyBorder="1"/>
    <xf numFmtId="17" fontId="40" fillId="0" borderId="0" xfId="0" applyNumberFormat="1" applyFont="1" applyAlignment="1">
      <alignment horizontal="center" vertical="center"/>
    </xf>
    <xf numFmtId="175" fontId="2" fillId="0" borderId="5" xfId="30" applyNumberFormat="1" applyFont="1" applyFill="1" applyBorder="1"/>
    <xf numFmtId="0" fontId="2" fillId="0" borderId="5" xfId="0" applyFont="1" applyBorder="1"/>
    <xf numFmtId="0" fontId="26" fillId="14" borderId="5" xfId="468" applyNumberFormat="1" applyFont="1" applyFill="1" applyBorder="1" applyAlignment="1">
      <alignment horizontal="right"/>
    </xf>
    <xf numFmtId="0" fontId="26" fillId="14" borderId="5" xfId="468" applyNumberFormat="1" applyFont="1" applyFill="1" applyBorder="1" applyAlignment="1">
      <alignment horizontal="center"/>
    </xf>
    <xf numFmtId="2" fontId="2" fillId="14" borderId="5" xfId="470" applyNumberFormat="1" applyFont="1" applyFill="1" applyBorder="1" applyAlignment="1">
      <alignment horizontal="center"/>
    </xf>
    <xf numFmtId="2" fontId="26" fillId="14" borderId="5" xfId="468" applyNumberFormat="1" applyFont="1" applyFill="1" applyBorder="1" applyAlignment="1">
      <alignment horizontal="center"/>
    </xf>
    <xf numFmtId="2" fontId="0" fillId="14" borderId="5" xfId="0" applyNumberFormat="1" applyFill="1" applyBorder="1" applyAlignment="1">
      <alignment horizontal="center"/>
    </xf>
    <xf numFmtId="2" fontId="27" fillId="15" borderId="15" xfId="0" applyNumberFormat="1" applyFont="1" applyFill="1" applyBorder="1"/>
    <xf numFmtId="176" fontId="27" fillId="13" borderId="8" xfId="0" applyNumberFormat="1" applyFont="1" applyFill="1" applyBorder="1"/>
    <xf numFmtId="176" fontId="38" fillId="13" borderId="7" xfId="444" applyNumberFormat="1" applyFont="1" applyFill="1" applyBorder="1" applyAlignment="1">
      <alignment horizontal="center"/>
    </xf>
    <xf numFmtId="177" fontId="40" fillId="0" borderId="0" xfId="0" applyNumberFormat="1" applyFont="1" applyAlignment="1">
      <alignment horizontal="center" vertical="center"/>
    </xf>
    <xf numFmtId="0" fontId="31" fillId="0" borderId="0" xfId="0" applyFont="1"/>
    <xf numFmtId="0" fontId="41" fillId="0" borderId="0" xfId="0" applyFont="1"/>
    <xf numFmtId="165" fontId="41" fillId="0" borderId="0" xfId="0" applyNumberFormat="1" applyFont="1"/>
    <xf numFmtId="10" fontId="41" fillId="0" borderId="0" xfId="468" applyNumberFormat="1" applyFont="1"/>
    <xf numFmtId="0" fontId="42" fillId="0" borderId="0" xfId="0" applyFont="1" applyAlignment="1" applyProtection="1">
      <alignment vertical="top" wrapText="1" readingOrder="1"/>
      <protection locked="0"/>
    </xf>
    <xf numFmtId="17" fontId="32" fillId="10" borderId="16" xfId="0" applyNumberFormat="1" applyFont="1" applyFill="1" applyBorder="1" applyAlignment="1" applyProtection="1">
      <alignment vertical="top" wrapText="1" readingOrder="1"/>
      <protection locked="0"/>
    </xf>
    <xf numFmtId="17" fontId="32" fillId="10" borderId="17" xfId="0" applyNumberFormat="1" applyFont="1" applyFill="1" applyBorder="1" applyAlignment="1" applyProtection="1">
      <alignment vertical="top" wrapText="1" readingOrder="1"/>
      <protection locked="0"/>
    </xf>
    <xf numFmtId="17" fontId="43" fillId="8" borderId="17" xfId="0" applyNumberFormat="1" applyFont="1" applyFill="1" applyBorder="1" applyAlignment="1" applyProtection="1">
      <alignment vertical="top" wrapText="1" readingOrder="1"/>
      <protection locked="0"/>
    </xf>
    <xf numFmtId="0" fontId="44" fillId="0" borderId="0" xfId="0" applyFont="1"/>
    <xf numFmtId="0" fontId="44" fillId="12" borderId="5" xfId="0" applyFont="1" applyFill="1" applyBorder="1"/>
    <xf numFmtId="0" fontId="45" fillId="12" borderId="5" xfId="0" applyFont="1" applyFill="1" applyBorder="1"/>
    <xf numFmtId="0" fontId="45" fillId="0" borderId="0" xfId="0" applyFont="1"/>
    <xf numFmtId="43" fontId="45" fillId="0" borderId="0" xfId="0" applyNumberFormat="1" applyFont="1"/>
    <xf numFmtId="43" fontId="44" fillId="0" borderId="0" xfId="0" applyNumberFormat="1" applyFont="1"/>
    <xf numFmtId="4" fontId="44" fillId="0" borderId="0" xfId="0" applyNumberFormat="1" applyFont="1"/>
    <xf numFmtId="0" fontId="19" fillId="0" borderId="54" xfId="0" applyFont="1" applyBorder="1" applyAlignment="1" applyProtection="1">
      <alignment vertical="top" wrapText="1" readingOrder="1"/>
      <protection locked="0"/>
    </xf>
    <xf numFmtId="0" fontId="17" fillId="8" borderId="54" xfId="0" applyFont="1" applyFill="1" applyBorder="1" applyAlignment="1" applyProtection="1">
      <alignment vertical="top" wrapText="1" readingOrder="1"/>
      <protection locked="0"/>
    </xf>
    <xf numFmtId="176" fontId="17" fillId="8" borderId="54" xfId="0" applyNumberFormat="1" applyFont="1" applyFill="1" applyBorder="1" applyAlignment="1" applyProtection="1">
      <alignment vertical="top" wrapText="1" readingOrder="1"/>
      <protection locked="0"/>
    </xf>
    <xf numFmtId="177" fontId="17" fillId="8" borderId="54" xfId="0" applyNumberFormat="1" applyFont="1" applyFill="1" applyBorder="1" applyAlignment="1" applyProtection="1">
      <alignment vertical="top" wrapText="1" readingOrder="1"/>
      <protection locked="0"/>
    </xf>
    <xf numFmtId="176" fontId="17" fillId="8" borderId="55" xfId="0" applyNumberFormat="1" applyFont="1" applyFill="1" applyBorder="1" applyAlignment="1" applyProtection="1">
      <alignment vertical="top" wrapText="1" readingOrder="1"/>
      <protection locked="0"/>
    </xf>
    <xf numFmtId="177" fontId="17" fillId="8" borderId="55" xfId="0" applyNumberFormat="1" applyFont="1" applyFill="1" applyBorder="1" applyAlignment="1" applyProtection="1">
      <alignment vertical="top" wrapText="1" readingOrder="1"/>
      <protection locked="0"/>
    </xf>
    <xf numFmtId="0" fontId="17" fillId="12" borderId="54" xfId="0" applyFont="1" applyFill="1" applyBorder="1" applyAlignment="1" applyProtection="1">
      <alignment vertical="top" wrapText="1" readingOrder="1"/>
      <protection locked="0"/>
    </xf>
    <xf numFmtId="43" fontId="17" fillId="10" borderId="54" xfId="27" applyFont="1" applyFill="1" applyBorder="1" applyAlignment="1" applyProtection="1">
      <alignment vertical="top" wrapText="1" readingOrder="1"/>
      <protection locked="0"/>
    </xf>
    <xf numFmtId="0" fontId="18" fillId="12" borderId="54" xfId="0" applyFont="1" applyFill="1" applyBorder="1" applyAlignment="1" applyProtection="1">
      <alignment vertical="top" wrapText="1" readingOrder="1"/>
      <protection locked="0"/>
    </xf>
    <xf numFmtId="43" fontId="18" fillId="0" borderId="54" xfId="27" applyFont="1" applyBorder="1" applyAlignment="1" applyProtection="1">
      <alignment vertical="top" wrapText="1" readingOrder="1"/>
      <protection locked="0"/>
    </xf>
    <xf numFmtId="165" fontId="18" fillId="0" borderId="54" xfId="0" applyNumberFormat="1" applyFont="1" applyBorder="1" applyAlignment="1" applyProtection="1">
      <alignment vertical="top" wrapText="1" readingOrder="1"/>
      <protection locked="0"/>
    </xf>
    <xf numFmtId="172" fontId="10" fillId="0" borderId="56" xfId="28" applyNumberFormat="1" applyFont="1" applyBorder="1" applyAlignment="1" applyProtection="1">
      <alignment horizontal="right" vertical="center"/>
      <protection locked="0"/>
    </xf>
    <xf numFmtId="165" fontId="18" fillId="12" borderId="5" xfId="0" applyNumberFormat="1" applyFont="1" applyFill="1" applyBorder="1" applyAlignment="1" applyProtection="1">
      <alignment vertical="top" wrapText="1" readingOrder="1"/>
      <protection locked="0"/>
    </xf>
    <xf numFmtId="173" fontId="18" fillId="12" borderId="5" xfId="0" applyNumberFormat="1" applyFont="1" applyFill="1" applyBorder="1" applyAlignment="1" applyProtection="1">
      <alignment horizontal="right" vertical="center"/>
      <protection locked="0"/>
    </xf>
    <xf numFmtId="43" fontId="44" fillId="0" borderId="54" xfId="27" applyFont="1" applyBorder="1"/>
    <xf numFmtId="172" fontId="10" fillId="12" borderId="5" xfId="28" applyNumberFormat="1" applyFont="1" applyFill="1" applyBorder="1" applyAlignment="1" applyProtection="1">
      <alignment horizontal="right" vertical="center"/>
      <protection locked="0"/>
    </xf>
    <xf numFmtId="0" fontId="44" fillId="0" borderId="54" xfId="0" applyFont="1" applyBorder="1"/>
    <xf numFmtId="165" fontId="18" fillId="12" borderId="5" xfId="282" applyNumberFormat="1" applyFont="1" applyFill="1" applyBorder="1" applyAlignment="1" applyProtection="1">
      <alignment vertical="top" wrapText="1" readingOrder="1"/>
      <protection locked="0"/>
    </xf>
    <xf numFmtId="43" fontId="17" fillId="0" borderId="54" xfId="27" applyFont="1" applyBorder="1" applyAlignment="1" applyProtection="1">
      <alignment vertical="top" wrapText="1" readingOrder="1"/>
      <protection locked="0"/>
    </xf>
    <xf numFmtId="0" fontId="45" fillId="0" borderId="54" xfId="0" applyFont="1" applyBorder="1"/>
    <xf numFmtId="165" fontId="18" fillId="9" borderId="54" xfId="0" applyNumberFormat="1" applyFont="1" applyFill="1" applyBorder="1" applyAlignment="1" applyProtection="1">
      <alignment vertical="top" wrapText="1" readingOrder="1"/>
      <protection locked="0"/>
    </xf>
    <xf numFmtId="165" fontId="18" fillId="16" borderId="5" xfId="0" applyNumberFormat="1" applyFont="1" applyFill="1" applyBorder="1" applyAlignment="1" applyProtection="1">
      <alignment vertical="top" wrapText="1" readingOrder="1"/>
      <protection locked="0"/>
    </xf>
    <xf numFmtId="165" fontId="18" fillId="16" borderId="5" xfId="282" applyNumberFormat="1" applyFont="1" applyFill="1" applyBorder="1" applyAlignment="1" applyProtection="1">
      <alignment vertical="top" wrapText="1" readingOrder="1"/>
      <protection locked="0"/>
    </xf>
    <xf numFmtId="172" fontId="10" fillId="0" borderId="56" xfId="28" applyNumberFormat="1" applyFont="1" applyFill="1" applyBorder="1" applyAlignment="1" applyProtection="1">
      <protection locked="0"/>
    </xf>
    <xf numFmtId="172" fontId="10" fillId="0" borderId="56" xfId="28" applyNumberFormat="1" applyFont="1" applyFill="1" applyBorder="1" applyAlignment="1" applyProtection="1"/>
    <xf numFmtId="165" fontId="46" fillId="0" borderId="54" xfId="0" applyNumberFormat="1" applyFont="1" applyBorder="1" applyAlignment="1" applyProtection="1">
      <alignment vertical="top" wrapText="1" readingOrder="1"/>
      <protection locked="0"/>
    </xf>
    <xf numFmtId="172" fontId="10" fillId="12" borderId="5" xfId="28" applyNumberFormat="1" applyFont="1" applyFill="1" applyBorder="1" applyAlignment="1" applyProtection="1">
      <protection locked="0"/>
    </xf>
    <xf numFmtId="172" fontId="10" fillId="12" borderId="5" xfId="28" applyNumberFormat="1" applyFont="1" applyFill="1" applyBorder="1" applyAlignment="1" applyProtection="1"/>
    <xf numFmtId="0" fontId="17" fillId="16" borderId="54" xfId="0" applyFont="1" applyFill="1" applyBorder="1" applyAlignment="1" applyProtection="1">
      <alignment vertical="top" wrapText="1" readingOrder="1"/>
      <protection locked="0"/>
    </xf>
    <xf numFmtId="43" fontId="17" fillId="17" borderId="54" xfId="27" applyFont="1" applyFill="1" applyBorder="1" applyAlignment="1" applyProtection="1">
      <alignment vertical="top" wrapText="1" readingOrder="1"/>
      <protection locked="0"/>
    </xf>
    <xf numFmtId="173" fontId="10" fillId="0" borderId="56" xfId="0" applyNumberFormat="1" applyFont="1" applyBorder="1" applyAlignment="1" applyProtection="1">
      <alignment horizontal="right" vertical="center"/>
      <protection locked="0"/>
    </xf>
    <xf numFmtId="165" fontId="10" fillId="0" borderId="56" xfId="0" applyNumberFormat="1" applyFont="1" applyBorder="1" applyAlignment="1" applyProtection="1">
      <alignment vertical="top" wrapText="1" readingOrder="1"/>
      <protection locked="0"/>
    </xf>
    <xf numFmtId="0" fontId="10" fillId="0" borderId="0" xfId="0" applyFont="1"/>
    <xf numFmtId="43" fontId="41" fillId="12" borderId="5" xfId="0" applyNumberFormat="1" applyFont="1" applyFill="1" applyBorder="1"/>
    <xf numFmtId="0" fontId="32" fillId="0" borderId="18" xfId="284" applyFont="1" applyBorder="1" applyAlignment="1">
      <alignment horizontal="left" vertical="top" wrapText="1"/>
    </xf>
    <xf numFmtId="0" fontId="32" fillId="0" borderId="19" xfId="284" applyFont="1" applyBorder="1" applyAlignment="1">
      <alignment horizontal="left" vertical="top" wrapText="1"/>
    </xf>
    <xf numFmtId="0" fontId="32" fillId="0" borderId="20" xfId="284" applyFont="1" applyBorder="1" applyAlignment="1">
      <alignment horizontal="left" vertical="top" wrapText="1"/>
    </xf>
    <xf numFmtId="0" fontId="31" fillId="0" borderId="21" xfId="242" applyFont="1" applyBorder="1" applyAlignment="1">
      <alignment wrapText="1"/>
    </xf>
    <xf numFmtId="43" fontId="47" fillId="0" borderId="22" xfId="93" applyFont="1" applyBorder="1" applyAlignment="1">
      <alignment horizontal="center" wrapText="1"/>
    </xf>
    <xf numFmtId="43" fontId="47" fillId="0" borderId="23" xfId="93" applyFont="1" applyBorder="1" applyAlignment="1">
      <alignment wrapText="1"/>
    </xf>
    <xf numFmtId="9" fontId="41" fillId="0" borderId="0" xfId="468" applyFont="1"/>
    <xf numFmtId="43" fontId="41" fillId="0" borderId="0" xfId="0" applyNumberFormat="1" applyFont="1"/>
    <xf numFmtId="17" fontId="48" fillId="0" borderId="0" xfId="0" applyNumberFormat="1" applyFont="1" applyAlignment="1">
      <alignment horizontal="center" vertical="center"/>
    </xf>
    <xf numFmtId="43" fontId="31" fillId="0" borderId="23" xfId="93" applyFont="1" applyBorder="1" applyAlignment="1">
      <alignment wrapText="1"/>
    </xf>
    <xf numFmtId="43" fontId="31" fillId="0" borderId="22" xfId="27" applyFont="1" applyBorder="1" applyAlignment="1" applyProtection="1">
      <alignment wrapText="1"/>
      <protection locked="0"/>
    </xf>
    <xf numFmtId="172" fontId="10" fillId="0" borderId="5" xfId="28" applyNumberFormat="1" applyFont="1" applyFill="1" applyBorder="1" applyAlignment="1" applyProtection="1">
      <protection locked="0"/>
    </xf>
    <xf numFmtId="173" fontId="18" fillId="0" borderId="5" xfId="0" applyNumberFormat="1" applyFont="1" applyBorder="1" applyAlignment="1" applyProtection="1">
      <alignment horizontal="right" vertical="center"/>
      <protection locked="0"/>
    </xf>
    <xf numFmtId="43" fontId="10" fillId="0" borderId="22" xfId="27" applyFont="1" applyBorder="1" applyAlignment="1" applyProtection="1">
      <alignment wrapText="1"/>
      <protection locked="0"/>
    </xf>
    <xf numFmtId="0" fontId="32" fillId="11" borderId="24" xfId="242" applyFont="1" applyFill="1" applyBorder="1" applyAlignment="1">
      <alignment wrapText="1"/>
    </xf>
    <xf numFmtId="43" fontId="32" fillId="11" borderId="25" xfId="27" applyFont="1" applyFill="1" applyBorder="1" applyAlignment="1">
      <alignment wrapText="1"/>
    </xf>
    <xf numFmtId="43" fontId="50" fillId="11" borderId="25" xfId="93" applyFont="1" applyFill="1" applyBorder="1" applyAlignment="1">
      <alignment wrapText="1"/>
    </xf>
    <xf numFmtId="43" fontId="32" fillId="11" borderId="26" xfId="93" applyFont="1" applyFill="1" applyBorder="1" applyAlignment="1">
      <alignment wrapText="1"/>
    </xf>
    <xf numFmtId="43" fontId="50" fillId="11" borderId="26" xfId="93" applyFont="1" applyFill="1" applyBorder="1" applyAlignment="1">
      <alignment wrapText="1"/>
    </xf>
    <xf numFmtId="0" fontId="51" fillId="0" borderId="9" xfId="0" applyFont="1" applyBorder="1"/>
    <xf numFmtId="171" fontId="46" fillId="0" borderId="5" xfId="468" applyNumberFormat="1" applyFont="1" applyBorder="1" applyAlignment="1" applyProtection="1">
      <alignment horizontal="right"/>
    </xf>
    <xf numFmtId="0" fontId="31" fillId="0" borderId="9" xfId="0" applyFont="1" applyBorder="1"/>
    <xf numFmtId="0" fontId="52" fillId="0" borderId="5" xfId="0" applyFont="1" applyBorder="1" applyAlignment="1">
      <alignment horizontal="center"/>
    </xf>
    <xf numFmtId="171" fontId="31" fillId="0" borderId="5" xfId="468" applyNumberFormat="1" applyFont="1" applyBorder="1" applyProtection="1"/>
    <xf numFmtId="171" fontId="31" fillId="0" borderId="5" xfId="468" applyNumberFormat="1" applyFont="1" applyBorder="1" applyAlignment="1" applyProtection="1">
      <alignment horizontal="right"/>
    </xf>
    <xf numFmtId="171" fontId="41" fillId="12" borderId="5" xfId="468" applyNumberFormat="1" applyFont="1" applyFill="1" applyBorder="1" applyAlignment="1" applyProtection="1">
      <alignment horizontal="right"/>
    </xf>
    <xf numFmtId="171" fontId="10" fillId="0" borderId="5" xfId="468" applyNumberFormat="1" applyFont="1" applyBorder="1" applyAlignment="1" applyProtection="1">
      <alignment horizontal="right"/>
    </xf>
    <xf numFmtId="171" fontId="31" fillId="12" borderId="5" xfId="468" applyNumberFormat="1" applyFont="1" applyFill="1" applyBorder="1" applyAlignment="1" applyProtection="1">
      <alignment horizontal="right"/>
    </xf>
    <xf numFmtId="0" fontId="0" fillId="0" borderId="14" xfId="0" applyBorder="1" applyProtection="1">
      <protection locked="0"/>
    </xf>
    <xf numFmtId="0" fontId="28" fillId="0" borderId="28" xfId="0" applyFont="1" applyBorder="1" applyProtection="1">
      <protection locked="0"/>
    </xf>
    <xf numFmtId="0" fontId="27" fillId="0" borderId="9" xfId="0" applyFont="1" applyBorder="1" applyAlignment="1" applyProtection="1">
      <alignment horizontal="left"/>
      <protection locked="0"/>
    </xf>
    <xf numFmtId="0" fontId="27" fillId="12" borderId="31" xfId="0" applyFont="1" applyFill="1" applyBorder="1"/>
    <xf numFmtId="165" fontId="21" fillId="9" borderId="32" xfId="0" applyNumberFormat="1" applyFont="1" applyFill="1" applyBorder="1" applyAlignment="1" applyProtection="1">
      <alignment vertical="top" wrapText="1" readingOrder="1"/>
      <protection locked="0"/>
    </xf>
    <xf numFmtId="165" fontId="21" fillId="0" borderId="32" xfId="0" applyNumberFormat="1" applyFont="1" applyBorder="1" applyAlignment="1" applyProtection="1">
      <alignment vertical="top" wrapText="1" readingOrder="1"/>
      <protection locked="0"/>
    </xf>
    <xf numFmtId="0" fontId="10" fillId="0" borderId="22" xfId="242" applyFont="1" applyBorder="1" applyAlignment="1" applyProtection="1">
      <alignment wrapText="1"/>
      <protection locked="0"/>
    </xf>
    <xf numFmtId="0" fontId="27" fillId="0" borderId="33" xfId="0" applyFont="1" applyBorder="1" applyAlignment="1" applyProtection="1">
      <alignment horizontal="center"/>
      <protection locked="0"/>
    </xf>
    <xf numFmtId="171" fontId="52" fillId="12" borderId="5" xfId="468" applyNumberFormat="1" applyFont="1" applyFill="1" applyBorder="1" applyAlignment="1" applyProtection="1">
      <alignment horizontal="right"/>
    </xf>
    <xf numFmtId="175" fontId="10" fillId="0" borderId="5" xfId="122" applyNumberFormat="1" applyFont="1" applyBorder="1" applyProtection="1">
      <protection locked="0"/>
    </xf>
    <xf numFmtId="43" fontId="31" fillId="0" borderId="0" xfId="27" applyFont="1"/>
    <xf numFmtId="43" fontId="32" fillId="10" borderId="17" xfId="27" applyFont="1" applyFill="1" applyBorder="1" applyAlignment="1" applyProtection="1">
      <alignment vertical="top" wrapText="1" readingOrder="1"/>
      <protection locked="0"/>
    </xf>
    <xf numFmtId="43" fontId="41" fillId="0" borderId="0" xfId="27" applyFont="1"/>
    <xf numFmtId="0" fontId="53" fillId="0" borderId="55" xfId="0" applyFont="1" applyBorder="1" applyAlignment="1" applyProtection="1">
      <alignment vertical="top" wrapText="1" readingOrder="1"/>
      <protection locked="0"/>
    </xf>
    <xf numFmtId="0" fontId="32" fillId="10" borderId="55" xfId="0" applyFont="1" applyFill="1" applyBorder="1" applyAlignment="1" applyProtection="1">
      <alignment vertical="top" wrapText="1" readingOrder="1"/>
      <protection locked="0"/>
    </xf>
    <xf numFmtId="176" fontId="32" fillId="10" borderId="55" xfId="0" applyNumberFormat="1" applyFont="1" applyFill="1" applyBorder="1" applyAlignment="1" applyProtection="1">
      <alignment vertical="top" wrapText="1" readingOrder="1"/>
      <protection locked="0"/>
    </xf>
    <xf numFmtId="17" fontId="32" fillId="10" borderId="55" xfId="0" applyNumberFormat="1" applyFont="1" applyFill="1" applyBorder="1" applyAlignment="1" applyProtection="1">
      <alignment vertical="top" wrapText="1" readingOrder="1"/>
      <protection locked="0"/>
    </xf>
    <xf numFmtId="165" fontId="22" fillId="9" borderId="34" xfId="0" applyNumberFormat="1" applyFont="1" applyFill="1" applyBorder="1" applyAlignment="1" applyProtection="1">
      <alignment vertical="top" wrapText="1" readingOrder="1"/>
      <protection locked="0"/>
    </xf>
    <xf numFmtId="0" fontId="43" fillId="12" borderId="5" xfId="0" applyFont="1" applyFill="1" applyBorder="1" applyAlignment="1" applyProtection="1">
      <alignment vertical="top" wrapText="1" readingOrder="1"/>
      <protection locked="0"/>
    </xf>
    <xf numFmtId="43" fontId="43" fillId="10" borderId="5" xfId="27" applyFont="1" applyFill="1" applyBorder="1" applyAlignment="1" applyProtection="1">
      <alignment vertical="top" wrapText="1" readingOrder="1"/>
      <protection locked="0"/>
    </xf>
    <xf numFmtId="165" fontId="43" fillId="10" borderId="5" xfId="0" applyNumberFormat="1" applyFont="1" applyFill="1" applyBorder="1" applyAlignment="1" applyProtection="1">
      <alignment vertical="top" wrapText="1" readingOrder="1"/>
      <protection locked="0"/>
    </xf>
    <xf numFmtId="0" fontId="41" fillId="12" borderId="5" xfId="0" applyFont="1" applyFill="1" applyBorder="1"/>
    <xf numFmtId="0" fontId="54" fillId="12" borderId="5" xfId="0" applyFont="1" applyFill="1" applyBorder="1" applyAlignment="1" applyProtection="1">
      <alignment vertical="top" wrapText="1" readingOrder="1"/>
      <protection locked="0"/>
    </xf>
    <xf numFmtId="43" fontId="54" fillId="0" borderId="5" xfId="27" applyFont="1" applyBorder="1" applyAlignment="1" applyProtection="1">
      <alignment vertical="top" wrapText="1" readingOrder="1"/>
      <protection locked="0"/>
    </xf>
    <xf numFmtId="0" fontId="41" fillId="0" borderId="5" xfId="0" applyFont="1" applyBorder="1"/>
    <xf numFmtId="43" fontId="54" fillId="12" borderId="5" xfId="27" applyFont="1" applyFill="1" applyBorder="1" applyAlignment="1" applyProtection="1">
      <alignment vertical="top" wrapText="1" readingOrder="1"/>
      <protection locked="0"/>
    </xf>
    <xf numFmtId="165" fontId="54" fillId="0" borderId="5" xfId="0" applyNumberFormat="1" applyFont="1" applyBorder="1" applyAlignment="1" applyProtection="1">
      <alignment vertical="top" wrapText="1" readingOrder="1"/>
      <protection locked="0"/>
    </xf>
    <xf numFmtId="165" fontId="22" fillId="0" borderId="5" xfId="0" applyNumberFormat="1" applyFont="1" applyBorder="1" applyAlignment="1" applyProtection="1">
      <alignment vertical="top" wrapText="1" readingOrder="1"/>
      <protection locked="0"/>
    </xf>
    <xf numFmtId="43" fontId="26" fillId="0" borderId="5" xfId="27" applyFont="1" applyBorder="1" applyAlignment="1" applyProtection="1">
      <alignment vertical="top" wrapText="1"/>
      <protection locked="0"/>
    </xf>
    <xf numFmtId="0" fontId="30" fillId="10" borderId="5" xfId="0" applyFont="1" applyFill="1" applyBorder="1"/>
    <xf numFmtId="165" fontId="54" fillId="10" borderId="5" xfId="0" applyNumberFormat="1" applyFont="1" applyFill="1" applyBorder="1" applyAlignment="1" applyProtection="1">
      <alignment vertical="top" wrapText="1" readingOrder="1"/>
      <protection locked="0"/>
    </xf>
    <xf numFmtId="0" fontId="30" fillId="12" borderId="5" xfId="0" applyFont="1" applyFill="1" applyBorder="1"/>
    <xf numFmtId="43" fontId="41" fillId="0" borderId="5" xfId="27" applyFont="1" applyBorder="1"/>
    <xf numFmtId="167" fontId="31" fillId="0" borderId="5" xfId="28" applyFont="1" applyFill="1" applyBorder="1" applyAlignment="1" applyProtection="1">
      <protection locked="0"/>
    </xf>
    <xf numFmtId="43" fontId="43" fillId="12" borderId="5" xfId="27" applyFont="1" applyFill="1" applyBorder="1" applyAlignment="1" applyProtection="1">
      <alignment vertical="top" wrapText="1" readingOrder="1"/>
      <protection locked="0"/>
    </xf>
    <xf numFmtId="43" fontId="31" fillId="0" borderId="5" xfId="28" applyNumberFormat="1" applyFont="1" applyFill="1" applyBorder="1" applyAlignment="1" applyProtection="1">
      <protection locked="0"/>
    </xf>
    <xf numFmtId="167" fontId="31" fillId="10" borderId="5" xfId="28" applyFont="1" applyFill="1" applyBorder="1" applyAlignment="1" applyProtection="1">
      <protection locked="0"/>
    </xf>
    <xf numFmtId="167" fontId="32" fillId="18" borderId="5" xfId="28" applyFont="1" applyFill="1" applyBorder="1" applyAlignment="1" applyProtection="1"/>
    <xf numFmtId="165" fontId="54" fillId="12" borderId="5" xfId="0" applyNumberFormat="1" applyFont="1" applyFill="1" applyBorder="1" applyAlignment="1" applyProtection="1">
      <alignment vertical="top" wrapText="1" readingOrder="1"/>
      <protection locked="0"/>
    </xf>
    <xf numFmtId="165" fontId="55" fillId="0" borderId="5" xfId="0" applyNumberFormat="1" applyFont="1" applyBorder="1" applyAlignment="1" applyProtection="1">
      <alignment vertical="top" wrapText="1" readingOrder="1"/>
      <protection locked="0"/>
    </xf>
    <xf numFmtId="4" fontId="52" fillId="0" borderId="5" xfId="0" applyNumberFormat="1" applyFont="1" applyBorder="1"/>
    <xf numFmtId="167" fontId="10" fillId="0" borderId="5" xfId="28" applyFont="1" applyFill="1" applyBorder="1" applyAlignment="1" applyProtection="1">
      <alignment horizontal="right"/>
      <protection locked="0"/>
    </xf>
    <xf numFmtId="43" fontId="54" fillId="0" borderId="5" xfId="0" applyNumberFormat="1" applyFont="1" applyBorder="1" applyAlignment="1" applyProtection="1">
      <alignment vertical="top" wrapText="1" readingOrder="1"/>
      <protection locked="0"/>
    </xf>
    <xf numFmtId="43" fontId="54" fillId="0" borderId="5" xfId="27" applyFont="1" applyFill="1" applyBorder="1" applyAlignment="1" applyProtection="1">
      <alignment vertical="top" wrapText="1" readingOrder="1"/>
      <protection locked="0"/>
    </xf>
    <xf numFmtId="166" fontId="54" fillId="0" borderId="5" xfId="0" applyNumberFormat="1" applyFont="1" applyBorder="1" applyAlignment="1" applyProtection="1">
      <alignment vertical="top" wrapText="1" readingOrder="1"/>
      <protection locked="0"/>
    </xf>
    <xf numFmtId="166" fontId="22" fillId="0" borderId="5" xfId="0" applyNumberFormat="1" applyFont="1" applyBorder="1" applyAlignment="1" applyProtection="1">
      <alignment vertical="top" wrapText="1" readingOrder="1"/>
      <protection locked="0"/>
    </xf>
    <xf numFmtId="43" fontId="41" fillId="12" borderId="5" xfId="27" applyFont="1" applyFill="1" applyBorder="1"/>
    <xf numFmtId="43" fontId="30" fillId="12" borderId="5" xfId="27" applyFont="1" applyFill="1" applyBorder="1"/>
    <xf numFmtId="43" fontId="44" fillId="12" borderId="5" xfId="27" applyFont="1" applyFill="1" applyBorder="1"/>
    <xf numFmtId="43" fontId="45" fillId="12" borderId="5" xfId="27" applyFont="1" applyFill="1" applyBorder="1"/>
    <xf numFmtId="0" fontId="27" fillId="0" borderId="5" xfId="0" applyFont="1" applyBorder="1" applyAlignment="1" applyProtection="1">
      <alignment horizontal="right"/>
      <protection locked="0"/>
    </xf>
    <xf numFmtId="17" fontId="27" fillId="0" borderId="0" xfId="0" applyNumberFormat="1" applyFont="1" applyProtection="1">
      <protection locked="0"/>
    </xf>
    <xf numFmtId="17" fontId="27" fillId="0" borderId="8" xfId="0" applyNumberFormat="1" applyFont="1" applyBorder="1" applyAlignment="1" applyProtection="1">
      <alignment horizontal="right" wrapText="1"/>
      <protection locked="0"/>
    </xf>
    <xf numFmtId="0" fontId="0" fillId="0" borderId="5" xfId="0" applyBorder="1" applyAlignment="1" applyProtection="1">
      <alignment horizontal="center"/>
      <protection locked="0"/>
    </xf>
    <xf numFmtId="171" fontId="2" fillId="0" borderId="0" xfId="470" applyNumberFormat="1" applyFont="1" applyProtection="1">
      <protection locked="0"/>
    </xf>
    <xf numFmtId="171" fontId="26" fillId="0" borderId="0" xfId="470" applyNumberFormat="1" applyFont="1" applyProtection="1">
      <protection locked="0"/>
    </xf>
    <xf numFmtId="0" fontId="44" fillId="12" borderId="9" xfId="0" applyFont="1" applyFill="1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5" xfId="0" applyBorder="1" applyProtection="1">
      <protection locked="0"/>
    </xf>
    <xf numFmtId="0" fontId="0" fillId="0" borderId="27" xfId="0" applyBorder="1" applyProtection="1">
      <protection locked="0"/>
    </xf>
    <xf numFmtId="0" fontId="28" fillId="0" borderId="8" xfId="0" applyFont="1" applyBorder="1" applyProtection="1">
      <protection locked="0"/>
    </xf>
    <xf numFmtId="0" fontId="0" fillId="0" borderId="5" xfId="0" applyBorder="1" applyAlignment="1" applyProtection="1">
      <alignment horizontal="left"/>
      <protection locked="0"/>
    </xf>
    <xf numFmtId="0" fontId="0" fillId="0" borderId="27" xfId="0" applyBorder="1" applyAlignment="1" applyProtection="1">
      <alignment horizontal="left"/>
      <protection locked="0"/>
    </xf>
    <xf numFmtId="0" fontId="28" fillId="0" borderId="8" xfId="0" applyFont="1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11" xfId="0" applyBorder="1" applyProtection="1">
      <protection locked="0"/>
    </xf>
    <xf numFmtId="0" fontId="0" fillId="0" borderId="30" xfId="0" applyBorder="1" applyProtection="1">
      <protection locked="0"/>
    </xf>
    <xf numFmtId="0" fontId="28" fillId="0" borderId="15" xfId="0" applyFont="1" applyBorder="1" applyProtection="1">
      <protection locked="0"/>
    </xf>
    <xf numFmtId="0" fontId="0" fillId="12" borderId="0" xfId="0" applyFill="1" applyProtection="1">
      <protection locked="0"/>
    </xf>
    <xf numFmtId="175" fontId="44" fillId="0" borderId="5" xfId="30" applyNumberFormat="1" applyFont="1" applyBorder="1" applyAlignment="1" applyProtection="1">
      <alignment horizontal="right"/>
    </xf>
    <xf numFmtId="0" fontId="44" fillId="0" borderId="9" xfId="0" applyFont="1" applyBorder="1"/>
    <xf numFmtId="0" fontId="44" fillId="0" borderId="5" xfId="0" applyFont="1" applyBorder="1" applyAlignment="1">
      <alignment horizontal="center"/>
    </xf>
    <xf numFmtId="9" fontId="44" fillId="0" borderId="5" xfId="0" applyNumberFormat="1" applyFont="1" applyBorder="1" applyAlignment="1">
      <alignment horizontal="center"/>
    </xf>
    <xf numFmtId="0" fontId="44" fillId="12" borderId="9" xfId="0" applyFont="1" applyFill="1" applyBorder="1"/>
    <xf numFmtId="0" fontId="44" fillId="12" borderId="5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44" fillId="12" borderId="9" xfId="0" applyFont="1" applyFill="1" applyBorder="1" applyAlignment="1">
      <alignment horizontal="left"/>
    </xf>
    <xf numFmtId="9" fontId="44" fillId="12" borderId="5" xfId="0" applyNumberFormat="1" applyFont="1" applyFill="1" applyBorder="1" applyAlignment="1">
      <alignment horizontal="center"/>
    </xf>
    <xf numFmtId="0" fontId="28" fillId="0" borderId="5" xfId="0" applyFont="1" applyBorder="1" applyAlignment="1">
      <alignment horizontal="center"/>
    </xf>
    <xf numFmtId="0" fontId="27" fillId="0" borderId="9" xfId="0" applyFont="1" applyBorder="1" applyAlignment="1">
      <alignment horizontal="center"/>
    </xf>
    <xf numFmtId="43" fontId="51" fillId="0" borderId="5" xfId="27" applyFont="1" applyBorder="1" applyAlignment="1" applyProtection="1">
      <alignment horizontal="center"/>
    </xf>
    <xf numFmtId="0" fontId="27" fillId="12" borderId="9" xfId="0" applyFont="1" applyFill="1" applyBorder="1"/>
    <xf numFmtId="0" fontId="27" fillId="12" borderId="29" xfId="0" applyFont="1" applyFill="1" applyBorder="1"/>
    <xf numFmtId="0" fontId="27" fillId="12" borderId="10" xfId="0" applyFont="1" applyFill="1" applyBorder="1"/>
    <xf numFmtId="171" fontId="44" fillId="0" borderId="5" xfId="468" applyNumberFormat="1" applyFont="1" applyBorder="1" applyAlignment="1" applyProtection="1">
      <alignment horizontal="right"/>
    </xf>
    <xf numFmtId="171" fontId="44" fillId="12" borderId="5" xfId="468" applyNumberFormat="1" applyFont="1" applyFill="1" applyBorder="1" applyAlignment="1" applyProtection="1">
      <alignment horizontal="right"/>
    </xf>
    <xf numFmtId="171" fontId="44" fillId="0" borderId="5" xfId="468" applyNumberFormat="1" applyFont="1" applyFill="1" applyBorder="1" applyAlignment="1" applyProtection="1">
      <alignment horizontal="right"/>
    </xf>
    <xf numFmtId="0" fontId="27" fillId="0" borderId="27" xfId="0" applyFont="1" applyBorder="1" applyAlignment="1">
      <alignment horizontal="right"/>
    </xf>
    <xf numFmtId="43" fontId="51" fillId="0" borderId="5" xfId="27" applyFont="1" applyBorder="1" applyProtection="1">
      <protection locked="0"/>
    </xf>
    <xf numFmtId="43" fontId="10" fillId="0" borderId="5" xfId="27" applyFont="1" applyBorder="1" applyProtection="1">
      <protection locked="0"/>
    </xf>
    <xf numFmtId="43" fontId="24" fillId="0" borderId="5" xfId="27" applyFont="1" applyBorder="1" applyProtection="1">
      <protection locked="0"/>
    </xf>
    <xf numFmtId="0" fontId="0" fillId="0" borderId="8" xfId="0" applyBorder="1" applyProtection="1">
      <protection locked="0"/>
    </xf>
    <xf numFmtId="0" fontId="49" fillId="12" borderId="31" xfId="0" applyFont="1" applyFill="1" applyBorder="1"/>
    <xf numFmtId="0" fontId="56" fillId="0" borderId="9" xfId="0" applyFont="1" applyBorder="1" applyAlignment="1" applyProtection="1">
      <alignment horizontal="left"/>
      <protection locked="0"/>
    </xf>
    <xf numFmtId="0" fontId="0" fillId="12" borderId="9" xfId="0" applyFill="1" applyBorder="1"/>
    <xf numFmtId="0" fontId="0" fillId="0" borderId="28" xfId="0" applyBorder="1" applyProtection="1">
      <protection locked="0"/>
    </xf>
    <xf numFmtId="171" fontId="57" fillId="12" borderId="5" xfId="468" applyNumberFormat="1" applyFont="1" applyFill="1" applyBorder="1" applyAlignment="1" applyProtection="1">
      <alignment horizontal="right"/>
    </xf>
    <xf numFmtId="171" fontId="58" fillId="12" borderId="5" xfId="468" applyNumberFormat="1" applyFont="1" applyFill="1" applyBorder="1" applyAlignment="1" applyProtection="1">
      <alignment horizontal="right"/>
    </xf>
    <xf numFmtId="171" fontId="57" fillId="0" borderId="5" xfId="468" applyNumberFormat="1" applyFont="1" applyFill="1" applyBorder="1" applyAlignment="1" applyProtection="1">
      <alignment horizontal="right"/>
    </xf>
    <xf numFmtId="171" fontId="57" fillId="0" borderId="5" xfId="468" applyNumberFormat="1" applyFont="1" applyBorder="1" applyAlignment="1" applyProtection="1">
      <alignment horizontal="right"/>
    </xf>
    <xf numFmtId="0" fontId="10" fillId="10" borderId="22" xfId="242" applyFont="1" applyFill="1" applyBorder="1" applyAlignment="1">
      <alignment wrapText="1"/>
    </xf>
    <xf numFmtId="0" fontId="0" fillId="0" borderId="0" xfId="0" applyProtection="1">
      <protection locked="0"/>
    </xf>
    <xf numFmtId="171" fontId="26" fillId="12" borderId="5" xfId="468" applyNumberFormat="1" applyFont="1" applyFill="1" applyBorder="1" applyAlignment="1" applyProtection="1">
      <alignment horizontal="right"/>
    </xf>
    <xf numFmtId="0" fontId="0" fillId="0" borderId="0" xfId="0" applyAlignment="1" applyProtection="1">
      <alignment horizontal="center"/>
      <protection locked="0"/>
    </xf>
    <xf numFmtId="0" fontId="28" fillId="0" borderId="0" xfId="0" applyFont="1" applyProtection="1">
      <protection locked="0"/>
    </xf>
    <xf numFmtId="165" fontId="22" fillId="12" borderId="5" xfId="0" applyNumberFormat="1" applyFont="1" applyFill="1" applyBorder="1" applyAlignment="1" applyProtection="1">
      <alignment vertical="top" wrapText="1" readingOrder="1"/>
      <protection locked="0"/>
    </xf>
    <xf numFmtId="164" fontId="0" fillId="0" borderId="5" xfId="0" applyNumberFormat="1" applyBorder="1"/>
    <xf numFmtId="17" fontId="41" fillId="0" borderId="0" xfId="0" applyNumberFormat="1" applyFont="1"/>
    <xf numFmtId="165" fontId="62" fillId="0" borderId="32" xfId="0" applyNumberFormat="1" applyFont="1" applyBorder="1" applyAlignment="1" applyProtection="1">
      <alignment vertical="top" wrapText="1" readingOrder="1"/>
      <protection locked="0"/>
    </xf>
    <xf numFmtId="165" fontId="63" fillId="0" borderId="32" xfId="0" applyNumberFormat="1" applyFont="1" applyBorder="1" applyAlignment="1" applyProtection="1">
      <alignment vertical="top" wrapText="1" readingOrder="1"/>
      <protection locked="0"/>
    </xf>
    <xf numFmtId="165" fontId="63" fillId="9" borderId="32" xfId="0" applyNumberFormat="1" applyFont="1" applyFill="1" applyBorder="1" applyAlignment="1" applyProtection="1">
      <alignment vertical="top" wrapText="1" readingOrder="1"/>
      <protection locked="0"/>
    </xf>
    <xf numFmtId="171" fontId="46" fillId="12" borderId="5" xfId="468" applyNumberFormat="1" applyFont="1" applyFill="1" applyBorder="1" applyAlignment="1" applyProtection="1">
      <alignment horizontal="right"/>
    </xf>
    <xf numFmtId="17" fontId="44" fillId="0" borderId="0" xfId="0" applyNumberFormat="1" applyFont="1"/>
    <xf numFmtId="0" fontId="61" fillId="14" borderId="13" xfId="0" applyFont="1" applyFill="1" applyBorder="1" applyAlignment="1">
      <alignment horizontal="left"/>
    </xf>
    <xf numFmtId="0" fontId="61" fillId="14" borderId="38" xfId="0" applyFont="1" applyFill="1" applyBorder="1" applyAlignment="1">
      <alignment horizontal="left"/>
    </xf>
    <xf numFmtId="165" fontId="22" fillId="0" borderId="32" xfId="0" applyNumberFormat="1" applyFont="1" applyBorder="1" applyAlignment="1" applyProtection="1">
      <alignment vertical="top" wrapText="1" readingOrder="1"/>
      <protection locked="0"/>
    </xf>
    <xf numFmtId="165" fontId="21" fillId="0" borderId="32" xfId="423" applyNumberFormat="1" applyFont="1" applyBorder="1" applyAlignment="1" applyProtection="1">
      <alignment vertical="top" wrapText="1" readingOrder="1"/>
      <protection locked="0"/>
    </xf>
    <xf numFmtId="165" fontId="21" fillId="0" borderId="32" xfId="0" applyNumberFormat="1" applyFont="1" applyBorder="1" applyAlignment="1" applyProtection="1">
      <alignment wrapText="1" readingOrder="1"/>
      <protection locked="0"/>
    </xf>
    <xf numFmtId="165" fontId="21" fillId="9" borderId="32" xfId="423" applyNumberFormat="1" applyFont="1" applyFill="1" applyBorder="1" applyAlignment="1" applyProtection="1">
      <alignment vertical="top" wrapText="1" readingOrder="1"/>
      <protection locked="0"/>
    </xf>
    <xf numFmtId="43" fontId="21" fillId="0" borderId="32" xfId="27" applyFont="1" applyBorder="1" applyAlignment="1" applyProtection="1">
      <alignment vertical="top" wrapText="1" readingOrder="1"/>
      <protection locked="0"/>
    </xf>
    <xf numFmtId="165" fontId="22" fillId="0" borderId="5" xfId="421" applyNumberFormat="1" applyFont="1" applyBorder="1" applyAlignment="1" applyProtection="1">
      <alignment vertical="top" wrapText="1" readingOrder="1"/>
      <protection locked="0"/>
    </xf>
    <xf numFmtId="165" fontId="22" fillId="0" borderId="5" xfId="417" applyNumberFormat="1" applyFont="1" applyBorder="1" applyAlignment="1" applyProtection="1">
      <alignment vertical="top" wrapText="1" readingOrder="1"/>
      <protection locked="0"/>
    </xf>
    <xf numFmtId="165" fontId="22" fillId="9" borderId="32" xfId="0" applyNumberFormat="1" applyFont="1" applyFill="1" applyBorder="1" applyAlignment="1" applyProtection="1">
      <alignment vertical="top" wrapText="1" readingOrder="1"/>
      <protection locked="0"/>
    </xf>
    <xf numFmtId="166" fontId="22" fillId="0" borderId="32" xfId="0" applyNumberFormat="1" applyFont="1" applyBorder="1" applyAlignment="1" applyProtection="1">
      <alignment vertical="top" wrapText="1" readingOrder="1"/>
      <protection locked="0"/>
    </xf>
    <xf numFmtId="166" fontId="22" fillId="0" borderId="5" xfId="421" applyNumberFormat="1" applyFont="1" applyBorder="1" applyAlignment="1" applyProtection="1">
      <alignment vertical="top" wrapText="1" readingOrder="1"/>
      <protection locked="0"/>
    </xf>
    <xf numFmtId="166" fontId="22" fillId="0" borderId="5" xfId="417" applyNumberFormat="1" applyFont="1" applyBorder="1" applyAlignment="1" applyProtection="1">
      <alignment vertical="top" wrapText="1" readingOrder="1"/>
      <protection locked="0"/>
    </xf>
    <xf numFmtId="0" fontId="65" fillId="0" borderId="58" xfId="0" applyFont="1" applyBorder="1" applyAlignment="1">
      <alignment wrapText="1" readingOrder="1"/>
    </xf>
    <xf numFmtId="4" fontId="65" fillId="0" borderId="58" xfId="0" applyNumberFormat="1" applyFont="1" applyBorder="1" applyAlignment="1">
      <alignment wrapText="1" readingOrder="1"/>
    </xf>
    <xf numFmtId="4" fontId="65" fillId="0" borderId="57" xfId="0" applyNumberFormat="1" applyFont="1" applyBorder="1" applyAlignment="1">
      <alignment wrapText="1" readingOrder="1"/>
    </xf>
    <xf numFmtId="0" fontId="66" fillId="0" borderId="58" xfId="0" applyFont="1" applyBorder="1" applyAlignment="1">
      <alignment wrapText="1" readingOrder="1"/>
    </xf>
    <xf numFmtId="4" fontId="66" fillId="0" borderId="58" xfId="0" applyNumberFormat="1" applyFont="1" applyBorder="1" applyAlignment="1">
      <alignment wrapText="1" readingOrder="1"/>
    </xf>
    <xf numFmtId="4" fontId="66" fillId="19" borderId="58" xfId="0" applyNumberFormat="1" applyFont="1" applyFill="1" applyBorder="1" applyAlignment="1">
      <alignment wrapText="1" readingOrder="1"/>
    </xf>
    <xf numFmtId="0" fontId="29" fillId="0" borderId="0" xfId="0" applyFont="1"/>
    <xf numFmtId="17" fontId="29" fillId="0" borderId="0" xfId="0" applyNumberFormat="1" applyFont="1"/>
    <xf numFmtId="165" fontId="67" fillId="0" borderId="32" xfId="0" applyNumberFormat="1" applyFont="1" applyBorder="1" applyAlignment="1" applyProtection="1">
      <alignment vertical="top" wrapText="1" readingOrder="1"/>
      <protection locked="0"/>
    </xf>
    <xf numFmtId="165" fontId="67" fillId="9" borderId="32" xfId="0" applyNumberFormat="1" applyFont="1" applyFill="1" applyBorder="1" applyAlignment="1" applyProtection="1">
      <alignment vertical="top" wrapText="1" readingOrder="1"/>
      <protection locked="0"/>
    </xf>
    <xf numFmtId="0" fontId="65" fillId="0" borderId="57" xfId="0" applyFont="1" applyBorder="1" applyAlignment="1">
      <alignment wrapText="1" readingOrder="1"/>
    </xf>
    <xf numFmtId="4" fontId="65" fillId="0" borderId="59" xfId="0" applyNumberFormat="1" applyFont="1" applyBorder="1" applyAlignment="1">
      <alignment wrapText="1" readingOrder="1"/>
    </xf>
    <xf numFmtId="0" fontId="41" fillId="12" borderId="59" xfId="0" applyFont="1" applyFill="1" applyBorder="1"/>
    <xf numFmtId="0" fontId="65" fillId="0" borderId="59" xfId="0" applyFont="1" applyBorder="1" applyAlignment="1">
      <alignment wrapText="1" readingOrder="1"/>
    </xf>
    <xf numFmtId="0" fontId="41" fillId="12" borderId="27" xfId="0" applyFont="1" applyFill="1" applyBorder="1"/>
    <xf numFmtId="0" fontId="41" fillId="12" borderId="61" xfId="0" applyFont="1" applyFill="1" applyBorder="1"/>
    <xf numFmtId="17" fontId="41" fillId="21" borderId="0" xfId="0" applyNumberFormat="1" applyFont="1" applyFill="1"/>
    <xf numFmtId="43" fontId="41" fillId="21" borderId="0" xfId="27" applyFont="1" applyFill="1"/>
    <xf numFmtId="43" fontId="0" fillId="0" borderId="62" xfId="27" applyFont="1" applyBorder="1" applyAlignment="1" applyProtection="1">
      <alignment vertical="top" wrapText="1"/>
      <protection locked="0"/>
    </xf>
    <xf numFmtId="43" fontId="0" fillId="0" borderId="62" xfId="27" applyFont="1" applyBorder="1" applyAlignment="1" applyProtection="1">
      <alignment vertical="top" wrapText="1" readingOrder="1"/>
      <protection locked="0"/>
    </xf>
    <xf numFmtId="43" fontId="44" fillId="0" borderId="0" xfId="27" applyFont="1"/>
    <xf numFmtId="43" fontId="22" fillId="0" borderId="32" xfId="27" applyFont="1" applyBorder="1" applyAlignment="1" applyProtection="1">
      <alignment vertical="top" wrapText="1" readingOrder="1"/>
      <protection locked="0"/>
    </xf>
    <xf numFmtId="165" fontId="22" fillId="0" borderId="60" xfId="0" applyNumberFormat="1" applyFont="1" applyBorder="1" applyAlignment="1" applyProtection="1">
      <alignment vertical="top" wrapText="1" readingOrder="1"/>
      <protection locked="0"/>
    </xf>
    <xf numFmtId="165" fontId="22" fillId="0" borderId="59" xfId="0" applyNumberFormat="1" applyFont="1" applyBorder="1" applyAlignment="1" applyProtection="1">
      <alignment vertical="top" wrapText="1" readingOrder="1"/>
      <protection locked="0"/>
    </xf>
    <xf numFmtId="4" fontId="66" fillId="20" borderId="58" xfId="0" applyNumberFormat="1" applyFont="1" applyFill="1" applyBorder="1" applyAlignment="1">
      <alignment wrapText="1" readingOrder="1"/>
    </xf>
    <xf numFmtId="165" fontId="68" fillId="9" borderId="32" xfId="0" applyNumberFormat="1" applyFont="1" applyFill="1" applyBorder="1" applyAlignment="1" applyProtection="1">
      <alignment vertical="top" wrapText="1" readingOrder="1"/>
      <protection locked="0"/>
    </xf>
    <xf numFmtId="165" fontId="68" fillId="0" borderId="32" xfId="0" applyNumberFormat="1" applyFont="1" applyBorder="1" applyAlignment="1" applyProtection="1">
      <alignment vertical="top" wrapText="1" readingOrder="1"/>
      <protection locked="0"/>
    </xf>
    <xf numFmtId="166" fontId="68" fillId="0" borderId="32" xfId="0" applyNumberFormat="1" applyFont="1" applyBorder="1" applyAlignment="1" applyProtection="1">
      <alignment vertical="top" wrapText="1" readingOrder="1"/>
      <protection locked="0"/>
    </xf>
    <xf numFmtId="165" fontId="69" fillId="9" borderId="32" xfId="0" applyNumberFormat="1" applyFont="1" applyFill="1" applyBorder="1" applyAlignment="1" applyProtection="1">
      <alignment vertical="top" wrapText="1" readingOrder="1"/>
      <protection locked="0"/>
    </xf>
    <xf numFmtId="165" fontId="69" fillId="0" borderId="32" xfId="0" applyNumberFormat="1" applyFont="1" applyBorder="1" applyAlignment="1" applyProtection="1">
      <alignment vertical="top" wrapText="1" readingOrder="1"/>
      <protection locked="0"/>
    </xf>
    <xf numFmtId="165" fontId="22" fillId="22" borderId="32" xfId="0" applyNumberFormat="1" applyFont="1" applyFill="1" applyBorder="1" applyAlignment="1" applyProtection="1">
      <alignment vertical="top" wrapText="1" readingOrder="1"/>
      <protection locked="0"/>
    </xf>
    <xf numFmtId="165" fontId="68" fillId="22" borderId="32" xfId="0" applyNumberFormat="1" applyFont="1" applyFill="1" applyBorder="1" applyAlignment="1" applyProtection="1">
      <alignment vertical="top" wrapText="1" readingOrder="1"/>
      <protection locked="0"/>
    </xf>
    <xf numFmtId="178" fontId="41" fillId="0" borderId="0" xfId="0" applyNumberFormat="1" applyFont="1"/>
    <xf numFmtId="4" fontId="41" fillId="0" borderId="0" xfId="0" applyNumberFormat="1" applyFont="1"/>
    <xf numFmtId="43" fontId="68" fillId="0" borderId="32" xfId="27" applyFont="1" applyBorder="1" applyAlignment="1" applyProtection="1">
      <alignment vertical="top" wrapText="1" readingOrder="1"/>
      <protection locked="0"/>
    </xf>
    <xf numFmtId="43" fontId="45" fillId="0" borderId="0" xfId="27" applyFont="1"/>
    <xf numFmtId="0" fontId="70" fillId="0" borderId="0" xfId="0" applyFont="1"/>
    <xf numFmtId="0" fontId="70" fillId="0" borderId="6" xfId="0" applyFont="1" applyBorder="1"/>
    <xf numFmtId="0" fontId="70" fillId="0" borderId="7" xfId="0" applyFont="1" applyBorder="1"/>
    <xf numFmtId="17" fontId="59" fillId="0" borderId="7" xfId="0" applyNumberFormat="1" applyFont="1" applyBorder="1"/>
    <xf numFmtId="176" fontId="59" fillId="0" borderId="7" xfId="0" applyNumberFormat="1" applyFont="1" applyBorder="1"/>
    <xf numFmtId="17" fontId="70" fillId="0" borderId="0" xfId="0" applyNumberFormat="1" applyFont="1"/>
    <xf numFmtId="0" fontId="72" fillId="0" borderId="5" xfId="0" applyFont="1" applyBorder="1" applyAlignment="1">
      <alignment horizontal="left" vertical="top" wrapText="1"/>
    </xf>
    <xf numFmtId="0" fontId="72" fillId="0" borderId="5" xfId="0" applyFont="1" applyBorder="1" applyAlignment="1">
      <alignment horizontal="center" vertical="center" wrapText="1"/>
    </xf>
    <xf numFmtId="43" fontId="70" fillId="0" borderId="5" xfId="27" applyFont="1" applyBorder="1"/>
    <xf numFmtId="43" fontId="70" fillId="0" borderId="41" xfId="27" applyFont="1" applyBorder="1"/>
    <xf numFmtId="171" fontId="70" fillId="0" borderId="5" xfId="468" applyNumberFormat="1" applyFont="1" applyBorder="1"/>
    <xf numFmtId="9" fontId="72" fillId="0" borderId="5" xfId="468" applyFont="1" applyBorder="1" applyAlignment="1">
      <alignment horizontal="center" vertical="center" wrapText="1"/>
    </xf>
    <xf numFmtId="0" fontId="70" fillId="0" borderId="5" xfId="0" applyFont="1" applyBorder="1"/>
    <xf numFmtId="9" fontId="70" fillId="0" borderId="5" xfId="468" applyFont="1" applyBorder="1"/>
    <xf numFmtId="171" fontId="72" fillId="0" borderId="5" xfId="468" applyNumberFormat="1" applyFont="1" applyBorder="1" applyAlignment="1">
      <alignment horizontal="center" vertical="center" wrapText="1"/>
    </xf>
    <xf numFmtId="10" fontId="70" fillId="0" borderId="8" xfId="468" applyNumberFormat="1" applyFont="1" applyBorder="1"/>
    <xf numFmtId="9" fontId="73" fillId="0" borderId="5" xfId="468" applyFont="1" applyBorder="1"/>
    <xf numFmtId="0" fontId="70" fillId="0" borderId="5" xfId="0" applyFont="1" applyBorder="1" applyAlignment="1">
      <alignment horizontal="center" vertical="center"/>
    </xf>
    <xf numFmtId="0" fontId="74" fillId="0" borderId="5" xfId="0" applyFont="1" applyBorder="1" applyAlignment="1">
      <alignment vertical="top" wrapText="1"/>
    </xf>
    <xf numFmtId="0" fontId="74" fillId="0" borderId="5" xfId="0" applyFont="1" applyBorder="1" applyAlignment="1">
      <alignment horizontal="center" vertical="center" wrapText="1"/>
    </xf>
    <xf numFmtId="0" fontId="74" fillId="0" borderId="5" xfId="0" applyFont="1" applyBorder="1" applyAlignment="1">
      <alignment horizontal="left" vertical="top" wrapText="1"/>
    </xf>
    <xf numFmtId="0" fontId="76" fillId="0" borderId="5" xfId="242" applyFont="1" applyBorder="1"/>
    <xf numFmtId="0" fontId="77" fillId="0" borderId="5" xfId="242" applyFont="1" applyBorder="1"/>
    <xf numFmtId="0" fontId="78" fillId="0" borderId="9" xfId="242" applyFont="1" applyBorder="1"/>
    <xf numFmtId="0" fontId="70" fillId="0" borderId="9" xfId="0" applyFont="1" applyBorder="1"/>
    <xf numFmtId="0" fontId="76" fillId="0" borderId="9" xfId="242" applyFont="1" applyBorder="1"/>
    <xf numFmtId="0" fontId="78" fillId="0" borderId="10" xfId="242" applyFont="1" applyBorder="1"/>
    <xf numFmtId="0" fontId="70" fillId="0" borderId="11" xfId="0" applyFont="1" applyBorder="1"/>
    <xf numFmtId="0" fontId="48" fillId="0" borderId="5" xfId="0" applyFont="1" applyBorder="1"/>
    <xf numFmtId="0" fontId="48" fillId="0" borderId="12" xfId="0" applyFont="1" applyBorder="1"/>
    <xf numFmtId="0" fontId="48" fillId="0" borderId="0" xfId="0" applyFont="1"/>
    <xf numFmtId="0" fontId="79" fillId="0" borderId="0" xfId="0" applyFont="1"/>
    <xf numFmtId="0" fontId="79" fillId="10" borderId="0" xfId="0" applyFont="1" applyFill="1"/>
    <xf numFmtId="43" fontId="48" fillId="0" borderId="5" xfId="27" applyFont="1" applyBorder="1"/>
    <xf numFmtId="0" fontId="80" fillId="10" borderId="5" xfId="0" applyFont="1" applyFill="1" applyBorder="1" applyAlignment="1" applyProtection="1">
      <alignment vertical="top" readingOrder="1"/>
      <protection locked="0"/>
    </xf>
    <xf numFmtId="0" fontId="80" fillId="10" borderId="5" xfId="0" applyFont="1" applyFill="1" applyBorder="1" applyAlignment="1" applyProtection="1">
      <alignment horizontal="center" vertical="top" readingOrder="1"/>
      <protection locked="0"/>
    </xf>
    <xf numFmtId="176" fontId="80" fillId="10" borderId="5" xfId="0" applyNumberFormat="1" applyFont="1" applyFill="1" applyBorder="1" applyAlignment="1" applyProtection="1">
      <alignment horizontal="center" vertical="top" readingOrder="1"/>
      <protection locked="0"/>
    </xf>
    <xf numFmtId="0" fontId="81" fillId="0" borderId="5" xfId="0" applyFont="1" applyBorder="1"/>
    <xf numFmtId="175" fontId="79" fillId="0" borderId="5" xfId="27" applyNumberFormat="1" applyFont="1" applyBorder="1"/>
    <xf numFmtId="0" fontId="79" fillId="0" borderId="5" xfId="0" applyFont="1" applyBorder="1"/>
    <xf numFmtId="0" fontId="79" fillId="10" borderId="5" xfId="0" applyFont="1" applyFill="1" applyBorder="1"/>
    <xf numFmtId="175" fontId="79" fillId="0" borderId="5" xfId="0" applyNumberFormat="1" applyFont="1" applyBorder="1"/>
    <xf numFmtId="0" fontId="82" fillId="0" borderId="5" xfId="0" applyFont="1" applyBorder="1"/>
    <xf numFmtId="174" fontId="81" fillId="0" borderId="5" xfId="0" applyNumberFormat="1" applyFont="1" applyBorder="1"/>
    <xf numFmtId="174" fontId="40" fillId="0" borderId="5" xfId="0" applyNumberFormat="1" applyFont="1" applyBorder="1"/>
    <xf numFmtId="175" fontId="37" fillId="0" borderId="5" xfId="0" applyNumberFormat="1" applyFont="1" applyBorder="1"/>
    <xf numFmtId="0" fontId="37" fillId="0" borderId="0" xfId="0" applyFont="1"/>
    <xf numFmtId="9" fontId="82" fillId="0" borderId="5" xfId="468" applyFont="1" applyBorder="1"/>
    <xf numFmtId="0" fontId="83" fillId="0" borderId="5" xfId="0" applyFont="1" applyBorder="1"/>
    <xf numFmtId="0" fontId="84" fillId="0" borderId="5" xfId="0" applyFont="1" applyBorder="1"/>
    <xf numFmtId="174" fontId="81" fillId="0" borderId="5" xfId="0" applyNumberFormat="1" applyFont="1" applyBorder="1" applyAlignment="1">
      <alignment horizontal="right"/>
    </xf>
    <xf numFmtId="175" fontId="82" fillId="0" borderId="5" xfId="0" applyNumberFormat="1" applyFont="1" applyBorder="1"/>
    <xf numFmtId="9" fontId="79" fillId="0" borderId="5" xfId="0" applyNumberFormat="1" applyFont="1" applyBorder="1"/>
    <xf numFmtId="0" fontId="40" fillId="0" borderId="5" xfId="0" applyFont="1" applyBorder="1"/>
    <xf numFmtId="0" fontId="75" fillId="0" borderId="9" xfId="242" applyFont="1" applyBorder="1" applyAlignment="1">
      <alignment horizontal="left" vertical="top"/>
    </xf>
    <xf numFmtId="0" fontId="75" fillId="0" borderId="9" xfId="242" applyFont="1" applyBorder="1" applyAlignment="1">
      <alignment horizontal="left" vertical="top" wrapText="1"/>
    </xf>
    <xf numFmtId="0" fontId="71" fillId="0" borderId="9" xfId="0" applyFont="1" applyBorder="1" applyAlignment="1">
      <alignment horizontal="center" vertical="top" wrapText="1"/>
    </xf>
    <xf numFmtId="0" fontId="59" fillId="0" borderId="0" xfId="0" applyFont="1" applyAlignment="1">
      <alignment horizontal="center"/>
    </xf>
    <xf numFmtId="0" fontId="71" fillId="0" borderId="9" xfId="0" applyFont="1" applyBorder="1" applyAlignment="1">
      <alignment horizontal="center" vertical="top"/>
    </xf>
    <xf numFmtId="0" fontId="60" fillId="0" borderId="35" xfId="0" applyFont="1" applyBorder="1" applyAlignment="1">
      <alignment horizontal="center" wrapText="1"/>
    </xf>
    <xf numFmtId="0" fontId="60" fillId="0" borderId="0" xfId="0" applyFont="1" applyAlignment="1">
      <alignment horizontal="center" wrapText="1"/>
    </xf>
    <xf numFmtId="0" fontId="60" fillId="0" borderId="36" xfId="0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0" fontId="27" fillId="0" borderId="6" xfId="0" applyFont="1" applyBorder="1" applyAlignment="1" applyProtection="1">
      <alignment horizontal="center"/>
      <protection locked="0"/>
    </xf>
    <xf numFmtId="0" fontId="27" fillId="0" borderId="7" xfId="0" applyFont="1" applyBorder="1" applyAlignment="1" applyProtection="1">
      <alignment horizontal="center"/>
      <protection locked="0"/>
    </xf>
    <xf numFmtId="0" fontId="27" fillId="0" borderId="39" xfId="0" applyFont="1" applyBorder="1" applyAlignment="1" applyProtection="1">
      <alignment horizontal="center"/>
      <protection locked="0"/>
    </xf>
    <xf numFmtId="0" fontId="27" fillId="0" borderId="40" xfId="0" applyFont="1" applyBorder="1" applyAlignment="1" applyProtection="1">
      <alignment horizontal="center"/>
      <protection locked="0"/>
    </xf>
    <xf numFmtId="0" fontId="27" fillId="0" borderId="9" xfId="0" applyFont="1" applyBorder="1" applyAlignment="1" applyProtection="1">
      <alignment horizontal="center"/>
      <protection locked="0"/>
    </xf>
    <xf numFmtId="0" fontId="27" fillId="0" borderId="5" xfId="0" applyFont="1" applyBorder="1" applyAlignment="1" applyProtection="1">
      <alignment horizontal="center"/>
      <protection locked="0"/>
    </xf>
    <xf numFmtId="0" fontId="27" fillId="0" borderId="27" xfId="0" applyFont="1" applyBorder="1" applyAlignment="1" applyProtection="1">
      <alignment horizontal="center"/>
      <protection locked="0"/>
    </xf>
    <xf numFmtId="0" fontId="27" fillId="0" borderId="8" xfId="0" applyFont="1" applyBorder="1" applyAlignment="1" applyProtection="1">
      <alignment horizontal="center"/>
      <protection locked="0"/>
    </xf>
    <xf numFmtId="0" fontId="27" fillId="0" borderId="12" xfId="0" applyFont="1" applyBorder="1" applyAlignment="1">
      <alignment horizontal="center"/>
    </xf>
    <xf numFmtId="0" fontId="27" fillId="0" borderId="41" xfId="0" applyFont="1" applyBorder="1" applyAlignment="1">
      <alignment horizontal="center"/>
    </xf>
    <xf numFmtId="0" fontId="27" fillId="0" borderId="14" xfId="0" applyFont="1" applyBorder="1" applyAlignment="1" applyProtection="1">
      <alignment horizontal="center"/>
      <protection locked="0"/>
    </xf>
    <xf numFmtId="0" fontId="27" fillId="0" borderId="28" xfId="0" applyFont="1" applyBorder="1" applyAlignment="1" applyProtection="1">
      <alignment horizontal="center"/>
      <protection locked="0"/>
    </xf>
    <xf numFmtId="17" fontId="27" fillId="0" borderId="42" xfId="0" applyNumberFormat="1" applyFont="1" applyBorder="1" applyAlignment="1" applyProtection="1">
      <alignment horizontal="center" wrapText="1"/>
      <protection locked="0"/>
    </xf>
    <xf numFmtId="17" fontId="27" fillId="0" borderId="43" xfId="0" applyNumberFormat="1" applyFont="1" applyBorder="1" applyAlignment="1" applyProtection="1">
      <alignment horizontal="center" wrapText="1"/>
      <protection locked="0"/>
    </xf>
    <xf numFmtId="0" fontId="45" fillId="0" borderId="42" xfId="0" applyFont="1" applyBorder="1" applyAlignment="1">
      <alignment horizontal="center" wrapText="1"/>
    </xf>
    <xf numFmtId="0" fontId="45" fillId="0" borderId="43" xfId="0" applyFont="1" applyBorder="1" applyAlignment="1">
      <alignment horizontal="center" wrapText="1"/>
    </xf>
    <xf numFmtId="0" fontId="61" fillId="14" borderId="37" xfId="0" applyFont="1" applyFill="1" applyBorder="1" applyAlignment="1">
      <alignment horizontal="left"/>
    </xf>
    <xf numFmtId="0" fontId="61" fillId="14" borderId="13" xfId="0" applyFont="1" applyFill="1" applyBorder="1" applyAlignment="1">
      <alignment horizontal="left"/>
    </xf>
    <xf numFmtId="0" fontId="61" fillId="14" borderId="38" xfId="0" applyFont="1" applyFill="1" applyBorder="1" applyAlignment="1">
      <alignment horizontal="left"/>
    </xf>
    <xf numFmtId="0" fontId="0" fillId="0" borderId="27" xfId="0" applyBorder="1" applyAlignment="1" applyProtection="1">
      <alignment horizontal="center"/>
      <protection locked="0"/>
    </xf>
    <xf numFmtId="0" fontId="0" fillId="0" borderId="14" xfId="0" applyBorder="1" applyAlignment="1" applyProtection="1">
      <alignment horizontal="center"/>
      <protection locked="0"/>
    </xf>
    <xf numFmtId="0" fontId="0" fillId="0" borderId="28" xfId="0" applyBorder="1" applyAlignment="1" applyProtection="1">
      <alignment horizontal="center"/>
      <protection locked="0"/>
    </xf>
    <xf numFmtId="0" fontId="45" fillId="13" borderId="9" xfId="0" applyFont="1" applyFill="1" applyBorder="1" applyAlignment="1">
      <alignment horizontal="left"/>
    </xf>
    <xf numFmtId="0" fontId="45" fillId="13" borderId="5" xfId="0" applyFont="1" applyFill="1" applyBorder="1" applyAlignment="1">
      <alignment horizontal="left"/>
    </xf>
    <xf numFmtId="0" fontId="45" fillId="13" borderId="27" xfId="0" applyFont="1" applyFill="1" applyBorder="1" applyAlignment="1">
      <alignment horizontal="left"/>
    </xf>
    <xf numFmtId="0" fontId="45" fillId="13" borderId="8" xfId="0" applyFont="1" applyFill="1" applyBorder="1" applyAlignment="1">
      <alignment horizontal="left"/>
    </xf>
    <xf numFmtId="0" fontId="20" fillId="0" borderId="0" xfId="0" applyFont="1" applyAlignment="1" applyProtection="1">
      <alignment vertical="top" wrapText="1" readingOrder="1"/>
      <protection locked="0"/>
    </xf>
  </cellXfs>
  <cellStyles count="474">
    <cellStyle name="60% - Accent2 2" xfId="1" xr:uid="{00000000-0005-0000-0000-000000000000}"/>
    <cellStyle name="Accent1 2" xfId="2" xr:uid="{00000000-0005-0000-0000-000001000000}"/>
    <cellStyle name="Accent1 2 10" xfId="3" xr:uid="{00000000-0005-0000-0000-000002000000}"/>
    <cellStyle name="Accent1 2 11" xfId="4" xr:uid="{00000000-0005-0000-0000-000003000000}"/>
    <cellStyle name="Accent1 2 12" xfId="5" xr:uid="{00000000-0005-0000-0000-000004000000}"/>
    <cellStyle name="Accent1 2 2" xfId="6" xr:uid="{00000000-0005-0000-0000-000005000000}"/>
    <cellStyle name="Accent1 2 3" xfId="7" xr:uid="{00000000-0005-0000-0000-000006000000}"/>
    <cellStyle name="Accent1 2 4" xfId="8" xr:uid="{00000000-0005-0000-0000-000007000000}"/>
    <cellStyle name="Accent1 2 5" xfId="9" xr:uid="{00000000-0005-0000-0000-000008000000}"/>
    <cellStyle name="Accent1 2 6" xfId="10" xr:uid="{00000000-0005-0000-0000-000009000000}"/>
    <cellStyle name="Accent1 2 7" xfId="11" xr:uid="{00000000-0005-0000-0000-00000A000000}"/>
    <cellStyle name="Accent1 2 8" xfId="12" xr:uid="{00000000-0005-0000-0000-00000B000000}"/>
    <cellStyle name="Accent1 2 9" xfId="13" xr:uid="{00000000-0005-0000-0000-00000C000000}"/>
    <cellStyle name="Accent5 2" xfId="14" xr:uid="{00000000-0005-0000-0000-00000D000000}"/>
    <cellStyle name="Accent5 2 10" xfId="15" xr:uid="{00000000-0005-0000-0000-00000E000000}"/>
    <cellStyle name="Accent5 2 11" xfId="16" xr:uid="{00000000-0005-0000-0000-00000F000000}"/>
    <cellStyle name="Accent5 2 12" xfId="17" xr:uid="{00000000-0005-0000-0000-000010000000}"/>
    <cellStyle name="Accent5 2 2" xfId="18" xr:uid="{00000000-0005-0000-0000-000011000000}"/>
    <cellStyle name="Accent5 2 3" xfId="19" xr:uid="{00000000-0005-0000-0000-000012000000}"/>
    <cellStyle name="Accent5 2 4" xfId="20" xr:uid="{00000000-0005-0000-0000-000013000000}"/>
    <cellStyle name="Accent5 2 5" xfId="21" xr:uid="{00000000-0005-0000-0000-000014000000}"/>
    <cellStyle name="Accent5 2 6" xfId="22" xr:uid="{00000000-0005-0000-0000-000015000000}"/>
    <cellStyle name="Accent5 2 7" xfId="23" xr:uid="{00000000-0005-0000-0000-000016000000}"/>
    <cellStyle name="Accent5 2 8" xfId="24" xr:uid="{00000000-0005-0000-0000-000017000000}"/>
    <cellStyle name="Accent5 2 9" xfId="25" xr:uid="{00000000-0005-0000-0000-000018000000}"/>
    <cellStyle name="Check Cell 2" xfId="26" xr:uid="{00000000-0005-0000-0000-000019000000}"/>
    <cellStyle name="Comma" xfId="27" builtinId="3"/>
    <cellStyle name="Comma 10" xfId="28" xr:uid="{00000000-0005-0000-0000-00001B000000}"/>
    <cellStyle name="Comma 10 10" xfId="29" xr:uid="{00000000-0005-0000-0000-00001C000000}"/>
    <cellStyle name="Comma 10 10 2" xfId="30" xr:uid="{00000000-0005-0000-0000-00001D000000}"/>
    <cellStyle name="Comma 10 11" xfId="31" xr:uid="{00000000-0005-0000-0000-00001E000000}"/>
    <cellStyle name="Comma 10 12" xfId="32" xr:uid="{00000000-0005-0000-0000-00001F000000}"/>
    <cellStyle name="Comma 10 13" xfId="33" xr:uid="{00000000-0005-0000-0000-000020000000}"/>
    <cellStyle name="Comma 10 14" xfId="34" xr:uid="{00000000-0005-0000-0000-000021000000}"/>
    <cellStyle name="Comma 10 15" xfId="35" xr:uid="{00000000-0005-0000-0000-000022000000}"/>
    <cellStyle name="Comma 10 16" xfId="36" xr:uid="{00000000-0005-0000-0000-000023000000}"/>
    <cellStyle name="Comma 10 2" xfId="37" xr:uid="{00000000-0005-0000-0000-000024000000}"/>
    <cellStyle name="Comma 10 3" xfId="38" xr:uid="{00000000-0005-0000-0000-000025000000}"/>
    <cellStyle name="Comma 10 4" xfId="39" xr:uid="{00000000-0005-0000-0000-000026000000}"/>
    <cellStyle name="Comma 10 5" xfId="40" xr:uid="{00000000-0005-0000-0000-000027000000}"/>
    <cellStyle name="Comma 10 6" xfId="41" xr:uid="{00000000-0005-0000-0000-000028000000}"/>
    <cellStyle name="Comma 10 7" xfId="42" xr:uid="{00000000-0005-0000-0000-000029000000}"/>
    <cellStyle name="Comma 10 8" xfId="43" xr:uid="{00000000-0005-0000-0000-00002A000000}"/>
    <cellStyle name="Comma 10 9" xfId="44" xr:uid="{00000000-0005-0000-0000-00002B000000}"/>
    <cellStyle name="Comma 11" xfId="45" xr:uid="{00000000-0005-0000-0000-00002C000000}"/>
    <cellStyle name="Comma 11 10" xfId="46" xr:uid="{00000000-0005-0000-0000-00002D000000}"/>
    <cellStyle name="Comma 11 11" xfId="47" xr:uid="{00000000-0005-0000-0000-00002E000000}"/>
    <cellStyle name="Comma 11 12" xfId="48" xr:uid="{00000000-0005-0000-0000-00002F000000}"/>
    <cellStyle name="Comma 11 13" xfId="49" xr:uid="{00000000-0005-0000-0000-000030000000}"/>
    <cellStyle name="Comma 11 14" xfId="50" xr:uid="{00000000-0005-0000-0000-000031000000}"/>
    <cellStyle name="Comma 11 15" xfId="51" xr:uid="{00000000-0005-0000-0000-000032000000}"/>
    <cellStyle name="Comma 11 16" xfId="52" xr:uid="{00000000-0005-0000-0000-000033000000}"/>
    <cellStyle name="Comma 11 17" xfId="53" xr:uid="{00000000-0005-0000-0000-000034000000}"/>
    <cellStyle name="Comma 11 2" xfId="54" xr:uid="{00000000-0005-0000-0000-000035000000}"/>
    <cellStyle name="Comma 11 2 2" xfId="55" xr:uid="{00000000-0005-0000-0000-000036000000}"/>
    <cellStyle name="Comma 11 3" xfId="56" xr:uid="{00000000-0005-0000-0000-000037000000}"/>
    <cellStyle name="Comma 11 4" xfId="57" xr:uid="{00000000-0005-0000-0000-000038000000}"/>
    <cellStyle name="Comma 11 5" xfId="58" xr:uid="{00000000-0005-0000-0000-000039000000}"/>
    <cellStyle name="Comma 11 6" xfId="59" xr:uid="{00000000-0005-0000-0000-00003A000000}"/>
    <cellStyle name="Comma 11 7" xfId="60" xr:uid="{00000000-0005-0000-0000-00003B000000}"/>
    <cellStyle name="Comma 11 8" xfId="61" xr:uid="{00000000-0005-0000-0000-00003C000000}"/>
    <cellStyle name="Comma 11 9" xfId="62" xr:uid="{00000000-0005-0000-0000-00003D000000}"/>
    <cellStyle name="Comma 12" xfId="63" xr:uid="{00000000-0005-0000-0000-00003E000000}"/>
    <cellStyle name="Comma 13" xfId="64" xr:uid="{00000000-0005-0000-0000-00003F000000}"/>
    <cellStyle name="Comma 14" xfId="65" xr:uid="{00000000-0005-0000-0000-000040000000}"/>
    <cellStyle name="Comma 15" xfId="66" xr:uid="{00000000-0005-0000-0000-000041000000}"/>
    <cellStyle name="Comma 16" xfId="67" xr:uid="{00000000-0005-0000-0000-000042000000}"/>
    <cellStyle name="Comma 16 10" xfId="68" xr:uid="{00000000-0005-0000-0000-000043000000}"/>
    <cellStyle name="Comma 16 11" xfId="69" xr:uid="{00000000-0005-0000-0000-000044000000}"/>
    <cellStyle name="Comma 16 12" xfId="70" xr:uid="{00000000-0005-0000-0000-000045000000}"/>
    <cellStyle name="Comma 16 13" xfId="71" xr:uid="{00000000-0005-0000-0000-000046000000}"/>
    <cellStyle name="Comma 16 14" xfId="72" xr:uid="{00000000-0005-0000-0000-000047000000}"/>
    <cellStyle name="Comma 16 15" xfId="73" xr:uid="{00000000-0005-0000-0000-000048000000}"/>
    <cellStyle name="Comma 16 16" xfId="74" xr:uid="{00000000-0005-0000-0000-000049000000}"/>
    <cellStyle name="Comma 16 2" xfId="75" xr:uid="{00000000-0005-0000-0000-00004A000000}"/>
    <cellStyle name="Comma 16 3" xfId="76" xr:uid="{00000000-0005-0000-0000-00004B000000}"/>
    <cellStyle name="Comma 16 4" xfId="77" xr:uid="{00000000-0005-0000-0000-00004C000000}"/>
    <cellStyle name="Comma 16 5" xfId="78" xr:uid="{00000000-0005-0000-0000-00004D000000}"/>
    <cellStyle name="Comma 16 6" xfId="79" xr:uid="{00000000-0005-0000-0000-00004E000000}"/>
    <cellStyle name="Comma 16 7" xfId="80" xr:uid="{00000000-0005-0000-0000-00004F000000}"/>
    <cellStyle name="Comma 16 8" xfId="81" xr:uid="{00000000-0005-0000-0000-000050000000}"/>
    <cellStyle name="Comma 16 9" xfId="82" xr:uid="{00000000-0005-0000-0000-000051000000}"/>
    <cellStyle name="Comma 17" xfId="83" xr:uid="{00000000-0005-0000-0000-000052000000}"/>
    <cellStyle name="Comma 17 10" xfId="84" xr:uid="{00000000-0005-0000-0000-000053000000}"/>
    <cellStyle name="Comma 17 2" xfId="85" xr:uid="{00000000-0005-0000-0000-000054000000}"/>
    <cellStyle name="Comma 17 3" xfId="86" xr:uid="{00000000-0005-0000-0000-000055000000}"/>
    <cellStyle name="Comma 17 4" xfId="87" xr:uid="{00000000-0005-0000-0000-000056000000}"/>
    <cellStyle name="Comma 17 5" xfId="88" xr:uid="{00000000-0005-0000-0000-000057000000}"/>
    <cellStyle name="Comma 17 6" xfId="89" xr:uid="{00000000-0005-0000-0000-000058000000}"/>
    <cellStyle name="Comma 17 7" xfId="90" xr:uid="{00000000-0005-0000-0000-000059000000}"/>
    <cellStyle name="Comma 17 8" xfId="91" xr:uid="{00000000-0005-0000-0000-00005A000000}"/>
    <cellStyle name="Comma 17 9" xfId="92" xr:uid="{00000000-0005-0000-0000-00005B000000}"/>
    <cellStyle name="Comma 18" xfId="93" xr:uid="{00000000-0005-0000-0000-00005C000000}"/>
    <cellStyle name="Comma 18 2" xfId="94" xr:uid="{00000000-0005-0000-0000-00005D000000}"/>
    <cellStyle name="Comma 18 3" xfId="95" xr:uid="{00000000-0005-0000-0000-00005E000000}"/>
    <cellStyle name="Comma 2" xfId="96" xr:uid="{00000000-0005-0000-0000-00005F000000}"/>
    <cellStyle name="Comma 2 10" xfId="97" xr:uid="{00000000-0005-0000-0000-000060000000}"/>
    <cellStyle name="Comma 2 11" xfId="98" xr:uid="{00000000-0005-0000-0000-000061000000}"/>
    <cellStyle name="Comma 2 12" xfId="99" xr:uid="{00000000-0005-0000-0000-000062000000}"/>
    <cellStyle name="Comma 2 13" xfId="100" xr:uid="{00000000-0005-0000-0000-000063000000}"/>
    <cellStyle name="Comma 2 14" xfId="101" xr:uid="{00000000-0005-0000-0000-000064000000}"/>
    <cellStyle name="Comma 2 15" xfId="102" xr:uid="{00000000-0005-0000-0000-000065000000}"/>
    <cellStyle name="Comma 2 16" xfId="103" xr:uid="{00000000-0005-0000-0000-000066000000}"/>
    <cellStyle name="Comma 2 17" xfId="104" xr:uid="{00000000-0005-0000-0000-000067000000}"/>
    <cellStyle name="Comma 2 18" xfId="105" xr:uid="{00000000-0005-0000-0000-000068000000}"/>
    <cellStyle name="Comma 2 19" xfId="106" xr:uid="{00000000-0005-0000-0000-000069000000}"/>
    <cellStyle name="Comma 2 2" xfId="107" xr:uid="{00000000-0005-0000-0000-00006A000000}"/>
    <cellStyle name="Comma 2 20" xfId="108" xr:uid="{00000000-0005-0000-0000-00006B000000}"/>
    <cellStyle name="Comma 2 21" xfId="109" xr:uid="{00000000-0005-0000-0000-00006C000000}"/>
    <cellStyle name="Comma 2 22" xfId="110" xr:uid="{00000000-0005-0000-0000-00006D000000}"/>
    <cellStyle name="Comma 2 23" xfId="111" xr:uid="{00000000-0005-0000-0000-00006E000000}"/>
    <cellStyle name="Comma 2 24" xfId="112" xr:uid="{00000000-0005-0000-0000-00006F000000}"/>
    <cellStyle name="Comma 2 25" xfId="113" xr:uid="{00000000-0005-0000-0000-000070000000}"/>
    <cellStyle name="Comma 2 26" xfId="114" xr:uid="{00000000-0005-0000-0000-000071000000}"/>
    <cellStyle name="Comma 2 3" xfId="115" xr:uid="{00000000-0005-0000-0000-000072000000}"/>
    <cellStyle name="Comma 2 4" xfId="116" xr:uid="{00000000-0005-0000-0000-000073000000}"/>
    <cellStyle name="Comma 2 5" xfId="117" xr:uid="{00000000-0005-0000-0000-000074000000}"/>
    <cellStyle name="Comma 2 6" xfId="118" xr:uid="{00000000-0005-0000-0000-000075000000}"/>
    <cellStyle name="Comma 2 7" xfId="119" xr:uid="{00000000-0005-0000-0000-000076000000}"/>
    <cellStyle name="Comma 2 8" xfId="120" xr:uid="{00000000-0005-0000-0000-000077000000}"/>
    <cellStyle name="Comma 2 9" xfId="121" xr:uid="{00000000-0005-0000-0000-000078000000}"/>
    <cellStyle name="Comma 21" xfId="122" xr:uid="{00000000-0005-0000-0000-000079000000}"/>
    <cellStyle name="Comma 24" xfId="123" xr:uid="{00000000-0005-0000-0000-00007A000000}"/>
    <cellStyle name="Comma 3" xfId="124" xr:uid="{00000000-0005-0000-0000-00007B000000}"/>
    <cellStyle name="Comma 3 10" xfId="125" xr:uid="{00000000-0005-0000-0000-00007C000000}"/>
    <cellStyle name="Comma 3 11" xfId="126" xr:uid="{00000000-0005-0000-0000-00007D000000}"/>
    <cellStyle name="Comma 3 12" xfId="127" xr:uid="{00000000-0005-0000-0000-00007E000000}"/>
    <cellStyle name="Comma 3 13" xfId="128" xr:uid="{00000000-0005-0000-0000-00007F000000}"/>
    <cellStyle name="Comma 3 14" xfId="129" xr:uid="{00000000-0005-0000-0000-000080000000}"/>
    <cellStyle name="Comma 3 15" xfId="130" xr:uid="{00000000-0005-0000-0000-000081000000}"/>
    <cellStyle name="Comma 3 16" xfId="131" xr:uid="{00000000-0005-0000-0000-000082000000}"/>
    <cellStyle name="Comma 3 17" xfId="132" xr:uid="{00000000-0005-0000-0000-000083000000}"/>
    <cellStyle name="Comma 3 18" xfId="133" xr:uid="{00000000-0005-0000-0000-000084000000}"/>
    <cellStyle name="Comma 3 19" xfId="134" xr:uid="{00000000-0005-0000-0000-000085000000}"/>
    <cellStyle name="Comma 3 2" xfId="135" xr:uid="{00000000-0005-0000-0000-000086000000}"/>
    <cellStyle name="Comma 3 20" xfId="136" xr:uid="{00000000-0005-0000-0000-000087000000}"/>
    <cellStyle name="Comma 3 3" xfId="137" xr:uid="{00000000-0005-0000-0000-000088000000}"/>
    <cellStyle name="Comma 3 4" xfId="138" xr:uid="{00000000-0005-0000-0000-000089000000}"/>
    <cellStyle name="Comma 3 5" xfId="139" xr:uid="{00000000-0005-0000-0000-00008A000000}"/>
    <cellStyle name="Comma 3 6" xfId="140" xr:uid="{00000000-0005-0000-0000-00008B000000}"/>
    <cellStyle name="Comma 3 7" xfId="141" xr:uid="{00000000-0005-0000-0000-00008C000000}"/>
    <cellStyle name="Comma 3 8" xfId="142" xr:uid="{00000000-0005-0000-0000-00008D000000}"/>
    <cellStyle name="Comma 3 9" xfId="143" xr:uid="{00000000-0005-0000-0000-00008E000000}"/>
    <cellStyle name="Comma 4" xfId="144" xr:uid="{00000000-0005-0000-0000-00008F000000}"/>
    <cellStyle name="Comma 5" xfId="145" xr:uid="{00000000-0005-0000-0000-000090000000}"/>
    <cellStyle name="Comma 5 10" xfId="146" xr:uid="{00000000-0005-0000-0000-000091000000}"/>
    <cellStyle name="Comma 5 11" xfId="147" xr:uid="{00000000-0005-0000-0000-000092000000}"/>
    <cellStyle name="Comma 5 12" xfId="148" xr:uid="{00000000-0005-0000-0000-000093000000}"/>
    <cellStyle name="Comma 5 13" xfId="149" xr:uid="{00000000-0005-0000-0000-000094000000}"/>
    <cellStyle name="Comma 5 14" xfId="150" xr:uid="{00000000-0005-0000-0000-000095000000}"/>
    <cellStyle name="Comma 5 15" xfId="151" xr:uid="{00000000-0005-0000-0000-000096000000}"/>
    <cellStyle name="Comma 5 16" xfId="152" xr:uid="{00000000-0005-0000-0000-000097000000}"/>
    <cellStyle name="Comma 5 17" xfId="153" xr:uid="{00000000-0005-0000-0000-000098000000}"/>
    <cellStyle name="Comma 5 18" xfId="154" xr:uid="{00000000-0005-0000-0000-000099000000}"/>
    <cellStyle name="Comma 5 19" xfId="155" xr:uid="{00000000-0005-0000-0000-00009A000000}"/>
    <cellStyle name="Comma 5 2" xfId="156" xr:uid="{00000000-0005-0000-0000-00009B000000}"/>
    <cellStyle name="Comma 5 20" xfId="157" xr:uid="{00000000-0005-0000-0000-00009C000000}"/>
    <cellStyle name="Comma 5 3" xfId="158" xr:uid="{00000000-0005-0000-0000-00009D000000}"/>
    <cellStyle name="Comma 5 4" xfId="159" xr:uid="{00000000-0005-0000-0000-00009E000000}"/>
    <cellStyle name="Comma 5 5" xfId="160" xr:uid="{00000000-0005-0000-0000-00009F000000}"/>
    <cellStyle name="Comma 5 6" xfId="161" xr:uid="{00000000-0005-0000-0000-0000A0000000}"/>
    <cellStyle name="Comma 5 7" xfId="162" xr:uid="{00000000-0005-0000-0000-0000A1000000}"/>
    <cellStyle name="Comma 5 8" xfId="163" xr:uid="{00000000-0005-0000-0000-0000A2000000}"/>
    <cellStyle name="Comma 5 9" xfId="164" xr:uid="{00000000-0005-0000-0000-0000A3000000}"/>
    <cellStyle name="Comma 6" xfId="165" xr:uid="{00000000-0005-0000-0000-0000A4000000}"/>
    <cellStyle name="Comma 6 10" xfId="166" xr:uid="{00000000-0005-0000-0000-0000A5000000}"/>
    <cellStyle name="Comma 6 11" xfId="167" xr:uid="{00000000-0005-0000-0000-0000A6000000}"/>
    <cellStyle name="Comma 6 12" xfId="168" xr:uid="{00000000-0005-0000-0000-0000A7000000}"/>
    <cellStyle name="Comma 6 13" xfId="169" xr:uid="{00000000-0005-0000-0000-0000A8000000}"/>
    <cellStyle name="Comma 6 14" xfId="170" xr:uid="{00000000-0005-0000-0000-0000A9000000}"/>
    <cellStyle name="Comma 6 15" xfId="171" xr:uid="{00000000-0005-0000-0000-0000AA000000}"/>
    <cellStyle name="Comma 6 16" xfId="172" xr:uid="{00000000-0005-0000-0000-0000AB000000}"/>
    <cellStyle name="Comma 6 17" xfId="173" xr:uid="{00000000-0005-0000-0000-0000AC000000}"/>
    <cellStyle name="Comma 6 18" xfId="174" xr:uid="{00000000-0005-0000-0000-0000AD000000}"/>
    <cellStyle name="Comma 6 19" xfId="175" xr:uid="{00000000-0005-0000-0000-0000AE000000}"/>
    <cellStyle name="Comma 6 2" xfId="176" xr:uid="{00000000-0005-0000-0000-0000AF000000}"/>
    <cellStyle name="Comma 6 3" xfId="177" xr:uid="{00000000-0005-0000-0000-0000B0000000}"/>
    <cellStyle name="Comma 6 4" xfId="178" xr:uid="{00000000-0005-0000-0000-0000B1000000}"/>
    <cellStyle name="Comma 6 5" xfId="179" xr:uid="{00000000-0005-0000-0000-0000B2000000}"/>
    <cellStyle name="Comma 6 6" xfId="180" xr:uid="{00000000-0005-0000-0000-0000B3000000}"/>
    <cellStyle name="Comma 6 7" xfId="181" xr:uid="{00000000-0005-0000-0000-0000B4000000}"/>
    <cellStyle name="Comma 6 8" xfId="182" xr:uid="{00000000-0005-0000-0000-0000B5000000}"/>
    <cellStyle name="Comma 6 9" xfId="183" xr:uid="{00000000-0005-0000-0000-0000B6000000}"/>
    <cellStyle name="Comma 7" xfId="184" xr:uid="{00000000-0005-0000-0000-0000B7000000}"/>
    <cellStyle name="Comma 7 10" xfId="185" xr:uid="{00000000-0005-0000-0000-0000B8000000}"/>
    <cellStyle name="Comma 7 11" xfId="186" xr:uid="{00000000-0005-0000-0000-0000B9000000}"/>
    <cellStyle name="Comma 7 12" xfId="187" xr:uid="{00000000-0005-0000-0000-0000BA000000}"/>
    <cellStyle name="Comma 7 13" xfId="188" xr:uid="{00000000-0005-0000-0000-0000BB000000}"/>
    <cellStyle name="Comma 7 14" xfId="189" xr:uid="{00000000-0005-0000-0000-0000BC000000}"/>
    <cellStyle name="Comma 7 15" xfId="190" xr:uid="{00000000-0005-0000-0000-0000BD000000}"/>
    <cellStyle name="Comma 7 16" xfId="191" xr:uid="{00000000-0005-0000-0000-0000BE000000}"/>
    <cellStyle name="Comma 7 17" xfId="192" xr:uid="{00000000-0005-0000-0000-0000BF000000}"/>
    <cellStyle name="Comma 7 18" xfId="193" xr:uid="{00000000-0005-0000-0000-0000C0000000}"/>
    <cellStyle name="Comma 7 19" xfId="194" xr:uid="{00000000-0005-0000-0000-0000C1000000}"/>
    <cellStyle name="Comma 7 2" xfId="195" xr:uid="{00000000-0005-0000-0000-0000C2000000}"/>
    <cellStyle name="Comma 7 3" xfId="196" xr:uid="{00000000-0005-0000-0000-0000C3000000}"/>
    <cellStyle name="Comma 7 4" xfId="197" xr:uid="{00000000-0005-0000-0000-0000C4000000}"/>
    <cellStyle name="Comma 7 5" xfId="198" xr:uid="{00000000-0005-0000-0000-0000C5000000}"/>
    <cellStyle name="Comma 7 6" xfId="199" xr:uid="{00000000-0005-0000-0000-0000C6000000}"/>
    <cellStyle name="Comma 7 7" xfId="200" xr:uid="{00000000-0005-0000-0000-0000C7000000}"/>
    <cellStyle name="Comma 7 8" xfId="201" xr:uid="{00000000-0005-0000-0000-0000C8000000}"/>
    <cellStyle name="Comma 7 9" xfId="202" xr:uid="{00000000-0005-0000-0000-0000C9000000}"/>
    <cellStyle name="Comma 8" xfId="203" xr:uid="{00000000-0005-0000-0000-0000CA000000}"/>
    <cellStyle name="Comma 8 10" xfId="204" xr:uid="{00000000-0005-0000-0000-0000CB000000}"/>
    <cellStyle name="Comma 8 11" xfId="205" xr:uid="{00000000-0005-0000-0000-0000CC000000}"/>
    <cellStyle name="Comma 8 12" xfId="206" xr:uid="{00000000-0005-0000-0000-0000CD000000}"/>
    <cellStyle name="Comma 8 13" xfId="207" xr:uid="{00000000-0005-0000-0000-0000CE000000}"/>
    <cellStyle name="Comma 8 14" xfId="208" xr:uid="{00000000-0005-0000-0000-0000CF000000}"/>
    <cellStyle name="Comma 8 15" xfId="209" xr:uid="{00000000-0005-0000-0000-0000D0000000}"/>
    <cellStyle name="Comma 8 16" xfId="210" xr:uid="{00000000-0005-0000-0000-0000D1000000}"/>
    <cellStyle name="Comma 8 17" xfId="211" xr:uid="{00000000-0005-0000-0000-0000D2000000}"/>
    <cellStyle name="Comma 8 18" xfId="212" xr:uid="{00000000-0005-0000-0000-0000D3000000}"/>
    <cellStyle name="Comma 8 19" xfId="213" xr:uid="{00000000-0005-0000-0000-0000D4000000}"/>
    <cellStyle name="Comma 8 2" xfId="214" xr:uid="{00000000-0005-0000-0000-0000D5000000}"/>
    <cellStyle name="Comma 8 3" xfId="215" xr:uid="{00000000-0005-0000-0000-0000D6000000}"/>
    <cellStyle name="Comma 8 4" xfId="216" xr:uid="{00000000-0005-0000-0000-0000D7000000}"/>
    <cellStyle name="Comma 8 5" xfId="217" xr:uid="{00000000-0005-0000-0000-0000D8000000}"/>
    <cellStyle name="Comma 8 6" xfId="218" xr:uid="{00000000-0005-0000-0000-0000D9000000}"/>
    <cellStyle name="Comma 8 7" xfId="219" xr:uid="{00000000-0005-0000-0000-0000DA000000}"/>
    <cellStyle name="Comma 8 8" xfId="220" xr:uid="{00000000-0005-0000-0000-0000DB000000}"/>
    <cellStyle name="Comma 8 9" xfId="221" xr:uid="{00000000-0005-0000-0000-0000DC000000}"/>
    <cellStyle name="Comma 9" xfId="222" xr:uid="{00000000-0005-0000-0000-0000DD000000}"/>
    <cellStyle name="Comma 9 10" xfId="223" xr:uid="{00000000-0005-0000-0000-0000DE000000}"/>
    <cellStyle name="Comma 9 11" xfId="224" xr:uid="{00000000-0005-0000-0000-0000DF000000}"/>
    <cellStyle name="Comma 9 12" xfId="225" xr:uid="{00000000-0005-0000-0000-0000E0000000}"/>
    <cellStyle name="Comma 9 13" xfId="226" xr:uid="{00000000-0005-0000-0000-0000E1000000}"/>
    <cellStyle name="Comma 9 14" xfId="227" xr:uid="{00000000-0005-0000-0000-0000E2000000}"/>
    <cellStyle name="Comma 9 15" xfId="228" xr:uid="{00000000-0005-0000-0000-0000E3000000}"/>
    <cellStyle name="Comma 9 16" xfId="229" xr:uid="{00000000-0005-0000-0000-0000E4000000}"/>
    <cellStyle name="Comma 9 17" xfId="230" xr:uid="{00000000-0005-0000-0000-0000E5000000}"/>
    <cellStyle name="Comma 9 18" xfId="231" xr:uid="{00000000-0005-0000-0000-0000E6000000}"/>
    <cellStyle name="Comma 9 19" xfId="232" xr:uid="{00000000-0005-0000-0000-0000E7000000}"/>
    <cellStyle name="Comma 9 2" xfId="233" xr:uid="{00000000-0005-0000-0000-0000E8000000}"/>
    <cellStyle name="Comma 9 3" xfId="234" xr:uid="{00000000-0005-0000-0000-0000E9000000}"/>
    <cellStyle name="Comma 9 4" xfId="235" xr:uid="{00000000-0005-0000-0000-0000EA000000}"/>
    <cellStyle name="Comma 9 5" xfId="236" xr:uid="{00000000-0005-0000-0000-0000EB000000}"/>
    <cellStyle name="Comma 9 6" xfId="237" xr:uid="{00000000-0005-0000-0000-0000EC000000}"/>
    <cellStyle name="Comma 9 7" xfId="238" xr:uid="{00000000-0005-0000-0000-0000ED000000}"/>
    <cellStyle name="Comma 9 8" xfId="239" xr:uid="{00000000-0005-0000-0000-0000EE000000}"/>
    <cellStyle name="Comma 9 9" xfId="240" xr:uid="{00000000-0005-0000-0000-0000EF000000}"/>
    <cellStyle name="Input 2" xfId="241" xr:uid="{00000000-0005-0000-0000-0000F0000000}"/>
    <cellStyle name="Normal" xfId="0" builtinId="0"/>
    <cellStyle name="Normal 10" xfId="242" xr:uid="{00000000-0005-0000-0000-0000F2000000}"/>
    <cellStyle name="Normal 10 2" xfId="243" xr:uid="{00000000-0005-0000-0000-0000F3000000}"/>
    <cellStyle name="Normal 10 3" xfId="244" xr:uid="{00000000-0005-0000-0000-0000F4000000}"/>
    <cellStyle name="Normal 10 4" xfId="245" xr:uid="{00000000-0005-0000-0000-0000F5000000}"/>
    <cellStyle name="Normal 10 5" xfId="246" xr:uid="{00000000-0005-0000-0000-0000F6000000}"/>
    <cellStyle name="Normal 11" xfId="247" xr:uid="{00000000-0005-0000-0000-0000F7000000}"/>
    <cellStyle name="Normal 12" xfId="248" xr:uid="{00000000-0005-0000-0000-0000F8000000}"/>
    <cellStyle name="Normal 12 2" xfId="249" xr:uid="{00000000-0005-0000-0000-0000F9000000}"/>
    <cellStyle name="Normal 12 3" xfId="250" xr:uid="{00000000-0005-0000-0000-0000FA000000}"/>
    <cellStyle name="Normal 12 4" xfId="251" xr:uid="{00000000-0005-0000-0000-0000FB000000}"/>
    <cellStyle name="Normal 12 5" xfId="252" xr:uid="{00000000-0005-0000-0000-0000FC000000}"/>
    <cellStyle name="Normal 13" xfId="253" xr:uid="{00000000-0005-0000-0000-0000FD000000}"/>
    <cellStyle name="Normal 13 2" xfId="254" xr:uid="{00000000-0005-0000-0000-0000FE000000}"/>
    <cellStyle name="Normal 13 3" xfId="255" xr:uid="{00000000-0005-0000-0000-0000FF000000}"/>
    <cellStyle name="Normal 13 4" xfId="256" xr:uid="{00000000-0005-0000-0000-000000010000}"/>
    <cellStyle name="Normal 13 5" xfId="257" xr:uid="{00000000-0005-0000-0000-000001010000}"/>
    <cellStyle name="Normal 14" xfId="258" xr:uid="{00000000-0005-0000-0000-000002010000}"/>
    <cellStyle name="Normal 14 10" xfId="259" xr:uid="{00000000-0005-0000-0000-000003010000}"/>
    <cellStyle name="Normal 14 11" xfId="260" xr:uid="{00000000-0005-0000-0000-000004010000}"/>
    <cellStyle name="Normal 14 12" xfId="261" xr:uid="{00000000-0005-0000-0000-000005010000}"/>
    <cellStyle name="Normal 14 2" xfId="262" xr:uid="{00000000-0005-0000-0000-000006010000}"/>
    <cellStyle name="Normal 14 3" xfId="263" xr:uid="{00000000-0005-0000-0000-000007010000}"/>
    <cellStyle name="Normal 14 4" xfId="264" xr:uid="{00000000-0005-0000-0000-000008010000}"/>
    <cellStyle name="Normal 14 5" xfId="265" xr:uid="{00000000-0005-0000-0000-000009010000}"/>
    <cellStyle name="Normal 14 6" xfId="266" xr:uid="{00000000-0005-0000-0000-00000A010000}"/>
    <cellStyle name="Normal 14 7" xfId="267" xr:uid="{00000000-0005-0000-0000-00000B010000}"/>
    <cellStyle name="Normal 14 8" xfId="268" xr:uid="{00000000-0005-0000-0000-00000C010000}"/>
    <cellStyle name="Normal 14 9" xfId="269" xr:uid="{00000000-0005-0000-0000-00000D010000}"/>
    <cellStyle name="Normal 15" xfId="270" xr:uid="{00000000-0005-0000-0000-00000E010000}"/>
    <cellStyle name="Normal 16" xfId="271" xr:uid="{00000000-0005-0000-0000-00000F010000}"/>
    <cellStyle name="Normal 17" xfId="272" xr:uid="{00000000-0005-0000-0000-000010010000}"/>
    <cellStyle name="Normal 17 2" xfId="273" xr:uid="{00000000-0005-0000-0000-000011010000}"/>
    <cellStyle name="Normal 17 2 2" xfId="274" xr:uid="{00000000-0005-0000-0000-000012010000}"/>
    <cellStyle name="Normal 17 3" xfId="275" xr:uid="{00000000-0005-0000-0000-000013010000}"/>
    <cellStyle name="Normal 17 3 2" xfId="276" xr:uid="{00000000-0005-0000-0000-000014010000}"/>
    <cellStyle name="Normal 17 4" xfId="277" xr:uid="{00000000-0005-0000-0000-000015010000}"/>
    <cellStyle name="Normal 17 4 2" xfId="278" xr:uid="{00000000-0005-0000-0000-000016010000}"/>
    <cellStyle name="Normal 17 5" xfId="279" xr:uid="{00000000-0005-0000-0000-000017010000}"/>
    <cellStyle name="Normal 17 5 2" xfId="280" xr:uid="{00000000-0005-0000-0000-000018010000}"/>
    <cellStyle name="Normal 17 6" xfId="281" xr:uid="{00000000-0005-0000-0000-000019010000}"/>
    <cellStyle name="Normal 18" xfId="282" xr:uid="{00000000-0005-0000-0000-00001A010000}"/>
    <cellStyle name="Normal 19" xfId="283" xr:uid="{00000000-0005-0000-0000-00001B010000}"/>
    <cellStyle name="Normal 2" xfId="284" xr:uid="{00000000-0005-0000-0000-00001C010000}"/>
    <cellStyle name="Normal 2 10" xfId="285" xr:uid="{00000000-0005-0000-0000-00001D010000}"/>
    <cellStyle name="Normal 2 11" xfId="286" xr:uid="{00000000-0005-0000-0000-00001E010000}"/>
    <cellStyle name="Normal 2 12" xfId="287" xr:uid="{00000000-0005-0000-0000-00001F010000}"/>
    <cellStyle name="Normal 2 13" xfId="288" xr:uid="{00000000-0005-0000-0000-000020010000}"/>
    <cellStyle name="Normal 2 14" xfId="289" xr:uid="{00000000-0005-0000-0000-000021010000}"/>
    <cellStyle name="Normal 2 15" xfId="290" xr:uid="{00000000-0005-0000-0000-000022010000}"/>
    <cellStyle name="Normal 2 16" xfId="291" xr:uid="{00000000-0005-0000-0000-000023010000}"/>
    <cellStyle name="Normal 2 17" xfId="292" xr:uid="{00000000-0005-0000-0000-000024010000}"/>
    <cellStyle name="Normal 2 18" xfId="293" xr:uid="{00000000-0005-0000-0000-000025010000}"/>
    <cellStyle name="Normal 2 19" xfId="294" xr:uid="{00000000-0005-0000-0000-000026010000}"/>
    <cellStyle name="Normal 2 2" xfId="295" xr:uid="{00000000-0005-0000-0000-000027010000}"/>
    <cellStyle name="Normal 2 20" xfId="296" xr:uid="{00000000-0005-0000-0000-000028010000}"/>
    <cellStyle name="Normal 2 3" xfId="297" xr:uid="{00000000-0005-0000-0000-000029010000}"/>
    <cellStyle name="Normal 2 4" xfId="298" xr:uid="{00000000-0005-0000-0000-00002A010000}"/>
    <cellStyle name="Normal 2 5" xfId="299" xr:uid="{00000000-0005-0000-0000-00002B010000}"/>
    <cellStyle name="Normal 2 6" xfId="300" xr:uid="{00000000-0005-0000-0000-00002C010000}"/>
    <cellStyle name="Normal 2 7" xfId="301" xr:uid="{00000000-0005-0000-0000-00002D010000}"/>
    <cellStyle name="Normal 2 8" xfId="302" xr:uid="{00000000-0005-0000-0000-00002E010000}"/>
    <cellStyle name="Normal 2 9" xfId="303" xr:uid="{00000000-0005-0000-0000-00002F010000}"/>
    <cellStyle name="Normal 2_deposits mobilized" xfId="304" xr:uid="{00000000-0005-0000-0000-000030010000}"/>
    <cellStyle name="Normal 20" xfId="305" xr:uid="{00000000-0005-0000-0000-000031010000}"/>
    <cellStyle name="Normal 21" xfId="306" xr:uid="{00000000-0005-0000-0000-000032010000}"/>
    <cellStyle name="Normal 21 10" xfId="307" xr:uid="{00000000-0005-0000-0000-000033010000}"/>
    <cellStyle name="Normal 21 10 2" xfId="308" xr:uid="{00000000-0005-0000-0000-000034010000}"/>
    <cellStyle name="Normal 21 11" xfId="309" xr:uid="{00000000-0005-0000-0000-000035010000}"/>
    <cellStyle name="Normal 21 11 2" xfId="310" xr:uid="{00000000-0005-0000-0000-000036010000}"/>
    <cellStyle name="Normal 21 12" xfId="311" xr:uid="{00000000-0005-0000-0000-000037010000}"/>
    <cellStyle name="Normal 21 12 2" xfId="312" xr:uid="{00000000-0005-0000-0000-000038010000}"/>
    <cellStyle name="Normal 21 13" xfId="313" xr:uid="{00000000-0005-0000-0000-000039010000}"/>
    <cellStyle name="Normal 21 13 2" xfId="314" xr:uid="{00000000-0005-0000-0000-00003A010000}"/>
    <cellStyle name="Normal 21 14" xfId="315" xr:uid="{00000000-0005-0000-0000-00003B010000}"/>
    <cellStyle name="Normal 21 14 2" xfId="316" xr:uid="{00000000-0005-0000-0000-00003C010000}"/>
    <cellStyle name="Normal 21 15" xfId="317" xr:uid="{00000000-0005-0000-0000-00003D010000}"/>
    <cellStyle name="Normal 21 15 2" xfId="318" xr:uid="{00000000-0005-0000-0000-00003E010000}"/>
    <cellStyle name="Normal 21 16" xfId="319" xr:uid="{00000000-0005-0000-0000-00003F010000}"/>
    <cellStyle name="Normal 21 16 2" xfId="320" xr:uid="{00000000-0005-0000-0000-000040010000}"/>
    <cellStyle name="Normal 21 17" xfId="321" xr:uid="{00000000-0005-0000-0000-000041010000}"/>
    <cellStyle name="Normal 21 2" xfId="322" xr:uid="{00000000-0005-0000-0000-000042010000}"/>
    <cellStyle name="Normal 21 2 2" xfId="323" xr:uid="{00000000-0005-0000-0000-000043010000}"/>
    <cellStyle name="Normal 21 3" xfId="324" xr:uid="{00000000-0005-0000-0000-000044010000}"/>
    <cellStyle name="Normal 21 3 2" xfId="325" xr:uid="{00000000-0005-0000-0000-000045010000}"/>
    <cellStyle name="Normal 21 4" xfId="326" xr:uid="{00000000-0005-0000-0000-000046010000}"/>
    <cellStyle name="Normal 21 4 2" xfId="327" xr:uid="{00000000-0005-0000-0000-000047010000}"/>
    <cellStyle name="Normal 21 5" xfId="328" xr:uid="{00000000-0005-0000-0000-000048010000}"/>
    <cellStyle name="Normal 21 5 2" xfId="329" xr:uid="{00000000-0005-0000-0000-000049010000}"/>
    <cellStyle name="Normal 21 6" xfId="330" xr:uid="{00000000-0005-0000-0000-00004A010000}"/>
    <cellStyle name="Normal 21 6 2" xfId="331" xr:uid="{00000000-0005-0000-0000-00004B010000}"/>
    <cellStyle name="Normal 21 7" xfId="332" xr:uid="{00000000-0005-0000-0000-00004C010000}"/>
    <cellStyle name="Normal 21 7 2" xfId="333" xr:uid="{00000000-0005-0000-0000-00004D010000}"/>
    <cellStyle name="Normal 21 8" xfId="334" xr:uid="{00000000-0005-0000-0000-00004E010000}"/>
    <cellStyle name="Normal 21 8 2" xfId="335" xr:uid="{00000000-0005-0000-0000-00004F010000}"/>
    <cellStyle name="Normal 21 9" xfId="336" xr:uid="{00000000-0005-0000-0000-000050010000}"/>
    <cellStyle name="Normal 21 9 2" xfId="337" xr:uid="{00000000-0005-0000-0000-000051010000}"/>
    <cellStyle name="Normal 22" xfId="338" xr:uid="{00000000-0005-0000-0000-000052010000}"/>
    <cellStyle name="Normal 23" xfId="339" xr:uid="{00000000-0005-0000-0000-000053010000}"/>
    <cellStyle name="Normal 24" xfId="340" xr:uid="{00000000-0005-0000-0000-000054010000}"/>
    <cellStyle name="Normal 25" xfId="341" xr:uid="{00000000-0005-0000-0000-000055010000}"/>
    <cellStyle name="Normal 26" xfId="342" xr:uid="{00000000-0005-0000-0000-000056010000}"/>
    <cellStyle name="Normal 27" xfId="343" xr:uid="{00000000-0005-0000-0000-000057010000}"/>
    <cellStyle name="Normal 28" xfId="344" xr:uid="{00000000-0005-0000-0000-000058010000}"/>
    <cellStyle name="Normal 29" xfId="345" xr:uid="{00000000-0005-0000-0000-000059010000}"/>
    <cellStyle name="Normal 3" xfId="346" xr:uid="{00000000-0005-0000-0000-00005A010000}"/>
    <cellStyle name="Normal 3 10" xfId="347" xr:uid="{00000000-0005-0000-0000-00005B010000}"/>
    <cellStyle name="Normal 3 11" xfId="348" xr:uid="{00000000-0005-0000-0000-00005C010000}"/>
    <cellStyle name="Normal 3 12" xfId="349" xr:uid="{00000000-0005-0000-0000-00005D010000}"/>
    <cellStyle name="Normal 3 13" xfId="350" xr:uid="{00000000-0005-0000-0000-00005E010000}"/>
    <cellStyle name="Normal 3 14" xfId="351" xr:uid="{00000000-0005-0000-0000-00005F010000}"/>
    <cellStyle name="Normal 3 15" xfId="352" xr:uid="{00000000-0005-0000-0000-000060010000}"/>
    <cellStyle name="Normal 3 16" xfId="353" xr:uid="{00000000-0005-0000-0000-000061010000}"/>
    <cellStyle name="Normal 3 17" xfId="354" xr:uid="{00000000-0005-0000-0000-000062010000}"/>
    <cellStyle name="Normal 3 18" xfId="355" xr:uid="{00000000-0005-0000-0000-000063010000}"/>
    <cellStyle name="Normal 3 19" xfId="356" xr:uid="{00000000-0005-0000-0000-000064010000}"/>
    <cellStyle name="Normal 3 2" xfId="357" xr:uid="{00000000-0005-0000-0000-000065010000}"/>
    <cellStyle name="Normal 3 20" xfId="358" xr:uid="{00000000-0005-0000-0000-000066010000}"/>
    <cellStyle name="Normal 3 21" xfId="359" xr:uid="{00000000-0005-0000-0000-000067010000}"/>
    <cellStyle name="Normal 3 22" xfId="360" xr:uid="{00000000-0005-0000-0000-000068010000}"/>
    <cellStyle name="Normal 3 23" xfId="361" xr:uid="{00000000-0005-0000-0000-000069010000}"/>
    <cellStyle name="Normal 3 24" xfId="362" xr:uid="{00000000-0005-0000-0000-00006A010000}"/>
    <cellStyle name="Normal 3 25" xfId="363" xr:uid="{00000000-0005-0000-0000-00006B010000}"/>
    <cellStyle name="Normal 3 26" xfId="364" xr:uid="{00000000-0005-0000-0000-00006C010000}"/>
    <cellStyle name="Normal 3 27" xfId="365" xr:uid="{00000000-0005-0000-0000-00006D010000}"/>
    <cellStyle name="Normal 3 28" xfId="366" xr:uid="{00000000-0005-0000-0000-00006E010000}"/>
    <cellStyle name="Normal 3 29" xfId="367" xr:uid="{00000000-0005-0000-0000-00006F010000}"/>
    <cellStyle name="Normal 3 3" xfId="368" xr:uid="{00000000-0005-0000-0000-000070010000}"/>
    <cellStyle name="Normal 3 30" xfId="369" xr:uid="{00000000-0005-0000-0000-000071010000}"/>
    <cellStyle name="Normal 3 4" xfId="370" xr:uid="{00000000-0005-0000-0000-000072010000}"/>
    <cellStyle name="Normal 3 5" xfId="371" xr:uid="{00000000-0005-0000-0000-000073010000}"/>
    <cellStyle name="Normal 3 6" xfId="372" xr:uid="{00000000-0005-0000-0000-000074010000}"/>
    <cellStyle name="Normal 3 7" xfId="373" xr:uid="{00000000-0005-0000-0000-000075010000}"/>
    <cellStyle name="Normal 3 8" xfId="374" xr:uid="{00000000-0005-0000-0000-000076010000}"/>
    <cellStyle name="Normal 3 9" xfId="375" xr:uid="{00000000-0005-0000-0000-000077010000}"/>
    <cellStyle name="Normal 3_deposits mobilized" xfId="376" xr:uid="{00000000-0005-0000-0000-000078010000}"/>
    <cellStyle name="Normal 30" xfId="377" xr:uid="{00000000-0005-0000-0000-000079010000}"/>
    <cellStyle name="Normal 31" xfId="378" xr:uid="{00000000-0005-0000-0000-00007A010000}"/>
    <cellStyle name="Normal 32" xfId="379" xr:uid="{00000000-0005-0000-0000-00007B010000}"/>
    <cellStyle name="Normal 33" xfId="380" xr:uid="{00000000-0005-0000-0000-00007C010000}"/>
    <cellStyle name="Normal 34" xfId="381" xr:uid="{00000000-0005-0000-0000-00007D010000}"/>
    <cellStyle name="Normal 35" xfId="382" xr:uid="{00000000-0005-0000-0000-00007E010000}"/>
    <cellStyle name="Normal 36" xfId="383" xr:uid="{00000000-0005-0000-0000-00007F010000}"/>
    <cellStyle name="Normal 37" xfId="384" xr:uid="{00000000-0005-0000-0000-000080010000}"/>
    <cellStyle name="Normal 38" xfId="385" xr:uid="{00000000-0005-0000-0000-000081010000}"/>
    <cellStyle name="Normal 39" xfId="386" xr:uid="{00000000-0005-0000-0000-000082010000}"/>
    <cellStyle name="Normal 4" xfId="387" xr:uid="{00000000-0005-0000-0000-000083010000}"/>
    <cellStyle name="Normal 4 10" xfId="388" xr:uid="{00000000-0005-0000-0000-000084010000}"/>
    <cellStyle name="Normal 4 11" xfId="389" xr:uid="{00000000-0005-0000-0000-000085010000}"/>
    <cellStyle name="Normal 4 12" xfId="390" xr:uid="{00000000-0005-0000-0000-000086010000}"/>
    <cellStyle name="Normal 4 13" xfId="391" xr:uid="{00000000-0005-0000-0000-000087010000}"/>
    <cellStyle name="Normal 4 14" xfId="392" xr:uid="{00000000-0005-0000-0000-000088010000}"/>
    <cellStyle name="Normal 4 15" xfId="393" xr:uid="{00000000-0005-0000-0000-000089010000}"/>
    <cellStyle name="Normal 4 16" xfId="394" xr:uid="{00000000-0005-0000-0000-00008A010000}"/>
    <cellStyle name="Normal 4 17" xfId="395" xr:uid="{00000000-0005-0000-0000-00008B010000}"/>
    <cellStyle name="Normal 4 18" xfId="396" xr:uid="{00000000-0005-0000-0000-00008C010000}"/>
    <cellStyle name="Normal 4 19" xfId="397" xr:uid="{00000000-0005-0000-0000-00008D010000}"/>
    <cellStyle name="Normal 4 2" xfId="398" xr:uid="{00000000-0005-0000-0000-00008E010000}"/>
    <cellStyle name="Normal 4 20" xfId="399" xr:uid="{00000000-0005-0000-0000-00008F010000}"/>
    <cellStyle name="Normal 4 21" xfId="400" xr:uid="{00000000-0005-0000-0000-000090010000}"/>
    <cellStyle name="Normal 4 22" xfId="401" xr:uid="{00000000-0005-0000-0000-000091010000}"/>
    <cellStyle name="Normal 4 23" xfId="402" xr:uid="{00000000-0005-0000-0000-000092010000}"/>
    <cellStyle name="Normal 4 24" xfId="403" xr:uid="{00000000-0005-0000-0000-000093010000}"/>
    <cellStyle name="Normal 4 25" xfId="404" xr:uid="{00000000-0005-0000-0000-000094010000}"/>
    <cellStyle name="Normal 4 26" xfId="405" xr:uid="{00000000-0005-0000-0000-000095010000}"/>
    <cellStyle name="Normal 4 27" xfId="406" xr:uid="{00000000-0005-0000-0000-000096010000}"/>
    <cellStyle name="Normal 4 28" xfId="407" xr:uid="{00000000-0005-0000-0000-000097010000}"/>
    <cellStyle name="Normal 4 29" xfId="408" xr:uid="{00000000-0005-0000-0000-000098010000}"/>
    <cellStyle name="Normal 4 3" xfId="409" xr:uid="{00000000-0005-0000-0000-000099010000}"/>
    <cellStyle name="Normal 4 30" xfId="410" xr:uid="{00000000-0005-0000-0000-00009A010000}"/>
    <cellStyle name="Normal 4 4" xfId="411" xr:uid="{00000000-0005-0000-0000-00009B010000}"/>
    <cellStyle name="Normal 4 5" xfId="412" xr:uid="{00000000-0005-0000-0000-00009C010000}"/>
    <cellStyle name="Normal 4 6" xfId="413" xr:uid="{00000000-0005-0000-0000-00009D010000}"/>
    <cellStyle name="Normal 4 7" xfId="414" xr:uid="{00000000-0005-0000-0000-00009E010000}"/>
    <cellStyle name="Normal 4 8" xfId="415" xr:uid="{00000000-0005-0000-0000-00009F010000}"/>
    <cellStyle name="Normal 4 9" xfId="416" xr:uid="{00000000-0005-0000-0000-0000A0010000}"/>
    <cellStyle name="Normal 40" xfId="417" xr:uid="{00000000-0005-0000-0000-0000A1010000}"/>
    <cellStyle name="Normal 41" xfId="418" xr:uid="{00000000-0005-0000-0000-0000A2010000}"/>
    <cellStyle name="Normal 42" xfId="419" xr:uid="{00000000-0005-0000-0000-0000A3010000}"/>
    <cellStyle name="Normal 43" xfId="420" xr:uid="{00000000-0005-0000-0000-0000A4010000}"/>
    <cellStyle name="Normal 44" xfId="421" xr:uid="{00000000-0005-0000-0000-0000A5010000}"/>
    <cellStyle name="Normal 45" xfId="422" xr:uid="{00000000-0005-0000-0000-0000A6010000}"/>
    <cellStyle name="Normal 46" xfId="423" xr:uid="{00000000-0005-0000-0000-0000A7010000}"/>
    <cellStyle name="Normal 5" xfId="424" xr:uid="{00000000-0005-0000-0000-0000A8010000}"/>
    <cellStyle name="Normal 5 10" xfId="425" xr:uid="{00000000-0005-0000-0000-0000A9010000}"/>
    <cellStyle name="Normal 5 11" xfId="426" xr:uid="{00000000-0005-0000-0000-0000AA010000}"/>
    <cellStyle name="Normal 5 12" xfId="427" xr:uid="{00000000-0005-0000-0000-0000AB010000}"/>
    <cellStyle name="Normal 5 13" xfId="428" xr:uid="{00000000-0005-0000-0000-0000AC010000}"/>
    <cellStyle name="Normal 5 14" xfId="429" xr:uid="{00000000-0005-0000-0000-0000AD010000}"/>
    <cellStyle name="Normal 5 15" xfId="430" xr:uid="{00000000-0005-0000-0000-0000AE010000}"/>
    <cellStyle name="Normal 5 2" xfId="431" xr:uid="{00000000-0005-0000-0000-0000AF010000}"/>
    <cellStyle name="Normal 5 3" xfId="432" xr:uid="{00000000-0005-0000-0000-0000B0010000}"/>
    <cellStyle name="Normal 5 4" xfId="433" xr:uid="{00000000-0005-0000-0000-0000B1010000}"/>
    <cellStyle name="Normal 5 5" xfId="434" xr:uid="{00000000-0005-0000-0000-0000B2010000}"/>
    <cellStyle name="Normal 5 6" xfId="435" xr:uid="{00000000-0005-0000-0000-0000B3010000}"/>
    <cellStyle name="Normal 5 7" xfId="436" xr:uid="{00000000-0005-0000-0000-0000B4010000}"/>
    <cellStyle name="Normal 5 8" xfId="437" xr:uid="{00000000-0005-0000-0000-0000B5010000}"/>
    <cellStyle name="Normal 5 9" xfId="438" xr:uid="{00000000-0005-0000-0000-0000B6010000}"/>
    <cellStyle name="Normal 6" xfId="439" xr:uid="{00000000-0005-0000-0000-0000B7010000}"/>
    <cellStyle name="Normal 6 2" xfId="440" xr:uid="{00000000-0005-0000-0000-0000B8010000}"/>
    <cellStyle name="Normal 6 3" xfId="441" xr:uid="{00000000-0005-0000-0000-0000B9010000}"/>
    <cellStyle name="Normal 6 4" xfId="442" xr:uid="{00000000-0005-0000-0000-0000BA010000}"/>
    <cellStyle name="Normal 6 5" xfId="443" xr:uid="{00000000-0005-0000-0000-0000BB010000}"/>
    <cellStyle name="Normal 7" xfId="444" xr:uid="{00000000-0005-0000-0000-0000BC010000}"/>
    <cellStyle name="Normal 7 2" xfId="445" xr:uid="{00000000-0005-0000-0000-0000BD010000}"/>
    <cellStyle name="Normal 7 3" xfId="446" xr:uid="{00000000-0005-0000-0000-0000BE010000}"/>
    <cellStyle name="Normal 7 4" xfId="447" xr:uid="{00000000-0005-0000-0000-0000BF010000}"/>
    <cellStyle name="Normal 7 5" xfId="448" xr:uid="{00000000-0005-0000-0000-0000C0010000}"/>
    <cellStyle name="Normal 8" xfId="449" xr:uid="{00000000-0005-0000-0000-0000C1010000}"/>
    <cellStyle name="Normal 9" xfId="450" xr:uid="{00000000-0005-0000-0000-0000C2010000}"/>
    <cellStyle name="Normal 9 10" xfId="451" xr:uid="{00000000-0005-0000-0000-0000C3010000}"/>
    <cellStyle name="Normal 9 11" xfId="452" xr:uid="{00000000-0005-0000-0000-0000C4010000}"/>
    <cellStyle name="Normal 9 12" xfId="453" xr:uid="{00000000-0005-0000-0000-0000C5010000}"/>
    <cellStyle name="Normal 9 13" xfId="454" xr:uid="{00000000-0005-0000-0000-0000C6010000}"/>
    <cellStyle name="Normal 9 14" xfId="455" xr:uid="{00000000-0005-0000-0000-0000C7010000}"/>
    <cellStyle name="Normal 9 2" xfId="456" xr:uid="{00000000-0005-0000-0000-0000C8010000}"/>
    <cellStyle name="Normal 9 2 2" xfId="457" xr:uid="{00000000-0005-0000-0000-0000C9010000}"/>
    <cellStyle name="Normal 9 2 3" xfId="458" xr:uid="{00000000-0005-0000-0000-0000CA010000}"/>
    <cellStyle name="Normal 9 2 4" xfId="459" xr:uid="{00000000-0005-0000-0000-0000CB010000}"/>
    <cellStyle name="Normal 9 3" xfId="460" xr:uid="{00000000-0005-0000-0000-0000CC010000}"/>
    <cellStyle name="Normal 9 4" xfId="461" xr:uid="{00000000-0005-0000-0000-0000CD010000}"/>
    <cellStyle name="Normal 9 5" xfId="462" xr:uid="{00000000-0005-0000-0000-0000CE010000}"/>
    <cellStyle name="Normal 9 6" xfId="463" xr:uid="{00000000-0005-0000-0000-0000CF010000}"/>
    <cellStyle name="Normal 9 7" xfId="464" xr:uid="{00000000-0005-0000-0000-0000D0010000}"/>
    <cellStyle name="Normal 9 8" xfId="465" xr:uid="{00000000-0005-0000-0000-0000D1010000}"/>
    <cellStyle name="Normal 9 9" xfId="466" xr:uid="{00000000-0005-0000-0000-0000D2010000}"/>
    <cellStyle name="Note 2" xfId="467" xr:uid="{00000000-0005-0000-0000-0000D3010000}"/>
    <cellStyle name="Percent" xfId="468" builtinId="5"/>
    <cellStyle name="Percent 2" xfId="469" xr:uid="{00000000-0005-0000-0000-0000D5010000}"/>
    <cellStyle name="Percent 2 2" xfId="470" xr:uid="{00000000-0005-0000-0000-0000D6010000}"/>
    <cellStyle name="Percent 3" xfId="471" xr:uid="{00000000-0005-0000-0000-0000D7010000}"/>
    <cellStyle name="Total 2" xfId="472" xr:uid="{00000000-0005-0000-0000-0000D8010000}"/>
    <cellStyle name="Total 2 2" xfId="473" xr:uid="{00000000-0005-0000-0000-0000D9010000}"/>
  </cellStyles>
  <dxfs count="150">
    <dxf>
      <font>
        <strike val="0"/>
        <outline val="0"/>
        <shadow val="0"/>
        <u val="none"/>
        <vertAlign val="baseline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/>
        <top style="thin">
          <color indexed="59"/>
        </top>
        <bottom style="thin">
          <color indexed="59"/>
        </bottom>
      </border>
    </dxf>
    <dxf>
      <font>
        <strike val="0"/>
        <outline val="0"/>
        <shadow val="0"/>
        <u val="none"/>
        <vertAlign val="baseline"/>
        <name val="Cambria"/>
        <scheme val="maj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numFmt numFmtId="1" formatCode="0"/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59"/>
        </right>
        <top style="thin">
          <color indexed="59"/>
        </top>
        <bottom style="thin">
          <color indexed="59"/>
        </bottom>
      </border>
    </dxf>
    <dxf>
      <border outline="0">
        <top style="thin">
          <color indexed="59"/>
        </top>
      </border>
    </dxf>
    <dxf>
      <border outline="0">
        <bottom style="thin">
          <color indexed="59"/>
        </bottom>
      </border>
    </dxf>
    <dxf>
      <border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</dxf>
    <dxf>
      <font>
        <strike val="0"/>
        <outline val="0"/>
        <shadow val="0"/>
        <u val="none"/>
        <vertAlign val="baseline"/>
        <name val="Cambria"/>
        <scheme val="maj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left" vertical="top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/>
        <bottom/>
      </border>
    </dxf>
    <dxf>
      <font>
        <strike val="0"/>
        <outline val="0"/>
        <shadow val="0"/>
        <u val="none"/>
        <vertAlign val="baseline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/>
        <top style="thin">
          <color indexed="59"/>
        </top>
        <bottom style="thin">
          <color indexed="59"/>
        </bottom>
      </border>
    </dxf>
    <dxf>
      <font>
        <strike val="0"/>
        <outline val="0"/>
        <shadow val="0"/>
        <u val="none"/>
        <vertAlign val="baseline"/>
        <name val="Cambria"/>
        <scheme val="maj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59"/>
        </right>
        <top style="thin">
          <color indexed="59"/>
        </top>
        <bottom style="thin">
          <color indexed="59"/>
        </bottom>
      </border>
    </dxf>
    <dxf>
      <border outline="0">
        <top style="thin">
          <color indexed="59"/>
        </top>
      </border>
    </dxf>
    <dxf>
      <border outline="0">
        <bottom style="thin">
          <color indexed="59"/>
        </bottom>
      </border>
    </dxf>
    <dxf>
      <border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</dxf>
    <dxf>
      <font>
        <strike val="0"/>
        <outline val="0"/>
        <shadow val="0"/>
        <u val="none"/>
        <vertAlign val="baseline"/>
        <name val="Cambria"/>
        <scheme val="maj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left" vertical="top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/>
        <bottom/>
      </border>
    </dxf>
    <dxf>
      <font>
        <strike val="0"/>
        <outline val="0"/>
        <shadow val="0"/>
        <u val="none"/>
        <vertAlign val="baseline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/>
        <top style="thin">
          <color indexed="59"/>
        </top>
        <bottom style="thin">
          <color indexed="59"/>
        </bottom>
      </border>
    </dxf>
    <dxf>
      <font>
        <strike val="0"/>
        <outline val="0"/>
        <shadow val="0"/>
        <u val="none"/>
        <vertAlign val="baseline"/>
        <name val="Cambria"/>
        <scheme val="maj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59"/>
        </right>
        <top style="thin">
          <color indexed="59"/>
        </top>
        <bottom style="thin">
          <color indexed="59"/>
        </bottom>
      </border>
    </dxf>
    <dxf>
      <border outline="0">
        <top style="thin">
          <color indexed="59"/>
        </top>
      </border>
    </dxf>
    <dxf>
      <border outline="0">
        <bottom style="thin">
          <color indexed="59"/>
        </bottom>
      </border>
    </dxf>
    <dxf>
      <border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</dxf>
    <dxf>
      <font>
        <strike val="0"/>
        <outline val="0"/>
        <shadow val="0"/>
        <u val="none"/>
        <vertAlign val="baseline"/>
        <name val="Cambria"/>
        <scheme val="maj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left" vertical="top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/>
        <bottom/>
      </border>
    </dxf>
    <dxf>
      <font>
        <strike val="0"/>
        <outline val="0"/>
        <shadow val="0"/>
        <u val="none"/>
        <vertAlign val="baseline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/>
        <top style="thin">
          <color indexed="59"/>
        </top>
        <bottom style="thin">
          <color indexed="59"/>
        </bottom>
      </border>
    </dxf>
    <dxf>
      <font>
        <strike val="0"/>
        <outline val="0"/>
        <shadow val="0"/>
        <u val="none"/>
        <vertAlign val="baseline"/>
        <name val="Cambria"/>
        <scheme val="maj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59"/>
        </right>
        <top style="thin">
          <color indexed="59"/>
        </top>
        <bottom style="thin">
          <color indexed="59"/>
        </bottom>
      </border>
    </dxf>
    <dxf>
      <border outline="0">
        <top style="thin">
          <color indexed="59"/>
        </top>
      </border>
    </dxf>
    <dxf>
      <border outline="0">
        <bottom style="thin">
          <color indexed="59"/>
        </bottom>
      </border>
    </dxf>
    <dxf>
      <border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</dxf>
    <dxf>
      <font>
        <strike val="0"/>
        <outline val="0"/>
        <shadow val="0"/>
        <u val="none"/>
        <vertAlign val="baseline"/>
        <name val="Cambria"/>
        <scheme val="maj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left" vertical="top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/>
        <top style="thin">
          <color indexed="59"/>
        </top>
        <bottom style="thin">
          <color indexed="59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mbria"/>
        <scheme val="maj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59"/>
        </right>
        <top style="thin">
          <color indexed="59"/>
        </top>
        <bottom style="thin">
          <color indexed="59"/>
        </bottom>
      </border>
    </dxf>
    <dxf>
      <border outline="0">
        <top style="thin">
          <color indexed="59"/>
        </top>
      </border>
    </dxf>
    <dxf>
      <border outline="0">
        <bottom style="thin">
          <color indexed="59"/>
        </bottom>
      </border>
    </dxf>
    <dxf>
      <border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mbria"/>
        <scheme val="maj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left" vertical="top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/>
        <bottom/>
      </border>
    </dxf>
    <dxf>
      <font>
        <strike val="0"/>
        <outline val="0"/>
        <shadow val="0"/>
        <u val="none"/>
        <vertAlign val="baseline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/>
        <top style="thin">
          <color indexed="59"/>
        </top>
        <bottom style="thin">
          <color indexed="59"/>
        </bottom>
      </border>
    </dxf>
    <dxf>
      <font>
        <strike val="0"/>
        <outline val="0"/>
        <shadow val="0"/>
        <u val="none"/>
        <vertAlign val="baseline"/>
        <name val="Cambria"/>
        <scheme val="maj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numFmt numFmtId="1" formatCode="0"/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59"/>
        </right>
        <top style="thin">
          <color indexed="59"/>
        </top>
        <bottom style="thin">
          <color indexed="59"/>
        </bottom>
      </border>
    </dxf>
    <dxf>
      <border outline="0">
        <top style="thin">
          <color indexed="59"/>
        </top>
      </border>
    </dxf>
    <dxf>
      <border outline="0">
        <bottom style="thin">
          <color indexed="59"/>
        </bottom>
      </border>
    </dxf>
    <dxf>
      <border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</dxf>
    <dxf>
      <font>
        <strike val="0"/>
        <outline val="0"/>
        <shadow val="0"/>
        <u val="none"/>
        <vertAlign val="baseline"/>
        <name val="Cambria"/>
        <scheme val="maj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left" vertical="top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/>
        <bottom/>
      </border>
    </dxf>
    <dxf>
      <font>
        <strike val="0"/>
        <outline val="0"/>
        <shadow val="0"/>
        <u val="none"/>
        <vertAlign val="baseline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/>
        <top style="thin">
          <color indexed="59"/>
        </top>
        <bottom style="thin">
          <color indexed="59"/>
        </bottom>
      </border>
    </dxf>
    <dxf>
      <font>
        <strike val="0"/>
        <outline val="0"/>
        <shadow val="0"/>
        <u val="none"/>
        <vertAlign val="baseline"/>
        <name val="Cambria"/>
        <scheme val="maj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59"/>
        </right>
        <top style="thin">
          <color indexed="59"/>
        </top>
        <bottom style="thin">
          <color indexed="59"/>
        </bottom>
      </border>
    </dxf>
    <dxf>
      <border outline="0">
        <top style="thin">
          <color indexed="59"/>
        </top>
      </border>
    </dxf>
    <dxf>
      <border outline="0">
        <bottom style="thin">
          <color indexed="59"/>
        </bottom>
      </border>
    </dxf>
    <dxf>
      <border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</dxf>
    <dxf>
      <font>
        <strike val="0"/>
        <outline val="0"/>
        <shadow val="0"/>
        <u val="none"/>
        <vertAlign val="baseline"/>
        <name val="Cambria"/>
        <scheme val="maj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left" vertical="top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/>
        <bottom/>
      </border>
    </dxf>
    <dxf>
      <font>
        <strike val="0"/>
        <outline val="0"/>
        <shadow val="0"/>
        <u val="none"/>
        <vertAlign val="baseline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/>
        <top style="thin">
          <color indexed="59"/>
        </top>
        <bottom style="thin">
          <color indexed="59"/>
        </bottom>
      </border>
    </dxf>
    <dxf>
      <font>
        <strike val="0"/>
        <outline val="0"/>
        <shadow val="0"/>
        <u val="none"/>
        <vertAlign val="baseline"/>
        <name val="Cambria"/>
        <scheme val="maj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59"/>
        </right>
        <top style="thin">
          <color indexed="59"/>
        </top>
        <bottom style="thin">
          <color indexed="59"/>
        </bottom>
      </border>
    </dxf>
    <dxf>
      <border outline="0">
        <top style="thin">
          <color indexed="59"/>
        </top>
      </border>
    </dxf>
    <dxf>
      <border outline="0">
        <bottom style="thin">
          <color indexed="59"/>
        </bottom>
      </border>
    </dxf>
    <dxf>
      <border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</dxf>
    <dxf>
      <font>
        <strike val="0"/>
        <outline val="0"/>
        <shadow val="0"/>
        <u val="none"/>
        <vertAlign val="baseline"/>
        <name val="Cambria"/>
        <scheme val="maj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left" vertical="top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/>
        <bottom/>
      </border>
    </dxf>
    <dxf>
      <font>
        <strike val="0"/>
        <outline val="0"/>
        <shadow val="0"/>
        <u val="none"/>
        <vertAlign val="baseline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/>
        <top style="thin">
          <color indexed="59"/>
        </top>
        <bottom style="thin">
          <color indexed="59"/>
        </bottom>
      </border>
    </dxf>
    <dxf>
      <font>
        <strike val="0"/>
        <outline val="0"/>
        <shadow val="0"/>
        <u val="none"/>
        <vertAlign val="baseline"/>
        <name val="Cambria"/>
        <scheme val="maj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59"/>
        </right>
        <top style="thin">
          <color indexed="59"/>
        </top>
        <bottom style="thin">
          <color indexed="59"/>
        </bottom>
      </border>
    </dxf>
    <dxf>
      <border outline="0">
        <top style="thin">
          <color indexed="59"/>
        </top>
      </border>
    </dxf>
    <dxf>
      <border outline="0">
        <bottom style="thin">
          <color indexed="59"/>
        </bottom>
      </border>
    </dxf>
    <dxf>
      <border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</dxf>
    <dxf>
      <font>
        <strike val="0"/>
        <outline val="0"/>
        <shadow val="0"/>
        <u val="none"/>
        <vertAlign val="baseline"/>
        <name val="Cambria"/>
        <scheme val="maj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left" vertical="top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/>
        <top style="thin">
          <color indexed="59"/>
        </top>
        <bottom style="thin">
          <color indexed="59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mbria"/>
        <scheme val="maj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59"/>
        </right>
        <top style="thin">
          <color indexed="59"/>
        </top>
        <bottom style="thin">
          <color indexed="59"/>
        </bottom>
      </border>
    </dxf>
    <dxf>
      <border outline="0">
        <top style="thin">
          <color indexed="59"/>
        </top>
      </border>
    </dxf>
    <dxf>
      <border outline="0">
        <bottom style="thin">
          <color indexed="59"/>
        </bottom>
      </border>
    </dxf>
    <dxf>
      <border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mbria"/>
        <scheme val="maj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left" vertical="top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/>
        <bottom/>
      </border>
    </dxf>
    <dxf>
      <font>
        <strike val="0"/>
        <outline val="0"/>
        <shadow val="0"/>
        <u val="none"/>
        <vertAlign val="baseline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/>
        <top style="thin">
          <color indexed="59"/>
        </top>
        <bottom style="thin">
          <color indexed="59"/>
        </bottom>
      </border>
    </dxf>
    <dxf>
      <font>
        <strike val="0"/>
        <outline val="0"/>
        <shadow val="0"/>
        <u val="none"/>
        <vertAlign val="baseline"/>
        <name val="Cambria"/>
        <scheme val="maj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numFmt numFmtId="1" formatCode="0"/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59"/>
        </right>
        <top style="thin">
          <color indexed="59"/>
        </top>
        <bottom style="thin">
          <color indexed="59"/>
        </bottom>
      </border>
    </dxf>
    <dxf>
      <border outline="0">
        <top style="thin">
          <color indexed="59"/>
        </top>
      </border>
    </dxf>
    <dxf>
      <border outline="0">
        <bottom style="thin">
          <color indexed="59"/>
        </bottom>
      </border>
    </dxf>
    <dxf>
      <border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</dxf>
    <dxf>
      <font>
        <strike val="0"/>
        <outline val="0"/>
        <shadow val="0"/>
        <u val="none"/>
        <vertAlign val="baseline"/>
        <name val="Cambria"/>
        <scheme val="maj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left" vertical="top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/>
        <bottom/>
      </border>
    </dxf>
    <dxf>
      <font>
        <strike val="0"/>
        <outline val="0"/>
        <shadow val="0"/>
        <u val="none"/>
        <vertAlign val="baseline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/>
        <top style="thin">
          <color indexed="59"/>
        </top>
        <bottom style="thin">
          <color indexed="59"/>
        </bottom>
      </border>
    </dxf>
    <dxf>
      <font>
        <strike val="0"/>
        <outline val="0"/>
        <shadow val="0"/>
        <u val="none"/>
        <vertAlign val="baseline"/>
        <name val="Cambria"/>
        <scheme val="maj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59"/>
        </right>
        <top style="thin">
          <color indexed="59"/>
        </top>
        <bottom style="thin">
          <color indexed="59"/>
        </bottom>
      </border>
    </dxf>
    <dxf>
      <border outline="0">
        <top style="thin">
          <color indexed="59"/>
        </top>
      </border>
    </dxf>
    <dxf>
      <border outline="0">
        <bottom style="thin">
          <color indexed="59"/>
        </bottom>
      </border>
    </dxf>
    <dxf>
      <border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</dxf>
    <dxf>
      <font>
        <strike val="0"/>
        <outline val="0"/>
        <shadow val="0"/>
        <u val="none"/>
        <vertAlign val="baseline"/>
        <name val="Cambria"/>
        <scheme val="maj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left" vertical="top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/>
        <bottom/>
      </border>
    </dxf>
    <dxf>
      <font>
        <strike val="0"/>
        <outline val="0"/>
        <shadow val="0"/>
        <u val="none"/>
        <vertAlign val="baseline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/>
        <top style="thin">
          <color indexed="59"/>
        </top>
        <bottom style="thin">
          <color indexed="59"/>
        </bottom>
      </border>
    </dxf>
    <dxf>
      <font>
        <strike val="0"/>
        <outline val="0"/>
        <shadow val="0"/>
        <u val="none"/>
        <vertAlign val="baseline"/>
        <name val="Cambria"/>
        <scheme val="maj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59"/>
        </right>
        <top style="thin">
          <color indexed="59"/>
        </top>
        <bottom style="thin">
          <color indexed="59"/>
        </bottom>
      </border>
    </dxf>
    <dxf>
      <border outline="0">
        <top style="thin">
          <color indexed="59"/>
        </top>
      </border>
    </dxf>
    <dxf>
      <border outline="0">
        <bottom style="thin">
          <color indexed="59"/>
        </bottom>
      </border>
    </dxf>
    <dxf>
      <border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</dxf>
    <dxf>
      <font>
        <strike val="0"/>
        <outline val="0"/>
        <shadow val="0"/>
        <u val="none"/>
        <vertAlign val="baseline"/>
        <name val="Cambria"/>
        <scheme val="maj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left" vertical="top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/>
        <bottom/>
      </border>
    </dxf>
    <dxf>
      <font>
        <strike val="0"/>
        <outline val="0"/>
        <shadow val="0"/>
        <u val="none"/>
        <vertAlign val="baseline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/>
        <top style="thin">
          <color indexed="59"/>
        </top>
        <bottom style="thin">
          <color indexed="59"/>
        </bottom>
      </border>
    </dxf>
    <dxf>
      <font>
        <strike val="0"/>
        <outline val="0"/>
        <shadow val="0"/>
        <u val="none"/>
        <vertAlign val="baseline"/>
        <name val="Cambria"/>
        <scheme val="maj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59"/>
        </right>
        <top style="thin">
          <color indexed="59"/>
        </top>
        <bottom style="thin">
          <color indexed="59"/>
        </bottom>
      </border>
    </dxf>
    <dxf>
      <border outline="0">
        <top style="thin">
          <color indexed="59"/>
        </top>
      </border>
    </dxf>
    <dxf>
      <border outline="0">
        <bottom style="thin">
          <color indexed="59"/>
        </bottom>
      </border>
    </dxf>
    <dxf>
      <border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</dxf>
    <dxf>
      <font>
        <strike val="0"/>
        <outline val="0"/>
        <shadow val="0"/>
        <u val="none"/>
        <vertAlign val="baseline"/>
        <name val="Cambria"/>
        <scheme val="maj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left" vertical="top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/>
        <top style="thin">
          <color indexed="59"/>
        </top>
        <bottom style="thin">
          <color indexed="59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mbria"/>
        <scheme val="major"/>
      </font>
      <alignment horizontal="center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59"/>
        </right>
        <top style="thin">
          <color indexed="59"/>
        </top>
        <bottom style="thin">
          <color indexed="59"/>
        </bottom>
      </border>
    </dxf>
    <dxf>
      <border outline="0">
        <top style="thin">
          <color indexed="59"/>
        </top>
      </border>
    </dxf>
    <dxf>
      <border outline="0">
        <bottom style="thin">
          <color indexed="59"/>
        </bottom>
      </border>
    </dxf>
    <dxf>
      <border outline="0">
        <left style="thin">
          <color indexed="59"/>
        </left>
        <right style="thin">
          <color indexed="59"/>
        </right>
        <top style="thin">
          <color indexed="59"/>
        </top>
        <bottom style="thin">
          <color indexed="59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mbria"/>
        <scheme val="maj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major"/>
      </font>
      <alignment horizontal="left" vertical="top" textRotation="0" wrapText="1" indent="0" justifyLastLine="0" shrinkToFit="0" readingOrder="0"/>
      <border diagonalUp="0" diagonalDown="0" outline="0">
        <left style="thin">
          <color indexed="59"/>
        </left>
        <right style="thin">
          <color indexed="5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66\Supervision\Saccos\Wananchi%20Sacco\Returns%20Information\Wananchi%20-%20Returns%202017\wananchi%20return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FP"/>
      <sheetName val="SCI"/>
      <sheetName val="Financials"/>
      <sheetName val="Prudential Ratios"/>
      <sheetName val="FORM 4"/>
    </sheetNames>
    <sheetDataSet>
      <sheetData sheetId="0">
        <row r="32">
          <cell r="S32">
            <v>1228746915</v>
          </cell>
        </row>
      </sheetData>
      <sheetData sheetId="1"/>
      <sheetData sheetId="2"/>
      <sheetData sheetId="3"/>
      <sheetData sheetId="4">
        <row r="112">
          <cell r="D112">
            <v>9943880.5199999996</v>
          </cell>
        </row>
        <row r="113">
          <cell r="D113">
            <v>9953302.7699999996</v>
          </cell>
        </row>
        <row r="114">
          <cell r="D114">
            <v>133208914.52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F8" totalsRowShown="0" headerRowDxfId="149" dataDxfId="148" headerRowBorderDxfId="146" tableBorderDxfId="147" totalsRowBorderDxfId="145" headerRowCellStyle="Normal 2">
  <autoFilter ref="B2:F8" xr:uid="{00000000-0009-0000-0100-000001000000}"/>
  <tableColumns count="5">
    <tableColumn id="1" xr3:uid="{00000000-0010-0000-0000-000001000000}" name="CLASSIFICATION" dataDxfId="144" dataCellStyle="Normal 10"/>
    <tableColumn id="2" xr3:uid="{00000000-0010-0000-0000-000002000000}" name="NO. OF A/Cs" dataDxfId="143" dataCellStyle="Comma"/>
    <tableColumn id="3" xr3:uid="{00000000-0010-0000-0000-000003000000}" name="OUTSTANDING LOAN PORTFOLIO(Kshs)" dataDxfId="142" dataCellStyle="Comma"/>
    <tableColumn id="4" xr3:uid="{00000000-0010-0000-0000-000004000000}" name="REQUIRED PROVISION" dataDxfId="141" dataCellStyle="Comma 18"/>
    <tableColumn id="5" xr3:uid="{00000000-0010-0000-0000-000005000000}" name="REQUIRED PROVISION AMOUNT(Kshs)" dataDxfId="140" dataCellStyle="Comma 1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11:F17" totalsRowShown="0" headerRowDxfId="139" dataDxfId="138" headerRowBorderDxfId="136" tableBorderDxfId="137" totalsRowBorderDxfId="135" headerRowCellStyle="Normal 2">
  <autoFilter ref="B11:F17" xr:uid="{00000000-0009-0000-0100-000002000000}"/>
  <tableColumns count="5">
    <tableColumn id="1" xr3:uid="{00000000-0010-0000-0100-000001000000}" name="CLASSIFICATION" dataDxfId="134" dataCellStyle="Normal 10"/>
    <tableColumn id="2" xr3:uid="{00000000-0010-0000-0100-000002000000}" name="NO. OF A/Cs" dataDxfId="133"/>
    <tableColumn id="3" xr3:uid="{00000000-0010-0000-0100-000003000000}" name="OUTSTANDING LOAN PORTFOLIO(Kshs)" dataDxfId="132"/>
    <tableColumn id="4" xr3:uid="{00000000-0010-0000-0100-000004000000}" name="REQUIRED PROVISION" dataDxfId="131" dataCellStyle="Comma 18"/>
    <tableColumn id="5" xr3:uid="{00000000-0010-0000-0100-000005000000}" name="REQUIRED PROVISION AMOUNT(Kshs)" dataDxfId="130" dataCellStyle="Comma 1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B20:F26" totalsRowShown="0" headerRowDxfId="129" dataDxfId="128" headerRowBorderDxfId="126" tableBorderDxfId="127" totalsRowBorderDxfId="125" headerRowCellStyle="Normal 2">
  <autoFilter ref="B20:F26" xr:uid="{00000000-0009-0000-0100-000003000000}"/>
  <tableColumns count="5">
    <tableColumn id="1" xr3:uid="{00000000-0010-0000-0200-000001000000}" name="CLASSIFICATION" dataDxfId="124" dataCellStyle="Normal 10"/>
    <tableColumn id="2" xr3:uid="{00000000-0010-0000-0200-000002000000}" name="NO. OF A/Cs" dataDxfId="123"/>
    <tableColumn id="3" xr3:uid="{00000000-0010-0000-0200-000003000000}" name="OUTSTANDING LOAN PORTFOLIO(Kshs)" dataDxfId="122"/>
    <tableColumn id="4" xr3:uid="{00000000-0010-0000-0200-000004000000}" name="REQUIRED PROVISION" dataDxfId="121" dataCellStyle="Comma 18"/>
    <tableColumn id="5" xr3:uid="{00000000-0010-0000-0200-000005000000}" name="REQUIRED PROVISION AMOUNT(Kshs)" dataDxfId="120" dataCellStyle="Comma 1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B29:F35" totalsRowShown="0" headerRowDxfId="119" dataDxfId="118" headerRowBorderDxfId="116" tableBorderDxfId="117" totalsRowBorderDxfId="115" headerRowCellStyle="Normal 2">
  <autoFilter ref="B29:F35" xr:uid="{00000000-0009-0000-0100-000004000000}"/>
  <tableColumns count="5">
    <tableColumn id="1" xr3:uid="{00000000-0010-0000-0300-000001000000}" name="CLASSIFICATION" dataDxfId="114" dataCellStyle="Normal 10"/>
    <tableColumn id="2" xr3:uid="{00000000-0010-0000-0300-000002000000}" name="NO. OF A/Cs" dataDxfId="113"/>
    <tableColumn id="3" xr3:uid="{00000000-0010-0000-0300-000003000000}" name="OUTSTANDING LOAN PORTFOLIO(Kshs)" dataDxfId="112"/>
    <tableColumn id="4" xr3:uid="{00000000-0010-0000-0300-000004000000}" name="REQUIRED PROVISION" dataDxfId="111" dataCellStyle="Comma 18"/>
    <tableColumn id="5" xr3:uid="{00000000-0010-0000-0300-000005000000}" name="REQUIRED PROVISION AMOUNT(Kshs)" dataDxfId="110" dataCellStyle="Comma 18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5" displayName="Table5" ref="B39:F45" totalsRowShown="0" headerRowDxfId="109" dataDxfId="108" headerRowBorderDxfId="106" tableBorderDxfId="107" totalsRowBorderDxfId="105" headerRowCellStyle="Normal 2">
  <autoFilter ref="B39:F45" xr:uid="{00000000-0009-0000-0100-000005000000}"/>
  <tableColumns count="5">
    <tableColumn id="1" xr3:uid="{00000000-0010-0000-0400-000001000000}" name="CLASSIFICATION" dataDxfId="104" dataCellStyle="Normal 10"/>
    <tableColumn id="2" xr3:uid="{00000000-0010-0000-0400-000002000000}" name="NO. OF A/Cs" dataDxfId="103" dataCellStyle="Normal 10"/>
    <tableColumn id="3" xr3:uid="{00000000-0010-0000-0400-000003000000}" name="OUTSTANDING LOAN PORTFOLIO(Kshs)" dataDxfId="102" dataCellStyle="Comma"/>
    <tableColumn id="4" xr3:uid="{00000000-0010-0000-0400-000004000000}" name="REQUIRED PROVISION" dataDxfId="101" dataCellStyle="Comma 18"/>
    <tableColumn id="5" xr3:uid="{00000000-0010-0000-0400-000005000000}" name="REQUIRED PROVISION AMOUNT(Kshs)" dataDxfId="100" dataCellStyle="Comma 18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0000000-000C-0000-FFFF-FFFF05000000}" name="Table1152" displayName="Table1152" ref="B50:F56" totalsRowShown="0" headerRowDxfId="99" dataDxfId="98" headerRowBorderDxfId="96" tableBorderDxfId="97" totalsRowBorderDxfId="95" headerRowCellStyle="Normal 2">
  <autoFilter ref="B50:F56" xr:uid="{00000000-0009-0000-0100-000097000000}"/>
  <tableColumns count="5">
    <tableColumn id="1" xr3:uid="{00000000-0010-0000-0500-000001000000}" name="CLASSIFICATION" dataDxfId="94" dataCellStyle="Normal 10"/>
    <tableColumn id="2" xr3:uid="{00000000-0010-0000-0500-000002000000}" name="NO. OF A/Cs" dataDxfId="93" dataCellStyle="Comma"/>
    <tableColumn id="3" xr3:uid="{00000000-0010-0000-0500-000003000000}" name="OUTSTANDING LOAN PORTFOLIO(Kshs)" dataDxfId="92" dataCellStyle="Comma"/>
    <tableColumn id="4" xr3:uid="{00000000-0010-0000-0500-000004000000}" name="REQUIRED PROVISION" dataDxfId="91" dataCellStyle="Comma 18"/>
    <tableColumn id="5" xr3:uid="{00000000-0010-0000-0500-000005000000}" name="REQUIRED PROVISION AMOUNT(Kshs)" dataDxfId="90" dataCellStyle="Comma 18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00000000-000C-0000-FFFF-FFFF06000000}" name="Table2153" displayName="Table2153" ref="B59:F65" totalsRowShown="0" headerRowDxfId="89" dataDxfId="88" headerRowBorderDxfId="86" tableBorderDxfId="87" totalsRowBorderDxfId="85" headerRowCellStyle="Normal 2">
  <autoFilter ref="B59:F65" xr:uid="{00000000-0009-0000-0100-000098000000}"/>
  <tableColumns count="5">
    <tableColumn id="1" xr3:uid="{00000000-0010-0000-0600-000001000000}" name="CLASSIFICATION" dataDxfId="84" dataCellStyle="Normal 10"/>
    <tableColumn id="2" xr3:uid="{00000000-0010-0000-0600-000002000000}" name="NO. OF A/Cs" dataDxfId="83"/>
    <tableColumn id="3" xr3:uid="{00000000-0010-0000-0600-000003000000}" name="OUTSTANDING LOAN PORTFOLIO(Kshs)" dataDxfId="82"/>
    <tableColumn id="4" xr3:uid="{00000000-0010-0000-0600-000004000000}" name="REQUIRED PROVISION" dataDxfId="81" dataCellStyle="Comma 18"/>
    <tableColumn id="5" xr3:uid="{00000000-0010-0000-0600-000005000000}" name="REQUIRED PROVISION AMOUNT(Kshs)" dataDxfId="80" dataCellStyle="Comma 18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00000000-000C-0000-FFFF-FFFF07000000}" name="Table3154" displayName="Table3154" ref="B68:F74" totalsRowShown="0" headerRowDxfId="79" dataDxfId="78" headerRowBorderDxfId="76" tableBorderDxfId="77" totalsRowBorderDxfId="75" headerRowCellStyle="Normal 2">
  <autoFilter ref="B68:F74" xr:uid="{00000000-0009-0000-0100-000099000000}"/>
  <tableColumns count="5">
    <tableColumn id="1" xr3:uid="{00000000-0010-0000-0700-000001000000}" name="CLASSIFICATION" dataDxfId="74" dataCellStyle="Normal 10"/>
    <tableColumn id="2" xr3:uid="{00000000-0010-0000-0700-000002000000}" name="NO. OF A/Cs" dataDxfId="73"/>
    <tableColumn id="3" xr3:uid="{00000000-0010-0000-0700-000003000000}" name="OUTSTANDING LOAN PORTFOLIO(Kshs)" dataDxfId="72"/>
    <tableColumn id="4" xr3:uid="{00000000-0010-0000-0700-000004000000}" name="REQUIRED PROVISION" dataDxfId="71" dataCellStyle="Comma 18"/>
    <tableColumn id="5" xr3:uid="{00000000-0010-0000-0700-000005000000}" name="REQUIRED PROVISION AMOUNT(Kshs)" dataDxfId="70" dataCellStyle="Comma 18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00000000-000C-0000-FFFF-FFFF08000000}" name="Table4155" displayName="Table4155" ref="B77:F83" totalsRowShown="0" headerRowDxfId="69" dataDxfId="68" headerRowBorderDxfId="66" tableBorderDxfId="67" totalsRowBorderDxfId="65" headerRowCellStyle="Normal 2">
  <autoFilter ref="B77:F83" xr:uid="{00000000-0009-0000-0100-00009A000000}"/>
  <tableColumns count="5">
    <tableColumn id="1" xr3:uid="{00000000-0010-0000-0800-000001000000}" name="CLASSIFICATION" dataDxfId="64" dataCellStyle="Normal 10"/>
    <tableColumn id="2" xr3:uid="{00000000-0010-0000-0800-000002000000}" name="NO. OF A/Cs" dataDxfId="63"/>
    <tableColumn id="3" xr3:uid="{00000000-0010-0000-0800-000003000000}" name="OUTSTANDING LOAN PORTFOLIO(Kshs)" dataDxfId="62"/>
    <tableColumn id="4" xr3:uid="{00000000-0010-0000-0800-000004000000}" name="REQUIRED PROVISION" dataDxfId="61" dataCellStyle="Comma 18"/>
    <tableColumn id="5" xr3:uid="{00000000-0010-0000-0800-000005000000}" name="REQUIRED PROVISION AMOUNT(Kshs)" dataDxfId="60" dataCellStyle="Comma 18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00000000-000C-0000-FFFF-FFFF09000000}" name="Table5156" displayName="Table5156" ref="B87:F93" totalsRowShown="0" headerRowDxfId="59" dataDxfId="58" headerRowBorderDxfId="56" tableBorderDxfId="57" totalsRowBorderDxfId="55" headerRowCellStyle="Normal 2">
  <autoFilter ref="B87:F93" xr:uid="{00000000-0009-0000-0100-00009B000000}"/>
  <tableColumns count="5">
    <tableColumn id="1" xr3:uid="{00000000-0010-0000-0900-000001000000}" name="CLASSIFICATION" dataDxfId="54" dataCellStyle="Normal 10"/>
    <tableColumn id="2" xr3:uid="{00000000-0010-0000-0900-000002000000}" name="NO. OF A/Cs" dataDxfId="53" dataCellStyle="Normal 10"/>
    <tableColumn id="3" xr3:uid="{00000000-0010-0000-0900-000003000000}" name="OUTSTANDING LOAN PORTFOLIO(Kshs)" dataDxfId="52" dataCellStyle="Comma"/>
    <tableColumn id="4" xr3:uid="{00000000-0010-0000-0900-000004000000}" name="REQUIRED PROVISION" dataDxfId="51" dataCellStyle="Comma 18"/>
    <tableColumn id="5" xr3:uid="{00000000-0010-0000-0900-000005000000}" name="REQUIRED PROVISION AMOUNT(Kshs)" dataDxfId="50" dataCellStyle="Comma 18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6" xr:uid="{00000000-000C-0000-FFFF-FFFF0A000000}" name="Table1152217" displayName="Table1152217" ref="B96:F102" totalsRowShown="0" headerRowDxfId="49" dataDxfId="48" headerRowBorderDxfId="46" tableBorderDxfId="47" totalsRowBorderDxfId="45" headerRowCellStyle="Normal 2">
  <autoFilter ref="B96:F102" xr:uid="{00000000-0009-0000-0100-0000D8000000}"/>
  <tableColumns count="5">
    <tableColumn id="1" xr3:uid="{00000000-0010-0000-0A00-000001000000}" name="CLASSIFICATION" dataDxfId="44" dataCellStyle="Normal 10"/>
    <tableColumn id="2" xr3:uid="{00000000-0010-0000-0A00-000002000000}" name="NO. OF A/Cs" dataDxfId="43" dataCellStyle="Comma"/>
    <tableColumn id="3" xr3:uid="{00000000-0010-0000-0A00-000003000000}" name="OUTSTANDING LOAN PORTFOLIO(Kshs)" dataDxfId="42" dataCellStyle="Comma"/>
    <tableColumn id="4" xr3:uid="{00000000-0010-0000-0A00-000004000000}" name="REQUIRED PROVISION" dataDxfId="41" dataCellStyle="Comma 18"/>
    <tableColumn id="5" xr3:uid="{00000000-0010-0000-0A00-000005000000}" name="REQUIRED PROVISION AMOUNT(Kshs)" dataDxfId="40" dataCellStyle="Comma 18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7" xr:uid="{00000000-000C-0000-FFFF-FFFF0B000000}" name="Table2153218" displayName="Table2153218" ref="B105:F111" totalsRowShown="0" headerRowDxfId="39" dataDxfId="38" headerRowBorderDxfId="36" tableBorderDxfId="37" totalsRowBorderDxfId="35" headerRowCellStyle="Normal 2">
  <autoFilter ref="B105:F111" xr:uid="{00000000-0009-0000-0100-0000D9000000}"/>
  <tableColumns count="5">
    <tableColumn id="1" xr3:uid="{00000000-0010-0000-0B00-000001000000}" name="CLASSIFICATION" dataDxfId="34" dataCellStyle="Normal 10"/>
    <tableColumn id="2" xr3:uid="{00000000-0010-0000-0B00-000002000000}" name="NO. OF A/Cs" dataDxfId="33"/>
    <tableColumn id="3" xr3:uid="{00000000-0010-0000-0B00-000003000000}" name="OUTSTANDING LOAN PORTFOLIO(Kshs)" dataDxfId="32"/>
    <tableColumn id="4" xr3:uid="{00000000-0010-0000-0B00-000004000000}" name="REQUIRED PROVISION" dataDxfId="31" dataCellStyle="Comma 18"/>
    <tableColumn id="5" xr3:uid="{00000000-0010-0000-0B00-000005000000}" name="REQUIRED PROVISION AMOUNT(Kshs)" dataDxfId="30" dataCellStyle="Comma 18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8" xr:uid="{00000000-000C-0000-FFFF-FFFF0C000000}" name="Table3154219" displayName="Table3154219" ref="B114:F120" totalsRowShown="0" headerRowDxfId="29" dataDxfId="28" headerRowBorderDxfId="26" tableBorderDxfId="27" totalsRowBorderDxfId="25" headerRowCellStyle="Normal 2">
  <autoFilter ref="B114:F120" xr:uid="{00000000-0009-0000-0100-0000DA000000}"/>
  <tableColumns count="5">
    <tableColumn id="1" xr3:uid="{00000000-0010-0000-0C00-000001000000}" name="CLASSIFICATION" dataDxfId="24" dataCellStyle="Normal 10"/>
    <tableColumn id="2" xr3:uid="{00000000-0010-0000-0C00-000002000000}" name="NO. OF A/Cs" dataDxfId="23"/>
    <tableColumn id="3" xr3:uid="{00000000-0010-0000-0C00-000003000000}" name="OUTSTANDING LOAN PORTFOLIO(Kshs)" dataDxfId="22"/>
    <tableColumn id="4" xr3:uid="{00000000-0010-0000-0C00-000004000000}" name="REQUIRED PROVISION" dataDxfId="21" dataCellStyle="Comma 18"/>
    <tableColumn id="5" xr3:uid="{00000000-0010-0000-0C00-000005000000}" name="REQUIRED PROVISION AMOUNT(Kshs)" dataDxfId="20" dataCellStyle="Comma 18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9" xr:uid="{00000000-000C-0000-FFFF-FFFF0D000000}" name="Table4155220" displayName="Table4155220" ref="B123:F129" totalsRowShown="0" headerRowDxfId="19" dataDxfId="18" headerRowBorderDxfId="16" tableBorderDxfId="17" totalsRowBorderDxfId="15" headerRowCellStyle="Normal 2">
  <autoFilter ref="B123:F129" xr:uid="{00000000-0009-0000-0100-0000DB000000}"/>
  <tableColumns count="5">
    <tableColumn id="1" xr3:uid="{00000000-0010-0000-0D00-000001000000}" name="CLASSIFICATION" dataDxfId="14" dataCellStyle="Normal 10"/>
    <tableColumn id="2" xr3:uid="{00000000-0010-0000-0D00-000002000000}" name="NO. OF A/Cs" dataDxfId="13"/>
    <tableColumn id="3" xr3:uid="{00000000-0010-0000-0D00-000003000000}" name="OUTSTANDING LOAN PORTFOLIO(Kshs)" dataDxfId="12"/>
    <tableColumn id="4" xr3:uid="{00000000-0010-0000-0D00-000004000000}" name="REQUIRED PROVISION" dataDxfId="11" dataCellStyle="Comma 18"/>
    <tableColumn id="5" xr3:uid="{00000000-0010-0000-0D00-000005000000}" name="REQUIRED PROVISION AMOUNT(Kshs)" dataDxfId="10" dataCellStyle="Comma 18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0" xr:uid="{00000000-000C-0000-FFFF-FFFF0E000000}" name="Table5156221" displayName="Table5156221" ref="B133:F139" totalsRowShown="0" headerRowDxfId="9" dataDxfId="8" headerRowBorderDxfId="6" tableBorderDxfId="7" totalsRowBorderDxfId="5" headerRowCellStyle="Normal 2">
  <autoFilter ref="B133:F139" xr:uid="{00000000-0009-0000-0100-0000DC000000}"/>
  <tableColumns count="5">
    <tableColumn id="1" xr3:uid="{00000000-0010-0000-0E00-000001000000}" name="CLASSIFICATION" dataDxfId="4" dataCellStyle="Normal 10"/>
    <tableColumn id="2" xr3:uid="{00000000-0010-0000-0E00-000002000000}" name="NO. OF A/Cs" dataDxfId="3" dataCellStyle="Normal 10"/>
    <tableColumn id="3" xr3:uid="{00000000-0010-0000-0E00-000003000000}" name="OUTSTANDING LOAN PORTFOLIO(Kshs)" dataDxfId="2" dataCellStyle="Comma"/>
    <tableColumn id="4" xr3:uid="{00000000-0010-0000-0E00-000004000000}" name="REQUIRED PROVISION" dataDxfId="1" dataCellStyle="Comma 18"/>
    <tableColumn id="5" xr3:uid="{00000000-0010-0000-0E00-000005000000}" name="REQUIRED PROVISION AMOUNT(Kshs)" dataDxfId="0" dataCellStyle="Comma 1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6" Type="http://schemas.openxmlformats.org/officeDocument/2006/relationships/table" Target="../tables/table1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5" Type="http://schemas.openxmlformats.org/officeDocument/2006/relationships/table" Target="../tables/table1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Y41"/>
  <sheetViews>
    <sheetView workbookViewId="0">
      <pane xSplit="3" topLeftCell="R27" activePane="topRight" state="frozen"/>
      <selection pane="topRight" sqref="A1:BR41"/>
    </sheetView>
  </sheetViews>
  <sheetFormatPr defaultRowHeight="15" customHeight="1"/>
  <cols>
    <col min="1" max="1" width="32.28515625" style="318" customWidth="1"/>
    <col min="2" max="2" width="31.42578125" style="318" customWidth="1"/>
    <col min="3" max="3" width="10.5703125" style="318" bestFit="1" customWidth="1"/>
    <col min="4" max="7" width="12.5703125" style="318" hidden="1" customWidth="1"/>
    <col min="8" max="8" width="17.7109375" style="318" hidden="1" customWidth="1"/>
    <col min="9" max="10" width="12.5703125" style="318" hidden="1" customWidth="1"/>
    <col min="11" max="12" width="8" style="318" hidden="1" customWidth="1"/>
    <col min="13" max="13" width="11.7109375" style="318" hidden="1" customWidth="1"/>
    <col min="14" max="14" width="11.5703125" style="318" hidden="1" customWidth="1"/>
    <col min="15" max="15" width="8" style="318" hidden="1" customWidth="1"/>
    <col min="16" max="16" width="10.85546875" style="318" hidden="1" customWidth="1"/>
    <col min="17" max="17" width="12.42578125" style="318" hidden="1" customWidth="1"/>
    <col min="18" max="18" width="17.28515625" style="318" bestFit="1" customWidth="1"/>
    <col min="19" max="26" width="8.85546875" style="318" hidden="1" customWidth="1"/>
    <col min="27" max="27" width="0" style="318" hidden="1" customWidth="1"/>
    <col min="28" max="30" width="8.85546875" style="318" hidden="1" customWidth="1"/>
    <col min="31" max="31" width="18.7109375" style="318" bestFit="1" customWidth="1"/>
    <col min="32" max="42" width="8.85546875" style="318" hidden="1" customWidth="1"/>
    <col min="43" max="43" width="18.7109375" style="318" bestFit="1" customWidth="1"/>
    <col min="44" max="44" width="0" style="318" hidden="1" customWidth="1"/>
    <col min="45" max="45" width="13.7109375" style="318" hidden="1" customWidth="1"/>
    <col min="46" max="55" width="0" style="318" hidden="1" customWidth="1"/>
    <col min="56" max="56" width="17.28515625" style="318" customWidth="1"/>
    <col min="57" max="58" width="0" style="318" hidden="1" customWidth="1"/>
    <col min="59" max="59" width="10.7109375" style="318" bestFit="1" customWidth="1"/>
    <col min="60" max="61" width="0" style="318" hidden="1" customWidth="1"/>
    <col min="62" max="62" width="10.7109375" style="318" bestFit="1" customWidth="1"/>
    <col min="63" max="63" width="9.7109375" style="318" hidden="1" customWidth="1"/>
    <col min="64" max="64" width="0" style="318" hidden="1" customWidth="1"/>
    <col min="65" max="65" width="10.7109375" style="318" bestFit="1" customWidth="1"/>
    <col min="66" max="67" width="0" style="318" hidden="1" customWidth="1"/>
    <col min="68" max="68" width="10.7109375" style="318" bestFit="1" customWidth="1"/>
    <col min="69" max="69" width="17.28515625" style="318" bestFit="1" customWidth="1"/>
    <col min="70" max="16384" width="9.140625" style="318"/>
  </cols>
  <sheetData>
    <row r="1" spans="1:77" ht="18.75">
      <c r="A1" s="375" t="s">
        <v>0</v>
      </c>
      <c r="B1" s="375"/>
    </row>
    <row r="2" spans="1:77" ht="18.75">
      <c r="A2" s="319"/>
      <c r="B2" s="320"/>
      <c r="C2" s="320"/>
      <c r="D2" s="321" t="s">
        <v>1</v>
      </c>
      <c r="E2" s="321" t="s">
        <v>2</v>
      </c>
      <c r="F2" s="322">
        <v>43102</v>
      </c>
      <c r="G2" s="322">
        <v>43132</v>
      </c>
      <c r="H2" s="322">
        <v>43162</v>
      </c>
      <c r="I2" s="322">
        <v>43192</v>
      </c>
      <c r="J2" s="322">
        <v>43222</v>
      </c>
      <c r="K2" s="322">
        <v>43253</v>
      </c>
      <c r="L2" s="322">
        <v>43283</v>
      </c>
      <c r="M2" s="322">
        <v>43314</v>
      </c>
      <c r="N2" s="322">
        <v>43345</v>
      </c>
      <c r="O2" s="322">
        <v>43375</v>
      </c>
      <c r="P2" s="322">
        <v>43406</v>
      </c>
      <c r="Q2" s="322">
        <v>43436</v>
      </c>
      <c r="R2" s="322" t="s">
        <v>3</v>
      </c>
      <c r="S2" s="322">
        <v>43469</v>
      </c>
      <c r="T2" s="322">
        <v>43501</v>
      </c>
      <c r="U2" s="322">
        <v>43530</v>
      </c>
      <c r="V2" s="322">
        <v>43562</v>
      </c>
      <c r="W2" s="322">
        <v>43593</v>
      </c>
      <c r="X2" s="322">
        <v>43625</v>
      </c>
      <c r="Y2" s="322">
        <v>43656</v>
      </c>
      <c r="Z2" s="322">
        <v>43688</v>
      </c>
      <c r="AA2" s="322">
        <v>43720</v>
      </c>
      <c r="AB2" s="322">
        <v>43751</v>
      </c>
      <c r="AC2" s="322">
        <v>43783</v>
      </c>
      <c r="AD2" s="322">
        <v>43814</v>
      </c>
      <c r="AE2" s="322" t="s">
        <v>4</v>
      </c>
      <c r="AF2" s="322">
        <v>43847</v>
      </c>
      <c r="AG2" s="322">
        <v>43879</v>
      </c>
      <c r="AH2" s="322">
        <v>43909</v>
      </c>
      <c r="AI2" s="322">
        <v>43941</v>
      </c>
      <c r="AJ2" s="322">
        <v>43972</v>
      </c>
      <c r="AK2" s="322">
        <v>44004</v>
      </c>
      <c r="AL2" s="322">
        <v>44066</v>
      </c>
      <c r="AM2" s="322">
        <v>44098</v>
      </c>
      <c r="AN2" s="322">
        <v>44129</v>
      </c>
      <c r="AO2" s="322">
        <v>44161</v>
      </c>
      <c r="AP2" s="322">
        <v>44192</v>
      </c>
      <c r="AQ2" s="322" t="s">
        <v>5</v>
      </c>
      <c r="AR2" s="323">
        <v>44197</v>
      </c>
      <c r="AS2" s="323">
        <v>44228</v>
      </c>
      <c r="AT2" s="323">
        <v>44256</v>
      </c>
      <c r="AU2" s="323">
        <v>44287</v>
      </c>
      <c r="AV2" s="323">
        <v>44317</v>
      </c>
      <c r="AW2" s="323">
        <v>44348</v>
      </c>
      <c r="AX2" s="323">
        <v>44378</v>
      </c>
      <c r="AY2" s="323">
        <v>44409</v>
      </c>
      <c r="AZ2" s="323">
        <v>44440</v>
      </c>
      <c r="BA2" s="323">
        <v>44470</v>
      </c>
      <c r="BB2" s="323">
        <v>44501</v>
      </c>
      <c r="BC2" s="323">
        <v>44531</v>
      </c>
      <c r="BD2" s="322" t="s">
        <v>6</v>
      </c>
      <c r="BE2" s="322">
        <v>44562</v>
      </c>
      <c r="BF2" s="322">
        <v>44593</v>
      </c>
      <c r="BG2" s="322">
        <v>44621</v>
      </c>
      <c r="BH2" s="322">
        <v>44652</v>
      </c>
      <c r="BI2" s="322">
        <v>44682</v>
      </c>
      <c r="BJ2" s="322">
        <v>44713</v>
      </c>
      <c r="BK2" s="322">
        <v>44743</v>
      </c>
      <c r="BL2" s="322">
        <v>44774</v>
      </c>
      <c r="BM2" s="322">
        <v>44805</v>
      </c>
      <c r="BN2" s="322">
        <v>44835</v>
      </c>
      <c r="BO2" s="322">
        <v>44866</v>
      </c>
      <c r="BP2" s="322">
        <v>44896</v>
      </c>
      <c r="BQ2" s="322" t="s">
        <v>7</v>
      </c>
    </row>
    <row r="3" spans="1:77" ht="18.75">
      <c r="A3" s="376" t="s">
        <v>8</v>
      </c>
      <c r="B3" s="324" t="s">
        <v>9</v>
      </c>
      <c r="C3" s="325" t="s">
        <v>10</v>
      </c>
      <c r="D3" s="326">
        <f>(('Evolutive SFP'!B39+'Evolutive SFP'!B40+'Evolutive SFP'!B41+'Evolutive SFP'!B42+'Evolutive SFP'!B43+'Evolutive SFP'!B44)-'Evolutive SFP'!B10)/1000000</f>
        <v>15.259572</v>
      </c>
      <c r="E3" s="326">
        <f>(('Evolutive SFP'!C39+'Evolutive SFP'!C40+'Evolutive SFP'!C41+'Evolutive SFP'!C42+'Evolutive SFP'!C43+'Evolutive SFP'!C44)-'Evolutive SFP'!C10)/1000000</f>
        <v>251.79175900000001</v>
      </c>
      <c r="F3" s="326">
        <f>(('Evolutive SFP'!D39+'Evolutive SFP'!D40+'Evolutive SFP'!D41+'Evolutive SFP'!D42+'Evolutive SFP'!D43+'Evolutive SFP'!D44)-'Evolutive SFP'!D7)/1000000</f>
        <v>170.66799356999999</v>
      </c>
      <c r="G3" s="326">
        <f>(('Evolutive SFP'!E39+'Evolutive SFP'!E40+'Evolutive SFP'!E41+'Evolutive SFP'!E42+'Evolutive SFP'!E43+'Evolutive SFP'!E44)-'Evolutive SFP'!E10)/1000000</f>
        <v>221.85869457999999</v>
      </c>
      <c r="H3" s="326">
        <f>(('Evolutive SFP'!F39+'Evolutive SFP'!F40+'Evolutive SFP'!F41+'Evolutive SFP'!F42+'Evolutive SFP'!F43+'Evolutive SFP'!F44)-'Evolutive SFP'!F10)/1000000</f>
        <v>223.40524316999998</v>
      </c>
      <c r="I3" s="326">
        <f>(('Evolutive SFP'!G39+'Evolutive SFP'!G40+'Evolutive SFP'!G41+'Evolutive SFP'!G42+'Evolutive SFP'!G43+'Evolutive SFP'!G44)-'Evolutive SFP'!G10)/1000000</f>
        <v>222.62503982999999</v>
      </c>
      <c r="J3" s="326">
        <f>(('Evolutive SFP'!H39+'Evolutive SFP'!H40+'Evolutive SFP'!H41+'Evolutive SFP'!H42+'Evolutive SFP'!H43+'Evolutive SFP'!H44)-'Evolutive SFP'!H10)/1000000</f>
        <v>221.56982012999998</v>
      </c>
      <c r="K3" s="326">
        <f>(('Evolutive SFP'!I39+'Evolutive SFP'!I40+'Evolutive SFP'!I41+'Evolutive SFP'!I42+'Evolutive SFP'!I43+'Evolutive SFP'!I44)-'Evolutive SFP'!I10)/1000000</f>
        <v>222.4642092</v>
      </c>
      <c r="L3" s="326">
        <f>(('Evolutive SFP'!J39+'Evolutive SFP'!J40+'Evolutive SFP'!J41+'Evolutive SFP'!J42+'Evolutive SFP'!J43+'Evolutive SFP'!J44)-'Evolutive SFP'!J10)/1000000</f>
        <v>223.24540073</v>
      </c>
      <c r="M3" s="326">
        <f>(('Evolutive SFP'!K39+'Evolutive SFP'!K40+'Evolutive SFP'!K41+'Evolutive SFP'!K42+'Evolutive SFP'!K43+'Evolutive SFP'!K44)-'Evolutive SFP'!K10)/1000000</f>
        <v>229.84012976999998</v>
      </c>
      <c r="N3" s="326">
        <f>(('Evolutive SFP'!L39+'Evolutive SFP'!L40+'Evolutive SFP'!L41+'Evolutive SFP'!L42+'Evolutive SFP'!L43+'Evolutive SFP'!L44)-'Evolutive SFP'!L10)/1000000</f>
        <v>230.21142569999998</v>
      </c>
      <c r="O3" s="326">
        <f>(('Evolutive SFP'!M39+'Evolutive SFP'!M40+'Evolutive SFP'!M41+'Evolutive SFP'!M42+'Evolutive SFP'!M43+'Evolutive SFP'!M44)-'Evolutive SFP'!M10)/1000000</f>
        <v>242.10544345</v>
      </c>
      <c r="P3" s="326">
        <f>(('Evolutive SFP'!N39+'Evolutive SFP'!N40+'Evolutive SFP'!N41+'Evolutive SFP'!N42+'Evolutive SFP'!N43+'Evolutive SFP'!N44)-'Evolutive SFP'!N10)/1000000</f>
        <v>245.36547587000001</v>
      </c>
      <c r="Q3" s="326">
        <f>(('Evolutive SFP'!O39+'Evolutive SFP'!O40+'Evolutive SFP'!O41+'Evolutive SFP'!O42+'Evolutive SFP'!O43+'Evolutive SFP'!O44)-'Evolutive SFP'!O10)/1000000</f>
        <v>254.08281580999997</v>
      </c>
      <c r="R3" s="326">
        <f>(('Evolutive SFP'!P39+'Evolutive SFP'!P40+'Evolutive SFP'!P41+'Evolutive SFP'!P42+'Evolutive SFP'!P43+'Evolutive SFP'!P44)-'Evolutive SFP'!P10)/1000000</f>
        <v>248.082819</v>
      </c>
      <c r="S3" s="326">
        <f>(('Evolutive SFP'!Q39+'Evolutive SFP'!Q40+'Evolutive SFP'!Q41+'Evolutive SFP'!Q42+'Evolutive SFP'!Q43+'Evolutive SFP'!Q44)-'Evolutive SFP'!Q10)/1000000</f>
        <v>259.16700867999998</v>
      </c>
      <c r="T3" s="326">
        <f>(('Evolutive SFP'!R39+'Evolutive SFP'!R40+'Evolutive SFP'!R41+'Evolutive SFP'!R42+'Evolutive SFP'!R43+'Evolutive SFP'!R44)-'Evolutive SFP'!R10)/1000000</f>
        <v>251.01783479999997</v>
      </c>
      <c r="U3" s="326">
        <f>(('Evolutive SFP'!S39+'Evolutive SFP'!S40+'Evolutive SFP'!S41+'Evolutive SFP'!S42+'Evolutive SFP'!S43+'Evolutive SFP'!S44)-'Evolutive SFP'!S10)/1000000</f>
        <v>252.86095675999999</v>
      </c>
      <c r="V3" s="326">
        <f>(('Evolutive SFP'!T39+'Evolutive SFP'!T40+'Evolutive SFP'!T41+'Evolutive SFP'!T42+'Evolutive SFP'!T43+'Evolutive SFP'!T44)-'Evolutive SFP'!T10)/1000000</f>
        <v>255.06744666</v>
      </c>
      <c r="W3" s="326">
        <f>(('Evolutive SFP'!U39+'Evolutive SFP'!U40+'Evolutive SFP'!U41+'Evolutive SFP'!U42+'Evolutive SFP'!U43+'Evolutive SFP'!U44)-'Evolutive SFP'!U10)/1000000</f>
        <v>255.63705811999998</v>
      </c>
      <c r="X3" s="326">
        <f>(('Evolutive SFP'!V39+'Evolutive SFP'!V40+'Evolutive SFP'!V41+'Evolutive SFP'!V42+'Evolutive SFP'!V43+'Evolutive SFP'!V44)-'Evolutive SFP'!V10)/1000000</f>
        <v>260.01682495999995</v>
      </c>
      <c r="Y3" s="326">
        <f>(('Evolutive SFP'!W39+'Evolutive SFP'!W40+'Evolutive SFP'!W41+'Evolutive SFP'!W42+'Evolutive SFP'!W43+'Evolutive SFP'!W44)-'Evolutive SFP'!W10)/1000000</f>
        <v>257.78427570999997</v>
      </c>
      <c r="Z3" s="326">
        <f>(('Evolutive SFP'!X39+'Evolutive SFP'!X40+'Evolutive SFP'!X41+'Evolutive SFP'!X42+'Evolutive SFP'!X43+'Evolutive SFP'!X44)-'Evolutive SFP'!X10)/1000000</f>
        <v>262.36326567999998</v>
      </c>
      <c r="AA3" s="326">
        <f>(('Evolutive SFP'!Y39+'Evolutive SFP'!Y40+'Evolutive SFP'!Y41+'Evolutive SFP'!Y42+'Evolutive SFP'!Y43+'Evolutive SFP'!Y44)-'Evolutive SFP'!Y10)/1000000</f>
        <v>264.02054826</v>
      </c>
      <c r="AB3" s="326">
        <f>(('Evolutive SFP'!Z39+'Evolutive SFP'!Z40+'Evolutive SFP'!Z41+'Evolutive SFP'!Z42+'Evolutive SFP'!Z43+'Evolutive SFP'!Z44)-'Evolutive SFP'!Z10)/1000000</f>
        <v>135.71207722999998</v>
      </c>
      <c r="AC3" s="326">
        <f>(('Evolutive SFP'!AA39+'Evolutive SFP'!AA40+'Evolutive SFP'!AA41+'Evolutive SFP'!AA42+'Evolutive SFP'!AA43+'Evolutive SFP'!AA44)-'Evolutive SFP'!AA10)/1000000</f>
        <v>141.39973484000001</v>
      </c>
      <c r="AD3" s="326">
        <f>(('Evolutive SFP'!AB39+'Evolutive SFP'!AB40+'Evolutive SFP'!AB41+'Evolutive SFP'!AB42+'Evolutive SFP'!AB43+'Evolutive SFP'!AB44)-'Evolutive SFP'!AB10)/1000000</f>
        <v>150.06177835</v>
      </c>
      <c r="AE3" s="326">
        <f>(('Evolutive SFP'!AC39+'Evolutive SFP'!AC40+'Evolutive SFP'!AC41+'Evolutive SFP'!AC42+'Evolutive SFP'!AC43+'Evolutive SFP'!AC44)-'Evolutive SFP'!AC10)/1000000</f>
        <v>279.76834500000001</v>
      </c>
      <c r="AF3" s="326">
        <f>(('Evolutive SFP'!AD39+'Evolutive SFP'!AD40+'Evolutive SFP'!AD41+'Evolutive SFP'!AD42+'Evolutive SFP'!AD43+'Evolutive SFP'!AD44)-'Evolutive SFP'!AD10)/1000000</f>
        <v>293.41923455</v>
      </c>
      <c r="AG3" s="326">
        <f>(('Evolutive SFP'!AE39+'Evolutive SFP'!AE40+'Evolutive SFP'!AE41+'Evolutive SFP'!AE42+'Evolutive SFP'!AE43+'Evolutive SFP'!AE44)-'Evolutive SFP'!AE10)/1000000</f>
        <v>285.80108685000005</v>
      </c>
      <c r="AH3" s="326">
        <f>(('Evolutive SFP'!AF39+'Evolutive SFP'!AF40+'Evolutive SFP'!AF41+'Evolutive SFP'!AF42+'Evolutive SFP'!AF43+'Evolutive SFP'!AF44)-'Evolutive SFP'!AF10)/1000000</f>
        <v>285.32483439999999</v>
      </c>
      <c r="AI3" s="326">
        <f>(('Evolutive SFP'!AG39+'Evolutive SFP'!AG40+'Evolutive SFP'!AG41+'Evolutive SFP'!AG42+'Evolutive SFP'!AG43+'Evolutive SFP'!AG44)-'Evolutive SFP'!AG10)/1000000</f>
        <v>287.76798714999995</v>
      </c>
      <c r="AJ3" s="326">
        <f>(('Evolutive SFP'!AH39+'Evolutive SFP'!AH40+'Evolutive SFP'!AH41+'Evolutive SFP'!AH42+'Evolutive SFP'!AH43+'Evolutive SFP'!AH44)-'Evolutive SFP'!AH10)/1000000</f>
        <v>288.52166582999996</v>
      </c>
      <c r="AK3" s="326">
        <f>(('Evolutive SFP'!AI39+'Evolutive SFP'!AI40+'Evolutive SFP'!AI41+'Evolutive SFP'!AI42+'Evolutive SFP'!AI43+'Evolutive SFP'!AI44)-'Evolutive SFP'!AI10)/1000000</f>
        <v>290.87991245000006</v>
      </c>
      <c r="AL3" s="326">
        <f>(('Evolutive SFP'!AJ39+'Evolutive SFP'!AJ40+'Evolutive SFP'!AJ41+'Evolutive SFP'!AJ42+'Evolutive SFP'!AJ43+'Evolutive SFP'!AJ44)-'Evolutive SFP'!AJ10)/1000000</f>
        <v>586.42597116000013</v>
      </c>
      <c r="AM3" s="326">
        <f>(('Evolutive SFP'!AK39+'Evolutive SFP'!AK40+'Evolutive SFP'!AK41+'Evolutive SFP'!AK42+'Evolutive SFP'!AK43+'Evolutive SFP'!AK44)-'Evolutive SFP'!AK10)/1000000</f>
        <v>291.34995435000002</v>
      </c>
      <c r="AN3" s="326">
        <f>(('Evolutive SFP'!AL39+'Evolutive SFP'!AL40+'Evolutive SFP'!AL41+'Evolutive SFP'!AL42+'Evolutive SFP'!AL43+'Evolutive SFP'!AL44)-'Evolutive SFP'!AL10)/1000000</f>
        <v>304.87227338999998</v>
      </c>
      <c r="AO3" s="326">
        <f>(('Evolutive SFP'!AM39+'Evolutive SFP'!AM40+'Evolutive SFP'!AM41+'Evolutive SFP'!AM42+'Evolutive SFP'!AM43+'Evolutive SFP'!AM44)-'Evolutive SFP'!AM10)/1000000</f>
        <v>316.55199234000003</v>
      </c>
      <c r="AP3" s="326">
        <f>(('Evolutive SFP'!AN39+'Evolutive SFP'!AN40+'Evolutive SFP'!AN41+'Evolutive SFP'!AN42+'Evolutive SFP'!AN43+'Evolutive SFP'!AN44)-'Evolutive SFP'!AN10)/1000000</f>
        <v>322.47081641000005</v>
      </c>
      <c r="AQ3" s="326">
        <f>(('Evolutive SFP'!AO39+'Evolutive SFP'!AO40+'Evolutive SFP'!AO41+'Evolutive SFP'!AO42+'Evolutive SFP'!AO43+'Evolutive SFP'!AO44)-'Evolutive SFP'!AO10)/1000000</f>
        <v>309.742324</v>
      </c>
      <c r="AR3" s="326">
        <f>(('Evolutive SFP'!AP39+'Evolutive SFP'!AP40+'Evolutive SFP'!AP41+'Evolutive SFP'!AP42+'Evolutive SFP'!AP43+'Evolutive SFP'!AP44)-'Evolutive SFP'!AP10)/1000000</f>
        <v>325.95477607000004</v>
      </c>
      <c r="AS3" s="326">
        <f>(('Evolutive SFP'!AQ39+'Evolutive SFP'!AQ40+'Evolutive SFP'!AQ41+'Evolutive SFP'!AQ42+'Evolutive SFP'!AQ43+'Evolutive SFP'!AQ44)-'Evolutive SFP'!AQ10)/1000000</f>
        <v>310.64662420000002</v>
      </c>
      <c r="AT3" s="326">
        <f>(('Evolutive SFP'!AR39+'Evolutive SFP'!AR40+'Evolutive SFP'!AR41+'Evolutive SFP'!AR42+'Evolutive SFP'!AR43+'Evolutive SFP'!AR44)-'Evolutive SFP'!AR10)/1000000</f>
        <v>314.11476449999998</v>
      </c>
      <c r="AU3" s="326">
        <f>(('Evolutive SFP'!AS39+'Evolutive SFP'!AS40+'Evolutive SFP'!AS41+'Evolutive SFP'!AS42+'Evolutive SFP'!AS43+'Evolutive SFP'!AS44)-'Evolutive SFP'!AS10)/1000000</f>
        <v>315.88893311000004</v>
      </c>
      <c r="AV3" s="326">
        <f>(('Evolutive SFP'!AT39+'Evolutive SFP'!AT40+'Evolutive SFP'!AT41+'Evolutive SFP'!AT42+'Evolutive SFP'!AT43+'Evolutive SFP'!AT44)-'Evolutive SFP'!AT10)/1000000</f>
        <v>318.99097796000007</v>
      </c>
      <c r="AW3" s="326">
        <f>(('Evolutive SFP'!AU39+'Evolutive SFP'!AU40+'Evolutive SFP'!AU41+'Evolutive SFP'!AU42+'Evolutive SFP'!AU43+'Evolutive SFP'!AU44)-'Evolutive SFP'!AU10)/1000000</f>
        <v>319.91603686000002</v>
      </c>
      <c r="AX3" s="326">
        <f>(('Evolutive SFP'!AV39+'Evolutive SFP'!AV40+'Evolutive SFP'!AV41+'Evolutive SFP'!AV42+'Evolutive SFP'!AV43+'Evolutive SFP'!AV44)-'Evolutive SFP'!AV10)/1000000</f>
        <v>321.39152374999998</v>
      </c>
      <c r="AY3" s="326">
        <f>(('Evolutive SFP'!AW39+'Evolutive SFP'!AW40+'Evolutive SFP'!AW41+'Evolutive SFP'!AW42+'Evolutive SFP'!AW43+'Evolutive SFP'!AW44)-'Evolutive SFP'!AW10)/1000000</f>
        <v>323.10700665000002</v>
      </c>
      <c r="AZ3" s="326">
        <f>(('Evolutive SFP'!AX39+'Evolutive SFP'!AX40+'Evolutive SFP'!AX41+'Evolutive SFP'!AX42+'Evolutive SFP'!AX43+'Evolutive SFP'!AX44)-'Evolutive SFP'!AX10)/1000000</f>
        <v>324.50132748999999</v>
      </c>
      <c r="BA3" s="326">
        <f>(('Evolutive SFP'!AY39+'Evolutive SFP'!AY40+'Evolutive SFP'!AY41+'Evolutive SFP'!AY42+'Evolutive SFP'!AY43+'Evolutive SFP'!AY44)-'Evolutive SFP'!AY10)/1000000</f>
        <v>334.33221519000006</v>
      </c>
      <c r="BB3" s="326">
        <f>(('Evolutive SFP'!AZ39+'Evolutive SFP'!AZ40+'Evolutive SFP'!AZ41+'Evolutive SFP'!AZ42+'Evolutive SFP'!AZ43+'Evolutive SFP'!AZ44)-'Evolutive SFP'!AZ10)/1000000</f>
        <v>337.96790525</v>
      </c>
      <c r="BC3" s="326">
        <f>(('Evolutive SFP'!BA39+'Evolutive SFP'!BA40+'Evolutive SFP'!BA41+'Evolutive SFP'!BA42+'Evolutive SFP'!BA43+'Evolutive SFP'!BA44)-'Evolutive SFP'!BA10)/1000000</f>
        <v>345.94184377000005</v>
      </c>
      <c r="BD3" s="327">
        <f>(('Evolutive SFP'!BB39+'Evolutive SFP'!BB40+'Evolutive SFP'!BB41+'Evolutive SFP'!BB42+'Evolutive SFP'!BB43+'Evolutive SFP'!BB44)-'Evolutive SFP'!BB10)/1000000</f>
        <v>328.41544172000005</v>
      </c>
      <c r="BE3" s="327">
        <f>(('Evolutive SFP'!BC39+'Evolutive SFP'!BC40+'Evolutive SFP'!BC41+'Evolutive SFP'!BC42+'Evolutive SFP'!BC43+'Evolutive SFP'!BC44)-'Evolutive SFP'!BC10)/1000000</f>
        <v>347.63646105999999</v>
      </c>
      <c r="BF3" s="327">
        <f>(('Evolutive SFP'!BD39+'Evolutive SFP'!BD40+'Evolutive SFP'!BD41+'Evolutive SFP'!BD42+'Evolutive SFP'!BD43+'Evolutive SFP'!BD44)-'Evolutive SFP'!BD10)/1000000</f>
        <v>346.17745652000002</v>
      </c>
      <c r="BG3" s="327">
        <f>(('Evolutive SFP'!BE39+'Evolutive SFP'!BE40+'Evolutive SFP'!BE41+'Evolutive SFP'!BE42+'Evolutive SFP'!BE43+'Evolutive SFP'!BE44)-'Evolutive SFP'!BE10)/1000000</f>
        <v>333.79032027000005</v>
      </c>
      <c r="BH3" s="327">
        <f>(('Evolutive SFP'!BF39+'Evolutive SFP'!BF40+'Evolutive SFP'!BF41+'Evolutive SFP'!BF42+'Evolutive SFP'!BF43+'Evolutive SFP'!BF44)-'Evolutive SFP'!BF10)/1000000</f>
        <v>336.53653102000004</v>
      </c>
      <c r="BI3" s="327">
        <f>(('Evolutive SFP'!BG39+'Evolutive SFP'!BG40+'Evolutive SFP'!BG41+'Evolutive SFP'!BG42+'Evolutive SFP'!BG43+'Evolutive SFP'!BG44)-'Evolutive SFP'!BG10)/1000000</f>
        <v>338.98849637000001</v>
      </c>
      <c r="BJ3" s="327">
        <f>(('Evolutive SFP'!BH39+'Evolutive SFP'!BH40+'Evolutive SFP'!BH41+'Evolutive SFP'!BH42+'Evolutive SFP'!BH43+'Evolutive SFP'!BH44)-'Evolutive SFP'!BH10)/1000000</f>
        <v>340.57863164000003</v>
      </c>
      <c r="BK3" s="327">
        <f>(('Evolutive SFP'!BI41+'Evolutive SFP'!BI42+'Evolutive SFP'!BI43+'Evolutive SFP'!BI44+'Evolutive SFP'!BI45+'Evolutive SFP'!BI46)-'Evolutive SFP'!BI10)/1000000</f>
        <v>171.55243627000002</v>
      </c>
      <c r="BL3" s="327">
        <f>(('Evolutive SFP'!BJ39+'Evolutive SFP'!BJ40+'Evolutive SFP'!BJ41+'Evolutive SFP'!BJ42+'Evolutive SFP'!BJ43+'Evolutive SFP'!BJ44)-'Evolutive SFP'!BJ10)/1000000</f>
        <v>347.66961292000002</v>
      </c>
      <c r="BM3" s="327">
        <f>(('Evolutive SFP'!BK41+'Evolutive SFP'!BK42+'Evolutive SFP'!BK43+'Evolutive SFP'!BK44+'Evolutive SFP'!BK45+'Evolutive SFP'!BK46)-'Evolutive SFP'!BK10)/1000000</f>
        <v>172.30636687999998</v>
      </c>
      <c r="BN3" s="327">
        <f>(('Evolutive SFP'!BL39+'Evolutive SFP'!BL40+'Evolutive SFP'!BL41+'Evolutive SFP'!BL42+'Evolutive SFP'!BL43+'Evolutive SFP'!BL44)-'Evolutive SFP'!BL10)/1000000</f>
        <v>352.73593245999996</v>
      </c>
      <c r="BO3" s="327">
        <f>(('Evolutive SFP'!BM41+'Evolutive SFP'!BM42+'Evolutive SFP'!BM43+'Evolutive SFP'!BM44+'Evolutive SFP'!BM45+'Evolutive SFP'!BM46)-'Evolutive SFP'!BM10)/1000000</f>
        <v>176.60763741999997</v>
      </c>
      <c r="BP3" s="327">
        <f>(('Evolutive SFP'!BN39+'Evolutive SFP'!BN40+'Evolutive SFP'!BN41+'Evolutive SFP'!BN42+'Evolutive SFP'!BN43+'Evolutive SFP'!BN44)-'Evolutive SFP'!BN10)/1000000</f>
        <v>349.91056721000001</v>
      </c>
      <c r="BQ3" s="327">
        <f>(('Evolutive SFP'!BO41+'Evolutive SFP'!BO42+'Evolutive SFP'!BO43+'Evolutive SFP'!BO44+'Evolutive SFP'!BO45+'Evolutive SFP'!BO46)-'Evolutive SFP'!BO10)/1000000</f>
        <v>187.43403799999999</v>
      </c>
      <c r="BR3" s="326"/>
      <c r="BS3" s="326"/>
      <c r="BT3" s="326"/>
      <c r="BU3" s="326"/>
      <c r="BV3" s="326"/>
      <c r="BW3" s="326"/>
      <c r="BX3" s="326"/>
      <c r="BY3" s="326"/>
    </row>
    <row r="4" spans="1:77" ht="36.75">
      <c r="A4" s="376"/>
      <c r="B4" s="324" t="s">
        <v>11</v>
      </c>
      <c r="C4" s="325" t="s">
        <v>12</v>
      </c>
      <c r="D4" s="328">
        <f>D3/(('Evolutive SFP'!B27)/1000000)</f>
        <v>0.10104624267317215</v>
      </c>
      <c r="E4" s="328">
        <f>E3/(('Evolutive SFP'!C27)/1000000)</f>
        <v>0.2192258337421315</v>
      </c>
      <c r="F4" s="328">
        <f>F3/(('Evolutive SFP'!D27)/1000000)</f>
        <v>0.15299793813477525</v>
      </c>
      <c r="G4" s="328">
        <f>G3/(('Evolutive SFP'!E27)/1000000)</f>
        <v>0.20215401427211005</v>
      </c>
      <c r="H4" s="328">
        <f>H3/(('Evolutive SFP'!F27)/1000000)</f>
        <v>0.20775171023808023</v>
      </c>
      <c r="I4" s="328">
        <f>I3/(('Evolutive SFP'!G27)/1000000)</f>
        <v>0.19567782735330552</v>
      </c>
      <c r="J4" s="328">
        <f>J3/(('Evolutive SFP'!H27)/1000000)</f>
        <v>0.19571581956897394</v>
      </c>
      <c r="K4" s="328">
        <f>K3/(('Evolutive SFP'!I27)/1000000)</f>
        <v>0.19453997796821343</v>
      </c>
      <c r="L4" s="328">
        <f>L3/(('Evolutive SFP'!J27)/1000000)</f>
        <v>0.19708559864282349</v>
      </c>
      <c r="M4" s="328">
        <f>M3/(('Evolutive SFP'!K27)/1000000)</f>
        <v>0.20470203462661521</v>
      </c>
      <c r="N4" s="328">
        <f>N3/(('Evolutive SFP'!L27)/1000000)</f>
        <v>0.20722088502395286</v>
      </c>
      <c r="O4" s="328">
        <f>O3/(('Evolutive SFP'!M27)/1000000)</f>
        <v>0.16452135475124816</v>
      </c>
      <c r="P4" s="328">
        <f>P3/(('Evolutive SFP'!N27)/1000000)</f>
        <v>0.18310332802789311</v>
      </c>
      <c r="Q4" s="328">
        <f>Q3/(('Evolutive SFP'!O27)/1000000)</f>
        <v>0.19978007205875528</v>
      </c>
      <c r="R4" s="328">
        <f>R3/(('Evolutive SFP'!P27)/1000000)</f>
        <v>0.19462600311852304</v>
      </c>
      <c r="S4" s="328">
        <f>S3/(('Evolutive SFP'!Q27)/1000000)</f>
        <v>0.20856697580947164</v>
      </c>
      <c r="T4" s="328">
        <f>T3/(('Evolutive SFP'!R27)/1000000)</f>
        <v>0.20151385194676277</v>
      </c>
      <c r="U4" s="328">
        <f>U3/(('Evolutive SFP'!S27)/1000000)</f>
        <v>0.20846553589816186</v>
      </c>
      <c r="V4" s="328">
        <f>V3/(('Evolutive SFP'!T27)/1000000)</f>
        <v>0.21006997994555685</v>
      </c>
      <c r="W4" s="328">
        <f>W3/(('Evolutive SFP'!U27)/1000000)</f>
        <v>0.21781905633079005</v>
      </c>
      <c r="X4" s="328">
        <f>X3/(('Evolutive SFP'!V27)/1000000)</f>
        <v>0.21714726228714074</v>
      </c>
      <c r="Y4" s="328">
        <f>Y3/(('Evolutive SFP'!W27)/1000000)</f>
        <v>0.21814560957784312</v>
      </c>
      <c r="Z4" s="328">
        <f>Z3/(('Evolutive SFP'!X27)/1000000)</f>
        <v>0.22335867826962238</v>
      </c>
      <c r="AA4" s="328">
        <f>AA3/(('Evolutive SFP'!Y27)/1000000)</f>
        <v>0.22440325781821266</v>
      </c>
      <c r="AB4" s="328">
        <f>AB3/(('Evolutive SFP'!Z27)/1000000)</f>
        <v>4.563069402589523E-2</v>
      </c>
      <c r="AC4" s="328">
        <f>AC3/(('Evolutive SFP'!AA27)/1000000)</f>
        <v>5.0252087629504436E-2</v>
      </c>
      <c r="AD4" s="328">
        <f>AD3/(('Evolutive SFP'!AB27)/1000000)</f>
        <v>5.5651951083716372E-2</v>
      </c>
      <c r="AE4" s="328">
        <f>AE3/(('Evolutive SFP'!AC27)/1000000)</f>
        <v>0.21645920250737077</v>
      </c>
      <c r="AF4" s="328">
        <f>AF3/(('Evolutive SFP'!AD27)/1000000)</f>
        <v>0.23377303927271009</v>
      </c>
      <c r="AG4" s="328">
        <f>AG3/(('Evolutive SFP'!AE27)/1000000)</f>
        <v>0.22897386452439783</v>
      </c>
      <c r="AH4" s="328">
        <f>AH3/(('Evolutive SFP'!AF27)/1000000)</f>
        <v>0.2318898141545904</v>
      </c>
      <c r="AI4" s="328">
        <f>AI3/(('Evolutive SFP'!AG27)/1000000)</f>
        <v>0.22926722514188941</v>
      </c>
      <c r="AJ4" s="328">
        <f>AJ3/(('Evolutive SFP'!AH27)/1000000)</f>
        <v>0.23052937700833909</v>
      </c>
      <c r="AK4" s="328">
        <f>AK3/(('Evolutive SFP'!AI27)/1000000)</f>
        <v>0.22990047036107614</v>
      </c>
      <c r="AL4" s="328">
        <f>AL3/(('Evolutive SFP'!AJ27)/1000000)</f>
        <v>0.23282577054553802</v>
      </c>
      <c r="AM4" s="328">
        <f>AM3/(('Evolutive SFP'!AK27)/1000000)</f>
        <v>0.23184719910577467</v>
      </c>
      <c r="AN4" s="328">
        <f>AN3/(('Evolutive SFP'!AL27)/1000000)</f>
        <v>0.20461215681709641</v>
      </c>
      <c r="AO4" s="328">
        <f>AO3/(('Evolutive SFP'!AM27)/1000000)</f>
        <v>0.2226750373249296</v>
      </c>
      <c r="AP4" s="328">
        <f>AP3/(('Evolutive SFP'!AN27)/1000000)</f>
        <v>0.23660984093331897</v>
      </c>
      <c r="AQ4" s="328">
        <f>AQ3/(('Evolutive SFP'!AO27)/1000000)</f>
        <v>0.22644072475305399</v>
      </c>
      <c r="AR4" s="328">
        <f>AR3/(('Evolutive SFP'!AP27)/1000000)</f>
        <v>0.24245746217396097</v>
      </c>
      <c r="AS4" s="328">
        <f>AS3/(('Evolutive SFP'!AQ27)/1000000)</f>
        <v>0.23109991545122216</v>
      </c>
      <c r="AT4" s="328">
        <f>AT3/(('Evolutive SFP'!AR27)/1000000)</f>
        <v>0.23540550929497128</v>
      </c>
      <c r="AU4" s="328">
        <f>AU3/(('Evolutive SFP'!AS27)/1000000)</f>
        <v>0.23072775405592141</v>
      </c>
      <c r="AV4" s="328">
        <f>AV3/(('Evolutive SFP'!AT27)/1000000)</f>
        <v>0.2363810137101986</v>
      </c>
      <c r="AW4" s="328">
        <f>AW3/(('Evolutive SFP'!AU27)/1000000)</f>
        <v>0.23774248765524034</v>
      </c>
      <c r="AX4" s="328">
        <f>AX3/(('Evolutive SFP'!AV27)/1000000)</f>
        <v>0.23830555524119454</v>
      </c>
      <c r="AY4" s="328">
        <f>AY3/(('Evolutive SFP'!AW27)/1000000)</f>
        <v>0.24242137500849931</v>
      </c>
      <c r="AZ4" s="328">
        <f>AZ3/(('Evolutive SFP'!AX27)/1000000)</f>
        <v>0.24563626196032043</v>
      </c>
      <c r="BA4" s="328">
        <f>BA3/(('Evolutive SFP'!AY27)/1000000)</f>
        <v>0.2381720160133094</v>
      </c>
      <c r="BB4" s="328">
        <f>BB3/(('Evolutive SFP'!AZ27)/1000000)</f>
        <v>0.23869556885322168</v>
      </c>
      <c r="BC4" s="328">
        <f>BC3/(('Evolutive SFP'!BA27)/1000000)</f>
        <v>0.25100064780260578</v>
      </c>
      <c r="BD4" s="328">
        <f>BD3/(('Evolutive SFP'!BB27)/1000000)</f>
        <v>0.23713751824288104</v>
      </c>
      <c r="BE4" s="328">
        <f>BE3/(('Evolutive SFP'!BC27)/1000000)</f>
        <v>0.25482180722286207</v>
      </c>
      <c r="BF4" s="328">
        <f>BF3/(('Evolutive SFP'!BD27)/1000000)</f>
        <v>0.25570219151112089</v>
      </c>
      <c r="BG4" s="328">
        <f>BG3/(('Evolutive SFP'!BE27)/1000000)</f>
        <v>0.25146136842722355</v>
      </c>
      <c r="BH4" s="328">
        <f>BH3/(('Evolutive SFP'!BF27)/1000000)</f>
        <v>0.24865433315667582</v>
      </c>
      <c r="BI4" s="328">
        <f>BI3/(('Evolutive SFP'!BG27)/1000000)</f>
        <v>0.25102480765059709</v>
      </c>
      <c r="BJ4" s="328">
        <f>Financials!BI11/Financials!BI4</f>
        <v>0.2509228595026774</v>
      </c>
      <c r="BK4" s="328">
        <f>Financials!BJ11/Financials!BJ4</f>
        <v>0.2195843206392511</v>
      </c>
      <c r="BL4" s="328">
        <f>Financials!BK11/Financials!BK4</f>
        <v>0.22862574742350242</v>
      </c>
      <c r="BM4" s="328">
        <f>Financials!BL11/Financials!BL4</f>
        <v>0.23757125428542367</v>
      </c>
      <c r="BN4" s="328">
        <f>Financials!BM11/Financials!BM4</f>
        <v>0.24281240762629244</v>
      </c>
      <c r="BO4" s="328">
        <f>Financials!BN11/Financials!BN4</f>
        <v>0.24838092507429593</v>
      </c>
      <c r="BP4" s="328">
        <f>Financials!BO11/Financials!BO4</f>
        <v>0.246205194642523</v>
      </c>
      <c r="BQ4" s="328">
        <f>Financials!BP11/Financials!BP4</f>
        <v>0.26574194515729516</v>
      </c>
      <c r="BR4" s="328"/>
      <c r="BS4" s="328"/>
      <c r="BT4" s="328"/>
      <c r="BU4" s="328"/>
      <c r="BV4" s="328"/>
      <c r="BW4" s="328"/>
      <c r="BX4" s="328"/>
      <c r="BY4" s="328"/>
    </row>
    <row r="5" spans="1:77" ht="18.75">
      <c r="A5" s="376"/>
      <c r="B5" s="324" t="s">
        <v>13</v>
      </c>
      <c r="C5" s="325" t="s">
        <v>14</v>
      </c>
      <c r="D5" s="328">
        <f>D3/('Evolutive SFP'!B31/1000000)</f>
        <v>0.11865530316137229</v>
      </c>
      <c r="E5" s="328">
        <f>E3/('Evolutive SFP'!C31/1000000)</f>
        <v>0.29544775024322967</v>
      </c>
      <c r="F5" s="328">
        <f>F3/('Evolutive SFP'!D31/1000000)</f>
        <v>0.2104771556198233</v>
      </c>
      <c r="G5" s="328">
        <f>G3/('Evolutive SFP'!E31/1000000)</f>
        <v>0.27916029194561237</v>
      </c>
      <c r="H5" s="328">
        <f>H3/('Evolutive SFP'!F31/1000000)</f>
        <v>0.28572414402012614</v>
      </c>
      <c r="I5" s="328">
        <f>I3/('Evolutive SFP'!G31/1000000)</f>
        <v>0.2791339473500406</v>
      </c>
      <c r="J5" s="328">
        <f>J3/('Evolutive SFP'!H31/1000000)</f>
        <v>0.28147189604941186</v>
      </c>
      <c r="K5" s="328">
        <f>K3/('Evolutive SFP'!I31/1000000)</f>
        <v>0.27975309477589605</v>
      </c>
      <c r="L5" s="328">
        <f>L3/('Evolutive SFP'!J31/1000000)</f>
        <v>0.28339783359250581</v>
      </c>
      <c r="M5" s="328">
        <f>M3/('Evolutive SFP'!K31/1000000)</f>
        <v>0.29943968885785532</v>
      </c>
      <c r="N5" s="328">
        <f>N3/('Evolutive SFP'!L31/1000000)</f>
        <v>0.30524200356177333</v>
      </c>
      <c r="O5" s="328">
        <f>O3/('Evolutive SFP'!M31/1000000)</f>
        <v>0.21049349107225254</v>
      </c>
      <c r="P5" s="328">
        <f>P3/('Evolutive SFP'!N31/1000000)</f>
        <v>0.24204652621275263</v>
      </c>
      <c r="Q5" s="328">
        <f>Q3/('Evolutive SFP'!O31/1000000)</f>
        <v>0.27281535669116785</v>
      </c>
      <c r="R5" s="328">
        <f>R3/('Evolutive SFP'!P31/1000000)</f>
        <v>0.26637300407452974</v>
      </c>
      <c r="S5" s="328">
        <f>S3/('Evolutive SFP'!Q31/1000000)</f>
        <v>0.28716963713420429</v>
      </c>
      <c r="T5" s="328">
        <f>T3/('Evolutive SFP'!R31/1000000)</f>
        <v>0.27992336842717669</v>
      </c>
      <c r="U5" s="328">
        <f>U3/('Evolutive SFP'!S31/1000000)</f>
        <v>0.28719331442685658</v>
      </c>
      <c r="V5" s="328">
        <f>V3/('Evolutive SFP'!T31/1000000)</f>
        <v>0.28902929897454394</v>
      </c>
      <c r="W5" s="328">
        <f>W3/('Evolutive SFP'!U31/1000000)</f>
        <v>0.30524848570852103</v>
      </c>
      <c r="X5" s="328">
        <f>X3/('Evolutive SFP'!V31/1000000)</f>
        <v>0.31088329635655115</v>
      </c>
      <c r="Y5" s="328">
        <f>Y3/('Evolutive SFP'!W31/1000000)</f>
        <v>0.30737852825772577</v>
      </c>
      <c r="Z5" s="328">
        <f>Z3/('Evolutive SFP'!X31/1000000)</f>
        <v>0.31729220138426395</v>
      </c>
      <c r="AA5" s="328">
        <f>AA3/('Evolutive SFP'!Y31/1000000)</f>
        <v>0.3200602240524581</v>
      </c>
      <c r="AB5" s="328">
        <f>AB3/('Evolutive SFP'!Z31/1000000)</f>
        <v>9.2337109965527228E-2</v>
      </c>
      <c r="AC5" s="328">
        <f>AC3/('Evolutive SFP'!AA31/1000000)</f>
        <v>0.1018607382002637</v>
      </c>
      <c r="AD5" s="328">
        <f>AD3/('Evolutive SFP'!AB31/1000000)</f>
        <v>0.1131682812184808</v>
      </c>
      <c r="AE5" s="328">
        <f>AE3/('Evolutive SFP'!AC31/1000000)</f>
        <v>0.30779856657655547</v>
      </c>
      <c r="AF5" s="328">
        <f>AF3/('Evolutive SFP'!AD31/1000000)</f>
        <v>0.33819299675395598</v>
      </c>
      <c r="AG5" s="328">
        <f>AG3/('Evolutive SFP'!AE31/1000000)</f>
        <v>0.33166938824214853</v>
      </c>
      <c r="AH5" s="328">
        <f>AH3/('Evolutive SFP'!AF31/1000000)</f>
        <v>0.33343460380835377</v>
      </c>
      <c r="AI5" s="328">
        <f>AI3/('Evolutive SFP'!AG31/1000000)</f>
        <v>0.32834318459263795</v>
      </c>
      <c r="AJ5" s="328">
        <f>AJ3/('Evolutive SFP'!AH31/1000000)</f>
        <v>0.32996651120799925</v>
      </c>
      <c r="AK5" s="328">
        <f>AK3/('Evolutive SFP'!AI31/1000000)</f>
        <v>0.32910838711735219</v>
      </c>
      <c r="AL5" s="328">
        <f>AL3/('Evolutive SFP'!AJ31/1000000)</f>
        <v>0.33675320150422361</v>
      </c>
      <c r="AM5" s="328">
        <f>AM3/('Evolutive SFP'!AK31/1000000)</f>
        <v>0.33772753261685629</v>
      </c>
      <c r="AN5" s="328">
        <f>AN3/('Evolutive SFP'!AL31/1000000)</f>
        <v>0.28131731334108978</v>
      </c>
      <c r="AO5" s="328">
        <f>AO3/('Evolutive SFP'!AM31/1000000)</f>
        <v>0.31691702647929421</v>
      </c>
      <c r="AP5" s="328">
        <f>AP3/('Evolutive SFP'!AN31/1000000)</f>
        <v>0.34069481310751709</v>
      </c>
      <c r="AQ5" s="328">
        <f>AQ3/('Evolutive SFP'!AO31/1000000)</f>
        <v>0.32724698652836515</v>
      </c>
      <c r="AR5" s="328">
        <f>AR3/('Evolutive SFP'!AP31/1000000)</f>
        <v>0.35253215811895522</v>
      </c>
      <c r="AS5" s="328">
        <f>AS3/('Evolutive SFP'!AQ31/1000000)</f>
        <v>0.3358446658573489</v>
      </c>
      <c r="AT5" s="328">
        <f>AT3/('Evolutive SFP'!AR31/1000000)</f>
        <v>0.33699275143456237</v>
      </c>
      <c r="AU5" s="328">
        <f>AU3/('Evolutive SFP'!AS31/1000000)</f>
        <v>0.33811500263007804</v>
      </c>
      <c r="AV5" s="328">
        <f>AV3/('Evolutive SFP'!AT31/1000000)</f>
        <v>0.34597486707054453</v>
      </c>
      <c r="AW5" s="328">
        <f>AW3/('Evolutive SFP'!AU31/1000000)</f>
        <v>0.34695474237420321</v>
      </c>
      <c r="AX5" s="328">
        <f>AX3/('Evolutive SFP'!AV31/1000000)</f>
        <v>0.34889855193172925</v>
      </c>
      <c r="AY5" s="328">
        <f>AY3/('Evolutive SFP'!AW31/1000000)</f>
        <v>0.36075775924291625</v>
      </c>
      <c r="AZ5" s="328">
        <f>AZ3/('Evolutive SFP'!AX31/1000000)</f>
        <v>0.36688579011890532</v>
      </c>
      <c r="BA5" s="328">
        <f>BA3/('Evolutive SFP'!AY31/1000000)</f>
        <v>0.34843215935834615</v>
      </c>
      <c r="BB5" s="328">
        <f>BB3/('Evolutive SFP'!AZ31/1000000)</f>
        <v>0.34979316683457545</v>
      </c>
      <c r="BC5" s="328">
        <f>BC3/('Evolutive SFP'!BA31/1000000)</f>
        <v>0.37221815722442553</v>
      </c>
      <c r="BD5" s="328">
        <f>BD3/('Evolutive SFP'!BB31/1000000)</f>
        <v>0.35336052207184576</v>
      </c>
      <c r="BE5" s="328">
        <f>BE3/('Evolutive SFP'!BC31/1000000)</f>
        <v>0.3816135642562058</v>
      </c>
      <c r="BF5" s="328">
        <f>BF3/('Evolutive SFP'!BD31/1000000)</f>
        <v>0.38595063434280175</v>
      </c>
      <c r="BG5" s="328">
        <f>BG3/('Evolutive SFP'!BE31/1000000)</f>
        <v>0.37455953417791926</v>
      </c>
      <c r="BH5" s="328">
        <f>BH3/('Evolutive SFP'!BF31/1000000)</f>
        <v>0.36647221315097928</v>
      </c>
      <c r="BI5" s="328">
        <f>BI3/('Evolutive SFP'!BG31/1000000)</f>
        <v>0.37174844870857787</v>
      </c>
      <c r="BJ5" s="328">
        <f>BJ3/('Evolutive SFP'!BH31/1000000)</f>
        <v>0.3811730143734387</v>
      </c>
      <c r="BK5" s="328">
        <f>BK3/('Evolutive SFP'!BI31/1000000)</f>
        <v>0.15630052973207895</v>
      </c>
      <c r="BL5" s="328">
        <f>BL3/('Evolutive SFP'!BJ31/1000000)</f>
        <v>0.33324624376640227</v>
      </c>
      <c r="BM5" s="328">
        <f>BM3/('Evolutive SFP'!BK31/1000000)</f>
        <v>0.17252712867403494</v>
      </c>
      <c r="BN5" s="328">
        <f>BN3/('Evolutive SFP'!BL31/1000000)</f>
        <v>0.3604668879051261</v>
      </c>
      <c r="BO5" s="328">
        <f>BO3/('Evolutive SFP'!BM31/1000000)</f>
        <v>0.18368142174234622</v>
      </c>
      <c r="BP5" s="328">
        <f>BP3/('Evolutive SFP'!BN31/1000000)</f>
        <v>0.37422615344883498</v>
      </c>
      <c r="BQ5" s="328">
        <f>BQ3/('Evolutive SFP'!BO31/1000000)</f>
        <v>0.20045901226527757</v>
      </c>
      <c r="BR5" s="328"/>
      <c r="BS5" s="328"/>
      <c r="BT5" s="328"/>
      <c r="BU5" s="328"/>
      <c r="BV5" s="328"/>
      <c r="BW5" s="328"/>
      <c r="BX5" s="328"/>
      <c r="BY5" s="328"/>
    </row>
    <row r="6" spans="1:77" ht="18.75">
      <c r="A6" s="376"/>
      <c r="B6" s="324" t="s">
        <v>15</v>
      </c>
      <c r="C6" s="325" t="s">
        <v>14</v>
      </c>
      <c r="D6" s="328">
        <f>((D3*1000000)-'Evolutive SFP'!B39)/'Evolutive SFP'!B27</f>
        <v>3.1552176925888298E-2</v>
      </c>
      <c r="E6" s="328">
        <f>((E3*1000000)-'Evolutive SFP'!C39)/'Evolutive SFP'!C27</f>
        <v>9.6753597082135767E-2</v>
      </c>
      <c r="F6" s="328">
        <f>((F3*1000000)-'Evolutive SFP'!D39)/'Evolutive SFP'!D27</f>
        <v>2.6368283047230372E-2</v>
      </c>
      <c r="G6" s="328">
        <f>((G3*1000000)-'Evolutive SFP'!E39)/'Evolutive SFP'!E27</f>
        <v>7.2949335262083803E-2</v>
      </c>
      <c r="H6" s="328">
        <f>((H3*1000000)-'Evolutive SFP'!F39)/'Evolutive SFP'!F27</f>
        <v>7.531751171499354E-2</v>
      </c>
      <c r="I6" s="328">
        <f>((I3*1000000)-'Evolutive SFP'!G39)/'Evolutive SFP'!G27</f>
        <v>6.9989079282046479E-2</v>
      </c>
      <c r="J6" s="328">
        <f>((J3*1000000)-'Evolutive SFP'!H39)/'Evolutive SFP'!H27</f>
        <v>6.8829704717768447E-2</v>
      </c>
      <c r="K6" s="328">
        <f>((K3*1000000)-'Evolutive SFP'!I39)/'Evolutive SFP'!I27</f>
        <v>6.8401179015797856E-2</v>
      </c>
      <c r="L6" s="328">
        <f>((L3*1000000)-'Evolutive SFP'!J39)/'Evolutive SFP'!J27</f>
        <v>6.9303547431350726E-2</v>
      </c>
      <c r="M6" s="328">
        <f>((M3*1000000)-'Evolutive SFP'!K39)/'Evolutive SFP'!K27</f>
        <v>7.5298873341821129E-2</v>
      </c>
      <c r="N6" s="328">
        <f>((N3*1000000)-'Evolutive SFP'!L39)/'Evolutive SFP'!L27</f>
        <v>7.5477647768876444E-2</v>
      </c>
      <c r="O6" s="328">
        <f>((O3*1000000)-'Evolutive SFP'!M39)/'Evolutive SFP'!M27</f>
        <v>5.9694828898900813E-2</v>
      </c>
      <c r="P6" s="328">
        <f>((P3*1000000)-'Evolutive SFP'!N39)/'Evolutive SFP'!N27</f>
        <v>6.7063025448243316E-2</v>
      </c>
      <c r="Q6" s="328">
        <f>((Q3*1000000)-'Evolutive SFP'!O39)/'Evolutive SFP'!O27</f>
        <v>7.656996237057373E-2</v>
      </c>
      <c r="R6" s="328">
        <f>((R3*1000000)-'Evolutive SFP'!P39)/'Evolutive SFP'!P27</f>
        <v>7.16915399933475E-2</v>
      </c>
      <c r="S6" s="328">
        <f>((S3*1000000)-'Evolutive SFP'!Q39)/'Evolutive SFP'!Q27</f>
        <v>8.1389735415324516E-2</v>
      </c>
      <c r="T6" s="328">
        <f>((T3*1000000)-'Evolutive SFP'!R39)/'Evolutive SFP'!R27</f>
        <v>7.3671035349080705E-2</v>
      </c>
      <c r="U6" s="328">
        <f>((U3*1000000)-'Evolutive SFP'!S39)/'Evolutive SFP'!S27</f>
        <v>7.5967727294303705E-2</v>
      </c>
      <c r="V6" s="328">
        <f>((V3*1000000)-'Evolutive SFP'!T39)/'Evolutive SFP'!T27</f>
        <v>7.6532713371468525E-2</v>
      </c>
      <c r="W6" s="328">
        <f>((W3*1000000)-'Evolutive SFP'!U39)/'Evolutive SFP'!U27</f>
        <v>7.8831943120425185E-2</v>
      </c>
      <c r="X6" s="328">
        <f>((X3*1000000)-'Evolutive SFP'!V39)/'Evolutive SFP'!V27</f>
        <v>7.9823768789041877E-2</v>
      </c>
      <c r="Y6" s="328">
        <f>((Y3*1000000)-'Evolutive SFP'!W39)/'Evolutive SFP'!W27</f>
        <v>7.7954881785221905E-2</v>
      </c>
      <c r="Z6" s="328">
        <f>((Z3*1000000)-'Evolutive SFP'!X39)/'Evolutive SFP'!X27</f>
        <v>8.1090292466375447E-2</v>
      </c>
      <c r="AA6" s="328">
        <f>((AA3*1000000)-'Evolutive SFP'!Y39)/'Evolutive SFP'!Y27</f>
        <v>8.1358834546321465E-2</v>
      </c>
      <c r="AB6" s="328">
        <f>((AB3*1000000)-'Evolutive SFP'!Z39)/'Evolutive SFP'!Z27</f>
        <v>4.5630694025895237E-2</v>
      </c>
      <c r="AC6" s="328">
        <f>((AC3*1000000)-'Evolutive SFP'!AA39)/'Evolutive SFP'!AA27</f>
        <v>5.0252087629504429E-2</v>
      </c>
      <c r="AD6" s="328">
        <f>((AD3*1000000)-'Evolutive SFP'!AB39)/'Evolutive SFP'!AB27</f>
        <v>5.5651951083716372E-2</v>
      </c>
      <c r="AE6" s="328">
        <f>((AE3*1000000)-'Evolutive SFP'!AC39)/'Evolutive SFP'!AC27</f>
        <v>8.2841039251220314E-2</v>
      </c>
      <c r="AF6" s="328">
        <f>((AF3*1000000)-'Evolutive SFP'!AD39)/'Evolutive SFP'!AD27</f>
        <v>9.5029370435362664E-2</v>
      </c>
      <c r="AG6" s="328">
        <f>((AG3*1000000)-'Evolutive SFP'!AE39)/'Evolutive SFP'!AE27</f>
        <v>8.818686872895258E-2</v>
      </c>
      <c r="AH6" s="328">
        <f>((AH3*1000000)-'Evolutive SFP'!AF39)/'Evolutive SFP'!AF27</f>
        <v>8.8651128633576909E-2</v>
      </c>
      <c r="AI6" s="328">
        <f>((AI3*1000000)-'Evolutive SFP'!AG39)/'Evolutive SFP'!AG27</f>
        <v>8.8448501257366557E-2</v>
      </c>
      <c r="AJ6" s="328">
        <f>((AJ3*1000000)-'Evolutive SFP'!AH39)/'Evolutive SFP'!AH27</f>
        <v>8.8930339408790804E-2</v>
      </c>
      <c r="AK6" s="328">
        <f>((AK3*1000000)-'Evolutive SFP'!AI39)/'Evolutive SFP'!AI27</f>
        <v>8.948154800059574E-2</v>
      </c>
      <c r="AL6" s="328">
        <f>((AL3*1000000)-'Evolutive SFP'!AJ39)/'Evolutive SFP'!AJ27</f>
        <v>9.0921448566277221E-2</v>
      </c>
      <c r="AM6" s="328">
        <f>((AM3*1000000)-'Evolutive SFP'!AK39)/'Evolutive SFP'!AK27</f>
        <v>8.9238062868615214E-2</v>
      </c>
      <c r="AN6" s="328">
        <f>((AN3*1000000)-'Evolutive SFP'!AL39)/'Evolutive SFP'!AL27</f>
        <v>7.8349218668388565E-2</v>
      </c>
      <c r="AO6" s="328">
        <f>((AO3*1000000)-'Evolutive SFP'!AM39)/'Evolutive SFP'!AM27</f>
        <v>8.9956325496154649E-2</v>
      </c>
      <c r="AP6" s="328">
        <f>((AP3*1000000)-'Evolutive SFP'!AN39)/'Evolutive SFP'!AN27</f>
        <v>9.8395881110285063E-2</v>
      </c>
      <c r="AQ6" s="328">
        <f>((AQ3*1000000)-'Evolutive SFP'!AO39)/'Evolutive SFP'!AO27</f>
        <v>8.8731350195005901E-2</v>
      </c>
      <c r="AR6" s="328">
        <f>((AR3*1000000)-'Evolutive SFP'!AP39)/'Evolutive SFP'!AP27</f>
        <v>0.10200455006951013</v>
      </c>
      <c r="AS6" s="328">
        <f>((AS3*1000000)-'Evolutive SFP'!AQ39)/'Evolutive SFP'!AQ27</f>
        <v>9.0350787215822667E-2</v>
      </c>
      <c r="AT6" s="328">
        <f>((AT3*1000000)-'Evolutive SFP'!AR39)/'Evolutive SFP'!AR27</f>
        <v>9.3016392526876032E-2</v>
      </c>
      <c r="AU6" s="328">
        <f>((AU3*1000000)-'Evolutive SFP'!AS39)/'Evolutive SFP'!AS27</f>
        <v>9.1092004840148677E-2</v>
      </c>
      <c r="AV6" s="328">
        <f>((AV3*1000000)-'Evolutive SFP'!AT39)/'Evolutive SFP'!AT27</f>
        <v>9.4038213823852621E-2</v>
      </c>
      <c r="AW6" s="328">
        <f>((AW3*1000000)-'Evolutive SFP'!AU39)/'Evolutive SFP'!AU27</f>
        <v>9.4371766081995087E-2</v>
      </c>
      <c r="AX6" s="328">
        <f>((AX3*1000000)-'Evolutive SFP'!AV39)/'Evolutive SFP'!AV27</f>
        <v>9.4765116429463211E-2</v>
      </c>
      <c r="AY6" s="328">
        <f>((AY3*1000000)-'Evolutive SFP'!AW39)/'Evolutive SFP'!AW27</f>
        <v>9.6773030802711588E-2</v>
      </c>
      <c r="AZ6" s="328">
        <f>((AZ3*1000000)-'Evolutive SFP'!AX39)/'Evolutive SFP'!AX27</f>
        <v>9.824320610277501E-2</v>
      </c>
      <c r="BA6" s="328">
        <f>((BA3*1000000)-'Evolutive SFP'!AY39)/'Evolutive SFP'!AY27</f>
        <v>9.4817822288495029E-2</v>
      </c>
      <c r="BB6" s="328">
        <f>((BB3*1000000)-'Evolutive SFP'!AZ39)/'Evolutive SFP'!AZ27</f>
        <v>9.6133770164496923E-2</v>
      </c>
      <c r="BC6" s="328">
        <f>((BC3*1000000)-'Evolutive SFP'!BA39)/'Evolutive SFP'!BA27</f>
        <v>0.10402562951084532</v>
      </c>
      <c r="BD6" s="328">
        <f>((BD3*1000000)-'Evolutive SFP'!BB39)/'Evolutive SFP'!BB27</f>
        <v>9.086980292831888E-2</v>
      </c>
      <c r="BE6" s="328">
        <f>((BE3*1000000)-'Evolutive SFP'!BC39)/'Evolutive SFP'!BC27</f>
        <v>0.10575105511398702</v>
      </c>
      <c r="BF6" s="328">
        <f>((BF3*1000000)-'Evolutive SFP'!BD39)/'Evolutive SFP'!BD27</f>
        <v>0.10500625414204236</v>
      </c>
      <c r="BG6" s="328">
        <f>((BG3*1000000)-'Evolutive SFP'!BE39)/'Evolutive SFP'!BE27</f>
        <v>9.6700672353428982E-2</v>
      </c>
      <c r="BH6" s="328">
        <f>((BH3*1000000)-'Evolutive SFP'!BF39)/'Evolutive SFP'!BF27</f>
        <v>9.6188675934299583E-2</v>
      </c>
      <c r="BI6" s="328">
        <f>((BI3*1000000)-'Evolutive SFP'!BG39)/'Evolutive SFP'!BG27</f>
        <v>9.7383349346383152E-2</v>
      </c>
      <c r="BJ6" s="328">
        <f>Financials!BI12/Financials!BI4</f>
        <v>9.7377174868986449E-2</v>
      </c>
      <c r="BK6" s="328">
        <f>Financials!BJ12/Financials!BJ4</f>
        <v>8.488405027597104E-2</v>
      </c>
      <c r="BL6" s="328">
        <f>Financials!BK12/Financials!BK4</f>
        <v>8.829311527304412E-2</v>
      </c>
      <c r="BM6" s="328">
        <f>Financials!BL12/Financials!BL4</f>
        <v>9.1710134194342249E-2</v>
      </c>
      <c r="BN6" s="328">
        <f>Financials!BM12/Financials!BM4</f>
        <v>9.4757305275565015E-2</v>
      </c>
      <c r="BO6" s="328">
        <f>Financials!BN12/Financials!BN4</f>
        <v>9.7240243564644807E-2</v>
      </c>
      <c r="BP6" s="328">
        <f>Financials!BO12/Financials!BO4</f>
        <v>9.3434303482262532E-2</v>
      </c>
      <c r="BQ6" s="328">
        <f>Financials!BP12/Financials!BP4</f>
        <v>0.10851981297721761</v>
      </c>
      <c r="BR6" s="328"/>
      <c r="BS6" s="328"/>
      <c r="BT6" s="328"/>
      <c r="BU6" s="328"/>
      <c r="BV6" s="328"/>
      <c r="BW6" s="328"/>
      <c r="BX6" s="328"/>
      <c r="BY6" s="328"/>
    </row>
    <row r="7" spans="1:77" ht="18.75">
      <c r="A7" s="376" t="s">
        <v>16</v>
      </c>
      <c r="B7" s="324" t="s">
        <v>17</v>
      </c>
      <c r="C7" s="325"/>
      <c r="D7" s="325"/>
      <c r="E7" s="325"/>
      <c r="F7" s="325"/>
      <c r="G7" s="325"/>
      <c r="H7" s="325"/>
      <c r="I7" s="325"/>
      <c r="J7" s="329"/>
      <c r="K7" s="330"/>
      <c r="L7" s="330"/>
      <c r="M7" s="331"/>
      <c r="N7" s="331"/>
      <c r="O7" s="330"/>
      <c r="P7" s="331"/>
      <c r="Q7" s="331"/>
      <c r="R7" s="331"/>
      <c r="S7" s="331"/>
      <c r="T7" s="331"/>
      <c r="U7" s="331"/>
      <c r="V7" s="331"/>
      <c r="W7" s="331"/>
      <c r="X7" s="331"/>
      <c r="Y7" s="331"/>
      <c r="Z7" s="331"/>
      <c r="AA7" s="331"/>
      <c r="AB7" s="331"/>
      <c r="AC7" s="331"/>
      <c r="AD7" s="331"/>
      <c r="AE7" s="331"/>
      <c r="AF7" s="331"/>
      <c r="AG7" s="331"/>
      <c r="AH7" s="331"/>
      <c r="AI7" s="331"/>
      <c r="AJ7" s="331"/>
      <c r="AK7" s="331"/>
      <c r="AL7" s="331"/>
      <c r="AM7" s="331"/>
      <c r="AN7" s="331"/>
      <c r="AO7" s="331"/>
      <c r="AP7" s="331"/>
      <c r="AQ7" s="331"/>
      <c r="AR7" s="331"/>
      <c r="AS7" s="331"/>
      <c r="AT7" s="331"/>
      <c r="AU7" s="331"/>
      <c r="AV7" s="331"/>
      <c r="AW7" s="331"/>
      <c r="AX7" s="331"/>
      <c r="AY7" s="331"/>
      <c r="AZ7" s="331"/>
      <c r="BA7" s="331"/>
      <c r="BB7" s="331"/>
      <c r="BC7" s="331"/>
      <c r="BD7" s="331"/>
      <c r="BE7" s="331"/>
      <c r="BF7" s="331"/>
      <c r="BG7" s="331"/>
      <c r="BH7" s="331"/>
      <c r="BI7" s="331"/>
      <c r="BJ7" s="331"/>
      <c r="BK7" s="331"/>
      <c r="BL7" s="331"/>
      <c r="BM7" s="331"/>
      <c r="BN7" s="331"/>
      <c r="BO7" s="331"/>
      <c r="BP7" s="331"/>
      <c r="BQ7" s="331"/>
      <c r="BR7" s="331"/>
      <c r="BS7" s="331"/>
      <c r="BT7" s="331"/>
      <c r="BU7" s="331"/>
      <c r="BV7" s="331"/>
      <c r="BW7" s="331"/>
      <c r="BX7" s="331"/>
      <c r="BY7" s="331"/>
    </row>
    <row r="8" spans="1:77" ht="18.75">
      <c r="A8" s="376"/>
      <c r="B8" s="324" t="s">
        <v>18</v>
      </c>
      <c r="C8" s="325"/>
      <c r="D8" s="325"/>
      <c r="E8" s="325"/>
      <c r="F8" s="325"/>
      <c r="G8" s="325"/>
      <c r="H8" s="329">
        <f>('FORM 4'!D5+'FORM 4'!D6+'FORM 4'!D7)/'Evolutive SFP'!F15</f>
        <v>0.17876960446747509</v>
      </c>
      <c r="I8" s="329"/>
      <c r="J8" s="332"/>
      <c r="K8" s="331">
        <f>('FORM 4'!D14+'FORM 4'!D15+'FORM 4'!D16)/'Evolutive SFP'!I15</f>
        <v>0.2277229284286682</v>
      </c>
      <c r="L8" s="330"/>
      <c r="M8" s="331"/>
      <c r="N8" s="331">
        <f>('FORM 4'!D23+'FORM 4'!D24+'FORM 4'!D25)/'Evolutive SFP'!L15</f>
        <v>0.22371769876853315</v>
      </c>
      <c r="O8" s="331">
        <f>('FORM 4'!F5+'FORM 4'!F6+'FORM 4'!F7)/'Evolutive SFP'!M15</f>
        <v>0.21153621166237618</v>
      </c>
      <c r="P8" s="331">
        <f>('FORM 4'!G5+'FORM 4'!G6+'FORM 4'!G7)/'Evolutive SFP'!N15</f>
        <v>0</v>
      </c>
      <c r="Q8" s="331">
        <f>('FORM 4'!D32+'FORM 4'!D33+'FORM 4'!D34)/'Evolutive SFP'!O15</f>
        <v>0.24478584353671587</v>
      </c>
      <c r="R8" s="331">
        <v>0.24</v>
      </c>
      <c r="S8" s="331">
        <f>('FORM 4'!F32+'FORM 4'!F33+'FORM 4'!F34)/'Evolutive SFP'!Q15</f>
        <v>0.20539277621964105</v>
      </c>
      <c r="T8" s="331">
        <f>('FORM 4'!G32+'FORM 4'!G33+'FORM 4'!G34)/'Evolutive SFP'!R15</f>
        <v>0</v>
      </c>
      <c r="U8" s="331">
        <f>('FORM 4'!H32+'FORM 4'!H33+'FORM 4'!H34)/'Evolutive SFP'!S15</f>
        <v>0</v>
      </c>
      <c r="V8" s="331">
        <f>('FORM 4'!I32+'FORM 4'!I33+'FORM 4'!I34)/'Evolutive SFP'!T15</f>
        <v>0</v>
      </c>
      <c r="W8" s="331">
        <f>('FORM 4'!J32+'FORM 4'!J33+'FORM 4'!J34)/'Evolutive SFP'!U15</f>
        <v>0</v>
      </c>
      <c r="X8" s="331">
        <f>('FORM 4'!K32+'FORM 4'!K33+'FORM 4'!K34)/'Evolutive SFP'!V15</f>
        <v>0</v>
      </c>
      <c r="Y8" s="331">
        <f>('FORM 4'!L32+'FORM 4'!L33+'FORM 4'!L34)/'Evolutive SFP'!W15</f>
        <v>0</v>
      </c>
      <c r="Z8" s="331">
        <f>('FORM 4'!M32+'FORM 4'!M33+'FORM 4'!M34)/'Evolutive SFP'!X15</f>
        <v>0</v>
      </c>
      <c r="AA8" s="331">
        <f>('FORM 4'!N32+'FORM 4'!N33+'FORM 4'!N34)/'Evolutive SFP'!Y15</f>
        <v>0</v>
      </c>
      <c r="AB8" s="331">
        <f>('FORM 4'!O32+'FORM 4'!O33+'FORM 4'!O34)/'Evolutive SFP'!Z15</f>
        <v>0</v>
      </c>
      <c r="AC8" s="331">
        <f>('FORM 4'!P32+'FORM 4'!P33+'FORM 4'!P34)/'Evolutive SFP'!AA15</f>
        <v>0</v>
      </c>
      <c r="AD8" s="331">
        <f>('FORM 4'!Q32+'FORM 4'!Q33+'FORM 4'!Q34)/'Evolutive SFP'!AB15</f>
        <v>0</v>
      </c>
      <c r="AE8" s="331">
        <v>0.22</v>
      </c>
      <c r="AF8" s="331">
        <f>('FORM 4'!S32+'FORM 4'!S33+'FORM 4'!S34)/'Evolutive SFP'!AD15</f>
        <v>0</v>
      </c>
      <c r="AG8" s="331"/>
      <c r="AH8" s="331">
        <f>('FORM 4'!D99+'FORM 4'!D100+'FORM 4'!D101)/'Evolutive SFP'!AF15</f>
        <v>0.21548708081127074</v>
      </c>
      <c r="AI8" s="331"/>
      <c r="AJ8" s="331"/>
      <c r="AK8" s="331">
        <f>('FORM 4'!D108+'FORM 4'!D109+'FORM 4'!D110)/'Evolutive SFP'!AI15</f>
        <v>0.22964994142481227</v>
      </c>
      <c r="AL8" s="331"/>
      <c r="AM8" s="331"/>
      <c r="AN8" s="331"/>
      <c r="AO8" s="331"/>
      <c r="AP8" s="331"/>
      <c r="AQ8" s="331">
        <v>0.31</v>
      </c>
      <c r="AR8" s="331"/>
      <c r="AS8" s="331"/>
      <c r="AT8" s="331"/>
      <c r="AU8" s="331"/>
      <c r="AV8" s="331"/>
      <c r="AW8" s="331"/>
      <c r="AX8" s="331"/>
      <c r="AY8" s="331"/>
      <c r="AZ8" s="331"/>
      <c r="BA8" s="331"/>
      <c r="BB8" s="331"/>
      <c r="BC8" s="331"/>
      <c r="BD8" s="331">
        <v>0.32</v>
      </c>
      <c r="BE8" s="331"/>
      <c r="BF8" s="331"/>
      <c r="BG8" s="331"/>
      <c r="BH8" s="331"/>
      <c r="BI8" s="331"/>
      <c r="BJ8" s="331"/>
      <c r="BK8" s="331"/>
      <c r="BL8" s="331"/>
      <c r="BM8" s="331"/>
      <c r="BN8" s="331"/>
      <c r="BO8" s="331"/>
      <c r="BP8" s="331">
        <v>0.33</v>
      </c>
      <c r="BQ8" s="331">
        <v>0.33</v>
      </c>
      <c r="BR8" s="331"/>
      <c r="BS8" s="331"/>
      <c r="BT8" s="331"/>
      <c r="BU8" s="331"/>
      <c r="BV8" s="331"/>
      <c r="BW8" s="331"/>
      <c r="BX8" s="331"/>
      <c r="BY8" s="331"/>
    </row>
    <row r="9" spans="1:77" ht="18.75">
      <c r="A9" s="374" t="s">
        <v>19</v>
      </c>
      <c r="B9" s="324" t="s">
        <v>20</v>
      </c>
      <c r="C9" s="325"/>
      <c r="D9" s="325"/>
      <c r="E9" s="333">
        <f>'Evolutitve SCI'!C33/(('Evolutive SFP'!B27+'Evolutive SFP'!C27)/2)</f>
        <v>1.9523279105094118E-2</v>
      </c>
      <c r="F9" s="333">
        <f>'Evolutitve SCI'!D33/(('Evolutive SFP'!C27+'Evolutive SFP'!D24)/2)</f>
        <v>1.625052679444338E-2</v>
      </c>
      <c r="G9" s="333">
        <f>'Evolutitve SCI'!E33/(('Evolutive SFP'!D24+'Evolutive SFP'!E27)/2)</f>
        <v>1.1846914792998577E-2</v>
      </c>
      <c r="H9" s="333">
        <f>'Evolutitve SCI'!F33/(('Evolutive SFP'!E27+'Evolutive SFP'!F27)/2)</f>
        <v>6.8453598873683833E-3</v>
      </c>
      <c r="I9" s="333">
        <f>'Evolutitve SCI'!G33/(('Evolutive SFP'!F27+'Evolutive SFP'!G27)/2)</f>
        <v>5.487256117574486E-3</v>
      </c>
      <c r="J9" s="333">
        <f>'Evolutitve SCI'!H33/(('Evolutive SFP'!G14+'Evolutive SFP'!H27)/2)</f>
        <v>3.49344520269228E-3</v>
      </c>
      <c r="K9" s="333">
        <f>'Evolutitve SCI'!I33/(('Evolutive SFP'!H27+'Evolutive SFP'!I27)/2)</f>
        <v>4.0989426991320929E-3</v>
      </c>
      <c r="L9" s="333">
        <f>'Evolutitve SCI'!J33/(('Evolutive SFP'!I27+'Evolutive SFP'!J27)/2)</f>
        <v>4.3464169385900395E-3</v>
      </c>
      <c r="M9" s="333">
        <f>'Evolutitve SCI'!K33/(('Evolutive SFP'!J27+'Evolutive SFP'!K27)/2)</f>
        <v>9.7450993585557651E-3</v>
      </c>
      <c r="N9" s="333">
        <f>'Evolutitve SCI'!L33/(('Evolutive SFP'!K27+'Evolutive SFP'!L27)/2)</f>
        <v>9.2186264556571619E-3</v>
      </c>
      <c r="O9" s="333">
        <f>'Evolutitve SCI'!M33/(('Evolutive SFP'!L27+'Evolutive SFP'!M27)/2)</f>
        <v>1.1066532342341923E-2</v>
      </c>
      <c r="P9" s="333">
        <f>'Evolutitve SCI'!N33/(('Evolutive SFP'!M27+'Evolutive SFP'!N27)/2)</f>
        <v>1.1602885083499388E-2</v>
      </c>
      <c r="Q9" s="333">
        <f>'Evolutitve SCI'!O33/(('Evolutive SFP'!N27+'Evolutive SFP'!O27)/2)</f>
        <v>1.8245322184166243E-2</v>
      </c>
      <c r="R9" s="333">
        <f>'Evolutitve SCI'!P33/(('Evolutive SFP'!O27+'Evolutive SFP'!P27)/2)</f>
        <v>1.8056930201989455E-2</v>
      </c>
      <c r="S9" s="333">
        <f>'Evolutitve SCI'!Q33/(('Evolutive SFP'!P27+'Evolutive SFP'!Q27)/2)</f>
        <v>2.9817183291232165E-3</v>
      </c>
      <c r="T9" s="333">
        <f>'Evolutitve SCI'!R33/(('Evolutive SFP'!Q27+'Evolutive SFP'!R27)/2)</f>
        <v>9.827738675029828E-4</v>
      </c>
      <c r="U9" s="333">
        <f>'Evolutitve SCI'!S33/(('Evolutive SFP'!R27+'Evolutive SFP'!S27)/2)</f>
        <v>1.3012495593522175E-3</v>
      </c>
      <c r="V9" s="333">
        <f>'Evolutitve SCI'!T33/(('Evolutive SFP'!S27+'Evolutive SFP'!T27)/2)</f>
        <v>1.960972733561178E-3</v>
      </c>
      <c r="W9" s="333">
        <f>'Evolutitve SCI'!U33/(('Evolutive SFP'!T27+'Evolutive SFP'!U27)/2)</f>
        <v>1.6520872166131131E-3</v>
      </c>
      <c r="X9" s="333">
        <f>'Evolutitve SCI'!V33/(('Evolutive SFP'!U27+'Evolutive SFP'!V27)/2)</f>
        <v>4.2481847682665696E-3</v>
      </c>
      <c r="Y9" s="333">
        <f>'Evolutitve SCI'!W33/(('Evolutive SFP'!V27+'Evolutive SFP'!W27)/2)</f>
        <v>1.322725046111344E-3</v>
      </c>
      <c r="Z9" s="333">
        <f>'Evolutitve SCI'!X33/(('Evolutive SFP'!W27+'Evolutive SFP'!X27)/2)</f>
        <v>3.9930677955002805E-3</v>
      </c>
      <c r="AA9" s="333">
        <f>'Evolutitve SCI'!Y33/(('Evolutive SFP'!X27+'Evolutive SFP'!Y27)/2)</f>
        <v>4.4028618019518071E-3</v>
      </c>
      <c r="AB9" s="333">
        <f>'Evolutitve SCI'!Z33/(('Evolutive SFP'!Y27+'Evolutive SFP'!Z27)/2)</f>
        <v>3.815991272818035E-3</v>
      </c>
      <c r="AC9" s="333">
        <f>'Evolutitve SCI'!AA33/(('Evolutive SFP'!Z27+'Evolutive SFP'!AA27)/2)</f>
        <v>5.6100663122339786E-3</v>
      </c>
      <c r="AD9" s="333" t="e">
        <f>'Evolutitve SCI'!#REF!/(('Evolutive SFP'!AA27+'Evolutive SFP'!AB27)/2)</f>
        <v>#REF!</v>
      </c>
      <c r="AE9" s="333">
        <f>'Evolutitve SCI'!AC33/(('Evolutive SFP'!AB27+'Evolutive SFP'!AC27)/2)</f>
        <v>1.2295926077651433E-2</v>
      </c>
      <c r="AF9" s="333">
        <f>'Evolutitve SCI'!AD33/(('Evolutive SFP'!AC27+'Evolutive SFP'!AD27)/2)</f>
        <v>3.3010500061745403E-3</v>
      </c>
      <c r="AG9" s="333">
        <f>'Evolutitve SCI'!AE33/(('Evolutive SFP'!AD27+'Evolutive SFP'!AE27)/2)</f>
        <v>2.3987892039814048E-3</v>
      </c>
      <c r="AH9" s="333">
        <f>'Evolutitve SCI'!AF33/(('Evolutive SFP'!AE27+'Evolutive SFP'!AF27)/2)</f>
        <v>1.620631546021449E-3</v>
      </c>
      <c r="AI9" s="333">
        <f>'Evolutitve SCI'!AG33/(('Evolutive SFP'!AF27+'Evolutive SFP'!AG27)/2)</f>
        <v>3.1755641588261472E-3</v>
      </c>
      <c r="AJ9" s="333">
        <f>'Evolutitve SCI'!AH33/(('Evolutive SFP'!AG27+'Evolutive SFP'!AH27)/2)</f>
        <v>3.3762799337366798E-3</v>
      </c>
      <c r="AK9" s="333">
        <f>'Evolutitve SCI'!AI33/(('Evolutive SFP'!AH27+'Evolutive SFP'!AI27)/2)</f>
        <v>4.8861222242039745E-3</v>
      </c>
      <c r="AL9" s="333">
        <f>'Evolutitve SCI'!AJ33/(('Evolutive SFP'!AI27+'Evolutive SFP'!AJ27)/2)</f>
        <v>7.8607830998215326E-3</v>
      </c>
      <c r="AM9" s="333">
        <f>'Evolutitve SCI'!AK33/(('Evolutive SFP'!AJ27+'Evolutive SFP'!AK27)/2)</f>
        <v>2.6876852114363055E-3</v>
      </c>
      <c r="AN9" s="333">
        <f>'Evolutitve SCI'!AL33/(('Evolutive SFP'!AK27+'Evolutive SFP'!AL27)/2)</f>
        <v>7.0436567414040828E-3</v>
      </c>
      <c r="AO9" s="333">
        <f>'Evolutitve SCI'!AM33/(('Evolutive SFP'!AL27+'Evolutive SFP'!AM27)/2)</f>
        <v>1.4297069216285286E-2</v>
      </c>
      <c r="AP9" s="333">
        <f>'Evolutitve SCI'!AN33/(('Evolutive SFP'!AM27+'Evolutive SFP'!AN27)/2)</f>
        <v>1.9418149147319257E-2</v>
      </c>
      <c r="AQ9" s="333">
        <f>'Evolutitve SCI'!AO33/(('Evolutive SFP'!AN27+'Evolutive SFP'!AO27)/2)</f>
        <v>2.1214710502272041E-2</v>
      </c>
      <c r="AR9" s="333">
        <f>'Evolutitve SCI'!AP33/(('Evolutive SFP'!AO27+'Evolutive SFP'!AP27)/2)</f>
        <v>1.6918031505179286E-3</v>
      </c>
      <c r="AS9" s="333">
        <f>'Evolutitve SCI'!AQ33/(('Evolutive SFP'!AP27+'Evolutive SFP'!AQ27)/2)</f>
        <v>2.9625797016744672E-4</v>
      </c>
      <c r="AT9" s="333">
        <f>'Evolutitve SCI'!AR33/(('Evolutive SFP'!AQ27+'Evolutive SFP'!AR27)/2)</f>
        <v>2.2884545716794959E-3</v>
      </c>
      <c r="AU9" s="333">
        <f>'Evolutitve SCI'!AS33/(('Evolutive SFP'!AR27+'Evolutive SFP'!AS27)/2)</f>
        <v>2.7089741957608054E-3</v>
      </c>
      <c r="AV9" s="333">
        <f>'Evolutitve SCI'!AT33/(('Evolutive SFP'!AS27+'Evolutive SFP'!AT27)/2)</f>
        <v>4.3040197587636934E-3</v>
      </c>
      <c r="AW9" s="333">
        <f>'Evolutitve SCI'!AU33/(('Evolutive SFP'!AT27+'Evolutive SFP'!AU27)/2)</f>
        <v>4.406795154568874E-3</v>
      </c>
      <c r="AX9" s="333">
        <f>'Evolutitve SCI'!AV33/(('Evolutive SFP'!AU27+'Evolutive SFP'!AV27)/2)</f>
        <v>5.0129412840156989E-3</v>
      </c>
      <c r="AY9" s="333">
        <f>'Evolutitve SCI'!AW33/(('Evolutive SFP'!AV27+'Evolutive SFP'!AW27)/2)</f>
        <v>5.9147146638947974E-3</v>
      </c>
      <c r="AZ9" s="333">
        <f>'Evolutitve SCI'!AX33/(('Evolutive SFP'!AW27+'Evolutive SFP'!AX27)/2)</f>
        <v>6.581653928060623E-3</v>
      </c>
      <c r="BA9" s="333">
        <f>'Evolutitve SCI'!AY33/(('Evolutive SFP'!AX27+'Evolutive SFP'!AY27)/2)</f>
        <v>8.8429968908351302E-3</v>
      </c>
      <c r="BB9" s="333">
        <f>'Evolutitve SCI'!AZ33/(('Evolutive SFP'!AY27+'Evolutive SFP'!AZ27)/2)</f>
        <v>1.0684529333777048E-2</v>
      </c>
      <c r="BC9" s="333">
        <f>'Evolutitve SCI'!BA33/(('Evolutive SFP'!AZ27+'Evolutive SFP'!BA27)/2)</f>
        <v>1.597720474260814E-2</v>
      </c>
      <c r="BD9" s="333">
        <f>'Evolutitve SCI'!BB33/(('Evolutive SFP'!BA27+'Evolutive SFP'!BB27)/2)</f>
        <v>2.215372852258966E-2</v>
      </c>
      <c r="BE9" s="333">
        <f>'Evolutitve SCI'!BC33/(('Evolutive SFP'!BB27+'Evolutive SFP'!BC27)/2)</f>
        <v>6.516393525511793E-4</v>
      </c>
      <c r="BF9" s="333">
        <f>'Evolutitve SCI'!BD33/(('Evolutive SFP'!BC27+'Evolutive SFP'!BD27)/2)</f>
        <v>1.1233213560612808E-3</v>
      </c>
      <c r="BG9" s="333">
        <f>'Evolutitve SCI'!BE33/(('Evolutive SFP'!BD27+'Evolutive SFP'!BE27)/2)</f>
        <v>1.875003692429548E-3</v>
      </c>
      <c r="BH9" s="333">
        <f>'Evolutitve SCI'!BF33/(('Evolutive SFP'!BE27+'Evolutive SFP'!BF27)/2)</f>
        <v>3.2361211653593801E-3</v>
      </c>
      <c r="BI9" s="333">
        <f>'Evolutitve SCI'!BG33/(('Evolutive SFP'!BF27+'Evolutive SFP'!BG27)/2)</f>
        <v>4.1875509955848845E-3</v>
      </c>
      <c r="BJ9" s="333">
        <f>'Evolutitve SCI'!BH33/(('Evolutive SFP'!BG27+'Evolutive SFP'!BH27)/2)</f>
        <v>4.670668474276456E-3</v>
      </c>
      <c r="BK9" s="333">
        <f>'Evolutitve SCI'!BI33/(('Evolutive SFP'!BH27+'Evolutive SFP'!BI27)/2)</f>
        <v>5.5419150799725682E-3</v>
      </c>
      <c r="BL9" s="333">
        <f>'Evolutitve SCI'!BJ33/(('Evolutive SFP'!BI27+'Evolutive SFP'!BJ27)/2)</f>
        <v>5.4336599768928509E-3</v>
      </c>
      <c r="BM9" s="333">
        <f>'Evolutitve SCI'!BK33/(('Evolutive SFP'!BJ27+'Evolutive SFP'!BK27)/2)</f>
        <v>5.9774703735122362E-3</v>
      </c>
      <c r="BN9" s="333">
        <f>'Evolutitve SCI'!BL33/(('Evolutive SFP'!BK27+'Evolutive SFP'!BL27)/2)</f>
        <v>8.0824290040455975E-3</v>
      </c>
      <c r="BO9" s="333">
        <f>'Evolutitve SCI'!BM33/(('Evolutive SFP'!BL27+'Evolutive SFP'!BM27)/2)</f>
        <v>9.1516110304146695E-3</v>
      </c>
      <c r="BP9" s="333">
        <f>'Evolutitve SCI'!BN33/(('Evolutive SFP'!BM27+'Evolutive SFP'!BN27)/2)</f>
        <v>2.0392194391679337E-2</v>
      </c>
      <c r="BQ9" s="333">
        <f>'Evolutitve SCI'!BO33/(('Evolutive SFP'!BN27+'Evolutive SFP'!BO27)/2)</f>
        <v>2.0747704012904006E-2</v>
      </c>
      <c r="BR9" s="333"/>
      <c r="BS9" s="333"/>
      <c r="BT9" s="333"/>
      <c r="BU9" s="333"/>
      <c r="BV9" s="333"/>
      <c r="BW9" s="333"/>
      <c r="BX9" s="333"/>
      <c r="BY9" s="333"/>
    </row>
    <row r="10" spans="1:77" ht="18.75">
      <c r="A10" s="374"/>
      <c r="B10" s="324" t="s">
        <v>21</v>
      </c>
      <c r="C10" s="325"/>
      <c r="D10" s="331">
        <f>'Evolutitve SCI'!B23/'Evolutitve SCI'!B19</f>
        <v>0.78428841146364925</v>
      </c>
      <c r="E10" s="334">
        <f>'Evolutitve SCI'!C23/'Evolutitve SCI'!C19</f>
        <v>0.81638810887926516</v>
      </c>
      <c r="F10" s="331">
        <f>'Evolutitve SCI'!D23/'Evolutitve SCI'!D19</f>
        <v>0.43574848042363906</v>
      </c>
      <c r="G10" s="331">
        <f>'Evolutitve SCI'!E23/'Evolutitve SCI'!E19</f>
        <v>0.64340473365766049</v>
      </c>
      <c r="H10" s="331">
        <f>'Evolutitve SCI'!F23/'Evolutitve SCI'!F19</f>
        <v>0.69451785350320261</v>
      </c>
      <c r="I10" s="334">
        <f>'Evolutitve SCI'!G23/'Evolutitve SCI'!G19</f>
        <v>0.7501932985443065</v>
      </c>
      <c r="J10" s="334">
        <f>'Evolutitve SCI'!H23/'Evolutitve SCI'!H19</f>
        <v>0.79520589507312023</v>
      </c>
      <c r="K10" s="331">
        <f>'Evolutitve SCI'!I23/'Evolutitve SCI'!I19</f>
        <v>0.80144186930193917</v>
      </c>
      <c r="L10" s="331">
        <f>'Evolutitve SCI'!J23/'Evolutitve SCI'!J19</f>
        <v>0.82031701410208091</v>
      </c>
      <c r="M10" s="331">
        <f>'Evolutitve SCI'!K23/'Evolutitve SCI'!K19</f>
        <v>0.7656655438212383</v>
      </c>
      <c r="N10" s="331">
        <f>'Evolutitve SCI'!L23/'Evolutitve SCI'!L19</f>
        <v>0.77890748314639457</v>
      </c>
      <c r="O10" s="331">
        <f>'Evolutitve SCI'!M23/'Evolutitve SCI'!M19</f>
        <v>0.76393469194705699</v>
      </c>
      <c r="P10" s="331">
        <f>'Evolutitve SCI'!N23/'Evolutitve SCI'!N19</f>
        <v>0.74479161059768551</v>
      </c>
      <c r="Q10" s="331">
        <f>'Evolutitve SCI'!O23/'Evolutitve SCI'!O19</f>
        <v>0.73106527140325583</v>
      </c>
      <c r="R10" s="331">
        <f>'Evolutitve SCI'!P23/'Evolutitve SCI'!P19</f>
        <v>0.77568871305741871</v>
      </c>
      <c r="S10" s="331">
        <f>'Evolutitve SCI'!Q23/'Evolutitve SCI'!Q19</f>
        <v>0.72203903147314819</v>
      </c>
      <c r="T10" s="331">
        <f>'Evolutitve SCI'!R23/'Evolutitve SCI'!R19</f>
        <v>0.9308908517034209</v>
      </c>
      <c r="U10" s="331">
        <f>'Evolutitve SCI'!S23/'Evolutitve SCI'!S19</f>
        <v>0.93190201674198236</v>
      </c>
      <c r="V10" s="331">
        <f>'Evolutitve SCI'!T23/'Evolutitve SCI'!T19</f>
        <v>0.89612947897038397</v>
      </c>
      <c r="W10" s="331">
        <f>'Evolutitve SCI'!U23/'Evolutitve SCI'!U19</f>
        <v>0.90729716583433162</v>
      </c>
      <c r="X10" s="331">
        <f>'Evolutitve SCI'!V23/'Evolutitve SCI'!V19</f>
        <v>0.80572636057430569</v>
      </c>
      <c r="Y10" s="331">
        <f>'Evolutitve SCI'!W23/'Evolutitve SCI'!W19</f>
        <v>0.83993969748011121</v>
      </c>
      <c r="Z10" s="331">
        <f>'Evolutitve SCI'!X23/'Evolutitve SCI'!X19</f>
        <v>0.83159997175831124</v>
      </c>
      <c r="AA10" s="331">
        <f>'Evolutitve SCI'!Y23/'Evolutitve SCI'!Y19</f>
        <v>0.829377068581854</v>
      </c>
      <c r="AB10" s="331">
        <f>'Evolutitve SCI'!Z23/'Evolutitve SCI'!Z19</f>
        <v>0.78445475439707968</v>
      </c>
      <c r="AC10" s="331">
        <f>'Evolutitve SCI'!AA23/'Evolutitve SCI'!AA19</f>
        <v>0.75898884702912395</v>
      </c>
      <c r="AD10" s="331" t="e">
        <f>'Evolutitve SCI'!#REF!/'Evolutitve SCI'!#REF!</f>
        <v>#REF!</v>
      </c>
      <c r="AE10" s="331">
        <f>'Evolutitve SCI'!AC23/'Evolutitve SCI'!AC19</f>
        <v>0.85016835970897486</v>
      </c>
      <c r="AF10" s="331">
        <f>'Evolutitve SCI'!AD23/'Evolutitve SCI'!AD19</f>
        <v>0.6646385319760123</v>
      </c>
      <c r="AG10" s="331">
        <f>'Evolutitve SCI'!AE23/'Evolutitve SCI'!AE19</f>
        <v>0.79162284193957755</v>
      </c>
      <c r="AH10" s="331">
        <f>'Evolutitve SCI'!AF23/'Evolutitve SCI'!AF19</f>
        <v>0.8307992345108226</v>
      </c>
      <c r="AI10" s="331">
        <f>'Evolutitve SCI'!AG23/'Evolutitve SCI'!AG19</f>
        <v>0.80132627540888057</v>
      </c>
      <c r="AJ10" s="331">
        <f>'Evolutitve SCI'!AH23/'Evolutitve SCI'!AH19</f>
        <v>0.79971060027332741</v>
      </c>
      <c r="AK10" s="331">
        <f>'Evolutitve SCI'!AI23/'Evolutitve SCI'!AI19</f>
        <v>0.78401721209640363</v>
      </c>
      <c r="AL10" s="331">
        <f>'Evolutitve SCI'!AJ23/'Evolutitve SCI'!AJ19</f>
        <v>0.78597284562232639</v>
      </c>
      <c r="AM10" s="331">
        <f>'Evolutitve SCI'!AK23/'Evolutitve SCI'!AK19</f>
        <v>0.81065473473188276</v>
      </c>
      <c r="AN10" s="331">
        <f>'Evolutitve SCI'!AL23/'Evolutitve SCI'!AL19</f>
        <v>0.77502961720556907</v>
      </c>
      <c r="AO10" s="331">
        <f>'Evolutitve SCI'!AM23/'Evolutitve SCI'!AM19</f>
        <v>0.73406037310019645</v>
      </c>
      <c r="AP10" s="331">
        <f>'Evolutitve SCI'!AN23/'Evolutitve SCI'!AN19</f>
        <v>0.70256702261681891</v>
      </c>
      <c r="AQ10" s="331">
        <f>'Evolutitve SCI'!AO23/'Evolutitve SCI'!AO19</f>
        <v>0.77347543598915491</v>
      </c>
      <c r="AR10" s="331">
        <f>'Evolutitve SCI'!AP23/'Evolutitve SCI'!AP19</f>
        <v>0.71000943290028307</v>
      </c>
      <c r="AS10" s="331">
        <f>'Evolutitve SCI'!AQ23/'Evolutitve SCI'!AQ19</f>
        <v>0.8808207969313121</v>
      </c>
      <c r="AT10" s="331">
        <f>'Evolutitve SCI'!AR23/'Evolutitve SCI'!AR19</f>
        <v>0.83896628166948817</v>
      </c>
      <c r="AU10" s="331">
        <f>'Evolutitve SCI'!AS23/'Evolutitve SCI'!AS19</f>
        <v>0.83118066448655692</v>
      </c>
      <c r="AV10" s="331">
        <f>'Evolutitve SCI'!AT23/'Evolutitve SCI'!AT19</f>
        <v>0.80959703095904612</v>
      </c>
      <c r="AW10" s="331">
        <f>'Evolutitve SCI'!AU23/'Evolutitve SCI'!AU19</f>
        <v>0.82045029448816931</v>
      </c>
      <c r="AX10" s="331">
        <f>'Evolutitve SCI'!AV23/'Evolutitve SCI'!AV19</f>
        <v>0.81656128493411206</v>
      </c>
      <c r="AY10" s="331">
        <f>'Evolutitve SCI'!AW23/'Evolutitve SCI'!AW19</f>
        <v>0.80185731132433002</v>
      </c>
      <c r="AZ10" s="331">
        <f>'Evolutitve SCI'!AX23/'Evolutitve SCI'!AX19</f>
        <v>0.80416086148232557</v>
      </c>
      <c r="BA10" s="331">
        <f>'Evolutitve SCI'!AY23/'Evolutitve SCI'!AY19</f>
        <v>0.78717651506801212</v>
      </c>
      <c r="BB10" s="331">
        <f>'Evolutitve SCI'!AZ23/'Evolutitve SCI'!AZ19</f>
        <v>0.78016684890313537</v>
      </c>
      <c r="BC10" s="331">
        <f>'Evolutitve SCI'!BA23/'Evolutitve SCI'!BA19</f>
        <v>0.75318509685731028</v>
      </c>
      <c r="BD10" s="331">
        <f>'Evolutitve SCI'!BB23/'Evolutitve SCI'!BB19</f>
        <v>0.71742585802339331</v>
      </c>
      <c r="BE10" s="331">
        <f>'Evolutitve SCI'!BC23/'Evolutitve SCI'!BC19</f>
        <v>0.84621035900471986</v>
      </c>
      <c r="BF10" s="331">
        <f>'Evolutitve SCI'!BD23/'Evolutitve SCI'!BD19</f>
        <v>0.86339608808916912</v>
      </c>
      <c r="BG10" s="331">
        <f>'Evolutitve SCI'!BE23/'Evolutitve SCI'!BE19</f>
        <v>0.84970866640959375</v>
      </c>
      <c r="BH10" s="331">
        <f>'Evolutitve SCI'!BF23/'Evolutitve SCI'!BF19</f>
        <v>0.83104314259526713</v>
      </c>
      <c r="BI10" s="331">
        <f>'Evolutitve SCI'!BG23/'Evolutitve SCI'!BG19</f>
        <v>0.82536148303840517</v>
      </c>
      <c r="BJ10" s="331">
        <f>'Evolutitve SCI'!BH23/'Evolutitve SCI'!BH19</f>
        <v>0.80607953114241782</v>
      </c>
      <c r="BK10" s="331">
        <f>'Evolutitve SCI'!BI23/'Evolutitve SCI'!BI19</f>
        <v>0.78926438421554024</v>
      </c>
      <c r="BL10" s="331">
        <f>'Evolutitve SCI'!BJ23/'Evolutitve SCI'!BJ19</f>
        <v>0.80694188700595182</v>
      </c>
      <c r="BM10" s="331">
        <f>'Evolutitve SCI'!BK23/'Evolutitve SCI'!BK19</f>
        <v>0.81243372949846726</v>
      </c>
      <c r="BN10" s="331">
        <f>'Evolutitve SCI'!BL23/'Evolutitve SCI'!BL19</f>
        <v>0.80414265404707042</v>
      </c>
      <c r="BO10" s="331">
        <f>'Evolutitve SCI'!BM23/'Evolutitve SCI'!BM19</f>
        <v>0.79052014789090208</v>
      </c>
      <c r="BP10" s="331">
        <f>'Evolutitve SCI'!BN23/'Evolutitve SCI'!BN19</f>
        <v>0.73108573470066163</v>
      </c>
      <c r="BQ10" s="331">
        <f>'Evolutitve SCI'!BO23/'Evolutitve SCI'!BO19</f>
        <v>0.73105780227020589</v>
      </c>
      <c r="BR10" s="331"/>
      <c r="BS10" s="331"/>
      <c r="BT10" s="331"/>
      <c r="BU10" s="331"/>
      <c r="BV10" s="331"/>
      <c r="BW10" s="331"/>
      <c r="BX10" s="331"/>
      <c r="BY10" s="331"/>
    </row>
    <row r="11" spans="1:77" ht="18.75" customHeight="1">
      <c r="A11" s="374"/>
      <c r="B11" s="324" t="s">
        <v>22</v>
      </c>
      <c r="C11" s="325"/>
      <c r="D11" s="331">
        <f>('Evolutitve SCI'!B23+'Evolutitve SCI'!B12)/(('Evolutive SFP'!B27+'Evolutive SFP'!C27)/2)</f>
        <v>1.7803589736848631E-5</v>
      </c>
      <c r="E11" s="331">
        <f>('Evolutitve SCI'!C23+'Evolutitve SCI'!C12)/(('Evolutive SFP'!C27+'Evolutive SFP'!D24)/2)</f>
        <v>0.29111613868090142</v>
      </c>
      <c r="F11" s="331">
        <f>('Evolutitve SCI'!D23+'Evolutitve SCI'!D12)/(('Evolutive SFP'!D24+'Evolutive SFP'!E27)/2)</f>
        <v>1.7077851576632181E-2</v>
      </c>
      <c r="G11" s="331">
        <f>('Evolutitve SCI'!E23+'Evolutitve SCI'!E12)/(('Evolutive SFP'!E27+'Evolutive SFP'!F27)/2)</f>
        <v>2.0493815967325333E-2</v>
      </c>
      <c r="H11" s="331">
        <f>('Evolutitve SCI'!F23+'Evolutitve SCI'!F12)/(('Evolutive SFP'!F27+'Evolutive SFP'!G14)/2)</f>
        <v>3.9794796829664553E-2</v>
      </c>
      <c r="I11" s="331">
        <f>('Evolutitve SCI'!G23+'Evolutitve SCI'!G12)/(('Evolutive SFP'!G27+'Evolutive SFP'!H14)/2)</f>
        <v>5.3209706246290782E-2</v>
      </c>
      <c r="J11" s="331">
        <f>('Evolutitve SCI'!H23+'Evolutitve SCI'!H12)/(('Evolutive SFP'!H27+'Evolutive SFP'!I27)/2)</f>
        <v>5.535170339328873E-2</v>
      </c>
      <c r="K11" s="331">
        <f>('Evolutitve SCI'!I23+'Evolutitve SCI'!I12)/(('Evolutive SFP'!I27+'Evolutive SFP'!J27)/2)</f>
        <v>6.7396875595602035E-2</v>
      </c>
      <c r="L11" s="331">
        <f>('Evolutitve SCI'!J23+'Evolutitve SCI'!J12)/(('Evolutive SFP'!J27+'Evolutive SFP'!K27)/2)</f>
        <v>7.9615124524295242E-2</v>
      </c>
      <c r="M11" s="331">
        <f>('Evolutitve SCI'!K23+'Evolutitve SCI'!K12)/(('Evolutive SFP'!K27+'Evolutive SFP'!L27)/2)</f>
        <v>9.2267964097505067E-2</v>
      </c>
      <c r="N11" s="331">
        <f>('Evolutitve SCI'!L23+'Evolutitve SCI'!L12)/(('Evolutive SFP'!L27+'Evolutive SFP'!M27)/2)</f>
        <v>9.0233950756527362E-2</v>
      </c>
      <c r="O11" s="331">
        <f>('Evolutitve SCI'!M23+'Evolutitve SCI'!M12)/(('Evolutive SFP'!M27+'Evolutive SFP'!N27)/2)</f>
        <v>9.3664393617336097E-2</v>
      </c>
      <c r="P11" s="331">
        <f>('Evolutitve SCI'!N23+'Evolutitve SCI'!N12)/(('Evolutive SFP'!N27+'Evolutive SFP'!O27)/2)</f>
        <v>0.11349844800476824</v>
      </c>
      <c r="Q11" s="331">
        <f>('Evolutitve SCI'!O23+'Evolutitve SCI'!O12)/(('Evolutive SFP'!O27+'Evolutive SFP'!P27)/2)</f>
        <v>0.12735612317201245</v>
      </c>
      <c r="R11" s="331">
        <f>('Evolutitve SCI'!P23+'Evolutitve SCI'!P12)/(('Evolutive SFP'!P27+'Evolutive SFP'!Q27)/2)</f>
        <v>0.13588623959911594</v>
      </c>
      <c r="S11" s="331">
        <f>('Evolutitve SCI'!Q23+'Evolutitve SCI'!Q12)/(('Evolutive SFP'!Q27+'Evolutive SFP'!R27)/2)</f>
        <v>8.5116224643500271E-3</v>
      </c>
      <c r="T11" s="331">
        <f>('Evolutitve SCI'!R23+'Evolutitve SCI'!R12)/(('Evolutive SFP'!R27+'Evolutive SFP'!S27)/2)</f>
        <v>2.06717955596173E-2</v>
      </c>
      <c r="U11" s="331">
        <f>('Evolutitve SCI'!S23+'Evolutitve SCI'!S12)/(('Evolutive SFP'!S27+'Evolutive SFP'!T27)/2)</f>
        <v>3.3712352405359282E-2</v>
      </c>
      <c r="V11" s="331">
        <f>('Evolutitve SCI'!T23+'Evolutitve SCI'!T12)/(('Evolutive SFP'!T27+'Evolutive SFP'!U27)/2)</f>
        <v>4.3555019768372831E-2</v>
      </c>
      <c r="W11" s="331">
        <f>('Evolutitve SCI'!U23+'Evolutitve SCI'!U12)/(('Evolutive SFP'!U27+'Evolutive SFP'!V27)/2)</f>
        <v>5.6035035279662547E-2</v>
      </c>
      <c r="X11" s="331">
        <f>('Evolutitve SCI'!V23+'Evolutitve SCI'!V12)/(('Evolutive SFP'!V27+'Evolutive SFP'!W27)/2)</f>
        <v>7.2341386460183024E-2</v>
      </c>
      <c r="Y11" s="331">
        <f>('Evolutitve SCI'!W23+'Evolutitve SCI'!W12)/(('Evolutive SFP'!W27+'Evolutive SFP'!X27)/2)</f>
        <v>8.4806132479640195E-2</v>
      </c>
      <c r="Z11" s="331">
        <f>('Evolutitve SCI'!X23+'Evolutitve SCI'!X12)/(('Evolutive SFP'!X27+'Evolutive SFP'!Y27)/2)</f>
        <v>9.4359134830047153E-2</v>
      </c>
      <c r="AA11" s="331">
        <f>('Evolutitve SCI'!Y23+'Evolutitve SCI'!Y12)/(('Evolutive SFP'!Y27+'Evolutive SFP'!Z27)/2)</f>
        <v>5.9717542132513957E-2</v>
      </c>
      <c r="AB11" s="331">
        <f>('Evolutitve SCI'!Z23+'Evolutitve SCI'!Z12)/(('Evolutive SFP'!Z27+'Evolutive SFP'!AA27)/2)</f>
        <v>4.9785791707679432E-2</v>
      </c>
      <c r="AC11" s="331">
        <f>('Evolutitve SCI'!AA23+'Evolutitve SCI'!AA12)/(('Evolutive SFP'!AA27+'Evolutive SFP'!AB27)/2)</f>
        <v>5.625292802183373E-2</v>
      </c>
      <c r="AD11" s="331" t="e">
        <f>('Evolutitve SCI'!#REF!+'Evolutitve SCI'!#REF!)/(('Evolutive SFP'!AB27+'Evolutive SFP'!AC27)/2)</f>
        <v>#REF!</v>
      </c>
      <c r="AE11" s="331">
        <f>('Evolutitve SCI'!AC23+'Evolutitve SCI'!AC12)/(('Evolutive SFP'!AC27+'Evolutive SFP'!AD27)/2)</f>
        <v>0.15343163273226773</v>
      </c>
      <c r="AF11" s="331">
        <f>('Evolutitve SCI'!AD23+'Evolutitve SCI'!AD12)/(('Evolutive SFP'!AD27+'Evolutive SFP'!AE27)/2)</f>
        <v>9.0367066687853694E-3</v>
      </c>
      <c r="AG11" s="331">
        <f>('Evolutitve SCI'!AE23+'Evolutitve SCI'!AE12)/(('Evolutive SFP'!AE27+'Evolutive SFP'!AF27)/2)</f>
        <v>2.2250111600739461E-2</v>
      </c>
      <c r="AH11" s="331">
        <f>('Evolutitve SCI'!AF23+'Evolutitve SCI'!AF12)/(('Evolutive SFP'!AF27+'Evolutive SFP'!AG27)/2)</f>
        <v>3.3644017638780041E-2</v>
      </c>
      <c r="AI11" s="331">
        <f>('Evolutitve SCI'!AG23+'Evolutitve SCI'!AG12)/(('Evolutive SFP'!AG27+'Evolutive SFP'!AH27)/2)</f>
        <v>4.2408299049625578E-2</v>
      </c>
      <c r="AJ11" s="331">
        <f>('Evolutitve SCI'!AH23+'Evolutitve SCI'!AH12)/(('Evolutive SFP'!AH27+'Evolutive SFP'!AI27)/2)</f>
        <v>5.0973763256800794E-2</v>
      </c>
      <c r="AK11" s="331">
        <f>('Evolutitve SCI'!AI23+'Evolutitve SCI'!AI12)/(('Evolutive SFP'!AI27+'Evolutive SFP'!AJ27)/2)</f>
        <v>4.0122255425988837E-2</v>
      </c>
      <c r="AL11" s="331">
        <f>('Evolutitve SCI'!AJ23+'Evolutitve SCI'!AJ12)/(('Evolutive SFP'!AJ27+'Evolutive SFP'!AK27)/2)</f>
        <v>0.10770697350720433</v>
      </c>
      <c r="AM11" s="331">
        <f>('Evolutitve SCI'!AK23+'Evolutitve SCI'!AK12)/(('Evolutive SFP'!AK27+'Evolutive SFP'!AL27)/2)</f>
        <v>8.4810524022265438E-2</v>
      </c>
      <c r="AN11" s="331">
        <f>('Evolutitve SCI'!AL23+'Evolutitve SCI'!AL12)/(('Evolutive SFP'!AL27+'Evolutive SFP'!AM27)/2)</f>
        <v>9.6058660439343316E-2</v>
      </c>
      <c r="AO11" s="331">
        <f>('Evolutitve SCI'!AM23+'Evolutitve SCI'!AM12)/(('Evolutive SFP'!AM27+'Evolutive SFP'!AN27)/2)</f>
        <v>0.10984756106155484</v>
      </c>
      <c r="AP11" s="331">
        <f>('Evolutitve SCI'!AN23+'Evolutitve SCI'!AN12)/(('Evolutive SFP'!AN27+'Evolutive SFP'!AO27)/2)</f>
        <v>0.1193736336052805</v>
      </c>
      <c r="AQ11" s="331">
        <f>('Evolutitve SCI'!AO23+'Evolutitve SCI'!AO12)/(('Evolutive SFP'!AO27+'Evolutive SFP'!AP27)/2)</f>
        <v>0.13453555417492541</v>
      </c>
      <c r="AR11" s="331">
        <f>('Evolutitve SCI'!AP23+'Evolutitve SCI'!AP12)/(('Evolutive SFP'!AP27+'Evolutive SFP'!AQ27)/2)</f>
        <v>7.9619806861263593E-3</v>
      </c>
      <c r="AS11" s="331">
        <f>('Evolutitve SCI'!AQ23+'Evolutitve SCI'!AQ12)/(('Evolutive SFP'!AQ27+'Evolutive SFP'!AR27)/2)</f>
        <v>2.0664282817033332E-2</v>
      </c>
      <c r="AT11" s="331">
        <f>('Evolutitve SCI'!AR23+'Evolutitve SCI'!AR12)/(('Evolutive SFP'!AR27+'Evolutive SFP'!AS27)/2)</f>
        <v>3.0321194137527048E-2</v>
      </c>
      <c r="AU11" s="331">
        <f>('Evolutitve SCI'!AS23+'Evolutitve SCI'!AS12)/(('Evolutive SFP'!AS27+'Evolutive SFP'!AT27)/2)</f>
        <v>3.8653499253622943E-2</v>
      </c>
      <c r="AV11" s="331">
        <f>('Evolutitve SCI'!AT23+'Evolutitve SCI'!AT12)/(('Evolutive SFP'!AT27+'Evolutive SFP'!AU27)/2)</f>
        <v>4.9209637577073966E-2</v>
      </c>
      <c r="AW11" s="331">
        <f>('Evolutitve SCI'!AU23+'Evolutitve SCI'!AU12)/(('Evolutive SFP'!AU27+'Evolutive SFP'!AV27)/2)</f>
        <v>6.0309350506559715E-2</v>
      </c>
      <c r="AX11" s="331">
        <f>('Evolutitve SCI'!AV23+'Evolutitve SCI'!AV12)/(('Evolutive SFP'!AV27+'Evolutive SFP'!AW27)/2)</f>
        <v>7.0293883285830305E-2</v>
      </c>
      <c r="AY11" s="331">
        <f>('Evolutitve SCI'!AW23+'Evolutitve SCI'!AW12)/(('Evolutive SFP'!AW27+'Evolutive SFP'!AX27)/2)</f>
        <v>7.9829421707729664E-2</v>
      </c>
      <c r="AZ11" s="331">
        <f>('Evolutitve SCI'!AX23+'Evolutitve SCI'!AX12)/(('Evolutive SFP'!AX27+'Evolutive SFP'!AY27)/2)</f>
        <v>9.0233210640859984E-2</v>
      </c>
      <c r="BA11" s="331">
        <f>('Evolutitve SCI'!AY23+'Evolutitve SCI'!AY12)/(('Evolutive SFP'!AY27+'Evolutive SFP'!AZ28)/2)</f>
        <v>0.1422929004803635</v>
      </c>
      <c r="BB11" s="331">
        <f>('Evolutitve SCI'!AZ23+'Evolutitve SCI'!AZ12)/(('Evolutive SFP'!AZ27+'Evolutive SFP'!BA28)/2)</f>
        <v>0.15830137589307647</v>
      </c>
      <c r="BC11" s="331">
        <f>('Evolutitve SCI'!BA23+'Evolutitve SCI'!BA12)/(('Evolutive SFP'!BA27+'Evolutive SFP'!BB28)/2)</f>
        <v>0.18900127332841793</v>
      </c>
      <c r="BD11" s="331">
        <f>('Evolutitve SCI'!BB23+'Evolutitve SCI'!BB12)/(('Evolutive SFP'!BB27+'Evolutive SFP'!BC28)/2)</f>
        <v>0.17969283617223128</v>
      </c>
      <c r="BE11" s="331">
        <f>('Evolutitve SCI'!BC23+'Evolutitve SCI'!BC12)/(('Evolutive SFP'!BC27+'Evolutive SFP'!BD28)/2)</f>
        <v>1.6625780735551574E-2</v>
      </c>
      <c r="BF11" s="331">
        <f>('Evolutitve SCI'!BD23+'Evolutitve SCI'!BD12)/(('Evolutive SFP'!BD27+'Evolutive SFP'!BE28)/2)</f>
        <v>3.2079426994520772E-2</v>
      </c>
      <c r="BG11" s="331">
        <f>('Evolutitve SCI'!BE23+'Evolutitve SCI'!BE12)/(('Evolutive SFP'!BE27+'Evolutive SFP'!BF28)/2)</f>
        <v>5.2587722553158016E-2</v>
      </c>
      <c r="BH11" s="331">
        <f>('Evolutitve SCI'!BF23+'Evolutitve SCI'!BF12)/(('Evolutive SFP'!BF27+'Evolutive SFP'!BG28)/2)</f>
        <v>6.7655171709904524E-2</v>
      </c>
      <c r="BI11" s="331">
        <f>('Evolutitve SCI'!BG23+'Evolutitve SCI'!BG12)/(('Evolutive SFP'!BG27+'Evolutive SFP'!BH28)/2)</f>
        <v>8.3970129521408046E-2</v>
      </c>
      <c r="BJ11" s="331">
        <f>('Evolutitve SCI'!BH23+'Evolutitve SCI'!BH12)/(('Evolutive SFP'!BH27+'Evolutive SFP'!BI28)/2)</f>
        <v>9.0944639613635275E-2</v>
      </c>
      <c r="BK11" s="331">
        <f>('Evolutitve SCI'!BI23+'Evolutitve SCI'!BI12)/(('Evolutive SFP'!BI27+'Evolutive SFP'!BJ28)/2)</f>
        <v>0.10380574399161857</v>
      </c>
      <c r="BL11" s="331">
        <f>('Evolutitve SCI'!BJ23+'Evolutitve SCI'!BJ12)/(('Evolutive SFP'!BJ27+'Evolutive SFP'!BK28)/2)</f>
        <v>0.12226291130921317</v>
      </c>
      <c r="BM11" s="331">
        <f>('Evolutitve SCI'!BK23+'Evolutitve SCI'!BK12)/(('Evolutive SFP'!BK27+'Evolutive SFP'!BL28)/2)</f>
        <v>0.14167127749198852</v>
      </c>
      <c r="BN11" s="331">
        <f>('Evolutitve SCI'!BL23+'Evolutitve SCI'!BL12)/(('Evolutive SFP'!BL27+'Evolutive SFP'!BM28)/2)</f>
        <v>0.15914371103166983</v>
      </c>
      <c r="BO11" s="331">
        <f>('Evolutitve SCI'!BM23+'Evolutitve SCI'!BM12)/(('Evolutive SFP'!BM27+'Evolutive SFP'!BN28)/2)</f>
        <v>0.18792867020044079</v>
      </c>
      <c r="BP11" s="331">
        <f>('Evolutitve SCI'!BN23+'Evolutitve SCI'!BN12)/(('Evolutive SFP'!BN27+'Evolutive SFP'!BO28)/2)</f>
        <v>0.20019054370441686</v>
      </c>
      <c r="BQ11" s="331">
        <f>('Evolutitve SCI'!BO23+'Evolutitve SCI'!BO12)/(('Evolutive SFP'!BO27+'Evolutive SFP'!BP28)/2)</f>
        <v>0.27192475294774704</v>
      </c>
      <c r="BR11" s="331"/>
      <c r="BS11" s="331"/>
      <c r="BT11" s="331"/>
      <c r="BU11" s="331"/>
      <c r="BV11" s="331"/>
      <c r="BW11" s="331"/>
      <c r="BX11" s="331"/>
      <c r="BY11" s="331"/>
    </row>
    <row r="12" spans="1:77" ht="36.75">
      <c r="A12" s="374" t="s">
        <v>23</v>
      </c>
      <c r="B12" s="324" t="s">
        <v>24</v>
      </c>
      <c r="C12" s="325" t="s">
        <v>25</v>
      </c>
      <c r="D12" s="331">
        <f>('Evolutive SFP'!B4)/('Evolutive SFP'!B28+'Evolutive SFP'!B29+'Evolutive SFP'!B32+'Evolutive SFP'!B33+'Evolutive SFP'!B34+'Evolutive SFP'!B35+'Evolutive SFP'!B36)</f>
        <v>0.9080663241381759</v>
      </c>
      <c r="E12" s="331">
        <f>('Evolutive SFP'!C4)/('Evolutive SFP'!C28+'Evolutive SFP'!C29+'Evolutive SFP'!C32+'Evolutive SFP'!C33+'Evolutive SFP'!C34+'Evolutive SFP'!C35+'Evolutive SFP'!C36)</f>
        <v>0.23568421641586745</v>
      </c>
      <c r="F12" s="331">
        <f>('Evolutive SFP'!D4)/('Evolutive SFP'!D28+'Evolutive SFP'!D29+'Evolutive SFP'!D32+'Evolutive SFP'!D33+'Evolutive SFP'!D34+'Evolutive SFP'!D35+'Evolutive SFP'!D36)</f>
        <v>0.39483664386488465</v>
      </c>
      <c r="G12" s="331">
        <f>('Evolutive SFP'!E4)/('Evolutive SFP'!E28+'Evolutive SFP'!E29+'Evolutive SFP'!E32+'Evolutive SFP'!E33+'Evolutive SFP'!E34+'Evolutive SFP'!E35+'Evolutive SFP'!E36)</f>
        <v>0.37670936914850683</v>
      </c>
      <c r="H12" s="331">
        <f>('Evolutive SFP'!F4)/('Evolutive SFP'!F28+'Evolutive SFP'!F29+'Evolutive SFP'!F32+'Evolutive SFP'!F33+'Evolutive SFP'!F34+'Evolutive SFP'!F35+'Evolutive SFP'!F36)</f>
        <v>0.33875077054971625</v>
      </c>
      <c r="I12" s="331">
        <f>('Evolutive SFP'!G4)/('Evolutive SFP'!G28+'Evolutive SFP'!G29+'Evolutive SFP'!G32+'Evolutive SFP'!G33+'Evolutive SFP'!G34+'Evolutive SFP'!G35+'Evolutive SFP'!G36)</f>
        <v>0.45616628303607742</v>
      </c>
      <c r="J12" s="331">
        <f>('Evolutive SFP'!H4)/('Evolutive SFP'!H28+'Evolutive SFP'!H29+'Evolutive SFP'!H32+'Evolutive SFP'!H33+'Evolutive SFP'!H34+'Evolutive SFP'!H35+'Evolutive SFP'!H36)</f>
        <v>0.44162501870964949</v>
      </c>
      <c r="K12" s="331">
        <f>('Evolutive SFP'!I4)/('Evolutive SFP'!I28+'Evolutive SFP'!I29+'Evolutive SFP'!I32+'Evolutive SFP'!I33+'Evolutive SFP'!I34+'Evolutive SFP'!I35+'Evolutive SFP'!I36)</f>
        <v>0.47501916925663146</v>
      </c>
      <c r="L12" s="331">
        <f>('Evolutive SFP'!J4)/('Evolutive SFP'!J28+'Evolutive SFP'!J29+'Evolutive SFP'!J32+'Evolutive SFP'!J33+'Evolutive SFP'!J34+'Evolutive SFP'!J35+'Evolutive SFP'!J36)</f>
        <v>0.47339775881439827</v>
      </c>
      <c r="M12" s="331">
        <f>('Evolutive SFP'!K4)/('Evolutive SFP'!K28+'Evolutive SFP'!K29+'Evolutive SFP'!K32+'Evolutive SFP'!K33+'Evolutive SFP'!K34+'Evolutive SFP'!K35+'Evolutive SFP'!K36)</f>
        <v>0.49250676072227173</v>
      </c>
      <c r="N12" s="331">
        <f>('Evolutive SFP'!L4)/('Evolutive SFP'!L28+'Evolutive SFP'!L29+'Evolutive SFP'!L32+'Evolutive SFP'!L33+'Evolutive SFP'!L34+'Evolutive SFP'!L35+'Evolutive SFP'!L36)</f>
        <v>0.47705627739059442</v>
      </c>
      <c r="O12" s="331">
        <f>('Evolutive SFP'!M4)/('Evolutive SFP'!M28+'Evolutive SFP'!M29+'Evolutive SFP'!M32+'Evolutive SFP'!M33+'Evolutive SFP'!M34+'Evolutive SFP'!M35+'Evolutive SFP'!M36)</f>
        <v>0.69398367418820006</v>
      </c>
      <c r="P12" s="331">
        <f>('Evolutive SFP'!N4)/('Evolutive SFP'!N28+'Evolutive SFP'!N29+'Evolutive SFP'!N32+'Evolutive SFP'!N33+'Evolutive SFP'!N34+'Evolutive SFP'!N35+'Evolutive SFP'!N36)</f>
        <v>0.2589657965925975</v>
      </c>
      <c r="Q12" s="331">
        <f>('Evolutive SFP'!O4)/('Evolutive SFP'!O28+'Evolutive SFP'!O29+'Evolutive SFP'!O32+'Evolutive SFP'!O33+'Evolutive SFP'!O34+'Evolutive SFP'!O35+'Evolutive SFP'!O36)</f>
        <v>0.2274947028539101</v>
      </c>
      <c r="R12" s="331">
        <f>('Evolutive SFP'!P4)/('Evolutive SFP'!P28+'Evolutive SFP'!P29+'Evolutive SFP'!P32+'Evolutive SFP'!P33+'Evolutive SFP'!P34+'Evolutive SFP'!P35+'Evolutive SFP'!P36)</f>
        <v>0.22629292056483949</v>
      </c>
      <c r="S12" s="331">
        <f>('Evolutive SFP'!Q4)/('Evolutive SFP'!Q28+'Evolutive SFP'!Q29+'Evolutive SFP'!Q32+'Evolutive SFP'!Q33+'Evolutive SFP'!Q34+'Evolutive SFP'!Q35+'Evolutive SFP'!Q36)</f>
        <v>0.3920613372086339</v>
      </c>
      <c r="T12" s="331">
        <f>('Evolutive SFP'!R4)/('Evolutive SFP'!R28+'Evolutive SFP'!R29+'Evolutive SFP'!R32+'Evolutive SFP'!R33+'Evolutive SFP'!R34+'Evolutive SFP'!R35+'Evolutive SFP'!R36)</f>
        <v>0.42041139035252995</v>
      </c>
      <c r="U12" s="331">
        <f>('Evolutive SFP'!S4)/('Evolutive SFP'!S28+'Evolutive SFP'!S29+'Evolutive SFP'!S32+'Evolutive SFP'!S33+'Evolutive SFP'!S34+'Evolutive SFP'!S35+'Evolutive SFP'!S36)</f>
        <v>0.38392951501023387</v>
      </c>
      <c r="V12" s="331">
        <f>('Evolutive SFP'!T4)/('Evolutive SFP'!T28+'Evolutive SFP'!T29+'Evolutive SFP'!T32+'Evolutive SFP'!T33+'Evolutive SFP'!T34+'Evolutive SFP'!T35+'Evolutive SFP'!T36)</f>
        <v>0.37605166546033203</v>
      </c>
      <c r="W12" s="331">
        <f>('Evolutive SFP'!U4)/('Evolutive SFP'!U28+'Evolutive SFP'!U29+'Evolutive SFP'!U32+'Evolutive SFP'!U33+'Evolutive SFP'!U34+'Evolutive SFP'!U35+'Evolutive SFP'!U36)</f>
        <v>0.32568157195167013</v>
      </c>
      <c r="X12" s="331">
        <f>('Evolutive SFP'!V4)/('Evolutive SFP'!V28+'Evolutive SFP'!V29+'Evolutive SFP'!V32+'Evolutive SFP'!V33+'Evolutive SFP'!V34+'Evolutive SFP'!V35+'Evolutive SFP'!V36)</f>
        <v>0.38079683147937249</v>
      </c>
      <c r="Y12" s="331">
        <f>('Evolutive SFP'!W4)/('Evolutive SFP'!W28+'Evolutive SFP'!W29+'Evolutive SFP'!W32+'Evolutive SFP'!W33+'Evolutive SFP'!W34+'Evolutive SFP'!W35+'Evolutive SFP'!W36)</f>
        <v>0.36334328475992816</v>
      </c>
      <c r="Z12" s="331">
        <f>('Evolutive SFP'!X4)/('Evolutive SFP'!X28+'Evolutive SFP'!X29+'Evolutive SFP'!X32+'Evolutive SFP'!X33+'Evolutive SFP'!X34+'Evolutive SFP'!X35+'Evolutive SFP'!X36)</f>
        <v>0.33641604551103954</v>
      </c>
      <c r="AA12" s="331">
        <f>('Evolutive SFP'!Y4)/('Evolutive SFP'!Y28+'Evolutive SFP'!Y29+'Evolutive SFP'!Y32+'Evolutive SFP'!Y33+'Evolutive SFP'!Y34+'Evolutive SFP'!Y35+'Evolutive SFP'!Y36)</f>
        <v>0.32409315153934781</v>
      </c>
      <c r="AB12" s="331">
        <f>('Evolutive SFP'!Z4)/('Evolutive SFP'!Z28+'Evolutive SFP'!Z29+'Evolutive SFP'!Z32+'Evolutive SFP'!Z33+'Evolutive SFP'!Z34+'Evolutive SFP'!Z35+'Evolutive SFP'!Z36)</f>
        <v>0.88734407423415895</v>
      </c>
      <c r="AC12" s="331">
        <f>('Evolutive SFP'!AA4)/('Evolutive SFP'!AA28+'Evolutive SFP'!AA29+'Evolutive SFP'!AA32+'Evolutive SFP'!AA33+'Evolutive SFP'!AA34+'Evolutive SFP'!AA35+'Evolutive SFP'!AA36)</f>
        <v>0.53464823979000475</v>
      </c>
      <c r="AD12" s="331">
        <f>('Evolutive SFP'!AB4)/('Evolutive SFP'!AB28+'Evolutive SFP'!AB29+'Evolutive SFP'!AB32+'Evolutive SFP'!AB33+'Evolutive SFP'!AB34+'Evolutive SFP'!AB35+'Evolutive SFP'!AB36)</f>
        <v>0.63187777997255612</v>
      </c>
      <c r="AE12" s="331">
        <f>('Evolutive SFP'!AC4)/('Evolutive SFP'!AC28+'Evolutive SFP'!AC29+'Evolutive SFP'!AC32+'Evolutive SFP'!AC33+'Evolutive SFP'!AC34+'Evolutive SFP'!AC35+'Evolutive SFP'!AC36)</f>
        <v>0.44671146261229289</v>
      </c>
      <c r="AF12" s="331">
        <f>('Evolutive SFP'!AD4)/('Evolutive SFP'!AD28+'Evolutive SFP'!AD29+'Evolutive SFP'!AD32+'Evolutive SFP'!AD33+'Evolutive SFP'!AD34+'Evolutive SFP'!AD35+'Evolutive SFP'!AD36)</f>
        <v>0.36275472035001066</v>
      </c>
      <c r="AG12" s="331">
        <f>('Evolutive SFP'!AE4)/('Evolutive SFP'!AE28+'Evolutive SFP'!AE29+'Evolutive SFP'!AE32+'Evolutive SFP'!AE33+'Evolutive SFP'!AE34+'Evolutive SFP'!AE35+'Evolutive SFP'!AE36)</f>
        <v>0.50004257880366465</v>
      </c>
      <c r="AH12" s="331">
        <f>('Evolutive SFP'!AF4)/('Evolutive SFP'!AF28+'Evolutive SFP'!AF29+'Evolutive SFP'!AF32+'Evolutive SFP'!AF33+'Evolutive SFP'!AF34+'Evolutive SFP'!AF35+'Evolutive SFP'!AF36)</f>
        <v>0.39491937200279453</v>
      </c>
      <c r="AI12" s="331">
        <f>('Evolutive SFP'!AG4)/('Evolutive SFP'!AG28+'Evolutive SFP'!AG29+'Evolutive SFP'!AG32+'Evolutive SFP'!AG33+'Evolutive SFP'!AG34+'Evolutive SFP'!AG35+'Evolutive SFP'!AG36)</f>
        <v>0.42400745479651353</v>
      </c>
      <c r="AJ12" s="331">
        <f>('Evolutive SFP'!AH4)/('Evolutive SFP'!AH28+'Evolutive SFP'!AH29+'Evolutive SFP'!AH32+'Evolutive SFP'!AH33+'Evolutive SFP'!AH34+'Evolutive SFP'!AH35+'Evolutive SFP'!AH36)</f>
        <v>0.34008739368314483</v>
      </c>
      <c r="AK12" s="331">
        <f>('Evolutive SFP'!AI4)/('Evolutive SFP'!AI28+'Evolutive SFP'!AI29+'Evolutive SFP'!AI32+'Evolutive SFP'!AI33+'Evolutive SFP'!AI34+'Evolutive SFP'!AI35+'Evolutive SFP'!AI36)</f>
        <v>0.27614488111781316</v>
      </c>
      <c r="AL12" s="331">
        <f>('Evolutive SFP'!AJ4)/('Evolutive SFP'!AJ28+'Evolutive SFP'!AJ29+'Evolutive SFP'!AJ32+'Evolutive SFP'!AJ33+'Evolutive SFP'!AJ34+'Evolutive SFP'!AJ35+'Evolutive SFP'!AJ36)</f>
        <v>0.34361760044078354</v>
      </c>
      <c r="AM12" s="331">
        <f>('Evolutive SFP'!AK4)/('Evolutive SFP'!AK28+'Evolutive SFP'!AK29+'Evolutive SFP'!AK32+'Evolutive SFP'!AK33+'Evolutive SFP'!AK34+'Evolutive SFP'!AK35+'Evolutive SFP'!AK36)</f>
        <v>0.23421866425809276</v>
      </c>
      <c r="AN12" s="331">
        <f>('Evolutive SFP'!AL4)/('Evolutive SFP'!AL28+'Evolutive SFP'!AL29+'Evolutive SFP'!AL32+'Evolutive SFP'!AL33+'Evolutive SFP'!AL34+'Evolutive SFP'!AL35+'Evolutive SFP'!AL36)</f>
        <v>0.46952652679843404</v>
      </c>
      <c r="AO12" s="331">
        <f>('Evolutive SFP'!AM4)/('Evolutive SFP'!AM28+'Evolutive SFP'!AM29+'Evolutive SFP'!AM32+'Evolutive SFP'!AM33+'Evolutive SFP'!AM34+'Evolutive SFP'!AM35+'Evolutive SFP'!AM36)</f>
        <v>0.43868775577526725</v>
      </c>
      <c r="AP12" s="331">
        <f>('Evolutive SFP'!AN4)/('Evolutive SFP'!AN28+'Evolutive SFP'!AN29+'Evolutive SFP'!AN32+'Evolutive SFP'!AN33+'Evolutive SFP'!AN34+'Evolutive SFP'!AN35+'Evolutive SFP'!AN36)</f>
        <v>0.22278654308705939</v>
      </c>
      <c r="AQ12" s="331">
        <f>('Evolutive SFP'!AO4)/('Evolutive SFP'!AO28+'Evolutive SFP'!AO29+'Evolutive SFP'!AO32+'Evolutive SFP'!AO33+'Evolutive SFP'!AO34+'Evolutive SFP'!AO35+'Evolutive SFP'!AO36)</f>
        <v>0.22144637126801558</v>
      </c>
      <c r="AR12" s="331">
        <f>('Evolutive SFP'!AP4)/('Evolutive SFP'!AP28+'Evolutive SFP'!AP29+'Evolutive SFP'!AP32+'Evolutive SFP'!AP33+'Evolutive SFP'!AP34+'Evolutive SFP'!AP35+'Evolutive SFP'!AP36)</f>
        <v>0.27557215832099202</v>
      </c>
      <c r="AS12" s="331">
        <f>('Evolutive SFP'!AQ4)/('Evolutive SFP'!AQ28+'Evolutive SFP'!AQ29+'Evolutive SFP'!AQ32+'Evolutive SFP'!AQ33+'Evolutive SFP'!AQ34+'Evolutive SFP'!AQ35+'Evolutive SFP'!AQ36)</f>
        <v>0.2570098303086476</v>
      </c>
      <c r="AT12" s="331">
        <f>('Evolutive SFP'!AR4)/('Evolutive SFP'!AR28+'Evolutive SFP'!AR29+'Evolutive SFP'!AR32+'Evolutive SFP'!AR33+'Evolutive SFP'!AR34+'Evolutive SFP'!AR35+'Evolutive SFP'!AR36)</f>
        <v>0.22960550583928901</v>
      </c>
      <c r="AU12" s="331">
        <f>('Evolutive SFP'!AS4)/('Evolutive SFP'!AS28+'Evolutive SFP'!AS29+'Evolutive SFP'!AS32+'Evolutive SFP'!AS33+'Evolutive SFP'!AS34+'Evolutive SFP'!AS35+'Evolutive SFP'!AS36)</f>
        <v>0.31632043269158427</v>
      </c>
      <c r="AV12" s="331">
        <f>('Evolutive SFP'!AT4)/('Evolutive SFP'!AT28+'Evolutive SFP'!AT29+'Evolutive SFP'!AT32+'Evolutive SFP'!AT33+'Evolutive SFP'!AT34+'Evolutive SFP'!AT35+'Evolutive SFP'!AT36)</f>
        <v>0.29864296982897964</v>
      </c>
      <c r="AW12" s="331">
        <f>('Evolutive SFP'!AU4)/('Evolutive SFP'!AU28+'Evolutive SFP'!AU29+'Evolutive SFP'!AU32+'Evolutive SFP'!AU33+'Evolutive SFP'!AU34+'Evolutive SFP'!AU35+'Evolutive SFP'!AU36)</f>
        <v>0.2744219934589579</v>
      </c>
      <c r="AX12" s="331">
        <f>('Evolutive SFP'!AV4)/('Evolutive SFP'!AV28+'Evolutive SFP'!AV29+'Evolutive SFP'!AV32+'Evolutive SFP'!AV33+'Evolutive SFP'!AV34+'Evolutive SFP'!AV35+'Evolutive SFP'!AV36)</f>
        <v>0.33767489916726534</v>
      </c>
      <c r="AY12" s="331">
        <f>('Evolutive SFP'!AW4)/('Evolutive SFP'!AW28+'Evolutive SFP'!AW29+'Evolutive SFP'!AW32+'Evolutive SFP'!AW33+'Evolutive SFP'!AW34+'Evolutive SFP'!AW35+'Evolutive SFP'!AW36)</f>
        <v>0.21905475019733331</v>
      </c>
      <c r="AZ12" s="331">
        <f>('Evolutive SFP'!AX4)/('Evolutive SFP'!AX28+'Evolutive SFP'!AX29+'Evolutive SFP'!AX32+'Evolutive SFP'!AX33+'Evolutive SFP'!AX34+'Evolutive SFP'!AX35+'Evolutive SFP'!AX36)</f>
        <v>0.21570335976549143</v>
      </c>
      <c r="BA12" s="331">
        <f>('Evolutive SFP'!AY4)/('Evolutive SFP'!AY28+'Evolutive SFP'!AY29+'Evolutive SFP'!AY32+'Evolutive SFP'!AY33+'Evolutive SFP'!AY34+'Evolutive SFP'!AY35+'Evolutive SFP'!AY36)</f>
        <v>0.38894852859045642</v>
      </c>
      <c r="BB12" s="331">
        <f>('Evolutive SFP'!AZ4)/('Evolutive SFP'!AZ28+'Evolutive SFP'!AZ29+'Evolutive SFP'!AZ32+'Evolutive SFP'!AZ33+'Evolutive SFP'!AZ34+'Evolutive SFP'!AZ35+'Evolutive SFP'!AZ36)</f>
        <v>0.26944413809324302</v>
      </c>
      <c r="BC12" s="331">
        <f>('Evolutive SFP'!BA4)/('Evolutive SFP'!BA28+'Evolutive SFP'!BA29+'Evolutive SFP'!BA32+'Evolutive SFP'!BA33+'Evolutive SFP'!BA34+'Evolutive SFP'!BA35+'Evolutive SFP'!BA36)</f>
        <v>0.76534980418997833</v>
      </c>
      <c r="BD12" s="331">
        <f>('Evolutive SFP'!BB4)/('Evolutive SFP'!BB28+'Evolutive SFP'!BB29+'Evolutive SFP'!BB32+'Evolutive SFP'!BB33+'Evolutive SFP'!BB34+'Evolutive SFP'!BB35+'Evolutive SFP'!BB36)</f>
        <v>0.76608940516069268</v>
      </c>
      <c r="BE12" s="331">
        <f>('Evolutive SFP'!BC4)/('Evolutive SFP'!BC28+'Evolutive SFP'!BC29+'Evolutive SFP'!BC32+'Evolutive SFP'!BC33+'Evolutive SFP'!BC34+'Evolutive SFP'!BC35+'Evolutive SFP'!BC36)</f>
        <v>0.74244736803512801</v>
      </c>
      <c r="BF12" s="331">
        <f>('Evolutive SFP'!BD4)/('Evolutive SFP'!BD28+'Evolutive SFP'!BD29+'Evolutive SFP'!BD32+'Evolutive SFP'!BD33+'Evolutive SFP'!BD34+'Evolutive SFP'!BD35+'Evolutive SFP'!BD36)</f>
        <v>0.71552136616717787</v>
      </c>
      <c r="BG12" s="331">
        <f>('Evolutive SFP'!BE4)/('Evolutive SFP'!BE28+'Evolutive SFP'!BE29+'Evolutive SFP'!BE32+'Evolutive SFP'!BE33+'Evolutive SFP'!BE34+'Evolutive SFP'!BE35+'Evolutive SFP'!BE36)</f>
        <v>0.69382385607529284</v>
      </c>
      <c r="BH12" s="331">
        <f>('Evolutive SFP'!BF4)/('Evolutive SFP'!BF28+'Evolutive SFP'!BF29+'Evolutive SFP'!BF32+'Evolutive SFP'!BF33+'Evolutive SFP'!BF34+'Evolutive SFP'!BF35+'Evolutive SFP'!BF36)</f>
        <v>0.70242936469957273</v>
      </c>
      <c r="BI12" s="331">
        <f>('Evolutive SFP'!BG4)/('Evolutive SFP'!BG28+'Evolutive SFP'!BG29+'Evolutive SFP'!BG32+'Evolutive SFP'!BG33+'Evolutive SFP'!BG34+'Evolutive SFP'!BG35+'Evolutive SFP'!BG36)</f>
        <v>0.70436869127293089</v>
      </c>
      <c r="BJ12" s="331">
        <f>('Evolutive SFP'!BH4)/('Evolutive SFP'!BH28+'Evolutive SFP'!BH29+'Evolutive SFP'!BH32+'Evolutive SFP'!BH33+'Evolutive SFP'!BH34+'Evolutive SFP'!BH35+'Evolutive SFP'!BH36)</f>
        <v>0.69228280336230852</v>
      </c>
      <c r="BK12" s="331">
        <f>('Evolutive SFP'!BI4)/('Evolutive SFP'!BI28+'Evolutive SFP'!BI29+'Evolutive SFP'!BI32+'Evolutive SFP'!BI33+'Evolutive SFP'!BI34+'Evolutive SFP'!BI35+'Evolutive SFP'!BI36)</f>
        <v>0.74950767781538008</v>
      </c>
      <c r="BL12" s="331">
        <f>('Evolutive SFP'!BJ4)/('Evolutive SFP'!BJ28+'Evolutive SFP'!BJ29+'Evolutive SFP'!BJ32+'Evolutive SFP'!BJ33+'Evolutive SFP'!BJ34+'Evolutive SFP'!BJ35+'Evolutive SFP'!BJ36)</f>
        <v>0.78896587845365418</v>
      </c>
      <c r="BM12" s="331">
        <f>('Evolutive SFP'!BK4)/('Evolutive SFP'!BK28+'Evolutive SFP'!BK29+'Evolutive SFP'!BK32+'Evolutive SFP'!BK33+'Evolutive SFP'!BK34+'Evolutive SFP'!BK35+'Evolutive SFP'!BK36)</f>
        <v>0.76216602182433735</v>
      </c>
      <c r="BN12" s="331">
        <f>('Evolutive SFP'!BL4)/('Evolutive SFP'!BL28+'Evolutive SFP'!BL29+'Evolutive SFP'!BL32+'Evolutive SFP'!BL33+'Evolutive SFP'!BL34+'Evolutive SFP'!BL35+'Evolutive SFP'!BL36)</f>
        <v>0.74610966622002239</v>
      </c>
      <c r="BO12" s="331">
        <f>('Evolutive SFP'!BM4)/('Evolutive SFP'!BM28+'Evolutive SFP'!BM29+'Evolutive SFP'!BM32+'Evolutive SFP'!BM33+'Evolutive SFP'!BM34+'Evolutive SFP'!BM35+'Evolutive SFP'!BM36)</f>
        <v>0.71290503857924348</v>
      </c>
      <c r="BP12" s="331">
        <f>('Evolutive SFP'!BN4)/('Evolutive SFP'!BN28+'Evolutive SFP'!BN29+'Evolutive SFP'!BN32+'Evolutive SFP'!BN33+'Evolutive SFP'!BN34+'Evolutive SFP'!BN35+'Evolutive SFP'!BN36)</f>
        <v>0.64649419075422077</v>
      </c>
      <c r="BQ12" s="331">
        <f>('Evolutive SFP'!BO4)/('Evolutive SFP'!BO28+'Evolutive SFP'!BO29+'Evolutive SFP'!BO32+'Evolutive SFP'!BO33+'Evolutive SFP'!BO34+'Evolutive SFP'!BO35+'Evolutive SFP'!BO36)</f>
        <v>0.67297790993586803</v>
      </c>
      <c r="BR12" s="331"/>
      <c r="BS12" s="331"/>
      <c r="BT12" s="331"/>
      <c r="BU12" s="331"/>
      <c r="BV12" s="331"/>
      <c r="BW12" s="331"/>
      <c r="BX12" s="331"/>
      <c r="BY12" s="331"/>
    </row>
    <row r="13" spans="1:77" ht="18.75">
      <c r="A13" s="374"/>
      <c r="B13" s="324" t="s">
        <v>26</v>
      </c>
      <c r="C13" s="335"/>
      <c r="D13" s="331">
        <f>'Evolutive SFP'!B4/('Evolutive SFP'!B31+'Evolutive SFP'!B36)</f>
        <v>0.14915539337983874</v>
      </c>
      <c r="E13" s="331">
        <f>'Evolutive SFP'!C4/('Evolutive SFP'!C31+'Evolutive SFP'!C36)</f>
        <v>0.16596351499392983</v>
      </c>
      <c r="F13" s="331">
        <f>'Evolutive SFP'!D4/('Evolutive SFP'!D31+'Evolutive SFP'!D36)</f>
        <v>0.26874621872353133</v>
      </c>
      <c r="G13" s="331">
        <f>'Evolutive SFP'!E4/('Evolutive SFP'!E31+'Evolutive SFP'!E36)</f>
        <v>0.25383825276611666</v>
      </c>
      <c r="H13" s="331">
        <f>'Evolutive SFP'!F4/('Evolutive SFP'!F31+'Evolutive SFP'!F36)</f>
        <v>0.22433372709131208</v>
      </c>
      <c r="I13" s="331">
        <f>'Evolutive SFP'!G4/('Evolutive SFP'!G31+'Evolutive SFP'!G36)</f>
        <v>0.30410681320149319</v>
      </c>
      <c r="J13" s="331">
        <f>'Evolutive SFP'!H4/('Evolutive SFP'!H31+'Evolutive SFP'!H36)</f>
        <v>0.29288262384310504</v>
      </c>
      <c r="K13" s="331">
        <f>'Evolutive SFP'!I4/('Evolutive SFP'!I31+'Evolutive SFP'!I36)</f>
        <v>0.31624406721846321</v>
      </c>
      <c r="L13" s="331">
        <f>'Evolutive SFP'!J4/('Evolutive SFP'!J31+'Evolutive SFP'!J36)</f>
        <v>0.31164340233895893</v>
      </c>
      <c r="M13" s="331">
        <f>'Evolutive SFP'!K4/('Evolutive SFP'!K31+'Evolutive SFP'!K36)</f>
        <v>0.32012813012160829</v>
      </c>
      <c r="N13" s="331">
        <f>'Evolutive SFP'!L4/('Evolutive SFP'!L31+'Evolutive SFP'!L36)</f>
        <v>0.30796904038396694</v>
      </c>
      <c r="O13" s="331">
        <f>'Evolutive SFP'!M4/('Evolutive SFP'!M31+'Evolutive SFP'!M36)</f>
        <v>0.5300194680304382</v>
      </c>
      <c r="P13" s="331">
        <f>'Evolutive SFP'!N4/('Evolutive SFP'!N31+'Evolutive SFP'!N36)</f>
        <v>0.18926073096619234</v>
      </c>
      <c r="Q13" s="331">
        <f>'Evolutive SFP'!O4/('Evolutive SFP'!O31+'Evolutive SFP'!O36)</f>
        <v>0.16137709378933629</v>
      </c>
      <c r="R13" s="331">
        <f>'Evolutive SFP'!P4/('Evolutive SFP'!P31+'Evolutive SFP'!P36)</f>
        <v>0.16328083206431629</v>
      </c>
      <c r="S13" s="331">
        <f>'Evolutive SFP'!Q4/('Evolutive SFP'!Q31+'Evolutive SFP'!Q36)</f>
        <v>0.27364777587050648</v>
      </c>
      <c r="T13" s="331">
        <f>'Evolutive SFP'!R4/('Evolutive SFP'!R31+'Evolutive SFP'!R36)</f>
        <v>0.29311820919951542</v>
      </c>
      <c r="U13" s="331">
        <f>'Evolutive SFP'!S4/('Evolutive SFP'!S31+'Evolutive SFP'!S36)</f>
        <v>0.26335213789210438</v>
      </c>
      <c r="V13" s="331">
        <f>'Evolutive SFP'!T4/('Evolutive SFP'!T31+'Evolutive SFP'!T36)</f>
        <v>0.25765082299257891</v>
      </c>
      <c r="W13" s="331">
        <f>'Evolutive SFP'!U4/('Evolutive SFP'!U31+'Evolutive SFP'!U36)</f>
        <v>0.21829803123497271</v>
      </c>
      <c r="X13" s="331">
        <f>'Evolutive SFP'!V4/('Evolutive SFP'!V31+'Evolutive SFP'!V36)</f>
        <v>0.25752249099991159</v>
      </c>
      <c r="Y13" s="331">
        <f>'Evolutive SFP'!W4/('Evolutive SFP'!W31+'Evolutive SFP'!W36)</f>
        <v>0.24368510894661194</v>
      </c>
      <c r="Z13" s="331">
        <f>'Evolutive SFP'!X4/('Evolutive SFP'!X31+'Evolutive SFP'!X36)</f>
        <v>0.22318999879786461</v>
      </c>
      <c r="AA13" s="331">
        <f>'Evolutive SFP'!Y4/('Evolutive SFP'!Y31+'Evolutive SFP'!Y36)</f>
        <v>0.21482206931285491</v>
      </c>
      <c r="AB13" s="331">
        <f>'Evolutive SFP'!Z4/('Evolutive SFP'!Z31+'Evolutive SFP'!Z36)</f>
        <v>0.28494633592271412</v>
      </c>
      <c r="AC13" s="331">
        <f>'Evolutive SFP'!AA4/('Evolutive SFP'!AA31+'Evolutive SFP'!AA36)</f>
        <v>0.18226790905719448</v>
      </c>
      <c r="AD13" s="331">
        <f>'Evolutive SFP'!AB4/('Evolutive SFP'!AB31+'Evolutive SFP'!AB36)</f>
        <v>0.22451428324731929</v>
      </c>
      <c r="AE13" s="331">
        <f>'Evolutive SFP'!AC4/('Evolutive SFP'!AC31+'Evolutive SFP'!AC36)</f>
        <v>0.30784347312594695</v>
      </c>
      <c r="AF13" s="331">
        <f>'Evolutive SFP'!AD4/('Evolutive SFP'!AD31+'Evolutive SFP'!AD36)</f>
        <v>0.24547455135895038</v>
      </c>
      <c r="AG13" s="331">
        <f>'Evolutive SFP'!AE4/('Evolutive SFP'!AE31+'Evolutive SFP'!AE36)</f>
        <v>0.33512418374311698</v>
      </c>
      <c r="AH13" s="331">
        <f>'Evolutive SFP'!AF4/('Evolutive SFP'!AF31+'Evolutive SFP'!AF36)</f>
        <v>0.26292861254575817</v>
      </c>
      <c r="AI13" s="331">
        <f>'Evolutive SFP'!AG4/('Evolutive SFP'!AG31+'Evolutive SFP'!AG36)</f>
        <v>0.28561126088997868</v>
      </c>
      <c r="AJ13" s="331">
        <f>'Evolutive SFP'!AH4/('Evolutive SFP'!AH31+'Evolutive SFP'!AH36)</f>
        <v>0.22861818153057425</v>
      </c>
      <c r="AK13" s="331">
        <f>'Evolutive SFP'!AI4/('Evolutive SFP'!AI31+'Evolutive SFP'!AI36)</f>
        <v>0.18689602434491751</v>
      </c>
      <c r="AL13" s="331">
        <f>'Evolutive SFP'!AJ4/('Evolutive SFP'!AJ31+'Evolutive SFP'!AJ36)</f>
        <v>0.2307452040359009</v>
      </c>
      <c r="AM13" s="331">
        <f>'Evolutive SFP'!AK4/('Evolutive SFP'!AK31+'Evolutive SFP'!AK36)</f>
        <v>0.15648880584581584</v>
      </c>
      <c r="AN13" s="331">
        <f>'Evolutive SFP'!AL4/('Evolutive SFP'!AL31+'Evolutive SFP'!AL36)</f>
        <v>0.34286128979315506</v>
      </c>
      <c r="AO13" s="331">
        <f>'Evolutive SFP'!AM4/('Evolutive SFP'!AM31+'Evolutive SFP'!AM36)</f>
        <v>0.31116622993967991</v>
      </c>
      <c r="AP13" s="331">
        <f>'Evolutive SFP'!AN4/('Evolutive SFP'!AN31+'Evolutive SFP'!AN36)</f>
        <v>0.15641738703950728</v>
      </c>
      <c r="AQ13" s="331">
        <f>'Evolutive SFP'!AO4/('Evolutive SFP'!AO31+'Evolutive SFP'!AO36)</f>
        <v>0.15987915844378509</v>
      </c>
      <c r="AR13" s="331">
        <f>'Evolutive SFP'!AP4/('Evolutive SFP'!AP31+'Evolutive SFP'!AP36)</f>
        <v>0.19203834225086269</v>
      </c>
      <c r="AS13" s="331">
        <f>'Evolutive SFP'!AQ4/('Evolutive SFP'!AQ31+'Evolutive SFP'!AQ36)</f>
        <v>0.17902667176108186</v>
      </c>
      <c r="AT13" s="331">
        <f>'Evolutive SFP'!AR4/('Evolutive SFP'!AR31+'Evolutive SFP'!AR36)</f>
        <v>0.15990253988084951</v>
      </c>
      <c r="AU13" s="331">
        <f>'Evolutive SFP'!AS4/('Evolutive SFP'!AS31+'Evolutive SFP'!AS36)</f>
        <v>0.22280401390741461</v>
      </c>
      <c r="AV13" s="331">
        <f>'Evolutive SFP'!AT4/('Evolutive SFP'!AT31+'Evolutive SFP'!AT36)</f>
        <v>0.20773198683251493</v>
      </c>
      <c r="AW13" s="331">
        <f>'Evolutive SFP'!AU4/('Evolutive SFP'!AU31+'Evolutive SFP'!AU36)</f>
        <v>0.18970925062676972</v>
      </c>
      <c r="AX13" s="331">
        <f>'Evolutive SFP'!AV4/('Evolutive SFP'!AV31+'Evolutive SFP'!AV36)</f>
        <v>0.23317209514605011</v>
      </c>
      <c r="AY13" s="331">
        <f>'Evolutive SFP'!AW4/('Evolutive SFP'!AW31+'Evolutive SFP'!AW36)</f>
        <v>0.14938946404644804</v>
      </c>
      <c r="AZ13" s="331">
        <f>'Evolutive SFP'!AX4/('Evolutive SFP'!AX31+'Evolutive SFP'!AX36)</f>
        <v>0.14623321397610564</v>
      </c>
      <c r="BA13" s="331">
        <f>'Evolutive SFP'!AY4/('Evolutive SFP'!AY31+'Evolutive SFP'!AY36)</f>
        <v>0.27212386060395505</v>
      </c>
      <c r="BB13" s="331">
        <f>'Evolutive SFP'!AZ4/('Evolutive SFP'!AZ31+'Evolutive SFP'!AZ36)</f>
        <v>0.18857718611038141</v>
      </c>
      <c r="BC13" s="331">
        <f>'Evolutive SFP'!BA4/('Evolutive SFP'!BA31+'Evolutive SFP'!BA36)</f>
        <v>0.52515670088448319</v>
      </c>
      <c r="BD13" s="331">
        <f>'Evolutive SFP'!BB4/('Evolutive SFP'!BB31+'Evolutive SFP'!BB36)</f>
        <v>0.52830387037524762</v>
      </c>
      <c r="BE13" s="331">
        <f>'Evolutive SFP'!BC4/('Evolutive SFP'!BC31+'Evolutive SFP'!BC36)</f>
        <v>0.50421732081027759</v>
      </c>
      <c r="BF13" s="331">
        <f>'Evolutive SFP'!BD4/('Evolutive SFP'!BD31+'Evolutive SFP'!BD36)</f>
        <v>0.48638032079230248</v>
      </c>
      <c r="BG13" s="331">
        <f>'Evolutive SFP'!BE4/('Evolutive SFP'!BE31+'Evolutive SFP'!BE36)</f>
        <v>0.46849966686057992</v>
      </c>
      <c r="BH13" s="331">
        <f>'Evolutive SFP'!BF4/('Evolutive SFP'!BF31+'Evolutive SFP'!BF36)</f>
        <v>0.47563269990980866</v>
      </c>
      <c r="BI13" s="331">
        <f>'Evolutive SFP'!BG4/('Evolutive SFP'!BG31+'Evolutive SFP'!BG36)</f>
        <v>0.47521255131977863</v>
      </c>
      <c r="BJ13" s="331">
        <f>'Evolutive SFP'!BH4/('Evolutive SFP'!BH31+'Evolutive SFP'!BH36)</f>
        <v>0.46727182492388319</v>
      </c>
      <c r="BK13" s="331">
        <f>'Evolutive SFP'!BI4/('Evolutive SFP'!BI31+'Evolutive SFP'!BI36)</f>
        <v>0.54813660498162253</v>
      </c>
      <c r="BL13" s="331">
        <f>'Evolutive SFP'!BJ4/('Evolutive SFP'!BJ31+'Evolutive SFP'!BJ36)</f>
        <v>0.56555689138520837</v>
      </c>
      <c r="BM13" s="331">
        <f>'Evolutive SFP'!BK4/('Evolutive SFP'!BK31+'Evolutive SFP'!BK36)</f>
        <v>0.53461332778033277</v>
      </c>
      <c r="BN13" s="331">
        <f>'Evolutive SFP'!BL4/('Evolutive SFP'!BL31+'Evolutive SFP'!BL36)</f>
        <v>0.5179556130588121</v>
      </c>
      <c r="BO13" s="331">
        <f>'Evolutive SFP'!BM4/('Evolutive SFP'!BM31+'Evolutive SFP'!BM36)</f>
        <v>0.48766795039751093</v>
      </c>
      <c r="BP13" s="331">
        <f>'Evolutive SFP'!BN4/('Evolutive SFP'!BN31+'Evolutive SFP'!BN36)</f>
        <v>0.44958723022562153</v>
      </c>
      <c r="BQ13" s="331">
        <f>'Evolutive SFP'!BO4/('Evolutive SFP'!BO31+'Evolutive SFP'!BO36)</f>
        <v>0.47422399934781073</v>
      </c>
      <c r="BR13" s="331"/>
      <c r="BS13" s="331"/>
      <c r="BT13" s="331"/>
      <c r="BU13" s="331"/>
      <c r="BV13" s="331"/>
      <c r="BW13" s="331"/>
      <c r="BX13" s="331"/>
      <c r="BY13" s="331"/>
    </row>
    <row r="14" spans="1:77" ht="36.75">
      <c r="A14" s="374"/>
      <c r="B14" s="324" t="s">
        <v>27</v>
      </c>
      <c r="C14" s="325" t="s">
        <v>28</v>
      </c>
      <c r="D14" s="331">
        <f>'Evolutive SFP'!B37/'Evolutive SFP'!B27</f>
        <v>1.5175035177958185E-2</v>
      </c>
      <c r="E14" s="331">
        <f>'Evolutive SFP'!C37/'Evolutive SFP'!C27</f>
        <v>0</v>
      </c>
      <c r="F14" s="331">
        <f>'Evolutive SFP'!D37/'Evolutive SFP'!D24</f>
        <v>0</v>
      </c>
      <c r="G14" s="331">
        <f>'Evolutive SFP'!E37/'Evolutive SFP'!E27</f>
        <v>0</v>
      </c>
      <c r="H14" s="331">
        <f>'Evolutive SFP'!F37/'Evolutive SFP'!F27</f>
        <v>0</v>
      </c>
      <c r="I14" s="331">
        <f>'Evolutive SFP'!G37/'Evolutive SFP'!G27</f>
        <v>4.3947847803357656E-2</v>
      </c>
      <c r="J14" s="331">
        <f>'Evolutive SFP'!H37/'Evolutive SFP'!H27</f>
        <v>4.4165721544148724E-2</v>
      </c>
      <c r="K14" s="331">
        <f>'Evolutive SFP'!I37/'Evolutive SFP'!I27</f>
        <v>4.3723882297245824E-2</v>
      </c>
      <c r="L14" s="331">
        <f>'Evolutive SFP'!J37/'Evolutive SFP'!J27</f>
        <v>4.4141021046427961E-2</v>
      </c>
      <c r="M14" s="331">
        <f>'Evolutive SFP'!K37/'Evolutive SFP'!K27</f>
        <v>4.4531395546865478E-2</v>
      </c>
      <c r="N14" s="331">
        <f>'Evolutive SFP'!L37/'Evolutive SFP'!L27</f>
        <v>4.500664647592096E-2</v>
      </c>
      <c r="O14" s="331">
        <f>'Evolutive SFP'!M37/'Evolutive SFP'!M27</f>
        <v>0</v>
      </c>
      <c r="P14" s="331">
        <f>'Evolutive SFP'!N37/'Evolutive SFP'!N27</f>
        <v>0</v>
      </c>
      <c r="Q14" s="331">
        <f>'Evolutive SFP'!O37/'Evolutive SFP'!O27</f>
        <v>0</v>
      </c>
      <c r="R14" s="331">
        <f>'Evolutive SFP'!P37/'Evolutive SFP'!P27</f>
        <v>0</v>
      </c>
      <c r="S14" s="331">
        <f>'Evolutive SFP'!Q37/'Evolutive SFP'!Q27</f>
        <v>0</v>
      </c>
      <c r="T14" s="331">
        <f>'Evolutive SFP'!R37/'Evolutive SFP'!R27</f>
        <v>0</v>
      </c>
      <c r="U14" s="331">
        <f>'Evolutive SFP'!S37/'Evolutive SFP'!S27</f>
        <v>0</v>
      </c>
      <c r="V14" s="331">
        <f>'Evolutive SFP'!T37/'Evolutive SFP'!T27</f>
        <v>0</v>
      </c>
      <c r="W14" s="331">
        <f>'Evolutive SFP'!U37/'Evolutive SFP'!U27</f>
        <v>0</v>
      </c>
      <c r="X14" s="331">
        <f>'Evolutive SFP'!V37/'Evolutive SFP'!V27</f>
        <v>0</v>
      </c>
      <c r="Y14" s="331">
        <f>'Evolutive SFP'!W37/'Evolutive SFP'!W27</f>
        <v>0</v>
      </c>
      <c r="Z14" s="331">
        <f>'Evolutive SFP'!X37/'Evolutive SFP'!X27</f>
        <v>0</v>
      </c>
      <c r="AA14" s="331">
        <f>'Evolutive SFP'!Y37/'Evolutive SFP'!Y27</f>
        <v>0</v>
      </c>
      <c r="AB14" s="331">
        <f>'Evolutive SFP'!Z37/'Evolutive SFP'!Z27</f>
        <v>0.37258005562359325</v>
      </c>
      <c r="AC14" s="331">
        <f>'Evolutive SFP'!AA37/'Evolutive SFP'!AA27</f>
        <v>0.3628191446882858</v>
      </c>
      <c r="AD14" s="331">
        <f>'Evolutive SFP'!AB37/'Evolutive SFP'!AB27</f>
        <v>0.35749280054393456</v>
      </c>
      <c r="AE14" s="331">
        <f>'Evolutive SFP'!AC37/'Evolutive SFP'!AC27</f>
        <v>0</v>
      </c>
      <c r="AF14" s="331">
        <f>'Evolutive SFP'!AD37/'Evolutive SFP'!AD27</f>
        <v>0</v>
      </c>
      <c r="AG14" s="331">
        <f>'Evolutive SFP'!AE37/'Evolutive SFP'!AE27</f>
        <v>0</v>
      </c>
      <c r="AH14" s="331">
        <f>'Evolutive SFP'!AF37/'Evolutive SFP'!AF27</f>
        <v>0</v>
      </c>
      <c r="AI14" s="331">
        <f>'Evolutive SFP'!AG37/'Evolutive SFP'!AG27</f>
        <v>0</v>
      </c>
      <c r="AJ14" s="331">
        <f>'Evolutive SFP'!AH37/'Evolutive SFP'!AH27</f>
        <v>0</v>
      </c>
      <c r="AK14" s="331">
        <f>'Evolutive SFP'!AI37/'Evolutive SFP'!AI27</f>
        <v>0</v>
      </c>
      <c r="AL14" s="331">
        <f>'Evolutive SFP'!AJ37/'Evolutive SFP'!AJ27</f>
        <v>0</v>
      </c>
      <c r="AM14" s="331">
        <f>'Evolutive SFP'!AK37/'Evolutive SFP'!AK27</f>
        <v>0</v>
      </c>
      <c r="AN14" s="331">
        <f>'Evolutive SFP'!AL37/'Evolutive SFP'!AL27</f>
        <v>0</v>
      </c>
      <c r="AO14" s="331">
        <f>'Evolutive SFP'!AM37/'Evolutive SFP'!AM27</f>
        <v>0</v>
      </c>
      <c r="AP14" s="331">
        <f>'Evolutive SFP'!AN37/'Evolutive SFP'!AN27</f>
        <v>0</v>
      </c>
      <c r="AQ14" s="331">
        <f>'Evolutive SFP'!AO37/'Evolutive SFP'!AO27</f>
        <v>0</v>
      </c>
      <c r="AR14" s="331">
        <f>'Evolutive SFP'!AP37/'Evolutive SFP'!AP27</f>
        <v>0</v>
      </c>
      <c r="AS14" s="331">
        <f>'Evolutive SFP'!AQ37/'Evolutive SFP'!AQ27</f>
        <v>0</v>
      </c>
      <c r="AT14" s="331">
        <f>'Evolutive SFP'!AR37/'Evolutive SFP'!AR27</f>
        <v>0</v>
      </c>
      <c r="AU14" s="331">
        <f>'Evolutive SFP'!AS37/'Evolutive SFP'!AS27</f>
        <v>0</v>
      </c>
      <c r="AV14" s="331">
        <f>'Evolutive SFP'!AT37/'Evolutive SFP'!AT27</f>
        <v>0</v>
      </c>
      <c r="AW14" s="331">
        <f>'Evolutive SFP'!AU37/'Evolutive SFP'!AU27</f>
        <v>0</v>
      </c>
      <c r="AX14" s="331">
        <f>'Evolutive SFP'!AV37/'Evolutive SFP'!AV27</f>
        <v>0</v>
      </c>
      <c r="AY14" s="331">
        <f>'Evolutive SFP'!AW37/'Evolutive SFP'!AW27</f>
        <v>0</v>
      </c>
      <c r="AZ14" s="331">
        <f>'Evolutive SFP'!AX37/'Evolutive SFP'!AX27</f>
        <v>0</v>
      </c>
      <c r="BA14" s="331">
        <f>'Evolutive SFP'!AY37/'Evolutive SFP'!AY27</f>
        <v>0</v>
      </c>
      <c r="BB14" s="331">
        <f>'Evolutive SFP'!AZ37/'Evolutive SFP'!AZ27</f>
        <v>0</v>
      </c>
      <c r="BC14" s="331">
        <f>'Evolutive SFP'!BA37/'Evolutive SFP'!BA27</f>
        <v>0</v>
      </c>
      <c r="BD14" s="331">
        <f>'Evolutive SFP'!BB37/'Evolutive SFP'!BB27</f>
        <v>0</v>
      </c>
      <c r="BE14" s="331">
        <f>'Evolutive SFP'!BC37/'Evolutive SFP'!BC27</f>
        <v>0</v>
      </c>
      <c r="BF14" s="331">
        <f>'Evolutive SFP'!BD37/'Evolutive SFP'!BD27</f>
        <v>0</v>
      </c>
      <c r="BG14" s="331">
        <f>'Evolutive SFP'!BE37/'Evolutive SFP'!BE27</f>
        <v>0</v>
      </c>
      <c r="BH14" s="331">
        <f>'Evolutive SFP'!BF37/'Evolutive SFP'!BF27</f>
        <v>0</v>
      </c>
      <c r="BI14" s="331">
        <f>'Evolutive SFP'!BG37/'Evolutive SFP'!BG27</f>
        <v>0</v>
      </c>
      <c r="BJ14" s="331">
        <f>'Evolutive SFP'!BH37/'Evolutive SFP'!BH27</f>
        <v>0</v>
      </c>
      <c r="BK14" s="331">
        <f>'Evolutive SFP'!BI37/'Evolutive SFP'!BI27</f>
        <v>0</v>
      </c>
      <c r="BL14" s="331">
        <f>'Evolutive SFP'!BJ37/'Evolutive SFP'!BJ27</f>
        <v>0</v>
      </c>
      <c r="BM14" s="331">
        <f>'Evolutive SFP'!BK37/'Evolutive SFP'!BK27</f>
        <v>0</v>
      </c>
      <c r="BN14" s="331">
        <f>'Evolutive SFP'!BL37/'Evolutive SFP'!BL27</f>
        <v>0</v>
      </c>
      <c r="BO14" s="331">
        <f>'Evolutive SFP'!BM37/'Evolutive SFP'!BM27</f>
        <v>0</v>
      </c>
      <c r="BP14" s="331">
        <f>'Evolutive SFP'!BN37/'Evolutive SFP'!BN27</f>
        <v>0</v>
      </c>
      <c r="BQ14" s="331">
        <f>'Evolutive SFP'!BO37/'Evolutive SFP'!BO27</f>
        <v>0</v>
      </c>
      <c r="BR14" s="331"/>
      <c r="BS14" s="331"/>
      <c r="BT14" s="331"/>
      <c r="BU14" s="331"/>
      <c r="BV14" s="331"/>
      <c r="BW14" s="331"/>
      <c r="BX14" s="331"/>
      <c r="BY14" s="331"/>
    </row>
    <row r="15" spans="1:77" ht="18.75">
      <c r="A15" s="374"/>
      <c r="B15" s="324" t="s">
        <v>29</v>
      </c>
      <c r="C15" s="325"/>
      <c r="D15" s="331">
        <f>'Evolutive SFP'!B4/'Evolutive SFP'!B27</f>
        <v>0.12821991542351194</v>
      </c>
      <c r="E15" s="331">
        <f>'Evolutive SFP'!C4/'Evolutive SFP'!C27</f>
        <v>0.12741401249107495</v>
      </c>
      <c r="F15" s="331">
        <f>'Evolutive SFP'!D4/'Evolutive SFP'!D27</f>
        <v>0.20459468627523103</v>
      </c>
      <c r="G15" s="331">
        <f>'Evolutive SFP'!E4/'Evolutive SFP'!E27</f>
        <v>0.1927798179418094</v>
      </c>
      <c r="H15" s="331">
        <f>'Evolutive SFP'!F4/'Evolutive SFP'!F27</f>
        <v>0.16984217641146768</v>
      </c>
      <c r="I15" s="331">
        <f>'Evolutive SFP'!G4/'Evolutive SFP'!G27</f>
        <v>0.22115387207952672</v>
      </c>
      <c r="J15" s="331">
        <f>'Evolutive SFP'!H4/'Evolutive SFP'!H27</f>
        <v>0.21236897857222506</v>
      </c>
      <c r="K15" s="331">
        <f>'Evolutive SFP'!I4/'Evolutive SFP'!I27</f>
        <v>0.22993071795848841</v>
      </c>
      <c r="L15" s="331">
        <f>'Evolutive SFP'!J4/'Evolutive SFP'!J27</f>
        <v>0.22593945693341638</v>
      </c>
      <c r="M15" s="331">
        <f>'Evolutive SFP'!K4/'Evolutive SFP'!K27</f>
        <v>0.22958833941542281</v>
      </c>
      <c r="N15" s="331">
        <f>'Evolutive SFP'!L4/'Evolutive SFP'!L27</f>
        <v>0.21983563496861791</v>
      </c>
      <c r="O15" s="331">
        <f>'Evolutive SFP'!M4/'Evolutive SFP'!M27</f>
        <v>0.42910506395824272</v>
      </c>
      <c r="P15" s="331">
        <f>'Evolutive SFP'!N4/'Evolutive SFP'!N27</f>
        <v>0.1491662790498095</v>
      </c>
      <c r="Q15" s="331">
        <f>'Evolutive SFP'!O4/'Evolutive SFP'!O27</f>
        <v>0.12424964226139154</v>
      </c>
      <c r="R15" s="331">
        <f>'Evolutive SFP'!P4/'Evolutive SFP'!P27</f>
        <v>0.12397166954479046</v>
      </c>
      <c r="S15" s="331">
        <f>'Evolutive SFP'!Q4/'Evolutive SFP'!Q27</f>
        <v>0.20809130805785406</v>
      </c>
      <c r="T15" s="331">
        <f>'Evolutive SFP'!R4/'Evolutive SFP'!R27</f>
        <v>0.22357509909186715</v>
      </c>
      <c r="U15" s="331">
        <f>'Evolutive SFP'!S4/'Evolutive SFP'!S27</f>
        <v>0.20008934356838587</v>
      </c>
      <c r="V15" s="331">
        <f>'Evolutive SFP'!T4/'Evolutive SFP'!T27</f>
        <v>0.19535257128068631</v>
      </c>
      <c r="W15" s="331">
        <f>'Evolutive SFP'!U4/'Evolutive SFP'!U27</f>
        <v>0.16358395872496689</v>
      </c>
      <c r="X15" s="331">
        <f>'Evolutive SFP'!V4/'Evolutive SFP'!V27</f>
        <v>0.19331822273089866</v>
      </c>
      <c r="Y15" s="331">
        <f>'Evolutive SFP'!W4/'Evolutive SFP'!W27</f>
        <v>0.18258318757622349</v>
      </c>
      <c r="Z15" s="331">
        <f>'Evolutive SFP'!X4/'Evolutive SFP'!X27</f>
        <v>0.16601969470952477</v>
      </c>
      <c r="AA15" s="331">
        <f>'Evolutive SFP'!Y4/'Evolutive SFP'!Y27</f>
        <v>0.15958229941411831</v>
      </c>
      <c r="AB15" s="331">
        <f>'Evolutive SFP'!Z4/'Evolutive SFP'!Z27</f>
        <v>0.14081336391342067</v>
      </c>
      <c r="AC15" s="331">
        <f>'Evolutive SFP'!AA4/'Evolutive SFP'!AA27</f>
        <v>8.992024895775759E-2</v>
      </c>
      <c r="AD15" s="331">
        <f>'Evolutive SFP'!AB4/'Evolutive SFP'!AB27</f>
        <v>0.1104077730468794</v>
      </c>
      <c r="AE15" s="331">
        <f>'Evolutive SFP'!AC4/'Evolutive SFP'!AC27</f>
        <v>0.2303538385904508</v>
      </c>
      <c r="AF15" s="331">
        <f>'Evolutive SFP'!AD4/'Evolutive SFP'!AD27</f>
        <v>0.18055596789180187</v>
      </c>
      <c r="AG15" s="331">
        <f>'Evolutive SFP'!AE4/'Evolutive SFP'!AE27</f>
        <v>0.2458997424108772</v>
      </c>
      <c r="AH15" s="331">
        <f>'Evolutive SFP'!AF4/'Evolutive SFP'!AF27</f>
        <v>0.1937271928862499</v>
      </c>
      <c r="AI15" s="331">
        <f>'Evolutive SFP'!AG4/'Evolutive SFP'!AG27</f>
        <v>0.21136509986095348</v>
      </c>
      <c r="AJ15" s="331">
        <f>'Evolutive SFP'!AH4/'Evolutive SFP'!AH27</f>
        <v>0.16887892708264204</v>
      </c>
      <c r="AK15" s="331">
        <f>'Evolutive SFP'!AI4/'Evolutive SFP'!AI27</f>
        <v>0.13823874906672695</v>
      </c>
      <c r="AL15" s="331">
        <f>'Evolutive SFP'!AJ4/'Evolutive SFP'!AJ27</f>
        <v>0.16996427743044334</v>
      </c>
      <c r="AM15" s="331">
        <f>'Evolutive SFP'!AK4/'Evolutive SFP'!AK27</f>
        <v>0.11554687577851863</v>
      </c>
      <c r="AN15" s="331">
        <f>'Evolutive SFP'!AL4/'Evolutive SFP'!AL27</f>
        <v>0.26409600785960441</v>
      </c>
      <c r="AO15" s="331">
        <f>'Evolutive SFP'!AM4/'Evolutive SFP'!AM27</f>
        <v>0.23365356061260983</v>
      </c>
      <c r="AP15" s="331">
        <f>'Evolutive SFP'!AN4/'Evolutive SFP'!AN27</f>
        <v>0.11498672760631748</v>
      </c>
      <c r="AQ15" s="331">
        <f>'Evolutive SFP'!AO4/'Evolutive SFP'!AO27</f>
        <v>0.11456693986290707</v>
      </c>
      <c r="AR15" s="331">
        <f>'Evolutive SFP'!AP4/'Evolutive SFP'!AP27</f>
        <v>0.13973976498844567</v>
      </c>
      <c r="AS15" s="331">
        <f>'Evolutive SFP'!AQ4/'Evolutive SFP'!AQ27</f>
        <v>0.13046811925416765</v>
      </c>
      <c r="AT15" s="331">
        <f>'Evolutive SFP'!AR4/'Evolutive SFP'!AR27</f>
        <v>0.11740888546520319</v>
      </c>
      <c r="AU15" s="331">
        <f>'Evolutive SFP'!AS4/'Evolutive SFP'!AS27</f>
        <v>0.16510376030502444</v>
      </c>
      <c r="AV15" s="331">
        <f>'Evolutive SFP'!AT4/'Evolutive SFP'!AT27</f>
        <v>0.1526631959988714</v>
      </c>
      <c r="AW15" s="331">
        <f>'Evolutive SFP'!AU4/'Evolutive SFP'!AU27</f>
        <v>0.1394797396157571</v>
      </c>
      <c r="AX15" s="331">
        <f>'Evolutive SFP'!AV4/'Evolutive SFP'!AV27</f>
        <v>0.17131766662640205</v>
      </c>
      <c r="AY15" s="331">
        <f>'Evolutive SFP'!AW4/'Evolutive SFP'!AW27</f>
        <v>0.10909768344326105</v>
      </c>
      <c r="AZ15" s="331">
        <f>'Evolutive SFP'!AX4/'Evolutive SFP'!AX27</f>
        <v>0.10628703519111198</v>
      </c>
      <c r="BA15" s="331">
        <f>'Evolutive SFP'!AY4/'Evolutive SFP'!AY27</f>
        <v>0.2002608964612487</v>
      </c>
      <c r="BB15" s="331">
        <f>'Evolutive SFP'!AZ4/'Evolutive SFP'!AZ27</f>
        <v>0.13872058581529548</v>
      </c>
      <c r="BC15" s="331">
        <f>'Evolutive SFP'!BA4/'Evolutive SFP'!BA27</f>
        <v>0.37930886827359228</v>
      </c>
      <c r="BD15" s="331">
        <f>'Evolutive SFP'!BB4/'Evolutive SFP'!BB27</f>
        <v>0.38305022755567658</v>
      </c>
      <c r="BE15" s="331">
        <f>'Evolutive SFP'!BC4/'Evolutive SFP'!BC27</f>
        <v>0.36211969154038509</v>
      </c>
      <c r="BF15" s="331">
        <f>'Evolutive SFP'!BD4/'Evolutive SFP'!BD27</f>
        <v>0.3462893829072517</v>
      </c>
      <c r="BG15" s="331">
        <f>'Evolutive SFP'!BE4/'Evolutive SFP'!BE27</f>
        <v>0.33485068522727668</v>
      </c>
      <c r="BH15" s="331">
        <f>'Evolutive SFP'!BF4/'Evolutive SFP'!BF27</f>
        <v>0.34392341796177101</v>
      </c>
      <c r="BI15" s="331">
        <f>'Evolutive SFP'!BG4/'Evolutive SFP'!BG27</f>
        <v>0.342630894214346</v>
      </c>
      <c r="BJ15" s="331">
        <f>'Evolutive SFP'!BH4/'Evolutive SFP'!BH27</f>
        <v>0.33720434249243486</v>
      </c>
      <c r="BK15" s="331">
        <f>'Evolutive SFP'!BI4/'Evolutive SFP'!BI27</f>
        <v>0.41484414040041712</v>
      </c>
      <c r="BL15" s="331">
        <f>'Evolutive SFP'!BJ4/'Evolutive SFP'!BJ27</f>
        <v>0.42240848227519551</v>
      </c>
      <c r="BM15" s="331">
        <f>'Evolutive SFP'!BK4/'Evolutive SFP'!BK27</f>
        <v>0.39458783833149497</v>
      </c>
      <c r="BN15" s="331">
        <f>'Evolutive SFP'!BL4/'Evolutive SFP'!BL27</f>
        <v>0.37943571926383601</v>
      </c>
      <c r="BO15" s="331">
        <f>'Evolutive SFP'!BM4/'Evolutive SFP'!BM27</f>
        <v>0.35434031990717052</v>
      </c>
      <c r="BP15" s="331">
        <f>'Evolutive SFP'!BN4/'Evolutive SFP'!BN27</f>
        <v>0.32089772970183605</v>
      </c>
      <c r="BQ15" s="331">
        <f>'Evolutive SFP'!BO4/'Evolutive SFP'!BO27</f>
        <v>0.33505027627253059</v>
      </c>
      <c r="BR15" s="331"/>
      <c r="BS15" s="331"/>
      <c r="BT15" s="331"/>
      <c r="BU15" s="331"/>
      <c r="BV15" s="331"/>
      <c r="BW15" s="331"/>
      <c r="BX15" s="331"/>
      <c r="BY15" s="331"/>
    </row>
    <row r="16" spans="1:77" ht="36.75">
      <c r="A16" s="374" t="s">
        <v>30</v>
      </c>
      <c r="B16" s="324" t="s">
        <v>31</v>
      </c>
      <c r="C16" s="325" t="s">
        <v>32</v>
      </c>
      <c r="D16" s="334">
        <f>('Evolutive SFP'!B7+'Evolutive SFP'!B21)/'Evolutive SFP'!B27</f>
        <v>0.12101374552845419</v>
      </c>
      <c r="E16" s="331">
        <f>('Evolutive SFP'!C7+'Evolutive SFP'!C21)/'Evolutive SFP'!C27</f>
        <v>9.4303279892109501E-2</v>
      </c>
      <c r="F16" s="334">
        <f>('Evolutive SFP'!D7+'Evolutive SFP'!D21)/'Evolutive SFP'!D27</f>
        <v>0.14869319380149865</v>
      </c>
      <c r="G16" s="334">
        <f>('Evolutive SFP'!E7+'Evolutive SFP'!E21)/'Evolutive SFP'!E27</f>
        <v>0.14867627495971003</v>
      </c>
      <c r="H16" s="334">
        <f>('Evolutive SFP'!F7+'Evolutive SFP'!F21)/'Evolutive SFP'!F27</f>
        <v>0.15450319099180021</v>
      </c>
      <c r="I16" s="334">
        <f>('Evolutive SFP'!G7+'Evolutive SFP'!G21)/'Evolutive SFP'!G27</f>
        <v>0.13952583500031387</v>
      </c>
      <c r="J16" s="334">
        <f>('Evolutive SFP'!H7+'Evolutive SFP'!H21)/'Evolutive SFP'!H27</f>
        <v>0.14166077234553803</v>
      </c>
      <c r="K16" s="331">
        <f>('Evolutive SFP'!I7+'Evolutive SFP'!I21)/'Evolutive SFP'!I27</f>
        <v>0.13016698535638102</v>
      </c>
      <c r="L16" s="331">
        <f>('Evolutive SFP'!J7+'Evolutive SFP'!J21)/'Evolutive SFP'!J27</f>
        <v>0.13369866031486971</v>
      </c>
      <c r="M16" s="331">
        <f>('Evolutive SFP'!K7+'Evolutive SFP'!K21)/'Evolutive SFP'!K27</f>
        <v>0.12630522958823268</v>
      </c>
      <c r="N16" s="331">
        <f>('Evolutive SFP'!L7+'Evolutive SFP'!L21)/'Evolutive SFP'!L27</f>
        <v>0.12496972356647235</v>
      </c>
      <c r="O16" s="331">
        <f>('Evolutive SFP'!M7+'Evolutive SFP'!M21)/'Evolutive SFP'!M27</f>
        <v>0.18893154550097713</v>
      </c>
      <c r="P16" s="331">
        <f>('Evolutive SFP'!N7+'Evolutive SFP'!N21)/'Evolutive SFP'!N27</f>
        <v>0.18030665265135593</v>
      </c>
      <c r="Q16" s="331">
        <f>('Evolutive SFP'!O7+'Evolutive SFP'!O21)/'Evolutive SFP'!O27</f>
        <v>0.1145572779716194</v>
      </c>
      <c r="R16" s="331">
        <f>('Evolutive SFP'!P7+'Evolutive SFP'!P21)/'Evolutive SFP'!P27</f>
        <v>7.7704444700834388E-2</v>
      </c>
      <c r="S16" s="331">
        <f>('Evolutive SFP'!Q7+'Evolutive SFP'!Q21)/'Evolutive SFP'!Q27</f>
        <v>0.11953570635150045</v>
      </c>
      <c r="T16" s="331">
        <f>('Evolutive SFP'!R7+'Evolutive SFP'!R21)/'Evolutive SFP'!R27</f>
        <v>0.11857491183915263</v>
      </c>
      <c r="U16" s="331">
        <f>('Evolutive SFP'!S7+'Evolutive SFP'!S21)/'Evolutive SFP'!S27</f>
        <v>0.12329920907875834</v>
      </c>
      <c r="V16" s="331">
        <f>('Evolutive SFP'!T7+'Evolutive SFP'!T21)/'Evolutive SFP'!T27</f>
        <v>0.12716229941527216</v>
      </c>
      <c r="W16" s="331">
        <f>('Evolutive SFP'!U7+'Evolutive SFP'!U21)/'Evolutive SFP'!U27</f>
        <v>0.12166496078134138</v>
      </c>
      <c r="X16" s="331">
        <f>('Evolutive SFP'!V7+'Evolutive SFP'!V21)/'Evolutive SFP'!V27</f>
        <v>9.7837891053617204E-2</v>
      </c>
      <c r="Y16" s="331">
        <f>('Evolutive SFP'!W7+'Evolutive SFP'!W21)/'Evolutive SFP'!W27</f>
        <v>9.7557339843577909E-2</v>
      </c>
      <c r="Z16" s="331">
        <f>('Evolutive SFP'!X7+'Evolutive SFP'!X21)/'Evolutive SFP'!X27</f>
        <v>9.7738542326551839E-2</v>
      </c>
      <c r="AA16" s="331">
        <f>('Evolutive SFP'!Y7+'Evolutive SFP'!Y21)/'Evolutive SFP'!Y27</f>
        <v>9.7099229709449578E-2</v>
      </c>
      <c r="AB16" s="331">
        <f>('Evolutive SFP'!Z7+'Evolutive SFP'!Z21)/'Evolutive SFP'!Z27</f>
        <v>0.5352487847259999</v>
      </c>
      <c r="AC16" s="331">
        <f>('Evolutive SFP'!AA7+'Evolutive SFP'!AA21)/'Evolutive SFP'!AA27</f>
        <v>0.50729731271419187</v>
      </c>
      <c r="AD16" s="331">
        <f>('Evolutive SFP'!AB7+'Evolutive SFP'!AB21)/'Evolutive SFP'!AB27</f>
        <v>0.51057725800580411</v>
      </c>
      <c r="AE16" s="331">
        <f>('Evolutive SFP'!AC7+'Evolutive SFP'!AC21)/'Evolutive SFP'!AC27</f>
        <v>6.9323251917225395E-2</v>
      </c>
      <c r="AF16" s="331">
        <f>('Evolutive SFP'!AD7+'Evolutive SFP'!AD21)/'Evolutive SFP'!AD27</f>
        <v>0.10413076564305536</v>
      </c>
      <c r="AG16" s="331">
        <f>('Evolutive SFP'!AE7+'Evolutive SFP'!AE21)/'Evolutive SFP'!AE27</f>
        <v>0.10486013594955733</v>
      </c>
      <c r="AH16" s="331">
        <f>('Evolutive SFP'!AF7+'Evolutive SFP'!AF21)/'Evolutive SFP'!AF27</f>
        <v>0.10341934325799836</v>
      </c>
      <c r="AI16" s="331">
        <f>('Evolutive SFP'!AG7+'Evolutive SFP'!AG21)/'Evolutive SFP'!AG27</f>
        <v>9.1436207877649001E-2</v>
      </c>
      <c r="AJ16" s="331">
        <f>('Evolutive SFP'!AH7+'Evolutive SFP'!AH21)/'Evolutive SFP'!AH27</f>
        <v>9.9637219395473348E-2</v>
      </c>
      <c r="AK16" s="331">
        <f>('Evolutive SFP'!AI7+'Evolutive SFP'!AI21)/'Evolutive SFP'!AI27</f>
        <v>9.9247410372280395E-2</v>
      </c>
      <c r="AL16" s="331">
        <f>('Evolutive SFP'!AJ7+'Evolutive SFP'!AJ21)/'Evolutive SFP'!AJ27</f>
        <v>9.7677655504520136E-2</v>
      </c>
      <c r="AM16" s="331">
        <f>('Evolutive SFP'!AK7+'Evolutive SFP'!AK21)/'Evolutive SFP'!AK27</f>
        <v>0.10043956504802186</v>
      </c>
      <c r="AN16" s="331">
        <f>('Evolutive SFP'!AL7+'Evolutive SFP'!AL21)/'Evolutive SFP'!AL27</f>
        <v>0.15104634178802873</v>
      </c>
      <c r="AO16" s="331">
        <f>('Evolutive SFP'!AM7+'Evolutive SFP'!AM21)/'Evolutive SFP'!AM27</f>
        <v>8.8001275769749088E-2</v>
      </c>
      <c r="AP16" s="331">
        <f>('Evolutive SFP'!AN7+'Evolutive SFP'!AN21)/'Evolutive SFP'!AN27</f>
        <v>9.5016618011969436E-2</v>
      </c>
      <c r="AQ16" s="331">
        <f>('Evolutive SFP'!AO7+'Evolutive SFP'!AO21)/'Evolutive SFP'!AO27</f>
        <v>6.6669004942885246E-2</v>
      </c>
      <c r="AR16" s="331">
        <f>('Evolutive SFP'!AP7+'Evolutive SFP'!AP21)/'Evolutive SFP'!AP27</f>
        <v>9.4603260102259362E-2</v>
      </c>
      <c r="AS16" s="331">
        <f>('Evolutive SFP'!AQ7+'Evolutive SFP'!AQ21)/'Evolutive SFP'!AQ27</f>
        <v>9.6731688148734438E-2</v>
      </c>
      <c r="AT16" s="331">
        <f>('Evolutive SFP'!AR7+'Evolutive SFP'!AR21)/'Evolutive SFP'!AR27</f>
        <v>9.6725760312368542E-2</v>
      </c>
      <c r="AU16" s="331">
        <f>('Evolutive SFP'!AS7+'Evolutive SFP'!AS21)/'Evolutive SFP'!AS27</f>
        <v>9.4421915699507322E-2</v>
      </c>
      <c r="AV16" s="331">
        <f>('Evolutive SFP'!AT7+'Evolutive SFP'!AT21)/'Evolutive SFP'!AT27</f>
        <v>9.4009408989717852E-2</v>
      </c>
      <c r="AW16" s="331">
        <f>('Evolutive SFP'!AU7+'Evolutive SFP'!AU21)/'Evolutive SFP'!AU27</f>
        <v>9.5214465960332603E-2</v>
      </c>
      <c r="AX16" s="331">
        <f>('Evolutive SFP'!AV7+'Evolutive SFP'!AV21)/'Evolutive SFP'!AV27</f>
        <v>9.5054329424647935E-2</v>
      </c>
      <c r="AY16" s="331">
        <f>('Evolutive SFP'!AW7+'Evolutive SFP'!AW21)/'Evolutive SFP'!AW27</f>
        <v>9.5121750188382634E-2</v>
      </c>
      <c r="AZ16" s="331">
        <f>('Evolutive SFP'!AX7+'Evolutive SFP'!AX21)/'Evolutive SFP'!AX27</f>
        <v>0.10164755144006335</v>
      </c>
      <c r="BA16" s="331">
        <f>('Evolutive SFP'!AY7+'Evolutive SFP'!AY21)/'Evolutive SFP'!AY27</f>
        <v>0.15970869318980294</v>
      </c>
      <c r="BB16" s="331">
        <f>('Evolutive SFP'!AZ7+'Evolutive SFP'!AZ21)/'Evolutive SFP'!AZ27</f>
        <v>0.19984755569821713</v>
      </c>
      <c r="BC16" s="331">
        <f>('Evolutive SFP'!BA7+'Evolutive SFP'!BA21)/'Evolutive SFP'!BA27</f>
        <v>0.10922015650636377</v>
      </c>
      <c r="BD16" s="331">
        <f>('Evolutive SFP'!BB7+'Evolutive SFP'!BB21)/'Evolutive SFP'!BB27</f>
        <v>0.16478770591800379</v>
      </c>
      <c r="BE16" s="331">
        <f>('Evolutive SFP'!BC7+'Evolutive SFP'!BC21)/'Evolutive SFP'!BC27</f>
        <v>0.11303185022574995</v>
      </c>
      <c r="BF16" s="331">
        <f>('Evolutive SFP'!BD7+'Evolutive SFP'!BD21)/'Evolutive SFP'!BD27</f>
        <v>0.20574079133241335</v>
      </c>
      <c r="BG16" s="331">
        <f>Financials!BF34/Financials!BF4</f>
        <v>0.20942097263998005</v>
      </c>
      <c r="BH16" s="331">
        <f>Financials!BG34/Financials!BG4</f>
        <v>0.20794076625805966</v>
      </c>
      <c r="BI16" s="331">
        <f>Financials!BH34/Financials!BH4</f>
        <v>0.20923033066054444</v>
      </c>
      <c r="BJ16" s="331">
        <f>Financials!BI34/Financials!BI4</f>
        <v>0.2085385850242592</v>
      </c>
      <c r="BK16" s="331">
        <f>Financials!BJ34/Financials!BJ4</f>
        <v>0.23024492624613513</v>
      </c>
      <c r="BL16" s="331">
        <f>Financials!BK34/Financials!BK4</f>
        <v>0.19593483793960437</v>
      </c>
      <c r="BM16" s="331">
        <f>Financials!BL34/Financials!BL4</f>
        <v>0.19157007554915717</v>
      </c>
      <c r="BN16" s="331">
        <f>Financials!BM34/Financials!BM4</f>
        <v>0.19516671710192099</v>
      </c>
      <c r="BO16" s="331">
        <f>Financials!BN34/Financials!BN4</f>
        <v>0.20225636485620102</v>
      </c>
      <c r="BP16" s="331">
        <f>Financials!BO34/Financials!BO4</f>
        <v>0.21502027192068696</v>
      </c>
      <c r="BQ16" s="331">
        <f>Financials!BP34/Financials!BP4</f>
        <v>0.19381986987947772</v>
      </c>
      <c r="BR16" s="331"/>
      <c r="BS16" s="331"/>
      <c r="BT16" s="331"/>
      <c r="BU16" s="331"/>
      <c r="BV16" s="331"/>
      <c r="BW16" s="331"/>
      <c r="BX16" s="331"/>
      <c r="BY16" s="331"/>
    </row>
    <row r="17" spans="1:77" ht="36.75">
      <c r="A17" s="374"/>
      <c r="B17" s="324" t="s">
        <v>33</v>
      </c>
      <c r="C17" s="325" t="s">
        <v>34</v>
      </c>
      <c r="D17" s="331">
        <f>'Evolutive SFP'!B21/'Evolutive SFP'!B27</f>
        <v>3.2278670786670176E-2</v>
      </c>
      <c r="E17" s="334">
        <f>'Evolutive SFP'!C21/'Evolutive SFP'!C27</f>
        <v>6.4982852678891978E-2</v>
      </c>
      <c r="F17" s="331">
        <f>'Evolutive SFP'!D18/'Evolutive SFP'!D24</f>
        <v>0</v>
      </c>
      <c r="G17" s="334">
        <f>'Evolutive SFP'!E21/'Evolutive SFP'!E27</f>
        <v>9.4164143443254369E-2</v>
      </c>
      <c r="H17" s="334">
        <f>'Evolutive SFP'!F21/'Evolutive SFP'!F27</f>
        <v>9.5631993200205892E-2</v>
      </c>
      <c r="I17" s="334">
        <f>'Evolutive SFP'!G21/'Evolutive SFP'!G27</f>
        <v>8.8736274515787028E-2</v>
      </c>
      <c r="J17" s="334">
        <f>'Evolutive SFP'!H21/'Evolutive SFP'!H27</f>
        <v>9.1507824839781829E-2</v>
      </c>
      <c r="K17" s="331">
        <f>'Evolutive SFP'!I21/'Evolutive SFP'!I27</f>
        <v>8.2960812814816667E-2</v>
      </c>
      <c r="L17" s="331">
        <f>'Evolutive SFP'!J21/'Evolutive SFP'!J27</f>
        <v>9.1122476187454199E-2</v>
      </c>
      <c r="M17" s="331">
        <f>'Evolutive SFP'!K21/'Evolutive SFP'!K27</f>
        <v>8.4620752681577482E-2</v>
      </c>
      <c r="N17" s="331">
        <f>'Evolutive SFP'!L21/'Evolutive SFP'!L27</f>
        <v>8.4094025027247332E-2</v>
      </c>
      <c r="O17" s="331">
        <f>'Evolutive SFP'!M21/'Evolutive SFP'!M27</f>
        <v>0.15903474972827722</v>
      </c>
      <c r="P17" s="331">
        <f>'Evolutive SFP'!N21/'Evolutive SFP'!N27</f>
        <v>0.1479309220106198</v>
      </c>
      <c r="Q17" s="331">
        <f>'Evolutive SFP'!O21/'Evolutive SFP'!O27</f>
        <v>8.043931121420099E-2</v>
      </c>
      <c r="R17" s="331">
        <f>'Evolutive SFP'!P21/'Evolutive SFP'!P27</f>
        <v>5.899332059824175E-2</v>
      </c>
      <c r="S17" s="331">
        <f>'Evolutive SFP'!Q21/'Evolutive SFP'!Q27</f>
        <v>8.0970082364804977E-2</v>
      </c>
      <c r="T17" s="331">
        <f>'Evolutive SFP'!R21/'Evolutive SFP'!R27</f>
        <v>7.7566422557912809E-2</v>
      </c>
      <c r="U17" s="331">
        <f>'Evolutive SFP'!S21/'Evolutive SFP'!S27</f>
        <v>8.0788706482893893E-2</v>
      </c>
      <c r="V17" s="331">
        <f>'Evolutive SFP'!T21/'Evolutive SFP'!T27</f>
        <v>8.4831312495340205E-2</v>
      </c>
      <c r="W17" s="331">
        <f>'Evolutive SFP'!U21/'Evolutive SFP'!U27</f>
        <v>8.4192372006869465E-2</v>
      </c>
      <c r="X17" s="331">
        <f>'Evolutive SFP'!V21/'Evolutive SFP'!V27</f>
        <v>6.2080032624581685E-2</v>
      </c>
      <c r="Y17" s="331">
        <f>'Evolutive SFP'!W21/'Evolutive SFP'!W27</f>
        <v>6.2336760135973508E-2</v>
      </c>
      <c r="Z17" s="331">
        <f>'Evolutive SFP'!X21/'Evolutive SFP'!X27</f>
        <v>6.3457060709731755E-2</v>
      </c>
      <c r="AA17" s="331">
        <f>'Evolutive SFP'!Y21/'Evolutive SFP'!Y27</f>
        <v>6.2937436741196048E-2</v>
      </c>
      <c r="AB17" s="331">
        <f>'Evolutive SFP'!Z21/'Evolutive SFP'!Z27</f>
        <v>0.52176536770388571</v>
      </c>
      <c r="AC17" s="331">
        <f>'Evolutive SFP'!AA21/'Evolutive SFP'!AA27</f>
        <v>0.48980671794055441</v>
      </c>
      <c r="AD17" s="331">
        <f>'Evolutive SFP'!AB21/'Evolutive SFP'!AB27</f>
        <v>0.49281009591912067</v>
      </c>
      <c r="AE17" s="331">
        <f>'Evolutive SFP'!AC21/'Evolutive SFP'!AC27</f>
        <v>5.6108855880921453E-2</v>
      </c>
      <c r="AF17" s="331">
        <f>'Evolutive SFP'!AD21/'Evolutive SFP'!AD27</f>
        <v>6.6822323293346642E-2</v>
      </c>
      <c r="AG17" s="331">
        <f>'Evolutive SFP'!AE21/'Evolutive SFP'!AE27</f>
        <v>6.6794754595219955E-2</v>
      </c>
      <c r="AH17" s="331">
        <f>'Evolutive SFP'!AF21/'Evolutive SFP'!AF27</f>
        <v>6.5803274623380301E-2</v>
      </c>
      <c r="AI17" s="331">
        <f>'Evolutive SFP'!AG21/'Evolutive SFP'!AG27</f>
        <v>5.5622145586669273E-2</v>
      </c>
      <c r="AJ17" s="331">
        <f>'Evolutive SFP'!AH21/'Evolutive SFP'!AH27</f>
        <v>6.4317275441624161E-2</v>
      </c>
      <c r="AK17" s="331">
        <f>'Evolutive SFP'!AI21/'Evolutive SFP'!AI27</f>
        <v>6.4876534183570117E-2</v>
      </c>
      <c r="AL17" s="331">
        <f>'Evolutive SFP'!AJ21/'Evolutive SFP'!AJ27</f>
        <v>6.4248299975145584E-2</v>
      </c>
      <c r="AM17" s="331">
        <f>'Evolutive SFP'!AK21/'Evolutive SFP'!AK27</f>
        <v>6.3925572992119595E-2</v>
      </c>
      <c r="AN17" s="331">
        <f>'Evolutive SFP'!AL21/'Evolutive SFP'!AL27</f>
        <v>0.12310212649603619</v>
      </c>
      <c r="AO17" s="331">
        <f>'Evolutive SFP'!AM21/'Evolutive SFP'!AM27</f>
        <v>5.808303767574028E-2</v>
      </c>
      <c r="AP17" s="331">
        <f>'Evolutive SFP'!AN21/'Evolutive SFP'!AN27</f>
        <v>5.675783496261904E-2</v>
      </c>
      <c r="AQ17" s="331">
        <f>'Evolutive SFP'!AO21/'Evolutive SFP'!AO27</f>
        <v>5.1093456429527673E-2</v>
      </c>
      <c r="AR17" s="331">
        <f>'Evolutive SFP'!AP21/'Evolutive SFP'!AP27</f>
        <v>6.0489183069776006E-2</v>
      </c>
      <c r="AS17" s="331">
        <f>'Evolutive SFP'!AQ21/'Evolutive SFP'!AQ27</f>
        <v>6.1677791058736511E-2</v>
      </c>
      <c r="AT17" s="331">
        <f>'Evolutive SFP'!AR21/'Evolutive SFP'!AR27</f>
        <v>6.164409996117691E-2</v>
      </c>
      <c r="AU17" s="331">
        <f>'Evolutive SFP'!AS21/'Evolutive SFP'!AS27</f>
        <v>5.9517105355085115E-2</v>
      </c>
      <c r="AV17" s="331">
        <f>'Evolutive SFP'!AT21/'Evolutive SFP'!AT27</f>
        <v>5.9956217932906689E-2</v>
      </c>
      <c r="AW17" s="331">
        <f>'Evolutive SFP'!AU21/'Evolutive SFP'!AU27</f>
        <v>6.1334502730269844E-2</v>
      </c>
      <c r="AX17" s="331">
        <f>'Evolutive SFP'!AV21/'Evolutive SFP'!AV27</f>
        <v>6.0779818145069629E-2</v>
      </c>
      <c r="AY17" s="331">
        <f>'Evolutive SFP'!AW21/'Evolutive SFP'!AW27</f>
        <v>6.0007707581533599E-2</v>
      </c>
      <c r="AZ17" s="331">
        <f>'Evolutive SFP'!AX21/'Evolutive SFP'!AX27</f>
        <v>6.7829689078535885E-2</v>
      </c>
      <c r="BA17" s="331">
        <f>'Evolutive SFP'!AY21/'Evolutive SFP'!AY27</f>
        <v>0.12938663590990787</v>
      </c>
      <c r="BB17" s="331">
        <f>'Evolutive SFP'!AZ21/'Evolutive SFP'!AZ27</f>
        <v>0.16754821915841658</v>
      </c>
      <c r="BC17" s="331">
        <f>'Evolutive SFP'!BA21/'Evolutive SFP'!BA27</f>
        <v>6.9145544963704272E-2</v>
      </c>
      <c r="BD17" s="331">
        <f>'Evolutive SFP'!BB21/'Evolutive SFP'!BB27</f>
        <v>6.6843393107576379E-2</v>
      </c>
      <c r="BE17" s="331">
        <f>'Evolutive SFP'!BC21/'Evolutive SFP'!BC27</f>
        <v>7.0256157543708411E-2</v>
      </c>
      <c r="BF17" s="331">
        <f>'Evolutive SFP'!BD21/'Evolutive SFP'!BD27</f>
        <v>0.16443310398542568</v>
      </c>
      <c r="BG17" s="331">
        <f>'Evolutive SFP'!BE21/'Evolutive SFP'!BE27</f>
        <v>0.16761477376737893</v>
      </c>
      <c r="BH17" s="331">
        <f>'Evolutive SFP'!BF21/'Evolutive SFP'!BF27</f>
        <v>0.16758484416040745</v>
      </c>
      <c r="BI17" s="331">
        <f>'Evolutive SFP'!BG21/'Evolutive SFP'!BG27</f>
        <v>0.16928689164336522</v>
      </c>
      <c r="BJ17" s="331">
        <f>'Evolutive SFP'!BH21/'Evolutive SFP'!BH27</f>
        <v>0.16886694435346339</v>
      </c>
      <c r="BK17" s="331">
        <f>'Evolutive SFP'!BI21/'Evolutive SFP'!BI27</f>
        <v>0.19684025809552952</v>
      </c>
      <c r="BL17" s="331">
        <f>'Evolutive SFP'!BJ21/'Evolutive SFP'!BJ27</f>
        <v>0.16200105583977767</v>
      </c>
      <c r="BM17" s="331">
        <f>'Evolutive SFP'!BK21/'Evolutive SFP'!BK27</f>
        <v>0.16301484437381569</v>
      </c>
      <c r="BN17" s="331">
        <f>'Evolutive SFP'!BL21/'Evolutive SFP'!BL27</f>
        <v>0.16367039720595475</v>
      </c>
      <c r="BO17" s="331">
        <f>'Evolutive SFP'!BM21/'Evolutive SFP'!BM27</f>
        <v>0.17008799625032889</v>
      </c>
      <c r="BP17" s="331">
        <f>'Evolutive SFP'!BN21/'Evolutive SFP'!BN27</f>
        <v>0.18409996963604122</v>
      </c>
      <c r="BQ17" s="331">
        <f>'Evolutive SFP'!BO21/'Evolutive SFP'!BO27</f>
        <v>9.2802981746874139E-2</v>
      </c>
      <c r="BR17" s="331"/>
      <c r="BS17" s="331"/>
      <c r="BT17" s="331"/>
      <c r="BU17" s="331"/>
      <c r="BV17" s="331"/>
      <c r="BW17" s="331"/>
      <c r="BX17" s="331"/>
      <c r="BY17" s="331"/>
    </row>
    <row r="18" spans="1:77" ht="36.75">
      <c r="A18" s="374"/>
      <c r="B18" s="324" t="s">
        <v>35</v>
      </c>
      <c r="C18" s="325" t="s">
        <v>34</v>
      </c>
      <c r="D18" s="331">
        <f>'Evolutive SFP'!B13/'Evolutive SFP'!B31</f>
        <v>3.6721969312762956E-3</v>
      </c>
      <c r="E18" s="331">
        <f>'Evolutive SFP'!C13/'Evolutive SFP'!C31</f>
        <v>3.8661193628123508E-2</v>
      </c>
      <c r="F18" s="331">
        <f>'Evolutive SFP'!D9/'Evolutive SFP'!D31</f>
        <v>0</v>
      </c>
      <c r="G18" s="334">
        <f>'Evolutive SFP'!E13/'Evolutive SFP'!E31</f>
        <v>6.1511491951344477E-2</v>
      </c>
      <c r="H18" s="334">
        <f>'Evolutive SFP'!F13/'Evolutive SFP'!F31</f>
        <v>6.2585916843565431E-2</v>
      </c>
      <c r="I18" s="334">
        <f>'Evolutive SFP'!G13/'Evolutive SFP'!G31</f>
        <v>6.1419348180160677E-2</v>
      </c>
      <c r="J18" s="331">
        <f>'Evolutive SFP'!H13/'Evolutive SFP'!H31</f>
        <v>6.2292255086064972E-2</v>
      </c>
      <c r="K18" s="331">
        <f>'Evolutive SFP'!I13/'Evolutive SFP'!I31</f>
        <v>6.172583612865247E-2</v>
      </c>
      <c r="L18" s="331">
        <f>'Evolutive SFP'!J13/'Evolutive SFP'!J31</f>
        <v>6.2374689862611958E-2</v>
      </c>
      <c r="M18" s="331">
        <f>'Evolutive SFP'!K13/'Evolutive SFP'!K31</f>
        <v>6.4340136600174042E-2</v>
      </c>
      <c r="N18" s="331">
        <f>'Evolutive SFP'!L13/'Evolutive SFP'!L31</f>
        <v>6.5547385258331731E-2</v>
      </c>
      <c r="O18" s="331">
        <f>'Evolutive SFP'!M13/'Evolutive SFP'!M31</f>
        <v>4.3024031262016448E-2</v>
      </c>
      <c r="P18" s="331">
        <f>'Evolutive SFP'!N13/'Evolutive SFP'!N31</f>
        <v>0.33494264425090381</v>
      </c>
      <c r="Q18" s="331">
        <f>'Evolutive SFP'!O13/'Evolutive SFP'!O31</f>
        <v>0.41835316557928304</v>
      </c>
      <c r="R18" s="331">
        <f>'Evolutive SFP'!P13/'Evolutive SFP'!P31</f>
        <v>1.0039339274425341E-3</v>
      </c>
      <c r="S18" s="331">
        <f>'Evolutive SFP'!Q13/'Evolutive SFP'!Q31</f>
        <v>0.26551885096744093</v>
      </c>
      <c r="T18" s="331">
        <f>'Evolutive SFP'!R13/'Evolutive SFP'!R31</f>
        <v>0.22267096270305428</v>
      </c>
      <c r="U18" s="331">
        <f>'Evolutive SFP'!S13/'Evolutive SFP'!S31</f>
        <v>0.22684556592629831</v>
      </c>
      <c r="V18" s="331">
        <f>'Evolutive SFP'!T13/'Evolutive SFP'!T31</f>
        <v>0.22643417270752011</v>
      </c>
      <c r="W18" s="331">
        <f>'Evolutive SFP'!U13/'Evolutive SFP'!U31</f>
        <v>0.24666506595610491</v>
      </c>
      <c r="X18" s="331">
        <f>'Evolutive SFP'!V13/'Evolutive SFP'!V31</f>
        <v>0.27095920962765518</v>
      </c>
      <c r="Y18" s="331">
        <f>'Evolutive SFP'!W13/'Evolutive SFP'!W31</f>
        <v>0.27016510566997726</v>
      </c>
      <c r="Z18" s="331">
        <f>'Evolutive SFP'!X13/'Evolutive SFP'!X31</f>
        <v>0.27407179827435502</v>
      </c>
      <c r="AA18" s="331">
        <f>'Evolutive SFP'!Y13/'Evolutive SFP'!Y31</f>
        <v>0.2747879999762346</v>
      </c>
      <c r="AB18" s="331">
        <f>'Evolutive SFP'!Z13/'Evolutive SFP'!Z31</f>
        <v>0.37355983779642188</v>
      </c>
      <c r="AC18" s="331">
        <f>'Evolutive SFP'!AA13/'Evolutive SFP'!AA31</f>
        <v>0.42422944045750494</v>
      </c>
      <c r="AD18" s="331">
        <f>'Evolutive SFP'!AB13/'Evolutive SFP'!AB31</f>
        <v>0.45702711502840609</v>
      </c>
      <c r="AE18" s="331">
        <f>'Evolutive SFP'!AC13/'Evolutive SFP'!AC31</f>
        <v>0</v>
      </c>
      <c r="AF18" s="331">
        <f>'Evolutive SFP'!AD13/'Evolutive SFP'!AD31</f>
        <v>0</v>
      </c>
      <c r="AG18" s="331">
        <f>'Evolutive SFP'!AE13/'Evolutive SFP'!AE31</f>
        <v>0</v>
      </c>
      <c r="AH18" s="331">
        <f>'Evolutive SFP'!AF13/'Evolutive SFP'!AF31</f>
        <v>0</v>
      </c>
      <c r="AI18" s="331">
        <f>'Evolutive SFP'!AG13/'Evolutive SFP'!AG31</f>
        <v>0</v>
      </c>
      <c r="AJ18" s="331">
        <f>'Evolutive SFP'!AH13/'Evolutive SFP'!AH31</f>
        <v>0</v>
      </c>
      <c r="AK18" s="331">
        <f>'Evolutive SFP'!AI13/'Evolutive SFP'!AI31</f>
        <v>0</v>
      </c>
      <c r="AL18" s="331">
        <f>'Evolutive SFP'!AJ13/'Evolutive SFP'!AJ31</f>
        <v>0</v>
      </c>
      <c r="AM18" s="331">
        <f>'Evolutive SFP'!AK13/'Evolutive SFP'!AK31</f>
        <v>0</v>
      </c>
      <c r="AN18" s="331">
        <f>'Evolutive SFP'!AL13/'Evolutive SFP'!AL31</f>
        <v>0</v>
      </c>
      <c r="AO18" s="331">
        <f>'Evolutive SFP'!AM13/'Evolutive SFP'!AM31</f>
        <v>0</v>
      </c>
      <c r="AP18" s="331">
        <f>'Evolutive SFP'!AN13/'Evolutive SFP'!AN31</f>
        <v>0</v>
      </c>
      <c r="AQ18" s="331">
        <f>'Evolutive SFP'!AO13/'Evolutive SFP'!AO31</f>
        <v>9.87840242342927E-4</v>
      </c>
      <c r="AR18" s="331">
        <f>'Evolutive SFP'!AP13/'Evolutive SFP'!AP31</f>
        <v>0.47030201064420135</v>
      </c>
      <c r="AS18" s="331">
        <f>'Evolutive SFP'!AQ13/'Evolutive SFP'!AQ31</f>
        <v>0.47017246845929722</v>
      </c>
      <c r="AT18" s="331">
        <f>'Evolutive SFP'!AR13/'Evolutive SFP'!AR31</f>
        <v>0.47198864254167261</v>
      </c>
      <c r="AU18" s="331">
        <f>'Evolutive SFP'!AS13/'Evolutive SFP'!AS31</f>
        <v>0.43884344250524193</v>
      </c>
      <c r="AV18" s="331">
        <f>'Evolutive SFP'!AT13/'Evolutive SFP'!AT31</f>
        <v>0.43388640807575712</v>
      </c>
      <c r="AW18" s="331">
        <f>'Evolutive SFP'!AU13/'Evolutive SFP'!AU31</f>
        <v>0.43394011374698654</v>
      </c>
      <c r="AX18" s="331">
        <f>'Evolutive SFP'!AV13/'Evolutive SFP'!AV31</f>
        <v>0.3800885423373595</v>
      </c>
      <c r="AY18" s="331">
        <f>'Evolutive SFP'!AW13/'Evolutive SFP'!AW31</f>
        <v>0.44691956810323924</v>
      </c>
      <c r="AZ18" s="331">
        <f>'Evolutive SFP'!AX13/'Evolutive SFP'!AX31</f>
        <v>0.43000249034916305</v>
      </c>
      <c r="BA18" s="331">
        <f>'Evolutive SFP'!AY13/'Evolutive SFP'!AY31</f>
        <v>0.32346612190147828</v>
      </c>
      <c r="BB18" s="331">
        <f>'Evolutive SFP'!AZ13/'Evolutive SFP'!AZ31</f>
        <v>0.32123633069709889</v>
      </c>
      <c r="BC18" s="331">
        <f>'Evolutive SFP'!BA13/'Evolutive SFP'!BA31</f>
        <v>6.507001722732407E-2</v>
      </c>
      <c r="BD18" s="331">
        <f>'Evolutive SFP'!BB13/'Evolutive SFP'!BB31</f>
        <v>5.8680008852676109E-2</v>
      </c>
      <c r="BE18" s="331">
        <f>'Evolutive SFP'!BC13/'Evolutive SFP'!BC31</f>
        <v>6.6387290772464372E-2</v>
      </c>
      <c r="BF18" s="331">
        <f>'Evolutive SFP'!BD13/'Evolutive SFP'!BD31</f>
        <v>6.7480509264473229E-2</v>
      </c>
      <c r="BG18" s="331">
        <f>'Evolutive SFP'!BE13/'Evolutive SFP'!BE31</f>
        <v>6.7975296262176424E-2</v>
      </c>
      <c r="BH18" s="331">
        <f>'Evolutive SFP'!BF13/'Evolutive SFP'!BF31</f>
        <v>6.6073783048858456E-2</v>
      </c>
      <c r="BI18" s="331">
        <f>'Evolutive SFP'!BG13/'Evolutive SFP'!BG31</f>
        <v>6.6595099163553897E-2</v>
      </c>
      <c r="BJ18" s="331">
        <f>'Evolutive SFP'!BH13/'Evolutive SFP'!BH31</f>
        <v>6.8054254650508364E-2</v>
      </c>
      <c r="BK18" s="331">
        <f>'Evolutive SFP'!BI13/'Evolutive SFP'!BI31</f>
        <v>5.5446106667047065E-2</v>
      </c>
      <c r="BL18" s="331">
        <f>'Evolutive SFP'!BJ13/'Evolutive SFP'!BJ31</f>
        <v>5.8379812601641046E-2</v>
      </c>
      <c r="BM18" s="331">
        <f>'Evolutive SFP'!BK13/'Evolutive SFP'!BK31</f>
        <v>6.103467210972386E-2</v>
      </c>
      <c r="BN18" s="331">
        <f>'Evolutive SFP'!BL13/'Evolutive SFP'!BL31</f>
        <v>6.2343661868381077E-2</v>
      </c>
      <c r="BO18" s="331">
        <f>'Evolutive SFP'!BM13/'Evolutive SFP'!BM31</f>
        <v>6.3567537951230838E-2</v>
      </c>
      <c r="BP18" s="331">
        <f>'Evolutive SFP'!BN13/'Evolutive SFP'!BN31</f>
        <v>6.542019809190884E-2</v>
      </c>
      <c r="BQ18" s="331">
        <f>'Evolutive SFP'!BO13/'Evolutive SFP'!BO31</f>
        <v>4.4706682110743794E-2</v>
      </c>
      <c r="BR18" s="331"/>
      <c r="BS18" s="331"/>
      <c r="BT18" s="331"/>
      <c r="BU18" s="331"/>
      <c r="BV18" s="331"/>
      <c r="BW18" s="331"/>
      <c r="BX18" s="331"/>
      <c r="BY18" s="331"/>
    </row>
    <row r="19" spans="1:77" ht="36.75">
      <c r="A19" s="374"/>
      <c r="B19" s="336" t="s">
        <v>36</v>
      </c>
      <c r="C19" s="337" t="s">
        <v>37</v>
      </c>
      <c r="D19" s="331">
        <f>'Evolutive SFP'!B13/(CAELS!D3*1000000)</f>
        <v>3.0948443377048846E-2</v>
      </c>
      <c r="E19" s="331">
        <f>'Evolutive SFP'!C13/(CAELS!E3*1000000)</f>
        <v>0.13085628032806268</v>
      </c>
      <c r="F19" s="331">
        <f>'Evolutive SFP'!D9/(CAELS!F3*1000000)</f>
        <v>0</v>
      </c>
      <c r="G19" s="331">
        <f>'Evolutive SFP'!E13/(CAELS!G3*1000000)</f>
        <v>0.22034470419356239</v>
      </c>
      <c r="H19" s="331">
        <f>'Evolutive SFP'!F13/(CAELS!H3*1000000)</f>
        <v>0.21904315107216471</v>
      </c>
      <c r="I19" s="331">
        <f>'Evolutive SFP'!G13/(CAELS!I3*1000000)</f>
        <v>0.22003539434470634</v>
      </c>
      <c r="J19" s="331">
        <f>'Evolutive SFP'!H13/(CAELS!J3*1000000)</f>
        <v>0.2213089688894897</v>
      </c>
      <c r="K19" s="331">
        <f>'Evolutive SFP'!I13/(CAELS!K3*1000000)</f>
        <v>0.22064397957098442</v>
      </c>
      <c r="L19" s="331">
        <f>'Evolutive SFP'!J13/(CAELS!L3*1000000)</f>
        <v>0.22009585984450306</v>
      </c>
      <c r="M19" s="331">
        <f>'Evolutive SFP'!K13/(CAELS!M3*1000000)</f>
        <v>0.21486843259016492</v>
      </c>
      <c r="N19" s="331">
        <f>'Evolutive SFP'!L13/(CAELS!N3*1000000)</f>
        <v>0.21473907422137128</v>
      </c>
      <c r="O19" s="331">
        <f>'Evolutive SFP'!M13/(CAELS!O3*1000000)</f>
        <v>0.20439601739157015</v>
      </c>
      <c r="P19" s="331">
        <f>'Evolutive SFP'!N13/(CAELS!P3*1000000)</f>
        <v>1.3837944691530004</v>
      </c>
      <c r="Q19" s="331">
        <f>'Evolutive SFP'!O13/(CAELS!Q3*1000000)</f>
        <v>1.5334663365481538</v>
      </c>
      <c r="R19" s="331">
        <f>'Evolutive SFP'!P13/(CAELS!R3*1000000)</f>
        <v>3.7689026743927801E-3</v>
      </c>
      <c r="S19" s="331">
        <f>'Evolutive SFP'!Q13/(CAELS!S3*1000000)</f>
        <v>0.92460628364883446</v>
      </c>
      <c r="T19" s="331">
        <f>'Evolutive SFP'!R13/(CAELS!T3*1000000)</f>
        <v>0.79547114610041258</v>
      </c>
      <c r="U19" s="331">
        <f>'Evolutive SFP'!S13/(CAELS!U3*1000000)</f>
        <v>0.78987063601744167</v>
      </c>
      <c r="V19" s="331">
        <f>'Evolutive SFP'!T13/(CAELS!V3*1000000)</f>
        <v>0.78342982358844937</v>
      </c>
      <c r="W19" s="331">
        <f>'Evolutive SFP'!U13/(CAELS!W3*1000000)</f>
        <v>0.80807957288817833</v>
      </c>
      <c r="X19" s="331">
        <f>'Evolutive SFP'!V13/(CAELS!X3*1000000)</f>
        <v>0.87157854025355164</v>
      </c>
      <c r="Y19" s="331">
        <f>'Evolutive SFP'!W13/(CAELS!Y3*1000000)</f>
        <v>0.87893291441441745</v>
      </c>
      <c r="Z19" s="331">
        <f>'Evolutive SFP'!X13/(CAELS!Z3*1000000)</f>
        <v>0.86378359467598176</v>
      </c>
      <c r="AA19" s="331">
        <f>'Evolutive SFP'!Y13/(CAELS!AA3*1000000)</f>
        <v>0.85855092050175119</v>
      </c>
      <c r="AB19" s="331">
        <f>'Evolutive SFP'!Z13/(CAELS!AB3*1000000)</f>
        <v>4.0456089424488733</v>
      </c>
      <c r="AC19" s="331">
        <f>'Evolutive SFP'!AA13/(CAELS!AC3*1000000)</f>
        <v>4.1647984096035806</v>
      </c>
      <c r="AD19" s="331">
        <f>'Evolutive SFP'!AB13/(CAELS!AD3*1000000)</f>
        <v>4.0384735909002378</v>
      </c>
      <c r="AE19" s="331">
        <f>'Evolutive SFP'!AC13/(CAELS!AE3*1000000)</f>
        <v>0</v>
      </c>
      <c r="AF19" s="331">
        <f>'Evolutive SFP'!AD13/(CAELS!AF3*1000000)</f>
        <v>0</v>
      </c>
      <c r="AG19" s="331">
        <f>'Evolutive SFP'!AE13/(CAELS!AG3*1000000)</f>
        <v>0</v>
      </c>
      <c r="AH19" s="331">
        <f>'Evolutive SFP'!AF13/(CAELS!AH3*1000000)</f>
        <v>0</v>
      </c>
      <c r="AI19" s="331">
        <f>'Evolutive SFP'!AG13/(CAELS!AI3*1000000)</f>
        <v>0</v>
      </c>
      <c r="AJ19" s="331">
        <f>'Evolutive SFP'!AH13/(CAELS!AJ3*1000000)</f>
        <v>0</v>
      </c>
      <c r="AK19" s="331">
        <f>'Evolutive SFP'!AI13/(CAELS!AK3*1000000)</f>
        <v>0</v>
      </c>
      <c r="AL19" s="331">
        <f>'Evolutive SFP'!AJ13/(CAELS!AL3*1000000)</f>
        <v>0</v>
      </c>
      <c r="AM19" s="331">
        <f>'Evolutive SFP'!AK13/(CAELS!AM3*1000000)</f>
        <v>0</v>
      </c>
      <c r="AN19" s="331">
        <f>'Evolutive SFP'!AL13/(CAELS!AN3*1000000)</f>
        <v>0</v>
      </c>
      <c r="AO19" s="331">
        <f>'Evolutive SFP'!AM13/(CAELS!AO3*1000000)</f>
        <v>0</v>
      </c>
      <c r="AP19" s="331">
        <f>'Evolutive SFP'!AN13/(CAELS!AP3*1000000)</f>
        <v>0</v>
      </c>
      <c r="AQ19" s="331">
        <f>'Evolutive SFP'!AO13/(CAELS!AQ3*1000000)</f>
        <v>3.0186381632495273E-3</v>
      </c>
      <c r="AR19" s="331">
        <f>'Evolutive SFP'!AP13/(CAELS!AR3*1000000)</f>
        <v>1.3340683957844972</v>
      </c>
      <c r="AS19" s="331">
        <f>'Evolutive SFP'!AQ13/(CAELS!AS3*1000000)</f>
        <v>1.3999700345367536</v>
      </c>
      <c r="AT19" s="331">
        <f>'Evolutive SFP'!AR13/(CAELS!AT3*1000000)</f>
        <v>1.4005898955762075</v>
      </c>
      <c r="AU19" s="331">
        <f>'Evolutive SFP'!AS13/(CAELS!AU3*1000000)</f>
        <v>1.2979117728927516</v>
      </c>
      <c r="AV19" s="331">
        <f>'Evolutive SFP'!AT13/(CAELS!AV3*1000000)</f>
        <v>1.2540980555887817</v>
      </c>
      <c r="AW19" s="331">
        <f>'Evolutive SFP'!AU13/(CAELS!AW3*1000000)</f>
        <v>1.2507110027594506</v>
      </c>
      <c r="AX19" s="331">
        <f>'Evolutive SFP'!AV13/(CAELS!AX3*1000000)</f>
        <v>1.0893955857166566</v>
      </c>
      <c r="AY19" s="331">
        <f>'Evolutive SFP'!AW13/(CAELS!AY3*1000000)</f>
        <v>1.238835635971189</v>
      </c>
      <c r="AZ19" s="331">
        <f>'Evolutive SFP'!AX13/(CAELS!AZ3*1000000)</f>
        <v>1.1720336462467025</v>
      </c>
      <c r="BA19" s="331">
        <f>'Evolutive SFP'!AY13/(CAELS!BA3*1000000)</f>
        <v>0.92834749380526771</v>
      </c>
      <c r="BB19" s="331">
        <f>'Evolutive SFP'!AZ13/(CAELS!BB3*1000000)</f>
        <v>0.91836079476366195</v>
      </c>
      <c r="BC19" s="331">
        <f>'Evolutive SFP'!BA13/(CAELS!BC3*1000000)</f>
        <v>0.17481688081135358</v>
      </c>
      <c r="BD19" s="331">
        <f>'Evolutive SFP'!BB13/(CAELS!BD3*1000000)</f>
        <v>0.16606271834957614</v>
      </c>
      <c r="BE19" s="331">
        <f>'Evolutive SFP'!BC13/(CAELS!BE3*1000000)</f>
        <v>0.17396470406354217</v>
      </c>
      <c r="BF19" s="331">
        <f>'Evolutive SFP'!BD13/(CAELS!BF3*1000000)</f>
        <v>0.17484233282678574</v>
      </c>
      <c r="BG19" s="331">
        <f>'Evolutive SFP'!BE13/(CAELS!BG3*1000000)</f>
        <v>0.18148061939303761</v>
      </c>
      <c r="BH19" s="331">
        <f>'Evolutive SFP'!BF13/(CAELS!BH3*1000000)</f>
        <v>0.18029684291954046</v>
      </c>
      <c r="BI19" s="331">
        <f>'Evolutive SFP'!BG13/(CAELS!BI3*1000000)</f>
        <v>0.17914022074577457</v>
      </c>
      <c r="BJ19" s="331">
        <f>'Evolutive SFP'!BH13/(CAELS!BJ3*1000000)</f>
        <v>0.17853901531401428</v>
      </c>
      <c r="BK19" s="331">
        <f>'Evolutive SFP'!BI13/(CAELS!BK3*1000000)</f>
        <v>0.35474036308187484</v>
      </c>
      <c r="BL19" s="331">
        <f>'Evolutive SFP'!BJ13/(CAELS!BL3*1000000)</f>
        <v>0.17518520821667211</v>
      </c>
      <c r="BM19" s="331">
        <f>'Evolutive SFP'!BK13/(CAELS!BM3*1000000)</f>
        <v>0.35376854978581396</v>
      </c>
      <c r="BN19" s="331">
        <f>'Evolutive SFP'!BL13/(CAELS!BN3*1000000)</f>
        <v>0.17295253450516587</v>
      </c>
      <c r="BO19" s="331">
        <f>'Evolutive SFP'!BM13/(CAELS!BO3*1000000)</f>
        <v>0.34607494513189441</v>
      </c>
      <c r="BP19" s="331">
        <f>'Evolutive SFP'!BN13/(CAELS!BP3*1000000)</f>
        <v>0.17481460739449153</v>
      </c>
      <c r="BQ19" s="331">
        <f>'Evolutive SFP'!BO13/(CAELS!BQ3*1000000)</f>
        <v>0.22302156239092497</v>
      </c>
      <c r="BR19" s="331"/>
      <c r="BS19" s="331"/>
      <c r="BT19" s="331"/>
      <c r="BU19" s="331"/>
      <c r="BV19" s="331"/>
      <c r="BW19" s="331"/>
      <c r="BX19" s="331"/>
      <c r="BY19" s="331"/>
    </row>
    <row r="20" spans="1:77" ht="18.75">
      <c r="A20" s="374"/>
      <c r="B20" s="338" t="s">
        <v>38</v>
      </c>
      <c r="C20" s="337"/>
      <c r="D20" s="331">
        <f>'Evolutive SFP'!B15/'Evolutive SFP'!B27</f>
        <v>0.74763911512819969</v>
      </c>
      <c r="E20" s="331">
        <f>'Evolutive SFP'!C15/'Evolutive SFP'!C27</f>
        <v>0.72484899847648732</v>
      </c>
      <c r="F20" s="331">
        <f>'Evolutive SFP'!D11/'Evolutive SFP'!D24</f>
        <v>0</v>
      </c>
      <c r="G20" s="331">
        <f>'Evolutive SFP'!E15/'Evolutive SFP'!E27</f>
        <v>0.75181909684247539</v>
      </c>
      <c r="H20" s="331">
        <f>'Evolutive SFP'!F15/'Evolutive SFP'!F27</f>
        <v>0.77258741760101601</v>
      </c>
      <c r="I20" s="331">
        <f>'Evolutive SFP'!G15/'Evolutive SFP'!G27</f>
        <v>0.73258268959475004</v>
      </c>
      <c r="J20" s="331">
        <f>'Evolutive SFP'!H15/'Evolutive SFP'!H27</f>
        <v>0.74134655415363715</v>
      </c>
      <c r="K20" s="331">
        <f>'Evolutive SFP'!I15/'Evolutive SFP'!I27</f>
        <v>0.73595915140894741</v>
      </c>
      <c r="L20" s="331">
        <f>'Evolutive SFP'!J15/'Evolutive SFP'!J27</f>
        <v>0.73729100721502627</v>
      </c>
      <c r="M20" s="331">
        <f>'Evolutive SFP'!K15/'Evolutive SFP'!K27</f>
        <v>0.74509988619687917</v>
      </c>
      <c r="N20" s="331">
        <f>'Evolutive SFP'!L15/'Evolutive SFP'!L27</f>
        <v>0.75894859028856132</v>
      </c>
      <c r="O20" s="331">
        <f>'Evolutive SFP'!M15/'Evolutive SFP'!M27</f>
        <v>0.4615614574993922</v>
      </c>
      <c r="P20" s="331">
        <f>'Evolutive SFP'!N15/'Evolutive SFP'!N27</f>
        <v>0.54435395565040268</v>
      </c>
      <c r="Q20" s="331">
        <f>'Evolutive SFP'!O15/'Evolutive SFP'!O27</f>
        <v>0.58345141551771407</v>
      </c>
      <c r="R20" s="331">
        <f>'Evolutive SFP'!P15/'Evolutive SFP'!P27</f>
        <v>0.62097986653827264</v>
      </c>
      <c r="S20" s="331">
        <f>'Evolutive SFP'!Q15/'Evolutive SFP'!Q27</f>
        <v>0.61116777360607433</v>
      </c>
      <c r="T20" s="331">
        <f>'Evolutive SFP'!R15/'Evolutive SFP'!R27</f>
        <v>0.62931571073596526</v>
      </c>
      <c r="U20" s="331">
        <f>'Evolutive SFP'!S15/'Evolutive SFP'!S27</f>
        <v>0.64772849172929603</v>
      </c>
      <c r="V20" s="331">
        <f>'Evolutive SFP'!T15/'Evolutive SFP'!T27</f>
        <v>0.65023255683901215</v>
      </c>
      <c r="W20" s="331">
        <f>'Evolutive SFP'!U15/'Evolutive SFP'!U27</f>
        <v>0.68147901567030733</v>
      </c>
      <c r="X20" s="331">
        <f>'Evolutive SFP'!V15/'Evolutive SFP'!V27</f>
        <v>0.66642873003374625</v>
      </c>
      <c r="Y20" s="331">
        <f>'Evolutive SFP'!W15/'Evolutive SFP'!W27</f>
        <v>0.67865214150897246</v>
      </c>
      <c r="Z20" s="331">
        <f>'Evolutive SFP'!X15/'Evolutive SFP'!X27</f>
        <v>0.69474349789057555</v>
      </c>
      <c r="AA20" s="331">
        <f>'Evolutive SFP'!Y15/'Evolutive SFP'!Y27</f>
        <v>0.70297094789072112</v>
      </c>
      <c r="AB20" s="331">
        <f>'Evolutive SFP'!Z15/'Evolutive SFP'!Z27</f>
        <v>6.3002975339002371E-2</v>
      </c>
      <c r="AC20" s="331">
        <f>'Evolutive SFP'!AA15/'Evolutive SFP'!AA27</f>
        <v>6.6593821389095392E-2</v>
      </c>
      <c r="AD20" s="331">
        <f>'Evolutive SFP'!AB15/'Evolutive SFP'!AB27</f>
        <v>6.0765156654434327E-2</v>
      </c>
      <c r="AE20" s="331">
        <f>'Evolutive SFP'!AC15/'Evolutive SFP'!AC27</f>
        <v>0.63201921453563192</v>
      </c>
      <c r="AF20" s="331">
        <f>'Evolutive SFP'!AD15/'Evolutive SFP'!AD27</f>
        <v>0.62581697123723734</v>
      </c>
      <c r="AG20" s="331">
        <f>'Evolutive SFP'!AE15/'Evolutive SFP'!AE27</f>
        <v>0.63295285431182868</v>
      </c>
      <c r="AH20" s="331">
        <f>'Evolutive SFP'!AF15/'Evolutive SFP'!AF27</f>
        <v>0.64731386580395978</v>
      </c>
      <c r="AI20" s="331">
        <f>'Evolutive SFP'!AG15/'Evolutive SFP'!AG27</f>
        <v>0.62852947717239971</v>
      </c>
      <c r="AJ20" s="331">
        <f>'Evolutive SFP'!AH15/'Evolutive SFP'!AH27</f>
        <v>0.62428221221211877</v>
      </c>
      <c r="AK20" s="331">
        <f>'Evolutive SFP'!AI15/'Evolutive SFP'!AI27</f>
        <v>0.61852698240423154</v>
      </c>
      <c r="AL20" s="331">
        <f>'Evolutive SFP'!AJ15/'Evolutive SFP'!AJ27</f>
        <v>0.63061145533656404</v>
      </c>
      <c r="AM20" s="331">
        <f>'Evolutive SFP'!AK15/'Evolutive SFP'!AK27</f>
        <v>0.64384846807436102</v>
      </c>
      <c r="AN20" s="331">
        <f>'Evolutive SFP'!AL15/'Evolutive SFP'!AL27</f>
        <v>0.48594691243670024</v>
      </c>
      <c r="AO20" s="331">
        <f>'Evolutive SFP'!AM15/'Evolutive SFP'!AM27</f>
        <v>0.53112189414377042</v>
      </c>
      <c r="AP20" s="331">
        <f>'Evolutive SFP'!AN15/'Evolutive SFP'!AN27</f>
        <v>0.5623718355682813</v>
      </c>
      <c r="AQ20" s="331">
        <f>'Evolutive SFP'!AO15/'Evolutive SFP'!AO27</f>
        <v>0.59285099755839821</v>
      </c>
      <c r="AR20" s="331">
        <f>'Evolutive SFP'!AP15/'Evolutive SFP'!AP27</f>
        <v>0.5740477660956026</v>
      </c>
      <c r="AS20" s="331">
        <f>'Evolutive SFP'!AQ15/'Evolutive SFP'!AQ27</f>
        <v>0.58210981393215366</v>
      </c>
      <c r="AT20" s="331">
        <f>'Evolutive SFP'!AR15/'Evolutive SFP'!AR27</f>
        <v>0.59076370416842272</v>
      </c>
      <c r="AU20" s="331">
        <f>'Evolutive SFP'!AS15/'Evolutive SFP'!AS27</f>
        <v>0.57369514497851681</v>
      </c>
      <c r="AV20" s="331">
        <f>'Evolutive SFP'!AT15/'Evolutive SFP'!AT27</f>
        <v>0.59313021559884083</v>
      </c>
      <c r="AW20" s="331">
        <f>'Evolutive SFP'!AU15/'Evolutive SFP'!AU27</f>
        <v>0.60612275362801638</v>
      </c>
      <c r="AX20" s="331">
        <f>'Evolutive SFP'!AV15/'Evolutive SFP'!AV27</f>
        <v>0.61338951689392085</v>
      </c>
      <c r="AY20" s="331">
        <f>'Evolutive SFP'!AW15/'Evolutive SFP'!AW27</f>
        <v>0.63869558412659333</v>
      </c>
      <c r="AZ20" s="331">
        <f>'Evolutive SFP'!AX15/'Evolutive SFP'!AX27</f>
        <v>0.65022359557650244</v>
      </c>
      <c r="BA20" s="331">
        <f>'Evolutive SFP'!AY15/'Evolutive SFP'!AY27</f>
        <v>0.55768231786475952</v>
      </c>
      <c r="BB20" s="331">
        <f>'Evolutive SFP'!AZ15/'Evolutive SFP'!AZ27</f>
        <v>0.58123481215616102</v>
      </c>
      <c r="BC20" s="331">
        <f>'Evolutive SFP'!BA15/'Evolutive SFP'!BA27</f>
        <v>0.60281638993025</v>
      </c>
      <c r="BD20" s="331">
        <f>'Evolutive SFP'!BB15/'Evolutive SFP'!BB27</f>
        <v>0.54735603117328513</v>
      </c>
      <c r="BE20" s="331">
        <f>'Evolutive SFP'!BC15/'Evolutive SFP'!BC27</f>
        <v>0.61825942926548183</v>
      </c>
      <c r="BF20" s="331">
        <f>'Evolutive SFP'!BD15/'Evolutive SFP'!BD27</f>
        <v>0.54297412047114502</v>
      </c>
      <c r="BG20" s="331">
        <f>'Evolutive SFP'!BE15/'Evolutive SFP'!BE27</f>
        <v>0.5542852353845179</v>
      </c>
      <c r="BH20" s="331">
        <f>'Evolutive SFP'!BF15/'Evolutive SFP'!BF27</f>
        <v>0.54599966757123519</v>
      </c>
      <c r="BI20" s="331">
        <f>'Evolutive SFP'!BG15/'Evolutive SFP'!BG27</f>
        <v>0.54746250583460188</v>
      </c>
      <c r="BJ20" s="331">
        <f>'Evolutive SFP'!BH15/'Evolutive SFP'!BH27</f>
        <v>0.55576824811664627</v>
      </c>
      <c r="BK20" s="331">
        <f>'Evolutive SFP'!BI15/'Evolutive SFP'!BI27</f>
        <v>0.44517156268300345</v>
      </c>
      <c r="BL20" s="331">
        <f>'Evolutive SFP'!BJ15/'Evolutive SFP'!BJ27</f>
        <v>0.47531014201261029</v>
      </c>
      <c r="BM20" s="331">
        <f>'Evolutive SFP'!BK15/'Evolutive SFP'!BK27</f>
        <v>0.51215675442779263</v>
      </c>
      <c r="BN20" s="331">
        <f>'Evolutive SFP'!BL15/'Evolutive SFP'!BL27</f>
        <v>0.52578822804632208</v>
      </c>
      <c r="BO20" s="331">
        <f>'Evolutive SFP'!BM15/'Evolutive SFP'!BM27</f>
        <v>0.5488482230659445</v>
      </c>
      <c r="BP20" s="331">
        <f>'Evolutive SFP'!BN15/'Evolutive SFP'!BN27</f>
        <v>0.57138880772118317</v>
      </c>
      <c r="BQ20" s="331">
        <f>'Evolutive SFP'!BO15/'Evolutive SFP'!BO27</f>
        <v>0.58810719135472556</v>
      </c>
      <c r="BR20" s="331"/>
      <c r="BS20" s="331"/>
      <c r="BT20" s="331"/>
      <c r="BU20" s="331"/>
      <c r="BV20" s="331"/>
      <c r="BW20" s="331"/>
      <c r="BX20" s="331"/>
      <c r="BY20" s="331"/>
    </row>
    <row r="21" spans="1:77" ht="18.75">
      <c r="A21" s="373" t="s">
        <v>39</v>
      </c>
      <c r="B21" s="339" t="s">
        <v>40</v>
      </c>
      <c r="C21" s="330"/>
      <c r="D21" s="331">
        <f>'Evolutive SFP'!B31/'Evolutive SFP'!B27</f>
        <v>0.85159482956904442</v>
      </c>
      <c r="E21" s="331">
        <f>'Evolutive SFP'!C31/'Evolutive SFP'!C27</f>
        <v>0.74201219525839057</v>
      </c>
      <c r="F21" s="331">
        <f>'Evolutive SFP'!D31/'Evolutive SFP'!D27</f>
        <v>0.72690994746778825</v>
      </c>
      <c r="G21" s="331">
        <f>'Evolutive SFP'!E31/'Evolutive SFP'!E27</f>
        <v>0.72415031831065302</v>
      </c>
      <c r="H21" s="331">
        <f>'Evolutive SFP'!F31/'Evolutive SFP'!F27</f>
        <v>0.72710589772016754</v>
      </c>
      <c r="I21" s="331">
        <f>'Evolutive SFP'!G31/'Evolutive SFP'!G27</f>
        <v>0.70101766270628796</v>
      </c>
      <c r="J21" s="331">
        <f>'Evolutive SFP'!H31/'Evolutive SFP'!H27</f>
        <v>0.6953298795223819</v>
      </c>
      <c r="K21" s="331">
        <f>'Evolutive SFP'!I31/'Evolutive SFP'!I27</f>
        <v>0.69539884133919971</v>
      </c>
      <c r="L21" s="331">
        <f>'Evolutive SFP'!J31/'Evolutive SFP'!J27</f>
        <v>0.69543791547189593</v>
      </c>
      <c r="M21" s="331">
        <f>'Evolutive SFP'!K31/'Evolutive SFP'!K27</f>
        <v>0.68361690932623065</v>
      </c>
      <c r="N21" s="331">
        <f>'Evolutive SFP'!L31/'Evolutive SFP'!L27</f>
        <v>0.67887408222314516</v>
      </c>
      <c r="O21" s="331">
        <f>'Evolutive SFP'!M31/'Evolutive SFP'!M27</f>
        <v>0.78159829984850071</v>
      </c>
      <c r="P21" s="331">
        <f>'Evolutive SFP'!N31/'Evolutive SFP'!N27</f>
        <v>0.75647988381766751</v>
      </c>
      <c r="Q21" s="331">
        <f>'Evolutive SFP'!O31/'Evolutive SFP'!O27</f>
        <v>0.73229041972483278</v>
      </c>
      <c r="R21" s="331">
        <f>'Evolutive SFP'!P31/'Evolutive SFP'!P27</f>
        <v>0.73065213118994499</v>
      </c>
      <c r="S21" s="331">
        <f>'Evolutive SFP'!Q31/'Evolutive SFP'!Q27</f>
        <v>0.72628491608951362</v>
      </c>
      <c r="T21" s="331">
        <f>'Evolutive SFP'!R31/'Evolutive SFP'!R27</f>
        <v>0.71988935071416704</v>
      </c>
      <c r="U21" s="331">
        <f>'Evolutive SFP'!S31/'Evolutive SFP'!S27</f>
        <v>0.72587182718438459</v>
      </c>
      <c r="V21" s="331">
        <f>'Evolutive SFP'!T31/'Evolutive SFP'!T27</f>
        <v>0.72681205916102865</v>
      </c>
      <c r="W21" s="331">
        <f>'Evolutive SFP'!U31/'Evolutive SFP'!U27</f>
        <v>0.71357948205772082</v>
      </c>
      <c r="X21" s="331">
        <f>'Evolutive SFP'!V31/'Evolutive SFP'!V27</f>
        <v>0.6984848167528922</v>
      </c>
      <c r="Y21" s="331">
        <f>'Evolutive SFP'!W31/'Evolutive SFP'!W27</f>
        <v>0.70969696814650618</v>
      </c>
      <c r="Z21" s="331">
        <f>'Evolutive SFP'!X31/'Evolutive SFP'!X27</f>
        <v>0.70395262567175032</v>
      </c>
      <c r="AA21" s="331">
        <f>'Evolutive SFP'!Y31/'Evolutive SFP'!Y27</f>
        <v>0.70112822823442378</v>
      </c>
      <c r="AB21" s="331">
        <f>'Evolutive SFP'!Z31/'Evolutive SFP'!Z27</f>
        <v>0.49417502933469348</v>
      </c>
      <c r="AC21" s="331">
        <f>'Evolutive SFP'!AA31/'Evolutive SFP'!AA27</f>
        <v>0.49334109017260525</v>
      </c>
      <c r="AD21" s="331">
        <f>'Evolutive SFP'!AB31/'Evolutive SFP'!AB27</f>
        <v>0.49176280212540863</v>
      </c>
      <c r="AE21" s="331">
        <f>'Evolutive SFP'!AC31/'Evolutive SFP'!AC27</f>
        <v>0.70324954698427167</v>
      </c>
      <c r="AF21" s="331">
        <f>'Evolutive SFP'!AD31/'Evolutive SFP'!AD27</f>
        <v>0.69124151450949756</v>
      </c>
      <c r="AG21" s="331">
        <f>'Evolutive SFP'!AE31/'Evolutive SFP'!AE27</f>
        <v>0.69036779588843544</v>
      </c>
      <c r="AH21" s="331">
        <f>'Evolutive SFP'!AF31/'Evolutive SFP'!AF27</f>
        <v>0.69545815433083347</v>
      </c>
      <c r="AI21" s="331">
        <f>'Evolutive SFP'!AG31/'Evolutive SFP'!AG27</f>
        <v>0.69825486229090428</v>
      </c>
      <c r="AJ21" s="331">
        <f>'Evolutive SFP'!AH31/'Evolutive SFP'!AH27</f>
        <v>0.69864476902330697</v>
      </c>
      <c r="AK21" s="331">
        <f>'Evolutive SFP'!AI31/'Evolutive SFP'!AI27</f>
        <v>0.69855548919541544</v>
      </c>
      <c r="AL21" s="331">
        <f>'Evolutive SFP'!AJ31/'Evolutive SFP'!AJ27</f>
        <v>0.69138398538021884</v>
      </c>
      <c r="AM21" s="331">
        <f>'Evolutive SFP'!AK31/'Evolutive SFP'!AK27</f>
        <v>0.686491851313762</v>
      </c>
      <c r="AN21" s="331">
        <f>'Evolutive SFP'!AL31/'Evolutive SFP'!AL27</f>
        <v>0.72733581302551975</v>
      </c>
      <c r="AO21" s="331">
        <f>'Evolutive SFP'!AM31/'Evolutive SFP'!AM27</f>
        <v>0.70262882306665242</v>
      </c>
      <c r="AP21" s="331">
        <f>'Evolutive SFP'!AN31/'Evolutive SFP'!AN27</f>
        <v>0.69449205514804602</v>
      </c>
      <c r="AQ21" s="331">
        <f>'Evolutive SFP'!AO31/'Evolutive SFP'!AO27</f>
        <v>0.69195663848665134</v>
      </c>
      <c r="AR21" s="331">
        <f>'Evolutive SFP'!AP31/'Evolutive SFP'!AP27</f>
        <v>0.68775984428673975</v>
      </c>
      <c r="AS21" s="331">
        <f>'Evolutive SFP'!AQ31/'Evolutive SFP'!AQ27</f>
        <v>0.68811548595320737</v>
      </c>
      <c r="AT21" s="331">
        <f>'Evolutive SFP'!AR31/'Evolutive SFP'!AR27</f>
        <v>0.69854769366065295</v>
      </c>
      <c r="AU21" s="331">
        <f>'Evolutive SFP'!AS31/'Evolutive SFP'!AS27</f>
        <v>0.68239431040081377</v>
      </c>
      <c r="AV21" s="331">
        <f>'Evolutive SFP'!AT31/'Evolutive SFP'!AT27</f>
        <v>0.68323174949583931</v>
      </c>
      <c r="AW21" s="331">
        <f>'Evolutive SFP'!AU31/'Evolutive SFP'!AU27</f>
        <v>0.68522622296030311</v>
      </c>
      <c r="AX21" s="331">
        <f>'Evolutive SFP'!AV31/'Evolutive SFP'!AV27</f>
        <v>0.68302248295895762</v>
      </c>
      <c r="AY21" s="331">
        <f>'Evolutive SFP'!AW31/'Evolutive SFP'!AW27</f>
        <v>0.67197827017565237</v>
      </c>
      <c r="AZ21" s="331">
        <f>'Evolutive SFP'!AX31/'Evolutive SFP'!AX27</f>
        <v>0.66951696842963393</v>
      </c>
      <c r="BA21" s="331">
        <f>'Evolutive SFP'!AY31/'Evolutive SFP'!AY27</f>
        <v>0.68355348269779148</v>
      </c>
      <c r="BB21" s="331">
        <f>'Evolutive SFP'!AZ31/'Evolutive SFP'!AZ27</f>
        <v>0.68239059960283854</v>
      </c>
      <c r="BC21" s="331">
        <f>'Evolutive SFP'!BA31/'Evolutive SFP'!BA27</f>
        <v>0.67433746293915275</v>
      </c>
      <c r="BD21" s="331">
        <f>'Evolutive SFP'!BB31/'Evolutive SFP'!BB27</f>
        <v>0.67109227950106409</v>
      </c>
      <c r="BE21" s="331">
        <f>'Evolutive SFP'!BC31/'Evolutive SFP'!BC27</f>
        <v>0.66774829589595275</v>
      </c>
      <c r="BF21" s="331">
        <f>'Evolutive SFP'!BD31/'Evolutive SFP'!BD27</f>
        <v>0.66252564125599012</v>
      </c>
      <c r="BG21" s="331">
        <f>'Evolutive SFP'!BE31/'Evolutive SFP'!BE27</f>
        <v>0.67135220300593668</v>
      </c>
      <c r="BH21" s="331">
        <f>'Evolutive SFP'!BF31/'Evolutive SFP'!BF27</f>
        <v>0.67850801297787655</v>
      </c>
      <c r="BI21" s="331">
        <f>'Evolutive SFP'!BG31/'Evolutive SFP'!BG27</f>
        <v>0.67525448599082427</v>
      </c>
      <c r="BJ21" s="331">
        <f>'Evolutive SFP'!BH31/'Evolutive SFP'!BH27</f>
        <v>0.65829124843776565</v>
      </c>
      <c r="BK21" s="331">
        <f>'Evolutive SFP'!BI31/'Evolutive SFP'!BI27</f>
        <v>0.69537155199050293</v>
      </c>
      <c r="BL21" s="331">
        <f>'Evolutive SFP'!BJ31/'Evolutive SFP'!BJ27</f>
        <v>0.68605648735763003</v>
      </c>
      <c r="BM21" s="331">
        <f>'Evolutive SFP'!BK31/'Evolutive SFP'!BK27</f>
        <v>0.67979610293295645</v>
      </c>
      <c r="BN21" s="331">
        <f>'Evolutive SFP'!BL31/'Evolutive SFP'!BL27</f>
        <v>0.6736053040472334</v>
      </c>
      <c r="BO21" s="331">
        <f>'Evolutive SFP'!BM31/'Evolutive SFP'!BM27</f>
        <v>0.67245012864861797</v>
      </c>
      <c r="BP21" s="331">
        <f>'Evolutive SFP'!BN31/'Evolutive SFP'!BN27</f>
        <v>0.65790483207418238</v>
      </c>
      <c r="BQ21" s="331">
        <f>'Evolutive SFP'!BO31/'Evolutive SFP'!BO27</f>
        <v>0.6770745640798721</v>
      </c>
      <c r="BR21" s="331"/>
      <c r="BS21" s="331"/>
      <c r="BT21" s="331"/>
      <c r="BU21" s="331"/>
      <c r="BV21" s="331"/>
      <c r="BW21" s="331"/>
      <c r="BX21" s="331"/>
      <c r="BY21" s="331"/>
    </row>
    <row r="22" spans="1:77" ht="18.75">
      <c r="A22" s="373"/>
      <c r="B22" s="339" t="s">
        <v>41</v>
      </c>
      <c r="C22" s="330"/>
      <c r="D22" s="331">
        <f>'Evolutive SFP'!B30/'Evolutive SFP'!B27</f>
        <v>0.74257767546849374</v>
      </c>
      <c r="E22" s="331">
        <f>'Evolutive SFP'!C30/'Evolutive SFP'!C27</f>
        <v>0.236405531334139</v>
      </c>
      <c r="F22" s="331">
        <f>'Evolutive SFP'!D30/'Evolutive SFP'!D27</f>
        <v>0.24333688787093524</v>
      </c>
      <c r="G22" s="331">
        <f>'Evolutive SFP'!E30/'Evolutive SFP'!E27</f>
        <v>0.24793522371790147</v>
      </c>
      <c r="H22" s="331">
        <f>'Evolutive SFP'!F30/'Evolutive SFP'!F27</f>
        <v>0.25593211489558332</v>
      </c>
      <c r="I22" s="331">
        <f>'Evolutive SFP'!G30/'Evolutive SFP'!G27</f>
        <v>0.24254152735825096</v>
      </c>
      <c r="J22" s="331">
        <f>'Evolutive SFP'!H30/'Evolutive SFP'!H27</f>
        <v>0.24605095200990457</v>
      </c>
      <c r="K22" s="331">
        <f>'Evolutive SFP'!I30/'Evolutive SFP'!I27</f>
        <v>0.24483627083874354</v>
      </c>
      <c r="L22" s="331">
        <f>'Evolutive SFP'!J30/'Evolutive SFP'!J27</f>
        <v>0.24833769746415318</v>
      </c>
      <c r="M22" s="331">
        <f>'Evolutive SFP'!K30/'Evolutive SFP'!K27</f>
        <v>0.25114224143085256</v>
      </c>
      <c r="N22" s="331">
        <f>'Evolutive SFP'!L30/'Evolutive SFP'!L27</f>
        <v>0.25313686379693323</v>
      </c>
      <c r="O22" s="331">
        <f>'Evolutive SFP'!M30/'Evolutive SFP'!M27</f>
        <v>0.19162614181639576</v>
      </c>
      <c r="P22" s="331">
        <f>'Evolutive SFP'!N30/'Evolutive SFP'!N27</f>
        <v>0.21285199427022564</v>
      </c>
      <c r="Q22" s="331">
        <f>'Evolutive SFP'!O30/'Evolutive SFP'!O27</f>
        <v>0.2245138747246615</v>
      </c>
      <c r="R22" s="331">
        <f>'Evolutive SFP'!P30/'Evolutive SFP'!P27</f>
        <v>0.22401080573131762</v>
      </c>
      <c r="S22" s="331">
        <f>'Evolutive SFP'!Q30/'Evolutive SFP'!Q27</f>
        <v>0.23043554549679432</v>
      </c>
      <c r="T22" s="331">
        <f>'Evolutive SFP'!R30/'Evolutive SFP'!R27</f>
        <v>0.23170739496602591</v>
      </c>
      <c r="U22" s="331">
        <f>'Evolutive SFP'!S30/'Evolutive SFP'!S27</f>
        <v>0.23939848719053441</v>
      </c>
      <c r="V22" s="331">
        <f>'Evolutive SFP'!T30/'Evolutive SFP'!T27</f>
        <v>0.23950399093518174</v>
      </c>
      <c r="W22" s="331">
        <f>'Evolutive SFP'!U30/'Evolutive SFP'!U27</f>
        <v>0.24788641770206093</v>
      </c>
      <c r="X22" s="331">
        <f>'Evolutive SFP'!V30/'Evolutive SFP'!V27</f>
        <v>0.24380878325558192</v>
      </c>
      <c r="Y22" s="331">
        <f>'Evolutive SFP'!W30/'Evolutive SFP'!W27</f>
        <v>0.24755204927576802</v>
      </c>
      <c r="Z22" s="331">
        <f>'Evolutive SFP'!X30/'Evolutive SFP'!X27</f>
        <v>0.25116095034551572</v>
      </c>
      <c r="AA22" s="331">
        <f>'Evolutive SFP'!Y30/'Evolutive SFP'!Y27</f>
        <v>0.25126727758807044</v>
      </c>
      <c r="AB22" s="331">
        <f>'Evolutive SFP'!Z30/'Evolutive SFP'!Z27</f>
        <v>0.35387277704181419</v>
      </c>
      <c r="AC22" s="331">
        <f>'Evolutive SFP'!AA30/'Evolutive SFP'!AA27</f>
        <v>0.34381877834882807</v>
      </c>
      <c r="AD22" s="331">
        <f>'Evolutive SFP'!AB30/'Evolutive SFP'!AB27</f>
        <v>0.33708722016257853</v>
      </c>
      <c r="AE22" s="331">
        <f>'Evolutive SFP'!AC30/'Evolutive SFP'!AC27</f>
        <v>0.23261652028263122</v>
      </c>
      <c r="AF22" s="331">
        <f>'Evolutive SFP'!AD30/'Evolutive SFP'!AD27</f>
        <v>0.23855794592929933</v>
      </c>
      <c r="AG22" s="331">
        <f>'Evolutive SFP'!AE30/'Evolutive SFP'!AE27</f>
        <v>0.24275887503003435</v>
      </c>
      <c r="AH22" s="331">
        <f>'Evolutive SFP'!AF30/'Evolutive SFP'!AF27</f>
        <v>0.24702692771301674</v>
      </c>
      <c r="AI22" s="331">
        <f>'Evolutive SFP'!AG30/'Evolutive SFP'!AG27</f>
        <v>0.24230604944336062</v>
      </c>
      <c r="AJ22" s="331">
        <f>'Evolutive SFP'!AH30/'Evolutive SFP'!AH27</f>
        <v>0.24287647625111072</v>
      </c>
      <c r="AK22" s="331">
        <f>'Evolutive SFP'!AI30/'Evolutive SFP'!AI27</f>
        <v>0.23980282299488243</v>
      </c>
      <c r="AL22" s="331">
        <f>'Evolutive SFP'!AJ30/'Evolutive SFP'!AJ27</f>
        <v>0.24270917039237924</v>
      </c>
      <c r="AM22" s="331">
        <f>'Evolutive SFP'!AK30/'Evolutive SFP'!AK27</f>
        <v>0.24492614395277698</v>
      </c>
      <c r="AN22" s="331">
        <f>'Evolutive SFP'!AL30/'Evolutive SFP'!AL27</f>
        <v>0.20769959489076126</v>
      </c>
      <c r="AO22" s="331">
        <f>'Evolutive SFP'!AM30/'Evolutive SFP'!AM27</f>
        <v>0.21827697834410664</v>
      </c>
      <c r="AP22" s="331">
        <f>'Evolutive SFP'!AN30/'Evolutive SFP'!AN27</f>
        <v>0.21969343236655758</v>
      </c>
      <c r="AQ22" s="331">
        <f>'Evolutive SFP'!AO30/'Evolutive SFP'!AO27</f>
        <v>0.21889138697436503</v>
      </c>
      <c r="AR22" s="331">
        <f>'Evolutive SFP'!AP30/'Evolutive SFP'!AP27</f>
        <v>0.22250647476592694</v>
      </c>
      <c r="AS22" s="331">
        <f>'Evolutive SFP'!AQ30/'Evolutive SFP'!AQ27</f>
        <v>0.22329421246296105</v>
      </c>
      <c r="AT22" s="331">
        <f>'Evolutive SFP'!AR30/'Evolutive SFP'!AR27</f>
        <v>0.22508758632741513</v>
      </c>
      <c r="AU22" s="331">
        <f>'Evolutive SFP'!AS30/'Evolutive SFP'!AS27</f>
        <v>0.21987933346469904</v>
      </c>
      <c r="AV22" s="331">
        <f>'Evolutive SFP'!AT30/'Evolutive SFP'!AT27</f>
        <v>0.22453009297422905</v>
      </c>
      <c r="AW22" s="331">
        <f>'Evolutive SFP'!AU30/'Evolutive SFP'!AU27</f>
        <v>0.22606986465492593</v>
      </c>
      <c r="AX22" s="331">
        <f>'Evolutive SFP'!AV30/'Evolutive SFP'!AV27</f>
        <v>0.22649152050329041</v>
      </c>
      <c r="AY22" s="331">
        <f>'Evolutive SFP'!AW30/'Evolutive SFP'!AW27</f>
        <v>0.23135157956681277</v>
      </c>
      <c r="AZ22" s="331">
        <f>'Evolutive SFP'!AX30/'Evolutive SFP'!AX27</f>
        <v>0.23317771003651497</v>
      </c>
      <c r="BA22" s="331">
        <f>'Evolutive SFP'!AY30/'Evolutive SFP'!AY27</f>
        <v>0.22018569329936963</v>
      </c>
      <c r="BB22" s="331">
        <f>'Evolutive SFP'!AZ30/'Evolutive SFP'!AZ27</f>
        <v>0.21992961645843581</v>
      </c>
      <c r="BC22" s="331">
        <f>'Evolutive SFP'!BA30/'Evolutive SFP'!BA27</f>
        <v>0.22613769069307676</v>
      </c>
      <c r="BD22" s="331">
        <f>'Evolutive SFP'!BB30/'Evolutive SFP'!BB27</f>
        <v>0.22504942505621564</v>
      </c>
      <c r="BE22" s="331">
        <f>'Evolutive SFP'!BC30/'Evolutive SFP'!BC27</f>
        <v>0.22990054844152374</v>
      </c>
      <c r="BF22" s="331">
        <f>'Evolutive SFP'!BD30/'Evolutive SFP'!BD27</f>
        <v>0.23257849394297511</v>
      </c>
      <c r="BG22" s="331">
        <f>'Evolutive SFP'!BE30/'Evolutive SFP'!BE27</f>
        <v>0.23761842383257778</v>
      </c>
      <c r="BH22" s="331">
        <f>'Evolutive SFP'!BF30/'Evolutive SFP'!BF27</f>
        <v>0.23396614387303705</v>
      </c>
      <c r="BI22" s="331">
        <f>'Evolutive SFP'!BG30/'Evolutive SFP'!BG27</f>
        <v>0.23471680826523728</v>
      </c>
      <c r="BJ22" s="331">
        <f>'Evolutive SFP'!BH30/'Evolutive SFP'!BH27</f>
        <v>0.23430630780609799</v>
      </c>
      <c r="BK22" s="331">
        <f>'Evolutive SFP'!BI30/'Evolutive SFP'!BI27</f>
        <v>0.20312394071501644</v>
      </c>
      <c r="BL22" s="331">
        <f>'Evolutive SFP'!BJ30/'Evolutive SFP'!BJ27</f>
        <v>0.21127283492558849</v>
      </c>
      <c r="BM22" s="331">
        <f>'Evolutive SFP'!BK30/'Evolutive SFP'!BK27</f>
        <v>0.21913660011136163</v>
      </c>
      <c r="BN22" s="331">
        <f>'Evolutive SFP'!BL30/'Evolutive SFP'!BL27</f>
        <v>0.22277288829286954</v>
      </c>
      <c r="BO22" s="331">
        <f>'Evolutive SFP'!BM30/'Evolutive SFP'!BM27</f>
        <v>0.22830552888890654</v>
      </c>
      <c r="BP22" s="331">
        <f>'Evolutive SFP'!BN30/'Evolutive SFP'!BN27</f>
        <v>0.23099320082902472</v>
      </c>
      <c r="BQ22" s="331">
        <f>'Evolutive SFP'!BO30/'Evolutive SFP'!BO27</f>
        <v>0.23772343931972306</v>
      </c>
      <c r="BR22" s="331"/>
      <c r="BS22" s="331"/>
      <c r="BT22" s="331"/>
      <c r="BU22" s="331"/>
      <c r="BV22" s="331"/>
      <c r="BW22" s="331"/>
      <c r="BX22" s="331"/>
      <c r="BY22" s="331"/>
    </row>
    <row r="23" spans="1:77" ht="18.75">
      <c r="A23" s="373"/>
      <c r="B23" s="339" t="s">
        <v>42</v>
      </c>
      <c r="C23" s="330"/>
      <c r="D23" s="331">
        <f>('Evolutive SFP'!B28+'Evolutive SFP'!B29)/'Evolutive SFP'!B27</f>
        <v>0.10901715410055068</v>
      </c>
      <c r="E23" s="331">
        <f>('Evolutive SFP'!C28+'Evolutive SFP'!C29)/'Evolutive SFP'!C27</f>
        <v>0.50560666392425158</v>
      </c>
      <c r="F23" s="331">
        <f>('Evolutive SFP'!D28+'Evolutive SFP'!D29)/'Evolutive SFP'!D27</f>
        <v>0.48357305959685298</v>
      </c>
      <c r="G23" s="331">
        <f>('Evolutive SFP'!E28+'Evolutive SFP'!E29)/'Evolutive SFP'!E27</f>
        <v>0.47621509459275158</v>
      </c>
      <c r="H23" s="331">
        <f>('Evolutive SFP'!F28+'Evolutive SFP'!F29)/'Evolutive SFP'!F27</f>
        <v>0.47117378282458411</v>
      </c>
      <c r="I23" s="331">
        <f>('Evolutive SFP'!G28+'Evolutive SFP'!G29)/'Evolutive SFP'!G27</f>
        <v>0.45847613534803705</v>
      </c>
      <c r="J23" s="331">
        <f>('Evolutive SFP'!H28+'Evolutive SFP'!H29)/'Evolutive SFP'!H27</f>
        <v>0.44927892751247733</v>
      </c>
      <c r="K23" s="331">
        <f>('Evolutive SFP'!I28+'Evolutive SFP'!I29)/'Evolutive SFP'!I27</f>
        <v>0.45056257050045612</v>
      </c>
      <c r="L23" s="331">
        <f>('Evolutive SFP'!J28+'Evolutive SFP'!J29)/'Evolutive SFP'!J27</f>
        <v>0.4471002180077428</v>
      </c>
      <c r="M23" s="331">
        <f>('Evolutive SFP'!K28+'Evolutive SFP'!K29)/'Evolutive SFP'!K27</f>
        <v>0.43247466789537814</v>
      </c>
      <c r="N23" s="331">
        <f>('Evolutive SFP'!L28+'Evolutive SFP'!L29)/'Evolutive SFP'!L27</f>
        <v>0.42573721842621187</v>
      </c>
      <c r="O23" s="331">
        <f>('Evolutive SFP'!M28+'Evolutive SFP'!M29)/'Evolutive SFP'!M27</f>
        <v>0.5899721580321049</v>
      </c>
      <c r="P23" s="331">
        <f>('Evolutive SFP'!N28+'Evolutive SFP'!N29)/'Evolutive SFP'!N27</f>
        <v>0.54362788954744179</v>
      </c>
      <c r="Q23" s="331">
        <f>('Evolutive SFP'!O28+'Evolutive SFP'!O29)/'Evolutive SFP'!O27</f>
        <v>0.50777654500017122</v>
      </c>
      <c r="R23" s="331">
        <f>('Evolutive SFP'!P28+'Evolutive SFP'!P29)/'Evolutive SFP'!P27</f>
        <v>0.50664132545862728</v>
      </c>
      <c r="S23" s="331">
        <f>('Evolutive SFP'!Q28+'Evolutive SFP'!Q29)/'Evolutive SFP'!Q27</f>
        <v>0.49584937059271933</v>
      </c>
      <c r="T23" s="331">
        <f>('Evolutive SFP'!R28+'Evolutive SFP'!R29)/'Evolutive SFP'!R27</f>
        <v>0.48818195574814116</v>
      </c>
      <c r="U23" s="331">
        <f>('Evolutive SFP'!S28+'Evolutive SFP'!S29)/'Evolutive SFP'!S27</f>
        <v>0.48647333999385012</v>
      </c>
      <c r="V23" s="331">
        <f>('Evolutive SFP'!T28+'Evolutive SFP'!T29)/'Evolutive SFP'!T27</f>
        <v>0.48730806822584694</v>
      </c>
      <c r="W23" s="331">
        <f>('Evolutive SFP'!U28+'Evolutive SFP'!U29)/'Evolutive SFP'!U27</f>
        <v>0.46569306435565988</v>
      </c>
      <c r="X23" s="331">
        <f>('Evolutive SFP'!V28+'Evolutive SFP'!V29)/'Evolutive SFP'!V27</f>
        <v>0.45467603349731028</v>
      </c>
      <c r="Y23" s="331">
        <f>('Evolutive SFP'!W28+'Evolutive SFP'!W29)/'Evolutive SFP'!W27</f>
        <v>0.46214491887073816</v>
      </c>
      <c r="Z23" s="331">
        <f>('Evolutive SFP'!X28+'Evolutive SFP'!X29)/'Evolutive SFP'!X27</f>
        <v>0.45279167532623465</v>
      </c>
      <c r="AA23" s="331">
        <f>('Evolutive SFP'!Y28+'Evolutive SFP'!Y29)/'Evolutive SFP'!Y27</f>
        <v>0.44986095064635334</v>
      </c>
      <c r="AB23" s="331">
        <f>('Evolutive SFP'!Z28+'Evolutive SFP'!Z29)/'Evolutive SFP'!Z27</f>
        <v>0.14030225229287932</v>
      </c>
      <c r="AC23" s="331">
        <f>('Evolutive SFP'!AA28+'Evolutive SFP'!AA29)/'Evolutive SFP'!AA27</f>
        <v>0.14952231182377715</v>
      </c>
      <c r="AD23" s="331">
        <f>('Evolutive SFP'!AB28+'Evolutive SFP'!AB29)/'Evolutive SFP'!AB27</f>
        <v>0.15467558196283007</v>
      </c>
      <c r="AE23" s="331">
        <f>('Evolutive SFP'!AC28+'Evolutive SFP'!AC29)/'Evolutive SFP'!AC27</f>
        <v>0.47063302670164042</v>
      </c>
      <c r="AF23" s="331">
        <f>('Evolutive SFP'!AD28+'Evolutive SFP'!AD29)/'Evolutive SFP'!AD27</f>
        <v>0.4526835685801982</v>
      </c>
      <c r="AG23" s="331">
        <f>('Evolutive SFP'!AE28+'Evolutive SFP'!AE29)/'Evolutive SFP'!AE27</f>
        <v>0.44760892085840098</v>
      </c>
      <c r="AH23" s="331">
        <f>('Evolutive SFP'!AF28+'Evolutive SFP'!AF29)/'Evolutive SFP'!AF27</f>
        <v>0.4484312266178167</v>
      </c>
      <c r="AI23" s="331">
        <f>('Evolutive SFP'!AG28+'Evolutive SFP'!AG29)/'Evolutive SFP'!AG27</f>
        <v>0.45594881284754368</v>
      </c>
      <c r="AJ23" s="331">
        <f>('Evolutive SFP'!AH28+'Evolutive SFP'!AH29)/'Evolutive SFP'!AH27</f>
        <v>0.45576829277219633</v>
      </c>
      <c r="AK23" s="331">
        <f>('Evolutive SFP'!AI28+'Evolutive SFP'!AI29)/'Evolutive SFP'!AI27</f>
        <v>0.45875266620053301</v>
      </c>
      <c r="AL23" s="331">
        <f>('Evolutive SFP'!AJ28+'Evolutive SFP'!AJ29)/'Evolutive SFP'!AJ27</f>
        <v>0.44867481498783951</v>
      </c>
      <c r="AM23" s="331">
        <f>('Evolutive SFP'!AK28+'Evolutive SFP'!AK29)/'Evolutive SFP'!AK27</f>
        <v>0.4415657073609851</v>
      </c>
      <c r="AN23" s="331">
        <f>('Evolutive SFP'!AL28+'Evolutive SFP'!AL29)/'Evolutive SFP'!AL27</f>
        <v>0.51963621813475847</v>
      </c>
      <c r="AO23" s="331">
        <f>('Evolutive SFP'!AM28+'Evolutive SFP'!AM29)/'Evolutive SFP'!AM27</f>
        <v>0.48435184472254583</v>
      </c>
      <c r="AP23" s="331">
        <f>('Evolutive SFP'!AN28+'Evolutive SFP'!AN29)/'Evolutive SFP'!AN27</f>
        <v>0.47479862278148838</v>
      </c>
      <c r="AQ23" s="331">
        <f>('Evolutive SFP'!AO28+'Evolutive SFP'!AO29)/'Evolutive SFP'!AO27</f>
        <v>0.47306525151228629</v>
      </c>
      <c r="AR23" s="331">
        <f>('Evolutive SFP'!AP28+'Evolutive SFP'!AP29)/'Evolutive SFP'!AP27</f>
        <v>0.46525336952081281</v>
      </c>
      <c r="AS23" s="331">
        <f>('Evolutive SFP'!AQ28+'Evolutive SFP'!AQ29)/'Evolutive SFP'!AQ27</f>
        <v>0.46482127349024621</v>
      </c>
      <c r="AT23" s="331">
        <f>('Evolutive SFP'!AR28+'Evolutive SFP'!AR29)/'Evolutive SFP'!AR27</f>
        <v>0.47346010733323785</v>
      </c>
      <c r="AU23" s="331">
        <f>('Evolutive SFP'!AS28+'Evolutive SFP'!AS29)/'Evolutive SFP'!AS27</f>
        <v>0.46251497693611465</v>
      </c>
      <c r="AV23" s="331">
        <f>('Evolutive SFP'!AT28+'Evolutive SFP'!AT29)/'Evolutive SFP'!AT27</f>
        <v>0.45870165652161032</v>
      </c>
      <c r="AW23" s="331">
        <f>('Evolutive SFP'!AU28+'Evolutive SFP'!AU29)/'Evolutive SFP'!AU27</f>
        <v>0.45915635830537721</v>
      </c>
      <c r="AX23" s="331">
        <f>('Evolutive SFP'!AV28+'Evolutive SFP'!AV29)/'Evolutive SFP'!AV27</f>
        <v>0.45653096245566727</v>
      </c>
      <c r="AY23" s="331">
        <f>('Evolutive SFP'!AW28+'Evolutive SFP'!AW29)/'Evolutive SFP'!AW27</f>
        <v>0.44062669060883952</v>
      </c>
      <c r="AZ23" s="331">
        <f>('Evolutive SFP'!AX28+'Evolutive SFP'!AX29)/'Evolutive SFP'!AX27</f>
        <v>0.43633925839311888</v>
      </c>
      <c r="BA23" s="331">
        <f>('Evolutive SFP'!AY28+'Evolutive SFP'!AY29)/'Evolutive SFP'!AY27</f>
        <v>0.46336778939842194</v>
      </c>
      <c r="BB23" s="331">
        <f>('Evolutive SFP'!AZ28+'Evolutive SFP'!AZ29)/'Evolutive SFP'!AZ27</f>
        <v>0.46246098314440276</v>
      </c>
      <c r="BC23" s="331">
        <f>('Evolutive SFP'!BA28+'Evolutive SFP'!BA29)/'Evolutive SFP'!BA27</f>
        <v>0.44819977224607599</v>
      </c>
      <c r="BD23" s="331">
        <f>('Evolutive SFP'!BB28+'Evolutive SFP'!BB29)/'Evolutive SFP'!BB27</f>
        <v>0.44604285444484842</v>
      </c>
      <c r="BE23" s="331">
        <f>('Evolutive SFP'!BC28+'Evolutive SFP'!BC29)/'Evolutive SFP'!BC27</f>
        <v>0.43784774745442895</v>
      </c>
      <c r="BF23" s="331">
        <f>('Evolutive SFP'!BD28+'Evolutive SFP'!BD29)/'Evolutive SFP'!BD27</f>
        <v>0.42994714731301503</v>
      </c>
      <c r="BG23" s="331">
        <f>('Evolutive SFP'!BE28+'Evolutive SFP'!BE29)/'Evolutive SFP'!BE27</f>
        <v>0.43373377917335887</v>
      </c>
      <c r="BH23" s="331">
        <f>('Evolutive SFP'!BF28+'Evolutive SFP'!BF29)/'Evolutive SFP'!BF27</f>
        <v>0.4445418691048395</v>
      </c>
      <c r="BI23" s="331">
        <f>('Evolutive SFP'!BG28+'Evolutive SFP'!BG29)/'Evolutive SFP'!BG27</f>
        <v>0.440537677725587</v>
      </c>
      <c r="BJ23" s="331">
        <f>('Evolutive SFP'!BH28+'Evolutive SFP'!BH29)/'Evolutive SFP'!BH27</f>
        <v>0.42398494063166769</v>
      </c>
      <c r="BK23" s="331">
        <f>('Evolutive SFP'!BI28+'Evolutive SFP'!BI29)/'Evolutive SFP'!BI27</f>
        <v>0.49224761127548644</v>
      </c>
      <c r="BL23" s="331">
        <f>('Evolutive SFP'!BJ28+'Evolutive SFP'!BJ29)/'Evolutive SFP'!BJ27</f>
        <v>0.47478365243204151</v>
      </c>
      <c r="BM23" s="331">
        <f>('Evolutive SFP'!BK28+'Evolutive SFP'!BK29)/'Evolutive SFP'!BK27</f>
        <v>0.46065950282159479</v>
      </c>
      <c r="BN23" s="331">
        <f>('Evolutive SFP'!BL28+'Evolutive SFP'!BL29)/'Evolutive SFP'!BL27</f>
        <v>0.45083241575436378</v>
      </c>
      <c r="BO23" s="331">
        <f>('Evolutive SFP'!BM28+'Evolutive SFP'!BM29)/'Evolutive SFP'!BM27</f>
        <v>0.44414459975971143</v>
      </c>
      <c r="BP23" s="331">
        <f>('Evolutive SFP'!BN28+'Evolutive SFP'!BN29)/'Evolutive SFP'!BN27</f>
        <v>0.42691163124515763</v>
      </c>
      <c r="BQ23" s="331">
        <f>('Evolutive SFP'!BO28+'Evolutive SFP'!BO29)/'Evolutive SFP'!BO27</f>
        <v>0.43935112476014904</v>
      </c>
      <c r="BR23" s="331"/>
      <c r="BS23" s="331"/>
      <c r="BT23" s="331"/>
      <c r="BU23" s="331"/>
      <c r="BV23" s="331"/>
      <c r="BW23" s="331"/>
      <c r="BX23" s="331"/>
      <c r="BY23" s="331"/>
    </row>
    <row r="24" spans="1:77" ht="18.75">
      <c r="A24" s="372" t="s">
        <v>43</v>
      </c>
      <c r="B24" s="339" t="s">
        <v>44</v>
      </c>
      <c r="C24" s="330"/>
      <c r="D24" s="331" t="e">
        <f>(Financials!C4-Financials!B4)/Financials!B4</f>
        <v>#VALUE!</v>
      </c>
      <c r="E24" s="331">
        <f>(Financials!D4-Financials!C4)/Financials!C4</f>
        <v>6.6054969744244323</v>
      </c>
      <c r="F24" s="331">
        <f>(Financials!E4-Financials!D4)/Financials!D4</f>
        <v>-0.99948282602353622</v>
      </c>
      <c r="G24" s="331">
        <f>(Financials!F4-Financials!E4)/Financials!E4</f>
        <v>1846.5986597138044</v>
      </c>
      <c r="H24" s="331">
        <f>(Financials!G4-Financials!F4)/Financials!F4</f>
        <v>-2.0161115294232482E-2</v>
      </c>
      <c r="I24" s="331">
        <f>(Financials!H4-Financials!G4)/Financials!G4</f>
        <v>-0.36915537613424415</v>
      </c>
      <c r="J24" s="331">
        <f>(Financials!I4-Financials!H4)/Financials!H4</f>
        <v>0.6688354406624677</v>
      </c>
      <c r="K24" s="331">
        <f>(Financials!J4-Financials!I4)/Financials!I4</f>
        <v>1.0105215358031662E-2</v>
      </c>
      <c r="L24" s="331">
        <f>(Financials!K4-Financials!J4)/Financials!J4</f>
        <v>-9.4501382000970226E-3</v>
      </c>
      <c r="M24" s="331">
        <f>(Financials!L4-Financials!K4)/Financials!K4</f>
        <v>-8.7662759193495813E-3</v>
      </c>
      <c r="N24" s="331">
        <f>(Financials!M4-Financials!L4)/Financials!L4</f>
        <v>-1.0559572113637597E-2</v>
      </c>
      <c r="O24" s="331">
        <f>(Financials!N4-Financials!M4)/Financials!M4</f>
        <v>0.32461273732218116</v>
      </c>
      <c r="P24" s="331">
        <f>(Financials!O4-Financials!N4)/Financials!N4</f>
        <v>-8.9384705699076028E-2</v>
      </c>
      <c r="Q24" s="331">
        <f>(Financials!P4-Financials!O4)/Financials!O4</f>
        <v>-5.0913248680479389E-2</v>
      </c>
      <c r="R24" s="331">
        <f>(Financials!Q4-Financials!P4)/Financials!P4</f>
        <v>2.2422252044359695E-3</v>
      </c>
      <c r="S24" s="331">
        <f>(Financials!R4-Financials!Q4)/Financials!Q4</f>
        <v>-2.5148761241886333E-2</v>
      </c>
      <c r="T24" s="331">
        <f>(Financials!S4-Financials!R4)/Financials!R4</f>
        <v>2.4564219943205606E-3</v>
      </c>
      <c r="U24" s="331">
        <f>(Financials!T4-Financials!S4)/Financials!S4</f>
        <v>-2.6249181180009695E-2</v>
      </c>
      <c r="V24" s="331">
        <f>(Financials!U4-Financials!T4)/Financials!T4</f>
        <v>1.0217880123544101E-3</v>
      </c>
      <c r="W24" s="331">
        <f>(Financials!V4-Financials!U4)/Financials!U4</f>
        <v>-3.3422017705448982E-2</v>
      </c>
      <c r="X24" s="331">
        <f>(Financials!W4-Financials!V4)/Financials!V4</f>
        <v>2.0279483675593044E-2</v>
      </c>
      <c r="Y24" s="331">
        <f>(Financials!X4-Financials!W4)/Financials!W4</f>
        <v>-1.3123395407119804E-2</v>
      </c>
      <c r="Z24" s="331">
        <f>(Financials!Y4-Financials!X4)/Financials!X4</f>
        <v>-5.9911502868315453E-3</v>
      </c>
      <c r="AA24" s="331">
        <f>(Financials!Z4-Financials!Y4)/Financials!Y4</f>
        <v>1.6324223340069808E-3</v>
      </c>
      <c r="AB24" s="331">
        <f>(Financials!AA4-Financials!Z4)/Financials!Z4</f>
        <v>1.5278590386329987</v>
      </c>
      <c r="AC24" s="331">
        <f>(Financials!AB4-Financials!AA4)/Financials!AA4</f>
        <v>-5.3908669205648477E-2</v>
      </c>
      <c r="AD24" s="331">
        <f>(Financials!AC4-Financials!AB4)/Financials!AB4</f>
        <v>-4.1713858525010188E-2</v>
      </c>
      <c r="AE24" s="331">
        <f>(Financials!AD4-Financials!AC4)/Financials!AC4</f>
        <v>-0.52067197082191108</v>
      </c>
      <c r="AF24" s="331">
        <f>(Financials!AE4-Financials!AD4)/Financials!AD4</f>
        <v>-2.8882820615043714E-2</v>
      </c>
      <c r="AG24" s="331">
        <f>(Financials!AF4-Financials!AE4)/Financials!AE4</f>
        <v>-5.5480463772501635E-3</v>
      </c>
      <c r="AH24" s="331">
        <f>(Financials!AG4-Financials!AF4)/Financials!AF4</f>
        <v>-1.4220143724747558E-2</v>
      </c>
      <c r="AI24" s="331">
        <f>(Financials!AH4-Financials!AG4)/Financials!AG4</f>
        <v>2.0099660458122125E-2</v>
      </c>
      <c r="AJ24" s="331">
        <f>(Financials!AI4-Financials!AH4)/Financials!AH4</f>
        <v>-2.8703048704910757E-3</v>
      </c>
      <c r="AK24" s="331">
        <f>(Financials!AJ4-Financials!AI4)/Financials!AI4</f>
        <v>1.0931470992682477E-2</v>
      </c>
      <c r="AL24" s="331">
        <f>(Financials!AK4-Financials!AJ4)/Financials!AJ4</f>
        <v>0.9907112730010379</v>
      </c>
      <c r="AM24" s="331">
        <f>(Financials!AL4-Financials!AK4)/Financials!AK4</f>
        <v>-0.50107995375012626</v>
      </c>
      <c r="AN24" s="331">
        <f>(Financials!AM4-Financials!AL4)/Financials!AL4</f>
        <v>0.18569611048040524</v>
      </c>
      <c r="AO24" s="331">
        <f>(Financials!AN4-Financials!AM4)/Financials!AM4</f>
        <v>-4.5915102057661937E-2</v>
      </c>
      <c r="AP24" s="331">
        <f>(Financials!AO4-Financials!AN4)/Financials!AN4</f>
        <v>-4.1296978619780732E-2</v>
      </c>
      <c r="AQ24" s="331">
        <f>(Financials!AP4-Financials!AO4)/Financials!AO4</f>
        <v>3.6641291058404513E-3</v>
      </c>
      <c r="AR24" s="331">
        <f>(Financials!AQ4-Financials!AP4)/Financials!AP4</f>
        <v>-1.717594472331397E-2</v>
      </c>
      <c r="AS24" s="331">
        <f>(Financials!AR4-Financials!AQ4)/Financials!AQ4</f>
        <v>-1.265006229846681E-4</v>
      </c>
      <c r="AT24" s="331">
        <f>(Financials!AS4-Financials!AR4)/Financials!AR4</f>
        <v>-7.3300486726837494E-3</v>
      </c>
      <c r="AU24" s="331">
        <f>(Financials!AT4-Financials!AS4)/Financials!AS4</f>
        <v>2.6036580936580078E-2</v>
      </c>
      <c r="AV24" s="331">
        <f>(Financials!AU4-Financials!AT4)/Financials!AT4</f>
        <v>-1.4330684665989794E-2</v>
      </c>
      <c r="AW24" s="331">
        <f>(Financials!AV4-Financials!AU4)/Financials!AU4</f>
        <v>-2.843328847084299E-3</v>
      </c>
      <c r="AX24" s="331">
        <f>(Financials!AW4-Financials!AV4)/Financials!AV4</f>
        <v>2.2384124804138636E-3</v>
      </c>
      <c r="AY24" s="331">
        <f>(Financials!AX4-Financials!AW4)/Financials!AW4</f>
        <v>-1.1730907015346554E-2</v>
      </c>
      <c r="AZ24" s="331">
        <f>(Financials!AY4-Financials!AX4)/Financials!AX4</f>
        <v>-8.8291243704951648E-3</v>
      </c>
      <c r="BA24" s="331">
        <f>(Financials!AZ4-Financials!AY4)/Financials!AY4</f>
        <v>6.2584545305115188E-2</v>
      </c>
      <c r="BB24" s="331">
        <f>(Financials!BA4-Financials!AZ4)/Financials!AZ4</f>
        <v>8.6572396747211285E-3</v>
      </c>
      <c r="BC24" s="331">
        <f>(Financials!BB4-Financials!BA4)/Financials!BA4</f>
        <v>-2.6586981346793027E-2</v>
      </c>
      <c r="BD24" s="331">
        <f>(Financials!BC4-Financials!BB4)/Financials!BB4</f>
        <v>4.8356739262466128E-3</v>
      </c>
      <c r="BE24" s="331">
        <f>(Financials!BD4-Financials!BC4)/Financials!BC4</f>
        <v>-1.4933771486252063E-2</v>
      </c>
      <c r="BF24" s="331">
        <f>(Financials!BE4-Financials!BD4)/Financials!BD4</f>
        <v>-7.6254824908316837E-3</v>
      </c>
      <c r="BG24" s="331">
        <f>(Financials!BF4-Financials!BE4)/Financials!BE4</f>
        <v>-1.9521373017915757E-2</v>
      </c>
      <c r="BH24" s="331">
        <f>(Financials!BG4-Financials!BF4)/Financials!BF4</f>
        <v>1.9609136186307455E-2</v>
      </c>
      <c r="BI24" s="331">
        <f>(Financials!BH4-Financials!BG4)/Financials!BG4</f>
        <v>-2.2261084296965401E-3</v>
      </c>
      <c r="BJ24" s="331">
        <f>(Financials!BI4-Financials!BH4)/Financials!BH4</f>
        <v>5.0990223266134229E-3</v>
      </c>
      <c r="BK24" s="331">
        <f>(Financials!BJ4-Financials!BI4)/Financials!BI4</f>
        <v>0.1628999514477735</v>
      </c>
      <c r="BL24" s="331">
        <f>(Financials!BK4-Financials!BJ4)/Financials!BJ4</f>
        <v>-3.6565763678970804E-2</v>
      </c>
      <c r="BM24" s="331">
        <f>(Financials!BL4-Financials!BK4)/Financials!BK4</f>
        <v>-3.3896480025308352E-2</v>
      </c>
      <c r="BN24" s="331">
        <f>(Financials!BM4-Financials!BL4)/Financials!BL4</f>
        <v>-1.118836700632074E-2</v>
      </c>
      <c r="BO24" s="331">
        <f>(Financials!BN4-Financials!BM4)/Financials!BM4</f>
        <v>-1.5750188787648479E-2</v>
      </c>
      <c r="BP24" s="331">
        <f>(Financials!BO4-Financials!BN4)/Financials!BN4</f>
        <v>-6.0245019133737289E-3</v>
      </c>
      <c r="BQ24" s="331">
        <f>(Financials!BP4-Financials!BO4)/Financials!BO4</f>
        <v>-2.8312691800315169E-2</v>
      </c>
      <c r="BR24" s="331"/>
      <c r="BS24" s="331"/>
      <c r="BT24" s="331"/>
      <c r="BU24" s="331"/>
      <c r="BV24" s="331"/>
      <c r="BW24" s="331"/>
      <c r="BX24" s="331"/>
      <c r="BY24" s="331"/>
    </row>
    <row r="25" spans="1:77" ht="18.75">
      <c r="A25" s="372"/>
      <c r="B25" s="339" t="s">
        <v>45</v>
      </c>
      <c r="C25" s="330"/>
      <c r="D25" s="331">
        <f>Financials!D5/Financials!C5-1</f>
        <v>5.6268268783167557</v>
      </c>
      <c r="E25" s="331">
        <f>Financials!E5/Financials!D5-1</f>
        <v>-4.8549295067578324E-2</v>
      </c>
      <c r="F25" s="331">
        <f>Financials!F5/Financials!E5-1</f>
        <v>-1.9888031174012388E-2</v>
      </c>
      <c r="G25" s="331">
        <f>Financials!G5/Financials!F5-1</f>
        <v>-1.6161957164972818E-2</v>
      </c>
      <c r="H25" s="331">
        <f>Financials!H5/Financials!G5-1</f>
        <v>-1</v>
      </c>
      <c r="I25" s="331" t="e">
        <f>Financials!I5/Financials!H5-1</f>
        <v>#DIV/0!</v>
      </c>
      <c r="J25" s="331">
        <f>Financials!J5/Financials!I5-1</f>
        <v>1.0205396139671752E-2</v>
      </c>
      <c r="K25" s="331">
        <f>Financials!K5/Financials!J5-1</f>
        <v>-9.3944796708598233E-3</v>
      </c>
      <c r="L25" s="331">
        <f>Financials!L5/Financials!K5-1</f>
        <v>-2.561519899855369E-2</v>
      </c>
      <c r="M25" s="331">
        <f>Financials!M5/Financials!L5-1</f>
        <v>-1.742415491468785E-2</v>
      </c>
      <c r="N25" s="331">
        <f>Financials!N5/Financials!M5-1</f>
        <v>0.52504726658334655</v>
      </c>
      <c r="O25" s="331">
        <f>Financials!O5/Financials!N5-1</f>
        <v>-0.11864937248599694</v>
      </c>
      <c r="P25" s="331">
        <f>Financials!P5/Financials!O5-1</f>
        <v>-8.1261577014299591E-2</v>
      </c>
      <c r="Q25" s="331">
        <f>Financials!Q5/Financials!P5-1</f>
        <v>-2.6091545590745113E-9</v>
      </c>
      <c r="R25" s="331">
        <f>Financials!R5/Financials!Q5-1</f>
        <v>-3.0975590274253562E-2</v>
      </c>
      <c r="S25" s="331">
        <f>Financials!S5/Financials!R5-1</f>
        <v>-6.3710717905159919E-3</v>
      </c>
      <c r="T25" s="331">
        <f>Financials!T5/Financials!S5-1</f>
        <v>-1.8157046804544108E-2</v>
      </c>
      <c r="U25" s="331">
        <f>Financials!U5/Financials!T5-1</f>
        <v>2.3184255992647618E-3</v>
      </c>
      <c r="V25" s="331">
        <f>Financials!V5/Financials!U5-1</f>
        <v>-5.101985130748965E-2</v>
      </c>
      <c r="W25" s="331">
        <f>Financials!W5/Financials!V5-1</f>
        <v>-1.3029436653050341E-3</v>
      </c>
      <c r="X25" s="331">
        <f>Financials!X5/Financials!W5-1</f>
        <v>2.7180511528068774E-3</v>
      </c>
      <c r="Y25" s="331">
        <f>Financials!Y5/Financials!X5-1</f>
        <v>-1.4036735250513965E-2</v>
      </c>
      <c r="Z25" s="331">
        <f>Financials!Z5/Financials!Y5-1</f>
        <v>-2.3863254390890098E-3</v>
      </c>
      <c r="AA25" s="331">
        <f>Financials!AA5/Financials!Z5-1</f>
        <v>0.78170663263148166</v>
      </c>
      <c r="AB25" s="331">
        <f>Financials!AB5/Financials!AA5-1</f>
        <v>-5.5505234318871111E-2</v>
      </c>
      <c r="AC25" s="331">
        <f>Financials!AC5/Financials!AB5-1</f>
        <v>-4.4779590516551782E-2</v>
      </c>
      <c r="AD25" s="331">
        <f>Financials!AD5/Financials!AC5-1</f>
        <v>-0.31453290505207576</v>
      </c>
      <c r="AE25" s="331">
        <f>Financials!AE5/Financials!AD5-1</f>
        <v>-4.5464710609672276E-2</v>
      </c>
      <c r="AF25" s="331">
        <f>Financials!AF5/Financials!AE5-1</f>
        <v>-6.8050183203319792E-3</v>
      </c>
      <c r="AG25" s="331">
        <f>Financials!AG5/Financials!AF5-1</f>
        <v>-6.9515937668529482E-3</v>
      </c>
      <c r="AH25" s="331">
        <f>Financials!AH5/Financials!AG5-1</f>
        <v>2.420187828776843E-2</v>
      </c>
      <c r="AI25" s="331">
        <f>Financials!AI5/Financials!AH5-1</f>
        <v>-2.3135059103892575E-3</v>
      </c>
      <c r="AJ25" s="331">
        <f>Financials!AJ5/Financials!AI5-1</f>
        <v>1.0802284041398824E-2</v>
      </c>
      <c r="AK25" s="331">
        <f>Financials!AK5/Financials!AJ5-1</f>
        <v>0.97027425159029024</v>
      </c>
      <c r="AL25" s="331">
        <f>Financials!AL5/Financials!AK5-1</f>
        <v>-0.50461024054633385</v>
      </c>
      <c r="AM25" s="331">
        <f>Financials!AM5/Financials!AL5-1</f>
        <v>0.2562410505923125</v>
      </c>
      <c r="AN25" s="331">
        <f>Financials!AN5/Financials!AM5-1</f>
        <v>-7.8324569007065636E-2</v>
      </c>
      <c r="AO25" s="331">
        <f>Financials!AO5/Financials!AN5-1</f>
        <v>-5.2399204619834272E-2</v>
      </c>
      <c r="AP25" s="331">
        <f>Financials!AP5/Financials!AO5-1</f>
        <v>2.5884583365609615E-9</v>
      </c>
      <c r="AQ25" s="331">
        <f>Financials!AQ5/Financials!AP5-1</f>
        <v>-2.3136882252202673E-2</v>
      </c>
      <c r="AR25" s="331">
        <f>Financials!AR5/Financials!AQ5-1</f>
        <v>3.9053549148060362E-4</v>
      </c>
      <c r="AS25" s="331">
        <f>Financials!AS5/Financials!AR5-1</f>
        <v>7.7193715606673763E-3</v>
      </c>
      <c r="AT25" s="331">
        <f>Financials!AT5/Financials!AS5-1</f>
        <v>2.310266640658698E-3</v>
      </c>
      <c r="AU25" s="331">
        <f>Financials!AU5/Financials!AT5-1</f>
        <v>-1.3121064352855871E-2</v>
      </c>
      <c r="AV25" s="331">
        <f>Financials!AV5/Financials!AU5-1</f>
        <v>6.7546594513911984E-5</v>
      </c>
      <c r="AW25" s="331">
        <f>Financials!AW5/Financials!AV5-1</f>
        <v>-9.848629962984079E-4</v>
      </c>
      <c r="AX25" s="331">
        <f>Financials!AX5/Financials!AW5-1</f>
        <v>-2.771084094490428E-2</v>
      </c>
      <c r="AY25" s="331">
        <f>Financials!AY5/Financials!AX5-1</f>
        <v>-1.2459555167240843E-2</v>
      </c>
      <c r="AZ25" s="331">
        <f>Financials!AZ5/Financials!AY5-1</f>
        <v>8.4861774762469366E-2</v>
      </c>
      <c r="BA25" s="331">
        <f>Financials!BA5/Financials!AZ5-1</f>
        <v>6.9412796477306138E-3</v>
      </c>
      <c r="BB25" s="331">
        <f>Financials!BB5/Financials!BA5-1</f>
        <v>-3.8074578148372229E-2</v>
      </c>
      <c r="BC25" s="331">
        <f>Financials!BC5/Financials!BB5-1</f>
        <v>0</v>
      </c>
      <c r="BD25" s="331">
        <f>Financials!BD5/Financials!BC5-1</f>
        <v>-1.9842254892659117E-2</v>
      </c>
      <c r="BE25" s="331">
        <f>Financials!BE5/Financials!BD5-1</f>
        <v>-1.5387133715258794E-2</v>
      </c>
      <c r="BF25" s="331">
        <f>Financials!BF5/Financials!BE5-1</f>
        <v>-6.4588519520837329E-3</v>
      </c>
      <c r="BG25" s="331">
        <f>Financials!BG5/Financials!BF5-1</f>
        <v>3.0476947733711457E-2</v>
      </c>
      <c r="BH25" s="331">
        <f>Financials!BH5/Financials!BG5-1</f>
        <v>-7.0105534489273147E-3</v>
      </c>
      <c r="BI25" s="331">
        <f>Financials!BI5/Financials!BH5-1</f>
        <v>-2.0150322674117205E-2</v>
      </c>
      <c r="BJ25" s="331">
        <f>Financials!BJ5/Financials!BI5-1</f>
        <v>0.2284039108327407</v>
      </c>
      <c r="BK25" s="331">
        <f>Financials!BK5/Financials!BJ5-1</f>
        <v>-4.9471744884505564E-2</v>
      </c>
      <c r="BL25" s="331">
        <f>Financials!BL5/Financials!BK5-1</f>
        <v>-4.2712342189029973E-2</v>
      </c>
      <c r="BM25" s="331">
        <f>Financials!BM5/Financials!BL5-1</f>
        <v>-2.0193322947250847E-2</v>
      </c>
      <c r="BN25" s="331">
        <f>Financials!BN5/Financials!BM5-1</f>
        <v>-1.743809290772147E-2</v>
      </c>
      <c r="BO25" s="331">
        <f>Financials!BO5/Financials!BN5-1</f>
        <v>-2.7524487996277824E-2</v>
      </c>
      <c r="BP25" s="331">
        <f>Financials!BP5/Financials!BO5-1</f>
        <v>-1.0860679677815455E-7</v>
      </c>
      <c r="BQ25" s="331" t="e">
        <f>Financials!#REF!/Financials!BP5-1</f>
        <v>#REF!</v>
      </c>
      <c r="BR25" s="331"/>
      <c r="BS25" s="331"/>
      <c r="BT25" s="331"/>
      <c r="BU25" s="331"/>
      <c r="BV25" s="331"/>
      <c r="BW25" s="331"/>
      <c r="BX25" s="331"/>
      <c r="BY25" s="331"/>
    </row>
    <row r="26" spans="1:77" ht="18.75">
      <c r="A26" s="372"/>
      <c r="B26" s="340" t="s">
        <v>46</v>
      </c>
      <c r="C26" s="330"/>
      <c r="D26" s="331">
        <f>Financials!D6/Financials!C6-1</f>
        <v>1.4212706800869608</v>
      </c>
      <c r="E26" s="331">
        <f>Financials!E6/Financials!D6-1</f>
        <v>3.1082710533024036</v>
      </c>
      <c r="F26" s="331">
        <f>Financials!F6/Financials!E6-1</f>
        <v>-0.75606966657152386</v>
      </c>
      <c r="G26" s="331">
        <f>Financials!G6/Financials!F6-1</f>
        <v>1.144256253400755E-2</v>
      </c>
      <c r="H26" s="331">
        <f>Financials!H6/Financials!G6-1</f>
        <v>-1</v>
      </c>
      <c r="I26" s="331" t="e">
        <f>Financials!I6/Financials!H6-1</f>
        <v>#DIV/0!</v>
      </c>
      <c r="J26" s="331">
        <f>Financials!J6/Financials!I6-1</f>
        <v>5.118623044673809E-3</v>
      </c>
      <c r="K26" s="331">
        <f>Financials!K6/Financials!J6-1</f>
        <v>4.7158088959784461E-3</v>
      </c>
      <c r="L26" s="331">
        <f>Financials!L6/Financials!K6-1</f>
        <v>2.4279913580163015E-3</v>
      </c>
      <c r="M26" s="331">
        <f>Financials!M6/Financials!L6-1</f>
        <v>-2.7012365500045377E-3</v>
      </c>
      <c r="N26" s="331">
        <f>Financials!N6/Financials!M6-1</f>
        <v>2.7398793149606693E-3</v>
      </c>
      <c r="O26" s="331">
        <f>Financials!O6/Financials!N6-1</f>
        <v>1.1481416719397064E-2</v>
      </c>
      <c r="P26" s="331">
        <f>Financials!P6/Financials!O6-1</f>
        <v>1.0859645414820207E-3</v>
      </c>
      <c r="Q26" s="331">
        <f>Financials!Q6/Financials!P6-1</f>
        <v>-3.5023165854131122E-6</v>
      </c>
      <c r="R26" s="331">
        <f>Financials!R6/Financials!Q6-1</f>
        <v>2.8104503623325172E-3</v>
      </c>
      <c r="S26" s="331">
        <f>Financials!S6/Financials!R6-1</f>
        <v>7.9893082749182831E-3</v>
      </c>
      <c r="T26" s="331">
        <f>Financials!T6/Financials!S6-1</f>
        <v>6.0726502070866939E-3</v>
      </c>
      <c r="U26" s="331">
        <f>Financials!U6/Financials!T6-1</f>
        <v>1.4629417905100972E-3</v>
      </c>
      <c r="V26" s="331">
        <f>Financials!V6/Financials!U6-1</f>
        <v>4.0735239993128225E-4</v>
      </c>
      <c r="W26" s="331">
        <f>Financials!W6/Financials!V6-1</f>
        <v>3.4962859262439583E-3</v>
      </c>
      <c r="X26" s="331">
        <f>Financials!X6/Financials!W6-1</f>
        <v>2.0284035180921922E-3</v>
      </c>
      <c r="Y26" s="331">
        <f>Financials!Y6/Financials!X6-1</f>
        <v>8.4998612461506529E-3</v>
      </c>
      <c r="Z26" s="331">
        <f>Financials!Z6/Financials!Y6-1</f>
        <v>2.0564564578373634E-3</v>
      </c>
      <c r="AA26" s="331">
        <f>Financials!AA6/Financials!Z6-1</f>
        <v>2.5601153741866325</v>
      </c>
      <c r="AB26" s="331">
        <f>Financials!AB6/Financials!AA6-1</f>
        <v>-8.0788388755615337E-2</v>
      </c>
      <c r="AC26" s="331">
        <f>Financials!AC6/Financials!AB6-1</f>
        <v>-6.0475948691797732E-2</v>
      </c>
      <c r="AD26" s="331">
        <f>Financials!AD6/Financials!AC6-1</f>
        <v>-0.66922620748552308</v>
      </c>
      <c r="AE26" s="331">
        <f>Financials!AE6/Financials!AD6-1</f>
        <v>-4.0788191257797868E-3</v>
      </c>
      <c r="AF26" s="331">
        <f>Financials!AF6/Financials!AE6-1</f>
        <v>1.1963934349205063E-2</v>
      </c>
      <c r="AG26" s="331">
        <f>Financials!AG6/Financials!AF6-1</f>
        <v>3.1112941470297084E-3</v>
      </c>
      <c r="AH26" s="331">
        <f>Financials!AH6/Financials!AG6-1</f>
        <v>6.0475613928989702E-4</v>
      </c>
      <c r="AI26" s="331">
        <f>Financials!AI6/Financials!AH6-1</f>
        <v>-5.2290368008645061E-4</v>
      </c>
      <c r="AJ26" s="331">
        <f>Financials!AJ6/Financials!AI6-1</f>
        <v>-1.8620809214507927E-3</v>
      </c>
      <c r="AK26" s="331">
        <f>Financials!AK6/Financials!AJ6-1</f>
        <v>1.0148381721559225</v>
      </c>
      <c r="AL26" s="331">
        <f>Financials!AL6/Financials!AK6-1</f>
        <v>-0.49652267826893948</v>
      </c>
      <c r="AM26" s="331">
        <f>Financials!AM6/Financials!AL6-1</f>
        <v>5.4810721137770191E-3</v>
      </c>
      <c r="AN26" s="331">
        <f>Financials!AN6/Financials!AM6-1</f>
        <v>2.6729648468002409E-3</v>
      </c>
      <c r="AO26" s="331">
        <f>Financials!AO6/Financials!AN6-1</f>
        <v>-3.5075714420176984E-2</v>
      </c>
      <c r="AP26" s="331">
        <f>Financials!AP6/Financials!AO6-1</f>
        <v>4.1413983353777439E-9</v>
      </c>
      <c r="AQ26" s="331">
        <f>Financials!AQ6/Financials!AP6-1</f>
        <v>-9.4417200445306992E-4</v>
      </c>
      <c r="AR26" s="331">
        <f>Financials!AR6/Financials!AQ6-1</f>
        <v>3.4133426492313212E-3</v>
      </c>
      <c r="AS26" s="331">
        <f>Financials!AS6/Financials!AR6-1</f>
        <v>6.4251956857597214E-4</v>
      </c>
      <c r="AT26" s="331">
        <f>Financials!AT6/Financials!AS6-1</f>
        <v>2.2953429273850912E-3</v>
      </c>
      <c r="AU26" s="331">
        <f>Financials!AU6/Financials!AT6-1</f>
        <v>6.5176182159065732E-3</v>
      </c>
      <c r="AV26" s="331">
        <f>Financials!AV6/Financials!AU6-1</f>
        <v>3.9949242490628922E-3</v>
      </c>
      <c r="AW26" s="331">
        <f>Financials!AW6/Financials!AV6-1</f>
        <v>4.1077447274293633E-3</v>
      </c>
      <c r="AX26" s="331">
        <f>Financials!AX6/Financials!AW6-1</f>
        <v>9.4753887077170251E-3</v>
      </c>
      <c r="AY26" s="331">
        <f>Financials!AY6/Financials!AX6-1</f>
        <v>-1.0055022449944051E-3</v>
      </c>
      <c r="AZ26" s="331">
        <f>Financials!AZ6/Financials!AY6-1</f>
        <v>3.3802749009061994E-3</v>
      </c>
      <c r="BA26" s="331">
        <f>Financials!BA6/Financials!AZ6-1</f>
        <v>7.4841672754635269E-3</v>
      </c>
      <c r="BB26" s="331">
        <f>Financials!BB6/Financials!BA6-1</f>
        <v>8.9008326177064667E-4</v>
      </c>
      <c r="BC26" s="331">
        <f>Financials!BC6/Financials!BB6-1</f>
        <v>0</v>
      </c>
      <c r="BD26" s="331">
        <f>Financials!BD6/Financials!BC6-1</f>
        <v>6.3001322041333907E-3</v>
      </c>
      <c r="BE26" s="331">
        <f>Financials!BE6/Financials!BD6-1</f>
        <v>3.9339717729087731E-3</v>
      </c>
      <c r="BF26" s="331">
        <f>Financials!BF6/Financials!BE6-1</f>
        <v>1.7254045945285235E-3</v>
      </c>
      <c r="BG26" s="331">
        <f>Financials!BG6/Financials!BF6-1</f>
        <v>3.9373799537953946E-3</v>
      </c>
      <c r="BH26" s="331">
        <f>Financials!BH6/Financials!BG6-1</f>
        <v>9.7518095119486503E-4</v>
      </c>
      <c r="BI26" s="331">
        <f>Financials!BI6/Financials!BH6-1</f>
        <v>3.3411865193060386E-3</v>
      </c>
      <c r="BJ26" s="331">
        <f>Financials!BJ6/Financials!BI6-1</f>
        <v>8.136840220506425E-3</v>
      </c>
      <c r="BK26" s="331">
        <f>Financials!BK6/Financials!BJ6-1</f>
        <v>2.085139030908234E-3</v>
      </c>
      <c r="BL26" s="331">
        <f>Financials!BL6/Financials!BK6-1</f>
        <v>2.0627630496741212E-3</v>
      </c>
      <c r="BM26" s="331">
        <f>Financials!BM6/Financials!BL6-1</f>
        <v>5.2196819136918204E-3</v>
      </c>
      <c r="BN26" s="331">
        <f>Financials!BN6/Financials!BM6-1</f>
        <v>8.693990680888275E-3</v>
      </c>
      <c r="BO26" s="331">
        <f>Financials!BO6/Financials!BN6-1</f>
        <v>5.6768356248528828E-3</v>
      </c>
      <c r="BP26" s="331">
        <f>Financials!BP6/Financials!BO6-1</f>
        <v>-1.5237698366421526E-6</v>
      </c>
      <c r="BQ26" s="331" t="e">
        <f>Financials!#REF!/Financials!BP6-1</f>
        <v>#REF!</v>
      </c>
      <c r="BR26" s="331"/>
      <c r="BS26" s="331"/>
      <c r="BT26" s="331"/>
      <c r="BU26" s="331"/>
      <c r="BV26" s="331"/>
      <c r="BW26" s="331"/>
      <c r="BX26" s="331"/>
      <c r="BY26" s="331"/>
    </row>
    <row r="27" spans="1:77" ht="18.75">
      <c r="A27" s="372"/>
      <c r="B27" s="340" t="s">
        <v>47</v>
      </c>
      <c r="C27" s="330"/>
      <c r="D27" s="331">
        <f>Financials!D7/Financials!C7-1</f>
        <v>34.27325570412502</v>
      </c>
      <c r="E27" s="331">
        <f>Financials!E7/Financials!D7-1</f>
        <v>-0.91368176556582426</v>
      </c>
      <c r="F27" s="331">
        <f>Financials!F7/Financials!E7-1</f>
        <v>9.4263457195626614</v>
      </c>
      <c r="G27" s="331">
        <f>Financials!G7/Financials!F7-1</f>
        <v>-3.0533892966472354E-2</v>
      </c>
      <c r="H27" s="331">
        <f>Financials!H7/Financials!G7-1</f>
        <v>-0.69390436014047596</v>
      </c>
      <c r="I27" s="331">
        <f>Financials!I7/Financials!H7-1</f>
        <v>2.2795458666114929</v>
      </c>
      <c r="J27" s="331">
        <f>Financials!J7/Financials!I7-1</f>
        <v>1.2991205324207389E-2</v>
      </c>
      <c r="K27" s="331">
        <f>Financials!K7/Financials!J7-1</f>
        <v>-1.7062028329697276E-2</v>
      </c>
      <c r="L27" s="331">
        <f>Financials!L7/Financials!K7-1</f>
        <v>-4.1191530751939154E-2</v>
      </c>
      <c r="M27" s="331">
        <f>Financials!M7/Financials!L7-1</f>
        <v>-2.5973896652172757E-2</v>
      </c>
      <c r="N27" s="331">
        <f>Financials!N7/Financials!M7-1</f>
        <v>0.83560328148812446</v>
      </c>
      <c r="O27" s="331">
        <f>Financials!O7/Financials!N7-1</f>
        <v>-0.16091655531396243</v>
      </c>
      <c r="P27" s="331">
        <f>Financials!P7/Financials!O7-1</f>
        <v>-0.11350392289171563</v>
      </c>
      <c r="Q27" s="331">
        <f>Financials!Q7/Financials!P7-1</f>
        <v>1.544789762331078E-6</v>
      </c>
      <c r="R27" s="331">
        <f>Financials!R7/Financials!Q7-1</f>
        <v>-4.5914044374146701E-2</v>
      </c>
      <c r="S27" s="331">
        <f>Financials!S7/Financials!R7-1</f>
        <v>-1.3044755796535856E-2</v>
      </c>
      <c r="T27" s="331">
        <f>Financials!T7/Financials!S7-1</f>
        <v>-2.965726697711768E-2</v>
      </c>
      <c r="U27" s="331">
        <f>Financials!U7/Financials!T7-1</f>
        <v>2.7394178979065487E-3</v>
      </c>
      <c r="V27" s="331">
        <f>Financials!V7/Financials!U7-1</f>
        <v>-7.6295485621131864E-2</v>
      </c>
      <c r="W27" s="331">
        <f>Financials!W7/Financials!V7-1</f>
        <v>-3.8575529610755943E-3</v>
      </c>
      <c r="X27" s="331">
        <f>Financials!X7/Financials!W7-1</f>
        <v>3.0878576486574882E-3</v>
      </c>
      <c r="Y27" s="331">
        <f>Financials!Y7/Financials!X7-1</f>
        <v>-2.610866424647218E-2</v>
      </c>
      <c r="Z27" s="331">
        <f>Financials!Z7/Financials!Y7-1</f>
        <v>-4.8507111250799539E-3</v>
      </c>
      <c r="AA27" s="331">
        <f>Financials!AA7/Financials!Z7-1</f>
        <v>-0.2116134639169146</v>
      </c>
      <c r="AB27" s="331">
        <f>Financials!AB7/Financials!AA7-1</f>
        <v>8.2643768362715697E-3</v>
      </c>
      <c r="AC27" s="331">
        <f>Financials!AC7/Financials!AB7-1</f>
        <v>-8.6866313687617991E-3</v>
      </c>
      <c r="AD27" s="331">
        <f>Financials!AD7/Financials!AC7-1</f>
        <v>0.45845645636055798</v>
      </c>
      <c r="AE27" s="331">
        <f>Financials!AE7/Financials!AD7-1</f>
        <v>-6.5920228007691151E-2</v>
      </c>
      <c r="AF27" s="331">
        <f>Financials!AF7/Financials!AE7-1</f>
        <v>-1.6695995388777973E-2</v>
      </c>
      <c r="AG27" s="331">
        <f>Financials!AG7/Financials!AF7-1</f>
        <v>-1.2409160038862499E-2</v>
      </c>
      <c r="AH27" s="331">
        <f>Financials!AH7/Financials!AG7-1</f>
        <v>3.7200804859345737E-2</v>
      </c>
      <c r="AI27" s="331">
        <f>Financials!AI7/Financials!AH7-1</f>
        <v>-3.2650902556567996E-3</v>
      </c>
      <c r="AJ27" s="331">
        <f>Financials!AJ7/Financials!AI7-1</f>
        <v>1.7551056136592136E-2</v>
      </c>
      <c r="AK27" s="331">
        <f>Financials!AK7/Financials!AJ7-1</f>
        <v>0.94697944647478827</v>
      </c>
      <c r="AL27" s="331">
        <f>Financials!AL7/Financials!AK7-1</f>
        <v>-0.50898518084891409</v>
      </c>
      <c r="AM27" s="331">
        <f>Financials!AM7/Financials!AL7-1</f>
        <v>0.39533173078460226</v>
      </c>
      <c r="AN27" s="331">
        <f>Financials!AN7/Financials!AM7-1</f>
        <v>-0.11069943892853806</v>
      </c>
      <c r="AO27" s="331">
        <f>Financials!AO7/Financials!AN7-1</f>
        <v>-6.0206172088536847E-2</v>
      </c>
      <c r="AP27" s="331">
        <f>Financials!AP7/Financials!AO7-1</f>
        <v>1.8698997905630677E-9</v>
      </c>
      <c r="AQ27" s="331">
        <f>Financials!AQ7/Financials!AP7-1</f>
        <v>-3.340564139551494E-2</v>
      </c>
      <c r="AR27" s="331">
        <f>Financials!AR7/Financials!AQ7-1</f>
        <v>-1.0551158645991654E-3</v>
      </c>
      <c r="AS27" s="331">
        <f>Financials!AS7/Financials!AR7-1</f>
        <v>1.11190010148563E-2</v>
      </c>
      <c r="AT27" s="331">
        <f>Financials!AT7/Financials!AS7-1</f>
        <v>2.3173615205605014E-3</v>
      </c>
      <c r="AU27" s="331">
        <f>Financials!AU7/Financials!AT7-1</f>
        <v>-2.2457281878068502E-2</v>
      </c>
      <c r="AV27" s="331">
        <f>Financials!AV7/Financials!AU7-1</f>
        <v>-1.85486736973417E-3</v>
      </c>
      <c r="AW27" s="331">
        <f>Financials!AW7/Financials!AV7-1</f>
        <v>-3.4922553431948611E-3</v>
      </c>
      <c r="AX27" s="331">
        <f>Financials!AX7/Financials!AW7-1</f>
        <v>-4.6159459742856401E-2</v>
      </c>
      <c r="AY27" s="331">
        <f>Financials!AY7/Financials!AX7-1</f>
        <v>-1.8473519578570463E-2</v>
      </c>
      <c r="AZ27" s="331">
        <f>Financials!AZ7/Financials!AY7-1</f>
        <v>0.12840511674372679</v>
      </c>
      <c r="BA27" s="331">
        <f>Financials!BA7/Financials!AZ7-1</f>
        <v>6.6833072736662835E-3</v>
      </c>
      <c r="BB27" s="331">
        <f>Financials!BB7/Financials!BA7-1</f>
        <v>-5.6604753345205427E-2</v>
      </c>
      <c r="BC27" s="331">
        <f>Financials!BC7/Financials!BB7-1</f>
        <v>0</v>
      </c>
      <c r="BD27" s="331">
        <f>Financials!BD7/Financials!BC7-1</f>
        <v>-3.3032308554773349E-2</v>
      </c>
      <c r="BE27" s="331">
        <f>Financials!BE7/Financials!BD7-1</f>
        <v>-2.5532059146646358E-2</v>
      </c>
      <c r="BF27" s="331">
        <f>Financials!BF7/Financials!BE7-1</f>
        <v>-1.0886098588211102E-2</v>
      </c>
      <c r="BG27" s="331">
        <f>Financials!BG7/Financials!BF7-1</f>
        <v>4.501648919409873E-2</v>
      </c>
      <c r="BH27" s="331">
        <f>Financials!BH7/Financials!BG7-1</f>
        <v>-1.1213512975221551E-2</v>
      </c>
      <c r="BI27" s="331">
        <f>Financials!BI7/Financials!BH7-1</f>
        <v>-3.2666509910770136E-2</v>
      </c>
      <c r="BJ27" s="331">
        <f>Financials!BJ7/Financials!BI7-1</f>
        <v>0.35012984753588716</v>
      </c>
      <c r="BK27" s="331">
        <f>Financials!BK7/Financials!BJ7-1</f>
        <v>-7.0746479778088456E-2</v>
      </c>
      <c r="BL27" s="331">
        <f>Financials!BL7/Financials!BK7-1</f>
        <v>-6.263670851760017E-2</v>
      </c>
      <c r="BM27" s="331">
        <f>Financials!BM7/Financials!BL7-1</f>
        <v>-3.2282337609339073E-2</v>
      </c>
      <c r="BN27" s="331">
        <f>Financials!BN7/Financials!BM7-1</f>
        <v>-3.0350917129565169E-2</v>
      </c>
      <c r="BO27" s="331">
        <f>Financials!BO7/Financials!BN7-1</f>
        <v>-4.4591104934173509E-2</v>
      </c>
      <c r="BP27" s="331">
        <f>Financials!BP7/Financials!BO7-1</f>
        <v>6.5710914154415434E-7</v>
      </c>
      <c r="BQ27" s="331" t="e">
        <f>Financials!#REF!/Financials!BP7-1</f>
        <v>#REF!</v>
      </c>
      <c r="BR27" s="331"/>
      <c r="BS27" s="331"/>
      <c r="BT27" s="331"/>
      <c r="BU27" s="331"/>
      <c r="BV27" s="331"/>
      <c r="BW27" s="331"/>
      <c r="BX27" s="331"/>
      <c r="BY27" s="331"/>
    </row>
    <row r="28" spans="1:77" ht="18.75">
      <c r="A28" s="372"/>
      <c r="B28" s="339" t="s">
        <v>48</v>
      </c>
      <c r="C28" s="330"/>
      <c r="D28" s="331">
        <f>Financials!D31/Financials!C31-1</f>
        <v>6.3736603038515494</v>
      </c>
      <c r="E28" s="331">
        <f>Financials!E31/Financials!D31-1</f>
        <v>-1</v>
      </c>
      <c r="F28" s="331" t="e">
        <f>Financials!F31/Financials!E31-1</f>
        <v>#DIV/0!</v>
      </c>
      <c r="G28" s="331">
        <f>Financials!G31/Financials!F31-1</f>
        <v>6.9060453228964036E-3</v>
      </c>
      <c r="H28" s="331" t="e">
        <f>Financials!H31/Financials!G31-1</f>
        <v>#REF!</v>
      </c>
      <c r="I28" s="331" t="e">
        <f>Financials!I31/Financials!H31-1</f>
        <v>#REF!</v>
      </c>
      <c r="J28" s="331">
        <f>Financials!J31/Financials!I31-1</f>
        <v>2.7647298871602555E-3</v>
      </c>
      <c r="K28" s="331">
        <f>Financials!K31/Financials!J31-1</f>
        <v>-7.6575528614636346E-3</v>
      </c>
      <c r="L28" s="331">
        <f>Financials!L31/Financials!K31-1</f>
        <v>1.7321895689454969E-3</v>
      </c>
      <c r="M28" s="331">
        <f>Financials!M31/Financials!L31-1</f>
        <v>7.8305363214681289E-3</v>
      </c>
      <c r="N28" s="331">
        <f>Financials!N31/Financials!M31-1</f>
        <v>-0.19442476936648945</v>
      </c>
      <c r="O28" s="331">
        <f>Financials!O31/Financials!N31-1</f>
        <v>7.3956738532736432E-2</v>
      </c>
      <c r="P28" s="331">
        <f>Financials!P31/Financials!O31-1</f>
        <v>1.7253576939398885E-2</v>
      </c>
      <c r="Q28" s="331">
        <f>Financials!Q31/Financials!P31-1</f>
        <v>6.6707915506936111E-2</v>
      </c>
      <c r="R28" s="331">
        <f>Financials!R31/Financials!Q31-1</f>
        <v>-4.055237006271073E-2</v>
      </c>
      <c r="S28" s="331">
        <f>Financials!S31/Financials!R31-1</f>
        <v>3.2223233837928023E-2</v>
      </c>
      <c r="T28" s="331">
        <f>Financials!T31/Financials!S31-1</f>
        <v>2.241225563595961E-3</v>
      </c>
      <c r="U28" s="331">
        <f>Financials!U31/Financials!T31-1</f>
        <v>4.891655966958508E-3</v>
      </c>
      <c r="V28" s="331">
        <f>Financials!V31/Financials!U31-1</f>
        <v>1.3026193497363447E-2</v>
      </c>
      <c r="W28" s="331">
        <f>Financials!W31/Financials!V31-1</f>
        <v>-2.2531215922844128E-3</v>
      </c>
      <c r="X28" s="331">
        <f>Financials!X31/Financials!W31-1</f>
        <v>4.9775631343913496E-3</v>
      </c>
      <c r="Y28" s="331">
        <f>Financials!Y31/Financials!X31-1</f>
        <v>1.7577552541744756E-2</v>
      </c>
      <c r="Z28" s="331">
        <f>Financials!Z31/Financials!Y31-1</f>
        <v>1.3494182391206699E-2</v>
      </c>
      <c r="AA28" s="331">
        <f>Financials!AA31/Financials!Z31-1</f>
        <v>-0.77344349556786107</v>
      </c>
      <c r="AB28" s="331">
        <f>Financials!AB31/Financials!AA31-1</f>
        <v>1.367811097185978E-5</v>
      </c>
      <c r="AC28" s="331">
        <f>Financials!AC31/Financials!AB31-1</f>
        <v>-0.12558843610623183</v>
      </c>
      <c r="AD28" s="331">
        <f>Financials!AD31/Financials!AC31-1</f>
        <v>3.9854973011731865</v>
      </c>
      <c r="AE28" s="331">
        <f>Financials!AE31/Financials!AD31-1</f>
        <v>-3.8412760337242835E-2</v>
      </c>
      <c r="AF28" s="331">
        <f>Financials!AF31/Financials!AE31-1</f>
        <v>5.7912000645994333E-3</v>
      </c>
      <c r="AG28" s="331">
        <f>Financials!AG31/Financials!AF31-1</f>
        <v>8.1461284995432148E-3</v>
      </c>
      <c r="AH28" s="331">
        <f>Financials!AH31/Financials!AG31-1</f>
        <v>-9.5025919842364193E-3</v>
      </c>
      <c r="AI28" s="331">
        <f>Financials!AI31/Financials!AH31-1</f>
        <v>-9.608372326025183E-3</v>
      </c>
      <c r="AJ28" s="331">
        <f>Financials!AJ31/Financials!AI31-1</f>
        <v>1.6117389519889613E-3</v>
      </c>
      <c r="AK28" s="331">
        <f>Financials!AK31/Financials!AJ31-1</f>
        <v>1.0296048009780407</v>
      </c>
      <c r="AL28" s="331">
        <f>Financials!AL31/Financials!AK31-1</f>
        <v>-0.49060724357103958</v>
      </c>
      <c r="AM28" s="331">
        <f>Financials!AM31/Financials!AL31-1</f>
        <v>-0.10509165968907563</v>
      </c>
      <c r="AN28" s="331">
        <f>Financials!AN31/Financials!AM31-1</f>
        <v>4.2779293787792438E-2</v>
      </c>
      <c r="AO28" s="331">
        <f>Financials!AO31/Financials!AN31-1</f>
        <v>1.5110813248659483E-2</v>
      </c>
      <c r="AP28" s="331">
        <f>Financials!AP31/Financials!AO31-1</f>
        <v>5.8060241499652276E-2</v>
      </c>
      <c r="AQ28" s="331">
        <f>Financials!AQ31/Financials!AP31-1</f>
        <v>-4.8347804557707708E-2</v>
      </c>
      <c r="AR28" s="331">
        <f>Financials!AR31/Financials!AQ31-1</f>
        <v>1.3915933576009731E-2</v>
      </c>
      <c r="AS28" s="331">
        <f>Financials!AS31/Financials!AR31-1</f>
        <v>7.4274018873756731E-3</v>
      </c>
      <c r="AT28" s="331">
        <f>Financials!AT31/Financials!AS31-1</f>
        <v>-3.6080400669674662E-3</v>
      </c>
      <c r="AU28" s="331">
        <f>Financials!AU31/Financials!AT31-1</f>
        <v>1.9060835062698622E-2</v>
      </c>
      <c r="AV28" s="331">
        <f>Financials!AV31/Financials!AU31-1</f>
        <v>1.8999422761717177E-2</v>
      </c>
      <c r="AW28" s="331">
        <f>Financials!AW31/Financials!AV31-1</f>
        <v>1.4254178653021032E-2</v>
      </c>
      <c r="AX28" s="331">
        <f>Financials!AX31/Financials!AW31-1</f>
        <v>2.9041234376445457E-2</v>
      </c>
      <c r="AY28" s="331">
        <f>Financials!AY31/Financials!AX31-1</f>
        <v>9.0608211482272605E-3</v>
      </c>
      <c r="AZ28" s="331">
        <f>Financials!AZ31/Financials!AY31-1</f>
        <v>-8.8644865882435697E-2</v>
      </c>
      <c r="BA28" s="331">
        <f>Financials!BA31/Financials!AZ31-1</f>
        <v>5.12556745155055E-2</v>
      </c>
      <c r="BB28" s="331">
        <f>Financials!BB31/Financials!BA31-1</f>
        <v>9.556395355720726E-3</v>
      </c>
      <c r="BC28" s="331">
        <f>Financials!BC31/Financials!BB31-1</f>
        <v>-8.7611293174622018E-2</v>
      </c>
      <c r="BD28" s="331">
        <f>Financials!BD31/Financials!BC31-1</f>
        <v>0.11266972417227539</v>
      </c>
      <c r="BE28" s="331">
        <f>Financials!BE31/Financials!BD31-1</f>
        <v>-0.12846669971103442</v>
      </c>
      <c r="BF28" s="331">
        <f>Financials!BF31/Financials!BE31-1</f>
        <v>9.0373750167449529E-4</v>
      </c>
      <c r="BG28" s="331">
        <f>Financials!BG31/Financials!BF31-1</f>
        <v>4.3678125832105064E-3</v>
      </c>
      <c r="BH28" s="331">
        <f>Financials!BH31/Financials!BG31-1</f>
        <v>4.4711998685165177E-4</v>
      </c>
      <c r="BI28" s="331">
        <f>Financials!BI31/Financials!BH31-1</f>
        <v>2.0347725860480059E-2</v>
      </c>
      <c r="BJ28" s="331">
        <f>Financials!BJ31/Financials!BI31-1</f>
        <v>-6.8514636479664714E-2</v>
      </c>
      <c r="BK28" s="331">
        <f>Financials!BK31/Financials!BJ31-1</f>
        <v>2.8659739462380651E-2</v>
      </c>
      <c r="BL28" s="331">
        <f>Financials!BL31/Financials!BK31-1</f>
        <v>4.0997023830341428E-2</v>
      </c>
      <c r="BM28" s="331">
        <f>Financials!BM31/Financials!BL31-1</f>
        <v>1.5129668580084354E-2</v>
      </c>
      <c r="BN28" s="331">
        <f>Financials!BN31/Financials!BM31-1</f>
        <v>2.7416992472677482E-2</v>
      </c>
      <c r="BO28" s="331">
        <f>Financials!BO31/Financials!BN31-1</f>
        <v>3.4796963690902682E-2</v>
      </c>
      <c r="BP28" s="331">
        <f>Financials!BP31/Financials!BO31-1</f>
        <v>1.181086823107691E-4</v>
      </c>
      <c r="BQ28" s="331" t="e">
        <f>Financials!#REF!/Financials!BP31-1</f>
        <v>#REF!</v>
      </c>
      <c r="BR28" s="331"/>
      <c r="BS28" s="331"/>
      <c r="BT28" s="331"/>
      <c r="BU28" s="331"/>
      <c r="BV28" s="331"/>
      <c r="BW28" s="331"/>
      <c r="BX28" s="331"/>
      <c r="BY28" s="331"/>
    </row>
    <row r="29" spans="1:77" ht="18.75">
      <c r="A29" s="372"/>
      <c r="B29" s="339" t="s">
        <v>49</v>
      </c>
      <c r="C29" s="330"/>
      <c r="D29" s="331">
        <f>Financials!D11/Financials!C11-1</f>
        <v>13.28022784424077</v>
      </c>
      <c r="E29" s="331">
        <f>Financials!E11/Financials!D11-1</f>
        <v>-0.40945347515311303</v>
      </c>
      <c r="F29" s="331">
        <f>Financials!F11/Financials!E11-1</f>
        <v>0.41976202471607094</v>
      </c>
      <c r="G29" s="331">
        <f>Financials!G11/Financials!F11-1</f>
        <v>8.65190487081402E-3</v>
      </c>
      <c r="H29" s="331" t="e">
        <f>Financials!H11/Financials!G11-1</f>
        <v>#REF!</v>
      </c>
      <c r="I29" s="331" t="e">
        <f>Financials!I11/Financials!H11-1</f>
        <v>#REF!</v>
      </c>
      <c r="J29" s="331">
        <f>Financials!J11/Financials!I11-1</f>
        <v>0.2893902220445892</v>
      </c>
      <c r="K29" s="331">
        <f>Financials!K11/Financials!J11-1</f>
        <v>3.5115380258659012E-3</v>
      </c>
      <c r="L29" s="331">
        <f>Financials!L11/Financials!K11-1</f>
        <v>2.9540268325509045E-2</v>
      </c>
      <c r="M29" s="331">
        <f>Financials!M11/Financials!L11-1</f>
        <v>1.6154530123679844E-3</v>
      </c>
      <c r="N29" s="331">
        <f>Financials!N11/Financials!M11-1</f>
        <v>5.1665627428499894E-2</v>
      </c>
      <c r="O29" s="331">
        <f>Financials!O11/Financials!N11-1</f>
        <v>1.3465341272565379E-2</v>
      </c>
      <c r="P29" s="331">
        <f>Financials!P11/Financials!O11-1</f>
        <v>3.5527980899067391E-2</v>
      </c>
      <c r="Q29" s="331">
        <f>Financials!Q11/Financials!P11-1</f>
        <v>-2.3614335313753343E-2</v>
      </c>
      <c r="R29" s="331">
        <f>Financials!R11/Financials!Q11-1</f>
        <v>4.4679392650726069E-2</v>
      </c>
      <c r="S29" s="331">
        <f>Financials!S11/Financials!R11-1</f>
        <v>-3.1443716241143949E-2</v>
      </c>
      <c r="T29" s="331">
        <f>Financials!T11/Financials!S11-1</f>
        <v>7.3425936506406053E-3</v>
      </c>
      <c r="U29" s="331">
        <f>Financials!U11/Financials!T11-1</f>
        <v>8.7260996251559142E-3</v>
      </c>
      <c r="V29" s="331">
        <f>Financials!V11/Financials!U11-1</f>
        <v>2.2331797626815586E-3</v>
      </c>
      <c r="W29" s="331">
        <f>Financials!W11/Financials!V11-1</f>
        <v>1.7132754038908127E-2</v>
      </c>
      <c r="X29" s="331">
        <f>Financials!X11/Financials!W11-1</f>
        <v>-8.5861722615198088E-3</v>
      </c>
      <c r="Y29" s="331">
        <f>Financials!Y11/Financials!X11-1</f>
        <v>1.7762875401877709E-2</v>
      </c>
      <c r="Z29" s="331">
        <f>Financials!Z11/Financials!Y11-1</f>
        <v>6.3167477951024953E-3</v>
      </c>
      <c r="AA29" s="331">
        <f>Financials!AA11/Financials!Z11-1</f>
        <v>-0.61175128998271999</v>
      </c>
      <c r="AB29" s="331">
        <f>Financials!AB11/Financials!AA11-1</f>
        <v>5.5486290909677827E-2</v>
      </c>
      <c r="AC29" s="331">
        <f>Financials!AC11/Financials!AB11-1</f>
        <v>8.0070059043933384E-2</v>
      </c>
      <c r="AD29" s="331">
        <f>Financials!AD11/Financials!AC11-1</f>
        <v>1.3941221232035454</v>
      </c>
      <c r="AE29" s="331">
        <f>Financials!AE11/Financials!AD11-1</f>
        <v>4.8793545781600223E-2</v>
      </c>
      <c r="AF29" s="331">
        <f>Financials!AF11/Financials!AE11-1</f>
        <v>-2.5963354828062002E-2</v>
      </c>
      <c r="AG29" s="331">
        <f>Financials!AG11/Financials!AF11-1</f>
        <v>-1.6663773229456114E-3</v>
      </c>
      <c r="AH29" s="331">
        <f>Financials!AH11/Financials!AG11-1</f>
        <v>8.5627062752444694E-3</v>
      </c>
      <c r="AI29" s="331">
        <f>Financials!AI11/Financials!AH11-1</f>
        <v>2.6190497680589342E-3</v>
      </c>
      <c r="AJ29" s="331">
        <f>Financials!AJ11/Financials!AI11-1</f>
        <v>8.1735512416927225E-3</v>
      </c>
      <c r="AK29" s="331">
        <f>Financials!AK11/Financials!AJ11-1</f>
        <v>1.0160414867451601</v>
      </c>
      <c r="AL29" s="331">
        <f>Financials!AL11/Financials!AK11-1</f>
        <v>-0.50317692483215704</v>
      </c>
      <c r="AM29" s="331">
        <f>Financials!AM11/Financials!AL11-1</f>
        <v>4.641263483348812E-2</v>
      </c>
      <c r="AN29" s="331">
        <f>Financials!AN11/Financials!AM11-1</f>
        <v>3.8310203876949611E-2</v>
      </c>
      <c r="AO29" s="331">
        <f>Financials!AO11/Financials!AN11-1</f>
        <v>1.8697794400999168E-2</v>
      </c>
      <c r="AP29" s="331">
        <f>Financials!AP11/Financials!AO11-1</f>
        <v>-3.9471765388581992E-2</v>
      </c>
      <c r="AQ29" s="331">
        <f>Financials!AQ11/Financials!AP11-1</f>
        <v>5.2341739613214866E-2</v>
      </c>
      <c r="AR29" s="331">
        <f>Financials!AR11/Financials!AQ11-1</f>
        <v>-4.6964036099021667E-2</v>
      </c>
      <c r="AS29" s="331">
        <f>Financials!AS11/Financials!AR11-1</f>
        <v>1.116426199361209E-2</v>
      </c>
      <c r="AT29" s="331">
        <f>Financials!AT11/Financials!AS11-1</f>
        <v>5.6481541478130559E-3</v>
      </c>
      <c r="AU29" s="331">
        <f>Financials!AU11/Financials!AT11-1</f>
        <v>9.8200491529085721E-3</v>
      </c>
      <c r="AV29" s="331">
        <f>Financials!AV11/Financials!AU11-1</f>
        <v>2.8999531770956821E-3</v>
      </c>
      <c r="AW29" s="331">
        <f>Financials!AW11/Financials!AV11-1</f>
        <v>4.6121066779958309E-3</v>
      </c>
      <c r="AX29" s="331">
        <f>Financials!AX11/Financials!AW11-1</f>
        <v>5.3376731283505396E-3</v>
      </c>
      <c r="AY29" s="331">
        <f>Financials!AY11/Financials!AX11-1</f>
        <v>4.3153531532986733E-3</v>
      </c>
      <c r="AZ29" s="331">
        <f>Financials!AZ11/Financials!AY11-1</f>
        <v>3.029536974791891E-2</v>
      </c>
      <c r="BA29" s="331">
        <f>Financials!BA11/Financials!AZ11-1</f>
        <v>1.0874483208068275E-2</v>
      </c>
      <c r="BB29" s="331">
        <f>Financials!BB11/Financials!BA11-1</f>
        <v>2.3593774426898806E-2</v>
      </c>
      <c r="BC29" s="331">
        <f>Financials!BC11/Financials!BB11-1</f>
        <v>-5.0662856678455048E-2</v>
      </c>
      <c r="BD29" s="331">
        <f>Financials!BD11/Financials!BC11-1</f>
        <v>5.8526539554091483E-2</v>
      </c>
      <c r="BE29" s="331">
        <f>Financials!BE11/Financials!BD11-1</f>
        <v>-4.1969261093938171E-3</v>
      </c>
      <c r="BF29" s="331">
        <f>Financials!BF11/Financials!BE11-1</f>
        <v>-3.5782619626718359E-2</v>
      </c>
      <c r="BG29" s="331">
        <f>Financials!BG11/Financials!BF11-1</f>
        <v>8.2273528716430011E-3</v>
      </c>
      <c r="BH29" s="331">
        <f>Financials!BH11/Financials!BG11-1</f>
        <v>7.2858816918577318E-3</v>
      </c>
      <c r="BI29" s="331">
        <f>Financials!BI11/Financials!BH11-1</f>
        <v>4.6908236917408974E-3</v>
      </c>
      <c r="BJ29" s="331">
        <f>Financials!BJ11/Financials!BI11-1</f>
        <v>1.7661747981764675E-2</v>
      </c>
      <c r="BK29" s="331">
        <f>Financials!BK11/Financials!BJ11-1</f>
        <v>3.1038269538159469E-3</v>
      </c>
      <c r="BL29" s="331">
        <f>Financials!BL11/Financials!BK11-1</f>
        <v>3.9045365472085702E-3</v>
      </c>
      <c r="BM29" s="331">
        <f>Financials!BM11/Financials!BL11-1</f>
        <v>1.0626197257116443E-2</v>
      </c>
      <c r="BN29" s="331">
        <f>Financials!BN11/Financials!BM11-1</f>
        <v>6.8220195295043418E-3</v>
      </c>
      <c r="BO29" s="331">
        <f>Financials!BO11/Financials!BN11-1</f>
        <v>-1.4731381231811169E-2</v>
      </c>
      <c r="BP29" s="331">
        <f>Financials!BP11/Financials!BO11-1</f>
        <v>4.8792149737374446E-2</v>
      </c>
      <c r="BQ29" s="331" t="e">
        <f>Financials!#REF!/Financials!BP11-1</f>
        <v>#REF!</v>
      </c>
      <c r="BR29" s="331"/>
      <c r="BS29" s="331"/>
      <c r="BT29" s="331"/>
      <c r="BU29" s="331"/>
      <c r="BV29" s="331"/>
      <c r="BW29" s="331"/>
      <c r="BX29" s="331"/>
      <c r="BY29" s="331"/>
    </row>
    <row r="30" spans="1:77" ht="18.75">
      <c r="A30" s="372"/>
      <c r="B30" s="339" t="s">
        <v>50</v>
      </c>
      <c r="C30" s="330"/>
      <c r="D30" s="331">
        <f>Financials!D37/Financials!C37-1</f>
        <v>13471.472493404508</v>
      </c>
      <c r="E30" s="331">
        <f>Financials!E37/Financials!D37-1</f>
        <v>-0.89509899927225334</v>
      </c>
      <c r="F30" s="331">
        <f>Financials!F37/Financials!E37-1</f>
        <v>0.6380739428941482</v>
      </c>
      <c r="G30" s="331">
        <f>Financials!G37/Financials!F37-1</f>
        <v>0.45806630675263249</v>
      </c>
      <c r="H30" s="331">
        <f>Financials!H37/Financials!G37-1</f>
        <v>0.28571647679259704</v>
      </c>
      <c r="I30" s="331">
        <f>Financials!I37/Financials!H37-1</f>
        <v>0.21417250786883701</v>
      </c>
      <c r="J30" s="331">
        <f>Financials!J37/Financials!I37-1</f>
        <v>0.20724540005930758</v>
      </c>
      <c r="K30" s="331">
        <f>Financials!K37/Financials!J37-1</f>
        <v>0.14389035403651795</v>
      </c>
      <c r="L30" s="331">
        <f>Financials!L37/Financials!K37-1</f>
        <v>0.21799229846829538</v>
      </c>
      <c r="M30" s="331">
        <f>Financials!M37/Financials!L37-1</f>
        <v>0.11352007057346025</v>
      </c>
      <c r="N30" s="331">
        <f>Financials!N37/Financials!M37-1</f>
        <v>0.14870129739515381</v>
      </c>
      <c r="O30" s="331">
        <f>Financials!O37/Financials!N37-1</f>
        <v>0.15048567355372433</v>
      </c>
      <c r="P30" s="331">
        <f>Financials!P37/Financials!O37-1</f>
        <v>0.11355372194268387</v>
      </c>
      <c r="Q30" s="331">
        <f>Financials!Q37/Financials!P37-1</f>
        <v>-8.761088839975173E-3</v>
      </c>
      <c r="R30" s="331">
        <f>Financials!R37/Financials!Q37-1</f>
        <v>-0.93176131186938027</v>
      </c>
      <c r="S30" s="331">
        <f>Financials!S37/Financials!R37-1</f>
        <v>0.89610259243142387</v>
      </c>
      <c r="T30" s="331">
        <f>Financials!T37/Financials!S37-1</f>
        <v>0.60443984555588059</v>
      </c>
      <c r="U30" s="331">
        <f>Financials!U37/Financials!T37-1</f>
        <v>0.31884726709627209</v>
      </c>
      <c r="V30" s="331">
        <f>Financials!V37/Financials!U37-1</f>
        <v>0.25739169342580359</v>
      </c>
      <c r="W30" s="331">
        <f>Financials!W37/Financials!V37-1</f>
        <v>0.42840686565048891</v>
      </c>
      <c r="X30" s="331">
        <f>Financials!X37/Financials!W37-1</f>
        <v>0.12038293194567884</v>
      </c>
      <c r="Y30" s="331">
        <f>Financials!Y37/Financials!X37-1</f>
        <v>0.12213302195571751</v>
      </c>
      <c r="Z30" s="331">
        <f>Financials!Z37/Financials!Y37-1</f>
        <v>0.11945885457255234</v>
      </c>
      <c r="AA30" s="331">
        <f>Financials!AA37/Financials!Z37-1</f>
        <v>0.21355060092056344</v>
      </c>
      <c r="AB30" s="331">
        <f>Financials!AB37/Financials!AA37-1</f>
        <v>0.10888436779944533</v>
      </c>
      <c r="AC30" s="331" t="e">
        <f>Financials!AC37/Financials!AB37-1</f>
        <v>#REF!</v>
      </c>
      <c r="AD30" s="331" t="e">
        <f>Financials!AD37/Financials!AC37-1</f>
        <v>#REF!</v>
      </c>
      <c r="AE30" s="331">
        <f>Financials!AE37/Financials!AD37-1</f>
        <v>-0.92501065466958221</v>
      </c>
      <c r="AF30" s="331">
        <f>Financials!AF37/Financials!AE37-1</f>
        <v>1.0356844457123699</v>
      </c>
      <c r="AG30" s="331">
        <f>Financials!AG37/Financials!AF37-1</f>
        <v>0.45470962876178378</v>
      </c>
      <c r="AH30" s="331">
        <f>Financials!AH37/Financials!AG37-1</f>
        <v>0.31629667641398651</v>
      </c>
      <c r="AI30" s="331">
        <f>Financials!AI37/Financials!AH37-1</f>
        <v>0.20692369807928612</v>
      </c>
      <c r="AJ30" s="331">
        <f>Financials!AJ37/Financials!AI37-1</f>
        <v>0.20239587377346213</v>
      </c>
      <c r="AK30" s="331">
        <f>Financials!AK37/Financials!AJ37-1</f>
        <v>1.6684433072432503</v>
      </c>
      <c r="AL30" s="331">
        <f>Financials!AL37/Financials!AK37-1</f>
        <v>-0.44185894733733388</v>
      </c>
      <c r="AM30" s="331">
        <f>Financials!AM37/Financials!AL37-1</f>
        <v>0.24397126358684318</v>
      </c>
      <c r="AN30" s="331">
        <f>Financials!AN37/Financials!AM37-1</f>
        <v>0.14546717611463289</v>
      </c>
      <c r="AO30" s="331">
        <f>Financials!AO37/Financials!AN37-1</f>
        <v>0.11965323434755848</v>
      </c>
      <c r="AP30" s="331">
        <f>Financials!AP37/Financials!AO37-1</f>
        <v>5.7302093364137718E-3</v>
      </c>
      <c r="AQ30" s="331">
        <f>Financials!AQ37/Financials!AP37-1</f>
        <v>-0.93506690552060434</v>
      </c>
      <c r="AR30" s="331">
        <f>Financials!AR37/Financials!AQ37-1</f>
        <v>1.1290863993613813</v>
      </c>
      <c r="AS30" s="331">
        <f>Financials!AS37/Financials!AR37-1</f>
        <v>0.55104375056508847</v>
      </c>
      <c r="AT30" s="331">
        <f>Financials!AT37/Financials!AS37-1</f>
        <v>0.2965198475702866</v>
      </c>
      <c r="AU30" s="331">
        <f>Financials!AU37/Financials!AT37-1</f>
        <v>0.29005510842448312</v>
      </c>
      <c r="AV30" s="331">
        <f>Financials!AV37/Financials!AU37-1</f>
        <v>0.20698262012958035</v>
      </c>
      <c r="AW30" s="331">
        <f>Financials!AW37/Financials!AV37-1</f>
        <v>0.16408764912988949</v>
      </c>
      <c r="AX30" s="331">
        <f>Financials!AX37/Financials!AW37-1</f>
        <v>0.14047159121300878</v>
      </c>
      <c r="AY30" s="331">
        <f>Financials!AY37/Financials!AX37-1</f>
        <v>0.15471359766807868</v>
      </c>
      <c r="AZ30" s="331">
        <f>Financials!AZ37/Financials!AY37-1</f>
        <v>0.13239199083255504</v>
      </c>
      <c r="BA30" s="331">
        <f>Financials!BA37/Financials!AZ37-1</f>
        <v>0.1232035544377621</v>
      </c>
      <c r="BB30" s="331">
        <f>Financials!BB37/Financials!BA37-1</f>
        <v>0.20175010120537396</v>
      </c>
      <c r="BC30" s="331">
        <f>Financials!BC37/Financials!BB37-1</f>
        <v>-3.9354258396957498E-3</v>
      </c>
      <c r="BD30" s="331">
        <f>Financials!BD37/Financials!BC37-1</f>
        <v>-0.92132425503058102</v>
      </c>
      <c r="BE30" s="331">
        <f>Financials!BE37/Financials!BD37-1</f>
        <v>0.88595410333732216</v>
      </c>
      <c r="BF30" s="331">
        <f>Financials!BF37/Financials!BE37-1</f>
        <v>0.65231921568748108</v>
      </c>
      <c r="BG30" s="331">
        <f>Financials!BG37/Financials!BF37-1</f>
        <v>0.32281533780772098</v>
      </c>
      <c r="BH30" s="331">
        <f>Financials!BH37/Financials!BG37-1</f>
        <v>0.23285007561453575</v>
      </c>
      <c r="BI30" s="331">
        <f>Financials!BI37/Financials!BH37-1</f>
        <v>0.22016962186715139</v>
      </c>
      <c r="BJ30" s="331">
        <f>Financials!BJ37/Financials!BI37-1</f>
        <v>0.25474153408137412</v>
      </c>
      <c r="BK30" s="331">
        <f>Financials!BK37/Financials!BJ37-1</f>
        <v>0.10111101630247488</v>
      </c>
      <c r="BL30" s="331">
        <f>Financials!BL37/Financials!BK37-1</f>
        <v>0.11315499587555911</v>
      </c>
      <c r="BM30" s="331">
        <f>Financials!BM37/Financials!BL37-1</f>
        <v>0.10744816553034719</v>
      </c>
      <c r="BN30" s="331">
        <f>Financials!BN37/Financials!BM37-1</f>
        <v>0.15957695319955967</v>
      </c>
      <c r="BO30" s="331">
        <f>Financials!BO37/Financials!BN37-1</f>
        <v>0.1465011916905028</v>
      </c>
      <c r="BP30" s="331">
        <f>Financials!BP37/Financials!BO37-1</f>
        <v>-6.739646289720902E-3</v>
      </c>
      <c r="BQ30" s="331" t="e">
        <f>Financials!#REF!/Financials!BP37-1</f>
        <v>#REF!</v>
      </c>
      <c r="BR30" s="331"/>
      <c r="BS30" s="331"/>
      <c r="BT30" s="331"/>
      <c r="BU30" s="331"/>
      <c r="BV30" s="331"/>
      <c r="BW30" s="331"/>
      <c r="BX30" s="331"/>
      <c r="BY30" s="331"/>
    </row>
    <row r="31" spans="1:77" ht="18.75">
      <c r="A31" s="372"/>
      <c r="B31" s="339" t="s">
        <v>51</v>
      </c>
      <c r="C31" s="330"/>
      <c r="D31" s="331"/>
      <c r="E31" s="331"/>
      <c r="F31" s="331"/>
      <c r="G31" s="331"/>
      <c r="H31" s="331"/>
      <c r="I31" s="331"/>
      <c r="J31" s="331"/>
      <c r="K31" s="331"/>
      <c r="L31" s="331"/>
      <c r="M31" s="331"/>
      <c r="N31" s="331"/>
      <c r="O31" s="331"/>
      <c r="P31" s="331"/>
      <c r="Q31" s="331"/>
      <c r="R31" s="331"/>
      <c r="S31" s="331"/>
      <c r="T31" s="331"/>
      <c r="U31" s="331"/>
      <c r="V31" s="331"/>
      <c r="W31" s="331"/>
      <c r="X31" s="331"/>
      <c r="Y31" s="331"/>
      <c r="Z31" s="331"/>
      <c r="AA31" s="331"/>
      <c r="AB31" s="331"/>
      <c r="AC31" s="331"/>
      <c r="AD31" s="331"/>
      <c r="AE31" s="331"/>
      <c r="AF31" s="331"/>
      <c r="AG31" s="331"/>
      <c r="AH31" s="331"/>
      <c r="AI31" s="331"/>
      <c r="AJ31" s="331"/>
      <c r="AK31" s="331"/>
      <c r="AL31" s="331"/>
      <c r="AM31" s="331"/>
      <c r="AN31" s="331"/>
      <c r="AO31" s="331"/>
      <c r="AP31" s="331"/>
      <c r="AQ31" s="331"/>
      <c r="AR31" s="331"/>
      <c r="AS31" s="331"/>
      <c r="AT31" s="331"/>
      <c r="AU31" s="331"/>
      <c r="AV31" s="331"/>
      <c r="AW31" s="331"/>
      <c r="AX31" s="331"/>
      <c r="AY31" s="331"/>
    </row>
    <row r="32" spans="1:77" ht="18.75">
      <c r="A32" s="372"/>
      <c r="B32" s="339" t="s">
        <v>52</v>
      </c>
      <c r="C32" s="330"/>
      <c r="D32" s="331">
        <f>'Evolutitve SCI'!E39/'Evolutitve SCI'!B39-1</f>
        <v>1923.6025086163986</v>
      </c>
      <c r="E32" s="331">
        <f>'Evolutitve SCI'!F39/'Evolutitve SCI'!C39-1</f>
        <v>-0.79138428503234826</v>
      </c>
      <c r="F32" s="331">
        <f>'Evolutitve SCI'!G39/'Evolutitve SCI'!D39-1</f>
        <v>4.1641046918527111</v>
      </c>
      <c r="G32" s="331">
        <f>'Evolutitve SCI'!H39/'Evolutitve SCI'!E39-1</f>
        <v>1.8287052074857457</v>
      </c>
      <c r="H32" s="331">
        <f>'Evolutitve SCI'!I39/'Evolutitve SCI'!F39-1</f>
        <v>1.198246956468012</v>
      </c>
      <c r="I32" s="331">
        <f>'Evolutitve SCI'!J39/'Evolutitve SCI'!G39-1</f>
        <v>0.85433457277030289</v>
      </c>
      <c r="J32" s="331">
        <f>'Evolutitve SCI'!I39/'Evolutitve SCI'!H39-1</f>
        <v>0.21795055411415665</v>
      </c>
      <c r="K32" s="331">
        <f>'Evolutitve SCI'!J39/'Evolutitve SCI'!I39-1</f>
        <v>0.17052672764375298</v>
      </c>
      <c r="L32" s="331">
        <f>'Evolutitve SCI'!K39/'Evolutitve SCI'!J39-1</f>
        <v>0.14773104405722592</v>
      </c>
      <c r="M32" s="331">
        <f>'Evolutitve SCI'!L39/'Evolutitve SCI'!K39-1</f>
        <v>0.13065045058472213</v>
      </c>
      <c r="N32" s="331">
        <f>'Evolutitve SCI'!M39/'Evolutitve SCI'!L39-1</f>
        <v>0.1300980272200829</v>
      </c>
      <c r="O32" s="331">
        <f>'Evolutitve SCI'!N39/'Evolutitve SCI'!M39-1</f>
        <v>0.12566265168556101</v>
      </c>
      <c r="P32" s="331">
        <f>'Evolutitve SCI'!O39/'Evolutitve SCI'!N39-1</f>
        <v>9.4009932114680783E-2</v>
      </c>
      <c r="Q32" s="331">
        <f>'Evolutitve SCI'!P39/'Evolutitve SCI'!O39-1</f>
        <v>5.474170102406628E-2</v>
      </c>
      <c r="R32" s="331">
        <f>'Evolutitve SCI'!Q39/'Evolutitve SCI'!P39-1</f>
        <v>-0.93808385532197702</v>
      </c>
      <c r="S32" s="331">
        <f>'Evolutitve SCI'!R39/'Evolutitve SCI'!Q39-1</f>
        <v>1.3997201658529326</v>
      </c>
      <c r="T32" s="331">
        <f>'Evolutitve SCI'!S39/'Evolutitve SCI'!R39-1</f>
        <v>0.60997149576824583</v>
      </c>
      <c r="U32" s="331">
        <f>'Evolutitve SCI'!T39/'Evolutitve SCI'!S39-1</f>
        <v>0.27101899934749984</v>
      </c>
      <c r="V32" s="331">
        <f>'Evolutitve SCI'!U39/'Evolutitve SCI'!T39-1</f>
        <v>0.27749324861886016</v>
      </c>
      <c r="W32" s="331">
        <f>'Evolutitve SCI'!V39/'Evolutitve SCI'!U39-1</f>
        <v>0.2954056128559106</v>
      </c>
      <c r="X32" s="331">
        <f>'Evolutitve SCI'!W39/'Evolutitve SCI'!V39-1</f>
        <v>0.16107284760470497</v>
      </c>
      <c r="Y32" s="331">
        <f>'Evolutitve SCI'!X39/'Evolutitve SCI'!W39-1</f>
        <v>0.11020758171059097</v>
      </c>
      <c r="Z32" s="331">
        <f>'Evolutitve SCI'!Y39/'Evolutitve SCI'!X39-1</f>
        <v>0.11725741373565035</v>
      </c>
      <c r="AA32" s="331">
        <f>'Evolutitve SCI'!Z39/'Evolutitve SCI'!Y39-1</f>
        <v>0.16254116495965221</v>
      </c>
      <c r="AB32" s="331">
        <f>'Evolutitve SCI'!AA39/'Evolutitve SCI'!Z39-1</f>
        <v>7.5686480901800079E-2</v>
      </c>
      <c r="AC32" s="331">
        <f>'Evolutitve SCI'!AB39/'Evolutitve SCI'!AA39-1</f>
        <v>9.9455053475183242E-2</v>
      </c>
      <c r="AD32" s="331">
        <f>'Evolutitve SCI'!AC39/'Evolutitve SCI'!AB39-1</f>
        <v>0.14698204539320825</v>
      </c>
      <c r="AE32" s="331">
        <f>'Evolutitve SCI'!AD39/'Evolutitve SCI'!AC39-1</f>
        <v>-0.94212672608416059</v>
      </c>
      <c r="AF32" s="331">
        <f>'Evolutitve SCI'!AE39/'Evolutitve SCI'!AD39-1</f>
        <v>1.4378856773527575</v>
      </c>
      <c r="AG32" s="331">
        <f>'Evolutitve SCI'!AF39/'Evolutitve SCI'!AE39-1</f>
        <v>0.51634244752972092</v>
      </c>
      <c r="AH32" s="331">
        <f>'Evolutitve SCI'!AG39/'Evolutitve SCI'!AF39-1</f>
        <v>0.27121520348403783</v>
      </c>
      <c r="AI32" s="331">
        <f>'Evolutitve SCI'!AH39/'Evolutitve SCI'!AG39-1</f>
        <v>0.2068088753762678</v>
      </c>
      <c r="AJ32" s="331">
        <f>'Evolutitve SCI'!AI39/'Evolutitve SCI'!AH39-1</f>
        <v>0.18341637496777552</v>
      </c>
      <c r="AK32" s="331">
        <f>'Evolutitve SCI'!AJ39/'Evolutitve SCI'!AI39-1</f>
        <v>1.6783710377746766</v>
      </c>
      <c r="AL32" s="331">
        <f>'Evolutitve SCI'!AK39/'Evolutitve SCI'!AJ39-1</f>
        <v>-0.42714040782269591</v>
      </c>
      <c r="AM32" s="331">
        <f>'Evolutitve SCI'!AL39/'Evolutitve SCI'!AK39-1</f>
        <v>0.20064280739319007</v>
      </c>
      <c r="AN32" s="331">
        <f>'Evolutitve SCI'!AM39/'Evolutitve SCI'!AL39-1</f>
        <v>9.3619081449754615E-2</v>
      </c>
      <c r="AO32" s="331">
        <f>'Evolutitve SCI'!AN39/'Evolutitve SCI'!AM39-1</f>
        <v>6.5757557085760254E-2</v>
      </c>
      <c r="AP32" s="331">
        <f>'Evolutitve SCI'!AO39/'Evolutitve SCI'!AN39-1</f>
        <v>0.11937683998529702</v>
      </c>
      <c r="AQ32" s="331">
        <f>'Evolutitve SCI'!AP39/'Evolutitve SCI'!AO39-1</f>
        <v>-0.94133512200396319</v>
      </c>
      <c r="AR32" s="331">
        <f>'Evolutitve SCI'!AQ39/'Evolutitve SCI'!AP39-1</f>
        <v>1.5856939641992276</v>
      </c>
      <c r="AS32" s="331">
        <f>'Evolutitve SCI'!AR39/'Evolutitve SCI'!AQ39-1</f>
        <v>0.4809580281510748</v>
      </c>
      <c r="AT32" s="331">
        <f>'Evolutitve SCI'!AS39/'Evolutitve SCI'!AR39-1</f>
        <v>0.28193203968544811</v>
      </c>
      <c r="AU32" s="331">
        <f>'Evolutitve SCI'!AT39/'Evolutitve SCI'!AS39-1</f>
        <v>0.26211171483061113</v>
      </c>
      <c r="AV32" s="331">
        <f>'Evolutitve SCI'!AU39/'Evolutitve SCI'!AT39-1</f>
        <v>0.22518462347950452</v>
      </c>
      <c r="AW32" s="331">
        <f>'Evolutitve SCI'!AV39/'Evolutitve SCI'!AU39-1</f>
        <v>0.1600141877581478</v>
      </c>
      <c r="AX32" s="331">
        <f>'Evolutitve SCI'!AW39/'Evolutitve SCI'!AV39-1</f>
        <v>0.12396821656714918</v>
      </c>
      <c r="AY32" s="331">
        <f>'Evolutitve SCI'!AX39/'Evolutitve SCI'!AW39-1</f>
        <v>0.16052683629024855</v>
      </c>
      <c r="AZ32" s="331">
        <f>'Evolutitve SCI'!AY39/'Evolutitve SCI'!AX39-1</f>
        <v>0.11199108991883389</v>
      </c>
      <c r="BA32" s="331">
        <f>'Evolutitve SCI'!AZ39/'Evolutitve SCI'!AY39-1</f>
        <v>0.11420361149563951</v>
      </c>
      <c r="BB32" s="331">
        <f>'Evolutitve SCI'!BA39/'Evolutitve SCI'!AZ39-1</f>
        <v>0.1705773200377938</v>
      </c>
      <c r="BC32" s="331">
        <f>'Evolutitve SCI'!BB39/'Evolutitve SCI'!BA39-1</f>
        <v>-5.5105911485405001E-2</v>
      </c>
      <c r="BD32" s="331">
        <f>'Evolutitve SCI'!BC39/'Evolutitve SCI'!BB39-1</f>
        <v>-0.9090827054801196</v>
      </c>
      <c r="BE32" s="331">
        <f>'Evolutitve SCI'!BD39/'Evolutitve SCI'!BC39-1</f>
        <v>0.90929715155750301</v>
      </c>
      <c r="BF32" s="331">
        <f>'Evolutitve SCI'!BE39/'Evolutitve SCI'!BD39-1</f>
        <v>0.63591832797028558</v>
      </c>
      <c r="BG32" s="331">
        <f>'Evolutitve SCI'!BF39/'Evolutitve SCI'!BE39-1</f>
        <v>0.29919702068765908</v>
      </c>
      <c r="BH32" s="331">
        <f>'Evolutitve SCI'!BG39/'Evolutitve SCI'!BF39-1</f>
        <v>0.22483779820877725</v>
      </c>
      <c r="BI32" s="331">
        <f>'Evolutitve SCI'!BH39/'Evolutitve SCI'!BG39-1</f>
        <v>0.19712149926276479</v>
      </c>
      <c r="BJ32" s="331">
        <f>'Evolutitve SCI'!BI39/'Evolutitve SCI'!BH39-1</f>
        <v>0.23486090309777441</v>
      </c>
      <c r="BK32" s="331">
        <f>'Evolutitve SCI'!BJ39/'Evolutitve SCI'!BI39-1</f>
        <v>0.12152915930889985</v>
      </c>
      <c r="BL32" s="331">
        <f>'Evolutitve SCI'!BK39/'Evolutitve SCI'!BJ39-1</f>
        <v>0.1194527811470929</v>
      </c>
      <c r="BM32" s="331">
        <f>'Evolutitve SCI'!BL39/'Evolutitve SCI'!BK39-1</f>
        <v>9.8121878576934218E-2</v>
      </c>
      <c r="BN32" s="331">
        <f>'Evolutitve SCI'!BM39/'Evolutitve SCI'!BL39-1</f>
        <v>0.15136858535137088</v>
      </c>
      <c r="BO32" s="331">
        <f>'Evolutitve SCI'!BN39/'Evolutitve SCI'!BM39-1</f>
        <v>6.0421293877405802E-2</v>
      </c>
      <c r="BP32" s="331">
        <f>'Evolutitve SCI'!BO39/'Evolutitve SCI'!BN39-1</f>
        <v>-8.8654350316617059E-3</v>
      </c>
      <c r="BQ32" s="331">
        <f>'Evolutitve SCI'!BP39/'Evolutitve SCI'!BO39-1</f>
        <v>-1</v>
      </c>
      <c r="BR32" s="331"/>
      <c r="BS32" s="331"/>
      <c r="BT32" s="331"/>
      <c r="BU32" s="331"/>
      <c r="BV32" s="331"/>
      <c r="BW32" s="331"/>
      <c r="BX32" s="331"/>
      <c r="BY32" s="331"/>
    </row>
    <row r="33" spans="1:77" ht="18.75">
      <c r="A33" s="341" t="s">
        <v>53</v>
      </c>
      <c r="B33" s="339" t="s">
        <v>54</v>
      </c>
      <c r="C33" s="330"/>
      <c r="D33" s="331"/>
      <c r="E33" s="331"/>
      <c r="F33" s="331"/>
      <c r="G33" s="331"/>
      <c r="H33" s="331">
        <f>Financials!G44/('Evolutive SFP'!B30+'Evolutive SFP'!F30)/2</f>
        <v>1.918651963958946E-3</v>
      </c>
      <c r="I33" s="331">
        <f>Financials!H44/('Evolutive SFP'!C30+'Evolutive SFP'!G30)/2</f>
        <v>1.8961798499281415E-3</v>
      </c>
      <c r="J33" s="331"/>
      <c r="K33" s="331">
        <f>Financials!J44/('Evolutive SFP'!F30+'Evolutive SFP'!I30)/2</f>
        <v>7.2231136584454238E-3</v>
      </c>
      <c r="L33" s="331">
        <f>Financials!K44/('Evolutive SFP'!I30+'Evolutive SFP'!J30)/2</f>
        <v>8.6356146217421333E-3</v>
      </c>
      <c r="M33" s="331">
        <f>Financials!L44/('Evolutive SFP'!J30+'Evolutive SFP'!K30)/2</f>
        <v>9.9848309023702186E-3</v>
      </c>
      <c r="N33" s="331">
        <f>Financials!M44/('Evolutive SFP'!K30+'Evolutive SFP'!L30)/2</f>
        <v>1.1312133832021821E-2</v>
      </c>
      <c r="O33" s="331">
        <f>Financials!N44/('Evolutive SFP'!L30+'Evolutive SFP'!M30)/2</f>
        <v>1.3096250726223255E-2</v>
      </c>
      <c r="P33" s="331">
        <f>Financials!O44/('Evolutive SFP'!M30+'Evolutive SFP'!N30)/2</f>
        <v>1.5179056440796279E-2</v>
      </c>
      <c r="Q33" s="331">
        <f>Financials!P44/('Evolutive SFP'!N30+'Evolutive SFP'!O30)/2</f>
        <v>1.6170894599375294E-2</v>
      </c>
      <c r="R33" s="331">
        <f>Financials!Q44/('Evolutive SFP'!O30+'Evolutive SFP'!P30)/2</f>
        <v>2.7825700968693183E-2</v>
      </c>
      <c r="S33" s="331">
        <f>Financials!R44/('Evolutive SFP'!P30+'Evolutive SFP'!Q30)/2</f>
        <v>6.46288648831231E-4</v>
      </c>
      <c r="T33" s="331">
        <f>Financials!S44/('Evolutive SFP'!Q30+'Evolutive SFP'!R30)/2</f>
        <v>1.0939317025954469E-3</v>
      </c>
      <c r="U33" s="331">
        <f>Financials!T44/('Evolutive SFP'!R30+'Evolutive SFP'!S30)/2</f>
        <v>1.922095966822468E-3</v>
      </c>
      <c r="V33" s="331">
        <f>Financials!U44/('Evolutive SFP'!S30+'Evolutive SFP'!T30)/2</f>
        <v>2.2783493093366898E-3</v>
      </c>
      <c r="W33" s="331">
        <f>Financials!V44/('Evolutive SFP'!T30+'Evolutive SFP'!U30)/2</f>
        <v>5.8601781855560165E-3</v>
      </c>
      <c r="X33" s="331">
        <f>Financials!W44/('Evolutive SFP'!U30+'Evolutive SFP'!V30)/2</f>
        <v>1.0830029257573247E-2</v>
      </c>
      <c r="Y33" s="331">
        <f>Financials!X44/('Evolutive SFP'!V30+'Evolutive SFP'!W30)/2</f>
        <v>1.2666204125133406E-2</v>
      </c>
      <c r="Z33" s="331">
        <f>Financials!Y44/('Evolutive SFP'!W30+'Evolutive SFP'!X30)/2</f>
        <v>1.2969169846783809E-2</v>
      </c>
      <c r="AA33" s="331">
        <f>Financials!Z44/('Evolutive SFP'!X30+'Evolutive SFP'!Y30)/2</f>
        <v>1.4759585145352737E-2</v>
      </c>
      <c r="AB33" s="331">
        <f>Financials!AA44/('Evolutive SFP'!Y30+'Evolutive SFP'!Z30)/2</f>
        <v>8.8769466098127491E-3</v>
      </c>
      <c r="AC33" s="331">
        <f>Financials!AB44/('Evolutive SFP'!Z30+'Evolutive SFP'!AA30)/2</f>
        <v>6.0513985024962256E-3</v>
      </c>
      <c r="AD33" s="331" t="e">
        <f>Financials!AC44/('Evolutive SFP'!AA30+'Evolutive SFP'!AB30)/2</f>
        <v>#REF!</v>
      </c>
      <c r="AE33" s="331">
        <f>Financials!AD44/('Evolutive SFP'!AB30+'Evolutive SFP'!AC30)/2</f>
        <v>2.2622045402349578E-2</v>
      </c>
      <c r="AF33" s="331">
        <f>Financials!AE44/('Evolutive SFP'!AC30+'Evolutive SFP'!AD30)/2</f>
        <v>7.4640285512756984E-4</v>
      </c>
      <c r="AG33" s="331">
        <f>Financials!AF44/('Evolutive SFP'!AD30+'Evolutive SFP'!AE30)/2</f>
        <v>2.5276653151584559E-3</v>
      </c>
      <c r="AH33" s="331">
        <f>Financials!AG44/('Evolutive SFP'!AE30+'Evolutive SFP'!AF30)/2</f>
        <v>4.4308290616905067E-3</v>
      </c>
      <c r="AI33" s="331">
        <f>Financials!AH44/('Evolutive SFP'!AF30+'Evolutive SFP'!AG30)/2</f>
        <v>5.1283972549950284E-3</v>
      </c>
      <c r="AJ33" s="331">
        <f>Financials!AI44/('Evolutive SFP'!AG30+'Evolutive SFP'!AH30)/2</f>
        <v>6.8510852804416801E-3</v>
      </c>
      <c r="AK33" s="331">
        <f>Financials!AJ44/('Evolutive SFP'!AH30+'Evolutive SFP'!AI30)/2</f>
        <v>8.613867437242918E-3</v>
      </c>
      <c r="AL33" s="331">
        <f>Financials!AK44/('Evolutive SFP'!AI30+'Evolutive SFP'!AJ30)/2</f>
        <v>1.658593290986211E-2</v>
      </c>
      <c r="AM33" s="331">
        <f>Financials!AL44/('Evolutive SFP'!AJ30+'Evolutive SFP'!AK30)/2</f>
        <v>9.4083209993351125E-3</v>
      </c>
      <c r="AN33" s="331">
        <f>Financials!AM44/('Evolutive SFP'!AK30+'Evolutive SFP'!AL30)/2</f>
        <v>1.8283982469048894E-2</v>
      </c>
      <c r="AO33" s="331">
        <f>Financials!AN44/('Evolutive SFP'!AL30+'Evolutive SFP'!AM30)/2</f>
        <v>2.013995720640456E-2</v>
      </c>
      <c r="AP33" s="331">
        <f>Financials!AO44/('Evolutive SFP'!AM30+'Evolutive SFP'!AN30)/2</f>
        <v>1.6985099219584354E-2</v>
      </c>
      <c r="AQ33" s="331">
        <f>Financials!AP44/('Evolutive SFP'!AN30+'Evolutive SFP'!AO30)/2</f>
        <v>3.5953483862576345E-2</v>
      </c>
      <c r="AR33" s="331">
        <f>Financials!AQ44/('Evolutive SFP'!AO30+'Evolutive SFP'!AP30)/2</f>
        <v>1.1563334162260363E-3</v>
      </c>
      <c r="AS33" s="331">
        <f>Financials!AR44/('Evolutive SFP'!AP30+'Evolutive SFP'!AQ30)/2</f>
        <v>2.2260848360931389E-3</v>
      </c>
      <c r="AT33" s="331">
        <f>Financials!AS44/('Evolutive SFP'!AQ30+'Evolutive SFP'!AR30)/2</f>
        <v>2.9441268225901085E-3</v>
      </c>
      <c r="AU33" s="331">
        <f>Financials!AT44/('Evolutive SFP'!AR30+'Evolutive SFP'!AS30)/2</f>
        <v>3.3365805324661554E-3</v>
      </c>
      <c r="AV33" s="331">
        <f>Financials!AU44/('Evolutive SFP'!AS30+'Evolutive SFP'!AT30)/2</f>
        <v>5.0458360008489214E-3</v>
      </c>
      <c r="AW33" s="331">
        <f>Financials!AV44/('Evolutive SFP'!AT30+'Evolutive SFP'!AU30)/2</f>
        <v>7.5131517029296312E-3</v>
      </c>
      <c r="AX33" s="331">
        <f>Financials!AW44/('Evolutive SFP'!AU30+'Evolutive SFP'!AV30)/2</f>
        <v>9.1688950981586009E-3</v>
      </c>
      <c r="AY33" s="331">
        <f>Financials!AX44/('Evolutive SFP'!AV30+'Evolutive SFP'!AW30)/2</f>
        <v>1.1004836500468945E-2</v>
      </c>
      <c r="AZ33" s="331">
        <f>Financials!AY44/('Evolutive SFP'!AW30+'Evolutive SFP'!AX30)/2</f>
        <v>1.3503849903034644E-2</v>
      </c>
      <c r="BA33" s="331">
        <f>Financials!AZ44/('Evolutive SFP'!AX30+'Evolutive SFP'!AY30)/2</f>
        <v>1.4753663493218621E-2</v>
      </c>
      <c r="BB33" s="331">
        <f>Financials!BA44/('Evolutive SFP'!AY30+'Evolutive SFP'!AZ30)/2</f>
        <v>1.653825844836793E-2</v>
      </c>
      <c r="BC33" s="331">
        <f>Financials!BB44/('Evolutive SFP'!AZ30+'Evolutive SFP'!BA30)/2</f>
        <v>1.8834668167498236E-2</v>
      </c>
      <c r="BD33" s="331">
        <f>Financials!BC44/('Evolutive SFP'!BA30+'Evolutive SFP'!BB30)/2</f>
        <v>1.8826293410291E-2</v>
      </c>
      <c r="BE33" s="331">
        <f>Financials!BD44/('Evolutive SFP'!BB30+'Evolutive SFP'!BC30)/2</f>
        <v>2.1539106559757351E-4</v>
      </c>
      <c r="BF33" s="331">
        <f>Financials!BE44/('Evolutive SFP'!BC30+'Evolutive SFP'!BD30)/2</f>
        <v>6.6876465241039976E-4</v>
      </c>
      <c r="BG33" s="331">
        <f>Financials!BF44/('Evolutive SFP'!BD30+'Evolutive SFP'!BE30)/2</f>
        <v>3.116398972565413E-3</v>
      </c>
      <c r="BH33" s="331">
        <f>Financials!BG44/('Evolutive SFP'!BE30+'Evolutive SFP'!BF30)/2</f>
        <v>4.6320110803252787E-3</v>
      </c>
      <c r="BI33" s="331">
        <f>Financials!BH44/('Evolutive SFP'!BF30+'Evolutive SFP'!BG30)/2</f>
        <v>6.2360382733967733E-3</v>
      </c>
      <c r="BJ33" s="331">
        <f>Financials!BI44/('Evolutive SFP'!BG30+'Evolutive SFP'!BH30)/2</f>
        <v>8.3614385107868804E-3</v>
      </c>
      <c r="BK33" s="331">
        <f>Financials!BJ44/('Evolutive SFP'!BH30+'Evolutive SFP'!BI32)/2</f>
        <v>2.3442078705063513E-2</v>
      </c>
      <c r="BL33" s="331">
        <f>Financials!BK44/('Evolutive SFP'!BI32+'Evolutive SFP'!BJ30)/2</f>
        <v>2.5274853148265164E-2</v>
      </c>
      <c r="BM33" s="331">
        <f>Financials!BL44/('Evolutive SFP'!BJ30+'Evolutive SFP'!BK32)/2</f>
        <v>2.8346955456767353E-2</v>
      </c>
      <c r="BN33" s="331">
        <f>Financials!BM44/('Evolutive SFP'!BK32+'Evolutive SFP'!BL30)/2</f>
        <v>3.1831380661670738E-2</v>
      </c>
      <c r="BO33" s="331">
        <f>Financials!BN44/('Evolutive SFP'!BL30+'Evolutive SFP'!BM32)/2</f>
        <v>4.7204935449706401E-2</v>
      </c>
      <c r="BP33" s="331">
        <f>Financials!BO44/('Evolutive SFP'!BM32+'Evolutive SFP'!BN30)/2</f>
        <v>3.7825439975395038E-2</v>
      </c>
      <c r="BQ33" s="331">
        <f>Financials!BP44/('Evolutive SFP'!BN30+'Evolutive SFP'!BO32)/2</f>
        <v>3.6826531738061337E-2</v>
      </c>
      <c r="BR33" s="331"/>
      <c r="BS33" s="331"/>
      <c r="BT33" s="331"/>
      <c r="BU33" s="331"/>
      <c r="BV33" s="331"/>
      <c r="BW33" s="331"/>
      <c r="BX33" s="331"/>
      <c r="BY33" s="331"/>
    </row>
    <row r="34" spans="1:77" ht="18.75">
      <c r="A34" s="342"/>
      <c r="B34" s="339" t="s">
        <v>55</v>
      </c>
      <c r="C34" s="330"/>
      <c r="D34" s="331"/>
      <c r="E34" s="331"/>
      <c r="F34" s="331"/>
      <c r="G34" s="331"/>
      <c r="H34" s="331">
        <f>Financials!G45/('Evolutive SFP'!B39+'Evolutive SFP'!F39)/2</f>
        <v>0</v>
      </c>
      <c r="I34" s="331">
        <f>Financials!H45/('Evolutive SFP'!C39+'Evolutive SFP'!G39)/2</f>
        <v>0</v>
      </c>
      <c r="J34" s="331"/>
      <c r="K34" s="331">
        <f>Financials!J45/('Evolutive SFP'!F39+'Evolutive SFP'!I39)/2</f>
        <v>0</v>
      </c>
      <c r="L34" s="331">
        <f>Financials!K45/('Evolutive SFP'!I39+'Evolutive SFP'!J39)/2</f>
        <v>0</v>
      </c>
      <c r="M34" s="331">
        <f>Financials!L45/('Evolutive SFP'!J39+'Evolutive SFP'!K39)/2</f>
        <v>0</v>
      </c>
      <c r="N34" s="331">
        <f>Financials!M45/('Evolutive SFP'!K39+'Evolutive SFP'!L39)/2</f>
        <v>0</v>
      </c>
      <c r="O34" s="331">
        <f>Financials!N45/('Evolutive SFP'!L39+'Evolutive SFP'!M39)/2</f>
        <v>0</v>
      </c>
      <c r="P34" s="331">
        <f>Financials!O45/('Evolutive SFP'!M39+'Evolutive SFP'!N39)/2</f>
        <v>0</v>
      </c>
      <c r="Q34" s="331">
        <f>Financials!P45/('Evolutive SFP'!N39+'Evolutive SFP'!O39)/2</f>
        <v>0</v>
      </c>
      <c r="R34" s="331">
        <f>Financials!Q45/('Evolutive SFP'!O39+'Evolutive SFP'!P39)/2</f>
        <v>0</v>
      </c>
      <c r="S34" s="331">
        <f>Financials!R45/('Evolutive SFP'!P39+'Evolutive SFP'!Q39)/2</f>
        <v>0</v>
      </c>
      <c r="T34" s="331">
        <f>Financials!S45/('Evolutive SFP'!Q39+'Evolutive SFP'!R39)/2</f>
        <v>0</v>
      </c>
      <c r="U34" s="331">
        <f>Financials!T45/('Evolutive SFP'!R39+'Evolutive SFP'!S39)/2</f>
        <v>0</v>
      </c>
      <c r="V34" s="331">
        <f>Financials!U45/('Evolutive SFP'!S39+'Evolutive SFP'!T39)/2</f>
        <v>0</v>
      </c>
      <c r="W34" s="331">
        <f>Financials!V45/('Evolutive SFP'!T39+'Evolutive SFP'!U39)/2</f>
        <v>0</v>
      </c>
      <c r="X34" s="331">
        <f>Financials!W45/('Evolutive SFP'!U39+'Evolutive SFP'!V39)/2</f>
        <v>0</v>
      </c>
      <c r="Y34" s="331">
        <f>Financials!X45/('Evolutive SFP'!V39+'Evolutive SFP'!W39)/2</f>
        <v>0</v>
      </c>
      <c r="Z34" s="331">
        <f>Financials!Y45/('Evolutive SFP'!W39+'Evolutive SFP'!X39)/2</f>
        <v>0</v>
      </c>
      <c r="AA34" s="331">
        <f>Financials!Z45/('Evolutive SFP'!X39+'Evolutive SFP'!Y39)/2</f>
        <v>0</v>
      </c>
      <c r="AB34" s="331">
        <f>Financials!AA45/('Evolutive SFP'!Y39+'Evolutive SFP'!Z39)/2</f>
        <v>0</v>
      </c>
      <c r="AC34" s="331" t="e">
        <f>Financials!AB45/('Evolutive SFP'!Z39+'Evolutive SFP'!AA39)/2</f>
        <v>#DIV/0!</v>
      </c>
      <c r="AD34" s="331" t="e">
        <f>Financials!AC45/('Evolutive SFP'!AA39+'Evolutive SFP'!AB39)/2</f>
        <v>#REF!</v>
      </c>
      <c r="AE34" s="331">
        <f>Financials!AD45/('Evolutive SFP'!AB39+'Evolutive SFP'!AC39)/2</f>
        <v>0</v>
      </c>
      <c r="AF34" s="331">
        <f>Financials!AE45/('Evolutive SFP'!AC39+'Evolutive SFP'!AD39)/2</f>
        <v>0</v>
      </c>
      <c r="AG34" s="331">
        <f>Financials!AF45/('Evolutive SFP'!AD39+'Evolutive SFP'!AE39)/2</f>
        <v>0</v>
      </c>
      <c r="AH34" s="331">
        <f>Financials!AG45/('Evolutive SFP'!AE39+'Evolutive SFP'!AF39)/2</f>
        <v>0</v>
      </c>
      <c r="AI34" s="331">
        <f>Financials!AH45/('Evolutive SFP'!AF39+'Evolutive SFP'!AG39)/2</f>
        <v>0</v>
      </c>
      <c r="AJ34" s="331">
        <f>Financials!AI45/('Evolutive SFP'!AG39+'Evolutive SFP'!AH39)/2</f>
        <v>0</v>
      </c>
      <c r="AK34" s="331">
        <f>Financials!AJ45/('Evolutive SFP'!AH39+'Evolutive SFP'!AI39)/2</f>
        <v>0</v>
      </c>
      <c r="AL34" s="331">
        <f>Financials!AK45/('Evolutive SFP'!AI39+'Evolutive SFP'!AJ39)/2</f>
        <v>0</v>
      </c>
      <c r="AM34" s="331">
        <f>Financials!AL45/('Evolutive SFP'!AJ39+'Evolutive SFP'!AK39)/2</f>
        <v>0</v>
      </c>
      <c r="AN34" s="331">
        <f>Financials!AM45/('Evolutive SFP'!AK39+'Evolutive SFP'!AL39)/2</f>
        <v>0</v>
      </c>
      <c r="AO34" s="331">
        <f>Financials!AN45/('Evolutive SFP'!AL39+'Evolutive SFP'!AM39)/2</f>
        <v>0</v>
      </c>
      <c r="AP34" s="331">
        <f>Financials!AO45/('Evolutive SFP'!AM39+'Evolutive SFP'!AN39)/2</f>
        <v>0</v>
      </c>
      <c r="AQ34" s="331">
        <f>Financials!AP45/('Evolutive SFP'!AN39+'Evolutive SFP'!AO39)/2</f>
        <v>0</v>
      </c>
      <c r="AR34" s="331">
        <f>Financials!AQ45/('Evolutive SFP'!AO39+'Evolutive SFP'!AP39)/2</f>
        <v>0</v>
      </c>
      <c r="AS34" s="331">
        <f>Financials!AR45/('Evolutive SFP'!AP39+'Evolutive SFP'!AQ39)/2</f>
        <v>0</v>
      </c>
      <c r="AT34" s="331">
        <f>Financials!AS45/('Evolutive SFP'!AQ39+'Evolutive SFP'!AR39)/2</f>
        <v>0</v>
      </c>
      <c r="AU34" s="331">
        <f>Financials!AT45/('Evolutive SFP'!AR39+'Evolutive SFP'!AS39)/2</f>
        <v>0</v>
      </c>
      <c r="AV34" s="331">
        <f>Financials!AU45/('Evolutive SFP'!AS39+'Evolutive SFP'!AT39)/2</f>
        <v>0</v>
      </c>
      <c r="AW34" s="331">
        <f>Financials!AV45/('Evolutive SFP'!AT39+'Evolutive SFP'!AU39)/2</f>
        <v>0</v>
      </c>
      <c r="AX34" s="331">
        <f>Financials!AW45/('Evolutive SFP'!AU39+'Evolutive SFP'!AV39)/2</f>
        <v>0</v>
      </c>
      <c r="AY34" s="331">
        <f>Financials!AX45/('Evolutive SFP'!AV39+'Evolutive SFP'!AW39)/2</f>
        <v>0</v>
      </c>
      <c r="AZ34" s="331">
        <f>Financials!AY45/('Evolutive SFP'!AW39+'Evolutive SFP'!AX39)/2</f>
        <v>0</v>
      </c>
      <c r="BA34" s="331">
        <f>Financials!AZ45/('Evolutive SFP'!AX39+'Evolutive SFP'!AY39)/2</f>
        <v>0</v>
      </c>
      <c r="BB34" s="331">
        <f>Financials!BA45/('Evolutive SFP'!AY39+'Evolutive SFP'!AZ39)/2</f>
        <v>0</v>
      </c>
      <c r="BC34" s="331">
        <f>Financials!BB45/('Evolutive SFP'!AZ39+'Evolutive SFP'!BA39)/2</f>
        <v>0</v>
      </c>
      <c r="BD34" s="331">
        <f>Financials!BC45/('Evolutive SFP'!BA39+'Evolutive SFP'!BB39)/2</f>
        <v>0</v>
      </c>
      <c r="BE34" s="331">
        <f>Financials!BD45/('Evolutive SFP'!BB39+'Evolutive SFP'!BC39)/2</f>
        <v>0</v>
      </c>
      <c r="BF34" s="331">
        <f>Financials!BE45/('Evolutive SFP'!BC39+'Evolutive SFP'!BD39)/2</f>
        <v>0</v>
      </c>
      <c r="BG34" s="331">
        <f>Financials!BF45/('Evolutive SFP'!BD39+'Evolutive SFP'!BE39)/2</f>
        <v>0</v>
      </c>
      <c r="BH34" s="331">
        <f>Financials!BG45/('Evolutive SFP'!BE39+'Evolutive SFP'!BF39)/2</f>
        <v>5.7872291326069834E-4</v>
      </c>
      <c r="BI34" s="331">
        <f>Financials!BH45/('Evolutive SFP'!BF39+'Evolutive SFP'!BG39)/2</f>
        <v>0</v>
      </c>
      <c r="BJ34" s="331">
        <f>Financials!BI45/('Evolutive SFP'!BG39+'Evolutive SFP'!BH39)/2</f>
        <v>0</v>
      </c>
      <c r="BK34" s="331">
        <f>Financials!BJ45/('Evolutive SFP'!BH39+'Evolutive SFP'!BI41)/2</f>
        <v>0</v>
      </c>
      <c r="BL34" s="331">
        <f>Financials!BK45/('Evolutive SFP'!BI41+'Evolutive SFP'!BJ39)/2</f>
        <v>0</v>
      </c>
      <c r="BM34" s="331">
        <f>Financials!BL45/('Evolutive SFP'!BJ39+'Evolutive SFP'!BK41)/2</f>
        <v>0</v>
      </c>
      <c r="BN34" s="331">
        <f>Financials!BM45/('Evolutive SFP'!BK41+'Evolutive SFP'!BL39)/2</f>
        <v>0</v>
      </c>
      <c r="BO34" s="331">
        <f>Financials!BN45/('Evolutive SFP'!BL39+'Evolutive SFP'!BM41)/2</f>
        <v>0</v>
      </c>
      <c r="BP34" s="331">
        <f>Financials!BO45/('Evolutive SFP'!BM41+'Evolutive SFP'!BN39)/2</f>
        <v>0</v>
      </c>
      <c r="BQ34" s="331">
        <f>Financials!BP45/('Evolutive SFP'!BN39+'Evolutive SFP'!BO41)/2</f>
        <v>0</v>
      </c>
      <c r="BR34" s="331"/>
      <c r="BS34" s="331"/>
      <c r="BT34" s="331"/>
      <c r="BU34" s="331"/>
      <c r="BV34" s="331"/>
      <c r="BW34" s="331"/>
      <c r="BX34" s="331"/>
      <c r="BY34" s="331"/>
    </row>
    <row r="35" spans="1:77" ht="18.75">
      <c r="A35" s="342"/>
      <c r="B35" s="339" t="s">
        <v>56</v>
      </c>
      <c r="C35" s="330"/>
      <c r="D35" s="331"/>
      <c r="E35" s="331"/>
      <c r="F35" s="331"/>
      <c r="G35" s="331"/>
      <c r="H35" s="331">
        <f>Financials!G46/(Financials!F31+Financials!G31)/2</f>
        <v>0</v>
      </c>
      <c r="I35" s="331" t="e">
        <f>Financials!H46/(Financials!G31+Financials!H31)/2</f>
        <v>#REF!</v>
      </c>
      <c r="J35" s="331"/>
      <c r="K35" s="331">
        <f>Financials!J46/(Financials!G31+Financials!J31)/2</f>
        <v>5.3773974272226821E-4</v>
      </c>
      <c r="L35" s="331">
        <f>Financials!K46/(Financials!J31+Financials!K31)/2</f>
        <v>6.8336881221071595E-4</v>
      </c>
      <c r="M35" s="331">
        <f>Financials!L46/(Financials!K31+Financials!L31)/2</f>
        <v>8.5137383438649869E-4</v>
      </c>
      <c r="N35" s="331">
        <f>Financials!M46/(Financials!L31+Financials!M31)/2</f>
        <v>9.9900602309927443E-4</v>
      </c>
      <c r="O35" s="331">
        <f>Financials!N46/(Financials!M31+Financials!N31)/2</f>
        <v>1.2696469537143967E-3</v>
      </c>
      <c r="P35" s="331">
        <f>Financials!O46/(Financials!N31+Financials!O31)/2</f>
        <v>1.3721221210651615E-3</v>
      </c>
      <c r="Q35" s="331">
        <f>Financials!P46/(Financials!O31+Financials!P31)/2</f>
        <v>1.3135456710033282E-3</v>
      </c>
      <c r="R35" s="331">
        <f>Financials!Q46/(Financials!P31+Financials!Q31)/2</f>
        <v>1.2603677711999115E-3</v>
      </c>
      <c r="S35" s="331">
        <f>Financials!R46/(Financials!Q31+Financials!R31)/2</f>
        <v>0</v>
      </c>
      <c r="T35" s="331">
        <f>Financials!S46/(Financials!R31+Financials!S31)/2</f>
        <v>0</v>
      </c>
      <c r="U35" s="331">
        <f>Financials!T46/(Financials!S31+Financials!T31)/2</f>
        <v>0</v>
      </c>
      <c r="V35" s="331">
        <f>Financials!U46/(Financials!T31+Financials!U31)/2</f>
        <v>0</v>
      </c>
      <c r="W35" s="331">
        <f>Financials!V46/(Financials!U31+Financials!V31)/2</f>
        <v>0</v>
      </c>
      <c r="X35" s="331">
        <f>Financials!W46/(Financials!V31+Financials!W31)/2</f>
        <v>0</v>
      </c>
      <c r="Y35" s="331">
        <f>Financials!X46/(Financials!W31+Financials!X31)/2</f>
        <v>0</v>
      </c>
      <c r="Z35" s="331">
        <f>Financials!Y46/(Financials!X31+Financials!Y31)/2</f>
        <v>0</v>
      </c>
      <c r="AA35" s="331">
        <f>Financials!Z46/(Financials!Y31+Financials!Z31)/2</f>
        <v>0</v>
      </c>
      <c r="AB35" s="331">
        <f>Financials!AA46/(Financials!Z31+Financials!AA31)/2</f>
        <v>0</v>
      </c>
      <c r="AC35" s="331">
        <f>Financials!AB46/(Financials!AA31+Financials!AB31)/2</f>
        <v>0</v>
      </c>
      <c r="AD35" s="331" t="e">
        <f>Financials!AC46/(Financials!AB31+Financials!AC31)/2</f>
        <v>#REF!</v>
      </c>
      <c r="AE35" s="331">
        <f>Financials!AD46/(Financials!AC31+Financials!AD31)/2</f>
        <v>0</v>
      </c>
      <c r="AF35" s="331">
        <f>Financials!AE46/(Financials!AD31+Financials!AE31)/2</f>
        <v>0</v>
      </c>
      <c r="AG35" s="331">
        <f>Financials!AF46/(Financials!AE31+Financials!AF31)/2</f>
        <v>0</v>
      </c>
      <c r="AH35" s="331">
        <f>Financials!AG46/(Financials!AF31+Financials!AG31)/2</f>
        <v>0</v>
      </c>
      <c r="AI35" s="331">
        <f>Financials!AH46/(Financials!AG31+Financials!AH31)/2</f>
        <v>0</v>
      </c>
      <c r="AJ35" s="331">
        <f>Financials!AI46/(Financials!AH31+Financials!AI31)/2</f>
        <v>0</v>
      </c>
      <c r="AK35" s="331">
        <f>Financials!AJ46/(Financials!AI31+Financials!AJ31)/2</f>
        <v>0</v>
      </c>
      <c r="AL35" s="331">
        <f>Financials!AK46/(Financials!AJ31+Financials!AK31)/2</f>
        <v>0</v>
      </c>
      <c r="AM35" s="331">
        <f>Financials!AL46/(Financials!AK31+Financials!AL31)/2</f>
        <v>0</v>
      </c>
      <c r="AN35" s="331">
        <f>Financials!AM46/(Financials!AL31+Financials!AM31)/2</f>
        <v>0</v>
      </c>
      <c r="AO35" s="331">
        <f>Financials!AN46/(Financials!AM31+Financials!AN31)/2</f>
        <v>0</v>
      </c>
      <c r="AP35" s="331">
        <f>Financials!AO46/(Financials!AN31+Financials!AO31)/2</f>
        <v>0</v>
      </c>
      <c r="AQ35" s="331">
        <f>Financials!AP46/(Financials!AO31+Financials!AP31)/2</f>
        <v>0</v>
      </c>
      <c r="AR35" s="331">
        <f>Financials!AQ46/(Financials!AP31+Financials!AQ31)/2</f>
        <v>0</v>
      </c>
      <c r="AS35" s="331">
        <f>Financials!AR46/(Financials!AQ31+Financials!AR31)/2</f>
        <v>0</v>
      </c>
      <c r="AT35" s="331">
        <f>Financials!AS46/(Financials!AR31+Financials!AS31)/2</f>
        <v>0</v>
      </c>
      <c r="AU35" s="331">
        <f>Financials!AT46/(Financials!AS31+Financials!AT31)/2</f>
        <v>0</v>
      </c>
      <c r="AV35" s="331">
        <f>Financials!AU46/(Financials!AT31+Financials!AU31)/2</f>
        <v>0</v>
      </c>
      <c r="AW35" s="331">
        <f>Financials!AV46/(Financials!AU31+Financials!AV31)/2</f>
        <v>0</v>
      </c>
      <c r="AX35" s="331">
        <f>Financials!AW46/(Financials!AV31+Financials!AW31)/2</f>
        <v>0</v>
      </c>
      <c r="AY35" s="331">
        <f>Financials!AX46/(Financials!AW31+Financials!AX31)/2</f>
        <v>0</v>
      </c>
      <c r="AZ35" s="331">
        <f>Financials!AY46/(Financials!AX31+Financials!AY31)/2</f>
        <v>0</v>
      </c>
      <c r="BA35" s="331">
        <f>Financials!AZ46/(Financials!AY31+Financials!AZ31)/2</f>
        <v>0</v>
      </c>
      <c r="BB35" s="331">
        <f>Financials!BA46/(Financials!AZ31+Financials!BA31)/2</f>
        <v>0</v>
      </c>
      <c r="BC35" s="331">
        <f>Financials!BB46/(Financials!BA31+Financials!BB31)/2</f>
        <v>0</v>
      </c>
      <c r="BD35" s="331">
        <f>Financials!BC46/(Financials!BB31+Financials!BC31)/2</f>
        <v>0</v>
      </c>
      <c r="BE35" s="331">
        <f>Financials!BD46/(Financials!BC31+Financials!BD31)/2</f>
        <v>0</v>
      </c>
      <c r="BF35" s="331">
        <f>Financials!BE46/(Financials!BD31+Financials!BE31)/2</f>
        <v>0</v>
      </c>
      <c r="BG35" s="331">
        <f>Financials!BF46/(Financials!BE31+Financials!BF31)/2</f>
        <v>0</v>
      </c>
      <c r="BH35" s="331">
        <f>Financials!BG46/(Financials!BF31+Financials!BG31)/2</f>
        <v>0</v>
      </c>
      <c r="BI35" s="331">
        <f>Financials!BH46/(Financials!BG31+Financials!BH31)/2</f>
        <v>0</v>
      </c>
      <c r="BJ35" s="331">
        <f>Financials!BI46/(Financials!BH31+Financials!BI31)/2</f>
        <v>0</v>
      </c>
      <c r="BK35" s="331">
        <f>Financials!BJ46/(Financials!BI31+Financials!BJ31)/2</f>
        <v>0</v>
      </c>
      <c r="BL35" s="331">
        <f>Financials!BK46/(Financials!BJ31+Financials!BK31)/2</f>
        <v>0</v>
      </c>
      <c r="BM35" s="331">
        <f>Financials!BL46/(Financials!BK31+Financials!BL31)/2</f>
        <v>0</v>
      </c>
      <c r="BN35" s="331">
        <f>Financials!BM46/(Financials!BL31+Financials!BM31)/2</f>
        <v>0</v>
      </c>
      <c r="BO35" s="331">
        <f>Financials!BN46/(Financials!BM31+Financials!BN31)/2</f>
        <v>0</v>
      </c>
      <c r="BP35" s="331">
        <f>Financials!BO46/(Financials!BN31+Financials!BO31)/2</f>
        <v>0</v>
      </c>
      <c r="BQ35" s="331">
        <f>Financials!BP46/(Financials!BO31+Financials!BP31)/2</f>
        <v>0</v>
      </c>
      <c r="BR35" s="331"/>
      <c r="BS35" s="331"/>
      <c r="BT35" s="331"/>
      <c r="BU35" s="331"/>
      <c r="BV35" s="331"/>
      <c r="BW35" s="331"/>
      <c r="BX35" s="331"/>
      <c r="BY35" s="331"/>
    </row>
    <row r="36" spans="1:77" ht="18.75">
      <c r="A36" s="342"/>
      <c r="B36" s="339" t="s">
        <v>57</v>
      </c>
      <c r="C36" s="330"/>
      <c r="D36" s="331"/>
      <c r="E36" s="331"/>
      <c r="F36" s="331"/>
      <c r="G36" s="331"/>
      <c r="H36" s="331">
        <f>Financials!G47/(Financials!F4+Financials!G4)/2</f>
        <v>7.525899431236471E-3</v>
      </c>
      <c r="I36" s="331">
        <f>Financials!H47/(Financials!G4+Financials!H4)/2</f>
        <v>1.2791235768187593E-2</v>
      </c>
      <c r="J36" s="331"/>
      <c r="K36" s="331">
        <f>Financials!J47/(Financials!G4+Financials!J4)/2</f>
        <v>1.470365096302205E-2</v>
      </c>
      <c r="L36" s="331">
        <f>Financials!K47/(Financials!J4+Financials!K4)/2</f>
        <v>1.6495375677075309E-2</v>
      </c>
      <c r="M36" s="331">
        <f>Financials!L47/(Financials!K4+Financials!L4)/2</f>
        <v>1.9080753777672307E-2</v>
      </c>
      <c r="N36" s="331">
        <f>Financials!M47/(Financials!L4+Financials!M4)/2</f>
        <v>2.1740142003383499E-2</v>
      </c>
      <c r="O36" s="331">
        <f>Financials!N47/(Financials!M4+Financials!N4)/2</f>
        <v>2.1199477449292316E-2</v>
      </c>
      <c r="P36" s="331">
        <f>Financials!O47/(Financials!N4+Financials!O4)/2</f>
        <v>2.1899078647684245E-2</v>
      </c>
      <c r="Q36" s="331">
        <f>Financials!P47/(Financials!O4+Financials!P4)/2</f>
        <v>2.5959422907158362E-2</v>
      </c>
      <c r="R36" s="331">
        <f>Financials!Q47/(Financials!P4+Financials!Q4)/2</f>
        <v>2.658266484817573E-2</v>
      </c>
      <c r="S36" s="331">
        <f>Financials!R47/(Financials!Q4+Financials!R4)/2</f>
        <v>1.9363483170820464E-3</v>
      </c>
      <c r="T36" s="331">
        <f>Financials!S47/(Financials!R4+Financials!S4)/2</f>
        <v>4.8253816972378058E-3</v>
      </c>
      <c r="U36" s="331">
        <f>Financials!T47/(Financials!S4+Financials!T4)/2</f>
        <v>7.5691588157096087E-3</v>
      </c>
      <c r="V36" s="331">
        <f>Financials!U47/(Financials!T4+Financials!U4)/2</f>
        <v>9.8526572264664991E-3</v>
      </c>
      <c r="W36" s="331">
        <f>Financials!V47/(Financials!U4+Financials!V4)/2</f>
        <v>1.2143400562115846E-2</v>
      </c>
      <c r="X36" s="331">
        <f>Financials!W47/(Financials!V4+Financials!W4)/2</f>
        <v>1.512971783522885E-2</v>
      </c>
      <c r="Y36" s="331">
        <f>Financials!X47/(Financials!W4+Financials!X4)/2</f>
        <v>1.7513469746655293E-2</v>
      </c>
      <c r="Z36" s="331">
        <f>Financials!Y47/(Financials!X4+Financials!Y4)/2</f>
        <v>1.992119629974512E-2</v>
      </c>
      <c r="AA36" s="331">
        <f>Financials!Z47/(Financials!Y4+Financials!Z4)/2</f>
        <v>2.225221444866566E-2</v>
      </c>
      <c r="AB36" s="331">
        <f>Financials!AA47/(Financials!Z4+Financials!AA4)/2</f>
        <v>1.4224318615266856E-2</v>
      </c>
      <c r="AC36" s="331">
        <f>Financials!AB47/(Financials!AA4+Financials!AB4)/2</f>
        <v>1.1088953571316453E-2</v>
      </c>
      <c r="AD36" s="331" t="e">
        <f>Financials!AC47/(Financials!AB4+Financials!AC4)/2</f>
        <v>#REF!</v>
      </c>
      <c r="AE36" s="331">
        <f>Financials!AD47/(Financials!AC4+Financials!AD4)/2</f>
        <v>1.7638447047051517E-2</v>
      </c>
      <c r="AF36" s="331">
        <f>Financials!AE47/(Financials!AD4+Financials!AE4)/2</f>
        <v>2.0245146083137607E-3</v>
      </c>
      <c r="AG36" s="331">
        <f>Financials!AF47/(Financials!AE4+Financials!AF4)/2</f>
        <v>4.5878568028573105E-3</v>
      </c>
      <c r="AH36" s="331">
        <f>Financials!AG47/(Financials!AF4+Financials!AG4)/2</f>
        <v>7.0286869204294437E-3</v>
      </c>
      <c r="AI36" s="331">
        <f>Financials!AH47/(Financials!AG4+Financials!AH4)/2</f>
        <v>9.1078482307298085E-3</v>
      </c>
      <c r="AJ36" s="331">
        <f>Financials!AI47/(Financials!AH4+Financials!AI4)/2</f>
        <v>1.0794960433773549E-2</v>
      </c>
      <c r="AK36" s="331">
        <f>Financials!AJ47/(Financials!AI4+Financials!AJ4)/2</f>
        <v>1.2631202151329795E-2</v>
      </c>
      <c r="AL36" s="331">
        <f>Financials!AK47/(Financials!AJ4+Financials!AK4)/2</f>
        <v>2.2313938070139726E-2</v>
      </c>
      <c r="AM36" s="331">
        <f>Financials!AL47/(Financials!AK4+Financials!AL4)/2</f>
        <v>1.2856142640789161E-2</v>
      </c>
      <c r="AN36" s="331">
        <f>Financials!AM47/(Financials!AL4+Financials!AM4)/2</f>
        <v>2.0853339255483248E-2</v>
      </c>
      <c r="AO36" s="331">
        <f>Financials!AN47/(Financials!AM4+Financials!AN4)/2</f>
        <v>2.1491393310759107E-2</v>
      </c>
      <c r="AP36" s="331">
        <f>Financials!AO47/(Financials!AN4+Financials!AO4)/2</f>
        <v>2.5028166141075236E-2</v>
      </c>
      <c r="AQ36" s="331">
        <f>Financials!AP47/(Financials!AO4+Financials!AP4)/2</f>
        <v>2.5521720445087888E-2</v>
      </c>
      <c r="AR36" s="331">
        <f>Financials!AQ47/(Financials!AP4+Financials!AQ4)/2</f>
        <v>1.7125829488528969E-3</v>
      </c>
      <c r="AS36" s="331">
        <f>Financials!AR47/(Financials!AQ4+Financials!AR4)/2</f>
        <v>4.386194673608952E-3</v>
      </c>
      <c r="AT36" s="331">
        <f>Financials!AS47/(Financials!AR4+Financials!AS4)/2</f>
        <v>6.6999811780098489E-3</v>
      </c>
      <c r="AU36" s="331">
        <f>Financials!AT47/(Financials!AS4+Financials!AT4)/2</f>
        <v>8.6780153861958712E-3</v>
      </c>
      <c r="AV36" s="331">
        <f>Financials!AU47/(Financials!AT4+Financials!AU4)/2</f>
        <v>1.0762693711319634E-2</v>
      </c>
      <c r="AW36" s="331">
        <f>Financials!AV47/(Financials!AU4+Financials!AV4)/2</f>
        <v>1.3058553740837081E-2</v>
      </c>
      <c r="AX36" s="331">
        <f>Financials!AW47/(Financials!AV4+Financials!AW4)/2</f>
        <v>1.5086422648261865E-2</v>
      </c>
      <c r="AY36" s="331">
        <f>Financials!AX47/(Financials!AW4+Financials!AX4)/2</f>
        <v>1.6890386926391474E-2</v>
      </c>
      <c r="AZ36" s="331">
        <f>Financials!AY47/(Financials!AX4+Financials!AY4)/2</f>
        <v>1.9518989417193697E-2</v>
      </c>
      <c r="BA36" s="331">
        <f>Financials!AZ47/(Financials!AY4+Financials!AZ4)/2</f>
        <v>2.1093695183859822E-2</v>
      </c>
      <c r="BB36" s="331">
        <f>Financials!BA47/(Financials!AZ4+Financials!BA4)/2</f>
        <v>2.2742496830341193E-2</v>
      </c>
      <c r="BC36" s="331">
        <f>Financials!BB47/(Financials!BA4+Financials!BB4)/2</f>
        <v>2.6308291000694834E-2</v>
      </c>
      <c r="BD36" s="331">
        <f>Financials!BC47/(Financials!BB4+Financials!BC4)/2</f>
        <v>2.6237797231643347E-2</v>
      </c>
      <c r="BE36" s="331">
        <f>Financials!BD47/(Financials!BC4+Financials!BD4)/2</f>
        <v>2.4327314872834111E-3</v>
      </c>
      <c r="BF36" s="331">
        <f>Financials!BE47/(Financials!BD4+Financials!BE4)/2</f>
        <v>4.9146947690392843E-3</v>
      </c>
      <c r="BG36" s="331">
        <f>Financials!BF47/(Financials!BE4+Financials!BF4)/2</f>
        <v>7.8695344850519336E-3</v>
      </c>
      <c r="BH36" s="331">
        <f>Financials!BG47/(Financials!BF4+Financials!BG4)/2</f>
        <v>1.0094412019006094E-2</v>
      </c>
      <c r="BI36" s="331">
        <f>Financials!BH47/(Financials!BG4+Financials!BH4)/2</f>
        <v>1.2291149238462182E-2</v>
      </c>
      <c r="BJ36" s="331">
        <f>Financials!BI47/(Financials!BH4+Financials!BI4)/2</f>
        <v>1.451850748479005E-2</v>
      </c>
      <c r="BK36" s="331">
        <f>Financials!BJ47/(Financials!BI4+Financials!BJ4)/2</f>
        <v>1.6294752701429847E-2</v>
      </c>
      <c r="BL36" s="331">
        <f>Financials!BK47/(Financials!BJ4+Financials!BK4)/2</f>
        <v>1.7418613165141435E-2</v>
      </c>
      <c r="BM36" s="331">
        <f>Financials!BL47/(Financials!BK4+Financials!BL4)/2</f>
        <v>2.025165773499106E-2</v>
      </c>
      <c r="BN36" s="331">
        <f>Financials!BM47/(Financials!BL4+Financials!BM4)/2</f>
        <v>2.2679550836943337E-2</v>
      </c>
      <c r="BO36" s="331">
        <f>Financials!BN47/(Financials!BM4+Financials!BN4)/2</f>
        <v>2.5335328280351947E-2</v>
      </c>
      <c r="BP36" s="331">
        <f>Financials!BO47/(Financials!BN4+Financials!BO4)/2</f>
        <v>2.8488990181419174E-2</v>
      </c>
      <c r="BQ36" s="331">
        <f>Financials!BP47/(Financials!BO4+Financials!BP4)/2</f>
        <v>2.8981539018032701E-2</v>
      </c>
      <c r="BR36" s="331"/>
      <c r="BS36" s="331"/>
      <c r="BT36" s="331"/>
      <c r="BU36" s="331"/>
      <c r="BV36" s="331"/>
      <c r="BW36" s="331"/>
      <c r="BX36" s="331"/>
      <c r="BY36" s="331"/>
    </row>
    <row r="37" spans="1:77" ht="18.75">
      <c r="A37" s="342"/>
      <c r="B37" s="339" t="s">
        <v>58</v>
      </c>
      <c r="C37" s="330"/>
      <c r="D37" s="331"/>
      <c r="E37" s="331"/>
      <c r="F37" s="331"/>
      <c r="G37" s="331"/>
      <c r="H37" s="331">
        <f>Financials!G47/Financials!G37</f>
        <v>0.66365772453699357</v>
      </c>
      <c r="I37" s="331">
        <f>Financials!H47/Financials!H37</f>
        <v>0.70809323375632105</v>
      </c>
      <c r="J37" s="331"/>
      <c r="K37" s="331">
        <f>Financials!J47/Financials!J37</f>
        <v>0.70258850529311212</v>
      </c>
      <c r="L37" s="331">
        <f>Financials!K47/Financials!K37</f>
        <v>0.70687530196825488</v>
      </c>
      <c r="M37" s="331">
        <f>Financials!L47/Financials!L37</f>
        <v>0.66520744610559135</v>
      </c>
      <c r="N37" s="331">
        <f>Financials!M47/Financials!M37</f>
        <v>0.6740788039022837</v>
      </c>
      <c r="O37" s="331">
        <f>Financials!N47/Financials!N37</f>
        <v>0.66156978876866512</v>
      </c>
      <c r="P37" s="331">
        <f>Financials!O47/Financials!O37</f>
        <v>0.6467057173646833</v>
      </c>
      <c r="Q37" s="331">
        <f>Financials!P47/Financials!P37</f>
        <v>0.63952507410867299</v>
      </c>
      <c r="R37" s="331">
        <f>Financials!Q47/Financials!Q37</f>
        <v>0.64413081232820313</v>
      </c>
      <c r="S37" s="331">
        <f>Financials!R47/Financials!R37</f>
        <v>0.67970245518700811</v>
      </c>
      <c r="T37" s="331">
        <f>Financials!S47/Financials!S37</f>
        <v>0.88302343890914781</v>
      </c>
      <c r="U37" s="331">
        <f>Financials!T47/Financials!T37</f>
        <v>0.8530205418947</v>
      </c>
      <c r="V37" s="331">
        <f>Financials!U47/Financials!U37</f>
        <v>0.83114744159613196</v>
      </c>
      <c r="W37" s="331">
        <f>Financials!V47/Financials!V37</f>
        <v>0.80148854129344882</v>
      </c>
      <c r="X37" s="331">
        <f>Financials!W47/Financials!W37</f>
        <v>0.69418156411621612</v>
      </c>
      <c r="Y37" s="331">
        <f>Financials!X47/Financials!X37</f>
        <v>0.71965865953010066</v>
      </c>
      <c r="Z37" s="331">
        <f>Financials!Y47/Financials!Y37</f>
        <v>0.72251101093330916</v>
      </c>
      <c r="AA37" s="331">
        <f>Financials!Z47/Financials!Z37</f>
        <v>0.71935232652824366</v>
      </c>
      <c r="AB37" s="331">
        <f>Financials!AA47/Financials!AA37</f>
        <v>0.66892475558901032</v>
      </c>
      <c r="AC37" s="331">
        <f>Financials!AB47/Financials!AB37</f>
        <v>0.65577513837425283</v>
      </c>
      <c r="AD37" s="331" t="e">
        <f>Financials!AC47/Financials!AC37</f>
        <v>#REF!</v>
      </c>
      <c r="AE37" s="331">
        <f>Financials!AD47/Financials!AD37</f>
        <v>0.63891574465225587</v>
      </c>
      <c r="AF37" s="331">
        <f>Financials!AE47/Financials!AE37</f>
        <v>0.62457612682420016</v>
      </c>
      <c r="AG37" s="331">
        <f>Financials!AF47/Financials!AF37</f>
        <v>0.68319807454865722</v>
      </c>
      <c r="AH37" s="331">
        <f>Financials!AG47/Financials!AG37</f>
        <v>0.71240341493352866</v>
      </c>
      <c r="AI37" s="331">
        <f>Financials!AH47/Financials!AH37</f>
        <v>0.70329159660983409</v>
      </c>
      <c r="AJ37" s="331">
        <f>Financials!AI47/Financials!AI37</f>
        <v>0.69652540225221193</v>
      </c>
      <c r="AK37" s="331">
        <f>Financials!AJ47/Financials!AJ37</f>
        <v>0.68054330363979398</v>
      </c>
      <c r="AL37" s="331">
        <f>Financials!AK47/Financials!AK37</f>
        <v>0.67737358350651955</v>
      </c>
      <c r="AM37" s="331">
        <f>Financials!AL47/Financials!AL37</f>
        <v>0.6976394057921288</v>
      </c>
      <c r="AN37" s="331">
        <f>Financials!AM47/Financials!AM37</f>
        <v>0.6618016526670305</v>
      </c>
      <c r="AO37" s="331">
        <f>Financials!AN47/Financials!AN37</f>
        <v>0.63119159364250221</v>
      </c>
      <c r="AP37" s="331">
        <f>Financials!AO47/Financials!AO37</f>
        <v>0.62784770443308546</v>
      </c>
      <c r="AQ37" s="331">
        <f>Financials!AP47/Financials!AP37</f>
        <v>0.62430118528127587</v>
      </c>
      <c r="AR37" s="331">
        <f>Financials!AQ47/Financials!AQ37</f>
        <v>0.64079245011404862</v>
      </c>
      <c r="AS37" s="331">
        <f>Financials!AR47/Financials!AR37</f>
        <v>0.76410758726771244</v>
      </c>
      <c r="AT37" s="331">
        <f>Financials!AS47/Financials!AS37</f>
        <v>0.74971128427038525</v>
      </c>
      <c r="AU37" s="331">
        <f>Financials!AT47/Financials!AT37</f>
        <v>0.75592463288139355</v>
      </c>
      <c r="AV37" s="331">
        <f>Financials!AU47/Financials!AU37</f>
        <v>0.73079116323857252</v>
      </c>
      <c r="AW37" s="331">
        <f>Financials!AV47/Financials!AV37</f>
        <v>0.72828743580042654</v>
      </c>
      <c r="AX37" s="331">
        <f>Financials!AW47/Financials!AW37</f>
        <v>0.72256243368636097</v>
      </c>
      <c r="AY37" s="331">
        <f>Financials!AX47/Financials!AX37</f>
        <v>0.70595115265227293</v>
      </c>
      <c r="AZ37" s="331">
        <f>Financials!AY47/Financials!AY37</f>
        <v>0.69924067754050823</v>
      </c>
      <c r="BA37" s="331">
        <f>Financials!AZ47/Financials!AZ37</f>
        <v>0.68513632454638129</v>
      </c>
      <c r="BB37" s="331">
        <f>Financials!BA47/Financials!BA37</f>
        <v>0.68055240252201266</v>
      </c>
      <c r="BC37" s="331">
        <f>Financials!BB47/Financials!BB37</f>
        <v>0.64916883590431207</v>
      </c>
      <c r="BD37" s="331">
        <f>Financials!BC47/Financials!BC37</f>
        <v>0.64278072606348835</v>
      </c>
      <c r="BE37" s="331">
        <f>Financials!BD47/Financials!BD37</f>
        <v>0.75366795719268842</v>
      </c>
      <c r="BF37" s="331">
        <f>Financials!BE47/Financials!BE37</f>
        <v>0.79820182063258382</v>
      </c>
      <c r="BG37" s="331">
        <f>Financials!BF47/Financials!BF37</f>
        <v>0.7630377734191337</v>
      </c>
      <c r="BH37" s="331">
        <f>Financials!BG47/Financials!BG37</f>
        <v>0.73979961017653784</v>
      </c>
      <c r="BI37" s="331">
        <f>Financials!BH47/Financials!BH37</f>
        <v>0.73693302842480768</v>
      </c>
      <c r="BJ37" s="331">
        <f>Financials!BI47/Financials!BI37</f>
        <v>0.71442874805975476</v>
      </c>
      <c r="BK37" s="331">
        <f>Financials!BJ47/Financials!BJ37</f>
        <v>0.69285109062203187</v>
      </c>
      <c r="BL37" s="331">
        <f>Financials!BK47/Financials!BK37</f>
        <v>0.71006299334154421</v>
      </c>
      <c r="BM37" s="331">
        <f>Financials!BL47/Financials!BL37</f>
        <v>0.71548468177877955</v>
      </c>
      <c r="BN37" s="331">
        <f>Financials!BM47/Financials!BM37</f>
        <v>0.70706890351602913</v>
      </c>
      <c r="BO37" s="331">
        <f>Financials!BN47/Financials!BN37</f>
        <v>0.6720019178392117</v>
      </c>
      <c r="BP37" s="331">
        <f>Financials!BO47/Financials!BO37</f>
        <v>0.65189151975113413</v>
      </c>
      <c r="BQ37" s="331">
        <f>Financials!BP47/Financials!BP37</f>
        <v>0.65622160065959401</v>
      </c>
      <c r="BR37" s="331"/>
      <c r="BS37" s="331"/>
      <c r="BT37" s="331"/>
      <c r="BU37" s="331"/>
      <c r="BV37" s="331"/>
      <c r="BW37" s="331"/>
      <c r="BX37" s="331"/>
      <c r="BY37" s="331"/>
    </row>
    <row r="38" spans="1:77" ht="18.75">
      <c r="A38" s="342"/>
      <c r="B38" s="339" t="s">
        <v>59</v>
      </c>
      <c r="C38" s="330"/>
      <c r="D38" s="331"/>
      <c r="E38" s="331"/>
      <c r="F38" s="331"/>
      <c r="G38" s="331"/>
      <c r="H38" s="331">
        <f>Financials!G38/('Evolutive SFP'!F14+'Evolutive SFP'!B14)/2</f>
        <v>1.5666356440524651E-2</v>
      </c>
      <c r="I38" s="331">
        <f>Financials!H38/('Evolutive SFP'!G14+'Evolutive SFP'!C14)/2</f>
        <v>1.2112142524792256E-2</v>
      </c>
      <c r="J38" s="331"/>
      <c r="K38" s="331">
        <f>Financials!J38/('Evolutive SFP'!I14+'Evolutive SFP'!F14)/2</f>
        <v>1.8228573447363436E-2</v>
      </c>
      <c r="L38" s="331">
        <f>Financials!K38/('Evolutive SFP'!J14+'Evolutive SFP'!I14)/2</f>
        <v>2.1347638323443673E-2</v>
      </c>
      <c r="M38" s="331">
        <f>Financials!L38/('Evolutive SFP'!K14+'Evolutive SFP'!J14)/2</f>
        <v>2.4622272994706776E-2</v>
      </c>
      <c r="N38" s="331">
        <f>Financials!M38/('Evolutive SFP'!L14+'Evolutive SFP'!K14)/2</f>
        <v>2.7764160480214232E-2</v>
      </c>
      <c r="O38" s="331">
        <f>Financials!N38/('Evolutive SFP'!M14+'Evolutive SFP'!L14)/2</f>
        <v>3.526573122990577E-2</v>
      </c>
      <c r="P38" s="331">
        <f>Financials!O38/('Evolutive SFP'!N14+'Evolutive SFP'!M14)/2</f>
        <v>4.2901940211557313E-2</v>
      </c>
      <c r="Q38" s="331">
        <f>Financials!P38/('Evolutive SFP'!O14+'Evolutive SFP'!N14)/2</f>
        <v>4.364573000956444E-2</v>
      </c>
      <c r="R38" s="331">
        <f>Financials!Q38/('Evolutive SFP'!P14+'Evolutive SFP'!O14)/2</f>
        <v>4.1150537881944005E-2</v>
      </c>
      <c r="S38" s="331">
        <f>Financials!R38/('Evolutive SFP'!Q14+'Evolutive SFP'!P14)/2</f>
        <v>2.9786289850296825E-3</v>
      </c>
      <c r="T38" s="331">
        <f>Financials!S38/('Evolutive SFP'!R14+'Evolutive SFP'!Q14)/2</f>
        <v>6.042014601589478E-3</v>
      </c>
      <c r="U38" s="331">
        <f>Financials!T38/('Evolutive SFP'!S14+'Evolutive SFP'!R14)/2</f>
        <v>8.9695536997614015E-3</v>
      </c>
      <c r="V38" s="331">
        <f>Financials!U38/('Evolutive SFP'!T14+'Evolutive SFP'!S14)/2</f>
        <v>1.1982584926893749E-2</v>
      </c>
      <c r="W38" s="331">
        <f>Financials!V38/('Evolutive SFP'!U14+'Evolutive SFP'!T14)/2</f>
        <v>1.4923627043934689E-2</v>
      </c>
      <c r="X38" s="331">
        <f>Financials!W38/('Evolutive SFP'!V14+'Evolutive SFP'!U14)/2</f>
        <v>1.78821684912908E-2</v>
      </c>
      <c r="Y38" s="331">
        <f>Financials!X38/('Evolutive SFP'!W14+'Evolutive SFP'!V14)/2</f>
        <v>2.1107027944936022E-2</v>
      </c>
      <c r="Z38" s="331">
        <f>Financials!Y38/('Evolutive SFP'!X14+'Evolutive SFP'!W14)/2</f>
        <v>2.3968154274305299E-2</v>
      </c>
      <c r="AA38" s="331">
        <f>Financials!Z38/('Evolutive SFP'!Y14+'Evolutive SFP'!X14)/2</f>
        <v>2.6731319776099011E-2</v>
      </c>
      <c r="AB38" s="331">
        <f>Financials!AA38/('Evolutive SFP'!Z14+'Evolutive SFP'!Y14)/2</f>
        <v>4.6118206795454482E-2</v>
      </c>
      <c r="AC38" s="331">
        <f>Financials!AB38/('Evolutive SFP'!AA14+'Evolutive SFP'!Z14)/2</f>
        <v>0.11482526353229913</v>
      </c>
      <c r="AD38" s="331" t="e">
        <f>Financials!AC38/('Evolutive SFP'!AB14+'Evolutive SFP'!AA14)/2</f>
        <v>#REF!</v>
      </c>
      <c r="AE38" s="331">
        <f>Financials!AD38/('Evolutive SFP'!AC14+'Evolutive SFP'!AB14)/2</f>
        <v>5.7048526818467567E-2</v>
      </c>
      <c r="AF38" s="331">
        <f>Financials!AE38/('Evolutive SFP'!AD14+'Evolutive SFP'!AC14)/2</f>
        <v>3.5166580795976806E-3</v>
      </c>
      <c r="AG38" s="331">
        <f>Financials!AF38/('Evolutive SFP'!AE14+'Evolutive SFP'!AD14)/2</f>
        <v>7.0246167366484055E-3</v>
      </c>
      <c r="AH38" s="331">
        <f>Financials!AG38/('Evolutive SFP'!AF14+'Evolutive SFP'!AE14)/2</f>
        <v>1.0074860965608659E-2</v>
      </c>
      <c r="AI38" s="331">
        <f>Financials!AH38/('Evolutive SFP'!AG14+'Evolutive SFP'!AF14)/2</f>
        <v>1.3216452114204358E-2</v>
      </c>
      <c r="AJ38" s="331">
        <f>Financials!AI38/('Evolutive SFP'!AH14+'Evolutive SFP'!AG14)/2</f>
        <v>1.5841870905435429E-2</v>
      </c>
      <c r="AK38" s="331">
        <f>Financials!AJ38/('Evolutive SFP'!AI14+'Evolutive SFP'!AH14)/2</f>
        <v>1.9133081120326016E-2</v>
      </c>
      <c r="AL38" s="331">
        <f>Financials!AK38/('Evolutive SFP'!AJ14+'Evolutive SFP'!AI14)/2</f>
        <v>3.3686000479541046E-2</v>
      </c>
      <c r="AM38" s="331">
        <f>Financials!AL38/('Evolutive SFP'!AK14+'Evolutive SFP'!AJ14)/2</f>
        <v>1.8795660507343381E-2</v>
      </c>
      <c r="AN38" s="331">
        <f>Financials!AM38/('Evolutive SFP'!AL14+'Evolutive SFP'!AK14)/2</f>
        <v>3.3464723317304226E-2</v>
      </c>
      <c r="AO38" s="331">
        <f>Financials!AN38/('Evolutive SFP'!AM14+'Evolutive SFP'!AL14)/2</f>
        <v>3.857146109266122E-2</v>
      </c>
      <c r="AP38" s="331">
        <f>Financials!AO38/('Evolutive SFP'!AN14+'Evolutive SFP'!AM14)/2</f>
        <v>4.008004449984242E-2</v>
      </c>
      <c r="AQ38" s="331">
        <f>Financials!AP38/('Evolutive SFP'!AO14+'Evolutive SFP'!AN14)/2</f>
        <v>3.8264366802233996E-2</v>
      </c>
      <c r="AR38" s="331">
        <f>Financials!AQ38/('Evolutive SFP'!AP14+'Evolutive SFP'!AO14)/2</f>
        <v>3.0081458159048865E-3</v>
      </c>
      <c r="AS38" s="331">
        <f>Financials!AR38/('Evolutive SFP'!AQ14+'Evolutive SFP'!AP14)/2</f>
        <v>6.2200926978787149E-3</v>
      </c>
      <c r="AT38" s="331">
        <f>Financials!AS38/('Evolutive SFP'!AR14+'Evolutive SFP'!AQ14)/2</f>
        <v>9.3325332227754913E-3</v>
      </c>
      <c r="AU38" s="331">
        <f>Financials!AT38/('Evolutive SFP'!AS14+'Evolutive SFP'!AR14)/2</f>
        <v>1.2439183779690799E-2</v>
      </c>
      <c r="AV38" s="331">
        <f>Financials!AU38/('Evolutive SFP'!AT14+'Evolutive SFP'!AS14)/2</f>
        <v>1.550609237762899E-2</v>
      </c>
      <c r="AW38" s="331">
        <f>Financials!AV38/('Evolutive SFP'!AU14+'Evolutive SFP'!AT14)/2</f>
        <v>1.8360199592813854E-2</v>
      </c>
      <c r="AX38" s="331">
        <f>Financials!AW38/('Evolutive SFP'!AV14+'Evolutive SFP'!AU14)/2</f>
        <v>2.1217718702758705E-2</v>
      </c>
      <c r="AY38" s="331">
        <f>Financials!AX38/('Evolutive SFP'!AW14+'Evolutive SFP'!AV14)/2</f>
        <v>2.5100095130341022E-2</v>
      </c>
      <c r="AZ38" s="331">
        <f>Financials!AY38/('Evolutive SFP'!AX14+'Evolutive SFP'!AW14)/2</f>
        <v>2.6601324003132535E-2</v>
      </c>
      <c r="BA38" s="331">
        <f>Financials!AZ38/('Evolutive SFP'!AY14+'Evolutive SFP'!AX14)/2</f>
        <v>3.1547030294621123E-2</v>
      </c>
      <c r="BB38" s="331">
        <f>Financials!BA38/('Evolutive SFP'!AZ14+'Evolutive SFP'!AY14)/2</f>
        <v>3.6067031671402162E-2</v>
      </c>
      <c r="BC38" s="331">
        <f>Financials!BB38/('Evolutive SFP'!BA14+'Evolutive SFP'!AZ14)/2</f>
        <v>3.7677638919243382E-2</v>
      </c>
      <c r="BD38" s="331">
        <f>Financials!BC38/('Evolutive SFP'!BB14+'Evolutive SFP'!BA14)/2</f>
        <v>3.9365301772825913E-2</v>
      </c>
      <c r="BE38" s="331">
        <f>Financials!BD38/('Evolutive SFP'!BC14+'Evolutive SFP'!BB14)/2</f>
        <v>3.4247336818338538E-3</v>
      </c>
      <c r="BF38" s="331">
        <f>Financials!BE38/('Evolutive SFP'!BD14+'Evolutive SFP'!BC14)/2</f>
        <v>7.0009797688739698E-3</v>
      </c>
      <c r="BG38" s="331">
        <f>Financials!BF38/('Evolutive SFP'!BE14+'Evolutive SFP'!BD14)/2</f>
        <v>1.1447728232913528E-2</v>
      </c>
      <c r="BH38" s="331">
        <f>Financials!BG38/('Evolutive SFP'!BF14+'Evolutive SFP'!BE14)/2</f>
        <v>1.5509888624205399E-2</v>
      </c>
      <c r="BI38" s="331">
        <f>Financials!BH38/('Evolutive SFP'!BG14+'Evolutive SFP'!BF14)/2</f>
        <v>1.9566436005621433E-2</v>
      </c>
      <c r="BJ38" s="331">
        <f>Financials!BI38/('Evolutive SFP'!BH14+'Evolutive SFP'!BG14)/2</f>
        <v>2.3515404825854232E-2</v>
      </c>
      <c r="BK38" s="331">
        <f>Financials!BJ38/('Evolutive SFP'!BI15+'Evolutive SFP'!BH14)/2</f>
        <v>2.5544955120134716E-2</v>
      </c>
      <c r="BL38" s="331">
        <f>Financials!BK38/('Evolutive SFP'!BJ14+'Evolutive SFP'!BI15)/2</f>
        <v>2.8762487550391971E-2</v>
      </c>
      <c r="BM38" s="331">
        <f>Financials!BL38/('Evolutive SFP'!BK15+'Evolutive SFP'!BJ14)/2</f>
        <v>3.1235918097275734E-2</v>
      </c>
      <c r="BN38" s="331">
        <f>Financials!BM38/('Evolutive SFP'!BL14+'Evolutive SFP'!BK15)/2</f>
        <v>3.3894334726687618E-2</v>
      </c>
      <c r="BO38" s="331">
        <f>Financials!BN38/('Evolutive SFP'!BM15+'Evolutive SFP'!BL14)/2</f>
        <v>3.6784238270696032E-2</v>
      </c>
      <c r="BP38" s="331">
        <f>Financials!BO38/('Evolutive SFP'!BN14+'Evolutive SFP'!BM15)/2</f>
        <v>1.0369618115650563E-2</v>
      </c>
      <c r="BQ38" s="331">
        <f>Financials!BP38/('Evolutive SFP'!BO15+'Evolutive SFP'!BN14)/2</f>
        <v>0</v>
      </c>
      <c r="BR38" s="331"/>
      <c r="BS38" s="331"/>
      <c r="BT38" s="331"/>
      <c r="BU38" s="331"/>
      <c r="BV38" s="331"/>
      <c r="BW38" s="331"/>
      <c r="BX38" s="331"/>
      <c r="BY38" s="331"/>
    </row>
    <row r="39" spans="1:77" ht="18.75">
      <c r="A39" s="342"/>
      <c r="B39" s="339" t="s">
        <v>60</v>
      </c>
      <c r="C39" s="330"/>
      <c r="D39" s="331"/>
      <c r="E39" s="331"/>
      <c r="F39" s="331"/>
      <c r="G39" s="331"/>
      <c r="H39" s="331">
        <f>Financials!G37/('Evolutive SFP'!F15+'Evolutive SFP'!B15)/2</f>
        <v>2.6109701234380934E-2</v>
      </c>
      <c r="I39" s="331">
        <f>Financials!H37/('Evolutive SFP'!G15+'Evolutive SFP'!C15)/2</f>
        <v>1.9015605095045601E-2</v>
      </c>
      <c r="J39" s="331"/>
      <c r="K39" s="331">
        <f>Financials!J37/('Evolutive SFP'!I15+'Evolutive SFP'!F15)/2</f>
        <v>2.7766402390123096E-2</v>
      </c>
      <c r="L39" s="331">
        <f>Financials!K37/('Evolutive SFP'!J15+'Evolutive SFP'!I15)/2</f>
        <v>3.1679240881366234E-2</v>
      </c>
      <c r="M39" s="331">
        <f>Financials!L37/('Evolutive SFP'!K15+'Evolutive SFP'!J15)/2</f>
        <v>3.8700426796643733E-2</v>
      </c>
      <c r="N39" s="331">
        <f>Financials!M37/('Evolutive SFP'!L15+'Evolutive SFP'!K15)/2</f>
        <v>4.288852321699934E-2</v>
      </c>
      <c r="O39" s="331">
        <f>Financials!N37/('Evolutive SFP'!M15+'Evolutive SFP'!L15)/2</f>
        <v>5.4359087480928367E-2</v>
      </c>
      <c r="P39" s="331">
        <f>Financials!O37/('Evolutive SFP'!N15+'Evolutive SFP'!M15)/2</f>
        <v>6.7586999052489716E-2</v>
      </c>
      <c r="Q39" s="331">
        <f>Financials!P37/('Evolutive SFP'!O15+'Evolutive SFP'!N15)/2</f>
        <v>7.2048799520555887E-2</v>
      </c>
      <c r="R39" s="331">
        <f>Financials!Q37/('Evolutive SFP'!P15+'Evolutive SFP'!O15)/2</f>
        <v>6.8526295819140076E-2</v>
      </c>
      <c r="S39" s="331">
        <f>Financials!R37/('Evolutive SFP'!Q15+'Evolutive SFP'!P15)/2</f>
        <v>4.6236808603891677E-3</v>
      </c>
      <c r="T39" s="331">
        <f>Financials!S37/('Evolutive SFP'!R15+'Evolutive SFP'!Q15)/2</f>
        <v>8.8102991756560129E-3</v>
      </c>
      <c r="U39" s="331">
        <f>Financials!T37/('Evolutive SFP'!S15+'Evolutive SFP'!R15)/2</f>
        <v>1.3899381589758286E-2</v>
      </c>
      <c r="V39" s="331">
        <f>Financials!U37/('Evolutive SFP'!T15+'Evolutive SFP'!S15)/2</f>
        <v>1.8265989757889359E-2</v>
      </c>
      <c r="W39" s="331">
        <f>Financials!V37/('Evolutive SFP'!U15+'Evolutive SFP'!T15)/2</f>
        <v>2.2763342825157903E-2</v>
      </c>
      <c r="X39" s="331">
        <f>Financials!W37/('Evolutive SFP'!V15+'Evolutive SFP'!U15)/2</f>
        <v>3.2342698954647607E-2</v>
      </c>
      <c r="Y39" s="331">
        <f>Financials!X37/('Evolutive SFP'!W15+'Evolutive SFP'!V15)/2</f>
        <v>3.6187060668772059E-2</v>
      </c>
      <c r="Z39" s="331">
        <f>Financials!Y37/('Evolutive SFP'!X15+'Evolutive SFP'!W15)/2</f>
        <v>4.0153237276079806E-2</v>
      </c>
      <c r="AA39" s="331">
        <f>Financials!Z37/('Evolutive SFP'!Y15+'Evolutive SFP'!X15)/2</f>
        <v>4.4263019929281056E-2</v>
      </c>
      <c r="AB39" s="331">
        <f>Financials!AA37/('Evolutive SFP'!Z15+'Evolutive SFP'!Y15)/2</f>
        <v>8.7004254471027234E-2</v>
      </c>
      <c r="AC39" s="331">
        <f>Financials!AB37/('Evolutive SFP'!AA15+'Evolutive SFP'!Z15)/2</f>
        <v>0.26115888749946975</v>
      </c>
      <c r="AD39" s="331" t="e">
        <f>Financials!AC37/('Evolutive SFP'!AB15+'Evolutive SFP'!AA15)/2</f>
        <v>#REF!</v>
      </c>
      <c r="AE39" s="331">
        <f>Financials!AD37/('Evolutive SFP'!AC15+'Evolutive SFP'!AB15)/2</f>
        <v>0.11228619878759497</v>
      </c>
      <c r="AF39" s="331">
        <f>Financials!AE37/('Evolutive SFP'!AD15+'Evolutive SFP'!AC15)/2</f>
        <v>5.1535924142378951E-3</v>
      </c>
      <c r="AG39" s="331">
        <f>Financials!AF37/('Evolutive SFP'!AE15+'Evolutive SFP'!AD15)/2</f>
        <v>1.0669737650295759E-2</v>
      </c>
      <c r="AH39" s="331">
        <f>Financials!AG37/('Evolutive SFP'!AF15+'Evolutive SFP'!AE15)/2</f>
        <v>1.5413903376900424E-2</v>
      </c>
      <c r="AI39" s="331">
        <f>Financials!AH37/('Evolutive SFP'!AG15+'Evolutive SFP'!AF15)/2</f>
        <v>2.0303767246490547E-2</v>
      </c>
      <c r="AJ39" s="331">
        <f>Financials!AI37/('Evolutive SFP'!AH15+'Evolutive SFP'!AG15)/2</f>
        <v>2.4741508647300351E-2</v>
      </c>
      <c r="AK39" s="331">
        <f>Financials!AJ37/('Evolutive SFP'!AI15+'Evolutive SFP'!AH15)/2</f>
        <v>2.9869323841174175E-2</v>
      </c>
      <c r="AL39" s="331">
        <f>Financials!AK37/('Evolutive SFP'!AJ15+'Evolutive SFP'!AI15)/2</f>
        <v>5.2574823703687781E-2</v>
      </c>
      <c r="AM39" s="331">
        <f>Financials!AL37/('Evolutive SFP'!AK15+'Evolutive SFP'!AJ15)/2</f>
        <v>2.901977424060893E-2</v>
      </c>
      <c r="AN39" s="331">
        <f>Financials!AM37/('Evolutive SFP'!AL15+'Evolutive SFP'!AK15)/2</f>
        <v>5.6450223628451576E-2</v>
      </c>
      <c r="AO39" s="331">
        <f>Financials!AN37/('Evolutive SFP'!AM15+'Evolutive SFP'!AL15)/2</f>
        <v>6.702495331453541E-2</v>
      </c>
      <c r="AP39" s="331">
        <f>Financials!AO37/('Evolutive SFP'!AN15+'Evolutive SFP'!AM15)/2</f>
        <v>7.2954178897482402E-2</v>
      </c>
      <c r="AQ39" s="331">
        <f>Financials!AP37/('Evolutive SFP'!AO15+'Evolutive SFP'!AN15)/2</f>
        <v>7.0771608396747357E-2</v>
      </c>
      <c r="AR39" s="331">
        <f>Financials!AQ37/('Evolutive SFP'!AP15+'Evolutive SFP'!AO15)/2</f>
        <v>4.5800522139096203E-3</v>
      </c>
      <c r="AS39" s="331">
        <f>Financials!AR37/('Evolutive SFP'!AQ15+'Evolutive SFP'!AP15)/2</f>
        <v>9.9299382421302075E-3</v>
      </c>
      <c r="AT39" s="331">
        <f>Financials!AS37/('Evolutive SFP'!AR15+'Evolutive SFP'!AQ15)/2</f>
        <v>1.5239479622263557E-2</v>
      </c>
      <c r="AU39" s="331">
        <f>Financials!AT37/('Evolutive SFP'!AS15+'Evolutive SFP'!AR15)/2</f>
        <v>1.9721029534977657E-2</v>
      </c>
      <c r="AV39" s="331">
        <f>Financials!AU37/('Evolutive SFP'!AT15+'Evolutive SFP'!AS15)/2</f>
        <v>2.52466662813122E-2</v>
      </c>
      <c r="AW39" s="331">
        <f>Financials!AV37/('Evolutive SFP'!AU15+'Evolutive SFP'!AT15)/2</f>
        <v>2.9903233694008664E-2</v>
      </c>
      <c r="AX39" s="331">
        <f>Financials!AW37/('Evolutive SFP'!AV15+'Evolutive SFP'!AU15)/2</f>
        <v>3.4241424188822971E-2</v>
      </c>
      <c r="AY39" s="331">
        <f>Financials!AX37/('Evolutive SFP'!AW15+'Evolutive SFP'!AV15)/2</f>
        <v>3.8221954058698555E-2</v>
      </c>
      <c r="AZ39" s="331">
        <f>Financials!AY37/('Evolutive SFP'!AX15+'Evolutive SFP'!AW15)/2</f>
        <v>4.3316382191038824E-2</v>
      </c>
      <c r="BA39" s="331">
        <f>Financials!AZ37/('Evolutive SFP'!AY15+'Evolutive SFP'!AX15)/2</f>
        <v>5.1095578307169084E-2</v>
      </c>
      <c r="BB39" s="331">
        <f>Financials!BA37/('Evolutive SFP'!AZ15+'Evolutive SFP'!AY15)/2</f>
        <v>5.8678058466099581E-2</v>
      </c>
      <c r="BC39" s="331">
        <f>Financials!BB37/('Evolutive SFP'!BA15+'Evolutive SFP'!AZ15)/2</f>
        <v>6.847012910241565E-2</v>
      </c>
      <c r="BD39" s="331">
        <f>Financials!BC37/('Evolutive SFP'!BB15+'Evolutive SFP'!BA15)/2</f>
        <v>7.098753322024616E-2</v>
      </c>
      <c r="BE39" s="331">
        <f>Financials!BD37/('Evolutive SFP'!BC15+'Evolutive SFP'!BB15)/2</f>
        <v>5.5409931011222565E-3</v>
      </c>
      <c r="BF39" s="331">
        <f>Financials!BE37/('Evolutive SFP'!BD15+'Evolutive SFP'!BC15)/2</f>
        <v>1.060196845378489E-2</v>
      </c>
      <c r="BG39" s="331">
        <f>Financials!BF37/('Evolutive SFP'!BE15+'Evolutive SFP'!BD15)/2</f>
        <v>1.8800432447411128E-2</v>
      </c>
      <c r="BH39" s="331">
        <f>Financials!BG37/('Evolutive SFP'!BF15+'Evolutive SFP'!BE15)/2</f>
        <v>2.4804102959070408E-2</v>
      </c>
      <c r="BI39" s="331">
        <f>Financials!BH37/('Evolutive SFP'!BG15+'Evolutive SFP'!BF15)/2</f>
        <v>3.0506427333254198E-2</v>
      </c>
      <c r="BJ39" s="331">
        <f>Financials!BI37/('Evolutive SFP'!BH15+'Evolutive SFP'!BG15)/2</f>
        <v>3.6839894013565799E-2</v>
      </c>
      <c r="BK39" s="331">
        <f>Financials!BJ37/('Evolutive SFP'!BI16+'Evolutive SFP'!BH15)/2</f>
        <v>7.2094975853599794E-2</v>
      </c>
      <c r="BL39" s="331">
        <f>Financials!BK37/('Evolutive SFP'!BJ15+'Evolutive SFP'!BI16)/2</f>
        <v>8.2088565612011083E-2</v>
      </c>
      <c r="BM39" s="331">
        <f>Financials!BL37/('Evolutive SFP'!BK16+'Evolutive SFP'!BJ15)/2</f>
        <v>9.1173462085204479E-2</v>
      </c>
      <c r="BN39" s="331">
        <f>Financials!BM37/('Evolutive SFP'!BL15+'Evolutive SFP'!BK16)/2</f>
        <v>9.669687276358245E-2</v>
      </c>
      <c r="BO39" s="331">
        <f>Financials!BN37/('Evolutive SFP'!BM16+'Evolutive SFP'!BL15)/2</f>
        <v>0.11138136099748849</v>
      </c>
      <c r="BP39" s="331">
        <f>Financials!BO37/('Evolutive SFP'!BN15+'Evolutive SFP'!BM16)/2</f>
        <v>0.12168168006653102</v>
      </c>
      <c r="BQ39" s="331">
        <f>Financials!BP37/('Evolutive SFP'!BO16+'Evolutive SFP'!BN15)/2</f>
        <v>0.12065092787879794</v>
      </c>
      <c r="BR39" s="331"/>
      <c r="BS39" s="331"/>
      <c r="BT39" s="331"/>
      <c r="BU39" s="331"/>
      <c r="BV39" s="331"/>
      <c r="BW39" s="331"/>
      <c r="BX39" s="331"/>
      <c r="BY39" s="331"/>
    </row>
    <row r="40" spans="1:77" ht="18.75">
      <c r="A40" s="343"/>
      <c r="B40" s="330"/>
      <c r="C40" s="330"/>
      <c r="D40" s="330"/>
      <c r="E40" s="330"/>
      <c r="F40" s="330"/>
      <c r="G40" s="330"/>
      <c r="H40" s="330"/>
      <c r="I40" s="330"/>
      <c r="J40" s="330"/>
      <c r="K40" s="330"/>
      <c r="L40" s="330"/>
      <c r="M40" s="330"/>
      <c r="N40" s="330"/>
      <c r="O40" s="330"/>
      <c r="P40" s="330"/>
      <c r="Q40" s="330"/>
      <c r="R40" s="330"/>
      <c r="S40" s="330"/>
      <c r="T40" s="330"/>
      <c r="U40" s="330"/>
      <c r="V40" s="330"/>
      <c r="W40" s="330"/>
      <c r="X40" s="330"/>
      <c r="Y40" s="330"/>
      <c r="Z40" s="330"/>
      <c r="AA40" s="330"/>
      <c r="AB40" s="330"/>
      <c r="AC40" s="330"/>
      <c r="AD40" s="330"/>
      <c r="AE40" s="330"/>
      <c r="AF40" s="330"/>
      <c r="AG40" s="330"/>
      <c r="AH40" s="330"/>
      <c r="AI40" s="330"/>
      <c r="AJ40" s="330"/>
      <c r="AK40" s="330"/>
      <c r="AL40" s="330"/>
      <c r="AM40" s="330"/>
      <c r="AN40" s="330"/>
      <c r="AO40" s="330"/>
      <c r="AP40" s="330"/>
      <c r="AQ40" s="330"/>
      <c r="AR40" s="330"/>
      <c r="AS40" s="330"/>
      <c r="AT40" s="330"/>
      <c r="AU40" s="330"/>
      <c r="AV40" s="330"/>
      <c r="AW40" s="330"/>
      <c r="AX40" s="330"/>
      <c r="AY40" s="330"/>
      <c r="AZ40" s="330"/>
      <c r="BA40" s="330"/>
      <c r="BB40" s="330"/>
      <c r="BC40" s="330"/>
      <c r="BD40" s="330"/>
      <c r="BE40" s="330"/>
      <c r="BF40" s="330"/>
      <c r="BG40" s="330"/>
      <c r="BH40" s="330"/>
      <c r="BI40" s="330"/>
      <c r="BJ40" s="330"/>
      <c r="BK40" s="330"/>
      <c r="BL40" s="330"/>
      <c r="BM40" s="330"/>
      <c r="BN40" s="330"/>
      <c r="BO40" s="330"/>
      <c r="BP40" s="330"/>
      <c r="BQ40" s="330"/>
      <c r="BR40" s="330"/>
      <c r="BS40" s="330"/>
      <c r="BT40" s="330"/>
      <c r="BU40" s="330"/>
      <c r="BV40" s="330"/>
      <c r="BW40" s="330"/>
      <c r="BX40" s="330"/>
      <c r="BY40" s="330"/>
    </row>
    <row r="41" spans="1:77" ht="18.75">
      <c r="A41" s="344" t="s">
        <v>61</v>
      </c>
      <c r="B41" s="345"/>
      <c r="C41" s="345"/>
      <c r="D41" s="345"/>
      <c r="E41" s="345"/>
      <c r="F41" s="345"/>
      <c r="G41" s="345"/>
      <c r="H41" s="345"/>
      <c r="I41" s="345"/>
      <c r="J41" s="345"/>
      <c r="K41" s="345"/>
      <c r="L41" s="345"/>
      <c r="M41" s="345"/>
      <c r="N41" s="345"/>
      <c r="O41" s="345"/>
      <c r="P41" s="345"/>
      <c r="Q41" s="345"/>
      <c r="R41" s="345"/>
      <c r="S41" s="345"/>
      <c r="T41" s="345"/>
      <c r="U41" s="345"/>
      <c r="V41" s="345"/>
      <c r="W41" s="345"/>
      <c r="X41" s="345"/>
      <c r="Y41" s="345"/>
      <c r="Z41" s="345"/>
      <c r="AA41" s="345"/>
      <c r="AB41" s="345"/>
      <c r="AC41" s="345"/>
      <c r="AD41" s="345"/>
      <c r="AE41" s="345"/>
      <c r="AF41" s="345"/>
      <c r="AG41" s="345"/>
      <c r="AH41" s="345"/>
      <c r="AI41" s="345"/>
      <c r="AJ41" s="345"/>
      <c r="AK41" s="345"/>
      <c r="AL41" s="345"/>
      <c r="AM41" s="345"/>
      <c r="AN41" s="345"/>
      <c r="AO41" s="345"/>
      <c r="AP41" s="345"/>
      <c r="AQ41" s="345"/>
      <c r="AR41" s="345"/>
      <c r="AS41" s="345"/>
      <c r="AT41" s="345"/>
      <c r="AU41" s="345"/>
      <c r="AV41" s="345"/>
      <c r="AW41" s="345"/>
      <c r="AX41" s="345"/>
      <c r="AY41" s="345"/>
      <c r="AZ41" s="345"/>
      <c r="BA41" s="345"/>
      <c r="BB41" s="345"/>
      <c r="BC41" s="345"/>
      <c r="BD41" s="345"/>
      <c r="BE41" s="345"/>
      <c r="BF41" s="345"/>
      <c r="BG41" s="345"/>
      <c r="BH41" s="345"/>
      <c r="BI41" s="345"/>
      <c r="BJ41" s="345"/>
      <c r="BK41" s="345"/>
      <c r="BL41" s="345"/>
      <c r="BM41" s="345"/>
      <c r="BN41" s="345"/>
      <c r="BO41" s="345"/>
      <c r="BP41" s="345"/>
      <c r="BQ41" s="345"/>
      <c r="BR41" s="345"/>
      <c r="BS41" s="345"/>
      <c r="BT41" s="345"/>
      <c r="BU41" s="345"/>
      <c r="BV41" s="345"/>
      <c r="BW41" s="345"/>
      <c r="BX41" s="345"/>
      <c r="BY41" s="345"/>
    </row>
  </sheetData>
  <mergeCells count="8">
    <mergeCell ref="A24:A32"/>
    <mergeCell ref="A21:A23"/>
    <mergeCell ref="A16:A20"/>
    <mergeCell ref="A1:B1"/>
    <mergeCell ref="A3:A6"/>
    <mergeCell ref="A7:A8"/>
    <mergeCell ref="A9:A11"/>
    <mergeCell ref="A12:A15"/>
  </mergeCells>
  <pageMargins left="0.7" right="0.7" top="0.75" bottom="0.75" header="0.3" footer="0.3"/>
  <pageSetup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B8"/>
  <sheetViews>
    <sheetView workbookViewId="0">
      <selection activeCell="B3" sqref="B3"/>
    </sheetView>
  </sheetViews>
  <sheetFormatPr defaultRowHeight="14.45"/>
  <cols>
    <col min="2" max="2" width="15.28515625" bestFit="1" customWidth="1"/>
  </cols>
  <sheetData>
    <row r="3" spans="2:2">
      <c r="B3" s="43">
        <f>6429931/0.01</f>
        <v>642993100</v>
      </c>
    </row>
    <row r="4" spans="2:2">
      <c r="B4" s="43">
        <f>1159521/0.05</f>
        <v>23190420</v>
      </c>
    </row>
    <row r="5" spans="2:2">
      <c r="B5" s="43">
        <f>4472345/0.25</f>
        <v>17889380</v>
      </c>
    </row>
    <row r="6" spans="2:2">
      <c r="B6" s="43">
        <f>12240162/0.5</f>
        <v>24480324</v>
      </c>
    </row>
    <row r="7" spans="2:2">
      <c r="B7" s="43">
        <f>139271396</f>
        <v>139271396</v>
      </c>
    </row>
    <row r="8" spans="2:2">
      <c r="B8" s="2">
        <f>SUM(B3:B7)</f>
        <v>847824620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W47"/>
  <sheetViews>
    <sheetView tabSelected="1" topLeftCell="A42" workbookViewId="0">
      <selection activeCell="B1" sqref="B1:BP48"/>
    </sheetView>
  </sheetViews>
  <sheetFormatPr defaultRowHeight="15.75"/>
  <cols>
    <col min="1" max="1" width="9.140625" style="349"/>
    <col min="2" max="2" width="39.5703125" style="349" customWidth="1"/>
    <col min="3" max="16" width="14.28515625" style="349" hidden="1" customWidth="1"/>
    <col min="17" max="17" width="15.7109375" style="349" bestFit="1" customWidth="1"/>
    <col min="18" max="29" width="14.28515625" style="349" hidden="1" customWidth="1"/>
    <col min="30" max="30" width="16.5703125" style="349" customWidth="1"/>
    <col min="31" max="41" width="14.7109375" style="349" hidden="1" customWidth="1"/>
    <col min="42" max="42" width="16.5703125" style="349" customWidth="1"/>
    <col min="43" max="44" width="14.7109375" style="349" hidden="1" customWidth="1"/>
    <col min="45" max="45" width="14.7109375" style="350" hidden="1" customWidth="1"/>
    <col min="46" max="47" width="14.7109375" style="349" hidden="1" customWidth="1"/>
    <col min="48" max="48" width="14.7109375" style="350" hidden="1" customWidth="1"/>
    <col min="49" max="53" width="14.7109375" style="349" hidden="1" customWidth="1"/>
    <col min="54" max="54" width="10.7109375" style="349" hidden="1" customWidth="1"/>
    <col min="55" max="55" width="15.7109375" style="349" bestFit="1" customWidth="1"/>
    <col min="56" max="63" width="14.28515625" style="349" hidden="1" customWidth="1"/>
    <col min="64" max="68" width="15.5703125" style="349" bestFit="1" customWidth="1"/>
    <col min="69" max="75" width="14.28515625" style="349" bestFit="1" customWidth="1"/>
    <col min="76" max="16384" width="9.140625" style="349"/>
  </cols>
  <sheetData>
    <row r="1" spans="1:75">
      <c r="A1" s="346"/>
      <c r="B1" s="347" t="s">
        <v>62</v>
      </c>
      <c r="C1" s="348"/>
      <c r="D1" s="348"/>
      <c r="E1" s="348"/>
    </row>
    <row r="2" spans="1:75">
      <c r="A2" s="346"/>
      <c r="B2" s="351" t="s">
        <v>63</v>
      </c>
      <c r="C2" s="352" t="s">
        <v>1</v>
      </c>
      <c r="D2" s="353" t="s">
        <v>64</v>
      </c>
      <c r="E2" s="354">
        <v>43101</v>
      </c>
      <c r="F2" s="354">
        <v>43133</v>
      </c>
      <c r="G2" s="354">
        <v>43165</v>
      </c>
      <c r="H2" s="354">
        <v>43197</v>
      </c>
      <c r="I2" s="354">
        <v>43229</v>
      </c>
      <c r="J2" s="354">
        <v>43261</v>
      </c>
      <c r="K2" s="354">
        <v>43293</v>
      </c>
      <c r="L2" s="354">
        <v>43325</v>
      </c>
      <c r="M2" s="354">
        <v>43357</v>
      </c>
      <c r="N2" s="354">
        <v>43389</v>
      </c>
      <c r="O2" s="354">
        <v>43421</v>
      </c>
      <c r="P2" s="354">
        <v>43453</v>
      </c>
      <c r="Q2" s="354" t="s">
        <v>3</v>
      </c>
      <c r="R2" s="354">
        <v>43466</v>
      </c>
      <c r="S2" s="354">
        <v>43498</v>
      </c>
      <c r="T2" s="354">
        <v>43527</v>
      </c>
      <c r="U2" s="354">
        <v>43559</v>
      </c>
      <c r="V2" s="354">
        <v>43590</v>
      </c>
      <c r="W2" s="354">
        <v>43622</v>
      </c>
      <c r="X2" s="354">
        <v>43653</v>
      </c>
      <c r="Y2" s="354">
        <v>43685</v>
      </c>
      <c r="Z2" s="354">
        <v>43717</v>
      </c>
      <c r="AA2" s="354">
        <v>43748</v>
      </c>
      <c r="AB2" s="354">
        <v>43780</v>
      </c>
      <c r="AC2" s="354">
        <v>43811</v>
      </c>
      <c r="AD2" s="354" t="s">
        <v>4</v>
      </c>
      <c r="AE2" s="354">
        <v>43844</v>
      </c>
      <c r="AF2" s="354">
        <v>43876</v>
      </c>
      <c r="AG2" s="354">
        <v>43906</v>
      </c>
      <c r="AH2" s="354">
        <v>43938</v>
      </c>
      <c r="AI2" s="354">
        <v>43969</v>
      </c>
      <c r="AJ2" s="354">
        <v>44001</v>
      </c>
      <c r="AK2" s="354">
        <v>44063</v>
      </c>
      <c r="AL2" s="354">
        <v>44095</v>
      </c>
      <c r="AM2" s="354">
        <v>44126</v>
      </c>
      <c r="AN2" s="354">
        <v>44158</v>
      </c>
      <c r="AO2" s="354">
        <v>44189</v>
      </c>
      <c r="AP2" s="354" t="s">
        <v>65</v>
      </c>
      <c r="AQ2" s="354">
        <v>44197</v>
      </c>
      <c r="AR2" s="354">
        <v>44228</v>
      </c>
      <c r="AS2" s="354">
        <v>44256</v>
      </c>
      <c r="AT2" s="354">
        <v>44287</v>
      </c>
      <c r="AU2" s="354">
        <v>44317</v>
      </c>
      <c r="AV2" s="354">
        <v>44348</v>
      </c>
      <c r="AW2" s="354">
        <v>44378</v>
      </c>
      <c r="AX2" s="354">
        <v>44409</v>
      </c>
      <c r="AY2" s="354">
        <v>44440</v>
      </c>
      <c r="AZ2" s="354">
        <v>44470</v>
      </c>
      <c r="BA2" s="354">
        <v>44501</v>
      </c>
      <c r="BB2" s="354">
        <v>44531</v>
      </c>
      <c r="BC2" s="354" t="s">
        <v>6</v>
      </c>
      <c r="BD2" s="354">
        <v>44562</v>
      </c>
      <c r="BE2" s="354">
        <v>44593</v>
      </c>
      <c r="BF2" s="354">
        <v>44621</v>
      </c>
      <c r="BG2" s="354">
        <v>44652</v>
      </c>
      <c r="BH2" s="354">
        <v>44682</v>
      </c>
      <c r="BI2" s="354">
        <v>44713</v>
      </c>
      <c r="BJ2" s="354">
        <v>44743</v>
      </c>
      <c r="BK2" s="354">
        <v>44774</v>
      </c>
      <c r="BL2" s="354">
        <v>44805</v>
      </c>
      <c r="BM2" s="354">
        <v>44835</v>
      </c>
      <c r="BN2" s="354">
        <v>44866</v>
      </c>
      <c r="BO2" s="354">
        <v>44896</v>
      </c>
      <c r="BP2" s="354" t="s">
        <v>7</v>
      </c>
      <c r="BQ2" s="354"/>
      <c r="BR2" s="354"/>
      <c r="BS2" s="354"/>
      <c r="BT2" s="354"/>
      <c r="BU2" s="354"/>
      <c r="BV2" s="354"/>
      <c r="BW2" s="354"/>
    </row>
    <row r="3" spans="1:75">
      <c r="A3" s="355">
        <v>1</v>
      </c>
      <c r="B3" s="355" t="s">
        <v>51</v>
      </c>
      <c r="C3" s="355"/>
      <c r="D3" s="355"/>
      <c r="E3" s="355"/>
      <c r="F3" s="356"/>
      <c r="G3" s="356"/>
      <c r="H3" s="356"/>
      <c r="I3" s="356"/>
      <c r="J3" s="356"/>
      <c r="K3" s="357"/>
      <c r="L3" s="357"/>
      <c r="M3" s="357"/>
      <c r="N3" s="357"/>
      <c r="O3" s="357"/>
      <c r="P3" s="357"/>
      <c r="Q3" s="357"/>
      <c r="R3" s="357"/>
      <c r="S3" s="357"/>
      <c r="T3" s="357"/>
      <c r="U3" s="357"/>
      <c r="V3" s="357"/>
      <c r="W3" s="357"/>
      <c r="X3" s="357"/>
      <c r="Y3" s="357"/>
      <c r="Z3" s="357"/>
      <c r="AA3" s="357"/>
      <c r="AB3" s="357"/>
      <c r="AC3" s="357"/>
      <c r="AD3" s="357"/>
      <c r="AE3" s="357"/>
      <c r="AF3" s="357"/>
      <c r="AG3" s="357"/>
      <c r="AH3" s="357"/>
      <c r="AI3" s="357"/>
      <c r="AJ3" s="357"/>
      <c r="AK3" s="357"/>
      <c r="AL3" s="357"/>
      <c r="AM3" s="357"/>
      <c r="AN3" s="357"/>
      <c r="AO3" s="357"/>
      <c r="AP3" s="357"/>
      <c r="AQ3" s="357"/>
      <c r="AR3" s="357"/>
      <c r="AS3" s="358"/>
      <c r="AT3" s="357"/>
      <c r="AU3" s="357"/>
      <c r="AV3" s="358"/>
      <c r="AW3" s="357"/>
      <c r="AX3" s="357"/>
      <c r="AY3" s="357"/>
      <c r="AZ3" s="357"/>
      <c r="BA3" s="357"/>
      <c r="BB3" s="357"/>
      <c r="BC3" s="357"/>
      <c r="BD3" s="357"/>
      <c r="BE3" s="357"/>
      <c r="BF3" s="357"/>
      <c r="BG3" s="357"/>
      <c r="BH3" s="357"/>
      <c r="BI3" s="357"/>
      <c r="BJ3" s="357"/>
      <c r="BK3" s="357"/>
      <c r="BL3" s="357"/>
      <c r="BM3" s="357"/>
      <c r="BN3" s="357"/>
      <c r="BO3" s="357"/>
      <c r="BP3" s="357"/>
      <c r="BQ3" s="357"/>
      <c r="BR3" s="357"/>
      <c r="BS3" s="357"/>
      <c r="BT3" s="357"/>
      <c r="BU3" s="357"/>
      <c r="BV3" s="357"/>
      <c r="BW3" s="357"/>
    </row>
    <row r="4" spans="1:75">
      <c r="A4" s="355">
        <v>2</v>
      </c>
      <c r="B4" s="355" t="s">
        <v>44</v>
      </c>
      <c r="C4" s="359">
        <f>'Evolutive SFP'!B27</f>
        <v>151015729</v>
      </c>
      <c r="D4" s="359">
        <f>'Evolutive SFP'!C27</f>
        <v>1148549670</v>
      </c>
      <c r="E4" s="359">
        <f>'Evolutive SFP'!D24</f>
        <v>594000</v>
      </c>
      <c r="F4" s="359">
        <f>'Evolutive SFP'!E27</f>
        <v>1097473603.8699999</v>
      </c>
      <c r="G4" s="359">
        <f>'Evolutive SFP'!F27</f>
        <v>1075347312.01</v>
      </c>
      <c r="H4" s="359">
        <f>'Evolutive SFP'!G14</f>
        <v>678377070.57000005</v>
      </c>
      <c r="I4" s="359">
        <f>'Evolutive SFP'!H27</f>
        <v>1132099697.5</v>
      </c>
      <c r="J4" s="359">
        <f>'Evolutive SFP'!I27</f>
        <v>1143539808.75</v>
      </c>
      <c r="K4" s="359">
        <f>'Evolutive SFP'!J27</f>
        <v>1132733199.52</v>
      </c>
      <c r="L4" s="359">
        <f>'Evolutive SFP'!K27</f>
        <v>1122803347.75</v>
      </c>
      <c r="M4" s="359">
        <f>'Evolutive SFP'!L27</f>
        <v>1110947024.8300002</v>
      </c>
      <c r="N4" s="359">
        <f>'Evolutive SFP'!M27</f>
        <v>1471574579.5799997</v>
      </c>
      <c r="O4" s="359">
        <f>'Evolutive SFP'!N27</f>
        <v>1340038318.8699999</v>
      </c>
      <c r="P4" s="359">
        <f>'Evolutive SFP'!O27</f>
        <v>1271812614.7</v>
      </c>
      <c r="Q4" s="359">
        <f>'Evolutive SFP'!P27</f>
        <v>1274664305</v>
      </c>
      <c r="R4" s="359">
        <f>'Evolutive SFP'!Q27</f>
        <v>1242608076.73</v>
      </c>
      <c r="S4" s="359">
        <f>'Evolutive SFP'!R27</f>
        <v>1245660446.54</v>
      </c>
      <c r="T4" s="359">
        <f>'Evolutive SFP'!S27</f>
        <v>1212962879.7899997</v>
      </c>
      <c r="U4" s="359">
        <f>'Evolutive SFP'!T27</f>
        <v>1214202270.72</v>
      </c>
      <c r="V4" s="359">
        <f>'Evolutive SFP'!U27</f>
        <v>1173621180.9299998</v>
      </c>
      <c r="W4" s="359">
        <f>'Evolutive SFP'!V27</f>
        <v>1197421612.51</v>
      </c>
      <c r="X4" s="359">
        <f>'Evolutive SFP'!W27</f>
        <v>1181707375.2200003</v>
      </c>
      <c r="Y4" s="359">
        <f>'Evolutive SFP'!X27</f>
        <v>1174627588.74</v>
      </c>
      <c r="Z4" s="359">
        <f>'Evolutive SFP'!Y27</f>
        <v>1176545077.05</v>
      </c>
      <c r="AA4" s="359">
        <f>'Evolutive SFP'!Z27</f>
        <v>2974140107.3800001</v>
      </c>
      <c r="AB4" s="359">
        <f>'Evolutive SFP'!AA27</f>
        <v>2813808172.1599998</v>
      </c>
      <c r="AC4" s="359">
        <f>'Evolutive SFP'!AB27</f>
        <v>2696433376.1500001</v>
      </c>
      <c r="AD4" s="359">
        <f>'Evolutive SFP'!AC27</f>
        <v>1292476096</v>
      </c>
      <c r="AE4" s="359">
        <f>'Evolutive SFP'!AD27</f>
        <v>1255145740.77</v>
      </c>
      <c r="AF4" s="359">
        <f>'Evolutive SFP'!AE27</f>
        <v>1248182133.99</v>
      </c>
      <c r="AG4" s="359">
        <f>'Evolutive SFP'!AF27</f>
        <v>1230432804.6500001</v>
      </c>
      <c r="AH4" s="359">
        <f>'Evolutive SFP'!AG27</f>
        <v>1255164086.24</v>
      </c>
      <c r="AI4" s="359">
        <f>'Evolutive SFP'!AH27</f>
        <v>1251561382.6499999</v>
      </c>
      <c r="AJ4" s="359">
        <f>'Evolutive SFP'!AI27</f>
        <v>1265242789.5999999</v>
      </c>
      <c r="AK4" s="359">
        <f>'Evolutive SFP'!AJ27</f>
        <v>2518733084.3400002</v>
      </c>
      <c r="AL4" s="359">
        <f>'Evolutive SFP'!AK27</f>
        <v>1256646426.9300001</v>
      </c>
      <c r="AM4" s="359">
        <f>'Evolutive SFP'!AL27</f>
        <v>1490000780.6599998</v>
      </c>
      <c r="AN4" s="359">
        <f>'Evolutive SFP'!AM27</f>
        <v>1421587242.75</v>
      </c>
      <c r="AO4" s="359">
        <f>'Evolutive SFP'!AN27</f>
        <v>1362879984.7800002</v>
      </c>
      <c r="AP4" s="359">
        <f>'Evolutive SFP'!AO27</f>
        <v>1367873753</v>
      </c>
      <c r="AQ4" s="359">
        <f>'Evolutive SFP'!AP27</f>
        <v>1344379229.03</v>
      </c>
      <c r="AR4" s="359">
        <f>'Evolutive SFP'!AQ27</f>
        <v>1344209164.22</v>
      </c>
      <c r="AS4" s="359">
        <f>'Evolutive SFP'!AR27</f>
        <v>1334356045.6199999</v>
      </c>
      <c r="AT4" s="359">
        <f>'Evolutive SFP'!AS27</f>
        <v>1369098114.8</v>
      </c>
      <c r="AU4" s="359">
        <f>'Evolutive SFP'!AT27</f>
        <v>1349478001.4400001</v>
      </c>
      <c r="AV4" s="359">
        <f>'Evolutive SFP'!AU27</f>
        <v>1345640991.71</v>
      </c>
      <c r="AW4" s="359">
        <f>'Evolutive SFP'!AV27</f>
        <v>1348653091.3000002</v>
      </c>
      <c r="AX4" s="359">
        <f>'Evolutive SFP'!AW27</f>
        <v>1332832167.2900002</v>
      </c>
      <c r="AY4" s="359">
        <f>'Evolutive SFP'!AX27</f>
        <v>1321064426.3200002</v>
      </c>
      <c r="AZ4" s="359">
        <f>'Evolutive SFP'!AY27</f>
        <v>1403742642.7600002</v>
      </c>
      <c r="BA4" s="359">
        <f>'Evolutive SFP'!AZ27</f>
        <v>1415895179.26</v>
      </c>
      <c r="BB4" s="359">
        <f>'Evolutive SFP'!BA27</f>
        <v>1378250800.5400002</v>
      </c>
      <c r="BC4" s="359">
        <f>'Evolutive SFP'!BB27</f>
        <v>1384915572</v>
      </c>
      <c r="BD4" s="359">
        <f>'Evolutive SFP'!BC27</f>
        <v>1364233559.3199999</v>
      </c>
      <c r="BE4" s="359">
        <f>'Evolutive SFP'!BD27</f>
        <v>1353830620.2000003</v>
      </c>
      <c r="BF4" s="359">
        <f>'Evolutive SFP'!BE27</f>
        <v>1327401987.6599998</v>
      </c>
      <c r="BG4" s="359">
        <f>'Evolutive SFP'!BF27</f>
        <v>1353431194.01</v>
      </c>
      <c r="BH4" s="359">
        <f>'Evolutive SFP'!BG27</f>
        <v>1350418309.4200001</v>
      </c>
      <c r="BI4" s="359">
        <f>'Evolutive SFP'!BH27</f>
        <v>1357304122.5300002</v>
      </c>
      <c r="BJ4" s="359">
        <f>'Evolutive SFP'!BI27</f>
        <v>1578408898.1900001</v>
      </c>
      <c r="BK4" s="359">
        <f>'Evolutive SFP'!BJ27</f>
        <v>1520693171.4299998</v>
      </c>
      <c r="BL4" s="359">
        <f>'Evolutive SFP'!BK27</f>
        <v>1469147025.72</v>
      </c>
      <c r="BM4" s="359">
        <f>'Evolutive SFP'!BL27</f>
        <v>1452709669.6100001</v>
      </c>
      <c r="BN4" s="359">
        <f>'Evolutive SFP'!BM27</f>
        <v>1429829218.0600002</v>
      </c>
      <c r="BO4" s="359">
        <f>'Evolutive SFP'!BN27</f>
        <v>1421215209.2</v>
      </c>
      <c r="BP4" s="359">
        <f>'Evolutive SFP'!BO27</f>
        <v>1380976781</v>
      </c>
      <c r="BQ4" s="359">
        <f>'Evolutive SFP'!BQ27</f>
        <v>0</v>
      </c>
      <c r="BR4" s="359">
        <f>'Evolutive SFP'!BR27</f>
        <v>0</v>
      </c>
      <c r="BS4" s="359">
        <f>'Evolutive SFP'!BS27</f>
        <v>0</v>
      </c>
      <c r="BT4" s="359">
        <f>'Evolutive SFP'!BT27</f>
        <v>0</v>
      </c>
      <c r="BU4" s="359">
        <f>'Evolutive SFP'!BU27</f>
        <v>0</v>
      </c>
      <c r="BV4" s="359">
        <f>'Evolutive SFP'!BV27</f>
        <v>0</v>
      </c>
      <c r="BW4" s="359">
        <f>'Evolutive SFP'!BW27</f>
        <v>0</v>
      </c>
    </row>
    <row r="5" spans="1:75">
      <c r="A5" s="355">
        <v>3</v>
      </c>
      <c r="B5" s="355" t="s">
        <v>45</v>
      </c>
      <c r="C5" s="359">
        <f>'Evolutive SFP'!B31</f>
        <v>128604214</v>
      </c>
      <c r="D5" s="359">
        <f>'Evolutive SFP'!C31</f>
        <v>852237862</v>
      </c>
      <c r="E5" s="359">
        <f>'Evolutive SFP'!D31</f>
        <v>810862314.56999993</v>
      </c>
      <c r="F5" s="359">
        <f>'Evolutive SFP'!E31</f>
        <v>794735859.57999992</v>
      </c>
      <c r="G5" s="359">
        <f>'Evolutive SFP'!F31</f>
        <v>781891372.66000009</v>
      </c>
      <c r="H5" s="359">
        <f>'Evolutive SFP'!G19</f>
        <v>0</v>
      </c>
      <c r="I5" s="359">
        <f>'Evolutive SFP'!H31</f>
        <v>787182746.26999998</v>
      </c>
      <c r="J5" s="359">
        <f>'Evolutive SFP'!I31</f>
        <v>795216258.02999997</v>
      </c>
      <c r="K5" s="359">
        <f>'Evolutive SFP'!J31</f>
        <v>787745615.05999994</v>
      </c>
      <c r="L5" s="359">
        <f>'Evolutive SFP'!K31</f>
        <v>767567354.37</v>
      </c>
      <c r="M5" s="359">
        <f>'Evolutive SFP'!L31</f>
        <v>754193141.88</v>
      </c>
      <c r="N5" s="359">
        <f>'Evolutive SFP'!M31</f>
        <v>1150180189.5</v>
      </c>
      <c r="O5" s="359">
        <f>'Evolutive SFP'!N31</f>
        <v>1013712031.77</v>
      </c>
      <c r="P5" s="359">
        <f>'Evolutive SFP'!O31</f>
        <v>931336193.43000007</v>
      </c>
      <c r="Q5" s="359">
        <f>'Evolutive SFP'!P31</f>
        <v>931336191</v>
      </c>
      <c r="R5" s="359">
        <f>'Evolutive SFP'!Q31</f>
        <v>902487502.74000001</v>
      </c>
      <c r="S5" s="359">
        <f>'Evolutive SFP'!R31</f>
        <v>896737690.06999993</v>
      </c>
      <c r="T5" s="359">
        <f>'Evolutive SFP'!S31</f>
        <v>880455581.86000013</v>
      </c>
      <c r="U5" s="359">
        <f>'Evolutive SFP'!T31</f>
        <v>882496852.62</v>
      </c>
      <c r="V5" s="359">
        <f>'Evolutive SFP'!U31</f>
        <v>837471994.41999996</v>
      </c>
      <c r="W5" s="359">
        <f>'Evolutive SFP'!V31</f>
        <v>836380815.59000003</v>
      </c>
      <c r="X5" s="359">
        <f>'Evolutive SFP'!W31</f>
        <v>838654141.42999995</v>
      </c>
      <c r="Y5" s="359">
        <f>'Evolutive SFP'!X31</f>
        <v>826882175.27999997</v>
      </c>
      <c r="Z5" s="359">
        <f>'Evolutive SFP'!Y31</f>
        <v>824908965.31000006</v>
      </c>
      <c r="AA5" s="359">
        <f>'Evolutive SFP'!Z31</f>
        <v>1469745774.8099999</v>
      </c>
      <c r="AB5" s="359">
        <f>'Evolutive SFP'!AA31</f>
        <v>1388167191.1900001</v>
      </c>
      <c r="AC5" s="359">
        <f>'Evolutive SFP'!AB31</f>
        <v>1326005632.8</v>
      </c>
      <c r="AD5" s="359">
        <f>'Evolutive SFP'!AC31</f>
        <v>908933229</v>
      </c>
      <c r="AE5" s="359">
        <f>'Evolutive SFP'!AD31</f>
        <v>867608842.77999997</v>
      </c>
      <c r="AF5" s="359">
        <f>'Evolutive SFP'!AE31</f>
        <v>861704748.71000004</v>
      </c>
      <c r="AG5" s="359">
        <f>'Evolutive SFP'!AF31</f>
        <v>855714527.35000002</v>
      </c>
      <c r="AH5" s="359">
        <f>'Evolutive SFP'!AG31</f>
        <v>876424426.18999994</v>
      </c>
      <c r="AI5" s="359">
        <f>'Evolutive SFP'!AH31</f>
        <v>874396813.0999999</v>
      </c>
      <c r="AJ5" s="359">
        <f>'Evolutive SFP'!AI31</f>
        <v>883842295.84000003</v>
      </c>
      <c r="AK5" s="359">
        <f>'Evolutive SFP'!AJ31</f>
        <v>1741411717.96</v>
      </c>
      <c r="AL5" s="359">
        <f>'Evolutive SFP'!AK31</f>
        <v>862677532.06999993</v>
      </c>
      <c r="AM5" s="359">
        <f>'Evolutive SFP'!AL31</f>
        <v>1083730929.21</v>
      </c>
      <c r="AN5" s="359">
        <f>'Evolutive SFP'!AM31</f>
        <v>998848171.25999999</v>
      </c>
      <c r="AO5" s="359">
        <f>'Evolutive SFP'!AN31</f>
        <v>946509321.54999995</v>
      </c>
      <c r="AP5" s="359">
        <f>'Evolutive SFP'!AO31</f>
        <v>946509324</v>
      </c>
      <c r="AQ5" s="359">
        <f>'Evolutive SFP'!AP31</f>
        <v>924610049.22000003</v>
      </c>
      <c r="AR5" s="359">
        <f>'Evolutive SFP'!AQ31</f>
        <v>924971142.25999999</v>
      </c>
      <c r="AS5" s="359">
        <f>'Evolutive SFP'!AR31</f>
        <v>932111338.18999994</v>
      </c>
      <c r="AT5" s="359">
        <f>'Evolutive SFP'!AS31</f>
        <v>934264763.92000008</v>
      </c>
      <c r="AU5" s="359">
        <f>'Evolutive SFP'!AT31</f>
        <v>922006215.83000004</v>
      </c>
      <c r="AV5" s="359">
        <f>'Evolutive SFP'!AU31</f>
        <v>922068494.20999992</v>
      </c>
      <c r="AW5" s="359">
        <f>'Evolutive SFP'!AV31</f>
        <v>921160383.06999993</v>
      </c>
      <c r="AX5" s="359">
        <f>'Evolutive SFP'!AW31</f>
        <v>895634254.21000004</v>
      </c>
      <c r="AY5" s="359">
        <f>'Evolutive SFP'!AX31</f>
        <v>884475049.80999994</v>
      </c>
      <c r="AZ5" s="359">
        <f>'Evolutive SFP'!AY31</f>
        <v>959533172.26999998</v>
      </c>
      <c r="BA5" s="359">
        <f>'Evolutive SFP'!AZ31</f>
        <v>966193560.35000002</v>
      </c>
      <c r="BB5" s="359">
        <f>'Evolutive SFP'!BA31</f>
        <v>929406148.13</v>
      </c>
      <c r="BC5" s="359">
        <f>'Evolutive SFP'!BB31</f>
        <v>929406148.13</v>
      </c>
      <c r="BD5" s="359">
        <f>'Evolutive SFP'!BC31</f>
        <v>910964634.44000006</v>
      </c>
      <c r="BE5" s="359">
        <f>'Evolutive SFP'!BD31</f>
        <v>896947499.79999995</v>
      </c>
      <c r="BF5" s="359">
        <f>'Evolutive SFP'!BE31</f>
        <v>891154248.69000006</v>
      </c>
      <c r="BG5" s="359">
        <f>'Evolutive SFP'!BF31</f>
        <v>918313910.1500001</v>
      </c>
      <c r="BH5" s="359">
        <f>'Evolutive SFP'!BG31</f>
        <v>911876021.4000001</v>
      </c>
      <c r="BI5" s="359">
        <f>'Evolutive SFP'!BH31</f>
        <v>893501425.32999992</v>
      </c>
      <c r="BJ5" s="359">
        <f>'Evolutive SFP'!BI31</f>
        <v>1097580645.21</v>
      </c>
      <c r="BK5" s="359">
        <f>'Evolutive SFP'!BJ31</f>
        <v>1043281415.54</v>
      </c>
      <c r="BL5" s="359">
        <f>'Evolutive SFP'!BK31</f>
        <v>998720422.71999991</v>
      </c>
      <c r="BM5" s="359">
        <f>'Evolutive SFP'!BL31</f>
        <v>978552938.69000006</v>
      </c>
      <c r="BN5" s="359">
        <f>'Evolutive SFP'!BM31</f>
        <v>961488841.63</v>
      </c>
      <c r="BO5" s="359">
        <f>'Evolutive SFP'!BN31</f>
        <v>935024353.54999995</v>
      </c>
      <c r="BP5" s="359">
        <f>'Evolutive SFP'!BO31</f>
        <v>935024252</v>
      </c>
      <c r="BQ5" s="359">
        <f>'Evolutive SFP'!BQ31</f>
        <v>0</v>
      </c>
      <c r="BR5" s="359">
        <f>'Evolutive SFP'!BR31</f>
        <v>0</v>
      </c>
      <c r="BS5" s="359">
        <f>'Evolutive SFP'!BS31</f>
        <v>0</v>
      </c>
      <c r="BT5" s="359">
        <f>'Evolutive SFP'!BT31</f>
        <v>0</v>
      </c>
      <c r="BU5" s="359">
        <f>'Evolutive SFP'!BU31</f>
        <v>0</v>
      </c>
      <c r="BV5" s="359">
        <f>'Evolutive SFP'!BV31</f>
        <v>0</v>
      </c>
      <c r="BW5" s="359">
        <f>'Evolutive SFP'!BW31</f>
        <v>0</v>
      </c>
    </row>
    <row r="6" spans="1:75">
      <c r="A6" s="355">
        <v>3.1</v>
      </c>
      <c r="B6" s="360" t="s">
        <v>66</v>
      </c>
      <c r="C6" s="359">
        <f>'Evolutive SFP'!B30</f>
        <v>112140909</v>
      </c>
      <c r="D6" s="359">
        <f>'Evolutive SFP'!C30</f>
        <v>271523495</v>
      </c>
      <c r="E6" s="359">
        <f>'Evolutive SFP'!D27</f>
        <v>1115492114.8</v>
      </c>
      <c r="F6" s="359">
        <f>'Evolutive SFP'!E30</f>
        <v>272102363.5</v>
      </c>
      <c r="G6" s="359">
        <f>'Evolutive SFP'!F30</f>
        <v>275215911.81</v>
      </c>
      <c r="H6" s="359">
        <f>'Evolutive SFP'!G18</f>
        <v>0</v>
      </c>
      <c r="I6" s="359">
        <f>'Evolutive SFP'!H30</f>
        <v>278554208.33999997</v>
      </c>
      <c r="J6" s="359">
        <f>'Evolutive SFP'!I30</f>
        <v>279980022.32999998</v>
      </c>
      <c r="K6" s="359">
        <f>'Evolutive SFP'!J30</f>
        <v>281300354.61000001</v>
      </c>
      <c r="L6" s="359">
        <f>'Evolutive SFP'!K30</f>
        <v>281983349.44</v>
      </c>
      <c r="M6" s="359">
        <f>'Evolutive SFP'!L30</f>
        <v>281221645.70999998</v>
      </c>
      <c r="N6" s="359">
        <f>'Evolutive SFP'!M30</f>
        <v>281992159.07999998</v>
      </c>
      <c r="O6" s="359">
        <f>'Evolutive SFP'!N30</f>
        <v>285229828.56999999</v>
      </c>
      <c r="P6" s="359">
        <f>'Evolutive SFP'!O30</f>
        <v>285539578.05000001</v>
      </c>
      <c r="Q6" s="359">
        <f>'Evolutive SFP'!P30</f>
        <v>285538578</v>
      </c>
      <c r="R6" s="359">
        <f>'Evolutive SFP'!Q30</f>
        <v>286341070</v>
      </c>
      <c r="S6" s="359">
        <f>'Evolutive SFP'!R30</f>
        <v>288628737.07999998</v>
      </c>
      <c r="T6" s="359">
        <f>'Evolutive SFP'!S30</f>
        <v>290381478.44</v>
      </c>
      <c r="U6" s="359">
        <f>'Evolutive SFP'!T30</f>
        <v>290806289.63999999</v>
      </c>
      <c r="V6" s="359">
        <f>'Evolutive SFP'!U30</f>
        <v>290924750.27999997</v>
      </c>
      <c r="W6" s="359">
        <f>'Evolutive SFP'!V30</f>
        <v>291941906.38999999</v>
      </c>
      <c r="X6" s="359">
        <f>'Evolutive SFP'!W30</f>
        <v>292534082.38</v>
      </c>
      <c r="Y6" s="359">
        <f>'Evolutive SFP'!X30</f>
        <v>295020581.49000001</v>
      </c>
      <c r="Z6" s="359">
        <f>'Evolutive SFP'!Y30</f>
        <v>295627278.47000003</v>
      </c>
      <c r="AA6" s="359">
        <f>'Evolutive SFP'!Z30</f>
        <v>1052467219.11</v>
      </c>
      <c r="AB6" s="359">
        <f>'Evolutive SFP'!AA30</f>
        <v>967440088.25999999</v>
      </c>
      <c r="AC6" s="359">
        <f>'Evolutive SFP'!AB30</f>
        <v>908933231.12</v>
      </c>
      <c r="AD6" s="359">
        <f>'Evolutive SFP'!AC30</f>
        <v>300651292</v>
      </c>
      <c r="AE6" s="359">
        <f>'Evolutive SFP'!AD30</f>
        <v>299424989.75999999</v>
      </c>
      <c r="AF6" s="359">
        <f>'Evolutive SFP'!AE30</f>
        <v>303007290.68000001</v>
      </c>
      <c r="AG6" s="359">
        <f>'Evolutive SFP'!AF30</f>
        <v>303950035.49000001</v>
      </c>
      <c r="AH6" s="359">
        <f>'Evolutive SFP'!AG30</f>
        <v>304133851.13999999</v>
      </c>
      <c r="AI6" s="359">
        <f>'Evolutive SFP'!AH30</f>
        <v>303974818.43000001</v>
      </c>
      <c r="AJ6" s="359">
        <f>'Evolutive SFP'!AI30</f>
        <v>303408792.72000003</v>
      </c>
      <c r="AK6" s="359">
        <f>'Evolutive SFP'!AJ30</f>
        <v>611319617.34000003</v>
      </c>
      <c r="AL6" s="359">
        <f>'Evolutive SFP'!AK30</f>
        <v>307785563.66000003</v>
      </c>
      <c r="AM6" s="359">
        <f>'Evolutive SFP'!AL30</f>
        <v>309472558.52999997</v>
      </c>
      <c r="AN6" s="359">
        <f>'Evolutive SFP'!AM30</f>
        <v>310299767.80000001</v>
      </c>
      <c r="AO6" s="359">
        <f>'Evolutive SFP'!AN30</f>
        <v>299415781.75999999</v>
      </c>
      <c r="AP6" s="359">
        <f>'Evolutive SFP'!AO30</f>
        <v>299415783</v>
      </c>
      <c r="AQ6" s="359">
        <f>'Evolutive SFP'!AP30</f>
        <v>299133083</v>
      </c>
      <c r="AR6" s="359">
        <f>'Evolutive SFP'!AQ30</f>
        <v>300154126.70999998</v>
      </c>
      <c r="AS6" s="359">
        <f>'Evolutive SFP'!AR30</f>
        <v>300346981.61000001</v>
      </c>
      <c r="AT6" s="359">
        <f>'Evolutive SFP'!AS30</f>
        <v>301036380.93000001</v>
      </c>
      <c r="AU6" s="359">
        <f>'Evolutive SFP'!AT30</f>
        <v>302998421.13</v>
      </c>
      <c r="AV6" s="359">
        <f>'Evolutive SFP'!AU30</f>
        <v>304208876.87</v>
      </c>
      <c r="AW6" s="359">
        <f>'Evolutive SFP'!AV30</f>
        <v>305458489.27999997</v>
      </c>
      <c r="AX6" s="359">
        <f>'Evolutive SFP'!AW30</f>
        <v>308352827.19999999</v>
      </c>
      <c r="AY6" s="359">
        <f>'Evolutive SFP'!AX30</f>
        <v>308042777.74000001</v>
      </c>
      <c r="AZ6" s="359">
        <f>'Evolutive SFP'!AY30</f>
        <v>309084047.00999999</v>
      </c>
      <c r="BA6" s="359">
        <f>'Evolutive SFP'!AZ30</f>
        <v>311397283.72000003</v>
      </c>
      <c r="BB6" s="359">
        <f>'Evolutive SFP'!BA30</f>
        <v>311674453.23000002</v>
      </c>
      <c r="BC6" s="359">
        <f>'Evolutive SFP'!BB30</f>
        <v>311674453.23000002</v>
      </c>
      <c r="BD6" s="359">
        <f>'Evolutive SFP'!BC30</f>
        <v>313638043.49000001</v>
      </c>
      <c r="BE6" s="359">
        <f>'Evolutive SFP'!BD30</f>
        <v>314871886.69999999</v>
      </c>
      <c r="BF6" s="359">
        <f>'Evolutive SFP'!BE30</f>
        <v>315415168.10000002</v>
      </c>
      <c r="BG6" s="359">
        <f>'Evolutive SFP'!BF30</f>
        <v>316657077.45999998</v>
      </c>
      <c r="BH6" s="359">
        <f>'Evolutive SFP'!BG30</f>
        <v>316965875.41000003</v>
      </c>
      <c r="BI6" s="359">
        <f>'Evolutive SFP'!BH30</f>
        <v>318024917.51999998</v>
      </c>
      <c r="BJ6" s="359">
        <f>'Evolutive SFP'!BI30</f>
        <v>320612635.45999998</v>
      </c>
      <c r="BK6" s="359">
        <f>'Evolutive SFP'!BJ30</f>
        <v>321281157.38</v>
      </c>
      <c r="BL6" s="359">
        <f>'Evolutive SFP'!BK30</f>
        <v>321943884.27999997</v>
      </c>
      <c r="BM6" s="359">
        <f>'Evolutive SFP'!BL30</f>
        <v>323624328.94999999</v>
      </c>
      <c r="BN6" s="359">
        <f>'Evolutive SFP'!BM30</f>
        <v>326437915.85000002</v>
      </c>
      <c r="BO6" s="359">
        <f>'Evolutive SFP'!BN30</f>
        <v>328291050.24000001</v>
      </c>
      <c r="BP6" s="359">
        <f>'Evolutive SFP'!BO30</f>
        <v>328290550</v>
      </c>
      <c r="BQ6" s="359">
        <f>'Evolutive SFP'!BQ30</f>
        <v>0</v>
      </c>
      <c r="BR6" s="359">
        <f>'Evolutive SFP'!BR30</f>
        <v>0</v>
      </c>
      <c r="BS6" s="359">
        <f>'Evolutive SFP'!BS30</f>
        <v>0</v>
      </c>
      <c r="BT6" s="359">
        <f>'Evolutive SFP'!BT30</f>
        <v>0</v>
      </c>
      <c r="BU6" s="359">
        <f>'Evolutive SFP'!BU30</f>
        <v>0</v>
      </c>
      <c r="BV6" s="359">
        <f>'Evolutive SFP'!BV30</f>
        <v>0</v>
      </c>
      <c r="BW6" s="359">
        <f>'Evolutive SFP'!BW30</f>
        <v>0</v>
      </c>
    </row>
    <row r="7" spans="1:75">
      <c r="A7" s="355">
        <v>3.2</v>
      </c>
      <c r="B7" s="360" t="s">
        <v>67</v>
      </c>
      <c r="C7" s="359">
        <f>('Evolutive SFP'!B28+'Evolutive SFP'!B29)</f>
        <v>16463305</v>
      </c>
      <c r="D7" s="359">
        <f>('Evolutive SFP'!C28+'Evolutive SFP'!C29)</f>
        <v>580714367</v>
      </c>
      <c r="E7" s="359">
        <f>('Evolutive SFP'!D25+'Evolutive SFP'!D26)</f>
        <v>50126238.869999997</v>
      </c>
      <c r="F7" s="359">
        <f>('Evolutive SFP'!E28+'Evolutive SFP'!E29)</f>
        <v>522633496.07999998</v>
      </c>
      <c r="G7" s="359">
        <f>('Evolutive SFP'!F28+'Evolutive SFP'!F29)</f>
        <v>506675460.85000002</v>
      </c>
      <c r="H7" s="359">
        <f>('Evolutive SFP'!G16+'Evolutive SFP'!G17)</f>
        <v>155091149.38999999</v>
      </c>
      <c r="I7" s="359">
        <f>('Evolutive SFP'!H28+'Evolutive SFP'!H29)</f>
        <v>508628537.93000001</v>
      </c>
      <c r="J7" s="359">
        <f>('Evolutive SFP'!I28+'Evolutive SFP'!I29)</f>
        <v>515236235.69999999</v>
      </c>
      <c r="K7" s="359">
        <f>('Evolutive SFP'!J28+'Evolutive SFP'!J29)</f>
        <v>506445260.44999999</v>
      </c>
      <c r="L7" s="359">
        <f>('Evolutive SFP'!K28+'Evolutive SFP'!K29)</f>
        <v>485584004.93000001</v>
      </c>
      <c r="M7" s="359">
        <f>('Evolutive SFP'!L28+'Evolutive SFP'!L29)</f>
        <v>472971496.17000002</v>
      </c>
      <c r="N7" s="359">
        <f>('Evolutive SFP'!M28+'Evolutive SFP'!M29)</f>
        <v>868188030.41999996</v>
      </c>
      <c r="O7" s="359">
        <f>('Evolutive SFP'!N28+'Evolutive SFP'!N29)</f>
        <v>728482203.19999993</v>
      </c>
      <c r="P7" s="359">
        <f>('Evolutive SFP'!O28+'Evolutive SFP'!O29)</f>
        <v>645796615.38</v>
      </c>
      <c r="Q7" s="359">
        <f>('Evolutive SFP'!P28+'Evolutive SFP'!P29)</f>
        <v>645797613</v>
      </c>
      <c r="R7" s="359">
        <f>('Evolutive SFP'!Q28+'Evolutive SFP'!Q29)</f>
        <v>616146432.74000001</v>
      </c>
      <c r="S7" s="359">
        <f>('Evolutive SFP'!R28+'Evolutive SFP'!R29)</f>
        <v>608108952.99000001</v>
      </c>
      <c r="T7" s="359">
        <f>('Evolutive SFP'!S28+'Evolutive SFP'!S29)</f>
        <v>590074103.42000008</v>
      </c>
      <c r="U7" s="359">
        <f>('Evolutive SFP'!T28+'Evolutive SFP'!T29)</f>
        <v>591690562.98000002</v>
      </c>
      <c r="V7" s="359">
        <f>('Evolutive SFP'!U28+'Evolutive SFP'!U29)</f>
        <v>546547244.13999999</v>
      </c>
      <c r="W7" s="359">
        <f>('Evolutive SFP'!V28+'Evolutive SFP'!V29)</f>
        <v>544438909.20000005</v>
      </c>
      <c r="X7" s="359">
        <f>('Evolutive SFP'!W28+'Evolutive SFP'!W29)</f>
        <v>546120059.04999995</v>
      </c>
      <c r="Y7" s="359">
        <f>('Evolutive SFP'!X28+'Evolutive SFP'!X29)</f>
        <v>531861593.78999996</v>
      </c>
      <c r="Z7" s="359">
        <f>('Evolutive SFP'!Y28+'Evolutive SFP'!Y29)</f>
        <v>529281686.84000003</v>
      </c>
      <c r="AA7" s="359">
        <f>('Evolutive SFP'!Z28+'Evolutive SFP'!Z29)</f>
        <v>417278555.69999999</v>
      </c>
      <c r="AB7" s="359">
        <f>('Evolutive SFP'!AA28+'Evolutive SFP'!AA29)</f>
        <v>420727102.92999995</v>
      </c>
      <c r="AC7" s="359">
        <f>('Evolutive SFP'!AB28+'Evolutive SFP'!AB29)</f>
        <v>417072401.67999995</v>
      </c>
      <c r="AD7" s="359">
        <f>('Evolutive SFP'!AC28+'Evolutive SFP'!AC29)</f>
        <v>608281937</v>
      </c>
      <c r="AE7" s="359">
        <f>('Evolutive SFP'!AD28+'Evolutive SFP'!AD29)</f>
        <v>568183853.01999998</v>
      </c>
      <c r="AF7" s="359">
        <f>('Evolutive SFP'!AE28+'Evolutive SFP'!AE29)</f>
        <v>558697458.02999997</v>
      </c>
      <c r="AG7" s="359">
        <f>('Evolutive SFP'!AF28+'Evolutive SFP'!AF29)</f>
        <v>551764491.86000001</v>
      </c>
      <c r="AH7" s="359">
        <f>('Evolutive SFP'!AG28+'Evolutive SFP'!AG29)</f>
        <v>572290575.04999995</v>
      </c>
      <c r="AI7" s="359">
        <f>('Evolutive SFP'!AH28+'Evolutive SFP'!AH29)</f>
        <v>570421994.66999996</v>
      </c>
      <c r="AJ7" s="359">
        <f>('Evolutive SFP'!AI28+'Evolutive SFP'!AI29)</f>
        <v>580433503.12</v>
      </c>
      <c r="AK7" s="359">
        <f>('Evolutive SFP'!AJ28+'Evolutive SFP'!AJ29)</f>
        <v>1130092100.6199999</v>
      </c>
      <c r="AL7" s="359">
        <f>('Evolutive SFP'!AK28+'Evolutive SFP'!AK29)</f>
        <v>554891968.40999997</v>
      </c>
      <c r="AM7" s="359">
        <f>('Evolutive SFP'!AL28+'Evolutive SFP'!AL29)</f>
        <v>774258370.68000007</v>
      </c>
      <c r="AN7" s="359">
        <f>('Evolutive SFP'!AM28+'Evolutive SFP'!AM29)</f>
        <v>688548403.46000004</v>
      </c>
      <c r="AO7" s="359">
        <f>('Evolutive SFP'!AN28+'Evolutive SFP'!AN29)</f>
        <v>647093539.78999996</v>
      </c>
      <c r="AP7" s="359">
        <f>('Evolutive SFP'!AO28+'Evolutive SFP'!AO29)</f>
        <v>647093541</v>
      </c>
      <c r="AQ7" s="359">
        <f>('Evolutive SFP'!AP28+'Evolutive SFP'!AP29)</f>
        <v>625476966.22000003</v>
      </c>
      <c r="AR7" s="359">
        <f>('Evolutive SFP'!AQ28+'Evolutive SFP'!AQ29)</f>
        <v>624817015.54999995</v>
      </c>
      <c r="AS7" s="359">
        <f>('Evolutive SFP'!AR28+'Evolutive SFP'!AR29)</f>
        <v>631764356.57999992</v>
      </c>
      <c r="AT7" s="359">
        <f>('Evolutive SFP'!AS28+'Evolutive SFP'!AS29)</f>
        <v>633228382.99000001</v>
      </c>
      <c r="AU7" s="359">
        <f>('Evolutive SFP'!AT28+'Evolutive SFP'!AT29)</f>
        <v>619007794.70000005</v>
      </c>
      <c r="AV7" s="359">
        <f>('Evolutive SFP'!AU28+'Evolutive SFP'!AU29)</f>
        <v>617859617.33999991</v>
      </c>
      <c r="AW7" s="359">
        <f>('Evolutive SFP'!AV28+'Evolutive SFP'!AV29)</f>
        <v>615701893.78999996</v>
      </c>
      <c r="AX7" s="359">
        <f>('Evolutive SFP'!AW28+'Evolutive SFP'!AW29)</f>
        <v>587281427.00999999</v>
      </c>
      <c r="AY7" s="359">
        <f>('Evolutive SFP'!AX28+'Evolutive SFP'!AX29)</f>
        <v>576432272.06999993</v>
      </c>
      <c r="AZ7" s="359">
        <f>('Evolutive SFP'!AY28+'Evolutive SFP'!AY29)</f>
        <v>650449125.25999999</v>
      </c>
      <c r="BA7" s="359">
        <f>('Evolutive SFP'!AZ28+'Evolutive SFP'!AZ29)</f>
        <v>654796276.63</v>
      </c>
      <c r="BB7" s="359">
        <f>('Evolutive SFP'!BA28+'Evolutive SFP'!BA29)</f>
        <v>617731694.89999998</v>
      </c>
      <c r="BC7" s="359">
        <f>('Evolutive SFP'!BB28+'Evolutive SFP'!BB29)</f>
        <v>617731694.89999998</v>
      </c>
      <c r="BD7" s="359">
        <f>('Evolutive SFP'!BC28+'Evolutive SFP'!BC29)</f>
        <v>597326590.95000005</v>
      </c>
      <c r="BE7" s="359">
        <f>('Evolutive SFP'!BD28+'Evolutive SFP'!BD29)</f>
        <v>582075613.10000002</v>
      </c>
      <c r="BF7" s="359">
        <f>('Evolutive SFP'!BE28+'Evolutive SFP'!BE29)</f>
        <v>575739080.59000003</v>
      </c>
      <c r="BG7" s="359">
        <f>('Evolutive SFP'!BF28+'Evolutive SFP'!BF29)</f>
        <v>601656832.69000006</v>
      </c>
      <c r="BH7" s="359">
        <f>('Evolutive SFP'!BG28+'Evolutive SFP'!BG29)</f>
        <v>594910145.99000001</v>
      </c>
      <c r="BI7" s="359">
        <f>('Evolutive SFP'!BH28+'Evolutive SFP'!BH29)</f>
        <v>575476507.80999994</v>
      </c>
      <c r="BJ7" s="359">
        <f>('Evolutive SFP'!BI28+'Evolutive SFP'!BI29)</f>
        <v>776968009.75</v>
      </c>
      <c r="BK7" s="359">
        <f>('Evolutive SFP'!BJ28+'Evolutive SFP'!BJ29)</f>
        <v>722000258.15999997</v>
      </c>
      <c r="BL7" s="359">
        <f>('Evolutive SFP'!BK28+'Evolutive SFP'!BK29)</f>
        <v>676776538.43999994</v>
      </c>
      <c r="BM7" s="359">
        <f>('Evolutive SFP'!BL28+'Evolutive SFP'!BL29)</f>
        <v>654928609.74000001</v>
      </c>
      <c r="BN7" s="359">
        <f>('Evolutive SFP'!BM28+'Evolutive SFP'!BM29)</f>
        <v>635050925.77999997</v>
      </c>
      <c r="BO7" s="359">
        <f>('Evolutive SFP'!BN28+'Evolutive SFP'!BN29)</f>
        <v>606733303.30999994</v>
      </c>
      <c r="BP7" s="359">
        <f>('Evolutive SFP'!BO28+'Evolutive SFP'!BO29)</f>
        <v>606733702</v>
      </c>
      <c r="BQ7" s="359">
        <f>('Evolutive SFP'!BQ28+'Evolutive SFP'!BQ29)</f>
        <v>0</v>
      </c>
      <c r="BR7" s="359">
        <f>('Evolutive SFP'!BR28+'Evolutive SFP'!BR29)</f>
        <v>0</v>
      </c>
      <c r="BS7" s="359">
        <f>('Evolutive SFP'!BS28+'Evolutive SFP'!BS29)</f>
        <v>0</v>
      </c>
      <c r="BT7" s="359">
        <f>('Evolutive SFP'!BT28+'Evolutive SFP'!BT29)</f>
        <v>0</v>
      </c>
      <c r="BU7" s="359">
        <f>('Evolutive SFP'!BU28+'Evolutive SFP'!BU29)</f>
        <v>0</v>
      </c>
      <c r="BV7" s="359">
        <f>('Evolutive SFP'!BV28+'Evolutive SFP'!BV29)</f>
        <v>0</v>
      </c>
      <c r="BW7" s="359">
        <f>('Evolutive SFP'!BW28+'Evolutive SFP'!BW29)</f>
        <v>0</v>
      </c>
    </row>
    <row r="8" spans="1:75">
      <c r="A8" s="355">
        <v>4</v>
      </c>
      <c r="B8" s="355" t="s">
        <v>68</v>
      </c>
      <c r="C8" s="359">
        <f>'Evolutive SFP'!B37</f>
        <v>2291669</v>
      </c>
      <c r="D8" s="359">
        <f>'Evolutive SFP'!C37</f>
        <v>0</v>
      </c>
      <c r="E8" s="359">
        <f>'Evolutive SFP'!D37</f>
        <v>0</v>
      </c>
      <c r="F8" s="359">
        <f>'Evolutive SFP'!E37</f>
        <v>0</v>
      </c>
      <c r="G8" s="359">
        <f>'Evolutive SFP'!F37</f>
        <v>0</v>
      </c>
      <c r="H8" s="359">
        <f>'Evolutive SFP'!G25</f>
        <v>5489439</v>
      </c>
      <c r="I8" s="359">
        <f>'Evolutive SFP'!H37</f>
        <v>50000000</v>
      </c>
      <c r="J8" s="359">
        <f>'Evolutive SFP'!I37</f>
        <v>50000000</v>
      </c>
      <c r="K8" s="359">
        <f>'Evolutive SFP'!J37</f>
        <v>50000000</v>
      </c>
      <c r="L8" s="359">
        <f>'Evolutive SFP'!K37</f>
        <v>50000000</v>
      </c>
      <c r="M8" s="359">
        <f>'Evolutive SFP'!L37</f>
        <v>50000000</v>
      </c>
      <c r="N8" s="359">
        <f>'Evolutive SFP'!M37</f>
        <v>0</v>
      </c>
      <c r="O8" s="359">
        <f>'Evolutive SFP'!N37</f>
        <v>0</v>
      </c>
      <c r="P8" s="359">
        <f>'Evolutive SFP'!O37</f>
        <v>0</v>
      </c>
      <c r="Q8" s="359">
        <f>'Evolutive SFP'!P37</f>
        <v>0</v>
      </c>
      <c r="R8" s="359">
        <f>'Evolutive SFP'!Q37</f>
        <v>0</v>
      </c>
      <c r="S8" s="359">
        <f>'Evolutive SFP'!R37</f>
        <v>0</v>
      </c>
      <c r="T8" s="359">
        <f>'Evolutive SFP'!S37</f>
        <v>0</v>
      </c>
      <c r="U8" s="359">
        <f>'Evolutive SFP'!T37</f>
        <v>0</v>
      </c>
      <c r="V8" s="359">
        <f>'Evolutive SFP'!U37</f>
        <v>0</v>
      </c>
      <c r="W8" s="359">
        <f>'Evolutive SFP'!V37</f>
        <v>0</v>
      </c>
      <c r="X8" s="359">
        <f>'Evolutive SFP'!W37</f>
        <v>0</v>
      </c>
      <c r="Y8" s="359">
        <f>'Evolutive SFP'!X37</f>
        <v>0</v>
      </c>
      <c r="Z8" s="359">
        <f>'Evolutive SFP'!Y37</f>
        <v>0</v>
      </c>
      <c r="AA8" s="359">
        <f>'Evolutive SFP'!Z37</f>
        <v>1108105286.6400001</v>
      </c>
      <c r="AB8" s="359">
        <f>'Evolutive SFP'!AA37</f>
        <v>1020903474.34</v>
      </c>
      <c r="AC8" s="359">
        <f>'Evolutive SFP'!AB37</f>
        <v>963955519.12</v>
      </c>
      <c r="AD8" s="359">
        <f>'Evolutive SFP'!AC37</f>
        <v>0</v>
      </c>
      <c r="AE8" s="359">
        <f>'Evolutive SFP'!AD37</f>
        <v>0</v>
      </c>
      <c r="AF8" s="359">
        <f>'Evolutive SFP'!AE37</f>
        <v>0</v>
      </c>
      <c r="AG8" s="359">
        <f>'Evolutive SFP'!AF37</f>
        <v>0</v>
      </c>
      <c r="AH8" s="359">
        <f>'Evolutive SFP'!AG37</f>
        <v>0</v>
      </c>
      <c r="AI8" s="359">
        <f>'Evolutive SFP'!AH37</f>
        <v>0</v>
      </c>
      <c r="AJ8" s="359">
        <f>'Evolutive SFP'!AI37</f>
        <v>0</v>
      </c>
      <c r="AK8" s="359">
        <f>'Evolutive SFP'!AJ37</f>
        <v>0</v>
      </c>
      <c r="AL8" s="359">
        <f>'Evolutive SFP'!AK37</f>
        <v>0</v>
      </c>
      <c r="AM8" s="359">
        <f>'Evolutive SFP'!AL37</f>
        <v>0</v>
      </c>
      <c r="AN8" s="359">
        <f>'Evolutive SFP'!AM37</f>
        <v>0</v>
      </c>
      <c r="AO8" s="359">
        <f>'Evolutive SFP'!AN37</f>
        <v>0</v>
      </c>
      <c r="AP8" s="359">
        <f>'Evolutive SFP'!AO37</f>
        <v>0</v>
      </c>
      <c r="AQ8" s="359">
        <f>'Evolutive SFP'!AP37</f>
        <v>0</v>
      </c>
      <c r="AR8" s="359">
        <f>'Evolutive SFP'!AQ37</f>
        <v>0</v>
      </c>
      <c r="AS8" s="359">
        <f>'Evolutive SFP'!AR37</f>
        <v>0</v>
      </c>
      <c r="AT8" s="359">
        <f>'Evolutive SFP'!AS37</f>
        <v>0</v>
      </c>
      <c r="AU8" s="359">
        <f>'Evolutive SFP'!AT37</f>
        <v>0</v>
      </c>
      <c r="AV8" s="359">
        <f>'Evolutive SFP'!AU37</f>
        <v>0</v>
      </c>
      <c r="AW8" s="359">
        <f>'Evolutive SFP'!AV37</f>
        <v>0</v>
      </c>
      <c r="AX8" s="359">
        <f>'Evolutive SFP'!AW37</f>
        <v>0</v>
      </c>
      <c r="AY8" s="359">
        <f>'Evolutive SFP'!AX37</f>
        <v>0</v>
      </c>
      <c r="AZ8" s="359">
        <f>'Evolutive SFP'!AY37</f>
        <v>0</v>
      </c>
      <c r="BA8" s="359">
        <f>'Evolutive SFP'!AZ37</f>
        <v>0</v>
      </c>
      <c r="BB8" s="359">
        <f>'Evolutive SFP'!BA37</f>
        <v>0</v>
      </c>
      <c r="BC8" s="359">
        <f>'Evolutive SFP'!BB37</f>
        <v>0</v>
      </c>
      <c r="BD8" s="359">
        <f>'Evolutive SFP'!BC37</f>
        <v>0</v>
      </c>
      <c r="BE8" s="359">
        <f>'Evolutive SFP'!BD37</f>
        <v>0</v>
      </c>
      <c r="BF8" s="359">
        <f>'Evolutive SFP'!BE37</f>
        <v>0</v>
      </c>
      <c r="BG8" s="359">
        <f>'Evolutive SFP'!BF37</f>
        <v>0</v>
      </c>
      <c r="BH8" s="359">
        <f>'Evolutive SFP'!BG37</f>
        <v>0</v>
      </c>
      <c r="BI8" s="359">
        <f>'Evolutive SFP'!BH37</f>
        <v>0</v>
      </c>
      <c r="BJ8" s="359">
        <f>'Evolutive SFP'!BI37</f>
        <v>0</v>
      </c>
      <c r="BK8" s="359">
        <f>'Evolutive SFP'!BJ37</f>
        <v>0</v>
      </c>
      <c r="BL8" s="359">
        <f>'Evolutive SFP'!BK37</f>
        <v>0</v>
      </c>
      <c r="BM8" s="359">
        <f>'Evolutive SFP'!BL37</f>
        <v>0</v>
      </c>
      <c r="BN8" s="359">
        <f>'Evolutive SFP'!BM37</f>
        <v>0</v>
      </c>
      <c r="BO8" s="359">
        <f>'Evolutive SFP'!BN37</f>
        <v>0</v>
      </c>
      <c r="BP8" s="359">
        <f>'Evolutive SFP'!BO37</f>
        <v>0</v>
      </c>
      <c r="BQ8" s="359">
        <f>'Evolutive SFP'!BQ37</f>
        <v>0</v>
      </c>
      <c r="BR8" s="359">
        <f>'Evolutive SFP'!BR37</f>
        <v>0</v>
      </c>
      <c r="BS8" s="359">
        <f>'Evolutive SFP'!BS37</f>
        <v>0</v>
      </c>
      <c r="BT8" s="359">
        <f>'Evolutive SFP'!BT37</f>
        <v>0</v>
      </c>
      <c r="BU8" s="359">
        <f>'Evolutive SFP'!BU37</f>
        <v>0</v>
      </c>
      <c r="BV8" s="359">
        <f>'Evolutive SFP'!BV37</f>
        <v>0</v>
      </c>
      <c r="BW8" s="359">
        <f>'Evolutive SFP'!BW37</f>
        <v>0</v>
      </c>
    </row>
    <row r="9" spans="1:75">
      <c r="A9" s="355"/>
      <c r="B9" s="355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  <c r="R9" s="359"/>
      <c r="S9" s="359"/>
      <c r="T9" s="359"/>
      <c r="U9" s="359"/>
      <c r="V9" s="359"/>
      <c r="W9" s="359"/>
      <c r="X9" s="359"/>
      <c r="Y9" s="359"/>
      <c r="Z9" s="359"/>
      <c r="AA9" s="359"/>
      <c r="AB9" s="359"/>
      <c r="AC9" s="359"/>
      <c r="AD9" s="359"/>
      <c r="AE9" s="359"/>
      <c r="AF9" s="359"/>
      <c r="AG9" s="359"/>
      <c r="AH9" s="359"/>
      <c r="AI9" s="359"/>
      <c r="AJ9" s="359"/>
      <c r="AK9" s="359"/>
      <c r="AL9" s="359"/>
      <c r="AM9" s="359"/>
      <c r="AN9" s="359"/>
      <c r="AO9" s="359"/>
      <c r="AP9" s="359"/>
      <c r="AQ9" s="359"/>
      <c r="AR9" s="359"/>
      <c r="AS9" s="359"/>
      <c r="AT9" s="359"/>
      <c r="AU9" s="359"/>
      <c r="AV9" s="359"/>
      <c r="AW9" s="359"/>
      <c r="AX9" s="359"/>
      <c r="AY9" s="359"/>
      <c r="AZ9" s="359"/>
      <c r="BA9" s="359"/>
      <c r="BB9" s="359"/>
      <c r="BC9" s="359"/>
      <c r="BD9" s="359"/>
      <c r="BE9" s="359"/>
      <c r="BF9" s="359"/>
      <c r="BG9" s="359"/>
      <c r="BH9" s="359"/>
      <c r="BI9" s="359"/>
      <c r="BJ9" s="359"/>
      <c r="BK9" s="359"/>
      <c r="BL9" s="359"/>
      <c r="BM9" s="359"/>
      <c r="BN9" s="359"/>
      <c r="BO9" s="359"/>
      <c r="BP9" s="359"/>
      <c r="BQ9" s="359"/>
      <c r="BR9" s="359"/>
      <c r="BS9" s="359"/>
      <c r="BT9" s="359"/>
      <c r="BU9" s="359"/>
      <c r="BV9" s="359"/>
      <c r="BW9" s="359"/>
    </row>
    <row r="10" spans="1:75">
      <c r="A10" s="361">
        <v>5</v>
      </c>
      <c r="B10" s="346" t="s">
        <v>69</v>
      </c>
      <c r="C10" s="359"/>
      <c r="D10" s="359"/>
      <c r="E10" s="359"/>
      <c r="F10" s="359"/>
      <c r="G10" s="359"/>
      <c r="H10" s="359"/>
      <c r="I10" s="359"/>
      <c r="J10" s="359"/>
      <c r="K10" s="359"/>
      <c r="L10" s="359"/>
      <c r="M10" s="359"/>
      <c r="N10" s="359"/>
      <c r="O10" s="359"/>
      <c r="P10" s="359"/>
      <c r="Q10" s="359"/>
      <c r="R10" s="359"/>
      <c r="S10" s="359"/>
      <c r="T10" s="359"/>
      <c r="U10" s="359"/>
      <c r="V10" s="359"/>
      <c r="W10" s="359"/>
      <c r="X10" s="359"/>
      <c r="Y10" s="359"/>
      <c r="Z10" s="359"/>
      <c r="AA10" s="359"/>
      <c r="AB10" s="359"/>
      <c r="AC10" s="359"/>
      <c r="AD10" s="359"/>
      <c r="AE10" s="359"/>
      <c r="AF10" s="359"/>
      <c r="AG10" s="359"/>
      <c r="AH10" s="359"/>
      <c r="AI10" s="359"/>
      <c r="AJ10" s="359"/>
      <c r="AK10" s="359"/>
      <c r="AL10" s="359"/>
      <c r="AM10" s="359"/>
      <c r="AN10" s="359"/>
      <c r="AO10" s="359"/>
      <c r="AP10" s="359"/>
      <c r="AQ10" s="359"/>
      <c r="AR10" s="359"/>
      <c r="AS10" s="359"/>
      <c r="AT10" s="359"/>
      <c r="AU10" s="359"/>
      <c r="AV10" s="359"/>
      <c r="AW10" s="359"/>
      <c r="AX10" s="359"/>
      <c r="AY10" s="359"/>
      <c r="AZ10" s="359"/>
      <c r="BA10" s="359"/>
      <c r="BB10" s="359"/>
      <c r="BC10" s="359"/>
      <c r="BD10" s="359"/>
      <c r="BE10" s="359"/>
      <c r="BF10" s="359"/>
      <c r="BG10" s="359"/>
      <c r="BH10" s="359"/>
      <c r="BI10" s="359"/>
      <c r="BJ10" s="359"/>
      <c r="BK10" s="359"/>
      <c r="BL10" s="359"/>
      <c r="BM10" s="359"/>
      <c r="BN10" s="359"/>
      <c r="BO10" s="359"/>
      <c r="BP10" s="359"/>
      <c r="BQ10" s="359"/>
      <c r="BR10" s="359"/>
      <c r="BS10" s="359"/>
      <c r="BT10" s="359"/>
      <c r="BU10" s="359"/>
      <c r="BV10" s="359"/>
      <c r="BW10" s="359"/>
    </row>
    <row r="11" spans="1:75" s="364" customFormat="1">
      <c r="A11" s="362">
        <v>5.0999999999999996</v>
      </c>
      <c r="B11" s="346" t="s">
        <v>9</v>
      </c>
      <c r="C11" s="363">
        <f t="shared" ref="C11:I11" si="0">C14-C22-C25</f>
        <v>14446887</v>
      </c>
      <c r="D11" s="363">
        <f t="shared" si="0"/>
        <v>206304838</v>
      </c>
      <c r="E11" s="363">
        <f t="shared" si="0"/>
        <v>121832605.13999999</v>
      </c>
      <c r="F11" s="363">
        <f t="shared" si="0"/>
        <v>172973306.14999998</v>
      </c>
      <c r="G11" s="363">
        <f t="shared" si="0"/>
        <v>174469854.73999998</v>
      </c>
      <c r="H11" s="363" t="e">
        <f t="shared" si="0"/>
        <v>#REF!</v>
      </c>
      <c r="I11" s="363">
        <f t="shared" si="0"/>
        <v>172534431.69999999</v>
      </c>
      <c r="J11" s="363">
        <f t="shared" ref="J11:O11" si="1">J14-J22</f>
        <v>222464209.19999999</v>
      </c>
      <c r="K11" s="363">
        <f t="shared" si="1"/>
        <v>223245400.72999999</v>
      </c>
      <c r="L11" s="363">
        <f t="shared" si="1"/>
        <v>229840129.76999998</v>
      </c>
      <c r="M11" s="363">
        <f t="shared" si="1"/>
        <v>230211425.69999999</v>
      </c>
      <c r="N11" s="363">
        <f t="shared" si="1"/>
        <v>242105443.44999999</v>
      </c>
      <c r="O11" s="363">
        <f t="shared" si="1"/>
        <v>245365475.87</v>
      </c>
      <c r="P11" s="363">
        <f>P14-P22</f>
        <v>254082815.80999997</v>
      </c>
      <c r="Q11" s="363">
        <f>Q14-Q22</f>
        <v>248082819</v>
      </c>
      <c r="R11" s="363">
        <f>R14-R22</f>
        <v>259167008.68000001</v>
      </c>
      <c r="S11" s="363">
        <f t="shared" ref="S11:BW11" si="2">S14-S22</f>
        <v>251017834.79999998</v>
      </c>
      <c r="T11" s="363">
        <f t="shared" si="2"/>
        <v>252860956.75999999</v>
      </c>
      <c r="U11" s="363">
        <f t="shared" si="2"/>
        <v>255067446.66</v>
      </c>
      <c r="V11" s="363">
        <f t="shared" si="2"/>
        <v>255637058.11999997</v>
      </c>
      <c r="W11" s="363">
        <f t="shared" si="2"/>
        <v>260016824.95999998</v>
      </c>
      <c r="X11" s="363">
        <f t="shared" si="2"/>
        <v>257784275.70999998</v>
      </c>
      <c r="Y11" s="363">
        <f t="shared" si="2"/>
        <v>262363265.67999998</v>
      </c>
      <c r="Z11" s="363">
        <f t="shared" si="2"/>
        <v>264020548.25999999</v>
      </c>
      <c r="AA11" s="363">
        <f t="shared" si="2"/>
        <v>102505637.28</v>
      </c>
      <c r="AB11" s="363">
        <f t="shared" si="2"/>
        <v>108193294.89</v>
      </c>
      <c r="AC11" s="363">
        <f t="shared" si="2"/>
        <v>116856338.40000001</v>
      </c>
      <c r="AD11" s="363">
        <f t="shared" si="2"/>
        <v>279768345</v>
      </c>
      <c r="AE11" s="363">
        <f t="shared" ref="AE11:BR11" si="3">AE14-AE22</f>
        <v>293419234.55000001</v>
      </c>
      <c r="AF11" s="363">
        <f t="shared" si="3"/>
        <v>285801086.85000002</v>
      </c>
      <c r="AG11" s="363">
        <f t="shared" si="3"/>
        <v>285324834.39999998</v>
      </c>
      <c r="AH11" s="363">
        <f t="shared" si="3"/>
        <v>287767987.14999998</v>
      </c>
      <c r="AI11" s="363">
        <f t="shared" si="3"/>
        <v>288521665.82999998</v>
      </c>
      <c r="AJ11" s="363">
        <f t="shared" si="3"/>
        <v>290879912.45000005</v>
      </c>
      <c r="AK11" s="363">
        <f t="shared" si="3"/>
        <v>586425971.16000009</v>
      </c>
      <c r="AL11" s="363">
        <f t="shared" si="3"/>
        <v>291349954.35000002</v>
      </c>
      <c r="AM11" s="363">
        <f t="shared" si="3"/>
        <v>304872273.38999999</v>
      </c>
      <c r="AN11" s="363">
        <f t="shared" si="3"/>
        <v>316551992.34000003</v>
      </c>
      <c r="AO11" s="363">
        <f t="shared" si="3"/>
        <v>322470816.41000003</v>
      </c>
      <c r="AP11" s="363">
        <f t="shared" ref="AP11:BL11" si="4">AP14-AP22</f>
        <v>309742324</v>
      </c>
      <c r="AQ11" s="363">
        <f t="shared" si="4"/>
        <v>325954776.07000005</v>
      </c>
      <c r="AR11" s="363">
        <f t="shared" si="4"/>
        <v>310646624.20000005</v>
      </c>
      <c r="AS11" s="363">
        <f t="shared" si="4"/>
        <v>314114764.5</v>
      </c>
      <c r="AT11" s="363">
        <f t="shared" si="4"/>
        <v>315888933.11000001</v>
      </c>
      <c r="AU11" s="363">
        <f t="shared" si="4"/>
        <v>318990977.96000004</v>
      </c>
      <c r="AV11" s="363">
        <f t="shared" si="4"/>
        <v>319916036.86000001</v>
      </c>
      <c r="AW11" s="363">
        <f t="shared" si="4"/>
        <v>321391523.75</v>
      </c>
      <c r="AX11" s="363">
        <f t="shared" si="4"/>
        <v>323107006.65000004</v>
      </c>
      <c r="AY11" s="363">
        <f t="shared" si="4"/>
        <v>324501327.49000001</v>
      </c>
      <c r="AZ11" s="363">
        <f t="shared" si="4"/>
        <v>334332215.19000006</v>
      </c>
      <c r="BA11" s="363">
        <f t="shared" si="4"/>
        <v>337967905.25</v>
      </c>
      <c r="BB11" s="363">
        <f t="shared" si="4"/>
        <v>345941843.77000004</v>
      </c>
      <c r="BC11" s="363">
        <f t="shared" si="4"/>
        <v>328415441.72000003</v>
      </c>
      <c r="BD11" s="363">
        <f t="shared" si="4"/>
        <v>347636461.06</v>
      </c>
      <c r="BE11" s="363">
        <f t="shared" si="4"/>
        <v>346177456.52000004</v>
      </c>
      <c r="BF11" s="363">
        <f t="shared" si="4"/>
        <v>333790320.27000004</v>
      </c>
      <c r="BG11" s="363">
        <f t="shared" si="4"/>
        <v>336536531.02000004</v>
      </c>
      <c r="BH11" s="363">
        <f t="shared" si="4"/>
        <v>338988496.37</v>
      </c>
      <c r="BI11" s="363">
        <f t="shared" si="4"/>
        <v>340578631.64000005</v>
      </c>
      <c r="BJ11" s="363">
        <f t="shared" si="4"/>
        <v>346593845.60000002</v>
      </c>
      <c r="BK11" s="363">
        <f t="shared" si="4"/>
        <v>347669612.92000002</v>
      </c>
      <c r="BL11" s="363">
        <f t="shared" si="4"/>
        <v>349027101.63</v>
      </c>
      <c r="BM11" s="363">
        <f t="shared" si="3"/>
        <v>352735932.45999998</v>
      </c>
      <c r="BN11" s="363">
        <f t="shared" si="3"/>
        <v>355142303.88000005</v>
      </c>
      <c r="BO11" s="363">
        <f t="shared" si="3"/>
        <v>349910567.21000004</v>
      </c>
      <c r="BP11" s="363">
        <f t="shared" si="3"/>
        <v>366983456</v>
      </c>
      <c r="BQ11" s="363">
        <f t="shared" si="3"/>
        <v>0</v>
      </c>
      <c r="BR11" s="363">
        <f t="shared" si="3"/>
        <v>0</v>
      </c>
      <c r="BS11" s="363">
        <f t="shared" si="2"/>
        <v>0</v>
      </c>
      <c r="BT11" s="363">
        <f t="shared" si="2"/>
        <v>0</v>
      </c>
      <c r="BU11" s="363">
        <f t="shared" si="2"/>
        <v>0</v>
      </c>
      <c r="BV11" s="363">
        <f t="shared" si="2"/>
        <v>0</v>
      </c>
      <c r="BW11" s="363">
        <f t="shared" si="2"/>
        <v>0</v>
      </c>
    </row>
    <row r="12" spans="1:75" s="364" customFormat="1">
      <c r="A12" s="362">
        <v>5.2</v>
      </c>
      <c r="B12" s="346" t="s">
        <v>70</v>
      </c>
      <c r="C12" s="363">
        <f>C11-C15</f>
        <v>3952190</v>
      </c>
      <c r="D12" s="363">
        <f>D11-D15</f>
        <v>65639391</v>
      </c>
      <c r="E12" s="363">
        <f>E11-E15</f>
        <v>-19421776.610000014</v>
      </c>
      <c r="F12" s="363">
        <f>F11-F15</f>
        <v>31174581.439999968</v>
      </c>
      <c r="G12" s="363">
        <f t="shared" ref="G12:N12" si="5">G11-G15</f>
        <v>32057095.339999974</v>
      </c>
      <c r="H12" s="363" t="e">
        <f>H11-H15</f>
        <v>#REF!</v>
      </c>
      <c r="I12" s="363">
        <f>I11-I15</f>
        <v>28886699.459999979</v>
      </c>
      <c r="J12" s="363">
        <f t="shared" si="5"/>
        <v>78219471.169999987</v>
      </c>
      <c r="K12" s="363">
        <f t="shared" si="5"/>
        <v>78502429.019999981</v>
      </c>
      <c r="L12" s="363">
        <f t="shared" si="5"/>
        <v>84545827.069999993</v>
      </c>
      <c r="M12" s="363">
        <f t="shared" si="5"/>
        <v>83851668.229999989</v>
      </c>
      <c r="N12" s="363">
        <f t="shared" si="5"/>
        <v>87845392.73999998</v>
      </c>
      <c r="O12" s="363">
        <f>O11-O15</f>
        <v>89867023.879999995</v>
      </c>
      <c r="P12" s="363">
        <f>P11-P15</f>
        <v>97382644.049999982</v>
      </c>
      <c r="Q12" s="363">
        <f>Q11-Q15</f>
        <v>91382647</v>
      </c>
      <c r="R12" s="363">
        <f>R11-R15</f>
        <v>101135542.59</v>
      </c>
      <c r="S12" s="363">
        <f t="shared" ref="S12:AD12" si="6">S11-S15</f>
        <v>91769094.789999992</v>
      </c>
      <c r="T12" s="363">
        <f t="shared" si="6"/>
        <v>92146033.269999981</v>
      </c>
      <c r="U12" s="363">
        <f t="shared" si="6"/>
        <v>92926194.359999985</v>
      </c>
      <c r="V12" s="363">
        <f t="shared" si="6"/>
        <v>92518838.179999977</v>
      </c>
      <c r="W12" s="363">
        <f t="shared" si="6"/>
        <v>95582705.939999968</v>
      </c>
      <c r="X12" s="363">
        <f t="shared" si="6"/>
        <v>92119858.73999998</v>
      </c>
      <c r="Y12" s="363">
        <f t="shared" si="6"/>
        <v>95250894.709999979</v>
      </c>
      <c r="Z12" s="363">
        <f t="shared" si="6"/>
        <v>95722336.25999999</v>
      </c>
      <c r="AA12" s="363">
        <f t="shared" si="6"/>
        <v>102505637.28</v>
      </c>
      <c r="AB12" s="363">
        <f t="shared" si="6"/>
        <v>108193294.89</v>
      </c>
      <c r="AC12" s="363">
        <f t="shared" si="6"/>
        <v>116856338.40000001</v>
      </c>
      <c r="AD12" s="363">
        <f t="shared" si="6"/>
        <v>107070063</v>
      </c>
      <c r="AE12" s="363">
        <f t="shared" ref="AE12:BR12" si="7">AE11-AE15</f>
        <v>119275709.55000001</v>
      </c>
      <c r="AF12" s="363">
        <f t="shared" si="7"/>
        <v>110073274.00000003</v>
      </c>
      <c r="AG12" s="363">
        <f t="shared" si="7"/>
        <v>109079256.83999997</v>
      </c>
      <c r="AH12" s="363">
        <f t="shared" si="7"/>
        <v>111017382.25999999</v>
      </c>
      <c r="AI12" s="363">
        <f t="shared" si="7"/>
        <v>111301778.54999998</v>
      </c>
      <c r="AJ12" s="363">
        <f t="shared" si="7"/>
        <v>113215883.41000006</v>
      </c>
      <c r="AK12" s="363">
        <f t="shared" si="7"/>
        <v>229006860.5800001</v>
      </c>
      <c r="AL12" s="363">
        <f t="shared" si="7"/>
        <v>112140692.85000002</v>
      </c>
      <c r="AM12" s="363">
        <f t="shared" si="7"/>
        <v>116740396.97999999</v>
      </c>
      <c r="AN12" s="363">
        <f t="shared" si="7"/>
        <v>127880764.73000002</v>
      </c>
      <c r="AO12" s="363">
        <f t="shared" si="7"/>
        <v>134101776.95000002</v>
      </c>
      <c r="AP12" s="363">
        <f t="shared" ref="AP12:BL12" si="8">AP11-AP15</f>
        <v>121373285</v>
      </c>
      <c r="AQ12" s="363">
        <f t="shared" si="8"/>
        <v>137132798.38000005</v>
      </c>
      <c r="AR12" s="363">
        <f t="shared" si="8"/>
        <v>121450356.17000005</v>
      </c>
      <c r="AS12" s="363">
        <f t="shared" si="8"/>
        <v>124116985.71000001</v>
      </c>
      <c r="AT12" s="363">
        <f t="shared" si="8"/>
        <v>124713892.10000002</v>
      </c>
      <c r="AU12" s="363">
        <f t="shared" si="8"/>
        <v>126902500.85000002</v>
      </c>
      <c r="AV12" s="363">
        <f t="shared" si="8"/>
        <v>126990516.90000001</v>
      </c>
      <c r="AW12" s="363">
        <f t="shared" si="8"/>
        <v>127805267.22</v>
      </c>
      <c r="AX12" s="363">
        <f t="shared" si="8"/>
        <v>128982208.38000003</v>
      </c>
      <c r="AY12" s="363">
        <f t="shared" si="8"/>
        <v>129785604.71000001</v>
      </c>
      <c r="AZ12" s="363">
        <f t="shared" si="8"/>
        <v>133099820.44000006</v>
      </c>
      <c r="BA12" s="363">
        <f t="shared" si="8"/>
        <v>136115341.74000001</v>
      </c>
      <c r="BB12" s="363">
        <f t="shared" si="8"/>
        <v>143373407.15000004</v>
      </c>
      <c r="BC12" s="363">
        <f t="shared" si="8"/>
        <v>125847005.10000002</v>
      </c>
      <c r="BD12" s="363">
        <f t="shared" si="8"/>
        <v>144269138.31999999</v>
      </c>
      <c r="BE12" s="363">
        <f t="shared" si="8"/>
        <v>142160682.17000005</v>
      </c>
      <c r="BF12" s="363">
        <f t="shared" si="8"/>
        <v>128360664.69000003</v>
      </c>
      <c r="BG12" s="363">
        <f t="shared" si="8"/>
        <v>130184754.52000004</v>
      </c>
      <c r="BH12" s="363">
        <f t="shared" si="8"/>
        <v>131508257.99000001</v>
      </c>
      <c r="BI12" s="363">
        <f t="shared" si="8"/>
        <v>132170440.89000005</v>
      </c>
      <c r="BJ12" s="363">
        <f t="shared" si="8"/>
        <v>133981740.27000001</v>
      </c>
      <c r="BK12" s="363">
        <f t="shared" si="8"/>
        <v>134266737.48000002</v>
      </c>
      <c r="BL12" s="363">
        <f t="shared" si="8"/>
        <v>134735670.88</v>
      </c>
      <c r="BM12" s="363">
        <f t="shared" si="7"/>
        <v>137654853.63999999</v>
      </c>
      <c r="BN12" s="363">
        <f t="shared" si="7"/>
        <v>139036941.42000005</v>
      </c>
      <c r="BO12" s="363">
        <f t="shared" si="7"/>
        <v>132790253.17000005</v>
      </c>
      <c r="BP12" s="363">
        <f t="shared" si="7"/>
        <v>149863342</v>
      </c>
      <c r="BQ12" s="363">
        <f t="shared" si="7"/>
        <v>0</v>
      </c>
      <c r="BR12" s="363">
        <f t="shared" si="7"/>
        <v>0</v>
      </c>
      <c r="BS12" s="363">
        <f t="shared" ref="BS12:BW12" si="9">BS11-BS15</f>
        <v>0</v>
      </c>
      <c r="BT12" s="363">
        <f t="shared" si="9"/>
        <v>0</v>
      </c>
      <c r="BU12" s="363">
        <f t="shared" si="9"/>
        <v>0</v>
      </c>
      <c r="BV12" s="363">
        <f t="shared" si="9"/>
        <v>0</v>
      </c>
      <c r="BW12" s="363">
        <f t="shared" si="9"/>
        <v>0</v>
      </c>
    </row>
    <row r="13" spans="1:75">
      <c r="A13" s="361"/>
      <c r="B13" s="346"/>
      <c r="C13" s="359"/>
      <c r="D13" s="359"/>
      <c r="E13" s="359"/>
      <c r="F13" s="359"/>
      <c r="G13" s="359"/>
      <c r="H13" s="359"/>
      <c r="I13" s="359"/>
      <c r="J13" s="359"/>
      <c r="K13" s="359"/>
      <c r="L13" s="359"/>
      <c r="M13" s="359"/>
      <c r="N13" s="359"/>
      <c r="O13" s="359"/>
      <c r="P13" s="359"/>
      <c r="Q13" s="359"/>
      <c r="R13" s="359"/>
      <c r="S13" s="359"/>
      <c r="T13" s="359"/>
      <c r="U13" s="359"/>
      <c r="V13" s="359"/>
      <c r="W13" s="359"/>
      <c r="X13" s="359"/>
      <c r="Y13" s="359"/>
      <c r="Z13" s="359"/>
      <c r="AA13" s="359"/>
      <c r="AB13" s="359"/>
      <c r="AC13" s="359"/>
      <c r="AD13" s="359"/>
      <c r="AE13" s="359"/>
      <c r="AF13" s="359"/>
      <c r="AG13" s="359"/>
      <c r="AH13" s="359"/>
      <c r="AI13" s="359"/>
      <c r="AJ13" s="359"/>
      <c r="AK13" s="359"/>
      <c r="AL13" s="359"/>
      <c r="AM13" s="359"/>
      <c r="AN13" s="359"/>
      <c r="AO13" s="359"/>
      <c r="AP13" s="359"/>
      <c r="AQ13" s="359"/>
      <c r="AR13" s="359"/>
      <c r="AS13" s="359"/>
      <c r="AT13" s="359"/>
      <c r="AU13" s="359"/>
      <c r="AV13" s="359"/>
      <c r="AW13" s="359"/>
      <c r="AX13" s="359"/>
      <c r="AY13" s="359"/>
      <c r="AZ13" s="359"/>
      <c r="BA13" s="359"/>
      <c r="BB13" s="359"/>
      <c r="BC13" s="359"/>
      <c r="BD13" s="359"/>
      <c r="BE13" s="359"/>
      <c r="BF13" s="359"/>
      <c r="BG13" s="359"/>
      <c r="BH13" s="359"/>
      <c r="BI13" s="359"/>
      <c r="BJ13" s="359"/>
      <c r="BK13" s="359"/>
      <c r="BL13" s="359"/>
      <c r="BM13" s="359"/>
      <c r="BN13" s="359"/>
      <c r="BO13" s="359"/>
      <c r="BP13" s="359"/>
      <c r="BQ13" s="359"/>
      <c r="BR13" s="359"/>
      <c r="BS13" s="359"/>
      <c r="BT13" s="359"/>
      <c r="BU13" s="359"/>
      <c r="BV13" s="359"/>
      <c r="BW13" s="359"/>
    </row>
    <row r="14" spans="1:75" s="364" customFormat="1">
      <c r="A14" s="362">
        <v>5.3</v>
      </c>
      <c r="B14" s="346" t="s">
        <v>71</v>
      </c>
      <c r="C14" s="363">
        <f>C15+C16+C17+C18+C19+C20+C21</f>
        <v>14919147</v>
      </c>
      <c r="D14" s="363">
        <f>D15+D16+D17+D18+D19+D20+D21</f>
        <v>256104993</v>
      </c>
      <c r="E14" s="363">
        <f>E15+E16+E17+E18+E19+E20+E21</f>
        <v>228460323.94999999</v>
      </c>
      <c r="F14" s="363">
        <f>F15+F16+F17+F18+F19+F20+F21</f>
        <v>226171928.57999998</v>
      </c>
      <c r="G14" s="363">
        <f t="shared" ref="G14:N14" si="10">G15+G16+G17+G18+G19+G20+G21</f>
        <v>223405243.16999999</v>
      </c>
      <c r="H14" s="363">
        <f>H15+H16+H17+H18+H19+H20+H21</f>
        <v>2331874032.8499999</v>
      </c>
      <c r="I14" s="363">
        <f>I15+I16+I17+I18+I19+I20+I21</f>
        <v>221569820.13</v>
      </c>
      <c r="J14" s="363">
        <f t="shared" si="10"/>
        <v>222464209.19999999</v>
      </c>
      <c r="K14" s="363">
        <f t="shared" si="10"/>
        <v>223245400.72999999</v>
      </c>
      <c r="L14" s="363">
        <f t="shared" si="10"/>
        <v>229840129.76999998</v>
      </c>
      <c r="M14" s="363">
        <f t="shared" si="10"/>
        <v>230211425.69999999</v>
      </c>
      <c r="N14" s="363">
        <f t="shared" si="10"/>
        <v>242105443.44999999</v>
      </c>
      <c r="O14" s="363">
        <f>O15+O16+O17+O18+O19+O20+O21</f>
        <v>245365475.87</v>
      </c>
      <c r="P14" s="363">
        <f>P15+P16+P17+P18+P19+P20+P21</f>
        <v>254082815.80999997</v>
      </c>
      <c r="Q14" s="363">
        <f>Q15+Q16+Q17+Q18+Q19+Q20+Q21</f>
        <v>254082819</v>
      </c>
      <c r="R14" s="363">
        <f>R15+R16+R17+R18+R19+R20+R21</f>
        <v>259167008.68000001</v>
      </c>
      <c r="S14" s="363">
        <f t="shared" ref="S14:AD14" si="11">S15+S16+S17+S18+S19+S20+S21</f>
        <v>257017834.79999998</v>
      </c>
      <c r="T14" s="363">
        <f t="shared" si="11"/>
        <v>252860956.75999999</v>
      </c>
      <c r="U14" s="363">
        <f t="shared" si="11"/>
        <v>255067446.66</v>
      </c>
      <c r="V14" s="363">
        <f t="shared" si="11"/>
        <v>255637058.11999997</v>
      </c>
      <c r="W14" s="363">
        <f t="shared" si="11"/>
        <v>260016824.95999998</v>
      </c>
      <c r="X14" s="363">
        <f t="shared" si="11"/>
        <v>257784275.70999998</v>
      </c>
      <c r="Y14" s="363">
        <f t="shared" si="11"/>
        <v>262363265.67999998</v>
      </c>
      <c r="Z14" s="363">
        <f t="shared" si="11"/>
        <v>264020548.25999999</v>
      </c>
      <c r="AA14" s="363">
        <f t="shared" si="11"/>
        <v>102505637.28</v>
      </c>
      <c r="AB14" s="363">
        <f t="shared" si="11"/>
        <v>108193294.89</v>
      </c>
      <c r="AC14" s="363">
        <f t="shared" si="11"/>
        <v>116856338.40000001</v>
      </c>
      <c r="AD14" s="363">
        <f t="shared" si="11"/>
        <v>287768345</v>
      </c>
      <c r="AE14" s="363">
        <f t="shared" ref="AE14:BR14" si="12">AE15+AE16+AE17+AE18+AE19+AE20+AE21</f>
        <v>293419234.55000001</v>
      </c>
      <c r="AF14" s="363">
        <f t="shared" si="12"/>
        <v>293801086.85000002</v>
      </c>
      <c r="AG14" s="363">
        <f t="shared" si="12"/>
        <v>285324834.39999998</v>
      </c>
      <c r="AH14" s="363">
        <f t="shared" si="12"/>
        <v>287767987.14999998</v>
      </c>
      <c r="AI14" s="363">
        <f t="shared" si="12"/>
        <v>288521665.82999998</v>
      </c>
      <c r="AJ14" s="363">
        <f t="shared" si="12"/>
        <v>290879912.45000005</v>
      </c>
      <c r="AK14" s="363">
        <f t="shared" si="12"/>
        <v>586425971.16000009</v>
      </c>
      <c r="AL14" s="363">
        <f t="shared" si="12"/>
        <v>291349954.35000002</v>
      </c>
      <c r="AM14" s="363">
        <f t="shared" si="12"/>
        <v>304872273.38999999</v>
      </c>
      <c r="AN14" s="363">
        <f t="shared" si="12"/>
        <v>316551992.34000003</v>
      </c>
      <c r="AO14" s="363">
        <f t="shared" si="12"/>
        <v>322470816.41000003</v>
      </c>
      <c r="AP14" s="363">
        <f t="shared" si="12"/>
        <v>323207537</v>
      </c>
      <c r="AQ14" s="363">
        <f t="shared" si="12"/>
        <v>325954776.07000005</v>
      </c>
      <c r="AR14" s="363">
        <f t="shared" si="12"/>
        <v>324111837.20000005</v>
      </c>
      <c r="AS14" s="363">
        <f t="shared" si="12"/>
        <v>314114764.5</v>
      </c>
      <c r="AT14" s="363">
        <f t="shared" si="12"/>
        <v>315888933.11000001</v>
      </c>
      <c r="AU14" s="363">
        <f t="shared" si="12"/>
        <v>319069693.56000006</v>
      </c>
      <c r="AV14" s="363">
        <f t="shared" si="12"/>
        <v>319916036.86000001</v>
      </c>
      <c r="AW14" s="363">
        <f t="shared" si="12"/>
        <v>321391523.75</v>
      </c>
      <c r="AX14" s="363">
        <f t="shared" si="12"/>
        <v>323107006.65000004</v>
      </c>
      <c r="AY14" s="363">
        <f t="shared" si="12"/>
        <v>324501327.49000001</v>
      </c>
      <c r="AZ14" s="363">
        <f t="shared" si="12"/>
        <v>334332215.19000006</v>
      </c>
      <c r="BA14" s="363">
        <f t="shared" si="12"/>
        <v>337967905.25</v>
      </c>
      <c r="BB14" s="363">
        <f t="shared" si="12"/>
        <v>345941843.77000004</v>
      </c>
      <c r="BC14" s="363">
        <f t="shared" si="12"/>
        <v>343203033.72000003</v>
      </c>
      <c r="BD14" s="363">
        <f t="shared" si="12"/>
        <v>347636461.06</v>
      </c>
      <c r="BE14" s="363">
        <f t="shared" si="12"/>
        <v>346177456.52000004</v>
      </c>
      <c r="BF14" s="363">
        <f t="shared" si="12"/>
        <v>333790320.27000004</v>
      </c>
      <c r="BG14" s="363">
        <f t="shared" si="12"/>
        <v>336536531.02000004</v>
      </c>
      <c r="BH14" s="363">
        <f t="shared" si="12"/>
        <v>338988496.37</v>
      </c>
      <c r="BI14" s="363">
        <f t="shared" si="12"/>
        <v>340578631.64000005</v>
      </c>
      <c r="BJ14" s="363">
        <f t="shared" si="12"/>
        <v>346593845.60000002</v>
      </c>
      <c r="BK14" s="363">
        <f t="shared" si="12"/>
        <v>347669612.92000002</v>
      </c>
      <c r="BL14" s="363">
        <f t="shared" si="12"/>
        <v>349027101.63</v>
      </c>
      <c r="BM14" s="363">
        <f t="shared" si="12"/>
        <v>352735932.45999998</v>
      </c>
      <c r="BN14" s="363">
        <f t="shared" si="12"/>
        <v>355142303.88000005</v>
      </c>
      <c r="BO14" s="363">
        <f t="shared" si="12"/>
        <v>349910567.21000004</v>
      </c>
      <c r="BP14" s="363">
        <f t="shared" si="12"/>
        <v>366983456</v>
      </c>
      <c r="BQ14" s="363">
        <f t="shared" si="12"/>
        <v>0</v>
      </c>
      <c r="BR14" s="363">
        <f t="shared" si="12"/>
        <v>0</v>
      </c>
      <c r="BS14" s="363">
        <f t="shared" ref="BS14:BW14" si="13">BS15+BS16+BS17+BS18+BS19+BS20+BS21</f>
        <v>0</v>
      </c>
      <c r="BT14" s="363">
        <f t="shared" si="13"/>
        <v>0</v>
      </c>
      <c r="BU14" s="363">
        <f t="shared" si="13"/>
        <v>0</v>
      </c>
      <c r="BV14" s="363">
        <f t="shared" si="13"/>
        <v>0</v>
      </c>
      <c r="BW14" s="363">
        <f t="shared" si="13"/>
        <v>0</v>
      </c>
    </row>
    <row r="15" spans="1:75">
      <c r="A15" s="361" t="s">
        <v>72</v>
      </c>
      <c r="B15" s="365" t="s">
        <v>73</v>
      </c>
      <c r="C15" s="359">
        <f>'Evolutive SFP'!B39</f>
        <v>10494697</v>
      </c>
      <c r="D15" s="359">
        <f>'Evolutive SFP'!C39</f>
        <v>140665447</v>
      </c>
      <c r="E15" s="359">
        <f>'Evolutive SFP'!D39</f>
        <v>141254381.75</v>
      </c>
      <c r="F15" s="359">
        <f>'Evolutive SFP'!E39</f>
        <v>141798724.71000001</v>
      </c>
      <c r="G15" s="359">
        <f>'Evolutive SFP'!F39</f>
        <v>142412759.40000001</v>
      </c>
      <c r="H15" s="359">
        <f>'Evolutive SFP'!G27</f>
        <v>1137712140.6199999</v>
      </c>
      <c r="I15" s="359">
        <f>'Evolutive SFP'!H39</f>
        <v>143647732.24000001</v>
      </c>
      <c r="J15" s="359">
        <f>'Evolutive SFP'!I39</f>
        <v>144244738.03</v>
      </c>
      <c r="K15" s="359">
        <f>'Evolutive SFP'!J39</f>
        <v>144742971.71000001</v>
      </c>
      <c r="L15" s="359">
        <f>'Evolutive SFP'!K39</f>
        <v>145294302.69999999</v>
      </c>
      <c r="M15" s="359">
        <f>'Evolutive SFP'!L39</f>
        <v>146359757.47</v>
      </c>
      <c r="N15" s="359">
        <f>'Evolutive SFP'!M39</f>
        <v>154260050.71000001</v>
      </c>
      <c r="O15" s="359">
        <f>'Evolutive SFP'!N39</f>
        <v>155498451.99000001</v>
      </c>
      <c r="P15" s="359">
        <f>'Evolutive SFP'!O39</f>
        <v>156700171.75999999</v>
      </c>
      <c r="Q15" s="359">
        <f>'Evolutive SFP'!P39</f>
        <v>156700172</v>
      </c>
      <c r="R15" s="359">
        <f>'Evolutive SFP'!Q39</f>
        <v>158031466.09</v>
      </c>
      <c r="S15" s="359">
        <f>'Evolutive SFP'!R39</f>
        <v>159248740.00999999</v>
      </c>
      <c r="T15" s="359">
        <f>'Evolutive SFP'!S39</f>
        <v>160714923.49000001</v>
      </c>
      <c r="U15" s="359">
        <f>'Evolutive SFP'!T39</f>
        <v>162141252.30000001</v>
      </c>
      <c r="V15" s="359">
        <f>'Evolutive SFP'!U39</f>
        <v>163118219.94</v>
      </c>
      <c r="W15" s="359">
        <f>'Evolutive SFP'!V39</f>
        <v>164434119.02000001</v>
      </c>
      <c r="X15" s="359">
        <f>'Evolutive SFP'!W39</f>
        <v>165664416.97</v>
      </c>
      <c r="Y15" s="359">
        <f>'Evolutive SFP'!X39</f>
        <v>167112370.97</v>
      </c>
      <c r="Z15" s="359">
        <f>'Evolutive SFP'!Y39</f>
        <v>168298212</v>
      </c>
      <c r="AA15" s="359">
        <f>'Evolutive SFP'!Z39</f>
        <v>0</v>
      </c>
      <c r="AB15" s="359">
        <f>'Evolutive SFP'!AA39</f>
        <v>0</v>
      </c>
      <c r="AC15" s="359">
        <f>'Evolutive SFP'!AB39</f>
        <v>0</v>
      </c>
      <c r="AD15" s="359">
        <f>'Evolutive SFP'!AC39</f>
        <v>172698282</v>
      </c>
      <c r="AE15" s="359">
        <f>'Evolutive SFP'!AD39</f>
        <v>174143525</v>
      </c>
      <c r="AF15" s="359">
        <f>'Evolutive SFP'!AE39</f>
        <v>175727812.84999999</v>
      </c>
      <c r="AG15" s="359">
        <f>'Evolutive SFP'!AF39</f>
        <v>176245577.56</v>
      </c>
      <c r="AH15" s="359">
        <f>'Evolutive SFP'!AG39</f>
        <v>176750604.88999999</v>
      </c>
      <c r="AI15" s="359">
        <f>'Evolutive SFP'!AH39</f>
        <v>177219887.28</v>
      </c>
      <c r="AJ15" s="359">
        <f>'Evolutive SFP'!AI39</f>
        <v>177664029.03999999</v>
      </c>
      <c r="AK15" s="359">
        <f>'Evolutive SFP'!AJ39</f>
        <v>357419110.57999998</v>
      </c>
      <c r="AL15" s="359">
        <f>'Evolutive SFP'!AK39</f>
        <v>179209261.5</v>
      </c>
      <c r="AM15" s="359">
        <f>'Evolutive SFP'!AL39</f>
        <v>188131876.41</v>
      </c>
      <c r="AN15" s="359">
        <f>'Evolutive SFP'!AM39</f>
        <v>188671227.61000001</v>
      </c>
      <c r="AO15" s="359">
        <f>'Evolutive SFP'!AN39</f>
        <v>188369039.46000001</v>
      </c>
      <c r="AP15" s="359">
        <f>'Evolutive SFP'!AO39</f>
        <v>188369039</v>
      </c>
      <c r="AQ15" s="359">
        <f>'Evolutive SFP'!AP39</f>
        <v>188821977.69</v>
      </c>
      <c r="AR15" s="359">
        <f>'Evolutive SFP'!AQ39</f>
        <v>189196268.03</v>
      </c>
      <c r="AS15" s="359">
        <f>'Evolutive SFP'!AR39</f>
        <v>189997778.78999999</v>
      </c>
      <c r="AT15" s="359">
        <f>'Evolutive SFP'!AS39</f>
        <v>191175041.00999999</v>
      </c>
      <c r="AU15" s="359">
        <f>'Evolutive SFP'!AT39</f>
        <v>192088477.11000001</v>
      </c>
      <c r="AV15" s="359">
        <f>'Evolutive SFP'!AU39</f>
        <v>192925519.96000001</v>
      </c>
      <c r="AW15" s="359">
        <f>'Evolutive SFP'!AV39</f>
        <v>193586256.53</v>
      </c>
      <c r="AX15" s="359">
        <f>'Evolutive SFP'!AW39</f>
        <v>194124798.27000001</v>
      </c>
      <c r="AY15" s="359">
        <f>'Evolutive SFP'!AX39</f>
        <v>194715722.78</v>
      </c>
      <c r="AZ15" s="359">
        <f>'Evolutive SFP'!AY39</f>
        <v>201232394.75</v>
      </c>
      <c r="BA15" s="359">
        <f>'Evolutive SFP'!AZ39</f>
        <v>201852563.50999999</v>
      </c>
      <c r="BB15" s="359">
        <f>'Evolutive SFP'!BA39</f>
        <v>202568436.62</v>
      </c>
      <c r="BC15" s="359">
        <f>'Evolutive SFP'!BB39</f>
        <v>202568436.62</v>
      </c>
      <c r="BD15" s="359">
        <f>'Evolutive SFP'!BC39</f>
        <v>203367322.74000001</v>
      </c>
      <c r="BE15" s="359">
        <f>'Evolutive SFP'!BD39</f>
        <v>204016774.34999999</v>
      </c>
      <c r="BF15" s="359">
        <f>'Evolutive SFP'!BE39</f>
        <v>205429655.58000001</v>
      </c>
      <c r="BG15" s="359">
        <f>'Evolutive SFP'!BF39</f>
        <v>206351776.5</v>
      </c>
      <c r="BH15" s="359">
        <f>'Evolutive SFP'!BG39</f>
        <v>207480238.38</v>
      </c>
      <c r="BI15" s="359">
        <f>'Evolutive SFP'!BH39</f>
        <v>208408190.75</v>
      </c>
      <c r="BJ15" s="359">
        <f>'Evolutive SFP'!BI39</f>
        <v>212612105.33000001</v>
      </c>
      <c r="BK15" s="359">
        <f>'Evolutive SFP'!BJ39</f>
        <v>213402875.44</v>
      </c>
      <c r="BL15" s="359">
        <f>'Evolutive SFP'!BK39</f>
        <v>214291430.75</v>
      </c>
      <c r="BM15" s="359">
        <f>'Evolutive SFP'!BL39</f>
        <v>215081078.81999999</v>
      </c>
      <c r="BN15" s="359">
        <f>'Evolutive SFP'!BM39</f>
        <v>216105362.46000001</v>
      </c>
      <c r="BO15" s="359">
        <f>'Evolutive SFP'!BN39</f>
        <v>217120314.03999999</v>
      </c>
      <c r="BP15" s="359">
        <f>'Evolutive SFP'!BO39</f>
        <v>217120114</v>
      </c>
      <c r="BQ15" s="359">
        <f>'Evolutive SFP'!BQ39</f>
        <v>0</v>
      </c>
      <c r="BR15" s="359">
        <f>'Evolutive SFP'!BR39</f>
        <v>0</v>
      </c>
      <c r="BS15" s="359">
        <f>'Evolutive SFP'!BS39</f>
        <v>0</v>
      </c>
      <c r="BT15" s="359">
        <f>'Evolutive SFP'!BT39</f>
        <v>0</v>
      </c>
      <c r="BU15" s="359">
        <f>'Evolutive SFP'!BU39</f>
        <v>0</v>
      </c>
      <c r="BV15" s="359">
        <f>'Evolutive SFP'!BV39</f>
        <v>0</v>
      </c>
      <c r="BW15" s="359">
        <f>'Evolutive SFP'!BW39</f>
        <v>0</v>
      </c>
    </row>
    <row r="16" spans="1:75">
      <c r="A16" s="361" t="s">
        <v>74</v>
      </c>
      <c r="B16" s="366" t="s">
        <v>75</v>
      </c>
      <c r="C16" s="359"/>
      <c r="D16" s="359"/>
      <c r="E16" s="359"/>
      <c r="F16" s="359"/>
      <c r="G16" s="359"/>
      <c r="H16" s="359"/>
      <c r="I16" s="359"/>
      <c r="J16" s="359"/>
      <c r="K16" s="359"/>
      <c r="L16" s="359"/>
      <c r="M16" s="359"/>
      <c r="N16" s="359"/>
      <c r="O16" s="359"/>
      <c r="P16" s="359"/>
      <c r="Q16" s="359"/>
      <c r="R16" s="359"/>
      <c r="S16" s="359"/>
      <c r="T16" s="359"/>
      <c r="U16" s="359"/>
      <c r="V16" s="359"/>
      <c r="W16" s="359"/>
      <c r="X16" s="359"/>
      <c r="Y16" s="359"/>
      <c r="Z16" s="359"/>
      <c r="AA16" s="359"/>
      <c r="AB16" s="359"/>
      <c r="AC16" s="359"/>
      <c r="AD16" s="359"/>
      <c r="AE16" s="359"/>
      <c r="AF16" s="359"/>
      <c r="AG16" s="359"/>
      <c r="AH16" s="359"/>
      <c r="AI16" s="359"/>
      <c r="AJ16" s="359"/>
      <c r="AK16" s="359"/>
      <c r="AL16" s="359"/>
      <c r="AM16" s="359"/>
      <c r="AN16" s="359"/>
      <c r="AO16" s="359"/>
      <c r="AP16" s="359"/>
      <c r="AQ16" s="359"/>
      <c r="AR16" s="359"/>
      <c r="AS16" s="359"/>
      <c r="AT16" s="359"/>
      <c r="AU16" s="359"/>
      <c r="AV16" s="359"/>
      <c r="AW16" s="359"/>
      <c r="AX16" s="359"/>
      <c r="AY16" s="359"/>
      <c r="AZ16" s="359"/>
      <c r="BA16" s="359"/>
      <c r="BB16" s="359"/>
      <c r="BC16" s="359"/>
      <c r="BD16" s="359"/>
      <c r="BE16" s="359"/>
      <c r="BF16" s="359"/>
      <c r="BG16" s="359"/>
      <c r="BH16" s="359"/>
      <c r="BI16" s="359"/>
      <c r="BJ16" s="359"/>
      <c r="BK16" s="359"/>
      <c r="BL16" s="359"/>
      <c r="BM16" s="359"/>
      <c r="BN16" s="359"/>
      <c r="BO16" s="359"/>
      <c r="BP16" s="359"/>
      <c r="BQ16" s="359"/>
      <c r="BR16" s="359"/>
      <c r="BS16" s="359"/>
      <c r="BT16" s="359"/>
      <c r="BU16" s="359"/>
      <c r="BV16" s="359"/>
      <c r="BW16" s="359"/>
    </row>
    <row r="17" spans="1:75">
      <c r="A17" s="361" t="s">
        <v>76</v>
      </c>
      <c r="B17" s="360" t="s">
        <v>77</v>
      </c>
      <c r="C17" s="359">
        <f>'Evolutive SFP'!B41</f>
        <v>351220</v>
      </c>
      <c r="D17" s="359">
        <f>'Evolutive SFP'!C41</f>
        <v>14978344</v>
      </c>
      <c r="E17" s="359">
        <f>'Evolutive SFP'!D41</f>
        <v>27664229.100000001</v>
      </c>
      <c r="F17" s="359">
        <f>'Evolutive SFP'!E41</f>
        <v>20813817.100000001</v>
      </c>
      <c r="G17" s="359">
        <f>'Evolutive SFP'!F41</f>
        <v>20813817.100000001</v>
      </c>
      <c r="H17" s="359">
        <f>'Evolutive SFP'!G29</f>
        <v>99792072.200000003</v>
      </c>
      <c r="I17" s="359">
        <f>'Evolutive SFP'!H41</f>
        <v>20813817.100000001</v>
      </c>
      <c r="J17" s="359">
        <f>'Evolutive SFP'!I41</f>
        <v>20813817.100000001</v>
      </c>
      <c r="K17" s="359">
        <f>'Evolutive SFP'!J41</f>
        <v>20813817.100000001</v>
      </c>
      <c r="L17" s="359">
        <f>'Evolutive SFP'!K41</f>
        <v>20813817.100000001</v>
      </c>
      <c r="M17" s="359">
        <f>'Evolutive SFP'!L41</f>
        <v>20813817.100000001</v>
      </c>
      <c r="N17" s="359">
        <f>'Evolutive SFP'!M41</f>
        <v>20813817.100000001</v>
      </c>
      <c r="O17" s="359">
        <f>'Evolutive SFP'!N41</f>
        <v>20813817.100000001</v>
      </c>
      <c r="P17" s="359">
        <f>'Evolutive SFP'!O41</f>
        <v>20813817.100000001</v>
      </c>
      <c r="Q17" s="359">
        <f>'Evolutive SFP'!P41</f>
        <v>20813820</v>
      </c>
      <c r="R17" s="359">
        <f>'Evolutive SFP'!Q41</f>
        <v>44640847.950000003</v>
      </c>
      <c r="S17" s="359">
        <f>'Evolutive SFP'!R41</f>
        <v>33206439.949999999</v>
      </c>
      <c r="T17" s="359">
        <f>'Evolutive SFP'!S41</f>
        <v>33206439.949999999</v>
      </c>
      <c r="U17" s="359">
        <f>'Evolutive SFP'!T41</f>
        <v>33206439.949999999</v>
      </c>
      <c r="V17" s="359">
        <f>'Evolutive SFP'!U41</f>
        <v>33206439.949999999</v>
      </c>
      <c r="W17" s="359">
        <f>'Evolutive SFP'!V41</f>
        <v>33206439.949999999</v>
      </c>
      <c r="X17" s="359">
        <f>'Evolutive SFP'!W41</f>
        <v>33206439.949999999</v>
      </c>
      <c r="Y17" s="359">
        <f>'Evolutive SFP'!X41</f>
        <v>33206439.949999999</v>
      </c>
      <c r="Z17" s="359">
        <f>'Evolutive SFP'!Y41</f>
        <v>33206439.949999999</v>
      </c>
      <c r="AA17" s="359">
        <f>'Evolutive SFP'!Z41</f>
        <v>7594989.1799999997</v>
      </c>
      <c r="AB17" s="359">
        <f>'Evolutive SFP'!AA41</f>
        <v>13282646.789999999</v>
      </c>
      <c r="AC17" s="359">
        <f>'Evolutive SFP'!AB41</f>
        <v>21945690.300000001</v>
      </c>
      <c r="AD17" s="359">
        <f>'Evolutive SFP'!AC41</f>
        <v>33206443</v>
      </c>
      <c r="AE17" s="359">
        <f>'Evolutive SFP'!AD41</f>
        <v>57730843.890000001</v>
      </c>
      <c r="AF17" s="359">
        <f>'Evolutive SFP'!AE41</f>
        <v>44826109.890000001</v>
      </c>
      <c r="AG17" s="359">
        <f>'Evolutive SFP'!AF41</f>
        <v>44826109.890000001</v>
      </c>
      <c r="AH17" s="359">
        <f>'Evolutive SFP'!AG41</f>
        <v>44826109.890000001</v>
      </c>
      <c r="AI17" s="359">
        <f>'Evolutive SFP'!AH41</f>
        <v>44825388.850000001</v>
      </c>
      <c r="AJ17" s="359">
        <f>'Evolutive SFP'!AI41</f>
        <v>44822490.850000001</v>
      </c>
      <c r="AK17" s="359">
        <f>'Evolutive SFP'!AJ41</f>
        <v>89644981.700000003</v>
      </c>
      <c r="AL17" s="359">
        <f>'Evolutive SFP'!AK41</f>
        <v>44822490.850000001</v>
      </c>
      <c r="AM17" s="359">
        <f>'Evolutive SFP'!AL41</f>
        <v>44822490.850000001</v>
      </c>
      <c r="AN17" s="359">
        <f>'Evolutive SFP'!AM41</f>
        <v>44822490.850000001</v>
      </c>
      <c r="AO17" s="359">
        <f>'Evolutive SFP'!AN41</f>
        <v>44822490.850000001</v>
      </c>
      <c r="AP17" s="359">
        <f>'Evolutive SFP'!AO41</f>
        <v>44825378</v>
      </c>
      <c r="AQ17" s="359">
        <f>'Evolutive SFP'!AP41</f>
        <v>72593813.189999998</v>
      </c>
      <c r="AR17" s="359">
        <f>'Evolutive SFP'!AQ41</f>
        <v>53317385.189999998</v>
      </c>
      <c r="AS17" s="359">
        <f>'Evolutive SFP'!AR41</f>
        <v>53317385.189999998</v>
      </c>
      <c r="AT17" s="359">
        <f>'Evolutive SFP'!AS41</f>
        <v>53317385.189999998</v>
      </c>
      <c r="AU17" s="359">
        <f>'Evolutive SFP'!AT41</f>
        <v>53317385.189999998</v>
      </c>
      <c r="AV17" s="359">
        <f>'Evolutive SFP'!AU41</f>
        <v>53317385.189999998</v>
      </c>
      <c r="AW17" s="359">
        <f>'Evolutive SFP'!AV41</f>
        <v>53317385.189999998</v>
      </c>
      <c r="AX17" s="359">
        <f>'Evolutive SFP'!AW41</f>
        <v>53317385.189999998</v>
      </c>
      <c r="AY17" s="359">
        <f>'Evolutive SFP'!AX41</f>
        <v>53317377.189999998</v>
      </c>
      <c r="AZ17" s="359">
        <f>'Evolutive SFP'!AY41</f>
        <v>53317377.189999998</v>
      </c>
      <c r="BA17" s="359">
        <f>'Evolutive SFP'!AZ41</f>
        <v>53317377.189999998</v>
      </c>
      <c r="BB17" s="359">
        <f>'Evolutive SFP'!BA41</f>
        <v>53317372.850000001</v>
      </c>
      <c r="BC17" s="359">
        <f>'Evolutive SFP'!BB41</f>
        <v>53317384</v>
      </c>
      <c r="BD17" s="359">
        <f>'Evolutive SFP'!BC41</f>
        <v>75638698.390000001</v>
      </c>
      <c r="BE17" s="359">
        <f>'Evolutive SFP'!BD41</f>
        <v>72899349.280000001</v>
      </c>
      <c r="BF17" s="359">
        <f>'Evolutive SFP'!BE41</f>
        <v>54195789.960000001</v>
      </c>
      <c r="BG17" s="359">
        <f>'Evolutive SFP'!BF41</f>
        <v>54195789.960000001</v>
      </c>
      <c r="BH17" s="359">
        <f>'Evolutive SFP'!BG41</f>
        <v>54195789.960000001</v>
      </c>
      <c r="BI17" s="359">
        <f>'Evolutive SFP'!BH41</f>
        <v>54195789.960000001</v>
      </c>
      <c r="BJ17" s="359">
        <f>'Evolutive SFP'!BI41</f>
        <v>54195789.960000001</v>
      </c>
      <c r="BK17" s="359">
        <f>'Evolutive SFP'!BJ41</f>
        <v>54195789.960000001</v>
      </c>
      <c r="BL17" s="359">
        <f>'Evolutive SFP'!BK41</f>
        <v>54148616.159999996</v>
      </c>
      <c r="BM17" s="359">
        <f>'Evolutive SFP'!BL41</f>
        <v>54195789.960000001</v>
      </c>
      <c r="BN17" s="359">
        <f>'Evolutive SFP'!BM41</f>
        <v>54195789.960000001</v>
      </c>
      <c r="BO17" s="359">
        <f>'Evolutive SFP'!BN41</f>
        <v>32336456.960000001</v>
      </c>
      <c r="BP17" s="359">
        <f>'Evolutive SFP'!BO41</f>
        <v>54209976</v>
      </c>
      <c r="BQ17" s="359">
        <f>'Evolutive SFP'!BQ41</f>
        <v>0</v>
      </c>
      <c r="BR17" s="359">
        <f>'Evolutive SFP'!BR41</f>
        <v>0</v>
      </c>
      <c r="BS17" s="359">
        <f>'Evolutive SFP'!BS41</f>
        <v>0</v>
      </c>
      <c r="BT17" s="359">
        <f>'Evolutive SFP'!BT41</f>
        <v>0</v>
      </c>
      <c r="BU17" s="359">
        <f>'Evolutive SFP'!BU41</f>
        <v>0</v>
      </c>
      <c r="BV17" s="359">
        <f>'Evolutive SFP'!BV41</f>
        <v>0</v>
      </c>
      <c r="BW17" s="359">
        <f>'Evolutive SFP'!BW41</f>
        <v>0</v>
      </c>
    </row>
    <row r="18" spans="1:75">
      <c r="A18" s="361" t="s">
        <v>78</v>
      </c>
      <c r="B18" s="360" t="s">
        <v>79</v>
      </c>
      <c r="C18" s="359">
        <f>'Evolutive SFP'!B42</f>
        <v>3541956</v>
      </c>
      <c r="D18" s="359">
        <f>'Evolutive SFP'!C42</f>
        <v>5835476</v>
      </c>
      <c r="E18" s="359">
        <f>'Evolutive SFP'!D42</f>
        <v>9337095</v>
      </c>
      <c r="F18" s="359">
        <f>'Evolutive SFP'!E42</f>
        <v>6504356.6699999999</v>
      </c>
      <c r="G18" s="359">
        <f>'Evolutive SFP'!F42</f>
        <v>7436870.5700000003</v>
      </c>
      <c r="H18" s="359">
        <f>'Evolutive SFP'!G30</f>
        <v>275942440.27999997</v>
      </c>
      <c r="I18" s="359">
        <f>'Evolutive SFP'!H42</f>
        <v>4366474.6900000004</v>
      </c>
      <c r="J18" s="359">
        <f>'Evolutive SFP'!I42</f>
        <v>4663857.97</v>
      </c>
      <c r="K18" s="359">
        <f>'Evolutive SFP'!J42</f>
        <v>4946815.82</v>
      </c>
      <c r="L18" s="359">
        <f>'Evolutive SFP'!K42</f>
        <v>10990213.869999999</v>
      </c>
      <c r="M18" s="359">
        <f>'Evolutive SFP'!L42</f>
        <v>10296055.029999999</v>
      </c>
      <c r="N18" s="359">
        <f>'Evolutive SFP'!M42</f>
        <v>14289779.539999999</v>
      </c>
      <c r="O18" s="359">
        <f>'Evolutive SFP'!N42</f>
        <v>16311410.68</v>
      </c>
      <c r="P18" s="359">
        <f>'Evolutive SFP'!O42</f>
        <v>23827030.850000001</v>
      </c>
      <c r="Q18" s="359">
        <f>'Evolutive SFP'!P42</f>
        <v>13061625</v>
      </c>
      <c r="R18" s="359">
        <f>'Evolutive SFP'!Q42</f>
        <v>3752898.54</v>
      </c>
      <c r="S18" s="359">
        <f>'Evolutive SFP'!R42</f>
        <v>1222702.74</v>
      </c>
      <c r="T18" s="359">
        <f>'Evolutive SFP'!S42</f>
        <v>1599641.22</v>
      </c>
      <c r="U18" s="359">
        <f>'Evolutive SFP'!T42</f>
        <v>2379802.31</v>
      </c>
      <c r="V18" s="359">
        <f>'Evolutive SFP'!U42</f>
        <v>1972446.13</v>
      </c>
      <c r="W18" s="359">
        <f>'Evolutive SFP'!V42</f>
        <v>5036313.8899999997</v>
      </c>
      <c r="X18" s="359">
        <f>'Evolutive SFP'!W42</f>
        <v>1573466.69</v>
      </c>
      <c r="Y18" s="359">
        <f>'Evolutive SFP'!X42</f>
        <v>4704502.66</v>
      </c>
      <c r="Z18" s="359">
        <f>'Evolutive SFP'!Y42</f>
        <v>5175944.21</v>
      </c>
      <c r="AA18" s="359">
        <f>'Evolutive SFP'!Z42</f>
        <v>36468878</v>
      </c>
      <c r="AB18" s="359">
        <f>'Evolutive SFP'!AA42</f>
        <v>36468878</v>
      </c>
      <c r="AC18" s="359">
        <f>'Evolutive SFP'!AB42</f>
        <v>36468878</v>
      </c>
      <c r="AD18" s="359">
        <f>'Evolutive SFP'!AC42</f>
        <v>11618934</v>
      </c>
      <c r="AE18" s="359">
        <f>'Evolutive SFP'!AD42</f>
        <v>4204913.5599999996</v>
      </c>
      <c r="AF18" s="359">
        <f>'Evolutive SFP'!AE42</f>
        <v>3002478.01</v>
      </c>
      <c r="AG18" s="359">
        <f>'Evolutive SFP'!AF42</f>
        <v>2008460.85</v>
      </c>
      <c r="AH18" s="359">
        <f>'Evolutive SFP'!AG42</f>
        <v>3946586.27</v>
      </c>
      <c r="AI18" s="359">
        <f>'Evolutive SFP'!AH42</f>
        <v>4231703.5999999996</v>
      </c>
      <c r="AJ18" s="359">
        <f>'Evolutive SFP'!AI42</f>
        <v>6148706.46</v>
      </c>
      <c r="AK18" s="359">
        <f>'Evolutive SFP'!AJ42</f>
        <v>14872506.68</v>
      </c>
      <c r="AL18" s="359">
        <f>'Evolutive SFP'!AK42</f>
        <v>5073515.9000000004</v>
      </c>
      <c r="AM18" s="359">
        <f>'Evolutive SFP'!AL42</f>
        <v>9673220.0299999993</v>
      </c>
      <c r="AN18" s="359">
        <f>'Evolutive SFP'!AM42</f>
        <v>20813587.780000001</v>
      </c>
      <c r="AO18" s="359">
        <f>'Evolutive SFP'!AN42</f>
        <v>27034600</v>
      </c>
      <c r="AP18" s="359">
        <f>'Evolutive SFP'!AO42</f>
        <v>8748957</v>
      </c>
      <c r="AQ18" s="359">
        <f>'Evolutive SFP'!AP42</f>
        <v>2294299.09</v>
      </c>
      <c r="AR18" s="359">
        <f>'Evolutive SFP'!AQ42</f>
        <v>398257.88</v>
      </c>
      <c r="AS18" s="359">
        <f>'Evolutive SFP'!AR42</f>
        <v>3064887.42</v>
      </c>
      <c r="AT18" s="359">
        <f>'Evolutive SFP'!AS42</f>
        <v>3661793.81</v>
      </c>
      <c r="AU18" s="359">
        <f>'Evolutive SFP'!AT42</f>
        <v>5850402.5599999996</v>
      </c>
      <c r="AV18" s="359">
        <f>'Evolutive SFP'!AU42</f>
        <v>5938418.6100000003</v>
      </c>
      <c r="AW18" s="359">
        <f>'Evolutive SFP'!AV42</f>
        <v>6753168.9299999997</v>
      </c>
      <c r="AX18" s="359">
        <f>'Evolutive SFP'!AW42</f>
        <v>7930110.0899999999</v>
      </c>
      <c r="AY18" s="359">
        <f>'Evolutive SFP'!AX42</f>
        <v>8733514.4199999999</v>
      </c>
      <c r="AZ18" s="359">
        <f>'Evolutive SFP'!AY42</f>
        <v>12047730.15</v>
      </c>
      <c r="BA18" s="359">
        <f>'Evolutive SFP'!AZ42</f>
        <v>15063251.449999999</v>
      </c>
      <c r="BB18" s="359">
        <f>'Evolutive SFP'!BA42</f>
        <v>22321321.199999999</v>
      </c>
      <c r="BC18" s="359">
        <f>'Evolutive SFP'!BB42</f>
        <v>878407</v>
      </c>
      <c r="BD18" s="359">
        <f>'Evolutive SFP'!BC42</f>
        <v>895726.83</v>
      </c>
      <c r="BE18" s="359">
        <f>'Evolutive SFP'!BD42</f>
        <v>1526619.79</v>
      </c>
      <c r="BF18" s="359">
        <f>'Evolutive SFP'!BE42</f>
        <v>2513660.63</v>
      </c>
      <c r="BG18" s="359">
        <f>'Evolutive SFP'!BF42</f>
        <v>4337750.46</v>
      </c>
      <c r="BH18" s="359">
        <f>'Evolutive SFP'!BG42</f>
        <v>5661253.9299999997</v>
      </c>
      <c r="BI18" s="359">
        <f>'Evolutive SFP'!BH42</f>
        <v>6323436.8300000001</v>
      </c>
      <c r="BJ18" s="359">
        <f>'Evolutive SFP'!BI42</f>
        <v>8134736.21</v>
      </c>
      <c r="BK18" s="359">
        <f>'Evolutive SFP'!BJ42</f>
        <v>8419733.4199999999</v>
      </c>
      <c r="BL18" s="359">
        <f>'Evolutive SFP'!BK42</f>
        <v>8935840.6199999992</v>
      </c>
      <c r="BM18" s="359">
        <f>'Evolutive SFP'!BL42</f>
        <v>11807849.58</v>
      </c>
      <c r="BN18" s="359">
        <f>'Evolutive SFP'!BM42</f>
        <v>13189937.359999999</v>
      </c>
      <c r="BO18" s="359">
        <f>'Evolutive SFP'!BN42</f>
        <v>24002152.109999999</v>
      </c>
      <c r="BP18" s="359">
        <f>'Evolutive SFP'!BO42</f>
        <v>19201722</v>
      </c>
      <c r="BQ18" s="359">
        <f>'Evolutive SFP'!BQ42</f>
        <v>0</v>
      </c>
      <c r="BR18" s="359">
        <f>'Evolutive SFP'!BR42</f>
        <v>0</v>
      </c>
      <c r="BS18" s="359">
        <f>'Evolutive SFP'!BS42</f>
        <v>0</v>
      </c>
      <c r="BT18" s="359">
        <f>'Evolutive SFP'!BT42</f>
        <v>0</v>
      </c>
      <c r="BU18" s="359">
        <f>'Evolutive SFP'!BU42</f>
        <v>0</v>
      </c>
      <c r="BV18" s="359">
        <f>'Evolutive SFP'!BV42</f>
        <v>0</v>
      </c>
      <c r="BW18" s="359">
        <f>'Evolutive SFP'!BW42</f>
        <v>0</v>
      </c>
    </row>
    <row r="19" spans="1:75">
      <c r="A19" s="361" t="s">
        <v>80</v>
      </c>
      <c r="B19" s="360" t="s">
        <v>81</v>
      </c>
      <c r="C19" s="359">
        <f>'Evolutive SFP'!B43</f>
        <v>531274</v>
      </c>
      <c r="D19" s="359">
        <f>'Evolutive SFP'!C43</f>
        <v>31870722</v>
      </c>
      <c r="E19" s="359">
        <f>'Evolutive SFP'!D43</f>
        <v>29333544</v>
      </c>
      <c r="F19" s="359">
        <f>'Evolutive SFP'!E43</f>
        <v>31870722</v>
      </c>
      <c r="G19" s="359">
        <f>'Evolutive SFP'!F43</f>
        <v>31870722</v>
      </c>
      <c r="H19" s="359">
        <f>'Evolutive SFP'!G31</f>
        <v>797556305.64999998</v>
      </c>
      <c r="I19" s="359">
        <f>'Evolutive SFP'!H43</f>
        <v>31870722</v>
      </c>
      <c r="J19" s="359">
        <f>'Evolutive SFP'!I43</f>
        <v>31870722</v>
      </c>
      <c r="K19" s="359">
        <f>'Evolutive SFP'!J43</f>
        <v>31870722</v>
      </c>
      <c r="L19" s="359">
        <f>'Evolutive SFP'!K43</f>
        <v>31870722</v>
      </c>
      <c r="M19" s="359">
        <f>'Evolutive SFP'!L43</f>
        <v>31870722</v>
      </c>
      <c r="N19" s="359">
        <f>'Evolutive SFP'!M43</f>
        <v>31870722</v>
      </c>
      <c r="O19" s="359">
        <f>'Evolutive SFP'!N43</f>
        <v>31870722</v>
      </c>
      <c r="P19" s="359">
        <f>'Evolutive SFP'!O43</f>
        <v>31870722</v>
      </c>
      <c r="Q19" s="359">
        <f>'Evolutive SFP'!P43</f>
        <v>36636128</v>
      </c>
      <c r="R19" s="359">
        <f>'Evolutive SFP'!Q43</f>
        <v>31870722</v>
      </c>
      <c r="S19" s="359">
        <f>'Evolutive SFP'!R43</f>
        <v>36468878</v>
      </c>
      <c r="T19" s="359">
        <f>'Evolutive SFP'!S43</f>
        <v>36468878</v>
      </c>
      <c r="U19" s="359">
        <f>'Evolutive SFP'!T43</f>
        <v>36468878</v>
      </c>
      <c r="V19" s="359">
        <f>'Evolutive SFP'!U43</f>
        <v>36468878</v>
      </c>
      <c r="W19" s="359">
        <f>'Evolutive SFP'!V43</f>
        <v>36468878</v>
      </c>
      <c r="X19" s="359">
        <f>'Evolutive SFP'!W43</f>
        <v>36468878</v>
      </c>
      <c r="Y19" s="359">
        <f>'Evolutive SFP'!X43</f>
        <v>36468878</v>
      </c>
      <c r="Z19" s="359">
        <f>'Evolutive SFP'!Y43</f>
        <v>36468878</v>
      </c>
      <c r="AA19" s="359">
        <f>'Evolutive SFP'!Z43</f>
        <v>20871074.100000001</v>
      </c>
      <c r="AB19" s="359">
        <f>'Evolutive SFP'!AA43</f>
        <v>20871074.100000001</v>
      </c>
      <c r="AC19" s="359">
        <f>'Evolutive SFP'!AB43</f>
        <v>20871074.100000001</v>
      </c>
      <c r="AD19" s="359">
        <f>'Evolutive SFP'!AC43</f>
        <v>41373612</v>
      </c>
      <c r="AE19" s="359">
        <f>'Evolutive SFP'!AD43</f>
        <v>36468878</v>
      </c>
      <c r="AF19" s="359">
        <f>'Evolutive SFP'!AE43</f>
        <v>41373612</v>
      </c>
      <c r="AG19" s="359">
        <f>'Evolutive SFP'!AF43</f>
        <v>41373612</v>
      </c>
      <c r="AH19" s="359">
        <f>'Evolutive SFP'!AG43</f>
        <v>41373612</v>
      </c>
      <c r="AI19" s="359">
        <f>'Evolutive SFP'!AH43</f>
        <v>41373612</v>
      </c>
      <c r="AJ19" s="359">
        <f>'Evolutive SFP'!AI43</f>
        <v>41373612</v>
      </c>
      <c r="AK19" s="359">
        <f>'Evolutive SFP'!AJ43</f>
        <v>82747224</v>
      </c>
      <c r="AL19" s="359">
        <f>'Evolutive SFP'!AK43</f>
        <v>41373612</v>
      </c>
      <c r="AM19" s="359">
        <f>'Evolutive SFP'!AL43</f>
        <v>41373612</v>
      </c>
      <c r="AN19" s="359">
        <f>'Evolutive SFP'!AM43</f>
        <v>41373612</v>
      </c>
      <c r="AO19" s="359">
        <f>'Evolutive SFP'!AN43</f>
        <v>41373612</v>
      </c>
      <c r="AP19" s="359">
        <f>'Evolutive SFP'!AO43</f>
        <v>46927876</v>
      </c>
      <c r="AQ19" s="359">
        <f>'Evolutive SFP'!AP43</f>
        <v>41373612</v>
      </c>
      <c r="AR19" s="359">
        <f>'Evolutive SFP'!AQ43</f>
        <v>46863639</v>
      </c>
      <c r="AS19" s="359">
        <f>'Evolutive SFP'!AR43</f>
        <v>46863639</v>
      </c>
      <c r="AT19" s="359">
        <f>'Evolutive SFP'!AS43</f>
        <v>46863639</v>
      </c>
      <c r="AU19" s="359">
        <f>'Evolutive SFP'!AT43</f>
        <v>46863639</v>
      </c>
      <c r="AV19" s="359">
        <f>'Evolutive SFP'!AU43</f>
        <v>46863639</v>
      </c>
      <c r="AW19" s="359">
        <f>'Evolutive SFP'!AV43</f>
        <v>46863639</v>
      </c>
      <c r="AX19" s="359">
        <f>'Evolutive SFP'!AW43</f>
        <v>46863639</v>
      </c>
      <c r="AY19" s="359">
        <f>'Evolutive SFP'!AX43</f>
        <v>46863639</v>
      </c>
      <c r="AZ19" s="359">
        <f>'Evolutive SFP'!AY43</f>
        <v>46863639</v>
      </c>
      <c r="BA19" s="359">
        <f>'Evolutive SFP'!AZ43</f>
        <v>46863639</v>
      </c>
      <c r="BB19" s="359">
        <f>'Evolutive SFP'!BA43</f>
        <v>46863639</v>
      </c>
      <c r="BC19" s="359">
        <f>'Evolutive SFP'!BB43</f>
        <v>50780140</v>
      </c>
      <c r="BD19" s="359">
        <f>'Evolutive SFP'!BC43</f>
        <v>46863639</v>
      </c>
      <c r="BE19" s="359">
        <f>'Evolutive SFP'!BD43</f>
        <v>46863639</v>
      </c>
      <c r="BF19" s="359">
        <f>'Evolutive SFP'!BE43</f>
        <v>50780140</v>
      </c>
      <c r="BG19" s="359">
        <f>'Evolutive SFP'!BF43</f>
        <v>50780140</v>
      </c>
      <c r="BH19" s="359">
        <f>'Evolutive SFP'!BG43</f>
        <v>50780140</v>
      </c>
      <c r="BI19" s="359">
        <f>'Evolutive SFP'!BH43</f>
        <v>50780140</v>
      </c>
      <c r="BJ19" s="359">
        <f>'Evolutive SFP'!BI43</f>
        <v>50780140</v>
      </c>
      <c r="BK19" s="359">
        <f>'Evolutive SFP'!BJ43</f>
        <v>50780140</v>
      </c>
      <c r="BL19" s="359">
        <f>'Evolutive SFP'!BK43</f>
        <v>50780140</v>
      </c>
      <c r="BM19" s="359">
        <f>'Evolutive SFP'!BL43</f>
        <v>50780140</v>
      </c>
      <c r="BN19" s="359">
        <f>'Evolutive SFP'!BM43</f>
        <v>50780140</v>
      </c>
      <c r="BO19" s="359">
        <f>'Evolutive SFP'!BN43</f>
        <v>55580570</v>
      </c>
      <c r="BP19" s="359">
        <f>'Evolutive SFP'!BO43</f>
        <v>55580570</v>
      </c>
      <c r="BQ19" s="359">
        <f>'Evolutive SFP'!BQ43</f>
        <v>0</v>
      </c>
      <c r="BR19" s="359">
        <f>'Evolutive SFP'!BR43</f>
        <v>0</v>
      </c>
      <c r="BS19" s="359">
        <f>'Evolutive SFP'!BS43</f>
        <v>0</v>
      </c>
      <c r="BT19" s="359">
        <f>'Evolutive SFP'!BT43</f>
        <v>0</v>
      </c>
      <c r="BU19" s="359">
        <f>'Evolutive SFP'!BU43</f>
        <v>0</v>
      </c>
      <c r="BV19" s="359">
        <f>'Evolutive SFP'!BV43</f>
        <v>0</v>
      </c>
      <c r="BW19" s="359">
        <f>'Evolutive SFP'!BW43</f>
        <v>0</v>
      </c>
    </row>
    <row r="20" spans="1:75">
      <c r="A20" s="361" t="s">
        <v>82</v>
      </c>
      <c r="B20" s="360" t="s">
        <v>83</v>
      </c>
      <c r="C20" s="359">
        <f>('Evolutive SFP'!B44)</f>
        <v>0</v>
      </c>
      <c r="D20" s="359">
        <f>('Evolutive SFP'!C44)</f>
        <v>58441770</v>
      </c>
      <c r="E20" s="359">
        <f>('Evolutive SFP'!D44)</f>
        <v>20871074.100000001</v>
      </c>
      <c r="F20" s="359">
        <f>('Evolutive SFP'!E44)</f>
        <v>20871074.100000001</v>
      </c>
      <c r="G20" s="359">
        <f>('Evolutive SFP'!F44)</f>
        <v>20871074.100000001</v>
      </c>
      <c r="H20" s="359">
        <f>('Evolutive SFP'!G44)</f>
        <v>20871074.100000001</v>
      </c>
      <c r="I20" s="359">
        <f>('Evolutive SFP'!H44)</f>
        <v>20871074.100000001</v>
      </c>
      <c r="J20" s="359">
        <f>('Evolutive SFP'!I44)</f>
        <v>20871074.100000001</v>
      </c>
      <c r="K20" s="359">
        <f>('Evolutive SFP'!J44)</f>
        <v>20871074.100000001</v>
      </c>
      <c r="L20" s="359">
        <f>('Evolutive SFP'!K44)</f>
        <v>20871074.100000001</v>
      </c>
      <c r="M20" s="359">
        <f>('Evolutive SFP'!L44)</f>
        <v>20871074.100000001</v>
      </c>
      <c r="N20" s="359">
        <f>('Evolutive SFP'!M44)</f>
        <v>20871074.100000001</v>
      </c>
      <c r="O20" s="359">
        <f>('Evolutive SFP'!N44)</f>
        <v>20871074.100000001</v>
      </c>
      <c r="P20" s="359">
        <f>('Evolutive SFP'!O44)</f>
        <v>20871074.100000001</v>
      </c>
      <c r="Q20" s="359">
        <f>('Evolutive SFP'!P44)</f>
        <v>20871074</v>
      </c>
      <c r="R20" s="359">
        <f>('Evolutive SFP'!Q44)</f>
        <v>20871074.100000001</v>
      </c>
      <c r="S20" s="359">
        <f>('Evolutive SFP'!R44)</f>
        <v>20871074.100000001</v>
      </c>
      <c r="T20" s="359">
        <f>('Evolutive SFP'!S44)</f>
        <v>20871074.100000001</v>
      </c>
      <c r="U20" s="359">
        <f>('Evolutive SFP'!T44)</f>
        <v>20871074.100000001</v>
      </c>
      <c r="V20" s="359">
        <f>('Evolutive SFP'!U44)</f>
        <v>20871074.100000001</v>
      </c>
      <c r="W20" s="359">
        <f>('Evolutive SFP'!V44)</f>
        <v>20871074.100000001</v>
      </c>
      <c r="X20" s="359">
        <f>('Evolutive SFP'!W44)</f>
        <v>20871074.100000001</v>
      </c>
      <c r="Y20" s="359">
        <f>('Evolutive SFP'!X44)</f>
        <v>20871074.100000001</v>
      </c>
      <c r="Z20" s="359">
        <f>('Evolutive SFP'!Y44)</f>
        <v>20871074.100000001</v>
      </c>
      <c r="AA20" s="359">
        <f>('Evolutive SFP'!Z44)</f>
        <v>37570696</v>
      </c>
      <c r="AB20" s="359">
        <f>('Evolutive SFP'!AA44)</f>
        <v>37570696</v>
      </c>
      <c r="AC20" s="359">
        <f>('Evolutive SFP'!AB44)</f>
        <v>37570696</v>
      </c>
      <c r="AD20" s="359">
        <f>('Evolutive SFP'!AC44)</f>
        <v>20871074</v>
      </c>
      <c r="AE20" s="359">
        <f>('Evolutive SFP'!AD44)</f>
        <v>20871074.100000001</v>
      </c>
      <c r="AF20" s="359">
        <f>('Evolutive SFP'!AE44)</f>
        <v>20871074.100000001</v>
      </c>
      <c r="AG20" s="359">
        <f>('Evolutive SFP'!AF44)</f>
        <v>20871074.100000001</v>
      </c>
      <c r="AH20" s="359">
        <f>('Evolutive SFP'!AG44)</f>
        <v>20871074.100000001</v>
      </c>
      <c r="AI20" s="359">
        <f>('Evolutive SFP'!AH44)</f>
        <v>20871074.100000001</v>
      </c>
      <c r="AJ20" s="359">
        <f>('Evolutive SFP'!AI44)</f>
        <v>20871074.100000001</v>
      </c>
      <c r="AK20" s="359">
        <f>('Evolutive SFP'!AJ44)</f>
        <v>41742148.200000003</v>
      </c>
      <c r="AL20" s="359">
        <f>('Evolutive SFP'!AK44)</f>
        <v>20871074.100000001</v>
      </c>
      <c r="AM20" s="359">
        <f>('Evolutive SFP'!AL44)</f>
        <v>20871074.100000001</v>
      </c>
      <c r="AN20" s="359">
        <f>('Evolutive SFP'!AM44)</f>
        <v>20871074.100000001</v>
      </c>
      <c r="AO20" s="359">
        <f>('Evolutive SFP'!AN44)</f>
        <v>20871074.100000001</v>
      </c>
      <c r="AP20" s="359">
        <f>('Evolutive SFP'!AO44)</f>
        <v>20871074</v>
      </c>
      <c r="AQ20" s="359">
        <f>('Evolutive SFP'!AP44)</f>
        <v>20871074.100000001</v>
      </c>
      <c r="AR20" s="359">
        <f>('Evolutive SFP'!AQ44)</f>
        <v>20871074.100000001</v>
      </c>
      <c r="AS20" s="359">
        <f>('Evolutive SFP'!AR44)</f>
        <v>20871074.100000001</v>
      </c>
      <c r="AT20" s="359">
        <f>('Evolutive SFP'!AS44)</f>
        <v>20871074.100000001</v>
      </c>
      <c r="AU20" s="359">
        <f>('Evolutive SFP'!AT44)</f>
        <v>20871074.100000001</v>
      </c>
      <c r="AV20" s="359">
        <f>('Evolutive SFP'!AU44)</f>
        <v>20871074.100000001</v>
      </c>
      <c r="AW20" s="359">
        <f>('Evolutive SFP'!AV44)</f>
        <v>20871074.100000001</v>
      </c>
      <c r="AX20" s="359">
        <f>('Evolutive SFP'!AW44)</f>
        <v>20871074.100000001</v>
      </c>
      <c r="AY20" s="359">
        <f>('Evolutive SFP'!AX44)</f>
        <v>20871074.100000001</v>
      </c>
      <c r="AZ20" s="359">
        <f>('Evolutive SFP'!AY44)</f>
        <v>20871074.100000001</v>
      </c>
      <c r="BA20" s="359">
        <f>('Evolutive SFP'!AZ44)</f>
        <v>20871074.100000001</v>
      </c>
      <c r="BB20" s="359">
        <f>('Evolutive SFP'!BA44)</f>
        <v>20871074.100000001</v>
      </c>
      <c r="BC20" s="359">
        <f>('Evolutive SFP'!BB44)</f>
        <v>20871074.100000001</v>
      </c>
      <c r="BD20" s="359">
        <f>('Evolutive SFP'!BC44)</f>
        <v>20871074.100000001</v>
      </c>
      <c r="BE20" s="359">
        <f>('Evolutive SFP'!BD44)</f>
        <v>20871074.100000001</v>
      </c>
      <c r="BF20" s="359">
        <f>('Evolutive SFP'!BE44)</f>
        <v>20871074.100000001</v>
      </c>
      <c r="BG20" s="359">
        <f>('Evolutive SFP'!BF44)</f>
        <v>20871074.100000001</v>
      </c>
      <c r="BH20" s="359">
        <f>('Evolutive SFP'!BG44)</f>
        <v>20871074.100000001</v>
      </c>
      <c r="BI20" s="359">
        <f>('Evolutive SFP'!BH44)</f>
        <v>20871074.100000001</v>
      </c>
      <c r="BJ20" s="359">
        <f>('Evolutive SFP'!BI44)</f>
        <v>20871074.100000001</v>
      </c>
      <c r="BK20" s="359">
        <f>('Evolutive SFP'!BJ44)</f>
        <v>20871074.100000001</v>
      </c>
      <c r="BL20" s="359">
        <f>('Evolutive SFP'!BK44)</f>
        <v>20871074.100000001</v>
      </c>
      <c r="BM20" s="359">
        <f>('Evolutive SFP'!BL44)</f>
        <v>20871074.100000001</v>
      </c>
      <c r="BN20" s="359">
        <f>('Evolutive SFP'!BM44)</f>
        <v>20871074.100000001</v>
      </c>
      <c r="BO20" s="359">
        <f>('Evolutive SFP'!BN44)</f>
        <v>20871074.100000001</v>
      </c>
      <c r="BP20" s="359">
        <f>('Evolutive SFP'!BO44)</f>
        <v>20871074</v>
      </c>
      <c r="BQ20" s="359">
        <f>('Evolutive SFP'!BQ44)</f>
        <v>0</v>
      </c>
      <c r="BR20" s="359">
        <f>('Evolutive SFP'!BR44)</f>
        <v>0</v>
      </c>
      <c r="BS20" s="359">
        <f>('Evolutive SFP'!BS44)</f>
        <v>0</v>
      </c>
      <c r="BT20" s="359">
        <f>('Evolutive SFP'!BT44)</f>
        <v>0</v>
      </c>
      <c r="BU20" s="359">
        <f>('Evolutive SFP'!BU44)</f>
        <v>0</v>
      </c>
      <c r="BV20" s="359">
        <f>('Evolutive SFP'!BV44)</f>
        <v>0</v>
      </c>
      <c r="BW20" s="359">
        <f>('Evolutive SFP'!BW44)</f>
        <v>0</v>
      </c>
    </row>
    <row r="21" spans="1:75">
      <c r="A21" s="361" t="s">
        <v>84</v>
      </c>
      <c r="B21" s="367" t="s">
        <v>85</v>
      </c>
      <c r="C21" s="359">
        <f>C22+C23</f>
        <v>0</v>
      </c>
      <c r="D21" s="359">
        <f>D22+D23</f>
        <v>4313234</v>
      </c>
      <c r="E21" s="359">
        <f>E22+E23</f>
        <v>0</v>
      </c>
      <c r="F21" s="359">
        <f>F22+F23</f>
        <v>4313234</v>
      </c>
      <c r="G21" s="359">
        <f t="shared" ref="G21:N21" si="14">G22+G23</f>
        <v>0</v>
      </c>
      <c r="H21" s="359">
        <f>H22+H23</f>
        <v>0</v>
      </c>
      <c r="I21" s="359">
        <f>I22+I23</f>
        <v>0</v>
      </c>
      <c r="J21" s="359">
        <f t="shared" si="14"/>
        <v>0</v>
      </c>
      <c r="K21" s="359">
        <f t="shared" si="14"/>
        <v>0</v>
      </c>
      <c r="L21" s="359">
        <f t="shared" si="14"/>
        <v>0</v>
      </c>
      <c r="M21" s="359">
        <f t="shared" si="14"/>
        <v>0</v>
      </c>
      <c r="N21" s="359">
        <f t="shared" si="14"/>
        <v>0</v>
      </c>
      <c r="O21" s="359">
        <f>O22+O23</f>
        <v>0</v>
      </c>
      <c r="P21" s="359">
        <f>P22+P23</f>
        <v>0</v>
      </c>
      <c r="Q21" s="359">
        <f>Q22+Q23</f>
        <v>6000000</v>
      </c>
      <c r="R21" s="359">
        <f>R22+R23</f>
        <v>0</v>
      </c>
      <c r="S21" s="359">
        <f t="shared" ref="S21:AD21" si="15">S22+S23</f>
        <v>6000000</v>
      </c>
      <c r="T21" s="359">
        <f t="shared" si="15"/>
        <v>0</v>
      </c>
      <c r="U21" s="359">
        <f t="shared" si="15"/>
        <v>0</v>
      </c>
      <c r="V21" s="359">
        <f t="shared" si="15"/>
        <v>0</v>
      </c>
      <c r="W21" s="359">
        <f t="shared" si="15"/>
        <v>0</v>
      </c>
      <c r="X21" s="359">
        <f t="shared" si="15"/>
        <v>0</v>
      </c>
      <c r="Y21" s="359">
        <f t="shared" si="15"/>
        <v>0</v>
      </c>
      <c r="Z21" s="359">
        <f t="shared" si="15"/>
        <v>0</v>
      </c>
      <c r="AA21" s="359">
        <f t="shared" si="15"/>
        <v>0</v>
      </c>
      <c r="AB21" s="359">
        <f t="shared" si="15"/>
        <v>0</v>
      </c>
      <c r="AC21" s="359">
        <f t="shared" si="15"/>
        <v>0</v>
      </c>
      <c r="AD21" s="359">
        <f t="shared" si="15"/>
        <v>8000000</v>
      </c>
      <c r="AE21" s="359">
        <f t="shared" ref="AE21:BR21" si="16">AE22+AE23</f>
        <v>0</v>
      </c>
      <c r="AF21" s="359">
        <f t="shared" si="16"/>
        <v>8000000</v>
      </c>
      <c r="AG21" s="359">
        <f t="shared" si="16"/>
        <v>0</v>
      </c>
      <c r="AH21" s="359">
        <f t="shared" si="16"/>
        <v>0</v>
      </c>
      <c r="AI21" s="359">
        <f t="shared" si="16"/>
        <v>0</v>
      </c>
      <c r="AJ21" s="359">
        <f t="shared" si="16"/>
        <v>0</v>
      </c>
      <c r="AK21" s="359">
        <f t="shared" si="16"/>
        <v>0</v>
      </c>
      <c r="AL21" s="359">
        <f t="shared" si="16"/>
        <v>0</v>
      </c>
      <c r="AM21" s="359">
        <f t="shared" si="16"/>
        <v>0</v>
      </c>
      <c r="AN21" s="359">
        <f t="shared" si="16"/>
        <v>0</v>
      </c>
      <c r="AO21" s="359">
        <f t="shared" si="16"/>
        <v>0</v>
      </c>
      <c r="AP21" s="359">
        <f t="shared" si="16"/>
        <v>13465213</v>
      </c>
      <c r="AQ21" s="359">
        <f t="shared" si="16"/>
        <v>0</v>
      </c>
      <c r="AR21" s="359">
        <f t="shared" si="16"/>
        <v>13465213</v>
      </c>
      <c r="AS21" s="359">
        <f t="shared" si="16"/>
        <v>0</v>
      </c>
      <c r="AT21" s="359">
        <f t="shared" si="16"/>
        <v>0</v>
      </c>
      <c r="AU21" s="359">
        <f t="shared" si="16"/>
        <v>78715.600000000006</v>
      </c>
      <c r="AV21" s="359">
        <f t="shared" si="16"/>
        <v>0</v>
      </c>
      <c r="AW21" s="359">
        <f t="shared" si="16"/>
        <v>0</v>
      </c>
      <c r="AX21" s="359">
        <f t="shared" si="16"/>
        <v>0</v>
      </c>
      <c r="AY21" s="359">
        <f t="shared" si="16"/>
        <v>0</v>
      </c>
      <c r="AZ21" s="359">
        <f t="shared" si="16"/>
        <v>0</v>
      </c>
      <c r="BA21" s="359">
        <f t="shared" si="16"/>
        <v>0</v>
      </c>
      <c r="BB21" s="359">
        <f t="shared" si="16"/>
        <v>0</v>
      </c>
      <c r="BC21" s="359">
        <f t="shared" si="16"/>
        <v>14787592</v>
      </c>
      <c r="BD21" s="359">
        <f t="shared" si="16"/>
        <v>0</v>
      </c>
      <c r="BE21" s="359">
        <f t="shared" si="16"/>
        <v>0</v>
      </c>
      <c r="BF21" s="359">
        <f t="shared" si="16"/>
        <v>0</v>
      </c>
      <c r="BG21" s="359">
        <f t="shared" si="16"/>
        <v>0</v>
      </c>
      <c r="BH21" s="359">
        <f t="shared" si="16"/>
        <v>0</v>
      </c>
      <c r="BI21" s="359">
        <f t="shared" si="16"/>
        <v>0</v>
      </c>
      <c r="BJ21" s="359">
        <f t="shared" si="16"/>
        <v>0</v>
      </c>
      <c r="BK21" s="359">
        <f t="shared" si="16"/>
        <v>0</v>
      </c>
      <c r="BL21" s="359">
        <f t="shared" si="16"/>
        <v>0</v>
      </c>
      <c r="BM21" s="359">
        <f t="shared" si="16"/>
        <v>0</v>
      </c>
      <c r="BN21" s="359">
        <f t="shared" si="16"/>
        <v>0</v>
      </c>
      <c r="BO21" s="359">
        <f t="shared" si="16"/>
        <v>0</v>
      </c>
      <c r="BP21" s="359">
        <f t="shared" si="16"/>
        <v>0</v>
      </c>
      <c r="BQ21" s="359">
        <f t="shared" si="16"/>
        <v>0</v>
      </c>
      <c r="BR21" s="359">
        <f t="shared" si="16"/>
        <v>0</v>
      </c>
      <c r="BS21" s="359">
        <f t="shared" ref="BS21:BW21" si="17">BS22+BS23</f>
        <v>0</v>
      </c>
      <c r="BT21" s="359">
        <f t="shared" si="17"/>
        <v>0</v>
      </c>
      <c r="BU21" s="359">
        <f t="shared" si="17"/>
        <v>0</v>
      </c>
      <c r="BV21" s="359">
        <f t="shared" si="17"/>
        <v>0</v>
      </c>
      <c r="BW21" s="359">
        <f t="shared" si="17"/>
        <v>0</v>
      </c>
    </row>
    <row r="22" spans="1:75">
      <c r="A22" s="368" t="s">
        <v>86</v>
      </c>
      <c r="B22" s="360" t="s">
        <v>87</v>
      </c>
      <c r="C22" s="359">
        <f>'Evolutive SFP'!B46</f>
        <v>0</v>
      </c>
      <c r="D22" s="359">
        <f>'Evolutive SFP'!C46</f>
        <v>4313234</v>
      </c>
      <c r="E22" s="359">
        <f>'Evolutive SFP'!D46</f>
        <v>0</v>
      </c>
      <c r="F22" s="359">
        <f>'Evolutive SFP'!E46</f>
        <v>4313234</v>
      </c>
      <c r="G22" s="359">
        <f>'Evolutive SFP'!F46</f>
        <v>0</v>
      </c>
      <c r="H22" s="359">
        <f>'Evolutive SFP'!G46</f>
        <v>0</v>
      </c>
      <c r="I22" s="359">
        <f>'Evolutive SFP'!H46</f>
        <v>0</v>
      </c>
      <c r="J22" s="359">
        <f>'Evolutive SFP'!I46</f>
        <v>0</v>
      </c>
      <c r="K22" s="359">
        <f>'Evolutive SFP'!J46</f>
        <v>0</v>
      </c>
      <c r="L22" s="359">
        <f>'Evolutive SFP'!K46</f>
        <v>0</v>
      </c>
      <c r="M22" s="359">
        <f>'Evolutive SFP'!L46</f>
        <v>0</v>
      </c>
      <c r="N22" s="359">
        <f>'Evolutive SFP'!M46</f>
        <v>0</v>
      </c>
      <c r="O22" s="359">
        <f>'Evolutive SFP'!N46</f>
        <v>0</v>
      </c>
      <c r="P22" s="359">
        <f>'Evolutive SFP'!O46</f>
        <v>0</v>
      </c>
      <c r="Q22" s="359">
        <f>'Evolutive SFP'!P46</f>
        <v>6000000</v>
      </c>
      <c r="R22" s="359">
        <f>'Evolutive SFP'!Q46</f>
        <v>0</v>
      </c>
      <c r="S22" s="359">
        <f>'Evolutive SFP'!R46</f>
        <v>6000000</v>
      </c>
      <c r="T22" s="359">
        <f>'Evolutive SFP'!S46</f>
        <v>0</v>
      </c>
      <c r="U22" s="359">
        <f>'Evolutive SFP'!T46</f>
        <v>0</v>
      </c>
      <c r="V22" s="359">
        <f>'Evolutive SFP'!U46</f>
        <v>0</v>
      </c>
      <c r="W22" s="359">
        <f>'Evolutive SFP'!V46</f>
        <v>0</v>
      </c>
      <c r="X22" s="359">
        <f>'Evolutive SFP'!W46</f>
        <v>0</v>
      </c>
      <c r="Y22" s="359">
        <f>'Evolutive SFP'!X46</f>
        <v>0</v>
      </c>
      <c r="Z22" s="359">
        <f>'Evolutive SFP'!Y46</f>
        <v>0</v>
      </c>
      <c r="AA22" s="359">
        <f>'Evolutive SFP'!Z46</f>
        <v>0</v>
      </c>
      <c r="AB22" s="359">
        <f>'Evolutive SFP'!AA46</f>
        <v>0</v>
      </c>
      <c r="AC22" s="359">
        <f>'Evolutive SFP'!AB46</f>
        <v>0</v>
      </c>
      <c r="AD22" s="359">
        <f>'Evolutive SFP'!AC46</f>
        <v>8000000</v>
      </c>
      <c r="AE22" s="359">
        <f>'Evolutive SFP'!AD46</f>
        <v>0</v>
      </c>
      <c r="AF22" s="359">
        <f>'Evolutive SFP'!AE46</f>
        <v>8000000</v>
      </c>
      <c r="AG22" s="359">
        <f>'Evolutive SFP'!AF46</f>
        <v>0</v>
      </c>
      <c r="AH22" s="359">
        <f>'Evolutive SFP'!AG46</f>
        <v>0</v>
      </c>
      <c r="AI22" s="359">
        <f>'Evolutive SFP'!AH46</f>
        <v>0</v>
      </c>
      <c r="AJ22" s="359">
        <f>'Evolutive SFP'!AI46</f>
        <v>0</v>
      </c>
      <c r="AK22" s="359">
        <f>'Evolutive SFP'!AJ46</f>
        <v>0</v>
      </c>
      <c r="AL22" s="359">
        <f>'Evolutive SFP'!AK46</f>
        <v>0</v>
      </c>
      <c r="AM22" s="359">
        <f>'Evolutive SFP'!AL46</f>
        <v>0</v>
      </c>
      <c r="AN22" s="359">
        <f>'Evolutive SFP'!AM46</f>
        <v>0</v>
      </c>
      <c r="AO22" s="359">
        <f>'Evolutive SFP'!AN46</f>
        <v>0</v>
      </c>
      <c r="AP22" s="359">
        <f>'Evolutive SFP'!AO46</f>
        <v>13465213</v>
      </c>
      <c r="AQ22" s="359">
        <f>'Evolutive SFP'!AP46</f>
        <v>0</v>
      </c>
      <c r="AR22" s="359">
        <f>'Evolutive SFP'!AQ46</f>
        <v>13465213</v>
      </c>
      <c r="AS22" s="359">
        <f>'Evolutive SFP'!AR46</f>
        <v>0</v>
      </c>
      <c r="AT22" s="359">
        <f>'Evolutive SFP'!AS46</f>
        <v>0</v>
      </c>
      <c r="AU22" s="359">
        <f>'Evolutive SFP'!AT46</f>
        <v>78715.600000000006</v>
      </c>
      <c r="AV22" s="359">
        <f>'Evolutive SFP'!AU46</f>
        <v>0</v>
      </c>
      <c r="AW22" s="359">
        <f>'Evolutive SFP'!AV46</f>
        <v>0</v>
      </c>
      <c r="AX22" s="359">
        <f>'Evolutive SFP'!AW46</f>
        <v>0</v>
      </c>
      <c r="AY22" s="359">
        <f>'Evolutive SFP'!AX46</f>
        <v>0</v>
      </c>
      <c r="AZ22" s="359">
        <f>'Evolutive SFP'!AY46</f>
        <v>0</v>
      </c>
      <c r="BA22" s="359">
        <f>'Evolutive SFP'!AZ46</f>
        <v>0</v>
      </c>
      <c r="BB22" s="359">
        <f>'Evolutive SFP'!BA46</f>
        <v>0</v>
      </c>
      <c r="BC22" s="359">
        <f>'Evolutive SFP'!BB46</f>
        <v>14787592</v>
      </c>
      <c r="BD22" s="359">
        <f>'Evolutive SFP'!BC46</f>
        <v>0</v>
      </c>
      <c r="BE22" s="359">
        <f>'Evolutive SFP'!BD46</f>
        <v>0</v>
      </c>
      <c r="BF22" s="359">
        <f>'Evolutive SFP'!BE46</f>
        <v>0</v>
      </c>
      <c r="BG22" s="359">
        <f>'Evolutive SFP'!BF46</f>
        <v>0</v>
      </c>
      <c r="BH22" s="359">
        <f>'Evolutive SFP'!BG46</f>
        <v>0</v>
      </c>
      <c r="BI22" s="359">
        <f>'Evolutive SFP'!BH46</f>
        <v>0</v>
      </c>
      <c r="BJ22" s="359">
        <f>'Evolutive SFP'!BI46</f>
        <v>0</v>
      </c>
      <c r="BK22" s="359">
        <f>'Evolutive SFP'!BJ46</f>
        <v>0</v>
      </c>
      <c r="BL22" s="359">
        <f>'Evolutive SFP'!BK46</f>
        <v>0</v>
      </c>
      <c r="BM22" s="359">
        <f>'Evolutive SFP'!BL46</f>
        <v>0</v>
      </c>
      <c r="BN22" s="359">
        <f>'Evolutive SFP'!BM46</f>
        <v>0</v>
      </c>
      <c r="BO22" s="359">
        <f>'Evolutive SFP'!BN46</f>
        <v>0</v>
      </c>
      <c r="BP22" s="359">
        <f>'Evolutive SFP'!BO46</f>
        <v>0</v>
      </c>
      <c r="BQ22" s="359">
        <f>'Evolutive SFP'!BQ46</f>
        <v>0</v>
      </c>
      <c r="BR22" s="359">
        <f>'Evolutive SFP'!BR46</f>
        <v>0</v>
      </c>
      <c r="BS22" s="359">
        <f>'Evolutive SFP'!BS46</f>
        <v>0</v>
      </c>
      <c r="BT22" s="359">
        <f>'Evolutive SFP'!BT46</f>
        <v>0</v>
      </c>
      <c r="BU22" s="359">
        <f>'Evolutive SFP'!BU46</f>
        <v>0</v>
      </c>
      <c r="BV22" s="359">
        <f>'Evolutive SFP'!BV46</f>
        <v>0</v>
      </c>
      <c r="BW22" s="359">
        <f>'Evolutive SFP'!BW46</f>
        <v>0</v>
      </c>
    </row>
    <row r="23" spans="1:75">
      <c r="A23" s="368" t="s">
        <v>88</v>
      </c>
      <c r="B23" s="360" t="s">
        <v>89</v>
      </c>
      <c r="C23" s="359"/>
      <c r="D23" s="359"/>
      <c r="E23" s="359"/>
      <c r="F23" s="359"/>
      <c r="G23" s="359"/>
      <c r="H23" s="359"/>
      <c r="I23" s="359"/>
      <c r="J23" s="359"/>
      <c r="K23" s="359"/>
      <c r="L23" s="359"/>
      <c r="M23" s="359"/>
      <c r="N23" s="359"/>
      <c r="O23" s="359"/>
      <c r="P23" s="359"/>
      <c r="Q23" s="359"/>
      <c r="R23" s="359"/>
      <c r="S23" s="359"/>
      <c r="T23" s="359"/>
      <c r="U23" s="359"/>
      <c r="V23" s="359"/>
      <c r="W23" s="359"/>
      <c r="X23" s="359"/>
      <c r="Y23" s="359"/>
      <c r="Z23" s="359"/>
      <c r="AA23" s="359"/>
      <c r="AB23" s="359"/>
      <c r="AC23" s="359"/>
      <c r="AD23" s="359"/>
      <c r="AE23" s="359"/>
      <c r="AF23" s="359"/>
      <c r="AG23" s="359"/>
      <c r="AH23" s="359"/>
      <c r="AI23" s="359"/>
      <c r="AJ23" s="359"/>
      <c r="AK23" s="359"/>
      <c r="AL23" s="359"/>
      <c r="AM23" s="359"/>
      <c r="AN23" s="359"/>
      <c r="AO23" s="359"/>
      <c r="AP23" s="359"/>
      <c r="AQ23" s="359"/>
      <c r="AR23" s="359"/>
      <c r="AS23" s="359"/>
      <c r="AT23" s="359"/>
      <c r="AU23" s="359"/>
      <c r="AV23" s="359"/>
      <c r="AW23" s="359"/>
      <c r="AX23" s="359"/>
      <c r="AY23" s="359"/>
      <c r="AZ23" s="359"/>
      <c r="BA23" s="359"/>
      <c r="BB23" s="359"/>
      <c r="BC23" s="359"/>
      <c r="BD23" s="359"/>
      <c r="BE23" s="359"/>
      <c r="BF23" s="359"/>
      <c r="BG23" s="359"/>
      <c r="BH23" s="359"/>
      <c r="BI23" s="359"/>
      <c r="BJ23" s="359"/>
      <c r="BK23" s="359"/>
      <c r="BL23" s="359"/>
      <c r="BM23" s="359"/>
      <c r="BN23" s="359"/>
      <c r="BO23" s="359"/>
      <c r="BP23" s="359"/>
      <c r="BQ23" s="359"/>
      <c r="BR23" s="359"/>
      <c r="BS23" s="359"/>
      <c r="BT23" s="359"/>
      <c r="BU23" s="359"/>
      <c r="BV23" s="359"/>
      <c r="BW23" s="359"/>
    </row>
    <row r="24" spans="1:75">
      <c r="A24" s="355"/>
      <c r="B24" s="369"/>
      <c r="C24" s="359"/>
      <c r="D24" s="359"/>
      <c r="E24" s="359"/>
      <c r="F24" s="359"/>
      <c r="G24" s="359"/>
      <c r="H24" s="359"/>
      <c r="I24" s="359"/>
      <c r="J24" s="359"/>
      <c r="K24" s="359"/>
      <c r="L24" s="359"/>
      <c r="M24" s="359"/>
      <c r="N24" s="359"/>
      <c r="O24" s="359"/>
      <c r="P24" s="359"/>
      <c r="Q24" s="359"/>
      <c r="R24" s="359"/>
      <c r="S24" s="359"/>
      <c r="T24" s="359"/>
      <c r="U24" s="359"/>
      <c r="V24" s="359"/>
      <c r="W24" s="359"/>
      <c r="X24" s="359"/>
      <c r="Y24" s="359"/>
      <c r="Z24" s="359"/>
      <c r="AA24" s="359"/>
      <c r="AB24" s="359"/>
      <c r="AC24" s="359"/>
      <c r="AD24" s="359"/>
      <c r="AE24" s="359"/>
      <c r="AF24" s="359"/>
      <c r="AG24" s="359"/>
      <c r="AH24" s="359"/>
      <c r="AI24" s="359"/>
      <c r="AJ24" s="359"/>
      <c r="AK24" s="359"/>
      <c r="AL24" s="359"/>
      <c r="AM24" s="359"/>
      <c r="AN24" s="359"/>
      <c r="AO24" s="359"/>
      <c r="AP24" s="359"/>
      <c r="AQ24" s="359"/>
      <c r="AR24" s="359"/>
      <c r="AS24" s="359"/>
      <c r="AT24" s="359"/>
      <c r="AU24" s="359"/>
      <c r="AV24" s="359"/>
      <c r="AW24" s="359"/>
      <c r="AX24" s="359"/>
      <c r="AY24" s="359"/>
      <c r="AZ24" s="359"/>
      <c r="BA24" s="359"/>
      <c r="BB24" s="359"/>
      <c r="BC24" s="359"/>
      <c r="BD24" s="359"/>
      <c r="BE24" s="359"/>
      <c r="BF24" s="359"/>
      <c r="BG24" s="359"/>
      <c r="BH24" s="359"/>
      <c r="BI24" s="359"/>
      <c r="BJ24" s="359"/>
      <c r="BK24" s="359"/>
      <c r="BL24" s="359"/>
      <c r="BM24" s="359"/>
      <c r="BN24" s="359"/>
      <c r="BO24" s="359"/>
      <c r="BP24" s="359"/>
      <c r="BQ24" s="359"/>
      <c r="BR24" s="359"/>
      <c r="BS24" s="359"/>
      <c r="BT24" s="359"/>
      <c r="BU24" s="359"/>
      <c r="BV24" s="359"/>
      <c r="BW24" s="359"/>
    </row>
    <row r="25" spans="1:75" s="364" customFormat="1">
      <c r="A25" s="362">
        <v>6</v>
      </c>
      <c r="B25" s="367" t="s">
        <v>90</v>
      </c>
      <c r="C25" s="363">
        <f>C26+C27+C28</f>
        <v>472260</v>
      </c>
      <c r="D25" s="363">
        <f>D26+D27+D28</f>
        <v>45486921</v>
      </c>
      <c r="E25" s="363">
        <f>E26+E27+E28</f>
        <v>106627718.81</v>
      </c>
      <c r="F25" s="363">
        <f>F26+F27+F28</f>
        <v>48885388.43</v>
      </c>
      <c r="G25" s="363">
        <f t="shared" ref="G25:N25" si="18">G26+G27+G28</f>
        <v>48935388.43</v>
      </c>
      <c r="H25" s="363" t="e">
        <f>H26+H27+H28</f>
        <v>#REF!</v>
      </c>
      <c r="I25" s="363">
        <f>I26+I27+I28</f>
        <v>49035388.43</v>
      </c>
      <c r="J25" s="363">
        <f t="shared" si="18"/>
        <v>49085388.43</v>
      </c>
      <c r="K25" s="363">
        <f t="shared" si="18"/>
        <v>49135388.43</v>
      </c>
      <c r="L25" s="363">
        <f t="shared" si="18"/>
        <v>49385388.43</v>
      </c>
      <c r="M25" s="363">
        <f t="shared" si="18"/>
        <v>49435388.43</v>
      </c>
      <c r="N25" s="363">
        <f t="shared" si="18"/>
        <v>49485388.43</v>
      </c>
      <c r="O25" s="363">
        <f>O26+O27+O28</f>
        <v>339535388.43000001</v>
      </c>
      <c r="P25" s="363">
        <f>P26+P27+P28</f>
        <v>389627444.74000001</v>
      </c>
      <c r="Q25" s="363">
        <f>Q26+Q27+Q28</f>
        <v>45686922</v>
      </c>
      <c r="R25" s="363">
        <f t="shared" ref="R25:BP25" si="19">R26+R27+R28</f>
        <v>239627444.74000001</v>
      </c>
      <c r="S25" s="363">
        <f t="shared" si="19"/>
        <v>199677444.74000001</v>
      </c>
      <c r="T25" s="363">
        <f t="shared" si="19"/>
        <v>199727444.74000001</v>
      </c>
      <c r="U25" s="363">
        <f t="shared" si="19"/>
        <v>199827444.74000001</v>
      </c>
      <c r="V25" s="363">
        <f t="shared" si="19"/>
        <v>206575084.74000001</v>
      </c>
      <c r="W25" s="363">
        <f t="shared" si="19"/>
        <v>226625084.74000001</v>
      </c>
      <c r="X25" s="363">
        <f t="shared" si="19"/>
        <v>226575084.74000001</v>
      </c>
      <c r="Y25" s="363">
        <f t="shared" si="19"/>
        <v>226625084.74000001</v>
      </c>
      <c r="Z25" s="363">
        <f t="shared" si="19"/>
        <v>226675084.74000001</v>
      </c>
      <c r="AA25" s="363">
        <f t="shared" si="19"/>
        <v>549037993.24000001</v>
      </c>
      <c r="AB25" s="363">
        <f t="shared" si="19"/>
        <v>588901390.77999997</v>
      </c>
      <c r="AC25" s="363">
        <f t="shared" si="19"/>
        <v>606020528.87</v>
      </c>
      <c r="AD25" s="363">
        <f t="shared" si="19"/>
        <v>252130090</v>
      </c>
      <c r="AE25" s="363">
        <f t="shared" si="19"/>
        <v>277180090.27999997</v>
      </c>
      <c r="AF25" s="363">
        <f t="shared" si="19"/>
        <v>187230090.28</v>
      </c>
      <c r="AG25" s="363">
        <f t="shared" si="19"/>
        <v>237330090.28</v>
      </c>
      <c r="AH25" s="363">
        <f t="shared" si="19"/>
        <v>257330090.28</v>
      </c>
      <c r="AI25" s="363">
        <f t="shared" si="19"/>
        <v>307380090.27999997</v>
      </c>
      <c r="AJ25" s="363">
        <f t="shared" si="19"/>
        <v>357441696.62</v>
      </c>
      <c r="AK25" s="363">
        <f t="shared" si="19"/>
        <v>615107413.96000004</v>
      </c>
      <c r="AL25" s="363">
        <f t="shared" si="19"/>
        <v>357603706.98000002</v>
      </c>
      <c r="AM25" s="363">
        <f t="shared" si="19"/>
        <v>332603706.98000002</v>
      </c>
      <c r="AN25" s="363">
        <f t="shared" si="19"/>
        <v>384720302.48000002</v>
      </c>
      <c r="AO25" s="363">
        <f t="shared" si="19"/>
        <v>484770302.48000002</v>
      </c>
      <c r="AP25" s="363">
        <f t="shared" si="19"/>
        <v>431167742</v>
      </c>
      <c r="AQ25" s="363">
        <f t="shared" si="19"/>
        <v>434845965.20999998</v>
      </c>
      <c r="AR25" s="363">
        <f t="shared" si="19"/>
        <v>434895965.20999998</v>
      </c>
      <c r="AS25" s="363">
        <f t="shared" si="19"/>
        <v>439945965.20999998</v>
      </c>
      <c r="AT25" s="363">
        <f t="shared" si="19"/>
        <v>409995965.20999998</v>
      </c>
      <c r="AU25" s="363">
        <f t="shared" si="19"/>
        <v>400045965.20999998</v>
      </c>
      <c r="AV25" s="363">
        <f t="shared" si="19"/>
        <v>400122507.25999999</v>
      </c>
      <c r="AW25" s="363">
        <f t="shared" si="19"/>
        <v>350122507.25999999</v>
      </c>
      <c r="AX25" s="363">
        <f t="shared" si="19"/>
        <v>400276474.06999999</v>
      </c>
      <c r="AY25" s="363">
        <f t="shared" si="19"/>
        <v>380326474.06999999</v>
      </c>
      <c r="AZ25" s="363">
        <f t="shared" si="19"/>
        <v>310376474.06999999</v>
      </c>
      <c r="BA25" s="363">
        <f t="shared" si="19"/>
        <v>310376474.06999999</v>
      </c>
      <c r="BB25" s="363">
        <f t="shared" si="19"/>
        <v>60476474.07</v>
      </c>
      <c r="BC25" s="363">
        <f t="shared" si="19"/>
        <v>54537561</v>
      </c>
      <c r="BD25" s="363">
        <f t="shared" si="19"/>
        <v>60476474.07</v>
      </c>
      <c r="BE25" s="363">
        <f t="shared" si="19"/>
        <v>60526474.07</v>
      </c>
      <c r="BF25" s="363">
        <f t="shared" si="19"/>
        <v>60576474.07</v>
      </c>
      <c r="BG25" s="363">
        <f t="shared" si="19"/>
        <v>60676474.07</v>
      </c>
      <c r="BH25" s="363">
        <f t="shared" si="19"/>
        <v>60726474.07</v>
      </c>
      <c r="BI25" s="363">
        <f t="shared" si="19"/>
        <v>60806573.530000001</v>
      </c>
      <c r="BJ25" s="363">
        <f t="shared" si="19"/>
        <v>60856573.530000001</v>
      </c>
      <c r="BK25" s="363">
        <f t="shared" si="19"/>
        <v>60906573.530000001</v>
      </c>
      <c r="BL25" s="363">
        <f t="shared" si="19"/>
        <v>60956573.530000001</v>
      </c>
      <c r="BM25" s="363">
        <f t="shared" si="19"/>
        <v>61006573.530000001</v>
      </c>
      <c r="BN25" s="363">
        <f t="shared" si="19"/>
        <v>61119478.43</v>
      </c>
      <c r="BO25" s="363">
        <f t="shared" si="19"/>
        <v>61169478.43</v>
      </c>
      <c r="BP25" s="363">
        <f t="shared" si="19"/>
        <v>41801832</v>
      </c>
      <c r="BQ25" s="363">
        <f t="shared" ref="BQ25:BR25" si="20">BQ26+BQ27+BQ28</f>
        <v>0</v>
      </c>
      <c r="BR25" s="363">
        <f t="shared" si="20"/>
        <v>0</v>
      </c>
      <c r="BS25" s="363">
        <f t="shared" ref="BS25:BW25" si="21">BS26+BS27+BS28</f>
        <v>0</v>
      </c>
      <c r="BT25" s="363">
        <f t="shared" si="21"/>
        <v>0</v>
      </c>
      <c r="BU25" s="363">
        <f t="shared" si="21"/>
        <v>0</v>
      </c>
      <c r="BV25" s="363">
        <f t="shared" si="21"/>
        <v>0</v>
      </c>
      <c r="BW25" s="363">
        <f t="shared" si="21"/>
        <v>0</v>
      </c>
    </row>
    <row r="26" spans="1:75">
      <c r="A26" s="361">
        <v>6.1</v>
      </c>
      <c r="B26" s="360" t="s">
        <v>91</v>
      </c>
      <c r="C26" s="359">
        <f>'Evolutive SFP'!B13</f>
        <v>472260</v>
      </c>
      <c r="D26" s="359">
        <f>'Evolutive SFP'!C13</f>
        <v>32948533</v>
      </c>
      <c r="E26" s="359">
        <f>'Evolutive SFP'!D9</f>
        <v>0</v>
      </c>
      <c r="F26" s="359">
        <f>'Evolutive SFP'!E13</f>
        <v>48885388.43</v>
      </c>
      <c r="G26" s="359">
        <f>'Evolutive SFP'!F13</f>
        <v>48935388.43</v>
      </c>
      <c r="H26" s="359" t="e">
        <f>'Evolutive SFP'!#REF!</f>
        <v>#REF!</v>
      </c>
      <c r="I26" s="359">
        <f>'Evolutive SFP'!H13</f>
        <v>49035388.43</v>
      </c>
      <c r="J26" s="359">
        <f>'Evolutive SFP'!I13</f>
        <v>49085388.43</v>
      </c>
      <c r="K26" s="359">
        <f>'Evolutive SFP'!J13</f>
        <v>49135388.43</v>
      </c>
      <c r="L26" s="359">
        <f>'Evolutive SFP'!K13</f>
        <v>49385388.43</v>
      </c>
      <c r="M26" s="359">
        <f>'Evolutive SFP'!L13</f>
        <v>49435388.43</v>
      </c>
      <c r="N26" s="359">
        <f>'Evolutive SFP'!M13</f>
        <v>49485388.43</v>
      </c>
      <c r="O26" s="359">
        <f>'Evolutive SFP'!N13</f>
        <v>339535388.43000001</v>
      </c>
      <c r="P26" s="359">
        <f>'Evolutive SFP'!O13</f>
        <v>389627444.74000001</v>
      </c>
      <c r="Q26" s="359">
        <f>'Evolutive SFP'!P13</f>
        <v>935000</v>
      </c>
      <c r="R26" s="359">
        <f>'Evolutive SFP'!Q13</f>
        <v>239627444.74000001</v>
      </c>
      <c r="S26" s="359">
        <f>'Evolutive SFP'!R13</f>
        <v>199677444.74000001</v>
      </c>
      <c r="T26" s="359">
        <f>'Evolutive SFP'!S13</f>
        <v>199727444.74000001</v>
      </c>
      <c r="U26" s="359">
        <f>'Evolutive SFP'!T13</f>
        <v>199827444.74000001</v>
      </c>
      <c r="V26" s="359">
        <f>'Evolutive SFP'!U13</f>
        <v>206575084.74000001</v>
      </c>
      <c r="W26" s="359">
        <f>'Evolutive SFP'!V13</f>
        <v>226625084.74000001</v>
      </c>
      <c r="X26" s="359">
        <f>'Evolutive SFP'!W13</f>
        <v>226575084.74000001</v>
      </c>
      <c r="Y26" s="359">
        <f>'Evolutive SFP'!X13</f>
        <v>226625084.74000001</v>
      </c>
      <c r="Z26" s="359">
        <f>'Evolutive SFP'!Y13</f>
        <v>226675084.74000001</v>
      </c>
      <c r="AA26" s="359">
        <f>'Evolutive SFP'!Z13</f>
        <v>549037993.24000001</v>
      </c>
      <c r="AB26" s="359">
        <f>'Evolutive SFP'!AA13</f>
        <v>588901390.77999997</v>
      </c>
      <c r="AC26" s="359">
        <f>'Evolutive SFP'!AB13</f>
        <v>606020528.87</v>
      </c>
      <c r="AD26" s="359">
        <f>'Evolutive SFP'!AC13</f>
        <v>0</v>
      </c>
      <c r="AE26" s="359">
        <f>'Evolutive SFP'!AD13</f>
        <v>0</v>
      </c>
      <c r="AF26" s="359">
        <f>'Evolutive SFP'!AE13</f>
        <v>0</v>
      </c>
      <c r="AG26" s="359">
        <f>'Evolutive SFP'!AF13</f>
        <v>0</v>
      </c>
      <c r="AH26" s="359">
        <f>'Evolutive SFP'!AG13</f>
        <v>0</v>
      </c>
      <c r="AI26" s="359">
        <f>'Evolutive SFP'!AH13</f>
        <v>0</v>
      </c>
      <c r="AJ26" s="359">
        <f>'Evolutive SFP'!AI13</f>
        <v>0</v>
      </c>
      <c r="AK26" s="359">
        <f>'Evolutive SFP'!AJ13</f>
        <v>0</v>
      </c>
      <c r="AL26" s="359">
        <f>'Evolutive SFP'!AK13</f>
        <v>0</v>
      </c>
      <c r="AM26" s="359">
        <f>'Evolutive SFP'!AL13</f>
        <v>0</v>
      </c>
      <c r="AN26" s="359">
        <f>'Evolutive SFP'!AM13</f>
        <v>0</v>
      </c>
      <c r="AO26" s="359">
        <f>'Evolutive SFP'!AN13</f>
        <v>0</v>
      </c>
      <c r="AP26" s="359">
        <f>'Evolutive SFP'!AO13</f>
        <v>935000</v>
      </c>
      <c r="AQ26" s="359">
        <f>'Evolutive SFP'!AP13</f>
        <v>434845965.20999998</v>
      </c>
      <c r="AR26" s="359">
        <f>'Evolutive SFP'!AQ13</f>
        <v>434895965.20999998</v>
      </c>
      <c r="AS26" s="359">
        <f>'Evolutive SFP'!AR13</f>
        <v>439945965.20999998</v>
      </c>
      <c r="AT26" s="359">
        <f>'Evolutive SFP'!AS13</f>
        <v>409995965.20999998</v>
      </c>
      <c r="AU26" s="359">
        <f>'Evolutive SFP'!AT13</f>
        <v>400045965.20999998</v>
      </c>
      <c r="AV26" s="359">
        <f>'Evolutive SFP'!AU13</f>
        <v>400122507.25999999</v>
      </c>
      <c r="AW26" s="359">
        <f>'Evolutive SFP'!AV13</f>
        <v>350122507.25999999</v>
      </c>
      <c r="AX26" s="359">
        <f>'Evolutive SFP'!AW13</f>
        <v>400276474.06999999</v>
      </c>
      <c r="AY26" s="359">
        <f>'Evolutive SFP'!AX13</f>
        <v>380326474.06999999</v>
      </c>
      <c r="AZ26" s="359">
        <f>'Evolutive SFP'!AY13</f>
        <v>310376474.06999999</v>
      </c>
      <c r="BA26" s="359">
        <f>'Evolutive SFP'!AZ13</f>
        <v>310376474.06999999</v>
      </c>
      <c r="BB26" s="359">
        <f>'Evolutive SFP'!BA13</f>
        <v>60476474.07</v>
      </c>
      <c r="BC26" s="359">
        <f>'Evolutive SFP'!BB13</f>
        <v>54537561</v>
      </c>
      <c r="BD26" s="359">
        <f>'Evolutive SFP'!BC13</f>
        <v>60476474.07</v>
      </c>
      <c r="BE26" s="359">
        <f>'Evolutive SFP'!BD13</f>
        <v>60526474.07</v>
      </c>
      <c r="BF26" s="359">
        <f>'Evolutive SFP'!BE13</f>
        <v>60576474.07</v>
      </c>
      <c r="BG26" s="359">
        <f>'Evolutive SFP'!BF13</f>
        <v>60676474.07</v>
      </c>
      <c r="BH26" s="359">
        <f>'Evolutive SFP'!BG13</f>
        <v>60726474.07</v>
      </c>
      <c r="BI26" s="359">
        <f>'Evolutive SFP'!BH13</f>
        <v>60806573.530000001</v>
      </c>
      <c r="BJ26" s="359">
        <f>'Evolutive SFP'!BI13</f>
        <v>60856573.530000001</v>
      </c>
      <c r="BK26" s="359">
        <f>'Evolutive SFP'!BJ13</f>
        <v>60906573.530000001</v>
      </c>
      <c r="BL26" s="359">
        <f>'Evolutive SFP'!BK13</f>
        <v>60956573.530000001</v>
      </c>
      <c r="BM26" s="359">
        <f>'Evolutive SFP'!BL13</f>
        <v>61006573.530000001</v>
      </c>
      <c r="BN26" s="359">
        <f>'Evolutive SFP'!BM13</f>
        <v>61119478.43</v>
      </c>
      <c r="BO26" s="359">
        <f>'Evolutive SFP'!BN13</f>
        <v>61169478.43</v>
      </c>
      <c r="BP26" s="359">
        <f>'Evolutive SFP'!BO13</f>
        <v>41801832</v>
      </c>
      <c r="BQ26" s="359">
        <f>'Evolutive SFP'!BQ13</f>
        <v>0</v>
      </c>
      <c r="BR26" s="359">
        <f>'Evolutive SFP'!BR13</f>
        <v>0</v>
      </c>
      <c r="BS26" s="359">
        <f>'Evolutive SFP'!BS13</f>
        <v>0</v>
      </c>
      <c r="BT26" s="359">
        <f>'Evolutive SFP'!BT13</f>
        <v>0</v>
      </c>
      <c r="BU26" s="359">
        <f>'Evolutive SFP'!BU13</f>
        <v>0</v>
      </c>
      <c r="BV26" s="359">
        <f>'Evolutive SFP'!BV13</f>
        <v>0</v>
      </c>
      <c r="BW26" s="359">
        <f>'Evolutive SFP'!BW13</f>
        <v>0</v>
      </c>
    </row>
    <row r="27" spans="1:75">
      <c r="A27" s="361">
        <v>6.2</v>
      </c>
      <c r="B27" s="360" t="s">
        <v>92</v>
      </c>
      <c r="C27" s="359">
        <f>'Evolutive SFP'!B10</f>
        <v>0</v>
      </c>
      <c r="D27" s="359">
        <f>'Evolutive SFP'!C10</f>
        <v>0</v>
      </c>
      <c r="E27" s="359">
        <f>'Evolutive SFP'!D7</f>
        <v>57792330.380000003</v>
      </c>
      <c r="F27" s="359">
        <f>'Evolutive SFP'!E10</f>
        <v>0</v>
      </c>
      <c r="G27" s="359">
        <f>'Evolutive SFP'!F10</f>
        <v>0</v>
      </c>
      <c r="H27" s="359" t="e">
        <f>'Evolutive SFP'!#REF!</f>
        <v>#REF!</v>
      </c>
      <c r="I27" s="359">
        <f>'Evolutive SFP'!H10</f>
        <v>0</v>
      </c>
      <c r="J27" s="359">
        <f>'Evolutive SFP'!I10</f>
        <v>0</v>
      </c>
      <c r="K27" s="359">
        <f>'Evolutive SFP'!J10</f>
        <v>0</v>
      </c>
      <c r="L27" s="359">
        <f>'Evolutive SFP'!K10</f>
        <v>0</v>
      </c>
      <c r="M27" s="359">
        <f>'Evolutive SFP'!L10</f>
        <v>0</v>
      </c>
      <c r="N27" s="359">
        <f>'Evolutive SFP'!M10</f>
        <v>0</v>
      </c>
      <c r="O27" s="359">
        <f>'Evolutive SFP'!N10</f>
        <v>0</v>
      </c>
      <c r="P27" s="359">
        <f>'Evolutive SFP'!O10</f>
        <v>0</v>
      </c>
      <c r="Q27" s="359">
        <f>'Evolutive SFP'!P10</f>
        <v>0</v>
      </c>
      <c r="R27" s="359">
        <f>'Evolutive SFP'!Q10</f>
        <v>0</v>
      </c>
      <c r="S27" s="359">
        <f>'Evolutive SFP'!R10</f>
        <v>0</v>
      </c>
      <c r="T27" s="359">
        <f>'Evolutive SFP'!S10</f>
        <v>0</v>
      </c>
      <c r="U27" s="359">
        <f>'Evolutive SFP'!T10</f>
        <v>0</v>
      </c>
      <c r="V27" s="359">
        <f>'Evolutive SFP'!U10</f>
        <v>0</v>
      </c>
      <c r="W27" s="359">
        <f>'Evolutive SFP'!V10</f>
        <v>0</v>
      </c>
      <c r="X27" s="359">
        <f>'Evolutive SFP'!W10</f>
        <v>0</v>
      </c>
      <c r="Y27" s="359">
        <f>'Evolutive SFP'!X10</f>
        <v>0</v>
      </c>
      <c r="Z27" s="359">
        <f>'Evolutive SFP'!Y10</f>
        <v>0</v>
      </c>
      <c r="AA27" s="359">
        <f>'Evolutive SFP'!Z10</f>
        <v>0</v>
      </c>
      <c r="AB27" s="359">
        <f>'Evolutive SFP'!AA10</f>
        <v>0</v>
      </c>
      <c r="AC27" s="359">
        <f>'Evolutive SFP'!AB10</f>
        <v>0</v>
      </c>
      <c r="AD27" s="359">
        <f>'Evolutive SFP'!AC10</f>
        <v>0</v>
      </c>
      <c r="AE27" s="359">
        <f>'Evolutive SFP'!AD10</f>
        <v>0</v>
      </c>
      <c r="AF27" s="359">
        <f>'Evolutive SFP'!AE10</f>
        <v>0</v>
      </c>
      <c r="AG27" s="359">
        <f>'Evolutive SFP'!AF10</f>
        <v>0</v>
      </c>
      <c r="AH27" s="359">
        <f>'Evolutive SFP'!AG10</f>
        <v>0</v>
      </c>
      <c r="AI27" s="359">
        <f>'Evolutive SFP'!AH10</f>
        <v>0</v>
      </c>
      <c r="AJ27" s="359">
        <f>'Evolutive SFP'!AI10</f>
        <v>0</v>
      </c>
      <c r="AK27" s="359">
        <f>'Evolutive SFP'!AJ10</f>
        <v>0</v>
      </c>
      <c r="AL27" s="359">
        <f>'Evolutive SFP'!AK10</f>
        <v>0</v>
      </c>
      <c r="AM27" s="359">
        <f>'Evolutive SFP'!AL10</f>
        <v>0</v>
      </c>
      <c r="AN27" s="359">
        <f>'Evolutive SFP'!AM10</f>
        <v>0</v>
      </c>
      <c r="AO27" s="359">
        <f>'Evolutive SFP'!AN10</f>
        <v>0</v>
      </c>
      <c r="AP27" s="359">
        <f>'Evolutive SFP'!AO10</f>
        <v>0</v>
      </c>
      <c r="AQ27" s="359">
        <f>'Evolutive SFP'!AP10</f>
        <v>0</v>
      </c>
      <c r="AR27" s="359">
        <f>'Evolutive SFP'!AQ10</f>
        <v>0</v>
      </c>
      <c r="AS27" s="359">
        <f>'Evolutive SFP'!AR10</f>
        <v>0</v>
      </c>
      <c r="AT27" s="359">
        <f>'Evolutive SFP'!AS10</f>
        <v>0</v>
      </c>
      <c r="AU27" s="359">
        <f>'Evolutive SFP'!AT10</f>
        <v>0</v>
      </c>
      <c r="AV27" s="359">
        <f>'Evolutive SFP'!AU10</f>
        <v>0</v>
      </c>
      <c r="AW27" s="359">
        <f>'Evolutive SFP'!AV10</f>
        <v>0</v>
      </c>
      <c r="AX27" s="359">
        <f>'Evolutive SFP'!AW10</f>
        <v>0</v>
      </c>
      <c r="AY27" s="359">
        <f>'Evolutive SFP'!AX10</f>
        <v>0</v>
      </c>
      <c r="AZ27" s="359">
        <f>'Evolutive SFP'!AY10</f>
        <v>0</v>
      </c>
      <c r="BA27" s="359">
        <f>'Evolutive SFP'!AZ10</f>
        <v>0</v>
      </c>
      <c r="BB27" s="359">
        <f>'Evolutive SFP'!BA10</f>
        <v>0</v>
      </c>
      <c r="BC27" s="359">
        <f>'Evolutive SFP'!BB10</f>
        <v>0</v>
      </c>
      <c r="BD27" s="359">
        <f>'Evolutive SFP'!BC10</f>
        <v>0</v>
      </c>
      <c r="BE27" s="359">
        <f>'Evolutive SFP'!BD10</f>
        <v>0</v>
      </c>
      <c r="BF27" s="359">
        <f>'Evolutive SFP'!BE10</f>
        <v>0</v>
      </c>
      <c r="BG27" s="359">
        <f>'Evolutive SFP'!BF10</f>
        <v>0</v>
      </c>
      <c r="BH27" s="359">
        <f>'Evolutive SFP'!BG10</f>
        <v>0</v>
      </c>
      <c r="BI27" s="359">
        <f>'Evolutive SFP'!BH10</f>
        <v>0</v>
      </c>
      <c r="BJ27" s="359">
        <f>'Evolutive SFP'!BI10</f>
        <v>0</v>
      </c>
      <c r="BK27" s="359">
        <f>'Evolutive SFP'!BJ10</f>
        <v>0</v>
      </c>
      <c r="BL27" s="359">
        <f>'Evolutive SFP'!BK10</f>
        <v>0</v>
      </c>
      <c r="BM27" s="359">
        <f>'Evolutive SFP'!BL10</f>
        <v>0</v>
      </c>
      <c r="BN27" s="359">
        <f>'Evolutive SFP'!BM10</f>
        <v>0</v>
      </c>
      <c r="BO27" s="359">
        <f>'Evolutive SFP'!BN10</f>
        <v>0</v>
      </c>
      <c r="BP27" s="359">
        <f>'Evolutive SFP'!BO10</f>
        <v>0</v>
      </c>
      <c r="BQ27" s="359">
        <f>'Evolutive SFP'!BQ10</f>
        <v>0</v>
      </c>
      <c r="BR27" s="359">
        <f>'Evolutive SFP'!BR10</f>
        <v>0</v>
      </c>
      <c r="BS27" s="359">
        <f>'Evolutive SFP'!BS10</f>
        <v>0</v>
      </c>
      <c r="BT27" s="359">
        <f>'Evolutive SFP'!BT10</f>
        <v>0</v>
      </c>
      <c r="BU27" s="359">
        <f>'Evolutive SFP'!BU10</f>
        <v>0</v>
      </c>
      <c r="BV27" s="359">
        <f>'Evolutive SFP'!BV10</f>
        <v>0</v>
      </c>
      <c r="BW27" s="359">
        <f>'Evolutive SFP'!BW10</f>
        <v>0</v>
      </c>
    </row>
    <row r="28" spans="1:75">
      <c r="A28" s="361">
        <v>6.3</v>
      </c>
      <c r="B28" s="360" t="s">
        <v>93</v>
      </c>
      <c r="C28" s="359">
        <f>'Evolutive SFP'!B11</f>
        <v>0</v>
      </c>
      <c r="D28" s="359">
        <f>'Evolutive SFP'!C11</f>
        <v>12538388</v>
      </c>
      <c r="E28" s="359">
        <f>'Evolutive SFP'!D8</f>
        <v>48835388.43</v>
      </c>
      <c r="F28" s="359">
        <f>'Evolutive SFP'!E11</f>
        <v>0</v>
      </c>
      <c r="G28" s="359">
        <f>'Evolutive SFP'!F11</f>
        <v>0</v>
      </c>
      <c r="H28" s="359" t="e">
        <f>'Evolutive SFP'!#REF!</f>
        <v>#REF!</v>
      </c>
      <c r="I28" s="359">
        <f>'Evolutive SFP'!H11</f>
        <v>0</v>
      </c>
      <c r="J28" s="359">
        <f>'Evolutive SFP'!I11</f>
        <v>0</v>
      </c>
      <c r="K28" s="359">
        <f>'Evolutive SFP'!J11</f>
        <v>0</v>
      </c>
      <c r="L28" s="359">
        <f>'Evolutive SFP'!K11</f>
        <v>0</v>
      </c>
      <c r="M28" s="359">
        <f>'Evolutive SFP'!L11</f>
        <v>0</v>
      </c>
      <c r="N28" s="359">
        <f>'Evolutive SFP'!M11</f>
        <v>0</v>
      </c>
      <c r="O28" s="359">
        <f>'Evolutive SFP'!N11</f>
        <v>0</v>
      </c>
      <c r="P28" s="359">
        <f>'Evolutive SFP'!O11</f>
        <v>0</v>
      </c>
      <c r="Q28" s="359">
        <f>'Evolutive SFP'!P11</f>
        <v>44751922</v>
      </c>
      <c r="R28" s="359">
        <f>'Evolutive SFP'!Q11</f>
        <v>0</v>
      </c>
      <c r="S28" s="359">
        <f>'Evolutive SFP'!R11</f>
        <v>0</v>
      </c>
      <c r="T28" s="359">
        <f>'Evolutive SFP'!S11</f>
        <v>0</v>
      </c>
      <c r="U28" s="359">
        <f>'Evolutive SFP'!T11</f>
        <v>0</v>
      </c>
      <c r="V28" s="359">
        <f>'Evolutive SFP'!U11</f>
        <v>0</v>
      </c>
      <c r="W28" s="359">
        <f>'Evolutive SFP'!V11</f>
        <v>0</v>
      </c>
      <c r="X28" s="359">
        <f>'Evolutive SFP'!W11</f>
        <v>0</v>
      </c>
      <c r="Y28" s="359">
        <f>'Evolutive SFP'!X11</f>
        <v>0</v>
      </c>
      <c r="Z28" s="359">
        <f>'Evolutive SFP'!Y11</f>
        <v>0</v>
      </c>
      <c r="AA28" s="359">
        <f>'Evolutive SFP'!Z11</f>
        <v>0</v>
      </c>
      <c r="AB28" s="359">
        <f>'Evolutive SFP'!AA11</f>
        <v>0</v>
      </c>
      <c r="AC28" s="359">
        <f>'Evolutive SFP'!AB11</f>
        <v>0</v>
      </c>
      <c r="AD28" s="359">
        <f>'Evolutive SFP'!AC11</f>
        <v>252130090</v>
      </c>
      <c r="AE28" s="359">
        <f>'Evolutive SFP'!AD11</f>
        <v>277180090.27999997</v>
      </c>
      <c r="AF28" s="359">
        <f>'Evolutive SFP'!AE11</f>
        <v>187230090.28</v>
      </c>
      <c r="AG28" s="359">
        <f>'Evolutive SFP'!AF11</f>
        <v>237330090.28</v>
      </c>
      <c r="AH28" s="359">
        <f>'Evolutive SFP'!AG11</f>
        <v>257330090.28</v>
      </c>
      <c r="AI28" s="359">
        <f>'Evolutive SFP'!AH11</f>
        <v>307380090.27999997</v>
      </c>
      <c r="AJ28" s="359">
        <f>'Evolutive SFP'!AI11</f>
        <v>357441696.62</v>
      </c>
      <c r="AK28" s="359">
        <f>'Evolutive SFP'!AJ11</f>
        <v>615107413.96000004</v>
      </c>
      <c r="AL28" s="359">
        <f>'Evolutive SFP'!AK11</f>
        <v>357603706.98000002</v>
      </c>
      <c r="AM28" s="359">
        <f>'Evolutive SFP'!AL11</f>
        <v>332603706.98000002</v>
      </c>
      <c r="AN28" s="359">
        <f>'Evolutive SFP'!AM11</f>
        <v>384720302.48000002</v>
      </c>
      <c r="AO28" s="359">
        <f>'Evolutive SFP'!AN11</f>
        <v>484770302.48000002</v>
      </c>
      <c r="AP28" s="359">
        <f>'Evolutive SFP'!AO11</f>
        <v>430232742</v>
      </c>
      <c r="AQ28" s="359">
        <f>'Evolutive SFP'!AP11</f>
        <v>0</v>
      </c>
      <c r="AR28" s="359">
        <f>'Evolutive SFP'!AQ11</f>
        <v>0</v>
      </c>
      <c r="AS28" s="359">
        <f>'Evolutive SFP'!AR11</f>
        <v>0</v>
      </c>
      <c r="AT28" s="359">
        <f>'Evolutive SFP'!AS11</f>
        <v>0</v>
      </c>
      <c r="AU28" s="359">
        <f>'Evolutive SFP'!AT11</f>
        <v>0</v>
      </c>
      <c r="AV28" s="359">
        <f>'Evolutive SFP'!AU11</f>
        <v>0</v>
      </c>
      <c r="AW28" s="359">
        <f>'Evolutive SFP'!AV11</f>
        <v>0</v>
      </c>
      <c r="AX28" s="359">
        <f>'Evolutive SFP'!AW11</f>
        <v>0</v>
      </c>
      <c r="AY28" s="359">
        <f>'Evolutive SFP'!AX11</f>
        <v>0</v>
      </c>
      <c r="AZ28" s="359">
        <f>'Evolutive SFP'!AY11</f>
        <v>0</v>
      </c>
      <c r="BA28" s="359">
        <f>'Evolutive SFP'!AZ11</f>
        <v>0</v>
      </c>
      <c r="BB28" s="359">
        <f>'Evolutive SFP'!BA11</f>
        <v>0</v>
      </c>
      <c r="BC28" s="359">
        <f>'Evolutive SFP'!BB11</f>
        <v>0</v>
      </c>
      <c r="BD28" s="359">
        <f>'Evolutive SFP'!BC11</f>
        <v>0</v>
      </c>
      <c r="BE28" s="359">
        <f>'Evolutive SFP'!BD11</f>
        <v>0</v>
      </c>
      <c r="BF28" s="359">
        <f>'Evolutive SFP'!BE11</f>
        <v>0</v>
      </c>
      <c r="BG28" s="359">
        <f>'Evolutive SFP'!BF11</f>
        <v>0</v>
      </c>
      <c r="BH28" s="359">
        <f>'Evolutive SFP'!BG11</f>
        <v>0</v>
      </c>
      <c r="BI28" s="359">
        <f>'Evolutive SFP'!BH11</f>
        <v>0</v>
      </c>
      <c r="BJ28" s="359">
        <f>'Evolutive SFP'!BI11</f>
        <v>0</v>
      </c>
      <c r="BK28" s="359">
        <f>'Evolutive SFP'!BJ11</f>
        <v>0</v>
      </c>
      <c r="BL28" s="359">
        <f>'Evolutive SFP'!BK11</f>
        <v>0</v>
      </c>
      <c r="BM28" s="359">
        <f>'Evolutive SFP'!BL11</f>
        <v>0</v>
      </c>
      <c r="BN28" s="359">
        <f>'Evolutive SFP'!BM11</f>
        <v>0</v>
      </c>
      <c r="BO28" s="359">
        <f>'Evolutive SFP'!BN11</f>
        <v>0</v>
      </c>
      <c r="BP28" s="359">
        <f>'Evolutive SFP'!BO11</f>
        <v>0</v>
      </c>
      <c r="BQ28" s="359">
        <f>'Evolutive SFP'!BQ11</f>
        <v>0</v>
      </c>
      <c r="BR28" s="359">
        <f>'Evolutive SFP'!BR11</f>
        <v>0</v>
      </c>
      <c r="BS28" s="359">
        <f>'Evolutive SFP'!BS11</f>
        <v>0</v>
      </c>
      <c r="BT28" s="359">
        <f>'Evolutive SFP'!BT11</f>
        <v>0</v>
      </c>
      <c r="BU28" s="359">
        <f>'Evolutive SFP'!BU11</f>
        <v>0</v>
      </c>
      <c r="BV28" s="359">
        <f>'Evolutive SFP'!BV11</f>
        <v>0</v>
      </c>
      <c r="BW28" s="359">
        <f>'Evolutive SFP'!BW11</f>
        <v>0</v>
      </c>
    </row>
    <row r="29" spans="1:75">
      <c r="A29" s="355"/>
      <c r="B29" s="360"/>
      <c r="C29" s="359"/>
      <c r="D29" s="359"/>
      <c r="E29" s="359"/>
      <c r="F29" s="359"/>
      <c r="G29" s="359"/>
      <c r="H29" s="359"/>
      <c r="I29" s="359"/>
      <c r="J29" s="359"/>
      <c r="K29" s="359"/>
      <c r="L29" s="359"/>
      <c r="M29" s="359"/>
      <c r="N29" s="359"/>
      <c r="O29" s="359"/>
      <c r="P29" s="359"/>
      <c r="Q29" s="359"/>
      <c r="R29" s="359"/>
      <c r="S29" s="359"/>
      <c r="T29" s="359"/>
      <c r="U29" s="359"/>
      <c r="V29" s="359"/>
      <c r="W29" s="359"/>
      <c r="X29" s="359"/>
      <c r="Y29" s="359"/>
      <c r="Z29" s="359"/>
      <c r="AA29" s="359"/>
      <c r="AB29" s="359"/>
      <c r="AC29" s="359"/>
      <c r="AD29" s="359"/>
      <c r="AE29" s="359"/>
      <c r="AF29" s="359"/>
      <c r="AG29" s="359"/>
      <c r="AH29" s="359"/>
      <c r="AI29" s="359"/>
      <c r="AJ29" s="359"/>
      <c r="AK29" s="359"/>
      <c r="AL29" s="359"/>
      <c r="AM29" s="359"/>
      <c r="AN29" s="359"/>
      <c r="AO29" s="359"/>
      <c r="AP29" s="359"/>
      <c r="AQ29" s="359"/>
      <c r="AR29" s="359"/>
      <c r="AS29" s="359"/>
      <c r="AT29" s="359"/>
      <c r="AU29" s="359"/>
      <c r="AV29" s="359"/>
      <c r="AW29" s="359"/>
      <c r="AX29" s="359"/>
      <c r="AY29" s="359"/>
      <c r="AZ29" s="359"/>
      <c r="BA29" s="359"/>
      <c r="BB29" s="359"/>
      <c r="BC29" s="359"/>
      <c r="BD29" s="359"/>
      <c r="BE29" s="359"/>
      <c r="BF29" s="359"/>
      <c r="BG29" s="359"/>
      <c r="BH29" s="359"/>
      <c r="BI29" s="359"/>
      <c r="BJ29" s="359"/>
      <c r="BK29" s="359"/>
      <c r="BL29" s="359"/>
      <c r="BM29" s="359"/>
      <c r="BN29" s="359"/>
      <c r="BO29" s="359"/>
      <c r="BP29" s="359"/>
      <c r="BQ29" s="359"/>
      <c r="BR29" s="359"/>
      <c r="BS29" s="359"/>
      <c r="BT29" s="359"/>
      <c r="BU29" s="359"/>
      <c r="BV29" s="359"/>
      <c r="BW29" s="359"/>
    </row>
    <row r="30" spans="1:75">
      <c r="A30" s="361">
        <v>7</v>
      </c>
      <c r="B30" s="355" t="s">
        <v>94</v>
      </c>
      <c r="C30" s="359">
        <f>'Evolutive SFP'!B14</f>
        <v>112905266</v>
      </c>
      <c r="D30" s="359">
        <f>'Evolutive SFP'!C14</f>
        <v>685110959</v>
      </c>
      <c r="E30" s="359">
        <f>'Evolutive SFP'!D10</f>
        <v>0</v>
      </c>
      <c r="F30" s="359">
        <f>'Evolutive SFP'!E14</f>
        <v>673849166.5999999</v>
      </c>
      <c r="G30" s="359">
        <f>'Evolutive SFP'!F14</f>
        <v>677628004.57999992</v>
      </c>
      <c r="H30" s="359" t="e">
        <f>'Evolutive SFP'!#REF!</f>
        <v>#REF!</v>
      </c>
      <c r="I30" s="359">
        <f>'Evolutive SFP'!H14</f>
        <v>682267335.1500001</v>
      </c>
      <c r="J30" s="359">
        <f>'Evolutive SFP'!I14</f>
        <v>682668361.53999996</v>
      </c>
      <c r="K30" s="359">
        <f>'Evolutive SFP'!J14</f>
        <v>676223775.87</v>
      </c>
      <c r="L30" s="359">
        <f>'Evolutive SFP'!K14</f>
        <v>673819468.60000002</v>
      </c>
      <c r="M30" s="359">
        <f>'Evolutive SFP'!L14</f>
        <v>678451149.19000006</v>
      </c>
      <c r="N30" s="359">
        <f>'Evolutive SFP'!M14</f>
        <v>512602227.41999996</v>
      </c>
      <c r="O30" s="359">
        <f>'Evolutive SFP'!N14</f>
        <v>558996576.93000007</v>
      </c>
      <c r="P30" s="359">
        <f>'Evolutive SFP'!O14</f>
        <v>578467516.33000004</v>
      </c>
      <c r="Q30" s="359">
        <f>'Evolutive SFP'!P14</f>
        <v>627967516</v>
      </c>
      <c r="R30" s="359">
        <f>'Evolutive SFP'!Q14</f>
        <v>595868657.73000002</v>
      </c>
      <c r="S30" s="359">
        <f>'Evolutive SFP'!R14</f>
        <v>619780266.39999998</v>
      </c>
      <c r="T30" s="359">
        <f>'Evolutive SFP'!S14</f>
        <v>620977124.93999994</v>
      </c>
      <c r="U30" s="359">
        <f>'Evolutive SFP'!T14</f>
        <v>622776537.63999999</v>
      </c>
      <c r="V30" s="359">
        <f>'Evolutive SFP'!U14</f>
        <v>632271922.41999996</v>
      </c>
      <c r="W30" s="359">
        <f>'Evolutive SFP'!V14</f>
        <v>622159904.50999999</v>
      </c>
      <c r="X30" s="359">
        <f>'Evolutive SFP'!W14</f>
        <v>624088163.13000011</v>
      </c>
      <c r="Y30" s="359">
        <f>'Evolutive SFP'!X14</f>
        <v>638184802.01999998</v>
      </c>
      <c r="Z30" s="359">
        <f>'Evolutive SFP'!Y14</f>
        <v>647872602.8499999</v>
      </c>
      <c r="AA30" s="359">
        <f>'Evolutive SFP'!Z14</f>
        <v>187379675.84</v>
      </c>
      <c r="AB30" s="359">
        <f>'Evolutive SFP'!AA14</f>
        <v>187382238.84</v>
      </c>
      <c r="AC30" s="359">
        <f>'Evolutive SFP'!AB14</f>
        <v>163849196.50999999</v>
      </c>
      <c r="AD30" s="359">
        <f>'Evolutive SFP'!AC14</f>
        <v>653020530</v>
      </c>
      <c r="AE30" s="359">
        <f>'Evolutive SFP'!AD14</f>
        <v>620642309.44000006</v>
      </c>
      <c r="AF30" s="359">
        <f>'Evolutive SFP'!AE14</f>
        <v>623139830.22000003</v>
      </c>
      <c r="AG30" s="359">
        <f>'Evolutive SFP'!AF14</f>
        <v>627483868.50999999</v>
      </c>
      <c r="AH30" s="359">
        <f>'Evolutive SFP'!AG14</f>
        <v>617768669.22000003</v>
      </c>
      <c r="AI30" s="359">
        <f>'Evolutive SFP'!AH14</f>
        <v>608116852.81999993</v>
      </c>
      <c r="AJ30" s="359">
        <f>'Evolutive SFP'!AI14</f>
        <v>607323442.12</v>
      </c>
      <c r="AK30" s="359">
        <f>'Evolutive SFP'!AJ14</f>
        <v>1229507079.1400001</v>
      </c>
      <c r="AL30" s="359">
        <f>'Evolutive SFP'!AK14</f>
        <v>627624130.81999993</v>
      </c>
      <c r="AM30" s="359">
        <f>'Evolutive SFP'!AL14</f>
        <v>538834648.62</v>
      </c>
      <c r="AN30" s="359">
        <f>'Evolutive SFP'!AM14</f>
        <v>579606528.29999995</v>
      </c>
      <c r="AO30" s="359">
        <f>'Evolutive SFP'!AN14</f>
        <v>591900325.82000005</v>
      </c>
      <c r="AP30" s="359">
        <f>'Evolutive SFP'!AO14</f>
        <v>635195558</v>
      </c>
      <c r="AQ30" s="359">
        <f>'Evolutive SFP'!AP14</f>
        <v>594487368.42000008</v>
      </c>
      <c r="AR30" s="359">
        <f>'Evolutive SFP'!AQ14</f>
        <v>603909135.78999996</v>
      </c>
      <c r="AS30" s="359">
        <f>'Evolutive SFP'!AR14</f>
        <v>608678221.24000001</v>
      </c>
      <c r="AT30" s="359">
        <f>'Evolutive SFP'!AS14</f>
        <v>603786035.83000004</v>
      </c>
      <c r="AU30" s="359">
        <f>'Evolutive SFP'!AT14</f>
        <v>616552782.24000001</v>
      </c>
      <c r="AV30" s="359">
        <f>'Evolutive SFP'!AU14</f>
        <v>629704340.90999997</v>
      </c>
      <c r="AW30" s="359">
        <f>'Evolutive SFP'!AV14</f>
        <v>639287168.13</v>
      </c>
      <c r="AX30" s="359">
        <f>'Evolutive SFP'!AW14</f>
        <v>660365462.88999999</v>
      </c>
      <c r="AY30" s="359">
        <f>'Evolutive SFP'!AX14</f>
        <v>666042966.85000002</v>
      </c>
      <c r="AZ30" s="359">
        <f>'Evolutive SFP'!AY14</f>
        <v>588061505.60000002</v>
      </c>
      <c r="BA30" s="359">
        <f>'Evolutive SFP'!AZ14</f>
        <v>626141705.76999998</v>
      </c>
      <c r="BB30" s="359">
        <f>'Evolutive SFP'!BA14</f>
        <v>644458806.98000002</v>
      </c>
      <c r="BC30" s="359">
        <f>'Evolutive SFP'!BB14</f>
        <v>571668726</v>
      </c>
      <c r="BD30" s="359">
        <f>'Evolutive SFP'!BC14</f>
        <v>655539406.21000004</v>
      </c>
      <c r="BE30" s="359">
        <f>'Evolutive SFP'!BD14</f>
        <v>545948792.97000003</v>
      </c>
      <c r="BF30" s="359">
        <f>'Evolutive SFP'!BE14</f>
        <v>544358233.1099999</v>
      </c>
      <c r="BG30" s="359">
        <f>'Evolutive SFP'!BF14</f>
        <v>545844518.15999997</v>
      </c>
      <c r="BH30" s="359">
        <f>'Evolutive SFP'!BG14</f>
        <v>544448333.01999998</v>
      </c>
      <c r="BI30" s="359">
        <f>'Evolutive SFP'!BH14</f>
        <v>555758423.6400001</v>
      </c>
      <c r="BJ30" s="359">
        <f>'Evolutive SFP'!BI14</f>
        <v>499338001.74000001</v>
      </c>
      <c r="BK30" s="359">
        <f>'Evolutive SFP'!BJ14</f>
        <v>519476133.25</v>
      </c>
      <c r="BL30" s="359">
        <f>'Evolutive SFP'!BK14</f>
        <v>547038296.41000009</v>
      </c>
      <c r="BM30" s="359">
        <f>'Evolutive SFP'!BL14</f>
        <v>556972580.58999991</v>
      </c>
      <c r="BN30" s="359">
        <f>'Evolutive SFP'!BM14</f>
        <v>572871537.08000004</v>
      </c>
      <c r="BO30" s="359">
        <f>'Evolutive SFP'!BN14</f>
        <v>598390915.98000002</v>
      </c>
      <c r="BP30" s="359">
        <f>'Evolutive SFP'!BO14</f>
        <v>598486828</v>
      </c>
      <c r="BQ30" s="359">
        <f>'Evolutive SFP'!BQ14</f>
        <v>0</v>
      </c>
      <c r="BR30" s="359">
        <f>'Evolutive SFP'!BR14</f>
        <v>0</v>
      </c>
      <c r="BS30" s="359">
        <f>'Evolutive SFP'!BS14</f>
        <v>0</v>
      </c>
      <c r="BT30" s="359">
        <f>'Evolutive SFP'!BT14</f>
        <v>0</v>
      </c>
      <c r="BU30" s="359">
        <f>'Evolutive SFP'!BU14</f>
        <v>0</v>
      </c>
      <c r="BV30" s="359">
        <f>'Evolutive SFP'!BV14</f>
        <v>0</v>
      </c>
      <c r="BW30" s="359">
        <f>'Evolutive SFP'!BW14</f>
        <v>0</v>
      </c>
    </row>
    <row r="31" spans="1:75">
      <c r="A31" s="361">
        <v>7.1</v>
      </c>
      <c r="B31" s="355" t="s">
        <v>95</v>
      </c>
      <c r="C31" s="359">
        <f>'Evolutive SFP'!B15</f>
        <v>112905266</v>
      </c>
      <c r="D31" s="359">
        <f>'Evolutive SFP'!C15</f>
        <v>832525078</v>
      </c>
      <c r="E31" s="359">
        <f>'Evolutive SFP'!D11</f>
        <v>0</v>
      </c>
      <c r="F31" s="359">
        <f>'Evolutive SFP'!E15</f>
        <v>825101613.66999996</v>
      </c>
      <c r="G31" s="359">
        <f>'Evolutive SFP'!F15</f>
        <v>830799802.80999994</v>
      </c>
      <c r="H31" s="359" t="e">
        <f>'Evolutive SFP'!#REF!</f>
        <v>#REF!</v>
      </c>
      <c r="I31" s="359">
        <f>'Evolutive SFP'!H15</f>
        <v>839278209.70000005</v>
      </c>
      <c r="J31" s="359">
        <f>'Evolutive SFP'!I15</f>
        <v>841598587.25</v>
      </c>
      <c r="K31" s="359">
        <f>'Evolutive SFP'!J15</f>
        <v>835154001.58000004</v>
      </c>
      <c r="L31" s="359">
        <f>'Evolutive SFP'!K15</f>
        <v>836600646.63</v>
      </c>
      <c r="M31" s="359">
        <f>'Evolutive SFP'!L15</f>
        <v>843151678.38</v>
      </c>
      <c r="N31" s="359">
        <f>'Evolutive SFP'!M15</f>
        <v>679222107.76999998</v>
      </c>
      <c r="O31" s="359">
        <f>'Evolutive SFP'!N15</f>
        <v>729455159.60000002</v>
      </c>
      <c r="P31" s="359">
        <f>'Evolutive SFP'!O15</f>
        <v>742040870.32000005</v>
      </c>
      <c r="Q31" s="359">
        <f>'Evolutive SFP'!P15</f>
        <v>791540870</v>
      </c>
      <c r="R31" s="359">
        <f>'Evolutive SFP'!Q15</f>
        <v>759442011.72000003</v>
      </c>
      <c r="S31" s="359">
        <f>'Evolutive SFP'!R15</f>
        <v>783913689.25</v>
      </c>
      <c r="T31" s="359">
        <f>'Evolutive SFP'!S15</f>
        <v>785670616.64999998</v>
      </c>
      <c r="U31" s="359">
        <f>'Evolutive SFP'!T15</f>
        <v>789513847.00999999</v>
      </c>
      <c r="V31" s="359">
        <f>'Evolutive SFP'!U15</f>
        <v>799798207.14999998</v>
      </c>
      <c r="W31" s="359">
        <f>'Evolutive SFP'!V15</f>
        <v>797996164.53999996</v>
      </c>
      <c r="X31" s="359">
        <f>'Evolutive SFP'!W15</f>
        <v>801968240.83000004</v>
      </c>
      <c r="Y31" s="359">
        <f>'Evolutive SFP'!X15</f>
        <v>816064879.72000003</v>
      </c>
      <c r="Z31" s="359">
        <f>'Evolutive SFP'!Y15</f>
        <v>827077008.04999995</v>
      </c>
      <c r="AA31" s="359">
        <f>'Evolutive SFP'!Z15</f>
        <v>187379675.84</v>
      </c>
      <c r="AB31" s="359">
        <f>'Evolutive SFP'!AA15</f>
        <v>187382238.84</v>
      </c>
      <c r="AC31" s="359">
        <f>'Evolutive SFP'!AB15</f>
        <v>163849196.50999999</v>
      </c>
      <c r="AD31" s="359">
        <f>'Evolutive SFP'!AC15</f>
        <v>816869727</v>
      </c>
      <c r="AE31" s="359">
        <f>'Evolutive SFP'!AD15</f>
        <v>785491505.95000005</v>
      </c>
      <c r="AF31" s="359">
        <f>'Evolutive SFP'!AE15</f>
        <v>790040444.40999997</v>
      </c>
      <c r="AG31" s="359">
        <f>'Evolutive SFP'!AF15</f>
        <v>796476215.38999999</v>
      </c>
      <c r="AH31" s="359">
        <f>'Evolutive SFP'!AG15</f>
        <v>788907626.88999999</v>
      </c>
      <c r="AI31" s="359">
        <f>'Evolutive SFP'!AH15</f>
        <v>781327508.67999995</v>
      </c>
      <c r="AJ31" s="359">
        <f>'Evolutive SFP'!AI15</f>
        <v>782586804.65999997</v>
      </c>
      <c r="AK31" s="359">
        <f>'Evolutive SFP'!AJ15</f>
        <v>1588341935.9200001</v>
      </c>
      <c r="AL31" s="359">
        <f>'Evolutive SFP'!AK15</f>
        <v>809089876.88999999</v>
      </c>
      <c r="AM31" s="359">
        <f>'Evolutive SFP'!AL15</f>
        <v>724061278.88999999</v>
      </c>
      <c r="AN31" s="359">
        <f>'Evolutive SFP'!AM15</f>
        <v>755036109.05999994</v>
      </c>
      <c r="AO31" s="359">
        <f>'Evolutive SFP'!AN15</f>
        <v>766445318.70000005</v>
      </c>
      <c r="AP31" s="359">
        <f>'Evolutive SFP'!AO15</f>
        <v>810945319</v>
      </c>
      <c r="AQ31" s="359">
        <f>'Evolutive SFP'!AP15</f>
        <v>771737893.21000004</v>
      </c>
      <c r="AR31" s="359">
        <f>'Evolutive SFP'!AQ15</f>
        <v>782477346.47000003</v>
      </c>
      <c r="AS31" s="359">
        <f>'Evolutive SFP'!AR15</f>
        <v>788289120.19000006</v>
      </c>
      <c r="AT31" s="359">
        <f>'Evolutive SFP'!AS15</f>
        <v>785444941.46000004</v>
      </c>
      <c r="AU31" s="359">
        <f>'Evolutive SFP'!AT15</f>
        <v>800416177.94000006</v>
      </c>
      <c r="AV31" s="359">
        <f>'Evolutive SFP'!AU15</f>
        <v>815623623.28999996</v>
      </c>
      <c r="AW31" s="359">
        <f>'Evolutive SFP'!AV15</f>
        <v>827249668.13</v>
      </c>
      <c r="AX31" s="359">
        <f>'Evolutive SFP'!AW15</f>
        <v>851274019.63</v>
      </c>
      <c r="AY31" s="359">
        <f>'Evolutive SFP'!AX15</f>
        <v>858987261.26999998</v>
      </c>
      <c r="AZ31" s="359">
        <f>'Evolutive SFP'!AY15</f>
        <v>782842450.70000005</v>
      </c>
      <c r="BA31" s="359">
        <f>'Evolutive SFP'!AZ15</f>
        <v>822967568.54999995</v>
      </c>
      <c r="BB31" s="359">
        <f>'Evolutive SFP'!BA15</f>
        <v>830832172</v>
      </c>
      <c r="BC31" s="359">
        <f>'Evolutive SFP'!BB15</f>
        <v>758041891</v>
      </c>
      <c r="BD31" s="359">
        <f>'Evolutive SFP'!BC15</f>
        <v>843450261.76999998</v>
      </c>
      <c r="BE31" s="359">
        <f>'Evolutive SFP'!BD15</f>
        <v>735094990.26999998</v>
      </c>
      <c r="BF31" s="359">
        <f>'Evolutive SFP'!BE15</f>
        <v>735759323.17999995</v>
      </c>
      <c r="BG31" s="359">
        <f>'Evolutive SFP'!BF15</f>
        <v>738972982.00999999</v>
      </c>
      <c r="BH31" s="359">
        <f>'Evolutive SFP'!BG15</f>
        <v>739303391.60000002</v>
      </c>
      <c r="BI31" s="359">
        <f>'Evolutive SFP'!BH15</f>
        <v>754346534.34000003</v>
      </c>
      <c r="BJ31" s="359">
        <f>'Evolutive SFP'!BI15</f>
        <v>702662755.75999999</v>
      </c>
      <c r="BK31" s="359">
        <f>'Evolutive SFP'!BJ15</f>
        <v>722800887.26999998</v>
      </c>
      <c r="BL31" s="359">
        <f>'Evolutive SFP'!BK15</f>
        <v>752433572.47000003</v>
      </c>
      <c r="BM31" s="359">
        <f>'Evolutive SFP'!BL15</f>
        <v>763817643.04999995</v>
      </c>
      <c r="BN31" s="359">
        <f>'Evolutive SFP'!BM15</f>
        <v>784759225.62</v>
      </c>
      <c r="BO31" s="359">
        <f>'Evolutive SFP'!BN15</f>
        <v>812066463.89999998</v>
      </c>
      <c r="BP31" s="359">
        <f>'Evolutive SFP'!BO15</f>
        <v>812162376</v>
      </c>
      <c r="BQ31" s="359">
        <f>'Evolutive SFP'!BQ15</f>
        <v>0</v>
      </c>
      <c r="BR31" s="359">
        <f>'Evolutive SFP'!BR15</f>
        <v>0</v>
      </c>
      <c r="BS31" s="359">
        <f>'Evolutive SFP'!BS15</f>
        <v>0</v>
      </c>
      <c r="BT31" s="359">
        <f>'Evolutive SFP'!BT15</f>
        <v>0</v>
      </c>
      <c r="BU31" s="359">
        <f>'Evolutive SFP'!BU15</f>
        <v>0</v>
      </c>
      <c r="BV31" s="359">
        <f>'Evolutive SFP'!BV15</f>
        <v>0</v>
      </c>
      <c r="BW31" s="359">
        <f>'Evolutive SFP'!BW15</f>
        <v>0</v>
      </c>
    </row>
    <row r="32" spans="1:75">
      <c r="A32" s="361">
        <v>7.2</v>
      </c>
      <c r="B32" s="355" t="s">
        <v>96</v>
      </c>
      <c r="C32" s="359">
        <f>'Evolutive SFP'!B16</f>
        <v>0</v>
      </c>
      <c r="D32" s="359">
        <f>'Evolutive SFP'!C16</f>
        <v>147414119</v>
      </c>
      <c r="E32" s="359">
        <f>'Evolutive SFP'!D13</f>
        <v>48835388.43</v>
      </c>
      <c r="F32" s="359">
        <f>'Evolutive SFP'!E16</f>
        <v>151252447.06999999</v>
      </c>
      <c r="G32" s="359">
        <f>'Evolutive SFP'!F16</f>
        <v>153171798.22999999</v>
      </c>
      <c r="H32" s="359" t="e">
        <f>'Evolutive SFP'!#REF!</f>
        <v>#REF!</v>
      </c>
      <c r="I32" s="359">
        <f>'Evolutive SFP'!H16</f>
        <v>157010874.55000001</v>
      </c>
      <c r="J32" s="359">
        <f>'Evolutive SFP'!I16</f>
        <v>158930225.71000001</v>
      </c>
      <c r="K32" s="359">
        <f>'Evolutive SFP'!J16</f>
        <v>158930225.71000001</v>
      </c>
      <c r="L32" s="359">
        <f>'Evolutive SFP'!K16</f>
        <v>162781178.03</v>
      </c>
      <c r="M32" s="359">
        <f>'Evolutive SFP'!L16</f>
        <v>164700529.19</v>
      </c>
      <c r="N32" s="359">
        <f>'Evolutive SFP'!M16</f>
        <v>166619880.34999999</v>
      </c>
      <c r="O32" s="359">
        <f>'Evolutive SFP'!N16</f>
        <v>170458582.66999999</v>
      </c>
      <c r="P32" s="359">
        <f>'Evolutive SFP'!O16</f>
        <v>163573353.99000001</v>
      </c>
      <c r="Q32" s="359">
        <f>'Evolutive SFP'!P16</f>
        <v>163573354</v>
      </c>
      <c r="R32" s="359">
        <f>'Evolutive SFP'!Q16</f>
        <v>163573353.99000001</v>
      </c>
      <c r="S32" s="359">
        <f>'Evolutive SFP'!R16</f>
        <v>164133422.84999999</v>
      </c>
      <c r="T32" s="359">
        <f>'Evolutive SFP'!S16</f>
        <v>164693491.71000001</v>
      </c>
      <c r="U32" s="359">
        <f>'Evolutive SFP'!T16</f>
        <v>166737309.37</v>
      </c>
      <c r="V32" s="359">
        <f>'Evolutive SFP'!U16</f>
        <v>167526284.72999999</v>
      </c>
      <c r="W32" s="359">
        <f>'Evolutive SFP'!V16</f>
        <v>175836260.03</v>
      </c>
      <c r="X32" s="359">
        <f>'Evolutive SFP'!W16</f>
        <v>177880077.69999999</v>
      </c>
      <c r="Y32" s="359">
        <f>'Evolutive SFP'!X16</f>
        <v>177880077.69999999</v>
      </c>
      <c r="Z32" s="359">
        <f>'Evolutive SFP'!Y16</f>
        <v>179204405.19999999</v>
      </c>
      <c r="AA32" s="359">
        <f>'Evolutive SFP'!Z16</f>
        <v>0</v>
      </c>
      <c r="AB32" s="359">
        <f>'Evolutive SFP'!AA16</f>
        <v>0</v>
      </c>
      <c r="AC32" s="359">
        <f>'Evolutive SFP'!AB16</f>
        <v>0</v>
      </c>
      <c r="AD32" s="359">
        <f>'Evolutive SFP'!AC16</f>
        <v>163849197</v>
      </c>
      <c r="AE32" s="359">
        <f>'Evolutive SFP'!AD16</f>
        <v>164849196.50999999</v>
      </c>
      <c r="AF32" s="359">
        <f>'Evolutive SFP'!AE16</f>
        <v>166900614.19</v>
      </c>
      <c r="AG32" s="359">
        <f>'Evolutive SFP'!AF16</f>
        <v>168992346.88</v>
      </c>
      <c r="AH32" s="359">
        <f>'Evolutive SFP'!AG16</f>
        <v>171138957.66999999</v>
      </c>
      <c r="AI32" s="359">
        <f>'Evolutive SFP'!AH16</f>
        <v>173210655.86000001</v>
      </c>
      <c r="AJ32" s="359">
        <f>'Evolutive SFP'!AI16</f>
        <v>175263362.53999999</v>
      </c>
      <c r="AK32" s="359">
        <f>'Evolutive SFP'!AJ16</f>
        <v>358834856.77999997</v>
      </c>
      <c r="AL32" s="359">
        <f>'Evolutive SFP'!AK16</f>
        <v>181465746.06999999</v>
      </c>
      <c r="AM32" s="359">
        <f>'Evolutive SFP'!AL16</f>
        <v>185226630.27000001</v>
      </c>
      <c r="AN32" s="359">
        <f>'Evolutive SFP'!AM16</f>
        <v>175429580.75999999</v>
      </c>
      <c r="AO32" s="359">
        <f>'Evolutive SFP'!AN16</f>
        <v>174544992.88</v>
      </c>
      <c r="AP32" s="359">
        <f>'Evolutive SFP'!AO16</f>
        <v>175749761</v>
      </c>
      <c r="AQ32" s="359">
        <f>'Evolutive SFP'!AP16</f>
        <v>177250524.78999999</v>
      </c>
      <c r="AR32" s="359">
        <f>'Evolutive SFP'!AQ16</f>
        <v>178568210.68000001</v>
      </c>
      <c r="AS32" s="359">
        <f>'Evolutive SFP'!AR16</f>
        <v>179610898.94999999</v>
      </c>
      <c r="AT32" s="359">
        <f>'Evolutive SFP'!AS16</f>
        <v>181658905.63</v>
      </c>
      <c r="AU32" s="359">
        <f>'Evolutive SFP'!AT16</f>
        <v>183863395.69999999</v>
      </c>
      <c r="AV32" s="359">
        <f>'Evolutive SFP'!AU16</f>
        <v>185919282.38</v>
      </c>
      <c r="AW32" s="359">
        <f>'Evolutive SFP'!AV16</f>
        <v>187962500</v>
      </c>
      <c r="AX32" s="359">
        <f>'Evolutive SFP'!AW16</f>
        <v>190908556.74000001</v>
      </c>
      <c r="AY32" s="359">
        <f>'Evolutive SFP'!AX16</f>
        <v>192944294.41999999</v>
      </c>
      <c r="AZ32" s="359">
        <f>'Evolutive SFP'!AY16</f>
        <v>194780945.09999999</v>
      </c>
      <c r="BA32" s="359">
        <f>'Evolutive SFP'!AZ16</f>
        <v>196825862.78</v>
      </c>
      <c r="BB32" s="359">
        <f>'Evolutive SFP'!BA16</f>
        <v>186373365.02000001</v>
      </c>
      <c r="BC32" s="359">
        <f>'Evolutive SFP'!BB16</f>
        <v>186373165</v>
      </c>
      <c r="BD32" s="359">
        <f>'Evolutive SFP'!BC16</f>
        <v>187910855.56</v>
      </c>
      <c r="BE32" s="359">
        <f>'Evolutive SFP'!BD16</f>
        <v>189146197.30000001</v>
      </c>
      <c r="BF32" s="359">
        <f>'Evolutive SFP'!BE16</f>
        <v>191401090.06999999</v>
      </c>
      <c r="BG32" s="359">
        <f>'Evolutive SFP'!BF16</f>
        <v>193128463.84999999</v>
      </c>
      <c r="BH32" s="359">
        <f>'Evolutive SFP'!BG16</f>
        <v>194855058.58000001</v>
      </c>
      <c r="BI32" s="359">
        <f>'Evolutive SFP'!BH16</f>
        <v>198588110.69999999</v>
      </c>
      <c r="BJ32" s="359">
        <f>'Evolutive SFP'!BI16</f>
        <v>203324754.02000001</v>
      </c>
      <c r="BK32" s="359">
        <f>'Evolutive SFP'!BJ16</f>
        <v>203324754.02000001</v>
      </c>
      <c r="BL32" s="359">
        <f>'Evolutive SFP'!BK16</f>
        <v>205395276.06</v>
      </c>
      <c r="BM32" s="359">
        <f>'Evolutive SFP'!BL16</f>
        <v>206845062.46000001</v>
      </c>
      <c r="BN32" s="359">
        <f>'Evolutive SFP'!BM16</f>
        <v>211887688.53999999</v>
      </c>
      <c r="BO32" s="359">
        <f>'Evolutive SFP'!BN16</f>
        <v>213675547.91999999</v>
      </c>
      <c r="BP32" s="359">
        <f>'Evolutive SFP'!BO16</f>
        <v>213675548</v>
      </c>
      <c r="BQ32" s="359">
        <f>'Evolutive SFP'!BQ16</f>
        <v>0</v>
      </c>
      <c r="BR32" s="359">
        <f>'Evolutive SFP'!BR16</f>
        <v>0</v>
      </c>
      <c r="BS32" s="359">
        <f>'Evolutive SFP'!BS16</f>
        <v>0</v>
      </c>
      <c r="BT32" s="359">
        <f>'Evolutive SFP'!BT16</f>
        <v>0</v>
      </c>
      <c r="BU32" s="359">
        <f>'Evolutive SFP'!BU16</f>
        <v>0</v>
      </c>
      <c r="BV32" s="359">
        <f>'Evolutive SFP'!BV16</f>
        <v>0</v>
      </c>
      <c r="BW32" s="359">
        <f>'Evolutive SFP'!BW16</f>
        <v>0</v>
      </c>
    </row>
    <row r="33" spans="1:75">
      <c r="A33" s="355"/>
      <c r="B33" s="355"/>
      <c r="C33" s="359"/>
      <c r="D33" s="359"/>
      <c r="E33" s="359"/>
      <c r="F33" s="359"/>
      <c r="G33" s="359"/>
      <c r="H33" s="359"/>
      <c r="I33" s="359"/>
      <c r="J33" s="359"/>
      <c r="K33" s="359"/>
      <c r="L33" s="359"/>
      <c r="M33" s="359"/>
      <c r="N33" s="359"/>
      <c r="O33" s="359"/>
      <c r="P33" s="359"/>
      <c r="Q33" s="359"/>
      <c r="R33" s="359"/>
      <c r="S33" s="359"/>
      <c r="T33" s="359"/>
      <c r="U33" s="359"/>
      <c r="V33" s="359"/>
      <c r="W33" s="359"/>
      <c r="X33" s="359"/>
      <c r="Y33" s="359"/>
      <c r="Z33" s="359"/>
      <c r="AA33" s="359"/>
      <c r="AB33" s="359"/>
      <c r="AC33" s="359"/>
      <c r="AD33" s="359"/>
      <c r="AE33" s="359"/>
      <c r="AF33" s="359"/>
      <c r="AG33" s="359"/>
      <c r="AH33" s="359"/>
      <c r="AI33" s="359"/>
      <c r="AJ33" s="359"/>
      <c r="AK33" s="359"/>
      <c r="AL33" s="359"/>
      <c r="AM33" s="359"/>
      <c r="AN33" s="359"/>
      <c r="AO33" s="359"/>
      <c r="AP33" s="359"/>
      <c r="AQ33" s="359"/>
      <c r="AR33" s="359"/>
      <c r="AS33" s="359"/>
      <c r="AT33" s="359"/>
      <c r="AU33" s="359"/>
      <c r="AV33" s="359"/>
      <c r="AW33" s="359"/>
      <c r="AX33" s="359"/>
      <c r="AY33" s="359"/>
      <c r="AZ33" s="359"/>
      <c r="BA33" s="359"/>
      <c r="BB33" s="359"/>
      <c r="BC33" s="359"/>
      <c r="BD33" s="359"/>
      <c r="BE33" s="359"/>
      <c r="BF33" s="359"/>
      <c r="BG33" s="359"/>
      <c r="BH33" s="359"/>
      <c r="BI33" s="359"/>
      <c r="BJ33" s="359"/>
      <c r="BK33" s="359"/>
      <c r="BL33" s="359"/>
      <c r="BM33" s="359"/>
      <c r="BN33" s="359"/>
      <c r="BO33" s="359"/>
      <c r="BP33" s="359"/>
      <c r="BQ33" s="359"/>
      <c r="BR33" s="359"/>
      <c r="BS33" s="359"/>
      <c r="BT33" s="359"/>
      <c r="BU33" s="359"/>
      <c r="BV33" s="359"/>
      <c r="BW33" s="359"/>
    </row>
    <row r="34" spans="1:75">
      <c r="A34" s="361">
        <v>8</v>
      </c>
      <c r="B34" s="355" t="s">
        <v>97</v>
      </c>
      <c r="C34" s="359">
        <f>'Evolutive SFP'!B21+'Evolutive SFP'!B7</f>
        <v>18274979</v>
      </c>
      <c r="D34" s="359">
        <f>'Evolutive SFP'!C21+'Evolutive SFP'!C7</f>
        <v>108312001</v>
      </c>
      <c r="E34" s="359">
        <f>'Evolutive SFP'!D18+'Evolutive SFP'!D4</f>
        <v>228223759.26999998</v>
      </c>
      <c r="F34" s="359">
        <f>'Evolutive SFP'!E21+'Evolutive SFP'!E7</f>
        <v>163168287.28999999</v>
      </c>
      <c r="G34" s="359">
        <f>'Evolutive SFP'!F21+'Evolutive SFP'!F7</f>
        <v>166144591.13</v>
      </c>
      <c r="H34" s="359" t="e">
        <f>'Evolutive SFP'!G8+'Evolutive SFP'!#REF!</f>
        <v>#REF!</v>
      </c>
      <c r="I34" s="359">
        <f>'Evolutive SFP'!H21+'Evolutive SFP'!H7</f>
        <v>160374117.51999998</v>
      </c>
      <c r="J34" s="359">
        <f>'Evolutive SFP'!I21+'Evolutive SFP'!I7</f>
        <v>148851129.53999999</v>
      </c>
      <c r="K34" s="359">
        <f>'Evolutive SFP'!J21+'Evolutive SFP'!J7</f>
        <v>151444911.27000001</v>
      </c>
      <c r="L34" s="359">
        <f>'Evolutive SFP'!K21+'Evolutive SFP'!K7</f>
        <v>141815934.62</v>
      </c>
      <c r="M34" s="359">
        <f>'Evolutive SFP'!L21+'Evolutive SFP'!L7</f>
        <v>138834742.59</v>
      </c>
      <c r="N34" s="359">
        <f>'Evolutive SFP'!M21+'Evolutive SFP'!M7</f>
        <v>278026859.63999999</v>
      </c>
      <c r="O34" s="359">
        <f>'Evolutive SFP'!N21+'Evolutive SFP'!N7</f>
        <v>241617823.70000002</v>
      </c>
      <c r="P34" s="359">
        <f>'Evolutive SFP'!O21+'Evolutive SFP'!O7</f>
        <v>145695391.22999999</v>
      </c>
      <c r="Q34" s="359">
        <f>'Evolutive SFP'!P21+'Evolutive SFP'!P7</f>
        <v>99047082</v>
      </c>
      <c r="R34" s="359">
        <f>'Evolutive SFP'!Q21+'Evolutive SFP'!Q7</f>
        <v>148536034.17000002</v>
      </c>
      <c r="S34" s="359">
        <f>'Evolutive SFP'!R21+'Evolutive SFP'!R7</f>
        <v>147704077.63</v>
      </c>
      <c r="T34" s="359">
        <f>'Evolutive SFP'!S21+'Evolutive SFP'!S7</f>
        <v>149557363.72</v>
      </c>
      <c r="U34" s="359">
        <f>'Evolutive SFP'!T21+'Evolutive SFP'!T7</f>
        <v>154400752.69999999</v>
      </c>
      <c r="V34" s="359">
        <f>'Evolutive SFP'!U21+'Evolutive SFP'!U7</f>
        <v>142788574.94999999</v>
      </c>
      <c r="W34" s="359">
        <f>'Evolutive SFP'!V21+'Evolutive SFP'!V7</f>
        <v>117153205.27000001</v>
      </c>
      <c r="X34" s="359">
        <f>'Evolutive SFP'!W21+'Evolutive SFP'!W7</f>
        <v>115284228</v>
      </c>
      <c r="Y34" s="359">
        <f>'Evolutive SFP'!X21+'Evolutive SFP'!X7</f>
        <v>114806388.30000001</v>
      </c>
      <c r="Z34" s="359">
        <f>'Evolutive SFP'!Y21+'Evolutive SFP'!Y7</f>
        <v>114241620.7</v>
      </c>
      <c r="AA34" s="359">
        <f>'Evolutive SFP'!Z21+'Evolutive SFP'!Z7</f>
        <v>1591904878.0799999</v>
      </c>
      <c r="AB34" s="359">
        <f>'Evolutive SFP'!AA21+'Evolutive SFP'!AA7</f>
        <v>1427437324.23</v>
      </c>
      <c r="AC34" s="359">
        <f>'Evolutive SFP'!AB21+'Evolutive SFP'!AB7</f>
        <v>1376737559.5899999</v>
      </c>
      <c r="AD34" s="359">
        <f>'Evolutive SFP'!AC21+'Evolutive SFP'!AC7</f>
        <v>89598646</v>
      </c>
      <c r="AE34" s="359">
        <f>'Evolutive SFP'!AD21+'Evolutive SFP'!AD7</f>
        <v>130699286.97999999</v>
      </c>
      <c r="AF34" s="359">
        <f>'Evolutive SFP'!AE21+'Evolutive SFP'!AE7</f>
        <v>130884548.25999999</v>
      </c>
      <c r="AG34" s="359">
        <f>'Evolutive SFP'!AF21+'Evolutive SFP'!AF7</f>
        <v>127250552.58</v>
      </c>
      <c r="AH34" s="359">
        <f>'Evolutive SFP'!AG21+'Evolutive SFP'!AG7</f>
        <v>114767444.31</v>
      </c>
      <c r="AI34" s="359">
        <f>'Evolutive SFP'!AH21+'Evolutive SFP'!AH7</f>
        <v>124702096.07000001</v>
      </c>
      <c r="AJ34" s="359">
        <f>'Evolutive SFP'!AI21+'Evolutive SFP'!AI7</f>
        <v>125572070.36000001</v>
      </c>
      <c r="AK34" s="359">
        <f>'Evolutive SFP'!AJ21+'Evolutive SFP'!AJ7</f>
        <v>246023942.51999998</v>
      </c>
      <c r="AL34" s="359">
        <f>'Evolutive SFP'!AK21+'Evolutive SFP'!AK7</f>
        <v>126217020.53999999</v>
      </c>
      <c r="AM34" s="359">
        <f>'Evolutive SFP'!AL21+'Evolutive SFP'!AL7</f>
        <v>225059167.17999998</v>
      </c>
      <c r="AN34" s="359">
        <f>'Evolutive SFP'!AM21+'Evolutive SFP'!AM7</f>
        <v>125101490.97999999</v>
      </c>
      <c r="AO34" s="359">
        <f>'Evolutive SFP'!AN21+'Evolutive SFP'!AN7</f>
        <v>129496246.91</v>
      </c>
      <c r="AP34" s="359">
        <f>'Evolutive SFP'!AO21+'Evolutive SFP'!AO7</f>
        <v>91194782</v>
      </c>
      <c r="AQ34" s="359">
        <f>'Evolutive SFP'!AP21+'Evolutive SFP'!AP7</f>
        <v>127182657.88</v>
      </c>
      <c r="AR34" s="359">
        <f>'Evolutive SFP'!AQ21+'Evolutive SFP'!AQ7</f>
        <v>130027621.68000001</v>
      </c>
      <c r="AS34" s="359">
        <f>'Evolutive SFP'!AR21+'Evolutive SFP'!AR7</f>
        <v>129066603.04000001</v>
      </c>
      <c r="AT34" s="359">
        <f>'Evolutive SFP'!AS21+'Evolutive SFP'!AS7</f>
        <v>129272866.78</v>
      </c>
      <c r="AU34" s="359">
        <f>'Evolutive SFP'!AT21+'Evolutive SFP'!AT7</f>
        <v>126863629.36000001</v>
      </c>
      <c r="AV34" s="359">
        <f>'Evolutive SFP'!AU21+'Evolutive SFP'!AU7</f>
        <v>128124488.40000001</v>
      </c>
      <c r="AW34" s="359">
        <f>'Evolutive SFP'!AV21+'Evolutive SFP'!AV7</f>
        <v>128195315.22</v>
      </c>
      <c r="AX34" s="359">
        <f>'Evolutive SFP'!AW21+'Evolutive SFP'!AW7</f>
        <v>126781328.46000001</v>
      </c>
      <c r="AY34" s="359">
        <f>'Evolutive SFP'!AX21+'Evolutive SFP'!AX7</f>
        <v>134282964.22999999</v>
      </c>
      <c r="AZ34" s="359">
        <f>'Evolutive SFP'!AY21+'Evolutive SFP'!AY7</f>
        <v>224189903.05000001</v>
      </c>
      <c r="BA34" s="359">
        <f>'Evolutive SFP'!AZ21+'Evolutive SFP'!AZ7</f>
        <v>282963190.69999999</v>
      </c>
      <c r="BB34" s="359">
        <f>'Evolutive SFP'!BA21+'Evolutive SFP'!BA7</f>
        <v>150532768.13999999</v>
      </c>
      <c r="BC34" s="359">
        <f>'Evolutive SFP'!BB21+'Evolutive SFP'!BB7</f>
        <v>228217060</v>
      </c>
      <c r="BD34" s="359">
        <f>'Evolutive SFP'!BC21+'Evolutive SFP'!BC7</f>
        <v>154201843.34999999</v>
      </c>
      <c r="BE34" s="359">
        <f>'Evolutive SFP'!BD21+'Evolutive SFP'!BD7</f>
        <v>278538183.13</v>
      </c>
      <c r="BF34" s="359">
        <f>'Evolutive SFP'!BE21+'Evolutive SFP'!BE7</f>
        <v>277985815.33999997</v>
      </c>
      <c r="BG34" s="359">
        <f>'Evolutive SFP'!BF21+'Evolutive SFP'!BF7</f>
        <v>281433519.56</v>
      </c>
      <c r="BH34" s="359">
        <f>'Evolutive SFP'!BG21+'Evolutive SFP'!BG7</f>
        <v>282548469.41000003</v>
      </c>
      <c r="BI34" s="359">
        <f>'Evolutive SFP'!BH21+'Evolutive SFP'!BH7</f>
        <v>283050281.15999997</v>
      </c>
      <c r="BJ34" s="359">
        <f>'Evolutive SFP'!BI21+'Evolutive SFP'!BI7</f>
        <v>363420640.34999996</v>
      </c>
      <c r="BK34" s="359">
        <f>'Evolutive SFP'!BJ21+'Evolutive SFP'!BJ7</f>
        <v>297956770.10000002</v>
      </c>
      <c r="BL34" s="359">
        <f>'Evolutive SFP'!BK21+'Evolutive SFP'!BK7</f>
        <v>281444606.70999998</v>
      </c>
      <c r="BM34" s="359">
        <f>'Evolutive SFP'!BL21+'Evolutive SFP'!BL7</f>
        <v>283520577.12</v>
      </c>
      <c r="BN34" s="359">
        <f>'Evolutive SFP'!BM21+'Evolutive SFP'!BM7</f>
        <v>289192060.00999999</v>
      </c>
      <c r="BO34" s="359">
        <f>'Evolutive SFP'!BN21+'Evolutive SFP'!BN7</f>
        <v>305590080.74000001</v>
      </c>
      <c r="BP34" s="359">
        <f>'Evolutive SFP'!BO21+'Evolutive SFP'!BO7</f>
        <v>267660740</v>
      </c>
      <c r="BQ34" s="370">
        <f>BP34/BP4</f>
        <v>0.19381986987947772</v>
      </c>
      <c r="BR34" s="359">
        <f>'Evolutive SFP'!BR21+'Evolutive SFP'!BR7</f>
        <v>0</v>
      </c>
      <c r="BS34" s="359">
        <f>'Evolutive SFP'!BS21+'Evolutive SFP'!BS7</f>
        <v>0</v>
      </c>
      <c r="BT34" s="359">
        <f>'Evolutive SFP'!BT21+'Evolutive SFP'!BT7</f>
        <v>0</v>
      </c>
      <c r="BU34" s="359">
        <f>'Evolutive SFP'!BU21+'Evolutive SFP'!BU7</f>
        <v>0</v>
      </c>
      <c r="BV34" s="359">
        <f>'Evolutive SFP'!BV21+'Evolutive SFP'!BV7</f>
        <v>0</v>
      </c>
      <c r="BW34" s="359">
        <f>'Evolutive SFP'!BW21+'Evolutive SFP'!BW7</f>
        <v>0</v>
      </c>
    </row>
    <row r="35" spans="1:75">
      <c r="A35" s="361">
        <v>8.1</v>
      </c>
      <c r="B35" s="355" t="s">
        <v>98</v>
      </c>
      <c r="C35" s="359">
        <f>'Evolutive SFP'!B23</f>
        <v>4123114</v>
      </c>
      <c r="D35" s="359">
        <f>'Evolutive SFP'!C23</f>
        <v>67228532</v>
      </c>
      <c r="E35" s="359">
        <f>'Evolutive SFP'!D20</f>
        <v>0</v>
      </c>
      <c r="F35" s="359">
        <f>'Evolutive SFP'!E23</f>
        <v>26113022.849999994</v>
      </c>
      <c r="G35" s="359">
        <f>'Evolutive SFP'!F23</f>
        <v>25596867.849999994</v>
      </c>
      <c r="H35" s="359">
        <f>'Evolutive SFP'!G10</f>
        <v>0</v>
      </c>
      <c r="I35" s="359">
        <f>'Evolutive SFP'!H23</f>
        <v>26464471.849999994</v>
      </c>
      <c r="J35" s="359">
        <f>'Evolutive SFP'!I23</f>
        <v>26486316.849999994</v>
      </c>
      <c r="K35" s="359">
        <f>'Evolutive SFP'!J23</f>
        <v>26483316.850000001</v>
      </c>
      <c r="L35" s="359">
        <f>'Evolutive SFP'!K23</f>
        <v>25451006.850000001</v>
      </c>
      <c r="M35" s="359">
        <f>'Evolutive SFP'!L23</f>
        <v>24934851.850000001</v>
      </c>
      <c r="N35" s="359">
        <f>'Evolutive SFP'!M23</f>
        <v>24461161.600000001</v>
      </c>
      <c r="O35" s="359">
        <f>'Evolutive SFP'!N23</f>
        <v>25614712.120000001</v>
      </c>
      <c r="P35" s="359">
        <f>'Evolutive SFP'!O23</f>
        <v>25338887.120000001</v>
      </c>
      <c r="Q35" s="359">
        <f>'Evolutive SFP'!P23</f>
        <v>67832698</v>
      </c>
      <c r="R35" s="359">
        <f>'Evolutive SFP'!Q23</f>
        <v>25488887.120000001</v>
      </c>
      <c r="S35" s="359">
        <f>'Evolutive SFP'!R23</f>
        <v>24874196.27</v>
      </c>
      <c r="T35" s="359">
        <f>'Evolutive SFP'!S23</f>
        <v>24874196.27</v>
      </c>
      <c r="U35" s="359">
        <f>'Evolutive SFP'!T23</f>
        <v>25822093.27</v>
      </c>
      <c r="V35" s="359">
        <f>'Evolutive SFP'!U23</f>
        <v>25822093.27</v>
      </c>
      <c r="W35" s="359">
        <f>'Evolutive SFP'!V23</f>
        <v>24004439.210000001</v>
      </c>
      <c r="X35" s="359">
        <f>'Evolutive SFP'!W23</f>
        <v>23670653.210000001</v>
      </c>
      <c r="Y35" s="359">
        <f>'Evolutive SFP'!X23</f>
        <v>23780448.399999999</v>
      </c>
      <c r="Z35" s="359">
        <f>'Evolutive SFP'!Y23</f>
        <v>23290976.550000001</v>
      </c>
      <c r="AA35" s="359">
        <f>'Evolutive SFP'!Z23</f>
        <v>0</v>
      </c>
      <c r="AB35" s="359">
        <f>'Evolutive SFP'!AA23</f>
        <v>0</v>
      </c>
      <c r="AC35" s="359">
        <f>'Evolutive SFP'!AB23</f>
        <v>0</v>
      </c>
      <c r="AD35" s="359">
        <f>'Evolutive SFP'!AC23</f>
        <v>66854836</v>
      </c>
      <c r="AE35" s="359">
        <f>'Evolutive SFP'!AD23</f>
        <v>22740843.120000001</v>
      </c>
      <c r="AF35" s="359">
        <f>'Evolutive SFP'!AE23</f>
        <v>25700265.530000001</v>
      </c>
      <c r="AG35" s="359">
        <f>'Evolutive SFP'!AF23</f>
        <v>25235438.949999999</v>
      </c>
      <c r="AH35" s="359">
        <f>'Evolutive SFP'!AG23</f>
        <v>23531332.350000001</v>
      </c>
      <c r="AI35" s="359">
        <f>'Evolutive SFP'!AH23</f>
        <v>23022090.760000002</v>
      </c>
      <c r="AJ35" s="359">
        <f>'Evolutive SFP'!AI23</f>
        <v>24631959.170000002</v>
      </c>
      <c r="AK35" s="359">
        <f>'Evolutive SFP'!AJ23</f>
        <v>47226351.979999997</v>
      </c>
      <c r="AL35" s="359">
        <f>'Evolutive SFP'!AK23</f>
        <v>23103784.399999999</v>
      </c>
      <c r="AM35" s="359">
        <f>'Evolutive SFP'!AL23</f>
        <v>22245959.629999999</v>
      </c>
      <c r="AN35" s="359">
        <f>'Evolutive SFP'!AM23</f>
        <v>22245959.629999999</v>
      </c>
      <c r="AO35" s="359">
        <f>'Evolutive SFP'!AN23</f>
        <v>22751002.829999998</v>
      </c>
      <c r="AP35" s="359">
        <f>'Evolutive SFP'!AO23</f>
        <v>64842765</v>
      </c>
      <c r="AQ35" s="359">
        <f>'Evolutive SFP'!AP23</f>
        <v>23992331.059999999</v>
      </c>
      <c r="AR35" s="359">
        <f>'Evolutive SFP'!AQ23</f>
        <v>24641986.120000001</v>
      </c>
      <c r="AS35" s="359">
        <f>'Evolutive SFP'!AR23</f>
        <v>23921986.120000001</v>
      </c>
      <c r="AT35" s="359">
        <f>'Evolutive SFP'!AS23</f>
        <v>23412594.530000001</v>
      </c>
      <c r="AU35" s="359">
        <f>'Evolutive SFP'!AT23</f>
        <v>24037331.280000001</v>
      </c>
      <c r="AV35" s="359">
        <f>'Evolutive SFP'!AU23</f>
        <v>25713555.210000001</v>
      </c>
      <c r="AW35" s="359">
        <f>'Evolutive SFP'!AV23</f>
        <v>25209163.620000001</v>
      </c>
      <c r="AX35" s="359">
        <f>'Evolutive SFP'!AW23</f>
        <v>24699772.030000001</v>
      </c>
      <c r="AY35" s="359">
        <f>'Evolutive SFP'!AX23</f>
        <v>24306830.440000001</v>
      </c>
      <c r="AZ35" s="359">
        <f>'Evolutive SFP'!AY23</f>
        <v>24029438.850000001</v>
      </c>
      <c r="BA35" s="359">
        <f>'Evolutive SFP'!AZ23</f>
        <v>24200769.190000001</v>
      </c>
      <c r="BB35" s="359">
        <f>'Evolutive SFP'!BA23</f>
        <v>23349717.57</v>
      </c>
      <c r="BC35" s="359">
        <f>'Evolutive SFP'!BB23</f>
        <v>86313178</v>
      </c>
      <c r="BD35" s="359">
        <f>'Evolutive SFP'!BC23</f>
        <v>23050892.739999998</v>
      </c>
      <c r="BE35" s="359">
        <f>'Evolutive SFP'!BD23</f>
        <v>22633452.940000001</v>
      </c>
      <c r="BF35" s="359">
        <f>'Evolutive SFP'!BE23</f>
        <v>23492235.809999999</v>
      </c>
      <c r="BG35" s="359">
        <f>'Evolutive SFP'!BF23</f>
        <v>23275519.309999999</v>
      </c>
      <c r="BH35" s="359">
        <f>'Evolutive SFP'!BG23</f>
        <v>23163747.98</v>
      </c>
      <c r="BI35" s="359">
        <f>'Evolutive SFP'!BH23</f>
        <v>22815423.149999999</v>
      </c>
      <c r="BJ35" s="359">
        <f>'Evolutive SFP'!BI23</f>
        <v>22428857.32</v>
      </c>
      <c r="BK35" s="359">
        <f>'Evolutive SFP'!BJ23</f>
        <v>22750343.82</v>
      </c>
      <c r="BL35" s="359">
        <f>'Evolutive SFP'!BK23</f>
        <v>22600119.82</v>
      </c>
      <c r="BM35" s="359">
        <f>'Evolutive SFP'!BL23</f>
        <v>22246492.82</v>
      </c>
      <c r="BN35" s="359">
        <f>'Evolutive SFP'!BM23</f>
        <v>21662861.68</v>
      </c>
      <c r="BO35" s="359">
        <f>'Evolutive SFP'!BN23</f>
        <v>21822979.960000001</v>
      </c>
      <c r="BP35" s="359">
        <f>'Evolutive SFP'!BO23</f>
        <v>120314235</v>
      </c>
      <c r="BQ35" s="359">
        <f>'Evolutive SFP'!BQ23</f>
        <v>0</v>
      </c>
      <c r="BR35" s="359">
        <f>'Evolutive SFP'!BR23</f>
        <v>0</v>
      </c>
      <c r="BS35" s="359">
        <f>'Evolutive SFP'!BS23</f>
        <v>0</v>
      </c>
      <c r="BT35" s="359">
        <f>'Evolutive SFP'!BT23</f>
        <v>0</v>
      </c>
      <c r="BU35" s="359">
        <f>'Evolutive SFP'!BU23</f>
        <v>0</v>
      </c>
      <c r="BV35" s="359">
        <f>'Evolutive SFP'!BV23</f>
        <v>0</v>
      </c>
      <c r="BW35" s="359">
        <f>'Evolutive SFP'!BW23</f>
        <v>0</v>
      </c>
    </row>
    <row r="36" spans="1:75">
      <c r="A36" s="346"/>
      <c r="B36" s="355"/>
      <c r="C36" s="359"/>
      <c r="D36" s="359"/>
      <c r="E36" s="359"/>
      <c r="F36" s="359"/>
      <c r="G36" s="359"/>
      <c r="H36" s="359"/>
      <c r="I36" s="359"/>
      <c r="J36" s="359"/>
      <c r="K36" s="359"/>
      <c r="L36" s="359"/>
      <c r="M36" s="359"/>
      <c r="N36" s="359"/>
      <c r="O36" s="359"/>
      <c r="P36" s="359"/>
      <c r="Q36" s="359"/>
      <c r="R36" s="359"/>
      <c r="S36" s="359"/>
      <c r="T36" s="359"/>
      <c r="U36" s="359"/>
      <c r="V36" s="359"/>
      <c r="W36" s="359"/>
      <c r="X36" s="359"/>
      <c r="Y36" s="359"/>
      <c r="Z36" s="359"/>
      <c r="AA36" s="359"/>
      <c r="AB36" s="359"/>
      <c r="AC36" s="359"/>
      <c r="AD36" s="359"/>
      <c r="AE36" s="359"/>
      <c r="AF36" s="359"/>
      <c r="AG36" s="359"/>
      <c r="AH36" s="359"/>
      <c r="AI36" s="359"/>
      <c r="AJ36" s="359"/>
      <c r="AK36" s="359"/>
      <c r="AL36" s="359"/>
      <c r="AM36" s="359"/>
      <c r="AN36" s="359"/>
      <c r="AO36" s="359"/>
      <c r="AP36" s="359"/>
      <c r="AQ36" s="359"/>
      <c r="AR36" s="359"/>
      <c r="AS36" s="359"/>
      <c r="AT36" s="359"/>
      <c r="AU36" s="359"/>
      <c r="AV36" s="359"/>
      <c r="AW36" s="359"/>
      <c r="AX36" s="359"/>
      <c r="AY36" s="359"/>
      <c r="AZ36" s="359"/>
      <c r="BA36" s="359"/>
      <c r="BB36" s="359"/>
      <c r="BC36" s="359"/>
      <c r="BD36" s="359"/>
      <c r="BE36" s="359"/>
      <c r="BF36" s="359"/>
      <c r="BG36" s="359"/>
      <c r="BH36" s="359"/>
      <c r="BI36" s="359"/>
      <c r="BJ36" s="359"/>
      <c r="BK36" s="359"/>
      <c r="BL36" s="359"/>
      <c r="BM36" s="359"/>
      <c r="BN36" s="359"/>
      <c r="BO36" s="359"/>
      <c r="BP36" s="359"/>
      <c r="BQ36" s="359"/>
      <c r="BR36" s="359"/>
      <c r="BS36" s="359"/>
      <c r="BT36" s="359"/>
      <c r="BU36" s="359"/>
      <c r="BV36" s="359"/>
      <c r="BW36" s="359"/>
    </row>
    <row r="37" spans="1:75">
      <c r="A37" s="361">
        <v>9</v>
      </c>
      <c r="B37" s="355" t="s">
        <v>50</v>
      </c>
      <c r="C37" s="359">
        <f>C38+C39+C40+C41</f>
        <v>14599.247546899</v>
      </c>
      <c r="D37" s="359">
        <f>D38+D39+D40+D41</f>
        <v>196687961</v>
      </c>
      <c r="E37" s="359">
        <f>E38+E39+E40+E41</f>
        <v>20632763.939999998</v>
      </c>
      <c r="F37" s="359">
        <f>F38+F39+F40+F41</f>
        <v>33797992.979999997</v>
      </c>
      <c r="G37" s="359">
        <f t="shared" ref="G37:O37" si="22">G38+G39+G40+G41</f>
        <v>49279714.799999997</v>
      </c>
      <c r="H37" s="359">
        <f>H38+H39+H40+H41</f>
        <v>63359741.289999999</v>
      </c>
      <c r="I37" s="359">
        <f>I38+I39+I40+I41</f>
        <v>76929655.980000004</v>
      </c>
      <c r="J37" s="359">
        <f t="shared" si="22"/>
        <v>92872973.310000002</v>
      </c>
      <c r="K37" s="359">
        <f t="shared" si="22"/>
        <v>106236498.31999999</v>
      </c>
      <c r="L37" s="359">
        <f t="shared" si="22"/>
        <v>129395236.77</v>
      </c>
      <c r="M37" s="359">
        <f t="shared" si="22"/>
        <v>144084193.18000001</v>
      </c>
      <c r="N37" s="359">
        <f t="shared" si="22"/>
        <v>165509699.63999999</v>
      </c>
      <c r="O37" s="359">
        <f t="shared" si="22"/>
        <v>190416538.26999998</v>
      </c>
      <c r="P37" s="359">
        <f>P38+P39+P40+P41</f>
        <v>212039044.91</v>
      </c>
      <c r="Q37" s="359">
        <f>Q38+Q39+Q40+Q41</f>
        <v>210181352</v>
      </c>
      <c r="R37" s="359">
        <f>R38+R39+R40+R41</f>
        <v>14342499.73</v>
      </c>
      <c r="S37" s="359">
        <f t="shared" ref="S37:AD37" si="23">S38+S39+S40+S41</f>
        <v>27194850.919999998</v>
      </c>
      <c r="T37" s="359">
        <f t="shared" si="23"/>
        <v>43632502.409999996</v>
      </c>
      <c r="U37" s="359">
        <f t="shared" si="23"/>
        <v>57544606.560000002</v>
      </c>
      <c r="V37" s="359">
        <f t="shared" si="23"/>
        <v>72356110.290000007</v>
      </c>
      <c r="W37" s="359">
        <f t="shared" si="23"/>
        <v>103353964.70999999</v>
      </c>
      <c r="X37" s="359">
        <f t="shared" si="23"/>
        <v>115796018.01000001</v>
      </c>
      <c r="Y37" s="359">
        <f t="shared" si="23"/>
        <v>129938535.62</v>
      </c>
      <c r="Z37" s="359">
        <f t="shared" si="23"/>
        <v>145460844.25</v>
      </c>
      <c r="AA37" s="359">
        <f t="shared" si="23"/>
        <v>176524094.94999999</v>
      </c>
      <c r="AB37" s="359">
        <f t="shared" si="23"/>
        <v>195744809.43000001</v>
      </c>
      <c r="AC37" s="359" t="e">
        <f t="shared" si="23"/>
        <v>#REF!</v>
      </c>
      <c r="AD37" s="359">
        <f t="shared" si="23"/>
        <v>220242400</v>
      </c>
      <c r="AE37" s="359">
        <f t="shared" ref="AE37:BR37" si="24">AE38+AE39+AE40+AE41</f>
        <v>16515833.390000001</v>
      </c>
      <c r="AF37" s="359">
        <f t="shared" si="24"/>
        <v>33621025.140000001</v>
      </c>
      <c r="AG37" s="359">
        <f t="shared" si="24"/>
        <v>48908829</v>
      </c>
      <c r="AH37" s="359">
        <f t="shared" si="24"/>
        <v>64378529.060000002</v>
      </c>
      <c r="AI37" s="359">
        <f t="shared" si="24"/>
        <v>77699972.36999999</v>
      </c>
      <c r="AJ37" s="359">
        <f t="shared" si="24"/>
        <v>93426126.170000002</v>
      </c>
      <c r="AK37" s="359">
        <f t="shared" si="24"/>
        <v>249302321.09999999</v>
      </c>
      <c r="AL37" s="359">
        <f t="shared" si="24"/>
        <v>139145859.93000001</v>
      </c>
      <c r="AM37" s="359">
        <f t="shared" si="24"/>
        <v>173093451.19999999</v>
      </c>
      <c r="AN37" s="359">
        <f t="shared" si="24"/>
        <v>198272866.75</v>
      </c>
      <c r="AO37" s="359">
        <f t="shared" si="24"/>
        <v>221996856.53999999</v>
      </c>
      <c r="AP37" s="359">
        <f t="shared" si="24"/>
        <v>223268945</v>
      </c>
      <c r="AQ37" s="359">
        <f t="shared" si="24"/>
        <v>14497543.5</v>
      </c>
      <c r="AR37" s="359">
        <f t="shared" si="24"/>
        <v>30866522.689999998</v>
      </c>
      <c r="AS37" s="359">
        <f t="shared" si="24"/>
        <v>47875327.119999997</v>
      </c>
      <c r="AT37" s="359">
        <f t="shared" si="24"/>
        <v>62071311.82</v>
      </c>
      <c r="AU37" s="359">
        <f t="shared" si="24"/>
        <v>80075412.900000006</v>
      </c>
      <c r="AV37" s="359">
        <f t="shared" si="24"/>
        <v>96649631.670000002</v>
      </c>
      <c r="AW37" s="359">
        <f t="shared" si="24"/>
        <v>112508642.52000001</v>
      </c>
      <c r="AX37" s="359">
        <f t="shared" si="24"/>
        <v>128312910.56</v>
      </c>
      <c r="AY37" s="359">
        <f t="shared" si="24"/>
        <v>148164662.58000001</v>
      </c>
      <c r="AZ37" s="359">
        <f t="shared" si="24"/>
        <v>167780477.22999999</v>
      </c>
      <c r="BA37" s="359">
        <f t="shared" si="24"/>
        <v>188451628.38999999</v>
      </c>
      <c r="BB37" s="359">
        <f t="shared" si="24"/>
        <v>226471763.49000001</v>
      </c>
      <c r="BC37" s="359">
        <f t="shared" si="24"/>
        <v>225580500.66</v>
      </c>
      <c r="BD37" s="359">
        <f t="shared" si="24"/>
        <v>17747713.940000001</v>
      </c>
      <c r="BE37" s="359">
        <f t="shared" si="24"/>
        <v>33471373.929999996</v>
      </c>
      <c r="BF37" s="359">
        <f t="shared" si="24"/>
        <v>55305394.319999993</v>
      </c>
      <c r="BG37" s="359">
        <f t="shared" si="24"/>
        <v>73158823.870000005</v>
      </c>
      <c r="BH37" s="359">
        <f t="shared" si="24"/>
        <v>90193861.540000007</v>
      </c>
      <c r="BI37" s="359">
        <f t="shared" si="24"/>
        <v>110051809.93000001</v>
      </c>
      <c r="BJ37" s="359">
        <f t="shared" si="24"/>
        <v>138086576.82000002</v>
      </c>
      <c r="BK37" s="359">
        <f t="shared" si="24"/>
        <v>152048650.94</v>
      </c>
      <c r="BL37" s="359">
        <f t="shared" si="24"/>
        <v>169253715.41000003</v>
      </c>
      <c r="BM37" s="359">
        <f t="shared" si="24"/>
        <v>187439716.63999999</v>
      </c>
      <c r="BN37" s="359">
        <f t="shared" si="24"/>
        <v>217350775.53</v>
      </c>
      <c r="BO37" s="359">
        <f t="shared" si="24"/>
        <v>249192923.16</v>
      </c>
      <c r="BP37" s="359">
        <f t="shared" si="24"/>
        <v>247513451</v>
      </c>
      <c r="BQ37" s="359">
        <f t="shared" si="24"/>
        <v>0</v>
      </c>
      <c r="BR37" s="359">
        <f t="shared" si="24"/>
        <v>0</v>
      </c>
      <c r="BS37" s="359">
        <f t="shared" ref="BS37:BW37" si="25">BS38+BS39+BS40+BS41</f>
        <v>0</v>
      </c>
      <c r="BT37" s="359">
        <f t="shared" si="25"/>
        <v>0</v>
      </c>
      <c r="BU37" s="359">
        <f t="shared" si="25"/>
        <v>0</v>
      </c>
      <c r="BV37" s="359">
        <f t="shared" si="25"/>
        <v>0</v>
      </c>
      <c r="BW37" s="359">
        <f t="shared" si="25"/>
        <v>0</v>
      </c>
    </row>
    <row r="38" spans="1:75">
      <c r="A38" s="355">
        <v>9.1</v>
      </c>
      <c r="B38" s="355" t="s">
        <v>99</v>
      </c>
      <c r="C38" s="359">
        <f>'Evolutitve SCI'!B5</f>
        <v>11945.43491</v>
      </c>
      <c r="D38" s="359">
        <f>'Evolutitve SCI'!C5</f>
        <v>101379709</v>
      </c>
      <c r="E38" s="359">
        <f>'Evolutitve SCI'!D5</f>
        <v>8717884.6500000004</v>
      </c>
      <c r="F38" s="359">
        <f>'Evolutitve SCI'!E5</f>
        <v>16536521.34</v>
      </c>
      <c r="G38" s="359">
        <f>'Evolutitve SCI'!F5</f>
        <v>24769551.989999998</v>
      </c>
      <c r="H38" s="359">
        <f>'Evolutitve SCI'!G5</f>
        <v>33029522.690000001</v>
      </c>
      <c r="I38" s="359">
        <f>'Evolutitve SCI'!H5</f>
        <v>41174092.969999999</v>
      </c>
      <c r="J38" s="359">
        <f>'Evolutitve SCI'!I5</f>
        <v>49592524.439999998</v>
      </c>
      <c r="K38" s="359">
        <f>'Evolutitve SCI'!J5</f>
        <v>58018275.740000002</v>
      </c>
      <c r="L38" s="359">
        <f>'Evolutitve SCI'!K5</f>
        <v>66482266.640000001</v>
      </c>
      <c r="M38" s="359">
        <f>'Evolutitve SCI'!L5</f>
        <v>75089316.890000001</v>
      </c>
      <c r="N38" s="359">
        <f>'Evolutitve SCI'!M5</f>
        <v>84006736.519999996</v>
      </c>
      <c r="O38" s="359">
        <f>'Evolutitve SCI'!N5</f>
        <v>91947335.670000002</v>
      </c>
      <c r="P38" s="359">
        <f>'Evolutitve SCI'!O5</f>
        <v>99290901.420000002</v>
      </c>
      <c r="Q38" s="359">
        <f>'Evolutitve SCI'!P5</f>
        <v>99290901</v>
      </c>
      <c r="R38" s="359">
        <f>'Evolutitve SCI'!Q5</f>
        <v>7290707.7999999998</v>
      </c>
      <c r="S38" s="359">
        <f>'Evolutitve SCI'!R5</f>
        <v>14689937.1</v>
      </c>
      <c r="T38" s="359">
        <f>'Evolutitve SCI'!S5</f>
        <v>22258080.100000001</v>
      </c>
      <c r="U38" s="359">
        <f>'Evolutitve SCI'!T5</f>
        <v>29806767.780000001</v>
      </c>
      <c r="V38" s="359">
        <f>'Evolutitve SCI'!U5</f>
        <v>37459750.280000001</v>
      </c>
      <c r="W38" s="359">
        <f>'Evolutitve SCI'!V5</f>
        <v>44863922.579999998</v>
      </c>
      <c r="X38" s="359">
        <f>'Evolutitve SCI'!W5</f>
        <v>52609185.579999998</v>
      </c>
      <c r="Y38" s="359">
        <f>'Evolutitve SCI'!X5</f>
        <v>60508706.329999998</v>
      </c>
      <c r="Z38" s="359">
        <f>'Evolutitve SCI'!Y5</f>
        <v>68756023.480000004</v>
      </c>
      <c r="AA38" s="359">
        <f>'Evolutitve SCI'!Z5</f>
        <v>77040674.629999995</v>
      </c>
      <c r="AB38" s="359">
        <f>'Evolutitve SCI'!AA5</f>
        <v>86064271.230000004</v>
      </c>
      <c r="AC38" s="359" t="e">
        <f>'Evolutitve SCI'!#REF!</f>
        <v>#REF!</v>
      </c>
      <c r="AD38" s="359">
        <f>'Evolutitve SCI'!AC5</f>
        <v>93202429</v>
      </c>
      <c r="AE38" s="359">
        <f>'Evolutitve SCI'!AD5</f>
        <v>8958073.4299999997</v>
      </c>
      <c r="AF38" s="359">
        <f>'Evolutitve SCI'!AE5</f>
        <v>17474185.670000002</v>
      </c>
      <c r="AG38" s="359">
        <f>'Evolutitve SCI'!AF5</f>
        <v>25199719.77</v>
      </c>
      <c r="AH38" s="359">
        <f>'Evolutitve SCI'!AG5</f>
        <v>32915641.07</v>
      </c>
      <c r="AI38" s="359">
        <f>'Evolutitve SCI'!AH5</f>
        <v>38840640.369999997</v>
      </c>
      <c r="AJ38" s="359">
        <f>'Evolutitve SCI'!AI5</f>
        <v>46510235.520000003</v>
      </c>
      <c r="AK38" s="359">
        <f>'Evolutitve SCI'!AJ5</f>
        <v>123750947.64</v>
      </c>
      <c r="AL38" s="359">
        <f>'Evolutitve SCI'!AK5</f>
        <v>69812015.480000004</v>
      </c>
      <c r="AM38" s="359">
        <f>'Evolutitve SCI'!AL5</f>
        <v>78070440.629999995</v>
      </c>
      <c r="AN38" s="359">
        <f>'Evolutitve SCI'!AM5</f>
        <v>86279820.680000007</v>
      </c>
      <c r="AO38" s="359">
        <f>'Evolutitve SCI'!AN5</f>
        <v>93908093.689999998</v>
      </c>
      <c r="AP38" s="359">
        <f>'Evolutitve SCI'!AO5</f>
        <v>93908094</v>
      </c>
      <c r="AQ38" s="359">
        <f>'Evolutitve SCI'!AP5</f>
        <v>7398131.0999999996</v>
      </c>
      <c r="AR38" s="359">
        <f>'Evolutitve SCI'!AQ5</f>
        <v>14908274.689999999</v>
      </c>
      <c r="AS38" s="359">
        <f>'Evolutitve SCI'!AR5</f>
        <v>22633023.59</v>
      </c>
      <c r="AT38" s="359">
        <f>'Evolutitve SCI'!AS5</f>
        <v>30164131.440000001</v>
      </c>
      <c r="AU38" s="359">
        <f>'Evolutitve SCI'!AT5</f>
        <v>37845372.890000001</v>
      </c>
      <c r="AV38" s="359">
        <f>'Evolutitve SCI'!AU5</f>
        <v>45763059.049999997</v>
      </c>
      <c r="AW38" s="359">
        <f>'Evolutitve SCI'!AV5</f>
        <v>53850209.75</v>
      </c>
      <c r="AX38" s="359">
        <f>'Evolutitve SCI'!AW5</f>
        <v>65242809.350000001</v>
      </c>
      <c r="AY38" s="359">
        <f>'Evolutitve SCI'!AX5</f>
        <v>70568440.799999997</v>
      </c>
      <c r="AZ38" s="359">
        <f>'Evolutitve SCI'!AY5</f>
        <v>79126543.569999993</v>
      </c>
      <c r="BA38" s="359">
        <f>'Evolutitve SCI'!AZ5</f>
        <v>87585411.359999999</v>
      </c>
      <c r="BB38" s="359">
        <f>'Evolutitve SCI'!BA5</f>
        <v>95746454.659999996</v>
      </c>
      <c r="BC38" s="359">
        <f>'Evolutitve SCI'!BB5</f>
        <v>95746454.659999996</v>
      </c>
      <c r="BD38" s="359">
        <f>'Evolutitve SCI'!BC5</f>
        <v>8405722.0500000007</v>
      </c>
      <c r="BE38" s="359">
        <f>'Evolutitve SCI'!BD5</f>
        <v>16823189.149999999</v>
      </c>
      <c r="BF38" s="359">
        <f>'Evolutitve SCI'!BE5</f>
        <v>24963077.050000001</v>
      </c>
      <c r="BG38" s="359">
        <f>'Evolutitve SCI'!BF5</f>
        <v>33817846.5</v>
      </c>
      <c r="BH38" s="359">
        <f>'Evolutitve SCI'!BG5</f>
        <v>42666290.600000001</v>
      </c>
      <c r="BI38" s="359">
        <f>'Evolutitve SCI'!BH5</f>
        <v>51743614.549999997</v>
      </c>
      <c r="BJ38" s="359">
        <f>'Evolutitve SCI'!BI5</f>
        <v>64292625.100000001</v>
      </c>
      <c r="BK38" s="359">
        <f>'Evolutitve SCI'!BJ5</f>
        <v>70303509.159999996</v>
      </c>
      <c r="BL38" s="359">
        <f>'Evolutitve SCI'!BK5</f>
        <v>79458534.790000007</v>
      </c>
      <c r="BM38" s="359">
        <f>'Evolutitve SCI'!BL5</f>
        <v>88762900.890000001</v>
      </c>
      <c r="BN38" s="359">
        <f>'Evolutitve SCI'!BM5</f>
        <v>98709164.909999996</v>
      </c>
      <c r="BO38" s="359">
        <f>'Evolutitve SCI'!BN5</f>
        <v>28685477.530000001</v>
      </c>
      <c r="BP38" s="359">
        <f>'Evolutitve SCI'!BO5</f>
        <v>0</v>
      </c>
      <c r="BQ38" s="359">
        <f>'Evolutitve SCI'!BQ5</f>
        <v>0</v>
      </c>
      <c r="BR38" s="359">
        <f>'Evolutitve SCI'!BR5</f>
        <v>0</v>
      </c>
      <c r="BS38" s="359">
        <f>'Evolutitve SCI'!BS5</f>
        <v>0</v>
      </c>
      <c r="BT38" s="359">
        <f>'Evolutitve SCI'!BT5</f>
        <v>0</v>
      </c>
      <c r="BU38" s="359">
        <f>'Evolutitve SCI'!BU5</f>
        <v>0</v>
      </c>
      <c r="BV38" s="359">
        <f>'Evolutitve SCI'!BV5</f>
        <v>0</v>
      </c>
      <c r="BW38" s="359">
        <f>'Evolutitve SCI'!BW5</f>
        <v>0</v>
      </c>
    </row>
    <row r="39" spans="1:75">
      <c r="A39" s="355">
        <v>9.1999999999999993</v>
      </c>
      <c r="B39" s="355" t="s">
        <v>100</v>
      </c>
      <c r="C39" s="359">
        <f>'Evolutitve SCI'!B7</f>
        <v>1743.4416368990005</v>
      </c>
      <c r="D39" s="359">
        <f>'Evolutitve SCI'!C7</f>
        <v>95308252</v>
      </c>
      <c r="E39" s="359">
        <f>'Evolutitve SCI'!D7</f>
        <v>5930081.5300000003</v>
      </c>
      <c r="F39" s="359">
        <f>'Evolutitve SCI'!E7</f>
        <v>8931664.0199999996</v>
      </c>
      <c r="G39" s="359">
        <f>'Evolutitve SCI'!F7</f>
        <v>14342069.029999999</v>
      </c>
      <c r="H39" s="359">
        <f>'Evolutitve SCI'!G7</f>
        <v>18749493.609999999</v>
      </c>
      <c r="I39" s="359">
        <f>'Evolutitve SCI'!H7</f>
        <v>22435086.960000001</v>
      </c>
      <c r="J39" s="359">
        <f>'Evolutitve SCI'!I7</f>
        <v>28316851.460000001</v>
      </c>
      <c r="K39" s="359">
        <f>'Evolutitve SCI'!J7</f>
        <v>32155761.48</v>
      </c>
      <c r="L39" s="359">
        <f>'Evolutitve SCI'!K7</f>
        <v>45594757.329999998</v>
      </c>
      <c r="M39" s="359">
        <f>'Evolutitve SCI'!L7</f>
        <v>50126049.989999995</v>
      </c>
      <c r="N39" s="359">
        <f>'Evolutitve SCI'!M7</f>
        <v>61154814.819999993</v>
      </c>
      <c r="O39" s="359">
        <f>'Evolutitve SCI'!N7</f>
        <v>72861724.400000006</v>
      </c>
      <c r="P39" s="359">
        <f>'Evolutitve SCI'!O7</f>
        <v>82930783.890000001</v>
      </c>
      <c r="Q39" s="359">
        <f>'Evolutitve SCI'!P7</f>
        <v>29342276</v>
      </c>
      <c r="R39" s="359">
        <f>'Evolutitve SCI'!Q7</f>
        <v>3533884.53</v>
      </c>
      <c r="S39" s="359">
        <f>'Evolutitve SCI'!R7</f>
        <v>6969597.0199999996</v>
      </c>
      <c r="T39" s="359">
        <f>'Evolutitve SCI'!S7</f>
        <v>14257808.01</v>
      </c>
      <c r="U39" s="359">
        <f>'Evolutitve SCI'!T7</f>
        <v>19490652.68</v>
      </c>
      <c r="V39" s="359">
        <f>'Evolutitve SCI'!U7</f>
        <v>24817122.609999999</v>
      </c>
      <c r="W39" s="359">
        <f>'Evolutitve SCI'!V7</f>
        <v>47238043.030000001</v>
      </c>
      <c r="X39" s="359">
        <f>'Evolutitve SCI'!W7</f>
        <v>50681049.130000003</v>
      </c>
      <c r="Y39" s="359">
        <f>'Evolutitve SCI'!X7</f>
        <v>55662876.789999999</v>
      </c>
      <c r="Z39" s="359">
        <f>'Evolutitve SCI'!Y7</f>
        <v>61598095.170000002</v>
      </c>
      <c r="AA39" s="359">
        <f>'Evolutitve SCI'!Z7</f>
        <v>83136932.319999993</v>
      </c>
      <c r="AB39" s="359">
        <f>'Evolutitve SCI'!AA7</f>
        <v>88857711.400000006</v>
      </c>
      <c r="AC39" s="359" t="e">
        <f>'Evolutitve SCI'!#REF!</f>
        <v>#REF!</v>
      </c>
      <c r="AD39" s="359">
        <f>'Evolutitve SCI'!AC7</f>
        <v>127039971</v>
      </c>
      <c r="AE39" s="359">
        <f>'Evolutitve SCI'!AD7</f>
        <v>3689317.06</v>
      </c>
      <c r="AF39" s="359">
        <f>'Evolutitve SCI'!AE7</f>
        <v>10841786.57</v>
      </c>
      <c r="AG39" s="359">
        <f>'Evolutitve SCI'!AF7</f>
        <v>17007289.73</v>
      </c>
      <c r="AH39" s="359">
        <f>'Evolutitve SCI'!AG7</f>
        <v>23886869.990000002</v>
      </c>
      <c r="AI39" s="359">
        <f>'Evolutitve SCI'!AH7</f>
        <v>29807634.799999997</v>
      </c>
      <c r="AJ39" s="359">
        <f>'Evolutitve SCI'!AI7</f>
        <v>36222859.350000001</v>
      </c>
      <c r="AK39" s="359">
        <f>'Evolutitve SCI'!AJ7</f>
        <v>99213426.060000002</v>
      </c>
      <c r="AL39" s="359">
        <f>'Evolutitve SCI'!AK7</f>
        <v>54122994.450000003</v>
      </c>
      <c r="AM39" s="359">
        <f>'Evolutitve SCI'!AL7</f>
        <v>77900780.370000005</v>
      </c>
      <c r="AN39" s="359">
        <f>'Evolutitve SCI'!AM7</f>
        <v>89822563.269999996</v>
      </c>
      <c r="AO39" s="359">
        <f>'Evolutitve SCI'!AN7</f>
        <v>99900672.650000006</v>
      </c>
      <c r="AP39" s="359">
        <f>'Evolutitve SCI'!AO7</f>
        <v>129360851</v>
      </c>
      <c r="AQ39" s="359">
        <f>'Evolutitve SCI'!AP7</f>
        <v>4387964.9000000004</v>
      </c>
      <c r="AR39" s="359">
        <f>'Evolutitve SCI'!AQ7</f>
        <v>11672585.600000001</v>
      </c>
      <c r="AS39" s="359">
        <f>'Evolutitve SCI'!AR7</f>
        <v>19192885.73</v>
      </c>
      <c r="AT39" s="359">
        <f>'Evolutitve SCI'!AS7</f>
        <v>24924946.779999997</v>
      </c>
      <c r="AU39" s="359">
        <f>'Evolutitve SCI'!AT7</f>
        <v>33068406.509999998</v>
      </c>
      <c r="AV39" s="359">
        <f>'Evolutitve SCI'!AU7</f>
        <v>39950355.719999999</v>
      </c>
      <c r="AW39" s="359">
        <f>'Evolutitve SCI'!AV7</f>
        <v>46004359.770000003</v>
      </c>
      <c r="AX39" s="359">
        <f>'Evolutitve SCI'!AW7</f>
        <v>48421546.609999999</v>
      </c>
      <c r="AY39" s="359">
        <f>'Evolutitve SCI'!AX7</f>
        <v>61167019.979999997</v>
      </c>
      <c r="AZ39" s="359">
        <f>'Evolutitve SCI'!AY7</f>
        <v>70735692.260000005</v>
      </c>
      <c r="BA39" s="359">
        <f>'Evolutitve SCI'!AZ7</f>
        <v>77681616.829999998</v>
      </c>
      <c r="BB39" s="359">
        <f>'Evolutitve SCI'!BA7</f>
        <v>103924725.53</v>
      </c>
      <c r="BC39" s="359">
        <f>'Evolutitve SCI'!BB7</f>
        <v>129834046</v>
      </c>
      <c r="BD39" s="359">
        <f>'Evolutitve SCI'!BC7</f>
        <v>6043474.5899999999</v>
      </c>
      <c r="BE39" s="359">
        <f>'Evolutitve SCI'!BD7</f>
        <v>11782014.08</v>
      </c>
      <c r="BF39" s="359">
        <f>'Evolutitve SCI'!BE7</f>
        <v>23900746.469999999</v>
      </c>
      <c r="BG39" s="359">
        <f>'Evolutitve SCI'!BF7</f>
        <v>30603178.669999998</v>
      </c>
      <c r="BH39" s="359">
        <f>'Evolutitve SCI'!BG7</f>
        <v>36952213.539999999</v>
      </c>
      <c r="BI39" s="359">
        <f>'Evolutitve SCI'!BH7</f>
        <v>45653930.480000004</v>
      </c>
      <c r="BJ39" s="359">
        <f>'Evolutitve SCI'!BI7</f>
        <v>58027030.920000002</v>
      </c>
      <c r="BK39" s="359">
        <f>'Evolutitve SCI'!BJ7</f>
        <v>63350156.480000004</v>
      </c>
      <c r="BL39" s="359">
        <f>'Evolutitve SCI'!BK7</f>
        <v>68186988.820000008</v>
      </c>
      <c r="BM39" s="359">
        <f>'Evolutitve SCI'!BL7</f>
        <v>75330069.25</v>
      </c>
      <c r="BN39" s="359">
        <f>'Evolutitve SCI'!BM7</f>
        <v>92410841.719999999</v>
      </c>
      <c r="BO39" s="359">
        <f>'Evolutitve SCI'!BN7</f>
        <v>110475525.03</v>
      </c>
      <c r="BP39" s="359">
        <f>'Evolutitve SCI'!BO7</f>
        <v>137481530</v>
      </c>
      <c r="BQ39" s="359">
        <f>'Evolutitve SCI'!BQ7</f>
        <v>0</v>
      </c>
      <c r="BR39" s="359">
        <f>'Evolutitve SCI'!BR7</f>
        <v>0</v>
      </c>
      <c r="BS39" s="359">
        <f>'Evolutitve SCI'!BS7</f>
        <v>0</v>
      </c>
      <c r="BT39" s="359">
        <f>'Evolutitve SCI'!BT7</f>
        <v>0</v>
      </c>
      <c r="BU39" s="359">
        <f>'Evolutitve SCI'!BU7</f>
        <v>0</v>
      </c>
      <c r="BV39" s="359">
        <f>'Evolutitve SCI'!BV7</f>
        <v>0</v>
      </c>
      <c r="BW39" s="359">
        <f>'Evolutitve SCI'!BW7</f>
        <v>0</v>
      </c>
    </row>
    <row r="40" spans="1:75">
      <c r="A40" s="355">
        <v>9.3000000000000007</v>
      </c>
      <c r="B40" s="355" t="s">
        <v>101</v>
      </c>
      <c r="C40" s="359">
        <f>'Evolutitve SCI'!B6</f>
        <v>910.37099999999998</v>
      </c>
      <c r="D40" s="359">
        <f>'Evolutitve SCI'!C6</f>
        <v>0</v>
      </c>
      <c r="E40" s="359">
        <f>'Evolutitve SCI'!D6</f>
        <v>5984797.7599999998</v>
      </c>
      <c r="F40" s="359">
        <f>'Evolutitve SCI'!E6</f>
        <v>8329807.6200000001</v>
      </c>
      <c r="G40" s="359">
        <f>'Evolutitve SCI'!F6</f>
        <v>10168093.779999999</v>
      </c>
      <c r="H40" s="359">
        <f>'Evolutitve SCI'!G6</f>
        <v>11580724.99</v>
      </c>
      <c r="I40" s="359">
        <f>'Evolutitve SCI'!H6</f>
        <v>13320476.050000001</v>
      </c>
      <c r="J40" s="359">
        <f>'Evolutitve SCI'!I6</f>
        <v>14963597.41</v>
      </c>
      <c r="K40" s="359">
        <f>'Evolutitve SCI'!J6</f>
        <v>16062461.1</v>
      </c>
      <c r="L40" s="359">
        <f>'Evolutitve SCI'!K6</f>
        <v>17318212.800000001</v>
      </c>
      <c r="M40" s="359">
        <f>'Evolutitve SCI'!L6</f>
        <v>18868826.300000001</v>
      </c>
      <c r="N40" s="359">
        <f>'Evolutitve SCI'!M6</f>
        <v>20348148.300000001</v>
      </c>
      <c r="O40" s="359">
        <f>'Evolutitve SCI'!N6</f>
        <v>25607478.199999999</v>
      </c>
      <c r="P40" s="359">
        <f>'Evolutitve SCI'!O6</f>
        <v>29817359.600000001</v>
      </c>
      <c r="Q40" s="359">
        <f>'Evolutitve SCI'!P6</f>
        <v>81548175</v>
      </c>
      <c r="R40" s="359">
        <f>'Evolutitve SCI'!Q6</f>
        <v>3517907.4</v>
      </c>
      <c r="S40" s="359">
        <f>'Evolutitve SCI'!R6</f>
        <v>5535316.7999999998</v>
      </c>
      <c r="T40" s="359">
        <f>'Evolutitve SCI'!S6</f>
        <v>7116614.2999999998</v>
      </c>
      <c r="U40" s="359">
        <f>'Evolutitve SCI'!T6</f>
        <v>8247186.0999999996</v>
      </c>
      <c r="V40" s="359">
        <f>'Evolutitve SCI'!U6</f>
        <v>10079237.4</v>
      </c>
      <c r="W40" s="359">
        <f>'Evolutitve SCI'!V6</f>
        <v>11251999.1</v>
      </c>
      <c r="X40" s="359">
        <f>'Evolutitve SCI'!W6</f>
        <v>12505783.300000001</v>
      </c>
      <c r="Y40" s="359">
        <f>'Evolutitve SCI'!X6</f>
        <v>13766952.5</v>
      </c>
      <c r="Z40" s="359">
        <f>'Evolutitve SCI'!Y6</f>
        <v>15106725.6</v>
      </c>
      <c r="AA40" s="359">
        <f>'Evolutitve SCI'!Z6</f>
        <v>16346488</v>
      </c>
      <c r="AB40" s="359">
        <f>'Evolutitve SCI'!AA6</f>
        <v>20822826.800000001</v>
      </c>
      <c r="AC40" s="359" t="e">
        <f>'Evolutitve SCI'!#REF!</f>
        <v>#REF!</v>
      </c>
      <c r="AD40" s="359">
        <f>'Evolutitve SCI'!AC6</f>
        <v>0</v>
      </c>
      <c r="AE40" s="359">
        <f>'Evolutitve SCI'!AD6</f>
        <v>3868442.9</v>
      </c>
      <c r="AF40" s="359">
        <f>'Evolutitve SCI'!AE6</f>
        <v>5305052.9000000004</v>
      </c>
      <c r="AG40" s="359">
        <f>'Evolutitve SCI'!AF6</f>
        <v>6701819.5</v>
      </c>
      <c r="AH40" s="359">
        <f>'Evolutitve SCI'!AG6</f>
        <v>7576018</v>
      </c>
      <c r="AI40" s="359">
        <f>'Evolutitve SCI'!AH6</f>
        <v>9051697.1999999993</v>
      </c>
      <c r="AJ40" s="359">
        <f>'Evolutitve SCI'!AI6</f>
        <v>10693031.300000001</v>
      </c>
      <c r="AK40" s="359">
        <f>'Evolutitve SCI'!AJ6</f>
        <v>26337947.399999999</v>
      </c>
      <c r="AL40" s="359">
        <f>'Evolutitve SCI'!AK6</f>
        <v>15210850</v>
      </c>
      <c r="AM40" s="359">
        <f>'Evolutitve SCI'!AL6</f>
        <v>17122230.199999999</v>
      </c>
      <c r="AN40" s="359">
        <f>'Evolutitve SCI'!AM6</f>
        <v>22170482.800000001</v>
      </c>
      <c r="AO40" s="359">
        <f>'Evolutitve SCI'!AN6</f>
        <v>28188090.199999999</v>
      </c>
      <c r="AP40" s="359">
        <f>'Evolutitve SCI'!AO6</f>
        <v>0</v>
      </c>
      <c r="AQ40" s="359">
        <f>'Evolutitve SCI'!AP6</f>
        <v>2711447.5</v>
      </c>
      <c r="AR40" s="359">
        <f>'Evolutitve SCI'!AQ6</f>
        <v>4285662.4000000004</v>
      </c>
      <c r="AS40" s="359">
        <f>'Evolutitve SCI'!AR6</f>
        <v>6049417.7999999998</v>
      </c>
      <c r="AT40" s="359">
        <f>'Evolutitve SCI'!AS6</f>
        <v>6982233.5999999996</v>
      </c>
      <c r="AU40" s="359">
        <f>'Evolutitve SCI'!AT6</f>
        <v>9161633.5</v>
      </c>
      <c r="AV40" s="359">
        <f>'Evolutitve SCI'!AU6</f>
        <v>10936216.9</v>
      </c>
      <c r="AW40" s="359">
        <f>'Evolutitve SCI'!AV6</f>
        <v>12654073</v>
      </c>
      <c r="AX40" s="359">
        <f>'Evolutitve SCI'!AW6</f>
        <v>14648554.6</v>
      </c>
      <c r="AY40" s="359">
        <f>'Evolutitve SCI'!AX6</f>
        <v>16429201.800000001</v>
      </c>
      <c r="AZ40" s="359">
        <f>'Evolutitve SCI'!AY6</f>
        <v>17918241.399999999</v>
      </c>
      <c r="BA40" s="359">
        <f>'Evolutitve SCI'!AZ6</f>
        <v>23184600.199999999</v>
      </c>
      <c r="BB40" s="359">
        <f>'Evolutitve SCI'!BA6</f>
        <v>26800583.300000001</v>
      </c>
      <c r="BC40" s="359">
        <f>'Evolutitve SCI'!BB6</f>
        <v>0</v>
      </c>
      <c r="BD40" s="359">
        <f>'Evolutitve SCI'!BC6</f>
        <v>3298517.3</v>
      </c>
      <c r="BE40" s="359">
        <f>'Evolutitve SCI'!BD6</f>
        <v>4866170.7</v>
      </c>
      <c r="BF40" s="359">
        <f>'Evolutitve SCI'!BE6</f>
        <v>6441570.7999999998</v>
      </c>
      <c r="BG40" s="359">
        <f>'Evolutitve SCI'!BF6</f>
        <v>8737798.6999999993</v>
      </c>
      <c r="BH40" s="359">
        <f>'Evolutitve SCI'!BG6</f>
        <v>10575357.4</v>
      </c>
      <c r="BI40" s="359">
        <f>'Evolutitve SCI'!BH6</f>
        <v>12654264.9</v>
      </c>
      <c r="BJ40" s="359">
        <f>'Evolutitve SCI'!BI6</f>
        <v>15766920.800000001</v>
      </c>
      <c r="BK40" s="359">
        <f>'Evolutitve SCI'!BJ6</f>
        <v>18394985.300000001</v>
      </c>
      <c r="BL40" s="359">
        <f>'Evolutitve SCI'!BK6</f>
        <v>21608191.800000001</v>
      </c>
      <c r="BM40" s="359">
        <f>'Evolutitve SCI'!BL6</f>
        <v>23346746.5</v>
      </c>
      <c r="BN40" s="359">
        <f>'Evolutitve SCI'!BM6</f>
        <v>26230768.899999999</v>
      </c>
      <c r="BO40" s="359">
        <f>'Evolutitve SCI'!BN6</f>
        <v>110031920.59999999</v>
      </c>
      <c r="BP40" s="359">
        <f>'Evolutitve SCI'!BO6</f>
        <v>110031921</v>
      </c>
      <c r="BQ40" s="359">
        <f>'Evolutitve SCI'!BQ6</f>
        <v>0</v>
      </c>
      <c r="BR40" s="359">
        <f>'Evolutitve SCI'!BR6</f>
        <v>0</v>
      </c>
      <c r="BS40" s="359">
        <f>'Evolutitve SCI'!BS6</f>
        <v>0</v>
      </c>
      <c r="BT40" s="359">
        <f>'Evolutitve SCI'!BT6</f>
        <v>0</v>
      </c>
      <c r="BU40" s="359">
        <f>'Evolutitve SCI'!BU6</f>
        <v>0</v>
      </c>
      <c r="BV40" s="359">
        <f>'Evolutitve SCI'!BV6</f>
        <v>0</v>
      </c>
      <c r="BW40" s="359">
        <f>'Evolutitve SCI'!BW6</f>
        <v>0</v>
      </c>
    </row>
    <row r="41" spans="1:75">
      <c r="A41" s="355">
        <v>9.4</v>
      </c>
      <c r="B41" s="355" t="s">
        <v>102</v>
      </c>
      <c r="C41" s="359"/>
      <c r="D41" s="359"/>
      <c r="E41" s="359"/>
      <c r="F41" s="359"/>
      <c r="G41" s="359"/>
      <c r="H41" s="359"/>
      <c r="I41" s="359"/>
      <c r="J41" s="359"/>
      <c r="K41" s="359"/>
      <c r="L41" s="359"/>
      <c r="M41" s="359"/>
      <c r="N41" s="359"/>
      <c r="O41" s="359"/>
      <c r="P41" s="359"/>
      <c r="Q41" s="359"/>
      <c r="R41" s="359"/>
      <c r="S41" s="359"/>
      <c r="T41" s="359"/>
      <c r="U41" s="359"/>
      <c r="V41" s="359"/>
      <c r="W41" s="359"/>
      <c r="X41" s="359"/>
      <c r="Y41" s="359"/>
      <c r="Z41" s="359"/>
      <c r="AA41" s="359"/>
      <c r="AB41" s="359"/>
      <c r="AC41" s="359"/>
      <c r="AD41" s="359"/>
      <c r="AE41" s="359"/>
      <c r="AF41" s="359"/>
      <c r="AG41" s="359"/>
      <c r="AH41" s="359"/>
      <c r="AI41" s="359"/>
      <c r="AJ41" s="359"/>
      <c r="AK41" s="359"/>
      <c r="AL41" s="359"/>
      <c r="AM41" s="359"/>
      <c r="AN41" s="359"/>
      <c r="AO41" s="359"/>
      <c r="AP41" s="359"/>
      <c r="AQ41" s="359"/>
      <c r="AR41" s="359"/>
      <c r="AS41" s="359"/>
      <c r="AT41" s="359"/>
      <c r="AU41" s="359"/>
      <c r="AV41" s="359"/>
      <c r="AW41" s="359"/>
      <c r="AX41" s="359"/>
      <c r="AY41" s="359"/>
      <c r="AZ41" s="359"/>
      <c r="BA41" s="359"/>
      <c r="BB41" s="359"/>
      <c r="BC41" s="359"/>
      <c r="BD41" s="359"/>
      <c r="BE41" s="359"/>
      <c r="BF41" s="359"/>
      <c r="BG41" s="359"/>
      <c r="BH41" s="359"/>
      <c r="BI41" s="359"/>
      <c r="BJ41" s="359"/>
      <c r="BK41" s="359"/>
      <c r="BL41" s="359"/>
      <c r="BM41" s="359"/>
      <c r="BN41" s="359"/>
      <c r="BO41" s="359"/>
      <c r="BP41" s="359"/>
      <c r="BQ41" s="359"/>
      <c r="BR41" s="359"/>
      <c r="BS41" s="359"/>
      <c r="BT41" s="359"/>
      <c r="BU41" s="359"/>
      <c r="BV41" s="359"/>
      <c r="BW41" s="359"/>
    </row>
    <row r="42" spans="1:75">
      <c r="A42" s="355"/>
      <c r="B42" s="355"/>
      <c r="C42" s="359"/>
      <c r="D42" s="359"/>
      <c r="E42" s="359"/>
      <c r="F42" s="359"/>
      <c r="G42" s="359"/>
      <c r="H42" s="359"/>
      <c r="I42" s="359"/>
      <c r="J42" s="359"/>
      <c r="K42" s="359"/>
      <c r="L42" s="359"/>
      <c r="M42" s="359"/>
      <c r="N42" s="359"/>
      <c r="O42" s="359"/>
      <c r="P42" s="359"/>
      <c r="Q42" s="359"/>
      <c r="R42" s="359"/>
      <c r="S42" s="359"/>
      <c r="T42" s="359"/>
      <c r="U42" s="359"/>
      <c r="V42" s="359"/>
      <c r="W42" s="359"/>
      <c r="X42" s="359"/>
      <c r="Y42" s="359"/>
      <c r="Z42" s="359"/>
      <c r="AA42" s="359"/>
      <c r="AB42" s="359"/>
      <c r="AC42" s="359"/>
      <c r="AD42" s="359"/>
      <c r="AE42" s="359"/>
      <c r="AF42" s="359"/>
      <c r="AG42" s="359"/>
      <c r="AH42" s="359"/>
      <c r="AI42" s="359"/>
      <c r="AJ42" s="359"/>
      <c r="AK42" s="359"/>
      <c r="AL42" s="359"/>
      <c r="AM42" s="359"/>
      <c r="AN42" s="359"/>
      <c r="AO42" s="359"/>
      <c r="AP42" s="359"/>
      <c r="AQ42" s="359"/>
      <c r="AR42" s="359"/>
      <c r="AS42" s="359"/>
      <c r="AT42" s="359"/>
      <c r="AU42" s="359"/>
      <c r="AV42" s="359"/>
      <c r="AW42" s="359"/>
      <c r="AX42" s="359"/>
      <c r="AY42" s="359"/>
      <c r="AZ42" s="359"/>
      <c r="BA42" s="359"/>
      <c r="BB42" s="359"/>
      <c r="BC42" s="359"/>
      <c r="BD42" s="359"/>
      <c r="BE42" s="359"/>
      <c r="BF42" s="359"/>
      <c r="BG42" s="359"/>
      <c r="BH42" s="359"/>
      <c r="BI42" s="359"/>
      <c r="BJ42" s="359"/>
      <c r="BK42" s="359"/>
      <c r="BL42" s="359"/>
      <c r="BM42" s="359"/>
      <c r="BN42" s="359"/>
      <c r="BO42" s="359"/>
      <c r="BP42" s="359"/>
      <c r="BQ42" s="359"/>
      <c r="BR42" s="359"/>
      <c r="BS42" s="359"/>
      <c r="BT42" s="359"/>
      <c r="BU42" s="359"/>
      <c r="BV42" s="359"/>
      <c r="BW42" s="359"/>
    </row>
    <row r="43" spans="1:75">
      <c r="A43" s="361">
        <v>10</v>
      </c>
      <c r="B43" s="371" t="s">
        <v>103</v>
      </c>
      <c r="C43" s="363">
        <f>SUM(C44:C47)</f>
        <v>11568.464599999999</v>
      </c>
      <c r="D43" s="363">
        <f>SUM(D44:D47)</f>
        <v>167267134</v>
      </c>
      <c r="E43" s="363">
        <f>SUM(E44:E47)</f>
        <v>9281060.7200000007</v>
      </c>
      <c r="F43" s="363">
        <f>SUM(F44:F47)</f>
        <v>21824283.850000001</v>
      </c>
      <c r="G43" s="363">
        <f t="shared" ref="G43:N43" si="26">SUM(G44:G47)</f>
        <v>34191269.240000002</v>
      </c>
      <c r="H43" s="363">
        <f>SUM(H44:H47)</f>
        <v>47440791.849999994</v>
      </c>
      <c r="I43" s="363">
        <f>SUM(I44:I47)</f>
        <v>61774112.620000005</v>
      </c>
      <c r="J43" s="363">
        <f t="shared" si="26"/>
        <v>75070600.329999998</v>
      </c>
      <c r="K43" s="363">
        <f t="shared" si="26"/>
        <v>87081639.739999995</v>
      </c>
      <c r="L43" s="363">
        <f t="shared" si="26"/>
        <v>100169836.39000002</v>
      </c>
      <c r="M43" s="363">
        <f t="shared" si="26"/>
        <v>113222366.53999999</v>
      </c>
      <c r="N43" s="363">
        <f t="shared" si="26"/>
        <v>128113949.91</v>
      </c>
      <c r="O43" s="363">
        <f>SUM(O44:O47)</f>
        <v>144229007.59</v>
      </c>
      <c r="P43" s="363">
        <f>SUM(P44:P47)</f>
        <v>157929744.22</v>
      </c>
      <c r="Q43" s="363">
        <f>SUM(Q44:Q47)</f>
        <v>171031339</v>
      </c>
      <c r="R43" s="363">
        <f>SUM(R44:R47)</f>
        <v>10487830.930000002</v>
      </c>
      <c r="S43" s="363">
        <f t="shared" ref="S43:AD43" si="27">SUM(S44:S47)</f>
        <v>25271646.18</v>
      </c>
      <c r="T43" s="363">
        <f t="shared" si="27"/>
        <v>39445247.25</v>
      </c>
      <c r="U43" s="363">
        <f t="shared" si="27"/>
        <v>50476350.019999996</v>
      </c>
      <c r="V43" s="363">
        <f t="shared" si="27"/>
        <v>64810688.390000008</v>
      </c>
      <c r="W43" s="363">
        <f t="shared" si="27"/>
        <v>84371342.769999996</v>
      </c>
      <c r="X43" s="363">
        <f t="shared" si="27"/>
        <v>98139791.459999993</v>
      </c>
      <c r="Y43" s="363">
        <f t="shared" si="27"/>
        <v>109122215.19</v>
      </c>
      <c r="Z43" s="363">
        <f t="shared" si="27"/>
        <v>122073031.48999999</v>
      </c>
      <c r="AA43" s="363">
        <f t="shared" si="27"/>
        <v>142015262.82999998</v>
      </c>
      <c r="AB43" s="363">
        <f t="shared" si="27"/>
        <v>152811107.60000002</v>
      </c>
      <c r="AC43" s="363" t="e">
        <f t="shared" si="27"/>
        <v>#REF!</v>
      </c>
      <c r="AD43" s="363">
        <f t="shared" si="27"/>
        <v>195442889</v>
      </c>
      <c r="AE43" s="363">
        <f t="shared" ref="AE43:BR43" si="28">SUM(AE44:AE47)</f>
        <v>11211192.550000001</v>
      </c>
      <c r="AF43" s="363">
        <f t="shared" si="28"/>
        <v>26015314</v>
      </c>
      <c r="AG43" s="363">
        <f t="shared" si="28"/>
        <v>40221465.119999997</v>
      </c>
      <c r="AH43" s="363">
        <f t="shared" si="28"/>
        <v>51513869.960000001</v>
      </c>
      <c r="AI43" s="363">
        <f t="shared" si="28"/>
        <v>62452413.219999999</v>
      </c>
      <c r="AJ43" s="363">
        <f t="shared" si="28"/>
        <v>74044368.370000005</v>
      </c>
      <c r="AK43" s="363">
        <f t="shared" si="28"/>
        <v>199214054.69999999</v>
      </c>
      <c r="AL43" s="363">
        <f t="shared" si="28"/>
        <v>114368108.19</v>
      </c>
      <c r="AM43" s="363">
        <f t="shared" si="28"/>
        <v>137125405.44</v>
      </c>
      <c r="AN43" s="363">
        <f t="shared" si="28"/>
        <v>150112543</v>
      </c>
      <c r="AO43" s="363">
        <f t="shared" si="28"/>
        <v>160092374.97999999</v>
      </c>
      <c r="AP43" s="363">
        <f t="shared" si="28"/>
        <v>182447229</v>
      </c>
      <c r="AQ43" s="363">
        <f t="shared" si="28"/>
        <v>10674160.529999999</v>
      </c>
      <c r="AR43" s="363">
        <f t="shared" si="28"/>
        <v>26253472.52</v>
      </c>
      <c r="AS43" s="363">
        <f t="shared" si="28"/>
        <v>39428575.820000008</v>
      </c>
      <c r="AT43" s="363">
        <f t="shared" si="28"/>
        <v>50934361.640000001</v>
      </c>
      <c r="AU43" s="363">
        <f t="shared" si="28"/>
        <v>64614125.240000002</v>
      </c>
      <c r="AV43" s="363">
        <f t="shared" si="28"/>
        <v>79512793.510000005</v>
      </c>
      <c r="AW43" s="363">
        <f t="shared" si="28"/>
        <v>92474470.799999997</v>
      </c>
      <c r="AX43" s="363">
        <f t="shared" si="28"/>
        <v>104092433.47</v>
      </c>
      <c r="AY43" s="363">
        <f t="shared" si="28"/>
        <v>120250186.50999999</v>
      </c>
      <c r="AZ43" s="363">
        <f t="shared" si="28"/>
        <v>133162262.51000001</v>
      </c>
      <c r="BA43" s="363">
        <f t="shared" si="28"/>
        <v>148774569.68000001</v>
      </c>
      <c r="BB43" s="363">
        <f t="shared" si="28"/>
        <v>170489109.88999999</v>
      </c>
      <c r="BC43" s="363">
        <f t="shared" si="28"/>
        <v>168469496.81999999</v>
      </c>
      <c r="BD43" s="363">
        <f t="shared" si="28"/>
        <v>13645256.76</v>
      </c>
      <c r="BE43" s="363">
        <f t="shared" si="28"/>
        <v>27557562.059999999</v>
      </c>
      <c r="BF43" s="363">
        <f t="shared" si="28"/>
        <v>46128556.799999997</v>
      </c>
      <c r="BG43" s="363">
        <f t="shared" si="28"/>
        <v>60455015.369999997</v>
      </c>
      <c r="BH43" s="363">
        <f t="shared" si="28"/>
        <v>74369429.5</v>
      </c>
      <c r="BI43" s="363">
        <f t="shared" si="28"/>
        <v>89243049.729999989</v>
      </c>
      <c r="BJ43" s="363">
        <f t="shared" si="28"/>
        <v>110567973.08999999</v>
      </c>
      <c r="BK43" s="363">
        <f t="shared" si="28"/>
        <v>124187761.09999999</v>
      </c>
      <c r="BL43" s="363">
        <f t="shared" si="28"/>
        <v>139211077.00999999</v>
      </c>
      <c r="BM43" s="363">
        <f t="shared" si="28"/>
        <v>153021020.38999999</v>
      </c>
      <c r="BN43" s="363">
        <f t="shared" si="28"/>
        <v>176443531.38999999</v>
      </c>
      <c r="BO43" s="363">
        <f t="shared" si="28"/>
        <v>187146088.66999999</v>
      </c>
      <c r="BP43" s="363">
        <f t="shared" si="28"/>
        <v>187123008</v>
      </c>
      <c r="BQ43" s="363">
        <f t="shared" si="28"/>
        <v>0</v>
      </c>
      <c r="BR43" s="363">
        <f t="shared" si="28"/>
        <v>0</v>
      </c>
      <c r="BS43" s="363">
        <f t="shared" ref="BS43:BW43" si="29">SUM(BS44:BS47)</f>
        <v>0</v>
      </c>
      <c r="BT43" s="363">
        <f t="shared" si="29"/>
        <v>0</v>
      </c>
      <c r="BU43" s="363">
        <f t="shared" si="29"/>
        <v>0</v>
      </c>
      <c r="BV43" s="363">
        <f t="shared" si="29"/>
        <v>0</v>
      </c>
      <c r="BW43" s="363">
        <f t="shared" si="29"/>
        <v>0</v>
      </c>
    </row>
    <row r="44" spans="1:75">
      <c r="A44" s="355">
        <v>10.1</v>
      </c>
      <c r="B44" s="355" t="s">
        <v>104</v>
      </c>
      <c r="C44" s="359">
        <f>'Evolutitve SCI'!B13+'Evolutitve SCI'!B16</f>
        <v>185.36</v>
      </c>
      <c r="D44" s="359">
        <f>'Evolutitve SCI'!C13+'Evolutitve SCI'!C16</f>
        <v>18907802</v>
      </c>
      <c r="E44" s="359">
        <f>'Evolutitve SCI'!D13+'Evolutitve SCI'!D16</f>
        <v>588165.55000000005</v>
      </c>
      <c r="F44" s="359">
        <f>'Evolutitve SCI'!E13+'Evolutitve SCI'!E16</f>
        <v>1014759.5</v>
      </c>
      <c r="G44" s="359">
        <f>'Evolutitve SCI'!F13+'Evolutitve SCI'!F16</f>
        <v>1486405.85</v>
      </c>
      <c r="H44" s="359">
        <f>'Evolutitve SCI'!G13+'Evolutitve SCI'!G16</f>
        <v>2076187.75</v>
      </c>
      <c r="I44" s="359">
        <f>'Evolutitve SCI'!H13+'Evolutitve SCI'!H16</f>
        <v>6320227.5800000001</v>
      </c>
      <c r="J44" s="359">
        <f>'Evolutitve SCI'!I13+'Evolutitve SCI'!I16</f>
        <v>8020486.6699999999</v>
      </c>
      <c r="K44" s="359">
        <f>'Evolutitve SCI'!J13+'Evolutitve SCI'!J16</f>
        <v>9694002.0600000005</v>
      </c>
      <c r="L44" s="359">
        <f>'Evolutitve SCI'!K13+'Evolutitve SCI'!K16</f>
        <v>11248585.07</v>
      </c>
      <c r="M44" s="359">
        <f>'Evolutitve SCI'!L13+'Evolutitve SCI'!L16</f>
        <v>12742100.560000001</v>
      </c>
      <c r="N44" s="359">
        <f>'Evolutitve SCI'!M13+'Evolutitve SCI'!M16</f>
        <v>14751978.4</v>
      </c>
      <c r="O44" s="359">
        <f>'Evolutitve SCI'!N13+'Evolutitve SCI'!N16</f>
        <v>17219789.129999999</v>
      </c>
      <c r="P44" s="359">
        <f>'Evolutitve SCI'!O13+'Evolutitve SCI'!O16</f>
        <v>18459703.829999998</v>
      </c>
      <c r="Q44" s="359">
        <f>'Evolutitve SCI'!P13+'Evolutitve SCI'!P16</f>
        <v>31781300</v>
      </c>
      <c r="R44" s="359">
        <f>'Evolutitve SCI'!Q13+'Evolutitve SCI'!Q16</f>
        <v>739198.65</v>
      </c>
      <c r="S44" s="359">
        <f>'Evolutitve SCI'!R13+'Evolutitve SCI'!R16</f>
        <v>1257955.3999999999</v>
      </c>
      <c r="T44" s="359">
        <f>'Evolutitve SCI'!S13+'Evolutitve SCI'!S16</f>
        <v>2225826.4</v>
      </c>
      <c r="U44" s="359">
        <f>'Evolutitve SCI'!T13+'Evolutitve SCI'!T16</f>
        <v>2648297.5</v>
      </c>
      <c r="V44" s="359">
        <f>'Evolutitve SCI'!U13+'Evolutitve SCI'!U16</f>
        <v>6818095.0999999996</v>
      </c>
      <c r="W44" s="359">
        <f>'Evolutitve SCI'!V13+'Evolutitve SCI'!V16</f>
        <v>12624925.890000001</v>
      </c>
      <c r="X44" s="359">
        <f>'Evolutitve SCI'!W13+'Evolutitve SCI'!W16</f>
        <v>14806184.359999999</v>
      </c>
      <c r="Y44" s="359">
        <f>'Evolutitve SCI'!X13+'Evolutitve SCI'!X16</f>
        <v>15240192.460000001</v>
      </c>
      <c r="Z44" s="359">
        <f>'Evolutitve SCI'!Y13+'Evolutitve SCI'!Y16</f>
        <v>17435434.760000002</v>
      </c>
      <c r="AA44" s="359">
        <f>'Evolutitve SCI'!Z13+'Evolutitve SCI'!Z16</f>
        <v>23933925.760000002</v>
      </c>
      <c r="AB44" s="359">
        <f>'Evolutitve SCI'!AA13+'Evolutitve SCI'!AA16</f>
        <v>24446528.109999999</v>
      </c>
      <c r="AC44" s="359" t="e">
        <f>'Evolutitve SCI'!#REF!+'Evolutitve SCI'!#REF!</f>
        <v>#REF!</v>
      </c>
      <c r="AD44" s="359">
        <f>'Evolutitve SCI'!AC13+'Evolutitve SCI'!AC16</f>
        <v>54726552</v>
      </c>
      <c r="AE44" s="359">
        <f>'Evolutitve SCI'!AD13+'Evolutitve SCI'!AD16</f>
        <v>895797.3</v>
      </c>
      <c r="AF44" s="359">
        <f>'Evolutitve SCI'!AE13+'Evolutitve SCI'!AE16</f>
        <v>3045494.36</v>
      </c>
      <c r="AG44" s="359">
        <f>'Evolutitve SCI'!AF13+'Evolutitve SCI'!AF16</f>
        <v>5378648.3200000003</v>
      </c>
      <c r="AH44" s="359">
        <f>'Evolutitve SCI'!AG13+'Evolutitve SCI'!AG16</f>
        <v>6236991.4699999997</v>
      </c>
      <c r="AI44" s="359">
        <f>'Evolutitve SCI'!AH13+'Evolutitve SCI'!AH16</f>
        <v>8332408.71</v>
      </c>
      <c r="AJ44" s="359">
        <f>'Evolutitve SCI'!AI13+'Evolutitve SCI'!AI16</f>
        <v>10463843.82</v>
      </c>
      <c r="AK44" s="359">
        <f>'Evolutitve SCI'!AJ13+'Evolutitve SCI'!AJ16</f>
        <v>30343248.079999998</v>
      </c>
      <c r="AL44" s="359">
        <f>'Evolutitve SCI'!AK13+'Evolutitve SCI'!AK16</f>
        <v>17294473.149999999</v>
      </c>
      <c r="AM44" s="359">
        <f>'Evolutitve SCI'!AL13+'Evolutitve SCI'!AL16</f>
        <v>22571873.370000001</v>
      </c>
      <c r="AN44" s="359">
        <f>'Evolutitve SCI'!AM13+'Evolutitve SCI'!AM16</f>
        <v>24964376.260000002</v>
      </c>
      <c r="AO44" s="359">
        <f>'Evolutitve SCI'!AN13+'Evolutitve SCI'!AN16</f>
        <v>20712158.210000001</v>
      </c>
      <c r="AP44" s="359">
        <f>'Evolutitve SCI'!AO13+'Evolutitve SCI'!AO16</f>
        <v>43060162</v>
      </c>
      <c r="AQ44" s="359">
        <f>'Evolutitve SCI'!AP13+'Evolutitve SCI'!AP16</f>
        <v>1384244.11</v>
      </c>
      <c r="AR44" s="359">
        <f>'Evolutitve SCI'!AQ13+'Evolutitve SCI'!AQ16</f>
        <v>2668128.34</v>
      </c>
      <c r="AS44" s="359">
        <f>'Evolutitve SCI'!AR13+'Evolutitve SCI'!AR16</f>
        <v>3535902.84</v>
      </c>
      <c r="AT44" s="359">
        <f>'Evolutitve SCI'!AS13+'Evolutitve SCI'!AS16</f>
        <v>4013128.04</v>
      </c>
      <c r="AU44" s="359">
        <f>'Evolutitve SCI'!AT13+'Evolutitve SCI'!AT16</f>
        <v>6095721.0999999996</v>
      </c>
      <c r="AV44" s="359">
        <f>'Evolutitve SCI'!AU13+'Evolutitve SCI'!AU16</f>
        <v>9124081.0899999999</v>
      </c>
      <c r="AW44" s="359">
        <f>'Evolutitve SCI'!AV13+'Evolutitve SCI'!AV16</f>
        <v>11179952.25</v>
      </c>
      <c r="AX44" s="359">
        <f>'Evolutitve SCI'!AW13+'Evolutitve SCI'!AW16</f>
        <v>13509786.359999999</v>
      </c>
      <c r="AY44" s="359">
        <f>'Evolutitve SCI'!AX13+'Evolutitve SCI'!AX16</f>
        <v>16647427.460000001</v>
      </c>
      <c r="AZ44" s="359">
        <f>'Evolutitve SCI'!AY13+'Evolutitve SCI'!AY16</f>
        <v>18209763.010000002</v>
      </c>
      <c r="BA44" s="359">
        <f>'Evolutitve SCI'!AZ13+'Evolutitve SCI'!AZ16</f>
        <v>20523361.219999999</v>
      </c>
      <c r="BB44" s="359">
        <f>'Evolutitve SCI'!BA13+'Evolutitve SCI'!BA16</f>
        <v>23470698.82</v>
      </c>
      <c r="BC44" s="359">
        <f>'Evolutitve SCI'!BB13+'Evolutitve SCI'!BB16</f>
        <v>23470698.82</v>
      </c>
      <c r="BD44" s="359">
        <f>'Evolutitve SCI'!BC13+'Evolutitve SCI'!BC16</f>
        <v>269373.45</v>
      </c>
      <c r="BE44" s="359">
        <f>'Evolutitve SCI'!BD13+'Evolutitve SCI'!BD16</f>
        <v>840650.45</v>
      </c>
      <c r="BF44" s="359">
        <f>'Evolutitve SCI'!BE13+'Evolutitve SCI'!BE16</f>
        <v>3928451.86</v>
      </c>
      <c r="BG44" s="359">
        <f>'Evolutitve SCI'!BF13+'Evolutitve SCI'!BF16</f>
        <v>5855531.29</v>
      </c>
      <c r="BH44" s="359">
        <f>'Evolutitve SCI'!BG13+'Evolutitve SCI'!BG16</f>
        <v>7902593.9699999997</v>
      </c>
      <c r="BI44" s="359">
        <f>'Evolutitve SCI'!BH13+'Evolutitve SCI'!BH16</f>
        <v>10618872.939999999</v>
      </c>
      <c r="BJ44" s="359">
        <f>'Evolutitve SCI'!BI13+'Evolutitve SCI'!BI16</f>
        <v>14894537.74</v>
      </c>
      <c r="BK44" s="359">
        <f>'Evolutitve SCI'!BJ13+'Evolutitve SCI'!BJ16</f>
        <v>16223640.880000001</v>
      </c>
      <c r="BL44" s="359">
        <f>'Evolutitve SCI'!BK13+'Evolutitve SCI'!BK16</f>
        <v>18112636.300000001</v>
      </c>
      <c r="BM44" s="359">
        <f>'Evolutitve SCI'!BL13+'Evolutitve SCI'!BL16</f>
        <v>20488225.469999999</v>
      </c>
      <c r="BN44" s="359">
        <f>'Evolutitve SCI'!BM13+'Evolutitve SCI'!BM16</f>
        <v>30383393.390000001</v>
      </c>
      <c r="BO44" s="359">
        <f>'Evolutitve SCI'!BN13+'Evolutitve SCI'!BN16</f>
        <v>24699335.280000001</v>
      </c>
      <c r="BP44" s="359">
        <f>'Evolutitve SCI'!BO13+'Evolutitve SCI'!BO16</f>
        <v>24699335</v>
      </c>
      <c r="BQ44" s="359">
        <f>'Evolutitve SCI'!BQ13+'Evolutitve SCI'!BQ16</f>
        <v>0</v>
      </c>
      <c r="BR44" s="359">
        <f>'Evolutitve SCI'!BR13+'Evolutitve SCI'!BR16</f>
        <v>0</v>
      </c>
      <c r="BS44" s="359">
        <f>'Evolutitve SCI'!BS13+'Evolutitve SCI'!BS16</f>
        <v>0</v>
      </c>
      <c r="BT44" s="359">
        <f>'Evolutitve SCI'!BT13+'Evolutitve SCI'!BT16</f>
        <v>0</v>
      </c>
      <c r="BU44" s="359">
        <f>'Evolutitve SCI'!BU13+'Evolutitve SCI'!BU16</f>
        <v>0</v>
      </c>
      <c r="BV44" s="359">
        <f>'Evolutitve SCI'!BV13+'Evolutitve SCI'!BV16</f>
        <v>0</v>
      </c>
      <c r="BW44" s="359">
        <f>'Evolutitve SCI'!BW13+'Evolutitve SCI'!BW16</f>
        <v>0</v>
      </c>
    </row>
    <row r="45" spans="1:75">
      <c r="A45" s="355">
        <v>10.199999999999999</v>
      </c>
      <c r="B45" s="355" t="s">
        <v>105</v>
      </c>
      <c r="C45" s="359">
        <f>'Evolutitve SCI'!B15</f>
        <v>0</v>
      </c>
      <c r="D45" s="359">
        <f>'Evolutitve SCI'!C15</f>
        <v>0</v>
      </c>
      <c r="E45" s="359">
        <f>'Evolutitve SCI'!D15</f>
        <v>0</v>
      </c>
      <c r="F45" s="359">
        <f>'Evolutitve SCI'!E15</f>
        <v>0</v>
      </c>
      <c r="G45" s="359">
        <f>'Evolutitve SCI'!F15</f>
        <v>0</v>
      </c>
      <c r="H45" s="359">
        <f>'Evolutitve SCI'!G15</f>
        <v>0</v>
      </c>
      <c r="I45" s="359">
        <f>'Evolutitve SCI'!H15</f>
        <v>0</v>
      </c>
      <c r="J45" s="359">
        <f>'Evolutitve SCI'!I15</f>
        <v>0</v>
      </c>
      <c r="K45" s="359">
        <f>'Evolutitve SCI'!J15</f>
        <v>0</v>
      </c>
      <c r="L45" s="359">
        <f>'Evolutitve SCI'!K15</f>
        <v>0</v>
      </c>
      <c r="M45" s="359">
        <f>'Evolutitve SCI'!L15</f>
        <v>0</v>
      </c>
      <c r="N45" s="359">
        <f>'Evolutitve SCI'!M15</f>
        <v>0</v>
      </c>
      <c r="O45" s="359">
        <f>'Evolutitve SCI'!N15</f>
        <v>0</v>
      </c>
      <c r="P45" s="359">
        <f>'Evolutitve SCI'!O15</f>
        <v>0</v>
      </c>
      <c r="Q45" s="359">
        <f>'Evolutitve SCI'!P15</f>
        <v>0</v>
      </c>
      <c r="R45" s="359">
        <f>'Evolutitve SCI'!Q15</f>
        <v>0</v>
      </c>
      <c r="S45" s="359">
        <f>'Evolutitve SCI'!R15</f>
        <v>0</v>
      </c>
      <c r="T45" s="359">
        <f>'Evolutitve SCI'!S15</f>
        <v>0</v>
      </c>
      <c r="U45" s="359">
        <f>'Evolutitve SCI'!T15</f>
        <v>0</v>
      </c>
      <c r="V45" s="359">
        <f>'Evolutitve SCI'!U15</f>
        <v>0</v>
      </c>
      <c r="W45" s="359">
        <f>'Evolutitve SCI'!V15</f>
        <v>0</v>
      </c>
      <c r="X45" s="359">
        <f>'Evolutitve SCI'!W15</f>
        <v>0</v>
      </c>
      <c r="Y45" s="359">
        <f>'Evolutitve SCI'!X15</f>
        <v>0</v>
      </c>
      <c r="Z45" s="359">
        <f>'Evolutitve SCI'!Y15</f>
        <v>0</v>
      </c>
      <c r="AA45" s="359">
        <f>'Evolutitve SCI'!Z15</f>
        <v>0</v>
      </c>
      <c r="AB45" s="359">
        <f>'Evolutitve SCI'!AA15</f>
        <v>0</v>
      </c>
      <c r="AC45" s="359" t="e">
        <f>'Evolutitve SCI'!#REF!</f>
        <v>#REF!</v>
      </c>
      <c r="AD45" s="359">
        <f>'Evolutitve SCI'!AC15</f>
        <v>0</v>
      </c>
      <c r="AE45" s="359">
        <f>'Evolutitve SCI'!AD15</f>
        <v>0</v>
      </c>
      <c r="AF45" s="359">
        <f>'Evolutitve SCI'!AE15</f>
        <v>0</v>
      </c>
      <c r="AG45" s="359">
        <f>'Evolutitve SCI'!AF15</f>
        <v>0</v>
      </c>
      <c r="AH45" s="359">
        <f>'Evolutitve SCI'!AG15</f>
        <v>0</v>
      </c>
      <c r="AI45" s="359">
        <f>'Evolutitve SCI'!AH15</f>
        <v>0</v>
      </c>
      <c r="AJ45" s="359">
        <f>'Evolutitve SCI'!AI15</f>
        <v>0</v>
      </c>
      <c r="AK45" s="359">
        <f>'Evolutitve SCI'!AJ15</f>
        <v>0</v>
      </c>
      <c r="AL45" s="359">
        <f>'Evolutitve SCI'!AK15</f>
        <v>0</v>
      </c>
      <c r="AM45" s="359">
        <f>'Evolutitve SCI'!AL15</f>
        <v>0</v>
      </c>
      <c r="AN45" s="359">
        <f>'Evolutitve SCI'!AM15</f>
        <v>0</v>
      </c>
      <c r="AO45" s="359">
        <f>'Evolutitve SCI'!AN15</f>
        <v>0</v>
      </c>
      <c r="AP45" s="359">
        <f>'Evolutitve SCI'!AO15</f>
        <v>0</v>
      </c>
      <c r="AQ45" s="359">
        <f>'Evolutitve SCI'!AP15</f>
        <v>0</v>
      </c>
      <c r="AR45" s="359">
        <f>'Evolutitve SCI'!AQ15</f>
        <v>0</v>
      </c>
      <c r="AS45" s="359">
        <f>'Evolutitve SCI'!AR15</f>
        <v>0</v>
      </c>
      <c r="AT45" s="359">
        <f>'Evolutitve SCI'!AS15</f>
        <v>0</v>
      </c>
      <c r="AU45" s="359">
        <f>'Evolutitve SCI'!AT15</f>
        <v>0</v>
      </c>
      <c r="AV45" s="359">
        <f>'Evolutitve SCI'!AU15</f>
        <v>0</v>
      </c>
      <c r="AW45" s="359">
        <f>'Evolutitve SCI'!AV15</f>
        <v>0</v>
      </c>
      <c r="AX45" s="359">
        <f>'Evolutitve SCI'!AW15</f>
        <v>0</v>
      </c>
      <c r="AY45" s="359">
        <f>'Evolutitve SCI'!AX15</f>
        <v>0</v>
      </c>
      <c r="AZ45" s="359">
        <f>'Evolutitve SCI'!AY15</f>
        <v>0</v>
      </c>
      <c r="BA45" s="359">
        <f>'Evolutitve SCI'!AZ15</f>
        <v>0</v>
      </c>
      <c r="BB45" s="359">
        <f>'Evolutitve SCI'!BA15</f>
        <v>0</v>
      </c>
      <c r="BC45" s="359">
        <f>'Evolutitve SCI'!BB15</f>
        <v>0</v>
      </c>
      <c r="BD45" s="359">
        <f>'Evolutitve SCI'!BC15</f>
        <v>0</v>
      </c>
      <c r="BE45" s="359">
        <f>'Evolutitve SCI'!BD15</f>
        <v>0</v>
      </c>
      <c r="BF45" s="359">
        <f>'Evolutitve SCI'!BE15</f>
        <v>0</v>
      </c>
      <c r="BG45" s="359">
        <f>'Evolutitve SCI'!BF15</f>
        <v>476614.7</v>
      </c>
      <c r="BH45" s="359">
        <f>'Evolutitve SCI'!BG15</f>
        <v>0</v>
      </c>
      <c r="BI45" s="359">
        <f>'Evolutitve SCI'!BH15</f>
        <v>0</v>
      </c>
      <c r="BJ45" s="359">
        <f>'Evolutitve SCI'!BI15</f>
        <v>0</v>
      </c>
      <c r="BK45" s="359">
        <f>'Evolutitve SCI'!BJ15</f>
        <v>0</v>
      </c>
      <c r="BL45" s="359">
        <f>'Evolutitve SCI'!BK15</f>
        <v>0</v>
      </c>
      <c r="BM45" s="359">
        <f>'Evolutitve SCI'!BL15</f>
        <v>0</v>
      </c>
      <c r="BN45" s="359">
        <f>'Evolutitve SCI'!BM15</f>
        <v>0</v>
      </c>
      <c r="BO45" s="359">
        <f>'Evolutitve SCI'!BN15</f>
        <v>0</v>
      </c>
      <c r="BP45" s="359">
        <f>'Evolutitve SCI'!BO15</f>
        <v>0</v>
      </c>
      <c r="BQ45" s="359">
        <f>'Evolutitve SCI'!BQ15</f>
        <v>0</v>
      </c>
      <c r="BR45" s="359">
        <f>'Evolutitve SCI'!BR15</f>
        <v>0</v>
      </c>
      <c r="BS45" s="359">
        <f>'Evolutitve SCI'!BS15</f>
        <v>0</v>
      </c>
      <c r="BT45" s="359">
        <f>'Evolutitve SCI'!BT15</f>
        <v>0</v>
      </c>
      <c r="BU45" s="359">
        <f>'Evolutitve SCI'!BU15</f>
        <v>0</v>
      </c>
      <c r="BV45" s="359">
        <f>'Evolutitve SCI'!BV15</f>
        <v>0</v>
      </c>
      <c r="BW45" s="359">
        <f>'Evolutitve SCI'!BW15</f>
        <v>0</v>
      </c>
    </row>
    <row r="46" spans="1:75">
      <c r="A46" s="355">
        <v>10.3</v>
      </c>
      <c r="B46" s="355" t="s">
        <v>106</v>
      </c>
      <c r="C46" s="359">
        <f>'Evolutitve SCI'!B14</f>
        <v>363.72469999999998</v>
      </c>
      <c r="D46" s="359">
        <f>'Evolutitve SCI'!C14</f>
        <v>17546381</v>
      </c>
      <c r="E46" s="359">
        <f>'Evolutitve SCI'!D14</f>
        <v>0</v>
      </c>
      <c r="F46" s="359">
        <f>'Evolutitve SCI'!E14</f>
        <v>0</v>
      </c>
      <c r="G46" s="359">
        <f>'Evolutitve SCI'!F14</f>
        <v>0</v>
      </c>
      <c r="H46" s="359">
        <f>'Evolutitve SCI'!G14</f>
        <v>500000</v>
      </c>
      <c r="I46" s="359">
        <f>'Evolutitve SCI'!H14</f>
        <v>1289041.1100000001</v>
      </c>
      <c r="J46" s="359">
        <f>'Evolutitve SCI'!I14</f>
        <v>1798630.16</v>
      </c>
      <c r="K46" s="359">
        <f>'Evolutitve SCI'!J14</f>
        <v>2291680.85</v>
      </c>
      <c r="L46" s="359">
        <f>'Evolutitve SCI'!K14</f>
        <v>2846576.33</v>
      </c>
      <c r="M46" s="359">
        <f>'Evolutitve SCI'!L14</f>
        <v>3356165.38</v>
      </c>
      <c r="N46" s="359">
        <f>'Evolutitve SCI'!M14</f>
        <v>3865754.48</v>
      </c>
      <c r="O46" s="359">
        <f>'Evolutitve SCI'!N14</f>
        <v>3865754.48</v>
      </c>
      <c r="P46" s="359">
        <f>'Evolutitve SCI'!O14</f>
        <v>3865754.48</v>
      </c>
      <c r="Q46" s="359">
        <f>'Evolutitve SCI'!P14</f>
        <v>3865754</v>
      </c>
      <c r="R46" s="359">
        <f>'Evolutitve SCI'!Q14</f>
        <v>0</v>
      </c>
      <c r="S46" s="359">
        <f>'Evolutitve SCI'!R14</f>
        <v>0</v>
      </c>
      <c r="T46" s="359">
        <f>'Evolutitve SCI'!S14</f>
        <v>0</v>
      </c>
      <c r="U46" s="359">
        <f>'Evolutitve SCI'!T14</f>
        <v>0</v>
      </c>
      <c r="V46" s="359">
        <f>'Evolutitve SCI'!U14</f>
        <v>0</v>
      </c>
      <c r="W46" s="359">
        <f>'Evolutitve SCI'!V14</f>
        <v>0</v>
      </c>
      <c r="X46" s="359">
        <f>'Evolutitve SCI'!W14</f>
        <v>0</v>
      </c>
      <c r="Y46" s="359">
        <f>'Evolutitve SCI'!X14</f>
        <v>0</v>
      </c>
      <c r="Z46" s="359">
        <f>'Evolutitve SCI'!Y14</f>
        <v>0</v>
      </c>
      <c r="AA46" s="359">
        <f>'Evolutitve SCI'!Z14</f>
        <v>0</v>
      </c>
      <c r="AB46" s="359">
        <f>'Evolutitve SCI'!AA14</f>
        <v>0</v>
      </c>
      <c r="AC46" s="359" t="e">
        <f>'Evolutitve SCI'!#REF!</f>
        <v>#REF!</v>
      </c>
      <c r="AD46" s="359">
        <f>'Evolutitve SCI'!AC14</f>
        <v>0</v>
      </c>
      <c r="AE46" s="359">
        <f>'Evolutitve SCI'!AD14</f>
        <v>0</v>
      </c>
      <c r="AF46" s="359">
        <f>'Evolutitve SCI'!AE14</f>
        <v>0</v>
      </c>
      <c r="AG46" s="359">
        <f>'Evolutitve SCI'!AF14</f>
        <v>0</v>
      </c>
      <c r="AH46" s="359">
        <f>'Evolutitve SCI'!AG14</f>
        <v>0</v>
      </c>
      <c r="AI46" s="359">
        <f>'Evolutitve SCI'!AH14</f>
        <v>0</v>
      </c>
      <c r="AJ46" s="359">
        <f>'Evolutitve SCI'!AI14</f>
        <v>0</v>
      </c>
      <c r="AK46" s="359">
        <f>'Evolutitve SCI'!AJ14</f>
        <v>0</v>
      </c>
      <c r="AL46" s="359">
        <f>'Evolutitve SCI'!AK14</f>
        <v>0</v>
      </c>
      <c r="AM46" s="359">
        <f>'Evolutitve SCI'!AL14</f>
        <v>0</v>
      </c>
      <c r="AN46" s="359">
        <f>'Evolutitve SCI'!AM14</f>
        <v>0</v>
      </c>
      <c r="AO46" s="359">
        <f>'Evolutitve SCI'!AN14</f>
        <v>0</v>
      </c>
      <c r="AP46" s="359">
        <f>'Evolutitve SCI'!AO14</f>
        <v>0</v>
      </c>
      <c r="AQ46" s="359">
        <f>'Evolutitve SCI'!AP14</f>
        <v>0</v>
      </c>
      <c r="AR46" s="359">
        <f>'Evolutitve SCI'!AQ14</f>
        <v>0</v>
      </c>
      <c r="AS46" s="359">
        <f>'Evolutitve SCI'!AR14</f>
        <v>0</v>
      </c>
      <c r="AT46" s="359">
        <f>'Evolutitve SCI'!AS14</f>
        <v>0</v>
      </c>
      <c r="AU46" s="359">
        <f>'Evolutitve SCI'!AT14</f>
        <v>0</v>
      </c>
      <c r="AV46" s="359">
        <f>'Evolutitve SCI'!AU14</f>
        <v>0</v>
      </c>
      <c r="AW46" s="359">
        <f>'Evolutitve SCI'!AV14</f>
        <v>0</v>
      </c>
      <c r="AX46" s="359">
        <f>'Evolutitve SCI'!AW14</f>
        <v>0</v>
      </c>
      <c r="AY46" s="359">
        <f>'Evolutitve SCI'!AX14</f>
        <v>0</v>
      </c>
      <c r="AZ46" s="359">
        <f>'Evolutitve SCI'!AY14</f>
        <v>0</v>
      </c>
      <c r="BA46" s="359">
        <f>'Evolutitve SCI'!AZ14</f>
        <v>0</v>
      </c>
      <c r="BB46" s="359">
        <f>'Evolutitve SCI'!BA14</f>
        <v>0</v>
      </c>
      <c r="BC46" s="359">
        <f>'Evolutitve SCI'!BB14</f>
        <v>0</v>
      </c>
      <c r="BD46" s="359">
        <f>'Evolutitve SCI'!BC14</f>
        <v>0</v>
      </c>
      <c r="BE46" s="359">
        <f>'Evolutitve SCI'!BD14</f>
        <v>0</v>
      </c>
      <c r="BF46" s="359">
        <f>'Evolutitve SCI'!BE14</f>
        <v>0</v>
      </c>
      <c r="BG46" s="359">
        <f>'Evolutitve SCI'!BF14</f>
        <v>0</v>
      </c>
      <c r="BH46" s="359">
        <f>'Evolutitve SCI'!BG14</f>
        <v>0</v>
      </c>
      <c r="BI46" s="359">
        <f>'Evolutitve SCI'!BH14</f>
        <v>0</v>
      </c>
      <c r="BJ46" s="359">
        <f>'Evolutitve SCI'!BI14</f>
        <v>0</v>
      </c>
      <c r="BK46" s="359">
        <f>'Evolutitve SCI'!BJ14</f>
        <v>0</v>
      </c>
      <c r="BL46" s="359">
        <f>'Evolutitve SCI'!BK14</f>
        <v>0</v>
      </c>
      <c r="BM46" s="359">
        <f>'Evolutitve SCI'!BL14</f>
        <v>0</v>
      </c>
      <c r="BN46" s="359">
        <f>'Evolutitve SCI'!BM14</f>
        <v>0</v>
      </c>
      <c r="BO46" s="359">
        <f>'Evolutitve SCI'!BN14</f>
        <v>0</v>
      </c>
      <c r="BP46" s="359">
        <f>'Evolutitve SCI'!BO14</f>
        <v>0</v>
      </c>
      <c r="BQ46" s="359">
        <f>'Evolutitve SCI'!BQ14</f>
        <v>0</v>
      </c>
      <c r="BR46" s="359">
        <f>'Evolutitve SCI'!BR14</f>
        <v>0</v>
      </c>
      <c r="BS46" s="359">
        <f>'Evolutitve SCI'!BS14</f>
        <v>0</v>
      </c>
      <c r="BT46" s="359">
        <f>'Evolutitve SCI'!BT14</f>
        <v>0</v>
      </c>
      <c r="BU46" s="359">
        <f>'Evolutitve SCI'!BU14</f>
        <v>0</v>
      </c>
      <c r="BV46" s="359">
        <f>'Evolutitve SCI'!BV14</f>
        <v>0</v>
      </c>
      <c r="BW46" s="359">
        <f>'Evolutitve SCI'!BW14</f>
        <v>0</v>
      </c>
    </row>
    <row r="47" spans="1:75">
      <c r="A47" s="355">
        <v>10.4</v>
      </c>
      <c r="B47" s="355" t="s">
        <v>107</v>
      </c>
      <c r="C47" s="359">
        <f>'Evolutitve SCI'!B23</f>
        <v>11019.3799</v>
      </c>
      <c r="D47" s="359">
        <f>'Evolutitve SCI'!C23</f>
        <v>130812951</v>
      </c>
      <c r="E47" s="359">
        <f>'Evolutitve SCI'!D23</f>
        <v>8692895.1699999999</v>
      </c>
      <c r="F47" s="359">
        <f>'Evolutitve SCI'!E23</f>
        <v>20809524.350000001</v>
      </c>
      <c r="G47" s="359">
        <f>'Evolutitve SCI'!F23</f>
        <v>32704863.390000001</v>
      </c>
      <c r="H47" s="359">
        <f>'Evolutitve SCI'!G23</f>
        <v>44864604.099999994</v>
      </c>
      <c r="I47" s="359">
        <f>'Evolutitve SCI'!H23</f>
        <v>54164843.930000007</v>
      </c>
      <c r="J47" s="359">
        <f>'Evolutitve SCI'!I23</f>
        <v>65251483.5</v>
      </c>
      <c r="K47" s="359">
        <f>'Evolutitve SCI'!J23</f>
        <v>75095956.829999998</v>
      </c>
      <c r="L47" s="359">
        <f>'Evolutitve SCI'!K23</f>
        <v>86074674.99000001</v>
      </c>
      <c r="M47" s="359">
        <f>'Evolutitve SCI'!L23</f>
        <v>97124100.599999994</v>
      </c>
      <c r="N47" s="359">
        <f>'Evolutitve SCI'!M23</f>
        <v>109496217.03</v>
      </c>
      <c r="O47" s="359">
        <f>'Evolutitve SCI'!N23</f>
        <v>123143463.98</v>
      </c>
      <c r="P47" s="359">
        <f>'Evolutitve SCI'!O23</f>
        <v>135604285.91</v>
      </c>
      <c r="Q47" s="359">
        <f>'Evolutitve SCI'!P23</f>
        <v>135384285</v>
      </c>
      <c r="R47" s="359">
        <f>'Evolutitve SCI'!Q23</f>
        <v>9748632.2800000012</v>
      </c>
      <c r="S47" s="359">
        <f>'Evolutitve SCI'!R23</f>
        <v>24013690.780000001</v>
      </c>
      <c r="T47" s="359">
        <f>'Evolutitve SCI'!S23</f>
        <v>37219420.850000001</v>
      </c>
      <c r="U47" s="359">
        <f>'Evolutitve SCI'!T23</f>
        <v>47828052.519999996</v>
      </c>
      <c r="V47" s="359">
        <f>'Evolutitve SCI'!U23</f>
        <v>57992593.290000007</v>
      </c>
      <c r="W47" s="359">
        <f>'Evolutitve SCI'!V23</f>
        <v>71746416.879999995</v>
      </c>
      <c r="X47" s="359">
        <f>'Evolutitve SCI'!W23</f>
        <v>83333607.099999994</v>
      </c>
      <c r="Y47" s="359">
        <f>'Evolutitve SCI'!X23</f>
        <v>93882022.730000004</v>
      </c>
      <c r="Z47" s="359">
        <f>'Evolutitve SCI'!Y23</f>
        <v>104637596.72999999</v>
      </c>
      <c r="AA47" s="359">
        <f>'Evolutitve SCI'!Z23</f>
        <v>118081337.06999999</v>
      </c>
      <c r="AB47" s="359">
        <f>'Evolutitve SCI'!AA23</f>
        <v>128364579.49000001</v>
      </c>
      <c r="AC47" s="359" t="e">
        <f>'Evolutitve SCI'!#REF!</f>
        <v>#REF!</v>
      </c>
      <c r="AD47" s="359">
        <f>'Evolutitve SCI'!AC23</f>
        <v>140716337</v>
      </c>
      <c r="AE47" s="359">
        <f>'Evolutitve SCI'!AD23</f>
        <v>10315395.25</v>
      </c>
      <c r="AF47" s="359">
        <f>'Evolutitve SCI'!AE23</f>
        <v>22969819.640000001</v>
      </c>
      <c r="AG47" s="359">
        <f>'Evolutitve SCI'!AF23</f>
        <v>34842816.799999997</v>
      </c>
      <c r="AH47" s="359">
        <f>'Evolutitve SCI'!AG23</f>
        <v>45276878.490000002</v>
      </c>
      <c r="AI47" s="359">
        <f>'Evolutitve SCI'!AH23</f>
        <v>54120004.509999998</v>
      </c>
      <c r="AJ47" s="359">
        <f>'Evolutitve SCI'!AI23</f>
        <v>63580524.550000012</v>
      </c>
      <c r="AK47" s="359">
        <f>'Evolutitve SCI'!AJ23</f>
        <v>168870806.62</v>
      </c>
      <c r="AL47" s="359">
        <f>'Evolutitve SCI'!AK23</f>
        <v>97073635.039999992</v>
      </c>
      <c r="AM47" s="359">
        <f>'Evolutitve SCI'!AL23</f>
        <v>114553532.06999999</v>
      </c>
      <c r="AN47" s="359">
        <f>'Evolutitve SCI'!AM23</f>
        <v>125148166.73999999</v>
      </c>
      <c r="AO47" s="359">
        <f>'Evolutitve SCI'!AN23</f>
        <v>139380216.76999998</v>
      </c>
      <c r="AP47" s="359">
        <f>'Evolutitve SCI'!AO23</f>
        <v>139387067</v>
      </c>
      <c r="AQ47" s="359">
        <f>'Evolutitve SCI'!AP23</f>
        <v>9289916.4199999999</v>
      </c>
      <c r="AR47" s="359">
        <f>'Evolutitve SCI'!AQ23</f>
        <v>23585344.18</v>
      </c>
      <c r="AS47" s="359">
        <f>'Evolutitve SCI'!AR23</f>
        <v>35892672.980000004</v>
      </c>
      <c r="AT47" s="359">
        <f>'Evolutitve SCI'!AS23</f>
        <v>46921233.600000001</v>
      </c>
      <c r="AU47" s="359">
        <f>'Evolutitve SCI'!AT23</f>
        <v>58518404.140000001</v>
      </c>
      <c r="AV47" s="359">
        <f>'Evolutitve SCI'!AU23</f>
        <v>70388712.420000002</v>
      </c>
      <c r="AW47" s="359">
        <f>'Evolutitve SCI'!AV23</f>
        <v>81294518.549999997</v>
      </c>
      <c r="AX47" s="359">
        <f>'Evolutitve SCI'!AW23</f>
        <v>90582647.109999999</v>
      </c>
      <c r="AY47" s="359">
        <f>'Evolutitve SCI'!AX23</f>
        <v>103602759.05</v>
      </c>
      <c r="AZ47" s="359">
        <f>'Evolutitve SCI'!AY23</f>
        <v>114952499.5</v>
      </c>
      <c r="BA47" s="359">
        <f>'Evolutitve SCI'!AZ23</f>
        <v>128251208.46000001</v>
      </c>
      <c r="BB47" s="359">
        <f>'Evolutitve SCI'!BA23</f>
        <v>147018411.06999999</v>
      </c>
      <c r="BC47" s="359">
        <f>'Evolutitve SCI'!BB23</f>
        <v>144998798</v>
      </c>
      <c r="BD47" s="359">
        <f>'Evolutitve SCI'!BC23</f>
        <v>13375883.310000001</v>
      </c>
      <c r="BE47" s="359">
        <f>'Evolutitve SCI'!BD23</f>
        <v>26716911.609999999</v>
      </c>
      <c r="BF47" s="359">
        <f>'Evolutitve SCI'!BE23</f>
        <v>42200104.939999998</v>
      </c>
      <c r="BG47" s="359">
        <f>'Evolutitve SCI'!BF23</f>
        <v>54122869.379999995</v>
      </c>
      <c r="BH47" s="359">
        <f>'Evolutitve SCI'!BG23</f>
        <v>66466835.529999994</v>
      </c>
      <c r="BI47" s="359">
        <f>'Evolutitve SCI'!BH23</f>
        <v>78624176.789999992</v>
      </c>
      <c r="BJ47" s="359">
        <f>'Evolutitve SCI'!BI23</f>
        <v>95673435.349999994</v>
      </c>
      <c r="BK47" s="359">
        <f>'Evolutitve SCI'!BJ23</f>
        <v>107964120.22</v>
      </c>
      <c r="BL47" s="359">
        <f>'Evolutitve SCI'!BK23</f>
        <v>121098440.70999998</v>
      </c>
      <c r="BM47" s="359">
        <f>'Evolutitve SCI'!BL23</f>
        <v>132532794.91999999</v>
      </c>
      <c r="BN47" s="359">
        <f>'Evolutitve SCI'!BM23</f>
        <v>146060138</v>
      </c>
      <c r="BO47" s="359">
        <f>'Evolutitve SCI'!BN23</f>
        <v>162446753.38999999</v>
      </c>
      <c r="BP47" s="359">
        <f>'Evolutitve SCI'!BO23</f>
        <v>162423673</v>
      </c>
      <c r="BQ47" s="359">
        <f>'Evolutitve SCI'!BQ23</f>
        <v>0</v>
      </c>
      <c r="BR47" s="359">
        <f>'Evolutitve SCI'!BR23</f>
        <v>0</v>
      </c>
      <c r="BS47" s="359">
        <f>'Evolutitve SCI'!BS23</f>
        <v>0</v>
      </c>
      <c r="BT47" s="359">
        <f>'Evolutitve SCI'!BT23</f>
        <v>0</v>
      </c>
      <c r="BU47" s="359">
        <f>'Evolutitve SCI'!BU23</f>
        <v>0</v>
      </c>
      <c r="BV47" s="359">
        <f>'Evolutitve SCI'!BV23</f>
        <v>0</v>
      </c>
      <c r="BW47" s="359">
        <f>'Evolutitve SCI'!BW23</f>
        <v>0</v>
      </c>
    </row>
  </sheetData>
  <pageMargins left="0.7" right="0.7" top="0.75" bottom="0.75" header="0.3" footer="0.3"/>
  <pageSetup scale="4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Q30"/>
  <sheetViews>
    <sheetView workbookViewId="0">
      <pane xSplit="2" ySplit="3" topLeftCell="M4" activePane="bottomRight" state="frozen"/>
      <selection pane="bottomRight" activeCell="U26" sqref="U26"/>
      <selection pane="bottomLeft" activeCell="A4" sqref="A4"/>
      <selection pane="topRight" activeCell="C1" sqref="C1"/>
    </sheetView>
  </sheetViews>
  <sheetFormatPr defaultRowHeight="14.45"/>
  <cols>
    <col min="1" max="1" width="33.28515625" bestFit="1" customWidth="1"/>
    <col min="2" max="2" width="10.42578125" bestFit="1" customWidth="1"/>
    <col min="3" max="4" width="12.85546875" bestFit="1" customWidth="1"/>
    <col min="5" max="5" width="12.5703125" bestFit="1" customWidth="1"/>
    <col min="6" max="7" width="12.85546875" bestFit="1" customWidth="1"/>
    <col min="8" max="9" width="12.5703125" bestFit="1" customWidth="1"/>
    <col min="10" max="10" width="6.5703125" bestFit="1" customWidth="1"/>
    <col min="11" max="11" width="7" bestFit="1" customWidth="1"/>
    <col min="12" max="12" width="7.28515625" bestFit="1" customWidth="1"/>
    <col min="13" max="13" width="6.85546875" bestFit="1" customWidth="1"/>
    <col min="14" max="14" width="7.5703125" bestFit="1" customWidth="1"/>
    <col min="15" max="15" width="9.28515625" customWidth="1"/>
    <col min="16" max="16" width="10.140625" customWidth="1"/>
    <col min="17" max="17" width="12" customWidth="1"/>
  </cols>
  <sheetData>
    <row r="2" spans="1:17" ht="26.45" thickBot="1">
      <c r="A2" s="377" t="s">
        <v>108</v>
      </c>
      <c r="B2" s="378"/>
      <c r="C2" s="378"/>
      <c r="D2" s="378"/>
      <c r="E2" s="378"/>
      <c r="F2" s="379"/>
    </row>
    <row r="3" spans="1:17" ht="27">
      <c r="A3" s="50" t="s">
        <v>109</v>
      </c>
      <c r="B3" s="51" t="s">
        <v>110</v>
      </c>
      <c r="C3" s="52" t="s">
        <v>1</v>
      </c>
      <c r="D3" s="52" t="s">
        <v>64</v>
      </c>
      <c r="E3" s="75">
        <v>43101.120173611111</v>
      </c>
      <c r="F3" s="76">
        <v>43132</v>
      </c>
      <c r="G3" s="75">
        <v>43160</v>
      </c>
      <c r="H3" s="76">
        <v>43191</v>
      </c>
      <c r="I3" s="75">
        <v>43221</v>
      </c>
      <c r="J3" s="76">
        <v>43252</v>
      </c>
      <c r="K3" s="75">
        <v>43282</v>
      </c>
      <c r="L3" s="76">
        <v>43313</v>
      </c>
      <c r="M3" s="75">
        <v>43344</v>
      </c>
      <c r="N3" s="76">
        <v>43374</v>
      </c>
      <c r="O3" s="75">
        <v>43405</v>
      </c>
      <c r="P3" s="76">
        <v>43435</v>
      </c>
      <c r="Q3" s="53" t="s">
        <v>3</v>
      </c>
    </row>
    <row r="4" spans="1:17">
      <c r="A4" s="54" t="s">
        <v>111</v>
      </c>
      <c r="B4" s="55"/>
      <c r="C4" s="55"/>
      <c r="D4" s="55"/>
      <c r="E4" s="56"/>
      <c r="F4" s="56"/>
      <c r="G4" s="55"/>
      <c r="H4" s="55"/>
      <c r="I4" s="56"/>
      <c r="J4" s="56"/>
      <c r="K4" s="56"/>
      <c r="L4" s="56"/>
      <c r="M4" s="56"/>
      <c r="N4" s="56"/>
      <c r="O4" s="56"/>
      <c r="P4" s="56"/>
      <c r="Q4" s="56"/>
    </row>
    <row r="5" spans="1:17">
      <c r="A5" s="3" t="s">
        <v>112</v>
      </c>
      <c r="B5" s="57" t="s">
        <v>113</v>
      </c>
      <c r="C5" s="58" t="str">
        <f>IF(CAELS!D3&gt;10,"1","5")</f>
        <v>1</v>
      </c>
      <c r="D5" s="58" t="str">
        <f>IF(CAELS!E3&gt;10,"1","5")</f>
        <v>1</v>
      </c>
      <c r="E5" s="58" t="str">
        <f>IF(CAELS!F3&gt;10,"1","5")</f>
        <v>1</v>
      </c>
      <c r="F5" s="58" t="str">
        <f>IF(CAELS!G3&gt;10,"1","5")</f>
        <v>1</v>
      </c>
      <c r="G5" s="58" t="str">
        <f>IF(CAELS!H3&gt;10,"1","5")</f>
        <v>1</v>
      </c>
      <c r="H5" s="58" t="str">
        <f>IF(CAELS!I3&gt;10,"1","5")</f>
        <v>1</v>
      </c>
      <c r="I5" s="58" t="str">
        <f>IF(CAELS!J3&gt;10,"1","5")</f>
        <v>1</v>
      </c>
      <c r="J5" s="58" t="str">
        <f>IF(CAELS!K3&gt;10,"1","5")</f>
        <v>1</v>
      </c>
      <c r="K5" s="58" t="str">
        <f>IF(CAELS!L3&gt;10,"1","5")</f>
        <v>1</v>
      </c>
      <c r="L5" s="58" t="str">
        <f>IF(CAELS!M3&gt;10,"1","5")</f>
        <v>1</v>
      </c>
      <c r="M5" s="58" t="str">
        <f>IF(CAELS!N3&gt;10,"1","5")</f>
        <v>1</v>
      </c>
      <c r="N5" s="58" t="str">
        <f>IF(CAELS!O3&gt;10,"1","5")</f>
        <v>1</v>
      </c>
      <c r="O5" s="58" t="str">
        <f>IF(CAELS!P3&gt;10,"1","5")</f>
        <v>1</v>
      </c>
      <c r="P5" s="58" t="str">
        <f>IF(CAELS!Q3&gt;10,"1","5")</f>
        <v>1</v>
      </c>
      <c r="Q5" s="58" t="str">
        <f>IF(CAELS!R3&gt;10,"1","5")</f>
        <v>1</v>
      </c>
    </row>
    <row r="6" spans="1:17">
      <c r="A6" s="3" t="s">
        <v>11</v>
      </c>
      <c r="B6" s="57" t="s">
        <v>114</v>
      </c>
      <c r="C6" s="59" t="str">
        <f>IF(CAELS!D4&gt;20%,"1",IF(CAELS!D4&gt;15%,"2",IF(CAELS!D4&gt;12%,"3",IF(CAELS!D4&gt;10%,"4","5"))))</f>
        <v>4</v>
      </c>
      <c r="D6" s="59" t="str">
        <f>IF(CAELS!E4&gt;20%,"1",IF(CAELS!E4&gt;15%,"2",IF(CAELS!E4&gt;12%,"3",IF(CAELS!E4&gt;10%,"4","5"))))</f>
        <v>1</v>
      </c>
      <c r="E6" s="59" t="str">
        <f>IF(CAELS!F4&gt;20%,"1",IF(CAELS!F4&gt;15%,"2",IF(CAELS!F4&gt;12%,"3",IF(CAELS!F4&gt;10%,"4","5"))))</f>
        <v>2</v>
      </c>
      <c r="F6" s="59" t="str">
        <f>IF(CAELS!G4&gt;20%,"1",IF(CAELS!G4&gt;15%,"2",IF(CAELS!G4&gt;12%,"3",IF(CAELS!G4&gt;10%,"4","5"))))</f>
        <v>1</v>
      </c>
      <c r="G6" s="59" t="str">
        <f>IF(CAELS!H4&gt;20%,"1",IF(CAELS!H4&gt;15%,"2",IF(CAELS!H4&gt;12%,"3",IF(CAELS!H4&gt;10%,"4","5"))))</f>
        <v>1</v>
      </c>
      <c r="H6" s="59" t="str">
        <f>IF(CAELS!I4&gt;20%,"1",IF(CAELS!I4&gt;15%,"2",IF(CAELS!I4&gt;12%,"3",IF(CAELS!I4&gt;10%,"4","5"))))</f>
        <v>2</v>
      </c>
      <c r="I6" s="59" t="str">
        <f>IF(CAELS!J4&gt;20%,"1",IF(CAELS!J4&gt;15%,"2",IF(CAELS!J4&gt;12%,"3",IF(CAELS!J4&gt;10%,"4","5"))))</f>
        <v>2</v>
      </c>
      <c r="J6" s="59" t="str">
        <f>IF(CAELS!K4&gt;20%,"1",IF(CAELS!K4&gt;15%,"2",IF(CAELS!K4&gt;12%,"3",IF(CAELS!K4&gt;10%,"4","5"))))</f>
        <v>2</v>
      </c>
      <c r="K6" s="59" t="str">
        <f>IF(CAELS!L4&gt;20%,"1",IF(CAELS!L4&gt;15%,"2",IF(CAELS!L4&gt;12%,"3",IF(CAELS!L4&gt;10%,"4","5"))))</f>
        <v>2</v>
      </c>
      <c r="L6" s="59" t="str">
        <f>IF(CAELS!M4&gt;20%,"1",IF(CAELS!M4&gt;15%,"2",IF(CAELS!M4&gt;12%,"3",IF(CAELS!M4&gt;10%,"4","5"))))</f>
        <v>1</v>
      </c>
      <c r="M6" s="59" t="str">
        <f>IF(CAELS!N4&gt;20%,"1",IF(CAELS!N4&gt;15%,"2",IF(CAELS!N4&gt;12%,"3",IF(CAELS!N4&gt;10%,"4","5"))))</f>
        <v>1</v>
      </c>
      <c r="N6" s="59" t="str">
        <f>IF(CAELS!O4&gt;20%,"1",IF(CAELS!O4&gt;15%,"2",IF(CAELS!O4&gt;12%,"3",IF(CAELS!O4&gt;10%,"4","5"))))</f>
        <v>2</v>
      </c>
      <c r="O6" s="59" t="str">
        <f>IF(CAELS!P4&gt;20%,"1",IF(CAELS!P4&gt;15%,"2",IF(CAELS!P4&gt;12%,"3",IF(CAELS!P4&gt;10%,"4","5"))))</f>
        <v>2</v>
      </c>
      <c r="P6" s="59" t="str">
        <f>IF(CAELS!Q4&gt;20%,"1",IF(CAELS!Q4&gt;15%,"2",IF(CAELS!Q4&gt;12%,"3",IF(CAELS!Q4&gt;10%,"4","5"))))</f>
        <v>2</v>
      </c>
      <c r="Q6" s="59" t="str">
        <f>IF(CAELS!R4&gt;20%,"1",IF(CAELS!R4&gt;15%,"2",IF(CAELS!R4&gt;12%,"3",IF(CAELS!R4&gt;10%,"4","5"))))</f>
        <v>2</v>
      </c>
    </row>
    <row r="7" spans="1:17">
      <c r="A7" s="3" t="s">
        <v>15</v>
      </c>
      <c r="B7" s="57" t="s">
        <v>115</v>
      </c>
      <c r="C7" s="59" t="str">
        <f>IF(CAELS!D6&gt;15%,"1",IF(CAELS!D6&gt;12%,"2",IF(CAELS!D6&gt;10%,"3",IF(CAELS!D6&gt;8,"4","5"))))</f>
        <v>5</v>
      </c>
      <c r="D7" s="59" t="str">
        <f>IF(CAELS!E6&gt;15%,"1",IF(CAELS!E6&gt;12%,"2",IF(CAELS!E6&gt;10%,"3",IF(CAELS!E6&gt;8,"4","5"))))</f>
        <v>5</v>
      </c>
      <c r="E7" s="59" t="str">
        <f>IF(CAELS!F6&gt;15%,"1",IF(CAELS!F6&gt;12%,"2",IF(CAELS!F6&gt;10%,"3",IF(CAELS!F6&gt;8,"4","5"))))</f>
        <v>5</v>
      </c>
      <c r="F7" s="59" t="str">
        <f>IF(CAELS!G6&gt;15%,"1",IF(CAELS!G6&gt;12%,"2",IF(CAELS!G6&gt;10%,"3",IF(CAELS!G6&gt;8,"4","5"))))</f>
        <v>5</v>
      </c>
      <c r="G7" s="59" t="str">
        <f>IF(CAELS!H6&gt;15%,"1",IF(CAELS!H6&gt;12%,"2",IF(CAELS!H6&gt;10%,"3",IF(CAELS!H6&gt;8,"4","5"))))</f>
        <v>5</v>
      </c>
      <c r="H7" s="59" t="str">
        <f>IF(CAELS!I6&gt;15%,"1",IF(CAELS!I6&gt;12%,"2",IF(CAELS!I6&gt;10%,"3",IF(CAELS!I6&gt;8,"4","5"))))</f>
        <v>5</v>
      </c>
      <c r="I7" s="59" t="str">
        <f>IF(CAELS!J6&gt;15%,"1",IF(CAELS!J6&gt;12%,"2",IF(CAELS!J6&gt;10%,"3",IF(CAELS!J6&gt;8,"4","5"))))</f>
        <v>5</v>
      </c>
      <c r="J7" s="59" t="str">
        <f>IF(CAELS!K6&gt;15%,"1",IF(CAELS!K6&gt;12%,"2",IF(CAELS!K6&gt;10%,"3",IF(CAELS!K6&gt;8,"4","5"))))</f>
        <v>5</v>
      </c>
      <c r="K7" s="59" t="str">
        <f>IF(CAELS!L6&gt;15%,"1",IF(CAELS!L6&gt;12%,"2",IF(CAELS!L6&gt;10%,"3",IF(CAELS!L6&gt;8,"4","5"))))</f>
        <v>5</v>
      </c>
      <c r="L7" s="59" t="str">
        <f>IF(CAELS!M6&gt;15%,"1",IF(CAELS!M6&gt;12%,"2",IF(CAELS!M6&gt;10%,"3",IF(CAELS!M6&gt;8,"4","5"))))</f>
        <v>5</v>
      </c>
      <c r="M7" s="59" t="str">
        <f>IF(CAELS!N6&gt;15%,"1",IF(CAELS!N6&gt;12%,"2",IF(CAELS!N6&gt;10%,"3",IF(CAELS!N6&gt;8,"4","5"))))</f>
        <v>5</v>
      </c>
      <c r="N7" s="59" t="str">
        <f>IF(CAELS!O6&gt;15%,"1",IF(CAELS!O6&gt;12%,"2",IF(CAELS!O6&gt;10%,"3",IF(CAELS!O6&gt;8,"4","5"))))</f>
        <v>5</v>
      </c>
      <c r="O7" s="59" t="str">
        <f>IF(CAELS!P6&gt;15%,"1",IF(CAELS!P6&gt;12%,"2",IF(CAELS!P6&gt;10%,"3",IF(CAELS!P6&gt;8,"4","5"))))</f>
        <v>5</v>
      </c>
      <c r="P7" s="59" t="str">
        <f>IF(CAELS!Q6&gt;15%,"1",IF(CAELS!Q6&gt;12%,"2",IF(CAELS!Q6&gt;10%,"3",IF(CAELS!Q6&gt;8,"4","5"))))</f>
        <v>5</v>
      </c>
      <c r="Q7" s="59" t="str">
        <f>IF(CAELS!R6&gt;15%,"1",IF(CAELS!R6&gt;12%,"2",IF(CAELS!R6&gt;10%,"3",IF(CAELS!R6&gt;8,"4","5"))))</f>
        <v>5</v>
      </c>
    </row>
    <row r="8" spans="1:17">
      <c r="A8" s="3" t="s">
        <v>13</v>
      </c>
      <c r="B8" s="57" t="s">
        <v>115</v>
      </c>
      <c r="C8" s="59" t="str">
        <f>IF(CAELS!D5&gt;20%,"1",IF(CAELS!D5&gt;15%,"2",IF(CAELS!D5&gt;12%,"3",IF(CAELS!D5&gt;10%,"4","5"))))</f>
        <v>4</v>
      </c>
      <c r="D8" s="59" t="str">
        <f>IF(CAELS!E5&gt;20%,"1",IF(CAELS!E5&gt;15%,"2",IF(CAELS!E5&gt;12%,"3",IF(CAELS!E5&gt;10%,"4","5"))))</f>
        <v>1</v>
      </c>
      <c r="E8" s="59" t="str">
        <f>IF(CAELS!F5&gt;20%,"1",IF(CAELS!F5&gt;15%,"2",IF(CAELS!F5&gt;12%,"3",IF(CAELS!F5&gt;10%,"4","5"))))</f>
        <v>1</v>
      </c>
      <c r="F8" s="59" t="str">
        <f>IF(CAELS!G5&gt;20%,"1",IF(CAELS!G5&gt;15%,"2",IF(CAELS!G5&gt;12%,"3",IF(CAELS!G5&gt;10%,"4","5"))))</f>
        <v>1</v>
      </c>
      <c r="G8" s="59" t="str">
        <f>IF(CAELS!H5&gt;20%,"1",IF(CAELS!H5&gt;15%,"2",IF(CAELS!H5&gt;12%,"3",IF(CAELS!H5&gt;10%,"4","5"))))</f>
        <v>1</v>
      </c>
      <c r="H8" s="59" t="str">
        <f>IF(CAELS!I5&gt;20%,"1",IF(CAELS!I5&gt;15%,"2",IF(CAELS!I5&gt;12%,"3",IF(CAELS!I5&gt;10%,"4","5"))))</f>
        <v>1</v>
      </c>
      <c r="I8" s="59" t="str">
        <f>IF(CAELS!J5&gt;20%,"1",IF(CAELS!J5&gt;15%,"2",IF(CAELS!J5&gt;12%,"3",IF(CAELS!J5&gt;10%,"4","5"))))</f>
        <v>1</v>
      </c>
      <c r="J8" s="59" t="str">
        <f>IF(CAELS!K5&gt;20%,"1",IF(CAELS!K5&gt;15%,"2",IF(CAELS!K5&gt;12%,"3",IF(CAELS!K5&gt;10%,"4","5"))))</f>
        <v>1</v>
      </c>
      <c r="K8" s="59" t="str">
        <f>IF(CAELS!L5&gt;20%,"1",IF(CAELS!L5&gt;15%,"2",IF(CAELS!L5&gt;12%,"3",IF(CAELS!L5&gt;10%,"4","5"))))</f>
        <v>1</v>
      </c>
      <c r="L8" s="59" t="str">
        <f>IF(CAELS!M5&gt;20%,"1",IF(CAELS!M5&gt;15%,"2",IF(CAELS!M5&gt;12%,"3",IF(CAELS!M5&gt;10%,"4","5"))))</f>
        <v>1</v>
      </c>
      <c r="M8" s="59" t="str">
        <f>IF(CAELS!N5&gt;20%,"1",IF(CAELS!N5&gt;15%,"2",IF(CAELS!N5&gt;12%,"3",IF(CAELS!N5&gt;10%,"4","5"))))</f>
        <v>1</v>
      </c>
      <c r="N8" s="59" t="str">
        <f>IF(CAELS!O5&gt;20%,"1",IF(CAELS!O5&gt;15%,"2",IF(CAELS!O5&gt;12%,"3",IF(CAELS!O5&gt;10%,"4","5"))))</f>
        <v>1</v>
      </c>
      <c r="O8" s="59" t="str">
        <f>IF(CAELS!P5&gt;20%,"1",IF(CAELS!P5&gt;15%,"2",IF(CAELS!P5&gt;12%,"3",IF(CAELS!P5&gt;10%,"4","5"))))</f>
        <v>1</v>
      </c>
      <c r="P8" s="59" t="str">
        <f>IF(CAELS!Q5&gt;20%,"1",IF(CAELS!Q5&gt;15%,"2",IF(CAELS!Q5&gt;12%,"3",IF(CAELS!Q5&gt;10%,"4","5"))))</f>
        <v>1</v>
      </c>
      <c r="Q8" s="59" t="str">
        <f>IF(CAELS!R5&gt;20%,"1",IF(CAELS!R5&gt;15%,"2",IF(CAELS!R5&gt;12%,"3",IF(CAELS!R5&gt;10%,"4","5"))))</f>
        <v>1</v>
      </c>
    </row>
    <row r="9" spans="1:17">
      <c r="A9" s="3"/>
      <c r="B9" s="57"/>
      <c r="C9" s="69">
        <f t="shared" ref="C9:K9" si="0">(C5+C6+C7+C8)/4</f>
        <v>3.5</v>
      </c>
      <c r="D9" s="69">
        <f t="shared" si="0"/>
        <v>2</v>
      </c>
      <c r="E9" s="70">
        <f t="shared" si="0"/>
        <v>2.25</v>
      </c>
      <c r="F9" s="70">
        <f t="shared" si="0"/>
        <v>2</v>
      </c>
      <c r="G9" s="69">
        <f t="shared" si="0"/>
        <v>2</v>
      </c>
      <c r="H9" s="69">
        <f t="shared" si="0"/>
        <v>2.25</v>
      </c>
      <c r="I9" s="70">
        <f t="shared" si="0"/>
        <v>2.25</v>
      </c>
      <c r="J9" s="70">
        <f t="shared" si="0"/>
        <v>2.25</v>
      </c>
      <c r="K9" s="70">
        <f t="shared" si="0"/>
        <v>2.25</v>
      </c>
      <c r="L9" s="70">
        <f t="shared" ref="L9:Q9" si="1">(L5+L6+L7+L8)/4</f>
        <v>2</v>
      </c>
      <c r="M9" s="70">
        <f t="shared" si="1"/>
        <v>2</v>
      </c>
      <c r="N9" s="70">
        <f t="shared" si="1"/>
        <v>2.25</v>
      </c>
      <c r="O9" s="70">
        <f t="shared" si="1"/>
        <v>2.25</v>
      </c>
      <c r="P9" s="70">
        <f t="shared" si="1"/>
        <v>2.25</v>
      </c>
      <c r="Q9" s="70">
        <f t="shared" si="1"/>
        <v>2.25</v>
      </c>
    </row>
    <row r="10" spans="1:17">
      <c r="A10" s="54" t="s">
        <v>116</v>
      </c>
      <c r="B10" s="55"/>
      <c r="C10" s="55"/>
      <c r="D10" s="55"/>
      <c r="E10" s="60"/>
      <c r="F10" s="60"/>
      <c r="G10" s="55"/>
      <c r="H10" s="55"/>
      <c r="I10" s="60"/>
      <c r="J10" s="60"/>
      <c r="K10" s="60"/>
      <c r="L10" s="60"/>
      <c r="M10" s="60"/>
      <c r="N10" s="60"/>
      <c r="O10" s="60"/>
      <c r="P10" s="60"/>
      <c r="Q10" s="60"/>
    </row>
    <row r="11" spans="1:17">
      <c r="A11" s="3" t="s">
        <v>117</v>
      </c>
      <c r="B11" s="57" t="s">
        <v>118</v>
      </c>
      <c r="C11" s="61"/>
      <c r="D11" s="62"/>
      <c r="E11" s="62"/>
      <c r="F11" s="62"/>
      <c r="G11" s="62"/>
      <c r="H11" s="62"/>
      <c r="I11" s="62"/>
      <c r="J11" s="62"/>
      <c r="K11" s="62"/>
      <c r="L11" s="62" t="str">
        <f>IF(CAELS!M8&lt;4%,"1",IF(CAELS!M8&lt;8%,"2",IF(CAELS!M8&lt;12%,"3",IF(CAELS!M8&lt;15%,"4","5"))))</f>
        <v>1</v>
      </c>
      <c r="M11" s="62"/>
      <c r="N11" s="62"/>
      <c r="O11" s="62" t="str">
        <f>IF(CAELS!P8&lt;4%,"1",IF(CAELS!P8&lt;8%,"2",IF(CAELS!P8&lt;12%,"3",IF(CAELS!P8&lt;15%,"4","5"))))</f>
        <v>1</v>
      </c>
      <c r="P11" s="62"/>
      <c r="Q11" s="62"/>
    </row>
    <row r="12" spans="1:17">
      <c r="A12" s="3"/>
      <c r="B12" s="57"/>
      <c r="C12" s="61">
        <f t="shared" ref="C12:K12" si="2">C11</f>
        <v>0</v>
      </c>
      <c r="D12" s="61">
        <f t="shared" si="2"/>
        <v>0</v>
      </c>
      <c r="E12" s="62">
        <f t="shared" si="2"/>
        <v>0</v>
      </c>
      <c r="F12" s="62">
        <f t="shared" si="2"/>
        <v>0</v>
      </c>
      <c r="G12" s="61">
        <f t="shared" si="2"/>
        <v>0</v>
      </c>
      <c r="H12" s="61">
        <f t="shared" si="2"/>
        <v>0</v>
      </c>
      <c r="I12" s="62">
        <f t="shared" si="2"/>
        <v>0</v>
      </c>
      <c r="J12" s="62">
        <f t="shared" si="2"/>
        <v>0</v>
      </c>
      <c r="K12" s="62">
        <f t="shared" si="2"/>
        <v>0</v>
      </c>
      <c r="L12" s="62" t="str">
        <f t="shared" ref="L12:Q12" si="3">L11</f>
        <v>1</v>
      </c>
      <c r="M12" s="62">
        <f t="shared" si="3"/>
        <v>0</v>
      </c>
      <c r="N12" s="62">
        <f t="shared" si="3"/>
        <v>0</v>
      </c>
      <c r="O12" s="62" t="str">
        <f t="shared" si="3"/>
        <v>1</v>
      </c>
      <c r="P12" s="62">
        <f t="shared" si="3"/>
        <v>0</v>
      </c>
      <c r="Q12" s="62">
        <f t="shared" si="3"/>
        <v>0</v>
      </c>
    </row>
    <row r="13" spans="1:17">
      <c r="A13" s="54" t="s">
        <v>119</v>
      </c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</row>
    <row r="14" spans="1:17">
      <c r="A14" s="3" t="s">
        <v>20</v>
      </c>
      <c r="B14" s="1"/>
      <c r="C14" s="59"/>
      <c r="D14" s="59" t="str">
        <f>IF(CAELS!E9&gt;6%,"1",IF(CAELS!E9&gt;4%,"2",IF(CAELS!E9&gt;2%,"3",IF(CAELS!E9&gt;0%,"4","5"))))</f>
        <v>4</v>
      </c>
      <c r="E14" s="59" t="str">
        <f>IF(CAELS!F9&gt;6%,"1",IF(CAELS!F9&gt;4%,"2",IF(CAELS!F9&gt;2%,"3",IF(CAELS!F9&gt;0%,"4","5"))))</f>
        <v>4</v>
      </c>
      <c r="F14" s="59" t="str">
        <f>IF(CAELS!G9&gt;6%,"1",IF(CAELS!G9&gt;4%,"2",IF(CAELS!G9&gt;2%,"3",IF(CAELS!G9&gt;0%,"4","5"))))</f>
        <v>4</v>
      </c>
      <c r="G14" s="59" t="str">
        <f>IF(CAELS!H9&gt;6%,"1",IF(CAELS!H9&gt;4%,"2",IF(CAELS!H9&gt;2%,"3",IF(CAELS!H9&gt;0%,"4","5"))))</f>
        <v>4</v>
      </c>
      <c r="H14" s="59" t="str">
        <f>IF(CAELS!I9&gt;6%,"1",IF(CAELS!I9&gt;4%,"2",IF(CAELS!I9&gt;2%,"3",IF(CAELS!I9&gt;0%,"4","5"))))</f>
        <v>4</v>
      </c>
      <c r="I14" s="59" t="str">
        <f>IF(CAELS!J9&gt;6%,"1",IF(CAELS!J9&gt;4%,"2",IF(CAELS!J9&gt;2%,"3",IF(CAELS!J9&gt;0%,"4","5"))))</f>
        <v>4</v>
      </c>
      <c r="J14" s="59" t="str">
        <f>IF(CAELS!K9&gt;6%,"1",IF(CAELS!K9&gt;4%,"2",IF(CAELS!K9&gt;2%,"3",IF(CAELS!K9&gt;0%,"4","5"))))</f>
        <v>4</v>
      </c>
      <c r="K14" s="59" t="str">
        <f>IF(CAELS!L9&gt;6%,"1",IF(CAELS!L9&gt;4%,"2",IF(CAELS!L9&gt;2%,"3",IF(CAELS!L9&gt;0%,"4","5"))))</f>
        <v>4</v>
      </c>
      <c r="L14" s="59" t="str">
        <f>IF(CAELS!M9&gt;6%,"1",IF(CAELS!M9&gt;4%,"2",IF(CAELS!M9&gt;2%,"3",IF(CAELS!M9&gt;0%,"4","5"))))</f>
        <v>4</v>
      </c>
      <c r="M14" s="59" t="str">
        <f>IF(CAELS!N9&gt;6%,"1",IF(CAELS!N9&gt;4%,"2",IF(CAELS!N9&gt;2%,"3",IF(CAELS!N9&gt;0%,"4","5"))))</f>
        <v>4</v>
      </c>
      <c r="N14" s="59" t="str">
        <f>IF(CAELS!O9&gt;6%,"1",IF(CAELS!O9&gt;4%,"2",IF(CAELS!O9&gt;2%,"3",IF(CAELS!O9&gt;0%,"4","5"))))</f>
        <v>4</v>
      </c>
      <c r="O14" s="59" t="str">
        <f>IF(CAELS!P9&gt;6%,"1",IF(CAELS!P9&gt;4%,"2",IF(CAELS!P9&gt;2%,"3",IF(CAELS!P9&gt;0%,"4","5"))))</f>
        <v>4</v>
      </c>
      <c r="P14" s="59" t="str">
        <f>IF(CAELS!Q9&gt;6%,"1",IF(CAELS!Q9&gt;4%,"2",IF(CAELS!Q9&gt;2%,"3",IF(CAELS!Q9&gt;0%,"4","5"))))</f>
        <v>4</v>
      </c>
      <c r="Q14" s="59" t="str">
        <f>IF(CAELS!R9&gt;6%,"1",IF(CAELS!R9&gt;4%,"2",IF(CAELS!R9&gt;2%,"3",IF(CAELS!R9&gt;0%,"4","5"))))</f>
        <v>4</v>
      </c>
    </row>
    <row r="15" spans="1:17">
      <c r="A15" s="3" t="s">
        <v>120</v>
      </c>
      <c r="B15" s="1"/>
      <c r="C15" s="62" t="str">
        <f>IF(CAELS!D10&lt;60%,"1",IF(CAELS!D10&lt;70%,"2",IF(CAELS!D10&lt;80%,"3",IF(CAELS!D10&lt;90%,"4","5"))))</f>
        <v>3</v>
      </c>
      <c r="D15" s="62" t="str">
        <f>IF(CAELS!E10&lt;60%,"1",IF(CAELS!E10&lt;70%,"2",IF(CAELS!E10&lt;80%,"3",IF(CAELS!E10&lt;90%,"4","5"))))</f>
        <v>4</v>
      </c>
      <c r="E15" s="62" t="str">
        <f>IF(CAELS!F10&lt;60%,"1",IF(CAELS!F10&lt;70%,"2",IF(CAELS!F10&lt;80%,"3",IF(CAELS!F10&lt;90%,"4","5"))))</f>
        <v>1</v>
      </c>
      <c r="F15" s="62" t="str">
        <f>IF(CAELS!G10&lt;60%,"1",IF(CAELS!G10&lt;70%,"2",IF(CAELS!G10&lt;80%,"3",IF(CAELS!G10&lt;90%,"4","5"))))</f>
        <v>2</v>
      </c>
      <c r="G15" s="62" t="str">
        <f>IF(CAELS!H10&lt;60%,"1",IF(CAELS!H10&lt;70%,"2",IF(CAELS!H10&lt;80%,"3",IF(CAELS!H10&lt;90%,"4","5"))))</f>
        <v>2</v>
      </c>
      <c r="H15" s="62" t="str">
        <f>IF(CAELS!I10&lt;60%,"1",IF(CAELS!I10&lt;70%,"2",IF(CAELS!I10&lt;80%,"3",IF(CAELS!I10&lt;90%,"4","5"))))</f>
        <v>3</v>
      </c>
      <c r="I15" s="62" t="str">
        <f>IF(CAELS!J10&lt;60%,"1",IF(CAELS!J10&lt;70%,"2",IF(CAELS!J10&lt;80%,"3",IF(CAELS!J10&lt;90%,"4","5"))))</f>
        <v>3</v>
      </c>
      <c r="J15" s="62" t="str">
        <f>IF(CAELS!K10&lt;60%,"1",IF(CAELS!K10&lt;70%,"2",IF(CAELS!K10&lt;80%,"3",IF(CAELS!K10&lt;90%,"4","5"))))</f>
        <v>4</v>
      </c>
      <c r="K15" s="62" t="str">
        <f>IF(CAELS!L10&lt;60%,"1",IF(CAELS!L10&lt;70%,"2",IF(CAELS!L10&lt;80%,"3",IF(CAELS!L10&lt;90%,"4","5"))))</f>
        <v>4</v>
      </c>
      <c r="L15" s="62" t="str">
        <f>IF(CAELS!M10&lt;60%,"1",IF(CAELS!M10&lt;70%,"2",IF(CAELS!M10&lt;80%,"3",IF(CAELS!M10&lt;90%,"4","5"))))</f>
        <v>3</v>
      </c>
      <c r="M15" s="62" t="str">
        <f>IF(CAELS!N10&lt;60%,"1",IF(CAELS!N10&lt;70%,"2",IF(CAELS!N10&lt;80%,"3",IF(CAELS!N10&lt;90%,"4","5"))))</f>
        <v>3</v>
      </c>
      <c r="N15" s="62" t="str">
        <f>IF(CAELS!O10&lt;60%,"1",IF(CAELS!O10&lt;70%,"2",IF(CAELS!O10&lt;80%,"3",IF(CAELS!O10&lt;90%,"4","5"))))</f>
        <v>3</v>
      </c>
      <c r="O15" s="62" t="str">
        <f>IF(CAELS!P10&lt;60%,"1",IF(CAELS!P10&lt;70%,"2",IF(CAELS!P10&lt;80%,"3",IF(CAELS!P10&lt;90%,"4","5"))))</f>
        <v>3</v>
      </c>
      <c r="P15" s="62" t="str">
        <f>IF(CAELS!Q10&lt;60%,"1",IF(CAELS!Q10&lt;70%,"2",IF(CAELS!Q10&lt;80%,"3",IF(CAELS!Q10&lt;90%,"4","5"))))</f>
        <v>3</v>
      </c>
      <c r="Q15" s="62" t="str">
        <f>IF(CAELS!R10&lt;60%,"1",IF(CAELS!R10&lt;70%,"2",IF(CAELS!R10&lt;80%,"3",IF(CAELS!R10&lt;90%,"4","5"))))</f>
        <v>3</v>
      </c>
    </row>
    <row r="16" spans="1:17">
      <c r="A16" s="3" t="s">
        <v>121</v>
      </c>
      <c r="B16" s="1"/>
      <c r="C16" s="59" t="str">
        <f>IF(CAELS!D11&lt;4%,"1",IF(CAELS!D11&lt;6%,"2",IF(CAELS!D11&lt;8%,"3",IF(CAELS!D11&lt;10%,"4","5"))))</f>
        <v>1</v>
      </c>
      <c r="D16" s="59" t="str">
        <f>IF(CAELS!E11&lt;4%,"1",IF(CAELS!E11&lt;6%,"2",IF(CAELS!E11&lt;8%,"3",IF(CAELS!E11&lt;10%,"4","5"))))</f>
        <v>5</v>
      </c>
      <c r="E16" s="59" t="str">
        <f>IF(CAELS!F11&lt;4%,"1",IF(CAELS!F11&lt;6%,"2",IF(CAELS!F11&lt;8%,"3",IF(CAELS!F11&lt;10%,"4","5"))))</f>
        <v>1</v>
      </c>
      <c r="F16" s="59" t="str">
        <f>IF(CAELS!G11&lt;4%,"1",IF(CAELS!G11&lt;6%,"2",IF(CAELS!G11&lt;8%,"3",IF(CAELS!G11&lt;10%,"4","5"))))</f>
        <v>1</v>
      </c>
      <c r="G16" s="59" t="str">
        <f>IF(CAELS!H11&lt;4%,"1",IF(CAELS!H11&lt;6%,"2",IF(CAELS!H11&lt;8%,"3",IF(CAELS!H11&lt;10%,"4","5"))))</f>
        <v>1</v>
      </c>
      <c r="H16" s="59" t="str">
        <f>IF(CAELS!I11&lt;4%,"1",IF(CAELS!I11&lt;6%,"2",IF(CAELS!I11&lt;8%,"3",IF(CAELS!I11&lt;10%,"4","5"))))</f>
        <v>2</v>
      </c>
      <c r="I16" s="59" t="str">
        <f>IF(CAELS!J11&lt;4%,"1",IF(CAELS!J11&lt;6%,"2",IF(CAELS!J11&lt;8%,"3",IF(CAELS!J11&lt;10%,"4","5"))))</f>
        <v>2</v>
      </c>
      <c r="J16" s="59" t="str">
        <f>IF(CAELS!K11&lt;4%,"1",IF(CAELS!K11&lt;6%,"2",IF(CAELS!K11&lt;8%,"3",IF(CAELS!K11&lt;10%,"4","5"))))</f>
        <v>3</v>
      </c>
      <c r="K16" s="59" t="str">
        <f>IF(CAELS!L11&lt;4%,"1",IF(CAELS!L11&lt;6%,"2",IF(CAELS!L11&lt;8%,"3",IF(CAELS!L11&lt;10%,"4","5"))))</f>
        <v>3</v>
      </c>
      <c r="L16" s="59" t="str">
        <f>IF(CAELS!M11&lt;4%,"1",IF(CAELS!M11&lt;6%,"2",IF(CAELS!M11&lt;8%,"3",IF(CAELS!M11&lt;10%,"4","5"))))</f>
        <v>4</v>
      </c>
      <c r="M16" s="59" t="str">
        <f>IF(CAELS!N11&lt;4%,"1",IF(CAELS!N11&lt;6%,"2",IF(CAELS!N11&lt;8%,"3",IF(CAELS!N11&lt;10%,"4","5"))))</f>
        <v>4</v>
      </c>
      <c r="N16" s="59" t="str">
        <f>IF(CAELS!O11&lt;4%,"1",IF(CAELS!O11&lt;6%,"2",IF(CAELS!O11&lt;8%,"3",IF(CAELS!O11&lt;10%,"4","5"))))</f>
        <v>4</v>
      </c>
      <c r="O16" s="59" t="str">
        <f>IF(CAELS!P11&lt;4%,"1",IF(CAELS!P11&lt;6%,"2",IF(CAELS!P11&lt;8%,"3",IF(CAELS!P11&lt;10%,"4","5"))))</f>
        <v>5</v>
      </c>
      <c r="P16" s="59" t="str">
        <f>IF(CAELS!Q11&lt;4%,"1",IF(CAELS!Q11&lt;6%,"2",IF(CAELS!Q11&lt;8%,"3",IF(CAELS!Q11&lt;10%,"4","5"))))</f>
        <v>5</v>
      </c>
      <c r="Q16" s="59" t="str">
        <f>IF(CAELS!R11&lt;4%,"1",IF(CAELS!R11&lt;6%,"2",IF(CAELS!R11&lt;8%,"3",IF(CAELS!R11&lt;10%,"4","5"))))</f>
        <v>5</v>
      </c>
    </row>
    <row r="17" spans="1:17">
      <c r="A17" s="3"/>
      <c r="B17" s="1"/>
      <c r="C17" s="71">
        <f t="shared" ref="C17:K17" si="4">(C14+C15+C16)/3</f>
        <v>1.3333333333333333</v>
      </c>
      <c r="D17" s="71">
        <f t="shared" si="4"/>
        <v>4.333333333333333</v>
      </c>
      <c r="E17" s="71">
        <f t="shared" si="4"/>
        <v>2</v>
      </c>
      <c r="F17" s="71">
        <f t="shared" si="4"/>
        <v>2.3333333333333335</v>
      </c>
      <c r="G17" s="71">
        <f t="shared" si="4"/>
        <v>2.3333333333333335</v>
      </c>
      <c r="H17" s="71">
        <f t="shared" si="4"/>
        <v>3</v>
      </c>
      <c r="I17" s="71">
        <f t="shared" si="4"/>
        <v>3</v>
      </c>
      <c r="J17" s="71">
        <f t="shared" si="4"/>
        <v>3.6666666666666665</v>
      </c>
      <c r="K17" s="71">
        <f t="shared" si="4"/>
        <v>3.6666666666666665</v>
      </c>
      <c r="L17" s="71">
        <f t="shared" ref="L17:Q17" si="5">(L14+L15+L16)/3</f>
        <v>3.6666666666666665</v>
      </c>
      <c r="M17" s="71">
        <f t="shared" si="5"/>
        <v>3.6666666666666665</v>
      </c>
      <c r="N17" s="71">
        <f t="shared" si="5"/>
        <v>3.6666666666666665</v>
      </c>
      <c r="O17" s="71">
        <f t="shared" si="5"/>
        <v>4</v>
      </c>
      <c r="P17" s="71">
        <f t="shared" si="5"/>
        <v>4</v>
      </c>
      <c r="Q17" s="71">
        <f t="shared" si="5"/>
        <v>4</v>
      </c>
    </row>
    <row r="18" spans="1:17">
      <c r="A18" s="54" t="s">
        <v>23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</row>
    <row r="19" spans="1:17">
      <c r="A19" s="3" t="s">
        <v>122</v>
      </c>
      <c r="B19" s="63">
        <v>0.15</v>
      </c>
      <c r="C19" s="59" t="str">
        <f>IF(CAELS!D12&gt;30%,"1",IF(CAELS!D12&gt;25%,"2",IF(CAELS!D12&gt;20%,"3",IF(CAELS!D12&gt;15%,"4","5"))))</f>
        <v>1</v>
      </c>
      <c r="D19" s="59" t="str">
        <f>IF(CAELS!E12&gt;30%,"1",IF(CAELS!E12&gt;25%,"2",IF(CAELS!E12&gt;20%,"3",IF(CAELS!E12&gt;15%,"4","5"))))</f>
        <v>3</v>
      </c>
      <c r="E19" s="59" t="str">
        <f>IF(CAELS!F12&gt;30%,"1",IF(CAELS!F12&gt;25%,"2",IF(CAELS!F12&gt;20%,"3",IF(CAELS!F12&gt;15%,"4","5"))))</f>
        <v>1</v>
      </c>
      <c r="F19" s="59" t="str">
        <f>IF(CAELS!G12&gt;30%,"1",IF(CAELS!G12&gt;25%,"2",IF(CAELS!G12&gt;20%,"3",IF(CAELS!G12&gt;15%,"4","5"))))</f>
        <v>1</v>
      </c>
      <c r="G19" s="59" t="str">
        <f>IF(CAELS!H12&gt;30%,"1",IF(CAELS!H12&gt;25%,"2",IF(CAELS!H12&gt;20%,"3",IF(CAELS!H12&gt;15%,"4","5"))))</f>
        <v>1</v>
      </c>
      <c r="H19" s="59" t="str">
        <f>IF(CAELS!I12&gt;30%,"1",IF(CAELS!I12&gt;25%,"2",IF(CAELS!I12&gt;20%,"3",IF(CAELS!I12&gt;15%,"4","5"))))</f>
        <v>1</v>
      </c>
      <c r="I19" s="59" t="str">
        <f>IF(CAELS!J12&gt;30%,"1",IF(CAELS!J12&gt;25%,"2",IF(CAELS!J12&gt;20%,"3",IF(CAELS!J12&gt;15%,"4","5"))))</f>
        <v>1</v>
      </c>
      <c r="J19" s="59" t="str">
        <f>IF(CAELS!K12&gt;30%,"1",IF(CAELS!K12&gt;25%,"2",IF(CAELS!K12&gt;20%,"3",IF(CAELS!K12&gt;15%,"4","5"))))</f>
        <v>1</v>
      </c>
      <c r="K19" s="59" t="str">
        <f>IF(CAELS!L12&gt;30%,"1",IF(CAELS!L12&gt;25%,"2",IF(CAELS!L12&gt;20%,"3",IF(CAELS!L12&gt;15%,"4","5"))))</f>
        <v>1</v>
      </c>
      <c r="L19" s="59" t="str">
        <f>IF(CAELS!M12&gt;30%,"1",IF(CAELS!M12&gt;25%,"2",IF(CAELS!M12&gt;20%,"3",IF(CAELS!M12&gt;15%,"4","5"))))</f>
        <v>1</v>
      </c>
      <c r="M19" s="59" t="str">
        <f>IF(CAELS!N12&gt;30%,"1",IF(CAELS!N12&gt;25%,"2",IF(CAELS!N12&gt;20%,"3",IF(CAELS!N12&gt;15%,"4","5"))))</f>
        <v>1</v>
      </c>
      <c r="N19" s="59" t="str">
        <f>IF(CAELS!O12&gt;30%,"1",IF(CAELS!O12&gt;25%,"2",IF(CAELS!O12&gt;20%,"3",IF(CAELS!O12&gt;15%,"4","5"))))</f>
        <v>1</v>
      </c>
      <c r="O19" s="59" t="str">
        <f>IF(CAELS!P12&gt;30%,"1",IF(CAELS!P12&gt;25%,"2",IF(CAELS!P12&gt;20%,"3",IF(CAELS!P12&gt;15%,"4","5"))))</f>
        <v>2</v>
      </c>
      <c r="P19" s="59" t="str">
        <f>IF(CAELS!Q12&gt;30%,"1",IF(CAELS!Q12&gt;25%,"2",IF(CAELS!Q12&gt;20%,"3",IF(CAELS!Q12&gt;15%,"4","5"))))</f>
        <v>3</v>
      </c>
      <c r="Q19" s="59" t="str">
        <f>IF(CAELS!R12&gt;30%,"1",IF(CAELS!R12&gt;25%,"2",IF(CAELS!R12&gt;20%,"3",IF(CAELS!R12&gt;15%,"4","5"))))</f>
        <v>3</v>
      </c>
    </row>
    <row r="20" spans="1:17">
      <c r="A20" s="3" t="s">
        <v>123</v>
      </c>
      <c r="B20" s="63"/>
      <c r="C20" s="59" t="str">
        <f>IF(CAELS!D13&gt;30%,"1",IF(CAELS!D13&gt;25%,"2",IF(CAELS!D13&gt;20%,"3",IF(CAELS!D13&gt;15%,"4","5"))))</f>
        <v>5</v>
      </c>
      <c r="D20" s="59" t="str">
        <f>IF(CAELS!E13&gt;30%,"1",IF(CAELS!E13&gt;25%,"2",IF(CAELS!E13&gt;20%,"3",IF(CAELS!E13&gt;15%,"4","5"))))</f>
        <v>4</v>
      </c>
      <c r="E20" s="59" t="str">
        <f>IF(CAELS!F13&gt;30%,"1",IF(CAELS!F13&gt;25%,"2",IF(CAELS!F13&gt;20%,"3",IF(CAELS!F13&gt;15%,"4","5"))))</f>
        <v>2</v>
      </c>
      <c r="F20" s="59" t="str">
        <f>IF(CAELS!G13&gt;30%,"1",IF(CAELS!G13&gt;25%,"2",IF(CAELS!G13&gt;20%,"3",IF(CAELS!G13&gt;15%,"4","5"))))</f>
        <v>2</v>
      </c>
      <c r="G20" s="59" t="str">
        <f>IF(CAELS!H13&gt;30%,"1",IF(CAELS!H13&gt;25%,"2",IF(CAELS!H13&gt;20%,"3",IF(CAELS!H13&gt;15%,"4","5"))))</f>
        <v>3</v>
      </c>
      <c r="H20" s="59" t="str">
        <f>IF(CAELS!I13&gt;30%,"1",IF(CAELS!I13&gt;25%,"2",IF(CAELS!I13&gt;20%,"3",IF(CAELS!I13&gt;15%,"4","5"))))</f>
        <v>1</v>
      </c>
      <c r="I20" s="59" t="str">
        <f>IF(CAELS!J13&gt;30%,"1",IF(CAELS!J13&gt;25%,"2",IF(CAELS!J13&gt;20%,"3",IF(CAELS!J13&gt;15%,"4","5"))))</f>
        <v>2</v>
      </c>
      <c r="J20" s="59" t="str">
        <f>IF(CAELS!K13&gt;30%,"1",IF(CAELS!K13&gt;25%,"2",IF(CAELS!K13&gt;20%,"3",IF(CAELS!K13&gt;15%,"4","5"))))</f>
        <v>1</v>
      </c>
      <c r="K20" s="59" t="str">
        <f>IF(CAELS!L13&gt;30%,"1",IF(CAELS!L13&gt;25%,"2",IF(CAELS!L13&gt;20%,"3",IF(CAELS!L13&gt;15%,"4","5"))))</f>
        <v>1</v>
      </c>
      <c r="L20" s="59" t="str">
        <f>IF(CAELS!M13&gt;30%,"1",IF(CAELS!M13&gt;25%,"2",IF(CAELS!M13&gt;20%,"3",IF(CAELS!M13&gt;15%,"4","5"))))</f>
        <v>1</v>
      </c>
      <c r="M20" s="59" t="str">
        <f>IF(CAELS!N13&gt;30%,"1",IF(CAELS!N13&gt;25%,"2",IF(CAELS!N13&gt;20%,"3",IF(CAELS!N13&gt;15%,"4","5"))))</f>
        <v>1</v>
      </c>
      <c r="N20" s="59" t="str">
        <f>IF(CAELS!O13&gt;30%,"1",IF(CAELS!O13&gt;25%,"2",IF(CAELS!O13&gt;20%,"3",IF(CAELS!O13&gt;15%,"4","5"))))</f>
        <v>1</v>
      </c>
      <c r="O20" s="59" t="str">
        <f>IF(CAELS!P13&gt;30%,"1",IF(CAELS!P13&gt;25%,"2",IF(CAELS!P13&gt;20%,"3",IF(CAELS!P13&gt;15%,"4","5"))))</f>
        <v>4</v>
      </c>
      <c r="P20" s="59" t="str">
        <f>IF(CAELS!Q13&gt;30%,"1",IF(CAELS!Q13&gt;25%,"2",IF(CAELS!Q13&gt;20%,"3",IF(CAELS!Q13&gt;15%,"4","5"))))</f>
        <v>4</v>
      </c>
      <c r="Q20" s="59" t="str">
        <f>IF(CAELS!R13&gt;30%,"1",IF(CAELS!R13&gt;25%,"2",IF(CAELS!R13&gt;20%,"3",IF(CAELS!R13&gt;15%,"4","5"))))</f>
        <v>4</v>
      </c>
    </row>
    <row r="21" spans="1:17">
      <c r="A21" s="3" t="s">
        <v>124</v>
      </c>
      <c r="B21" s="57" t="s">
        <v>125</v>
      </c>
      <c r="C21" s="59" t="str">
        <f>IF(CAELS!D14&lt;15%,"1",IF(CAELS!D14&lt;18%,"2",IF(CAELS!D14&lt;22%,"3",IF(CAELS!D14&lt;25%,"4","5"))))</f>
        <v>1</v>
      </c>
      <c r="D21" s="59" t="str">
        <f>IF(CAELS!E14&lt;15%,"1",IF(CAELS!E14&lt;18%,"2",IF(CAELS!E14&lt;22%,"3",IF(CAELS!E14&lt;25%,"4","5"))))</f>
        <v>1</v>
      </c>
      <c r="E21" s="59" t="str">
        <f>IF(CAELS!F14&lt;15%,"1",IF(CAELS!F14&lt;18%,"2",IF(CAELS!F14&lt;22%,"3",IF(CAELS!F14&lt;25%,"4","5"))))</f>
        <v>1</v>
      </c>
      <c r="F21" s="59" t="str">
        <f>IF(CAELS!G14&lt;15%,"1",IF(CAELS!G14&lt;18%,"2",IF(CAELS!G14&lt;22%,"3",IF(CAELS!G14&lt;25%,"4","5"))))</f>
        <v>1</v>
      </c>
      <c r="G21" s="59" t="str">
        <f>IF(CAELS!H14&lt;15%,"1",IF(CAELS!H14&lt;18%,"2",IF(CAELS!H14&lt;22%,"3",IF(CAELS!H14&lt;25%,"4","5"))))</f>
        <v>1</v>
      </c>
      <c r="H21" s="59" t="str">
        <f>IF(CAELS!I14&lt;15%,"1",IF(CAELS!I14&lt;18%,"2",IF(CAELS!I14&lt;22%,"3",IF(CAELS!I14&lt;25%,"4","5"))))</f>
        <v>1</v>
      </c>
      <c r="I21" s="59" t="str">
        <f>IF(CAELS!J14&lt;15%,"1",IF(CAELS!J14&lt;18%,"2",IF(CAELS!J14&lt;22%,"3",IF(CAELS!J14&lt;25%,"4","5"))))</f>
        <v>1</v>
      </c>
      <c r="J21" s="59" t="str">
        <f>IF(CAELS!K14&lt;15%,"1",IF(CAELS!K14&lt;18%,"2",IF(CAELS!K14&lt;22%,"3",IF(CAELS!K14&lt;25%,"4","5"))))</f>
        <v>1</v>
      </c>
      <c r="K21" s="59" t="str">
        <f>IF(CAELS!L14&lt;15%,"1",IF(CAELS!L14&lt;18%,"2",IF(CAELS!L14&lt;22%,"3",IF(CAELS!L14&lt;25%,"4","5"))))</f>
        <v>1</v>
      </c>
      <c r="L21" s="59" t="str">
        <f>IF(CAELS!M14&lt;15%,"1",IF(CAELS!M14&lt;18%,"2",IF(CAELS!M14&lt;22%,"3",IF(CAELS!M14&lt;25%,"4","5"))))</f>
        <v>1</v>
      </c>
      <c r="M21" s="59" t="str">
        <f>IF(CAELS!N14&lt;15%,"1",IF(CAELS!N14&lt;18%,"2",IF(CAELS!N14&lt;22%,"3",IF(CAELS!N14&lt;25%,"4","5"))))</f>
        <v>1</v>
      </c>
      <c r="N21" s="59" t="str">
        <f>IF(CAELS!O14&lt;15%,"1",IF(CAELS!O14&lt;18%,"2",IF(CAELS!O14&lt;22%,"3",IF(CAELS!O14&lt;25%,"4","5"))))</f>
        <v>1</v>
      </c>
      <c r="O21" s="59" t="str">
        <f>IF(CAELS!P14&lt;15%,"1",IF(CAELS!P14&lt;18%,"2",IF(CAELS!P14&lt;22%,"3",IF(CAELS!P14&lt;25%,"4","5"))))</f>
        <v>1</v>
      </c>
      <c r="P21" s="59" t="str">
        <f>IF(CAELS!Q14&lt;15%,"1",IF(CAELS!Q14&lt;18%,"2",IF(CAELS!Q14&lt;22%,"3",IF(CAELS!Q14&lt;25%,"4","5"))))</f>
        <v>1</v>
      </c>
      <c r="Q21" s="59" t="str">
        <f>IF(CAELS!R14&lt;15%,"1",IF(CAELS!R14&lt;18%,"2",IF(CAELS!R14&lt;22%,"3",IF(CAELS!R14&lt;25%,"4","5"))))</f>
        <v>1</v>
      </c>
    </row>
    <row r="22" spans="1:17">
      <c r="A22" s="3" t="s">
        <v>126</v>
      </c>
      <c r="B22" s="1"/>
      <c r="C22" s="59" t="str">
        <f>IF(CAELS!D15&gt;15%,"1",IF(CAELS!D15&gt;12%,"2",IF(CAELS!D15&gt;9%,"3",IF(CAELS!D15&gt;6%,"4","5"))))</f>
        <v>2</v>
      </c>
      <c r="D22" s="59" t="str">
        <f>IF(CAELS!E15&gt;15%,"1",IF(CAELS!E15&gt;12%,"2",IF(CAELS!E15&gt;9%,"3",IF(CAELS!E15&gt;6%,"4","5"))))</f>
        <v>2</v>
      </c>
      <c r="E22" s="59" t="str">
        <f>IF(CAELS!F15&gt;15%,"1",IF(CAELS!F15&gt;12%,"2",IF(CAELS!F15&gt;9%,"3",IF(CAELS!F15&gt;6%,"4","5"))))</f>
        <v>1</v>
      </c>
      <c r="F22" s="59" t="str">
        <f>IF(CAELS!G15&gt;15%,"1",IF(CAELS!G15&gt;12%,"2",IF(CAELS!G15&gt;9%,"3",IF(CAELS!G15&gt;6%,"4","5"))))</f>
        <v>1</v>
      </c>
      <c r="G22" s="59" t="str">
        <f>IF(CAELS!H15&gt;15%,"1",IF(CAELS!H15&gt;12%,"2",IF(CAELS!H15&gt;9%,"3",IF(CAELS!H15&gt;6%,"4","5"))))</f>
        <v>1</v>
      </c>
      <c r="H22" s="59" t="str">
        <f>IF(CAELS!I15&gt;15%,"1",IF(CAELS!I15&gt;12%,"2",IF(CAELS!I15&gt;9%,"3",IF(CAELS!I15&gt;6%,"4","5"))))</f>
        <v>1</v>
      </c>
      <c r="I22" s="59" t="str">
        <f>IF(CAELS!J15&gt;15%,"1",IF(CAELS!J15&gt;12%,"2",IF(CAELS!J15&gt;9%,"3",IF(CAELS!J15&gt;6%,"4","5"))))</f>
        <v>1</v>
      </c>
      <c r="J22" s="59" t="str">
        <f>IF(CAELS!K15&gt;15%,"1",IF(CAELS!K15&gt;12%,"2",IF(CAELS!K15&gt;9%,"3",IF(CAELS!K15&gt;6%,"4","5"))))</f>
        <v>1</v>
      </c>
      <c r="K22" s="59" t="str">
        <f>IF(CAELS!L15&gt;15%,"1",IF(CAELS!L15&gt;12%,"2",IF(CAELS!L15&gt;9%,"3",IF(CAELS!L15&gt;6%,"4","5"))))</f>
        <v>1</v>
      </c>
      <c r="L22" s="59" t="str">
        <f>IF(CAELS!M15&gt;15%,"1",IF(CAELS!M15&gt;12%,"2",IF(CAELS!M15&gt;9%,"3",IF(CAELS!M15&gt;6%,"4","5"))))</f>
        <v>1</v>
      </c>
      <c r="M22" s="59" t="str">
        <f>IF(CAELS!N15&gt;15%,"1",IF(CAELS!N15&gt;12%,"2",IF(CAELS!N15&gt;9%,"3",IF(CAELS!N15&gt;6%,"4","5"))))</f>
        <v>1</v>
      </c>
      <c r="N22" s="59" t="str">
        <f>IF(CAELS!O15&gt;15%,"1",IF(CAELS!O15&gt;12%,"2",IF(CAELS!O15&gt;9%,"3",IF(CAELS!O15&gt;6%,"4","5"))))</f>
        <v>1</v>
      </c>
      <c r="O22" s="59" t="str">
        <f>IF(CAELS!P15&gt;15%,"1",IF(CAELS!P15&gt;12%,"2",IF(CAELS!P15&gt;9%,"3",IF(CAELS!P15&gt;6%,"4","5"))))</f>
        <v>2</v>
      </c>
      <c r="P22" s="59" t="str">
        <f>IF(CAELS!Q15&gt;15%,"1",IF(CAELS!Q15&gt;12%,"2",IF(CAELS!Q15&gt;9%,"3",IF(CAELS!Q15&gt;6%,"4","5"))))</f>
        <v>2</v>
      </c>
      <c r="Q22" s="59" t="str">
        <f>IF(CAELS!R15&gt;15%,"1",IF(CAELS!R15&gt;12%,"2",IF(CAELS!R15&gt;9%,"3",IF(CAELS!R15&gt;6%,"4","5"))))</f>
        <v>2</v>
      </c>
    </row>
    <row r="23" spans="1:17">
      <c r="A23" s="3"/>
      <c r="B23" s="1"/>
      <c r="C23" s="72">
        <f t="shared" ref="C23:K23" si="6">(C19+C20+C21+C22)/4</f>
        <v>2.25</v>
      </c>
      <c r="D23" s="72">
        <f t="shared" si="6"/>
        <v>2.5</v>
      </c>
      <c r="E23" s="72">
        <f t="shared" si="6"/>
        <v>1.25</v>
      </c>
      <c r="F23" s="72">
        <f t="shared" si="6"/>
        <v>1.25</v>
      </c>
      <c r="G23" s="72">
        <f t="shared" si="6"/>
        <v>1.5</v>
      </c>
      <c r="H23" s="72">
        <f t="shared" si="6"/>
        <v>1</v>
      </c>
      <c r="I23" s="72">
        <f t="shared" si="6"/>
        <v>1.25</v>
      </c>
      <c r="J23" s="72">
        <f t="shared" si="6"/>
        <v>1</v>
      </c>
      <c r="K23" s="72">
        <f t="shared" si="6"/>
        <v>1</v>
      </c>
      <c r="L23" s="72">
        <f t="shared" ref="L23:Q23" si="7">(L19+L20+L21+L22)/4</f>
        <v>1</v>
      </c>
      <c r="M23" s="72">
        <f t="shared" si="7"/>
        <v>1</v>
      </c>
      <c r="N23" s="72">
        <f t="shared" si="7"/>
        <v>1</v>
      </c>
      <c r="O23" s="72">
        <f t="shared" si="7"/>
        <v>2.25</v>
      </c>
      <c r="P23" s="72">
        <f t="shared" si="7"/>
        <v>2.5</v>
      </c>
      <c r="Q23" s="72">
        <f t="shared" si="7"/>
        <v>2.5</v>
      </c>
    </row>
    <row r="24" spans="1:17">
      <c r="A24" s="54" t="s">
        <v>30</v>
      </c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</row>
    <row r="25" spans="1:17">
      <c r="A25" s="3" t="s">
        <v>127</v>
      </c>
      <c r="B25" s="57" t="s">
        <v>128</v>
      </c>
      <c r="C25" s="59" t="str">
        <f>IF(CAELS!D16&lt;6%,"1",IF(CAELS!D16&lt;7%,"2",IF(CAELS!D16&lt;8%,"3",IF(CAELS!D16&lt;10%,"4","5"))))</f>
        <v>5</v>
      </c>
      <c r="D25" s="59" t="str">
        <f>IF(CAELS!E16&lt;6%,"1",IF(CAELS!E16&lt;7%,"2",IF(CAELS!E16&lt;8%,"3",IF(CAELS!E16&lt;10%,"4","5"))))</f>
        <v>4</v>
      </c>
      <c r="E25" s="59" t="str">
        <f>IF(CAELS!F16&lt;6%,"1",IF(CAELS!F16&lt;7%,"2",IF(CAELS!F16&lt;8%,"3",IF(CAELS!F16&lt;10%,"4","5"))))</f>
        <v>5</v>
      </c>
      <c r="F25" s="59" t="str">
        <f>IF(CAELS!G16&lt;6%,"1",IF(CAELS!G16&lt;7%,"2",IF(CAELS!G16&lt;8%,"3",IF(CAELS!G16&lt;10%,"4","5"))))</f>
        <v>5</v>
      </c>
      <c r="G25" s="59" t="str">
        <f>IF(CAELS!H16&lt;6%,"1",IF(CAELS!H16&lt;7%,"2",IF(CAELS!H16&lt;8%,"3",IF(CAELS!H16&lt;10%,"4","5"))))</f>
        <v>5</v>
      </c>
      <c r="H25" s="59" t="str">
        <f>IF(CAELS!I16&lt;6%,"1",IF(CAELS!I16&lt;7%,"2",IF(CAELS!I16&lt;8%,"3",IF(CAELS!I16&lt;10%,"4","5"))))</f>
        <v>5</v>
      </c>
      <c r="I25" s="59" t="str">
        <f>IF(CAELS!J16&lt;6%,"1",IF(CAELS!J16&lt;7%,"2",IF(CAELS!J16&lt;8%,"3",IF(CAELS!J16&lt;10%,"4","5"))))</f>
        <v>5</v>
      </c>
      <c r="J25" s="59" t="str">
        <f>IF(CAELS!K16&lt;6%,"1",IF(CAELS!K16&lt;7%,"2",IF(CAELS!K16&lt;8%,"3",IF(CAELS!K16&lt;10%,"4","5"))))</f>
        <v>5</v>
      </c>
      <c r="K25" s="59" t="str">
        <f>IF(CAELS!L16&lt;6%,"1",IF(CAELS!L16&lt;7%,"2",IF(CAELS!L16&lt;8%,"3",IF(CAELS!L16&lt;10%,"4","5"))))</f>
        <v>5</v>
      </c>
      <c r="L25" s="59" t="str">
        <f>IF(CAELS!M16&lt;6%,"1",IF(CAELS!M16&lt;7%,"2",IF(CAELS!M16&lt;8%,"3",IF(CAELS!M16&lt;10%,"4","5"))))</f>
        <v>5</v>
      </c>
      <c r="M25" s="59" t="str">
        <f>IF(CAELS!N16&lt;6%,"1",IF(CAELS!N16&lt;7%,"2",IF(CAELS!N16&lt;8%,"3",IF(CAELS!N16&lt;10%,"4","5"))))</f>
        <v>5</v>
      </c>
      <c r="N25" s="59" t="str">
        <f>IF(CAELS!O16&lt;6%,"1",IF(CAELS!O16&lt;7%,"2",IF(CAELS!O16&lt;8%,"3",IF(CAELS!O16&lt;10%,"4","5"))))</f>
        <v>5</v>
      </c>
      <c r="O25" s="59" t="str">
        <f>IF(CAELS!P16&lt;6%,"1",IF(CAELS!P16&lt;7%,"2",IF(CAELS!P16&lt;8%,"3",IF(CAELS!P16&lt;10%,"4","5"))))</f>
        <v>5</v>
      </c>
      <c r="P25" s="59" t="str">
        <f>IF(CAELS!Q16&lt;6%,"1",IF(CAELS!Q16&lt;7%,"2",IF(CAELS!Q16&lt;8%,"3",IF(CAELS!Q16&lt;10%,"4","5"))))</f>
        <v>5</v>
      </c>
      <c r="Q25" s="59" t="str">
        <f>IF(CAELS!R16&lt;6%,"1",IF(CAELS!R16&lt;7%,"2",IF(CAELS!R16&lt;8%,"3",IF(CAELS!R16&lt;10%,"4","5"))))</f>
        <v>3</v>
      </c>
    </row>
    <row r="26" spans="1:17">
      <c r="A26" s="3" t="s">
        <v>129</v>
      </c>
      <c r="B26" s="57" t="s">
        <v>130</v>
      </c>
      <c r="C26" s="59" t="str">
        <f>IF(CAELS!D17&lt;2%,"1",IF(CAELS!D17&lt;3%,"2",IF(CAELS!D17&lt;4%,"3",IF(CAELS!D17&lt;5%,"4","5"))))</f>
        <v>3</v>
      </c>
      <c r="D26" s="59" t="str">
        <f>IF(CAELS!E17&lt;2%,"1",IF(CAELS!E17&lt;3%,"2",IF(CAELS!E17&lt;4%,"3",IF(CAELS!E17&lt;5%,"4","5"))))</f>
        <v>5</v>
      </c>
      <c r="E26" s="59" t="str">
        <f>IF(CAELS!F17&lt;2%,"1",IF(CAELS!F17&lt;3%,"2",IF(CAELS!F17&lt;4%,"3",IF(CAELS!F17&lt;5%,"4","5"))))</f>
        <v>1</v>
      </c>
      <c r="F26" s="59" t="str">
        <f>IF(CAELS!G17&lt;2%,"1",IF(CAELS!G17&lt;3%,"2",IF(CAELS!G17&lt;4%,"3",IF(CAELS!G17&lt;5%,"4","5"))))</f>
        <v>5</v>
      </c>
      <c r="G26" s="59" t="str">
        <f>IF(CAELS!H17&lt;2%,"1",IF(CAELS!H17&lt;3%,"2",IF(CAELS!H17&lt;4%,"3",IF(CAELS!H17&lt;5%,"4","5"))))</f>
        <v>5</v>
      </c>
      <c r="H26" s="59" t="str">
        <f>IF(CAELS!I17&lt;2%,"1",IF(CAELS!I17&lt;3%,"2",IF(CAELS!I17&lt;4%,"3",IF(CAELS!I17&lt;5%,"4","5"))))</f>
        <v>5</v>
      </c>
      <c r="I26" s="59" t="str">
        <f>IF(CAELS!J17&lt;2%,"1",IF(CAELS!J17&lt;3%,"2",IF(CAELS!J17&lt;4%,"3",IF(CAELS!J17&lt;5%,"4","5"))))</f>
        <v>5</v>
      </c>
      <c r="J26" s="59" t="str">
        <f>IF(CAELS!K17&lt;2%,"1",IF(CAELS!K17&lt;3%,"2",IF(CAELS!K17&lt;4%,"3",IF(CAELS!K17&lt;5%,"4","5"))))</f>
        <v>5</v>
      </c>
      <c r="K26" s="59" t="str">
        <f>IF(CAELS!L17&lt;2%,"1",IF(CAELS!L17&lt;3%,"2",IF(CAELS!L17&lt;4%,"3",IF(CAELS!L17&lt;5%,"4","5"))))</f>
        <v>5</v>
      </c>
      <c r="L26" s="59" t="str">
        <f>IF(CAELS!M17&lt;2%,"1",IF(CAELS!M17&lt;3%,"2",IF(CAELS!M17&lt;4%,"3",IF(CAELS!M17&lt;5%,"4","5"))))</f>
        <v>5</v>
      </c>
      <c r="M26" s="59" t="str">
        <f>IF(CAELS!N17&lt;2%,"1",IF(CAELS!N17&lt;3%,"2",IF(CAELS!N17&lt;4%,"3",IF(CAELS!N17&lt;5%,"4","5"))))</f>
        <v>5</v>
      </c>
      <c r="N26" s="59" t="str">
        <f>IF(CAELS!O17&lt;2%,"1",IF(CAELS!O17&lt;3%,"2",IF(CAELS!O17&lt;4%,"3",IF(CAELS!O17&lt;5%,"4","5"))))</f>
        <v>5</v>
      </c>
      <c r="O26" s="59" t="str">
        <f>IF(CAELS!P17&lt;2%,"1",IF(CAELS!P17&lt;3%,"2",IF(CAELS!P17&lt;4%,"3",IF(CAELS!P17&lt;5%,"4","5"))))</f>
        <v>5</v>
      </c>
      <c r="P26" s="59" t="str">
        <f>IF(CAELS!Q17&lt;2%,"1",IF(CAELS!Q17&lt;3%,"2",IF(CAELS!Q17&lt;4%,"3",IF(CAELS!Q17&lt;5%,"4","5"))))</f>
        <v>5</v>
      </c>
      <c r="Q26" s="59" t="str">
        <f>IF(CAELS!R17&lt;2%,"1",IF(CAELS!R17&lt;3%,"2",IF(CAELS!R17&lt;4%,"3",IF(CAELS!R17&lt;5%,"4","5"))))</f>
        <v>5</v>
      </c>
    </row>
    <row r="27" spans="1:17">
      <c r="A27" s="3" t="s">
        <v>131</v>
      </c>
      <c r="B27" s="57" t="s">
        <v>130</v>
      </c>
      <c r="C27" s="59" t="str">
        <f>IF(CAELS!D18&lt;2%,"1",IF(CAELS!D18&lt;3%,"2",IF(CAELS!D18&lt;4%,"3",IF(CAELS!D18&lt;5%,"4","5"))))</f>
        <v>1</v>
      </c>
      <c r="D27" s="59" t="str">
        <f>IF(CAELS!E18&lt;2%,"1",IF(CAELS!E18&lt;3%,"2",IF(CAELS!E18&lt;4%,"3",IF(CAELS!E18&lt;5%,"4","5"))))</f>
        <v>3</v>
      </c>
      <c r="E27" s="59" t="str">
        <f>IF(CAELS!F18&lt;2%,"1",IF(CAELS!F18&lt;3%,"2",IF(CAELS!F18&lt;4%,"3",IF(CAELS!F18&lt;5%,"4","5"))))</f>
        <v>1</v>
      </c>
      <c r="F27" s="59" t="str">
        <f>IF(CAELS!G18&lt;2%,"1",IF(CAELS!G18&lt;3%,"2",IF(CAELS!G18&lt;4%,"3",IF(CAELS!G18&lt;5%,"4","5"))))</f>
        <v>5</v>
      </c>
      <c r="G27" s="59" t="str">
        <f>IF(CAELS!H18&lt;2%,"1",IF(CAELS!H18&lt;3%,"2",IF(CAELS!H18&lt;4%,"3",IF(CAELS!H18&lt;5%,"4","5"))))</f>
        <v>5</v>
      </c>
      <c r="H27" s="59" t="str">
        <f>IF(CAELS!I18&lt;2%,"1",IF(CAELS!I18&lt;3%,"2",IF(CAELS!I18&lt;4%,"3",IF(CAELS!I18&lt;5%,"4","5"))))</f>
        <v>5</v>
      </c>
      <c r="I27" s="59" t="str">
        <f>IF(CAELS!J18&lt;2%,"1",IF(CAELS!J18&lt;3%,"2",IF(CAELS!J18&lt;4%,"3",IF(CAELS!J18&lt;5%,"4","5"))))</f>
        <v>5</v>
      </c>
      <c r="J27" s="59" t="str">
        <f>IF(CAELS!K18&lt;2%,"1",IF(CAELS!K18&lt;3%,"2",IF(CAELS!K18&lt;4%,"3",IF(CAELS!K18&lt;5%,"4","5"))))</f>
        <v>5</v>
      </c>
      <c r="K27" s="59" t="str">
        <f>IF(CAELS!L18&lt;2%,"1",IF(CAELS!L18&lt;3%,"2",IF(CAELS!L18&lt;4%,"3",IF(CAELS!L18&lt;5%,"4","5"))))</f>
        <v>5</v>
      </c>
      <c r="L27" s="59" t="str">
        <f>IF(CAELS!M18&lt;2%,"1",IF(CAELS!M18&lt;3%,"2",IF(CAELS!M18&lt;4%,"3",IF(CAELS!M18&lt;5%,"4","5"))))</f>
        <v>5</v>
      </c>
      <c r="M27" s="59" t="str">
        <f>IF(CAELS!N18&lt;2%,"1",IF(CAELS!N18&lt;3%,"2",IF(CAELS!N18&lt;4%,"3",IF(CAELS!N18&lt;5%,"4","5"))))</f>
        <v>5</v>
      </c>
      <c r="N27" s="59" t="str">
        <f>IF(CAELS!O18&lt;2%,"1",IF(CAELS!O18&lt;3%,"2",IF(CAELS!O18&lt;4%,"3",IF(CAELS!O18&lt;5%,"4","5"))))</f>
        <v>4</v>
      </c>
      <c r="O27" s="59" t="str">
        <f>IF(CAELS!P18&lt;2%,"1",IF(CAELS!P18&lt;3%,"2",IF(CAELS!P18&lt;4%,"3",IF(CAELS!P18&lt;5%,"4","5"))))</f>
        <v>5</v>
      </c>
      <c r="P27" s="59" t="str">
        <f>IF(CAELS!Q18&lt;2%,"1",IF(CAELS!Q18&lt;3%,"2",IF(CAELS!Q18&lt;4%,"3",IF(CAELS!Q18&lt;5%,"4","5"))))</f>
        <v>5</v>
      </c>
      <c r="Q27" s="59" t="str">
        <f>IF(CAELS!R18&lt;2%,"1",IF(CAELS!R18&lt;3%,"2",IF(CAELS!R18&lt;4%,"3",IF(CAELS!R18&lt;5%,"4","5"))))</f>
        <v>1</v>
      </c>
    </row>
    <row r="28" spans="1:17">
      <c r="A28" s="3" t="s">
        <v>132</v>
      </c>
      <c r="B28" s="57" t="s">
        <v>133</v>
      </c>
      <c r="C28" s="59" t="str">
        <f>IF(CAELS!D19&lt;20%,"1",IF(CAELS!D19&lt;25%,"2",IF(CAELS!D19&lt;30%,"3",IF(CAELS!D19&lt;40%,"4","5"))))</f>
        <v>1</v>
      </c>
      <c r="D28" s="59" t="str">
        <f>IF(CAELS!E19&lt;20%,"1",IF(CAELS!E19&lt;25%,"2",IF(CAELS!E19&lt;30%,"3",IF(CAELS!E19&lt;40%,"4","5"))))</f>
        <v>1</v>
      </c>
      <c r="E28" s="59" t="str">
        <f>IF(CAELS!F19&lt;20%,"1",IF(CAELS!F19&lt;25%,"2",IF(CAELS!F19&lt;30%,"3",IF(CAELS!F19&lt;40%,"4","5"))))</f>
        <v>1</v>
      </c>
      <c r="F28" s="59" t="str">
        <f>IF(CAELS!G19&lt;20%,"1",IF(CAELS!G19&lt;25%,"2",IF(CAELS!G19&lt;30%,"3",IF(CAELS!G19&lt;40%,"4","5"))))</f>
        <v>2</v>
      </c>
      <c r="G28" s="59" t="str">
        <f>IF(CAELS!H19&lt;20%,"1",IF(CAELS!H19&lt;25%,"2",IF(CAELS!H19&lt;30%,"3",IF(CAELS!H19&lt;40%,"4","5"))))</f>
        <v>2</v>
      </c>
      <c r="H28" s="59" t="str">
        <f>IF(CAELS!I19&lt;20%,"1",IF(CAELS!I19&lt;25%,"2",IF(CAELS!I19&lt;30%,"3",IF(CAELS!I19&lt;40%,"4","5"))))</f>
        <v>2</v>
      </c>
      <c r="I28" s="59" t="str">
        <f>IF(CAELS!J19&lt;20%,"1",IF(CAELS!J19&lt;25%,"2",IF(CAELS!J19&lt;30%,"3",IF(CAELS!J19&lt;40%,"4","5"))))</f>
        <v>2</v>
      </c>
      <c r="J28" s="59" t="str">
        <f>IF(CAELS!K19&lt;20%,"1",IF(CAELS!K19&lt;25%,"2",IF(CAELS!K19&lt;30%,"3",IF(CAELS!K19&lt;40%,"4","5"))))</f>
        <v>2</v>
      </c>
      <c r="K28" s="59" t="str">
        <f>IF(CAELS!L19&lt;20%,"1",IF(CAELS!L19&lt;25%,"2",IF(CAELS!L19&lt;30%,"3",IF(CAELS!L19&lt;40%,"4","5"))))</f>
        <v>2</v>
      </c>
      <c r="L28" s="59" t="str">
        <f>IF(CAELS!M19&lt;20%,"1",IF(CAELS!M19&lt;25%,"2",IF(CAELS!M19&lt;30%,"3",IF(CAELS!M19&lt;40%,"4","5"))))</f>
        <v>2</v>
      </c>
      <c r="M28" s="59" t="str">
        <f>IF(CAELS!N19&lt;20%,"1",IF(CAELS!N19&lt;25%,"2",IF(CAELS!N19&lt;30%,"3",IF(CAELS!N19&lt;40%,"4","5"))))</f>
        <v>2</v>
      </c>
      <c r="N28" s="59" t="str">
        <f>IF(CAELS!O19&lt;20%,"1",IF(CAELS!O19&lt;25%,"2",IF(CAELS!O19&lt;30%,"3",IF(CAELS!O19&lt;40%,"4","5"))))</f>
        <v>2</v>
      </c>
      <c r="O28" s="59" t="str">
        <f>IF(CAELS!P19&lt;20%,"1",IF(CAELS!P19&lt;25%,"2",IF(CAELS!P19&lt;30%,"3",IF(CAELS!P19&lt;40%,"4","5"))))</f>
        <v>5</v>
      </c>
      <c r="P28" s="59" t="str">
        <f>IF(CAELS!Q19&lt;20%,"1",IF(CAELS!Q19&lt;25%,"2",IF(CAELS!Q19&lt;30%,"3",IF(CAELS!Q19&lt;40%,"4","5"))))</f>
        <v>5</v>
      </c>
      <c r="Q28" s="59" t="str">
        <f>IF(CAELS!R19&lt;20%,"1",IF(CAELS!R19&lt;25%,"2",IF(CAELS!R19&lt;30%,"3",IF(CAELS!R19&lt;40%,"4","5"))))</f>
        <v>1</v>
      </c>
    </row>
    <row r="29" spans="1:17">
      <c r="A29" s="3"/>
      <c r="B29" s="1"/>
      <c r="C29" s="73">
        <f t="shared" ref="C29:K29" si="8">(C25+C26+C27+C28)/4</f>
        <v>2.5</v>
      </c>
      <c r="D29" s="73">
        <f t="shared" si="8"/>
        <v>3.25</v>
      </c>
      <c r="E29" s="73">
        <f t="shared" si="8"/>
        <v>2</v>
      </c>
      <c r="F29" s="73">
        <f t="shared" si="8"/>
        <v>4.25</v>
      </c>
      <c r="G29" s="73">
        <f t="shared" si="8"/>
        <v>4.25</v>
      </c>
      <c r="H29" s="73">
        <f t="shared" si="8"/>
        <v>4.25</v>
      </c>
      <c r="I29" s="73">
        <f t="shared" si="8"/>
        <v>4.25</v>
      </c>
      <c r="J29" s="73">
        <f t="shared" si="8"/>
        <v>4.25</v>
      </c>
      <c r="K29" s="73">
        <f t="shared" si="8"/>
        <v>4.25</v>
      </c>
      <c r="L29" s="73">
        <f t="shared" ref="L29:Q29" si="9">(L25+L26+L27+L28)/4</f>
        <v>4.25</v>
      </c>
      <c r="M29" s="73">
        <f t="shared" si="9"/>
        <v>4.25</v>
      </c>
      <c r="N29" s="73">
        <f t="shared" si="9"/>
        <v>4</v>
      </c>
      <c r="O29" s="73">
        <f t="shared" si="9"/>
        <v>5</v>
      </c>
      <c r="P29" s="73">
        <f t="shared" si="9"/>
        <v>5</v>
      </c>
      <c r="Q29" s="73">
        <f t="shared" si="9"/>
        <v>2.5</v>
      </c>
    </row>
    <row r="30" spans="1:17" ht="15" thickBot="1">
      <c r="A30" s="64" t="s">
        <v>134</v>
      </c>
      <c r="B30" s="65"/>
      <c r="C30" s="74">
        <f t="shared" ref="C30:K30" si="10">(C9+C12+C17+C23)/4</f>
        <v>1.7708333333333333</v>
      </c>
      <c r="D30" s="74">
        <f t="shared" si="10"/>
        <v>2.208333333333333</v>
      </c>
      <c r="E30" s="74">
        <f t="shared" si="10"/>
        <v>1.375</v>
      </c>
      <c r="F30" s="74">
        <f t="shared" si="10"/>
        <v>1.3958333333333335</v>
      </c>
      <c r="G30" s="74">
        <f t="shared" si="10"/>
        <v>1.4583333333333335</v>
      </c>
      <c r="H30" s="74">
        <f t="shared" si="10"/>
        <v>1.5625</v>
      </c>
      <c r="I30" s="74">
        <f t="shared" si="10"/>
        <v>1.625</v>
      </c>
      <c r="J30" s="74">
        <f t="shared" si="10"/>
        <v>1.7291666666666665</v>
      </c>
      <c r="K30" s="74">
        <f t="shared" si="10"/>
        <v>1.7291666666666665</v>
      </c>
      <c r="L30" s="74">
        <f t="shared" ref="L30:Q30" si="11">(L9+L12+L17+L23)/4</f>
        <v>1.9166666666666665</v>
      </c>
      <c r="M30" s="74">
        <f t="shared" si="11"/>
        <v>1.6666666666666665</v>
      </c>
      <c r="N30" s="74">
        <f t="shared" si="11"/>
        <v>1.7291666666666665</v>
      </c>
      <c r="O30" s="74">
        <f t="shared" si="11"/>
        <v>2.375</v>
      </c>
      <c r="P30" s="74">
        <f t="shared" si="11"/>
        <v>2.1875</v>
      </c>
      <c r="Q30" s="74">
        <f t="shared" si="11"/>
        <v>2.1875</v>
      </c>
    </row>
  </sheetData>
  <mergeCells count="1">
    <mergeCell ref="A2:F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T14"/>
  <sheetViews>
    <sheetView workbookViewId="0">
      <selection activeCell="E29" sqref="E29"/>
    </sheetView>
  </sheetViews>
  <sheetFormatPr defaultColWidth="9.140625" defaultRowHeight="14.45"/>
  <cols>
    <col min="1" max="1" width="16.85546875" bestFit="1" customWidth="1"/>
    <col min="2" max="2" width="15.5703125" bestFit="1" customWidth="1"/>
    <col min="3" max="4" width="15.85546875" bestFit="1" customWidth="1"/>
    <col min="5" max="5" width="15.5703125" bestFit="1" customWidth="1"/>
    <col min="6" max="6" width="15.85546875" bestFit="1" customWidth="1"/>
    <col min="7" max="8" width="15.5703125" bestFit="1" customWidth="1"/>
    <col min="9" max="9" width="15.85546875" bestFit="1" customWidth="1"/>
    <col min="10" max="10" width="14.7109375" bestFit="1" customWidth="1"/>
    <col min="11" max="14" width="15.85546875" bestFit="1" customWidth="1"/>
    <col min="15" max="15" width="14.7109375" bestFit="1" customWidth="1"/>
    <col min="16" max="20" width="15.85546875" bestFit="1" customWidth="1"/>
  </cols>
  <sheetData>
    <row r="2" spans="1:20" ht="15">
      <c r="B2" s="66" t="s">
        <v>1</v>
      </c>
      <c r="C2" s="66" t="s">
        <v>135</v>
      </c>
      <c r="D2" s="77">
        <v>43101</v>
      </c>
      <c r="E2" s="77">
        <v>43132</v>
      </c>
      <c r="F2" s="77">
        <v>43160</v>
      </c>
      <c r="G2" s="77">
        <v>43191</v>
      </c>
      <c r="H2" s="77">
        <v>43221</v>
      </c>
      <c r="I2" s="77">
        <v>43252</v>
      </c>
      <c r="J2" s="77">
        <v>43282</v>
      </c>
      <c r="K2" s="77">
        <v>43313</v>
      </c>
      <c r="L2" s="77">
        <v>43344</v>
      </c>
      <c r="M2" s="77">
        <v>43374</v>
      </c>
      <c r="N2" s="77">
        <v>43405</v>
      </c>
      <c r="O2" s="77">
        <v>43435</v>
      </c>
      <c r="P2" s="77" t="s">
        <v>136</v>
      </c>
      <c r="Q2" s="77">
        <v>43467</v>
      </c>
      <c r="R2" s="66">
        <v>43009</v>
      </c>
      <c r="S2" s="66">
        <v>43040</v>
      </c>
      <c r="T2" s="66">
        <v>43070</v>
      </c>
    </row>
    <row r="3" spans="1:20">
      <c r="A3" s="67" t="s">
        <v>112</v>
      </c>
      <c r="B3" s="1" t="str">
        <f>IF(CAELS!D3&gt;10,"Compliant","Non-Compliant")</f>
        <v>Compliant</v>
      </c>
      <c r="C3" s="1" t="str">
        <f>IF(CAELS!E3&gt;10,"Compliant","Non-Compliant")</f>
        <v>Compliant</v>
      </c>
      <c r="D3" s="1" t="str">
        <f>IF(CAELS!F3&gt;10,"Compliant","Non-Compliant")</f>
        <v>Compliant</v>
      </c>
      <c r="E3" s="1" t="str">
        <f>IF(CAELS!G3&gt;10,"Compliant","Non-Compliant")</f>
        <v>Compliant</v>
      </c>
      <c r="F3" s="1" t="str">
        <f>IF(CAELS!H3&gt;10,"Compliant","Non-Compliant")</f>
        <v>Compliant</v>
      </c>
      <c r="G3" s="1" t="str">
        <f>IF(CAELS!I3&gt;10,"Compliant","Non-Compliant")</f>
        <v>Compliant</v>
      </c>
      <c r="H3" s="1" t="str">
        <f>IF(CAELS!J3&gt;10,"Compliant","Non-Compliant")</f>
        <v>Compliant</v>
      </c>
      <c r="I3" s="1" t="str">
        <f>IF(CAELS!K3&gt;10,"Compliant","Non-Compliant")</f>
        <v>Compliant</v>
      </c>
      <c r="J3" s="1" t="str">
        <f>IF(CAELS!L3&gt;10,"Compliant","Non-Compliant")</f>
        <v>Compliant</v>
      </c>
      <c r="K3" s="1" t="str">
        <f>IF(CAELS!M3&gt;10,"Compliant","Non-Compliant")</f>
        <v>Compliant</v>
      </c>
      <c r="L3" s="1" t="str">
        <f>IF(CAELS!N3&gt;10,"Compliant","Non-Compliant")</f>
        <v>Compliant</v>
      </c>
      <c r="M3" s="1" t="str">
        <f>IF(CAELS!O3&gt;10,"Compliant","Non-Compliant")</f>
        <v>Compliant</v>
      </c>
      <c r="N3" s="1" t="str">
        <f>IF(CAELS!P3&gt;10,"Compliant","Non-Compliant")</f>
        <v>Compliant</v>
      </c>
      <c r="O3" s="1" t="str">
        <f>IF(CAELS!Q3&gt;10,"Compliant","Non-Compliant")</f>
        <v>Compliant</v>
      </c>
      <c r="P3" s="1" t="str">
        <f>IF(CAELS!R3&gt;10,"Compliant","Non-Compliant")</f>
        <v>Compliant</v>
      </c>
      <c r="Q3" s="1" t="e">
        <f>IF(CAELS!#REF!&gt;10,"Compliant","Non-Compliant")</f>
        <v>#REF!</v>
      </c>
      <c r="R3" s="1" t="e">
        <f>IF(CAELS!#REF!&gt;10,"Compliant","Non-Compliant")</f>
        <v>#REF!</v>
      </c>
      <c r="S3" s="1" t="e">
        <f>IF(CAELS!#REF!&gt;10,"Compliant","Non-Compliant")</f>
        <v>#REF!</v>
      </c>
      <c r="T3" s="1" t="e">
        <f>IF(CAELS!#REF!&gt;10,"Compliant","Non-Compliant")</f>
        <v>#REF!</v>
      </c>
    </row>
    <row r="4" spans="1:20">
      <c r="A4" s="68" t="s">
        <v>137</v>
      </c>
      <c r="B4" s="1" t="str">
        <f>IF(CAELS!D4&gt;10%,"Compliant","Non-Compliant")</f>
        <v>Compliant</v>
      </c>
      <c r="C4" s="1" t="str">
        <f>IF(CAELS!E4&gt;10%,"Compliant","Non-Compliant")</f>
        <v>Compliant</v>
      </c>
      <c r="D4" s="1" t="str">
        <f>IF(CAELS!F4&gt;10%,"Compliant","Non-Compliant")</f>
        <v>Compliant</v>
      </c>
      <c r="E4" s="1" t="str">
        <f>IF(CAELS!G4&gt;10%,"Compliant","Non-Compliant")</f>
        <v>Compliant</v>
      </c>
      <c r="F4" s="1" t="str">
        <f>IF(CAELS!H4&gt;10%,"Compliant","Non-Compliant")</f>
        <v>Compliant</v>
      </c>
      <c r="G4" s="1" t="str">
        <f>IF(CAELS!I4&gt;10%,"Compliant","Non-Compliant")</f>
        <v>Compliant</v>
      </c>
      <c r="H4" s="1" t="str">
        <f>IF(CAELS!J4&gt;10%,"Compliant","Non-Compliant")</f>
        <v>Compliant</v>
      </c>
      <c r="I4" s="1" t="str">
        <f>IF(CAELS!K4&gt;10%,"Compliant","Non-Compliant")</f>
        <v>Compliant</v>
      </c>
      <c r="J4" s="1" t="str">
        <f>IF(CAELS!L4&gt;10%,"Compliant","Non-Compliant")</f>
        <v>Compliant</v>
      </c>
      <c r="K4" s="1" t="str">
        <f>IF(CAELS!M4&gt;10%,"Compliant","Non-Compliant")</f>
        <v>Compliant</v>
      </c>
      <c r="L4" s="1" t="str">
        <f>IF(CAELS!N4&gt;10%,"Compliant","Non-Compliant")</f>
        <v>Compliant</v>
      </c>
      <c r="M4" s="1" t="str">
        <f>IF(CAELS!O4&gt;10%,"Compliant","Non-Compliant")</f>
        <v>Compliant</v>
      </c>
      <c r="N4" s="1" t="str">
        <f>IF(CAELS!P4&gt;10%,"Compliant","Non-Compliant")</f>
        <v>Compliant</v>
      </c>
      <c r="O4" s="1" t="str">
        <f>IF(CAELS!Q4&gt;10%,"Compliant","Non-Compliant")</f>
        <v>Compliant</v>
      </c>
      <c r="P4" s="1" t="str">
        <f>IF(CAELS!R4&gt;10%,"Compliant","Non-Compliant")</f>
        <v>Compliant</v>
      </c>
      <c r="Q4" s="1" t="e">
        <f>IF(CAELS!#REF!&gt;10%,"Compliant","Non-Compliant")</f>
        <v>#REF!</v>
      </c>
      <c r="R4" s="1" t="e">
        <f>IF(CAELS!#REF!&gt;10%,"Compliant","Non-Compliant")</f>
        <v>#REF!</v>
      </c>
      <c r="S4" s="1" t="e">
        <f>IF(CAELS!#REF!&gt;10%,"Compliant","Non-Compliant")</f>
        <v>#REF!</v>
      </c>
      <c r="T4" s="1" t="e">
        <f>IF(CAELS!#REF!&gt;10%,"Compliant","Non-Compliant")</f>
        <v>#REF!</v>
      </c>
    </row>
    <row r="5" spans="1:20">
      <c r="A5" s="68" t="s">
        <v>138</v>
      </c>
      <c r="B5" s="1" t="str">
        <f>IF(CAELS!D6&gt;8%,"Compliant","Non-Compliant")</f>
        <v>Non-Compliant</v>
      </c>
      <c r="C5" s="1" t="str">
        <f>IF(CAELS!E6&gt;8%,"Compliant","Non-Compliant")</f>
        <v>Compliant</v>
      </c>
      <c r="D5" s="1" t="str">
        <f>IF(CAELS!F6&gt;8%,"Compliant","Non-Compliant")</f>
        <v>Non-Compliant</v>
      </c>
      <c r="E5" s="1" t="str">
        <f>IF(CAELS!G6&gt;8%,"Compliant","Non-Compliant")</f>
        <v>Non-Compliant</v>
      </c>
      <c r="F5" s="1" t="str">
        <f>IF(CAELS!H6&gt;8%,"Compliant","Non-Compliant")</f>
        <v>Non-Compliant</v>
      </c>
      <c r="G5" s="1" t="str">
        <f>IF(CAELS!I6&gt;8%,"Compliant","Non-Compliant")</f>
        <v>Non-Compliant</v>
      </c>
      <c r="H5" s="1" t="str">
        <f>IF(CAELS!J6&gt;8%,"Compliant","Non-Compliant")</f>
        <v>Non-Compliant</v>
      </c>
      <c r="I5" s="1" t="str">
        <f>IF(CAELS!K6&gt;8%,"Compliant","Non-Compliant")</f>
        <v>Non-Compliant</v>
      </c>
      <c r="J5" s="1" t="str">
        <f>IF(CAELS!L6&gt;8%,"Compliant","Non-Compliant")</f>
        <v>Non-Compliant</v>
      </c>
      <c r="K5" s="1" t="str">
        <f>IF(CAELS!M6&gt;8%,"Compliant","Non-Compliant")</f>
        <v>Non-Compliant</v>
      </c>
      <c r="L5" s="1" t="str">
        <f>IF(CAELS!N6&gt;8%,"Compliant","Non-Compliant")</f>
        <v>Non-Compliant</v>
      </c>
      <c r="M5" s="1" t="str">
        <f>IF(CAELS!O6&gt;8%,"Compliant","Non-Compliant")</f>
        <v>Non-Compliant</v>
      </c>
      <c r="N5" s="1" t="str">
        <f>IF(CAELS!P6&gt;8%,"Compliant","Non-Compliant")</f>
        <v>Non-Compliant</v>
      </c>
      <c r="O5" s="1" t="str">
        <f>IF(CAELS!Q6&gt;8%,"Compliant","Non-Compliant")</f>
        <v>Non-Compliant</v>
      </c>
      <c r="P5" s="1" t="str">
        <f>IF(CAELS!R6&gt;8%,"Compliant","Non-Compliant")</f>
        <v>Non-Compliant</v>
      </c>
      <c r="Q5" s="1" t="e">
        <f>IF(CAELS!#REF!&gt;8%,"Compliant","Non-Compliant")</f>
        <v>#REF!</v>
      </c>
      <c r="R5" s="1" t="e">
        <f>IF(CAELS!#REF!&gt;8%,"Compliant","Non-Compliant")</f>
        <v>#REF!</v>
      </c>
      <c r="S5" s="1" t="e">
        <f>IF(CAELS!#REF!&gt;8%,"Compliant","Non-Compliant")</f>
        <v>#REF!</v>
      </c>
      <c r="T5" s="1" t="e">
        <f>IF(CAELS!#REF!&gt;8%,"Compliant","Non-Compliant")</f>
        <v>#REF!</v>
      </c>
    </row>
    <row r="6" spans="1:20">
      <c r="A6" s="68" t="s">
        <v>139</v>
      </c>
      <c r="B6" s="1" t="str">
        <f>IF(CAELS!D5&gt;8%,"Compliant","Non-Compiant")</f>
        <v>Compliant</v>
      </c>
      <c r="C6" s="1" t="str">
        <f>IF(CAELS!E5&gt;8%,"Compliant","Non-Compiant")</f>
        <v>Compliant</v>
      </c>
      <c r="D6" s="1" t="str">
        <f>IF(CAELS!F5&gt;8%,"Compliant","Non-Compiant")</f>
        <v>Compliant</v>
      </c>
      <c r="E6" s="1" t="str">
        <f>IF(CAELS!G5&gt;8%,"Compliant","Non-Compiant")</f>
        <v>Compliant</v>
      </c>
      <c r="F6" s="1" t="str">
        <f>IF(CAELS!H5&gt;8%,"Compliant","Non-Compiant")</f>
        <v>Compliant</v>
      </c>
      <c r="G6" s="1" t="str">
        <f>IF(CAELS!I5&gt;8%,"Compliant","Non-Compiant")</f>
        <v>Compliant</v>
      </c>
      <c r="H6" s="1" t="str">
        <f>IF(CAELS!J5&gt;8%,"Compliant","Non-Compiant")</f>
        <v>Compliant</v>
      </c>
      <c r="I6" s="1" t="str">
        <f>IF(CAELS!K5&gt;8%,"Compliant","Non-Compiant")</f>
        <v>Compliant</v>
      </c>
      <c r="J6" s="1" t="str">
        <f>IF(CAELS!L5&gt;8%,"Compliant","Non-Compiant")</f>
        <v>Compliant</v>
      </c>
      <c r="K6" s="1" t="str">
        <f>IF(CAELS!M5&gt;8%,"Compliant","Non-Compiant")</f>
        <v>Compliant</v>
      </c>
      <c r="L6" s="1" t="str">
        <f>IF(CAELS!N5&gt;8%,"Compliant","Non-Compiant")</f>
        <v>Compliant</v>
      </c>
      <c r="M6" s="1" t="str">
        <f>IF(CAELS!O5&gt;8%,"Compliant","Non-Compiant")</f>
        <v>Compliant</v>
      </c>
      <c r="N6" s="1" t="str">
        <f>IF(CAELS!P5&gt;8%,"Compliant","Non-Compiant")</f>
        <v>Compliant</v>
      </c>
      <c r="O6" s="1" t="str">
        <f>IF(CAELS!Q5&gt;8%,"Compliant","Non-Compiant")</f>
        <v>Compliant</v>
      </c>
      <c r="P6" s="1" t="str">
        <f>IF(CAELS!R5&gt;8%,"Compliant","Non-Compiant")</f>
        <v>Compliant</v>
      </c>
      <c r="Q6" s="1" t="e">
        <f>IF(CAELS!#REF!&gt;8%,"Compliant","Non-Compiant")</f>
        <v>#REF!</v>
      </c>
      <c r="R6" s="1" t="e">
        <f>IF(CAELS!#REF!&gt;8%,"Compliant","Non-Compiant")</f>
        <v>#REF!</v>
      </c>
      <c r="S6" s="1" t="e">
        <f>IF(CAELS!#REF!&gt;8%,"Compliant","Non-Compiant")</f>
        <v>#REF!</v>
      </c>
      <c r="T6" s="1" t="e">
        <f>IF(CAELS!#REF!&gt;8%,"Compliant","Non-Compiant")</f>
        <v>#REF!</v>
      </c>
    </row>
    <row r="7" spans="1:20">
      <c r="A7" s="68" t="s">
        <v>140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68" t="s">
        <v>141</v>
      </c>
      <c r="B8" s="1" t="str">
        <f>IF(CAELS!D12&gt;15%,"Compliant","Non-Compliant")</f>
        <v>Compliant</v>
      </c>
      <c r="C8" s="1" t="str">
        <f>IF(CAELS!E12&gt;15%,"Compliant","Non-Compliant")</f>
        <v>Compliant</v>
      </c>
      <c r="D8" s="1" t="str">
        <f>IF(CAELS!F12&gt;15%,"Compliant","Non-Compliant")</f>
        <v>Compliant</v>
      </c>
      <c r="E8" s="1" t="str">
        <f>IF(CAELS!G12&gt;15%,"Compliant","Non-Compliant")</f>
        <v>Compliant</v>
      </c>
      <c r="F8" s="1" t="str">
        <f>IF(CAELS!H12&gt;15%,"Compliant","Non-Compliant")</f>
        <v>Compliant</v>
      </c>
      <c r="G8" s="1" t="str">
        <f>IF(CAELS!I12&gt;15%,"Compliant","Non-Compliant")</f>
        <v>Compliant</v>
      </c>
      <c r="H8" s="1" t="str">
        <f>IF(CAELS!J12&gt;15%,"Compliant","Non-Compliant")</f>
        <v>Compliant</v>
      </c>
      <c r="I8" s="1" t="str">
        <f>IF(CAELS!K12&gt;15%,"Compliant","Non-Compliant")</f>
        <v>Compliant</v>
      </c>
      <c r="J8" s="1" t="str">
        <f>IF(CAELS!L12&gt;15%,"Compliant","Non-Compliant")</f>
        <v>Compliant</v>
      </c>
      <c r="K8" s="1" t="str">
        <f>IF(CAELS!M12&gt;15%,"Compliant","Non-Compliant")</f>
        <v>Compliant</v>
      </c>
      <c r="L8" s="1" t="str">
        <f>IF(CAELS!N12&gt;15%,"Compliant","Non-Compliant")</f>
        <v>Compliant</v>
      </c>
      <c r="M8" s="1" t="str">
        <f>IF(CAELS!O12&gt;15%,"Compliant","Non-Compliant")</f>
        <v>Compliant</v>
      </c>
      <c r="N8" s="1" t="str">
        <f>IF(CAELS!P12&gt;15%,"Compliant","Non-Compliant")</f>
        <v>Compliant</v>
      </c>
      <c r="O8" s="1" t="str">
        <f>IF(CAELS!Q12&gt;15%,"Compliant","Non-Compliant")</f>
        <v>Compliant</v>
      </c>
      <c r="P8" s="1" t="str">
        <f>IF(CAELS!R12&gt;15%,"Compliant","Non-Compliant")</f>
        <v>Compliant</v>
      </c>
      <c r="Q8" s="1" t="e">
        <f>IF(CAELS!#REF!&gt;15%,"Compliant","Non-Compliant")</f>
        <v>#REF!</v>
      </c>
      <c r="R8" s="1" t="e">
        <f>IF(CAELS!#REF!&gt;15%,"Compliant","Non-Compliant")</f>
        <v>#REF!</v>
      </c>
      <c r="S8" s="1" t="e">
        <f>IF(CAELS!#REF!&gt;15%,"Compliant","Non-Compliant")</f>
        <v>#REF!</v>
      </c>
      <c r="T8" s="1" t="e">
        <f>IF(CAELS!#REF!&gt;15%,"Compliant","Non-Compliant")</f>
        <v>#REF!</v>
      </c>
    </row>
    <row r="9" spans="1:20">
      <c r="A9" s="68" t="s">
        <v>142</v>
      </c>
      <c r="B9" s="1" t="str">
        <f>IF(CAELS!D16&lt;10%,"Compliant","Non-Compliant")</f>
        <v>Non-Compliant</v>
      </c>
      <c r="C9" s="1" t="str">
        <f>IF(CAELS!E16&lt;10%,"Compliant","Non-Compliant")</f>
        <v>Compliant</v>
      </c>
      <c r="D9" s="1" t="str">
        <f>IF(CAELS!F16&lt;10%,"Compliant","Non-Compliant")</f>
        <v>Non-Compliant</v>
      </c>
      <c r="E9" s="1" t="str">
        <f>IF(CAELS!G16&lt;10%,"Compliant","Non-Compliant")</f>
        <v>Non-Compliant</v>
      </c>
      <c r="F9" s="1" t="str">
        <f>IF(CAELS!H16&lt;10%,"Compliant","Non-Compliant")</f>
        <v>Non-Compliant</v>
      </c>
      <c r="G9" s="1" t="str">
        <f>IF(CAELS!I16&lt;10%,"Compliant","Non-Compliant")</f>
        <v>Non-Compliant</v>
      </c>
      <c r="H9" s="1" t="str">
        <f>IF(CAELS!J16&lt;10%,"Compliant","Non-Compliant")</f>
        <v>Non-Compliant</v>
      </c>
      <c r="I9" s="1" t="str">
        <f>IF(CAELS!K16&lt;10%,"Compliant","Non-Compliant")</f>
        <v>Non-Compliant</v>
      </c>
      <c r="J9" s="1" t="str">
        <f>IF(CAELS!L16&lt;10%,"Compliant","Non-Compliant")</f>
        <v>Non-Compliant</v>
      </c>
      <c r="K9" s="1" t="str">
        <f>IF(CAELS!M16&lt;10%,"Compliant","Non-Compliant")</f>
        <v>Non-Compliant</v>
      </c>
      <c r="L9" s="1" t="str">
        <f>IF(CAELS!N16&lt;10%,"Compliant","Non-Compliant")</f>
        <v>Non-Compliant</v>
      </c>
      <c r="M9" s="1" t="str">
        <f>IF(CAELS!O16&lt;10%,"Compliant","Non-Compliant")</f>
        <v>Non-Compliant</v>
      </c>
      <c r="N9" s="1" t="str">
        <f>IF(CAELS!P16&lt;10%,"Compliant","Non-Compliant")</f>
        <v>Non-Compliant</v>
      </c>
      <c r="O9" s="1" t="str">
        <f>IF(CAELS!Q16&lt;10%,"Compliant","Non-Compliant")</f>
        <v>Non-Compliant</v>
      </c>
      <c r="P9" s="1" t="str">
        <f>IF(CAELS!R16&lt;10%,"Compliant","Non-Compliant")</f>
        <v>Compliant</v>
      </c>
      <c r="Q9" s="1" t="e">
        <f>IF(CAELS!#REF!&lt;10%,"Compliant","Non-Compliant")</f>
        <v>#REF!</v>
      </c>
      <c r="R9" s="1" t="e">
        <f>IF(CAELS!#REF!&lt;10%,"Compliant","Non-Compliant")</f>
        <v>#REF!</v>
      </c>
      <c r="S9" s="1" t="e">
        <f>IF(CAELS!#REF!&lt;10%,"Compliant","Non-Compliant")</f>
        <v>#REF!</v>
      </c>
      <c r="T9" s="1" t="e">
        <f>IF(CAELS!#REF!&lt;10%,"Compliant","Non-Compliant")</f>
        <v>#REF!</v>
      </c>
    </row>
    <row r="10" spans="1:20">
      <c r="A10" s="68" t="s">
        <v>143</v>
      </c>
      <c r="B10" s="1" t="str">
        <f>IF(CAELS!D17&lt;5%,"Compliant","Non-Compliant")</f>
        <v>Compliant</v>
      </c>
      <c r="C10" s="1" t="str">
        <f>IF(CAELS!E17&lt;5%,"Compliant","Non-Compliant")</f>
        <v>Non-Compliant</v>
      </c>
      <c r="D10" s="1" t="str">
        <f>IF(CAELS!F17&lt;5%,"Compliant","Non-Compliant")</f>
        <v>Compliant</v>
      </c>
      <c r="E10" s="1" t="str">
        <f>IF(CAELS!G17&lt;5%,"Compliant","Non-Compliant")</f>
        <v>Non-Compliant</v>
      </c>
      <c r="F10" s="1" t="str">
        <f>IF(CAELS!H17&lt;5%,"Compliant","Non-Compliant")</f>
        <v>Non-Compliant</v>
      </c>
      <c r="G10" s="1" t="str">
        <f>IF(CAELS!I17&lt;5%,"Compliant","Non-Compliant")</f>
        <v>Non-Compliant</v>
      </c>
      <c r="H10" s="1" t="str">
        <f>IF(CAELS!J17&lt;5%,"Compliant","Non-Compliant")</f>
        <v>Non-Compliant</v>
      </c>
      <c r="I10" s="1" t="str">
        <f>IF(CAELS!K17&lt;5%,"Compliant","Non-Compliant")</f>
        <v>Non-Compliant</v>
      </c>
      <c r="J10" s="1" t="str">
        <f>IF(CAELS!L17&lt;5%,"Compliant","Non-Compliant")</f>
        <v>Non-Compliant</v>
      </c>
      <c r="K10" s="1" t="str">
        <f>IF(CAELS!M17&lt;5%,"Compliant","Non-Compliant")</f>
        <v>Non-Compliant</v>
      </c>
      <c r="L10" s="1" t="str">
        <f>IF(CAELS!N17&lt;5%,"Compliant","Non-Compliant")</f>
        <v>Non-Compliant</v>
      </c>
      <c r="M10" s="1" t="str">
        <f>IF(CAELS!O17&lt;5%,"Compliant","Non-Compliant")</f>
        <v>Non-Compliant</v>
      </c>
      <c r="N10" s="1" t="str">
        <f>IF(CAELS!P17&lt;5%,"Compliant","Non-Compliant")</f>
        <v>Non-Compliant</v>
      </c>
      <c r="O10" s="1" t="str">
        <f>IF(CAELS!Q17&lt;5%,"Compliant","Non-Compliant")</f>
        <v>Non-Compliant</v>
      </c>
      <c r="P10" s="1" t="str">
        <f>IF(CAELS!R17&lt;5%,"Compliant","Non-Compliant")</f>
        <v>Non-Compliant</v>
      </c>
      <c r="Q10" s="1" t="e">
        <f>IF(CAELS!#REF!&lt;5%,"Compliant","Non-Compliant")</f>
        <v>#REF!</v>
      </c>
      <c r="R10" s="1" t="e">
        <f>IF(CAELS!#REF!&lt;5%,"Compliant","Non-Compliant")</f>
        <v>#REF!</v>
      </c>
      <c r="S10" s="1" t="e">
        <f>IF(CAELS!#REF!&lt;5%,"Compliant","Non-Compliant")</f>
        <v>#REF!</v>
      </c>
      <c r="T10" s="1" t="e">
        <f>IF(CAELS!#REF!&lt;5%,"Compliant","Non-Compliant")</f>
        <v>#REF!</v>
      </c>
    </row>
    <row r="11" spans="1:20">
      <c r="A11" s="68" t="s">
        <v>144</v>
      </c>
      <c r="B11" s="1" t="str">
        <f>IF(CAELS!D18&lt;5%,"Compliant","Non-Compliant")</f>
        <v>Compliant</v>
      </c>
      <c r="C11" s="1" t="str">
        <f>IF(CAELS!E18&lt;5%,"Compliant","Non-Compliant")</f>
        <v>Compliant</v>
      </c>
      <c r="D11" s="1" t="str">
        <f>IF(CAELS!F18&lt;5%,"Compliant","Non-Compliant")</f>
        <v>Compliant</v>
      </c>
      <c r="E11" s="1" t="str">
        <f>IF(CAELS!G18&lt;5%,"Compliant","Non-Compliant")</f>
        <v>Non-Compliant</v>
      </c>
      <c r="F11" s="1" t="str">
        <f>IF(CAELS!H18&lt;5%,"Compliant","Non-Compliant")</f>
        <v>Non-Compliant</v>
      </c>
      <c r="G11" s="1" t="str">
        <f>IF(CAELS!I18&lt;5%,"Compliant","Non-Compliant")</f>
        <v>Non-Compliant</v>
      </c>
      <c r="H11" s="1" t="str">
        <f>IF(CAELS!J18&lt;5%,"Compliant","Non-Compliant")</f>
        <v>Non-Compliant</v>
      </c>
      <c r="I11" s="1" t="str">
        <f>IF(CAELS!K18&lt;5%,"Compliant","Non-Compliant")</f>
        <v>Non-Compliant</v>
      </c>
      <c r="J11" s="1" t="str">
        <f>IF(CAELS!L18&lt;5%,"Compliant","Non-Compliant")</f>
        <v>Non-Compliant</v>
      </c>
      <c r="K11" s="1" t="str">
        <f>IF(CAELS!M18&lt;5%,"Compliant","Non-Compliant")</f>
        <v>Non-Compliant</v>
      </c>
      <c r="L11" s="1" t="str">
        <f>IF(CAELS!N18&lt;5%,"Compliant","Non-Compliant")</f>
        <v>Non-Compliant</v>
      </c>
      <c r="M11" s="1" t="str">
        <f>IF(CAELS!O18&lt;5%,"Compliant","Non-Compliant")</f>
        <v>Compliant</v>
      </c>
      <c r="N11" s="1" t="str">
        <f>IF(CAELS!P18&lt;5%,"Compliant","Non-Compliant")</f>
        <v>Non-Compliant</v>
      </c>
      <c r="O11" s="1" t="str">
        <f>IF(CAELS!Q18&lt;5%,"Compliant","Non-Compliant")</f>
        <v>Non-Compliant</v>
      </c>
      <c r="P11" s="1" t="str">
        <f>IF(CAELS!R18&lt;5%,"Compliant","Non-Compliant")</f>
        <v>Compliant</v>
      </c>
      <c r="Q11" s="1" t="e">
        <f>IF(CAELS!#REF!&lt;5%,"Compliant","Non-Compliant")</f>
        <v>#REF!</v>
      </c>
      <c r="R11" s="1" t="e">
        <f>IF(CAELS!#REF!&lt;5%,"Compliant","Non-Compliant")</f>
        <v>#REF!</v>
      </c>
      <c r="S11" s="1" t="e">
        <f>IF(CAELS!#REF!&lt;5%,"Compliant","Non-Compliant")</f>
        <v>#REF!</v>
      </c>
      <c r="T11" s="1" t="e">
        <f>IF(CAELS!#REF!&lt;5%,"Compliant","Non-Compliant")</f>
        <v>#REF!</v>
      </c>
    </row>
    <row r="12" spans="1:20">
      <c r="A12" s="68" t="s">
        <v>145</v>
      </c>
      <c r="B12" s="1" t="str">
        <f>IF(CAELS!D19&lt;40%,"Compliant","Non-Compliant")</f>
        <v>Compliant</v>
      </c>
      <c r="C12" s="1" t="str">
        <f>IF(CAELS!E19&lt;40%,"Compliant","Non-Compliant")</f>
        <v>Compliant</v>
      </c>
      <c r="D12" s="1" t="str">
        <f>IF(CAELS!F19&lt;40%,"Compliant","Non-Compliant")</f>
        <v>Compliant</v>
      </c>
      <c r="E12" s="1" t="str">
        <f>IF(CAELS!G19&lt;40%,"Compliant","Non-Compliant")</f>
        <v>Compliant</v>
      </c>
      <c r="F12" s="1" t="str">
        <f>IF(CAELS!H19&lt;40%,"Compliant","Non-Compliant")</f>
        <v>Compliant</v>
      </c>
      <c r="G12" s="1" t="str">
        <f>IF(CAELS!I19&lt;40%,"Compliant","Non-Compliant")</f>
        <v>Compliant</v>
      </c>
      <c r="H12" s="1" t="str">
        <f>IF(CAELS!J19&lt;40%,"Compliant","Non-Compliant")</f>
        <v>Compliant</v>
      </c>
      <c r="I12" s="1" t="str">
        <f>IF(CAELS!K19&lt;40%,"Compliant","Non-Compliant")</f>
        <v>Compliant</v>
      </c>
      <c r="J12" s="1" t="str">
        <f>IF(CAELS!L19&lt;40%,"Compliant","Non-Compliant")</f>
        <v>Compliant</v>
      </c>
      <c r="K12" s="1" t="str">
        <f>IF(CAELS!M19&lt;40%,"Compliant","Non-Compliant")</f>
        <v>Compliant</v>
      </c>
      <c r="L12" s="1" t="str">
        <f>IF(CAELS!N19&lt;40%,"Compliant","Non-Compliant")</f>
        <v>Compliant</v>
      </c>
      <c r="M12" s="1" t="str">
        <f>IF(CAELS!O19&lt;40%,"Compliant","Non-Compliant")</f>
        <v>Compliant</v>
      </c>
      <c r="N12" s="1" t="str">
        <f>IF(CAELS!P19&lt;40%,"Compliant","Non-Compliant")</f>
        <v>Non-Compliant</v>
      </c>
      <c r="O12" s="1" t="str">
        <f>IF(CAELS!Q19&lt;40%,"Compliant","Non-Compliant")</f>
        <v>Non-Compliant</v>
      </c>
      <c r="P12" s="1" t="str">
        <f>IF(CAELS!R19&lt;40%,"Compliant","Non-Compliant")</f>
        <v>Compliant</v>
      </c>
      <c r="Q12" s="1" t="e">
        <f>IF(CAELS!#REF!&lt;40%,"Compliant","Non-Compliant")</f>
        <v>#REF!</v>
      </c>
      <c r="R12" s="1" t="e">
        <f>IF(CAELS!#REF!&lt;40%,"Compliant","Non-Compliant")</f>
        <v>#REF!</v>
      </c>
      <c r="S12" s="1" t="e">
        <f>IF(CAELS!#REF!&lt;40%,"Compliant","Non-Compliant")</f>
        <v>#REF!</v>
      </c>
      <c r="T12" s="1" t="e">
        <f>IF(CAELS!#REF!&lt;40%,"Compliant","Non-Compliant")</f>
        <v>#REF!</v>
      </c>
    </row>
    <row r="13" spans="1:20">
      <c r="A13" s="68" t="s">
        <v>146</v>
      </c>
      <c r="B13" s="1" t="str">
        <f>IF(CAELS!D14&lt;25%,"Compliant","Non-Compliant")</f>
        <v>Compliant</v>
      </c>
      <c r="C13" s="1" t="str">
        <f>IF(CAELS!E14&lt;25%,"Compliant","Non-Compliant")</f>
        <v>Compliant</v>
      </c>
      <c r="D13" s="1" t="str">
        <f>IF(CAELS!F14&lt;25%,"Compliant","Non-Compliant")</f>
        <v>Compliant</v>
      </c>
      <c r="E13" s="1" t="str">
        <f>IF(CAELS!G14&lt;25%,"Compliant","Non-Compliant")</f>
        <v>Compliant</v>
      </c>
      <c r="F13" s="1" t="str">
        <f>IF(CAELS!H14&lt;25%,"Compliant","Non-Compliant")</f>
        <v>Compliant</v>
      </c>
      <c r="G13" s="1" t="str">
        <f>IF(CAELS!I14&lt;25%,"Compliant","Non-Compliant")</f>
        <v>Compliant</v>
      </c>
      <c r="H13" s="1" t="str">
        <f>IF(CAELS!J14&lt;25%,"Compliant","Non-Compliant")</f>
        <v>Compliant</v>
      </c>
      <c r="I13" s="1" t="str">
        <f>IF(CAELS!K14&lt;25%,"Compliant","Non-Compliant")</f>
        <v>Compliant</v>
      </c>
      <c r="J13" s="1" t="str">
        <f>IF(CAELS!L14&lt;25%,"Compliant","Non-Compliant")</f>
        <v>Compliant</v>
      </c>
      <c r="K13" s="1" t="str">
        <f>IF(CAELS!M14&lt;25%,"Compliant","Non-Compliant")</f>
        <v>Compliant</v>
      </c>
      <c r="L13" s="1" t="str">
        <f>IF(CAELS!N14&lt;25%,"Compliant","Non-Compliant")</f>
        <v>Compliant</v>
      </c>
      <c r="M13" s="1" t="str">
        <f>IF(CAELS!O14&lt;25%,"Compliant","Non-Compliant")</f>
        <v>Compliant</v>
      </c>
      <c r="N13" s="1" t="str">
        <f>IF(CAELS!P14&lt;25%,"Compliant","Non-Compliant")</f>
        <v>Compliant</v>
      </c>
      <c r="O13" s="1" t="str">
        <f>IF(CAELS!Q14&lt;25%,"Compliant","Non-Compliant")</f>
        <v>Compliant</v>
      </c>
      <c r="P13" s="1" t="str">
        <f>IF(CAELS!R14&lt;25%,"Compliant","Non-Compliant")</f>
        <v>Compliant</v>
      </c>
      <c r="Q13" s="1" t="e">
        <f>IF(CAELS!#REF!&lt;25%,"Compliant","Non-Compliant")</f>
        <v>#REF!</v>
      </c>
      <c r="R13" s="1" t="e">
        <f>IF(CAELS!#REF!&lt;25%,"Compliant","Non-Compliant")</f>
        <v>#REF!</v>
      </c>
      <c r="S13" s="1" t="e">
        <f>IF(CAELS!#REF!&lt;25%,"Compliant","Non-Compliant")</f>
        <v>#REF!</v>
      </c>
      <c r="T13" s="1" t="e">
        <f>IF(CAELS!#REF!&lt;25%,"Compliant","Non-Compliant")</f>
        <v>#REF!</v>
      </c>
    </row>
    <row r="14" spans="1:20">
      <c r="A14" s="68" t="s">
        <v>147</v>
      </c>
      <c r="B14" s="1" t="str">
        <f>IF('Evolutive SFP'!B27='Evolutive SFP'!B49,"BALANCING","NOT BALANCING")</f>
        <v>BALANCING</v>
      </c>
      <c r="C14" s="1" t="str">
        <f>IF('Evolutive SFP'!C27='Evolutive SFP'!C49,"BALANCING","NOT BALANCING")</f>
        <v>NOT BALANCING</v>
      </c>
      <c r="D14" s="1" t="str">
        <f>IF('Evolutive SFP'!D27='Evolutive SFP'!D49,"BALANCING","NOT BALANCING")</f>
        <v>BALANCING</v>
      </c>
      <c r="E14" s="1" t="str">
        <f>IF('Evolutive SFP'!E27='Evolutive SFP'!E49,"BALANCING","NOT BALANCING")</f>
        <v>NOT BALANCING</v>
      </c>
      <c r="F14" s="1" t="str">
        <f>IF('Evolutive SFP'!F27='Evolutive SFP'!F49,"BALANCING","NOT BALANCING")</f>
        <v>BALANCING</v>
      </c>
      <c r="G14" s="1" t="str">
        <f>IF('Evolutive SFP'!G27='Evolutive SFP'!G49,"BALANCING","NOT BALANCING")</f>
        <v>BALANCING</v>
      </c>
      <c r="H14" s="1" t="str">
        <f>IF('Evolutive SFP'!H27='Evolutive SFP'!H49,"BALANCING","NOT BALANCING")</f>
        <v>BALANCING</v>
      </c>
      <c r="I14" s="1" t="str">
        <f>IF('Evolutive SFP'!I27='Evolutive SFP'!I49,"BALANCING","NOT BALANCING")</f>
        <v>BALANCING</v>
      </c>
      <c r="J14" s="1" t="str">
        <f>IF('Evolutive SFP'!J27='Evolutive SFP'!J49,"BALANCING","NOT BALANCING")</f>
        <v>NOT BALANCING</v>
      </c>
      <c r="K14" s="1" t="str">
        <f>IF('Evolutive SFP'!K27='Evolutive SFP'!K49,"BALANCING","NOT BALANCING")</f>
        <v>BALANCING</v>
      </c>
      <c r="L14" s="1" t="str">
        <f>IF('Evolutive SFP'!L27='Evolutive SFP'!L49,"BALANCING","NOT BALANCING")</f>
        <v>BALANCING</v>
      </c>
      <c r="M14" s="1" t="str">
        <f>IF('Evolutive SFP'!M27='Evolutive SFP'!M49,"BALANCING","NOT BALANCING")</f>
        <v>BALANCING</v>
      </c>
      <c r="N14" s="1" t="str">
        <f>IF('Evolutive SFP'!N27='Evolutive SFP'!N49,"BALANCING","NOT BALANCING")</f>
        <v>BALANCING</v>
      </c>
      <c r="O14" s="1" t="str">
        <f>IF('Evolutive SFP'!O27='Evolutive SFP'!O49,"BALANCING","NOT BALANCING")</f>
        <v>BALANCING</v>
      </c>
      <c r="P14" s="1" t="str">
        <f>IF('Evolutive SFP'!P27='Evolutive SFP'!P49,"BALANCING","NOT BALANCING")</f>
        <v>NOT BALANCING</v>
      </c>
      <c r="Q14" s="1" t="e">
        <f>IF('Evolutive SFP'!#REF!='Evolutive SFP'!#REF!,"BALANCING","NOT BALANCING")</f>
        <v>#REF!</v>
      </c>
      <c r="R14" s="1" t="e">
        <f>IF('Evolutive SFP'!#REF!='Evolutive SFP'!#REF!,"BALANCING","NOT BALANCING")</f>
        <v>#REF!</v>
      </c>
      <c r="S14" s="1" t="str">
        <f>IF('Evolutive SFP'!Q27='Evolutive SFP'!Q49,"BALANCING","NOT BALANCING")</f>
        <v>BALANCING</v>
      </c>
      <c r="T14" s="1" t="str">
        <f>IF('Evolutive SFP'!R27='Evolutive SFP'!R49,"BALANCING","NOT BALANCING")</f>
        <v>BALANCING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0"/>
  <sheetViews>
    <sheetView workbookViewId="0">
      <pane xSplit="1" ySplit="2" topLeftCell="B3" activePane="bottomRight" state="frozen"/>
      <selection pane="bottomRight" activeCell="D2" sqref="D2"/>
      <selection pane="bottomLeft" activeCell="A3" sqref="A3"/>
      <selection pane="topRight" activeCell="B1" sqref="B1"/>
    </sheetView>
  </sheetViews>
  <sheetFormatPr defaultColWidth="9.140625" defaultRowHeight="14.45"/>
  <cols>
    <col min="1" max="1" width="54.85546875" style="42" bestFit="1" customWidth="1"/>
    <col min="2" max="2" width="15" style="42" bestFit="1" customWidth="1"/>
    <col min="3" max="3" width="15.140625" style="42" customWidth="1"/>
    <col min="4" max="4" width="17.7109375" style="43" bestFit="1" customWidth="1"/>
    <col min="5" max="5" width="13.5703125" bestFit="1" customWidth="1"/>
    <col min="6" max="6" width="11.5703125" bestFit="1" customWidth="1"/>
    <col min="8" max="8" width="16" bestFit="1" customWidth="1"/>
    <col min="10" max="10" width="10.7109375" bestFit="1" customWidth="1"/>
  </cols>
  <sheetData>
    <row r="1" spans="1:10">
      <c r="A1" s="380" t="s">
        <v>148</v>
      </c>
      <c r="B1" s="380"/>
      <c r="C1" s="380"/>
    </row>
    <row r="2" spans="1:10" ht="15.6">
      <c r="A2" s="5"/>
      <c r="B2" s="6">
        <v>2014</v>
      </c>
      <c r="C2" s="6">
        <v>2015</v>
      </c>
      <c r="D2" s="44" t="s">
        <v>149</v>
      </c>
      <c r="E2" t="s">
        <v>150</v>
      </c>
    </row>
    <row r="3" spans="1:10">
      <c r="A3" s="7" t="s">
        <v>151</v>
      </c>
      <c r="B3" s="8"/>
      <c r="C3" s="9"/>
    </row>
    <row r="4" spans="1:10">
      <c r="A4" s="10" t="s">
        <v>152</v>
      </c>
      <c r="B4" s="11"/>
      <c r="C4" s="12"/>
    </row>
    <row r="5" spans="1:10">
      <c r="A5" s="13" t="s">
        <v>153</v>
      </c>
      <c r="B5" s="14"/>
      <c r="C5" s="15"/>
      <c r="J5">
        <v>474150394</v>
      </c>
    </row>
    <row r="6" spans="1:10" ht="15.6">
      <c r="A6" s="13" t="s">
        <v>154</v>
      </c>
      <c r="B6" s="16"/>
      <c r="C6" s="17"/>
      <c r="D6" s="45"/>
      <c r="J6">
        <v>65541583</v>
      </c>
    </row>
    <row r="7" spans="1:10" ht="15.6">
      <c r="A7" s="13" t="s">
        <v>155</v>
      </c>
      <c r="B7" s="11"/>
      <c r="C7" s="15"/>
      <c r="D7" s="45"/>
      <c r="E7" s="16"/>
      <c r="F7" s="17"/>
      <c r="J7">
        <v>-58199014</v>
      </c>
    </row>
    <row r="8" spans="1:10" ht="17.45">
      <c r="A8" s="18" t="s">
        <v>156</v>
      </c>
      <c r="B8" s="19">
        <f>B4+B5+B6+B7</f>
        <v>0</v>
      </c>
      <c r="C8" s="20">
        <f>SUM(C4:C7)</f>
        <v>0</v>
      </c>
      <c r="D8" s="46">
        <f>SUM(D4:D7)</f>
        <v>0</v>
      </c>
      <c r="H8" s="21"/>
      <c r="J8">
        <v>-205444477</v>
      </c>
    </row>
    <row r="9" spans="1:10">
      <c r="A9" s="13" t="s">
        <v>157</v>
      </c>
      <c r="B9" s="14"/>
      <c r="C9" s="15"/>
      <c r="D9" s="45"/>
      <c r="E9" s="22"/>
      <c r="J9">
        <v>-467055768</v>
      </c>
    </row>
    <row r="10" spans="1:10">
      <c r="A10" s="13" t="s">
        <v>158</v>
      </c>
      <c r="B10" s="14"/>
      <c r="C10" s="15"/>
      <c r="J10">
        <v>-70311815</v>
      </c>
    </row>
    <row r="11" spans="1:10">
      <c r="A11" s="13" t="s">
        <v>159</v>
      </c>
      <c r="B11" s="14"/>
      <c r="C11" s="15"/>
      <c r="D11" s="45"/>
      <c r="J11">
        <f>SUM(J5:J10)</f>
        <v>-261319097</v>
      </c>
    </row>
    <row r="12" spans="1:10">
      <c r="A12" s="13" t="s">
        <v>160</v>
      </c>
      <c r="B12" s="14"/>
      <c r="C12" s="15"/>
    </row>
    <row r="13" spans="1:10" ht="15.6">
      <c r="A13" s="13" t="s">
        <v>161</v>
      </c>
      <c r="B13" s="23"/>
      <c r="C13" s="17"/>
      <c r="H13" s="43"/>
    </row>
    <row r="14" spans="1:10">
      <c r="A14" s="24" t="s">
        <v>162</v>
      </c>
      <c r="B14" s="25">
        <f>SUM(B9:B13)</f>
        <v>0</v>
      </c>
      <c r="C14" s="26">
        <f>SUM(C9:C13)</f>
        <v>0</v>
      </c>
      <c r="D14" s="47">
        <f>SUM(D9:D13)</f>
        <v>0</v>
      </c>
      <c r="H14" s="43"/>
    </row>
    <row r="15" spans="1:10">
      <c r="A15" s="27" t="s">
        <v>163</v>
      </c>
      <c r="B15" s="14"/>
      <c r="C15" s="15"/>
      <c r="H15" s="43"/>
    </row>
    <row r="16" spans="1:10">
      <c r="A16" s="27" t="s">
        <v>164</v>
      </c>
      <c r="B16" s="11"/>
      <c r="C16" s="15"/>
      <c r="H16" s="43"/>
    </row>
    <row r="17" spans="1:8" ht="15.6">
      <c r="A17" s="27" t="s">
        <v>165</v>
      </c>
      <c r="B17" s="23"/>
      <c r="C17" s="17"/>
      <c r="H17" s="43"/>
    </row>
    <row r="18" spans="1:8">
      <c r="A18" s="28" t="s">
        <v>166</v>
      </c>
      <c r="B18" s="29">
        <f>B8+B14+B15+B16+B17</f>
        <v>0</v>
      </c>
      <c r="C18" s="30">
        <f>C8+C14+C15+C16+C17</f>
        <v>0</v>
      </c>
      <c r="D18" s="47">
        <f>D8+D14+D15+D16+D17</f>
        <v>0</v>
      </c>
      <c r="H18" s="43"/>
    </row>
    <row r="19" spans="1:8" ht="15.6">
      <c r="A19" s="27" t="s">
        <v>167</v>
      </c>
      <c r="B19" s="23"/>
      <c r="C19" s="17"/>
      <c r="H19" s="43"/>
    </row>
    <row r="20" spans="1:8" ht="17.45">
      <c r="A20" s="28" t="s">
        <v>168</v>
      </c>
      <c r="B20" s="31"/>
      <c r="C20" s="32"/>
      <c r="D20" s="46"/>
      <c r="F20" s="43">
        <v>100000</v>
      </c>
      <c r="H20" s="2"/>
    </row>
    <row r="21" spans="1:8">
      <c r="A21" s="27"/>
      <c r="B21" s="33"/>
      <c r="C21" s="15"/>
    </row>
    <row r="22" spans="1:8">
      <c r="A22" s="28" t="s">
        <v>169</v>
      </c>
      <c r="B22" s="34"/>
      <c r="C22" s="35"/>
      <c r="D22" s="48"/>
    </row>
    <row r="23" spans="1:8">
      <c r="A23" s="27" t="s">
        <v>170</v>
      </c>
      <c r="B23" s="11"/>
      <c r="C23" s="15"/>
    </row>
    <row r="24" spans="1:8">
      <c r="A24" s="27" t="s">
        <v>171</v>
      </c>
      <c r="B24" s="11"/>
      <c r="C24" s="15"/>
    </row>
    <row r="25" spans="1:8">
      <c r="A25" s="27" t="s">
        <v>172</v>
      </c>
      <c r="B25" s="11"/>
      <c r="C25" s="15"/>
    </row>
    <row r="26" spans="1:8">
      <c r="A26" s="27" t="s">
        <v>173</v>
      </c>
      <c r="B26" s="11"/>
      <c r="C26" s="15"/>
      <c r="D26" s="45"/>
    </row>
    <row r="27" spans="1:8" ht="15.6">
      <c r="A27" s="27" t="s">
        <v>174</v>
      </c>
      <c r="B27" s="23"/>
      <c r="C27" s="17"/>
      <c r="D27" s="45"/>
    </row>
    <row r="28" spans="1:8" ht="17.45">
      <c r="A28" s="28" t="s">
        <v>175</v>
      </c>
      <c r="B28" s="19">
        <f>SUM(B23:B27)</f>
        <v>0</v>
      </c>
      <c r="C28" s="20">
        <f>SUM(C23:C27)</f>
        <v>0</v>
      </c>
      <c r="D28" s="46">
        <f>SUM(D23:D27)</f>
        <v>0</v>
      </c>
    </row>
    <row r="29" spans="1:8">
      <c r="A29" s="27"/>
      <c r="B29" s="33"/>
      <c r="C29" s="36"/>
    </row>
    <row r="30" spans="1:8">
      <c r="A30" s="28" t="s">
        <v>176</v>
      </c>
      <c r="B30" s="34"/>
      <c r="C30" s="35"/>
      <c r="D30" s="48"/>
    </row>
    <row r="31" spans="1:8">
      <c r="A31" s="27" t="s">
        <v>177</v>
      </c>
      <c r="B31" s="11"/>
      <c r="C31" s="15"/>
    </row>
    <row r="32" spans="1:8">
      <c r="A32" s="27" t="s">
        <v>178</v>
      </c>
      <c r="B32" s="11"/>
      <c r="C32" s="15"/>
    </row>
    <row r="33" spans="1:4">
      <c r="A33" s="27" t="s">
        <v>179</v>
      </c>
      <c r="B33" s="11"/>
      <c r="C33" s="15"/>
    </row>
    <row r="34" spans="1:4">
      <c r="A34" s="27" t="s">
        <v>180</v>
      </c>
      <c r="B34" s="11"/>
      <c r="C34" s="15"/>
      <c r="D34" s="45"/>
    </row>
    <row r="35" spans="1:4">
      <c r="A35" s="27" t="s">
        <v>181</v>
      </c>
      <c r="B35" s="11"/>
      <c r="C35" s="15"/>
      <c r="D35" s="45"/>
    </row>
    <row r="36" spans="1:4">
      <c r="A36" s="27" t="s">
        <v>182</v>
      </c>
      <c r="B36" s="11"/>
      <c r="C36" s="15"/>
      <c r="D36" s="45"/>
    </row>
    <row r="37" spans="1:4" ht="17.45">
      <c r="A37" s="28" t="s">
        <v>183</v>
      </c>
      <c r="B37" s="19">
        <f>SUM(B31:B36)</f>
        <v>0</v>
      </c>
      <c r="C37" s="20">
        <f>SUM(C31:C36)</f>
        <v>0</v>
      </c>
      <c r="D37" s="46">
        <f>SUM(D31:D36)</f>
        <v>0</v>
      </c>
    </row>
    <row r="38" spans="1:4">
      <c r="A38" s="28" t="s">
        <v>184</v>
      </c>
      <c r="B38" s="37">
        <f>B20+B28+B37</f>
        <v>0</v>
      </c>
      <c r="C38" s="38">
        <f>C20+C28+C37</f>
        <v>0</v>
      </c>
      <c r="D38" s="48">
        <f>D20+D28+D37</f>
        <v>0</v>
      </c>
    </row>
    <row r="39" spans="1:4" ht="15.6">
      <c r="A39" s="27" t="s">
        <v>185</v>
      </c>
      <c r="B39" s="39"/>
      <c r="C39" s="40"/>
      <c r="D39" s="45"/>
    </row>
    <row r="40" spans="1:4" ht="17.45">
      <c r="A40" s="28" t="s">
        <v>186</v>
      </c>
      <c r="B40" s="31">
        <f>SUM(B38:B39)</f>
        <v>0</v>
      </c>
      <c r="C40" s="41">
        <f>SUM(C38:C39)</f>
        <v>0</v>
      </c>
      <c r="D40" s="49">
        <f>SUM(D38:D39)</f>
        <v>0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Q149"/>
  <sheetViews>
    <sheetView topLeftCell="A120" workbookViewId="0">
      <selection activeCell="D134" sqref="D134"/>
    </sheetView>
  </sheetViews>
  <sheetFormatPr defaultColWidth="9.140625" defaultRowHeight="13.9"/>
  <cols>
    <col min="1" max="1" width="9.140625" style="79"/>
    <col min="2" max="2" width="19.5703125" style="79" customWidth="1"/>
    <col min="3" max="3" width="14.7109375" style="79" customWidth="1"/>
    <col min="4" max="4" width="21.7109375" style="79" bestFit="1" customWidth="1"/>
    <col min="5" max="5" width="19.5703125" style="79" customWidth="1"/>
    <col min="6" max="6" width="19.140625" style="79" bestFit="1" customWidth="1"/>
    <col min="7" max="7" width="9.140625" style="79"/>
    <col min="8" max="8" width="14.28515625" style="79" bestFit="1" customWidth="1"/>
    <col min="9" max="16384" width="9.140625" style="79"/>
  </cols>
  <sheetData>
    <row r="1" spans="2:43" ht="15">
      <c r="D1" s="135">
        <v>43160</v>
      </c>
    </row>
    <row r="2" spans="2:43" ht="43.5" customHeight="1">
      <c r="B2" s="127" t="s">
        <v>187</v>
      </c>
      <c r="C2" s="128" t="s">
        <v>188</v>
      </c>
      <c r="D2" s="128" t="s">
        <v>189</v>
      </c>
      <c r="E2" s="128" t="s">
        <v>190</v>
      </c>
      <c r="F2" s="129" t="s">
        <v>191</v>
      </c>
    </row>
    <row r="3" spans="2:43">
      <c r="B3" s="130" t="s">
        <v>192</v>
      </c>
      <c r="C3" s="137">
        <v>5778</v>
      </c>
      <c r="D3" s="137">
        <v>434448301.91000003</v>
      </c>
      <c r="E3" s="131">
        <v>0.01</v>
      </c>
      <c r="F3" s="136">
        <f>D3*E3</f>
        <v>4344483.0191000002</v>
      </c>
    </row>
    <row r="4" spans="2:43">
      <c r="B4" s="130" t="s">
        <v>193</v>
      </c>
      <c r="C4" s="137">
        <v>537</v>
      </c>
      <c r="D4" s="137">
        <v>102925490.12</v>
      </c>
      <c r="E4" s="131">
        <v>0.05</v>
      </c>
      <c r="F4" s="136">
        <f>D4*E4</f>
        <v>5146274.506000001</v>
      </c>
    </row>
    <row r="5" spans="2:43">
      <c r="B5" s="130" t="s">
        <v>194</v>
      </c>
      <c r="C5" s="137">
        <v>112</v>
      </c>
      <c r="D5" s="137">
        <v>5388821.3200000003</v>
      </c>
      <c r="E5" s="131">
        <v>0.25</v>
      </c>
      <c r="F5" s="136">
        <f>D5*E5</f>
        <v>1347205.33</v>
      </c>
    </row>
    <row r="6" spans="2:43">
      <c r="B6" s="130" t="s">
        <v>195</v>
      </c>
      <c r="C6" s="137">
        <v>17</v>
      </c>
      <c r="D6" s="137">
        <v>1600129.19</v>
      </c>
      <c r="E6" s="131">
        <v>0.5</v>
      </c>
      <c r="F6" s="136">
        <f>D6*E6</f>
        <v>800064.59499999997</v>
      </c>
    </row>
    <row r="7" spans="2:43">
      <c r="B7" s="130" t="s">
        <v>196</v>
      </c>
      <c r="C7" s="137">
        <v>5829</v>
      </c>
      <c r="D7" s="137">
        <v>141532801.63</v>
      </c>
      <c r="E7" s="131">
        <v>1</v>
      </c>
      <c r="F7" s="136">
        <f>D7*E7</f>
        <v>141532801.63</v>
      </c>
    </row>
    <row r="8" spans="2:43">
      <c r="B8" s="141" t="s">
        <v>197</v>
      </c>
      <c r="C8" s="142">
        <v>12273</v>
      </c>
      <c r="D8" s="142">
        <v>685895544.17000008</v>
      </c>
      <c r="E8" s="143">
        <f>SUM(E3:E7)</f>
        <v>1.81</v>
      </c>
      <c r="F8" s="144">
        <f>SUM(F3:F7)</f>
        <v>153170829.0801</v>
      </c>
      <c r="H8" s="79" t="s">
        <v>117</v>
      </c>
      <c r="I8" s="134">
        <f>(D5+D6+D7)/D8</f>
        <v>0.21653698351361308</v>
      </c>
      <c r="AQ8" s="263">
        <f>'FORM 4'!D135+'FORM 4'!D1</f>
        <v>37607460</v>
      </c>
    </row>
    <row r="10" spans="2:43" ht="15">
      <c r="D10" s="135">
        <v>43252</v>
      </c>
    </row>
    <row r="11" spans="2:43" ht="42" customHeight="1">
      <c r="B11" s="127" t="s">
        <v>187</v>
      </c>
      <c r="C11" s="128" t="s">
        <v>188</v>
      </c>
      <c r="D11" s="128" t="s">
        <v>189</v>
      </c>
      <c r="E11" s="128" t="s">
        <v>190</v>
      </c>
      <c r="F11" s="129" t="s">
        <v>191</v>
      </c>
    </row>
    <row r="12" spans="2:43">
      <c r="B12" s="130" t="s">
        <v>192</v>
      </c>
      <c r="C12" s="140">
        <v>6832</v>
      </c>
      <c r="D12" s="140">
        <v>468010840.30000001</v>
      </c>
      <c r="E12" s="131">
        <v>0.01</v>
      </c>
      <c r="F12" s="132">
        <f>D12*E12</f>
        <v>4680108.4029999999</v>
      </c>
    </row>
    <row r="13" spans="2:43">
      <c r="B13" s="130" t="s">
        <v>193</v>
      </c>
      <c r="C13" s="140">
        <v>808</v>
      </c>
      <c r="D13" s="140">
        <v>36252240.450000003</v>
      </c>
      <c r="E13" s="131">
        <v>0.05</v>
      </c>
      <c r="F13" s="132">
        <f>D13*E13</f>
        <v>1812612.0225000002</v>
      </c>
    </row>
    <row r="14" spans="2:43">
      <c r="B14" s="130" t="s">
        <v>194</v>
      </c>
      <c r="C14" s="140">
        <v>618</v>
      </c>
      <c r="D14" s="140">
        <v>34391760.200000003</v>
      </c>
      <c r="E14" s="131">
        <v>0.25</v>
      </c>
      <c r="F14" s="132">
        <f>D14*E14</f>
        <v>8597940.0500000007</v>
      </c>
    </row>
    <row r="15" spans="2:43">
      <c r="B15" s="130" t="s">
        <v>195</v>
      </c>
      <c r="C15" s="140">
        <v>556</v>
      </c>
      <c r="D15" s="140">
        <v>26842796.949999999</v>
      </c>
      <c r="E15" s="131">
        <v>0.5</v>
      </c>
      <c r="F15" s="132">
        <f>D15*E15</f>
        <v>13421398.475</v>
      </c>
    </row>
    <row r="16" spans="2:43">
      <c r="B16" s="130" t="s">
        <v>196</v>
      </c>
      <c r="C16" s="140">
        <v>3542</v>
      </c>
      <c r="D16" s="140">
        <v>130416737.7</v>
      </c>
      <c r="E16" s="131">
        <v>1</v>
      </c>
      <c r="F16" s="132">
        <f>D16*E16</f>
        <v>130416737.7</v>
      </c>
    </row>
    <row r="17" spans="2:9">
      <c r="B17" s="141" t="s">
        <v>197</v>
      </c>
      <c r="C17" s="143">
        <f>SUM(C12:C16)</f>
        <v>12356</v>
      </c>
      <c r="D17" s="143">
        <f>SUM(D12:D16)</f>
        <v>695914375.60000014</v>
      </c>
      <c r="E17" s="143">
        <v>1.81</v>
      </c>
      <c r="F17" s="145">
        <f>SUM(F12:F16)</f>
        <v>158928796.6505</v>
      </c>
      <c r="H17" s="79" t="s">
        <v>117</v>
      </c>
      <c r="I17" s="134">
        <f>(D14+D15+D16)/D17</f>
        <v>0.27539493588527042</v>
      </c>
    </row>
    <row r="19" spans="2:9" ht="15">
      <c r="D19" s="135">
        <v>43344</v>
      </c>
    </row>
    <row r="20" spans="2:9" ht="42" customHeight="1">
      <c r="B20" s="127" t="s">
        <v>187</v>
      </c>
      <c r="C20" s="128" t="s">
        <v>188</v>
      </c>
      <c r="D20" s="128" t="s">
        <v>189</v>
      </c>
      <c r="E20" s="128" t="s">
        <v>190</v>
      </c>
      <c r="F20" s="129" t="s">
        <v>191</v>
      </c>
    </row>
    <row r="21" spans="2:9">
      <c r="B21" s="130" t="s">
        <v>192</v>
      </c>
      <c r="C21" s="161">
        <v>7497</v>
      </c>
      <c r="D21" s="161">
        <v>473431502.5</v>
      </c>
      <c r="E21" s="131">
        <v>0.01</v>
      </c>
      <c r="F21" s="132">
        <f>D21*E21</f>
        <v>4734315.0250000004</v>
      </c>
    </row>
    <row r="22" spans="2:9">
      <c r="B22" s="130" t="s">
        <v>193</v>
      </c>
      <c r="C22" s="161">
        <v>801</v>
      </c>
      <c r="D22" s="161">
        <v>30188933.539999999</v>
      </c>
      <c r="E22" s="131">
        <v>0.05</v>
      </c>
      <c r="F22" s="132">
        <f>D22*E22</f>
        <v>1509446.6770000001</v>
      </c>
    </row>
    <row r="23" spans="2:9">
      <c r="B23" s="130" t="s">
        <v>194</v>
      </c>
      <c r="C23" s="161">
        <v>628</v>
      </c>
      <c r="D23" s="161">
        <v>28438962.530000001</v>
      </c>
      <c r="E23" s="131">
        <v>0.25</v>
      </c>
      <c r="F23" s="132">
        <f>D23*E23</f>
        <v>7109740.6325000003</v>
      </c>
    </row>
    <row r="24" spans="2:9">
      <c r="B24" s="130" t="s">
        <v>195</v>
      </c>
      <c r="C24" s="161">
        <v>362</v>
      </c>
      <c r="D24" s="161">
        <v>20850326.600000001</v>
      </c>
      <c r="E24" s="131">
        <v>0.5</v>
      </c>
      <c r="F24" s="132">
        <f>D24*E24</f>
        <v>10425163.300000001</v>
      </c>
    </row>
    <row r="25" spans="2:9">
      <c r="B25" s="130" t="s">
        <v>196</v>
      </c>
      <c r="C25" s="161">
        <v>3670</v>
      </c>
      <c r="D25" s="161">
        <v>139338664.06999999</v>
      </c>
      <c r="E25" s="131">
        <v>1</v>
      </c>
      <c r="F25" s="132">
        <f>D25*E25</f>
        <v>139338664.06999999</v>
      </c>
    </row>
    <row r="26" spans="2:9">
      <c r="B26" s="141" t="s">
        <v>197</v>
      </c>
      <c r="C26" s="143">
        <f>SUM(C21:C25)</f>
        <v>12958</v>
      </c>
      <c r="D26" s="143">
        <f>SUM(D21:D25)</f>
        <v>692248389.24000001</v>
      </c>
      <c r="E26" s="143">
        <v>1.81</v>
      </c>
      <c r="F26" s="145">
        <f>SUM(F21:F25)</f>
        <v>163117329.70449999</v>
      </c>
      <c r="H26" s="79" t="s">
        <v>117</v>
      </c>
      <c r="I26" s="134">
        <f>(D23+D24+D25)/D26</f>
        <v>0.27248594020867178</v>
      </c>
    </row>
    <row r="28" spans="2:9" ht="15">
      <c r="D28" s="135">
        <v>43435</v>
      </c>
    </row>
    <row r="29" spans="2:9" ht="42" customHeight="1">
      <c r="B29" s="127" t="s">
        <v>187</v>
      </c>
      <c r="C29" s="128" t="s">
        <v>188</v>
      </c>
      <c r="D29" s="128" t="s">
        <v>189</v>
      </c>
      <c r="E29" s="128" t="s">
        <v>190</v>
      </c>
      <c r="F29" s="129" t="s">
        <v>191</v>
      </c>
    </row>
    <row r="30" spans="2:9">
      <c r="B30" s="130" t="s">
        <v>192</v>
      </c>
      <c r="C30" s="161">
        <v>4512</v>
      </c>
      <c r="D30" s="161">
        <v>411361658.42000002</v>
      </c>
      <c r="E30" s="131">
        <v>0.01</v>
      </c>
      <c r="F30" s="132">
        <f>D30*E30</f>
        <v>4113616.5842000004</v>
      </c>
    </row>
    <row r="31" spans="2:9">
      <c r="B31" s="130" t="s">
        <v>193</v>
      </c>
      <c r="C31" s="161">
        <v>650</v>
      </c>
      <c r="D31" s="161">
        <v>23190414.300000001</v>
      </c>
      <c r="E31" s="131">
        <v>0.05</v>
      </c>
      <c r="F31" s="132">
        <f>D31*E31</f>
        <v>1159520.7150000001</v>
      </c>
    </row>
    <row r="32" spans="2:9">
      <c r="B32" s="130" t="s">
        <v>194</v>
      </c>
      <c r="C32" s="161">
        <v>735</v>
      </c>
      <c r="D32" s="161">
        <v>17889380.859999999</v>
      </c>
      <c r="E32" s="131">
        <v>0.25</v>
      </c>
      <c r="F32" s="132">
        <f>D32*E32</f>
        <v>4472345.2149999999</v>
      </c>
    </row>
    <row r="33" spans="2:9">
      <c r="B33" s="130" t="s">
        <v>195</v>
      </c>
      <c r="C33" s="161">
        <v>651</v>
      </c>
      <c r="D33" s="161">
        <v>24480323.140000001</v>
      </c>
      <c r="E33" s="131">
        <v>0.5</v>
      </c>
      <c r="F33" s="132">
        <f>D33*E33</f>
        <v>12240161.57</v>
      </c>
    </row>
    <row r="34" spans="2:9">
      <c r="B34" s="130" t="s">
        <v>196</v>
      </c>
      <c r="C34" s="161">
        <v>3559</v>
      </c>
      <c r="D34" s="161">
        <v>139271396.38</v>
      </c>
      <c r="E34" s="131">
        <v>1</v>
      </c>
      <c r="F34" s="132">
        <f>D34*E34</f>
        <v>139271396.38</v>
      </c>
    </row>
    <row r="35" spans="2:9">
      <c r="B35" s="141" t="s">
        <v>197</v>
      </c>
      <c r="C35" s="143">
        <f>SUM(C30:C34)</f>
        <v>10107</v>
      </c>
      <c r="D35" s="143">
        <f>SUM(D30:D34)</f>
        <v>616193173.10000002</v>
      </c>
      <c r="E35" s="143">
        <v>1.81</v>
      </c>
      <c r="F35" s="145">
        <f>SUM(F30:F34)</f>
        <v>161257040.46419999</v>
      </c>
      <c r="H35" s="79" t="s">
        <v>117</v>
      </c>
      <c r="I35" s="133">
        <f>(D32+D33+D34)/D35</f>
        <v>0.29477947551119987</v>
      </c>
    </row>
    <row r="38" spans="2:9" ht="15">
      <c r="D38" s="135" t="s">
        <v>3</v>
      </c>
    </row>
    <row r="39" spans="2:9" ht="42.75" customHeight="1">
      <c r="B39" s="127" t="s">
        <v>187</v>
      </c>
      <c r="C39" s="128" t="s">
        <v>188</v>
      </c>
      <c r="D39" s="128" t="s">
        <v>189</v>
      </c>
      <c r="E39" s="128" t="s">
        <v>190</v>
      </c>
      <c r="F39" s="129" t="s">
        <v>191</v>
      </c>
    </row>
    <row r="40" spans="2:9">
      <c r="B40" s="130" t="s">
        <v>192</v>
      </c>
      <c r="C40" s="161">
        <v>4512</v>
      </c>
      <c r="D40" s="161">
        <v>411361658.42000002</v>
      </c>
      <c r="E40" s="131">
        <v>0.01</v>
      </c>
      <c r="F40" s="132">
        <f>D40*E40</f>
        <v>4113616.5842000004</v>
      </c>
    </row>
    <row r="41" spans="2:9">
      <c r="B41" s="130" t="s">
        <v>193</v>
      </c>
      <c r="C41" s="161">
        <v>650</v>
      </c>
      <c r="D41" s="161">
        <v>23190414.300000001</v>
      </c>
      <c r="E41" s="131">
        <v>0.05</v>
      </c>
      <c r="F41" s="132">
        <f>D41*E41</f>
        <v>1159520.7150000001</v>
      </c>
      <c r="H41" s="133"/>
    </row>
    <row r="42" spans="2:9">
      <c r="B42" s="130" t="s">
        <v>194</v>
      </c>
      <c r="C42" s="161">
        <v>735</v>
      </c>
      <c r="D42" s="161">
        <v>17889380.859999999</v>
      </c>
      <c r="E42" s="131">
        <v>0.25</v>
      </c>
      <c r="F42" s="132">
        <f>D42*E42</f>
        <v>4472345.2149999999</v>
      </c>
    </row>
    <row r="43" spans="2:9">
      <c r="B43" s="130" t="s">
        <v>195</v>
      </c>
      <c r="C43" s="161">
        <v>651</v>
      </c>
      <c r="D43" s="161">
        <v>24480323.140000001</v>
      </c>
      <c r="E43" s="131">
        <v>0.5</v>
      </c>
      <c r="F43" s="132">
        <f>D43*E43</f>
        <v>12240161.57</v>
      </c>
    </row>
    <row r="44" spans="2:9">
      <c r="B44" s="130" t="s">
        <v>196</v>
      </c>
      <c r="C44" s="161">
        <v>3559</v>
      </c>
      <c r="D44" s="161">
        <v>139271396.38</v>
      </c>
      <c r="E44" s="131">
        <v>1</v>
      </c>
      <c r="F44" s="132">
        <f>D44*E44</f>
        <v>139271396.38</v>
      </c>
    </row>
    <row r="45" spans="2:9">
      <c r="B45" s="141" t="s">
        <v>197</v>
      </c>
      <c r="C45" s="143">
        <f>SUM(C40:C44)</f>
        <v>10107</v>
      </c>
      <c r="D45" s="143">
        <f>SUM(D40:D44)</f>
        <v>616193173.10000002</v>
      </c>
      <c r="E45" s="143">
        <v>1.81</v>
      </c>
      <c r="F45" s="145">
        <f>SUM(F40:F44)</f>
        <v>161257040.46419999</v>
      </c>
      <c r="H45" s="79" t="s">
        <v>117</v>
      </c>
      <c r="I45" s="133">
        <f>(D42+D43+D44)/D45</f>
        <v>0.29477947551119987</v>
      </c>
    </row>
    <row r="47" spans="2:9">
      <c r="D47" s="134"/>
    </row>
    <row r="49" spans="2:9" ht="15">
      <c r="D49" s="135">
        <v>43525</v>
      </c>
    </row>
    <row r="50" spans="2:9" ht="41.45">
      <c r="B50" s="127" t="s">
        <v>187</v>
      </c>
      <c r="C50" s="128" t="s">
        <v>188</v>
      </c>
      <c r="D50" s="128" t="s">
        <v>189</v>
      </c>
      <c r="E50" s="128" t="s">
        <v>190</v>
      </c>
      <c r="F50" s="129" t="s">
        <v>191</v>
      </c>
    </row>
    <row r="51" spans="2:9">
      <c r="B51" s="130" t="s">
        <v>192</v>
      </c>
      <c r="C51" s="137"/>
      <c r="D51" s="137"/>
      <c r="E51" s="131">
        <v>0.01</v>
      </c>
      <c r="F51" s="136">
        <f>D51*E51</f>
        <v>0</v>
      </c>
    </row>
    <row r="52" spans="2:9">
      <c r="B52" s="130" t="s">
        <v>193</v>
      </c>
      <c r="C52" s="137"/>
      <c r="D52" s="137"/>
      <c r="E52" s="131">
        <v>0.05</v>
      </c>
      <c r="F52" s="136">
        <f>D52*E52</f>
        <v>0</v>
      </c>
    </row>
    <row r="53" spans="2:9">
      <c r="B53" s="130" t="s">
        <v>194</v>
      </c>
      <c r="C53" s="137"/>
      <c r="D53" s="137"/>
      <c r="E53" s="131">
        <v>0.25</v>
      </c>
      <c r="F53" s="136">
        <f>D53*E53</f>
        <v>0</v>
      </c>
    </row>
    <row r="54" spans="2:9">
      <c r="B54" s="130" t="s">
        <v>195</v>
      </c>
      <c r="C54" s="137"/>
      <c r="D54" s="137"/>
      <c r="E54" s="131">
        <v>0.5</v>
      </c>
      <c r="F54" s="136">
        <f>D54*E54</f>
        <v>0</v>
      </c>
    </row>
    <row r="55" spans="2:9">
      <c r="B55" s="130" t="s">
        <v>196</v>
      </c>
      <c r="C55" s="137"/>
      <c r="D55" s="137"/>
      <c r="E55" s="131">
        <v>1</v>
      </c>
      <c r="F55" s="136">
        <f>D55*E55</f>
        <v>0</v>
      </c>
    </row>
    <row r="56" spans="2:9">
      <c r="B56" s="141" t="s">
        <v>197</v>
      </c>
      <c r="C56" s="142">
        <v>12273</v>
      </c>
      <c r="D56" s="142">
        <v>685895544.17000008</v>
      </c>
      <c r="E56" s="143">
        <f>SUM(E51:E55)</f>
        <v>1.81</v>
      </c>
      <c r="F56" s="144">
        <f>SUM(F51:F55)</f>
        <v>0</v>
      </c>
      <c r="H56" s="79" t="s">
        <v>117</v>
      </c>
      <c r="I56" s="134">
        <f>(D53+D54+D55)/D56</f>
        <v>0</v>
      </c>
    </row>
    <row r="58" spans="2:9" ht="15">
      <c r="D58" s="135">
        <v>43617</v>
      </c>
    </row>
    <row r="59" spans="2:9" ht="41.45">
      <c r="B59" s="127" t="s">
        <v>187</v>
      </c>
      <c r="C59" s="128" t="s">
        <v>188</v>
      </c>
      <c r="D59" s="128" t="s">
        <v>189</v>
      </c>
      <c r="E59" s="128" t="s">
        <v>190</v>
      </c>
      <c r="F59" s="129" t="s">
        <v>191</v>
      </c>
    </row>
    <row r="60" spans="2:9">
      <c r="B60" s="130" t="s">
        <v>192</v>
      </c>
      <c r="C60" s="140"/>
      <c r="D60" s="140"/>
      <c r="E60" s="131">
        <v>0.01</v>
      </c>
      <c r="F60" s="132">
        <f>D60*E60</f>
        <v>0</v>
      </c>
    </row>
    <row r="61" spans="2:9">
      <c r="B61" s="130" t="s">
        <v>193</v>
      </c>
      <c r="C61" s="140"/>
      <c r="D61" s="140"/>
      <c r="E61" s="131">
        <v>0.05</v>
      </c>
      <c r="F61" s="132">
        <f>D61*E61</f>
        <v>0</v>
      </c>
    </row>
    <row r="62" spans="2:9">
      <c r="B62" s="130" t="s">
        <v>194</v>
      </c>
      <c r="C62" s="140"/>
      <c r="D62" s="140"/>
      <c r="E62" s="131">
        <v>0.25</v>
      </c>
      <c r="F62" s="132">
        <f>D62*E62</f>
        <v>0</v>
      </c>
    </row>
    <row r="63" spans="2:9">
      <c r="B63" s="130" t="s">
        <v>195</v>
      </c>
      <c r="C63" s="140"/>
      <c r="D63" s="140"/>
      <c r="E63" s="131">
        <v>0.5</v>
      </c>
      <c r="F63" s="132">
        <f>D63*E63</f>
        <v>0</v>
      </c>
    </row>
    <row r="64" spans="2:9">
      <c r="B64" s="130" t="s">
        <v>196</v>
      </c>
      <c r="C64" s="140"/>
      <c r="D64" s="140"/>
      <c r="E64" s="131">
        <v>1</v>
      </c>
      <c r="F64" s="132">
        <f>D64*E64</f>
        <v>0</v>
      </c>
    </row>
    <row r="65" spans="2:9">
      <c r="B65" s="141" t="s">
        <v>197</v>
      </c>
      <c r="C65" s="143">
        <f>SUM(C60:C64)</f>
        <v>0</v>
      </c>
      <c r="D65" s="143">
        <f>SUM(D60:D64)</f>
        <v>0</v>
      </c>
      <c r="E65" s="143">
        <v>1.81</v>
      </c>
      <c r="F65" s="145">
        <f>SUM(F60:F64)</f>
        <v>0</v>
      </c>
      <c r="H65" s="79" t="s">
        <v>117</v>
      </c>
      <c r="I65" s="134" t="e">
        <f>(D62+D63+D64)/D65</f>
        <v>#DIV/0!</v>
      </c>
    </row>
    <row r="67" spans="2:9" ht="15">
      <c r="D67" s="135">
        <v>43709</v>
      </c>
    </row>
    <row r="68" spans="2:9" ht="41.45">
      <c r="B68" s="127" t="s">
        <v>187</v>
      </c>
      <c r="C68" s="128" t="s">
        <v>188</v>
      </c>
      <c r="D68" s="128" t="s">
        <v>189</v>
      </c>
      <c r="E68" s="128" t="s">
        <v>190</v>
      </c>
      <c r="F68" s="129" t="s">
        <v>191</v>
      </c>
    </row>
    <row r="69" spans="2:9">
      <c r="B69" s="130" t="s">
        <v>192</v>
      </c>
      <c r="C69" s="161"/>
      <c r="D69" s="161"/>
      <c r="E69" s="131">
        <v>0.01</v>
      </c>
      <c r="F69" s="132">
        <f>D69*E69</f>
        <v>0</v>
      </c>
    </row>
    <row r="70" spans="2:9">
      <c r="B70" s="130" t="s">
        <v>193</v>
      </c>
      <c r="C70" s="161"/>
      <c r="D70" s="161"/>
      <c r="E70" s="131">
        <v>0.05</v>
      </c>
      <c r="F70" s="132">
        <f>D70*E70</f>
        <v>0</v>
      </c>
    </row>
    <row r="71" spans="2:9">
      <c r="B71" s="130" t="s">
        <v>194</v>
      </c>
      <c r="C71" s="161"/>
      <c r="D71" s="161"/>
      <c r="E71" s="131">
        <v>0.25</v>
      </c>
      <c r="F71" s="132">
        <f>D71*E71</f>
        <v>0</v>
      </c>
    </row>
    <row r="72" spans="2:9">
      <c r="B72" s="130" t="s">
        <v>195</v>
      </c>
      <c r="C72" s="161"/>
      <c r="D72" s="161"/>
      <c r="E72" s="131">
        <v>0.5</v>
      </c>
      <c r="F72" s="132">
        <f>D72*E72</f>
        <v>0</v>
      </c>
    </row>
    <row r="73" spans="2:9">
      <c r="B73" s="130" t="s">
        <v>196</v>
      </c>
      <c r="C73" s="161"/>
      <c r="D73" s="161"/>
      <c r="E73" s="131">
        <v>1</v>
      </c>
      <c r="F73" s="132">
        <f>D73*E73</f>
        <v>0</v>
      </c>
    </row>
    <row r="74" spans="2:9">
      <c r="B74" s="141" t="s">
        <v>197</v>
      </c>
      <c r="C74" s="143">
        <f>SUM(C69:C73)</f>
        <v>0</v>
      </c>
      <c r="D74" s="143">
        <f>SUM(D69:D73)</f>
        <v>0</v>
      </c>
      <c r="E74" s="143">
        <v>1.81</v>
      </c>
      <c r="F74" s="145">
        <f>SUM(F69:F73)</f>
        <v>0</v>
      </c>
      <c r="H74" s="79" t="s">
        <v>117</v>
      </c>
      <c r="I74" s="134" t="e">
        <f>(D71+D72+D73)/D74</f>
        <v>#DIV/0!</v>
      </c>
    </row>
    <row r="76" spans="2:9" ht="15">
      <c r="D76" s="135">
        <v>43800</v>
      </c>
    </row>
    <row r="77" spans="2:9" ht="41.45">
      <c r="B77" s="127" t="s">
        <v>187</v>
      </c>
      <c r="C77" s="128" t="s">
        <v>188</v>
      </c>
      <c r="D77" s="128" t="s">
        <v>189</v>
      </c>
      <c r="E77" s="128" t="s">
        <v>190</v>
      </c>
      <c r="F77" s="129" t="s">
        <v>191</v>
      </c>
    </row>
    <row r="78" spans="2:9">
      <c r="B78" s="130" t="s">
        <v>192</v>
      </c>
      <c r="C78" s="161"/>
      <c r="D78" s="161"/>
      <c r="E78" s="131">
        <v>0.01</v>
      </c>
      <c r="F78" s="132">
        <f>D78*E78</f>
        <v>0</v>
      </c>
    </row>
    <row r="79" spans="2:9">
      <c r="B79" s="130" t="s">
        <v>193</v>
      </c>
      <c r="C79" s="161"/>
      <c r="D79" s="161"/>
      <c r="E79" s="131">
        <v>0.05</v>
      </c>
      <c r="F79" s="132">
        <f>D79*E79</f>
        <v>0</v>
      </c>
    </row>
    <row r="80" spans="2:9">
      <c r="B80" s="130" t="s">
        <v>194</v>
      </c>
      <c r="C80" s="161"/>
      <c r="D80" s="161"/>
      <c r="E80" s="131">
        <v>0.25</v>
      </c>
      <c r="F80" s="132">
        <f>D80*E80</f>
        <v>0</v>
      </c>
    </row>
    <row r="81" spans="2:9">
      <c r="B81" s="130" t="s">
        <v>195</v>
      </c>
      <c r="C81" s="161"/>
      <c r="D81" s="161"/>
      <c r="E81" s="131">
        <v>0.5</v>
      </c>
      <c r="F81" s="132">
        <f>D81*E81</f>
        <v>0</v>
      </c>
    </row>
    <row r="82" spans="2:9">
      <c r="B82" s="130" t="s">
        <v>196</v>
      </c>
      <c r="C82" s="161"/>
      <c r="D82" s="161"/>
      <c r="E82" s="131">
        <v>1</v>
      </c>
      <c r="F82" s="132">
        <f>D82*E82</f>
        <v>0</v>
      </c>
    </row>
    <row r="83" spans="2:9">
      <c r="B83" s="141" t="s">
        <v>197</v>
      </c>
      <c r="C83" s="143">
        <f>SUM(C78:C82)</f>
        <v>0</v>
      </c>
      <c r="D83" s="143">
        <f>SUM(D78:D82)</f>
        <v>0</v>
      </c>
      <c r="E83" s="143">
        <v>1.81</v>
      </c>
      <c r="F83" s="145">
        <f>SUM(F78:F82)</f>
        <v>0</v>
      </c>
      <c r="H83" s="79" t="s">
        <v>117</v>
      </c>
      <c r="I83" s="133" t="e">
        <f>(D80+D81+D82)/D83</f>
        <v>#DIV/0!</v>
      </c>
    </row>
    <row r="86" spans="2:9" ht="15">
      <c r="D86" s="135" t="s">
        <v>198</v>
      </c>
    </row>
    <row r="87" spans="2:9" ht="41.45">
      <c r="B87" s="127" t="s">
        <v>187</v>
      </c>
      <c r="C87" s="128" t="s">
        <v>188</v>
      </c>
      <c r="D87" s="128" t="s">
        <v>189</v>
      </c>
      <c r="E87" s="128" t="s">
        <v>190</v>
      </c>
      <c r="F87" s="129" t="s">
        <v>191</v>
      </c>
    </row>
    <row r="88" spans="2:9">
      <c r="B88" s="130" t="s">
        <v>192</v>
      </c>
      <c r="C88" s="161"/>
      <c r="D88" s="161"/>
      <c r="E88" s="131">
        <v>0.01</v>
      </c>
      <c r="F88" s="132">
        <f>D88*E88</f>
        <v>0</v>
      </c>
    </row>
    <row r="89" spans="2:9">
      <c r="B89" s="130" t="s">
        <v>193</v>
      </c>
      <c r="C89" s="161"/>
      <c r="D89" s="161"/>
      <c r="E89" s="131">
        <v>0.05</v>
      </c>
      <c r="F89" s="132">
        <f>D89*E89</f>
        <v>0</v>
      </c>
      <c r="H89" s="133"/>
    </row>
    <row r="90" spans="2:9">
      <c r="B90" s="130" t="s">
        <v>194</v>
      </c>
      <c r="C90" s="161"/>
      <c r="D90" s="161"/>
      <c r="E90" s="131">
        <v>0.25</v>
      </c>
      <c r="F90" s="132">
        <f>D90*E90</f>
        <v>0</v>
      </c>
    </row>
    <row r="91" spans="2:9">
      <c r="B91" s="130" t="s">
        <v>195</v>
      </c>
      <c r="C91" s="161"/>
      <c r="D91" s="161"/>
      <c r="E91" s="131">
        <v>0.5</v>
      </c>
      <c r="F91" s="132">
        <f>D91*E91</f>
        <v>0</v>
      </c>
    </row>
    <row r="92" spans="2:9">
      <c r="B92" s="130" t="s">
        <v>196</v>
      </c>
      <c r="C92" s="161"/>
      <c r="D92" s="161"/>
      <c r="E92" s="131">
        <v>1</v>
      </c>
      <c r="F92" s="132">
        <f>D92*E92</f>
        <v>0</v>
      </c>
    </row>
    <row r="93" spans="2:9">
      <c r="B93" s="141" t="s">
        <v>197</v>
      </c>
      <c r="C93" s="143">
        <f>SUM(C88:C92)</f>
        <v>0</v>
      </c>
      <c r="D93" s="143">
        <f>SUM(D88:D92)</f>
        <v>0</v>
      </c>
      <c r="E93" s="143">
        <v>1.81</v>
      </c>
      <c r="F93" s="145">
        <f>SUM(F88:F92)</f>
        <v>0</v>
      </c>
      <c r="H93" s="79" t="s">
        <v>117</v>
      </c>
      <c r="I93" s="133" t="e">
        <f>(D90+D91+D92)/D93</f>
        <v>#DIV/0!</v>
      </c>
    </row>
    <row r="95" spans="2:9" ht="15">
      <c r="D95" s="135">
        <v>43891</v>
      </c>
    </row>
    <row r="96" spans="2:9" ht="41.45">
      <c r="B96" s="127" t="s">
        <v>187</v>
      </c>
      <c r="C96" s="128" t="s">
        <v>188</v>
      </c>
      <c r="D96" s="128" t="s">
        <v>189</v>
      </c>
      <c r="E96" s="128" t="s">
        <v>190</v>
      </c>
      <c r="F96" s="129" t="s">
        <v>191</v>
      </c>
    </row>
    <row r="97" spans="2:6">
      <c r="B97" s="130" t="s">
        <v>192</v>
      </c>
      <c r="C97" s="271">
        <v>5333</v>
      </c>
      <c r="D97" s="271">
        <v>473330036.04000002</v>
      </c>
      <c r="E97" s="131">
        <v>0.01</v>
      </c>
      <c r="F97" s="136">
        <f>D97*E97</f>
        <v>4733300.3604000006</v>
      </c>
    </row>
    <row r="98" spans="2:6">
      <c r="B98" s="130" t="s">
        <v>193</v>
      </c>
      <c r="C98" s="271">
        <v>276</v>
      </c>
      <c r="D98" s="271">
        <v>18748085.550000001</v>
      </c>
      <c r="E98" s="131">
        <v>0.05</v>
      </c>
      <c r="F98" s="136">
        <f>D98*E98</f>
        <v>937404.27750000008</v>
      </c>
    </row>
    <row r="99" spans="2:6">
      <c r="B99" s="130" t="s">
        <v>194</v>
      </c>
      <c r="C99" s="271">
        <v>228</v>
      </c>
      <c r="D99" s="271">
        <v>6855993.4500000002</v>
      </c>
      <c r="E99" s="131">
        <v>0.25</v>
      </c>
      <c r="F99" s="136">
        <f>D99*E99</f>
        <v>1713998.3625</v>
      </c>
    </row>
    <row r="100" spans="2:6">
      <c r="B100" s="130" t="s">
        <v>195</v>
      </c>
      <c r="C100" s="271">
        <v>112</v>
      </c>
      <c r="D100" s="271">
        <v>6367044.8200000003</v>
      </c>
      <c r="E100" s="131">
        <v>0.5</v>
      </c>
      <c r="F100" s="136">
        <f>D100*E100</f>
        <v>3183522.41</v>
      </c>
    </row>
    <row r="101" spans="2:6">
      <c r="B101" s="130" t="s">
        <v>196</v>
      </c>
      <c r="C101" s="271">
        <v>4561</v>
      </c>
      <c r="D101" s="271">
        <v>158407296.31999999</v>
      </c>
      <c r="E101" s="131">
        <v>1</v>
      </c>
      <c r="F101" s="136">
        <f>D101*E101</f>
        <v>158407296.31999999</v>
      </c>
    </row>
    <row r="102" spans="2:6">
      <c r="B102" s="141" t="s">
        <v>197</v>
      </c>
      <c r="C102" s="142">
        <v>12273</v>
      </c>
      <c r="D102" s="142">
        <v>685895544.17000008</v>
      </c>
      <c r="E102" s="143">
        <f>SUM(E97:E101)</f>
        <v>1.81</v>
      </c>
      <c r="F102" s="144">
        <f>SUM(F97:F101)</f>
        <v>168975521.7304</v>
      </c>
    </row>
    <row r="104" spans="2:6" ht="15">
      <c r="D104" s="135">
        <v>43983</v>
      </c>
    </row>
    <row r="105" spans="2:6" ht="41.45">
      <c r="B105" s="127" t="s">
        <v>187</v>
      </c>
      <c r="C105" s="128" t="s">
        <v>188</v>
      </c>
      <c r="D105" s="128" t="s">
        <v>189</v>
      </c>
      <c r="E105" s="128" t="s">
        <v>190</v>
      </c>
      <c r="F105" s="129" t="s">
        <v>191</v>
      </c>
    </row>
    <row r="106" spans="2:6">
      <c r="B106" s="130" t="s">
        <v>192</v>
      </c>
      <c r="C106" s="271">
        <v>4523</v>
      </c>
      <c r="D106" s="271">
        <v>447985475.69999999</v>
      </c>
      <c r="E106" s="131">
        <v>0.01</v>
      </c>
      <c r="F106" s="132">
        <f>D106*E106</f>
        <v>4479854.7570000002</v>
      </c>
    </row>
    <row r="107" spans="2:6">
      <c r="B107" s="130" t="s">
        <v>193</v>
      </c>
      <c r="C107" s="271">
        <v>551</v>
      </c>
      <c r="D107" s="271">
        <v>22735806.16</v>
      </c>
      <c r="E107" s="131">
        <v>0.05</v>
      </c>
      <c r="F107" s="132">
        <f>D107*E107</f>
        <v>1136790.308</v>
      </c>
    </row>
    <row r="108" spans="2:6">
      <c r="B108" s="130" t="s">
        <v>194</v>
      </c>
      <c r="C108" s="271">
        <v>476</v>
      </c>
      <c r="D108" s="271">
        <v>9634985.9199999999</v>
      </c>
      <c r="E108" s="131">
        <v>0.25</v>
      </c>
      <c r="F108" s="132">
        <f>D108*E108</f>
        <v>2408746.48</v>
      </c>
    </row>
    <row r="109" spans="2:6">
      <c r="B109" s="130" t="s">
        <v>195</v>
      </c>
      <c r="C109" s="271">
        <v>466</v>
      </c>
      <c r="D109" s="271">
        <v>10256741.43</v>
      </c>
      <c r="E109" s="131">
        <v>0.5</v>
      </c>
      <c r="F109" s="132">
        <f>D109*E109</f>
        <v>5128370.7149999999</v>
      </c>
    </row>
    <row r="110" spans="2:6">
      <c r="B110" s="130" t="s">
        <v>196</v>
      </c>
      <c r="C110" s="271">
        <v>4599</v>
      </c>
      <c r="D110" s="271">
        <v>159829286.5</v>
      </c>
      <c r="E110" s="131">
        <v>1</v>
      </c>
      <c r="F110" s="132">
        <f>D110*E110</f>
        <v>159829286.5</v>
      </c>
    </row>
    <row r="111" spans="2:6">
      <c r="B111" s="141" t="s">
        <v>197</v>
      </c>
      <c r="C111" s="143">
        <f>SUM(C106:C110)</f>
        <v>10615</v>
      </c>
      <c r="D111" s="143">
        <f>SUM(D106:D110)</f>
        <v>650442295.71000004</v>
      </c>
      <c r="E111" s="143">
        <v>1.81</v>
      </c>
      <c r="F111" s="145">
        <f>SUM(F106:F110)</f>
        <v>172983048.75999999</v>
      </c>
    </row>
    <row r="113" spans="2:6" ht="15">
      <c r="D113" s="135">
        <v>44075</v>
      </c>
    </row>
    <row r="114" spans="2:6" ht="41.45">
      <c r="B114" s="127" t="s">
        <v>187</v>
      </c>
      <c r="C114" s="128" t="s">
        <v>188</v>
      </c>
      <c r="D114" s="128" t="s">
        <v>189</v>
      </c>
      <c r="E114" s="128" t="s">
        <v>190</v>
      </c>
      <c r="F114" s="129" t="s">
        <v>191</v>
      </c>
    </row>
    <row r="115" spans="2:6">
      <c r="B115" s="130" t="s">
        <v>192</v>
      </c>
      <c r="C115" s="271">
        <v>4681</v>
      </c>
      <c r="D115" s="271">
        <v>442160269.30000001</v>
      </c>
      <c r="E115" s="131">
        <v>0.01</v>
      </c>
      <c r="F115" s="132">
        <f>D115*E115</f>
        <v>4421602.693</v>
      </c>
    </row>
    <row r="116" spans="2:6">
      <c r="B116" s="130" t="s">
        <v>193</v>
      </c>
      <c r="C116" s="271">
        <v>706</v>
      </c>
      <c r="D116" s="271">
        <v>31895382.289999999</v>
      </c>
      <c r="E116" s="131">
        <v>0.05</v>
      </c>
      <c r="F116" s="132">
        <f>D116*E116</f>
        <v>1594769.1145000001</v>
      </c>
    </row>
    <row r="117" spans="2:6">
      <c r="B117" s="130" t="s">
        <v>194</v>
      </c>
      <c r="C117" s="271">
        <v>603</v>
      </c>
      <c r="D117" s="271">
        <v>16360599.390000001</v>
      </c>
      <c r="E117" s="131">
        <v>0.25</v>
      </c>
      <c r="F117" s="132">
        <f>D117*E117</f>
        <v>4090149.8475000001</v>
      </c>
    </row>
    <row r="118" spans="2:6">
      <c r="B118" s="130" t="s">
        <v>195</v>
      </c>
      <c r="C118" s="271">
        <v>633</v>
      </c>
      <c r="D118" s="271">
        <v>17924197.030000001</v>
      </c>
      <c r="E118" s="131">
        <v>0.5</v>
      </c>
      <c r="F118" s="132">
        <f>D118*E118</f>
        <v>8962098.5150000006</v>
      </c>
    </row>
    <row r="119" spans="2:6">
      <c r="B119" s="130" t="s">
        <v>196</v>
      </c>
      <c r="C119" s="271">
        <v>4494</v>
      </c>
      <c r="D119" s="271">
        <v>162170332.19999999</v>
      </c>
      <c r="E119" s="131">
        <v>1</v>
      </c>
      <c r="F119" s="132">
        <f>D119*E119</f>
        <v>162170332.19999999</v>
      </c>
    </row>
    <row r="120" spans="2:6">
      <c r="B120" s="141" t="s">
        <v>197</v>
      </c>
      <c r="C120" s="143">
        <f>SUM(C115:C119)</f>
        <v>11117</v>
      </c>
      <c r="D120" s="143">
        <f>SUM(D115:D119)</f>
        <v>670510780.21000004</v>
      </c>
      <c r="E120" s="143">
        <v>1.81</v>
      </c>
      <c r="F120" s="145">
        <f>SUM(F115:F119)</f>
        <v>181238952.37</v>
      </c>
    </row>
    <row r="122" spans="2:6" ht="15">
      <c r="D122" s="135">
        <v>44166</v>
      </c>
    </row>
    <row r="123" spans="2:6" ht="41.45">
      <c r="B123" s="127" t="s">
        <v>187</v>
      </c>
      <c r="C123" s="128" t="s">
        <v>188</v>
      </c>
      <c r="D123" s="128" t="s">
        <v>189</v>
      </c>
      <c r="E123" s="128" t="s">
        <v>190</v>
      </c>
      <c r="F123" s="129" t="s">
        <v>191</v>
      </c>
    </row>
    <row r="124" spans="2:6">
      <c r="B124" s="130" t="s">
        <v>192</v>
      </c>
      <c r="C124" s="271">
        <v>3465</v>
      </c>
      <c r="D124" s="271">
        <v>408217823.23000002</v>
      </c>
      <c r="E124" s="131">
        <v>0.01</v>
      </c>
      <c r="F124" s="132">
        <f>D124*E124</f>
        <v>4082178.2323000003</v>
      </c>
    </row>
    <row r="125" spans="2:6">
      <c r="B125" s="130" t="s">
        <v>193</v>
      </c>
      <c r="C125" s="271">
        <v>631</v>
      </c>
      <c r="D125" s="271">
        <v>37564293.979999997</v>
      </c>
      <c r="E125" s="131">
        <v>0.05</v>
      </c>
      <c r="F125" s="132">
        <f>D125*E125</f>
        <v>1878214.699</v>
      </c>
    </row>
    <row r="126" spans="2:6">
      <c r="B126" s="130" t="s">
        <v>194</v>
      </c>
      <c r="C126" s="271">
        <v>570</v>
      </c>
      <c r="D126" s="271">
        <v>26609766.920000002</v>
      </c>
      <c r="E126" s="131">
        <v>0.25</v>
      </c>
      <c r="F126" s="132">
        <f>D126*E126</f>
        <v>6652441.7300000004</v>
      </c>
    </row>
    <row r="127" spans="2:6">
      <c r="B127" s="130" t="s">
        <v>195</v>
      </c>
      <c r="C127" s="271">
        <v>610</v>
      </c>
      <c r="D127" s="271">
        <v>23274470.039999999</v>
      </c>
      <c r="E127" s="131">
        <v>0.5</v>
      </c>
      <c r="F127" s="132">
        <f>D127*E127</f>
        <v>11637235.02</v>
      </c>
    </row>
    <row r="128" spans="2:6">
      <c r="B128" s="130" t="s">
        <v>196</v>
      </c>
      <c r="C128" s="271">
        <v>4210</v>
      </c>
      <c r="D128" s="271">
        <v>150294850.50999999</v>
      </c>
      <c r="E128" s="131">
        <v>1</v>
      </c>
      <c r="F128" s="132">
        <f>D128*E128</f>
        <v>150294850.50999999</v>
      </c>
    </row>
    <row r="129" spans="2:8">
      <c r="B129" s="141" t="s">
        <v>197</v>
      </c>
      <c r="C129" s="143">
        <f>SUM(C124:C128)</f>
        <v>9486</v>
      </c>
      <c r="D129" s="143">
        <f>SUM(D124:D128)</f>
        <v>645961204.68000007</v>
      </c>
      <c r="E129" s="143">
        <v>1.81</v>
      </c>
      <c r="F129" s="145">
        <f>SUM(F124:F128)</f>
        <v>174544920.19129997</v>
      </c>
    </row>
    <row r="132" spans="2:8" ht="15">
      <c r="D132" s="135" t="s">
        <v>199</v>
      </c>
    </row>
    <row r="133" spans="2:8" ht="41.45">
      <c r="B133" s="127" t="s">
        <v>187</v>
      </c>
      <c r="C133" s="128" t="s">
        <v>188</v>
      </c>
      <c r="D133" s="128" t="s">
        <v>189</v>
      </c>
      <c r="E133" s="128" t="s">
        <v>190</v>
      </c>
      <c r="F133" s="129" t="s">
        <v>191</v>
      </c>
    </row>
    <row r="134" spans="2:8">
      <c r="B134" s="130" t="s">
        <v>192</v>
      </c>
      <c r="C134" s="271">
        <v>3465</v>
      </c>
      <c r="D134" s="271">
        <v>528701900</v>
      </c>
      <c r="E134" s="131">
        <v>0.01</v>
      </c>
      <c r="F134" s="132">
        <f>D134*E134</f>
        <v>5287019</v>
      </c>
    </row>
    <row r="135" spans="2:8">
      <c r="B135" s="130" t="s">
        <v>193</v>
      </c>
      <c r="C135" s="271">
        <v>631</v>
      </c>
      <c r="D135" s="271">
        <v>37564300</v>
      </c>
      <c r="E135" s="131">
        <v>0.05</v>
      </c>
      <c r="F135" s="132">
        <f>D135*E135</f>
        <v>1878215</v>
      </c>
    </row>
    <row r="136" spans="2:8">
      <c r="B136" s="130" t="s">
        <v>194</v>
      </c>
      <c r="C136" s="271">
        <v>570</v>
      </c>
      <c r="D136" s="271">
        <v>26609768</v>
      </c>
      <c r="E136" s="131">
        <v>0.25</v>
      </c>
      <c r="F136" s="132">
        <f>D136*E136</f>
        <v>6652442</v>
      </c>
    </row>
    <row r="137" spans="2:8">
      <c r="B137" s="130" t="s">
        <v>195</v>
      </c>
      <c r="C137" s="271">
        <v>610</v>
      </c>
      <c r="D137" s="271">
        <v>23274470</v>
      </c>
      <c r="E137" s="131">
        <v>0.5</v>
      </c>
      <c r="F137" s="132">
        <f>D137*E137</f>
        <v>11637235</v>
      </c>
    </row>
    <row r="138" spans="2:8">
      <c r="B138" s="130" t="s">
        <v>196</v>
      </c>
      <c r="C138" s="271">
        <v>4210</v>
      </c>
      <c r="D138" s="271">
        <v>150294851</v>
      </c>
      <c r="E138" s="131">
        <v>1</v>
      </c>
      <c r="F138" s="132">
        <f>D138*E138</f>
        <v>150294851</v>
      </c>
      <c r="H138" s="80">
        <f>(D136+D137+Table5156221[[#This Row],[OUTSTANDING LOAN PORTFOLIO(Kshs)]])/D139</f>
        <v>0.26117857578742321</v>
      </c>
    </row>
    <row r="139" spans="2:8">
      <c r="B139" s="141" t="s">
        <v>197</v>
      </c>
      <c r="C139" s="143">
        <f>SUM(C134:C138)</f>
        <v>9486</v>
      </c>
      <c r="D139" s="143">
        <f>SUM(D134:D138)</f>
        <v>766445289</v>
      </c>
      <c r="E139" s="143">
        <v>1.81</v>
      </c>
      <c r="F139" s="145">
        <f>SUM(F134:F138)</f>
        <v>175749762</v>
      </c>
    </row>
    <row r="142" spans="2:8">
      <c r="D142" s="167"/>
      <c r="E142" s="167"/>
    </row>
    <row r="143" spans="2:8">
      <c r="D143" s="167"/>
      <c r="E143" s="167"/>
    </row>
    <row r="144" spans="2:8">
      <c r="D144" s="167"/>
      <c r="E144" s="167"/>
    </row>
    <row r="145" spans="4:5">
      <c r="D145" s="167"/>
      <c r="E145" s="167"/>
    </row>
    <row r="146" spans="4:5">
      <c r="D146" s="167"/>
      <c r="E146" s="167"/>
    </row>
    <row r="147" spans="4:5">
      <c r="E147" s="134"/>
    </row>
    <row r="149" spans="4:5">
      <c r="E149" s="133" t="e">
        <f>SUM(E144:E146)/E147</f>
        <v>#DIV/0!</v>
      </c>
    </row>
  </sheetData>
  <dataValidations count="2">
    <dataValidation type="decimal" showErrorMessage="1" errorTitle="Error Msg" error="Enter a NO" sqref="C3:C7 C51:C55 C97:C101" xr:uid="{00000000-0002-0000-0600-000000000000}">
      <formula1>0</formula1>
      <formula2>999999999999</formula2>
    </dataValidation>
    <dataValidation type="decimal" showErrorMessage="1" errorTitle="Error Msg" error="Enter a number" sqref="D3:D7 D51:D55 D97:D101" xr:uid="{00000000-0002-0000-0600-000001000000}">
      <formula1>0</formula1>
      <formula2>999999999999</formula2>
    </dataValidation>
  </dataValidations>
  <pageMargins left="0.7" right="0.7" top="0.75" bottom="0.75" header="0.3" footer="0.3"/>
  <pageSetup orientation="portrait" horizontalDpi="300" verticalDpi="300" r:id="rId1"/>
  <tableParts count="15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V68"/>
  <sheetViews>
    <sheetView topLeftCell="B1" workbookViewId="0">
      <selection activeCell="A59" sqref="A59"/>
    </sheetView>
  </sheetViews>
  <sheetFormatPr defaultColWidth="8.85546875" defaultRowHeight="14.45"/>
  <cols>
    <col min="1" max="1" width="48" style="257" customWidth="1"/>
    <col min="2" max="2" width="20.7109375" style="259" customWidth="1"/>
    <col min="3" max="3" width="26.140625" style="257" customWidth="1"/>
    <col min="4" max="4" width="22.140625" style="257" customWidth="1"/>
    <col min="5" max="5" width="24.42578125" style="257" customWidth="1"/>
    <col min="6" max="6" width="21.42578125" style="257" customWidth="1"/>
    <col min="7" max="7" width="23.140625" style="260" customWidth="1"/>
    <col min="8" max="8" width="13.7109375" style="257" bestFit="1" customWidth="1"/>
    <col min="9" max="16384" width="8.85546875" style="257"/>
  </cols>
  <sheetData>
    <row r="1" spans="1:256">
      <c r="A1" s="381" t="s">
        <v>200</v>
      </c>
      <c r="B1" s="382"/>
      <c r="C1" s="382"/>
      <c r="D1" s="382"/>
      <c r="E1" s="382"/>
      <c r="F1" s="383"/>
      <c r="G1" s="384"/>
    </row>
    <row r="2" spans="1:256">
      <c r="A2" s="385" t="s">
        <v>201</v>
      </c>
      <c r="B2" s="386"/>
      <c r="C2" s="386"/>
      <c r="D2" s="386"/>
      <c r="E2" s="386"/>
      <c r="F2" s="387"/>
      <c r="G2" s="388"/>
    </row>
    <row r="3" spans="1:256">
      <c r="A3" s="235"/>
      <c r="B3" s="389" t="s">
        <v>202</v>
      </c>
      <c r="C3" s="243" t="s">
        <v>203</v>
      </c>
      <c r="D3" s="391" t="s">
        <v>204</v>
      </c>
      <c r="E3" s="392"/>
      <c r="F3" s="393" t="s">
        <v>5</v>
      </c>
      <c r="G3" s="395" t="s">
        <v>205</v>
      </c>
    </row>
    <row r="4" spans="1:256">
      <c r="A4" s="3"/>
      <c r="B4" s="390"/>
      <c r="C4" s="205">
        <v>2019</v>
      </c>
      <c r="D4" s="206" t="s">
        <v>206</v>
      </c>
      <c r="E4" s="207" t="s">
        <v>207</v>
      </c>
      <c r="F4" s="394"/>
      <c r="G4" s="396"/>
    </row>
    <row r="5" spans="1:256">
      <c r="A5" s="403" t="s">
        <v>208</v>
      </c>
      <c r="B5" s="404"/>
      <c r="C5" s="404"/>
      <c r="D5" s="404"/>
      <c r="E5" s="404"/>
      <c r="F5" s="405"/>
      <c r="G5" s="406"/>
    </row>
    <row r="6" spans="1:256">
      <c r="A6" s="226" t="s">
        <v>209</v>
      </c>
      <c r="B6" s="227" t="s">
        <v>210</v>
      </c>
      <c r="C6" s="225">
        <f>C33</f>
        <v>227230784</v>
      </c>
      <c r="D6" s="225">
        <f>D33</f>
        <v>-68790510.579999998</v>
      </c>
      <c r="E6" s="225">
        <f>E33</f>
        <v>-175816786.06999999</v>
      </c>
      <c r="F6" s="225">
        <f>F33</f>
        <v>309742324</v>
      </c>
      <c r="G6" s="225">
        <f>G33</f>
        <v>97147628624.865005</v>
      </c>
    </row>
    <row r="7" spans="1:256">
      <c r="A7" s="226" t="s">
        <v>211</v>
      </c>
      <c r="B7" s="228" t="s">
        <v>212</v>
      </c>
      <c r="C7" s="240">
        <f>C33/C29</f>
        <v>0.17581043434956461</v>
      </c>
      <c r="D7" s="240">
        <f>D33/D29</f>
        <v>-5.4741341005565033E-2</v>
      </c>
      <c r="E7" s="240">
        <f>E33/E29</f>
        <v>-0.12900386536851288</v>
      </c>
      <c r="F7" s="240">
        <f>F33/F29</f>
        <v>0.22644072475305402</v>
      </c>
      <c r="G7" s="240">
        <f>G33/G29</f>
        <v>0.16087866550321314</v>
      </c>
    </row>
    <row r="8" spans="1:256">
      <c r="A8" s="226" t="s">
        <v>213</v>
      </c>
      <c r="B8" s="228" t="s">
        <v>214</v>
      </c>
      <c r="C8" s="242">
        <f>C34/C29</f>
        <v>4.219227119679568E-2</v>
      </c>
      <c r="D8" s="242">
        <f>D34/D29</f>
        <v>-0.19735047724272448</v>
      </c>
      <c r="E8" s="242">
        <f>E34/E29</f>
        <v>-0.2672178251915468</v>
      </c>
      <c r="F8" s="240">
        <f>F34/F29</f>
        <v>8.8731350195005901E-2</v>
      </c>
      <c r="G8" s="240">
        <f>G34/G29</f>
        <v>9.5680971811651624E-2</v>
      </c>
    </row>
    <row r="9" spans="1:256">
      <c r="A9" s="403" t="s">
        <v>215</v>
      </c>
      <c r="B9" s="404"/>
      <c r="C9" s="404"/>
      <c r="D9" s="404"/>
      <c r="E9" s="404"/>
      <c r="F9" s="405"/>
      <c r="G9" s="406"/>
    </row>
    <row r="10" spans="1:256">
      <c r="A10" s="226" t="s">
        <v>216</v>
      </c>
      <c r="B10" s="227" t="s">
        <v>217</v>
      </c>
      <c r="C10" s="242">
        <f>C35/C32</f>
        <v>0</v>
      </c>
      <c r="D10" s="242">
        <f>D35/D32</f>
        <v>0.24281001929617407</v>
      </c>
      <c r="E10" s="242">
        <f>E35/E32</f>
        <v>0.26117856367044179</v>
      </c>
      <c r="F10" s="242">
        <f>F35/F32</f>
        <v>0.24684659287120195</v>
      </c>
      <c r="G10" s="242">
        <f>G35/G32</f>
        <v>8.318206758588656E-2</v>
      </c>
    </row>
    <row r="11" spans="1:256">
      <c r="A11" s="226" t="s">
        <v>97</v>
      </c>
      <c r="B11" s="227" t="s">
        <v>218</v>
      </c>
      <c r="C11" s="240">
        <f>C36/C29</f>
        <v>6.9323251863589397E-2</v>
      </c>
      <c r="D11" s="240">
        <f>D36/D29</f>
        <v>6.7934815004853738E-2</v>
      </c>
      <c r="E11" s="240">
        <f>E36/E29</f>
        <v>6.5045543187949903E-2</v>
      </c>
      <c r="F11" s="240">
        <f>F36/F29</f>
        <v>6.6669004942885246E-2</v>
      </c>
      <c r="G11" s="240">
        <f>G36/G29</f>
        <v>0.10218610173997075</v>
      </c>
    </row>
    <row r="12" spans="1:256">
      <c r="A12" s="226" t="s">
        <v>219</v>
      </c>
      <c r="B12" s="227" t="s">
        <v>217</v>
      </c>
      <c r="C12" s="258">
        <f>C38/C31</f>
        <v>5.7801342633057154E-2</v>
      </c>
      <c r="D12" s="258">
        <f>D38/D31</f>
        <v>0.41452766959390691</v>
      </c>
      <c r="E12" s="258">
        <f>E38/E31</f>
        <v>0.5121664324299966</v>
      </c>
      <c r="F12" s="258">
        <f>F38/F31</f>
        <v>9.87840242342927E-4</v>
      </c>
      <c r="G12" s="258">
        <f>G38/G31</f>
        <v>3.4540371819815466E-2</v>
      </c>
    </row>
    <row r="13" spans="1:256">
      <c r="A13" s="229" t="s">
        <v>220</v>
      </c>
      <c r="B13" s="227" t="s">
        <v>221</v>
      </c>
      <c r="C13" s="241">
        <f>C38/C33</f>
        <v>0.23120793791742583</v>
      </c>
      <c r="D13" s="241">
        <f>D38/D33</f>
        <v>-5.1984453082976376</v>
      </c>
      <c r="E13" s="267">
        <f>E38/E33</f>
        <v>-2.7572469803138864</v>
      </c>
      <c r="F13" s="241">
        <f>F38/F33</f>
        <v>3.0186381632495273E-3</v>
      </c>
      <c r="G13" s="241">
        <f>G38/G33</f>
        <v>0.14691969600580493</v>
      </c>
      <c r="H13" s="224"/>
      <c r="I13" s="224"/>
      <c r="J13" s="224"/>
      <c r="K13" s="224"/>
      <c r="L13" s="224"/>
      <c r="M13" s="224"/>
      <c r="N13" s="224"/>
      <c r="O13" s="224"/>
      <c r="P13" s="224"/>
      <c r="Q13" s="224"/>
      <c r="R13" s="224"/>
      <c r="S13" s="224"/>
      <c r="T13" s="224"/>
      <c r="U13" s="224"/>
      <c r="V13" s="224"/>
      <c r="W13" s="224"/>
      <c r="X13" s="224"/>
      <c r="Y13" s="224"/>
      <c r="Z13" s="224"/>
      <c r="AA13" s="224"/>
      <c r="AB13" s="224"/>
      <c r="AC13" s="224"/>
      <c r="AD13" s="224"/>
      <c r="AE13" s="224"/>
      <c r="AF13" s="224"/>
      <c r="AG13" s="224"/>
      <c r="AH13" s="224"/>
      <c r="AI13" s="224"/>
      <c r="AJ13" s="224"/>
      <c r="AK13" s="224"/>
      <c r="AL13" s="224"/>
      <c r="AM13" s="224"/>
      <c r="AN13" s="224"/>
      <c r="AO13" s="224"/>
      <c r="AP13" s="224"/>
      <c r="AQ13" s="224"/>
      <c r="AR13" s="224"/>
      <c r="AS13" s="224"/>
      <c r="AT13" s="224"/>
      <c r="AU13" s="224"/>
      <c r="AV13" s="224"/>
      <c r="AW13" s="224"/>
      <c r="AX13" s="224"/>
      <c r="AY13" s="224"/>
      <c r="AZ13" s="224"/>
      <c r="BA13" s="224"/>
      <c r="BB13" s="224"/>
      <c r="BC13" s="224"/>
      <c r="BD13" s="224"/>
      <c r="BE13" s="224"/>
      <c r="BF13" s="224"/>
      <c r="BG13" s="224"/>
      <c r="BH13" s="224"/>
      <c r="BI13" s="224"/>
      <c r="BJ13" s="224"/>
      <c r="BK13" s="224"/>
      <c r="BL13" s="224"/>
      <c r="BM13" s="224"/>
      <c r="BN13" s="224"/>
      <c r="BO13" s="224"/>
      <c r="BP13" s="224"/>
      <c r="BQ13" s="224"/>
      <c r="BR13" s="224"/>
      <c r="BS13" s="224"/>
      <c r="BT13" s="224"/>
      <c r="BU13" s="224"/>
      <c r="BV13" s="224"/>
      <c r="BW13" s="224"/>
      <c r="BX13" s="224"/>
      <c r="BY13" s="224"/>
      <c r="BZ13" s="224"/>
      <c r="CA13" s="224"/>
      <c r="CB13" s="224"/>
      <c r="CC13" s="224"/>
      <c r="CD13" s="224"/>
      <c r="CE13" s="224"/>
      <c r="CF13" s="224"/>
      <c r="CG13" s="224"/>
      <c r="CH13" s="224"/>
      <c r="CI13" s="224"/>
      <c r="CJ13" s="224"/>
      <c r="CK13" s="224"/>
      <c r="CL13" s="224"/>
      <c r="CM13" s="224"/>
      <c r="CN13" s="224"/>
      <c r="CO13" s="224"/>
      <c r="CP13" s="224"/>
      <c r="CQ13" s="224"/>
      <c r="CR13" s="224"/>
      <c r="CS13" s="224"/>
      <c r="CT13" s="224"/>
      <c r="CU13" s="224"/>
      <c r="CV13" s="224"/>
      <c r="CW13" s="224"/>
      <c r="CX13" s="224"/>
      <c r="CY13" s="224"/>
      <c r="CZ13" s="224"/>
      <c r="DA13" s="224"/>
      <c r="DB13" s="224"/>
      <c r="DC13" s="224"/>
      <c r="DD13" s="224"/>
      <c r="DE13" s="224"/>
      <c r="DF13" s="224"/>
      <c r="DG13" s="224"/>
      <c r="DH13" s="224"/>
      <c r="DI13" s="224"/>
      <c r="DJ13" s="224"/>
      <c r="DK13" s="224"/>
      <c r="DL13" s="224"/>
      <c r="DM13" s="224"/>
      <c r="DN13" s="224"/>
      <c r="DO13" s="224"/>
      <c r="DP13" s="224"/>
      <c r="DQ13" s="224"/>
      <c r="DR13" s="224"/>
      <c r="DS13" s="224"/>
      <c r="DT13" s="224"/>
      <c r="DU13" s="224"/>
      <c r="DV13" s="224"/>
      <c r="DW13" s="224"/>
      <c r="DX13" s="224"/>
      <c r="DY13" s="224"/>
      <c r="DZ13" s="224"/>
      <c r="EA13" s="224"/>
      <c r="EB13" s="224"/>
      <c r="EC13" s="224"/>
      <c r="ED13" s="224"/>
      <c r="EE13" s="224"/>
      <c r="EF13" s="224"/>
      <c r="EG13" s="224"/>
      <c r="EH13" s="224"/>
      <c r="EI13" s="224"/>
      <c r="EJ13" s="224"/>
      <c r="EK13" s="224"/>
      <c r="EL13" s="224"/>
      <c r="EM13" s="224"/>
      <c r="EN13" s="224"/>
      <c r="EO13" s="224"/>
      <c r="EP13" s="224"/>
      <c r="EQ13" s="224"/>
      <c r="ER13" s="224"/>
      <c r="ES13" s="224"/>
      <c r="ET13" s="224"/>
      <c r="EU13" s="224"/>
      <c r="EV13" s="224"/>
      <c r="EW13" s="224"/>
      <c r="EX13" s="224"/>
      <c r="EY13" s="224"/>
      <c r="EZ13" s="224"/>
      <c r="FA13" s="224"/>
      <c r="FB13" s="224"/>
      <c r="FC13" s="224"/>
      <c r="FD13" s="224"/>
      <c r="FE13" s="224"/>
      <c r="FF13" s="224"/>
      <c r="FG13" s="224"/>
      <c r="FH13" s="224"/>
      <c r="FI13" s="224"/>
      <c r="FJ13" s="224"/>
      <c r="FK13" s="224"/>
      <c r="FL13" s="224"/>
      <c r="FM13" s="224"/>
      <c r="FN13" s="224"/>
      <c r="FO13" s="224"/>
      <c r="FP13" s="224"/>
      <c r="FQ13" s="224"/>
      <c r="FR13" s="224"/>
      <c r="FS13" s="224"/>
      <c r="FT13" s="224"/>
      <c r="FU13" s="224"/>
      <c r="FV13" s="224"/>
      <c r="FW13" s="224"/>
      <c r="FX13" s="224"/>
      <c r="FY13" s="224"/>
      <c r="FZ13" s="224"/>
      <c r="GA13" s="224"/>
      <c r="GB13" s="224"/>
      <c r="GC13" s="224"/>
      <c r="GD13" s="224"/>
      <c r="GE13" s="224"/>
      <c r="GF13" s="224"/>
      <c r="GG13" s="224"/>
      <c r="GH13" s="224"/>
      <c r="GI13" s="224"/>
      <c r="GJ13" s="224"/>
      <c r="GK13" s="224"/>
      <c r="GL13" s="224"/>
      <c r="GM13" s="224"/>
      <c r="GN13" s="224"/>
      <c r="GO13" s="224"/>
      <c r="GP13" s="224"/>
      <c r="GQ13" s="224"/>
      <c r="GR13" s="224"/>
      <c r="GS13" s="224"/>
      <c r="GT13" s="224"/>
      <c r="GU13" s="224"/>
      <c r="GV13" s="224"/>
      <c r="GW13" s="224"/>
      <c r="GX13" s="224"/>
      <c r="GY13" s="224"/>
      <c r="GZ13" s="224"/>
      <c r="HA13" s="224"/>
      <c r="HB13" s="224"/>
      <c r="HC13" s="224"/>
      <c r="HD13" s="224"/>
      <c r="HE13" s="224"/>
      <c r="HF13" s="224"/>
      <c r="HG13" s="224"/>
      <c r="HH13" s="224"/>
      <c r="HI13" s="224"/>
      <c r="HJ13" s="224"/>
      <c r="HK13" s="224"/>
      <c r="HL13" s="224"/>
      <c r="HM13" s="224"/>
      <c r="HN13" s="224"/>
      <c r="HO13" s="224"/>
      <c r="HP13" s="224"/>
      <c r="HQ13" s="224"/>
      <c r="HR13" s="224"/>
      <c r="HS13" s="224"/>
      <c r="HT13" s="224"/>
      <c r="HU13" s="224"/>
      <c r="HV13" s="224"/>
      <c r="HW13" s="224"/>
      <c r="HX13" s="224"/>
      <c r="HY13" s="224"/>
      <c r="HZ13" s="224"/>
      <c r="IA13" s="224"/>
      <c r="IB13" s="224"/>
      <c r="IC13" s="224"/>
      <c r="ID13" s="224"/>
      <c r="IE13" s="224"/>
      <c r="IF13" s="224"/>
      <c r="IG13" s="224"/>
      <c r="IH13" s="224"/>
      <c r="II13" s="224"/>
      <c r="IJ13" s="224"/>
      <c r="IK13" s="224"/>
      <c r="IL13" s="224"/>
      <c r="IM13" s="224"/>
      <c r="IN13" s="224"/>
      <c r="IO13" s="224"/>
      <c r="IP13" s="224"/>
      <c r="IQ13" s="224"/>
      <c r="IR13" s="224"/>
      <c r="IS13" s="224"/>
      <c r="IT13" s="224"/>
      <c r="IU13" s="224"/>
      <c r="IV13" s="224"/>
    </row>
    <row r="14" spans="1:256">
      <c r="A14" s="403" t="s">
        <v>222</v>
      </c>
      <c r="B14" s="404"/>
      <c r="C14" s="404"/>
      <c r="D14" s="404"/>
      <c r="E14" s="404"/>
      <c r="F14" s="405"/>
      <c r="G14" s="406"/>
    </row>
    <row r="15" spans="1:256">
      <c r="A15" s="226" t="s">
        <v>223</v>
      </c>
      <c r="B15" s="227"/>
      <c r="C15" s="242">
        <f>C48/C32</f>
        <v>0.11409705356849391</v>
      </c>
      <c r="D15" s="242">
        <f>D48/D32</f>
        <v>0.10508457454295811</v>
      </c>
      <c r="E15" s="242">
        <f>E48/E32</f>
        <v>0.15930188483255719</v>
      </c>
      <c r="F15" s="242">
        <f>F48/F32</f>
        <v>0.11580077201234822</v>
      </c>
      <c r="G15" s="242">
        <f>G48/G32</f>
        <v>0.17229089775317336</v>
      </c>
    </row>
    <row r="16" spans="1:256">
      <c r="A16" s="226" t="s">
        <v>224</v>
      </c>
      <c r="B16" s="227"/>
      <c r="C16" s="242">
        <f>C49/C44</f>
        <v>0.88739901581166936</v>
      </c>
      <c r="D16" s="242">
        <f>D49/D44</f>
        <v>0.83705181417969332</v>
      </c>
      <c r="E16" s="242">
        <f>E49/E44</f>
        <v>0.73405103630174429</v>
      </c>
      <c r="F16" s="242">
        <f>F49/F44</f>
        <v>0.81699909922298242</v>
      </c>
      <c r="G16" s="242">
        <f>G49/G44</f>
        <v>0.69909434858897324</v>
      </c>
    </row>
    <row r="17" spans="1:9">
      <c r="A17" s="226" t="s">
        <v>225</v>
      </c>
      <c r="B17" s="227"/>
      <c r="C17" s="241">
        <f>C50/C30</f>
        <v>1.9105825283957337E-2</v>
      </c>
      <c r="D17" s="241">
        <f>D50/D30</f>
        <v>4.1702560868728915E-3</v>
      </c>
      <c r="E17" s="241">
        <f>E50/E30</f>
        <v>2.0406586070266623E-2</v>
      </c>
      <c r="F17" s="241">
        <f>F50/F30</f>
        <v>2.0636484340823252E-2</v>
      </c>
      <c r="G17" s="241">
        <f>G50/G30</f>
        <v>3.8498141060379416E-2</v>
      </c>
    </row>
    <row r="18" spans="1:9">
      <c r="A18" s="229" t="s">
        <v>226</v>
      </c>
      <c r="B18" s="230"/>
      <c r="C18" s="241">
        <f>C47/C44</f>
        <v>0.63891574465225587</v>
      </c>
      <c r="D18" s="241">
        <f>D47/D44</f>
        <v>0.69763940579212891</v>
      </c>
      <c r="E18" s="241">
        <f>E47/E44</f>
        <v>0.62772068080988996</v>
      </c>
      <c r="F18" s="241">
        <f>F47/F44</f>
        <v>0.62417559754954399</v>
      </c>
      <c r="G18" s="241">
        <f>G47/G44</f>
        <v>0.30074392772837716</v>
      </c>
    </row>
    <row r="19" spans="1:9">
      <c r="A19" s="403" t="s">
        <v>227</v>
      </c>
      <c r="B19" s="404"/>
      <c r="C19" s="404"/>
      <c r="D19" s="404"/>
      <c r="E19" s="404"/>
      <c r="F19" s="405"/>
      <c r="G19" s="406"/>
    </row>
    <row r="20" spans="1:9">
      <c r="A20" s="226" t="s">
        <v>228</v>
      </c>
      <c r="B20" s="231" t="s">
        <v>229</v>
      </c>
      <c r="C20" s="240">
        <f>C40/C41</f>
        <v>0.74618152045957509</v>
      </c>
      <c r="D20" s="240">
        <f>D40/D41</f>
        <v>0.23421866425809276</v>
      </c>
      <c r="E20" s="240">
        <f>E40/E41</f>
        <v>0.22278654308705936</v>
      </c>
      <c r="F20" s="240">
        <f>F40/F41</f>
        <v>0.27626953849372848</v>
      </c>
      <c r="G20" s="240">
        <f>G40/G41</f>
        <v>0.63530551200930352</v>
      </c>
      <c r="I20" s="209"/>
    </row>
    <row r="21" spans="1:9">
      <c r="A21" s="226" t="s">
        <v>230</v>
      </c>
      <c r="B21" s="227" t="s">
        <v>231</v>
      </c>
      <c r="C21" s="240">
        <f>C42/C29</f>
        <v>0</v>
      </c>
      <c r="D21" s="240">
        <f>D42/D29</f>
        <v>0</v>
      </c>
      <c r="E21" s="240">
        <f>E42/E29</f>
        <v>0</v>
      </c>
      <c r="F21" s="240">
        <f>F42/F29</f>
        <v>0</v>
      </c>
      <c r="G21" s="240">
        <f>G42/G29</f>
        <v>3.5514940542299561E-2</v>
      </c>
      <c r="I21" s="210"/>
    </row>
    <row r="22" spans="1:9">
      <c r="A22" s="226" t="s">
        <v>232</v>
      </c>
      <c r="B22" s="227"/>
      <c r="C22" s="240">
        <f>C40/C29</f>
        <v>0.38478031520609235</v>
      </c>
      <c r="D22" s="240">
        <f>D40/D29</f>
        <v>0.11554687577851863</v>
      </c>
      <c r="E22" s="240">
        <f>E40/E29</f>
        <v>0.11498672760631749</v>
      </c>
      <c r="F22" s="240">
        <f>F40/F29</f>
        <v>0.11456693986290707</v>
      </c>
      <c r="G22" s="240">
        <f>G40/G29</f>
        <v>0.12047023111501054</v>
      </c>
    </row>
    <row r="23" spans="1:9">
      <c r="A23" s="403" t="s">
        <v>233</v>
      </c>
      <c r="B23" s="404"/>
      <c r="C23" s="404"/>
      <c r="D23" s="404"/>
      <c r="E23" s="404"/>
      <c r="F23" s="405"/>
      <c r="G23" s="406"/>
    </row>
    <row r="24" spans="1:9">
      <c r="A24" s="232" t="s">
        <v>234</v>
      </c>
      <c r="B24" s="230" t="s">
        <v>235</v>
      </c>
      <c r="C24" s="241">
        <f>C32/C29</f>
        <v>0.63201921404663319</v>
      </c>
      <c r="D24" s="241">
        <f>D32/D29</f>
        <v>0.64384846807436102</v>
      </c>
      <c r="E24" s="241">
        <f>E32/E29</f>
        <v>0.56237183556828141</v>
      </c>
      <c r="F24" s="241">
        <f>F32/F29</f>
        <v>0.59285099755839821</v>
      </c>
      <c r="G24" s="241">
        <f>G32/G29</f>
        <v>0.75494123943376223</v>
      </c>
    </row>
    <row r="25" spans="1:9">
      <c r="A25" s="232" t="s">
        <v>236</v>
      </c>
      <c r="B25" s="233" t="s">
        <v>237</v>
      </c>
      <c r="C25" s="241">
        <f>C32/C31</f>
        <v>0.89871257968939322</v>
      </c>
      <c r="D25" s="241">
        <f>D32/D31</f>
        <v>0.93788217127735296</v>
      </c>
      <c r="E25" s="241">
        <f>E32/E31</f>
        <v>0.80975992655293894</v>
      </c>
      <c r="F25" s="241">
        <f>F32/F31</f>
        <v>0.85677478122761741</v>
      </c>
      <c r="G25" s="241">
        <f>G32/G31</f>
        <v>1.1032188708841058</v>
      </c>
    </row>
    <row r="26" spans="1:9">
      <c r="A26" s="232" t="s">
        <v>238</v>
      </c>
      <c r="B26" s="233"/>
      <c r="C26" s="241">
        <f>C39/C31</f>
        <v>0.27739121307886522</v>
      </c>
      <c r="D26" s="241">
        <f>D39/D31</f>
        <v>0.41452766959390691</v>
      </c>
      <c r="E26" s="241">
        <f>E39/E31</f>
        <v>0.5121664324299966</v>
      </c>
      <c r="F26" s="241">
        <f>F39/F31</f>
        <v>0.51216643165366216</v>
      </c>
      <c r="G26" s="241">
        <f>G39/G31</f>
        <v>6.7171708974966465E-2</v>
      </c>
    </row>
    <row r="27" spans="1:9">
      <c r="A27" s="232" t="s">
        <v>239</v>
      </c>
      <c r="B27" s="234"/>
      <c r="C27" s="241">
        <f>C46/C44</f>
        <v>0.11574398934991627</v>
      </c>
      <c r="D27" s="241">
        <f>D46/D44</f>
        <v>0.12429024592395573</v>
      </c>
      <c r="E27" s="241">
        <f>E46/E44</f>
        <v>9.3280455102734236E-2</v>
      </c>
      <c r="F27" s="241">
        <f>F46/F44</f>
        <v>9.2749089814699731E-2</v>
      </c>
      <c r="G27" s="241">
        <f>G46/G44</f>
        <v>0.33903108667176968</v>
      </c>
    </row>
    <row r="28" spans="1:9">
      <c r="A28" s="403" t="s">
        <v>240</v>
      </c>
      <c r="B28" s="404"/>
      <c r="C28" s="404">
        <v>2015</v>
      </c>
      <c r="D28" s="404">
        <v>2016</v>
      </c>
      <c r="E28" s="404">
        <v>2017</v>
      </c>
      <c r="F28" s="405"/>
      <c r="G28" s="406" t="s">
        <v>241</v>
      </c>
    </row>
    <row r="29" spans="1:9">
      <c r="A29" s="146" t="s">
        <v>44</v>
      </c>
      <c r="B29" s="236"/>
      <c r="C29" s="244">
        <v>1292476097</v>
      </c>
      <c r="D29" s="244">
        <v>1256646426.9300001</v>
      </c>
      <c r="E29" s="244">
        <v>1362879984.78</v>
      </c>
      <c r="F29" s="244">
        <f>Financials!AP4</f>
        <v>1367873753</v>
      </c>
      <c r="G29" s="245">
        <v>603856504658.31799</v>
      </c>
    </row>
    <row r="30" spans="1:9">
      <c r="A30" s="146" t="s">
        <v>242</v>
      </c>
      <c r="B30" s="236"/>
      <c r="C30" s="244">
        <v>1283570201</v>
      </c>
      <c r="D30" s="244">
        <v>1216595751.99</v>
      </c>
      <c r="E30" s="244">
        <v>1324797781.8</v>
      </c>
      <c r="F30" s="244">
        <f>(Financials!AP4+Financials!AD4)/2</f>
        <v>1330174924.5</v>
      </c>
      <c r="G30" s="245">
        <v>578853928482.91394</v>
      </c>
    </row>
    <row r="31" spans="1:9">
      <c r="A31" s="146" t="s">
        <v>45</v>
      </c>
      <c r="B31" s="236"/>
      <c r="C31" s="245">
        <v>908933229</v>
      </c>
      <c r="D31" s="245">
        <v>862677532.07000005</v>
      </c>
      <c r="E31" s="245">
        <v>946509321.54999995</v>
      </c>
      <c r="F31" s="245">
        <f>Financials!AP5</f>
        <v>946509324</v>
      </c>
      <c r="G31" s="245">
        <v>413223694860.79999</v>
      </c>
    </row>
    <row r="32" spans="1:9">
      <c r="A32" s="146" t="s">
        <v>243</v>
      </c>
      <c r="B32" s="236"/>
      <c r="C32" s="246">
        <v>816869727</v>
      </c>
      <c r="D32" s="246">
        <v>809089876.88999999</v>
      </c>
      <c r="E32" s="246">
        <v>766445318.70000005</v>
      </c>
      <c r="F32" s="246">
        <f>'Evolutive SFP'!AO15</f>
        <v>810945319</v>
      </c>
      <c r="G32" s="245">
        <v>455876178066.89001</v>
      </c>
    </row>
    <row r="33" spans="1:7">
      <c r="A33" s="146" t="s">
        <v>9</v>
      </c>
      <c r="B33" s="236"/>
      <c r="C33" s="244">
        <v>227230784</v>
      </c>
      <c r="D33" s="244">
        <v>-68790510.579999998</v>
      </c>
      <c r="E33" s="244">
        <v>-175816786.06999999</v>
      </c>
      <c r="F33" s="244">
        <f>Financials!AP11</f>
        <v>309742324</v>
      </c>
      <c r="G33" s="245">
        <v>97147628624.865005</v>
      </c>
    </row>
    <row r="34" spans="1:7">
      <c r="A34" s="146" t="s">
        <v>244</v>
      </c>
      <c r="B34" s="236"/>
      <c r="C34" s="244">
        <v>54532502</v>
      </c>
      <c r="D34" s="244">
        <v>-247999772.08000001</v>
      </c>
      <c r="E34" s="244">
        <v>-364185825.52999997</v>
      </c>
      <c r="F34" s="244">
        <f>Financials!AP12</f>
        <v>121373285</v>
      </c>
      <c r="G34" s="245">
        <v>57777577200.495003</v>
      </c>
    </row>
    <row r="35" spans="1:7">
      <c r="A35" s="146" t="s">
        <v>245</v>
      </c>
      <c r="B35" s="236"/>
      <c r="C35" s="245">
        <v>0</v>
      </c>
      <c r="D35" s="245">
        <v>196455128.62</v>
      </c>
      <c r="E35" s="245">
        <v>200179087.47</v>
      </c>
      <c r="F35" s="245">
        <f>'FORM 4'!D136+'FORM 4'!D137+'FORM 4'!D138</f>
        <v>200179089</v>
      </c>
      <c r="G35" s="245">
        <v>37920723054.755699</v>
      </c>
    </row>
    <row r="36" spans="1:7">
      <c r="A36" s="146" t="s">
        <v>97</v>
      </c>
      <c r="B36" s="236"/>
      <c r="C36" s="246">
        <v>89598646</v>
      </c>
      <c r="D36" s="246">
        <v>85370042.540000007</v>
      </c>
      <c r="E36" s="246">
        <v>88649268.909999996</v>
      </c>
      <c r="F36" s="246">
        <f>Financials!AP34</f>
        <v>91194782</v>
      </c>
      <c r="G36" s="245">
        <v>61705742221.358002</v>
      </c>
    </row>
    <row r="37" spans="1:7">
      <c r="A37" s="146" t="s">
        <v>98</v>
      </c>
      <c r="B37" s="236"/>
      <c r="C37" s="244">
        <v>70635261</v>
      </c>
      <c r="D37" s="244">
        <v>26884209.399999999</v>
      </c>
      <c r="E37" s="244">
        <v>27577947.829999998</v>
      </c>
      <c r="F37" s="244">
        <f>Financials!AP35</f>
        <v>64842765</v>
      </c>
      <c r="G37" s="245">
        <v>18068539464.768002</v>
      </c>
    </row>
    <row r="38" spans="1:7">
      <c r="A38" s="146" t="s">
        <v>246</v>
      </c>
      <c r="B38" s="236"/>
      <c r="C38" s="244">
        <v>52537561</v>
      </c>
      <c r="D38" s="244">
        <v>357603706.98000002</v>
      </c>
      <c r="E38" s="244">
        <v>484770302.48000002</v>
      </c>
      <c r="F38" s="244">
        <f>'Evolutive SFP'!AO13</f>
        <v>935000</v>
      </c>
      <c r="G38" s="245">
        <v>14272900065.25</v>
      </c>
    </row>
    <row r="39" spans="1:7">
      <c r="A39" s="146" t="s">
        <v>247</v>
      </c>
      <c r="B39" s="236"/>
      <c r="C39" s="244">
        <v>252130091</v>
      </c>
      <c r="D39" s="244">
        <v>357603706.98000002</v>
      </c>
      <c r="E39" s="244">
        <v>484770302.48000002</v>
      </c>
      <c r="F39" s="244">
        <f>'Evolutive SFP'!AO8</f>
        <v>484770303</v>
      </c>
      <c r="G39" s="245">
        <v>27756941772.75</v>
      </c>
    </row>
    <row r="40" spans="1:7">
      <c r="A40" s="146" t="s">
        <v>248</v>
      </c>
      <c r="B40" s="236"/>
      <c r="C40" s="244">
        <v>497319360</v>
      </c>
      <c r="D40" s="244">
        <v>145201568.59</v>
      </c>
      <c r="E40" s="244">
        <v>156713109.56999999</v>
      </c>
      <c r="F40" s="244">
        <f>'Evolutive SFP'!AO4+'Evolutive SFP'!AO9+'Evolutive SFP'!AO10</f>
        <v>156713110</v>
      </c>
      <c r="G40" s="245">
        <v>72746732676.490005</v>
      </c>
    </row>
    <row r="41" spans="1:7">
      <c r="A41" s="146" t="s">
        <v>249</v>
      </c>
      <c r="B41" s="236"/>
      <c r="C41" s="244">
        <v>666485763</v>
      </c>
      <c r="D41" s="244">
        <v>619940212.91999996</v>
      </c>
      <c r="E41" s="244">
        <v>703422690.61000001</v>
      </c>
      <c r="F41" s="244">
        <f>'Evolutive SFP'!AO28++'Evolutive SFP'!AO32+'Evolutive SFP'!AO33+'Evolutive SFP'!AO34+'Evolutive SFP'!AO35+'Evolutive SFP'!AO36</f>
        <v>567247156</v>
      </c>
      <c r="G41" s="245">
        <v>114506692136.845</v>
      </c>
    </row>
    <row r="42" spans="1:7">
      <c r="A42" s="146" t="s">
        <v>68</v>
      </c>
      <c r="B42" s="236"/>
      <c r="C42" s="244">
        <v>0</v>
      </c>
      <c r="D42" s="244">
        <v>0</v>
      </c>
      <c r="E42" s="244">
        <v>0</v>
      </c>
      <c r="F42" s="244">
        <f>'Evolutive SFP'!AO37</f>
        <v>0</v>
      </c>
      <c r="G42" s="245">
        <v>21445927859.021</v>
      </c>
    </row>
    <row r="43" spans="1:7">
      <c r="A43" s="146" t="s">
        <v>250</v>
      </c>
      <c r="B43" s="236"/>
      <c r="C43" s="244">
        <v>804205298.5</v>
      </c>
      <c r="D43" s="244">
        <v>818083442.47000003</v>
      </c>
      <c r="E43" s="244">
        <v>768157522.03999996</v>
      </c>
      <c r="F43" s="244">
        <f>('Evolutive SFP'!AC15+'Evolutive SFP'!AO15)/2</f>
        <v>813907523</v>
      </c>
      <c r="G43" s="245">
        <v>438165038017.32001</v>
      </c>
    </row>
    <row r="44" spans="1:7">
      <c r="A44" s="146" t="s">
        <v>251</v>
      </c>
      <c r="B44" s="236"/>
      <c r="C44" s="244">
        <v>220242400</v>
      </c>
      <c r="D44" s="244">
        <v>139145859.93000001</v>
      </c>
      <c r="E44" s="244">
        <v>222041779.13999999</v>
      </c>
      <c r="F44" s="244">
        <f>'Evolutitve SCI'!AO3+'Evolutitve SCI'!AO31</f>
        <v>223313868</v>
      </c>
      <c r="G44" s="245">
        <v>91230381093.679993</v>
      </c>
    </row>
    <row r="45" spans="1:7">
      <c r="A45" s="146" t="s">
        <v>252</v>
      </c>
      <c r="B45" s="236"/>
      <c r="C45" s="244">
        <v>165515848</v>
      </c>
      <c r="D45" s="244">
        <v>119747200.48</v>
      </c>
      <c r="E45" s="244">
        <v>198387075.22999999</v>
      </c>
      <c r="F45" s="244">
        <f>'Evolutitve SCI'!AO19</f>
        <v>180208783</v>
      </c>
      <c r="G45" s="245">
        <v>54898935459.480003</v>
      </c>
    </row>
    <row r="46" spans="1:7">
      <c r="A46" s="146" t="s">
        <v>253</v>
      </c>
      <c r="B46" s="236"/>
      <c r="C46" s="244">
        <v>25491734</v>
      </c>
      <c r="D46" s="244">
        <v>17294473.149999999</v>
      </c>
      <c r="E46" s="244">
        <v>20712158.210000001</v>
      </c>
      <c r="F46" s="244">
        <f>'Evolutitve SCI'!AO13+'Evolutitve SCI'!AO15</f>
        <v>20712158</v>
      </c>
      <c r="G46" s="245">
        <v>30929935239.669998</v>
      </c>
    </row>
    <row r="47" spans="1:7">
      <c r="A47" s="146" t="s">
        <v>254</v>
      </c>
      <c r="B47" s="236"/>
      <c r="C47" s="244">
        <v>140716337</v>
      </c>
      <c r="D47" s="244">
        <v>97073635.040000007</v>
      </c>
      <c r="E47" s="244">
        <v>139380216.77000001</v>
      </c>
      <c r="F47" s="244">
        <f>'Evolutitve SCI'!AO23</f>
        <v>139387067</v>
      </c>
      <c r="G47" s="245">
        <v>27436983138.27</v>
      </c>
    </row>
    <row r="48" spans="1:7">
      <c r="A48" s="146" t="s">
        <v>255</v>
      </c>
      <c r="B48" s="236"/>
      <c r="C48" s="244">
        <v>93202429</v>
      </c>
      <c r="D48" s="244">
        <v>85022865.480000004</v>
      </c>
      <c r="E48" s="244">
        <v>122096183.89</v>
      </c>
      <c r="F48" s="244">
        <f>'Evolutitve SCI'!AO5+'Evolutitve SCI'!AO6</f>
        <v>93908094</v>
      </c>
      <c r="G48" s="245">
        <v>78543315983.429993</v>
      </c>
    </row>
    <row r="49" spans="1:7">
      <c r="A49" s="146" t="s">
        <v>256</v>
      </c>
      <c r="B49" s="236"/>
      <c r="C49" s="244">
        <v>195442889</v>
      </c>
      <c r="D49" s="244">
        <v>116472294.48999999</v>
      </c>
      <c r="E49" s="244">
        <v>162989998.08000001</v>
      </c>
      <c r="F49" s="244">
        <f>'Evolutitve SCI'!AO39</f>
        <v>182447229</v>
      </c>
      <c r="G49" s="245">
        <v>63778643842.209999</v>
      </c>
    </row>
    <row r="50" spans="1:7">
      <c r="A50" s="146" t="s">
        <v>257</v>
      </c>
      <c r="B50" s="236"/>
      <c r="C50" s="244">
        <v>24523668</v>
      </c>
      <c r="D50" s="244">
        <v>5073515.84</v>
      </c>
      <c r="E50" s="244">
        <v>27034599.960000001</v>
      </c>
      <c r="F50" s="244">
        <f>'Evolutitve SCI'!AO37</f>
        <v>27450134</v>
      </c>
      <c r="G50" s="245">
        <v>22284800192.09</v>
      </c>
    </row>
    <row r="51" spans="1:7">
      <c r="A51" s="397" t="s">
        <v>258</v>
      </c>
      <c r="B51" s="398"/>
      <c r="C51" s="398"/>
      <c r="D51" s="398"/>
      <c r="E51" s="398"/>
      <c r="F51" s="398"/>
      <c r="G51" s="399"/>
    </row>
    <row r="52" spans="1:7">
      <c r="A52" s="249" t="s">
        <v>259</v>
      </c>
      <c r="B52" s="208"/>
      <c r="C52" s="269"/>
      <c r="D52" s="269"/>
      <c r="E52" s="269"/>
      <c r="F52" s="269"/>
      <c r="G52" s="270"/>
    </row>
    <row r="53" spans="1:7">
      <c r="A53" s="211" t="s">
        <v>260</v>
      </c>
      <c r="B53" s="208"/>
      <c r="C53" s="269"/>
      <c r="D53" s="269"/>
      <c r="E53" s="269"/>
      <c r="F53" s="269"/>
      <c r="G53" s="270"/>
    </row>
    <row r="54" spans="1:7">
      <c r="A54" s="212" t="s">
        <v>261</v>
      </c>
      <c r="B54" s="208"/>
      <c r="C54" s="269"/>
      <c r="D54" s="269"/>
      <c r="E54" s="269"/>
      <c r="F54" s="269"/>
      <c r="G54" s="270"/>
    </row>
    <row r="55" spans="1:7">
      <c r="A55" s="211" t="s">
        <v>262</v>
      </c>
      <c r="B55" s="213"/>
      <c r="C55" s="269"/>
      <c r="D55" s="269"/>
      <c r="E55" s="269"/>
      <c r="F55" s="269"/>
      <c r="G55" s="270"/>
    </row>
    <row r="56" spans="1:7">
      <c r="A56" s="211" t="s">
        <v>263</v>
      </c>
      <c r="B56" s="213"/>
      <c r="C56" s="213"/>
      <c r="D56" s="213"/>
      <c r="E56" s="213"/>
      <c r="F56" s="214"/>
      <c r="G56" s="215"/>
    </row>
    <row r="57" spans="1:7">
      <c r="A57" s="211" t="s">
        <v>264</v>
      </c>
      <c r="B57" s="213"/>
      <c r="C57" s="213"/>
      <c r="D57" s="213"/>
      <c r="E57" s="213"/>
      <c r="F57" s="214"/>
      <c r="G57" s="215"/>
    </row>
    <row r="58" spans="1:7">
      <c r="A58" s="250" t="s">
        <v>265</v>
      </c>
      <c r="B58" s="208"/>
      <c r="C58" s="213"/>
      <c r="D58" s="213"/>
      <c r="E58" s="213"/>
      <c r="F58" s="214"/>
      <c r="G58" s="215"/>
    </row>
    <row r="59" spans="1:7">
      <c r="A59" s="250" t="s">
        <v>266</v>
      </c>
      <c r="B59" s="208"/>
      <c r="C59" s="213"/>
      <c r="D59" s="213"/>
      <c r="E59" s="214"/>
      <c r="F59" s="214"/>
      <c r="G59" s="247"/>
    </row>
    <row r="60" spans="1:7">
      <c r="A60" s="237" t="s">
        <v>267</v>
      </c>
      <c r="B60" s="208"/>
      <c r="C60" s="400"/>
      <c r="D60" s="401"/>
      <c r="E60" s="401"/>
      <c r="F60" s="401"/>
      <c r="G60" s="402"/>
    </row>
    <row r="61" spans="1:7">
      <c r="A61" s="237"/>
      <c r="B61" s="208"/>
      <c r="C61" s="216"/>
      <c r="D61" s="216"/>
      <c r="E61" s="217"/>
      <c r="F61" s="217"/>
      <c r="G61" s="218"/>
    </row>
    <row r="62" spans="1:7">
      <c r="A62" s="238" t="s">
        <v>268</v>
      </c>
      <c r="B62" s="219"/>
      <c r="C62" s="400"/>
      <c r="D62" s="401"/>
      <c r="E62" s="401"/>
      <c r="F62" s="401"/>
      <c r="G62" s="402"/>
    </row>
    <row r="63" spans="1:7">
      <c r="A63" s="3"/>
      <c r="B63" s="208"/>
      <c r="C63" s="213"/>
      <c r="D63" s="213"/>
      <c r="E63" s="213"/>
      <c r="F63" s="214"/>
      <c r="G63" s="215"/>
    </row>
    <row r="64" spans="1:7">
      <c r="A64" s="237" t="s">
        <v>269</v>
      </c>
      <c r="B64" s="208"/>
      <c r="C64" s="400"/>
      <c r="D64" s="401"/>
      <c r="E64" s="401"/>
      <c r="F64" s="401"/>
      <c r="G64" s="402"/>
    </row>
    <row r="65" spans="1:7" ht="15" thickBot="1">
      <c r="A65" s="239"/>
      <c r="B65" s="220"/>
      <c r="C65" s="221"/>
      <c r="D65" s="221"/>
      <c r="E65" s="221"/>
      <c r="F65" s="222"/>
      <c r="G65" s="223"/>
    </row>
    <row r="66" spans="1:7">
      <c r="A66" s="248" t="s">
        <v>270</v>
      </c>
    </row>
    <row r="67" spans="1:7">
      <c r="A67" s="224"/>
    </row>
    <row r="68" spans="1:7">
      <c r="A68" s="224"/>
    </row>
  </sheetData>
  <mergeCells count="16">
    <mergeCell ref="A51:G51"/>
    <mergeCell ref="C60:G60"/>
    <mergeCell ref="C62:G62"/>
    <mergeCell ref="C64:G64"/>
    <mergeCell ref="A5:G5"/>
    <mergeCell ref="A9:G9"/>
    <mergeCell ref="A14:G14"/>
    <mergeCell ref="A19:G19"/>
    <mergeCell ref="A23:G23"/>
    <mergeCell ref="A28:G28"/>
    <mergeCell ref="A1:G1"/>
    <mergeCell ref="A2:G2"/>
    <mergeCell ref="B3:B4"/>
    <mergeCell ref="D3:E3"/>
    <mergeCell ref="F3:F4"/>
    <mergeCell ref="G3:G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BP59"/>
  <sheetViews>
    <sheetView workbookViewId="0">
      <pane xSplit="1" ySplit="3" topLeftCell="BO12" activePane="bottomRight" state="frozen"/>
      <selection pane="bottomRight" activeCell="BO16" sqref="BO16"/>
      <selection pane="bottomLeft" activeCell="A4" sqref="A4"/>
      <selection pane="topRight" activeCell="B1" sqref="B1"/>
    </sheetView>
  </sheetViews>
  <sheetFormatPr defaultColWidth="9.140625" defaultRowHeight="13.9"/>
  <cols>
    <col min="1" max="1" width="38.42578125" style="79" customWidth="1"/>
    <col min="2" max="2" width="17.85546875" style="79" customWidth="1"/>
    <col min="3" max="3" width="19.5703125" style="79" customWidth="1"/>
    <col min="4" max="5" width="19.5703125" style="79" bestFit="1" customWidth="1"/>
    <col min="6" max="6" width="19.42578125" style="79" customWidth="1"/>
    <col min="7" max="8" width="19.5703125" style="79" bestFit="1" customWidth="1"/>
    <col min="9" max="9" width="20.28515625" style="79" customWidth="1"/>
    <col min="10" max="13" width="19.5703125" style="79" bestFit="1" customWidth="1"/>
    <col min="14" max="14" width="20.85546875" style="79" customWidth="1"/>
    <col min="15" max="15" width="22.5703125" style="79" customWidth="1"/>
    <col min="16" max="16" width="19.5703125" style="167" bestFit="1" customWidth="1"/>
    <col min="17" max="17" width="17.28515625" style="79" customWidth="1"/>
    <col min="18" max="18" width="18.85546875" style="79" customWidth="1"/>
    <col min="19" max="19" width="19" style="79" bestFit="1" customWidth="1"/>
    <col min="20" max="24" width="18.5703125" style="79" bestFit="1" customWidth="1"/>
    <col min="25" max="25" width="19.5703125" style="79" bestFit="1" customWidth="1"/>
    <col min="26" max="28" width="18.5703125" style="79" bestFit="1" customWidth="1"/>
    <col min="29" max="31" width="19.5703125" style="79" bestFit="1" customWidth="1"/>
    <col min="32" max="35" width="18.5703125" style="79" bestFit="1" customWidth="1"/>
    <col min="36" max="41" width="19.5703125" style="79" bestFit="1" customWidth="1"/>
    <col min="42" max="43" width="18.5703125" style="79" bestFit="1" customWidth="1"/>
    <col min="44" max="44" width="25.7109375" style="79" customWidth="1"/>
    <col min="45" max="45" width="18.5703125" style="79" bestFit="1" customWidth="1"/>
    <col min="46" max="46" width="25.7109375" style="79" customWidth="1"/>
    <col min="47" max="47" width="34.5703125" style="79" customWidth="1"/>
    <col min="48" max="48" width="24.85546875" style="79" customWidth="1"/>
    <col min="49" max="49" width="26.85546875" style="79" customWidth="1"/>
    <col min="50" max="50" width="25" style="79" customWidth="1"/>
    <col min="51" max="51" width="25.7109375" style="79" customWidth="1"/>
    <col min="52" max="52" width="20.7109375" style="79" customWidth="1"/>
    <col min="53" max="53" width="18.5703125" style="79" bestFit="1" customWidth="1"/>
    <col min="54" max="54" width="18.5703125" style="167" bestFit="1" customWidth="1"/>
    <col min="55" max="59" width="18.5703125" style="79" bestFit="1" customWidth="1"/>
    <col min="60" max="60" width="18.140625" style="79" customWidth="1"/>
    <col min="61" max="61" width="0.28515625" style="79" hidden="1" customWidth="1"/>
    <col min="62" max="65" width="18.5703125" style="79" hidden="1" customWidth="1"/>
    <col min="66" max="66" width="18.5703125" style="79" bestFit="1" customWidth="1"/>
    <col min="67" max="67" width="18.5703125" style="167" bestFit="1" customWidth="1"/>
    <col min="68" max="68" width="20.7109375" style="79" customWidth="1"/>
    <col min="69" max="16384" width="9.140625" style="79"/>
  </cols>
  <sheetData>
    <row r="1" spans="1:67" ht="15" customHeight="1">
      <c r="A1" s="82"/>
      <c r="B1" s="82"/>
      <c r="C1" s="82"/>
      <c r="D1" s="82"/>
      <c r="E1" s="82"/>
      <c r="F1" s="82"/>
      <c r="G1" s="82"/>
      <c r="H1" s="82"/>
      <c r="I1" s="78"/>
      <c r="J1" s="78"/>
      <c r="K1" s="78"/>
      <c r="L1" s="78"/>
      <c r="M1" s="78"/>
      <c r="N1" s="78"/>
      <c r="O1" s="78"/>
      <c r="P1" s="165"/>
      <c r="Q1" s="78"/>
      <c r="R1" s="78"/>
    </row>
    <row r="3" spans="1:67">
      <c r="A3" s="168"/>
      <c r="B3" s="169" t="s">
        <v>1</v>
      </c>
      <c r="C3" s="169" t="s">
        <v>64</v>
      </c>
      <c r="D3" s="170">
        <v>43101</v>
      </c>
      <c r="E3" s="171">
        <v>43132</v>
      </c>
      <c r="F3" s="171">
        <v>43160</v>
      </c>
      <c r="G3" s="171">
        <v>43191</v>
      </c>
      <c r="H3" s="83">
        <v>43221</v>
      </c>
      <c r="I3" s="84">
        <v>43252</v>
      </c>
      <c r="J3" s="84">
        <v>43282</v>
      </c>
      <c r="K3" s="84">
        <v>43313</v>
      </c>
      <c r="L3" s="84">
        <v>43344</v>
      </c>
      <c r="M3" s="84">
        <v>43374</v>
      </c>
      <c r="N3" s="84">
        <v>43405</v>
      </c>
      <c r="O3" s="84">
        <v>43435</v>
      </c>
      <c r="P3" s="166" t="s">
        <v>3</v>
      </c>
      <c r="Q3" s="85">
        <v>43466</v>
      </c>
      <c r="R3" s="85">
        <v>43497</v>
      </c>
      <c r="S3" s="85">
        <v>43525</v>
      </c>
      <c r="T3" s="85">
        <v>43556</v>
      </c>
      <c r="U3" s="85">
        <v>43586</v>
      </c>
      <c r="V3" s="85">
        <v>43617</v>
      </c>
      <c r="W3" s="85">
        <v>43647</v>
      </c>
      <c r="X3" s="85">
        <v>43678</v>
      </c>
      <c r="Y3" s="85">
        <v>43709</v>
      </c>
      <c r="Z3" s="85">
        <v>43739</v>
      </c>
      <c r="AA3" s="85">
        <v>43770</v>
      </c>
      <c r="AB3" s="85">
        <v>43800</v>
      </c>
      <c r="AC3" s="85" t="s">
        <v>198</v>
      </c>
      <c r="AD3" s="85">
        <v>43831</v>
      </c>
      <c r="AE3" s="85">
        <v>43862</v>
      </c>
      <c r="AF3" s="85">
        <v>43891</v>
      </c>
      <c r="AG3" s="85">
        <v>43922</v>
      </c>
      <c r="AH3" s="85">
        <v>43952</v>
      </c>
      <c r="AI3" s="85">
        <v>43983</v>
      </c>
      <c r="AJ3" s="85">
        <v>44044</v>
      </c>
      <c r="AK3" s="85">
        <v>44075</v>
      </c>
      <c r="AL3" s="85">
        <v>44105</v>
      </c>
      <c r="AM3" s="85">
        <v>44136</v>
      </c>
      <c r="AN3" s="85">
        <v>44166</v>
      </c>
      <c r="AO3" s="85" t="s">
        <v>5</v>
      </c>
      <c r="AP3" s="263">
        <v>44197</v>
      </c>
      <c r="AQ3" s="263">
        <v>44228</v>
      </c>
      <c r="AR3" s="263">
        <v>44256</v>
      </c>
      <c r="AS3" s="263">
        <v>44287</v>
      </c>
      <c r="AT3" s="263">
        <v>44317</v>
      </c>
      <c r="AU3" s="263">
        <v>44348</v>
      </c>
      <c r="AV3" s="298">
        <v>44378</v>
      </c>
      <c r="AW3" s="298">
        <v>44409</v>
      </c>
      <c r="AX3" s="298">
        <v>44440</v>
      </c>
      <c r="AY3" s="298">
        <v>44470</v>
      </c>
      <c r="AZ3" s="298">
        <v>44501</v>
      </c>
      <c r="BA3" s="298">
        <v>44531</v>
      </c>
      <c r="BB3" s="299" t="s">
        <v>6</v>
      </c>
      <c r="BC3" s="298">
        <v>44562</v>
      </c>
      <c r="BD3" s="298">
        <v>44593</v>
      </c>
      <c r="BE3" s="298">
        <v>44621</v>
      </c>
      <c r="BF3" s="298">
        <v>44652</v>
      </c>
      <c r="BG3" s="298">
        <v>44682</v>
      </c>
      <c r="BH3" s="298">
        <v>44713</v>
      </c>
      <c r="BI3" s="298">
        <v>44743</v>
      </c>
      <c r="BJ3" s="298">
        <v>44774</v>
      </c>
      <c r="BK3" s="298">
        <v>44805</v>
      </c>
      <c r="BL3" s="298">
        <v>44835</v>
      </c>
      <c r="BM3" s="298">
        <v>44866</v>
      </c>
      <c r="BN3" s="298">
        <v>44896</v>
      </c>
      <c r="BO3" s="167" t="s">
        <v>7</v>
      </c>
    </row>
    <row r="4" spans="1:67" s="176" customFormat="1">
      <c r="A4" s="173" t="s">
        <v>271</v>
      </c>
      <c r="B4" s="174">
        <f>SUM(B5:B6)</f>
        <v>19363224</v>
      </c>
      <c r="C4" s="174">
        <v>146341322</v>
      </c>
      <c r="D4" s="175">
        <f t="shared" ref="D4:BO4" si="0">SUM(D5:D6)</f>
        <v>228223759.26999998</v>
      </c>
      <c r="E4" s="175">
        <f t="shared" si="0"/>
        <v>211570761.55000001</v>
      </c>
      <c r="F4" s="175">
        <f t="shared" si="0"/>
        <v>182639327.87</v>
      </c>
      <c r="G4" s="175">
        <f t="shared" si="0"/>
        <v>251609445.20999998</v>
      </c>
      <c r="H4" s="175">
        <f t="shared" si="0"/>
        <v>240422856.39999998</v>
      </c>
      <c r="I4" s="174">
        <f t="shared" si="0"/>
        <v>262934929.24000001</v>
      </c>
      <c r="J4" s="175">
        <f t="shared" si="0"/>
        <v>255929123.94999999</v>
      </c>
      <c r="K4" s="175">
        <f t="shared" si="0"/>
        <v>257782556.09999999</v>
      </c>
      <c r="L4" s="175">
        <f t="shared" si="0"/>
        <v>244225744.62</v>
      </c>
      <c r="M4" s="175">
        <f t="shared" si="0"/>
        <v>631460104.08999991</v>
      </c>
      <c r="N4" s="175">
        <f t="shared" si="0"/>
        <v>199888529.81</v>
      </c>
      <c r="O4" s="175">
        <f t="shared" si="0"/>
        <v>158022262.40000001</v>
      </c>
      <c r="P4" s="174">
        <f t="shared" si="0"/>
        <v>158022262</v>
      </c>
      <c r="Q4" s="174">
        <f t="shared" si="0"/>
        <v>258575940.08999997</v>
      </c>
      <c r="R4" s="174">
        <f t="shared" si="0"/>
        <v>278498657.76999998</v>
      </c>
      <c r="S4" s="174">
        <f t="shared" si="0"/>
        <v>242700946.38999999</v>
      </c>
      <c r="T4" s="174">
        <f t="shared" si="0"/>
        <v>237197535.63999999</v>
      </c>
      <c r="U4" s="174">
        <f t="shared" si="0"/>
        <v>191985598.81999999</v>
      </c>
      <c r="V4" s="174">
        <f t="shared" si="0"/>
        <v>231483417.99000001</v>
      </c>
      <c r="W4" s="174">
        <f t="shared" si="0"/>
        <v>215759899.35000002</v>
      </c>
      <c r="X4" s="174">
        <f t="shared" si="0"/>
        <v>195011313.68000001</v>
      </c>
      <c r="Y4" s="174">
        <f t="shared" si="0"/>
        <v>187755768.75999999</v>
      </c>
      <c r="Z4" s="174">
        <f t="shared" si="0"/>
        <v>418798673.26999998</v>
      </c>
      <c r="AA4" s="174">
        <f t="shared" si="0"/>
        <v>253018331.36000001</v>
      </c>
      <c r="AB4" s="174">
        <f t="shared" si="0"/>
        <v>297707204.23000002</v>
      </c>
      <c r="AC4" s="174">
        <f t="shared" si="0"/>
        <v>297726830</v>
      </c>
      <c r="AD4" s="174">
        <f t="shared" si="0"/>
        <v>226624054.06999999</v>
      </c>
      <c r="AE4" s="174">
        <f t="shared" si="0"/>
        <v>306927665.23000002</v>
      </c>
      <c r="AF4" s="174">
        <f t="shared" si="0"/>
        <v>238368293.28</v>
      </c>
      <c r="AG4" s="174">
        <f t="shared" si="0"/>
        <v>265297882.43000001</v>
      </c>
      <c r="AH4" s="174">
        <f t="shared" si="0"/>
        <v>211362343.47999999</v>
      </c>
      <c r="AI4" s="174">
        <f t="shared" si="0"/>
        <v>174905580.5</v>
      </c>
      <c r="AJ4" s="174">
        <f t="shared" si="0"/>
        <v>428094648.72000003</v>
      </c>
      <c r="AK4" s="174">
        <f t="shared" si="0"/>
        <v>145201568.59</v>
      </c>
      <c r="AL4" s="174">
        <f t="shared" si="0"/>
        <v>393503257.88</v>
      </c>
      <c r="AM4" s="174">
        <f t="shared" si="0"/>
        <v>332158920.99000001</v>
      </c>
      <c r="AN4" s="174">
        <f t="shared" si="0"/>
        <v>156713109.56999999</v>
      </c>
      <c r="AO4" s="174">
        <f t="shared" si="0"/>
        <v>156713110</v>
      </c>
      <c r="AP4" s="174">
        <f t="shared" si="0"/>
        <v>187863237.51999998</v>
      </c>
      <c r="AQ4" s="174">
        <f t="shared" si="0"/>
        <v>175376441.53999999</v>
      </c>
      <c r="AR4" s="174">
        <f t="shared" si="0"/>
        <v>156665256.13</v>
      </c>
      <c r="AS4" s="174">
        <f t="shared" si="0"/>
        <v>226043246.98000002</v>
      </c>
      <c r="AT4" s="174">
        <f t="shared" si="0"/>
        <v>206015624.63</v>
      </c>
      <c r="AU4" s="174">
        <f t="shared" si="0"/>
        <v>187689655.13999999</v>
      </c>
      <c r="AV4" s="174">
        <f t="shared" si="0"/>
        <v>231048100.69</v>
      </c>
      <c r="AW4" s="174">
        <f t="shared" si="0"/>
        <v>145408901.87</v>
      </c>
      <c r="AX4" s="174">
        <f t="shared" si="0"/>
        <v>140412021.17000002</v>
      </c>
      <c r="AY4" s="174">
        <f t="shared" si="0"/>
        <v>281114760.04000002</v>
      </c>
      <c r="AZ4" s="174">
        <f t="shared" si="0"/>
        <v>196413808.72</v>
      </c>
      <c r="BA4" s="174">
        <f t="shared" si="0"/>
        <v>522782751.35000002</v>
      </c>
      <c r="BB4" s="174">
        <f t="shared" si="0"/>
        <v>530492225</v>
      </c>
      <c r="BC4" s="174">
        <f t="shared" si="0"/>
        <v>494015835.69</v>
      </c>
      <c r="BD4" s="174">
        <f t="shared" si="0"/>
        <v>468817170.02999997</v>
      </c>
      <c r="BE4" s="174">
        <f t="shared" si="0"/>
        <v>444481465.13999999</v>
      </c>
      <c r="BF4" s="174">
        <f t="shared" si="0"/>
        <v>465476682.22000003</v>
      </c>
      <c r="BG4" s="174">
        <f t="shared" si="0"/>
        <v>462695032.92000002</v>
      </c>
      <c r="BH4" s="174">
        <f t="shared" si="0"/>
        <v>457688844.19999999</v>
      </c>
      <c r="BI4" s="174">
        <f t="shared" si="0"/>
        <v>654793682.57000005</v>
      </c>
      <c r="BJ4" s="174">
        <f t="shared" si="0"/>
        <v>642353694.54999995</v>
      </c>
      <c r="BK4" s="174">
        <f t="shared" si="0"/>
        <v>579707549.07000005</v>
      </c>
      <c r="BL4" s="174">
        <f t="shared" si="0"/>
        <v>551209938.37</v>
      </c>
      <c r="BM4" s="174">
        <f t="shared" si="0"/>
        <v>506646142.53999996</v>
      </c>
      <c r="BN4" s="174">
        <f t="shared" si="0"/>
        <v>456064734.05000001</v>
      </c>
      <c r="BO4" s="174">
        <f t="shared" si="0"/>
        <v>462696652</v>
      </c>
    </row>
    <row r="5" spans="1:67" s="176" customFormat="1" ht="14.45">
      <c r="A5" s="177" t="s">
        <v>272</v>
      </c>
      <c r="B5" s="178">
        <v>19363224</v>
      </c>
      <c r="C5" s="179">
        <v>55804713</v>
      </c>
      <c r="D5" s="180">
        <v>41078112.700000003</v>
      </c>
      <c r="E5" s="181">
        <v>44042528</v>
      </c>
      <c r="F5" s="181">
        <v>43846414</v>
      </c>
      <c r="G5" s="181">
        <v>58887202.450000003</v>
      </c>
      <c r="H5" s="181">
        <v>33959636.299999997</v>
      </c>
      <c r="I5" s="181">
        <v>44835718.399999999</v>
      </c>
      <c r="J5" s="181">
        <v>38501214.100000001</v>
      </c>
      <c r="K5" s="182">
        <v>45417980.600000001</v>
      </c>
      <c r="L5" s="182">
        <v>37737916</v>
      </c>
      <c r="M5" s="182">
        <v>130407996</v>
      </c>
      <c r="N5" s="182">
        <v>57806501.600000001</v>
      </c>
      <c r="O5" s="182">
        <v>48384472.600000001</v>
      </c>
      <c r="P5" s="183">
        <v>62785191</v>
      </c>
      <c r="Q5" s="182">
        <v>59424185.700000003</v>
      </c>
      <c r="R5" s="182">
        <v>43160364.700000003</v>
      </c>
      <c r="S5" s="182">
        <v>38819482</v>
      </c>
      <c r="T5" s="276">
        <v>28307828.850000001</v>
      </c>
      <c r="U5" s="276">
        <v>29580812</v>
      </c>
      <c r="V5" s="277">
        <v>73330547.400000006</v>
      </c>
      <c r="W5" s="182">
        <v>71667327.040000007</v>
      </c>
      <c r="X5" s="182">
        <v>38725456.200000003</v>
      </c>
      <c r="Y5" s="182">
        <v>62358353</v>
      </c>
      <c r="Z5" s="271">
        <v>96355827.099999994</v>
      </c>
      <c r="AA5" s="271">
        <v>74465729.950000003</v>
      </c>
      <c r="AB5" s="271">
        <v>49448037</v>
      </c>
      <c r="AC5" s="201">
        <v>49447937</v>
      </c>
      <c r="AD5" s="271">
        <v>62107085.799999997</v>
      </c>
      <c r="AE5" s="271">
        <v>57753206</v>
      </c>
      <c r="AF5" s="271">
        <v>66453904.25</v>
      </c>
      <c r="AG5" s="271">
        <v>79616560.400000006</v>
      </c>
      <c r="AH5" s="271">
        <v>53998041</v>
      </c>
      <c r="AI5" s="271">
        <v>48385211.100000001</v>
      </c>
      <c r="AJ5" s="271">
        <v>113714867</v>
      </c>
      <c r="AK5" s="271">
        <v>62484585</v>
      </c>
      <c r="AL5" s="271">
        <v>113004662.90000001</v>
      </c>
      <c r="AM5" s="271">
        <v>84062755</v>
      </c>
      <c r="AN5" s="271">
        <v>51522497</v>
      </c>
      <c r="AO5" s="271">
        <f>813564+3327084</f>
        <v>4140648</v>
      </c>
      <c r="AP5" s="271">
        <v>61224936.700000003</v>
      </c>
      <c r="AQ5" s="271">
        <v>83800001.099999994</v>
      </c>
      <c r="AR5" s="271">
        <v>62222729.200000003</v>
      </c>
      <c r="AS5" s="271">
        <v>60722539.200000003</v>
      </c>
      <c r="AT5" s="271">
        <v>60779581</v>
      </c>
      <c r="AU5" s="271">
        <v>61544829.5</v>
      </c>
      <c r="AV5" s="271">
        <v>51925961.700000003</v>
      </c>
      <c r="AW5" s="283">
        <v>59529398.5</v>
      </c>
      <c r="AX5" s="283">
        <v>85693163.5</v>
      </c>
      <c r="AY5" s="284">
        <v>60413270.350000001</v>
      </c>
      <c r="AZ5" s="271">
        <v>51128356</v>
      </c>
      <c r="BA5" s="271">
        <v>64381169</v>
      </c>
      <c r="BB5" s="303">
        <v>64381169</v>
      </c>
      <c r="BC5" s="271">
        <v>69145795.799999997</v>
      </c>
      <c r="BD5" s="271">
        <v>68014766.900000006</v>
      </c>
      <c r="BE5" s="271">
        <v>82469099</v>
      </c>
      <c r="BF5" s="271">
        <v>59972851</v>
      </c>
      <c r="BG5" s="271">
        <v>67738783</v>
      </c>
      <c r="BH5" s="271">
        <v>66886906</v>
      </c>
      <c r="BI5" s="308">
        <v>87677415.75</v>
      </c>
      <c r="BJ5" s="308">
        <v>61761378.649999999</v>
      </c>
      <c r="BK5" s="308">
        <v>69582264.840000004</v>
      </c>
      <c r="BL5" s="308">
        <v>74824343.5</v>
      </c>
      <c r="BM5" s="308">
        <v>65700903.200000003</v>
      </c>
      <c r="BN5" s="308">
        <v>64628526</v>
      </c>
      <c r="BO5" s="300">
        <v>64628526</v>
      </c>
    </row>
    <row r="6" spans="1:67" s="176" customFormat="1" ht="14.45">
      <c r="A6" s="177" t="s">
        <v>273</v>
      </c>
      <c r="B6" s="178"/>
      <c r="C6" s="179">
        <v>90536609</v>
      </c>
      <c r="D6" s="181">
        <v>187145646.56999999</v>
      </c>
      <c r="E6" s="181">
        <v>167528233.55000001</v>
      </c>
      <c r="F6" s="181">
        <v>138792913.87</v>
      </c>
      <c r="G6" s="181">
        <v>192722242.75999999</v>
      </c>
      <c r="H6" s="181">
        <v>206463220.09999999</v>
      </c>
      <c r="I6" s="181">
        <v>218099210.84</v>
      </c>
      <c r="J6" s="181">
        <v>217427909.84999999</v>
      </c>
      <c r="K6" s="182">
        <v>212364575.5</v>
      </c>
      <c r="L6" s="182">
        <v>206487828.62</v>
      </c>
      <c r="M6" s="182">
        <v>501052108.08999997</v>
      </c>
      <c r="N6" s="182">
        <v>142082028.21000001</v>
      </c>
      <c r="O6" s="182">
        <v>109637789.8</v>
      </c>
      <c r="P6" s="183">
        <f>158022262-P5</f>
        <v>95237071</v>
      </c>
      <c r="Q6" s="182">
        <v>199151754.38999999</v>
      </c>
      <c r="R6" s="182">
        <v>235338293.06999999</v>
      </c>
      <c r="S6" s="182">
        <v>203881464.38999999</v>
      </c>
      <c r="T6" s="276">
        <v>208889706.78999999</v>
      </c>
      <c r="U6" s="276">
        <v>162404786.81999999</v>
      </c>
      <c r="V6" s="277">
        <v>158152870.59</v>
      </c>
      <c r="W6" s="182">
        <v>144092572.31</v>
      </c>
      <c r="X6" s="182">
        <v>156285857.47999999</v>
      </c>
      <c r="Y6" s="182">
        <v>125397415.76000001</v>
      </c>
      <c r="Z6" s="271">
        <v>322442846.17000002</v>
      </c>
      <c r="AA6" s="271">
        <v>178552601.41</v>
      </c>
      <c r="AB6" s="271">
        <v>248259167.22999999</v>
      </c>
      <c r="AC6" s="201">
        <f>297726830-AC5</f>
        <v>248278893</v>
      </c>
      <c r="AD6" s="271">
        <v>164516968.27000001</v>
      </c>
      <c r="AE6" s="271">
        <v>249174459.22999999</v>
      </c>
      <c r="AF6" s="271">
        <v>171914389.03</v>
      </c>
      <c r="AG6" s="271">
        <v>185681322.03</v>
      </c>
      <c r="AH6" s="271">
        <v>157364302.47999999</v>
      </c>
      <c r="AI6" s="271">
        <v>126520369.40000001</v>
      </c>
      <c r="AJ6" s="271">
        <v>314379781.72000003</v>
      </c>
      <c r="AK6" s="271">
        <v>82716983.590000004</v>
      </c>
      <c r="AL6" s="271">
        <v>280498594.98000002</v>
      </c>
      <c r="AM6" s="271">
        <v>248096165.99000001</v>
      </c>
      <c r="AN6" s="271">
        <v>105190612.56999999</v>
      </c>
      <c r="AO6" s="271">
        <f>51522497+65821343+10425229+24803393</f>
        <v>152572462</v>
      </c>
      <c r="AP6" s="271">
        <v>126638300.81999999</v>
      </c>
      <c r="AQ6" s="271">
        <v>91576440.439999998</v>
      </c>
      <c r="AR6" s="271">
        <v>94442526.930000007</v>
      </c>
      <c r="AS6" s="271">
        <v>165320707.78</v>
      </c>
      <c r="AT6" s="271">
        <v>145236043.63</v>
      </c>
      <c r="AU6" s="271">
        <v>126144825.64</v>
      </c>
      <c r="AV6" s="271">
        <v>179122138.99000001</v>
      </c>
      <c r="AW6" s="283">
        <v>85879503.370000005</v>
      </c>
      <c r="AX6" s="283">
        <v>54718857.670000002</v>
      </c>
      <c r="AY6" s="283">
        <v>220701489.69</v>
      </c>
      <c r="AZ6" s="271">
        <v>145285452.72</v>
      </c>
      <c r="BA6" s="271">
        <v>458401582.35000002</v>
      </c>
      <c r="BB6" s="300">
        <f>530492225-64381169</f>
        <v>466111056</v>
      </c>
      <c r="BC6" s="271">
        <v>424870039.88999999</v>
      </c>
      <c r="BD6" s="271">
        <v>400802403.13</v>
      </c>
      <c r="BE6" s="271">
        <v>362012366.13999999</v>
      </c>
      <c r="BF6" s="271">
        <v>405503831.22000003</v>
      </c>
      <c r="BG6" s="271">
        <v>394956249.92000002</v>
      </c>
      <c r="BH6" s="271">
        <v>390801938.19999999</v>
      </c>
      <c r="BI6" s="308">
        <v>567116266.82000005</v>
      </c>
      <c r="BJ6" s="308">
        <v>580592315.89999998</v>
      </c>
      <c r="BK6" s="308">
        <v>510125284.23000002</v>
      </c>
      <c r="BL6" s="308">
        <v>476385594.87</v>
      </c>
      <c r="BM6" s="308">
        <v>440945239.33999997</v>
      </c>
      <c r="BN6" s="308">
        <v>391436208.05000001</v>
      </c>
      <c r="BO6" s="300">
        <f>462696652-64628526</f>
        <v>398068126</v>
      </c>
    </row>
    <row r="7" spans="1:67" s="186" customFormat="1" ht="14.45">
      <c r="A7" s="173" t="s">
        <v>274</v>
      </c>
      <c r="B7" s="174">
        <v>13400392</v>
      </c>
      <c r="C7" s="184">
        <v>33675967</v>
      </c>
      <c r="D7" s="175">
        <v>57792330.380000003</v>
      </c>
      <c r="E7" s="175">
        <v>59825625.43</v>
      </c>
      <c r="F7" s="175">
        <v>63306984.299999997</v>
      </c>
      <c r="G7" s="175">
        <v>57783899.579999998</v>
      </c>
      <c r="H7" s="175">
        <v>56778136.700000003</v>
      </c>
      <c r="I7" s="185">
        <v>53982137.520000003</v>
      </c>
      <c r="J7" s="185">
        <v>48227457.270000003</v>
      </c>
      <c r="K7" s="182">
        <v>46803470.219999999</v>
      </c>
      <c r="L7" s="182">
        <v>45410735.68</v>
      </c>
      <c r="M7" s="182">
        <v>43995364.670000002</v>
      </c>
      <c r="N7" s="182">
        <v>43384719.659999996</v>
      </c>
      <c r="O7" s="182">
        <v>43391660.509999998</v>
      </c>
      <c r="P7" s="183">
        <f>8399391+15451011</f>
        <v>23850402</v>
      </c>
      <c r="Q7" s="182">
        <v>47921955.850000001</v>
      </c>
      <c r="R7" s="182">
        <v>51082653.07</v>
      </c>
      <c r="S7" s="182">
        <v>51563661.649999999</v>
      </c>
      <c r="T7" s="276">
        <v>51398380.439999998</v>
      </c>
      <c r="U7" s="276">
        <v>43978623.890000001</v>
      </c>
      <c r="V7" s="277">
        <v>42817232.5</v>
      </c>
      <c r="W7" s="182">
        <v>41620418.799999997</v>
      </c>
      <c r="X7" s="182">
        <v>40267974.090000004</v>
      </c>
      <c r="Y7" s="182">
        <v>40192889.340000004</v>
      </c>
      <c r="Z7" s="271">
        <v>40101571.350000001</v>
      </c>
      <c r="AA7" s="271">
        <v>49215178.509999998</v>
      </c>
      <c r="AB7" s="271">
        <v>47907968.850000001</v>
      </c>
      <c r="AC7" s="202">
        <f>11786794+5292497</f>
        <v>17079291</v>
      </c>
      <c r="AD7" s="271">
        <v>46827532.509999998</v>
      </c>
      <c r="AE7" s="271">
        <v>47512528.93</v>
      </c>
      <c r="AF7" s="271">
        <v>46284044.829999998</v>
      </c>
      <c r="AG7" s="271">
        <v>44952524.770000003</v>
      </c>
      <c r="AH7" s="271">
        <v>44205077.890000001</v>
      </c>
      <c r="AI7" s="271">
        <v>43487503.270000003</v>
      </c>
      <c r="AJ7" s="271">
        <v>84199623.760000005</v>
      </c>
      <c r="AK7" s="271">
        <v>45885177.649999999</v>
      </c>
      <c r="AL7" s="271">
        <v>41636902.600000001</v>
      </c>
      <c r="AM7" s="271">
        <v>42531385.600000001</v>
      </c>
      <c r="AN7" s="271">
        <v>52142129.659999996</v>
      </c>
      <c r="AO7" s="271">
        <f>16960572+4344812</f>
        <v>21305384</v>
      </c>
      <c r="AP7" s="271">
        <v>45862256.579999998</v>
      </c>
      <c r="AQ7" s="271">
        <v>47119769.710000001</v>
      </c>
      <c r="AR7" s="271">
        <v>46811425.579999998</v>
      </c>
      <c r="AS7" s="271">
        <v>47788110.039999999</v>
      </c>
      <c r="AT7" s="271">
        <v>45954032.210000001</v>
      </c>
      <c r="AU7" s="271">
        <v>45590267.32</v>
      </c>
      <c r="AV7" s="271">
        <v>46224425.590000004</v>
      </c>
      <c r="AW7" s="283">
        <v>46801125.509999998</v>
      </c>
      <c r="AX7" s="283">
        <v>44675574.939999998</v>
      </c>
      <c r="AY7" s="283">
        <v>42564364.82</v>
      </c>
      <c r="AZ7" s="271">
        <v>45732474.899999999</v>
      </c>
      <c r="BA7" s="271">
        <v>55232865.439999998</v>
      </c>
      <c r="BB7" s="300">
        <f>118292577+17352027</f>
        <v>135644604</v>
      </c>
      <c r="BC7" s="271">
        <v>58356035.479999997</v>
      </c>
      <c r="BD7" s="271">
        <v>55923611.979999997</v>
      </c>
      <c r="BE7" s="271">
        <v>55493631.479999997</v>
      </c>
      <c r="BF7" s="271">
        <v>54618963.829999998</v>
      </c>
      <c r="BG7" s="271">
        <v>53940351.390000001</v>
      </c>
      <c r="BH7" s="271">
        <v>53846481.43</v>
      </c>
      <c r="BI7" s="308">
        <v>52726225.450000003</v>
      </c>
      <c r="BJ7" s="308">
        <v>51602870.719999999</v>
      </c>
      <c r="BK7" s="308">
        <v>41951832.950000003</v>
      </c>
      <c r="BL7" s="308">
        <v>45755008.469999999</v>
      </c>
      <c r="BM7" s="308">
        <v>45995273.329999998</v>
      </c>
      <c r="BN7" s="308">
        <v>43944403.880000003</v>
      </c>
      <c r="BO7" s="300">
        <f>129363809+10138168</f>
        <v>139501977</v>
      </c>
    </row>
    <row r="8" spans="1:67" s="176" customFormat="1">
      <c r="A8" s="173" t="s">
        <v>275</v>
      </c>
      <c r="B8" s="175">
        <f t="shared" ref="B8:BM8" si="1">SUM(B9:B13)</f>
        <v>472260</v>
      </c>
      <c r="C8" s="175">
        <f t="shared" si="1"/>
        <v>208785388</v>
      </c>
      <c r="D8" s="175">
        <f t="shared" si="1"/>
        <v>48835388.43</v>
      </c>
      <c r="E8" s="175">
        <f t="shared" si="1"/>
        <v>48885388.43</v>
      </c>
      <c r="F8" s="175">
        <f t="shared" si="1"/>
        <v>48935388.43</v>
      </c>
      <c r="G8" s="175">
        <f t="shared" si="1"/>
        <v>48985388.43</v>
      </c>
      <c r="H8" s="175">
        <f t="shared" si="1"/>
        <v>49035388.43</v>
      </c>
      <c r="I8" s="175">
        <f t="shared" si="1"/>
        <v>49085388.43</v>
      </c>
      <c r="J8" s="175">
        <f t="shared" si="1"/>
        <v>49135388.43</v>
      </c>
      <c r="K8" s="175">
        <f t="shared" si="1"/>
        <v>49385388.43</v>
      </c>
      <c r="L8" s="175">
        <f t="shared" si="1"/>
        <v>49435388.43</v>
      </c>
      <c r="M8" s="175">
        <f t="shared" si="1"/>
        <v>49485388.43</v>
      </c>
      <c r="N8" s="175">
        <f t="shared" si="1"/>
        <v>339535388.43000001</v>
      </c>
      <c r="O8" s="175">
        <f t="shared" si="1"/>
        <v>389627444.74000001</v>
      </c>
      <c r="P8" s="174">
        <f t="shared" si="1"/>
        <v>389627445</v>
      </c>
      <c r="Q8" s="174">
        <f t="shared" si="1"/>
        <v>239627444.74000001</v>
      </c>
      <c r="R8" s="174">
        <f t="shared" si="1"/>
        <v>199677444.74000001</v>
      </c>
      <c r="S8" s="174">
        <f t="shared" si="1"/>
        <v>199727444.74000001</v>
      </c>
      <c r="T8" s="174">
        <f t="shared" si="1"/>
        <v>199827444.74000001</v>
      </c>
      <c r="U8" s="174">
        <f t="shared" si="1"/>
        <v>206575084.74000001</v>
      </c>
      <c r="V8" s="174">
        <f t="shared" si="1"/>
        <v>226625084.74000001</v>
      </c>
      <c r="W8" s="174">
        <f t="shared" si="1"/>
        <v>226575084.74000001</v>
      </c>
      <c r="X8" s="174">
        <f t="shared" si="1"/>
        <v>226625084.74000001</v>
      </c>
      <c r="Y8" s="174">
        <f t="shared" si="1"/>
        <v>226675084.74000001</v>
      </c>
      <c r="Z8" s="174">
        <f t="shared" si="1"/>
        <v>776056880.19000006</v>
      </c>
      <c r="AA8" s="174">
        <f t="shared" si="1"/>
        <v>945970277.73000002</v>
      </c>
      <c r="AB8" s="174">
        <f t="shared" si="1"/>
        <v>858139415.81999993</v>
      </c>
      <c r="AC8" s="174">
        <f t="shared" si="1"/>
        <v>252130090</v>
      </c>
      <c r="AD8" s="174">
        <f t="shared" si="1"/>
        <v>277180090.27999997</v>
      </c>
      <c r="AE8" s="174">
        <f t="shared" si="1"/>
        <v>187230090.28</v>
      </c>
      <c r="AF8" s="174">
        <f t="shared" si="1"/>
        <v>237330090.28</v>
      </c>
      <c r="AG8" s="174">
        <f t="shared" si="1"/>
        <v>257330090.28</v>
      </c>
      <c r="AH8" s="174">
        <f t="shared" si="1"/>
        <v>307380090.27999997</v>
      </c>
      <c r="AI8" s="174">
        <f t="shared" si="1"/>
        <v>357441696.62</v>
      </c>
      <c r="AJ8" s="174">
        <f t="shared" si="1"/>
        <v>615107413.96000004</v>
      </c>
      <c r="AK8" s="174">
        <f t="shared" si="1"/>
        <v>357603706.98000002</v>
      </c>
      <c r="AL8" s="174">
        <f t="shared" si="1"/>
        <v>332603706.98000002</v>
      </c>
      <c r="AM8" s="174">
        <f t="shared" si="1"/>
        <v>384720302.48000002</v>
      </c>
      <c r="AN8" s="174">
        <f t="shared" si="1"/>
        <v>484770302.48000002</v>
      </c>
      <c r="AO8" s="174">
        <f t="shared" si="1"/>
        <v>484770303</v>
      </c>
      <c r="AP8" s="174">
        <f t="shared" si="1"/>
        <v>434845965.20999998</v>
      </c>
      <c r="AQ8" s="174">
        <f t="shared" si="1"/>
        <v>434895965.20999998</v>
      </c>
      <c r="AR8" s="174">
        <f t="shared" si="1"/>
        <v>439945965.20999998</v>
      </c>
      <c r="AS8" s="174">
        <f t="shared" si="1"/>
        <v>409995965.20999998</v>
      </c>
      <c r="AT8" s="174">
        <f t="shared" si="1"/>
        <v>400045965.20999998</v>
      </c>
      <c r="AU8" s="174">
        <f t="shared" si="1"/>
        <v>400122507.25999999</v>
      </c>
      <c r="AV8" s="174">
        <f t="shared" si="1"/>
        <v>350122507.25999999</v>
      </c>
      <c r="AW8" s="174">
        <f t="shared" si="1"/>
        <v>400276474.06999999</v>
      </c>
      <c r="AX8" s="174">
        <f t="shared" si="1"/>
        <v>380326474.06999999</v>
      </c>
      <c r="AY8" s="174">
        <f t="shared" si="1"/>
        <v>310376474.06999999</v>
      </c>
      <c r="AZ8" s="174">
        <f t="shared" si="1"/>
        <v>310376474.06999999</v>
      </c>
      <c r="BA8" s="174">
        <f t="shared" si="1"/>
        <v>60476474.07</v>
      </c>
      <c r="BB8" s="174">
        <f t="shared" si="1"/>
        <v>54537561</v>
      </c>
      <c r="BC8" s="174">
        <f t="shared" si="1"/>
        <v>60476474.07</v>
      </c>
      <c r="BD8" s="174">
        <f t="shared" si="1"/>
        <v>60526474.07</v>
      </c>
      <c r="BE8" s="174">
        <f t="shared" si="1"/>
        <v>60576474.07</v>
      </c>
      <c r="BF8" s="174">
        <f t="shared" si="1"/>
        <v>60676474.07</v>
      </c>
      <c r="BG8" s="174">
        <f t="shared" si="1"/>
        <v>60726474.07</v>
      </c>
      <c r="BH8" s="174">
        <f t="shared" si="1"/>
        <v>60806573.530000001</v>
      </c>
      <c r="BI8" s="174">
        <f t="shared" si="1"/>
        <v>60856573.530000001</v>
      </c>
      <c r="BJ8" s="174">
        <f t="shared" si="1"/>
        <v>60906573.530000001</v>
      </c>
      <c r="BK8" s="174">
        <f t="shared" si="1"/>
        <v>60956573.530000001</v>
      </c>
      <c r="BL8" s="174">
        <f t="shared" si="1"/>
        <v>61006573.530000001</v>
      </c>
      <c r="BM8" s="174">
        <f t="shared" si="1"/>
        <v>61119478.43</v>
      </c>
      <c r="BN8" s="174">
        <f t="shared" ref="BN8:BO8" si="2">SUM(BN9:BN13)</f>
        <v>61169478.43</v>
      </c>
      <c r="BO8" s="174">
        <f>SUM(BO9:BO13)</f>
        <v>52132561</v>
      </c>
    </row>
    <row r="9" spans="1:67" s="176" customFormat="1" ht="14.45">
      <c r="A9" s="177" t="s">
        <v>276</v>
      </c>
      <c r="B9" s="178"/>
      <c r="C9" s="187">
        <v>163298467</v>
      </c>
      <c r="D9" s="181">
        <v>0</v>
      </c>
      <c r="E9" s="181">
        <v>0</v>
      </c>
      <c r="F9" s="181">
        <v>0</v>
      </c>
      <c r="G9" s="188">
        <v>0</v>
      </c>
      <c r="H9" s="181">
        <v>0</v>
      </c>
      <c r="I9" s="181">
        <v>0</v>
      </c>
      <c r="J9" s="181">
        <v>0</v>
      </c>
      <c r="K9" s="182">
        <v>0</v>
      </c>
      <c r="L9" s="182">
        <v>0</v>
      </c>
      <c r="M9" s="182">
        <v>0</v>
      </c>
      <c r="N9" s="182">
        <v>0</v>
      </c>
      <c r="O9" s="182">
        <v>0</v>
      </c>
      <c r="P9" s="183">
        <v>343940523</v>
      </c>
      <c r="Q9" s="182">
        <v>0</v>
      </c>
      <c r="R9" s="182">
        <v>0</v>
      </c>
      <c r="S9" s="182">
        <v>0</v>
      </c>
      <c r="T9" s="276">
        <v>0</v>
      </c>
      <c r="U9" s="276">
        <v>0</v>
      </c>
      <c r="V9" s="277">
        <v>0</v>
      </c>
      <c r="W9" s="182">
        <v>0</v>
      </c>
      <c r="X9" s="182">
        <v>0</v>
      </c>
      <c r="Y9" s="182">
        <v>0</v>
      </c>
      <c r="Z9" s="271">
        <v>0</v>
      </c>
      <c r="AA9" s="271">
        <v>0</v>
      </c>
      <c r="AB9" s="271">
        <v>0</v>
      </c>
      <c r="AD9" s="271">
        <v>0</v>
      </c>
      <c r="AE9" s="271">
        <v>0</v>
      </c>
      <c r="AF9" s="271">
        <v>0</v>
      </c>
      <c r="AG9" s="271">
        <v>0</v>
      </c>
      <c r="AH9" s="271">
        <v>0</v>
      </c>
      <c r="AI9" s="271">
        <v>0</v>
      </c>
      <c r="AJ9" s="271">
        <v>0</v>
      </c>
      <c r="AK9" s="271">
        <v>0</v>
      </c>
      <c r="AL9" s="271">
        <v>0</v>
      </c>
      <c r="AM9" s="271">
        <v>0</v>
      </c>
      <c r="AN9" s="271">
        <v>0</v>
      </c>
      <c r="AO9" s="271">
        <v>0</v>
      </c>
      <c r="AP9" s="271">
        <v>0</v>
      </c>
      <c r="AQ9" s="271">
        <v>0</v>
      </c>
      <c r="AR9" s="271">
        <v>0</v>
      </c>
      <c r="AS9" s="271">
        <v>0</v>
      </c>
      <c r="AT9" s="271">
        <v>0</v>
      </c>
      <c r="AU9" s="271">
        <v>0</v>
      </c>
      <c r="AV9" s="271">
        <v>0</v>
      </c>
      <c r="AW9" s="282">
        <v>0</v>
      </c>
      <c r="AX9" s="292">
        <v>0</v>
      </c>
      <c r="AY9" s="292">
        <v>0</v>
      </c>
      <c r="AZ9" s="271">
        <v>0</v>
      </c>
      <c r="BA9" s="271">
        <v>0</v>
      </c>
      <c r="BB9" s="300"/>
      <c r="BC9" s="271">
        <v>0</v>
      </c>
      <c r="BD9" s="271">
        <v>0</v>
      </c>
      <c r="BE9" s="271">
        <v>0</v>
      </c>
      <c r="BF9" s="271">
        <v>0</v>
      </c>
      <c r="BG9" s="271">
        <v>0</v>
      </c>
      <c r="BH9" s="271">
        <v>0</v>
      </c>
      <c r="BI9" s="308">
        <v>0</v>
      </c>
      <c r="BJ9" s="308">
        <v>0</v>
      </c>
      <c r="BK9" s="308">
        <v>0</v>
      </c>
      <c r="BL9" s="308">
        <v>0</v>
      </c>
      <c r="BM9" s="308">
        <v>0</v>
      </c>
      <c r="BN9" s="308">
        <v>0</v>
      </c>
      <c r="BO9" s="316">
        <v>0</v>
      </c>
    </row>
    <row r="10" spans="1:67" s="176" customFormat="1" ht="14.45">
      <c r="A10" s="177" t="s">
        <v>277</v>
      </c>
      <c r="B10" s="178"/>
      <c r="C10" s="187">
        <v>0</v>
      </c>
      <c r="D10" s="189">
        <v>0</v>
      </c>
      <c r="E10" s="181">
        <v>0</v>
      </c>
      <c r="F10" s="181">
        <v>0</v>
      </c>
      <c r="G10" s="188">
        <v>0</v>
      </c>
      <c r="H10" s="181">
        <v>0</v>
      </c>
      <c r="I10" s="181">
        <v>0</v>
      </c>
      <c r="J10" s="181">
        <v>0</v>
      </c>
      <c r="K10" s="182">
        <v>0</v>
      </c>
      <c r="L10" s="182">
        <v>0</v>
      </c>
      <c r="M10" s="182">
        <v>0</v>
      </c>
      <c r="N10" s="182">
        <v>0</v>
      </c>
      <c r="O10" s="182">
        <v>0</v>
      </c>
      <c r="P10" s="183">
        <v>0</v>
      </c>
      <c r="Q10" s="182">
        <v>0</v>
      </c>
      <c r="R10" s="182">
        <v>0</v>
      </c>
      <c r="S10" s="182">
        <v>0</v>
      </c>
      <c r="T10" s="276">
        <v>0</v>
      </c>
      <c r="U10" s="276">
        <v>0</v>
      </c>
      <c r="V10" s="277">
        <v>0</v>
      </c>
      <c r="W10" s="182">
        <v>0</v>
      </c>
      <c r="X10" s="182">
        <v>0</v>
      </c>
      <c r="Y10" s="182">
        <v>0</v>
      </c>
      <c r="Z10" s="271">
        <v>0</v>
      </c>
      <c r="AA10" s="271">
        <v>0</v>
      </c>
      <c r="AB10" s="271">
        <v>0</v>
      </c>
      <c r="AD10" s="271">
        <v>0</v>
      </c>
      <c r="AE10" s="271">
        <v>0</v>
      </c>
      <c r="AF10" s="271">
        <v>0</v>
      </c>
      <c r="AG10" s="271">
        <v>0</v>
      </c>
      <c r="AH10" s="271">
        <v>0</v>
      </c>
      <c r="AI10" s="271">
        <v>0</v>
      </c>
      <c r="AJ10" s="271">
        <v>0</v>
      </c>
      <c r="AK10" s="271">
        <v>0</v>
      </c>
      <c r="AL10" s="271">
        <v>0</v>
      </c>
      <c r="AM10" s="271">
        <v>0</v>
      </c>
      <c r="AN10" s="271">
        <v>0</v>
      </c>
      <c r="AO10" s="271">
        <v>0</v>
      </c>
      <c r="AP10" s="271">
        <v>0</v>
      </c>
      <c r="AQ10" s="271">
        <v>0</v>
      </c>
      <c r="AR10" s="271">
        <v>0</v>
      </c>
      <c r="AS10" s="271">
        <v>0</v>
      </c>
      <c r="AT10" s="271">
        <v>0</v>
      </c>
      <c r="AU10" s="271">
        <v>0</v>
      </c>
      <c r="AV10" s="271">
        <v>0</v>
      </c>
      <c r="AW10" s="282">
        <v>0</v>
      </c>
      <c r="AX10" s="282">
        <v>0</v>
      </c>
      <c r="AY10" s="282">
        <v>0</v>
      </c>
      <c r="AZ10" s="271">
        <v>0</v>
      </c>
      <c r="BA10" s="271">
        <v>0</v>
      </c>
      <c r="BB10" s="301"/>
      <c r="BC10" s="271">
        <v>0</v>
      </c>
      <c r="BD10" s="271">
        <v>0</v>
      </c>
      <c r="BE10" s="271">
        <v>0</v>
      </c>
      <c r="BF10" s="271">
        <v>0</v>
      </c>
      <c r="BG10" s="271">
        <v>0</v>
      </c>
      <c r="BH10" s="271">
        <v>0</v>
      </c>
      <c r="BI10" s="308">
        <v>0</v>
      </c>
      <c r="BJ10" s="308">
        <v>0</v>
      </c>
      <c r="BK10" s="308">
        <v>0</v>
      </c>
      <c r="BL10" s="308">
        <v>0</v>
      </c>
      <c r="BM10" s="308">
        <v>0</v>
      </c>
      <c r="BN10" s="308">
        <v>0</v>
      </c>
      <c r="BO10" s="316">
        <v>0</v>
      </c>
    </row>
    <row r="11" spans="1:67" s="176" customFormat="1" ht="14.45">
      <c r="A11" s="177" t="s">
        <v>278</v>
      </c>
      <c r="B11" s="178"/>
      <c r="C11" s="181">
        <v>12538388</v>
      </c>
      <c r="D11" s="181"/>
      <c r="E11" s="181"/>
      <c r="F11" s="181"/>
      <c r="G11" s="188"/>
      <c r="H11" s="181"/>
      <c r="I11" s="181"/>
      <c r="J11" s="181">
        <v>0</v>
      </c>
      <c r="K11" s="182">
        <v>0</v>
      </c>
      <c r="L11" s="182">
        <v>0</v>
      </c>
      <c r="M11" s="182">
        <v>0</v>
      </c>
      <c r="N11" s="182">
        <v>0</v>
      </c>
      <c r="O11" s="182">
        <v>0</v>
      </c>
      <c r="P11" s="183">
        <f>45686922-P13</f>
        <v>44751922</v>
      </c>
      <c r="Q11" s="182">
        <v>0</v>
      </c>
      <c r="R11" s="182">
        <v>0</v>
      </c>
      <c r="S11" s="182">
        <v>0</v>
      </c>
      <c r="T11" s="276">
        <v>0</v>
      </c>
      <c r="U11" s="276">
        <v>0</v>
      </c>
      <c r="V11" s="277">
        <v>0</v>
      </c>
      <c r="W11" s="182">
        <v>0</v>
      </c>
      <c r="X11" s="182">
        <v>0</v>
      </c>
      <c r="Y11" s="182">
        <v>0</v>
      </c>
      <c r="Z11" s="271">
        <v>0</v>
      </c>
      <c r="AA11" s="271">
        <v>0</v>
      </c>
      <c r="AB11" s="271">
        <v>0</v>
      </c>
      <c r="AC11" s="201">
        <v>252130090</v>
      </c>
      <c r="AD11" s="271">
        <v>277180090.27999997</v>
      </c>
      <c r="AE11" s="271">
        <v>187230090.28</v>
      </c>
      <c r="AF11" s="271">
        <v>237330090.28</v>
      </c>
      <c r="AG11" s="271">
        <v>257330090.28</v>
      </c>
      <c r="AH11" s="271">
        <v>307380090.27999997</v>
      </c>
      <c r="AI11" s="271">
        <v>357441696.62</v>
      </c>
      <c r="AJ11" s="271">
        <v>615107413.96000004</v>
      </c>
      <c r="AK11" s="271">
        <v>357603706.98000002</v>
      </c>
      <c r="AL11" s="271">
        <v>332603706.98000002</v>
      </c>
      <c r="AM11" s="271">
        <v>384720302.48000002</v>
      </c>
      <c r="AN11" s="271">
        <v>484770302.48000002</v>
      </c>
      <c r="AO11" s="271">
        <v>430232742</v>
      </c>
      <c r="AP11" s="271">
        <v>0</v>
      </c>
      <c r="AQ11" s="271">
        <v>0</v>
      </c>
      <c r="AR11" s="271">
        <v>0</v>
      </c>
      <c r="AS11" s="271">
        <v>0</v>
      </c>
      <c r="AT11" s="271">
        <v>0</v>
      </c>
      <c r="AU11" s="271">
        <v>0</v>
      </c>
      <c r="AV11" s="271">
        <v>0</v>
      </c>
      <c r="AW11" s="282">
        <v>0</v>
      </c>
      <c r="AX11" s="282">
        <v>0</v>
      </c>
      <c r="AY11" s="282">
        <v>0</v>
      </c>
      <c r="AZ11" s="271">
        <v>0</v>
      </c>
      <c r="BA11" s="271">
        <v>0</v>
      </c>
      <c r="BB11" s="300"/>
      <c r="BC11" s="271">
        <v>0</v>
      </c>
      <c r="BD11" s="271">
        <v>0</v>
      </c>
      <c r="BE11" s="271">
        <v>0</v>
      </c>
      <c r="BF11" s="271">
        <v>0</v>
      </c>
      <c r="BG11" s="271">
        <v>0</v>
      </c>
      <c r="BH11" s="271">
        <v>0</v>
      </c>
      <c r="BI11" s="308">
        <v>0</v>
      </c>
      <c r="BJ11" s="308">
        <v>0</v>
      </c>
      <c r="BK11" s="308">
        <v>0</v>
      </c>
      <c r="BL11" s="308">
        <v>0</v>
      </c>
      <c r="BM11" s="308">
        <v>0</v>
      </c>
      <c r="BN11" s="308">
        <v>0</v>
      </c>
      <c r="BO11" s="316">
        <v>0</v>
      </c>
    </row>
    <row r="12" spans="1:67" s="176" customFormat="1" ht="16.5" customHeight="1">
      <c r="A12" s="256" t="s">
        <v>279</v>
      </c>
      <c r="B12" s="178"/>
      <c r="C12" s="181"/>
      <c r="D12" s="181"/>
      <c r="E12" s="181"/>
      <c r="F12" s="181"/>
      <c r="G12" s="188"/>
      <c r="H12" s="181"/>
      <c r="I12" s="181"/>
      <c r="J12" s="181"/>
      <c r="K12" s="182"/>
      <c r="L12" s="182"/>
      <c r="M12" s="182"/>
      <c r="N12" s="182"/>
      <c r="O12" s="182"/>
      <c r="P12" s="183"/>
      <c r="Q12" s="182"/>
      <c r="R12" s="182"/>
      <c r="S12" s="182"/>
      <c r="T12" s="276"/>
      <c r="U12" s="276"/>
      <c r="V12" s="277"/>
      <c r="W12" s="182"/>
      <c r="X12" s="182"/>
      <c r="Y12" s="182"/>
      <c r="Z12" s="271">
        <v>227018886.94999999</v>
      </c>
      <c r="AA12" s="271">
        <v>357068886.94999999</v>
      </c>
      <c r="AB12" s="271">
        <v>252118886.94999999</v>
      </c>
      <c r="AC12" s="201"/>
      <c r="AD12" s="271"/>
      <c r="AE12" s="271"/>
      <c r="AF12" s="271"/>
      <c r="AG12" s="271"/>
      <c r="AH12" s="271"/>
      <c r="AI12" s="271"/>
      <c r="AJ12" s="271"/>
      <c r="AK12" s="271"/>
      <c r="AL12" s="271"/>
      <c r="AM12" s="271"/>
      <c r="AN12" s="271"/>
      <c r="AO12" s="271">
        <f>54537561-AO13</f>
        <v>53602561</v>
      </c>
      <c r="BB12" s="201"/>
      <c r="BK12" s="308">
        <v>0</v>
      </c>
      <c r="BO12" s="201">
        <v>10330729</v>
      </c>
    </row>
    <row r="13" spans="1:67" s="176" customFormat="1" ht="14.45">
      <c r="A13" s="177" t="s">
        <v>280</v>
      </c>
      <c r="B13" s="181">
        <v>472260</v>
      </c>
      <c r="C13" s="187">
        <v>32948533</v>
      </c>
      <c r="D13" s="181">
        <v>48835388.43</v>
      </c>
      <c r="E13" s="181">
        <v>48885388.43</v>
      </c>
      <c r="F13" s="181">
        <v>48935388.43</v>
      </c>
      <c r="G13" s="188">
        <v>48985388.43</v>
      </c>
      <c r="H13" s="181">
        <v>49035388.43</v>
      </c>
      <c r="I13" s="181">
        <v>49085388.43</v>
      </c>
      <c r="J13" s="181">
        <v>49135388.43</v>
      </c>
      <c r="K13" s="182">
        <v>49385388.43</v>
      </c>
      <c r="L13" s="182">
        <v>49435388.43</v>
      </c>
      <c r="M13" s="182">
        <v>49485388.43</v>
      </c>
      <c r="N13" s="182">
        <v>339535388.43000001</v>
      </c>
      <c r="O13" s="182">
        <v>389627444.74000001</v>
      </c>
      <c r="P13" s="183">
        <f>935000</f>
        <v>935000</v>
      </c>
      <c r="Q13" s="182">
        <v>239627444.74000001</v>
      </c>
      <c r="R13" s="182">
        <v>199677444.74000001</v>
      </c>
      <c r="S13" s="182">
        <v>199727444.74000001</v>
      </c>
      <c r="T13" s="276">
        <v>199827444.74000001</v>
      </c>
      <c r="U13" s="276">
        <v>206575084.74000001</v>
      </c>
      <c r="V13" s="277">
        <v>226625084.74000001</v>
      </c>
      <c r="W13" s="182">
        <v>226575084.74000001</v>
      </c>
      <c r="X13" s="182">
        <v>226625084.74000001</v>
      </c>
      <c r="Y13" s="182">
        <v>226675084.74000001</v>
      </c>
      <c r="Z13" s="278">
        <v>549037993.24000001</v>
      </c>
      <c r="AA13" s="278">
        <v>588901390.77999997</v>
      </c>
      <c r="AB13" s="278">
        <v>606020528.87</v>
      </c>
      <c r="AD13" s="271"/>
      <c r="AE13" s="271"/>
      <c r="AF13" s="271"/>
      <c r="AG13" s="271"/>
      <c r="AH13" s="271"/>
      <c r="AI13" s="271"/>
      <c r="AJ13" s="271"/>
      <c r="AK13" s="271"/>
      <c r="AL13" s="271"/>
      <c r="AM13" s="271"/>
      <c r="AN13" s="271"/>
      <c r="AO13" s="271">
        <v>935000</v>
      </c>
      <c r="AP13" s="271">
        <v>434845965.20999998</v>
      </c>
      <c r="AQ13" s="271">
        <v>434895965.20999998</v>
      </c>
      <c r="AR13" s="271">
        <v>439945965.20999998</v>
      </c>
      <c r="AS13" s="271">
        <v>409995965.20999998</v>
      </c>
      <c r="AT13" s="271">
        <v>400045965.20999998</v>
      </c>
      <c r="AU13" s="271">
        <v>400122507.25999999</v>
      </c>
      <c r="AV13" s="271">
        <v>350122507.25999999</v>
      </c>
      <c r="AW13" s="283">
        <v>400276474.06999999</v>
      </c>
      <c r="AX13" s="283">
        <v>380326474.06999999</v>
      </c>
      <c r="AY13" s="283">
        <v>310376474.06999999</v>
      </c>
      <c r="AZ13" s="271">
        <v>310376474.06999999</v>
      </c>
      <c r="BA13" s="271">
        <v>60476474.07</v>
      </c>
      <c r="BB13" s="300">
        <v>54537561</v>
      </c>
      <c r="BC13" s="308">
        <v>60476474.07</v>
      </c>
      <c r="BD13" s="308">
        <v>60526474.07</v>
      </c>
      <c r="BE13" s="308">
        <v>60576474.07</v>
      </c>
      <c r="BF13" s="308">
        <v>60676474.07</v>
      </c>
      <c r="BG13" s="308">
        <v>60726474.07</v>
      </c>
      <c r="BH13" s="308">
        <v>60806573.530000001</v>
      </c>
      <c r="BI13" s="308">
        <v>60856573.530000001</v>
      </c>
      <c r="BJ13" s="308">
        <v>60906573.530000001</v>
      </c>
      <c r="BK13" s="308">
        <v>60956573.530000001</v>
      </c>
      <c r="BL13" s="308">
        <v>61006573.530000001</v>
      </c>
      <c r="BM13" s="308">
        <v>61119478.43</v>
      </c>
      <c r="BN13" s="308">
        <v>61169478.43</v>
      </c>
      <c r="BO13" s="300">
        <f>935000+1279992+1000+39585840</f>
        <v>41801832</v>
      </c>
    </row>
    <row r="14" spans="1:67" s="176" customFormat="1">
      <c r="A14" s="173" t="s">
        <v>281</v>
      </c>
      <c r="B14" s="174">
        <f t="shared" ref="B14:G14" si="3">(B15-B16)</f>
        <v>112905266</v>
      </c>
      <c r="C14" s="174">
        <f t="shared" si="3"/>
        <v>685110959</v>
      </c>
      <c r="D14" s="174">
        <f t="shared" si="3"/>
        <v>672566881.88999999</v>
      </c>
      <c r="E14" s="174">
        <f t="shared" si="3"/>
        <v>673849166.5999999</v>
      </c>
      <c r="F14" s="174">
        <f t="shared" si="3"/>
        <v>677628004.57999992</v>
      </c>
      <c r="G14" s="174">
        <f t="shared" si="3"/>
        <v>678377070.57000005</v>
      </c>
      <c r="H14" s="174">
        <f t="shared" ref="H14:BO14" si="4">(H15-H16)</f>
        <v>682267335.1500001</v>
      </c>
      <c r="I14" s="174">
        <f t="shared" si="4"/>
        <v>682668361.53999996</v>
      </c>
      <c r="J14" s="174">
        <f t="shared" si="4"/>
        <v>676223775.87</v>
      </c>
      <c r="K14" s="174">
        <f t="shared" si="4"/>
        <v>673819468.60000002</v>
      </c>
      <c r="L14" s="174">
        <f t="shared" si="4"/>
        <v>678451149.19000006</v>
      </c>
      <c r="M14" s="174">
        <f t="shared" si="4"/>
        <v>512602227.41999996</v>
      </c>
      <c r="N14" s="174">
        <f t="shared" si="4"/>
        <v>558996576.93000007</v>
      </c>
      <c r="O14" s="174">
        <f t="shared" si="4"/>
        <v>578467516.33000004</v>
      </c>
      <c r="P14" s="174">
        <f t="shared" si="4"/>
        <v>627967516</v>
      </c>
      <c r="Q14" s="174">
        <f t="shared" si="4"/>
        <v>595868657.73000002</v>
      </c>
      <c r="R14" s="174">
        <f t="shared" si="4"/>
        <v>619780266.39999998</v>
      </c>
      <c r="S14" s="174">
        <f t="shared" si="4"/>
        <v>620977124.93999994</v>
      </c>
      <c r="T14" s="174">
        <f t="shared" si="4"/>
        <v>622776537.63999999</v>
      </c>
      <c r="U14" s="174">
        <f t="shared" si="4"/>
        <v>632271922.41999996</v>
      </c>
      <c r="V14" s="174">
        <f t="shared" si="4"/>
        <v>622159904.50999999</v>
      </c>
      <c r="W14" s="174">
        <f t="shared" si="4"/>
        <v>624088163.13000011</v>
      </c>
      <c r="X14" s="174">
        <f t="shared" si="4"/>
        <v>638184802.01999998</v>
      </c>
      <c r="Y14" s="174">
        <f t="shared" si="4"/>
        <v>647872602.8499999</v>
      </c>
      <c r="Z14" s="174">
        <f t="shared" si="4"/>
        <v>187379675.84</v>
      </c>
      <c r="AA14" s="174">
        <f t="shared" si="4"/>
        <v>187382238.84</v>
      </c>
      <c r="AB14" s="174">
        <f t="shared" si="4"/>
        <v>163849196.50999999</v>
      </c>
      <c r="AC14" s="174">
        <f t="shared" si="4"/>
        <v>653020530</v>
      </c>
      <c r="AD14" s="174">
        <f t="shared" si="4"/>
        <v>620642309.44000006</v>
      </c>
      <c r="AE14" s="174">
        <f t="shared" si="4"/>
        <v>623139830.22000003</v>
      </c>
      <c r="AF14" s="174">
        <f t="shared" si="4"/>
        <v>627483868.50999999</v>
      </c>
      <c r="AG14" s="174">
        <f t="shared" si="4"/>
        <v>617768669.22000003</v>
      </c>
      <c r="AH14" s="174">
        <f t="shared" si="4"/>
        <v>608116852.81999993</v>
      </c>
      <c r="AI14" s="174">
        <f t="shared" si="4"/>
        <v>607323442.12</v>
      </c>
      <c r="AJ14" s="174">
        <f t="shared" si="4"/>
        <v>1229507079.1400001</v>
      </c>
      <c r="AK14" s="174">
        <f t="shared" si="4"/>
        <v>627624130.81999993</v>
      </c>
      <c r="AL14" s="174">
        <f t="shared" si="4"/>
        <v>538834648.62</v>
      </c>
      <c r="AM14" s="174">
        <f t="shared" si="4"/>
        <v>579606528.29999995</v>
      </c>
      <c r="AN14" s="174">
        <f t="shared" si="4"/>
        <v>591900325.82000005</v>
      </c>
      <c r="AO14" s="174">
        <f t="shared" si="4"/>
        <v>635195558</v>
      </c>
      <c r="AP14" s="174">
        <f t="shared" si="4"/>
        <v>594487368.42000008</v>
      </c>
      <c r="AQ14" s="174">
        <f t="shared" si="4"/>
        <v>603909135.78999996</v>
      </c>
      <c r="AR14" s="174">
        <f t="shared" si="4"/>
        <v>608678221.24000001</v>
      </c>
      <c r="AS14" s="174">
        <f t="shared" si="4"/>
        <v>603786035.83000004</v>
      </c>
      <c r="AT14" s="174">
        <f t="shared" si="4"/>
        <v>616552782.24000001</v>
      </c>
      <c r="AU14" s="174">
        <f t="shared" si="4"/>
        <v>629704340.90999997</v>
      </c>
      <c r="AV14" s="174">
        <f t="shared" si="4"/>
        <v>639287168.13</v>
      </c>
      <c r="AW14" s="174">
        <f t="shared" si="4"/>
        <v>660365462.88999999</v>
      </c>
      <c r="AX14" s="174">
        <f t="shared" si="4"/>
        <v>666042966.85000002</v>
      </c>
      <c r="AY14" s="174">
        <f t="shared" si="4"/>
        <v>588061505.60000002</v>
      </c>
      <c r="AZ14" s="174">
        <f t="shared" si="4"/>
        <v>626141705.76999998</v>
      </c>
      <c r="BA14" s="174">
        <f t="shared" si="4"/>
        <v>644458806.98000002</v>
      </c>
      <c r="BB14" s="174">
        <f t="shared" si="4"/>
        <v>571668726</v>
      </c>
      <c r="BC14" s="174">
        <f t="shared" si="4"/>
        <v>655539406.21000004</v>
      </c>
      <c r="BD14" s="174">
        <f t="shared" si="4"/>
        <v>545948792.97000003</v>
      </c>
      <c r="BE14" s="174">
        <f t="shared" si="4"/>
        <v>544358233.1099999</v>
      </c>
      <c r="BF14" s="174">
        <f t="shared" si="4"/>
        <v>545844518.15999997</v>
      </c>
      <c r="BG14" s="174">
        <f t="shared" si="4"/>
        <v>544448333.01999998</v>
      </c>
      <c r="BH14" s="174">
        <f t="shared" si="4"/>
        <v>555758423.6400001</v>
      </c>
      <c r="BI14" s="174">
        <f t="shared" si="4"/>
        <v>499338001.74000001</v>
      </c>
      <c r="BJ14" s="174">
        <f t="shared" si="4"/>
        <v>519476133.25</v>
      </c>
      <c r="BK14" s="174">
        <f t="shared" si="4"/>
        <v>547038296.41000009</v>
      </c>
      <c r="BL14" s="174">
        <f t="shared" si="4"/>
        <v>556972580.58999991</v>
      </c>
      <c r="BM14" s="174">
        <f t="shared" si="4"/>
        <v>572871537.08000004</v>
      </c>
      <c r="BN14" s="174">
        <f t="shared" si="4"/>
        <v>598390915.98000002</v>
      </c>
      <c r="BO14" s="174">
        <f t="shared" si="4"/>
        <v>598486828</v>
      </c>
    </row>
    <row r="15" spans="1:67" s="176" customFormat="1" ht="14.45">
      <c r="A15" s="177" t="s">
        <v>282</v>
      </c>
      <c r="B15" s="178">
        <v>112905266</v>
      </c>
      <c r="C15" s="181">
        <v>832525078</v>
      </c>
      <c r="D15" s="181">
        <v>821899977.79999995</v>
      </c>
      <c r="E15" s="181">
        <v>825101613.66999996</v>
      </c>
      <c r="F15" s="181">
        <v>830799802.80999994</v>
      </c>
      <c r="G15" s="126">
        <v>833468219.96000004</v>
      </c>
      <c r="H15" s="181">
        <v>839278209.70000005</v>
      </c>
      <c r="I15" s="181">
        <v>841598587.25</v>
      </c>
      <c r="J15" s="181">
        <v>835154001.58000004</v>
      </c>
      <c r="K15" s="182">
        <v>836600646.63</v>
      </c>
      <c r="L15" s="182">
        <v>843151678.38</v>
      </c>
      <c r="M15" s="182">
        <v>679222107.76999998</v>
      </c>
      <c r="N15" s="182">
        <v>729455159.60000002</v>
      </c>
      <c r="O15" s="182">
        <v>742040870.32000005</v>
      </c>
      <c r="P15" s="183">
        <v>791540870</v>
      </c>
      <c r="Q15" s="182">
        <v>759442011.72000003</v>
      </c>
      <c r="R15" s="182">
        <v>783913689.25</v>
      </c>
      <c r="S15" s="182">
        <v>785670616.64999998</v>
      </c>
      <c r="T15" s="276">
        <v>789513847.00999999</v>
      </c>
      <c r="U15" s="276">
        <v>799798207.14999998</v>
      </c>
      <c r="V15" s="277">
        <v>797996164.53999996</v>
      </c>
      <c r="W15" s="182">
        <v>801968240.83000004</v>
      </c>
      <c r="X15" s="182">
        <v>816064879.72000003</v>
      </c>
      <c r="Y15" s="182">
        <v>827077008.04999995</v>
      </c>
      <c r="Z15" s="271">
        <v>187379675.84</v>
      </c>
      <c r="AA15" s="271">
        <v>187382238.84</v>
      </c>
      <c r="AB15" s="271">
        <v>163849196.50999999</v>
      </c>
      <c r="AC15" s="201">
        <f>653020530+163849197</f>
        <v>816869727</v>
      </c>
      <c r="AD15" s="271">
        <v>785491505.95000005</v>
      </c>
      <c r="AE15" s="271">
        <v>790040444.40999997</v>
      </c>
      <c r="AF15" s="271">
        <v>796476215.38999999</v>
      </c>
      <c r="AG15" s="271">
        <v>788907626.88999999</v>
      </c>
      <c r="AH15" s="271">
        <v>781327508.67999995</v>
      </c>
      <c r="AI15" s="271">
        <v>782586804.65999997</v>
      </c>
      <c r="AJ15" s="271">
        <v>1588341935.9200001</v>
      </c>
      <c r="AK15" s="271">
        <v>809089876.88999999</v>
      </c>
      <c r="AL15" s="271">
        <v>724061278.88999999</v>
      </c>
      <c r="AM15" s="271">
        <v>755036109.05999994</v>
      </c>
      <c r="AN15" s="271">
        <v>766445318.70000005</v>
      </c>
      <c r="AO15" s="271">
        <f>766445319+44500000</f>
        <v>810945319</v>
      </c>
      <c r="AP15" s="271">
        <v>771737893.21000004</v>
      </c>
      <c r="AQ15" s="271">
        <v>782477346.47000003</v>
      </c>
      <c r="AR15" s="271">
        <v>788289120.19000006</v>
      </c>
      <c r="AS15" s="271">
        <v>785444941.46000004</v>
      </c>
      <c r="AT15" s="271">
        <v>800416177.94000006</v>
      </c>
      <c r="AU15" s="271">
        <v>815623623.28999996</v>
      </c>
      <c r="AV15" s="304">
        <v>827249668.13</v>
      </c>
      <c r="AW15" s="293">
        <v>851274019.63</v>
      </c>
      <c r="AX15" s="284">
        <v>858987261.26999998</v>
      </c>
      <c r="AY15" s="284">
        <v>782842450.70000005</v>
      </c>
      <c r="AZ15" s="271">
        <v>822967568.54999995</v>
      </c>
      <c r="BA15" s="271">
        <v>830832172</v>
      </c>
      <c r="BB15" s="300">
        <f>716041891+42000000</f>
        <v>758041891</v>
      </c>
      <c r="BC15" s="271">
        <v>843450261.76999998</v>
      </c>
      <c r="BD15" s="271">
        <v>735094990.26999998</v>
      </c>
      <c r="BE15" s="271">
        <v>735759323.17999995</v>
      </c>
      <c r="BF15" s="271">
        <v>738972982.00999999</v>
      </c>
      <c r="BG15" s="271">
        <v>739303391.60000002</v>
      </c>
      <c r="BH15" s="271">
        <v>754346534.34000003</v>
      </c>
      <c r="BI15" s="308">
        <v>702662755.75999999</v>
      </c>
      <c r="BJ15" s="308">
        <v>722800887.26999998</v>
      </c>
      <c r="BK15" s="308">
        <v>752433572.47000003</v>
      </c>
      <c r="BL15" s="308">
        <v>763817643.04999995</v>
      </c>
      <c r="BM15" s="308">
        <v>784759225.62</v>
      </c>
      <c r="BN15" s="308">
        <v>812066463.89999998</v>
      </c>
      <c r="BO15" s="300">
        <v>812162376</v>
      </c>
    </row>
    <row r="16" spans="1:67" s="176" customFormat="1" ht="14.45">
      <c r="A16" s="177" t="s">
        <v>283</v>
      </c>
      <c r="B16" s="178"/>
      <c r="C16" s="181">
        <v>147414119</v>
      </c>
      <c r="D16" s="181">
        <v>149333095.91</v>
      </c>
      <c r="E16" s="181">
        <v>151252447.06999999</v>
      </c>
      <c r="F16" s="181">
        <v>153171798.22999999</v>
      </c>
      <c r="G16" s="190">
        <v>155091149.38999999</v>
      </c>
      <c r="H16" s="181">
        <v>157010874.55000001</v>
      </c>
      <c r="I16" s="181">
        <v>158930225.71000001</v>
      </c>
      <c r="J16" s="181">
        <v>158930225.71000001</v>
      </c>
      <c r="K16" s="182">
        <v>162781178.03</v>
      </c>
      <c r="L16" s="182">
        <v>164700529.19</v>
      </c>
      <c r="M16" s="182">
        <v>166619880.34999999</v>
      </c>
      <c r="N16" s="182">
        <v>170458582.66999999</v>
      </c>
      <c r="O16" s="182">
        <v>163573353.99000001</v>
      </c>
      <c r="P16" s="183">
        <v>163573354</v>
      </c>
      <c r="Q16" s="182">
        <v>163573353.99000001</v>
      </c>
      <c r="R16" s="182">
        <v>164133422.84999999</v>
      </c>
      <c r="S16" s="182">
        <v>164693491.71000001</v>
      </c>
      <c r="T16" s="276">
        <v>166737309.37</v>
      </c>
      <c r="U16" s="276">
        <v>167526284.72999999</v>
      </c>
      <c r="V16" s="277">
        <v>175836260.03</v>
      </c>
      <c r="W16" s="182">
        <v>177880077.69999999</v>
      </c>
      <c r="X16" s="182">
        <v>177880077.69999999</v>
      </c>
      <c r="Y16" s="182">
        <v>179204405.19999999</v>
      </c>
      <c r="Z16" s="278">
        <v>0</v>
      </c>
      <c r="AA16" s="278">
        <v>0</v>
      </c>
      <c r="AB16" s="278">
        <v>0</v>
      </c>
      <c r="AC16" s="201">
        <v>163849197</v>
      </c>
      <c r="AD16" s="271">
        <v>164849196.50999999</v>
      </c>
      <c r="AE16" s="271">
        <v>166900614.19</v>
      </c>
      <c r="AF16" s="271">
        <v>168992346.88</v>
      </c>
      <c r="AG16" s="271">
        <v>171138957.66999999</v>
      </c>
      <c r="AH16" s="271">
        <v>173210655.86000001</v>
      </c>
      <c r="AI16" s="271">
        <v>175263362.53999999</v>
      </c>
      <c r="AJ16" s="271">
        <v>358834856.77999997</v>
      </c>
      <c r="AK16" s="271">
        <v>181465746.06999999</v>
      </c>
      <c r="AL16" s="271">
        <v>185226630.27000001</v>
      </c>
      <c r="AM16" s="271">
        <v>175429580.75999999</v>
      </c>
      <c r="AN16" s="271">
        <v>174544992.88</v>
      </c>
      <c r="AO16" s="271">
        <v>175749761</v>
      </c>
      <c r="AP16" s="271">
        <v>177250524.78999999</v>
      </c>
      <c r="AQ16" s="271">
        <v>178568210.68000001</v>
      </c>
      <c r="AR16" s="271">
        <v>179610898.94999999</v>
      </c>
      <c r="AS16" s="271">
        <v>181658905.63</v>
      </c>
      <c r="AT16" s="271">
        <v>183863395.69999999</v>
      </c>
      <c r="AU16" s="271">
        <v>185919282.38</v>
      </c>
      <c r="AV16" s="304">
        <v>187962500</v>
      </c>
      <c r="AW16" s="293">
        <v>190908556.74000001</v>
      </c>
      <c r="AX16" s="283">
        <v>192944294.41999999</v>
      </c>
      <c r="AY16" s="283">
        <v>194780945.09999999</v>
      </c>
      <c r="AZ16" s="271">
        <v>196825862.78</v>
      </c>
      <c r="BA16" s="271">
        <v>186373365.02000001</v>
      </c>
      <c r="BB16" s="300">
        <v>186373165</v>
      </c>
      <c r="BC16" s="271">
        <v>187910855.56</v>
      </c>
      <c r="BD16" s="271">
        <v>189146197.30000001</v>
      </c>
      <c r="BE16" s="271">
        <v>191401090.06999999</v>
      </c>
      <c r="BF16" s="271">
        <v>193128463.84999999</v>
      </c>
      <c r="BG16" s="271">
        <v>194855058.58000001</v>
      </c>
      <c r="BH16" s="271">
        <v>198588110.69999999</v>
      </c>
      <c r="BI16" s="308">
        <v>203324754.02000001</v>
      </c>
      <c r="BJ16" s="308">
        <v>203324754.02000001</v>
      </c>
      <c r="BK16" s="308">
        <v>205395276.06</v>
      </c>
      <c r="BL16" s="308">
        <v>206845062.46000001</v>
      </c>
      <c r="BM16" s="308">
        <v>211887688.53999999</v>
      </c>
      <c r="BN16" s="308">
        <v>213675547.91999999</v>
      </c>
      <c r="BO16" s="300">
        <v>213675548</v>
      </c>
    </row>
    <row r="17" spans="1:68" s="176" customFormat="1" ht="14.45">
      <c r="A17" s="173" t="s">
        <v>284</v>
      </c>
      <c r="B17" s="174"/>
      <c r="C17" s="174"/>
      <c r="D17" s="175">
        <v>0</v>
      </c>
      <c r="E17" s="174">
        <v>0</v>
      </c>
      <c r="F17" s="174">
        <v>0</v>
      </c>
      <c r="G17" s="191">
        <v>0</v>
      </c>
      <c r="H17" s="175"/>
      <c r="I17" s="174"/>
      <c r="J17" s="174"/>
      <c r="K17" s="174"/>
      <c r="L17" s="174"/>
      <c r="M17" s="174"/>
      <c r="N17" s="174"/>
      <c r="O17" s="174"/>
      <c r="P17" s="174"/>
      <c r="Q17" s="174"/>
      <c r="R17" s="174"/>
      <c r="S17" s="174"/>
      <c r="T17" s="174"/>
      <c r="U17" s="174"/>
      <c r="V17" s="174"/>
      <c r="W17" s="174"/>
      <c r="X17" s="174"/>
      <c r="Y17" s="174"/>
      <c r="Z17" s="174"/>
      <c r="AA17" s="174"/>
      <c r="AB17" s="174"/>
      <c r="AC17" s="174"/>
      <c r="AD17" s="278">
        <v>0</v>
      </c>
      <c r="AE17" s="278">
        <v>0</v>
      </c>
      <c r="AF17" s="278">
        <v>0</v>
      </c>
      <c r="AG17" s="278">
        <v>0</v>
      </c>
      <c r="AH17" s="278">
        <v>0</v>
      </c>
      <c r="AI17" s="278">
        <v>0</v>
      </c>
      <c r="AJ17" s="278">
        <v>0</v>
      </c>
      <c r="AK17" s="278">
        <v>0</v>
      </c>
      <c r="AL17" s="278">
        <v>0</v>
      </c>
      <c r="AM17" s="278">
        <v>0</v>
      </c>
      <c r="AN17" s="278">
        <v>0</v>
      </c>
      <c r="AO17" s="271">
        <v>0</v>
      </c>
      <c r="AP17" s="271"/>
      <c r="AV17" s="296"/>
      <c r="AW17" s="295"/>
      <c r="AX17" s="294"/>
      <c r="AY17" s="297"/>
      <c r="AZ17" s="278">
        <v>0</v>
      </c>
      <c r="BA17" s="278">
        <v>0</v>
      </c>
      <c r="BB17" s="300"/>
      <c r="BC17" s="278">
        <v>0</v>
      </c>
      <c r="BD17" s="278">
        <v>0</v>
      </c>
      <c r="BE17" s="278">
        <v>0</v>
      </c>
      <c r="BF17" s="278">
        <v>0</v>
      </c>
      <c r="BG17" s="278">
        <v>0</v>
      </c>
      <c r="BH17" s="278">
        <v>0</v>
      </c>
      <c r="BI17" s="307">
        <v>0</v>
      </c>
      <c r="BJ17" s="308">
        <v>0</v>
      </c>
      <c r="BK17" s="308">
        <v>0</v>
      </c>
      <c r="BL17" s="308">
        <v>0</v>
      </c>
      <c r="BM17" s="308">
        <v>0</v>
      </c>
      <c r="BN17" s="308">
        <v>0</v>
      </c>
      <c r="BO17" s="308">
        <v>0</v>
      </c>
    </row>
    <row r="18" spans="1:68" s="176" customFormat="1" ht="14.45">
      <c r="A18" s="177" t="s">
        <v>285</v>
      </c>
      <c r="B18" s="180"/>
      <c r="D18" s="189">
        <v>0</v>
      </c>
      <c r="E18" s="181">
        <v>0</v>
      </c>
      <c r="F18" s="181">
        <v>0</v>
      </c>
      <c r="G18" s="188">
        <v>0</v>
      </c>
      <c r="H18" s="189"/>
      <c r="I18" s="181"/>
      <c r="J18" s="181"/>
      <c r="K18" s="182">
        <v>0</v>
      </c>
      <c r="L18" s="182">
        <v>0</v>
      </c>
      <c r="M18" s="182">
        <v>0</v>
      </c>
      <c r="N18" s="182">
        <v>0</v>
      </c>
      <c r="O18" s="182">
        <v>0</v>
      </c>
      <c r="P18" s="183"/>
      <c r="Q18" s="182">
        <v>0</v>
      </c>
      <c r="R18" s="182">
        <v>0</v>
      </c>
      <c r="S18" s="182">
        <v>0</v>
      </c>
      <c r="T18" s="276">
        <v>0</v>
      </c>
      <c r="U18" s="276">
        <v>0</v>
      </c>
      <c r="V18" s="277">
        <v>0</v>
      </c>
      <c r="W18" s="182">
        <v>0</v>
      </c>
      <c r="X18" s="182">
        <v>0</v>
      </c>
      <c r="Y18" s="182">
        <v>0</v>
      </c>
      <c r="Z18" s="271">
        <v>0</v>
      </c>
      <c r="AA18" s="271">
        <v>0</v>
      </c>
      <c r="AB18" s="271">
        <v>0</v>
      </c>
      <c r="AD18" s="271">
        <v>0</v>
      </c>
      <c r="AE18" s="271">
        <v>0</v>
      </c>
      <c r="AF18" s="271">
        <v>0</v>
      </c>
      <c r="AG18" s="271">
        <v>0</v>
      </c>
      <c r="AH18" s="271">
        <v>0</v>
      </c>
      <c r="AI18" s="271">
        <v>0</v>
      </c>
      <c r="AJ18" s="271">
        <v>0</v>
      </c>
      <c r="AK18" s="271">
        <v>0</v>
      </c>
      <c r="AL18" s="271">
        <v>0</v>
      </c>
      <c r="AM18" s="271">
        <v>0</v>
      </c>
      <c r="AN18" s="271">
        <v>0</v>
      </c>
      <c r="AO18" s="271">
        <v>0</v>
      </c>
      <c r="AP18" s="271">
        <v>0</v>
      </c>
      <c r="AQ18" s="271">
        <v>0</v>
      </c>
      <c r="AR18" s="271">
        <v>0</v>
      </c>
      <c r="AS18" s="271">
        <v>0</v>
      </c>
      <c r="AT18" s="271">
        <v>0</v>
      </c>
      <c r="AU18" s="271">
        <v>0</v>
      </c>
      <c r="AV18" s="304">
        <v>0</v>
      </c>
      <c r="AW18" s="305">
        <v>0</v>
      </c>
      <c r="AX18" s="305">
        <v>0</v>
      </c>
      <c r="AY18" s="305">
        <v>0</v>
      </c>
      <c r="AZ18" s="271">
        <v>0</v>
      </c>
      <c r="BA18" s="271">
        <v>0</v>
      </c>
      <c r="BB18" s="300"/>
      <c r="BC18" s="271">
        <v>0</v>
      </c>
      <c r="BD18" s="271">
        <v>0</v>
      </c>
      <c r="BE18" s="271">
        <v>0</v>
      </c>
      <c r="BF18" s="271">
        <v>0</v>
      </c>
      <c r="BG18" s="271">
        <v>0</v>
      </c>
      <c r="BH18" s="271">
        <v>0</v>
      </c>
      <c r="BI18" s="308">
        <v>0</v>
      </c>
      <c r="BJ18" s="308">
        <v>0</v>
      </c>
      <c r="BK18" s="308">
        <v>0</v>
      </c>
      <c r="BL18" s="308">
        <v>0</v>
      </c>
      <c r="BM18" s="308">
        <v>0</v>
      </c>
      <c r="BN18" s="308">
        <v>0</v>
      </c>
      <c r="BO18" s="308">
        <v>0</v>
      </c>
    </row>
    <row r="19" spans="1:68" s="176" customFormat="1" ht="14.45">
      <c r="A19" s="177" t="s">
        <v>286</v>
      </c>
      <c r="B19" s="178"/>
      <c r="C19" s="179"/>
      <c r="D19" s="181">
        <v>0</v>
      </c>
      <c r="E19" s="181">
        <v>0</v>
      </c>
      <c r="F19" s="181">
        <v>0</v>
      </c>
      <c r="G19" s="192">
        <v>0</v>
      </c>
      <c r="H19" s="181"/>
      <c r="I19" s="181"/>
      <c r="J19" s="181"/>
      <c r="K19" s="182">
        <v>0</v>
      </c>
      <c r="L19" s="182">
        <v>0</v>
      </c>
      <c r="M19" s="182">
        <v>0</v>
      </c>
      <c r="N19" s="182">
        <v>0</v>
      </c>
      <c r="O19" s="182">
        <v>0</v>
      </c>
      <c r="P19" s="183"/>
      <c r="Q19" s="182">
        <v>0</v>
      </c>
      <c r="R19" s="182">
        <v>0</v>
      </c>
      <c r="S19" s="182">
        <v>0</v>
      </c>
      <c r="T19" s="276">
        <v>0</v>
      </c>
      <c r="U19" s="276">
        <v>0</v>
      </c>
      <c r="V19" s="277">
        <v>0</v>
      </c>
      <c r="W19" s="182">
        <v>0</v>
      </c>
      <c r="X19" s="182">
        <v>0</v>
      </c>
      <c r="Y19" s="182">
        <v>0</v>
      </c>
      <c r="Z19" s="271">
        <v>0</v>
      </c>
      <c r="AA19" s="271">
        <v>0</v>
      </c>
      <c r="AB19" s="271">
        <v>0</v>
      </c>
      <c r="AD19" s="271">
        <v>0</v>
      </c>
      <c r="AE19" s="271">
        <v>0</v>
      </c>
      <c r="AF19" s="271">
        <v>0</v>
      </c>
      <c r="AG19" s="271">
        <v>0</v>
      </c>
      <c r="AH19" s="271">
        <v>0</v>
      </c>
      <c r="AI19" s="271">
        <v>0</v>
      </c>
      <c r="AJ19" s="271">
        <v>0</v>
      </c>
      <c r="AK19" s="271">
        <v>0</v>
      </c>
      <c r="AL19" s="271">
        <v>0</v>
      </c>
      <c r="AM19" s="271">
        <v>0</v>
      </c>
      <c r="AN19" s="271">
        <v>0</v>
      </c>
      <c r="AO19" s="271">
        <v>0</v>
      </c>
      <c r="AP19" s="271">
        <v>0</v>
      </c>
      <c r="AQ19" s="271">
        <v>0</v>
      </c>
      <c r="AR19" s="271">
        <v>0</v>
      </c>
      <c r="AS19" s="271">
        <v>0</v>
      </c>
      <c r="AT19" s="271">
        <v>0</v>
      </c>
      <c r="AU19" s="271">
        <v>0</v>
      </c>
      <c r="AV19" s="304">
        <v>0</v>
      </c>
      <c r="AW19" s="305">
        <v>0</v>
      </c>
      <c r="AX19" s="305">
        <v>0</v>
      </c>
      <c r="AY19" s="305">
        <v>0</v>
      </c>
      <c r="AZ19" s="271">
        <v>0</v>
      </c>
      <c r="BA19" s="271">
        <v>0</v>
      </c>
      <c r="BB19" s="300"/>
      <c r="BC19" s="271">
        <v>0</v>
      </c>
      <c r="BD19" s="271">
        <v>0</v>
      </c>
      <c r="BE19" s="271">
        <v>0</v>
      </c>
      <c r="BF19" s="271">
        <v>0</v>
      </c>
      <c r="BG19" s="271">
        <v>0</v>
      </c>
      <c r="BH19" s="271">
        <v>0</v>
      </c>
      <c r="BI19" s="308">
        <v>0</v>
      </c>
      <c r="BJ19" s="308">
        <v>0</v>
      </c>
      <c r="BK19" s="308">
        <v>0</v>
      </c>
      <c r="BL19" s="308">
        <v>0</v>
      </c>
      <c r="BM19" s="308">
        <v>0</v>
      </c>
      <c r="BN19" s="308">
        <v>0</v>
      </c>
      <c r="BO19" s="308">
        <v>0</v>
      </c>
    </row>
    <row r="20" spans="1:68" s="176" customFormat="1" ht="14.45">
      <c r="A20" s="177" t="s">
        <v>287</v>
      </c>
      <c r="B20" s="178"/>
      <c r="C20" s="179"/>
      <c r="D20" s="181">
        <v>0</v>
      </c>
      <c r="E20" s="181">
        <v>0</v>
      </c>
      <c r="F20" s="181">
        <v>0</v>
      </c>
      <c r="G20" s="188">
        <v>0</v>
      </c>
      <c r="H20" s="181"/>
      <c r="I20" s="181"/>
      <c r="J20" s="181"/>
      <c r="K20" s="182">
        <v>0</v>
      </c>
      <c r="L20" s="182">
        <v>0</v>
      </c>
      <c r="M20" s="182">
        <v>0</v>
      </c>
      <c r="N20" s="182">
        <v>0</v>
      </c>
      <c r="O20" s="182">
        <v>0</v>
      </c>
      <c r="P20" s="183"/>
      <c r="Q20" s="182">
        <v>0</v>
      </c>
      <c r="R20" s="182">
        <v>0</v>
      </c>
      <c r="S20" s="182">
        <v>0</v>
      </c>
      <c r="T20" s="276">
        <v>0</v>
      </c>
      <c r="U20" s="276">
        <v>0</v>
      </c>
      <c r="V20" s="277">
        <v>0</v>
      </c>
      <c r="W20" s="182">
        <v>0</v>
      </c>
      <c r="X20" s="182">
        <v>0</v>
      </c>
      <c r="Y20" s="182">
        <v>0</v>
      </c>
      <c r="Z20" s="278">
        <v>178846579.96000001</v>
      </c>
      <c r="AA20" s="278">
        <v>85432668.060000002</v>
      </c>
      <c r="AB20" s="278">
        <v>82960989.920000002</v>
      </c>
      <c r="AD20" s="271">
        <v>0</v>
      </c>
      <c r="AE20" s="271">
        <v>0</v>
      </c>
      <c r="AF20" s="271">
        <v>0</v>
      </c>
      <c r="AG20" s="271">
        <v>0</v>
      </c>
      <c r="AH20" s="271">
        <v>0</v>
      </c>
      <c r="AI20" s="271">
        <v>0</v>
      </c>
      <c r="AJ20" s="271">
        <v>0</v>
      </c>
      <c r="AK20" s="271">
        <v>0</v>
      </c>
      <c r="AL20" s="271">
        <v>0</v>
      </c>
      <c r="AM20" s="271">
        <v>0</v>
      </c>
      <c r="AN20" s="271">
        <v>0</v>
      </c>
      <c r="AO20" s="271">
        <v>0</v>
      </c>
      <c r="AP20" s="271">
        <v>0</v>
      </c>
      <c r="AQ20" s="271">
        <v>0</v>
      </c>
      <c r="AR20" s="271">
        <v>0</v>
      </c>
      <c r="AS20" s="271">
        <v>0</v>
      </c>
      <c r="AT20" s="271">
        <v>0</v>
      </c>
      <c r="AU20" s="271">
        <v>0</v>
      </c>
      <c r="AV20" s="304">
        <v>0</v>
      </c>
      <c r="AW20" s="305">
        <v>0</v>
      </c>
      <c r="AX20" s="305">
        <v>0</v>
      </c>
      <c r="AY20" s="305">
        <v>0</v>
      </c>
      <c r="AZ20" s="271">
        <v>0</v>
      </c>
      <c r="BA20" s="271">
        <v>0</v>
      </c>
      <c r="BB20" s="300"/>
      <c r="BC20" s="271">
        <v>0</v>
      </c>
      <c r="BD20" s="271">
        <v>0</v>
      </c>
      <c r="BE20" s="271">
        <v>0</v>
      </c>
      <c r="BF20" s="271">
        <v>0</v>
      </c>
      <c r="BG20" s="271">
        <v>0</v>
      </c>
      <c r="BH20" s="271">
        <v>0</v>
      </c>
      <c r="BI20" s="308">
        <v>0</v>
      </c>
      <c r="BJ20" s="308">
        <v>0</v>
      </c>
      <c r="BK20" s="308">
        <v>0</v>
      </c>
      <c r="BL20" s="308">
        <v>0</v>
      </c>
      <c r="BM20" s="308">
        <v>0</v>
      </c>
      <c r="BN20" s="308">
        <v>0</v>
      </c>
      <c r="BO20" s="308">
        <v>0</v>
      </c>
    </row>
    <row r="21" spans="1:68" s="176" customFormat="1">
      <c r="A21" s="173" t="s">
        <v>288</v>
      </c>
      <c r="B21" s="175">
        <f t="shared" ref="B21:G21" si="5">SUM(B22:B26)</f>
        <v>4874587</v>
      </c>
      <c r="C21" s="175">
        <f t="shared" si="5"/>
        <v>74636034</v>
      </c>
      <c r="D21" s="175">
        <f t="shared" si="5"/>
        <v>108073754.82999998</v>
      </c>
      <c r="E21" s="175">
        <f t="shared" si="5"/>
        <v>103342661.86</v>
      </c>
      <c r="F21" s="175">
        <f t="shared" si="5"/>
        <v>102837606.83</v>
      </c>
      <c r="G21" s="175">
        <f t="shared" si="5"/>
        <v>100956336.83</v>
      </c>
      <c r="H21" s="175">
        <f t="shared" ref="H21:BO21" si="6">SUM(H22:H26)</f>
        <v>103595980.81999999</v>
      </c>
      <c r="I21" s="175">
        <f t="shared" si="6"/>
        <v>94868992.019999996</v>
      </c>
      <c r="J21" s="175">
        <f t="shared" si="6"/>
        <v>103217454</v>
      </c>
      <c r="K21" s="175">
        <f t="shared" si="6"/>
        <v>95012464.399999991</v>
      </c>
      <c r="L21" s="175">
        <f t="shared" si="6"/>
        <v>93424006.909999996</v>
      </c>
      <c r="M21" s="175">
        <f t="shared" si="6"/>
        <v>234031494.97</v>
      </c>
      <c r="N21" s="175">
        <f t="shared" si="6"/>
        <v>198233104.04000002</v>
      </c>
      <c r="O21" s="175">
        <f t="shared" si="6"/>
        <v>102303730.72</v>
      </c>
      <c r="P21" s="174">
        <f t="shared" si="6"/>
        <v>75196680</v>
      </c>
      <c r="Q21" s="174">
        <f t="shared" si="6"/>
        <v>100614078.32000001</v>
      </c>
      <c r="R21" s="174">
        <f t="shared" si="6"/>
        <v>96621424.560000002</v>
      </c>
      <c r="S21" s="174">
        <f t="shared" si="6"/>
        <v>97993702.069999993</v>
      </c>
      <c r="T21" s="174">
        <f t="shared" si="6"/>
        <v>103002372.25999999</v>
      </c>
      <c r="U21" s="174">
        <f t="shared" si="6"/>
        <v>98809951.060000002</v>
      </c>
      <c r="V21" s="174">
        <f t="shared" si="6"/>
        <v>74335972.770000011</v>
      </c>
      <c r="W21" s="174">
        <f t="shared" si="6"/>
        <v>73663809.200000003</v>
      </c>
      <c r="X21" s="174">
        <f t="shared" si="6"/>
        <v>74538414.210000008</v>
      </c>
      <c r="Y21" s="174">
        <f t="shared" si="6"/>
        <v>74048731.359999999</v>
      </c>
      <c r="Z21" s="174">
        <f t="shared" si="6"/>
        <v>1551803306.73</v>
      </c>
      <c r="AA21" s="174">
        <f t="shared" si="6"/>
        <v>1378222145.72</v>
      </c>
      <c r="AB21" s="174">
        <f t="shared" si="6"/>
        <v>1328829590.74</v>
      </c>
      <c r="AC21" s="174">
        <f t="shared" si="6"/>
        <v>72519355</v>
      </c>
      <c r="AD21" s="174">
        <f t="shared" si="6"/>
        <v>83871754.469999999</v>
      </c>
      <c r="AE21" s="174">
        <f t="shared" si="6"/>
        <v>83372019.329999998</v>
      </c>
      <c r="AF21" s="174">
        <f t="shared" si="6"/>
        <v>80966507.75</v>
      </c>
      <c r="AG21" s="174">
        <f t="shared" si="6"/>
        <v>69814919.539999992</v>
      </c>
      <c r="AH21" s="174">
        <f t="shared" si="6"/>
        <v>80497018.180000007</v>
      </c>
      <c r="AI21" s="174">
        <f t="shared" si="6"/>
        <v>82084567.090000004</v>
      </c>
      <c r="AJ21" s="174">
        <f t="shared" si="6"/>
        <v>161824318.75999999</v>
      </c>
      <c r="AK21" s="174">
        <f t="shared" si="6"/>
        <v>80331842.890000001</v>
      </c>
      <c r="AL21" s="174">
        <f t="shared" si="6"/>
        <v>183422264.57999998</v>
      </c>
      <c r="AM21" s="174">
        <f t="shared" si="6"/>
        <v>82570105.379999995</v>
      </c>
      <c r="AN21" s="174">
        <f t="shared" si="6"/>
        <v>77354117.25</v>
      </c>
      <c r="AO21" s="174">
        <f t="shared" si="6"/>
        <v>69889398</v>
      </c>
      <c r="AP21" s="174">
        <f t="shared" si="6"/>
        <v>81320401.299999997</v>
      </c>
      <c r="AQ21" s="174">
        <f t="shared" si="6"/>
        <v>82907851.969999999</v>
      </c>
      <c r="AR21" s="174">
        <f t="shared" si="6"/>
        <v>82255177.460000008</v>
      </c>
      <c r="AS21" s="174">
        <f t="shared" si="6"/>
        <v>81484756.74000001</v>
      </c>
      <c r="AT21" s="174">
        <f t="shared" si="6"/>
        <v>80909597.150000006</v>
      </c>
      <c r="AU21" s="174">
        <f t="shared" si="6"/>
        <v>82534221.080000013</v>
      </c>
      <c r="AV21" s="174">
        <f t="shared" si="6"/>
        <v>81970889.629999995</v>
      </c>
      <c r="AW21" s="174">
        <f t="shared" si="6"/>
        <v>79980202.950000003</v>
      </c>
      <c r="AX21" s="174">
        <f t="shared" si="6"/>
        <v>89607389.289999992</v>
      </c>
      <c r="AY21" s="174">
        <f t="shared" si="6"/>
        <v>181625538.23000002</v>
      </c>
      <c r="AZ21" s="174">
        <f t="shared" si="6"/>
        <v>237230715.80000001</v>
      </c>
      <c r="BA21" s="174">
        <f t="shared" si="6"/>
        <v>95299902.699999988</v>
      </c>
      <c r="BB21" s="174">
        <f t="shared" si="6"/>
        <v>92572456</v>
      </c>
      <c r="BC21" s="174">
        <f t="shared" si="6"/>
        <v>95845807.86999999</v>
      </c>
      <c r="BD21" s="174">
        <f t="shared" si="6"/>
        <v>222614571.14999998</v>
      </c>
      <c r="BE21" s="174">
        <f t="shared" si="6"/>
        <v>222492183.85999998</v>
      </c>
      <c r="BF21" s="174">
        <f t="shared" si="6"/>
        <v>226814555.73000002</v>
      </c>
      <c r="BG21" s="174">
        <f t="shared" si="6"/>
        <v>228608118.02000001</v>
      </c>
      <c r="BH21" s="174">
        <f t="shared" si="6"/>
        <v>229203799.72999999</v>
      </c>
      <c r="BI21" s="174">
        <f t="shared" si="6"/>
        <v>310694414.89999998</v>
      </c>
      <c r="BJ21" s="174">
        <f t="shared" si="6"/>
        <v>246353899.38</v>
      </c>
      <c r="BK21" s="174">
        <f t="shared" si="6"/>
        <v>239492773.75999999</v>
      </c>
      <c r="BL21" s="174">
        <f t="shared" si="6"/>
        <v>237765568.65000001</v>
      </c>
      <c r="BM21" s="174">
        <f t="shared" si="6"/>
        <v>243196786.68000001</v>
      </c>
      <c r="BN21" s="174">
        <f t="shared" si="6"/>
        <v>261645676.85999998</v>
      </c>
      <c r="BO21" s="174">
        <f t="shared" si="6"/>
        <v>128158763</v>
      </c>
    </row>
    <row r="22" spans="1:68" s="176" customFormat="1" ht="14.45">
      <c r="A22" s="177" t="s">
        <v>289</v>
      </c>
      <c r="B22" s="178"/>
      <c r="C22" s="179"/>
      <c r="D22" s="181">
        <v>40846978</v>
      </c>
      <c r="E22" s="181">
        <v>40846978</v>
      </c>
      <c r="F22" s="181">
        <v>40846978</v>
      </c>
      <c r="G22" s="188">
        <v>40846978</v>
      </c>
      <c r="H22" s="181">
        <v>40846978</v>
      </c>
      <c r="I22" s="181">
        <v>40846978</v>
      </c>
      <c r="J22" s="181">
        <v>40846978</v>
      </c>
      <c r="K22" s="182">
        <v>40846978</v>
      </c>
      <c r="L22" s="182">
        <v>40846978</v>
      </c>
      <c r="M22" s="182">
        <v>40846978</v>
      </c>
      <c r="N22" s="182">
        <v>40846978</v>
      </c>
      <c r="O22" s="182">
        <v>40846978</v>
      </c>
      <c r="P22" s="183"/>
      <c r="Q22" s="182">
        <v>40846978</v>
      </c>
      <c r="R22" s="182">
        <v>40846978</v>
      </c>
      <c r="S22" s="182">
        <v>40846978</v>
      </c>
      <c r="T22" s="276">
        <v>40846978</v>
      </c>
      <c r="U22" s="276">
        <v>40846978</v>
      </c>
      <c r="V22" s="277">
        <v>40846978</v>
      </c>
      <c r="W22" s="182">
        <v>40846978</v>
      </c>
      <c r="X22" s="182">
        <v>40846978</v>
      </c>
      <c r="Y22" s="182">
        <v>40846978</v>
      </c>
      <c r="Z22" s="271">
        <v>21510943.149999999</v>
      </c>
      <c r="AA22" s="271">
        <v>21510943.149999999</v>
      </c>
      <c r="AB22" s="271">
        <v>22740843.120000001</v>
      </c>
      <c r="AD22" s="271">
        <v>40846978</v>
      </c>
      <c r="AE22" s="271">
        <v>40846978</v>
      </c>
      <c r="AF22" s="271">
        <v>40846978</v>
      </c>
      <c r="AG22" s="271">
        <v>40846978</v>
      </c>
      <c r="AH22" s="271">
        <v>40846978</v>
      </c>
      <c r="AI22" s="271">
        <v>40846978</v>
      </c>
      <c r="AJ22" s="271">
        <v>81693956</v>
      </c>
      <c r="AK22" s="271">
        <v>40846978</v>
      </c>
      <c r="AL22" s="271">
        <v>40846978</v>
      </c>
      <c r="AM22" s="271">
        <v>40846978</v>
      </c>
      <c r="AN22" s="271">
        <v>40846978</v>
      </c>
      <c r="AO22" s="271">
        <v>0</v>
      </c>
      <c r="AP22" s="271">
        <v>40846978</v>
      </c>
      <c r="AQ22" s="271">
        <v>41146978</v>
      </c>
      <c r="AR22" s="271">
        <v>41146978</v>
      </c>
      <c r="AS22" s="271">
        <v>41146978</v>
      </c>
      <c r="AT22" s="271">
        <v>41146978</v>
      </c>
      <c r="AU22" s="271">
        <v>41146978</v>
      </c>
      <c r="AV22" s="271">
        <v>41146978</v>
      </c>
      <c r="AW22" s="284">
        <v>41268046</v>
      </c>
      <c r="AX22" s="284">
        <v>51626667.359999999</v>
      </c>
      <c r="AY22" s="284">
        <v>51626667.359999999</v>
      </c>
      <c r="AZ22" s="271">
        <v>51626667.359999999</v>
      </c>
      <c r="BA22" s="271">
        <v>60224583.759999998</v>
      </c>
      <c r="BB22" s="300"/>
      <c r="BC22" s="271">
        <v>60224583.759999998</v>
      </c>
      <c r="BD22" s="271">
        <v>66133584.759999998</v>
      </c>
      <c r="BE22" s="271">
        <v>66133584.759999998</v>
      </c>
      <c r="BF22" s="271">
        <v>71407413.760000005</v>
      </c>
      <c r="BG22" s="271">
        <v>71407413.760000005</v>
      </c>
      <c r="BH22" s="271">
        <v>71407413.760000005</v>
      </c>
      <c r="BI22" s="308">
        <v>80284090.760000005</v>
      </c>
      <c r="BJ22" s="308">
        <v>80284090.760000005</v>
      </c>
      <c r="BK22" s="308">
        <v>80689090.760000005</v>
      </c>
      <c r="BL22" s="308">
        <v>80689090.760000005</v>
      </c>
      <c r="BM22" s="308">
        <v>82068022.760000005</v>
      </c>
      <c r="BN22" s="308">
        <v>96372277.760000005</v>
      </c>
      <c r="BO22" s="300"/>
    </row>
    <row r="23" spans="1:68" s="176" customFormat="1" ht="14.45">
      <c r="A23" s="177" t="s">
        <v>98</v>
      </c>
      <c r="B23" s="178">
        <v>4123114</v>
      </c>
      <c r="C23" s="181">
        <v>67228532</v>
      </c>
      <c r="D23" s="181">
        <v>16506537.95999998</v>
      </c>
      <c r="E23" s="181">
        <v>26113022.849999994</v>
      </c>
      <c r="F23" s="181">
        <v>25596867.849999994</v>
      </c>
      <c r="G23" s="188">
        <v>25080712.849999994</v>
      </c>
      <c r="H23" s="181">
        <v>26464471.849999994</v>
      </c>
      <c r="I23" s="181">
        <v>26486316.849999994</v>
      </c>
      <c r="J23" s="181">
        <v>26483316.850000001</v>
      </c>
      <c r="K23" s="182">
        <v>25451006.850000001</v>
      </c>
      <c r="L23" s="182">
        <v>24934851.850000001</v>
      </c>
      <c r="M23" s="182">
        <v>24461161.600000001</v>
      </c>
      <c r="N23" s="182">
        <v>25614712.120000001</v>
      </c>
      <c r="O23" s="182">
        <v>25338887.120000001</v>
      </c>
      <c r="P23" s="183">
        <v>67832698</v>
      </c>
      <c r="Q23" s="182">
        <v>25488887.120000001</v>
      </c>
      <c r="R23" s="182">
        <v>24874196.27</v>
      </c>
      <c r="S23" s="182">
        <v>24874196.27</v>
      </c>
      <c r="T23" s="276">
        <v>25822093.27</v>
      </c>
      <c r="U23" s="276">
        <v>25822093.27</v>
      </c>
      <c r="V23" s="277">
        <v>24004439.210000001</v>
      </c>
      <c r="W23" s="182">
        <v>23670653.210000001</v>
      </c>
      <c r="X23" s="182">
        <v>23780448.399999999</v>
      </c>
      <c r="Y23" s="182">
        <v>23290976.550000001</v>
      </c>
      <c r="Z23" s="271">
        <v>0</v>
      </c>
      <c r="AA23" s="271">
        <v>0</v>
      </c>
      <c r="AB23" s="271">
        <v>0</v>
      </c>
      <c r="AC23" s="201">
        <v>66854836</v>
      </c>
      <c r="AD23" s="271">
        <v>22740843.120000001</v>
      </c>
      <c r="AE23" s="271">
        <v>25700265.530000001</v>
      </c>
      <c r="AF23" s="271">
        <v>25235438.949999999</v>
      </c>
      <c r="AG23" s="271">
        <v>23531332.350000001</v>
      </c>
      <c r="AH23" s="271">
        <v>23022090.760000002</v>
      </c>
      <c r="AI23" s="271">
        <v>24631959.170000002</v>
      </c>
      <c r="AJ23" s="271">
        <v>47226351.979999997</v>
      </c>
      <c r="AK23" s="271">
        <v>23103784.399999999</v>
      </c>
      <c r="AL23" s="271">
        <v>22245959.629999999</v>
      </c>
      <c r="AM23" s="271">
        <v>22245959.629999999</v>
      </c>
      <c r="AN23" s="271">
        <v>22751002.829999998</v>
      </c>
      <c r="AO23" s="271">
        <v>64842765</v>
      </c>
      <c r="AP23" s="271">
        <v>23992331.059999999</v>
      </c>
      <c r="AQ23" s="271">
        <v>24641986.120000001</v>
      </c>
      <c r="AR23" s="271">
        <v>23921986.120000001</v>
      </c>
      <c r="AS23" s="271">
        <v>23412594.530000001</v>
      </c>
      <c r="AT23" s="271">
        <v>24037331.280000001</v>
      </c>
      <c r="AU23" s="271">
        <v>25713555.210000001</v>
      </c>
      <c r="AV23" s="271">
        <v>25209163.620000001</v>
      </c>
      <c r="AW23" s="283">
        <v>24699772.030000001</v>
      </c>
      <c r="AX23" s="283">
        <v>24306830.440000001</v>
      </c>
      <c r="AY23" s="283">
        <v>24029438.850000001</v>
      </c>
      <c r="AZ23" s="271">
        <v>24200769.190000001</v>
      </c>
      <c r="BA23" s="271">
        <v>23349717.57</v>
      </c>
      <c r="BB23" s="300">
        <v>86313178</v>
      </c>
      <c r="BC23" s="271">
        <v>23050892.739999998</v>
      </c>
      <c r="BD23" s="271">
        <v>22633452.940000001</v>
      </c>
      <c r="BE23" s="271">
        <v>23492235.809999999</v>
      </c>
      <c r="BF23" s="271">
        <v>23275519.309999999</v>
      </c>
      <c r="BG23" s="271">
        <v>23163747.98</v>
      </c>
      <c r="BH23" s="271">
        <v>22815423.149999999</v>
      </c>
      <c r="BI23" s="308">
        <v>22428857.32</v>
      </c>
      <c r="BJ23" s="308">
        <v>22750343.82</v>
      </c>
      <c r="BK23" s="308">
        <v>22600119.82</v>
      </c>
      <c r="BL23" s="308">
        <v>22246492.82</v>
      </c>
      <c r="BM23" s="308">
        <v>21662861.68</v>
      </c>
      <c r="BN23" s="308">
        <v>21822979.960000001</v>
      </c>
      <c r="BO23" s="300">
        <v>120314235</v>
      </c>
    </row>
    <row r="24" spans="1:68" s="176" customFormat="1" ht="14.45">
      <c r="A24" s="177" t="s">
        <v>290</v>
      </c>
      <c r="B24" s="180"/>
      <c r="D24" s="180">
        <v>594000</v>
      </c>
      <c r="E24" s="193">
        <v>540000</v>
      </c>
      <c r="F24" s="181">
        <v>486000</v>
      </c>
      <c r="G24" s="188">
        <v>432000</v>
      </c>
      <c r="H24" s="181">
        <v>378000</v>
      </c>
      <c r="I24" s="181">
        <v>324000</v>
      </c>
      <c r="J24" s="181">
        <v>270000</v>
      </c>
      <c r="K24" s="182">
        <v>216000</v>
      </c>
      <c r="L24" s="182">
        <v>162000</v>
      </c>
      <c r="M24" s="182">
        <v>108000</v>
      </c>
      <c r="N24" s="182">
        <v>0</v>
      </c>
      <c r="O24" s="182">
        <v>0</v>
      </c>
      <c r="P24" s="183"/>
      <c r="Q24" s="182">
        <v>682000</v>
      </c>
      <c r="R24" s="182">
        <v>620000</v>
      </c>
      <c r="S24" s="182">
        <v>558000</v>
      </c>
      <c r="T24" s="276">
        <v>496000</v>
      </c>
      <c r="U24" s="276">
        <v>434000</v>
      </c>
      <c r="V24" s="277">
        <v>372000</v>
      </c>
      <c r="W24" s="182">
        <v>310000</v>
      </c>
      <c r="X24" s="182">
        <v>248000</v>
      </c>
      <c r="Y24" s="182">
        <v>186000</v>
      </c>
      <c r="Z24" s="271">
        <v>7047439</v>
      </c>
      <c r="AA24" s="271">
        <v>7047439</v>
      </c>
      <c r="AB24" s="271">
        <v>7047439</v>
      </c>
      <c r="AC24" s="201"/>
      <c r="AD24" s="271">
        <v>737000</v>
      </c>
      <c r="AE24" s="271">
        <v>670000</v>
      </c>
      <c r="AF24" s="271">
        <v>603000</v>
      </c>
      <c r="AG24" s="271">
        <v>536000</v>
      </c>
      <c r="AH24" s="271">
        <v>469000</v>
      </c>
      <c r="AI24" s="271">
        <v>402000</v>
      </c>
      <c r="AJ24" s="271">
        <v>536000</v>
      </c>
      <c r="AK24" s="271">
        <v>201000</v>
      </c>
      <c r="AL24" s="271">
        <v>0</v>
      </c>
      <c r="AM24" s="271">
        <v>0</v>
      </c>
      <c r="AN24" s="271">
        <v>0</v>
      </c>
      <c r="AO24" s="271">
        <v>0</v>
      </c>
      <c r="AP24" s="271">
        <v>0</v>
      </c>
      <c r="AQ24" s="271">
        <v>0</v>
      </c>
      <c r="AR24" s="271">
        <v>648000</v>
      </c>
      <c r="AS24" s="271">
        <v>576000</v>
      </c>
      <c r="AT24" s="271">
        <v>504000</v>
      </c>
      <c r="AU24" s="271">
        <v>432000</v>
      </c>
      <c r="AV24" s="271">
        <v>360000</v>
      </c>
      <c r="AW24" s="283">
        <v>288000</v>
      </c>
      <c r="AX24" s="283">
        <v>216000</v>
      </c>
      <c r="AY24" s="283">
        <v>144000</v>
      </c>
      <c r="AZ24" s="271">
        <v>72000</v>
      </c>
      <c r="BA24" s="271">
        <v>0</v>
      </c>
      <c r="BB24" s="300"/>
      <c r="BC24" s="271">
        <v>834680</v>
      </c>
      <c r="BD24" s="271">
        <v>745360</v>
      </c>
      <c r="BE24" s="271">
        <v>656040</v>
      </c>
      <c r="BF24" s="271">
        <v>566720</v>
      </c>
      <c r="BG24" s="271">
        <v>477400</v>
      </c>
      <c r="BH24" s="271">
        <v>388080</v>
      </c>
      <c r="BI24" s="308">
        <v>298760</v>
      </c>
      <c r="BJ24" s="308">
        <v>298760</v>
      </c>
      <c r="BK24" s="308">
        <v>209440</v>
      </c>
      <c r="BL24" s="308">
        <v>30800</v>
      </c>
      <c r="BM24" s="308">
        <v>30800</v>
      </c>
      <c r="BN24" s="308">
        <v>0</v>
      </c>
      <c r="BO24" s="300"/>
    </row>
    <row r="25" spans="1:68" s="176" customFormat="1" ht="14.45">
      <c r="A25" s="177" t="s">
        <v>291</v>
      </c>
      <c r="B25" s="178">
        <v>751473</v>
      </c>
      <c r="C25" s="181">
        <v>5489439</v>
      </c>
      <c r="D25" s="181">
        <v>15571078.890000001</v>
      </c>
      <c r="E25" s="181">
        <v>5489439</v>
      </c>
      <c r="F25" s="181">
        <v>5489439</v>
      </c>
      <c r="G25" s="188">
        <v>5489439</v>
      </c>
      <c r="H25" s="181">
        <v>5489439</v>
      </c>
      <c r="I25" s="181">
        <v>5489439</v>
      </c>
      <c r="J25" s="181">
        <v>5489439</v>
      </c>
      <c r="K25" s="182">
        <v>7047439</v>
      </c>
      <c r="L25" s="182">
        <v>7047439</v>
      </c>
      <c r="M25" s="182">
        <v>7047439</v>
      </c>
      <c r="N25" s="182">
        <v>7047439</v>
      </c>
      <c r="O25" s="182">
        <v>7047439</v>
      </c>
      <c r="P25" s="183">
        <v>5400607</v>
      </c>
      <c r="Q25" s="182">
        <v>7047439</v>
      </c>
      <c r="R25" s="182">
        <v>7047439</v>
      </c>
      <c r="S25" s="182">
        <v>7047439</v>
      </c>
      <c r="T25" s="276">
        <v>7047439</v>
      </c>
      <c r="U25" s="276">
        <v>7047439</v>
      </c>
      <c r="V25" s="277">
        <v>7047439</v>
      </c>
      <c r="W25" s="182">
        <v>7047439</v>
      </c>
      <c r="X25" s="182">
        <v>7047439</v>
      </c>
      <c r="Y25" s="182">
        <v>7047439</v>
      </c>
      <c r="Z25" s="271">
        <v>109441219.81</v>
      </c>
      <c r="AA25" s="271">
        <v>16027307.91</v>
      </c>
      <c r="AB25" s="271">
        <v>12325729.800000001</v>
      </c>
      <c r="AC25" s="201">
        <v>3780425</v>
      </c>
      <c r="AD25" s="271">
        <v>7047439</v>
      </c>
      <c r="AE25" s="271">
        <v>3780425</v>
      </c>
      <c r="AF25" s="271">
        <v>3780425</v>
      </c>
      <c r="AG25" s="271">
        <v>3780425</v>
      </c>
      <c r="AH25" s="271">
        <v>3780425</v>
      </c>
      <c r="AI25" s="271">
        <v>3780425</v>
      </c>
      <c r="AJ25" s="271">
        <v>7560850</v>
      </c>
      <c r="AK25" s="271">
        <v>3780425</v>
      </c>
      <c r="AL25" s="271">
        <v>3780425</v>
      </c>
      <c r="AM25" s="271">
        <v>4826945</v>
      </c>
      <c r="AN25" s="271">
        <v>4826945</v>
      </c>
      <c r="AO25" s="271">
        <v>3692818</v>
      </c>
      <c r="AP25" s="271">
        <v>4826945</v>
      </c>
      <c r="AQ25" s="271">
        <v>4826945</v>
      </c>
      <c r="AR25" s="271">
        <v>4826945</v>
      </c>
      <c r="AS25" s="271">
        <v>4826945</v>
      </c>
      <c r="AT25" s="271">
        <v>3692816.66</v>
      </c>
      <c r="AU25" s="271">
        <v>3692816.66</v>
      </c>
      <c r="AV25" s="271">
        <v>3692816.6</v>
      </c>
      <c r="AW25" s="283">
        <v>5706296.6600000001</v>
      </c>
      <c r="AX25" s="283">
        <v>5706296.6600000001</v>
      </c>
      <c r="AY25" s="283">
        <v>5706296.6399999997</v>
      </c>
      <c r="AZ25" s="271">
        <v>5706297</v>
      </c>
      <c r="BA25" s="271">
        <v>5706296.5999999996</v>
      </c>
      <c r="BB25" s="300">
        <v>4783093</v>
      </c>
      <c r="BC25" s="271">
        <v>5706296.5999999996</v>
      </c>
      <c r="BD25" s="271">
        <v>6606296.5999999996</v>
      </c>
      <c r="BE25" s="271">
        <v>6606296.5999999996</v>
      </c>
      <c r="BF25" s="271">
        <v>6606296.5999999996</v>
      </c>
      <c r="BG25" s="271">
        <v>6606296.5999999996</v>
      </c>
      <c r="BH25" s="271">
        <v>6606296.5999999996</v>
      </c>
      <c r="BI25" s="308">
        <v>6606296.5999999996</v>
      </c>
      <c r="BJ25" s="308">
        <v>6606296.5999999996</v>
      </c>
      <c r="BK25" s="308">
        <v>6606296.5999999996</v>
      </c>
      <c r="BL25" s="308">
        <v>6606296.5999999996</v>
      </c>
      <c r="BM25" s="308">
        <v>7034696.5999999996</v>
      </c>
      <c r="BN25" s="308">
        <v>7034696.5999999996</v>
      </c>
      <c r="BO25" s="300">
        <v>4915720</v>
      </c>
    </row>
    <row r="26" spans="1:68" s="176" customFormat="1" ht="14.45">
      <c r="A26" s="177" t="s">
        <v>292</v>
      </c>
      <c r="B26" s="178"/>
      <c r="C26" s="179">
        <v>1918063</v>
      </c>
      <c r="D26" s="181">
        <v>34555159.979999997</v>
      </c>
      <c r="E26" s="181">
        <v>30353222.010000002</v>
      </c>
      <c r="F26" s="181">
        <v>30418321.98</v>
      </c>
      <c r="G26" s="180">
        <v>29107206.98</v>
      </c>
      <c r="H26" s="181">
        <v>30417091.969999999</v>
      </c>
      <c r="I26" s="181">
        <v>21722258.170000002</v>
      </c>
      <c r="J26" s="181">
        <v>30127720.149999999</v>
      </c>
      <c r="K26" s="182">
        <v>21451040.550000001</v>
      </c>
      <c r="L26" s="182">
        <v>20432738.059999999</v>
      </c>
      <c r="M26" s="182">
        <v>161567916.37</v>
      </c>
      <c r="N26" s="182">
        <v>124723974.92</v>
      </c>
      <c r="O26" s="182">
        <v>29070426.600000001</v>
      </c>
      <c r="P26" s="183">
        <v>1963375</v>
      </c>
      <c r="Q26" s="182">
        <v>26548774.199999999</v>
      </c>
      <c r="R26" s="182">
        <v>23232811.289999999</v>
      </c>
      <c r="S26" s="182">
        <v>24667088.800000001</v>
      </c>
      <c r="T26" s="276">
        <v>28789861.989999998</v>
      </c>
      <c r="U26" s="276">
        <v>24659440.789999999</v>
      </c>
      <c r="V26" s="277">
        <v>2065116.56</v>
      </c>
      <c r="W26" s="182">
        <v>1788738.99</v>
      </c>
      <c r="X26" s="182">
        <v>2615548.81</v>
      </c>
      <c r="Y26" s="182">
        <v>2677337.81</v>
      </c>
      <c r="Z26" s="278">
        <v>1413803704.77</v>
      </c>
      <c r="AA26" s="278">
        <v>1333636455.6600001</v>
      </c>
      <c r="AB26" s="278">
        <v>1286715578.8199999</v>
      </c>
      <c r="AC26" s="201">
        <v>1884094</v>
      </c>
      <c r="AD26" s="271">
        <v>12499494.35</v>
      </c>
      <c r="AE26" s="271">
        <v>12374350.800000001</v>
      </c>
      <c r="AF26" s="271">
        <v>10500665.800000001</v>
      </c>
      <c r="AG26" s="271">
        <v>1120184.19</v>
      </c>
      <c r="AH26" s="271">
        <v>12378524.42</v>
      </c>
      <c r="AI26" s="271">
        <v>12423204.92</v>
      </c>
      <c r="AJ26" s="271">
        <v>24807160.780000001</v>
      </c>
      <c r="AK26" s="271">
        <v>12399655.49</v>
      </c>
      <c r="AL26" s="271">
        <v>116548901.95</v>
      </c>
      <c r="AM26" s="271">
        <v>14650222.75</v>
      </c>
      <c r="AN26" s="271">
        <v>8929191.4199999999</v>
      </c>
      <c r="AO26" s="271">
        <f>1353815</f>
        <v>1353815</v>
      </c>
      <c r="AP26" s="271">
        <v>11654147.24</v>
      </c>
      <c r="AQ26" s="271">
        <v>12291942.85</v>
      </c>
      <c r="AR26" s="271">
        <v>11711268.34</v>
      </c>
      <c r="AS26" s="271">
        <v>11522239.210000001</v>
      </c>
      <c r="AT26" s="271">
        <v>11528471.210000001</v>
      </c>
      <c r="AU26" s="271">
        <v>11548871.210000001</v>
      </c>
      <c r="AV26" s="271">
        <v>11561931.41</v>
      </c>
      <c r="AW26" s="283">
        <v>8018088.2599999998</v>
      </c>
      <c r="AX26" s="283">
        <v>7751594.8300000001</v>
      </c>
      <c r="AY26" s="283">
        <v>100119135.38</v>
      </c>
      <c r="AZ26" s="271">
        <v>155624982.25</v>
      </c>
      <c r="BA26" s="271">
        <v>6019304.7699999996</v>
      </c>
      <c r="BB26" s="300">
        <v>1476185</v>
      </c>
      <c r="BC26" s="271">
        <v>6029354.7699999996</v>
      </c>
      <c r="BD26" s="271">
        <v>126495876.84999999</v>
      </c>
      <c r="BE26" s="271">
        <v>125604026.69</v>
      </c>
      <c r="BF26" s="271">
        <v>124958606.06</v>
      </c>
      <c r="BG26" s="271">
        <v>126953259.68000001</v>
      </c>
      <c r="BH26" s="271">
        <v>127986586.22</v>
      </c>
      <c r="BI26" s="308">
        <v>201076410.22</v>
      </c>
      <c r="BJ26" s="308">
        <v>136414408.19999999</v>
      </c>
      <c r="BK26" s="308">
        <v>129387826.58</v>
      </c>
      <c r="BL26" s="308">
        <v>128192888.47</v>
      </c>
      <c r="BM26" s="308">
        <v>132400405.64</v>
      </c>
      <c r="BN26" s="308">
        <v>136415722.53999999</v>
      </c>
      <c r="BO26" s="300">
        <v>2928808</v>
      </c>
    </row>
    <row r="27" spans="1:68" s="176" customFormat="1">
      <c r="A27" s="173" t="s">
        <v>44</v>
      </c>
      <c r="B27" s="175">
        <f t="shared" ref="B27:BM27" si="7">SUM(B4+B7+B8+B14+B17+B21)</f>
        <v>151015729</v>
      </c>
      <c r="C27" s="175">
        <f t="shared" si="7"/>
        <v>1148549670</v>
      </c>
      <c r="D27" s="175">
        <f t="shared" si="7"/>
        <v>1115492114.8</v>
      </c>
      <c r="E27" s="175">
        <f t="shared" si="7"/>
        <v>1097473603.8699999</v>
      </c>
      <c r="F27" s="175">
        <f t="shared" si="7"/>
        <v>1075347312.01</v>
      </c>
      <c r="G27" s="175">
        <f t="shared" si="7"/>
        <v>1137712140.6199999</v>
      </c>
      <c r="H27" s="175">
        <f t="shared" si="7"/>
        <v>1132099697.5</v>
      </c>
      <c r="I27" s="175">
        <f t="shared" si="7"/>
        <v>1143539808.75</v>
      </c>
      <c r="J27" s="175">
        <f t="shared" si="7"/>
        <v>1132733199.52</v>
      </c>
      <c r="K27" s="175">
        <f t="shared" si="7"/>
        <v>1122803347.75</v>
      </c>
      <c r="L27" s="175">
        <f t="shared" si="7"/>
        <v>1110947024.8300002</v>
      </c>
      <c r="M27" s="175">
        <f t="shared" si="7"/>
        <v>1471574579.5799997</v>
      </c>
      <c r="N27" s="175">
        <f t="shared" si="7"/>
        <v>1340038318.8699999</v>
      </c>
      <c r="O27" s="175">
        <f t="shared" si="7"/>
        <v>1271812614.7</v>
      </c>
      <c r="P27" s="174">
        <f t="shared" si="7"/>
        <v>1274664305</v>
      </c>
      <c r="Q27" s="174">
        <f t="shared" si="7"/>
        <v>1242608076.73</v>
      </c>
      <c r="R27" s="174">
        <f t="shared" si="7"/>
        <v>1245660446.54</v>
      </c>
      <c r="S27" s="174">
        <f t="shared" si="7"/>
        <v>1212962879.7899997</v>
      </c>
      <c r="T27" s="174">
        <f t="shared" si="7"/>
        <v>1214202270.72</v>
      </c>
      <c r="U27" s="174">
        <f t="shared" si="7"/>
        <v>1173621180.9299998</v>
      </c>
      <c r="V27" s="174">
        <f t="shared" si="7"/>
        <v>1197421612.51</v>
      </c>
      <c r="W27" s="174">
        <f t="shared" si="7"/>
        <v>1181707375.2200003</v>
      </c>
      <c r="X27" s="174">
        <f t="shared" si="7"/>
        <v>1174627588.74</v>
      </c>
      <c r="Y27" s="174">
        <f t="shared" si="7"/>
        <v>1176545077.05</v>
      </c>
      <c r="Z27" s="174">
        <f t="shared" si="7"/>
        <v>2974140107.3800001</v>
      </c>
      <c r="AA27" s="174">
        <f t="shared" si="7"/>
        <v>2813808172.1599998</v>
      </c>
      <c r="AB27" s="174">
        <f t="shared" si="7"/>
        <v>2696433376.1500001</v>
      </c>
      <c r="AC27" s="174">
        <f t="shared" si="7"/>
        <v>1292476096</v>
      </c>
      <c r="AD27" s="174">
        <f t="shared" si="7"/>
        <v>1255145740.77</v>
      </c>
      <c r="AE27" s="174">
        <f t="shared" si="7"/>
        <v>1248182133.99</v>
      </c>
      <c r="AF27" s="174">
        <f t="shared" si="7"/>
        <v>1230432804.6500001</v>
      </c>
      <c r="AG27" s="174">
        <f t="shared" si="7"/>
        <v>1255164086.24</v>
      </c>
      <c r="AH27" s="174">
        <f t="shared" si="7"/>
        <v>1251561382.6499999</v>
      </c>
      <c r="AI27" s="174">
        <f t="shared" si="7"/>
        <v>1265242789.5999999</v>
      </c>
      <c r="AJ27" s="174">
        <f t="shared" si="7"/>
        <v>2518733084.3400002</v>
      </c>
      <c r="AK27" s="174">
        <f t="shared" si="7"/>
        <v>1256646426.9300001</v>
      </c>
      <c r="AL27" s="174">
        <f t="shared" si="7"/>
        <v>1490000780.6599998</v>
      </c>
      <c r="AM27" s="174">
        <f t="shared" si="7"/>
        <v>1421587242.75</v>
      </c>
      <c r="AN27" s="174">
        <f t="shared" si="7"/>
        <v>1362879984.7800002</v>
      </c>
      <c r="AO27" s="174">
        <f t="shared" si="7"/>
        <v>1367873753</v>
      </c>
      <c r="AP27" s="174">
        <f t="shared" si="7"/>
        <v>1344379229.03</v>
      </c>
      <c r="AQ27" s="174">
        <f t="shared" si="7"/>
        <v>1344209164.22</v>
      </c>
      <c r="AR27" s="174">
        <f t="shared" si="7"/>
        <v>1334356045.6199999</v>
      </c>
      <c r="AS27" s="174">
        <f t="shared" si="7"/>
        <v>1369098114.8</v>
      </c>
      <c r="AT27" s="174">
        <f t="shared" si="7"/>
        <v>1349478001.4400001</v>
      </c>
      <c r="AU27" s="174">
        <f t="shared" si="7"/>
        <v>1345640991.71</v>
      </c>
      <c r="AV27" s="174">
        <f t="shared" si="7"/>
        <v>1348653091.3000002</v>
      </c>
      <c r="AW27" s="174">
        <f t="shared" si="7"/>
        <v>1332832167.2900002</v>
      </c>
      <c r="AX27" s="174">
        <f t="shared" si="7"/>
        <v>1321064426.3200002</v>
      </c>
      <c r="AY27" s="174">
        <f t="shared" si="7"/>
        <v>1403742642.7600002</v>
      </c>
      <c r="AZ27" s="174">
        <f t="shared" si="7"/>
        <v>1415895179.26</v>
      </c>
      <c r="BA27" s="174">
        <f t="shared" si="7"/>
        <v>1378250800.5400002</v>
      </c>
      <c r="BB27" s="174">
        <f t="shared" si="7"/>
        <v>1384915572</v>
      </c>
      <c r="BC27" s="174">
        <f t="shared" si="7"/>
        <v>1364233559.3199999</v>
      </c>
      <c r="BD27" s="174">
        <f t="shared" si="7"/>
        <v>1353830620.2000003</v>
      </c>
      <c r="BE27" s="174">
        <f t="shared" si="7"/>
        <v>1327401987.6599998</v>
      </c>
      <c r="BF27" s="174">
        <f t="shared" si="7"/>
        <v>1353431194.01</v>
      </c>
      <c r="BG27" s="174">
        <f t="shared" si="7"/>
        <v>1350418309.4200001</v>
      </c>
      <c r="BH27" s="174">
        <f t="shared" si="7"/>
        <v>1357304122.5300002</v>
      </c>
      <c r="BI27" s="174">
        <f t="shared" si="7"/>
        <v>1578408898.1900001</v>
      </c>
      <c r="BJ27" s="174">
        <f t="shared" si="7"/>
        <v>1520693171.4299998</v>
      </c>
      <c r="BK27" s="174">
        <f t="shared" si="7"/>
        <v>1469147025.72</v>
      </c>
      <c r="BL27" s="174">
        <f t="shared" si="7"/>
        <v>1452709669.6100001</v>
      </c>
      <c r="BM27" s="174">
        <f t="shared" si="7"/>
        <v>1429829218.0600002</v>
      </c>
      <c r="BN27" s="174">
        <f t="shared" ref="BN27:BO27" si="8">SUM(BN4+BN7+BN8+BN14+BN17+BN21)</f>
        <v>1421215209.2</v>
      </c>
      <c r="BO27" s="174">
        <f t="shared" si="8"/>
        <v>1380976781</v>
      </c>
      <c r="BP27" s="126">
        <f>1420380868-BO27</f>
        <v>39404087</v>
      </c>
    </row>
    <row r="28" spans="1:68" s="176" customFormat="1" ht="14.45">
      <c r="A28" s="177" t="s">
        <v>293</v>
      </c>
      <c r="B28" s="178">
        <v>8112861</v>
      </c>
      <c r="C28" s="181">
        <v>485766253</v>
      </c>
      <c r="D28" s="193">
        <v>442322179.75999999</v>
      </c>
      <c r="E28" s="181">
        <v>424897659.82999998</v>
      </c>
      <c r="F28" s="181">
        <v>403145799.60000002</v>
      </c>
      <c r="G28" s="181">
        <v>421821793.17000002</v>
      </c>
      <c r="H28" s="181">
        <v>408546537.68000001</v>
      </c>
      <c r="I28" s="181">
        <v>400809903.44999999</v>
      </c>
      <c r="J28" s="181">
        <v>392838444.19999999</v>
      </c>
      <c r="K28" s="182">
        <v>372739958.68000001</v>
      </c>
      <c r="L28" s="182">
        <v>356547955.92000002</v>
      </c>
      <c r="M28" s="182">
        <v>750540335.01999998</v>
      </c>
      <c r="N28" s="182">
        <v>601123321.79999995</v>
      </c>
      <c r="O28" s="182">
        <v>533636032.98000002</v>
      </c>
      <c r="P28" s="183">
        <v>533637032</v>
      </c>
      <c r="Q28" s="182">
        <v>504334447.49000001</v>
      </c>
      <c r="R28" s="182">
        <v>486349858.99000001</v>
      </c>
      <c r="S28" s="182">
        <v>470999942.42000002</v>
      </c>
      <c r="T28" s="276">
        <v>475631836.98000002</v>
      </c>
      <c r="U28" s="276">
        <v>430505007.54000002</v>
      </c>
      <c r="V28" s="277">
        <v>428624185.19999999</v>
      </c>
      <c r="W28" s="182">
        <v>431569396.05000001</v>
      </c>
      <c r="X28" s="182">
        <v>415130036.13999999</v>
      </c>
      <c r="Y28" s="182">
        <v>410294290.19</v>
      </c>
      <c r="Z28" s="271">
        <v>120694652.75</v>
      </c>
      <c r="AA28" s="271">
        <v>121609964.34999999</v>
      </c>
      <c r="AB28" s="271">
        <v>116421109.15000001</v>
      </c>
      <c r="AC28" s="201">
        <v>491860828</v>
      </c>
      <c r="AD28" s="271">
        <v>451011543.87</v>
      </c>
      <c r="AE28" s="271">
        <v>436919118.88</v>
      </c>
      <c r="AF28" s="271">
        <v>431059141.86000001</v>
      </c>
      <c r="AG28" s="271">
        <v>453967530.05000001</v>
      </c>
      <c r="AH28" s="271">
        <v>447348066.06999999</v>
      </c>
      <c r="AI28" s="271">
        <v>456406672.62</v>
      </c>
      <c r="AJ28" s="271">
        <v>873836767.15999997</v>
      </c>
      <c r="AK28" s="271">
        <v>426166433.43000001</v>
      </c>
      <c r="AL28" s="271">
        <v>651812188.98000002</v>
      </c>
      <c r="AM28" s="271">
        <v>563275805.61000001</v>
      </c>
      <c r="AN28" s="271">
        <v>506660958.08999997</v>
      </c>
      <c r="AO28" s="271">
        <v>506660959</v>
      </c>
      <c r="AP28" s="271">
        <v>487040266.22000003</v>
      </c>
      <c r="AQ28" s="271">
        <v>483877700.75</v>
      </c>
      <c r="AR28" s="271">
        <v>486301931.88</v>
      </c>
      <c r="AS28" s="271">
        <v>497243607.83999997</v>
      </c>
      <c r="AT28" s="271">
        <v>476737019.55000001</v>
      </c>
      <c r="AU28" s="271">
        <v>475013530.83999997</v>
      </c>
      <c r="AV28" s="271">
        <v>468055159.33999997</v>
      </c>
      <c r="AW28" s="284">
        <v>444435054.20999998</v>
      </c>
      <c r="AX28" s="284">
        <v>430505022.06999999</v>
      </c>
      <c r="AY28" s="284">
        <v>509330749.56</v>
      </c>
      <c r="AZ28" s="271">
        <v>517668226.63</v>
      </c>
      <c r="BA28" s="271">
        <v>508451644.89999998</v>
      </c>
      <c r="BB28" s="303">
        <v>508451644.89999998</v>
      </c>
      <c r="BC28" s="271">
        <v>490167490.94999999</v>
      </c>
      <c r="BD28" s="271">
        <v>478301369.25</v>
      </c>
      <c r="BE28" s="271">
        <v>469412991.04000002</v>
      </c>
      <c r="BF28" s="271">
        <v>492083339.99000001</v>
      </c>
      <c r="BG28" s="271">
        <v>483982446.33999997</v>
      </c>
      <c r="BH28" s="271">
        <v>462848423.25999999</v>
      </c>
      <c r="BI28" s="308">
        <v>646926258</v>
      </c>
      <c r="BJ28" s="308">
        <v>589901250.40999997</v>
      </c>
      <c r="BK28" s="308">
        <v>544014752.63999999</v>
      </c>
      <c r="BL28" s="308">
        <v>525551777.19</v>
      </c>
      <c r="BM28" s="308">
        <v>497225625.77999997</v>
      </c>
      <c r="BN28" s="308">
        <v>471384838.31</v>
      </c>
      <c r="BO28" s="300">
        <v>471385237</v>
      </c>
    </row>
    <row r="29" spans="1:68" s="176" customFormat="1" ht="14.45">
      <c r="A29" s="177" t="s">
        <v>294</v>
      </c>
      <c r="B29" s="178">
        <v>8350444</v>
      </c>
      <c r="C29" s="181">
        <v>94948114</v>
      </c>
      <c r="D29" s="193">
        <v>97099755.150000006</v>
      </c>
      <c r="E29" s="181">
        <v>97735836.25</v>
      </c>
      <c r="F29" s="181">
        <v>103529661.25</v>
      </c>
      <c r="G29" s="188">
        <v>99792072.200000003</v>
      </c>
      <c r="H29" s="181">
        <v>100082000.25</v>
      </c>
      <c r="I29" s="181">
        <v>114426332.25</v>
      </c>
      <c r="J29" s="181">
        <v>113606816.25</v>
      </c>
      <c r="K29" s="182">
        <v>112844046.25</v>
      </c>
      <c r="L29" s="182">
        <v>116423540.25</v>
      </c>
      <c r="M29" s="182">
        <v>117647695.40000001</v>
      </c>
      <c r="N29" s="182">
        <v>127358881.40000001</v>
      </c>
      <c r="O29" s="182">
        <v>112160582.40000001</v>
      </c>
      <c r="P29" s="183">
        <v>112160581</v>
      </c>
      <c r="Q29" s="182">
        <v>111811985.25</v>
      </c>
      <c r="R29" s="182">
        <v>121759094</v>
      </c>
      <c r="S29" s="182">
        <v>119074161</v>
      </c>
      <c r="T29" s="276">
        <v>116058726</v>
      </c>
      <c r="U29" s="276">
        <v>116042236.59999999</v>
      </c>
      <c r="V29" s="277">
        <v>115814724</v>
      </c>
      <c r="W29" s="182">
        <v>114550663</v>
      </c>
      <c r="X29" s="182">
        <v>116731557.65000001</v>
      </c>
      <c r="Y29" s="182">
        <v>118987396.65000001</v>
      </c>
      <c r="Z29" s="271">
        <v>296583902.94999999</v>
      </c>
      <c r="AA29" s="271">
        <v>299117138.57999998</v>
      </c>
      <c r="AB29" s="271">
        <v>300651292.52999997</v>
      </c>
      <c r="AC29" s="201">
        <v>116421109</v>
      </c>
      <c r="AD29" s="271">
        <v>117172309.15000001</v>
      </c>
      <c r="AE29" s="271">
        <v>121778339.15000001</v>
      </c>
      <c r="AF29" s="271">
        <v>120705350</v>
      </c>
      <c r="AG29" s="271">
        <v>118323045</v>
      </c>
      <c r="AH29" s="271">
        <v>123073928.59999999</v>
      </c>
      <c r="AI29" s="271">
        <v>124026830.5</v>
      </c>
      <c r="AJ29" s="271">
        <v>256255333.46000001</v>
      </c>
      <c r="AK29" s="271">
        <v>128725534.98</v>
      </c>
      <c r="AL29" s="271">
        <v>122446181.7</v>
      </c>
      <c r="AM29" s="271">
        <v>125272597.84999999</v>
      </c>
      <c r="AN29" s="271">
        <v>140432581.69999999</v>
      </c>
      <c r="AO29" s="271">
        <v>140432582</v>
      </c>
      <c r="AP29" s="271">
        <v>138436700</v>
      </c>
      <c r="AQ29" s="271">
        <v>140939314.80000001</v>
      </c>
      <c r="AR29" s="271">
        <v>145462424.69999999</v>
      </c>
      <c r="AS29" s="271">
        <v>135984775.15000001</v>
      </c>
      <c r="AT29" s="271">
        <v>142270775.15000001</v>
      </c>
      <c r="AU29" s="271">
        <v>142846086.5</v>
      </c>
      <c r="AV29" s="271">
        <v>147646734.44999999</v>
      </c>
      <c r="AW29" s="283">
        <v>142846372.80000001</v>
      </c>
      <c r="AX29" s="283">
        <v>145927250</v>
      </c>
      <c r="AY29" s="283">
        <v>141118375.69999999</v>
      </c>
      <c r="AZ29" s="271">
        <v>137128050</v>
      </c>
      <c r="BA29" s="271">
        <v>109280050</v>
      </c>
      <c r="BB29" s="303">
        <v>109280050</v>
      </c>
      <c r="BC29" s="271">
        <v>107159100</v>
      </c>
      <c r="BD29" s="271">
        <v>103774243.84999999</v>
      </c>
      <c r="BE29" s="271">
        <v>106326089.55</v>
      </c>
      <c r="BF29" s="271">
        <v>109573492.7</v>
      </c>
      <c r="BG29" s="271">
        <v>110927699.65000001</v>
      </c>
      <c r="BH29" s="271">
        <v>112628084.55</v>
      </c>
      <c r="BI29" s="308">
        <v>130041751.75</v>
      </c>
      <c r="BJ29" s="308">
        <v>132099007.75</v>
      </c>
      <c r="BK29" s="308">
        <v>132761785.8</v>
      </c>
      <c r="BL29" s="308">
        <v>129376832.55</v>
      </c>
      <c r="BM29" s="308">
        <v>137825300</v>
      </c>
      <c r="BN29" s="308">
        <v>135348465</v>
      </c>
      <c r="BO29" s="300">
        <v>135348465</v>
      </c>
    </row>
    <row r="30" spans="1:68" s="176" customFormat="1" ht="14.45">
      <c r="A30" s="177" t="s">
        <v>295</v>
      </c>
      <c r="B30" s="178">
        <v>112140909</v>
      </c>
      <c r="C30" s="181">
        <v>271523495</v>
      </c>
      <c r="D30" s="193">
        <v>271440379.66000003</v>
      </c>
      <c r="E30" s="181">
        <v>272102363.5</v>
      </c>
      <c r="F30" s="181">
        <v>275215911.81</v>
      </c>
      <c r="G30" s="188">
        <v>275942440.27999997</v>
      </c>
      <c r="H30" s="181">
        <v>278554208.33999997</v>
      </c>
      <c r="I30" s="181">
        <v>279980022.32999998</v>
      </c>
      <c r="J30" s="181">
        <v>281300354.61000001</v>
      </c>
      <c r="K30" s="182">
        <v>281983349.44</v>
      </c>
      <c r="L30" s="182">
        <v>281221645.70999998</v>
      </c>
      <c r="M30" s="182">
        <v>281992159.07999998</v>
      </c>
      <c r="N30" s="182">
        <v>285229828.56999999</v>
      </c>
      <c r="O30" s="182">
        <v>285539578.05000001</v>
      </c>
      <c r="P30" s="183">
        <v>285538578</v>
      </c>
      <c r="Q30" s="182">
        <v>286341070</v>
      </c>
      <c r="R30" s="182">
        <v>288628737.07999998</v>
      </c>
      <c r="S30" s="182">
        <v>290381478.44</v>
      </c>
      <c r="T30" s="276">
        <v>290806289.63999999</v>
      </c>
      <c r="U30" s="276">
        <v>290924750.27999997</v>
      </c>
      <c r="V30" s="277">
        <v>291941906.38999999</v>
      </c>
      <c r="W30" s="182">
        <v>292534082.38</v>
      </c>
      <c r="X30" s="182">
        <v>295020581.49000001</v>
      </c>
      <c r="Y30" s="182">
        <v>295627278.47000003</v>
      </c>
      <c r="Z30" s="278">
        <v>1052467219.11</v>
      </c>
      <c r="AA30" s="278">
        <v>967440088.25999999</v>
      </c>
      <c r="AB30" s="278">
        <v>908933231.12</v>
      </c>
      <c r="AC30" s="201">
        <v>300651292</v>
      </c>
      <c r="AD30" s="271">
        <v>299424989.75999999</v>
      </c>
      <c r="AE30" s="271">
        <v>303007290.68000001</v>
      </c>
      <c r="AF30" s="271">
        <v>303950035.49000001</v>
      </c>
      <c r="AG30" s="271">
        <v>304133851.13999999</v>
      </c>
      <c r="AH30" s="271">
        <v>303974818.43000001</v>
      </c>
      <c r="AI30" s="271">
        <v>303408792.72000003</v>
      </c>
      <c r="AJ30" s="271">
        <v>611319617.34000003</v>
      </c>
      <c r="AK30" s="271">
        <v>307785563.66000003</v>
      </c>
      <c r="AL30" s="271">
        <v>309472558.52999997</v>
      </c>
      <c r="AM30" s="271">
        <v>310299767.80000001</v>
      </c>
      <c r="AN30" s="271">
        <v>299415781.75999999</v>
      </c>
      <c r="AO30" s="271">
        <v>299415783</v>
      </c>
      <c r="AP30" s="271">
        <v>299133083</v>
      </c>
      <c r="AQ30" s="271">
        <v>300154126.70999998</v>
      </c>
      <c r="AR30" s="271">
        <v>300346981.61000001</v>
      </c>
      <c r="AS30" s="271">
        <v>301036380.93000001</v>
      </c>
      <c r="AT30" s="271">
        <v>302998421.13</v>
      </c>
      <c r="AU30" s="271">
        <v>304208876.87</v>
      </c>
      <c r="AV30" s="271">
        <v>305458489.27999997</v>
      </c>
      <c r="AW30" s="283">
        <v>308352827.19999999</v>
      </c>
      <c r="AX30" s="283">
        <v>308042777.74000001</v>
      </c>
      <c r="AY30" s="283">
        <v>309084047.00999999</v>
      </c>
      <c r="AZ30" s="271">
        <v>311397283.72000003</v>
      </c>
      <c r="BA30" s="271">
        <v>311674453.23000002</v>
      </c>
      <c r="BB30" s="303">
        <v>311674453.23000002</v>
      </c>
      <c r="BC30" s="271">
        <v>313638043.49000001</v>
      </c>
      <c r="BD30" s="271">
        <v>314871886.69999999</v>
      </c>
      <c r="BE30" s="271">
        <v>315415168.10000002</v>
      </c>
      <c r="BF30" s="271">
        <v>316657077.45999998</v>
      </c>
      <c r="BG30" s="271">
        <v>316965875.41000003</v>
      </c>
      <c r="BH30" s="271">
        <v>318024917.51999998</v>
      </c>
      <c r="BI30" s="308">
        <v>320612635.45999998</v>
      </c>
      <c r="BJ30" s="308">
        <v>321281157.38</v>
      </c>
      <c r="BK30" s="308">
        <v>321943884.27999997</v>
      </c>
      <c r="BL30" s="308">
        <v>323624328.94999999</v>
      </c>
      <c r="BM30" s="308">
        <v>326437915.85000002</v>
      </c>
      <c r="BN30" s="308">
        <v>328291050.24000001</v>
      </c>
      <c r="BO30" s="300">
        <v>328290550</v>
      </c>
    </row>
    <row r="31" spans="1:68" s="176" customFormat="1">
      <c r="A31" s="173" t="s">
        <v>296</v>
      </c>
      <c r="B31" s="174">
        <f t="shared" ref="B31:G31" si="9">SUM(B28:B30)</f>
        <v>128604214</v>
      </c>
      <c r="C31" s="174">
        <f t="shared" si="9"/>
        <v>852237862</v>
      </c>
      <c r="D31" s="174">
        <f t="shared" si="9"/>
        <v>810862314.56999993</v>
      </c>
      <c r="E31" s="174">
        <f t="shared" si="9"/>
        <v>794735859.57999992</v>
      </c>
      <c r="F31" s="174">
        <f t="shared" si="9"/>
        <v>781891372.66000009</v>
      </c>
      <c r="G31" s="174">
        <f t="shared" si="9"/>
        <v>797556305.64999998</v>
      </c>
      <c r="H31" s="174">
        <f t="shared" ref="H31:BO31" si="10">SUM(H28:H30)</f>
        <v>787182746.26999998</v>
      </c>
      <c r="I31" s="174">
        <f t="shared" si="10"/>
        <v>795216258.02999997</v>
      </c>
      <c r="J31" s="174">
        <f t="shared" si="10"/>
        <v>787745615.05999994</v>
      </c>
      <c r="K31" s="174">
        <f t="shared" si="10"/>
        <v>767567354.37</v>
      </c>
      <c r="L31" s="174">
        <f t="shared" si="10"/>
        <v>754193141.88</v>
      </c>
      <c r="M31" s="174">
        <f t="shared" si="10"/>
        <v>1150180189.5</v>
      </c>
      <c r="N31" s="174">
        <f t="shared" si="10"/>
        <v>1013712031.77</v>
      </c>
      <c r="O31" s="174">
        <f t="shared" si="10"/>
        <v>931336193.43000007</v>
      </c>
      <c r="P31" s="174">
        <f t="shared" si="10"/>
        <v>931336191</v>
      </c>
      <c r="Q31" s="174">
        <f t="shared" si="10"/>
        <v>902487502.74000001</v>
      </c>
      <c r="R31" s="174">
        <f t="shared" si="10"/>
        <v>896737690.06999993</v>
      </c>
      <c r="S31" s="174">
        <f t="shared" si="10"/>
        <v>880455581.86000013</v>
      </c>
      <c r="T31" s="174">
        <f t="shared" si="10"/>
        <v>882496852.62</v>
      </c>
      <c r="U31" s="174">
        <f t="shared" si="10"/>
        <v>837471994.41999996</v>
      </c>
      <c r="V31" s="174">
        <f t="shared" si="10"/>
        <v>836380815.59000003</v>
      </c>
      <c r="W31" s="174">
        <f t="shared" si="10"/>
        <v>838654141.42999995</v>
      </c>
      <c r="X31" s="174">
        <f t="shared" si="10"/>
        <v>826882175.27999997</v>
      </c>
      <c r="Y31" s="174">
        <f t="shared" si="10"/>
        <v>824908965.31000006</v>
      </c>
      <c r="Z31" s="174">
        <f t="shared" si="10"/>
        <v>1469745774.8099999</v>
      </c>
      <c r="AA31" s="174">
        <f t="shared" si="10"/>
        <v>1388167191.1900001</v>
      </c>
      <c r="AB31" s="174">
        <f t="shared" si="10"/>
        <v>1326005632.8</v>
      </c>
      <c r="AC31" s="174">
        <f t="shared" si="10"/>
        <v>908933229</v>
      </c>
      <c r="AD31" s="174">
        <f t="shared" si="10"/>
        <v>867608842.77999997</v>
      </c>
      <c r="AE31" s="174">
        <f t="shared" si="10"/>
        <v>861704748.71000004</v>
      </c>
      <c r="AF31" s="174">
        <f t="shared" si="10"/>
        <v>855714527.35000002</v>
      </c>
      <c r="AG31" s="174">
        <f t="shared" si="10"/>
        <v>876424426.18999994</v>
      </c>
      <c r="AH31" s="174">
        <f t="shared" si="10"/>
        <v>874396813.0999999</v>
      </c>
      <c r="AI31" s="174">
        <f t="shared" si="10"/>
        <v>883842295.84000003</v>
      </c>
      <c r="AJ31" s="174">
        <f t="shared" si="10"/>
        <v>1741411717.96</v>
      </c>
      <c r="AK31" s="174">
        <f t="shared" si="10"/>
        <v>862677532.06999993</v>
      </c>
      <c r="AL31" s="174">
        <f t="shared" si="10"/>
        <v>1083730929.21</v>
      </c>
      <c r="AM31" s="174">
        <f t="shared" si="10"/>
        <v>998848171.25999999</v>
      </c>
      <c r="AN31" s="174">
        <f t="shared" si="10"/>
        <v>946509321.54999995</v>
      </c>
      <c r="AO31" s="174">
        <f t="shared" si="10"/>
        <v>946509324</v>
      </c>
      <c r="AP31" s="174">
        <f t="shared" si="10"/>
        <v>924610049.22000003</v>
      </c>
      <c r="AQ31" s="174">
        <f t="shared" si="10"/>
        <v>924971142.25999999</v>
      </c>
      <c r="AR31" s="174">
        <f t="shared" si="10"/>
        <v>932111338.18999994</v>
      </c>
      <c r="AS31" s="174">
        <f t="shared" si="10"/>
        <v>934264763.92000008</v>
      </c>
      <c r="AT31" s="174">
        <f t="shared" si="10"/>
        <v>922006215.83000004</v>
      </c>
      <c r="AU31" s="174">
        <f t="shared" si="10"/>
        <v>922068494.20999992</v>
      </c>
      <c r="AV31" s="174">
        <f t="shared" si="10"/>
        <v>921160383.06999993</v>
      </c>
      <c r="AW31" s="174">
        <f t="shared" si="10"/>
        <v>895634254.21000004</v>
      </c>
      <c r="AX31" s="174">
        <f t="shared" si="10"/>
        <v>884475049.80999994</v>
      </c>
      <c r="AY31" s="174">
        <f t="shared" si="10"/>
        <v>959533172.26999998</v>
      </c>
      <c r="AZ31" s="174">
        <f t="shared" si="10"/>
        <v>966193560.35000002</v>
      </c>
      <c r="BA31" s="174">
        <f t="shared" si="10"/>
        <v>929406148.13</v>
      </c>
      <c r="BB31" s="174">
        <f t="shared" si="10"/>
        <v>929406148.13</v>
      </c>
      <c r="BC31" s="174">
        <f t="shared" si="10"/>
        <v>910964634.44000006</v>
      </c>
      <c r="BD31" s="174">
        <f t="shared" si="10"/>
        <v>896947499.79999995</v>
      </c>
      <c r="BE31" s="174">
        <f t="shared" si="10"/>
        <v>891154248.69000006</v>
      </c>
      <c r="BF31" s="174">
        <f t="shared" si="10"/>
        <v>918313910.1500001</v>
      </c>
      <c r="BG31" s="174">
        <f t="shared" si="10"/>
        <v>911876021.4000001</v>
      </c>
      <c r="BH31" s="174">
        <f t="shared" si="10"/>
        <v>893501425.32999992</v>
      </c>
      <c r="BI31" s="174">
        <f t="shared" si="10"/>
        <v>1097580645.21</v>
      </c>
      <c r="BJ31" s="174">
        <f t="shared" si="10"/>
        <v>1043281415.54</v>
      </c>
      <c r="BK31" s="174">
        <f t="shared" si="10"/>
        <v>998720422.71999991</v>
      </c>
      <c r="BL31" s="174">
        <f t="shared" si="10"/>
        <v>978552938.69000006</v>
      </c>
      <c r="BM31" s="174">
        <f t="shared" si="10"/>
        <v>961488841.63</v>
      </c>
      <c r="BN31" s="174">
        <f t="shared" si="10"/>
        <v>935024353.54999995</v>
      </c>
      <c r="BO31" s="174">
        <f t="shared" si="10"/>
        <v>935024252</v>
      </c>
    </row>
    <row r="32" spans="1:68" s="176" customFormat="1" ht="14.45">
      <c r="A32" s="177" t="s">
        <v>297</v>
      </c>
      <c r="B32" s="178">
        <v>27231</v>
      </c>
      <c r="C32" s="181">
        <v>-1155539</v>
      </c>
      <c r="D32" s="181">
        <v>244460.83</v>
      </c>
      <c r="E32" s="181">
        <v>244460.83</v>
      </c>
      <c r="F32" s="181">
        <v>244460.83</v>
      </c>
      <c r="G32" s="126">
        <v>144460.82999999999</v>
      </c>
      <c r="H32" s="181">
        <v>2074510.08</v>
      </c>
      <c r="I32" s="181">
        <v>2074510.08</v>
      </c>
      <c r="J32" s="181">
        <v>697838.03</v>
      </c>
      <c r="K32" s="182">
        <v>144460.82999999999</v>
      </c>
      <c r="L32" s="182">
        <v>144460.82999999999</v>
      </c>
      <c r="M32" s="182">
        <v>508043.78</v>
      </c>
      <c r="N32" s="182">
        <v>947873.53</v>
      </c>
      <c r="O32" s="182">
        <v>947873.53</v>
      </c>
      <c r="P32" s="183">
        <v>-452126</v>
      </c>
      <c r="Q32" s="182">
        <v>947873.53</v>
      </c>
      <c r="R32" s="182">
        <v>947873.53</v>
      </c>
      <c r="S32" s="182">
        <v>947873.53</v>
      </c>
      <c r="T32" s="276">
        <v>947873.53</v>
      </c>
      <c r="U32" s="276">
        <v>947873.53</v>
      </c>
      <c r="V32" s="277">
        <v>947873.53</v>
      </c>
      <c r="W32" s="182">
        <v>947873.53</v>
      </c>
      <c r="X32" s="182">
        <v>947873.53</v>
      </c>
      <c r="Y32" s="182">
        <v>947873.53</v>
      </c>
      <c r="Z32" s="271">
        <v>0</v>
      </c>
      <c r="AA32" s="271">
        <v>0</v>
      </c>
      <c r="AB32" s="271">
        <v>0</v>
      </c>
      <c r="AD32" s="271">
        <v>947873.53</v>
      </c>
      <c r="AE32" s="271">
        <v>947873.53</v>
      </c>
      <c r="AF32" s="271">
        <v>947873.53</v>
      </c>
      <c r="AG32" s="271">
        <v>947873.53</v>
      </c>
      <c r="AH32" s="271">
        <v>947873.53</v>
      </c>
      <c r="AI32" s="271">
        <v>947873.53</v>
      </c>
      <c r="AJ32" s="271">
        <v>1895747.06</v>
      </c>
      <c r="AK32" s="271">
        <v>-146142.47</v>
      </c>
      <c r="AL32" s="271">
        <v>-146142.47</v>
      </c>
      <c r="AM32" s="271">
        <v>0</v>
      </c>
      <c r="AN32" s="271">
        <v>947873.53</v>
      </c>
      <c r="AO32" s="271">
        <v>1194753</v>
      </c>
      <c r="AP32" s="271">
        <v>2594752.5299999998</v>
      </c>
      <c r="AQ32" s="271">
        <v>2915940.53</v>
      </c>
      <c r="AR32" s="271">
        <v>2915940.53</v>
      </c>
      <c r="AS32" s="271">
        <v>1099999.53</v>
      </c>
      <c r="AT32" s="271">
        <v>1099999.53</v>
      </c>
      <c r="AU32" s="271">
        <v>-1200000.47</v>
      </c>
      <c r="AV32" s="271">
        <v>-1200000.47</v>
      </c>
      <c r="AW32" s="284">
        <v>-1200000.47</v>
      </c>
      <c r="AX32" s="284">
        <v>-1200000.47</v>
      </c>
      <c r="AY32" s="284">
        <v>-1200000.47</v>
      </c>
      <c r="AZ32" s="271">
        <v>-1200000.47</v>
      </c>
      <c r="BA32" s="271">
        <v>-741279.85</v>
      </c>
      <c r="BB32" s="300"/>
      <c r="BC32" s="271">
        <v>-741279.85</v>
      </c>
      <c r="BD32" s="271">
        <v>6192380.0499999998</v>
      </c>
      <c r="BE32" s="271">
        <v>6830565.4400000004</v>
      </c>
      <c r="BF32" s="271">
        <v>200000.44</v>
      </c>
      <c r="BG32" s="271">
        <v>200000.44</v>
      </c>
      <c r="BH32" s="271">
        <v>-336842</v>
      </c>
      <c r="BI32" s="308">
        <v>-336842</v>
      </c>
      <c r="BJ32" s="308">
        <v>-336842</v>
      </c>
      <c r="BK32" s="308">
        <v>-1799999.56</v>
      </c>
      <c r="BL32" s="308">
        <v>-1799999.56</v>
      </c>
      <c r="BM32" s="308">
        <v>-1799999.56</v>
      </c>
      <c r="BN32" s="308">
        <v>2267374.44</v>
      </c>
      <c r="BO32" s="300">
        <v>7055965</v>
      </c>
    </row>
    <row r="33" spans="1:68" s="176" customFormat="1" ht="14.45">
      <c r="A33" s="177" t="s">
        <v>298</v>
      </c>
      <c r="B33" s="178">
        <v>3618123</v>
      </c>
      <c r="C33" s="181">
        <v>11832183</v>
      </c>
      <c r="D33" s="181">
        <v>0</v>
      </c>
      <c r="E33" s="181">
        <v>0</v>
      </c>
      <c r="F33" s="181">
        <v>-14279.5</v>
      </c>
      <c r="G33" s="126">
        <v>0</v>
      </c>
      <c r="H33" s="181">
        <v>0</v>
      </c>
      <c r="I33" s="181"/>
      <c r="J33" s="181"/>
      <c r="K33" s="182">
        <v>0</v>
      </c>
      <c r="L33" s="182">
        <v>0</v>
      </c>
      <c r="M33" s="182">
        <v>0</v>
      </c>
      <c r="N33" s="182">
        <v>0</v>
      </c>
      <c r="O33" s="182">
        <v>0</v>
      </c>
      <c r="P33" s="183">
        <v>16504848</v>
      </c>
      <c r="Q33" s="182">
        <v>0</v>
      </c>
      <c r="R33" s="182">
        <v>0</v>
      </c>
      <c r="S33" s="182">
        <v>0</v>
      </c>
      <c r="T33" s="276">
        <v>0</v>
      </c>
      <c r="U33" s="276">
        <v>0</v>
      </c>
      <c r="V33" s="277">
        <v>0</v>
      </c>
      <c r="W33" s="182">
        <v>0</v>
      </c>
      <c r="X33" s="182">
        <v>0</v>
      </c>
      <c r="Y33" s="182">
        <v>0</v>
      </c>
      <c r="Z33" s="271">
        <v>0</v>
      </c>
      <c r="AA33" s="271">
        <v>0</v>
      </c>
      <c r="AB33" s="271">
        <v>0</v>
      </c>
      <c r="AD33" s="271">
        <v>0</v>
      </c>
      <c r="AE33" s="271">
        <v>0</v>
      </c>
      <c r="AF33" s="271">
        <v>0</v>
      </c>
      <c r="AG33" s="271">
        <v>0</v>
      </c>
      <c r="AH33" s="271">
        <v>0</v>
      </c>
      <c r="AI33" s="271">
        <v>0</v>
      </c>
      <c r="AJ33" s="271">
        <v>0</v>
      </c>
      <c r="AK33" s="271">
        <v>0</v>
      </c>
      <c r="AL33" s="271">
        <v>0</v>
      </c>
      <c r="AM33" s="271">
        <v>0</v>
      </c>
      <c r="AN33" s="271">
        <v>0</v>
      </c>
      <c r="AO33" s="271">
        <v>25703527</v>
      </c>
      <c r="AP33" s="271">
        <v>0</v>
      </c>
      <c r="AQ33" s="271">
        <v>0</v>
      </c>
      <c r="AR33" s="271">
        <v>0</v>
      </c>
      <c r="AS33" s="271">
        <v>0</v>
      </c>
      <c r="AT33" s="271">
        <v>0</v>
      </c>
      <c r="AU33" s="271">
        <v>0</v>
      </c>
      <c r="AV33" s="271">
        <v>0</v>
      </c>
      <c r="AW33" s="282">
        <v>0</v>
      </c>
      <c r="AX33" s="282">
        <v>0</v>
      </c>
      <c r="AY33" s="282">
        <v>0</v>
      </c>
      <c r="AZ33" s="271">
        <v>0</v>
      </c>
      <c r="BA33" s="271">
        <v>0</v>
      </c>
      <c r="BB33" s="300"/>
      <c r="BC33" s="271">
        <v>0</v>
      </c>
      <c r="BD33" s="271">
        <v>0</v>
      </c>
      <c r="BE33" s="271">
        <v>476614.7</v>
      </c>
      <c r="BF33" s="271">
        <v>476614.7</v>
      </c>
      <c r="BG33" s="271">
        <v>0</v>
      </c>
      <c r="BH33" s="271">
        <v>0</v>
      </c>
      <c r="BI33" s="308">
        <v>0</v>
      </c>
      <c r="BJ33" s="308">
        <v>0</v>
      </c>
      <c r="BK33" s="308">
        <v>0</v>
      </c>
      <c r="BL33" s="308">
        <v>0</v>
      </c>
      <c r="BM33" s="308">
        <v>0</v>
      </c>
      <c r="BN33" s="308">
        <v>17058903</v>
      </c>
      <c r="BO33" s="300">
        <v>32025371</v>
      </c>
    </row>
    <row r="34" spans="1:68" s="176" customFormat="1" ht="14.45">
      <c r="A34" s="177" t="s">
        <v>299</v>
      </c>
      <c r="B34" s="178"/>
      <c r="C34" s="179">
        <v>0</v>
      </c>
      <c r="D34" s="181"/>
      <c r="E34" s="181"/>
      <c r="F34" s="181"/>
      <c r="G34" s="126"/>
      <c r="H34" s="181"/>
      <c r="I34" s="181"/>
      <c r="J34" s="181"/>
      <c r="K34" s="182">
        <v>0</v>
      </c>
      <c r="L34" s="182">
        <v>0</v>
      </c>
      <c r="M34" s="182">
        <v>0</v>
      </c>
      <c r="N34" s="182">
        <v>0</v>
      </c>
      <c r="O34" s="182">
        <v>0</v>
      </c>
      <c r="P34" s="183"/>
      <c r="Q34" s="182">
        <v>0</v>
      </c>
      <c r="R34" s="182">
        <v>0</v>
      </c>
      <c r="S34" s="182">
        <v>0</v>
      </c>
      <c r="T34" s="276">
        <v>0</v>
      </c>
      <c r="U34" s="276">
        <v>0</v>
      </c>
      <c r="V34" s="277">
        <v>0</v>
      </c>
      <c r="W34" s="182">
        <v>0</v>
      </c>
      <c r="X34" s="182">
        <v>0</v>
      </c>
      <c r="Y34" s="182">
        <v>0</v>
      </c>
      <c r="Z34" s="271">
        <v>0</v>
      </c>
      <c r="AA34" s="271">
        <v>0</v>
      </c>
      <c r="AB34" s="271">
        <v>0</v>
      </c>
      <c r="AD34" s="271">
        <v>0</v>
      </c>
      <c r="AE34" s="271">
        <v>0</v>
      </c>
      <c r="AF34" s="271">
        <v>0</v>
      </c>
      <c r="AG34" s="271">
        <v>0</v>
      </c>
      <c r="AH34" s="271">
        <v>0</v>
      </c>
      <c r="AI34" s="271">
        <v>0</v>
      </c>
      <c r="AJ34" s="271">
        <v>0</v>
      </c>
      <c r="AK34" s="271">
        <v>0</v>
      </c>
      <c r="AL34" s="271">
        <v>0</v>
      </c>
      <c r="AM34" s="271">
        <v>0</v>
      </c>
      <c r="AN34" s="271">
        <v>0</v>
      </c>
      <c r="AO34" s="271">
        <v>0</v>
      </c>
      <c r="AP34" s="271">
        <v>0</v>
      </c>
      <c r="AQ34" s="271">
        <v>0</v>
      </c>
      <c r="AR34" s="271">
        <v>0</v>
      </c>
      <c r="AS34" s="271">
        <v>0</v>
      </c>
      <c r="AT34" s="271">
        <v>0</v>
      </c>
      <c r="AU34" s="271">
        <v>0</v>
      </c>
      <c r="AV34" s="271">
        <v>0</v>
      </c>
      <c r="AW34" s="282">
        <v>0</v>
      </c>
      <c r="AX34" s="282">
        <v>0</v>
      </c>
      <c r="AY34" s="282">
        <v>0</v>
      </c>
      <c r="AZ34" s="271">
        <v>0</v>
      </c>
      <c r="BA34" s="271">
        <v>0</v>
      </c>
      <c r="BB34" s="300"/>
      <c r="BC34" s="271">
        <v>0</v>
      </c>
      <c r="BD34" s="271">
        <v>0</v>
      </c>
      <c r="BE34" s="271">
        <v>0</v>
      </c>
      <c r="BF34" s="271">
        <v>0</v>
      </c>
      <c r="BG34" s="271">
        <v>0</v>
      </c>
      <c r="BH34" s="271">
        <v>0</v>
      </c>
      <c r="BI34" s="308">
        <v>0</v>
      </c>
      <c r="BJ34" s="308">
        <v>0</v>
      </c>
      <c r="BK34" s="308">
        <v>0</v>
      </c>
      <c r="BL34" s="308">
        <v>0</v>
      </c>
      <c r="BM34" s="308">
        <v>0</v>
      </c>
      <c r="BN34" s="308">
        <v>0</v>
      </c>
      <c r="BO34" s="300">
        <v>1053191</v>
      </c>
    </row>
    <row r="35" spans="1:68" s="176" customFormat="1" ht="14.45">
      <c r="A35" s="177" t="s">
        <v>300</v>
      </c>
      <c r="B35" s="178"/>
      <c r="C35" s="179"/>
      <c r="D35" s="181"/>
      <c r="E35" s="181"/>
      <c r="F35" s="181"/>
      <c r="G35" s="126"/>
      <c r="H35" s="181"/>
      <c r="I35" s="181"/>
      <c r="J35" s="181"/>
      <c r="K35" s="182">
        <v>0</v>
      </c>
      <c r="L35" s="182">
        <v>0</v>
      </c>
      <c r="M35" s="182">
        <v>0</v>
      </c>
      <c r="N35" s="182">
        <v>0</v>
      </c>
      <c r="O35" s="182">
        <v>0</v>
      </c>
      <c r="P35" s="183"/>
      <c r="Q35" s="182">
        <v>0</v>
      </c>
      <c r="R35" s="182">
        <v>0</v>
      </c>
      <c r="S35" s="182">
        <v>0</v>
      </c>
      <c r="T35" s="276">
        <v>0</v>
      </c>
      <c r="U35" s="276">
        <v>0</v>
      </c>
      <c r="V35" s="277">
        <v>0</v>
      </c>
      <c r="W35" s="182">
        <v>0</v>
      </c>
      <c r="X35" s="182">
        <v>0</v>
      </c>
      <c r="Y35" s="182">
        <v>0</v>
      </c>
      <c r="Z35" s="271">
        <v>54690194</v>
      </c>
      <c r="AA35" s="271">
        <v>52515512.549999997</v>
      </c>
      <c r="AB35" s="271">
        <v>54074414.469999999</v>
      </c>
      <c r="AD35" s="271">
        <v>0</v>
      </c>
      <c r="AE35" s="271">
        <v>0</v>
      </c>
      <c r="AF35" s="271">
        <v>0</v>
      </c>
      <c r="AG35" s="271">
        <v>0</v>
      </c>
      <c r="AH35" s="271">
        <v>0</v>
      </c>
      <c r="AI35" s="271">
        <v>0</v>
      </c>
      <c r="AJ35" s="271">
        <v>0</v>
      </c>
      <c r="AK35" s="271">
        <v>0</v>
      </c>
      <c r="AL35" s="271">
        <v>0</v>
      </c>
      <c r="AM35" s="271">
        <v>0</v>
      </c>
      <c r="AN35" s="271">
        <v>0</v>
      </c>
      <c r="AO35" s="271">
        <v>0</v>
      </c>
      <c r="AP35" s="271">
        <v>0</v>
      </c>
      <c r="AQ35" s="271">
        <v>0</v>
      </c>
      <c r="AR35" s="271">
        <v>0</v>
      </c>
      <c r="AS35" s="271">
        <v>0</v>
      </c>
      <c r="AT35" s="271">
        <v>0</v>
      </c>
      <c r="AU35" s="271">
        <v>0</v>
      </c>
      <c r="AV35" s="271">
        <v>0</v>
      </c>
      <c r="AW35" s="282">
        <v>0</v>
      </c>
      <c r="AX35" s="282">
        <v>0</v>
      </c>
      <c r="AY35" s="282">
        <v>0</v>
      </c>
      <c r="AZ35" s="271">
        <v>0</v>
      </c>
      <c r="BA35" s="271">
        <v>0</v>
      </c>
      <c r="BB35" s="300"/>
      <c r="BC35" s="271">
        <v>0</v>
      </c>
      <c r="BD35" s="271">
        <v>0</v>
      </c>
      <c r="BE35" s="271">
        <v>0</v>
      </c>
      <c r="BF35" s="271">
        <v>0</v>
      </c>
      <c r="BG35" s="271">
        <v>0</v>
      </c>
      <c r="BH35" s="271">
        <v>0</v>
      </c>
      <c r="BI35" s="308">
        <v>0</v>
      </c>
      <c r="BJ35" s="308">
        <v>0</v>
      </c>
      <c r="BK35" s="308">
        <v>0</v>
      </c>
      <c r="BL35" s="308">
        <v>0</v>
      </c>
      <c r="BM35" s="308">
        <v>0</v>
      </c>
      <c r="BN35" s="308">
        <v>0</v>
      </c>
      <c r="BO35" s="300"/>
    </row>
    <row r="36" spans="1:68" s="176" customFormat="1" ht="14.45">
      <c r="A36" s="177" t="s">
        <v>301</v>
      </c>
      <c r="B36" s="178">
        <v>1214920</v>
      </c>
      <c r="C36" s="181">
        <v>29530170</v>
      </c>
      <c r="D36" s="181">
        <v>38354319.450000003</v>
      </c>
      <c r="E36" s="181">
        <v>38750658.880000003</v>
      </c>
      <c r="F36" s="181">
        <v>32249818.850000001</v>
      </c>
      <c r="G36" s="126">
        <v>29815638.309999999</v>
      </c>
      <c r="H36" s="181">
        <v>33701925.020000003</v>
      </c>
      <c r="I36" s="181">
        <v>36214135.439999998</v>
      </c>
      <c r="J36" s="181">
        <v>33478649.690000001</v>
      </c>
      <c r="K36" s="182">
        <v>37680706.780000001</v>
      </c>
      <c r="L36" s="182">
        <v>38827300.420000002</v>
      </c>
      <c r="M36" s="182">
        <v>41210206.850000001</v>
      </c>
      <c r="N36" s="182">
        <v>42442241.700000003</v>
      </c>
      <c r="O36" s="182">
        <v>47875035.93</v>
      </c>
      <c r="P36" s="183">
        <f>8033846+11026235+13163336+4234713</f>
        <v>36458130</v>
      </c>
      <c r="Q36" s="182">
        <v>42434995.780000001</v>
      </c>
      <c r="R36" s="182">
        <v>53386352.140000001</v>
      </c>
      <c r="S36" s="182">
        <v>41127771.640000001</v>
      </c>
      <c r="T36" s="276">
        <v>38119401.909999996</v>
      </c>
      <c r="U36" s="276">
        <v>41993558.859999999</v>
      </c>
      <c r="V36" s="277">
        <v>62505402.43</v>
      </c>
      <c r="W36" s="182">
        <v>46750388.549999997</v>
      </c>
      <c r="X36" s="182">
        <v>46863578.25</v>
      </c>
      <c r="Y36" s="182">
        <v>49096993.950000003</v>
      </c>
      <c r="Z36" s="271">
        <v>0</v>
      </c>
      <c r="AA36" s="271">
        <v>0</v>
      </c>
      <c r="AB36" s="271">
        <v>0</v>
      </c>
      <c r="AC36" s="201">
        <v>58203826</v>
      </c>
      <c r="AD36" s="271">
        <v>55599093.909999996</v>
      </c>
      <c r="AE36" s="271">
        <v>54157728.899999999</v>
      </c>
      <c r="AF36" s="271">
        <v>50874873.369999997</v>
      </c>
      <c r="AG36" s="271">
        <v>52453103.369999997</v>
      </c>
      <c r="AH36" s="271">
        <v>50124334.189999998</v>
      </c>
      <c r="AI36" s="271">
        <v>52002011.780000001</v>
      </c>
      <c r="AJ36" s="271">
        <v>113858256.16</v>
      </c>
      <c r="AK36" s="271">
        <v>65194386.979999997</v>
      </c>
      <c r="AL36" s="271">
        <v>63973024.530000001</v>
      </c>
      <c r="AM36" s="271">
        <v>68616383.150000006</v>
      </c>
      <c r="AN36" s="271">
        <v>55381277.289999999</v>
      </c>
      <c r="AO36" s="271">
        <f>2290037+17387062+13268843+741975</f>
        <v>33687917</v>
      </c>
      <c r="AP36" s="271">
        <v>53648955.299999997</v>
      </c>
      <c r="AQ36" s="271">
        <v>54639548.229999997</v>
      </c>
      <c r="AR36" s="271">
        <v>47643306.399999999</v>
      </c>
      <c r="AS36" s="271">
        <v>80273722.239999995</v>
      </c>
      <c r="AT36" s="271">
        <v>69731396.519999996</v>
      </c>
      <c r="AU36" s="271">
        <v>67285765.109999999</v>
      </c>
      <c r="AV36" s="271">
        <v>69730488.950000003</v>
      </c>
      <c r="AW36" s="283">
        <v>77720210.900000006</v>
      </c>
      <c r="AX36" s="283">
        <v>75717353.489999995</v>
      </c>
      <c r="AY36" s="283">
        <v>73506559.769999996</v>
      </c>
      <c r="AZ36" s="271">
        <v>75363018</v>
      </c>
      <c r="BA36" s="271">
        <v>66073392.490000002</v>
      </c>
      <c r="BB36" s="300">
        <v>74736079</v>
      </c>
      <c r="BC36" s="271">
        <v>68803047.670000002</v>
      </c>
      <c r="BD36" s="271">
        <v>66942587.829999998</v>
      </c>
      <c r="BE36" s="271">
        <v>57579542.560000002</v>
      </c>
      <c r="BF36" s="271">
        <v>60333441.700000003</v>
      </c>
      <c r="BG36" s="271">
        <v>61783095.210000001</v>
      </c>
      <c r="BH36" s="271">
        <v>85990210.560000002</v>
      </c>
      <c r="BI36" s="308">
        <v>97000553.379999995</v>
      </c>
      <c r="BJ36" s="308">
        <v>92508288.969999999</v>
      </c>
      <c r="BK36" s="308">
        <v>85628804.930000007</v>
      </c>
      <c r="BL36" s="308">
        <v>85650102.019999996</v>
      </c>
      <c r="BM36" s="308">
        <v>77427376.109999999</v>
      </c>
      <c r="BN36" s="308">
        <v>79383315.060000002</v>
      </c>
      <c r="BO36" s="300">
        <f>80802464-BO34-BO33-BO32</f>
        <v>40667937</v>
      </c>
    </row>
    <row r="37" spans="1:68" s="176" customFormat="1" ht="14.45">
      <c r="A37" s="177" t="s">
        <v>302</v>
      </c>
      <c r="B37" s="178">
        <v>2291669</v>
      </c>
      <c r="C37" s="179"/>
      <c r="D37" s="181">
        <v>0</v>
      </c>
      <c r="E37" s="181">
        <v>0</v>
      </c>
      <c r="F37" s="181">
        <v>0</v>
      </c>
      <c r="G37" s="126">
        <v>50000000</v>
      </c>
      <c r="H37" s="181">
        <v>50000000</v>
      </c>
      <c r="I37" s="181">
        <v>50000000</v>
      </c>
      <c r="J37" s="181">
        <v>50000000</v>
      </c>
      <c r="K37" s="182">
        <v>50000000</v>
      </c>
      <c r="L37" s="182">
        <v>50000000</v>
      </c>
      <c r="M37" s="182">
        <v>0</v>
      </c>
      <c r="N37" s="182">
        <v>0</v>
      </c>
      <c r="O37" s="182">
        <v>0</v>
      </c>
      <c r="P37" s="183"/>
      <c r="Q37" s="182">
        <v>0</v>
      </c>
      <c r="R37" s="182">
        <v>0</v>
      </c>
      <c r="S37" s="182">
        <v>0</v>
      </c>
      <c r="T37" s="276">
        <v>0</v>
      </c>
      <c r="U37" s="276">
        <v>0</v>
      </c>
      <c r="V37" s="277">
        <v>0</v>
      </c>
      <c r="W37" s="182">
        <v>0</v>
      </c>
      <c r="X37" s="182">
        <v>0</v>
      </c>
      <c r="Y37" s="182">
        <v>0</v>
      </c>
      <c r="Z37" s="278">
        <v>1108105286.6400001</v>
      </c>
      <c r="AA37" s="278">
        <v>1020903474.34</v>
      </c>
      <c r="AB37" s="278">
        <v>963955519.12</v>
      </c>
      <c r="AD37" s="271">
        <v>0</v>
      </c>
      <c r="AE37" s="271">
        <v>0</v>
      </c>
      <c r="AF37" s="271">
        <v>0</v>
      </c>
      <c r="AG37" s="271">
        <v>0</v>
      </c>
      <c r="AH37" s="271">
        <v>0</v>
      </c>
      <c r="AI37" s="271">
        <v>0</v>
      </c>
      <c r="AJ37" s="271">
        <v>0</v>
      </c>
      <c r="AK37" s="271">
        <v>0</v>
      </c>
      <c r="AL37" s="271">
        <v>0</v>
      </c>
      <c r="AM37" s="271">
        <v>0</v>
      </c>
      <c r="AN37" s="271">
        <v>0</v>
      </c>
      <c r="AO37" s="271">
        <v>0</v>
      </c>
      <c r="AP37" s="271">
        <v>0</v>
      </c>
      <c r="AQ37" s="271">
        <v>0</v>
      </c>
      <c r="AR37" s="271">
        <v>0</v>
      </c>
      <c r="AS37" s="271">
        <v>0</v>
      </c>
      <c r="AT37" s="271">
        <v>0</v>
      </c>
      <c r="AU37" s="271">
        <v>0</v>
      </c>
      <c r="AV37" s="271">
        <v>0</v>
      </c>
      <c r="AW37" s="282">
        <v>0</v>
      </c>
      <c r="AX37" s="282">
        <v>0</v>
      </c>
      <c r="AY37" s="282">
        <v>0</v>
      </c>
      <c r="AZ37" s="271">
        <v>0</v>
      </c>
      <c r="BA37" s="271">
        <v>0</v>
      </c>
      <c r="BB37" s="300"/>
      <c r="BC37" s="271">
        <v>0</v>
      </c>
      <c r="BD37" s="271">
        <v>0</v>
      </c>
      <c r="BE37" s="271">
        <v>0</v>
      </c>
      <c r="BF37" s="271">
        <v>0</v>
      </c>
      <c r="BG37" s="271">
        <v>0</v>
      </c>
      <c r="BH37" s="271">
        <v>0</v>
      </c>
      <c r="BI37" s="308">
        <v>0</v>
      </c>
      <c r="BJ37" s="308">
        <v>0</v>
      </c>
      <c r="BK37" s="308">
        <v>0</v>
      </c>
      <c r="BL37" s="308">
        <v>0</v>
      </c>
      <c r="BM37" s="308">
        <v>0</v>
      </c>
      <c r="BN37" s="308">
        <v>0</v>
      </c>
      <c r="BO37" s="300"/>
    </row>
    <row r="38" spans="1:68" s="176" customFormat="1">
      <c r="A38" s="173" t="s">
        <v>303</v>
      </c>
      <c r="B38" s="174">
        <f t="shared" ref="B38:G38" si="11">SUM(B31:B37)</f>
        <v>135756157</v>
      </c>
      <c r="C38" s="174">
        <f t="shared" si="11"/>
        <v>892444676</v>
      </c>
      <c r="D38" s="174">
        <f t="shared" si="11"/>
        <v>849461094.85000002</v>
      </c>
      <c r="E38" s="174">
        <f t="shared" si="11"/>
        <v>833730979.28999996</v>
      </c>
      <c r="F38" s="174">
        <f t="shared" si="11"/>
        <v>814371372.84000015</v>
      </c>
      <c r="G38" s="174">
        <f t="shared" si="11"/>
        <v>877516404.78999996</v>
      </c>
      <c r="H38" s="174">
        <f t="shared" ref="H38:BO38" si="12">SUM(H31:H37)</f>
        <v>872959181.37</v>
      </c>
      <c r="I38" s="174">
        <f t="shared" si="12"/>
        <v>883504903.54999995</v>
      </c>
      <c r="J38" s="174">
        <f t="shared" si="12"/>
        <v>871922102.77999997</v>
      </c>
      <c r="K38" s="174">
        <f t="shared" si="12"/>
        <v>855392521.98000002</v>
      </c>
      <c r="L38" s="174">
        <f t="shared" si="12"/>
        <v>843164903.13</v>
      </c>
      <c r="M38" s="174">
        <f t="shared" si="12"/>
        <v>1191898440.1299999</v>
      </c>
      <c r="N38" s="174">
        <f t="shared" si="12"/>
        <v>1057102147</v>
      </c>
      <c r="O38" s="174">
        <f t="shared" si="12"/>
        <v>980159102.88999999</v>
      </c>
      <c r="P38" s="174">
        <f t="shared" si="12"/>
        <v>983847043</v>
      </c>
      <c r="Q38" s="174">
        <f t="shared" si="12"/>
        <v>945870372.04999995</v>
      </c>
      <c r="R38" s="174">
        <f t="shared" si="12"/>
        <v>951071915.73999989</v>
      </c>
      <c r="S38" s="174">
        <f t="shared" si="12"/>
        <v>922531227.03000009</v>
      </c>
      <c r="T38" s="174">
        <f t="shared" si="12"/>
        <v>921564128.05999994</v>
      </c>
      <c r="U38" s="174">
        <f t="shared" si="12"/>
        <v>880413426.80999994</v>
      </c>
      <c r="V38" s="174">
        <f t="shared" si="12"/>
        <v>899834091.54999995</v>
      </c>
      <c r="W38" s="174">
        <f t="shared" si="12"/>
        <v>886352403.50999987</v>
      </c>
      <c r="X38" s="174">
        <f t="shared" si="12"/>
        <v>874693627.05999994</v>
      </c>
      <c r="Y38" s="174">
        <f t="shared" si="12"/>
        <v>874953832.79000008</v>
      </c>
      <c r="Z38" s="174">
        <f t="shared" si="12"/>
        <v>2632541255.4499998</v>
      </c>
      <c r="AA38" s="174">
        <f t="shared" si="12"/>
        <v>2461586178.0799999</v>
      </c>
      <c r="AB38" s="174">
        <f t="shared" si="12"/>
        <v>2344035566.3899999</v>
      </c>
      <c r="AC38" s="174">
        <f t="shared" si="12"/>
        <v>967137055</v>
      </c>
      <c r="AD38" s="174">
        <f t="shared" si="12"/>
        <v>924155810.21999991</v>
      </c>
      <c r="AE38" s="174">
        <f t="shared" si="12"/>
        <v>916810351.13999999</v>
      </c>
      <c r="AF38" s="174">
        <f t="shared" si="12"/>
        <v>907537274.25</v>
      </c>
      <c r="AG38" s="174">
        <f t="shared" si="12"/>
        <v>929825403.08999991</v>
      </c>
      <c r="AH38" s="174">
        <f t="shared" si="12"/>
        <v>925469020.81999993</v>
      </c>
      <c r="AI38" s="174">
        <f t="shared" si="12"/>
        <v>936792181.14999998</v>
      </c>
      <c r="AJ38" s="174">
        <f t="shared" si="12"/>
        <v>1857165721.1800001</v>
      </c>
      <c r="AK38" s="174">
        <f t="shared" si="12"/>
        <v>927725776.57999992</v>
      </c>
      <c r="AL38" s="174">
        <f t="shared" si="12"/>
        <v>1147557811.27</v>
      </c>
      <c r="AM38" s="174">
        <f t="shared" si="12"/>
        <v>1067464554.41</v>
      </c>
      <c r="AN38" s="174">
        <f t="shared" si="12"/>
        <v>1002838472.3699999</v>
      </c>
      <c r="AO38" s="174">
        <f t="shared" si="12"/>
        <v>1007095521</v>
      </c>
      <c r="AP38" s="174">
        <f t="shared" si="12"/>
        <v>980853757.04999995</v>
      </c>
      <c r="AQ38" s="174">
        <f t="shared" si="12"/>
        <v>982526631.01999998</v>
      </c>
      <c r="AR38" s="174">
        <f t="shared" si="12"/>
        <v>982670585.11999989</v>
      </c>
      <c r="AS38" s="174">
        <f t="shared" si="12"/>
        <v>1015638485.6900001</v>
      </c>
      <c r="AT38" s="174">
        <f t="shared" si="12"/>
        <v>992837611.88</v>
      </c>
      <c r="AU38" s="174">
        <f t="shared" si="12"/>
        <v>988154258.8499999</v>
      </c>
      <c r="AV38" s="174">
        <f t="shared" si="12"/>
        <v>989690871.54999995</v>
      </c>
      <c r="AW38" s="174">
        <f t="shared" si="12"/>
        <v>972154464.63999999</v>
      </c>
      <c r="AX38" s="174">
        <f t="shared" si="12"/>
        <v>958992402.82999992</v>
      </c>
      <c r="AY38" s="174">
        <f t="shared" si="12"/>
        <v>1031839731.5699999</v>
      </c>
      <c r="AZ38" s="174">
        <f t="shared" si="12"/>
        <v>1040356577.88</v>
      </c>
      <c r="BA38" s="174">
        <f t="shared" si="12"/>
        <v>994738260.76999998</v>
      </c>
      <c r="BB38" s="174">
        <f t="shared" si="12"/>
        <v>1004142227.13</v>
      </c>
      <c r="BC38" s="174">
        <f t="shared" si="12"/>
        <v>979026402.25999999</v>
      </c>
      <c r="BD38" s="174">
        <f t="shared" si="12"/>
        <v>970082467.67999995</v>
      </c>
      <c r="BE38" s="174">
        <f t="shared" si="12"/>
        <v>956040971.3900001</v>
      </c>
      <c r="BF38" s="174">
        <f t="shared" si="12"/>
        <v>979323966.99000025</v>
      </c>
      <c r="BG38" s="174">
        <f t="shared" si="12"/>
        <v>973859117.05000019</v>
      </c>
      <c r="BH38" s="174">
        <f t="shared" si="12"/>
        <v>979154793.88999987</v>
      </c>
      <c r="BI38" s="174">
        <f t="shared" si="12"/>
        <v>1194244356.5900002</v>
      </c>
      <c r="BJ38" s="174">
        <f t="shared" si="12"/>
        <v>1135452862.51</v>
      </c>
      <c r="BK38" s="174">
        <f t="shared" si="12"/>
        <v>1082549228.0899999</v>
      </c>
      <c r="BL38" s="174">
        <f t="shared" si="12"/>
        <v>1062403041.1500001</v>
      </c>
      <c r="BM38" s="174">
        <f t="shared" si="12"/>
        <v>1037116218.1800001</v>
      </c>
      <c r="BN38" s="174">
        <f t="shared" si="12"/>
        <v>1033733946.05</v>
      </c>
      <c r="BO38" s="174">
        <f t="shared" si="12"/>
        <v>1015826716</v>
      </c>
      <c r="BP38" s="126">
        <f>1015826716-BO38</f>
        <v>0</v>
      </c>
    </row>
    <row r="39" spans="1:68" s="176" customFormat="1" ht="14.45">
      <c r="A39" s="177" t="s">
        <v>304</v>
      </c>
      <c r="B39" s="178">
        <v>10494697</v>
      </c>
      <c r="C39" s="181">
        <v>140665447</v>
      </c>
      <c r="D39" s="181">
        <v>141254381.75</v>
      </c>
      <c r="E39" s="181">
        <v>141798724.71000001</v>
      </c>
      <c r="F39" s="181">
        <v>142412759.40000001</v>
      </c>
      <c r="G39" s="126">
        <v>142997614.62</v>
      </c>
      <c r="H39" s="181">
        <v>143647732.24000001</v>
      </c>
      <c r="I39" s="181">
        <v>144244738.03</v>
      </c>
      <c r="J39" s="181">
        <v>144742971.71000001</v>
      </c>
      <c r="K39" s="182">
        <v>145294302.69999999</v>
      </c>
      <c r="L39" s="182">
        <v>146359757.47</v>
      </c>
      <c r="M39" s="182">
        <v>154260050.71000001</v>
      </c>
      <c r="N39" s="182">
        <v>155498451.99000001</v>
      </c>
      <c r="O39" s="182">
        <v>156700171.75999999</v>
      </c>
      <c r="P39" s="183">
        <v>156700172</v>
      </c>
      <c r="Q39" s="182">
        <v>158031466.09</v>
      </c>
      <c r="R39" s="182">
        <v>159248740.00999999</v>
      </c>
      <c r="S39" s="182">
        <v>160714923.49000001</v>
      </c>
      <c r="T39" s="276">
        <v>162141252.30000001</v>
      </c>
      <c r="U39" s="276">
        <v>163118219.94</v>
      </c>
      <c r="V39" s="277">
        <v>164434119.02000001</v>
      </c>
      <c r="W39" s="182">
        <v>165664416.97</v>
      </c>
      <c r="X39" s="182">
        <v>167112370.97</v>
      </c>
      <c r="Y39" s="182">
        <v>168298212</v>
      </c>
      <c r="Z39" s="271">
        <v>0</v>
      </c>
      <c r="AA39" s="271">
        <v>0</v>
      </c>
      <c r="AB39" s="271">
        <v>0</v>
      </c>
      <c r="AC39" s="201">
        <v>172698282</v>
      </c>
      <c r="AD39" s="271">
        <v>174143525</v>
      </c>
      <c r="AE39" s="271">
        <v>175727812.84999999</v>
      </c>
      <c r="AF39" s="271">
        <v>176245577.56</v>
      </c>
      <c r="AG39" s="271">
        <v>176750604.88999999</v>
      </c>
      <c r="AH39" s="271">
        <v>177219887.28</v>
      </c>
      <c r="AI39" s="271">
        <v>177664029.03999999</v>
      </c>
      <c r="AJ39" s="271">
        <v>357419110.57999998</v>
      </c>
      <c r="AK39" s="271">
        <v>179209261.5</v>
      </c>
      <c r="AL39" s="271">
        <v>188131876.41</v>
      </c>
      <c r="AM39" s="271">
        <v>188671227.61000001</v>
      </c>
      <c r="AN39" s="271">
        <v>188369039.46000001</v>
      </c>
      <c r="AO39" s="182">
        <v>188369039</v>
      </c>
      <c r="AP39" s="271">
        <v>188821977.69</v>
      </c>
      <c r="AQ39" s="271">
        <v>189196268.03</v>
      </c>
      <c r="AR39" s="271">
        <v>189997778.78999999</v>
      </c>
      <c r="AS39" s="271">
        <v>191175041.00999999</v>
      </c>
      <c r="AT39" s="271">
        <v>192088477.11000001</v>
      </c>
      <c r="AU39" s="271">
        <v>192925519.96000001</v>
      </c>
      <c r="AV39" s="271">
        <v>193586256.53</v>
      </c>
      <c r="AW39" s="284">
        <v>194124798.27000001</v>
      </c>
      <c r="AX39" s="284">
        <v>194715722.78</v>
      </c>
      <c r="AY39" s="284">
        <v>201232394.75</v>
      </c>
      <c r="AZ39" s="271">
        <v>201852563.50999999</v>
      </c>
      <c r="BA39" s="271">
        <v>202568436.62</v>
      </c>
      <c r="BB39" s="303">
        <v>202568436.62</v>
      </c>
      <c r="BC39" s="271">
        <v>203367322.74000001</v>
      </c>
      <c r="BD39" s="271">
        <v>204016774.34999999</v>
      </c>
      <c r="BE39" s="271">
        <v>205429655.58000001</v>
      </c>
      <c r="BF39" s="271">
        <v>206351776.5</v>
      </c>
      <c r="BG39" s="271">
        <v>207480238.38</v>
      </c>
      <c r="BH39" s="271">
        <v>208408190.75</v>
      </c>
      <c r="BI39" s="308">
        <v>212612105.33000001</v>
      </c>
      <c r="BJ39" s="308">
        <v>213402875.44</v>
      </c>
      <c r="BK39" s="308">
        <v>214291430.75</v>
      </c>
      <c r="BL39" s="308">
        <v>215081078.81999999</v>
      </c>
      <c r="BM39" s="308">
        <v>216105362.46000001</v>
      </c>
      <c r="BN39" s="308">
        <v>217120314.03999999</v>
      </c>
      <c r="BO39" s="300">
        <v>217120114</v>
      </c>
    </row>
    <row r="40" spans="1:68" s="176" customFormat="1" ht="14.45">
      <c r="A40" s="177" t="s">
        <v>305</v>
      </c>
      <c r="B40" s="178">
        <v>340425</v>
      </c>
      <c r="C40" s="179"/>
      <c r="D40" s="181">
        <v>0</v>
      </c>
      <c r="E40" s="181">
        <v>0</v>
      </c>
      <c r="F40" s="181">
        <v>0</v>
      </c>
      <c r="G40" s="126">
        <v>0</v>
      </c>
      <c r="H40" s="181">
        <v>0</v>
      </c>
      <c r="I40" s="181"/>
      <c r="J40" s="181">
        <v>0</v>
      </c>
      <c r="K40" s="182">
        <v>0</v>
      </c>
      <c r="L40" s="182">
        <v>0</v>
      </c>
      <c r="M40" s="182">
        <v>0</v>
      </c>
      <c r="N40" s="182">
        <v>0</v>
      </c>
      <c r="O40" s="182">
        <v>0</v>
      </c>
      <c r="P40" s="183"/>
      <c r="Q40" s="182">
        <v>0</v>
      </c>
      <c r="R40" s="182">
        <v>0</v>
      </c>
      <c r="S40" s="182">
        <v>0</v>
      </c>
      <c r="T40" s="276">
        <v>0</v>
      </c>
      <c r="U40" s="276">
        <v>0</v>
      </c>
      <c r="V40" s="277">
        <v>0</v>
      </c>
      <c r="W40" s="182">
        <v>0</v>
      </c>
      <c r="X40" s="182">
        <v>0</v>
      </c>
      <c r="Y40" s="182">
        <v>0</v>
      </c>
      <c r="Z40" s="271">
        <v>33206439.949999999</v>
      </c>
      <c r="AA40" s="271">
        <v>33206439.949999999</v>
      </c>
      <c r="AB40" s="271">
        <v>33205439.949999999</v>
      </c>
      <c r="AC40" s="201"/>
      <c r="AD40" s="271">
        <v>0</v>
      </c>
      <c r="AE40" s="271">
        <v>0</v>
      </c>
      <c r="AF40" s="271">
        <v>0</v>
      </c>
      <c r="AG40" s="271">
        <v>0</v>
      </c>
      <c r="AH40" s="271">
        <v>0</v>
      </c>
      <c r="AI40" s="271">
        <v>0</v>
      </c>
      <c r="AJ40" s="271">
        <v>0</v>
      </c>
      <c r="AK40" s="271">
        <v>0</v>
      </c>
      <c r="AL40" s="271">
        <v>0</v>
      </c>
      <c r="AM40" s="271">
        <v>0</v>
      </c>
      <c r="AN40" s="271">
        <v>0</v>
      </c>
      <c r="AO40" s="271">
        <v>0</v>
      </c>
      <c r="AP40" s="271">
        <v>0</v>
      </c>
      <c r="AQ40" s="271">
        <v>0</v>
      </c>
      <c r="AR40" s="271">
        <v>0</v>
      </c>
      <c r="AS40" s="271">
        <v>0</v>
      </c>
      <c r="AT40" s="271">
        <v>0</v>
      </c>
      <c r="AU40" s="271">
        <v>0</v>
      </c>
      <c r="AV40" s="271">
        <v>0</v>
      </c>
      <c r="AW40" s="282">
        <v>0</v>
      </c>
      <c r="AX40" s="282">
        <v>0</v>
      </c>
      <c r="AY40" s="282">
        <v>0</v>
      </c>
      <c r="AZ40" s="271">
        <v>0</v>
      </c>
      <c r="BA40" s="271">
        <v>0</v>
      </c>
      <c r="BB40" s="300"/>
      <c r="BC40" s="271">
        <v>0</v>
      </c>
      <c r="BD40" s="271">
        <v>0</v>
      </c>
      <c r="BE40" s="271">
        <v>0</v>
      </c>
      <c r="BF40" s="271">
        <v>0</v>
      </c>
      <c r="BG40" s="271">
        <v>0</v>
      </c>
      <c r="BH40" s="271">
        <v>0</v>
      </c>
      <c r="BI40" s="308">
        <v>0</v>
      </c>
      <c r="BJ40" s="308">
        <v>0</v>
      </c>
      <c r="BK40" s="308">
        <v>0</v>
      </c>
      <c r="BL40" s="308">
        <v>0</v>
      </c>
      <c r="BM40" s="308">
        <v>0</v>
      </c>
      <c r="BN40" s="308">
        <v>0</v>
      </c>
      <c r="BO40" s="300"/>
    </row>
    <row r="41" spans="1:68" s="176" customFormat="1" ht="14.45">
      <c r="A41" s="177" t="s">
        <v>306</v>
      </c>
      <c r="B41" s="178">
        <v>351220</v>
      </c>
      <c r="C41" s="181">
        <v>14978344</v>
      </c>
      <c r="D41" s="194">
        <v>27664229.100000001</v>
      </c>
      <c r="E41" s="181">
        <v>20813817.100000001</v>
      </c>
      <c r="F41" s="181">
        <v>20813817.100000001</v>
      </c>
      <c r="G41" s="126">
        <v>20813817.100000001</v>
      </c>
      <c r="H41" s="181">
        <v>20813817.100000001</v>
      </c>
      <c r="I41" s="181">
        <v>20813817.100000001</v>
      </c>
      <c r="J41" s="181">
        <v>20813817.100000001</v>
      </c>
      <c r="K41" s="182">
        <v>20813817.100000001</v>
      </c>
      <c r="L41" s="182">
        <v>20813817.100000001</v>
      </c>
      <c r="M41" s="182">
        <v>20813817.100000001</v>
      </c>
      <c r="N41" s="182">
        <v>20813817.100000001</v>
      </c>
      <c r="O41" s="182">
        <v>20813817.100000001</v>
      </c>
      <c r="P41" s="183">
        <v>20813820</v>
      </c>
      <c r="Q41" s="182">
        <v>44640847.950000003</v>
      </c>
      <c r="R41" s="182">
        <v>33206439.949999999</v>
      </c>
      <c r="S41" s="182">
        <v>33206439.949999999</v>
      </c>
      <c r="T41" s="276">
        <v>33206439.949999999</v>
      </c>
      <c r="U41" s="276">
        <v>33206439.949999999</v>
      </c>
      <c r="V41" s="277">
        <v>33206439.949999999</v>
      </c>
      <c r="W41" s="182">
        <v>33206439.949999999</v>
      </c>
      <c r="X41" s="182">
        <v>33206439.949999999</v>
      </c>
      <c r="Y41" s="182">
        <v>33206439.949999999</v>
      </c>
      <c r="Z41" s="271">
        <v>7594989.1799999997</v>
      </c>
      <c r="AA41" s="271">
        <v>13282646.789999999</v>
      </c>
      <c r="AB41" s="271">
        <v>21945690.300000001</v>
      </c>
      <c r="AC41" s="201">
        <v>33206443</v>
      </c>
      <c r="AD41" s="271">
        <v>57730843.890000001</v>
      </c>
      <c r="AE41" s="271">
        <v>44826109.890000001</v>
      </c>
      <c r="AF41" s="271">
        <v>44826109.890000001</v>
      </c>
      <c r="AG41" s="271">
        <v>44826109.890000001</v>
      </c>
      <c r="AH41" s="271">
        <v>44825388.850000001</v>
      </c>
      <c r="AI41" s="271">
        <v>44822490.850000001</v>
      </c>
      <c r="AJ41" s="271">
        <v>89644981.700000003</v>
      </c>
      <c r="AK41" s="271">
        <v>44822490.850000001</v>
      </c>
      <c r="AL41" s="271">
        <v>44822490.850000001</v>
      </c>
      <c r="AM41" s="271">
        <v>44822490.850000001</v>
      </c>
      <c r="AN41" s="271">
        <v>44822490.850000001</v>
      </c>
      <c r="AO41" s="182">
        <v>44825378</v>
      </c>
      <c r="AP41" s="271">
        <v>72593813.189999998</v>
      </c>
      <c r="AQ41" s="271">
        <v>53317385.189999998</v>
      </c>
      <c r="AR41" s="271">
        <v>53317385.189999998</v>
      </c>
      <c r="AS41" s="271">
        <v>53317385.189999998</v>
      </c>
      <c r="AT41" s="271">
        <v>53317385.189999998</v>
      </c>
      <c r="AU41" s="271">
        <v>53317385.189999998</v>
      </c>
      <c r="AV41" s="271">
        <v>53317385.189999998</v>
      </c>
      <c r="AW41" s="283">
        <v>53317385.189999998</v>
      </c>
      <c r="AX41" s="284">
        <v>53317377.189999998</v>
      </c>
      <c r="AY41" s="283">
        <v>53317377.189999998</v>
      </c>
      <c r="AZ41" s="271">
        <v>53317377.189999998</v>
      </c>
      <c r="BA41" s="271">
        <v>53317372.850000001</v>
      </c>
      <c r="BB41" s="201">
        <v>53317384</v>
      </c>
      <c r="BC41" s="271">
        <v>75638698.390000001</v>
      </c>
      <c r="BD41" s="271">
        <v>72899349.280000001</v>
      </c>
      <c r="BE41" s="271">
        <v>54195789.960000001</v>
      </c>
      <c r="BF41" s="271">
        <v>54195789.960000001</v>
      </c>
      <c r="BG41" s="271">
        <v>54195789.960000001</v>
      </c>
      <c r="BH41" s="271">
        <v>54195789.960000001</v>
      </c>
      <c r="BI41" s="308">
        <v>54195789.960000001</v>
      </c>
      <c r="BJ41" s="308">
        <v>54195789.960000001</v>
      </c>
      <c r="BK41" s="308">
        <v>54148616.159999996</v>
      </c>
      <c r="BL41" s="308">
        <v>54195789.960000001</v>
      </c>
      <c r="BM41" s="308">
        <v>54195789.960000001</v>
      </c>
      <c r="BN41" s="308">
        <v>32336456.960000001</v>
      </c>
      <c r="BO41" s="300">
        <v>54209976</v>
      </c>
    </row>
    <row r="42" spans="1:68" s="176" customFormat="1" ht="14.45">
      <c r="A42" s="177" t="s">
        <v>307</v>
      </c>
      <c r="B42" s="178">
        <v>3541956</v>
      </c>
      <c r="C42" s="195">
        <v>5835476</v>
      </c>
      <c r="D42" s="181">
        <v>9337095</v>
      </c>
      <c r="E42" s="181">
        <v>6504356.6699999999</v>
      </c>
      <c r="F42" s="181">
        <v>7436870.5700000003</v>
      </c>
      <c r="G42" s="126">
        <v>6071812.0099999998</v>
      </c>
      <c r="H42" s="181">
        <v>4366474.6900000004</v>
      </c>
      <c r="I42" s="181">
        <v>4663857.97</v>
      </c>
      <c r="J42" s="181">
        <v>4946815.82</v>
      </c>
      <c r="K42" s="182">
        <v>10990213.869999999</v>
      </c>
      <c r="L42" s="182">
        <v>10296055.029999999</v>
      </c>
      <c r="M42" s="182">
        <v>14289779.539999999</v>
      </c>
      <c r="N42" s="182">
        <v>16311410.68</v>
      </c>
      <c r="O42" s="182">
        <v>23827030.850000001</v>
      </c>
      <c r="P42" s="183">
        <v>13061625</v>
      </c>
      <c r="Q42" s="182">
        <v>3752898.54</v>
      </c>
      <c r="R42" s="182">
        <v>1222702.74</v>
      </c>
      <c r="S42" s="182">
        <v>1599641.22</v>
      </c>
      <c r="T42" s="276">
        <v>2379802.31</v>
      </c>
      <c r="U42" s="276">
        <v>1972446.13</v>
      </c>
      <c r="V42" s="277">
        <v>5036313.8899999997</v>
      </c>
      <c r="W42" s="182">
        <v>1573466.69</v>
      </c>
      <c r="X42" s="182">
        <v>4704502.66</v>
      </c>
      <c r="Y42" s="182">
        <v>5175944.21</v>
      </c>
      <c r="Z42" s="271">
        <v>36468878</v>
      </c>
      <c r="AA42" s="271">
        <v>36468878</v>
      </c>
      <c r="AB42" s="271">
        <v>36468878</v>
      </c>
      <c r="AC42" s="201">
        <f>24523668-8000000-4904734</f>
        <v>11618934</v>
      </c>
      <c r="AD42" s="271">
        <v>4204913.5599999996</v>
      </c>
      <c r="AE42" s="271">
        <v>3002478.01</v>
      </c>
      <c r="AF42" s="271">
        <v>2008460.85</v>
      </c>
      <c r="AG42" s="271">
        <v>3946586.27</v>
      </c>
      <c r="AH42" s="271">
        <v>4231703.5999999996</v>
      </c>
      <c r="AI42" s="271">
        <v>6148706.46</v>
      </c>
      <c r="AJ42" s="271">
        <v>14872506.68</v>
      </c>
      <c r="AK42" s="271">
        <v>5073515.9000000004</v>
      </c>
      <c r="AL42" s="271">
        <v>9673220.0299999993</v>
      </c>
      <c r="AM42" s="271">
        <v>20813587.780000001</v>
      </c>
      <c r="AN42" s="271">
        <v>27034600</v>
      </c>
      <c r="AO42" s="261">
        <f>27771322-5554264-2888-13465213</f>
        <v>8748957</v>
      </c>
      <c r="AP42" s="271">
        <v>2294299.09</v>
      </c>
      <c r="AQ42" s="271">
        <v>398257.88</v>
      </c>
      <c r="AR42" s="271">
        <v>3064887.42</v>
      </c>
      <c r="AS42" s="271">
        <v>3661793.81</v>
      </c>
      <c r="AT42" s="271">
        <v>5850402.5599999996</v>
      </c>
      <c r="AU42" s="271">
        <v>5938418.6100000003</v>
      </c>
      <c r="AV42" s="271">
        <v>6753168.9299999997</v>
      </c>
      <c r="AW42" s="283">
        <v>7930110.0899999999</v>
      </c>
      <c r="AX42" s="283">
        <v>8733514.4199999999</v>
      </c>
      <c r="AY42" s="283">
        <v>12047730.15</v>
      </c>
      <c r="AZ42" s="271">
        <v>15063251.449999999</v>
      </c>
      <c r="BA42" s="271">
        <v>22321321.199999999</v>
      </c>
      <c r="BB42" s="300">
        <f>19582505+-3916501+-5+-14787592</f>
        <v>878407</v>
      </c>
      <c r="BC42" s="271">
        <v>895726.83</v>
      </c>
      <c r="BD42" s="271">
        <v>1526619.79</v>
      </c>
      <c r="BE42" s="271">
        <v>2513660.63</v>
      </c>
      <c r="BF42" s="271">
        <v>4337750.46</v>
      </c>
      <c r="BG42" s="271">
        <v>5661253.9299999997</v>
      </c>
      <c r="BH42" s="271">
        <v>6323436.8300000001</v>
      </c>
      <c r="BI42" s="308">
        <v>8134736.21</v>
      </c>
      <c r="BJ42" s="308">
        <v>8419733.4199999999</v>
      </c>
      <c r="BK42" s="308">
        <v>8935840.6199999992</v>
      </c>
      <c r="BL42" s="308">
        <v>11807849.58</v>
      </c>
      <c r="BM42" s="308">
        <v>13189937.359999999</v>
      </c>
      <c r="BN42" s="308">
        <v>24002152.109999999</v>
      </c>
      <c r="BO42" s="300">
        <f>24002152-4800430</f>
        <v>19201722</v>
      </c>
    </row>
    <row r="43" spans="1:68" s="176" customFormat="1" ht="14.45">
      <c r="A43" s="177" t="s">
        <v>81</v>
      </c>
      <c r="B43" s="178">
        <v>531274</v>
      </c>
      <c r="C43" s="181">
        <v>31870722</v>
      </c>
      <c r="D43" s="194">
        <v>29333544</v>
      </c>
      <c r="E43" s="181">
        <v>31870722</v>
      </c>
      <c r="F43" s="181">
        <v>31870722</v>
      </c>
      <c r="G43" s="126">
        <v>31870722</v>
      </c>
      <c r="H43" s="196">
        <v>31870722</v>
      </c>
      <c r="I43" s="181">
        <v>31870722</v>
      </c>
      <c r="J43" s="181">
        <v>31870722</v>
      </c>
      <c r="K43" s="182">
        <v>31870722</v>
      </c>
      <c r="L43" s="182">
        <v>31870722</v>
      </c>
      <c r="M43" s="182">
        <v>31870722</v>
      </c>
      <c r="N43" s="182">
        <v>31870722</v>
      </c>
      <c r="O43" s="182">
        <v>31870722</v>
      </c>
      <c r="P43" s="183">
        <v>36636128</v>
      </c>
      <c r="Q43" s="182">
        <v>31870722</v>
      </c>
      <c r="R43" s="182">
        <v>36468878</v>
      </c>
      <c r="S43" s="182">
        <v>36468878</v>
      </c>
      <c r="T43" s="276">
        <v>36468878</v>
      </c>
      <c r="U43" s="276">
        <v>36468878</v>
      </c>
      <c r="V43" s="277">
        <v>36468878</v>
      </c>
      <c r="W43" s="182">
        <v>36468878</v>
      </c>
      <c r="X43" s="182">
        <v>36468878</v>
      </c>
      <c r="Y43" s="182">
        <v>36468878</v>
      </c>
      <c r="Z43" s="271">
        <v>20871074.100000001</v>
      </c>
      <c r="AA43" s="271">
        <v>20871074.100000001</v>
      </c>
      <c r="AB43" s="271">
        <v>20871074.100000001</v>
      </c>
      <c r="AC43" s="201">
        <v>41373612</v>
      </c>
      <c r="AD43" s="271">
        <v>36468878</v>
      </c>
      <c r="AE43" s="271">
        <v>41373612</v>
      </c>
      <c r="AF43" s="271">
        <v>41373612</v>
      </c>
      <c r="AG43" s="271">
        <v>41373612</v>
      </c>
      <c r="AH43" s="271">
        <v>41373612</v>
      </c>
      <c r="AI43" s="271">
        <v>41373612</v>
      </c>
      <c r="AJ43" s="271">
        <v>82747224</v>
      </c>
      <c r="AK43" s="271">
        <v>41373612</v>
      </c>
      <c r="AL43" s="271">
        <v>41373612</v>
      </c>
      <c r="AM43" s="271">
        <v>41373612</v>
      </c>
      <c r="AN43" s="271">
        <v>41373612</v>
      </c>
      <c r="AO43" s="262">
        <v>46927876</v>
      </c>
      <c r="AP43" s="271">
        <v>41373612</v>
      </c>
      <c r="AQ43" s="271">
        <v>46863639</v>
      </c>
      <c r="AR43" s="271">
        <v>46863639</v>
      </c>
      <c r="AS43" s="271">
        <v>46863639</v>
      </c>
      <c r="AT43" s="271">
        <v>46863639</v>
      </c>
      <c r="AU43" s="271">
        <v>46863639</v>
      </c>
      <c r="AV43" s="271">
        <v>46863639</v>
      </c>
      <c r="AW43" s="283">
        <v>46863639</v>
      </c>
      <c r="AX43" s="283">
        <v>46863639</v>
      </c>
      <c r="AY43" s="283">
        <v>46863639</v>
      </c>
      <c r="AZ43" s="271">
        <v>46863639</v>
      </c>
      <c r="BA43" s="271">
        <v>46863639</v>
      </c>
      <c r="BB43" s="300">
        <v>50780140</v>
      </c>
      <c r="BC43" s="271">
        <v>46863639</v>
      </c>
      <c r="BD43" s="271">
        <v>46863639</v>
      </c>
      <c r="BE43" s="271">
        <v>50780140</v>
      </c>
      <c r="BF43" s="271">
        <v>50780140</v>
      </c>
      <c r="BG43" s="271">
        <v>50780140</v>
      </c>
      <c r="BH43" s="271">
        <v>50780140</v>
      </c>
      <c r="BI43" s="308">
        <v>50780140</v>
      </c>
      <c r="BJ43" s="308">
        <v>50780140</v>
      </c>
      <c r="BK43" s="308">
        <v>50780140</v>
      </c>
      <c r="BL43" s="308">
        <v>50780140</v>
      </c>
      <c r="BM43" s="308">
        <v>50780140</v>
      </c>
      <c r="BN43" s="308">
        <v>55580570</v>
      </c>
      <c r="BO43" s="300">
        <v>55580570</v>
      </c>
    </row>
    <row r="44" spans="1:68" s="176" customFormat="1" ht="14.45">
      <c r="A44" s="177" t="s">
        <v>308</v>
      </c>
      <c r="B44" s="178"/>
      <c r="C44" s="181">
        <v>58441770</v>
      </c>
      <c r="D44" s="181">
        <v>20871074.100000001</v>
      </c>
      <c r="E44" s="181">
        <v>20871074.100000001</v>
      </c>
      <c r="F44" s="181">
        <v>20871074.100000001</v>
      </c>
      <c r="G44" s="190">
        <v>20871074.100000001</v>
      </c>
      <c r="H44" s="196">
        <v>20871074.100000001</v>
      </c>
      <c r="I44" s="181">
        <v>20871074.100000001</v>
      </c>
      <c r="J44" s="181">
        <v>20871074.100000001</v>
      </c>
      <c r="K44" s="182">
        <v>20871074.100000001</v>
      </c>
      <c r="L44" s="182">
        <v>20871074.100000001</v>
      </c>
      <c r="M44" s="182">
        <v>20871074.100000001</v>
      </c>
      <c r="N44" s="182">
        <v>20871074.100000001</v>
      </c>
      <c r="O44" s="182">
        <v>20871074.100000001</v>
      </c>
      <c r="P44" s="183">
        <v>20871074</v>
      </c>
      <c r="Q44" s="182">
        <v>20871074.100000001</v>
      </c>
      <c r="R44" s="182">
        <v>20871074.100000001</v>
      </c>
      <c r="S44" s="182">
        <v>20871074.100000001</v>
      </c>
      <c r="T44" s="276">
        <v>20871074.100000001</v>
      </c>
      <c r="U44" s="276">
        <v>20871074.100000001</v>
      </c>
      <c r="V44" s="277">
        <v>20871074.100000001</v>
      </c>
      <c r="W44" s="182">
        <v>20871074.100000001</v>
      </c>
      <c r="X44" s="182">
        <v>20871074.100000001</v>
      </c>
      <c r="Y44" s="182">
        <v>20871074.100000001</v>
      </c>
      <c r="Z44" s="271">
        <v>37570696</v>
      </c>
      <c r="AA44" s="271">
        <v>37570696</v>
      </c>
      <c r="AB44" s="271">
        <v>37570696</v>
      </c>
      <c r="AC44" s="201">
        <v>20871074</v>
      </c>
      <c r="AD44" s="271">
        <v>20871074.100000001</v>
      </c>
      <c r="AE44" s="271">
        <v>20871074.100000001</v>
      </c>
      <c r="AF44" s="271">
        <v>20871074.100000001</v>
      </c>
      <c r="AG44" s="271">
        <v>20871074.100000001</v>
      </c>
      <c r="AH44" s="271">
        <v>20871074.100000001</v>
      </c>
      <c r="AI44" s="271">
        <v>20871074.100000001</v>
      </c>
      <c r="AJ44" s="271">
        <v>41742148.200000003</v>
      </c>
      <c r="AK44" s="271">
        <v>20871074.100000001</v>
      </c>
      <c r="AL44" s="271">
        <v>20871074.100000001</v>
      </c>
      <c r="AM44" s="271">
        <v>20871074.100000001</v>
      </c>
      <c r="AN44" s="271">
        <v>20871074.100000001</v>
      </c>
      <c r="AO44" s="182">
        <v>20871074</v>
      </c>
      <c r="AP44" s="271">
        <v>20871074.100000001</v>
      </c>
      <c r="AQ44" s="271">
        <v>20871074.100000001</v>
      </c>
      <c r="AR44" s="271">
        <v>20871074.100000001</v>
      </c>
      <c r="AS44" s="271">
        <v>20871074.100000001</v>
      </c>
      <c r="AT44" s="271">
        <v>20871074.100000001</v>
      </c>
      <c r="AU44" s="271">
        <v>20871074.100000001</v>
      </c>
      <c r="AV44" s="271">
        <v>20871074.100000001</v>
      </c>
      <c r="AW44" s="283">
        <v>20871074.100000001</v>
      </c>
      <c r="AX44" s="283">
        <v>20871074.100000001</v>
      </c>
      <c r="AY44" s="283">
        <v>20871074.100000001</v>
      </c>
      <c r="AZ44" s="271">
        <v>20871074.100000001</v>
      </c>
      <c r="BA44" s="271">
        <v>20871074.100000001</v>
      </c>
      <c r="BB44" s="303">
        <v>20871074.100000001</v>
      </c>
      <c r="BC44" s="271">
        <v>20871074.100000001</v>
      </c>
      <c r="BD44" s="271">
        <v>20871074.100000001</v>
      </c>
      <c r="BE44" s="271">
        <v>20871074.100000001</v>
      </c>
      <c r="BF44" s="271">
        <v>20871074.100000001</v>
      </c>
      <c r="BG44" s="271">
        <v>20871074.100000001</v>
      </c>
      <c r="BH44" s="271">
        <v>20871074.100000001</v>
      </c>
      <c r="BI44" s="308">
        <v>20871074.100000001</v>
      </c>
      <c r="BJ44" s="308">
        <v>20871074.100000001</v>
      </c>
      <c r="BK44" s="308">
        <v>20871074.100000001</v>
      </c>
      <c r="BL44" s="308">
        <v>20871074.100000001</v>
      </c>
      <c r="BM44" s="308">
        <v>20871074.100000001</v>
      </c>
      <c r="BN44" s="308">
        <v>20871074.100000001</v>
      </c>
      <c r="BO44" s="300">
        <v>20871074</v>
      </c>
    </row>
    <row r="45" spans="1:68" s="176" customFormat="1" ht="14.45">
      <c r="A45" s="177" t="s">
        <v>309</v>
      </c>
      <c r="B45" s="178"/>
      <c r="C45" s="179"/>
      <c r="D45" s="181">
        <v>37570696</v>
      </c>
      <c r="E45" s="181">
        <v>37570696</v>
      </c>
      <c r="F45" s="181">
        <v>37570696</v>
      </c>
      <c r="G45" s="197">
        <v>37570696</v>
      </c>
      <c r="H45" s="196">
        <v>37570696</v>
      </c>
      <c r="I45" s="181">
        <v>37570696</v>
      </c>
      <c r="J45" s="181">
        <v>37570696</v>
      </c>
      <c r="K45" s="182">
        <v>37570696</v>
      </c>
      <c r="L45" s="182">
        <v>37570696</v>
      </c>
      <c r="M45" s="182">
        <v>37570696</v>
      </c>
      <c r="N45" s="182">
        <v>37570696</v>
      </c>
      <c r="O45" s="182">
        <v>37570696</v>
      </c>
      <c r="P45" s="183">
        <v>37570696</v>
      </c>
      <c r="Q45" s="182">
        <v>37570696</v>
      </c>
      <c r="R45" s="182">
        <v>37570696</v>
      </c>
      <c r="S45" s="182">
        <v>37570696</v>
      </c>
      <c r="T45" s="276">
        <v>37570696</v>
      </c>
      <c r="U45" s="276">
        <v>37570696</v>
      </c>
      <c r="V45" s="277">
        <v>37570696</v>
      </c>
      <c r="W45" s="182">
        <v>37570696</v>
      </c>
      <c r="X45" s="182">
        <v>37570696</v>
      </c>
      <c r="Y45" s="182">
        <v>37570696</v>
      </c>
      <c r="Z45" s="279">
        <v>0</v>
      </c>
      <c r="AA45" s="279">
        <v>0</v>
      </c>
      <c r="AB45" s="279">
        <v>0</v>
      </c>
      <c r="AC45" s="201">
        <v>37570696</v>
      </c>
      <c r="AD45" s="271">
        <v>37570696</v>
      </c>
      <c r="AE45" s="271">
        <v>37570696</v>
      </c>
      <c r="AF45" s="271">
        <v>37570696</v>
      </c>
      <c r="AG45" s="271">
        <v>37570696</v>
      </c>
      <c r="AH45" s="271">
        <v>37570696</v>
      </c>
      <c r="AI45" s="271">
        <v>37570696</v>
      </c>
      <c r="AJ45" s="271">
        <v>75141392</v>
      </c>
      <c r="AK45" s="271">
        <v>37570696</v>
      </c>
      <c r="AL45" s="271">
        <v>37570696</v>
      </c>
      <c r="AM45" s="271">
        <v>37570696</v>
      </c>
      <c r="AN45" s="271">
        <v>37570696</v>
      </c>
      <c r="AO45" s="262">
        <v>37570696</v>
      </c>
      <c r="AP45" s="271">
        <v>37570696</v>
      </c>
      <c r="AQ45" s="271">
        <v>37570696</v>
      </c>
      <c r="AR45" s="271">
        <v>37570696</v>
      </c>
      <c r="AS45" s="271">
        <v>37570696</v>
      </c>
      <c r="AT45" s="271">
        <v>37570696</v>
      </c>
      <c r="AU45" s="271">
        <v>37570696</v>
      </c>
      <c r="AV45" s="271">
        <v>37570696</v>
      </c>
      <c r="AW45" s="283">
        <v>37570696</v>
      </c>
      <c r="AX45" s="283">
        <v>37570696</v>
      </c>
      <c r="AY45" s="283">
        <v>37570696</v>
      </c>
      <c r="AZ45" s="271">
        <v>37570696</v>
      </c>
      <c r="BA45" s="271">
        <v>37570696</v>
      </c>
      <c r="BB45" s="303">
        <v>37570696</v>
      </c>
      <c r="BC45" s="312">
        <v>37570696</v>
      </c>
      <c r="BD45" s="312">
        <v>37570696</v>
      </c>
      <c r="BE45" s="312">
        <v>37570696</v>
      </c>
      <c r="BF45" s="312">
        <v>37570696</v>
      </c>
      <c r="BG45" s="312">
        <v>37570696</v>
      </c>
      <c r="BH45" s="312">
        <v>37570697</v>
      </c>
      <c r="BI45" s="313">
        <v>37570696</v>
      </c>
      <c r="BJ45" s="308">
        <v>37570696</v>
      </c>
      <c r="BK45" s="308">
        <v>37570696</v>
      </c>
      <c r="BL45" s="308">
        <v>37570696</v>
      </c>
      <c r="BM45" s="308">
        <v>37570696</v>
      </c>
      <c r="BN45" s="308">
        <v>37570696</v>
      </c>
      <c r="BO45" s="300">
        <v>37570696</v>
      </c>
    </row>
    <row r="46" spans="1:68" s="176" customFormat="1" ht="14.45">
      <c r="A46" s="177" t="s">
        <v>87</v>
      </c>
      <c r="B46" s="178"/>
      <c r="C46" s="198">
        <v>4313234</v>
      </c>
      <c r="D46" s="199"/>
      <c r="E46" s="178">
        <v>4313234</v>
      </c>
      <c r="F46" s="199">
        <v>0</v>
      </c>
      <c r="G46" s="197">
        <v>0</v>
      </c>
      <c r="H46" s="196">
        <v>0</v>
      </c>
      <c r="I46" s="199"/>
      <c r="J46" s="199"/>
      <c r="K46" s="200">
        <v>0</v>
      </c>
      <c r="L46" s="200">
        <v>0</v>
      </c>
      <c r="M46" s="200">
        <v>0</v>
      </c>
      <c r="N46" s="200">
        <v>0</v>
      </c>
      <c r="O46" s="200">
        <v>0</v>
      </c>
      <c r="P46" s="183">
        <v>6000000</v>
      </c>
      <c r="Q46" s="200">
        <v>0</v>
      </c>
      <c r="R46" s="200">
        <v>6000000</v>
      </c>
      <c r="S46" s="200">
        <v>0</v>
      </c>
      <c r="T46" s="280">
        <v>0</v>
      </c>
      <c r="U46" s="280">
        <v>0</v>
      </c>
      <c r="V46" s="281">
        <v>0</v>
      </c>
      <c r="W46" s="200">
        <v>0</v>
      </c>
      <c r="X46" s="200">
        <v>0</v>
      </c>
      <c r="Y46" s="200">
        <v>0</v>
      </c>
      <c r="Z46" s="279">
        <v>0</v>
      </c>
      <c r="AA46" s="279">
        <v>0</v>
      </c>
      <c r="AB46" s="279">
        <v>0</v>
      </c>
      <c r="AC46" s="201">
        <v>8000000</v>
      </c>
      <c r="AD46" s="279">
        <v>0</v>
      </c>
      <c r="AE46" s="279">
        <v>8000000</v>
      </c>
      <c r="AF46" s="279">
        <v>0</v>
      </c>
      <c r="AG46" s="279">
        <v>0</v>
      </c>
      <c r="AH46" s="279">
        <v>0</v>
      </c>
      <c r="AI46" s="279">
        <v>0</v>
      </c>
      <c r="AJ46" s="279">
        <v>0</v>
      </c>
      <c r="AK46" s="279">
        <v>0</v>
      </c>
      <c r="AL46" s="279">
        <v>0</v>
      </c>
      <c r="AM46" s="279">
        <v>0</v>
      </c>
      <c r="AN46" s="279">
        <v>0</v>
      </c>
      <c r="AO46" s="182">
        <v>13465213</v>
      </c>
      <c r="AP46" s="279">
        <v>0</v>
      </c>
      <c r="AQ46" s="279">
        <v>13465213</v>
      </c>
      <c r="AR46" s="279">
        <v>0</v>
      </c>
      <c r="AS46" s="279">
        <v>0</v>
      </c>
      <c r="AT46" s="279">
        <v>78715.600000000006</v>
      </c>
      <c r="AU46" s="279">
        <v>0</v>
      </c>
      <c r="AV46" s="279">
        <v>0</v>
      </c>
      <c r="AW46" s="282">
        <v>0</v>
      </c>
      <c r="AX46" s="282">
        <v>0</v>
      </c>
      <c r="AY46" s="282">
        <v>0</v>
      </c>
      <c r="AZ46" s="279">
        <v>0</v>
      </c>
      <c r="BA46" s="279">
        <v>0</v>
      </c>
      <c r="BB46" s="300">
        <v>14787592</v>
      </c>
      <c r="BC46" s="279">
        <v>0</v>
      </c>
      <c r="BD46" s="279">
        <v>0</v>
      </c>
      <c r="BE46" s="279">
        <v>0</v>
      </c>
      <c r="BF46" s="279">
        <v>0</v>
      </c>
      <c r="BG46" s="279">
        <v>0</v>
      </c>
      <c r="BH46" s="279">
        <v>0</v>
      </c>
      <c r="BI46" s="309">
        <v>0</v>
      </c>
      <c r="BJ46" s="309">
        <v>0</v>
      </c>
      <c r="BK46" s="309">
        <v>0</v>
      </c>
      <c r="BL46" s="309">
        <v>0</v>
      </c>
      <c r="BM46" s="309">
        <v>0</v>
      </c>
      <c r="BN46" s="309">
        <v>0</v>
      </c>
      <c r="BO46" s="300"/>
    </row>
    <row r="47" spans="1:68" s="176" customFormat="1" ht="14.45">
      <c r="A47" s="177" t="s">
        <v>310</v>
      </c>
      <c r="B47" s="178"/>
      <c r="C47" s="179"/>
      <c r="D47" s="199">
        <v>0</v>
      </c>
      <c r="E47" s="199">
        <v>0</v>
      </c>
      <c r="F47" s="199">
        <v>0</v>
      </c>
      <c r="G47" s="197">
        <v>0</v>
      </c>
      <c r="H47" s="196">
        <v>0</v>
      </c>
      <c r="I47" s="199"/>
      <c r="J47" s="199"/>
      <c r="K47" s="200">
        <v>0</v>
      </c>
      <c r="L47" s="200">
        <v>0</v>
      </c>
      <c r="M47" s="200">
        <v>0</v>
      </c>
      <c r="N47" s="200">
        <v>0</v>
      </c>
      <c r="O47" s="200">
        <v>0</v>
      </c>
      <c r="P47" s="183"/>
      <c r="Q47" s="200">
        <v>0</v>
      </c>
      <c r="R47" s="200">
        <v>0</v>
      </c>
      <c r="S47" s="200">
        <v>0</v>
      </c>
      <c r="T47" s="280">
        <v>0</v>
      </c>
      <c r="U47" s="280">
        <v>0</v>
      </c>
      <c r="V47" s="281">
        <v>0</v>
      </c>
      <c r="W47" s="200">
        <v>0</v>
      </c>
      <c r="X47" s="200">
        <v>0</v>
      </c>
      <c r="Y47" s="200">
        <v>0</v>
      </c>
      <c r="Z47" s="278">
        <v>305698418.13</v>
      </c>
      <c r="AA47" s="278">
        <v>312732981.31999999</v>
      </c>
      <c r="AB47" s="278">
        <v>322760059.69999999</v>
      </c>
      <c r="AD47" s="279">
        <v>0</v>
      </c>
      <c r="AE47" s="279">
        <v>0</v>
      </c>
      <c r="AF47" s="279">
        <v>0</v>
      </c>
      <c r="AG47" s="279">
        <v>0</v>
      </c>
      <c r="AH47" s="279">
        <v>0</v>
      </c>
      <c r="AI47" s="279">
        <v>0</v>
      </c>
      <c r="AJ47" s="279">
        <v>0</v>
      </c>
      <c r="AK47" s="279">
        <v>0</v>
      </c>
      <c r="AL47" s="279">
        <v>0</v>
      </c>
      <c r="AM47" s="279">
        <v>0</v>
      </c>
      <c r="AN47" s="279">
        <v>0</v>
      </c>
      <c r="AO47" s="271">
        <v>0</v>
      </c>
      <c r="AP47" s="279">
        <v>0</v>
      </c>
      <c r="AQ47" s="279">
        <v>0</v>
      </c>
      <c r="AR47" s="279">
        <v>0</v>
      </c>
      <c r="AS47" s="279">
        <v>0</v>
      </c>
      <c r="AT47" s="279">
        <v>0</v>
      </c>
      <c r="AU47" s="279">
        <v>0</v>
      </c>
      <c r="AV47" s="279">
        <v>0</v>
      </c>
      <c r="AW47" s="282">
        <v>0</v>
      </c>
      <c r="AX47" s="282">
        <v>0</v>
      </c>
      <c r="AY47" s="282">
        <v>0</v>
      </c>
      <c r="AZ47" s="279">
        <v>0</v>
      </c>
      <c r="BA47" s="279">
        <v>0</v>
      </c>
      <c r="BB47" s="300"/>
      <c r="BC47" s="279">
        <v>0</v>
      </c>
      <c r="BD47" s="279">
        <v>0</v>
      </c>
      <c r="BE47" s="279">
        <v>0</v>
      </c>
      <c r="BF47" s="279">
        <v>0</v>
      </c>
      <c r="BG47" s="279">
        <v>0</v>
      </c>
      <c r="BH47" s="279">
        <v>0</v>
      </c>
      <c r="BI47" s="309">
        <v>0</v>
      </c>
      <c r="BJ47" s="309">
        <v>0</v>
      </c>
      <c r="BK47" s="309">
        <v>0</v>
      </c>
      <c r="BL47" s="309">
        <v>0</v>
      </c>
      <c r="BM47" s="309">
        <v>0</v>
      </c>
      <c r="BN47" s="309">
        <v>0</v>
      </c>
      <c r="BO47" s="300"/>
    </row>
    <row r="48" spans="1:68" s="176" customFormat="1">
      <c r="A48" s="173" t="s">
        <v>311</v>
      </c>
      <c r="B48" s="174">
        <f t="shared" ref="B48:G48" si="13">SUM(B39:B45)</f>
        <v>15259572</v>
      </c>
      <c r="C48" s="174">
        <f t="shared" si="13"/>
        <v>251791759</v>
      </c>
      <c r="D48" s="174">
        <f t="shared" si="13"/>
        <v>266031019.94999999</v>
      </c>
      <c r="E48" s="174">
        <f t="shared" si="13"/>
        <v>259429390.57999998</v>
      </c>
      <c r="F48" s="174">
        <f t="shared" si="13"/>
        <v>260975939.16999999</v>
      </c>
      <c r="G48" s="174">
        <f t="shared" si="13"/>
        <v>260195735.82999998</v>
      </c>
      <c r="H48" s="174">
        <f>SUM(H39:H45)</f>
        <v>259140516.13</v>
      </c>
      <c r="I48" s="174">
        <f t="shared" ref="I48:O48" si="14">SUM(I39:I45)</f>
        <v>260034905.19999999</v>
      </c>
      <c r="J48" s="174">
        <f t="shared" si="14"/>
        <v>260816096.72999999</v>
      </c>
      <c r="K48" s="174">
        <f t="shared" si="14"/>
        <v>267410825.76999998</v>
      </c>
      <c r="L48" s="174">
        <f t="shared" si="14"/>
        <v>267782121.69999999</v>
      </c>
      <c r="M48" s="174">
        <f t="shared" si="14"/>
        <v>279676139.44999999</v>
      </c>
      <c r="N48" s="174">
        <f t="shared" si="14"/>
        <v>282936171.87</v>
      </c>
      <c r="O48" s="174">
        <f t="shared" si="14"/>
        <v>291653511.80999994</v>
      </c>
      <c r="P48" s="174">
        <f>SUM(P39:P47)</f>
        <v>291653515</v>
      </c>
      <c r="Q48" s="174">
        <f>SUM(Q39:Q47)</f>
        <v>296737704.68000001</v>
      </c>
      <c r="R48" s="174">
        <f>SUM(R39:R47)</f>
        <v>294588530.79999995</v>
      </c>
      <c r="S48" s="174">
        <f>SUM(S39:S47)</f>
        <v>290431652.75999999</v>
      </c>
      <c r="T48" s="174">
        <f t="shared" ref="T48:AB48" si="15">SUM(T39:T47)</f>
        <v>292638142.65999997</v>
      </c>
      <c r="U48" s="174">
        <f t="shared" si="15"/>
        <v>293207754.12</v>
      </c>
      <c r="V48" s="174">
        <f t="shared" si="15"/>
        <v>297587520.95999998</v>
      </c>
      <c r="W48" s="174">
        <f t="shared" si="15"/>
        <v>295354971.70999998</v>
      </c>
      <c r="X48" s="174">
        <f t="shared" si="15"/>
        <v>299933961.67999995</v>
      </c>
      <c r="Y48" s="174">
        <f t="shared" si="15"/>
        <v>301591244.25999999</v>
      </c>
      <c r="Z48" s="174">
        <f t="shared" si="15"/>
        <v>441410495.36000001</v>
      </c>
      <c r="AA48" s="174">
        <f t="shared" si="15"/>
        <v>454132716.15999997</v>
      </c>
      <c r="AB48" s="174">
        <f t="shared" si="15"/>
        <v>472821838.04999995</v>
      </c>
      <c r="AC48" s="174">
        <f>SUM(AC39:AC47)</f>
        <v>325339041</v>
      </c>
      <c r="AD48" s="174">
        <f t="shared" ref="AD48:BO48" si="16">SUM(AD39:AD47)</f>
        <v>330989930.55000001</v>
      </c>
      <c r="AE48" s="174">
        <f t="shared" si="16"/>
        <v>331371782.85000002</v>
      </c>
      <c r="AF48" s="174">
        <f t="shared" si="16"/>
        <v>322895530.39999998</v>
      </c>
      <c r="AG48" s="174">
        <f t="shared" si="16"/>
        <v>325338683.14999998</v>
      </c>
      <c r="AH48" s="174">
        <f t="shared" si="16"/>
        <v>326092361.82999998</v>
      </c>
      <c r="AI48" s="174">
        <f t="shared" si="16"/>
        <v>328450608.45000005</v>
      </c>
      <c r="AJ48" s="174">
        <f t="shared" si="16"/>
        <v>661567363.16000009</v>
      </c>
      <c r="AK48" s="174">
        <f t="shared" si="16"/>
        <v>328920650.35000002</v>
      </c>
      <c r="AL48" s="174">
        <f t="shared" si="16"/>
        <v>342442969.38999999</v>
      </c>
      <c r="AM48" s="174">
        <f t="shared" si="16"/>
        <v>354122688.34000003</v>
      </c>
      <c r="AN48" s="174">
        <f t="shared" si="16"/>
        <v>360041512.41000003</v>
      </c>
      <c r="AO48" s="174">
        <f t="shared" si="16"/>
        <v>360778233</v>
      </c>
      <c r="AP48" s="174">
        <f t="shared" si="16"/>
        <v>363525472.07000005</v>
      </c>
      <c r="AQ48" s="174">
        <f t="shared" si="16"/>
        <v>361682533.20000005</v>
      </c>
      <c r="AR48" s="174">
        <f t="shared" si="16"/>
        <v>351685460.5</v>
      </c>
      <c r="AS48" s="174">
        <f t="shared" si="16"/>
        <v>353459629.11000001</v>
      </c>
      <c r="AT48" s="174">
        <f t="shared" si="16"/>
        <v>356640389.56000006</v>
      </c>
      <c r="AU48" s="174">
        <f t="shared" si="16"/>
        <v>357486732.86000001</v>
      </c>
      <c r="AV48" s="174">
        <f t="shared" si="16"/>
        <v>358962219.75</v>
      </c>
      <c r="AW48" s="174">
        <f t="shared" si="16"/>
        <v>360677702.65000004</v>
      </c>
      <c r="AX48" s="174">
        <f t="shared" si="16"/>
        <v>362072023.49000001</v>
      </c>
      <c r="AY48" s="174">
        <f t="shared" si="16"/>
        <v>371902911.19000006</v>
      </c>
      <c r="AZ48" s="174">
        <f t="shared" si="16"/>
        <v>375538601.25</v>
      </c>
      <c r="BA48" s="174">
        <f t="shared" si="16"/>
        <v>383512539.77000004</v>
      </c>
      <c r="BB48" s="174">
        <f t="shared" si="16"/>
        <v>380773729.72000003</v>
      </c>
      <c r="BC48" s="174">
        <f t="shared" si="16"/>
        <v>385207157.06</v>
      </c>
      <c r="BD48" s="174">
        <f t="shared" si="16"/>
        <v>383748152.52000004</v>
      </c>
      <c r="BE48" s="174">
        <f t="shared" si="16"/>
        <v>371361016.27000004</v>
      </c>
      <c r="BF48" s="174">
        <f t="shared" si="16"/>
        <v>374107227.02000004</v>
      </c>
      <c r="BG48" s="174">
        <f t="shared" si="16"/>
        <v>376559192.37</v>
      </c>
      <c r="BH48" s="174">
        <f t="shared" si="16"/>
        <v>378149328.64000005</v>
      </c>
      <c r="BI48" s="174">
        <f t="shared" si="16"/>
        <v>384164541.60000002</v>
      </c>
      <c r="BJ48" s="174">
        <f t="shared" si="16"/>
        <v>385240308.92000002</v>
      </c>
      <c r="BK48" s="174">
        <f t="shared" si="16"/>
        <v>386597797.63</v>
      </c>
      <c r="BL48" s="174">
        <f t="shared" si="16"/>
        <v>390306628.45999998</v>
      </c>
      <c r="BM48" s="174">
        <f t="shared" si="16"/>
        <v>392712999.88000005</v>
      </c>
      <c r="BN48" s="174">
        <f t="shared" si="16"/>
        <v>387481263.21000004</v>
      </c>
      <c r="BO48" s="174">
        <f t="shared" si="16"/>
        <v>404554152</v>
      </c>
      <c r="BP48" s="126">
        <f>404554152-BO48</f>
        <v>0</v>
      </c>
    </row>
    <row r="49" spans="1:68" s="176" customFormat="1">
      <c r="A49" s="173" t="s">
        <v>312</v>
      </c>
      <c r="B49" s="174">
        <f t="shared" ref="B49:G49" si="17">SUM(B38+B48)</f>
        <v>151015729</v>
      </c>
      <c r="C49" s="174">
        <f t="shared" si="17"/>
        <v>1144236435</v>
      </c>
      <c r="D49" s="174">
        <f t="shared" si="17"/>
        <v>1115492114.8</v>
      </c>
      <c r="E49" s="174">
        <f t="shared" si="17"/>
        <v>1093160369.8699999</v>
      </c>
      <c r="F49" s="174">
        <f t="shared" si="17"/>
        <v>1075347312.0100002</v>
      </c>
      <c r="G49" s="174">
        <f t="shared" si="17"/>
        <v>1137712140.6199999</v>
      </c>
      <c r="H49" s="174">
        <f t="shared" ref="H49:AB49" si="18">SUM(H38+H48)</f>
        <v>1132099697.5</v>
      </c>
      <c r="I49" s="174">
        <f t="shared" si="18"/>
        <v>1143539808.75</v>
      </c>
      <c r="J49" s="174">
        <f t="shared" si="18"/>
        <v>1132738199.51</v>
      </c>
      <c r="K49" s="174">
        <f t="shared" si="18"/>
        <v>1122803347.75</v>
      </c>
      <c r="L49" s="174">
        <f t="shared" si="18"/>
        <v>1110947024.8299999</v>
      </c>
      <c r="M49" s="174">
        <f t="shared" si="18"/>
        <v>1471574579.5799999</v>
      </c>
      <c r="N49" s="174">
        <f t="shared" si="18"/>
        <v>1340038318.8699999</v>
      </c>
      <c r="O49" s="174">
        <f t="shared" si="18"/>
        <v>1271812614.6999998</v>
      </c>
      <c r="P49" s="174">
        <f t="shared" si="18"/>
        <v>1275500558</v>
      </c>
      <c r="Q49" s="174">
        <f t="shared" si="18"/>
        <v>1242608076.73</v>
      </c>
      <c r="R49" s="174">
        <f t="shared" si="18"/>
        <v>1245660446.54</v>
      </c>
      <c r="S49" s="174">
        <f t="shared" si="18"/>
        <v>1212962879.79</v>
      </c>
      <c r="T49" s="174">
        <f t="shared" si="18"/>
        <v>1214202270.7199998</v>
      </c>
      <c r="U49" s="174">
        <f t="shared" si="18"/>
        <v>1173621180.9299998</v>
      </c>
      <c r="V49" s="174">
        <f t="shared" si="18"/>
        <v>1197421612.51</v>
      </c>
      <c r="W49" s="174">
        <f t="shared" si="18"/>
        <v>1181707375.2199998</v>
      </c>
      <c r="X49" s="174">
        <f t="shared" si="18"/>
        <v>1174627588.7399998</v>
      </c>
      <c r="Y49" s="174">
        <f t="shared" si="18"/>
        <v>1176545077.0500002</v>
      </c>
      <c r="Z49" s="174">
        <f t="shared" si="18"/>
        <v>3073951750.8099999</v>
      </c>
      <c r="AA49" s="174">
        <f t="shared" si="18"/>
        <v>2915718894.2399998</v>
      </c>
      <c r="AB49" s="174">
        <f t="shared" si="18"/>
        <v>2816857404.4399996</v>
      </c>
      <c r="AC49" s="174">
        <f>SUM(AC38+AC48)</f>
        <v>1292476096</v>
      </c>
      <c r="AD49" s="174">
        <f t="shared" ref="AD49:BO49" si="19">SUM(AD38+AD48)</f>
        <v>1255145740.77</v>
      </c>
      <c r="AE49" s="174">
        <f t="shared" si="19"/>
        <v>1248182133.99</v>
      </c>
      <c r="AF49" s="174">
        <f t="shared" si="19"/>
        <v>1230432804.6500001</v>
      </c>
      <c r="AG49" s="174">
        <f t="shared" si="19"/>
        <v>1255164086.2399998</v>
      </c>
      <c r="AH49" s="174">
        <f t="shared" si="19"/>
        <v>1251561382.6499999</v>
      </c>
      <c r="AI49" s="174">
        <f t="shared" si="19"/>
        <v>1265242789.5999999</v>
      </c>
      <c r="AJ49" s="174">
        <f t="shared" si="19"/>
        <v>2518733084.3400002</v>
      </c>
      <c r="AK49" s="174">
        <f t="shared" si="19"/>
        <v>1256646426.9299998</v>
      </c>
      <c r="AL49" s="174">
        <f t="shared" si="19"/>
        <v>1490000780.6599998</v>
      </c>
      <c r="AM49" s="174">
        <f t="shared" si="19"/>
        <v>1421587242.75</v>
      </c>
      <c r="AN49" s="174">
        <f t="shared" si="19"/>
        <v>1362879984.78</v>
      </c>
      <c r="AO49" s="174">
        <f t="shared" si="19"/>
        <v>1367873754</v>
      </c>
      <c r="AP49" s="174">
        <f t="shared" si="19"/>
        <v>1344379229.1199999</v>
      </c>
      <c r="AQ49" s="174">
        <f t="shared" si="19"/>
        <v>1344209164.22</v>
      </c>
      <c r="AR49" s="174">
        <f t="shared" si="19"/>
        <v>1334356045.6199999</v>
      </c>
      <c r="AS49" s="174">
        <f t="shared" si="19"/>
        <v>1369098114.8000002</v>
      </c>
      <c r="AT49" s="174">
        <f t="shared" si="19"/>
        <v>1349478001.4400001</v>
      </c>
      <c r="AU49" s="174">
        <f t="shared" si="19"/>
        <v>1345640991.71</v>
      </c>
      <c r="AV49" s="174">
        <f t="shared" si="19"/>
        <v>1348653091.3</v>
      </c>
      <c r="AW49" s="174">
        <f t="shared" si="19"/>
        <v>1332832167.29</v>
      </c>
      <c r="AX49" s="174">
        <f t="shared" si="19"/>
        <v>1321064426.3199999</v>
      </c>
      <c r="AY49" s="174">
        <f t="shared" si="19"/>
        <v>1403742642.76</v>
      </c>
      <c r="AZ49" s="174">
        <f t="shared" si="19"/>
        <v>1415895179.1300001</v>
      </c>
      <c r="BA49" s="174">
        <f t="shared" si="19"/>
        <v>1378250800.54</v>
      </c>
      <c r="BB49" s="174">
        <f t="shared" si="19"/>
        <v>1384915956.8499999</v>
      </c>
      <c r="BC49" s="174">
        <f t="shared" si="19"/>
        <v>1364233559.3199999</v>
      </c>
      <c r="BD49" s="174">
        <f t="shared" si="19"/>
        <v>1353830620.2</v>
      </c>
      <c r="BE49" s="174">
        <f t="shared" si="19"/>
        <v>1327401987.6600001</v>
      </c>
      <c r="BF49" s="174">
        <f t="shared" si="19"/>
        <v>1353431194.0100002</v>
      </c>
      <c r="BG49" s="174">
        <f t="shared" si="19"/>
        <v>1350418309.4200001</v>
      </c>
      <c r="BH49" s="174">
        <f t="shared" si="19"/>
        <v>1357304122.53</v>
      </c>
      <c r="BI49" s="174">
        <f t="shared" si="19"/>
        <v>1578408898.1900001</v>
      </c>
      <c r="BJ49" s="174">
        <f t="shared" si="19"/>
        <v>1520693171.4300001</v>
      </c>
      <c r="BK49" s="174">
        <f t="shared" si="19"/>
        <v>1469147025.7199998</v>
      </c>
      <c r="BL49" s="174">
        <f t="shared" si="19"/>
        <v>1452709669.6100001</v>
      </c>
      <c r="BM49" s="174">
        <f t="shared" si="19"/>
        <v>1429829218.0600002</v>
      </c>
      <c r="BN49" s="174">
        <f t="shared" si="19"/>
        <v>1421215209.26</v>
      </c>
      <c r="BO49" s="174">
        <f t="shared" si="19"/>
        <v>1420380868</v>
      </c>
    </row>
    <row r="50" spans="1:68">
      <c r="K50" s="172">
        <v>1122803347.75</v>
      </c>
      <c r="L50" s="172">
        <v>1110947024.8299999</v>
      </c>
      <c r="M50" s="172">
        <v>1471574579.5799999</v>
      </c>
      <c r="BI50" s="174"/>
      <c r="BJ50" s="174"/>
    </row>
    <row r="51" spans="1:68">
      <c r="B51" s="80">
        <f>B49-B27</f>
        <v>0</v>
      </c>
      <c r="C51" s="80">
        <f t="shared" ref="C51:I51" si="20">C49-C27</f>
        <v>-4313235</v>
      </c>
      <c r="D51" s="80">
        <f t="shared" si="20"/>
        <v>0</v>
      </c>
      <c r="E51" s="80">
        <f t="shared" si="20"/>
        <v>-4313234</v>
      </c>
      <c r="F51" s="80">
        <f t="shared" si="20"/>
        <v>0</v>
      </c>
      <c r="G51" s="80">
        <f t="shared" si="20"/>
        <v>0</v>
      </c>
      <c r="H51" s="80">
        <f t="shared" si="20"/>
        <v>0</v>
      </c>
      <c r="I51" s="80">
        <f t="shared" si="20"/>
        <v>0</v>
      </c>
      <c r="J51" s="80">
        <f t="shared" ref="J51:AO51" si="21">J49-J27</f>
        <v>4999.9900000095367</v>
      </c>
      <c r="K51" s="80">
        <f t="shared" si="21"/>
        <v>0</v>
      </c>
      <c r="L51" s="80">
        <f t="shared" si="21"/>
        <v>0</v>
      </c>
      <c r="M51" s="80">
        <f t="shared" si="21"/>
        <v>0</v>
      </c>
      <c r="N51" s="80">
        <f t="shared" si="21"/>
        <v>0</v>
      </c>
      <c r="O51" s="80">
        <f t="shared" si="21"/>
        <v>0</v>
      </c>
      <c r="P51" s="80">
        <f t="shared" si="21"/>
        <v>836253</v>
      </c>
      <c r="Q51" s="80">
        <f t="shared" si="21"/>
        <v>0</v>
      </c>
      <c r="R51" s="80">
        <f t="shared" si="21"/>
        <v>0</v>
      </c>
      <c r="S51" s="80">
        <f t="shared" si="21"/>
        <v>0</v>
      </c>
      <c r="T51" s="80">
        <f t="shared" si="21"/>
        <v>0</v>
      </c>
      <c r="U51" s="80">
        <f t="shared" si="21"/>
        <v>0</v>
      </c>
      <c r="V51" s="80">
        <f t="shared" si="21"/>
        <v>0</v>
      </c>
      <c r="W51" s="80">
        <f t="shared" si="21"/>
        <v>0</v>
      </c>
      <c r="X51" s="80">
        <f t="shared" si="21"/>
        <v>0</v>
      </c>
      <c r="Y51" s="80">
        <f t="shared" si="21"/>
        <v>0</v>
      </c>
      <c r="Z51" s="80">
        <f t="shared" si="21"/>
        <v>99811643.429999828</v>
      </c>
      <c r="AA51" s="80">
        <f t="shared" si="21"/>
        <v>101910722.07999992</v>
      </c>
      <c r="AB51" s="80">
        <f t="shared" si="21"/>
        <v>120424028.28999949</v>
      </c>
      <c r="AC51" s="80">
        <f t="shared" si="21"/>
        <v>0</v>
      </c>
      <c r="AD51" s="80">
        <f t="shared" si="21"/>
        <v>0</v>
      </c>
      <c r="AE51" s="80">
        <f t="shared" si="21"/>
        <v>0</v>
      </c>
      <c r="AF51" s="80">
        <f t="shared" si="21"/>
        <v>0</v>
      </c>
      <c r="AG51" s="80">
        <f t="shared" si="21"/>
        <v>0</v>
      </c>
      <c r="AH51" s="80">
        <f t="shared" si="21"/>
        <v>0</v>
      </c>
      <c r="AI51" s="80">
        <f t="shared" si="21"/>
        <v>0</v>
      </c>
      <c r="AJ51" s="80">
        <f t="shared" si="21"/>
        <v>0</v>
      </c>
      <c r="AK51" s="80">
        <f t="shared" si="21"/>
        <v>0</v>
      </c>
      <c r="AL51" s="80">
        <f t="shared" si="21"/>
        <v>0</v>
      </c>
      <c r="AM51" s="80">
        <f t="shared" si="21"/>
        <v>0</v>
      </c>
      <c r="AN51" s="80">
        <f t="shared" si="21"/>
        <v>0</v>
      </c>
      <c r="AO51" s="80">
        <f t="shared" si="21"/>
        <v>1</v>
      </c>
      <c r="BN51" s="315">
        <f>SUM(BN39:BN44)</f>
        <v>349910567.21000004</v>
      </c>
      <c r="BP51" s="308"/>
    </row>
    <row r="52" spans="1:68">
      <c r="AC52" s="134"/>
      <c r="AD52" s="134"/>
      <c r="AE52" s="134"/>
      <c r="AF52" s="134"/>
      <c r="AG52" s="134"/>
      <c r="AH52" s="134"/>
      <c r="AI52" s="134"/>
      <c r="AJ52" s="134"/>
      <c r="AK52" s="134"/>
      <c r="AL52" s="134"/>
      <c r="AM52" s="134"/>
      <c r="AN52" s="134"/>
      <c r="BM52" s="79" t="s">
        <v>313</v>
      </c>
      <c r="BN52" s="315">
        <f>BN51-BN13</f>
        <v>288741088.78000003</v>
      </c>
      <c r="BO52" s="167">
        <f>BN52/BN49</f>
        <v>0.20316493019402887</v>
      </c>
    </row>
    <row r="53" spans="1:68" ht="14.45">
      <c r="BK53" s="4">
        <v>214291430.75</v>
      </c>
      <c r="BM53" s="79" t="s">
        <v>314</v>
      </c>
      <c r="BN53" s="315">
        <f>BN52-BN39</f>
        <v>71620774.740000039</v>
      </c>
      <c r="BO53" s="167">
        <f>BN53/BN49</f>
        <v>5.0394039040218004E-2</v>
      </c>
    </row>
    <row r="54" spans="1:68" ht="14.45">
      <c r="BK54" s="4"/>
      <c r="BP54" s="315"/>
    </row>
    <row r="55" spans="1:68" ht="14.45">
      <c r="BH55" s="79">
        <v>346593845.60000002</v>
      </c>
      <c r="BK55" s="4">
        <v>54148616.159999996</v>
      </c>
      <c r="BN55" s="133"/>
      <c r="BP55" s="315"/>
    </row>
    <row r="56" spans="1:68" ht="14.45">
      <c r="BH56" s="314">
        <f>BH55-BI45-BI39</f>
        <v>96411044.270000011</v>
      </c>
      <c r="BK56" s="4">
        <v>8935840.6199999992</v>
      </c>
      <c r="BN56" s="134"/>
    </row>
    <row r="57" spans="1:68" ht="14.45">
      <c r="BK57" s="4">
        <v>50780140</v>
      </c>
    </row>
    <row r="58" spans="1:68" ht="14.45">
      <c r="BK58" s="4">
        <v>20871074.100000001</v>
      </c>
    </row>
    <row r="59" spans="1:68">
      <c r="J59" s="81"/>
    </row>
  </sheetData>
  <pageMargins left="0.7" right="0.7" top="0.75" bottom="0.75" header="0.3" footer="0.3"/>
  <pageSetup scale="6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O43"/>
  <sheetViews>
    <sheetView workbookViewId="0">
      <pane xSplit="1" ySplit="2" topLeftCell="BN25" activePane="bottomRight" state="frozen"/>
      <selection pane="bottomRight" activeCell="BN25" sqref="BN25"/>
      <selection pane="bottomLeft" activeCell="A3" sqref="A3"/>
      <selection pane="topRight" activeCell="B1" sqref="B1"/>
    </sheetView>
  </sheetViews>
  <sheetFormatPr defaultColWidth="9.140625" defaultRowHeight="15"/>
  <cols>
    <col min="1" max="1" width="41" style="86" customWidth="1"/>
    <col min="2" max="2" width="15.5703125" style="86" hidden="1" customWidth="1"/>
    <col min="3" max="3" width="18.7109375" style="86" bestFit="1" customWidth="1"/>
    <col min="4" max="4" width="16.42578125" style="86" bestFit="1" customWidth="1"/>
    <col min="5" max="9" width="17.28515625" style="86" bestFit="1" customWidth="1"/>
    <col min="10" max="10" width="17.85546875" style="86" bestFit="1" customWidth="1"/>
    <col min="11" max="13" width="18.7109375" style="86" bestFit="1" customWidth="1"/>
    <col min="14" max="14" width="19.42578125" style="86" customWidth="1"/>
    <col min="15" max="15" width="20" style="86" customWidth="1"/>
    <col min="16" max="16" width="18.7109375" style="86" bestFit="1" customWidth="1"/>
    <col min="17" max="17" width="19.5703125" style="86" customWidth="1"/>
    <col min="18" max="18" width="22.42578125" style="86" customWidth="1"/>
    <col min="19" max="19" width="20.42578125" style="86" customWidth="1"/>
    <col min="20" max="21" width="16.28515625" style="86" bestFit="1" customWidth="1"/>
    <col min="22" max="23" width="16.7109375" style="86" bestFit="1" customWidth="1"/>
    <col min="24" max="25" width="17.5703125" style="86" bestFit="1" customWidth="1"/>
    <col min="26" max="26" width="12.42578125" style="86" bestFit="1" customWidth="1"/>
    <col min="27" max="27" width="15" style="86" bestFit="1" customWidth="1"/>
    <col min="28" max="28" width="15" style="86" customWidth="1"/>
    <col min="29" max="29" width="18.7109375" style="86" bestFit="1" customWidth="1"/>
    <col min="30" max="35" width="17.28515625" style="86" bestFit="1" customWidth="1"/>
    <col min="36" max="40" width="18.7109375" style="86" bestFit="1" customWidth="1"/>
    <col min="41" max="41" width="18.7109375" style="86" customWidth="1"/>
    <col min="42" max="42" width="17.28515625" style="86" bestFit="1" customWidth="1"/>
    <col min="43" max="45" width="15.5703125" style="86" bestFit="1" customWidth="1"/>
    <col min="46" max="46" width="17.42578125" style="86" customWidth="1"/>
    <col min="47" max="47" width="20" style="288" customWidth="1"/>
    <col min="48" max="48" width="22.28515625" style="86" customWidth="1"/>
    <col min="49" max="49" width="17.85546875" style="86" customWidth="1"/>
    <col min="50" max="50" width="17.42578125" style="86" customWidth="1"/>
    <col min="51" max="51" width="19.7109375" style="86" customWidth="1"/>
    <col min="52" max="53" width="17.5703125" style="86" bestFit="1" customWidth="1"/>
    <col min="54" max="54" width="17.5703125" style="302" bestFit="1" customWidth="1"/>
    <col min="55" max="59" width="16.28515625" style="86" bestFit="1" customWidth="1"/>
    <col min="60" max="60" width="16.7109375" style="86" bestFit="1" customWidth="1"/>
    <col min="61" max="61" width="19.7109375" style="86" customWidth="1"/>
    <col min="62" max="66" width="17.5703125" style="86" bestFit="1" customWidth="1"/>
    <col min="67" max="67" width="18.85546875" style="302" customWidth="1"/>
    <col min="68" max="16384" width="9.140625" style="86"/>
  </cols>
  <sheetData>
    <row r="1" spans="1:67" ht="15" customHeight="1">
      <c r="A1" s="407"/>
      <c r="B1" s="407"/>
      <c r="C1" s="407"/>
      <c r="D1" s="407"/>
      <c r="E1" s="407"/>
      <c r="F1" s="407"/>
      <c r="G1" s="407"/>
      <c r="H1" s="407"/>
      <c r="I1" s="407"/>
      <c r="J1" s="407"/>
      <c r="K1" s="407"/>
      <c r="L1" s="407"/>
      <c r="M1" s="407"/>
      <c r="N1" s="407"/>
      <c r="O1" s="407"/>
      <c r="P1" s="407"/>
      <c r="Q1" s="407"/>
      <c r="R1" s="407"/>
      <c r="S1" s="407"/>
      <c r="T1" s="407"/>
    </row>
    <row r="2" spans="1:67">
      <c r="A2" s="93"/>
      <c r="B2" s="94" t="s">
        <v>1</v>
      </c>
      <c r="C2" s="94" t="s">
        <v>64</v>
      </c>
      <c r="D2" s="95">
        <v>43101</v>
      </c>
      <c r="E2" s="96">
        <v>43132</v>
      </c>
      <c r="F2" s="95">
        <v>43160</v>
      </c>
      <c r="G2" s="96">
        <v>43191</v>
      </c>
      <c r="H2" s="97">
        <v>43221</v>
      </c>
      <c r="I2" s="98">
        <v>43252</v>
      </c>
      <c r="J2" s="97">
        <v>43282</v>
      </c>
      <c r="K2" s="98">
        <v>43313</v>
      </c>
      <c r="L2" s="97">
        <v>43344</v>
      </c>
      <c r="M2" s="98">
        <v>43374</v>
      </c>
      <c r="N2" s="97">
        <v>43405</v>
      </c>
      <c r="O2" s="98">
        <v>43435</v>
      </c>
      <c r="P2" s="98" t="s">
        <v>3</v>
      </c>
      <c r="Q2" s="98">
        <v>43468</v>
      </c>
      <c r="R2" s="98">
        <v>43500</v>
      </c>
      <c r="S2" s="98">
        <v>43529</v>
      </c>
      <c r="T2" s="98">
        <v>43561</v>
      </c>
      <c r="U2" s="98">
        <v>43592</v>
      </c>
      <c r="V2" s="98">
        <v>43624</v>
      </c>
      <c r="W2" s="98">
        <v>43655</v>
      </c>
      <c r="X2" s="98">
        <v>43687</v>
      </c>
      <c r="Y2" s="98">
        <v>43719</v>
      </c>
      <c r="Z2" s="98">
        <v>43751</v>
      </c>
      <c r="AA2" s="98">
        <v>43783</v>
      </c>
      <c r="AB2" s="98">
        <v>43814</v>
      </c>
      <c r="AC2" s="98" t="s">
        <v>198</v>
      </c>
      <c r="AD2" s="98">
        <v>43831</v>
      </c>
      <c r="AE2" s="98">
        <v>43863</v>
      </c>
      <c r="AF2" s="98">
        <v>43893</v>
      </c>
      <c r="AG2" s="98">
        <v>43925</v>
      </c>
      <c r="AH2" s="98">
        <v>43956</v>
      </c>
      <c r="AI2" s="98">
        <v>43988</v>
      </c>
      <c r="AJ2" s="98">
        <v>44050</v>
      </c>
      <c r="AK2" s="98">
        <v>44082</v>
      </c>
      <c r="AL2" s="98">
        <v>44113</v>
      </c>
      <c r="AM2" s="98">
        <v>44145</v>
      </c>
      <c r="AN2" s="98">
        <v>44176</v>
      </c>
      <c r="AO2" s="98" t="s">
        <v>5</v>
      </c>
      <c r="AP2" s="268">
        <v>44197</v>
      </c>
      <c r="AQ2" s="268">
        <v>44228</v>
      </c>
      <c r="AR2" s="268">
        <v>44256</v>
      </c>
      <c r="AS2" s="268">
        <v>44287</v>
      </c>
      <c r="AT2" s="268">
        <v>44317</v>
      </c>
      <c r="AU2" s="289">
        <v>44348</v>
      </c>
      <c r="AV2" s="268">
        <v>44378</v>
      </c>
      <c r="AW2" s="268">
        <v>44409</v>
      </c>
      <c r="AX2" s="268">
        <v>44440</v>
      </c>
      <c r="AY2" s="268">
        <v>44470</v>
      </c>
      <c r="AZ2" s="268">
        <v>44501</v>
      </c>
      <c r="BA2" s="268">
        <v>44531</v>
      </c>
      <c r="BB2" s="302" t="s">
        <v>6</v>
      </c>
      <c r="BC2" s="268">
        <v>44562</v>
      </c>
      <c r="BD2" s="268">
        <v>44593</v>
      </c>
      <c r="BE2" s="268">
        <v>44621</v>
      </c>
      <c r="BF2" s="268">
        <v>44652</v>
      </c>
      <c r="BG2" s="268">
        <v>44682</v>
      </c>
      <c r="BH2" s="268">
        <v>44713</v>
      </c>
      <c r="BI2" s="268"/>
      <c r="BJ2" s="268">
        <v>44774</v>
      </c>
      <c r="BK2" s="268">
        <v>44805</v>
      </c>
      <c r="BL2" s="268">
        <v>44835</v>
      </c>
      <c r="BM2" s="268">
        <v>44866</v>
      </c>
      <c r="BN2" s="268">
        <v>44896</v>
      </c>
      <c r="BO2" s="302" t="s">
        <v>7</v>
      </c>
    </row>
    <row r="3" spans="1:67" s="87" customFormat="1" ht="13.9">
      <c r="A3" s="99" t="s">
        <v>315</v>
      </c>
      <c r="B3" s="100">
        <f t="shared" ref="B3:G3" si="0">B4+B7</f>
        <v>14599.247546899</v>
      </c>
      <c r="C3" s="100">
        <f t="shared" si="0"/>
        <v>196687961</v>
      </c>
      <c r="D3" s="100">
        <f t="shared" si="0"/>
        <v>20632763.940000001</v>
      </c>
      <c r="E3" s="100">
        <f t="shared" si="0"/>
        <v>33797992.980000004</v>
      </c>
      <c r="F3" s="100">
        <f t="shared" si="0"/>
        <v>49279714.799999997</v>
      </c>
      <c r="G3" s="100">
        <f t="shared" si="0"/>
        <v>63359741.289999999</v>
      </c>
      <c r="H3" s="100">
        <f t="shared" ref="H3:AB3" si="1">H4+H7</f>
        <v>76929655.979999989</v>
      </c>
      <c r="I3" s="100">
        <f t="shared" si="1"/>
        <v>92872973.310000002</v>
      </c>
      <c r="J3" s="100">
        <f t="shared" si="1"/>
        <v>106236498.32000001</v>
      </c>
      <c r="K3" s="100">
        <f t="shared" si="1"/>
        <v>129395236.77</v>
      </c>
      <c r="L3" s="100">
        <f t="shared" si="1"/>
        <v>144084193.18000001</v>
      </c>
      <c r="M3" s="100">
        <f t="shared" si="1"/>
        <v>165509699.63999999</v>
      </c>
      <c r="N3" s="100">
        <f t="shared" si="1"/>
        <v>190416538.27000001</v>
      </c>
      <c r="O3" s="100">
        <f t="shared" si="1"/>
        <v>212039044.91000003</v>
      </c>
      <c r="P3" s="100">
        <f t="shared" si="1"/>
        <v>210181352</v>
      </c>
      <c r="Q3" s="100">
        <f t="shared" si="1"/>
        <v>14342499.729999999</v>
      </c>
      <c r="R3" s="100">
        <f t="shared" si="1"/>
        <v>27194850.919999998</v>
      </c>
      <c r="S3" s="100">
        <f t="shared" si="1"/>
        <v>43632502.410000004</v>
      </c>
      <c r="T3" s="100">
        <f t="shared" si="1"/>
        <v>57544606.560000002</v>
      </c>
      <c r="U3" s="100">
        <f t="shared" si="1"/>
        <v>72356110.289999992</v>
      </c>
      <c r="V3" s="100">
        <f t="shared" si="1"/>
        <v>103353964.71000001</v>
      </c>
      <c r="W3" s="100">
        <f t="shared" si="1"/>
        <v>115796018.00999999</v>
      </c>
      <c r="X3" s="100">
        <f t="shared" si="1"/>
        <v>129938535.62</v>
      </c>
      <c r="Y3" s="100">
        <f t="shared" si="1"/>
        <v>145460844.25</v>
      </c>
      <c r="Z3" s="100">
        <f t="shared" si="1"/>
        <v>176524094.94999999</v>
      </c>
      <c r="AA3" s="100">
        <f t="shared" si="1"/>
        <v>195744809.43000001</v>
      </c>
      <c r="AB3" s="100">
        <f t="shared" si="1"/>
        <v>220249674.22</v>
      </c>
      <c r="AC3" s="100">
        <f t="shared" ref="AC3:BO3" si="2">AC4+AC7</f>
        <v>220242400</v>
      </c>
      <c r="AD3" s="100">
        <f t="shared" si="2"/>
        <v>16515833.390000001</v>
      </c>
      <c r="AE3" s="100">
        <f t="shared" si="2"/>
        <v>33621025.140000001</v>
      </c>
      <c r="AF3" s="100">
        <f t="shared" si="2"/>
        <v>48908829</v>
      </c>
      <c r="AG3" s="100">
        <f t="shared" si="2"/>
        <v>64378529.060000002</v>
      </c>
      <c r="AH3" s="100">
        <f t="shared" si="2"/>
        <v>77699972.36999999</v>
      </c>
      <c r="AI3" s="100">
        <f t="shared" si="2"/>
        <v>93426126.170000017</v>
      </c>
      <c r="AJ3" s="100">
        <f t="shared" si="2"/>
        <v>249302321.09999999</v>
      </c>
      <c r="AK3" s="100">
        <f t="shared" si="2"/>
        <v>139145859.93000001</v>
      </c>
      <c r="AL3" s="100">
        <f t="shared" si="2"/>
        <v>173093451.19999999</v>
      </c>
      <c r="AM3" s="100">
        <f t="shared" si="2"/>
        <v>198272866.75</v>
      </c>
      <c r="AN3" s="100">
        <f t="shared" si="2"/>
        <v>221996856.54000002</v>
      </c>
      <c r="AO3" s="100">
        <f t="shared" si="2"/>
        <v>223268945</v>
      </c>
      <c r="AP3" s="100">
        <f t="shared" si="2"/>
        <v>14497543.5</v>
      </c>
      <c r="AQ3" s="100">
        <f t="shared" si="2"/>
        <v>30866522.690000001</v>
      </c>
      <c r="AR3" s="100">
        <f t="shared" si="2"/>
        <v>47875327.120000005</v>
      </c>
      <c r="AS3" s="100">
        <f t="shared" si="2"/>
        <v>62071311.819999993</v>
      </c>
      <c r="AT3" s="100">
        <f t="shared" si="2"/>
        <v>80075412.900000006</v>
      </c>
      <c r="AU3" s="100">
        <f t="shared" si="2"/>
        <v>96649631.669999987</v>
      </c>
      <c r="AV3" s="100">
        <f t="shared" si="2"/>
        <v>112508642.52000001</v>
      </c>
      <c r="AW3" s="100">
        <f t="shared" si="2"/>
        <v>128312910.56</v>
      </c>
      <c r="AX3" s="100">
        <f t="shared" si="2"/>
        <v>148164662.57999998</v>
      </c>
      <c r="AY3" s="100">
        <f t="shared" si="2"/>
        <v>167780477.23000002</v>
      </c>
      <c r="AZ3" s="100">
        <f t="shared" si="2"/>
        <v>188451628.38999999</v>
      </c>
      <c r="BA3" s="100">
        <f t="shared" si="2"/>
        <v>226471763.49000001</v>
      </c>
      <c r="BB3" s="100">
        <f t="shared" si="2"/>
        <v>225580500.66</v>
      </c>
      <c r="BC3" s="100">
        <f t="shared" si="2"/>
        <v>17747713.940000001</v>
      </c>
      <c r="BD3" s="100">
        <f t="shared" si="2"/>
        <v>33471373.93</v>
      </c>
      <c r="BE3" s="100">
        <f t="shared" si="2"/>
        <v>55305394.32</v>
      </c>
      <c r="BF3" s="100">
        <f t="shared" si="2"/>
        <v>73158823.870000005</v>
      </c>
      <c r="BG3" s="100">
        <f t="shared" si="2"/>
        <v>90193861.539999992</v>
      </c>
      <c r="BH3" s="100">
        <f t="shared" si="2"/>
        <v>110051809.93000001</v>
      </c>
      <c r="BI3" s="100">
        <f t="shared" si="2"/>
        <v>138086576.81999999</v>
      </c>
      <c r="BJ3" s="100">
        <f t="shared" si="2"/>
        <v>152048650.94</v>
      </c>
      <c r="BK3" s="100">
        <f t="shared" si="2"/>
        <v>169253715.41000003</v>
      </c>
      <c r="BL3" s="100">
        <f t="shared" si="2"/>
        <v>187439716.63999999</v>
      </c>
      <c r="BM3" s="100">
        <f t="shared" si="2"/>
        <v>217350775.53</v>
      </c>
      <c r="BN3" s="100">
        <f t="shared" si="2"/>
        <v>249192923.16</v>
      </c>
      <c r="BO3" s="100">
        <f t="shared" si="2"/>
        <v>247513451</v>
      </c>
    </row>
    <row r="4" spans="1:67" s="87" customFormat="1" ht="13.9">
      <c r="A4" s="99" t="s">
        <v>316</v>
      </c>
      <c r="B4" s="100">
        <f t="shared" ref="B4:G4" si="3">SUM(B5:B6)</f>
        <v>12855.805909999999</v>
      </c>
      <c r="C4" s="100">
        <f t="shared" si="3"/>
        <v>101379709</v>
      </c>
      <c r="D4" s="100">
        <f t="shared" si="3"/>
        <v>14702682.41</v>
      </c>
      <c r="E4" s="100">
        <f t="shared" si="3"/>
        <v>24866328.960000001</v>
      </c>
      <c r="F4" s="100">
        <f t="shared" si="3"/>
        <v>34937645.769999996</v>
      </c>
      <c r="G4" s="100">
        <f t="shared" si="3"/>
        <v>44610247.68</v>
      </c>
      <c r="H4" s="100">
        <f t="shared" ref="H4:AB4" si="4">SUM(H5:H6)</f>
        <v>54494569.019999996</v>
      </c>
      <c r="I4" s="100">
        <f t="shared" si="4"/>
        <v>64556121.849999994</v>
      </c>
      <c r="J4" s="100">
        <f t="shared" si="4"/>
        <v>74080736.840000004</v>
      </c>
      <c r="K4" s="100">
        <f t="shared" si="4"/>
        <v>83800479.439999998</v>
      </c>
      <c r="L4" s="100">
        <f t="shared" si="4"/>
        <v>93958143.189999998</v>
      </c>
      <c r="M4" s="100">
        <f t="shared" si="4"/>
        <v>104354884.81999999</v>
      </c>
      <c r="N4" s="100">
        <f t="shared" si="4"/>
        <v>117554813.87</v>
      </c>
      <c r="O4" s="100">
        <f t="shared" si="4"/>
        <v>129108261.02000001</v>
      </c>
      <c r="P4" s="100">
        <f t="shared" si="4"/>
        <v>180839076</v>
      </c>
      <c r="Q4" s="100">
        <f t="shared" si="4"/>
        <v>10808615.199999999</v>
      </c>
      <c r="R4" s="100">
        <f t="shared" si="4"/>
        <v>20225253.899999999</v>
      </c>
      <c r="S4" s="100">
        <f t="shared" si="4"/>
        <v>29374694.400000002</v>
      </c>
      <c r="T4" s="100">
        <f t="shared" si="4"/>
        <v>38053953.880000003</v>
      </c>
      <c r="U4" s="100">
        <f t="shared" si="4"/>
        <v>47538987.68</v>
      </c>
      <c r="V4" s="100">
        <f t="shared" si="4"/>
        <v>56115921.68</v>
      </c>
      <c r="W4" s="100">
        <f t="shared" si="4"/>
        <v>65114968.879999995</v>
      </c>
      <c r="X4" s="100">
        <f t="shared" si="4"/>
        <v>74275658.829999998</v>
      </c>
      <c r="Y4" s="100">
        <f t="shared" si="4"/>
        <v>83862749.079999998</v>
      </c>
      <c r="Z4" s="100">
        <f t="shared" si="4"/>
        <v>93387162.629999995</v>
      </c>
      <c r="AA4" s="100">
        <f t="shared" si="4"/>
        <v>106887098.03</v>
      </c>
      <c r="AB4" s="100">
        <f t="shared" si="4"/>
        <v>114879526.68000001</v>
      </c>
      <c r="AC4" s="100">
        <f t="shared" ref="AC4:BO4" si="5">SUM(AC5:AC6)</f>
        <v>93202429</v>
      </c>
      <c r="AD4" s="100">
        <f t="shared" si="5"/>
        <v>12826516.33</v>
      </c>
      <c r="AE4" s="100">
        <f t="shared" si="5"/>
        <v>22779238.57</v>
      </c>
      <c r="AF4" s="100">
        <f t="shared" si="5"/>
        <v>31901539.27</v>
      </c>
      <c r="AG4" s="100">
        <f t="shared" si="5"/>
        <v>40491659.07</v>
      </c>
      <c r="AH4" s="100">
        <f t="shared" si="5"/>
        <v>47892337.569999993</v>
      </c>
      <c r="AI4" s="100">
        <f t="shared" si="5"/>
        <v>57203266.820000008</v>
      </c>
      <c r="AJ4" s="100">
        <f t="shared" si="5"/>
        <v>150088895.03999999</v>
      </c>
      <c r="AK4" s="100">
        <f t="shared" si="5"/>
        <v>85022865.480000004</v>
      </c>
      <c r="AL4" s="100">
        <f t="shared" si="5"/>
        <v>95192670.829999998</v>
      </c>
      <c r="AM4" s="100">
        <f t="shared" si="5"/>
        <v>108450303.48</v>
      </c>
      <c r="AN4" s="100">
        <f t="shared" si="5"/>
        <v>122096183.89</v>
      </c>
      <c r="AO4" s="100">
        <f t="shared" si="5"/>
        <v>93908094</v>
      </c>
      <c r="AP4" s="100">
        <f t="shared" si="5"/>
        <v>10109578.6</v>
      </c>
      <c r="AQ4" s="100">
        <f t="shared" si="5"/>
        <v>19193937.09</v>
      </c>
      <c r="AR4" s="100">
        <f t="shared" si="5"/>
        <v>28682441.390000001</v>
      </c>
      <c r="AS4" s="100">
        <f t="shared" si="5"/>
        <v>37146365.039999999</v>
      </c>
      <c r="AT4" s="100">
        <f t="shared" si="5"/>
        <v>47007006.390000001</v>
      </c>
      <c r="AU4" s="100">
        <f t="shared" si="5"/>
        <v>56699275.949999996</v>
      </c>
      <c r="AV4" s="100">
        <f t="shared" si="5"/>
        <v>66504282.75</v>
      </c>
      <c r="AW4" s="100">
        <f t="shared" si="5"/>
        <v>79891363.950000003</v>
      </c>
      <c r="AX4" s="100">
        <f t="shared" si="5"/>
        <v>86997642.599999994</v>
      </c>
      <c r="AY4" s="100">
        <f t="shared" si="5"/>
        <v>97044784.969999999</v>
      </c>
      <c r="AZ4" s="100">
        <f t="shared" si="5"/>
        <v>110770011.56</v>
      </c>
      <c r="BA4" s="100">
        <f t="shared" si="5"/>
        <v>122547037.95999999</v>
      </c>
      <c r="BB4" s="100">
        <f t="shared" si="5"/>
        <v>95746454.659999996</v>
      </c>
      <c r="BC4" s="100">
        <f t="shared" si="5"/>
        <v>11704239.350000001</v>
      </c>
      <c r="BD4" s="100">
        <f t="shared" si="5"/>
        <v>21689359.849999998</v>
      </c>
      <c r="BE4" s="100">
        <f t="shared" si="5"/>
        <v>31404647.850000001</v>
      </c>
      <c r="BF4" s="100">
        <f t="shared" si="5"/>
        <v>42555645.200000003</v>
      </c>
      <c r="BG4" s="100">
        <f t="shared" si="5"/>
        <v>53241648</v>
      </c>
      <c r="BH4" s="100">
        <f t="shared" si="5"/>
        <v>64397879.449999996</v>
      </c>
      <c r="BI4" s="100">
        <f t="shared" si="5"/>
        <v>80059545.900000006</v>
      </c>
      <c r="BJ4" s="100">
        <f t="shared" si="5"/>
        <v>88698494.459999993</v>
      </c>
      <c r="BK4" s="100">
        <f t="shared" si="5"/>
        <v>101066726.59</v>
      </c>
      <c r="BL4" s="100">
        <f t="shared" si="5"/>
        <v>112109647.39</v>
      </c>
      <c r="BM4" s="100">
        <f t="shared" si="5"/>
        <v>124939933.81</v>
      </c>
      <c r="BN4" s="100">
        <f t="shared" si="5"/>
        <v>138717398.13</v>
      </c>
      <c r="BO4" s="100">
        <f t="shared" si="5"/>
        <v>110031921</v>
      </c>
    </row>
    <row r="5" spans="1:67" s="87" customFormat="1">
      <c r="A5" s="101" t="s">
        <v>317</v>
      </c>
      <c r="B5" s="102">
        <v>11945.43491</v>
      </c>
      <c r="C5" s="103">
        <v>101379709</v>
      </c>
      <c r="D5" s="103">
        <v>8717884.6500000004</v>
      </c>
      <c r="E5" s="103">
        <v>16536521.34</v>
      </c>
      <c r="F5" s="103">
        <v>24769551.989999998</v>
      </c>
      <c r="G5" s="104">
        <v>33029522.690000001</v>
      </c>
      <c r="H5" s="105">
        <v>41174092.969999999</v>
      </c>
      <c r="I5" s="105">
        <v>49592524.439999998</v>
      </c>
      <c r="J5" s="105">
        <v>58018275.740000002</v>
      </c>
      <c r="K5" s="160">
        <v>66482266.640000001</v>
      </c>
      <c r="L5" s="160">
        <v>75089316.890000001</v>
      </c>
      <c r="M5" s="160">
        <v>84006736.519999996</v>
      </c>
      <c r="N5" s="160">
        <v>91947335.670000002</v>
      </c>
      <c r="O5" s="160">
        <v>99290901.420000002</v>
      </c>
      <c r="P5" s="106">
        <v>99290901</v>
      </c>
      <c r="Q5" s="160">
        <v>7290707.7999999998</v>
      </c>
      <c r="R5" s="160">
        <v>14689937.1</v>
      </c>
      <c r="S5" s="160">
        <v>22258080.100000001</v>
      </c>
      <c r="T5" s="272">
        <v>29806767.780000001</v>
      </c>
      <c r="U5" s="272">
        <v>37459750.280000001</v>
      </c>
      <c r="V5" s="272">
        <v>44863922.579999998</v>
      </c>
      <c r="W5" s="160">
        <v>52609185.579999998</v>
      </c>
      <c r="X5" s="160">
        <v>60508706.329999998</v>
      </c>
      <c r="Y5" s="160">
        <v>68756023.480000004</v>
      </c>
      <c r="Z5" s="160">
        <v>77040674.629999995</v>
      </c>
      <c r="AA5" s="160">
        <v>86064271.230000004</v>
      </c>
      <c r="AB5" s="160">
        <v>93202278.980000004</v>
      </c>
      <c r="AC5" s="203">
        <v>93202429</v>
      </c>
      <c r="AD5" s="160">
        <v>8958073.4299999997</v>
      </c>
      <c r="AE5" s="160">
        <v>17474185.670000002</v>
      </c>
      <c r="AF5" s="160">
        <v>25199719.77</v>
      </c>
      <c r="AG5" s="160">
        <v>32915641.07</v>
      </c>
      <c r="AH5" s="160">
        <v>38840640.369999997</v>
      </c>
      <c r="AI5" s="160">
        <v>46510235.520000003</v>
      </c>
      <c r="AJ5" s="160">
        <v>123750947.64</v>
      </c>
      <c r="AK5" s="160">
        <v>69812015.480000004</v>
      </c>
      <c r="AL5" s="160">
        <v>78070440.629999995</v>
      </c>
      <c r="AM5" s="160">
        <v>86279820.680000007</v>
      </c>
      <c r="AN5" s="160">
        <v>93908093.689999998</v>
      </c>
      <c r="AO5" s="160">
        <f>86063537+7844557</f>
        <v>93908094</v>
      </c>
      <c r="AP5" s="160">
        <v>7398131.0999999996</v>
      </c>
      <c r="AQ5" s="160">
        <v>14908274.689999999</v>
      </c>
      <c r="AR5" s="160">
        <v>22633023.59</v>
      </c>
      <c r="AS5" s="160">
        <v>30164131.440000001</v>
      </c>
      <c r="AT5" s="160">
        <v>37845372.890000001</v>
      </c>
      <c r="AU5" s="290">
        <v>45763059.049999997</v>
      </c>
      <c r="AV5" s="160">
        <v>53850209.75</v>
      </c>
      <c r="AW5" s="286">
        <v>65242809.350000001</v>
      </c>
      <c r="AX5" s="286">
        <v>70568440.799999997</v>
      </c>
      <c r="AY5" s="286">
        <v>79126543.569999993</v>
      </c>
      <c r="AZ5" s="160">
        <v>87585411.359999999</v>
      </c>
      <c r="BA5" s="160">
        <v>95746454.659999996</v>
      </c>
      <c r="BB5" s="275">
        <v>95746454.659999996</v>
      </c>
      <c r="BC5" s="160">
        <v>8405722.0500000007</v>
      </c>
      <c r="BD5" s="160">
        <v>16823189.149999999</v>
      </c>
      <c r="BE5" s="160">
        <v>24963077.050000001</v>
      </c>
      <c r="BF5" s="160">
        <v>33817846.5</v>
      </c>
      <c r="BG5" s="160">
        <v>42666290.600000001</v>
      </c>
      <c r="BH5" s="160">
        <v>51743614.549999997</v>
      </c>
      <c r="BI5" s="311">
        <v>64292625.100000001</v>
      </c>
      <c r="BJ5" s="311">
        <v>70303509.159999996</v>
      </c>
      <c r="BK5" s="311">
        <v>79458534.790000007</v>
      </c>
      <c r="BL5" s="311">
        <v>88762900.890000001</v>
      </c>
      <c r="BM5" s="311">
        <v>98709164.909999996</v>
      </c>
      <c r="BN5" s="311">
        <v>28685477.530000001</v>
      </c>
      <c r="BO5" s="203"/>
    </row>
    <row r="6" spans="1:67" s="87" customFormat="1">
      <c r="A6" s="101" t="s">
        <v>318</v>
      </c>
      <c r="B6" s="102">
        <v>910.37099999999998</v>
      </c>
      <c r="C6" s="107"/>
      <c r="D6" s="103">
        <v>5984797.7599999998</v>
      </c>
      <c r="E6" s="103">
        <v>8329807.6200000001</v>
      </c>
      <c r="F6" s="103">
        <v>10168093.779999999</v>
      </c>
      <c r="G6" s="104">
        <v>11580724.99</v>
      </c>
      <c r="H6" s="105">
        <v>13320476.050000001</v>
      </c>
      <c r="I6" s="105">
        <v>14963597.41</v>
      </c>
      <c r="J6" s="105">
        <v>16062461.1</v>
      </c>
      <c r="K6" s="160">
        <v>17318212.800000001</v>
      </c>
      <c r="L6" s="160">
        <v>18868826.300000001</v>
      </c>
      <c r="M6" s="160">
        <v>20348148.300000001</v>
      </c>
      <c r="N6" s="160">
        <v>25607478.199999999</v>
      </c>
      <c r="O6" s="160">
        <v>29817359.600000001</v>
      </c>
      <c r="P6" s="108">
        <f>81562736-14561</f>
        <v>81548175</v>
      </c>
      <c r="Q6" s="160">
        <v>3517907.4</v>
      </c>
      <c r="R6" s="160">
        <v>5535316.7999999998</v>
      </c>
      <c r="S6" s="160">
        <v>7116614.2999999998</v>
      </c>
      <c r="T6" s="272">
        <v>8247186.0999999996</v>
      </c>
      <c r="U6" s="272">
        <v>10079237.4</v>
      </c>
      <c r="V6" s="272">
        <v>11251999.1</v>
      </c>
      <c r="W6" s="160">
        <v>12505783.300000001</v>
      </c>
      <c r="X6" s="160">
        <v>13766952.5</v>
      </c>
      <c r="Y6" s="160">
        <v>15106725.6</v>
      </c>
      <c r="Z6" s="160">
        <v>16346488</v>
      </c>
      <c r="AA6" s="160">
        <v>20822826.800000001</v>
      </c>
      <c r="AB6" s="160">
        <v>21677247.699999999</v>
      </c>
      <c r="AC6" s="203"/>
      <c r="AD6" s="160">
        <v>3868442.9</v>
      </c>
      <c r="AE6" s="160">
        <v>5305052.9000000004</v>
      </c>
      <c r="AF6" s="160">
        <v>6701819.5</v>
      </c>
      <c r="AG6" s="160">
        <v>7576018</v>
      </c>
      <c r="AH6" s="160">
        <v>9051697.1999999993</v>
      </c>
      <c r="AI6" s="160">
        <v>10693031.300000001</v>
      </c>
      <c r="AJ6" s="160">
        <v>26337947.399999999</v>
      </c>
      <c r="AK6" s="160">
        <v>15210850</v>
      </c>
      <c r="AL6" s="160">
        <v>17122230.199999999</v>
      </c>
      <c r="AM6" s="160">
        <v>22170482.800000001</v>
      </c>
      <c r="AN6" s="160">
        <v>28188090.199999999</v>
      </c>
      <c r="AO6" s="160">
        <v>0</v>
      </c>
      <c r="AP6" s="160">
        <v>2711447.5</v>
      </c>
      <c r="AQ6" s="160">
        <v>4285662.4000000004</v>
      </c>
      <c r="AR6" s="160">
        <v>6049417.7999999998</v>
      </c>
      <c r="AS6" s="160">
        <v>6982233.5999999996</v>
      </c>
      <c r="AT6" s="160">
        <v>9161633.5</v>
      </c>
      <c r="AU6" s="290">
        <v>10936216.9</v>
      </c>
      <c r="AV6" s="160">
        <v>12654073</v>
      </c>
      <c r="AW6" s="286">
        <v>14648554.6</v>
      </c>
      <c r="AX6" s="286">
        <v>16429201.800000001</v>
      </c>
      <c r="AY6" s="286">
        <v>17918241.399999999</v>
      </c>
      <c r="AZ6" s="160">
        <v>23184600.199999999</v>
      </c>
      <c r="BA6" s="160">
        <v>26800583.300000001</v>
      </c>
      <c r="BB6" s="203"/>
      <c r="BC6" s="160">
        <v>3298517.3</v>
      </c>
      <c r="BD6" s="160">
        <v>4866170.7</v>
      </c>
      <c r="BE6" s="160">
        <v>6441570.7999999998</v>
      </c>
      <c r="BF6" s="160">
        <v>8737798.6999999993</v>
      </c>
      <c r="BG6" s="160">
        <v>10575357.4</v>
      </c>
      <c r="BH6" s="160">
        <v>12654264.9</v>
      </c>
      <c r="BI6" s="311">
        <v>15766920.800000001</v>
      </c>
      <c r="BJ6" s="311">
        <v>18394985.300000001</v>
      </c>
      <c r="BK6" s="311">
        <v>21608191.800000001</v>
      </c>
      <c r="BL6" s="311">
        <v>23346746.5</v>
      </c>
      <c r="BM6" s="311">
        <v>26230768.899999999</v>
      </c>
      <c r="BN6" s="311">
        <v>110031920.59999999</v>
      </c>
      <c r="BO6" s="203">
        <v>110031921</v>
      </c>
    </row>
    <row r="7" spans="1:67" s="87" customFormat="1" ht="13.9">
      <c r="A7" s="99" t="s">
        <v>319</v>
      </c>
      <c r="B7" s="100">
        <f>SUM(B8:B11)</f>
        <v>1743.4416368990005</v>
      </c>
      <c r="C7" s="100">
        <f t="shared" ref="C7:H7" si="6">SUM(C8:C11)</f>
        <v>95308252</v>
      </c>
      <c r="D7" s="100">
        <f t="shared" si="6"/>
        <v>5930081.5300000003</v>
      </c>
      <c r="E7" s="100">
        <f t="shared" si="6"/>
        <v>8931664.0199999996</v>
      </c>
      <c r="F7" s="100">
        <f t="shared" si="6"/>
        <v>14342069.029999999</v>
      </c>
      <c r="G7" s="100">
        <f t="shared" si="6"/>
        <v>18749493.609999999</v>
      </c>
      <c r="H7" s="100">
        <f t="shared" si="6"/>
        <v>22435086.960000001</v>
      </c>
      <c r="I7" s="100">
        <f t="shared" ref="I7:BA7" si="7">SUM(I8:I11)</f>
        <v>28316851.460000001</v>
      </c>
      <c r="J7" s="100">
        <f t="shared" si="7"/>
        <v>32155761.48</v>
      </c>
      <c r="K7" s="100">
        <f t="shared" si="7"/>
        <v>45594757.329999998</v>
      </c>
      <c r="L7" s="100">
        <f t="shared" si="7"/>
        <v>50126049.989999995</v>
      </c>
      <c r="M7" s="100">
        <f t="shared" si="7"/>
        <v>61154814.819999993</v>
      </c>
      <c r="N7" s="100">
        <f t="shared" si="7"/>
        <v>72861724.400000006</v>
      </c>
      <c r="O7" s="100">
        <f t="shared" si="7"/>
        <v>82930783.890000001</v>
      </c>
      <c r="P7" s="100">
        <f t="shared" si="7"/>
        <v>29342276</v>
      </c>
      <c r="Q7" s="100">
        <f t="shared" si="7"/>
        <v>3533884.53</v>
      </c>
      <c r="R7" s="100">
        <f t="shared" si="7"/>
        <v>6969597.0199999996</v>
      </c>
      <c r="S7" s="100">
        <f t="shared" si="7"/>
        <v>14257808.01</v>
      </c>
      <c r="T7" s="100">
        <f t="shared" si="7"/>
        <v>19490652.68</v>
      </c>
      <c r="U7" s="100">
        <f t="shared" si="7"/>
        <v>24817122.609999999</v>
      </c>
      <c r="V7" s="100">
        <f t="shared" si="7"/>
        <v>47238043.030000001</v>
      </c>
      <c r="W7" s="100">
        <f t="shared" si="7"/>
        <v>50681049.130000003</v>
      </c>
      <c r="X7" s="100">
        <f t="shared" si="7"/>
        <v>55662876.789999999</v>
      </c>
      <c r="Y7" s="100">
        <f t="shared" si="7"/>
        <v>61598095.170000002</v>
      </c>
      <c r="Z7" s="100">
        <f t="shared" si="7"/>
        <v>83136932.319999993</v>
      </c>
      <c r="AA7" s="100">
        <f t="shared" si="7"/>
        <v>88857711.400000006</v>
      </c>
      <c r="AB7" s="100">
        <f t="shared" si="7"/>
        <v>105370147.53999999</v>
      </c>
      <c r="AC7" s="100">
        <f t="shared" si="7"/>
        <v>127039971</v>
      </c>
      <c r="AD7" s="100">
        <f t="shared" si="7"/>
        <v>3689317.06</v>
      </c>
      <c r="AE7" s="100">
        <f t="shared" si="7"/>
        <v>10841786.57</v>
      </c>
      <c r="AF7" s="100">
        <f t="shared" si="7"/>
        <v>17007289.73</v>
      </c>
      <c r="AG7" s="100">
        <f t="shared" si="7"/>
        <v>23886869.990000002</v>
      </c>
      <c r="AH7" s="100">
        <f t="shared" si="7"/>
        <v>29807634.799999997</v>
      </c>
      <c r="AI7" s="100">
        <f t="shared" si="7"/>
        <v>36222859.350000001</v>
      </c>
      <c r="AJ7" s="100">
        <f t="shared" si="7"/>
        <v>99213426.060000002</v>
      </c>
      <c r="AK7" s="100">
        <f t="shared" si="7"/>
        <v>54122994.450000003</v>
      </c>
      <c r="AL7" s="100">
        <f t="shared" si="7"/>
        <v>77900780.370000005</v>
      </c>
      <c r="AM7" s="100">
        <f t="shared" si="7"/>
        <v>89822563.269999996</v>
      </c>
      <c r="AN7" s="100">
        <f t="shared" si="7"/>
        <v>99900672.650000006</v>
      </c>
      <c r="AO7" s="100">
        <f t="shared" si="7"/>
        <v>129360851</v>
      </c>
      <c r="AP7" s="100">
        <f t="shared" si="7"/>
        <v>4387964.9000000004</v>
      </c>
      <c r="AQ7" s="100">
        <f t="shared" si="7"/>
        <v>11672585.600000001</v>
      </c>
      <c r="AR7" s="100">
        <f t="shared" si="7"/>
        <v>19192885.73</v>
      </c>
      <c r="AS7" s="100">
        <f t="shared" si="7"/>
        <v>24924946.779999997</v>
      </c>
      <c r="AT7" s="100">
        <f t="shared" si="7"/>
        <v>33068406.509999998</v>
      </c>
      <c r="AU7" s="100">
        <f t="shared" si="7"/>
        <v>39950355.719999999</v>
      </c>
      <c r="AV7" s="100">
        <f t="shared" si="7"/>
        <v>46004359.770000003</v>
      </c>
      <c r="AW7" s="100">
        <f t="shared" si="7"/>
        <v>48421546.609999999</v>
      </c>
      <c r="AX7" s="100">
        <f t="shared" si="7"/>
        <v>61167019.979999997</v>
      </c>
      <c r="AY7" s="100">
        <f t="shared" si="7"/>
        <v>70735692.260000005</v>
      </c>
      <c r="AZ7" s="100">
        <f t="shared" si="7"/>
        <v>77681616.829999998</v>
      </c>
      <c r="BA7" s="100">
        <f t="shared" si="7"/>
        <v>103924725.53</v>
      </c>
      <c r="BB7" s="100">
        <f>SUM(BB8:BB11)</f>
        <v>129834046</v>
      </c>
      <c r="BC7" s="100">
        <f t="shared" ref="BC7:BO7" si="8">SUM(BC8:BC11)</f>
        <v>6043474.5899999999</v>
      </c>
      <c r="BD7" s="100">
        <f t="shared" si="8"/>
        <v>11782014.08</v>
      </c>
      <c r="BE7" s="100">
        <f t="shared" si="8"/>
        <v>23900746.469999999</v>
      </c>
      <c r="BF7" s="100">
        <f t="shared" si="8"/>
        <v>30603178.669999998</v>
      </c>
      <c r="BG7" s="100">
        <f t="shared" si="8"/>
        <v>36952213.539999999</v>
      </c>
      <c r="BH7" s="100">
        <f t="shared" si="8"/>
        <v>45653930.480000004</v>
      </c>
      <c r="BI7" s="100">
        <f t="shared" si="8"/>
        <v>58027030.920000002</v>
      </c>
      <c r="BJ7" s="100">
        <f t="shared" si="8"/>
        <v>63350156.480000004</v>
      </c>
      <c r="BK7" s="100">
        <f t="shared" si="8"/>
        <v>68186988.820000008</v>
      </c>
      <c r="BL7" s="100">
        <f t="shared" si="8"/>
        <v>75330069.25</v>
      </c>
      <c r="BM7" s="100">
        <f t="shared" si="8"/>
        <v>92410841.719999999</v>
      </c>
      <c r="BN7" s="100">
        <f t="shared" si="8"/>
        <v>110475525.03</v>
      </c>
      <c r="BO7" s="100">
        <f t="shared" si="8"/>
        <v>137481530</v>
      </c>
    </row>
    <row r="8" spans="1:67" s="87" customFormat="1">
      <c r="A8" s="101" t="s">
        <v>320</v>
      </c>
      <c r="B8" s="102"/>
      <c r="C8" s="109"/>
      <c r="D8" s="103"/>
      <c r="E8" s="103"/>
      <c r="F8" s="103"/>
      <c r="G8" s="123"/>
      <c r="H8" s="105"/>
      <c r="I8" s="105"/>
      <c r="J8" s="105"/>
      <c r="K8" s="160">
        <v>0</v>
      </c>
      <c r="L8" s="160">
        <v>0</v>
      </c>
      <c r="M8" s="160">
        <v>0</v>
      </c>
      <c r="N8" s="160">
        <v>0</v>
      </c>
      <c r="O8" s="160">
        <v>0</v>
      </c>
      <c r="P8" s="110"/>
      <c r="Q8" s="160">
        <v>0</v>
      </c>
      <c r="R8" s="160">
        <v>0</v>
      </c>
      <c r="S8" s="160">
        <v>0</v>
      </c>
      <c r="T8" s="272">
        <v>0</v>
      </c>
      <c r="U8" s="272">
        <v>0</v>
      </c>
      <c r="V8" s="272">
        <v>0</v>
      </c>
      <c r="W8" s="160">
        <v>0</v>
      </c>
      <c r="X8" s="160">
        <v>0</v>
      </c>
      <c r="Y8" s="160">
        <v>0</v>
      </c>
      <c r="Z8" s="160">
        <v>0</v>
      </c>
      <c r="AA8" s="160">
        <v>0</v>
      </c>
      <c r="AB8" s="160">
        <v>0</v>
      </c>
      <c r="AC8" s="203"/>
      <c r="AD8" s="160">
        <v>0</v>
      </c>
      <c r="AE8" s="160">
        <v>0</v>
      </c>
      <c r="AF8" s="160">
        <v>0</v>
      </c>
      <c r="AG8" s="160">
        <v>0</v>
      </c>
      <c r="AH8" s="160">
        <v>0</v>
      </c>
      <c r="AI8" s="160">
        <v>0</v>
      </c>
      <c r="AJ8" s="160">
        <v>0</v>
      </c>
      <c r="AK8" s="160">
        <v>0</v>
      </c>
      <c r="AL8" s="160">
        <v>0</v>
      </c>
      <c r="AM8" s="160">
        <v>0</v>
      </c>
      <c r="AN8" s="160">
        <v>0</v>
      </c>
      <c r="AO8" s="160">
        <v>0</v>
      </c>
      <c r="AP8" s="160">
        <v>0</v>
      </c>
      <c r="AQ8" s="160">
        <v>0</v>
      </c>
      <c r="AR8" s="160">
        <v>0</v>
      </c>
      <c r="AS8" s="160">
        <v>0</v>
      </c>
      <c r="AT8" s="160">
        <v>0</v>
      </c>
      <c r="AU8" s="290">
        <v>0</v>
      </c>
      <c r="AV8" s="160">
        <v>0</v>
      </c>
      <c r="AW8" s="285">
        <v>0</v>
      </c>
      <c r="AX8" s="285">
        <v>0</v>
      </c>
      <c r="AY8" s="285">
        <v>0</v>
      </c>
      <c r="AZ8" s="160">
        <v>0</v>
      </c>
      <c r="BA8" s="160">
        <v>0</v>
      </c>
      <c r="BB8" s="203"/>
      <c r="BC8" s="160">
        <v>0</v>
      </c>
      <c r="BD8" s="160">
        <v>0</v>
      </c>
      <c r="BE8" s="160">
        <v>0</v>
      </c>
      <c r="BF8" s="160">
        <v>0</v>
      </c>
      <c r="BG8" s="160">
        <v>0</v>
      </c>
      <c r="BH8" s="160">
        <v>0</v>
      </c>
      <c r="BI8" s="311">
        <v>0</v>
      </c>
      <c r="BJ8" s="311">
        <v>0</v>
      </c>
      <c r="BK8" s="311">
        <v>0</v>
      </c>
      <c r="BL8" s="311">
        <v>0</v>
      </c>
      <c r="BM8" s="311">
        <v>0</v>
      </c>
      <c r="BN8" s="311">
        <v>0</v>
      </c>
      <c r="BO8" s="203"/>
    </row>
    <row r="9" spans="1:67" s="87" customFormat="1" ht="27.6">
      <c r="A9" s="101" t="s">
        <v>321</v>
      </c>
      <c r="B9" s="102"/>
      <c r="C9" s="109"/>
      <c r="D9" s="103"/>
      <c r="E9" s="103"/>
      <c r="F9" s="103"/>
      <c r="G9" s="123"/>
      <c r="H9" s="105"/>
      <c r="I9" s="105"/>
      <c r="J9" s="105"/>
      <c r="K9" s="160">
        <v>0</v>
      </c>
      <c r="L9" s="160">
        <v>0</v>
      </c>
      <c r="M9" s="160">
        <v>0</v>
      </c>
      <c r="N9" s="160">
        <v>0</v>
      </c>
      <c r="O9" s="160">
        <v>0</v>
      </c>
      <c r="P9" s="106"/>
      <c r="Q9" s="160">
        <v>0</v>
      </c>
      <c r="R9" s="160">
        <v>0</v>
      </c>
      <c r="S9" s="160">
        <v>0</v>
      </c>
      <c r="T9" s="272">
        <v>0</v>
      </c>
      <c r="U9" s="272">
        <v>0</v>
      </c>
      <c r="V9" s="272">
        <v>0</v>
      </c>
      <c r="W9" s="160">
        <v>0</v>
      </c>
      <c r="X9" s="160">
        <v>0</v>
      </c>
      <c r="Y9" s="160">
        <v>0</v>
      </c>
      <c r="Z9" s="160">
        <v>0</v>
      </c>
      <c r="AA9" s="160">
        <v>0</v>
      </c>
      <c r="AB9" s="160">
        <v>0</v>
      </c>
      <c r="AC9" s="203">
        <v>49389698</v>
      </c>
      <c r="AD9" s="160">
        <v>0</v>
      </c>
      <c r="AE9" s="160">
        <v>0</v>
      </c>
      <c r="AF9" s="160">
        <v>0</v>
      </c>
      <c r="AG9" s="160">
        <v>0</v>
      </c>
      <c r="AH9" s="160">
        <v>0</v>
      </c>
      <c r="AI9" s="160">
        <v>0</v>
      </c>
      <c r="AJ9" s="160">
        <v>0</v>
      </c>
      <c r="AK9" s="160">
        <v>0</v>
      </c>
      <c r="AL9" s="160">
        <v>0</v>
      </c>
      <c r="AM9" s="160">
        <v>0</v>
      </c>
      <c r="AN9" s="160">
        <v>0</v>
      </c>
      <c r="AO9" s="273">
        <v>50216519</v>
      </c>
      <c r="AP9" s="160">
        <v>0</v>
      </c>
      <c r="AQ9" s="160">
        <v>0</v>
      </c>
      <c r="AR9" s="160">
        <v>0</v>
      </c>
      <c r="AS9" s="160">
        <v>0</v>
      </c>
      <c r="AT9" s="160">
        <v>0</v>
      </c>
      <c r="AU9" s="290">
        <v>0</v>
      </c>
      <c r="AV9" s="160">
        <v>0</v>
      </c>
      <c r="AW9" s="285">
        <v>0</v>
      </c>
      <c r="AX9" s="285">
        <v>0</v>
      </c>
      <c r="AY9" s="285">
        <v>0</v>
      </c>
      <c r="AZ9" s="160">
        <v>0</v>
      </c>
      <c r="BA9" s="160">
        <v>0</v>
      </c>
      <c r="BB9" s="203"/>
      <c r="BC9" s="160">
        <v>0</v>
      </c>
      <c r="BD9" s="160">
        <v>0</v>
      </c>
      <c r="BE9" s="160">
        <v>0</v>
      </c>
      <c r="BF9" s="160">
        <v>0</v>
      </c>
      <c r="BG9" s="160">
        <v>0</v>
      </c>
      <c r="BH9" s="160">
        <v>0</v>
      </c>
      <c r="BI9" s="311">
        <v>0</v>
      </c>
      <c r="BJ9" s="311">
        <v>0</v>
      </c>
      <c r="BK9" s="311">
        <v>0</v>
      </c>
      <c r="BL9" s="311">
        <v>0</v>
      </c>
      <c r="BM9" s="311">
        <v>0</v>
      </c>
      <c r="BN9" s="311">
        <v>0</v>
      </c>
      <c r="BO9" s="203"/>
    </row>
    <row r="10" spans="1:67" s="87" customFormat="1">
      <c r="A10" s="101" t="s">
        <v>322</v>
      </c>
      <c r="B10" s="102"/>
      <c r="C10" s="103">
        <v>19742246</v>
      </c>
      <c r="D10" s="103">
        <v>2073612.1</v>
      </c>
      <c r="E10" s="103">
        <v>2073612.1</v>
      </c>
      <c r="F10" s="103">
        <v>2073612.1</v>
      </c>
      <c r="G10" s="123">
        <v>2073852.1</v>
      </c>
      <c r="H10" s="105">
        <v>2413278.1</v>
      </c>
      <c r="I10" s="105">
        <v>4019531.5</v>
      </c>
      <c r="J10" s="105">
        <v>4019531.5</v>
      </c>
      <c r="K10" s="160">
        <v>14165170.6</v>
      </c>
      <c r="L10" s="160">
        <v>14559867.91</v>
      </c>
      <c r="M10" s="160">
        <v>14559867.91</v>
      </c>
      <c r="N10" s="160">
        <v>23246697.710000001</v>
      </c>
      <c r="O10" s="160">
        <v>28123641.27</v>
      </c>
      <c r="P10" s="106">
        <v>28123641</v>
      </c>
      <c r="Q10" s="160">
        <v>135</v>
      </c>
      <c r="R10" s="160">
        <v>0</v>
      </c>
      <c r="S10" s="160">
        <v>1757713.73</v>
      </c>
      <c r="T10" s="272">
        <v>2948213.73</v>
      </c>
      <c r="U10" s="272">
        <v>5316754.83</v>
      </c>
      <c r="V10" s="272">
        <v>18379672.100000001</v>
      </c>
      <c r="W10" s="160">
        <v>18753829.100000001</v>
      </c>
      <c r="X10" s="160">
        <v>21054331.710000001</v>
      </c>
      <c r="Y10" s="160">
        <v>22147491.120000001</v>
      </c>
      <c r="Z10" s="160">
        <v>35615970.329999998</v>
      </c>
      <c r="AA10" s="160">
        <v>37316963.479999997</v>
      </c>
      <c r="AB10" s="160">
        <v>49378494.479999997</v>
      </c>
      <c r="AC10" s="203"/>
      <c r="AD10" s="160">
        <v>0</v>
      </c>
      <c r="AE10" s="160">
        <v>4016402.26</v>
      </c>
      <c r="AF10" s="160">
        <v>4016402.26</v>
      </c>
      <c r="AG10" s="160">
        <v>7096875.6500000004</v>
      </c>
      <c r="AH10" s="160">
        <v>10055053.369999999</v>
      </c>
      <c r="AI10" s="160">
        <v>10480328.220000001</v>
      </c>
      <c r="AJ10" s="160">
        <v>33546692.440000001</v>
      </c>
      <c r="AK10" s="160">
        <v>16837455.809999999</v>
      </c>
      <c r="AL10" s="160">
        <v>32343986.43</v>
      </c>
      <c r="AM10" s="160">
        <v>40336047.689999998</v>
      </c>
      <c r="AN10" s="160">
        <v>46716519.020000003</v>
      </c>
      <c r="AO10" s="160">
        <v>0</v>
      </c>
      <c r="AP10" s="160">
        <v>312306.55</v>
      </c>
      <c r="AQ10" s="160">
        <v>4962306.53</v>
      </c>
      <c r="AR10" s="160">
        <v>6943470.71</v>
      </c>
      <c r="AS10" s="160">
        <v>7845936.4699999997</v>
      </c>
      <c r="AT10" s="160">
        <v>12667799.359999999</v>
      </c>
      <c r="AU10" s="290">
        <v>13541285.529999999</v>
      </c>
      <c r="AV10" s="160">
        <v>14335121.15</v>
      </c>
      <c r="AW10" s="286">
        <v>13932695.58</v>
      </c>
      <c r="AX10" s="286">
        <v>22600503.359999999</v>
      </c>
      <c r="AY10" s="286">
        <v>24157489.670000002</v>
      </c>
      <c r="AZ10" s="160">
        <v>27360203.550000001</v>
      </c>
      <c r="BA10" s="160">
        <v>47900587.100000001</v>
      </c>
      <c r="BB10" s="203">
        <v>50340313</v>
      </c>
      <c r="BC10" s="160">
        <v>2439726.0299999998</v>
      </c>
      <c r="BD10" s="160">
        <v>5138804.1500000004</v>
      </c>
      <c r="BE10" s="160">
        <v>10949778.08</v>
      </c>
      <c r="BF10" s="160">
        <v>13292243.84</v>
      </c>
      <c r="BG10" s="160">
        <v>16485514.539999999</v>
      </c>
      <c r="BH10" s="160">
        <v>18689068.48</v>
      </c>
      <c r="BI10" s="311">
        <v>21051841.309999999</v>
      </c>
      <c r="BJ10" s="311">
        <v>23294558.309999999</v>
      </c>
      <c r="BK10" s="311">
        <v>23914010.370000001</v>
      </c>
      <c r="BL10" s="311">
        <v>27780585.73</v>
      </c>
      <c r="BM10" s="311">
        <v>41904969.579999998</v>
      </c>
      <c r="BN10" s="311">
        <v>56472602.399999999</v>
      </c>
      <c r="BO10" s="203">
        <v>56472602</v>
      </c>
    </row>
    <row r="11" spans="1:67" s="88" customFormat="1">
      <c r="A11" s="99" t="s">
        <v>323</v>
      </c>
      <c r="B11" s="111">
        <v>1743.4416368990005</v>
      </c>
      <c r="C11" s="112">
        <v>75566006</v>
      </c>
      <c r="D11" s="113">
        <v>3856469.43</v>
      </c>
      <c r="E11" s="113">
        <v>6858051.9199999999</v>
      </c>
      <c r="F11" s="113">
        <v>12268456.93</v>
      </c>
      <c r="G11" s="123">
        <v>16675641.51</v>
      </c>
      <c r="H11" s="114">
        <v>20021808.859999999</v>
      </c>
      <c r="I11" s="114">
        <v>24297319.960000001</v>
      </c>
      <c r="J11" s="114">
        <v>28136229.98</v>
      </c>
      <c r="K11" s="159">
        <v>31429586.73</v>
      </c>
      <c r="L11" s="159">
        <v>35566182.079999998</v>
      </c>
      <c r="M11" s="159">
        <v>46594946.909999996</v>
      </c>
      <c r="N11" s="159">
        <v>49615026.689999998</v>
      </c>
      <c r="O11" s="159">
        <v>54807142.619999997</v>
      </c>
      <c r="P11" s="115">
        <f>14561+1204074</f>
        <v>1218635</v>
      </c>
      <c r="Q11" s="159">
        <v>3533749.53</v>
      </c>
      <c r="R11" s="159">
        <v>6969597.0199999996</v>
      </c>
      <c r="S11" s="159">
        <v>12500094.279999999</v>
      </c>
      <c r="T11" s="274">
        <v>16542438.949999999</v>
      </c>
      <c r="U11" s="274">
        <v>19500367.780000001</v>
      </c>
      <c r="V11" s="274">
        <v>28858370.93</v>
      </c>
      <c r="W11" s="159">
        <v>31927220.030000001</v>
      </c>
      <c r="X11" s="159">
        <v>34608545.079999998</v>
      </c>
      <c r="Y11" s="159">
        <v>39450604.049999997</v>
      </c>
      <c r="Z11" s="159">
        <v>47520961.990000002</v>
      </c>
      <c r="AA11" s="159">
        <v>51540747.920000002</v>
      </c>
      <c r="AB11" s="159">
        <v>55991653.060000002</v>
      </c>
      <c r="AC11" s="204">
        <v>77650273</v>
      </c>
      <c r="AD11" s="159">
        <v>3689317.06</v>
      </c>
      <c r="AE11" s="159">
        <v>6825384.3099999996</v>
      </c>
      <c r="AF11" s="159">
        <v>12990887.470000001</v>
      </c>
      <c r="AG11" s="159">
        <v>16789994.34</v>
      </c>
      <c r="AH11" s="159">
        <v>19752581.43</v>
      </c>
      <c r="AI11" s="159">
        <v>25742531.129999999</v>
      </c>
      <c r="AJ11" s="159">
        <v>65666733.619999997</v>
      </c>
      <c r="AK11" s="159">
        <v>37285538.640000001</v>
      </c>
      <c r="AL11" s="159">
        <v>45556793.939999998</v>
      </c>
      <c r="AM11" s="159">
        <v>49486515.579999998</v>
      </c>
      <c r="AN11" s="159">
        <v>53184153.630000003</v>
      </c>
      <c r="AO11" s="266">
        <f>79189255-44923</f>
        <v>79144332</v>
      </c>
      <c r="AP11" s="159">
        <v>4075658.35</v>
      </c>
      <c r="AQ11" s="159">
        <v>6710279.0700000003</v>
      </c>
      <c r="AR11" s="159">
        <v>12249415.02</v>
      </c>
      <c r="AS11" s="159">
        <v>17079010.309999999</v>
      </c>
      <c r="AT11" s="159">
        <v>20400607.149999999</v>
      </c>
      <c r="AU11" s="291">
        <v>26409070.190000001</v>
      </c>
      <c r="AV11" s="159">
        <v>31669238.620000001</v>
      </c>
      <c r="AW11" s="287">
        <v>34488851.030000001</v>
      </c>
      <c r="AX11" s="287">
        <v>38566516.619999997</v>
      </c>
      <c r="AY11" s="306">
        <v>46578202.590000004</v>
      </c>
      <c r="AZ11" s="159">
        <v>50321413.280000001</v>
      </c>
      <c r="BA11" s="159">
        <v>56024138.43</v>
      </c>
      <c r="BB11" s="204">
        <v>79493733</v>
      </c>
      <c r="BC11" s="159">
        <v>3603748.56</v>
      </c>
      <c r="BD11" s="159">
        <v>6643209.9299999997</v>
      </c>
      <c r="BE11" s="159">
        <v>12950968.390000001</v>
      </c>
      <c r="BF11" s="159">
        <v>17310934.829999998</v>
      </c>
      <c r="BG11" s="159">
        <v>20466699</v>
      </c>
      <c r="BH11" s="159">
        <v>26964862</v>
      </c>
      <c r="BI11" s="310">
        <v>36975189.609999999</v>
      </c>
      <c r="BJ11" s="310">
        <v>40055598.170000002</v>
      </c>
      <c r="BK11" s="310">
        <v>44272978.450000003</v>
      </c>
      <c r="BL11" s="310">
        <v>47549483.520000003</v>
      </c>
      <c r="BM11" s="310">
        <v>50505872.140000001</v>
      </c>
      <c r="BN11" s="310">
        <v>54002922.630000003</v>
      </c>
      <c r="BO11" s="204">
        <v>81008928</v>
      </c>
    </row>
    <row r="12" spans="1:67" s="87" customFormat="1" ht="13.9">
      <c r="A12" s="99" t="s">
        <v>324</v>
      </c>
      <c r="B12" s="100">
        <f>SUM(B13:B18)</f>
        <v>549.0847</v>
      </c>
      <c r="C12" s="100">
        <f t="shared" ref="C12:H12" si="9">SUM(C13:C18)</f>
        <v>36454183</v>
      </c>
      <c r="D12" s="100">
        <f t="shared" si="9"/>
        <v>683422.6100000001</v>
      </c>
      <c r="E12" s="100">
        <f t="shared" si="9"/>
        <v>1455171.6400000001</v>
      </c>
      <c r="F12" s="100">
        <f t="shared" si="9"/>
        <v>2189689.36</v>
      </c>
      <c r="G12" s="100">
        <f t="shared" si="9"/>
        <v>3555682.54</v>
      </c>
      <c r="H12" s="100">
        <f t="shared" si="9"/>
        <v>8815417.5600000005</v>
      </c>
      <c r="I12" s="100">
        <f t="shared" ref="I12:BO12" si="10">SUM(I13:I18)</f>
        <v>11455360.879999999</v>
      </c>
      <c r="J12" s="100">
        <f t="shared" si="10"/>
        <v>14691454.709999999</v>
      </c>
      <c r="K12" s="100">
        <f t="shared" si="10"/>
        <v>16977124.600000001</v>
      </c>
      <c r="L12" s="100">
        <f t="shared" si="10"/>
        <v>19391463.039999999</v>
      </c>
      <c r="M12" s="100">
        <f t="shared" si="10"/>
        <v>22177791.579999998</v>
      </c>
      <c r="N12" s="100">
        <f t="shared" si="10"/>
        <v>25077049.709999997</v>
      </c>
      <c r="O12" s="100">
        <f t="shared" si="10"/>
        <v>26550428.209999997</v>
      </c>
      <c r="P12" s="100">
        <f t="shared" si="10"/>
        <v>35647054</v>
      </c>
      <c r="Q12" s="100">
        <f t="shared" si="10"/>
        <v>840968.85</v>
      </c>
      <c r="R12" s="100">
        <f t="shared" si="10"/>
        <v>1398388.5999999999</v>
      </c>
      <c r="S12" s="100">
        <f t="shared" si="10"/>
        <v>3693302.6</v>
      </c>
      <c r="T12" s="100">
        <f t="shared" si="10"/>
        <v>4172796.3</v>
      </c>
      <c r="U12" s="100">
        <f t="shared" si="10"/>
        <v>8438140</v>
      </c>
      <c r="V12" s="100">
        <f t="shared" si="10"/>
        <v>14308327.890000001</v>
      </c>
      <c r="W12" s="100">
        <f t="shared" si="10"/>
        <v>16582220.459999999</v>
      </c>
      <c r="X12" s="100">
        <f t="shared" si="10"/>
        <v>17045286.560000002</v>
      </c>
      <c r="Y12" s="100">
        <f t="shared" si="10"/>
        <v>19296761.960000001</v>
      </c>
      <c r="Z12" s="100">
        <f t="shared" si="10"/>
        <v>25997456.66</v>
      </c>
      <c r="AA12" s="100">
        <f t="shared" si="10"/>
        <v>26619031.109999999</v>
      </c>
      <c r="AB12" s="100">
        <f t="shared" si="10"/>
        <v>28374372.41</v>
      </c>
      <c r="AC12" s="100">
        <f t="shared" si="10"/>
        <v>54726552</v>
      </c>
      <c r="AD12" s="100">
        <f t="shared" si="10"/>
        <v>995524.60000000009</v>
      </c>
      <c r="AE12" s="100">
        <f t="shared" si="10"/>
        <v>4604909.8599999994</v>
      </c>
      <c r="AF12" s="100">
        <f t="shared" si="10"/>
        <v>6969916.0200000005</v>
      </c>
      <c r="AG12" s="100">
        <f t="shared" si="10"/>
        <v>7876103.1699999999</v>
      </c>
      <c r="AH12" s="100">
        <f t="shared" si="10"/>
        <v>10025485.51</v>
      </c>
      <c r="AI12" s="100">
        <f t="shared" si="10"/>
        <v>12330298.720000001</v>
      </c>
      <c r="AJ12" s="100">
        <f t="shared" si="10"/>
        <v>34446543.879999995</v>
      </c>
      <c r="AK12" s="100">
        <f t="shared" si="10"/>
        <v>19398659.449999999</v>
      </c>
      <c r="AL12" s="100">
        <f t="shared" si="10"/>
        <v>25288090.57</v>
      </c>
      <c r="AM12" s="100">
        <f t="shared" si="10"/>
        <v>27785300.16</v>
      </c>
      <c r="AN12" s="100">
        <f t="shared" si="10"/>
        <v>23609781.310000002</v>
      </c>
      <c r="AO12" s="100">
        <f t="shared" si="10"/>
        <v>43060162</v>
      </c>
      <c r="AP12" s="100">
        <f t="shared" si="10"/>
        <v>1413328.01</v>
      </c>
      <c r="AQ12" s="100">
        <f t="shared" si="10"/>
        <v>4089970.34</v>
      </c>
      <c r="AR12" s="100">
        <f t="shared" si="10"/>
        <v>5093306.24</v>
      </c>
      <c r="AS12" s="100">
        <f t="shared" si="10"/>
        <v>5620006.3399999999</v>
      </c>
      <c r="AT12" s="100">
        <f t="shared" si="10"/>
        <v>7794510.2999999998</v>
      </c>
      <c r="AU12" s="100">
        <f t="shared" si="10"/>
        <v>10856850.689999999</v>
      </c>
      <c r="AV12" s="100">
        <f t="shared" si="10"/>
        <v>12951487.35</v>
      </c>
      <c r="AW12" s="100">
        <f t="shared" si="10"/>
        <v>15346868.059999999</v>
      </c>
      <c r="AX12" s="100">
        <f t="shared" si="10"/>
        <v>19331286.060000002</v>
      </c>
      <c r="AY12" s="100">
        <f t="shared" si="10"/>
        <v>21749063.310000002</v>
      </c>
      <c r="AZ12" s="100">
        <f t="shared" si="10"/>
        <v>24062166.52</v>
      </c>
      <c r="BA12" s="100">
        <f t="shared" si="10"/>
        <v>31276171.219999999</v>
      </c>
      <c r="BB12" s="100">
        <f t="shared" si="10"/>
        <v>23470698.82</v>
      </c>
      <c r="BC12" s="100">
        <f t="shared" si="10"/>
        <v>1940907.55</v>
      </c>
      <c r="BD12" s="100">
        <f t="shared" si="10"/>
        <v>2527393.5499999998</v>
      </c>
      <c r="BE12" s="100">
        <f t="shared" si="10"/>
        <v>5641189.8599999994</v>
      </c>
      <c r="BF12" s="100">
        <f t="shared" si="10"/>
        <v>8032398.29</v>
      </c>
      <c r="BG12" s="100">
        <f t="shared" si="10"/>
        <v>9663285.6699999999</v>
      </c>
      <c r="BH12" s="100">
        <f t="shared" si="10"/>
        <v>12512828.039999999</v>
      </c>
      <c r="BI12" s="100">
        <f t="shared" si="10"/>
        <v>16868088.740000002</v>
      </c>
      <c r="BJ12" s="100">
        <f t="shared" si="10"/>
        <v>18254480.68</v>
      </c>
      <c r="BK12" s="100">
        <f t="shared" si="10"/>
        <v>20197323.100000001</v>
      </c>
      <c r="BL12" s="100">
        <f t="shared" si="10"/>
        <v>22627174.669999998</v>
      </c>
      <c r="BM12" s="100">
        <f t="shared" si="10"/>
        <v>32586176.690000001</v>
      </c>
      <c r="BN12" s="100">
        <f t="shared" si="10"/>
        <v>26993602.780000001</v>
      </c>
      <c r="BO12" s="100">
        <f t="shared" si="10"/>
        <v>25337212</v>
      </c>
    </row>
    <row r="13" spans="1:67" s="87" customFormat="1">
      <c r="A13" s="101" t="s">
        <v>325</v>
      </c>
      <c r="B13" s="102">
        <v>185.36</v>
      </c>
      <c r="C13" s="103">
        <v>14766796</v>
      </c>
      <c r="D13" s="103">
        <v>588165.55000000005</v>
      </c>
      <c r="E13" s="103">
        <v>1014759.5</v>
      </c>
      <c r="F13" s="103">
        <v>1486405.85</v>
      </c>
      <c r="G13" s="123">
        <v>2076187.75</v>
      </c>
      <c r="H13" s="105">
        <v>6320227.5800000001</v>
      </c>
      <c r="I13" s="105">
        <v>8020486.6699999999</v>
      </c>
      <c r="J13" s="105">
        <v>9694002.0600000005</v>
      </c>
      <c r="K13" s="160">
        <v>11248585.07</v>
      </c>
      <c r="L13" s="160">
        <v>12742100.560000001</v>
      </c>
      <c r="M13" s="160">
        <v>14751978.4</v>
      </c>
      <c r="N13" s="160">
        <v>17219789.129999999</v>
      </c>
      <c r="O13" s="160">
        <v>18459703.829999998</v>
      </c>
      <c r="P13" s="106">
        <f>10533194+7926510</f>
        <v>18459704</v>
      </c>
      <c r="Q13" s="160">
        <v>739198.65</v>
      </c>
      <c r="R13" s="160">
        <v>1257955.3999999999</v>
      </c>
      <c r="S13" s="160">
        <v>2225826.4</v>
      </c>
      <c r="T13" s="272">
        <v>2648297.5</v>
      </c>
      <c r="U13" s="272">
        <v>6818095.0999999996</v>
      </c>
      <c r="V13" s="272">
        <v>12624925.890000001</v>
      </c>
      <c r="W13" s="160">
        <v>14806184.359999999</v>
      </c>
      <c r="X13" s="160">
        <v>15240192.460000001</v>
      </c>
      <c r="Y13" s="160">
        <v>17435434.760000002</v>
      </c>
      <c r="Z13" s="160">
        <v>23933925.760000002</v>
      </c>
      <c r="AA13" s="160">
        <v>24446528.109999999</v>
      </c>
      <c r="AB13" s="160">
        <v>25491733.809999999</v>
      </c>
      <c r="AC13" s="203">
        <v>25491734</v>
      </c>
      <c r="AD13" s="160">
        <v>895797.3</v>
      </c>
      <c r="AE13" s="160">
        <v>3045494.36</v>
      </c>
      <c r="AF13" s="160">
        <v>5378648.3200000003</v>
      </c>
      <c r="AG13" s="160">
        <v>6236991.4699999997</v>
      </c>
      <c r="AH13" s="160">
        <v>8332408.71</v>
      </c>
      <c r="AI13" s="160">
        <v>10463843.82</v>
      </c>
      <c r="AJ13" s="160">
        <v>30343248.079999998</v>
      </c>
      <c r="AK13" s="160">
        <v>17294473.149999999</v>
      </c>
      <c r="AL13" s="160">
        <v>22571873.370000001</v>
      </c>
      <c r="AM13" s="160">
        <v>24964376.260000002</v>
      </c>
      <c r="AN13" s="160">
        <v>20712158.210000001</v>
      </c>
      <c r="AO13" s="160">
        <f>9165820+11546338</f>
        <v>20712158</v>
      </c>
      <c r="AP13" s="160">
        <v>1384244.11</v>
      </c>
      <c r="AQ13" s="160">
        <v>2668128.34</v>
      </c>
      <c r="AR13" s="160">
        <v>3535902.84</v>
      </c>
      <c r="AS13" s="160">
        <v>4013128.04</v>
      </c>
      <c r="AT13" s="160">
        <v>6095721.0999999996</v>
      </c>
      <c r="AU13" s="290">
        <v>9124081.0899999999</v>
      </c>
      <c r="AV13" s="160">
        <v>11179952.25</v>
      </c>
      <c r="AW13" s="286">
        <v>13509786.359999999</v>
      </c>
      <c r="AX13" s="286">
        <v>16647427.460000001</v>
      </c>
      <c r="AY13" s="286">
        <v>18209763.010000002</v>
      </c>
      <c r="AZ13" s="160">
        <v>20523361.219999999</v>
      </c>
      <c r="BA13" s="160">
        <v>23470698.82</v>
      </c>
      <c r="BB13" s="160">
        <v>23470698.82</v>
      </c>
      <c r="BC13" s="160">
        <v>269373.45</v>
      </c>
      <c r="BD13" s="160">
        <v>840650.45</v>
      </c>
      <c r="BE13" s="160">
        <v>3928451.86</v>
      </c>
      <c r="BF13" s="160">
        <v>5855531.29</v>
      </c>
      <c r="BG13" s="160">
        <v>7902593.9699999997</v>
      </c>
      <c r="BH13" s="160">
        <v>10618872.939999999</v>
      </c>
      <c r="BI13" s="311">
        <v>14894537.74</v>
      </c>
      <c r="BJ13" s="311">
        <v>16223640.880000001</v>
      </c>
      <c r="BK13" s="311">
        <v>18112636.300000001</v>
      </c>
      <c r="BL13" s="311">
        <v>20488225.469999999</v>
      </c>
      <c r="BM13" s="311">
        <v>30383393.390000001</v>
      </c>
      <c r="BN13" s="311">
        <v>24699335.280000001</v>
      </c>
      <c r="BO13" s="203">
        <v>24699335</v>
      </c>
    </row>
    <row r="14" spans="1:67" s="87" customFormat="1">
      <c r="A14" s="101" t="s">
        <v>326</v>
      </c>
      <c r="B14" s="102">
        <v>363.72469999999998</v>
      </c>
      <c r="C14" s="109">
        <v>17546381</v>
      </c>
      <c r="D14" s="103">
        <v>0</v>
      </c>
      <c r="E14" s="103">
        <v>0</v>
      </c>
      <c r="F14" s="103">
        <v>0</v>
      </c>
      <c r="G14" s="123">
        <v>500000</v>
      </c>
      <c r="H14" s="105">
        <v>1289041.1100000001</v>
      </c>
      <c r="I14" s="105">
        <v>1798630.16</v>
      </c>
      <c r="J14" s="105">
        <v>2291680.85</v>
      </c>
      <c r="K14" s="160">
        <v>2846576.33</v>
      </c>
      <c r="L14" s="160">
        <v>3356165.38</v>
      </c>
      <c r="M14" s="160">
        <v>3865754.48</v>
      </c>
      <c r="N14" s="160">
        <v>3865754.48</v>
      </c>
      <c r="O14" s="160">
        <v>3865754.48</v>
      </c>
      <c r="P14" s="110">
        <f>3365754+500000</f>
        <v>3865754</v>
      </c>
      <c r="Q14" s="160">
        <v>0</v>
      </c>
      <c r="R14" s="160">
        <v>0</v>
      </c>
      <c r="S14" s="160">
        <v>0</v>
      </c>
      <c r="T14" s="272">
        <v>0</v>
      </c>
      <c r="U14" s="272">
        <v>0</v>
      </c>
      <c r="V14" s="272">
        <v>0</v>
      </c>
      <c r="W14" s="160">
        <v>0</v>
      </c>
      <c r="X14" s="160">
        <v>0</v>
      </c>
      <c r="Y14" s="160">
        <v>0</v>
      </c>
      <c r="Z14" s="160">
        <v>0</v>
      </c>
      <c r="AA14" s="160">
        <v>0</v>
      </c>
      <c r="AB14" s="160">
        <v>0</v>
      </c>
      <c r="AC14" s="203"/>
      <c r="AD14" s="160">
        <v>0</v>
      </c>
      <c r="AE14" s="160">
        <v>0</v>
      </c>
      <c r="AF14" s="160">
        <v>0</v>
      </c>
      <c r="AG14" s="160">
        <v>0</v>
      </c>
      <c r="AH14" s="160">
        <v>0</v>
      </c>
      <c r="AI14" s="160">
        <v>0</v>
      </c>
      <c r="AJ14" s="160">
        <v>0</v>
      </c>
      <c r="AK14" s="160">
        <v>0</v>
      </c>
      <c r="AL14" s="160">
        <v>0</v>
      </c>
      <c r="AM14" s="160">
        <v>0</v>
      </c>
      <c r="AN14" s="160">
        <v>0</v>
      </c>
      <c r="AO14" s="160">
        <v>0</v>
      </c>
      <c r="AP14" s="160">
        <v>0</v>
      </c>
      <c r="AQ14" s="160">
        <v>0</v>
      </c>
      <c r="AR14" s="160">
        <v>0</v>
      </c>
      <c r="AS14" s="160">
        <v>0</v>
      </c>
      <c r="AT14" s="160">
        <v>0</v>
      </c>
      <c r="AU14" s="290">
        <v>0</v>
      </c>
      <c r="AV14" s="160">
        <v>0</v>
      </c>
      <c r="AW14" s="285">
        <v>0</v>
      </c>
      <c r="AX14" s="285">
        <v>0</v>
      </c>
      <c r="AY14" s="285">
        <v>0</v>
      </c>
      <c r="AZ14" s="160">
        <v>0</v>
      </c>
      <c r="BA14" s="160">
        <v>0</v>
      </c>
      <c r="BB14" s="203"/>
      <c r="BC14" s="160">
        <v>0</v>
      </c>
      <c r="BD14" s="160">
        <v>0</v>
      </c>
      <c r="BE14" s="160">
        <v>0</v>
      </c>
      <c r="BF14" s="160">
        <v>0</v>
      </c>
      <c r="BG14" s="160">
        <v>0</v>
      </c>
      <c r="BH14" s="160">
        <v>0</v>
      </c>
      <c r="BI14" s="311">
        <v>0</v>
      </c>
      <c r="BJ14" s="311">
        <v>0</v>
      </c>
      <c r="BK14" s="311">
        <v>0</v>
      </c>
      <c r="BL14" s="311">
        <v>0</v>
      </c>
      <c r="BM14" s="311">
        <v>0</v>
      </c>
      <c r="BN14" s="311">
        <v>0</v>
      </c>
      <c r="BO14" s="311">
        <v>0</v>
      </c>
    </row>
    <row r="15" spans="1:67" s="87" customFormat="1">
      <c r="A15" s="101" t="s">
        <v>327</v>
      </c>
      <c r="B15" s="102"/>
      <c r="C15" s="109"/>
      <c r="D15" s="103">
        <v>0</v>
      </c>
      <c r="E15" s="103">
        <v>0</v>
      </c>
      <c r="F15" s="103">
        <v>0</v>
      </c>
      <c r="G15" s="116">
        <v>0</v>
      </c>
      <c r="H15" s="105">
        <v>0</v>
      </c>
      <c r="I15" s="105"/>
      <c r="J15" s="105"/>
      <c r="K15" s="160">
        <v>0</v>
      </c>
      <c r="L15" s="160">
        <v>0</v>
      </c>
      <c r="M15" s="160">
        <v>0</v>
      </c>
      <c r="N15" s="160">
        <v>0</v>
      </c>
      <c r="O15" s="160">
        <v>0</v>
      </c>
      <c r="P15" s="110"/>
      <c r="Q15" s="160">
        <v>0</v>
      </c>
      <c r="R15" s="160">
        <v>0</v>
      </c>
      <c r="S15" s="160">
        <v>0</v>
      </c>
      <c r="T15" s="272">
        <v>0</v>
      </c>
      <c r="U15" s="272">
        <v>0</v>
      </c>
      <c r="V15" s="272">
        <v>0</v>
      </c>
      <c r="W15" s="160">
        <v>0</v>
      </c>
      <c r="X15" s="160">
        <v>0</v>
      </c>
      <c r="Y15" s="160">
        <v>0</v>
      </c>
      <c r="Z15" s="160">
        <v>0</v>
      </c>
      <c r="AA15" s="160">
        <v>0</v>
      </c>
      <c r="AB15" s="160">
        <v>0</v>
      </c>
      <c r="AC15" s="203"/>
      <c r="AD15" s="160">
        <v>0</v>
      </c>
      <c r="AE15" s="160">
        <v>0</v>
      </c>
      <c r="AF15" s="160">
        <v>0</v>
      </c>
      <c r="AG15" s="160">
        <v>0</v>
      </c>
      <c r="AH15" s="160">
        <v>0</v>
      </c>
      <c r="AI15" s="160">
        <v>0</v>
      </c>
      <c r="AJ15" s="160">
        <v>0</v>
      </c>
      <c r="AK15" s="160">
        <v>0</v>
      </c>
      <c r="AL15" s="160">
        <v>0</v>
      </c>
      <c r="AM15" s="160">
        <v>0</v>
      </c>
      <c r="AN15" s="160">
        <v>0</v>
      </c>
      <c r="AO15" s="160">
        <v>0</v>
      </c>
      <c r="AP15" s="160">
        <v>0</v>
      </c>
      <c r="AQ15" s="160">
        <v>0</v>
      </c>
      <c r="AR15" s="160">
        <v>0</v>
      </c>
      <c r="AS15" s="160">
        <v>0</v>
      </c>
      <c r="AT15" s="160">
        <v>0</v>
      </c>
      <c r="AU15" s="290">
        <v>0</v>
      </c>
      <c r="AV15" s="160">
        <v>0</v>
      </c>
      <c r="AW15" s="285">
        <v>0</v>
      </c>
      <c r="AX15" s="285">
        <v>0</v>
      </c>
      <c r="AY15" s="285">
        <v>0</v>
      </c>
      <c r="AZ15" s="160">
        <v>0</v>
      </c>
      <c r="BA15" s="160">
        <v>0</v>
      </c>
      <c r="BB15" s="203"/>
      <c r="BC15" s="160">
        <v>0</v>
      </c>
      <c r="BD15" s="160">
        <v>0</v>
      </c>
      <c r="BE15" s="160">
        <v>0</v>
      </c>
      <c r="BF15" s="160">
        <v>476614.7</v>
      </c>
      <c r="BG15" s="160">
        <v>0</v>
      </c>
      <c r="BH15" s="160">
        <v>0</v>
      </c>
      <c r="BI15" s="311">
        <v>0</v>
      </c>
      <c r="BJ15" s="311">
        <v>0</v>
      </c>
      <c r="BK15" s="311">
        <v>0</v>
      </c>
      <c r="BL15" s="311">
        <v>0</v>
      </c>
      <c r="BM15" s="311">
        <v>0</v>
      </c>
      <c r="BN15" s="311">
        <v>0</v>
      </c>
      <c r="BO15" s="311">
        <v>0</v>
      </c>
    </row>
    <row r="16" spans="1:67" s="87" customFormat="1">
      <c r="A16" s="101" t="s">
        <v>328</v>
      </c>
      <c r="B16" s="102"/>
      <c r="C16" s="103">
        <v>4141006</v>
      </c>
      <c r="D16" s="103">
        <v>0</v>
      </c>
      <c r="E16" s="103">
        <v>0</v>
      </c>
      <c r="F16" s="103">
        <v>0</v>
      </c>
      <c r="G16" s="123">
        <v>0</v>
      </c>
      <c r="H16" s="105">
        <v>0</v>
      </c>
      <c r="I16" s="105"/>
      <c r="J16" s="105"/>
      <c r="K16" s="160">
        <v>0</v>
      </c>
      <c r="L16" s="160">
        <v>0</v>
      </c>
      <c r="M16" s="160">
        <v>0</v>
      </c>
      <c r="N16" s="160">
        <v>0</v>
      </c>
      <c r="O16" s="160">
        <v>0</v>
      </c>
      <c r="P16" s="106">
        <f>28644578-P21+836253</f>
        <v>13321596</v>
      </c>
      <c r="Q16" s="160">
        <v>0</v>
      </c>
      <c r="R16" s="160">
        <v>0</v>
      </c>
      <c r="S16" s="160">
        <v>0</v>
      </c>
      <c r="T16" s="272">
        <v>0</v>
      </c>
      <c r="U16" s="272">
        <v>0</v>
      </c>
      <c r="V16" s="272">
        <v>0</v>
      </c>
      <c r="W16" s="160">
        <v>0</v>
      </c>
      <c r="X16" s="160">
        <v>0</v>
      </c>
      <c r="Y16" s="160">
        <v>0</v>
      </c>
      <c r="Z16" s="160">
        <v>0</v>
      </c>
      <c r="AA16" s="160">
        <v>0</v>
      </c>
      <c r="AB16" s="160">
        <v>0</v>
      </c>
      <c r="AC16" s="203">
        <f>29510661-275843</f>
        <v>29234818</v>
      </c>
      <c r="AD16" s="160">
        <v>0</v>
      </c>
      <c r="AE16" s="160">
        <v>0</v>
      </c>
      <c r="AF16" s="160">
        <v>0</v>
      </c>
      <c r="AG16" s="160">
        <v>0</v>
      </c>
      <c r="AH16" s="160">
        <v>0</v>
      </c>
      <c r="AI16" s="160">
        <v>0</v>
      </c>
      <c r="AJ16" s="160">
        <v>0</v>
      </c>
      <c r="AK16" s="160">
        <v>0</v>
      </c>
      <c r="AL16" s="160">
        <v>0</v>
      </c>
      <c r="AM16" s="160">
        <v>0</v>
      </c>
      <c r="AN16" s="160">
        <v>0</v>
      </c>
      <c r="AO16" s="160">
        <f>1026619+526672+353986+2500000+17940727</f>
        <v>22348004</v>
      </c>
      <c r="AP16" s="160">
        <v>0</v>
      </c>
      <c r="AQ16" s="160">
        <v>0</v>
      </c>
      <c r="AR16" s="160">
        <v>0</v>
      </c>
      <c r="AS16" s="160">
        <v>0</v>
      </c>
      <c r="AT16" s="160">
        <v>0</v>
      </c>
      <c r="AU16" s="290">
        <v>0</v>
      </c>
      <c r="AV16" s="160">
        <v>0</v>
      </c>
      <c r="AW16" s="285">
        <v>0</v>
      </c>
      <c r="AX16" s="285">
        <v>0</v>
      </c>
      <c r="AY16" s="285">
        <v>0</v>
      </c>
      <c r="AZ16" s="160">
        <v>0</v>
      </c>
      <c r="BA16" s="160">
        <v>0</v>
      </c>
      <c r="BB16" s="203"/>
      <c r="BC16" s="160">
        <v>0</v>
      </c>
      <c r="BD16" s="160">
        <v>0</v>
      </c>
      <c r="BE16" s="160">
        <v>0</v>
      </c>
      <c r="BF16" s="160">
        <v>0</v>
      </c>
      <c r="BG16" s="160">
        <v>0</v>
      </c>
      <c r="BH16" s="160">
        <v>0</v>
      </c>
      <c r="BI16" s="311">
        <v>0</v>
      </c>
      <c r="BJ16" s="311">
        <v>0</v>
      </c>
      <c r="BK16" s="311">
        <v>0</v>
      </c>
      <c r="BL16" s="311">
        <v>0</v>
      </c>
      <c r="BM16" s="311">
        <v>0</v>
      </c>
      <c r="BN16" s="311">
        <v>0</v>
      </c>
      <c r="BO16" s="311">
        <v>0</v>
      </c>
    </row>
    <row r="17" spans="1:67" s="87" customFormat="1">
      <c r="A17" s="101" t="s">
        <v>329</v>
      </c>
      <c r="B17" s="102"/>
      <c r="C17" s="109"/>
      <c r="D17" s="103">
        <v>95257.06</v>
      </c>
      <c r="E17" s="103">
        <v>151573.28</v>
      </c>
      <c r="F17" s="103">
        <v>270025.21000000002</v>
      </c>
      <c r="G17" s="117">
        <v>388817.05</v>
      </c>
      <c r="H17" s="105">
        <v>471051.69</v>
      </c>
      <c r="I17" s="105">
        <v>756727.43</v>
      </c>
      <c r="J17" s="105">
        <v>853610.7</v>
      </c>
      <c r="K17" s="160">
        <v>885382.7</v>
      </c>
      <c r="L17" s="160">
        <v>945141.2</v>
      </c>
      <c r="M17" s="160">
        <v>1067583.3</v>
      </c>
      <c r="N17" s="160">
        <v>1149740.7</v>
      </c>
      <c r="O17" s="160">
        <v>1383204.5</v>
      </c>
      <c r="P17" s="110"/>
      <c r="Q17" s="160">
        <v>0</v>
      </c>
      <c r="R17" s="160">
        <v>0</v>
      </c>
      <c r="S17" s="160">
        <v>189119.2</v>
      </c>
      <c r="T17" s="272">
        <v>246141.8</v>
      </c>
      <c r="U17" s="272">
        <v>341687.9</v>
      </c>
      <c r="V17" s="272">
        <v>405045</v>
      </c>
      <c r="W17" s="160">
        <v>497679.1</v>
      </c>
      <c r="X17" s="160">
        <v>526737.1</v>
      </c>
      <c r="Y17" s="160">
        <v>582970.19999999995</v>
      </c>
      <c r="Z17" s="160">
        <v>785173.9</v>
      </c>
      <c r="AA17" s="160">
        <v>894146</v>
      </c>
      <c r="AB17" s="160">
        <v>1604281.6</v>
      </c>
      <c r="AC17" s="203"/>
      <c r="AD17" s="160">
        <v>99727.3</v>
      </c>
      <c r="AE17" s="160">
        <v>162411.5</v>
      </c>
      <c r="AF17" s="160">
        <v>194263.7</v>
      </c>
      <c r="AG17" s="160">
        <v>242107.7</v>
      </c>
      <c r="AH17" s="160">
        <v>296072.8</v>
      </c>
      <c r="AI17" s="160">
        <v>469450.9</v>
      </c>
      <c r="AJ17" s="160">
        <v>1309287.8</v>
      </c>
      <c r="AK17" s="160">
        <v>707182.3</v>
      </c>
      <c r="AL17" s="160">
        <v>845213.2</v>
      </c>
      <c r="AM17" s="160">
        <v>949919.9</v>
      </c>
      <c r="AN17" s="160">
        <v>1026619.1</v>
      </c>
      <c r="AO17" s="160">
        <v>0</v>
      </c>
      <c r="AP17" s="160">
        <v>29083.9</v>
      </c>
      <c r="AQ17" s="160">
        <v>58442</v>
      </c>
      <c r="AR17" s="160">
        <v>194003.4</v>
      </c>
      <c r="AS17" s="160">
        <v>243478.3</v>
      </c>
      <c r="AT17" s="160">
        <v>335389.2</v>
      </c>
      <c r="AU17" s="290">
        <v>369369.59999999998</v>
      </c>
      <c r="AV17" s="160">
        <v>408135.1</v>
      </c>
      <c r="AW17" s="286">
        <v>473681.7</v>
      </c>
      <c r="AX17" s="286">
        <v>520458.6</v>
      </c>
      <c r="AY17" s="286">
        <v>575900.30000000005</v>
      </c>
      <c r="AZ17" s="160">
        <v>575405.30000000005</v>
      </c>
      <c r="BA17" s="160">
        <v>647924.69999999995</v>
      </c>
      <c r="BB17" s="203"/>
      <c r="BC17" s="160">
        <v>15143.1</v>
      </c>
      <c r="BD17" s="160">
        <v>30352.1</v>
      </c>
      <c r="BE17" s="160">
        <v>56347</v>
      </c>
      <c r="BF17" s="160">
        <v>43861.3</v>
      </c>
      <c r="BG17" s="160">
        <v>104300.7</v>
      </c>
      <c r="BH17" s="160">
        <v>237564.1</v>
      </c>
      <c r="BI17" s="311">
        <v>317160</v>
      </c>
      <c r="BJ17" s="311">
        <v>374448.8</v>
      </c>
      <c r="BK17" s="311">
        <v>420556.79999999999</v>
      </c>
      <c r="BL17" s="311">
        <v>474819.2</v>
      </c>
      <c r="BM17" s="311">
        <v>538653.30000000005</v>
      </c>
      <c r="BN17" s="311">
        <v>637876.5</v>
      </c>
      <c r="BO17" s="203">
        <v>637877</v>
      </c>
    </row>
    <row r="18" spans="1:67" s="87" customFormat="1">
      <c r="A18" s="101" t="s">
        <v>330</v>
      </c>
      <c r="B18" s="102"/>
      <c r="C18" s="118"/>
      <c r="D18" s="103">
        <v>0</v>
      </c>
      <c r="E18" s="103">
        <v>288838.86</v>
      </c>
      <c r="F18" s="103">
        <v>433258.3</v>
      </c>
      <c r="G18" s="104">
        <v>590677.74</v>
      </c>
      <c r="H18" s="105">
        <v>735097.18</v>
      </c>
      <c r="I18" s="105">
        <v>879516.62</v>
      </c>
      <c r="J18" s="105">
        <v>1852161.1</v>
      </c>
      <c r="K18" s="160">
        <v>1996580.5</v>
      </c>
      <c r="L18" s="160">
        <v>2348055.9</v>
      </c>
      <c r="M18" s="160">
        <v>2492475.4</v>
      </c>
      <c r="N18" s="160">
        <v>2841765.4</v>
      </c>
      <c r="O18" s="160">
        <v>2841765.4</v>
      </c>
      <c r="P18" s="110"/>
      <c r="Q18" s="160">
        <v>101770.2</v>
      </c>
      <c r="R18" s="160">
        <v>140433.20000000001</v>
      </c>
      <c r="S18" s="160">
        <v>1278357</v>
      </c>
      <c r="T18" s="272">
        <v>1278357</v>
      </c>
      <c r="U18" s="272">
        <v>1278357</v>
      </c>
      <c r="V18" s="272">
        <v>1278357</v>
      </c>
      <c r="W18" s="160">
        <v>1278357</v>
      </c>
      <c r="X18" s="160">
        <v>1278357</v>
      </c>
      <c r="Y18" s="160">
        <v>1278357</v>
      </c>
      <c r="Z18" s="160">
        <v>1278357</v>
      </c>
      <c r="AA18" s="160">
        <v>1278357</v>
      </c>
      <c r="AB18" s="160">
        <v>1278357</v>
      </c>
      <c r="AC18" s="203"/>
      <c r="AD18" s="160">
        <v>0</v>
      </c>
      <c r="AE18" s="160">
        <v>1397004</v>
      </c>
      <c r="AF18" s="160">
        <v>1397004</v>
      </c>
      <c r="AG18" s="160">
        <v>1397004</v>
      </c>
      <c r="AH18" s="160">
        <v>1397004</v>
      </c>
      <c r="AI18" s="160">
        <v>1397004</v>
      </c>
      <c r="AJ18" s="160">
        <v>2794008</v>
      </c>
      <c r="AK18" s="160">
        <v>1397004</v>
      </c>
      <c r="AL18" s="160">
        <v>1871004</v>
      </c>
      <c r="AM18" s="160">
        <v>1871004</v>
      </c>
      <c r="AN18" s="160">
        <v>1871004</v>
      </c>
      <c r="AO18" s="160">
        <v>0</v>
      </c>
      <c r="AP18" s="160">
        <v>0</v>
      </c>
      <c r="AQ18" s="160">
        <v>1363400</v>
      </c>
      <c r="AR18" s="160">
        <v>1363400</v>
      </c>
      <c r="AS18" s="160">
        <v>1363400</v>
      </c>
      <c r="AT18" s="160">
        <v>1363400</v>
      </c>
      <c r="AU18" s="290">
        <v>1363400</v>
      </c>
      <c r="AV18" s="160">
        <v>1363400</v>
      </c>
      <c r="AW18" s="286">
        <v>1363400</v>
      </c>
      <c r="AX18" s="286">
        <v>2163400</v>
      </c>
      <c r="AY18" s="286">
        <v>2963400</v>
      </c>
      <c r="AZ18" s="160">
        <v>2963400</v>
      </c>
      <c r="BA18" s="160">
        <v>7157547.7000000002</v>
      </c>
      <c r="BB18" s="203"/>
      <c r="BC18" s="160">
        <v>1656391</v>
      </c>
      <c r="BD18" s="160">
        <v>1656391</v>
      </c>
      <c r="BE18" s="160">
        <v>1656391</v>
      </c>
      <c r="BF18" s="160">
        <v>1656391</v>
      </c>
      <c r="BG18" s="160">
        <v>1656391</v>
      </c>
      <c r="BH18" s="160">
        <v>1656391</v>
      </c>
      <c r="BI18" s="311">
        <v>1656391</v>
      </c>
      <c r="BJ18" s="311">
        <v>1656391</v>
      </c>
      <c r="BK18" s="311">
        <v>1664130</v>
      </c>
      <c r="BL18" s="311">
        <v>1664130</v>
      </c>
      <c r="BM18" s="311">
        <v>1664130</v>
      </c>
      <c r="BN18" s="311">
        <v>1656391</v>
      </c>
      <c r="BO18" s="203"/>
    </row>
    <row r="19" spans="1:67" s="87" customFormat="1" ht="13.9">
      <c r="A19" s="99" t="s">
        <v>331</v>
      </c>
      <c r="B19" s="100">
        <f>B3-B12</f>
        <v>14050.162846899</v>
      </c>
      <c r="C19" s="100">
        <f t="shared" ref="C19:H19" si="11">C3-C12</f>
        <v>160233778</v>
      </c>
      <c r="D19" s="100">
        <f t="shared" si="11"/>
        <v>19949341.330000002</v>
      </c>
      <c r="E19" s="100">
        <f t="shared" si="11"/>
        <v>32342821.340000004</v>
      </c>
      <c r="F19" s="100">
        <f t="shared" si="11"/>
        <v>47090025.439999998</v>
      </c>
      <c r="G19" s="100">
        <f t="shared" si="11"/>
        <v>59804058.75</v>
      </c>
      <c r="H19" s="100">
        <f t="shared" si="11"/>
        <v>68114238.419999987</v>
      </c>
      <c r="I19" s="100">
        <f t="shared" ref="I19:AB19" si="12">I3-I12</f>
        <v>81417612.430000007</v>
      </c>
      <c r="J19" s="100">
        <f t="shared" si="12"/>
        <v>91545043.610000014</v>
      </c>
      <c r="K19" s="100">
        <f t="shared" si="12"/>
        <v>112418112.16999999</v>
      </c>
      <c r="L19" s="100">
        <f t="shared" si="12"/>
        <v>124692730.14000002</v>
      </c>
      <c r="M19" s="100">
        <f t="shared" si="12"/>
        <v>143331908.06</v>
      </c>
      <c r="N19" s="100">
        <f t="shared" si="12"/>
        <v>165339488.56</v>
      </c>
      <c r="O19" s="100">
        <f t="shared" si="12"/>
        <v>185488616.70000002</v>
      </c>
      <c r="P19" s="100">
        <f t="shared" si="12"/>
        <v>174534298</v>
      </c>
      <c r="Q19" s="100">
        <f t="shared" si="12"/>
        <v>13501530.879999999</v>
      </c>
      <c r="R19" s="100">
        <f t="shared" si="12"/>
        <v>25796462.319999997</v>
      </c>
      <c r="S19" s="100">
        <f t="shared" si="12"/>
        <v>39939199.810000002</v>
      </c>
      <c r="T19" s="100">
        <f t="shared" si="12"/>
        <v>53371810.260000005</v>
      </c>
      <c r="U19" s="100">
        <f t="shared" si="12"/>
        <v>63917970.289999992</v>
      </c>
      <c r="V19" s="100">
        <f t="shared" si="12"/>
        <v>89045636.820000008</v>
      </c>
      <c r="W19" s="100">
        <f t="shared" si="12"/>
        <v>99213797.549999997</v>
      </c>
      <c r="X19" s="100">
        <f t="shared" si="12"/>
        <v>112893249.06</v>
      </c>
      <c r="Y19" s="100">
        <f t="shared" si="12"/>
        <v>126164082.28999999</v>
      </c>
      <c r="Z19" s="100">
        <f t="shared" si="12"/>
        <v>150526638.28999999</v>
      </c>
      <c r="AA19" s="100">
        <f t="shared" si="12"/>
        <v>169125778.31999999</v>
      </c>
      <c r="AB19" s="100">
        <f t="shared" si="12"/>
        <v>191875301.81</v>
      </c>
      <c r="AC19" s="100">
        <f t="shared" ref="AC19:BO19" si="13">AC3-AC12</f>
        <v>165515848</v>
      </c>
      <c r="AD19" s="100">
        <f t="shared" si="13"/>
        <v>15520308.790000001</v>
      </c>
      <c r="AE19" s="100">
        <f t="shared" si="13"/>
        <v>29016115.280000001</v>
      </c>
      <c r="AF19" s="100">
        <f t="shared" si="13"/>
        <v>41938912.979999997</v>
      </c>
      <c r="AG19" s="100">
        <f t="shared" si="13"/>
        <v>56502425.890000001</v>
      </c>
      <c r="AH19" s="100">
        <f t="shared" si="13"/>
        <v>67674486.859999985</v>
      </c>
      <c r="AI19" s="100">
        <f t="shared" si="13"/>
        <v>81095827.450000018</v>
      </c>
      <c r="AJ19" s="100">
        <f t="shared" si="13"/>
        <v>214855777.22</v>
      </c>
      <c r="AK19" s="100">
        <f t="shared" si="13"/>
        <v>119747200.48</v>
      </c>
      <c r="AL19" s="100">
        <f t="shared" si="13"/>
        <v>147805360.63</v>
      </c>
      <c r="AM19" s="100">
        <f t="shared" si="13"/>
        <v>170487566.59</v>
      </c>
      <c r="AN19" s="100">
        <f t="shared" si="13"/>
        <v>198387075.23000002</v>
      </c>
      <c r="AO19" s="100">
        <f t="shared" si="13"/>
        <v>180208783</v>
      </c>
      <c r="AP19" s="100">
        <f t="shared" si="13"/>
        <v>13084215.49</v>
      </c>
      <c r="AQ19" s="100">
        <f t="shared" si="13"/>
        <v>26776552.350000001</v>
      </c>
      <c r="AR19" s="100">
        <f t="shared" si="13"/>
        <v>42782020.880000003</v>
      </c>
      <c r="AS19" s="100">
        <f t="shared" si="13"/>
        <v>56451305.479999989</v>
      </c>
      <c r="AT19" s="100">
        <f t="shared" si="13"/>
        <v>72280902.600000009</v>
      </c>
      <c r="AU19" s="100">
        <f t="shared" si="13"/>
        <v>85792780.979999989</v>
      </c>
      <c r="AV19" s="100">
        <f t="shared" si="13"/>
        <v>99557155.170000017</v>
      </c>
      <c r="AW19" s="100">
        <f t="shared" si="13"/>
        <v>112966042.5</v>
      </c>
      <c r="AX19" s="100">
        <f t="shared" si="13"/>
        <v>128833376.51999998</v>
      </c>
      <c r="AY19" s="100">
        <f t="shared" si="13"/>
        <v>146031413.92000002</v>
      </c>
      <c r="AZ19" s="100">
        <f t="shared" si="13"/>
        <v>164389461.86999997</v>
      </c>
      <c r="BA19" s="100">
        <f t="shared" si="13"/>
        <v>195195592.27000001</v>
      </c>
      <c r="BB19" s="100">
        <f t="shared" si="13"/>
        <v>202109801.84</v>
      </c>
      <c r="BC19" s="100">
        <f t="shared" si="13"/>
        <v>15806806.390000001</v>
      </c>
      <c r="BD19" s="100">
        <f t="shared" si="13"/>
        <v>30943980.379999999</v>
      </c>
      <c r="BE19" s="100">
        <f t="shared" si="13"/>
        <v>49664204.460000001</v>
      </c>
      <c r="BF19" s="100">
        <f t="shared" si="13"/>
        <v>65126425.580000006</v>
      </c>
      <c r="BG19" s="100">
        <f t="shared" si="13"/>
        <v>80530575.86999999</v>
      </c>
      <c r="BH19" s="100">
        <f t="shared" si="13"/>
        <v>97538981.890000015</v>
      </c>
      <c r="BI19" s="100">
        <f t="shared" si="13"/>
        <v>121218488.07999998</v>
      </c>
      <c r="BJ19" s="100">
        <f t="shared" si="13"/>
        <v>133794170.25999999</v>
      </c>
      <c r="BK19" s="100">
        <f t="shared" si="13"/>
        <v>149056392.31000003</v>
      </c>
      <c r="BL19" s="100">
        <f t="shared" si="13"/>
        <v>164812541.97</v>
      </c>
      <c r="BM19" s="100">
        <f t="shared" si="13"/>
        <v>184764598.84</v>
      </c>
      <c r="BN19" s="100">
        <f t="shared" si="13"/>
        <v>222199320.38</v>
      </c>
      <c r="BO19" s="100">
        <f t="shared" si="13"/>
        <v>222176239</v>
      </c>
    </row>
    <row r="20" spans="1:67" s="87" customFormat="1" ht="13.9">
      <c r="A20" s="99" t="s">
        <v>332</v>
      </c>
      <c r="B20" s="100">
        <f>B21-B22</f>
        <v>0</v>
      </c>
      <c r="C20" s="100">
        <f t="shared" ref="C20:H20" si="14">C21-C22</f>
        <v>16734938</v>
      </c>
      <c r="D20" s="100">
        <f t="shared" si="14"/>
        <v>1919351.16</v>
      </c>
      <c r="E20" s="100">
        <f t="shared" si="14"/>
        <v>5028940.32</v>
      </c>
      <c r="F20" s="100">
        <f t="shared" si="14"/>
        <v>6948291.4800000004</v>
      </c>
      <c r="G20" s="100">
        <f t="shared" si="14"/>
        <v>8867642.6400000006</v>
      </c>
      <c r="H20" s="100">
        <f t="shared" si="14"/>
        <v>10786993.800000001</v>
      </c>
      <c r="I20" s="100">
        <f t="shared" ref="I20:AB20" si="15">I21-I22</f>
        <v>12706344.960000001</v>
      </c>
      <c r="J20" s="100">
        <f t="shared" si="15"/>
        <v>12706345</v>
      </c>
      <c r="K20" s="100">
        <f t="shared" si="15"/>
        <v>16557297.300000001</v>
      </c>
      <c r="L20" s="100">
        <f t="shared" si="15"/>
        <v>18476648.399999999</v>
      </c>
      <c r="M20" s="100">
        <f t="shared" si="15"/>
        <v>20749985.600000001</v>
      </c>
      <c r="N20" s="100">
        <f t="shared" si="15"/>
        <v>27088687.899999999</v>
      </c>
      <c r="O20" s="100">
        <f t="shared" si="15"/>
        <v>27261373.899999999</v>
      </c>
      <c r="P20" s="100">
        <f t="shared" si="15"/>
        <v>16159235</v>
      </c>
      <c r="Q20" s="100">
        <f t="shared" si="15"/>
        <v>0</v>
      </c>
      <c r="R20" s="100">
        <f t="shared" si="15"/>
        <v>560068.9</v>
      </c>
      <c r="S20" s="100">
        <f t="shared" si="15"/>
        <v>1120137.7</v>
      </c>
      <c r="T20" s="100">
        <f t="shared" si="15"/>
        <v>3163955.4</v>
      </c>
      <c r="U20" s="100">
        <f t="shared" si="15"/>
        <v>3952930.7</v>
      </c>
      <c r="V20" s="100">
        <f t="shared" si="15"/>
        <v>12262906</v>
      </c>
      <c r="W20" s="100">
        <f t="shared" si="15"/>
        <v>14306723.699999999</v>
      </c>
      <c r="X20" s="100">
        <f t="shared" si="15"/>
        <v>14306723.699999999</v>
      </c>
      <c r="Y20" s="100">
        <f t="shared" si="15"/>
        <v>16350541.4</v>
      </c>
      <c r="Z20" s="100">
        <f t="shared" si="15"/>
        <v>24525812</v>
      </c>
      <c r="AA20" s="100">
        <f t="shared" si="15"/>
        <v>24525812</v>
      </c>
      <c r="AB20" s="100">
        <f t="shared" si="15"/>
        <v>27906470</v>
      </c>
      <c r="AC20" s="100">
        <f>AC21-AC22</f>
        <v>275843</v>
      </c>
      <c r="AD20" s="100">
        <f t="shared" ref="AD20:BO20" si="16">AD21-AD22</f>
        <v>1000000</v>
      </c>
      <c r="AE20" s="100">
        <f t="shared" si="16"/>
        <v>3043817.7</v>
      </c>
      <c r="AF20" s="100">
        <f t="shared" si="16"/>
        <v>5087635.4000000004</v>
      </c>
      <c r="AG20" s="100">
        <f t="shared" si="16"/>
        <v>7278961.2000000002</v>
      </c>
      <c r="AH20" s="100">
        <f t="shared" si="16"/>
        <v>9322778.9000000004</v>
      </c>
      <c r="AI20" s="100">
        <f t="shared" si="16"/>
        <v>11366596.5</v>
      </c>
      <c r="AJ20" s="100">
        <f t="shared" si="16"/>
        <v>31112463.800000001</v>
      </c>
      <c r="AK20" s="100">
        <f t="shared" si="16"/>
        <v>17600049.600000001</v>
      </c>
      <c r="AL20" s="100">
        <f t="shared" si="16"/>
        <v>23578608.5</v>
      </c>
      <c r="AM20" s="100">
        <f t="shared" si="16"/>
        <v>24525812.100000001</v>
      </c>
      <c r="AN20" s="100">
        <f t="shared" si="16"/>
        <v>32017181.100000001</v>
      </c>
      <c r="AO20" s="100">
        <f t="shared" si="16"/>
        <v>11900564</v>
      </c>
      <c r="AP20" s="100">
        <f t="shared" si="16"/>
        <v>1500000</v>
      </c>
      <c r="AQ20" s="100">
        <f t="shared" si="16"/>
        <v>2792950.3</v>
      </c>
      <c r="AR20" s="100">
        <f t="shared" si="16"/>
        <v>3824460.5</v>
      </c>
      <c r="AS20" s="100">
        <f t="shared" si="16"/>
        <v>5868278.0999999996</v>
      </c>
      <c r="AT20" s="100">
        <f t="shared" si="16"/>
        <v>7912095.7999999998</v>
      </c>
      <c r="AU20" s="100">
        <f t="shared" si="16"/>
        <v>9465649.9000000004</v>
      </c>
      <c r="AV20" s="100">
        <f t="shared" si="16"/>
        <v>11509467.6</v>
      </c>
      <c r="AW20" s="100">
        <f t="shared" si="16"/>
        <v>14453285.300000001</v>
      </c>
      <c r="AX20" s="100">
        <f t="shared" si="16"/>
        <v>16497103</v>
      </c>
      <c r="AY20" s="100">
        <f t="shared" si="16"/>
        <v>19031184.199999999</v>
      </c>
      <c r="AZ20" s="100">
        <f t="shared" si="16"/>
        <v>21075001.899999999</v>
      </c>
      <c r="BA20" s="100">
        <f t="shared" si="16"/>
        <v>25855860</v>
      </c>
      <c r="BB20" s="100">
        <f t="shared" si="16"/>
        <v>26503785</v>
      </c>
      <c r="BC20" s="100">
        <f t="shared" si="16"/>
        <v>1535196.2</v>
      </c>
      <c r="BD20" s="100">
        <f t="shared" si="16"/>
        <v>2700439</v>
      </c>
      <c r="BE20" s="100">
        <f t="shared" si="16"/>
        <v>4950439</v>
      </c>
      <c r="BF20" s="100">
        <f t="shared" si="16"/>
        <v>6676462.7000000002</v>
      </c>
      <c r="BG20" s="100">
        <f t="shared" si="16"/>
        <v>8402486.5</v>
      </c>
      <c r="BH20" s="100">
        <f t="shared" si="16"/>
        <v>12591368.199999999</v>
      </c>
      <c r="BI20" s="100">
        <f t="shared" si="16"/>
        <v>17410316.600000001</v>
      </c>
      <c r="BJ20" s="100">
        <f t="shared" si="16"/>
        <v>17410316.600000001</v>
      </c>
      <c r="BK20" s="100">
        <f t="shared" si="16"/>
        <v>19022111</v>
      </c>
      <c r="BL20" s="100">
        <f t="shared" si="16"/>
        <v>20471897.399999999</v>
      </c>
      <c r="BM20" s="100">
        <f t="shared" si="16"/>
        <v>25514523.5</v>
      </c>
      <c r="BN20" s="100">
        <f t="shared" si="16"/>
        <v>30683040.899999999</v>
      </c>
      <c r="BO20" s="100">
        <f t="shared" si="16"/>
        <v>30683041</v>
      </c>
    </row>
    <row r="21" spans="1:67" s="87" customFormat="1">
      <c r="A21" s="101" t="s">
        <v>333</v>
      </c>
      <c r="B21" s="102"/>
      <c r="C21" s="103">
        <v>16734938</v>
      </c>
      <c r="D21" s="103">
        <v>1919351.16</v>
      </c>
      <c r="E21" s="103">
        <v>5028940.32</v>
      </c>
      <c r="F21" s="103">
        <v>6948291.4800000004</v>
      </c>
      <c r="G21" s="116">
        <v>8867642.6400000006</v>
      </c>
      <c r="H21" s="105">
        <v>10786993.800000001</v>
      </c>
      <c r="I21" s="138">
        <v>12706344.960000001</v>
      </c>
      <c r="J21" s="105">
        <v>12706345</v>
      </c>
      <c r="K21" s="160">
        <v>16557297.300000001</v>
      </c>
      <c r="L21" s="160">
        <v>18476648.399999999</v>
      </c>
      <c r="M21" s="160">
        <v>20749985.600000001</v>
      </c>
      <c r="N21" s="160">
        <v>27088687.899999999</v>
      </c>
      <c r="O21" s="160">
        <v>27261373.899999999</v>
      </c>
      <c r="P21" s="119">
        <v>16159235</v>
      </c>
      <c r="Q21" s="160">
        <v>0</v>
      </c>
      <c r="R21" s="160">
        <v>560068.9</v>
      </c>
      <c r="S21" s="160">
        <v>1120137.7</v>
      </c>
      <c r="T21" s="272">
        <v>3163955.4</v>
      </c>
      <c r="U21" s="272">
        <v>3952930.7</v>
      </c>
      <c r="V21" s="272">
        <v>12262906</v>
      </c>
      <c r="W21" s="160">
        <v>14306723.699999999</v>
      </c>
      <c r="X21" s="160">
        <v>14306723.699999999</v>
      </c>
      <c r="Y21" s="160">
        <v>16350541.4</v>
      </c>
      <c r="Z21" s="160">
        <v>24525812</v>
      </c>
      <c r="AA21" s="160">
        <v>24525812</v>
      </c>
      <c r="AB21" s="160">
        <v>27906470</v>
      </c>
      <c r="AC21" s="203">
        <v>275843</v>
      </c>
      <c r="AD21" s="160">
        <v>1000000</v>
      </c>
      <c r="AE21" s="160">
        <v>3043817.7</v>
      </c>
      <c r="AF21" s="160">
        <v>5087635.4000000004</v>
      </c>
      <c r="AG21" s="160">
        <v>7278961.2000000002</v>
      </c>
      <c r="AH21" s="160">
        <v>9322778.9000000004</v>
      </c>
      <c r="AI21" s="160">
        <v>11366596.5</v>
      </c>
      <c r="AJ21" s="160">
        <v>31112463.800000001</v>
      </c>
      <c r="AK21" s="160">
        <v>17600049.600000001</v>
      </c>
      <c r="AL21" s="160">
        <v>23578608.5</v>
      </c>
      <c r="AM21" s="160">
        <v>24525812.100000001</v>
      </c>
      <c r="AN21" s="160">
        <v>32017181.100000001</v>
      </c>
      <c r="AO21" s="43">
        <v>11900564</v>
      </c>
      <c r="AP21" s="160">
        <v>1500000</v>
      </c>
      <c r="AQ21" s="160">
        <v>2792950.3</v>
      </c>
      <c r="AR21" s="160">
        <v>3824460.5</v>
      </c>
      <c r="AS21" s="160">
        <v>5868278.0999999996</v>
      </c>
      <c r="AT21" s="160">
        <v>7912095.7999999998</v>
      </c>
      <c r="AU21" s="290">
        <v>9465649.9000000004</v>
      </c>
      <c r="AV21" s="160">
        <v>11509467.6</v>
      </c>
      <c r="AW21" s="286">
        <v>14453285.300000001</v>
      </c>
      <c r="AX21" s="286">
        <v>16497103</v>
      </c>
      <c r="AY21" s="286">
        <v>19031184.199999999</v>
      </c>
      <c r="AZ21" s="160">
        <v>21075001.899999999</v>
      </c>
      <c r="BA21" s="160">
        <v>25855860</v>
      </c>
      <c r="BB21" s="203">
        <v>26503785</v>
      </c>
      <c r="BC21" s="160">
        <v>1535196.2</v>
      </c>
      <c r="BD21" s="160">
        <v>2700439</v>
      </c>
      <c r="BE21" s="160">
        <v>4950439</v>
      </c>
      <c r="BF21" s="160">
        <v>6676462.7000000002</v>
      </c>
      <c r="BG21" s="160">
        <v>8402486.5</v>
      </c>
      <c r="BH21" s="160">
        <v>12591368.199999999</v>
      </c>
      <c r="BI21" s="311">
        <v>17410316.600000001</v>
      </c>
      <c r="BJ21" s="311">
        <v>17410316.600000001</v>
      </c>
      <c r="BK21" s="311">
        <v>19022111</v>
      </c>
      <c r="BL21" s="311">
        <v>20471897.399999999</v>
      </c>
      <c r="BM21" s="311">
        <v>25514523.5</v>
      </c>
      <c r="BN21" s="311">
        <v>30683040.899999999</v>
      </c>
      <c r="BO21" s="203">
        <f>27302383+526672+353986+2500000</f>
        <v>30683041</v>
      </c>
    </row>
    <row r="22" spans="1:67" s="87" customFormat="1">
      <c r="A22" s="101" t="s">
        <v>334</v>
      </c>
      <c r="B22" s="102"/>
      <c r="C22" s="109"/>
      <c r="D22" s="103"/>
      <c r="E22" s="103"/>
      <c r="F22" s="103"/>
      <c r="G22" s="124"/>
      <c r="H22" s="105"/>
      <c r="I22" s="105"/>
      <c r="J22" s="105"/>
      <c r="K22" s="160">
        <v>0</v>
      </c>
      <c r="L22" s="160">
        <v>0</v>
      </c>
      <c r="M22" s="160">
        <v>0</v>
      </c>
      <c r="N22" s="160">
        <v>0</v>
      </c>
      <c r="O22" s="160">
        <v>0</v>
      </c>
      <c r="P22" s="110"/>
      <c r="Q22" s="160">
        <v>0</v>
      </c>
      <c r="R22" s="160">
        <v>0</v>
      </c>
      <c r="S22" s="160">
        <v>0</v>
      </c>
      <c r="T22" s="272">
        <v>0</v>
      </c>
      <c r="U22" s="272">
        <v>0</v>
      </c>
      <c r="V22" s="272">
        <v>0</v>
      </c>
      <c r="W22" s="160">
        <v>0</v>
      </c>
      <c r="X22" s="160">
        <v>0</v>
      </c>
      <c r="Y22" s="160">
        <v>0</v>
      </c>
      <c r="Z22" s="160">
        <v>0</v>
      </c>
      <c r="AA22" s="160">
        <v>0</v>
      </c>
      <c r="AB22" s="160">
        <v>0</v>
      </c>
      <c r="AC22" s="203"/>
      <c r="AD22" s="160">
        <v>0</v>
      </c>
      <c r="AE22" s="160">
        <v>0</v>
      </c>
      <c r="AF22" s="160">
        <v>0</v>
      </c>
      <c r="AG22" s="160">
        <v>0</v>
      </c>
      <c r="AH22" s="160">
        <v>0</v>
      </c>
      <c r="AI22" s="160">
        <v>0</v>
      </c>
      <c r="AJ22" s="160">
        <v>0</v>
      </c>
      <c r="AK22" s="160">
        <v>0</v>
      </c>
      <c r="AL22" s="160">
        <v>0</v>
      </c>
      <c r="AM22" s="160">
        <v>0</v>
      </c>
      <c r="AN22" s="160">
        <v>0</v>
      </c>
      <c r="AO22" s="160">
        <v>0</v>
      </c>
      <c r="AP22" s="160">
        <v>0</v>
      </c>
      <c r="AQ22" s="160">
        <v>0</v>
      </c>
      <c r="AR22" s="160">
        <v>0</v>
      </c>
      <c r="AS22" s="160">
        <v>0</v>
      </c>
      <c r="AT22" s="160">
        <v>0</v>
      </c>
      <c r="AU22" s="290">
        <v>0</v>
      </c>
      <c r="AV22" s="160">
        <v>0</v>
      </c>
      <c r="AW22" s="285">
        <v>0</v>
      </c>
      <c r="AX22" s="285">
        <v>0</v>
      </c>
      <c r="AY22" s="285">
        <v>0</v>
      </c>
      <c r="AZ22" s="160">
        <v>0</v>
      </c>
      <c r="BA22" s="160">
        <v>0</v>
      </c>
      <c r="BB22" s="203"/>
      <c r="BC22" s="160">
        <v>0</v>
      </c>
      <c r="BD22" s="160">
        <v>0</v>
      </c>
      <c r="BE22" s="160">
        <v>0</v>
      </c>
      <c r="BF22" s="160">
        <v>0</v>
      </c>
      <c r="BG22" s="160">
        <v>0</v>
      </c>
      <c r="BH22" s="160">
        <v>0</v>
      </c>
      <c r="BI22" s="311">
        <v>0</v>
      </c>
      <c r="BJ22" s="311">
        <v>0</v>
      </c>
      <c r="BK22" s="311">
        <v>0</v>
      </c>
      <c r="BL22" s="311">
        <v>0</v>
      </c>
      <c r="BM22" s="311">
        <v>0</v>
      </c>
      <c r="BN22" s="311">
        <v>0</v>
      </c>
      <c r="BO22" s="203"/>
    </row>
    <row r="23" spans="1:67" s="87" customFormat="1" ht="13.9">
      <c r="A23" s="99" t="s">
        <v>335</v>
      </c>
      <c r="B23" s="100">
        <f>SUM(B24:B28)</f>
        <v>11019.3799</v>
      </c>
      <c r="C23" s="100">
        <f t="shared" ref="C23:H23" si="17">SUM(C24:C28)</f>
        <v>130812951</v>
      </c>
      <c r="D23" s="100">
        <f t="shared" si="17"/>
        <v>8692895.1699999999</v>
      </c>
      <c r="E23" s="100">
        <f t="shared" si="17"/>
        <v>20809524.350000001</v>
      </c>
      <c r="F23" s="100">
        <f t="shared" si="17"/>
        <v>32704863.390000001</v>
      </c>
      <c r="G23" s="100">
        <f t="shared" si="17"/>
        <v>44864604.099999994</v>
      </c>
      <c r="H23" s="100">
        <f t="shared" si="17"/>
        <v>54164843.930000007</v>
      </c>
      <c r="I23" s="100">
        <f t="shared" ref="I23:BO23" si="18">SUM(I24:I28)</f>
        <v>65251483.5</v>
      </c>
      <c r="J23" s="100">
        <f t="shared" si="18"/>
        <v>75095956.829999998</v>
      </c>
      <c r="K23" s="100">
        <f t="shared" si="18"/>
        <v>86074674.99000001</v>
      </c>
      <c r="L23" s="100">
        <f t="shared" si="18"/>
        <v>97124100.599999994</v>
      </c>
      <c r="M23" s="100">
        <f t="shared" si="18"/>
        <v>109496217.03</v>
      </c>
      <c r="N23" s="100">
        <f t="shared" si="18"/>
        <v>123143463.98</v>
      </c>
      <c r="O23" s="100">
        <f t="shared" si="18"/>
        <v>135604285.91</v>
      </c>
      <c r="P23" s="100">
        <f t="shared" si="18"/>
        <v>135384285</v>
      </c>
      <c r="Q23" s="100">
        <f t="shared" si="18"/>
        <v>9748632.2800000012</v>
      </c>
      <c r="R23" s="100">
        <f t="shared" si="18"/>
        <v>24013690.780000001</v>
      </c>
      <c r="S23" s="100">
        <f t="shared" si="18"/>
        <v>37219420.850000001</v>
      </c>
      <c r="T23" s="100">
        <f t="shared" si="18"/>
        <v>47828052.519999996</v>
      </c>
      <c r="U23" s="100">
        <f t="shared" si="18"/>
        <v>57992593.290000007</v>
      </c>
      <c r="V23" s="100">
        <f t="shared" si="18"/>
        <v>71746416.879999995</v>
      </c>
      <c r="W23" s="100">
        <f t="shared" si="18"/>
        <v>83333607.099999994</v>
      </c>
      <c r="X23" s="100">
        <f t="shared" si="18"/>
        <v>93882022.730000004</v>
      </c>
      <c r="Y23" s="100">
        <f t="shared" si="18"/>
        <v>104637596.72999999</v>
      </c>
      <c r="Z23" s="100">
        <f t="shared" si="18"/>
        <v>118081337.06999999</v>
      </c>
      <c r="AA23" s="100">
        <f t="shared" si="18"/>
        <v>128364579.49000001</v>
      </c>
      <c r="AB23" s="100">
        <f t="shared" si="18"/>
        <v>142023141.47</v>
      </c>
      <c r="AC23" s="100">
        <f t="shared" si="18"/>
        <v>140716337</v>
      </c>
      <c r="AD23" s="100">
        <f t="shared" si="18"/>
        <v>10315395.25</v>
      </c>
      <c r="AE23" s="100">
        <f t="shared" si="18"/>
        <v>22969819.640000001</v>
      </c>
      <c r="AF23" s="100">
        <f t="shared" si="18"/>
        <v>34842816.799999997</v>
      </c>
      <c r="AG23" s="100">
        <f t="shared" si="18"/>
        <v>45276878.490000002</v>
      </c>
      <c r="AH23" s="100">
        <f t="shared" si="18"/>
        <v>54120004.509999998</v>
      </c>
      <c r="AI23" s="100">
        <f t="shared" si="18"/>
        <v>63580524.550000012</v>
      </c>
      <c r="AJ23" s="100">
        <f t="shared" si="18"/>
        <v>168870806.62</v>
      </c>
      <c r="AK23" s="100">
        <f t="shared" si="18"/>
        <v>97073635.039999992</v>
      </c>
      <c r="AL23" s="100">
        <f t="shared" si="18"/>
        <v>114553532.06999999</v>
      </c>
      <c r="AM23" s="100">
        <f t="shared" si="18"/>
        <v>125148166.73999999</v>
      </c>
      <c r="AN23" s="100">
        <f t="shared" si="18"/>
        <v>139380216.76999998</v>
      </c>
      <c r="AO23" s="100">
        <f t="shared" si="18"/>
        <v>139387067</v>
      </c>
      <c r="AP23" s="100">
        <f t="shared" si="18"/>
        <v>9289916.4199999999</v>
      </c>
      <c r="AQ23" s="100">
        <f t="shared" si="18"/>
        <v>23585344.18</v>
      </c>
      <c r="AR23" s="100">
        <f t="shared" si="18"/>
        <v>35892672.980000004</v>
      </c>
      <c r="AS23" s="100">
        <f t="shared" si="18"/>
        <v>46921233.600000001</v>
      </c>
      <c r="AT23" s="100">
        <f t="shared" si="18"/>
        <v>58518404.140000001</v>
      </c>
      <c r="AU23" s="100">
        <f t="shared" si="18"/>
        <v>70388712.420000002</v>
      </c>
      <c r="AV23" s="100">
        <f t="shared" si="18"/>
        <v>81294518.549999997</v>
      </c>
      <c r="AW23" s="100">
        <f t="shared" si="18"/>
        <v>90582647.109999999</v>
      </c>
      <c r="AX23" s="100">
        <f t="shared" si="18"/>
        <v>103602759.05</v>
      </c>
      <c r="AY23" s="100">
        <f t="shared" si="18"/>
        <v>114952499.5</v>
      </c>
      <c r="AZ23" s="100">
        <f t="shared" si="18"/>
        <v>128251208.46000001</v>
      </c>
      <c r="BA23" s="100">
        <f t="shared" si="18"/>
        <v>147018411.06999999</v>
      </c>
      <c r="BB23" s="100">
        <f t="shared" si="18"/>
        <v>144998798</v>
      </c>
      <c r="BC23" s="100">
        <f t="shared" si="18"/>
        <v>13375883.310000001</v>
      </c>
      <c r="BD23" s="100">
        <f t="shared" si="18"/>
        <v>26716911.609999999</v>
      </c>
      <c r="BE23" s="100">
        <f t="shared" si="18"/>
        <v>42200104.939999998</v>
      </c>
      <c r="BF23" s="100">
        <f t="shared" si="18"/>
        <v>54122869.379999995</v>
      </c>
      <c r="BG23" s="100">
        <f t="shared" si="18"/>
        <v>66466835.529999994</v>
      </c>
      <c r="BH23" s="100">
        <f t="shared" si="18"/>
        <v>78624176.789999992</v>
      </c>
      <c r="BI23" s="100">
        <f t="shared" si="18"/>
        <v>95673435.349999994</v>
      </c>
      <c r="BJ23" s="100">
        <f t="shared" si="18"/>
        <v>107964120.22</v>
      </c>
      <c r="BK23" s="100">
        <f t="shared" si="18"/>
        <v>121098440.70999998</v>
      </c>
      <c r="BL23" s="100">
        <f t="shared" si="18"/>
        <v>132532794.91999999</v>
      </c>
      <c r="BM23" s="100">
        <f t="shared" si="18"/>
        <v>146060138</v>
      </c>
      <c r="BN23" s="100">
        <f t="shared" si="18"/>
        <v>162446753.38999999</v>
      </c>
      <c r="BO23" s="100">
        <f t="shared" si="18"/>
        <v>162423673</v>
      </c>
    </row>
    <row r="24" spans="1:67" s="87" customFormat="1">
      <c r="A24" s="101" t="s">
        <v>336</v>
      </c>
      <c r="B24" s="102">
        <v>3512.444</v>
      </c>
      <c r="C24" s="103">
        <v>61230228</v>
      </c>
      <c r="D24" s="103">
        <v>4375132.0999999996</v>
      </c>
      <c r="E24" s="103">
        <v>8545823.5199999996</v>
      </c>
      <c r="F24" s="103">
        <v>12695882.65</v>
      </c>
      <c r="G24" s="116">
        <v>17940916.489999998</v>
      </c>
      <c r="H24" s="105">
        <v>22693123.690000001</v>
      </c>
      <c r="I24" s="105">
        <v>27385617.170000002</v>
      </c>
      <c r="J24" s="105">
        <v>32052793.5</v>
      </c>
      <c r="K24" s="160">
        <v>36832126.399999999</v>
      </c>
      <c r="L24" s="160">
        <v>41488924.100000001</v>
      </c>
      <c r="M24" s="160">
        <v>46583352.899999999</v>
      </c>
      <c r="N24" s="160">
        <v>51561798</v>
      </c>
      <c r="O24" s="160">
        <v>58317273.299999997</v>
      </c>
      <c r="P24" s="119">
        <v>60101722</v>
      </c>
      <c r="Q24" s="160">
        <v>4927766</v>
      </c>
      <c r="R24" s="160">
        <v>10908024.1</v>
      </c>
      <c r="S24" s="160">
        <v>16753450.9</v>
      </c>
      <c r="T24" s="272">
        <v>22282641.699999999</v>
      </c>
      <c r="U24" s="272">
        <v>27489018.699999999</v>
      </c>
      <c r="V24" s="272">
        <v>32399397.699999999</v>
      </c>
      <c r="W24" s="160">
        <v>37718851</v>
      </c>
      <c r="X24" s="160">
        <v>43193202.200000003</v>
      </c>
      <c r="Y24" s="160">
        <v>48443426.5</v>
      </c>
      <c r="Z24" s="160">
        <v>53956149.100000001</v>
      </c>
      <c r="AA24" s="160">
        <v>59079418.700000003</v>
      </c>
      <c r="AB24" s="160">
        <v>65717025.700000003</v>
      </c>
      <c r="AC24" s="203">
        <v>65625975</v>
      </c>
      <c r="AD24" s="160">
        <v>5145040.8</v>
      </c>
      <c r="AE24" s="160">
        <v>10785952.199999999</v>
      </c>
      <c r="AF24" s="160">
        <v>16028193</v>
      </c>
      <c r="AG24" s="160">
        <v>21439251.100000001</v>
      </c>
      <c r="AH24" s="160">
        <v>26734556.800000001</v>
      </c>
      <c r="AI24" s="160">
        <v>31978630.600000001</v>
      </c>
      <c r="AJ24" s="160">
        <v>85152176.799999997</v>
      </c>
      <c r="AK24" s="160">
        <v>48018619.299999997</v>
      </c>
      <c r="AL24" s="160">
        <v>53806653.899999999</v>
      </c>
      <c r="AM24" s="160">
        <v>59369103.399999999</v>
      </c>
      <c r="AN24" s="160">
        <v>66428621.799999997</v>
      </c>
      <c r="AO24" s="264">
        <v>70178925</v>
      </c>
      <c r="AP24" s="160">
        <v>5419129.7000000002</v>
      </c>
      <c r="AQ24" s="160">
        <v>11455330.1</v>
      </c>
      <c r="AR24" s="160">
        <v>16517197</v>
      </c>
      <c r="AS24" s="160">
        <v>22152328.100000001</v>
      </c>
      <c r="AT24" s="160">
        <v>27559093.699999999</v>
      </c>
      <c r="AU24" s="290">
        <v>32966748.800000001</v>
      </c>
      <c r="AV24" s="160">
        <v>38785299.5</v>
      </c>
      <c r="AW24" s="286">
        <v>44339047.299999997</v>
      </c>
      <c r="AX24" s="286">
        <v>50243523.600000001</v>
      </c>
      <c r="AY24" s="286">
        <v>56125897.600000001</v>
      </c>
      <c r="AZ24" s="160">
        <v>62046408.5</v>
      </c>
      <c r="BA24" s="160">
        <v>69817306.5</v>
      </c>
      <c r="BB24" s="203">
        <v>72014081</v>
      </c>
      <c r="BC24" s="160">
        <v>6339087.7999999998</v>
      </c>
      <c r="BD24" s="160">
        <v>13115863.1</v>
      </c>
      <c r="BE24" s="160">
        <v>19559940.100000001</v>
      </c>
      <c r="BF24" s="160">
        <v>26220730.5</v>
      </c>
      <c r="BG24" s="160">
        <v>32586099.399999999</v>
      </c>
      <c r="BH24" s="160">
        <v>38805991.600000001</v>
      </c>
      <c r="BI24" s="311">
        <v>45771193</v>
      </c>
      <c r="BJ24" s="311">
        <v>52076036.200000003</v>
      </c>
      <c r="BK24" s="311">
        <v>58337686.5</v>
      </c>
      <c r="BL24" s="311">
        <v>64923373.799999997</v>
      </c>
      <c r="BM24" s="311">
        <v>71383228.700000003</v>
      </c>
      <c r="BN24" s="311">
        <v>79842190.099999994</v>
      </c>
      <c r="BO24" s="203">
        <v>80431118</v>
      </c>
    </row>
    <row r="25" spans="1:67" s="87" customFormat="1">
      <c r="A25" s="101" t="s">
        <v>337</v>
      </c>
      <c r="B25" s="102">
        <v>401.87299999999999</v>
      </c>
      <c r="C25" s="103">
        <v>10909314</v>
      </c>
      <c r="D25" s="103">
        <v>188549</v>
      </c>
      <c r="E25" s="103">
        <v>819238</v>
      </c>
      <c r="F25" s="103">
        <v>2335517</v>
      </c>
      <c r="G25" s="123">
        <v>4691486</v>
      </c>
      <c r="H25" s="105">
        <v>5002840</v>
      </c>
      <c r="I25" s="105">
        <v>5434993</v>
      </c>
      <c r="J25" s="105">
        <v>6015668</v>
      </c>
      <c r="K25" s="160">
        <v>6850677</v>
      </c>
      <c r="L25" s="160">
        <v>8216819</v>
      </c>
      <c r="M25" s="160">
        <v>8566707</v>
      </c>
      <c r="N25" s="160">
        <v>10018234</v>
      </c>
      <c r="O25" s="160">
        <v>11802298</v>
      </c>
      <c r="P25" s="106">
        <v>12993803</v>
      </c>
      <c r="Q25" s="160">
        <v>327406</v>
      </c>
      <c r="R25" s="160">
        <v>3482103</v>
      </c>
      <c r="S25" s="160">
        <v>5539592</v>
      </c>
      <c r="T25" s="272">
        <v>7208522</v>
      </c>
      <c r="U25" s="272">
        <v>7666416</v>
      </c>
      <c r="V25" s="272">
        <v>8386134</v>
      </c>
      <c r="W25" s="160">
        <v>8709441</v>
      </c>
      <c r="X25" s="160">
        <v>9210162</v>
      </c>
      <c r="Y25" s="160">
        <v>10512360</v>
      </c>
      <c r="Z25" s="160">
        <v>10773193</v>
      </c>
      <c r="AA25" s="160">
        <v>12369039</v>
      </c>
      <c r="AB25" s="160">
        <v>14071054</v>
      </c>
      <c r="AC25" s="203">
        <v>15072601</v>
      </c>
      <c r="AD25" s="160">
        <v>560477</v>
      </c>
      <c r="AE25" s="160">
        <v>2766516</v>
      </c>
      <c r="AF25" s="160">
        <v>4450223</v>
      </c>
      <c r="AG25" s="160">
        <v>4723666</v>
      </c>
      <c r="AH25" s="160">
        <v>4843968</v>
      </c>
      <c r="AI25" s="160">
        <v>5022576</v>
      </c>
      <c r="AJ25" s="160">
        <v>12809966</v>
      </c>
      <c r="AK25" s="160">
        <v>7912258</v>
      </c>
      <c r="AL25" s="160">
        <v>9353421</v>
      </c>
      <c r="AM25" s="160">
        <v>11784105</v>
      </c>
      <c r="AN25" s="160">
        <v>13876754</v>
      </c>
      <c r="AO25" s="275">
        <v>14966229</v>
      </c>
      <c r="AP25" s="160">
        <v>383921</v>
      </c>
      <c r="AQ25" s="160">
        <v>3445387</v>
      </c>
      <c r="AR25" s="160">
        <v>6260252</v>
      </c>
      <c r="AS25" s="160">
        <v>6739644</v>
      </c>
      <c r="AT25" s="160">
        <v>8048754.0099999998</v>
      </c>
      <c r="AU25" s="290">
        <v>8494910.0099999998</v>
      </c>
      <c r="AV25" s="160">
        <v>8625914.0099999998</v>
      </c>
      <c r="AW25" s="286">
        <v>9266569.0099999998</v>
      </c>
      <c r="AX25" s="286">
        <v>10397866.01</v>
      </c>
      <c r="AY25" s="286">
        <v>11680417.01</v>
      </c>
      <c r="AZ25" s="160">
        <v>13494584.01</v>
      </c>
      <c r="BA25" s="160">
        <v>16037502.01</v>
      </c>
      <c r="BB25" s="203">
        <v>16847825</v>
      </c>
      <c r="BC25" s="160">
        <v>1805765</v>
      </c>
      <c r="BD25" s="160">
        <v>4708870</v>
      </c>
      <c r="BE25" s="160">
        <v>7797105</v>
      </c>
      <c r="BF25" s="160">
        <v>8545795</v>
      </c>
      <c r="BG25" s="160">
        <v>9800610</v>
      </c>
      <c r="BH25" s="160">
        <v>11743410</v>
      </c>
      <c r="BI25" s="311">
        <v>13583450</v>
      </c>
      <c r="BJ25" s="311">
        <v>14602354.16</v>
      </c>
      <c r="BK25" s="311">
        <v>16729763.32</v>
      </c>
      <c r="BL25" s="311">
        <v>17744963.32</v>
      </c>
      <c r="BM25" s="311">
        <v>19635506.32</v>
      </c>
      <c r="BN25" s="311">
        <v>22852007.32</v>
      </c>
      <c r="BO25" s="203">
        <v>24079712</v>
      </c>
    </row>
    <row r="26" spans="1:67" s="87" customFormat="1">
      <c r="A26" s="101" t="s">
        <v>338</v>
      </c>
      <c r="B26" s="102">
        <v>919.3528</v>
      </c>
      <c r="C26" s="103">
        <v>3424962</v>
      </c>
      <c r="D26" s="103">
        <v>143800</v>
      </c>
      <c r="E26" s="103">
        <v>305276.06</v>
      </c>
      <c r="F26" s="103">
        <v>1316691.77</v>
      </c>
      <c r="G26" s="123">
        <v>1477770.8</v>
      </c>
      <c r="H26" s="105">
        <v>1575865.83</v>
      </c>
      <c r="I26" s="105">
        <v>1702690.86</v>
      </c>
      <c r="J26" s="105">
        <v>2039410.89</v>
      </c>
      <c r="K26" s="160">
        <v>2117223.92</v>
      </c>
      <c r="L26" s="160">
        <v>2727906.95</v>
      </c>
      <c r="M26" s="160">
        <v>3011171.98</v>
      </c>
      <c r="N26" s="160">
        <v>3190098.04</v>
      </c>
      <c r="O26" s="160">
        <v>3244998.04</v>
      </c>
      <c r="P26" s="106">
        <v>3244998</v>
      </c>
      <c r="Q26" s="160">
        <v>70800</v>
      </c>
      <c r="R26" s="160">
        <v>276815</v>
      </c>
      <c r="S26" s="160">
        <v>502915</v>
      </c>
      <c r="T26" s="272">
        <v>585355</v>
      </c>
      <c r="U26" s="272">
        <v>961520</v>
      </c>
      <c r="V26" s="272">
        <v>1527612</v>
      </c>
      <c r="W26" s="160">
        <v>1945250</v>
      </c>
      <c r="X26" s="160">
        <v>1984290</v>
      </c>
      <c r="Y26" s="160">
        <v>2171014</v>
      </c>
      <c r="Z26" s="160">
        <v>3110376</v>
      </c>
      <c r="AA26" s="160">
        <v>3186158.01</v>
      </c>
      <c r="AB26" s="160">
        <v>3409858.01</v>
      </c>
      <c r="AC26" s="203">
        <v>3409858</v>
      </c>
      <c r="AD26" s="160">
        <v>414729</v>
      </c>
      <c r="AE26" s="160">
        <v>584280.02</v>
      </c>
      <c r="AF26" s="160">
        <v>965641.02</v>
      </c>
      <c r="AG26" s="160">
        <v>982741.02</v>
      </c>
      <c r="AH26" s="160">
        <v>985841.02</v>
      </c>
      <c r="AI26" s="160">
        <v>1009041.02</v>
      </c>
      <c r="AJ26" s="160">
        <v>1847082.04</v>
      </c>
      <c r="AK26" s="160">
        <v>1102742.02</v>
      </c>
      <c r="AL26" s="160">
        <v>1522788.02</v>
      </c>
      <c r="AM26" s="160">
        <v>1623828.02</v>
      </c>
      <c r="AN26" s="160">
        <v>2492785.02</v>
      </c>
      <c r="AO26" s="160">
        <v>2492785</v>
      </c>
      <c r="AP26" s="160">
        <v>350230</v>
      </c>
      <c r="AQ26" s="160">
        <v>538235</v>
      </c>
      <c r="AR26" s="160">
        <v>723959</v>
      </c>
      <c r="AS26" s="160">
        <v>1106459</v>
      </c>
      <c r="AT26" s="160">
        <v>1259159</v>
      </c>
      <c r="AU26" s="290">
        <v>1407710.71</v>
      </c>
      <c r="AV26" s="160">
        <v>1560707.5</v>
      </c>
      <c r="AW26" s="286">
        <v>1667469.5</v>
      </c>
      <c r="AX26" s="286">
        <v>1802336</v>
      </c>
      <c r="AY26" s="286">
        <v>2042198</v>
      </c>
      <c r="AZ26" s="160">
        <v>2690324</v>
      </c>
      <c r="BA26" s="160">
        <v>3598604</v>
      </c>
      <c r="BB26" s="203">
        <v>3598604</v>
      </c>
      <c r="BC26" s="160">
        <v>600278</v>
      </c>
      <c r="BD26" s="160">
        <v>762613</v>
      </c>
      <c r="BE26" s="160">
        <v>1281501</v>
      </c>
      <c r="BF26" s="160">
        <v>1358301</v>
      </c>
      <c r="BG26" s="160">
        <v>2086221</v>
      </c>
      <c r="BH26" s="160">
        <v>2311073.7999999998</v>
      </c>
      <c r="BI26" s="311">
        <v>2807121.8</v>
      </c>
      <c r="BJ26" s="311">
        <v>3149006.8</v>
      </c>
      <c r="BK26" s="311">
        <v>4065310.8</v>
      </c>
      <c r="BL26" s="311">
        <v>4761732.8</v>
      </c>
      <c r="BM26" s="311">
        <v>4899842.8</v>
      </c>
      <c r="BN26" s="311">
        <v>5195510.8</v>
      </c>
      <c r="BO26" s="203">
        <v>5195511</v>
      </c>
    </row>
    <row r="27" spans="1:67" s="87" customFormat="1">
      <c r="A27" s="101" t="s">
        <v>339</v>
      </c>
      <c r="B27" s="102">
        <v>1276.981</v>
      </c>
      <c r="C27" s="103">
        <v>6405372</v>
      </c>
      <c r="D27" s="103">
        <v>516155</v>
      </c>
      <c r="E27" s="103">
        <v>1032310</v>
      </c>
      <c r="F27" s="103">
        <v>1548465</v>
      </c>
      <c r="G27" s="123">
        <v>2064620</v>
      </c>
      <c r="H27" s="105">
        <v>2580775</v>
      </c>
      <c r="I27" s="105">
        <v>3096930</v>
      </c>
      <c r="J27" s="105">
        <v>3096930</v>
      </c>
      <c r="K27" s="160">
        <v>4129240</v>
      </c>
      <c r="L27" s="160">
        <v>4645395</v>
      </c>
      <c r="M27" s="160">
        <v>5119085.25</v>
      </c>
      <c r="N27" s="160">
        <v>5918194.0800000001</v>
      </c>
      <c r="O27" s="160">
        <v>6433979.0800000001</v>
      </c>
      <c r="P27" s="106">
        <v>6433979</v>
      </c>
      <c r="Q27" s="160">
        <v>0</v>
      </c>
      <c r="R27" s="160">
        <v>614690.85</v>
      </c>
      <c r="S27" s="160">
        <v>614690.85</v>
      </c>
      <c r="T27" s="272">
        <v>614690.85</v>
      </c>
      <c r="U27" s="272">
        <v>614690.85</v>
      </c>
      <c r="V27" s="272">
        <v>3688144.91</v>
      </c>
      <c r="W27" s="160">
        <v>4302835.72</v>
      </c>
      <c r="X27" s="160">
        <v>4302835.72</v>
      </c>
      <c r="Y27" s="160">
        <v>4917526.57</v>
      </c>
      <c r="Z27" s="160">
        <v>7376289.9699999997</v>
      </c>
      <c r="AA27" s="160">
        <v>7376289.9699999997</v>
      </c>
      <c r="AB27" s="160">
        <v>6336788</v>
      </c>
      <c r="AC27" s="203">
        <v>6336788</v>
      </c>
      <c r="AD27" s="160">
        <v>0</v>
      </c>
      <c r="AE27" s="160">
        <v>509391.59</v>
      </c>
      <c r="AF27" s="160">
        <v>1018783.18</v>
      </c>
      <c r="AG27" s="160">
        <v>1528174.77</v>
      </c>
      <c r="AH27" s="160">
        <v>2037566.36</v>
      </c>
      <c r="AI27" s="160">
        <v>2546957.9500000002</v>
      </c>
      <c r="AJ27" s="160">
        <v>7131482.2599999998</v>
      </c>
      <c r="AK27" s="160">
        <v>4075132.72</v>
      </c>
      <c r="AL27" s="160">
        <v>5603307.4900000002</v>
      </c>
      <c r="AM27" s="160">
        <v>5603307.4900000002</v>
      </c>
      <c r="AN27" s="160">
        <v>5143186.8899999997</v>
      </c>
      <c r="AO27" s="160">
        <v>5032531</v>
      </c>
      <c r="AP27" s="160">
        <v>398370.09</v>
      </c>
      <c r="AQ27" s="160">
        <v>532515.12</v>
      </c>
      <c r="AR27" s="160">
        <v>532515.12</v>
      </c>
      <c r="AS27" s="160">
        <v>1041906.71</v>
      </c>
      <c r="AT27" s="160">
        <v>1551298.3</v>
      </c>
      <c r="AU27" s="290">
        <v>2060689.89</v>
      </c>
      <c r="AV27" s="160">
        <v>2570081.48</v>
      </c>
      <c r="AW27" s="286">
        <v>3079473.07</v>
      </c>
      <c r="AX27" s="286">
        <v>3588864.66</v>
      </c>
      <c r="AY27" s="286">
        <v>4098256.25</v>
      </c>
      <c r="AZ27" s="160">
        <v>4607647.84</v>
      </c>
      <c r="BA27" s="160">
        <v>5565758</v>
      </c>
      <c r="BB27" s="203">
        <v>4632480</v>
      </c>
      <c r="BC27" s="160">
        <v>423564.83</v>
      </c>
      <c r="BD27" s="160">
        <v>847129.66</v>
      </c>
      <c r="BE27" s="160">
        <v>1211624.83</v>
      </c>
      <c r="BF27" s="160">
        <v>1428341.33</v>
      </c>
      <c r="BG27" s="160">
        <v>1674592.66</v>
      </c>
      <c r="BH27" s="160">
        <v>2098157.4900000002</v>
      </c>
      <c r="BI27" s="311">
        <v>2876349.32</v>
      </c>
      <c r="BJ27" s="311">
        <v>3053662.82</v>
      </c>
      <c r="BK27" s="311">
        <v>3368886.82</v>
      </c>
      <c r="BL27" s="311">
        <v>3723513.82</v>
      </c>
      <c r="BM27" s="311">
        <v>4649344.96</v>
      </c>
      <c r="BN27" s="311">
        <v>4521880.68</v>
      </c>
      <c r="BO27" s="203">
        <v>4521881</v>
      </c>
    </row>
    <row r="28" spans="1:67" s="87" customFormat="1">
      <c r="A28" s="101" t="s">
        <v>340</v>
      </c>
      <c r="B28" s="102">
        <v>4908.7290999999996</v>
      </c>
      <c r="C28" s="107">
        <v>48843075</v>
      </c>
      <c r="D28" s="103">
        <v>3469259.07</v>
      </c>
      <c r="E28" s="103">
        <v>10106876.77</v>
      </c>
      <c r="F28" s="103">
        <v>14808306.970000001</v>
      </c>
      <c r="G28" s="123">
        <v>18689810.809999999</v>
      </c>
      <c r="H28" s="105">
        <v>22312239.41</v>
      </c>
      <c r="I28" s="105">
        <v>27631252.469999999</v>
      </c>
      <c r="J28" s="105">
        <v>31891154.440000001</v>
      </c>
      <c r="K28" s="160">
        <v>36145407.670000002</v>
      </c>
      <c r="L28" s="160">
        <v>40045055.549999997</v>
      </c>
      <c r="M28" s="160">
        <v>46215899.899999999</v>
      </c>
      <c r="N28" s="160">
        <v>52455139.859999999</v>
      </c>
      <c r="O28" s="160">
        <v>55805737.490000002</v>
      </c>
      <c r="P28" s="120">
        <v>52609783</v>
      </c>
      <c r="Q28" s="160">
        <v>4422660.28</v>
      </c>
      <c r="R28" s="160">
        <v>8732057.8300000001</v>
      </c>
      <c r="S28" s="160">
        <v>13808772.1</v>
      </c>
      <c r="T28" s="272">
        <v>17136842.969999999</v>
      </c>
      <c r="U28" s="272">
        <v>21260947.739999998</v>
      </c>
      <c r="V28" s="272">
        <v>25745128.27</v>
      </c>
      <c r="W28" s="160">
        <v>30657229.379999999</v>
      </c>
      <c r="X28" s="160">
        <v>35191532.810000002</v>
      </c>
      <c r="Y28" s="160">
        <v>38593269.659999996</v>
      </c>
      <c r="Z28" s="160">
        <v>42865329</v>
      </c>
      <c r="AA28" s="160">
        <v>46353673.810000002</v>
      </c>
      <c r="AB28" s="160">
        <v>52488415.759999998</v>
      </c>
      <c r="AC28" s="203">
        <v>50271115</v>
      </c>
      <c r="AD28" s="160">
        <v>4195148.45</v>
      </c>
      <c r="AE28" s="160">
        <v>8323679.8300000001</v>
      </c>
      <c r="AF28" s="160">
        <v>12379976.6</v>
      </c>
      <c r="AG28" s="160">
        <v>16603045.6</v>
      </c>
      <c r="AH28" s="160">
        <v>19518072.329999998</v>
      </c>
      <c r="AI28" s="160">
        <v>23023318.98</v>
      </c>
      <c r="AJ28" s="160">
        <v>61930099.520000003</v>
      </c>
      <c r="AK28" s="160">
        <v>35964883</v>
      </c>
      <c r="AL28" s="160">
        <v>44267361.659999996</v>
      </c>
      <c r="AM28" s="160">
        <v>46767822.829999998</v>
      </c>
      <c r="AN28" s="160">
        <v>51438869.060000002</v>
      </c>
      <c r="AO28" s="264">
        <v>46716597</v>
      </c>
      <c r="AP28" s="160">
        <v>2738265.63</v>
      </c>
      <c r="AQ28" s="160">
        <v>7613876.96</v>
      </c>
      <c r="AR28" s="160">
        <v>11858749.859999999</v>
      </c>
      <c r="AS28" s="160">
        <v>15880895.789999999</v>
      </c>
      <c r="AT28" s="160">
        <v>20100099.129999999</v>
      </c>
      <c r="AU28" s="290">
        <v>25458653.010000002</v>
      </c>
      <c r="AV28" s="160">
        <v>29752516.059999999</v>
      </c>
      <c r="AW28" s="286">
        <v>32230088.23</v>
      </c>
      <c r="AX28" s="286">
        <v>37570168.780000001</v>
      </c>
      <c r="AY28" s="286">
        <v>41005730.640000001</v>
      </c>
      <c r="AZ28" s="160">
        <v>45412244.109999999</v>
      </c>
      <c r="BA28" s="160">
        <v>51999240.560000002</v>
      </c>
      <c r="BB28" s="203">
        <v>47905808</v>
      </c>
      <c r="BC28" s="160">
        <v>4207187.68</v>
      </c>
      <c r="BD28" s="160">
        <v>7282435.8499999996</v>
      </c>
      <c r="BE28" s="160">
        <v>12349934.01</v>
      </c>
      <c r="BF28" s="160">
        <v>16569701.550000001</v>
      </c>
      <c r="BG28" s="160">
        <v>20319312.469999999</v>
      </c>
      <c r="BH28" s="160">
        <v>23665543.899999999</v>
      </c>
      <c r="BI28" s="311">
        <v>30635321.23</v>
      </c>
      <c r="BJ28" s="311">
        <v>35083060.240000002</v>
      </c>
      <c r="BK28" s="311">
        <v>38596793.270000003</v>
      </c>
      <c r="BL28" s="311">
        <v>41379211.18</v>
      </c>
      <c r="BM28" s="311">
        <v>45492215.219999999</v>
      </c>
      <c r="BN28" s="311">
        <v>50035164.490000002</v>
      </c>
      <c r="BO28" s="203">
        <v>48195451</v>
      </c>
    </row>
    <row r="29" spans="1:67" s="87" customFormat="1" ht="13.9">
      <c r="A29" s="99" t="s">
        <v>341</v>
      </c>
      <c r="B29" s="100">
        <f>B19-B20-B23</f>
        <v>3030.7829468990003</v>
      </c>
      <c r="C29" s="100">
        <f t="shared" ref="C29:H29" si="19">C19-C20-C23</f>
        <v>12685889</v>
      </c>
      <c r="D29" s="100">
        <f t="shared" si="19"/>
        <v>9337095.0000000019</v>
      </c>
      <c r="E29" s="100">
        <f t="shared" si="19"/>
        <v>6504356.6700000018</v>
      </c>
      <c r="F29" s="100">
        <f t="shared" si="19"/>
        <v>7436870.5699999928</v>
      </c>
      <c r="G29" s="100">
        <f t="shared" si="19"/>
        <v>6071812.0100000054</v>
      </c>
      <c r="H29" s="100">
        <f t="shared" si="19"/>
        <v>3162400.6899999827</v>
      </c>
      <c r="I29" s="100">
        <f t="shared" ref="I29:AB29" si="20">I19-I20-I23</f>
        <v>3459783.9699999988</v>
      </c>
      <c r="J29" s="100">
        <f t="shared" si="20"/>
        <v>3742741.7800000161</v>
      </c>
      <c r="K29" s="100">
        <f t="shared" si="20"/>
        <v>9786139.8799999803</v>
      </c>
      <c r="L29" s="100">
        <f t="shared" si="20"/>
        <v>9091981.1400000155</v>
      </c>
      <c r="M29" s="100">
        <f t="shared" si="20"/>
        <v>13085705.430000007</v>
      </c>
      <c r="N29" s="100">
        <f t="shared" si="20"/>
        <v>15107336.679999992</v>
      </c>
      <c r="O29" s="100">
        <f t="shared" si="20"/>
        <v>22622956.890000015</v>
      </c>
      <c r="P29" s="100">
        <f t="shared" si="20"/>
        <v>22990778</v>
      </c>
      <c r="Q29" s="100">
        <f t="shared" si="20"/>
        <v>3752898.5999999978</v>
      </c>
      <c r="R29" s="100">
        <f t="shared" si="20"/>
        <v>1222702.6399999969</v>
      </c>
      <c r="S29" s="100">
        <f t="shared" si="20"/>
        <v>1599641.2599999979</v>
      </c>
      <c r="T29" s="100">
        <f t="shared" si="20"/>
        <v>2379802.340000011</v>
      </c>
      <c r="U29" s="100">
        <f t="shared" si="20"/>
        <v>1972446.2999999821</v>
      </c>
      <c r="V29" s="100">
        <f t="shared" si="20"/>
        <v>5036313.9400000125</v>
      </c>
      <c r="W29" s="100">
        <f t="shared" si="20"/>
        <v>1573466.75</v>
      </c>
      <c r="X29" s="100">
        <f t="shared" si="20"/>
        <v>4704502.6299999952</v>
      </c>
      <c r="Y29" s="100">
        <f t="shared" si="20"/>
        <v>5175944.1599999964</v>
      </c>
      <c r="Z29" s="100">
        <f t="shared" si="20"/>
        <v>7919489.2199999988</v>
      </c>
      <c r="AA29" s="100">
        <f t="shared" si="20"/>
        <v>16235386.829999983</v>
      </c>
      <c r="AB29" s="100">
        <f t="shared" si="20"/>
        <v>21945690.340000004</v>
      </c>
      <c r="AC29" s="100">
        <f>AC19-AC20-AC23</f>
        <v>24523668</v>
      </c>
      <c r="AD29" s="100">
        <f t="shared" ref="AD29:BO29" si="21">AD19-AD20-AD23</f>
        <v>4204913.540000001</v>
      </c>
      <c r="AE29" s="100">
        <f t="shared" si="21"/>
        <v>3002477.9400000013</v>
      </c>
      <c r="AF29" s="100">
        <f t="shared" si="21"/>
        <v>2008460.7800000012</v>
      </c>
      <c r="AG29" s="100">
        <f t="shared" si="21"/>
        <v>3946586.1999999955</v>
      </c>
      <c r="AH29" s="100">
        <f t="shared" si="21"/>
        <v>4231703.4499999881</v>
      </c>
      <c r="AI29" s="100">
        <f t="shared" si="21"/>
        <v>6148706.400000006</v>
      </c>
      <c r="AJ29" s="100">
        <f t="shared" si="21"/>
        <v>14872506.799999982</v>
      </c>
      <c r="AK29" s="100">
        <f t="shared" si="21"/>
        <v>5073515.8400000036</v>
      </c>
      <c r="AL29" s="100">
        <f t="shared" si="21"/>
        <v>9673220.0600000024</v>
      </c>
      <c r="AM29" s="100">
        <f t="shared" si="21"/>
        <v>20813587.750000015</v>
      </c>
      <c r="AN29" s="100">
        <f t="shared" si="21"/>
        <v>26989677.360000044</v>
      </c>
      <c r="AO29" s="100">
        <f t="shared" si="21"/>
        <v>28921152</v>
      </c>
      <c r="AP29" s="100">
        <f t="shared" si="21"/>
        <v>2294299.0700000003</v>
      </c>
      <c r="AQ29" s="100">
        <f t="shared" si="21"/>
        <v>398257.87000000104</v>
      </c>
      <c r="AR29" s="100">
        <f t="shared" si="21"/>
        <v>3064887.3999999985</v>
      </c>
      <c r="AS29" s="100">
        <f t="shared" si="21"/>
        <v>3661793.7799999863</v>
      </c>
      <c r="AT29" s="100">
        <f t="shared" si="21"/>
        <v>5850402.6600000113</v>
      </c>
      <c r="AU29" s="100">
        <f t="shared" si="21"/>
        <v>5938418.6599999815</v>
      </c>
      <c r="AV29" s="100">
        <f t="shared" si="21"/>
        <v>6753169.0200000256</v>
      </c>
      <c r="AW29" s="100">
        <f t="shared" si="21"/>
        <v>7930110.0900000036</v>
      </c>
      <c r="AX29" s="100">
        <f t="shared" si="21"/>
        <v>8733514.4699999839</v>
      </c>
      <c r="AY29" s="100">
        <f t="shared" si="21"/>
        <v>12047730.220000014</v>
      </c>
      <c r="AZ29" s="100">
        <f t="shared" si="21"/>
        <v>15063251.509999961</v>
      </c>
      <c r="BA29" s="100">
        <f t="shared" si="21"/>
        <v>22321321.200000018</v>
      </c>
      <c r="BB29" s="100">
        <f t="shared" si="21"/>
        <v>30607218.840000004</v>
      </c>
      <c r="BC29" s="100">
        <f t="shared" si="21"/>
        <v>895726.88000000082</v>
      </c>
      <c r="BD29" s="100">
        <f t="shared" si="21"/>
        <v>1526629.7699999996</v>
      </c>
      <c r="BE29" s="100">
        <f t="shared" si="21"/>
        <v>2513660.5200000033</v>
      </c>
      <c r="BF29" s="100">
        <f t="shared" si="21"/>
        <v>4327093.5000000075</v>
      </c>
      <c r="BG29" s="100">
        <f t="shared" si="21"/>
        <v>5661253.8399999961</v>
      </c>
      <c r="BH29" s="100">
        <f t="shared" si="21"/>
        <v>6323436.9000000209</v>
      </c>
      <c r="BI29" s="100">
        <f t="shared" si="21"/>
        <v>8134736.1299999952</v>
      </c>
      <c r="BJ29" s="100">
        <f t="shared" si="21"/>
        <v>8419733.4399999976</v>
      </c>
      <c r="BK29" s="100">
        <f t="shared" si="21"/>
        <v>8935840.6000000536</v>
      </c>
      <c r="BL29" s="100">
        <f t="shared" si="21"/>
        <v>11807849.650000006</v>
      </c>
      <c r="BM29" s="100">
        <f t="shared" si="21"/>
        <v>13189937.340000004</v>
      </c>
      <c r="BN29" s="100">
        <f t="shared" si="21"/>
        <v>29069526.090000004</v>
      </c>
      <c r="BO29" s="100">
        <f t="shared" si="21"/>
        <v>29069525</v>
      </c>
    </row>
    <row r="30" spans="1:67" s="87" customFormat="1" ht="13.9">
      <c r="A30" s="99" t="s">
        <v>342</v>
      </c>
      <c r="B30" s="100">
        <f>(B31-B32)</f>
        <v>0</v>
      </c>
      <c r="C30" s="100">
        <f t="shared" ref="C30:I30" si="22">(C31-C32)</f>
        <v>0</v>
      </c>
      <c r="D30" s="100">
        <f t="shared" si="22"/>
        <v>0</v>
      </c>
      <c r="E30" s="100">
        <f t="shared" si="22"/>
        <v>0</v>
      </c>
      <c r="F30" s="100">
        <f t="shared" si="22"/>
        <v>0</v>
      </c>
      <c r="G30" s="100">
        <f t="shared" si="22"/>
        <v>0</v>
      </c>
      <c r="H30" s="100">
        <f t="shared" si="22"/>
        <v>0</v>
      </c>
      <c r="I30" s="100">
        <f t="shared" si="22"/>
        <v>1204074</v>
      </c>
      <c r="J30" s="100">
        <f t="shared" ref="J30:AB30" si="23">(J31-J32)</f>
        <v>1204074</v>
      </c>
      <c r="K30" s="100">
        <f t="shared" si="23"/>
        <v>1204074</v>
      </c>
      <c r="L30" s="100">
        <f t="shared" si="23"/>
        <v>1204074</v>
      </c>
      <c r="M30" s="100">
        <f t="shared" si="23"/>
        <v>1204074</v>
      </c>
      <c r="N30" s="100">
        <f t="shared" si="23"/>
        <v>1204074</v>
      </c>
      <c r="O30" s="100">
        <f t="shared" si="23"/>
        <v>1204074</v>
      </c>
      <c r="P30" s="100">
        <f t="shared" si="23"/>
        <v>0</v>
      </c>
      <c r="Q30" s="100">
        <f t="shared" si="23"/>
        <v>0</v>
      </c>
      <c r="R30" s="100">
        <f t="shared" si="23"/>
        <v>0</v>
      </c>
      <c r="S30" s="100">
        <f t="shared" si="23"/>
        <v>0</v>
      </c>
      <c r="T30" s="100">
        <f t="shared" si="23"/>
        <v>0</v>
      </c>
      <c r="U30" s="100">
        <f t="shared" si="23"/>
        <v>0</v>
      </c>
      <c r="V30" s="100">
        <f t="shared" si="23"/>
        <v>0</v>
      </c>
      <c r="W30" s="100">
        <f t="shared" si="23"/>
        <v>0</v>
      </c>
      <c r="X30" s="100">
        <f t="shared" si="23"/>
        <v>0</v>
      </c>
      <c r="Y30" s="100">
        <f t="shared" si="23"/>
        <v>0</v>
      </c>
      <c r="Z30" s="100">
        <f t="shared" si="23"/>
        <v>0</v>
      </c>
      <c r="AA30" s="100">
        <f t="shared" si="23"/>
        <v>0</v>
      </c>
      <c r="AB30" s="100">
        <f t="shared" si="23"/>
        <v>0</v>
      </c>
      <c r="AC30" s="100">
        <f>(AC31-AC32)</f>
        <v>0</v>
      </c>
      <c r="AD30" s="100">
        <f t="shared" ref="AD30:BO30" si="24">(AD31-AD32)</f>
        <v>0</v>
      </c>
      <c r="AE30" s="100">
        <f t="shared" si="24"/>
        <v>0</v>
      </c>
      <c r="AF30" s="100">
        <f t="shared" si="24"/>
        <v>0</v>
      </c>
      <c r="AG30" s="100">
        <f t="shared" si="24"/>
        <v>0</v>
      </c>
      <c r="AH30" s="100">
        <f t="shared" si="24"/>
        <v>0</v>
      </c>
      <c r="AI30" s="100">
        <f t="shared" si="24"/>
        <v>0</v>
      </c>
      <c r="AJ30" s="100">
        <f t="shared" si="24"/>
        <v>0</v>
      </c>
      <c r="AK30" s="100">
        <f t="shared" si="24"/>
        <v>0</v>
      </c>
      <c r="AL30" s="100">
        <f t="shared" si="24"/>
        <v>0</v>
      </c>
      <c r="AM30" s="100">
        <f t="shared" si="24"/>
        <v>0</v>
      </c>
      <c r="AN30" s="100">
        <f t="shared" si="24"/>
        <v>44922.6</v>
      </c>
      <c r="AO30" s="100">
        <f t="shared" si="24"/>
        <v>44923</v>
      </c>
      <c r="AP30" s="100">
        <f t="shared" si="24"/>
        <v>0</v>
      </c>
      <c r="AQ30" s="100">
        <f t="shared" si="24"/>
        <v>0</v>
      </c>
      <c r="AR30" s="100">
        <f t="shared" si="24"/>
        <v>0</v>
      </c>
      <c r="AS30" s="100">
        <f t="shared" si="24"/>
        <v>0</v>
      </c>
      <c r="AT30" s="100">
        <f t="shared" si="24"/>
        <v>0</v>
      </c>
      <c r="AU30" s="100">
        <f t="shared" si="24"/>
        <v>0</v>
      </c>
      <c r="AV30" s="100">
        <f t="shared" si="24"/>
        <v>0</v>
      </c>
      <c r="AW30" s="100">
        <f t="shared" si="24"/>
        <v>0</v>
      </c>
      <c r="AX30" s="100">
        <f t="shared" si="24"/>
        <v>0</v>
      </c>
      <c r="AY30" s="100">
        <f t="shared" si="24"/>
        <v>0</v>
      </c>
      <c r="AZ30" s="100">
        <f t="shared" si="24"/>
        <v>0</v>
      </c>
      <c r="BA30" s="100">
        <f t="shared" si="24"/>
        <v>0</v>
      </c>
      <c r="BB30" s="100">
        <f t="shared" si="24"/>
        <v>0</v>
      </c>
      <c r="BC30" s="100">
        <f t="shared" si="24"/>
        <v>0</v>
      </c>
      <c r="BD30" s="100">
        <f t="shared" si="24"/>
        <v>0</v>
      </c>
      <c r="BE30" s="100">
        <f t="shared" si="24"/>
        <v>0</v>
      </c>
      <c r="BF30" s="100">
        <f t="shared" si="24"/>
        <v>10657</v>
      </c>
      <c r="BG30" s="100">
        <f t="shared" si="24"/>
        <v>0</v>
      </c>
      <c r="BH30" s="100">
        <f t="shared" si="24"/>
        <v>0</v>
      </c>
      <c r="BI30" s="100">
        <f t="shared" si="24"/>
        <v>0</v>
      </c>
      <c r="BJ30" s="100">
        <f t="shared" si="24"/>
        <v>0</v>
      </c>
      <c r="BK30" s="100">
        <f t="shared" si="24"/>
        <v>0</v>
      </c>
      <c r="BL30" s="100">
        <f t="shared" si="24"/>
        <v>0</v>
      </c>
      <c r="BM30" s="100">
        <f t="shared" si="24"/>
        <v>0</v>
      </c>
      <c r="BN30" s="100">
        <f t="shared" si="24"/>
        <v>0</v>
      </c>
      <c r="BO30" s="100">
        <f t="shared" si="24"/>
        <v>0</v>
      </c>
    </row>
    <row r="31" spans="1:67" s="87" customFormat="1">
      <c r="A31" s="101" t="s">
        <v>343</v>
      </c>
      <c r="B31" s="102"/>
      <c r="C31" s="103"/>
      <c r="D31" s="103"/>
      <c r="E31" s="103"/>
      <c r="F31" s="103"/>
      <c r="G31" s="124"/>
      <c r="H31" s="105"/>
      <c r="I31" s="139">
        <v>1204074</v>
      </c>
      <c r="J31" s="105">
        <v>1204074</v>
      </c>
      <c r="K31" s="160">
        <v>1204074</v>
      </c>
      <c r="L31" s="160">
        <v>1204074</v>
      </c>
      <c r="M31" s="160">
        <v>1204074</v>
      </c>
      <c r="N31" s="160">
        <v>1204074</v>
      </c>
      <c r="O31" s="160">
        <v>1204074</v>
      </c>
      <c r="P31" s="110"/>
      <c r="Q31" s="160">
        <v>0</v>
      </c>
      <c r="R31" s="160">
        <v>0</v>
      </c>
      <c r="S31" s="160">
        <v>0</v>
      </c>
      <c r="T31" s="272">
        <v>0</v>
      </c>
      <c r="U31" s="272">
        <v>0</v>
      </c>
      <c r="V31" s="272">
        <v>0</v>
      </c>
      <c r="W31" s="160">
        <v>0</v>
      </c>
      <c r="X31" s="160">
        <v>0</v>
      </c>
      <c r="Y31" s="160">
        <v>0</v>
      </c>
      <c r="Z31" s="160">
        <v>0</v>
      </c>
      <c r="AA31" s="160">
        <v>0</v>
      </c>
      <c r="AB31" s="160">
        <v>0</v>
      </c>
      <c r="AD31" s="160">
        <v>0</v>
      </c>
      <c r="AE31" s="160">
        <v>0</v>
      </c>
      <c r="AF31" s="160">
        <v>0</v>
      </c>
      <c r="AG31" s="160">
        <v>0</v>
      </c>
      <c r="AH31" s="160">
        <v>0</v>
      </c>
      <c r="AI31" s="160">
        <v>0</v>
      </c>
      <c r="AJ31" s="160">
        <v>0</v>
      </c>
      <c r="AK31" s="160">
        <v>0</v>
      </c>
      <c r="AL31" s="160">
        <v>0</v>
      </c>
      <c r="AM31" s="160">
        <v>0</v>
      </c>
      <c r="AN31" s="160">
        <v>44922.6</v>
      </c>
      <c r="AO31" s="265">
        <v>44923</v>
      </c>
      <c r="AP31" s="160">
        <v>0</v>
      </c>
      <c r="AQ31" s="160">
        <v>0</v>
      </c>
      <c r="AR31" s="160">
        <v>0</v>
      </c>
      <c r="AS31" s="160">
        <v>0</v>
      </c>
      <c r="AT31" s="160">
        <v>0</v>
      </c>
      <c r="AU31" s="290">
        <v>0</v>
      </c>
      <c r="AV31" s="160">
        <v>0</v>
      </c>
      <c r="AW31" s="160">
        <v>0</v>
      </c>
      <c r="AX31" s="160">
        <v>0</v>
      </c>
      <c r="AY31" s="160">
        <v>0</v>
      </c>
      <c r="AZ31" s="160">
        <v>0</v>
      </c>
      <c r="BA31" s="160">
        <v>0</v>
      </c>
      <c r="BB31" s="203"/>
      <c r="BC31" s="160">
        <v>0</v>
      </c>
      <c r="BD31" s="160">
        <v>0</v>
      </c>
      <c r="BE31" s="160">
        <v>0</v>
      </c>
      <c r="BF31" s="160">
        <v>10657</v>
      </c>
      <c r="BG31" s="160">
        <v>0</v>
      </c>
      <c r="BH31" s="160">
        <v>0</v>
      </c>
      <c r="BI31" s="311">
        <v>0</v>
      </c>
      <c r="BJ31" s="311">
        <v>0</v>
      </c>
      <c r="BK31" s="311">
        <v>0</v>
      </c>
      <c r="BL31" s="311">
        <v>0</v>
      </c>
      <c r="BM31" s="311">
        <v>0</v>
      </c>
      <c r="BN31" s="311">
        <v>0</v>
      </c>
      <c r="BO31" s="311">
        <v>0</v>
      </c>
    </row>
    <row r="32" spans="1:67" s="87" customFormat="1">
      <c r="A32" s="101" t="s">
        <v>344</v>
      </c>
      <c r="B32" s="102"/>
      <c r="C32" s="103"/>
      <c r="D32" s="103">
        <v>0</v>
      </c>
      <c r="E32" s="103">
        <v>0</v>
      </c>
      <c r="F32" s="103">
        <v>0</v>
      </c>
      <c r="G32" s="124">
        <v>0</v>
      </c>
      <c r="H32" s="105"/>
      <c r="I32" s="105"/>
      <c r="J32" s="105"/>
      <c r="K32" s="160">
        <v>0</v>
      </c>
      <c r="L32" s="160">
        <v>0</v>
      </c>
      <c r="M32" s="160">
        <v>0</v>
      </c>
      <c r="N32" s="160">
        <v>0</v>
      </c>
      <c r="O32" s="160">
        <v>0</v>
      </c>
      <c r="P32" s="110"/>
      <c r="Q32" s="160">
        <v>0</v>
      </c>
      <c r="R32" s="160">
        <v>0</v>
      </c>
      <c r="S32" s="160">
        <v>0</v>
      </c>
      <c r="T32" s="272">
        <v>0</v>
      </c>
      <c r="U32" s="272">
        <v>0</v>
      </c>
      <c r="V32" s="272">
        <v>0</v>
      </c>
      <c r="W32" s="160">
        <v>0</v>
      </c>
      <c r="X32" s="160">
        <v>0</v>
      </c>
      <c r="Y32" s="160">
        <v>0</v>
      </c>
      <c r="Z32" s="160">
        <v>0</v>
      </c>
      <c r="AA32" s="160">
        <v>0</v>
      </c>
      <c r="AB32" s="160">
        <v>0</v>
      </c>
      <c r="AD32" s="160">
        <v>0</v>
      </c>
      <c r="AE32" s="160">
        <v>0</v>
      </c>
      <c r="AF32" s="160">
        <v>0</v>
      </c>
      <c r="AG32" s="160">
        <v>0</v>
      </c>
      <c r="AH32" s="160">
        <v>0</v>
      </c>
      <c r="AI32" s="160">
        <v>0</v>
      </c>
      <c r="AJ32" s="160">
        <v>0</v>
      </c>
      <c r="AK32" s="160">
        <v>0</v>
      </c>
      <c r="AL32" s="160">
        <v>0</v>
      </c>
      <c r="AM32" s="160">
        <v>0</v>
      </c>
      <c r="AN32" s="160">
        <v>0</v>
      </c>
      <c r="AO32" s="160">
        <v>0</v>
      </c>
      <c r="AP32" s="160">
        <v>0</v>
      </c>
      <c r="AQ32" s="160">
        <v>0</v>
      </c>
      <c r="AR32" s="160">
        <v>0</v>
      </c>
      <c r="AS32" s="160">
        <v>0</v>
      </c>
      <c r="AT32" s="160">
        <v>0</v>
      </c>
      <c r="AU32" s="290">
        <v>0</v>
      </c>
      <c r="AV32" s="160">
        <v>0</v>
      </c>
      <c r="AW32" s="160">
        <v>0</v>
      </c>
      <c r="AX32" s="160">
        <v>0</v>
      </c>
      <c r="AY32" s="160">
        <v>0</v>
      </c>
      <c r="AZ32" s="160">
        <v>0</v>
      </c>
      <c r="BA32" s="160">
        <v>0</v>
      </c>
      <c r="BB32" s="203"/>
      <c r="BC32" s="160">
        <v>0</v>
      </c>
      <c r="BD32" s="160">
        <v>0</v>
      </c>
      <c r="BE32" s="160">
        <v>0</v>
      </c>
      <c r="BF32" s="160">
        <v>0</v>
      </c>
      <c r="BG32" s="160">
        <v>0</v>
      </c>
      <c r="BH32" s="160">
        <v>0</v>
      </c>
      <c r="BI32" s="311">
        <v>0</v>
      </c>
      <c r="BJ32" s="311">
        <v>0</v>
      </c>
      <c r="BK32" s="311">
        <v>0</v>
      </c>
      <c r="BL32" s="311">
        <v>0</v>
      </c>
      <c r="BM32" s="311">
        <v>0</v>
      </c>
      <c r="BN32" s="311">
        <v>0</v>
      </c>
      <c r="BO32" s="311">
        <v>0</v>
      </c>
    </row>
    <row r="33" spans="1:67" s="87" customFormat="1" ht="13.9">
      <c r="A33" s="121" t="s">
        <v>345</v>
      </c>
      <c r="B33" s="122">
        <f>B29+B30</f>
        <v>3030.7829468990003</v>
      </c>
      <c r="C33" s="122">
        <f t="shared" ref="C33:BN33" si="25">C29+C30</f>
        <v>12685889</v>
      </c>
      <c r="D33" s="122">
        <f t="shared" si="25"/>
        <v>9337095.0000000019</v>
      </c>
      <c r="E33" s="122">
        <f t="shared" si="25"/>
        <v>6504356.6700000018</v>
      </c>
      <c r="F33" s="122">
        <f t="shared" si="25"/>
        <v>7436870.5699999928</v>
      </c>
      <c r="G33" s="122">
        <f t="shared" si="25"/>
        <v>6071812.0100000054</v>
      </c>
      <c r="H33" s="122">
        <f t="shared" si="25"/>
        <v>3162400.6899999827</v>
      </c>
      <c r="I33" s="122">
        <f t="shared" si="25"/>
        <v>4663857.9699999988</v>
      </c>
      <c r="J33" s="122">
        <f t="shared" si="25"/>
        <v>4946815.7800000161</v>
      </c>
      <c r="K33" s="122">
        <f t="shared" si="25"/>
        <v>10990213.87999998</v>
      </c>
      <c r="L33" s="122">
        <f t="shared" si="25"/>
        <v>10296055.140000015</v>
      </c>
      <c r="M33" s="122">
        <f t="shared" si="25"/>
        <v>14289779.430000007</v>
      </c>
      <c r="N33" s="122">
        <f t="shared" si="25"/>
        <v>16311410.679999992</v>
      </c>
      <c r="O33" s="122">
        <f t="shared" si="25"/>
        <v>23827030.890000015</v>
      </c>
      <c r="P33" s="122">
        <f t="shared" si="25"/>
        <v>22990778</v>
      </c>
      <c r="Q33" s="122">
        <f t="shared" si="25"/>
        <v>3752898.5999999978</v>
      </c>
      <c r="R33" s="122">
        <f t="shared" si="25"/>
        <v>1222702.6399999969</v>
      </c>
      <c r="S33" s="122">
        <f t="shared" si="25"/>
        <v>1599641.2599999979</v>
      </c>
      <c r="T33" s="122">
        <f t="shared" si="25"/>
        <v>2379802.340000011</v>
      </c>
      <c r="U33" s="122">
        <f t="shared" si="25"/>
        <v>1972446.2999999821</v>
      </c>
      <c r="V33" s="122">
        <f t="shared" si="25"/>
        <v>5036313.9400000125</v>
      </c>
      <c r="W33" s="122">
        <f t="shared" si="25"/>
        <v>1573466.75</v>
      </c>
      <c r="X33" s="122">
        <f t="shared" si="25"/>
        <v>4704502.6299999952</v>
      </c>
      <c r="Y33" s="122">
        <f t="shared" si="25"/>
        <v>5175944.1599999964</v>
      </c>
      <c r="Z33" s="122">
        <f t="shared" si="25"/>
        <v>7919489.2199999988</v>
      </c>
      <c r="AA33" s="122">
        <f t="shared" si="25"/>
        <v>16235386.829999983</v>
      </c>
      <c r="AB33" s="122">
        <f t="shared" si="25"/>
        <v>21945690.340000004</v>
      </c>
      <c r="AC33" s="122">
        <f t="shared" si="25"/>
        <v>24523668</v>
      </c>
      <c r="AD33" s="122">
        <f t="shared" si="25"/>
        <v>4204913.540000001</v>
      </c>
      <c r="AE33" s="122">
        <f t="shared" si="25"/>
        <v>3002477.9400000013</v>
      </c>
      <c r="AF33" s="122">
        <f t="shared" si="25"/>
        <v>2008460.7800000012</v>
      </c>
      <c r="AG33" s="122">
        <f t="shared" si="25"/>
        <v>3946586.1999999955</v>
      </c>
      <c r="AH33" s="122">
        <f t="shared" si="25"/>
        <v>4231703.4499999881</v>
      </c>
      <c r="AI33" s="122">
        <f t="shared" si="25"/>
        <v>6148706.400000006</v>
      </c>
      <c r="AJ33" s="122">
        <f t="shared" si="25"/>
        <v>14872506.799999982</v>
      </c>
      <c r="AK33" s="122">
        <f t="shared" si="25"/>
        <v>5073515.8400000036</v>
      </c>
      <c r="AL33" s="122">
        <f t="shared" si="25"/>
        <v>9673220.0600000024</v>
      </c>
      <c r="AM33" s="122">
        <f t="shared" si="25"/>
        <v>20813587.750000015</v>
      </c>
      <c r="AN33" s="122">
        <f t="shared" si="25"/>
        <v>27034599.960000046</v>
      </c>
      <c r="AO33" s="122">
        <f t="shared" si="25"/>
        <v>28966075</v>
      </c>
      <c r="AP33" s="122">
        <f t="shared" si="25"/>
        <v>2294299.0700000003</v>
      </c>
      <c r="AQ33" s="122">
        <f t="shared" si="25"/>
        <v>398257.87000000104</v>
      </c>
      <c r="AR33" s="122">
        <f t="shared" si="25"/>
        <v>3064887.3999999985</v>
      </c>
      <c r="AS33" s="122">
        <f t="shared" si="25"/>
        <v>3661793.7799999863</v>
      </c>
      <c r="AT33" s="122">
        <f t="shared" si="25"/>
        <v>5850402.6600000113</v>
      </c>
      <c r="AU33" s="122">
        <f t="shared" si="25"/>
        <v>5938418.6599999815</v>
      </c>
      <c r="AV33" s="122">
        <f t="shared" si="25"/>
        <v>6753169.0200000256</v>
      </c>
      <c r="AW33" s="122">
        <f t="shared" si="25"/>
        <v>7930110.0900000036</v>
      </c>
      <c r="AX33" s="122">
        <f t="shared" si="25"/>
        <v>8733514.4699999839</v>
      </c>
      <c r="AY33" s="122">
        <f t="shared" si="25"/>
        <v>12047730.220000014</v>
      </c>
      <c r="AZ33" s="122">
        <f t="shared" si="25"/>
        <v>15063251.509999961</v>
      </c>
      <c r="BA33" s="122">
        <f t="shared" si="25"/>
        <v>22321321.200000018</v>
      </c>
      <c r="BB33" s="122">
        <f t="shared" si="25"/>
        <v>30607218.840000004</v>
      </c>
      <c r="BC33" s="122">
        <f t="shared" si="25"/>
        <v>895726.88000000082</v>
      </c>
      <c r="BD33" s="122">
        <f t="shared" si="25"/>
        <v>1526629.7699999996</v>
      </c>
      <c r="BE33" s="122">
        <f t="shared" si="25"/>
        <v>2513660.5200000033</v>
      </c>
      <c r="BF33" s="122">
        <f t="shared" si="25"/>
        <v>4337750.5000000075</v>
      </c>
      <c r="BG33" s="122">
        <f t="shared" si="25"/>
        <v>5661253.8399999961</v>
      </c>
      <c r="BH33" s="122">
        <f t="shared" si="25"/>
        <v>6323436.9000000209</v>
      </c>
      <c r="BI33" s="122">
        <f t="shared" si="25"/>
        <v>8134736.1299999952</v>
      </c>
      <c r="BJ33" s="122">
        <f t="shared" si="25"/>
        <v>8419733.4399999976</v>
      </c>
      <c r="BK33" s="122">
        <f t="shared" si="25"/>
        <v>8935840.6000000536</v>
      </c>
      <c r="BL33" s="122">
        <f t="shared" si="25"/>
        <v>11807849.650000006</v>
      </c>
      <c r="BM33" s="122">
        <f t="shared" si="25"/>
        <v>13189937.340000004</v>
      </c>
      <c r="BN33" s="122">
        <f t="shared" si="25"/>
        <v>29069526.090000004</v>
      </c>
      <c r="BO33" s="122">
        <f t="shared" ref="BO33" si="26">BO29+BO30</f>
        <v>29069525</v>
      </c>
    </row>
    <row r="34" spans="1:67" s="87" customFormat="1">
      <c r="A34" s="101" t="s">
        <v>346</v>
      </c>
      <c r="B34" s="102">
        <v>20</v>
      </c>
      <c r="C34" s="103"/>
      <c r="D34" s="103">
        <v>0</v>
      </c>
      <c r="E34" s="103">
        <v>0</v>
      </c>
      <c r="F34" s="103">
        <v>0</v>
      </c>
      <c r="G34" s="124">
        <v>0</v>
      </c>
      <c r="H34" s="105"/>
      <c r="I34" s="105"/>
      <c r="J34" s="105"/>
      <c r="K34" s="160">
        <v>0</v>
      </c>
      <c r="L34" s="160">
        <v>0</v>
      </c>
      <c r="M34" s="160">
        <v>0</v>
      </c>
      <c r="N34" s="160">
        <v>0</v>
      </c>
      <c r="O34" s="160">
        <v>0</v>
      </c>
      <c r="P34" s="119"/>
      <c r="Q34" s="160">
        <v>0</v>
      </c>
      <c r="R34" s="160">
        <v>0</v>
      </c>
      <c r="S34" s="160">
        <v>0</v>
      </c>
      <c r="T34" s="272">
        <v>0</v>
      </c>
      <c r="U34" s="272">
        <v>0</v>
      </c>
      <c r="V34" s="272">
        <v>0</v>
      </c>
      <c r="W34" s="160">
        <v>0</v>
      </c>
      <c r="X34" s="160">
        <v>0</v>
      </c>
      <c r="Y34" s="160">
        <v>0</v>
      </c>
      <c r="Z34" s="160">
        <v>0</v>
      </c>
      <c r="AA34" s="160">
        <v>0</v>
      </c>
      <c r="AB34" s="160">
        <v>0</v>
      </c>
      <c r="AD34" s="160">
        <v>0</v>
      </c>
      <c r="AE34" s="160">
        <v>0</v>
      </c>
      <c r="AF34" s="160">
        <v>0</v>
      </c>
      <c r="AG34" s="160">
        <v>0</v>
      </c>
      <c r="AH34" s="160">
        <v>0</v>
      </c>
      <c r="AI34" s="160">
        <v>0</v>
      </c>
      <c r="AJ34" s="160">
        <v>0</v>
      </c>
      <c r="AK34" s="160">
        <v>0</v>
      </c>
      <c r="AL34" s="160">
        <v>0</v>
      </c>
      <c r="AM34" s="160">
        <v>0</v>
      </c>
      <c r="AN34" s="160">
        <v>0</v>
      </c>
      <c r="AO34" s="264">
        <v>1515941</v>
      </c>
      <c r="AP34" s="160">
        <v>0</v>
      </c>
      <c r="AQ34" s="160">
        <v>0</v>
      </c>
      <c r="AR34" s="160">
        <v>0</v>
      </c>
      <c r="AS34" s="160">
        <v>0</v>
      </c>
      <c r="AT34" s="160">
        <v>0</v>
      </c>
      <c r="AU34" s="290">
        <v>0</v>
      </c>
      <c r="AV34" s="160">
        <v>0</v>
      </c>
      <c r="AW34" s="285">
        <v>0</v>
      </c>
      <c r="AX34" s="285">
        <v>0</v>
      </c>
      <c r="AY34" s="285">
        <v>0</v>
      </c>
      <c r="AZ34" s="160">
        <v>0</v>
      </c>
      <c r="BA34" s="160">
        <v>0</v>
      </c>
      <c r="BB34" s="203">
        <v>4194148</v>
      </c>
      <c r="BC34" s="160">
        <v>0</v>
      </c>
      <c r="BD34" s="160">
        <v>0</v>
      </c>
      <c r="BE34" s="160">
        <v>0</v>
      </c>
      <c r="BF34" s="160">
        <v>0</v>
      </c>
      <c r="BG34" s="160">
        <v>0</v>
      </c>
      <c r="BH34" s="160">
        <v>0</v>
      </c>
      <c r="BI34" s="311">
        <v>0</v>
      </c>
      <c r="BJ34" s="311">
        <v>0</v>
      </c>
      <c r="BK34" s="311">
        <v>0</v>
      </c>
      <c r="BL34" s="311">
        <v>0</v>
      </c>
      <c r="BM34" s="311">
        <v>0</v>
      </c>
      <c r="BN34" s="311">
        <v>5067374</v>
      </c>
      <c r="BO34" s="203">
        <v>5067374</v>
      </c>
    </row>
    <row r="35" spans="1:67" s="87" customFormat="1" ht="15.75" customHeight="1">
      <c r="A35" s="99" t="s">
        <v>347</v>
      </c>
      <c r="B35" s="100">
        <f>B33-B34</f>
        <v>3010.7829468990003</v>
      </c>
      <c r="C35" s="100">
        <f t="shared" ref="C35:H35" si="27">C33-C34</f>
        <v>12685889</v>
      </c>
      <c r="D35" s="100">
        <f t="shared" si="27"/>
        <v>9337095.0000000019</v>
      </c>
      <c r="E35" s="100">
        <f t="shared" si="27"/>
        <v>6504356.6700000018</v>
      </c>
      <c r="F35" s="100">
        <f t="shared" si="27"/>
        <v>7436870.5699999928</v>
      </c>
      <c r="G35" s="100">
        <f t="shared" si="27"/>
        <v>6071812.0100000054</v>
      </c>
      <c r="H35" s="100">
        <f t="shared" si="27"/>
        <v>3162400.6899999827</v>
      </c>
      <c r="I35" s="100">
        <f t="shared" ref="I35:BO35" si="28">I33-I34</f>
        <v>4663857.9699999988</v>
      </c>
      <c r="J35" s="100">
        <f t="shared" si="28"/>
        <v>4946815.7800000161</v>
      </c>
      <c r="K35" s="100">
        <f t="shared" si="28"/>
        <v>10990213.87999998</v>
      </c>
      <c r="L35" s="100">
        <f t="shared" si="28"/>
        <v>10296055.140000015</v>
      </c>
      <c r="M35" s="100">
        <f t="shared" si="28"/>
        <v>14289779.430000007</v>
      </c>
      <c r="N35" s="100">
        <f t="shared" si="28"/>
        <v>16311410.679999992</v>
      </c>
      <c r="O35" s="100">
        <f t="shared" si="28"/>
        <v>23827030.890000015</v>
      </c>
      <c r="P35" s="100">
        <f t="shared" si="28"/>
        <v>22990778</v>
      </c>
      <c r="Q35" s="100">
        <f t="shared" si="28"/>
        <v>3752898.5999999978</v>
      </c>
      <c r="R35" s="100">
        <f t="shared" si="28"/>
        <v>1222702.6399999969</v>
      </c>
      <c r="S35" s="100">
        <f t="shared" si="28"/>
        <v>1599641.2599999979</v>
      </c>
      <c r="T35" s="100">
        <f t="shared" si="28"/>
        <v>2379802.340000011</v>
      </c>
      <c r="U35" s="100">
        <f t="shared" si="28"/>
        <v>1972446.2999999821</v>
      </c>
      <c r="V35" s="100">
        <f t="shared" si="28"/>
        <v>5036313.9400000125</v>
      </c>
      <c r="W35" s="100">
        <f t="shared" si="28"/>
        <v>1573466.75</v>
      </c>
      <c r="X35" s="100">
        <f t="shared" si="28"/>
        <v>4704502.6299999952</v>
      </c>
      <c r="Y35" s="100">
        <f t="shared" si="28"/>
        <v>5175944.1599999964</v>
      </c>
      <c r="Z35" s="100">
        <f t="shared" si="28"/>
        <v>7919489.2199999988</v>
      </c>
      <c r="AA35" s="100">
        <f t="shared" si="28"/>
        <v>16235386.829999983</v>
      </c>
      <c r="AB35" s="100">
        <f t="shared" si="28"/>
        <v>21945690.340000004</v>
      </c>
      <c r="AC35" s="100">
        <f t="shared" si="28"/>
        <v>24523668</v>
      </c>
      <c r="AD35" s="100">
        <f t="shared" si="28"/>
        <v>4204913.540000001</v>
      </c>
      <c r="AE35" s="100">
        <f t="shared" si="28"/>
        <v>3002477.9400000013</v>
      </c>
      <c r="AF35" s="100">
        <f t="shared" si="28"/>
        <v>2008460.7800000012</v>
      </c>
      <c r="AG35" s="100">
        <f t="shared" si="28"/>
        <v>3946586.1999999955</v>
      </c>
      <c r="AH35" s="100">
        <f t="shared" si="28"/>
        <v>4231703.4499999881</v>
      </c>
      <c r="AI35" s="100">
        <f t="shared" si="28"/>
        <v>6148706.400000006</v>
      </c>
      <c r="AJ35" s="100">
        <f t="shared" si="28"/>
        <v>14872506.799999982</v>
      </c>
      <c r="AK35" s="100">
        <f t="shared" si="28"/>
        <v>5073515.8400000036</v>
      </c>
      <c r="AL35" s="100">
        <f t="shared" si="28"/>
        <v>9673220.0600000024</v>
      </c>
      <c r="AM35" s="100">
        <f t="shared" si="28"/>
        <v>20813587.750000015</v>
      </c>
      <c r="AN35" s="100">
        <f t="shared" si="28"/>
        <v>27034599.960000046</v>
      </c>
      <c r="AO35" s="100">
        <f t="shared" si="28"/>
        <v>27450134</v>
      </c>
      <c r="AP35" s="100">
        <f t="shared" si="28"/>
        <v>2294299.0700000003</v>
      </c>
      <c r="AQ35" s="100">
        <f t="shared" si="28"/>
        <v>398257.87000000104</v>
      </c>
      <c r="AR35" s="100">
        <f t="shared" si="28"/>
        <v>3064887.3999999985</v>
      </c>
      <c r="AS35" s="100">
        <f t="shared" si="28"/>
        <v>3661793.7799999863</v>
      </c>
      <c r="AT35" s="100">
        <f t="shared" si="28"/>
        <v>5850402.6600000113</v>
      </c>
      <c r="AU35" s="100">
        <f t="shared" si="28"/>
        <v>5938418.6599999815</v>
      </c>
      <c r="AV35" s="100">
        <f t="shared" si="28"/>
        <v>6753169.0200000256</v>
      </c>
      <c r="AW35" s="100">
        <f t="shared" si="28"/>
        <v>7930110.0900000036</v>
      </c>
      <c r="AX35" s="100">
        <f t="shared" si="28"/>
        <v>8733514.4699999839</v>
      </c>
      <c r="AY35" s="100">
        <f t="shared" si="28"/>
        <v>12047730.220000014</v>
      </c>
      <c r="AZ35" s="100">
        <f t="shared" si="28"/>
        <v>15063251.509999961</v>
      </c>
      <c r="BA35" s="100">
        <f t="shared" si="28"/>
        <v>22321321.200000018</v>
      </c>
      <c r="BB35" s="100">
        <f t="shared" si="28"/>
        <v>26413070.840000004</v>
      </c>
      <c r="BC35" s="100">
        <f t="shared" si="28"/>
        <v>895726.88000000082</v>
      </c>
      <c r="BD35" s="100">
        <f t="shared" si="28"/>
        <v>1526629.7699999996</v>
      </c>
      <c r="BE35" s="100">
        <f t="shared" si="28"/>
        <v>2513660.5200000033</v>
      </c>
      <c r="BF35" s="100">
        <f t="shared" si="28"/>
        <v>4337750.5000000075</v>
      </c>
      <c r="BG35" s="100">
        <f t="shared" si="28"/>
        <v>5661253.8399999961</v>
      </c>
      <c r="BH35" s="100">
        <f t="shared" si="28"/>
        <v>6323436.9000000209</v>
      </c>
      <c r="BI35" s="100">
        <f t="shared" si="28"/>
        <v>8134736.1299999952</v>
      </c>
      <c r="BJ35" s="100">
        <f t="shared" si="28"/>
        <v>8419733.4399999976</v>
      </c>
      <c r="BK35" s="100">
        <f t="shared" si="28"/>
        <v>8935840.6000000536</v>
      </c>
      <c r="BL35" s="100">
        <f t="shared" si="28"/>
        <v>11807849.650000006</v>
      </c>
      <c r="BM35" s="100">
        <f t="shared" si="28"/>
        <v>13189937.340000004</v>
      </c>
      <c r="BN35" s="100">
        <f t="shared" si="28"/>
        <v>24002152.090000004</v>
      </c>
      <c r="BO35" s="100">
        <f t="shared" si="28"/>
        <v>24002151</v>
      </c>
    </row>
    <row r="36" spans="1:67" s="87" customFormat="1">
      <c r="A36" s="101" t="s">
        <v>348</v>
      </c>
      <c r="B36" s="102"/>
      <c r="C36" s="103"/>
      <c r="D36" s="103"/>
      <c r="E36" s="103"/>
      <c r="F36" s="103"/>
      <c r="G36" s="124"/>
      <c r="H36" s="105"/>
      <c r="I36" s="105"/>
      <c r="J36" s="105"/>
      <c r="K36" s="160">
        <v>0</v>
      </c>
      <c r="L36" s="160">
        <v>0</v>
      </c>
      <c r="M36" s="160">
        <v>0</v>
      </c>
      <c r="N36" s="160">
        <v>0</v>
      </c>
      <c r="O36" s="160">
        <v>0</v>
      </c>
      <c r="P36" s="110"/>
      <c r="Q36" s="160">
        <v>0</v>
      </c>
      <c r="R36" s="160">
        <v>0</v>
      </c>
      <c r="S36" s="160">
        <v>0</v>
      </c>
      <c r="T36" s="272">
        <v>0</v>
      </c>
      <c r="U36" s="272">
        <v>0</v>
      </c>
      <c r="V36" s="272">
        <v>0</v>
      </c>
      <c r="W36" s="160">
        <v>0</v>
      </c>
      <c r="X36" s="160">
        <v>0</v>
      </c>
      <c r="Y36" s="160">
        <v>0</v>
      </c>
      <c r="Z36" s="160">
        <v>0</v>
      </c>
      <c r="AA36" s="160">
        <v>0</v>
      </c>
      <c r="AB36" s="160">
        <v>0</v>
      </c>
      <c r="AD36" s="160">
        <v>0</v>
      </c>
      <c r="AE36" s="160">
        <v>0</v>
      </c>
      <c r="AF36" s="160">
        <v>0</v>
      </c>
      <c r="AG36" s="160">
        <v>0</v>
      </c>
      <c r="AH36" s="160">
        <v>0</v>
      </c>
      <c r="AI36" s="160">
        <v>0</v>
      </c>
      <c r="AJ36" s="160">
        <v>0</v>
      </c>
      <c r="AK36" s="160">
        <v>0</v>
      </c>
      <c r="AL36" s="160">
        <v>0</v>
      </c>
      <c r="AM36" s="160">
        <v>0</v>
      </c>
      <c r="AN36" s="160">
        <v>0</v>
      </c>
      <c r="AO36" s="160">
        <v>0</v>
      </c>
      <c r="AP36" s="160">
        <v>0</v>
      </c>
      <c r="AQ36" s="160">
        <v>0</v>
      </c>
      <c r="AR36" s="160">
        <v>0</v>
      </c>
      <c r="AS36" s="160">
        <v>0</v>
      </c>
      <c r="AT36" s="160">
        <v>0</v>
      </c>
      <c r="AU36" s="290">
        <v>0</v>
      </c>
      <c r="AV36" s="160">
        <v>0</v>
      </c>
      <c r="AW36" s="285">
        <v>0</v>
      </c>
      <c r="AX36" s="285">
        <v>0</v>
      </c>
      <c r="AY36" s="285">
        <v>0</v>
      </c>
      <c r="AZ36" s="160">
        <v>0</v>
      </c>
      <c r="BA36" s="160">
        <v>0</v>
      </c>
      <c r="BB36" s="203"/>
      <c r="BC36" s="160">
        <v>0</v>
      </c>
      <c r="BD36" s="160">
        <v>0</v>
      </c>
      <c r="BE36" s="160">
        <v>0</v>
      </c>
      <c r="BF36" s="160">
        <v>0</v>
      </c>
      <c r="BG36" s="160">
        <v>0</v>
      </c>
      <c r="BH36" s="160">
        <v>0</v>
      </c>
      <c r="BI36" s="311">
        <v>0</v>
      </c>
      <c r="BJ36" s="311">
        <v>0</v>
      </c>
      <c r="BK36" s="311">
        <v>0</v>
      </c>
      <c r="BL36" s="311">
        <v>0</v>
      </c>
      <c r="BM36" s="311">
        <v>0</v>
      </c>
      <c r="BN36" s="311">
        <v>0</v>
      </c>
      <c r="BO36" s="311">
        <v>0</v>
      </c>
    </row>
    <row r="37" spans="1:67" s="87" customFormat="1" ht="13.9">
      <c r="A37" s="99" t="s">
        <v>349</v>
      </c>
      <c r="B37" s="100">
        <f>B35-B36</f>
        <v>3010.7829468990003</v>
      </c>
      <c r="C37" s="100">
        <f t="shared" ref="C37:H37" si="29">C35-C36</f>
        <v>12685889</v>
      </c>
      <c r="D37" s="100">
        <f t="shared" si="29"/>
        <v>9337095.0000000019</v>
      </c>
      <c r="E37" s="100">
        <f t="shared" si="29"/>
        <v>6504356.6700000018</v>
      </c>
      <c r="F37" s="100">
        <f t="shared" si="29"/>
        <v>7436870.5699999928</v>
      </c>
      <c r="G37" s="100">
        <f t="shared" si="29"/>
        <v>6071812.0100000054</v>
      </c>
      <c r="H37" s="100">
        <f t="shared" si="29"/>
        <v>3162400.6899999827</v>
      </c>
      <c r="I37" s="100">
        <f t="shared" ref="I37:BO37" si="30">I35-I36</f>
        <v>4663857.9699999988</v>
      </c>
      <c r="J37" s="100">
        <f t="shared" si="30"/>
        <v>4946815.7800000161</v>
      </c>
      <c r="K37" s="100">
        <f t="shared" si="30"/>
        <v>10990213.87999998</v>
      </c>
      <c r="L37" s="100">
        <f t="shared" si="30"/>
        <v>10296055.140000015</v>
      </c>
      <c r="M37" s="100">
        <f t="shared" si="30"/>
        <v>14289779.430000007</v>
      </c>
      <c r="N37" s="100">
        <f t="shared" si="30"/>
        <v>16311410.679999992</v>
      </c>
      <c r="O37" s="100">
        <f t="shared" si="30"/>
        <v>23827030.890000015</v>
      </c>
      <c r="P37" s="100">
        <f t="shared" si="30"/>
        <v>22990778</v>
      </c>
      <c r="Q37" s="100">
        <f t="shared" si="30"/>
        <v>3752898.5999999978</v>
      </c>
      <c r="R37" s="100">
        <f t="shared" si="30"/>
        <v>1222702.6399999969</v>
      </c>
      <c r="S37" s="100">
        <f t="shared" si="30"/>
        <v>1599641.2599999979</v>
      </c>
      <c r="T37" s="100">
        <f t="shared" si="30"/>
        <v>2379802.340000011</v>
      </c>
      <c r="U37" s="100">
        <f t="shared" si="30"/>
        <v>1972446.2999999821</v>
      </c>
      <c r="V37" s="100">
        <f t="shared" si="30"/>
        <v>5036313.9400000125</v>
      </c>
      <c r="W37" s="100">
        <f t="shared" si="30"/>
        <v>1573466.75</v>
      </c>
      <c r="X37" s="100">
        <f t="shared" si="30"/>
        <v>4704502.6299999952</v>
      </c>
      <c r="Y37" s="100">
        <f t="shared" si="30"/>
        <v>5175944.1599999964</v>
      </c>
      <c r="Z37" s="100">
        <f t="shared" si="30"/>
        <v>7919489.2199999988</v>
      </c>
      <c r="AA37" s="100">
        <f t="shared" si="30"/>
        <v>16235386.829999983</v>
      </c>
      <c r="AB37" s="100">
        <f t="shared" si="30"/>
        <v>21945690.340000004</v>
      </c>
      <c r="AC37" s="100">
        <f t="shared" si="30"/>
        <v>24523668</v>
      </c>
      <c r="AD37" s="100">
        <f t="shared" si="30"/>
        <v>4204913.540000001</v>
      </c>
      <c r="AE37" s="100">
        <f t="shared" si="30"/>
        <v>3002477.9400000013</v>
      </c>
      <c r="AF37" s="100">
        <f t="shared" si="30"/>
        <v>2008460.7800000012</v>
      </c>
      <c r="AG37" s="100">
        <f t="shared" si="30"/>
        <v>3946586.1999999955</v>
      </c>
      <c r="AH37" s="100">
        <f t="shared" si="30"/>
        <v>4231703.4499999881</v>
      </c>
      <c r="AI37" s="100">
        <f t="shared" si="30"/>
        <v>6148706.400000006</v>
      </c>
      <c r="AJ37" s="100">
        <f t="shared" si="30"/>
        <v>14872506.799999982</v>
      </c>
      <c r="AK37" s="100">
        <f t="shared" si="30"/>
        <v>5073515.8400000036</v>
      </c>
      <c r="AL37" s="100">
        <f t="shared" si="30"/>
        <v>9673220.0600000024</v>
      </c>
      <c r="AM37" s="100">
        <f t="shared" si="30"/>
        <v>20813587.750000015</v>
      </c>
      <c r="AN37" s="100">
        <f t="shared" si="30"/>
        <v>27034599.960000046</v>
      </c>
      <c r="AO37" s="100">
        <f t="shared" si="30"/>
        <v>27450134</v>
      </c>
      <c r="AP37" s="100">
        <f t="shared" si="30"/>
        <v>2294299.0700000003</v>
      </c>
      <c r="AQ37" s="100">
        <f t="shared" si="30"/>
        <v>398257.87000000104</v>
      </c>
      <c r="AR37" s="100">
        <f t="shared" si="30"/>
        <v>3064887.3999999985</v>
      </c>
      <c r="AS37" s="100">
        <f t="shared" si="30"/>
        <v>3661793.7799999863</v>
      </c>
      <c r="AT37" s="100">
        <f t="shared" si="30"/>
        <v>5850402.6600000113</v>
      </c>
      <c r="AU37" s="100">
        <f t="shared" si="30"/>
        <v>5938418.6599999815</v>
      </c>
      <c r="AV37" s="100">
        <f t="shared" si="30"/>
        <v>6753169.0200000256</v>
      </c>
      <c r="AW37" s="100">
        <f t="shared" si="30"/>
        <v>7930110.0900000036</v>
      </c>
      <c r="AX37" s="100">
        <f t="shared" si="30"/>
        <v>8733514.4699999839</v>
      </c>
      <c r="AY37" s="100">
        <f t="shared" si="30"/>
        <v>12047730.220000014</v>
      </c>
      <c r="AZ37" s="100">
        <f t="shared" si="30"/>
        <v>15063251.509999961</v>
      </c>
      <c r="BA37" s="100">
        <f t="shared" si="30"/>
        <v>22321321.200000018</v>
      </c>
      <c r="BB37" s="100">
        <f t="shared" si="30"/>
        <v>26413070.840000004</v>
      </c>
      <c r="BC37" s="100">
        <f t="shared" si="30"/>
        <v>895726.88000000082</v>
      </c>
      <c r="BD37" s="100">
        <f t="shared" si="30"/>
        <v>1526629.7699999996</v>
      </c>
      <c r="BE37" s="100">
        <f t="shared" si="30"/>
        <v>2513660.5200000033</v>
      </c>
      <c r="BF37" s="100">
        <f t="shared" si="30"/>
        <v>4337750.5000000075</v>
      </c>
      <c r="BG37" s="100">
        <f t="shared" si="30"/>
        <v>5661253.8399999961</v>
      </c>
      <c r="BH37" s="100">
        <f t="shared" si="30"/>
        <v>6323436.9000000209</v>
      </c>
      <c r="BI37" s="100">
        <f t="shared" si="30"/>
        <v>8134736.1299999952</v>
      </c>
      <c r="BJ37" s="100">
        <f t="shared" si="30"/>
        <v>8419733.4399999976</v>
      </c>
      <c r="BK37" s="100">
        <f t="shared" si="30"/>
        <v>8935840.6000000536</v>
      </c>
      <c r="BL37" s="100">
        <f t="shared" si="30"/>
        <v>11807849.650000006</v>
      </c>
      <c r="BM37" s="100">
        <f t="shared" si="30"/>
        <v>13189937.340000004</v>
      </c>
      <c r="BN37" s="100">
        <f t="shared" si="30"/>
        <v>24002152.090000004</v>
      </c>
      <c r="BO37" s="100">
        <f t="shared" si="30"/>
        <v>24002151</v>
      </c>
    </row>
    <row r="38" spans="1:67">
      <c r="G38" s="125"/>
    </row>
    <row r="39" spans="1:67" s="89" customFormat="1" ht="13.9">
      <c r="A39" s="89" t="s">
        <v>256</v>
      </c>
      <c r="B39" s="90">
        <f>B12+B23</f>
        <v>11568.464599999999</v>
      </c>
      <c r="C39" s="90">
        <f>C12+C23</f>
        <v>167267134</v>
      </c>
      <c r="D39" s="90">
        <f t="shared" ref="D39:P39" si="31">D12+D23</f>
        <v>9376317.7799999993</v>
      </c>
      <c r="E39" s="90">
        <f t="shared" si="31"/>
        <v>22264695.990000002</v>
      </c>
      <c r="F39" s="90">
        <f>F12+F23</f>
        <v>34894552.75</v>
      </c>
      <c r="G39" s="90">
        <f t="shared" si="31"/>
        <v>48420286.639999993</v>
      </c>
      <c r="H39" s="90">
        <f t="shared" si="31"/>
        <v>62980261.49000001</v>
      </c>
      <c r="I39" s="90">
        <f>I12+I23</f>
        <v>76706844.379999995</v>
      </c>
      <c r="J39" s="90">
        <f t="shared" si="31"/>
        <v>89787411.539999992</v>
      </c>
      <c r="K39" s="90">
        <f t="shared" si="31"/>
        <v>103051799.59</v>
      </c>
      <c r="L39" s="90">
        <f t="shared" si="31"/>
        <v>116515563.63999999</v>
      </c>
      <c r="M39" s="90">
        <f t="shared" si="31"/>
        <v>131674008.61</v>
      </c>
      <c r="N39" s="90">
        <f t="shared" si="31"/>
        <v>148220513.69</v>
      </c>
      <c r="O39" s="90">
        <f t="shared" si="31"/>
        <v>162154714.12</v>
      </c>
      <c r="P39" s="90">
        <f t="shared" si="31"/>
        <v>171031339</v>
      </c>
      <c r="Q39" s="90">
        <f>Q12+Q23</f>
        <v>10589601.130000001</v>
      </c>
      <c r="R39" s="90">
        <f>R12+R23</f>
        <v>25412079.380000003</v>
      </c>
      <c r="S39" s="90">
        <f>S12+S23</f>
        <v>40912723.450000003</v>
      </c>
      <c r="T39" s="90">
        <f t="shared" ref="T39:BO39" si="32">T12+T23</f>
        <v>52000848.819999993</v>
      </c>
      <c r="U39" s="90">
        <f t="shared" si="32"/>
        <v>66430733.290000007</v>
      </c>
      <c r="V39" s="90">
        <f t="shared" si="32"/>
        <v>86054744.769999996</v>
      </c>
      <c r="W39" s="90">
        <f t="shared" si="32"/>
        <v>99915827.559999987</v>
      </c>
      <c r="X39" s="90">
        <f t="shared" si="32"/>
        <v>110927309.29000001</v>
      </c>
      <c r="Y39" s="90">
        <f t="shared" si="32"/>
        <v>123934358.69</v>
      </c>
      <c r="Z39" s="90">
        <f t="shared" si="32"/>
        <v>144078793.72999999</v>
      </c>
      <c r="AA39" s="90">
        <f t="shared" si="32"/>
        <v>154983610.60000002</v>
      </c>
      <c r="AB39" s="90">
        <f t="shared" si="32"/>
        <v>170397513.88</v>
      </c>
      <c r="AC39" s="90">
        <f t="shared" si="32"/>
        <v>195442889</v>
      </c>
      <c r="AD39" s="90">
        <f t="shared" si="32"/>
        <v>11310919.85</v>
      </c>
      <c r="AE39" s="90">
        <f t="shared" si="32"/>
        <v>27574729.5</v>
      </c>
      <c r="AF39" s="90">
        <f t="shared" si="32"/>
        <v>41812732.82</v>
      </c>
      <c r="AG39" s="90">
        <f t="shared" si="32"/>
        <v>53152981.660000004</v>
      </c>
      <c r="AH39" s="90">
        <f t="shared" si="32"/>
        <v>64145490.019999996</v>
      </c>
      <c r="AI39" s="90">
        <f t="shared" si="32"/>
        <v>75910823.270000011</v>
      </c>
      <c r="AJ39" s="90">
        <f t="shared" si="32"/>
        <v>203317350.5</v>
      </c>
      <c r="AK39" s="90">
        <f t="shared" si="32"/>
        <v>116472294.48999999</v>
      </c>
      <c r="AL39" s="90">
        <f t="shared" si="32"/>
        <v>139841622.63999999</v>
      </c>
      <c r="AM39" s="90">
        <f t="shared" si="32"/>
        <v>152933466.90000001</v>
      </c>
      <c r="AN39" s="90">
        <f t="shared" si="32"/>
        <v>162989998.07999998</v>
      </c>
      <c r="AO39" s="90">
        <f t="shared" si="32"/>
        <v>182447229</v>
      </c>
      <c r="AP39" s="90">
        <f t="shared" si="32"/>
        <v>10703244.43</v>
      </c>
      <c r="AQ39" s="90">
        <f t="shared" si="32"/>
        <v>27675314.52</v>
      </c>
      <c r="AR39" s="90">
        <f t="shared" si="32"/>
        <v>40985979.220000006</v>
      </c>
      <c r="AS39" s="90">
        <f t="shared" si="32"/>
        <v>52541239.939999998</v>
      </c>
      <c r="AT39" s="90">
        <f t="shared" si="32"/>
        <v>66312914.439999998</v>
      </c>
      <c r="AU39" s="90">
        <f t="shared" si="32"/>
        <v>81245563.109999999</v>
      </c>
      <c r="AV39" s="90">
        <f t="shared" si="32"/>
        <v>94246005.899999991</v>
      </c>
      <c r="AW39" s="90">
        <f t="shared" si="32"/>
        <v>105929515.17</v>
      </c>
      <c r="AX39" s="90">
        <f t="shared" si="32"/>
        <v>122934045.11</v>
      </c>
      <c r="AY39" s="90">
        <f t="shared" si="32"/>
        <v>136701562.81</v>
      </c>
      <c r="AZ39" s="90">
        <f t="shared" si="32"/>
        <v>152313374.98000002</v>
      </c>
      <c r="BA39" s="90">
        <f t="shared" si="32"/>
        <v>178294582.28999999</v>
      </c>
      <c r="BB39" s="90">
        <f t="shared" si="32"/>
        <v>168469496.81999999</v>
      </c>
      <c r="BC39" s="90">
        <f t="shared" si="32"/>
        <v>15316790.860000001</v>
      </c>
      <c r="BD39" s="90">
        <f t="shared" si="32"/>
        <v>29244305.16</v>
      </c>
      <c r="BE39" s="90">
        <f t="shared" si="32"/>
        <v>47841294.799999997</v>
      </c>
      <c r="BF39" s="90">
        <f t="shared" si="32"/>
        <v>62155267.669999994</v>
      </c>
      <c r="BG39" s="90">
        <f t="shared" si="32"/>
        <v>76130121.199999988</v>
      </c>
      <c r="BH39" s="90">
        <f t="shared" si="32"/>
        <v>91137004.829999983</v>
      </c>
      <c r="BI39" s="90">
        <f t="shared" si="32"/>
        <v>112541524.09</v>
      </c>
      <c r="BJ39" s="90">
        <f t="shared" si="32"/>
        <v>126218600.90000001</v>
      </c>
      <c r="BK39" s="90">
        <f t="shared" si="32"/>
        <v>141295763.80999997</v>
      </c>
      <c r="BL39" s="90">
        <f t="shared" si="32"/>
        <v>155159969.58999997</v>
      </c>
      <c r="BM39" s="90">
        <f t="shared" si="32"/>
        <v>178646314.69</v>
      </c>
      <c r="BN39" s="90">
        <f t="shared" si="32"/>
        <v>189440356.16999999</v>
      </c>
      <c r="BO39" s="317">
        <f t="shared" si="32"/>
        <v>187760885</v>
      </c>
    </row>
    <row r="41" spans="1:67">
      <c r="F41" s="91"/>
      <c r="G41" s="91"/>
      <c r="H41" s="91"/>
      <c r="I41" s="91"/>
      <c r="J41" s="91">
        <f t="shared" ref="J41:R41" si="33">J39-I39</f>
        <v>13080567.159999996</v>
      </c>
      <c r="K41" s="91">
        <f t="shared" si="33"/>
        <v>13264388.050000012</v>
      </c>
      <c r="L41" s="91">
        <f t="shared" si="33"/>
        <v>13463764.049999982</v>
      </c>
      <c r="M41" s="91">
        <f t="shared" si="33"/>
        <v>15158444.970000014</v>
      </c>
      <c r="N41" s="91">
        <f t="shared" si="33"/>
        <v>16546505.079999998</v>
      </c>
      <c r="O41" s="91">
        <f t="shared" si="33"/>
        <v>13934200.430000007</v>
      </c>
      <c r="P41" s="91">
        <f t="shared" si="33"/>
        <v>8876624.8799999952</v>
      </c>
      <c r="Q41" s="91">
        <f t="shared" si="33"/>
        <v>-160441737.87</v>
      </c>
      <c r="R41" s="91">
        <f t="shared" si="33"/>
        <v>14822478.250000002</v>
      </c>
      <c r="S41" s="91">
        <f>S39-R39</f>
        <v>15500644.07</v>
      </c>
      <c r="T41" s="91">
        <f t="shared" ref="T41:Y41" si="34">T39-S39</f>
        <v>11088125.36999999</v>
      </c>
      <c r="U41" s="91">
        <f t="shared" si="34"/>
        <v>14429884.470000014</v>
      </c>
      <c r="V41" s="91">
        <f t="shared" si="34"/>
        <v>19624011.479999989</v>
      </c>
      <c r="W41" s="91">
        <f t="shared" si="34"/>
        <v>13861082.789999992</v>
      </c>
      <c r="X41" s="91">
        <f t="shared" si="34"/>
        <v>11011481.730000019</v>
      </c>
      <c r="Y41" s="91">
        <f t="shared" si="34"/>
        <v>13007049.399999991</v>
      </c>
    </row>
    <row r="42" spans="1:67">
      <c r="K42" s="91"/>
      <c r="L42" s="91"/>
      <c r="M42" s="91"/>
      <c r="N42" s="91"/>
    </row>
    <row r="43" spans="1:67">
      <c r="J43" s="92"/>
      <c r="K43" s="92"/>
      <c r="L43" s="92"/>
    </row>
  </sheetData>
  <mergeCells count="1">
    <mergeCell ref="A1:T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60"/>
  <sheetViews>
    <sheetView topLeftCell="B1" workbookViewId="0">
      <selection activeCell="K17" sqref="K17"/>
    </sheetView>
  </sheetViews>
  <sheetFormatPr defaultRowHeight="14.45"/>
  <cols>
    <col min="1" max="1" width="42.140625" bestFit="1" customWidth="1"/>
    <col min="2" max="2" width="18.85546875" bestFit="1" customWidth="1"/>
    <col min="3" max="5" width="16.85546875" bestFit="1" customWidth="1"/>
    <col min="6" max="6" width="16.85546875" hidden="1" customWidth="1"/>
    <col min="7" max="7" width="32.7109375" bestFit="1" customWidth="1"/>
  </cols>
  <sheetData>
    <row r="1" spans="1:7">
      <c r="A1" s="381" t="s">
        <v>350</v>
      </c>
      <c r="B1" s="382"/>
      <c r="C1" s="382"/>
      <c r="D1" s="382"/>
      <c r="E1" s="382"/>
      <c r="F1" s="383"/>
      <c r="G1" s="384"/>
    </row>
    <row r="2" spans="1:7">
      <c r="A2" s="385" t="s">
        <v>351</v>
      </c>
      <c r="B2" s="386"/>
      <c r="C2" s="386"/>
      <c r="D2" s="386"/>
      <c r="E2" s="386"/>
      <c r="F2" s="387"/>
      <c r="G2" s="388"/>
    </row>
    <row r="3" spans="1:7">
      <c r="A3" s="235"/>
      <c r="B3" s="389" t="s">
        <v>202</v>
      </c>
      <c r="C3" s="243" t="s">
        <v>203</v>
      </c>
      <c r="D3" s="391" t="s">
        <v>204</v>
      </c>
      <c r="E3" s="392"/>
      <c r="F3" s="393" t="s">
        <v>352</v>
      </c>
      <c r="G3" s="395" t="s">
        <v>353</v>
      </c>
    </row>
    <row r="4" spans="1:7">
      <c r="A4" s="3"/>
      <c r="B4" s="390"/>
      <c r="C4" s="205">
        <v>2017</v>
      </c>
      <c r="D4" s="206">
        <v>43160</v>
      </c>
      <c r="E4" s="207">
        <v>43252</v>
      </c>
      <c r="F4" s="394"/>
      <c r="G4" s="396"/>
    </row>
    <row r="5" spans="1:7">
      <c r="A5" s="403" t="s">
        <v>208</v>
      </c>
      <c r="B5" s="404"/>
      <c r="C5" s="404"/>
      <c r="D5" s="404"/>
      <c r="E5" s="404"/>
      <c r="F5" s="405"/>
      <c r="G5" s="406"/>
    </row>
    <row r="6" spans="1:7">
      <c r="A6" s="226" t="s">
        <v>209</v>
      </c>
      <c r="B6" s="227" t="s">
        <v>210</v>
      </c>
      <c r="C6" s="225">
        <f>C33</f>
        <v>218843226</v>
      </c>
      <c r="D6" s="225">
        <f>D33</f>
        <v>170751419.45499998</v>
      </c>
      <c r="E6" s="225">
        <f>E33</f>
        <v>171046891.785</v>
      </c>
      <c r="F6" s="225">
        <f>F33</f>
        <v>171046891.785</v>
      </c>
      <c r="G6" s="225">
        <f>G33</f>
        <v>69326567615.863998</v>
      </c>
    </row>
    <row r="7" spans="1:7">
      <c r="A7" s="226" t="s">
        <v>211</v>
      </c>
      <c r="B7" s="228" t="s">
        <v>212</v>
      </c>
      <c r="C7" s="240">
        <f>C33/C29</f>
        <v>0.19053875658681788</v>
      </c>
      <c r="D7" s="240">
        <f>D33/D29</f>
        <v>0.15878722859857961</v>
      </c>
      <c r="E7" s="240">
        <f>E33/E29</f>
        <v>0.14957668327434168</v>
      </c>
      <c r="F7" s="240">
        <f>F33/F29</f>
        <v>0.14957668327434168</v>
      </c>
      <c r="G7" s="240">
        <f>G33/G29</f>
        <v>0.15142618549789269</v>
      </c>
    </row>
    <row r="8" spans="1:7">
      <c r="A8" s="226" t="s">
        <v>213</v>
      </c>
      <c r="B8" s="228" t="s">
        <v>214</v>
      </c>
      <c r="C8" s="240">
        <f>C34/C29</f>
        <v>6.8066519926822153E-2</v>
      </c>
      <c r="D8" s="240">
        <f>D34/D29</f>
        <v>2.9810922463813162E-2</v>
      </c>
      <c r="E8" s="147">
        <f>E34/E29</f>
        <v>2.5477104091239624E-2</v>
      </c>
      <c r="F8" s="147">
        <f>F34/F29</f>
        <v>2.5477104091239624E-2</v>
      </c>
      <c r="G8" s="240">
        <f>G34/G29</f>
        <v>8.6793276578618864E-2</v>
      </c>
    </row>
    <row r="9" spans="1:7">
      <c r="A9" s="403" t="s">
        <v>215</v>
      </c>
      <c r="B9" s="404"/>
      <c r="C9" s="404"/>
      <c r="D9" s="404"/>
      <c r="E9" s="404"/>
      <c r="F9" s="405"/>
      <c r="G9" s="406"/>
    </row>
    <row r="10" spans="1:7">
      <c r="A10" s="226" t="s">
        <v>216</v>
      </c>
      <c r="B10" s="227" t="s">
        <v>217</v>
      </c>
      <c r="C10" s="240">
        <f>C35/C32</f>
        <v>0.18390568867644369</v>
      </c>
      <c r="D10" s="240">
        <f>D35/D32</f>
        <v>0.17876960446747509</v>
      </c>
      <c r="E10" s="147">
        <f>E35/E32</f>
        <v>0.2277229284286682</v>
      </c>
      <c r="F10" s="147">
        <f>F35/F32</f>
        <v>0.2277229284286682</v>
      </c>
      <c r="G10" s="240">
        <f>G35/G32</f>
        <v>6.4216555660073046E-2</v>
      </c>
    </row>
    <row r="11" spans="1:7">
      <c r="A11" s="226" t="s">
        <v>97</v>
      </c>
      <c r="B11" s="227" t="s">
        <v>218</v>
      </c>
      <c r="C11" s="240">
        <f>C36/C29</f>
        <v>9.4303279892109501E-2</v>
      </c>
      <c r="D11" s="240">
        <f>D36/D29</f>
        <v>0.11651827435714539</v>
      </c>
      <c r="E11" s="153">
        <f>E36/E29</f>
        <v>9.4447216190977221E-2</v>
      </c>
      <c r="F11" s="153">
        <f>F36/F29</f>
        <v>9.4447216190977221E-2</v>
      </c>
      <c r="G11" s="240">
        <f>G36/G29</f>
        <v>0.21105591650727981</v>
      </c>
    </row>
    <row r="12" spans="1:7">
      <c r="A12" s="226" t="s">
        <v>219</v>
      </c>
      <c r="B12" s="227" t="s">
        <v>217</v>
      </c>
      <c r="C12" s="152">
        <f>C38/C31</f>
        <v>0.23027256679192223</v>
      </c>
      <c r="D12" s="152">
        <f>D38/D31</f>
        <v>6.2585916843565431E-2</v>
      </c>
      <c r="E12" s="154">
        <f>E38/E31</f>
        <v>6.172583612865247E-2</v>
      </c>
      <c r="F12" s="154">
        <f>F38/F31</f>
        <v>6.172583612865247E-2</v>
      </c>
      <c r="G12" s="152">
        <f>G38/G31</f>
        <v>4.1240427366101499E-2</v>
      </c>
    </row>
    <row r="13" spans="1:7">
      <c r="A13" s="229" t="s">
        <v>220</v>
      </c>
      <c r="B13" s="227" t="s">
        <v>221</v>
      </c>
      <c r="C13" s="241">
        <f>C38/C33</f>
        <v>0.89674697082010668</v>
      </c>
      <c r="D13" s="241">
        <f>D38/D33</f>
        <v>0.28658847221411526</v>
      </c>
      <c r="E13" s="241">
        <f>E38/E33</f>
        <v>0.2869703618566693</v>
      </c>
      <c r="F13" s="241">
        <f>F38/F33</f>
        <v>0.2869703618566693</v>
      </c>
      <c r="G13" s="241">
        <f>G38/G33</f>
        <v>0.19351902642905425</v>
      </c>
    </row>
    <row r="14" spans="1:7">
      <c r="A14" s="403" t="s">
        <v>222</v>
      </c>
      <c r="B14" s="404"/>
      <c r="C14" s="404"/>
      <c r="D14" s="404"/>
      <c r="E14" s="404"/>
      <c r="F14" s="405"/>
      <c r="G14" s="406"/>
    </row>
    <row r="15" spans="1:7">
      <c r="A15" s="226" t="s">
        <v>223</v>
      </c>
      <c r="B15" s="227"/>
      <c r="C15" s="242">
        <f>C41/C32</f>
        <v>0.19246720877758353</v>
      </c>
      <c r="D15" s="240">
        <f>D41/D32</f>
        <v>5.6680352210879456E-2</v>
      </c>
      <c r="E15" s="240">
        <f>E41/E32</f>
        <v>9.6741622031519162E-2</v>
      </c>
      <c r="F15" s="240">
        <f>F41/F32</f>
        <v>9.6741622031519162E-2</v>
      </c>
      <c r="G15" s="240">
        <f>G41/G32</f>
        <v>6.0128915991312128E-2</v>
      </c>
    </row>
    <row r="16" spans="1:7">
      <c r="A16" s="226" t="s">
        <v>224</v>
      </c>
      <c r="B16" s="227"/>
      <c r="C16" s="242">
        <f>C44/C40</f>
        <v>0.85041877067402205</v>
      </c>
      <c r="D16" s="241">
        <f>D44/D40</f>
        <v>0.70809161318441727</v>
      </c>
      <c r="E16" s="241">
        <f>E44/E40</f>
        <v>0.81536194612101065</v>
      </c>
      <c r="F16" s="241">
        <f>F44/F40</f>
        <v>0.81536194612101065</v>
      </c>
      <c r="G16" s="241">
        <f>G44/G40</f>
        <v>0.79898157254733526</v>
      </c>
    </row>
    <row r="17" spans="1:7">
      <c r="A17" s="226" t="s">
        <v>354</v>
      </c>
      <c r="B17" s="227"/>
      <c r="C17" s="241">
        <f>C42/C30</f>
        <v>1.0672533734363649E-2</v>
      </c>
      <c r="D17" s="241">
        <f>D42/D30</f>
        <v>6.6881430481356271E-3</v>
      </c>
      <c r="E17" s="241">
        <f>E42/E30</f>
        <v>4.0695252198822991E-3</v>
      </c>
      <c r="F17" s="241">
        <f>F42/F30</f>
        <v>4.0695252198822991E-3</v>
      </c>
      <c r="G17" s="241">
        <f>G42/G30</f>
        <v>1.4471496280025024E-2</v>
      </c>
    </row>
    <row r="18" spans="1:7">
      <c r="A18" s="229" t="s">
        <v>355</v>
      </c>
      <c r="B18" s="230"/>
      <c r="C18" s="241">
        <f>C45/C40</f>
        <v>0.66507858607573855</v>
      </c>
      <c r="D18" s="241">
        <f>D45/D40</f>
        <v>0.66365772453699357</v>
      </c>
      <c r="E18" s="241">
        <f>E45/E40</f>
        <v>0.69359621040172714</v>
      </c>
      <c r="F18" s="241">
        <f>F45/F40</f>
        <v>0.69359621040172714</v>
      </c>
      <c r="G18" s="241">
        <f>G45/G40</f>
        <v>0.33727082576773487</v>
      </c>
    </row>
    <row r="19" spans="1:7">
      <c r="A19" s="403" t="s">
        <v>227</v>
      </c>
      <c r="B19" s="404"/>
      <c r="C19" s="404"/>
      <c r="D19" s="404"/>
      <c r="E19" s="404"/>
      <c r="F19" s="405"/>
      <c r="G19" s="406"/>
    </row>
    <row r="20" spans="1:7">
      <c r="A20" s="226" t="s">
        <v>228</v>
      </c>
      <c r="B20" s="231" t="s">
        <v>229</v>
      </c>
      <c r="C20" s="240">
        <f>C46/C47</f>
        <v>0.51887129455163494</v>
      </c>
      <c r="D20" s="240">
        <f>D46/D47</f>
        <v>0.33875077054971625</v>
      </c>
      <c r="E20" s="240">
        <f>E46/E47</f>
        <v>0.47501916925663146</v>
      </c>
      <c r="F20" s="240">
        <f>F46/F47</f>
        <v>0.47501916925663146</v>
      </c>
      <c r="G20" s="240">
        <f>G46/G47</f>
        <v>0.53762832801063953</v>
      </c>
    </row>
    <row r="21" spans="1:7">
      <c r="A21" s="226" t="s">
        <v>230</v>
      </c>
      <c r="B21" s="227" t="s">
        <v>231</v>
      </c>
      <c r="C21" s="240">
        <f>C48/C29</f>
        <v>0</v>
      </c>
      <c r="D21" s="240">
        <f>D48/D29</f>
        <v>0</v>
      </c>
      <c r="E21" s="240">
        <f>E48/E29</f>
        <v>4.3723882297245824E-2</v>
      </c>
      <c r="F21" s="240">
        <f>F48/F29</f>
        <v>4.3723882297245824E-2</v>
      </c>
      <c r="G21" s="240">
        <f>G48/G29</f>
        <v>4.885822210180283E-2</v>
      </c>
    </row>
    <row r="22" spans="1:7">
      <c r="A22" s="226" t="s">
        <v>232</v>
      </c>
      <c r="B22" s="227"/>
      <c r="C22" s="240">
        <f>C46/C29</f>
        <v>0.28050870190054555</v>
      </c>
      <c r="D22" s="240">
        <f>D46/D29</f>
        <v>0.16984217641146768</v>
      </c>
      <c r="E22" s="240">
        <f>E46/E29</f>
        <v>0.22993071795848841</v>
      </c>
      <c r="F22" s="240">
        <f>F46/F29</f>
        <v>0.22993071795848841</v>
      </c>
      <c r="G22" s="240">
        <f>G46/G29</f>
        <v>0.10366677035926812</v>
      </c>
    </row>
    <row r="23" spans="1:7">
      <c r="A23" s="403" t="s">
        <v>233</v>
      </c>
      <c r="B23" s="404"/>
      <c r="C23" s="404"/>
      <c r="D23" s="404"/>
      <c r="E23" s="404"/>
      <c r="F23" s="405"/>
      <c r="G23" s="406"/>
    </row>
    <row r="24" spans="1:7">
      <c r="A24" s="232" t="s">
        <v>234</v>
      </c>
      <c r="B24" s="230" t="s">
        <v>235</v>
      </c>
      <c r="C24" s="241">
        <f>C32/C29</f>
        <v>0.72484899847648732</v>
      </c>
      <c r="D24" s="241">
        <f>D32/D29</f>
        <v>0.77258741760101601</v>
      </c>
      <c r="E24" s="241">
        <f>E32/E29</f>
        <v>0.73595915140894741</v>
      </c>
      <c r="F24" s="241">
        <f>F32/F29</f>
        <v>0.73595915140894741</v>
      </c>
      <c r="G24" s="241">
        <f>G32/G29</f>
        <v>0.7574673642475942</v>
      </c>
    </row>
    <row r="25" spans="1:7">
      <c r="A25" s="232" t="s">
        <v>236</v>
      </c>
      <c r="B25" s="233" t="s">
        <v>237</v>
      </c>
      <c r="C25" s="241">
        <f>C32/C31</f>
        <v>0.97686938719932159</v>
      </c>
      <c r="D25" s="241">
        <f>D32/D31</f>
        <v>1.0625514385503616</v>
      </c>
      <c r="E25" s="241">
        <f>E32/E31</f>
        <v>1.0583266862965095</v>
      </c>
      <c r="F25" s="241">
        <f>F32/F31</f>
        <v>1.0583266862965095</v>
      </c>
      <c r="G25" s="241">
        <f>G32/G31</f>
        <v>1.0660128261811286</v>
      </c>
    </row>
    <row r="26" spans="1:7">
      <c r="A26" s="232" t="s">
        <v>238</v>
      </c>
      <c r="B26" s="233"/>
      <c r="C26" s="241">
        <f>C39/C29</f>
        <v>0.18178176656478426</v>
      </c>
      <c r="D26" s="241">
        <f>D39/D29</f>
        <v>4.5506589251180396E-2</v>
      </c>
      <c r="E26" s="241">
        <f>E39/E29</f>
        <v>4.2924074924558242E-2</v>
      </c>
      <c r="F26" s="241">
        <f>F39/F29</f>
        <v>4.2924074924558242E-2</v>
      </c>
      <c r="G26" s="241">
        <f>G39/G29</f>
        <v>4.3658487304164585E-2</v>
      </c>
    </row>
    <row r="27" spans="1:7">
      <c r="A27" s="148" t="s">
        <v>239</v>
      </c>
      <c r="B27" s="149"/>
      <c r="C27" s="150">
        <f>C43/C40</f>
        <v>7.507727430251819E-2</v>
      </c>
      <c r="D27" s="150">
        <f>D43/D40</f>
        <v>3.0162630933083245E-2</v>
      </c>
      <c r="E27" s="150">
        <f>E43/E40</f>
        <v>8.5254447278421921E-2</v>
      </c>
      <c r="F27" s="150">
        <f>F43/F40</f>
        <v>8.5254447278421921E-2</v>
      </c>
      <c r="G27" s="151">
        <f>G43/G40</f>
        <v>0.27724022592509417</v>
      </c>
    </row>
    <row r="28" spans="1:7">
      <c r="A28" s="403" t="s">
        <v>240</v>
      </c>
      <c r="B28" s="404"/>
      <c r="C28" s="404">
        <v>2015</v>
      </c>
      <c r="D28" s="404">
        <v>2016</v>
      </c>
      <c r="E28" s="404">
        <v>2017</v>
      </c>
      <c r="F28" s="405"/>
      <c r="G28" s="406" t="s">
        <v>241</v>
      </c>
    </row>
    <row r="29" spans="1:7">
      <c r="A29" s="146" t="s">
        <v>44</v>
      </c>
      <c r="B29" s="236"/>
      <c r="C29" s="244">
        <f>('Evolutive SFP'!C27)</f>
        <v>1148549670</v>
      </c>
      <c r="D29" s="244">
        <f>('Evolutive SFP'!F27)</f>
        <v>1075347312.01</v>
      </c>
      <c r="E29" s="244">
        <f>('Evolutive SFP'!I27)</f>
        <v>1143539808.75</v>
      </c>
      <c r="F29" s="244">
        <v>1143539808.75</v>
      </c>
      <c r="G29" s="244">
        <v>457824169498.27197</v>
      </c>
    </row>
    <row r="30" spans="1:7">
      <c r="A30" s="146" t="s">
        <v>242</v>
      </c>
      <c r="B30" s="236"/>
      <c r="C30" s="244">
        <f>([1]SFP!$S$32+'Evolutive SFP'!C27)/2</f>
        <v>1188648292.5</v>
      </c>
      <c r="D30" s="244">
        <f>('Evolutive SFP'!C27+'Evolutive SFP'!F27)/2</f>
        <v>1111948491.0050001</v>
      </c>
      <c r="E30" s="244">
        <f>('Evolutive SFP'!C27+'Evolutive SFP'!I27)/2</f>
        <v>1146044739.375</v>
      </c>
      <c r="F30" s="244">
        <v>1146044739.375</v>
      </c>
      <c r="G30" s="244">
        <v>450050648721.08301</v>
      </c>
    </row>
    <row r="31" spans="1:7">
      <c r="A31" s="146" t="s">
        <v>45</v>
      </c>
      <c r="B31" s="236"/>
      <c r="C31" s="244">
        <f>('Evolutive SFP'!C31)</f>
        <v>852237862</v>
      </c>
      <c r="D31" s="244">
        <f>('Evolutive SFP'!F31)</f>
        <v>781891372.66000009</v>
      </c>
      <c r="E31" s="244">
        <f>('Evolutive SFP'!I31)</f>
        <v>795216258.02999997</v>
      </c>
      <c r="F31" s="244">
        <v>795216258.02999997</v>
      </c>
      <c r="G31" s="244">
        <v>325312096103.96991</v>
      </c>
    </row>
    <row r="32" spans="1:7">
      <c r="A32" s="146" t="s">
        <v>243</v>
      </c>
      <c r="B32" s="236"/>
      <c r="C32" s="244">
        <f>('Evolutive SFP'!C15)</f>
        <v>832525078</v>
      </c>
      <c r="D32" s="244">
        <f>('Evolutive SFP'!F15)</f>
        <v>830799802.80999994</v>
      </c>
      <c r="E32" s="244">
        <f>('Evolutive SFP'!I15)</f>
        <v>841598587.25</v>
      </c>
      <c r="F32" s="244">
        <v>841598587.25</v>
      </c>
      <c r="G32" s="244">
        <v>346786866958.69989</v>
      </c>
    </row>
    <row r="33" spans="1:7">
      <c r="A33" s="146" t="s">
        <v>9</v>
      </c>
      <c r="B33" s="236"/>
      <c r="C33" s="244">
        <f>('Evolutive SFP'!C39+'Evolutive SFP'!C40+'Evolutive SFP'!C41+'Evolutive SFP'!C42+'Evolutive SFP'!C43+'Evolutive SFP'!C44)-'Evolutive SFP'!C13</f>
        <v>218843226</v>
      </c>
      <c r="D33" s="244">
        <f>('Evolutive SFP'!F39+'Evolutive SFP'!F40+'Evolutive SFP'!F41+50%*'Evolutive SFP'!F42+'Evolutive SFP'!F43+'Evolutive SFP'!F44)-'Evolutive SFP'!F13</f>
        <v>170751419.45499998</v>
      </c>
      <c r="E33" s="244">
        <f>('Evolutive SFP'!I39+'Evolutive SFP'!I40+'Evolutive SFP'!I41+50%*'Evolutive SFP'!I42+'Evolutive SFP'!I43+'Evolutive SFP'!I44)-'Evolutive SFP'!I13</f>
        <v>171046891.785</v>
      </c>
      <c r="F33" s="244">
        <v>171046891.785</v>
      </c>
      <c r="G33" s="244">
        <v>69326567615.863998</v>
      </c>
    </row>
    <row r="34" spans="1:7">
      <c r="A34" s="146" t="s">
        <v>244</v>
      </c>
      <c r="B34" s="236"/>
      <c r="C34" s="244">
        <f>('Evolutive SFP'!C40+'Evolutive SFP'!C41+'Evolutive SFP'!C42+'Evolutive SFP'!C43+'Evolutive SFP'!C44)-'Evolutive SFP'!C13</f>
        <v>78177779</v>
      </c>
      <c r="D34" s="244">
        <f>('Evolutive SFP'!F40+'Evolutive SFP'!F41+'Evolutive SFP'!F42+'Evolutive SFP'!F43+'Evolutive SFP'!F44)-'Evolutive SFP'!F13</f>
        <v>32057095.340000011</v>
      </c>
      <c r="E34" s="244">
        <f>('Evolutive SFP'!I40+'Evolutive SFP'!I41+'Evolutive SFP'!I42+'Evolutive SFP'!I43+'Evolutive SFP'!I44)-'Evolutive SFP'!I13</f>
        <v>29134082.740000002</v>
      </c>
      <c r="F34" s="244">
        <v>29134082.740000002</v>
      </c>
      <c r="G34" s="244">
        <v>39736059767.639999</v>
      </c>
    </row>
    <row r="35" spans="1:7">
      <c r="A35" s="146" t="s">
        <v>245</v>
      </c>
      <c r="B35" s="236"/>
      <c r="C35" s="244">
        <f>('[1]FORM 4'!$D$112+'[1]FORM 4'!$D$113+'[1]FORM 4'!$D$114)</f>
        <v>153106097.81</v>
      </c>
      <c r="D35" s="244">
        <f>('FORM 4'!D5+'FORM 4'!D6+'FORM 4'!D7)</f>
        <v>148521752.13999999</v>
      </c>
      <c r="E35" s="244">
        <f>('FORM 4'!D14+'FORM 4'!D15+'FORM 4'!D16)</f>
        <v>191651294.85000002</v>
      </c>
      <c r="F35" s="244">
        <v>191651294.85000002</v>
      </c>
      <c r="G35" s="244">
        <v>22269458144.235699</v>
      </c>
    </row>
    <row r="36" spans="1:7">
      <c r="A36" s="146" t="s">
        <v>97</v>
      </c>
      <c r="B36" s="236"/>
      <c r="C36" s="244">
        <f>('Evolutive SFP'!C17+'Evolutive SFP'!C23+'Evolutive SFP'!C24+'Evolutive SFP'!C25+'Evolutive SFP'!C26+'Evolutive SFP'!C7)</f>
        <v>108312001</v>
      </c>
      <c r="D36" s="244">
        <f>('Evolutive SFP'!F17+'Evolutive SFP'!F23+'Evolutive SFP'!F24+'Evolutive SFP'!F25+'Evolutive SFP'!F26+'Evolutive SFP'!F7)</f>
        <v>125297613.13</v>
      </c>
      <c r="E36" s="244">
        <f>('Evolutive SFP'!I17+'Evolutive SFP'!I23+'Evolutive SFP'!I24+'Evolutive SFP'!I25+'Evolutive SFP'!I26+'Evolutive SFP'!I7)</f>
        <v>108004151.53999999</v>
      </c>
      <c r="F36" s="244">
        <v>108004151.53999999</v>
      </c>
      <c r="G36" s="244">
        <v>96626499692.642014</v>
      </c>
    </row>
    <row r="37" spans="1:7">
      <c r="A37" s="146" t="s">
        <v>98</v>
      </c>
      <c r="B37" s="236"/>
      <c r="C37" s="244">
        <f>('Evolutive SFP'!C21)</f>
        <v>74636034</v>
      </c>
      <c r="D37" s="244">
        <f>('Evolutive SFP'!F21)</f>
        <v>102837606.83</v>
      </c>
      <c r="E37" s="244">
        <f>('Evolutive SFP'!I21)</f>
        <v>94868992.019999996</v>
      </c>
      <c r="F37" s="244">
        <v>94868992.019999996</v>
      </c>
      <c r="G37" s="244">
        <v>15408701421.012005</v>
      </c>
    </row>
    <row r="38" spans="1:7">
      <c r="A38" s="146" t="s">
        <v>246</v>
      </c>
      <c r="B38" s="236"/>
      <c r="C38" s="244">
        <f>'Evolutive SFP'!C8-'Evolutive SFP'!C11</f>
        <v>196247000</v>
      </c>
      <c r="D38" s="244">
        <f>('Evolutive SFP'!F13)</f>
        <v>48935388.43</v>
      </c>
      <c r="E38" s="244">
        <f>('Evolutive SFP'!I13)</f>
        <v>49085388.43</v>
      </c>
      <c r="F38" s="244">
        <v>49085388.43</v>
      </c>
      <c r="G38" s="244">
        <v>13416009870.690001</v>
      </c>
    </row>
    <row r="39" spans="1:7">
      <c r="A39" s="146" t="s">
        <v>247</v>
      </c>
      <c r="B39" s="236"/>
      <c r="C39" s="244">
        <f>('Evolutive SFP'!C8)</f>
        <v>208785388</v>
      </c>
      <c r="D39" s="244">
        <f>('Evolutive SFP'!F8)</f>
        <v>48935388.43</v>
      </c>
      <c r="E39" s="244">
        <f>('Evolutive SFP'!I8)</f>
        <v>49085388.43</v>
      </c>
      <c r="F39" s="244">
        <v>49085388.43</v>
      </c>
      <c r="G39" s="244">
        <v>19987910691.580002</v>
      </c>
    </row>
    <row r="40" spans="1:7">
      <c r="A40" s="146" t="s">
        <v>251</v>
      </c>
      <c r="B40" s="236"/>
      <c r="C40" s="244">
        <f>('Evolutitve SCI'!C3+'Evolutitve SCI'!C31)</f>
        <v>196687961</v>
      </c>
      <c r="D40" s="244">
        <f>('Evolutitve SCI'!F3+'Evolutitve SCI'!F31)</f>
        <v>49279714.799999997</v>
      </c>
      <c r="E40" s="244">
        <f>('Evolutitve SCI'!I3+'Evolutitve SCI'!I31)</f>
        <v>94077047.310000002</v>
      </c>
      <c r="F40" s="244">
        <v>94077047.310000002</v>
      </c>
      <c r="G40" s="244">
        <v>32399548495.73999</v>
      </c>
    </row>
    <row r="41" spans="1:7">
      <c r="A41" s="146" t="s">
        <v>331</v>
      </c>
      <c r="B41" s="236"/>
      <c r="C41" s="244">
        <f>('Evolutitve SCI'!C19)</f>
        <v>160233778</v>
      </c>
      <c r="D41" s="244">
        <f>('Evolutitve SCI'!F19)</f>
        <v>47090025.439999998</v>
      </c>
      <c r="E41" s="244">
        <f>('Evolutitve SCI'!I19)</f>
        <v>81417612.430000007</v>
      </c>
      <c r="F41" s="244">
        <v>81417612.430000007</v>
      </c>
      <c r="G41" s="244">
        <v>20851918390.25</v>
      </c>
    </row>
    <row r="42" spans="1:7">
      <c r="A42" s="146" t="s">
        <v>257</v>
      </c>
      <c r="B42" s="236"/>
      <c r="C42" s="244">
        <f>('Evolutitve SCI'!C37)</f>
        <v>12685889</v>
      </c>
      <c r="D42" s="244">
        <f>('Evolutitve SCI'!F37)</f>
        <v>7436870.5699999928</v>
      </c>
      <c r="E42" s="244">
        <f>('Evolutitve SCI'!I37)</f>
        <v>4663857.9699999988</v>
      </c>
      <c r="F42" s="244">
        <v>4663857.9699999988</v>
      </c>
      <c r="G42" s="244">
        <v>6512906288.7900019</v>
      </c>
    </row>
    <row r="43" spans="1:7">
      <c r="A43" s="146" t="s">
        <v>253</v>
      </c>
      <c r="B43" s="236"/>
      <c r="C43" s="244">
        <f>('Evolutitve SCI'!C15+'Evolutitve SCI'!C13)</f>
        <v>14766796</v>
      </c>
      <c r="D43" s="244">
        <f>('Evolutitve SCI'!F15+'Evolutitve SCI'!F13)</f>
        <v>1486405.85</v>
      </c>
      <c r="E43" s="244">
        <f>('Evolutitve SCI'!I15+'Evolutitve SCI'!I13)</f>
        <v>8020486.6699999999</v>
      </c>
      <c r="F43" s="244">
        <v>8020486.6699999999</v>
      </c>
      <c r="G43" s="244">
        <v>8982458144.8299999</v>
      </c>
    </row>
    <row r="44" spans="1:7">
      <c r="A44" s="146" t="s">
        <v>256</v>
      </c>
      <c r="B44" s="236"/>
      <c r="C44" s="244">
        <f>('Evolutitve SCI'!C39)</f>
        <v>167267134</v>
      </c>
      <c r="D44" s="244">
        <f>('Evolutitve SCI'!F39)</f>
        <v>34894552.75</v>
      </c>
      <c r="E44" s="244">
        <f>('Evolutitve SCI'!I39)</f>
        <v>76706844.379999995</v>
      </c>
      <c r="F44" s="244">
        <v>76706844.379999995</v>
      </c>
      <c r="G44" s="244">
        <v>25886642206.949989</v>
      </c>
    </row>
    <row r="45" spans="1:7">
      <c r="A45" s="146" t="s">
        <v>254</v>
      </c>
      <c r="B45" s="236"/>
      <c r="C45" s="244">
        <f>('Evolutitve SCI'!C23)</f>
        <v>130812951</v>
      </c>
      <c r="D45" s="244">
        <f>('Evolutitve SCI'!F23)</f>
        <v>32704863.390000001</v>
      </c>
      <c r="E45" s="244">
        <f>('Evolutitve SCI'!I23)</f>
        <v>65251483.5</v>
      </c>
      <c r="F45" s="244">
        <v>65251483.5</v>
      </c>
      <c r="G45" s="244">
        <v>10927422475.659998</v>
      </c>
    </row>
    <row r="46" spans="1:7">
      <c r="A46" s="146" t="s">
        <v>248</v>
      </c>
      <c r="B46" s="236"/>
      <c r="C46" s="244">
        <f>('Evolutive SFP'!C4+'Evolutive SFP'!C9+'Evolutive SFP'!C10+'Evolutive SFP'!C11)</f>
        <v>322178177</v>
      </c>
      <c r="D46" s="244">
        <f>('Evolutive SFP'!F4+'Evolutive SFP'!F9+'Evolutive SFP'!F10+'Evolutive SFP'!F11)</f>
        <v>182639327.87</v>
      </c>
      <c r="E46" s="244">
        <f>('Evolutive SFP'!I4+'Evolutive SFP'!I9+'Evolutive SFP'!I10+'Evolutive SFP'!I11)</f>
        <v>262934929.24000001</v>
      </c>
      <c r="F46" s="244">
        <v>262934929.24000001</v>
      </c>
      <c r="G46" s="244">
        <v>47461153044.300003</v>
      </c>
    </row>
    <row r="47" spans="1:7">
      <c r="A47" s="146" t="s">
        <v>356</v>
      </c>
      <c r="B47" s="236"/>
      <c r="C47" s="244">
        <f>('Evolutive SFP'!C28+'Evolutive SFP'!C29+'Evolutive SFP'!C32+'Evolutive SFP'!C33+'Evolutive SFP'!C34+'Evolutive SFP'!C35+'Evolutive SFP'!C36)</f>
        <v>620921181</v>
      </c>
      <c r="D47" s="244">
        <f>('Evolutive SFP'!F28+'Evolutive SFP'!F29+'Evolutive SFP'!F32+'Evolutive SFP'!F33+'Evolutive SFP'!F34+'Evolutive SFP'!F35+'Evolutive SFP'!F36)</f>
        <v>539155461.02999997</v>
      </c>
      <c r="E47" s="244">
        <f>('Evolutive SFP'!I28+'Evolutive SFP'!I29+'Evolutive SFP'!I32+'Evolutive SFP'!I33+'Evolutive SFP'!I34+'Evolutive SFP'!I35+'Evolutive SFP'!I36)</f>
        <v>553524881.22000003</v>
      </c>
      <c r="F47" s="244">
        <v>553524881.22000003</v>
      </c>
      <c r="G47" s="244">
        <v>88278743086.173019</v>
      </c>
    </row>
    <row r="48" spans="1:7">
      <c r="A48" s="146" t="s">
        <v>68</v>
      </c>
      <c r="B48" s="236"/>
      <c r="C48" s="244">
        <f>('Evolutive SFP'!C37)</f>
        <v>0</v>
      </c>
      <c r="D48" s="244">
        <f>('Evolutive SFP'!F37)</f>
        <v>0</v>
      </c>
      <c r="E48" s="244">
        <f>('Evolutive SFP'!I37)</f>
        <v>50000000</v>
      </c>
      <c r="F48" s="244">
        <v>50000000</v>
      </c>
      <c r="G48" s="244">
        <v>22368474956.919998</v>
      </c>
    </row>
    <row r="49" spans="1:7">
      <c r="A49" s="397" t="s">
        <v>357</v>
      </c>
      <c r="B49" s="398"/>
      <c r="C49" s="398"/>
      <c r="D49" s="398"/>
      <c r="E49" s="398"/>
      <c r="F49" s="398"/>
      <c r="G49" s="399"/>
    </row>
    <row r="50" spans="1:7">
      <c r="A50" s="212" t="s">
        <v>358</v>
      </c>
      <c r="B50" s="208"/>
      <c r="C50" s="213"/>
      <c r="D50" s="213"/>
      <c r="E50" s="213"/>
      <c r="F50" s="214"/>
      <c r="G50" s="215"/>
    </row>
    <row r="51" spans="1:7">
      <c r="A51" s="212" t="s">
        <v>359</v>
      </c>
      <c r="B51" s="208"/>
      <c r="C51" s="213"/>
      <c r="D51" s="213"/>
      <c r="E51" s="213"/>
      <c r="F51" s="214"/>
      <c r="G51" s="215"/>
    </row>
    <row r="52" spans="1:7">
      <c r="A52" s="212" t="s">
        <v>360</v>
      </c>
      <c r="B52" s="208"/>
      <c r="C52" s="214"/>
      <c r="D52" s="155"/>
      <c r="E52" s="155"/>
      <c r="F52" s="155"/>
      <c r="G52" s="156"/>
    </row>
    <row r="53" spans="1:7">
      <c r="A53" s="212"/>
      <c r="B53" s="208"/>
      <c r="C53" s="214"/>
      <c r="D53" s="155"/>
      <c r="E53" s="155"/>
      <c r="F53" s="155"/>
      <c r="G53" s="156"/>
    </row>
    <row r="54" spans="1:7">
      <c r="A54" s="157" t="s">
        <v>361</v>
      </c>
      <c r="B54" s="208"/>
      <c r="C54" s="214"/>
      <c r="D54" s="155"/>
      <c r="E54" s="155"/>
      <c r="F54" s="155"/>
      <c r="G54" s="156"/>
    </row>
    <row r="55" spans="1:7">
      <c r="A55" s="212"/>
      <c r="B55" s="208"/>
      <c r="C55" s="214"/>
      <c r="D55" s="155"/>
      <c r="E55" s="155"/>
      <c r="F55" s="155"/>
      <c r="G55" s="156"/>
    </row>
    <row r="56" spans="1:7">
      <c r="A56" s="238" t="s">
        <v>362</v>
      </c>
      <c r="B56" s="219"/>
      <c r="C56" s="400"/>
      <c r="D56" s="401"/>
      <c r="E56" s="401"/>
      <c r="F56" s="401"/>
      <c r="G56" s="402"/>
    </row>
    <row r="57" spans="1:7">
      <c r="A57" s="3"/>
      <c r="B57" s="208"/>
      <c r="C57" s="213"/>
      <c r="D57" s="213"/>
      <c r="E57" s="213"/>
      <c r="F57" s="214"/>
      <c r="G57" s="215"/>
    </row>
    <row r="58" spans="1:7">
      <c r="A58" s="237" t="s">
        <v>363</v>
      </c>
      <c r="B58" s="208"/>
      <c r="C58" s="400"/>
      <c r="D58" s="401"/>
      <c r="E58" s="401"/>
      <c r="F58" s="401"/>
      <c r="G58" s="402"/>
    </row>
    <row r="59" spans="1:7" ht="15" thickBot="1">
      <c r="A59" s="239"/>
      <c r="B59" s="220"/>
      <c r="C59" s="221"/>
      <c r="D59" s="221"/>
      <c r="E59" s="221"/>
      <c r="F59" s="222"/>
      <c r="G59" s="223"/>
    </row>
    <row r="60" spans="1:7">
      <c r="A60" s="158" t="s">
        <v>270</v>
      </c>
    </row>
  </sheetData>
  <mergeCells count="15">
    <mergeCell ref="A1:G1"/>
    <mergeCell ref="A2:G2"/>
    <mergeCell ref="B3:B4"/>
    <mergeCell ref="D3:E3"/>
    <mergeCell ref="F3:F4"/>
    <mergeCell ref="G3:G4"/>
    <mergeCell ref="C56:G56"/>
    <mergeCell ref="C58:G58"/>
    <mergeCell ref="A49:G49"/>
    <mergeCell ref="A5:G5"/>
    <mergeCell ref="A9:G9"/>
    <mergeCell ref="A14:G14"/>
    <mergeCell ref="A19:G19"/>
    <mergeCell ref="A23:G23"/>
    <mergeCell ref="A28:G28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60"/>
  <sheetViews>
    <sheetView workbookViewId="0">
      <selection activeCell="J29" sqref="J29"/>
    </sheetView>
  </sheetViews>
  <sheetFormatPr defaultColWidth="9.140625" defaultRowHeight="14.45"/>
  <cols>
    <col min="1" max="1" width="42.140625" bestFit="1" customWidth="1"/>
    <col min="2" max="2" width="18.85546875" bestFit="1" customWidth="1"/>
    <col min="3" max="5" width="16.85546875" bestFit="1" customWidth="1"/>
    <col min="6" max="7" width="16.85546875" hidden="1" customWidth="1"/>
    <col min="8" max="8" width="16.85546875" customWidth="1"/>
    <col min="9" max="9" width="16.85546875" hidden="1" customWidth="1"/>
    <col min="10" max="10" width="32.7109375" bestFit="1" customWidth="1"/>
  </cols>
  <sheetData>
    <row r="1" spans="1:10">
      <c r="A1" s="381" t="s">
        <v>350</v>
      </c>
      <c r="B1" s="382"/>
      <c r="C1" s="382"/>
      <c r="D1" s="382"/>
      <c r="E1" s="382"/>
      <c r="F1" s="383"/>
      <c r="G1" s="383"/>
      <c r="H1" s="383"/>
      <c r="I1" s="383"/>
      <c r="J1" s="384"/>
    </row>
    <row r="2" spans="1:10">
      <c r="A2" s="385" t="s">
        <v>364</v>
      </c>
      <c r="B2" s="386"/>
      <c r="C2" s="386"/>
      <c r="D2" s="386"/>
      <c r="E2" s="386"/>
      <c r="F2" s="387"/>
      <c r="G2" s="387"/>
      <c r="H2" s="387"/>
      <c r="I2" s="387"/>
      <c r="J2" s="388"/>
    </row>
    <row r="3" spans="1:10">
      <c r="A3" s="235">
        <f ca="1">A1:J60</f>
        <v>0</v>
      </c>
      <c r="B3" s="389" t="s">
        <v>202</v>
      </c>
      <c r="C3" s="243" t="s">
        <v>203</v>
      </c>
      <c r="D3" s="391" t="s">
        <v>204</v>
      </c>
      <c r="E3" s="392"/>
      <c r="F3" s="162"/>
      <c r="G3" s="162"/>
      <c r="H3" s="162"/>
      <c r="I3" s="393" t="s">
        <v>352</v>
      </c>
      <c r="J3" s="395" t="s">
        <v>353</v>
      </c>
    </row>
    <row r="4" spans="1:10">
      <c r="A4" s="3"/>
      <c r="B4" s="390"/>
      <c r="C4" s="205">
        <v>2017</v>
      </c>
      <c r="D4" s="206">
        <v>43160</v>
      </c>
      <c r="E4" s="207">
        <v>43252</v>
      </c>
      <c r="F4" s="207">
        <v>43282</v>
      </c>
      <c r="G4" s="207">
        <v>43313</v>
      </c>
      <c r="H4" s="207">
        <v>43344</v>
      </c>
      <c r="I4" s="394"/>
      <c r="J4" s="396"/>
    </row>
    <row r="5" spans="1:10">
      <c r="A5" s="403" t="s">
        <v>208</v>
      </c>
      <c r="B5" s="404"/>
      <c r="C5" s="404"/>
      <c r="D5" s="404"/>
      <c r="E5" s="404"/>
      <c r="F5" s="405"/>
      <c r="G5" s="405"/>
      <c r="H5" s="405"/>
      <c r="I5" s="405"/>
      <c r="J5" s="406"/>
    </row>
    <row r="6" spans="1:10">
      <c r="A6" s="226" t="s">
        <v>209</v>
      </c>
      <c r="B6" s="227" t="s">
        <v>210</v>
      </c>
      <c r="C6" s="225">
        <f t="shared" ref="C6:J6" si="0">C33</f>
        <v>218843226</v>
      </c>
      <c r="D6" s="225">
        <f t="shared" si="0"/>
        <v>170751419.45499998</v>
      </c>
      <c r="E6" s="225">
        <f t="shared" si="0"/>
        <v>171046891.785</v>
      </c>
      <c r="F6" s="225">
        <f t="shared" si="0"/>
        <v>171636604.38999999</v>
      </c>
      <c r="G6" s="225">
        <f t="shared" si="0"/>
        <v>174959634.40499997</v>
      </c>
      <c r="H6" s="225">
        <f t="shared" si="0"/>
        <v>175628009.75499997</v>
      </c>
      <c r="I6" s="225">
        <f t="shared" si="0"/>
        <v>171046891.785</v>
      </c>
      <c r="J6" s="225">
        <f t="shared" si="0"/>
        <v>68610901181.061005</v>
      </c>
    </row>
    <row r="7" spans="1:10">
      <c r="A7" s="226" t="s">
        <v>211</v>
      </c>
      <c r="B7" s="228" t="s">
        <v>212</v>
      </c>
      <c r="C7" s="240">
        <f t="shared" ref="C7:J7" si="1">C33/C29</f>
        <v>0.19053875658681788</v>
      </c>
      <c r="D7" s="240">
        <f t="shared" si="1"/>
        <v>0.15878722859857961</v>
      </c>
      <c r="E7" s="240">
        <f t="shared" si="1"/>
        <v>0.14957668327434168</v>
      </c>
      <c r="F7" s="240">
        <f t="shared" si="1"/>
        <v>0.15152429933432837</v>
      </c>
      <c r="G7" s="240">
        <f t="shared" si="1"/>
        <v>0.15582393368848055</v>
      </c>
      <c r="H7" s="240">
        <f t="shared" si="1"/>
        <v>0.15808855492625762</v>
      </c>
      <c r="I7" s="240">
        <f t="shared" si="1"/>
        <v>0.14957668327434168</v>
      </c>
      <c r="J7" s="240">
        <f t="shared" si="1"/>
        <v>0.14576061198549048</v>
      </c>
    </row>
    <row r="8" spans="1:10">
      <c r="A8" s="226" t="s">
        <v>213</v>
      </c>
      <c r="B8" s="228" t="s">
        <v>214</v>
      </c>
      <c r="C8" s="240">
        <f t="shared" ref="C8:J8" si="2">C34/C29</f>
        <v>6.8066519926822153E-2</v>
      </c>
      <c r="D8" s="240">
        <f t="shared" si="2"/>
        <v>2.9810922463813162E-2</v>
      </c>
      <c r="E8" s="147">
        <f t="shared" si="2"/>
        <v>2.5477104091239624E-2</v>
      </c>
      <c r="F8" s="147">
        <f t="shared" si="2"/>
        <v>2.5925823135089891E-2</v>
      </c>
      <c r="G8" s="147">
        <f t="shared" si="2"/>
        <v>3.1314868013582652E-2</v>
      </c>
      <c r="H8" s="147">
        <f t="shared" si="2"/>
        <v>3.0979226759499597E-2</v>
      </c>
      <c r="I8" s="147">
        <f t="shared" si="2"/>
        <v>2.5477104091239624E-2</v>
      </c>
      <c r="J8" s="240">
        <f t="shared" si="2"/>
        <v>8.0885761200151854E-2</v>
      </c>
    </row>
    <row r="9" spans="1:10">
      <c r="A9" s="403" t="s">
        <v>215</v>
      </c>
      <c r="B9" s="404"/>
      <c r="C9" s="404"/>
      <c r="D9" s="404"/>
      <c r="E9" s="404"/>
      <c r="F9" s="405"/>
      <c r="G9" s="405"/>
      <c r="H9" s="405"/>
      <c r="I9" s="405"/>
      <c r="J9" s="406"/>
    </row>
    <row r="10" spans="1:10">
      <c r="A10" s="226" t="s">
        <v>216</v>
      </c>
      <c r="B10" s="227" t="s">
        <v>217</v>
      </c>
      <c r="C10" s="240">
        <f t="shared" ref="C10:J10" si="3">C35/C32</f>
        <v>0.18390568867644369</v>
      </c>
      <c r="D10" s="240">
        <f t="shared" si="3"/>
        <v>0.17876960446747509</v>
      </c>
      <c r="E10" s="147">
        <f t="shared" si="3"/>
        <v>0.2277229284286682</v>
      </c>
      <c r="F10" s="147">
        <f t="shared" si="3"/>
        <v>2.0954219182201526E-9</v>
      </c>
      <c r="G10" s="147">
        <f t="shared" si="3"/>
        <v>0.18220889123029482</v>
      </c>
      <c r="H10" s="147">
        <f t="shared" si="3"/>
        <v>0.22371769876853315</v>
      </c>
      <c r="I10" s="147">
        <f t="shared" si="3"/>
        <v>0.2277229284286682</v>
      </c>
      <c r="J10" s="240">
        <f t="shared" si="3"/>
        <v>7.3088911237042767E-2</v>
      </c>
    </row>
    <row r="11" spans="1:10">
      <c r="A11" s="226" t="s">
        <v>97</v>
      </c>
      <c r="B11" s="227" t="s">
        <v>218</v>
      </c>
      <c r="C11" s="240">
        <f t="shared" ref="C11:J11" si="4">C36/C29</f>
        <v>9.4303279892109501E-2</v>
      </c>
      <c r="D11" s="240">
        <f t="shared" si="4"/>
        <v>0.11651827435714539</v>
      </c>
      <c r="E11" s="153">
        <f t="shared" si="4"/>
        <v>9.4447216190977221E-2</v>
      </c>
      <c r="F11" s="153">
        <f t="shared" si="4"/>
        <v>9.7638114003250107E-2</v>
      </c>
      <c r="G11" s="153">
        <f t="shared" si="4"/>
        <v>8.992577090399044E-2</v>
      </c>
      <c r="H11" s="153">
        <f t="shared" si="4"/>
        <v>8.8202013597357923E-2</v>
      </c>
      <c r="I11" s="153">
        <f t="shared" si="4"/>
        <v>9.4447216190977221E-2</v>
      </c>
      <c r="J11" s="240">
        <f t="shared" si="4"/>
        <v>0.12029808094205297</v>
      </c>
    </row>
    <row r="12" spans="1:10">
      <c r="A12" s="226" t="s">
        <v>219</v>
      </c>
      <c r="B12" s="227" t="s">
        <v>217</v>
      </c>
      <c r="C12" s="152">
        <f t="shared" ref="C12:J12" si="5">C38/C31</f>
        <v>0.23027256679192223</v>
      </c>
      <c r="D12" s="152">
        <f t="shared" si="5"/>
        <v>6.2585916843565431E-2</v>
      </c>
      <c r="E12" s="163">
        <f t="shared" si="5"/>
        <v>6.172583612865247E-2</v>
      </c>
      <c r="F12" s="163">
        <f t="shared" si="5"/>
        <v>6.2374689862611958E-2</v>
      </c>
      <c r="G12" s="163">
        <f t="shared" si="5"/>
        <v>6.4340136600174042E-2</v>
      </c>
      <c r="H12" s="163">
        <f t="shared" si="5"/>
        <v>6.5547385258331731E-2</v>
      </c>
      <c r="I12" s="163">
        <f t="shared" si="5"/>
        <v>6.172583612865247E-2</v>
      </c>
      <c r="J12" s="152">
        <f t="shared" si="5"/>
        <v>4.1108342997333853E-2</v>
      </c>
    </row>
    <row r="13" spans="1:10">
      <c r="A13" s="229" t="s">
        <v>220</v>
      </c>
      <c r="B13" s="227" t="s">
        <v>221</v>
      </c>
      <c r="C13" s="241">
        <f t="shared" ref="C13:J13" si="6">C38/C33</f>
        <v>0.89674697082010668</v>
      </c>
      <c r="D13" s="241">
        <f t="shared" si="6"/>
        <v>0.28658847221411526</v>
      </c>
      <c r="E13" s="241">
        <f t="shared" si="6"/>
        <v>0.2869703618566693</v>
      </c>
      <c r="F13" s="241">
        <f t="shared" si="6"/>
        <v>0.28627569628651289</v>
      </c>
      <c r="G13" s="241">
        <f t="shared" si="6"/>
        <v>0.28226732753500011</v>
      </c>
      <c r="H13" s="241">
        <f t="shared" si="6"/>
        <v>0.28147781495082747</v>
      </c>
      <c r="I13" s="241">
        <f t="shared" si="6"/>
        <v>0.2869703618566693</v>
      </c>
      <c r="J13" s="241">
        <f t="shared" si="6"/>
        <v>0.19682259256897242</v>
      </c>
    </row>
    <row r="14" spans="1:10">
      <c r="A14" s="403" t="s">
        <v>222</v>
      </c>
      <c r="B14" s="404"/>
      <c r="C14" s="404"/>
      <c r="D14" s="404"/>
      <c r="E14" s="404"/>
      <c r="F14" s="405"/>
      <c r="G14" s="405"/>
      <c r="H14" s="405"/>
      <c r="I14" s="405"/>
      <c r="J14" s="406"/>
    </row>
    <row r="15" spans="1:10">
      <c r="A15" s="226" t="s">
        <v>223</v>
      </c>
      <c r="B15" s="227"/>
      <c r="C15" s="242">
        <f t="shared" ref="C15:J15" si="7">C41/C32</f>
        <v>0.19246720877758353</v>
      </c>
      <c r="D15" s="240">
        <f t="shared" si="7"/>
        <v>5.6680352210879456E-2</v>
      </c>
      <c r="E15" s="240">
        <f t="shared" si="7"/>
        <v>9.6741622031519162E-2</v>
      </c>
      <c r="F15" s="240">
        <f t="shared" si="7"/>
        <v>0.10961456621989357</v>
      </c>
      <c r="G15" s="240">
        <f t="shared" si="7"/>
        <v>0.13437488080226012</v>
      </c>
      <c r="H15" s="240">
        <f t="shared" si="7"/>
        <v>0.14788884768583982</v>
      </c>
      <c r="I15" s="240">
        <f t="shared" si="7"/>
        <v>9.6741622031519162E-2</v>
      </c>
      <c r="J15" s="240">
        <f t="shared" si="7"/>
        <v>8.7222557858307237E-2</v>
      </c>
    </row>
    <row r="16" spans="1:10">
      <c r="A16" s="226" t="s">
        <v>224</v>
      </c>
      <c r="B16" s="227"/>
      <c r="C16" s="242">
        <f t="shared" ref="C16:J16" si="8">C44/C40</f>
        <v>0.85041877067402205</v>
      </c>
      <c r="D16" s="241">
        <f t="shared" si="8"/>
        <v>0.70809161318441727</v>
      </c>
      <c r="E16" s="241">
        <f t="shared" si="8"/>
        <v>0.81536194612101065</v>
      </c>
      <c r="F16" s="241">
        <f t="shared" si="8"/>
        <v>0.83569371980426532</v>
      </c>
      <c r="G16" s="241">
        <f t="shared" si="8"/>
        <v>0.7890684796299251</v>
      </c>
      <c r="H16" s="241">
        <f t="shared" si="8"/>
        <v>0.80196127258952676</v>
      </c>
      <c r="I16" s="241">
        <f t="shared" si="8"/>
        <v>0.81536194612101065</v>
      </c>
      <c r="J16" s="241">
        <f t="shared" si="8"/>
        <v>0.78307333679462943</v>
      </c>
    </row>
    <row r="17" spans="1:10">
      <c r="A17" s="226" t="s">
        <v>354</v>
      </c>
      <c r="B17" s="227"/>
      <c r="C17" s="241">
        <f t="shared" ref="C17:J17" si="9">C42/C30</f>
        <v>1.0672533734363649E-2</v>
      </c>
      <c r="D17" s="241">
        <f t="shared" si="9"/>
        <v>6.6881430481356271E-3</v>
      </c>
      <c r="E17" s="241">
        <f t="shared" si="9"/>
        <v>4.0695252198822991E-3</v>
      </c>
      <c r="F17" s="241">
        <f t="shared" si="9"/>
        <v>4.4006405839231771E-3</v>
      </c>
      <c r="G17" s="241">
        <f t="shared" si="9"/>
        <v>9.8998585487104166E-3</v>
      </c>
      <c r="H17" s="241">
        <f t="shared" si="9"/>
        <v>9.4187273566116482E-3</v>
      </c>
      <c r="I17" s="241">
        <f t="shared" si="9"/>
        <v>4.0695252198822991E-3</v>
      </c>
      <c r="J17" s="241">
        <f t="shared" si="9"/>
        <v>2.3999816725258364E-2</v>
      </c>
    </row>
    <row r="18" spans="1:10">
      <c r="A18" s="229" t="s">
        <v>355</v>
      </c>
      <c r="B18" s="230"/>
      <c r="C18" s="241">
        <f t="shared" ref="C18:J18" si="10">C45/C40</f>
        <v>0.66507858607573855</v>
      </c>
      <c r="D18" s="241">
        <f t="shared" si="10"/>
        <v>0.66365772453699357</v>
      </c>
      <c r="E18" s="241">
        <f t="shared" si="10"/>
        <v>0.69359621040172714</v>
      </c>
      <c r="F18" s="241">
        <f t="shared" si="10"/>
        <v>0.69895343265982324</v>
      </c>
      <c r="G18" s="241">
        <f t="shared" si="10"/>
        <v>0.65907449650777361</v>
      </c>
      <c r="H18" s="241">
        <f t="shared" si="10"/>
        <v>0.66849238748006645</v>
      </c>
      <c r="I18" s="241">
        <f t="shared" si="10"/>
        <v>0.69359621040172714</v>
      </c>
      <c r="J18" s="241">
        <f t="shared" si="10"/>
        <v>0.70205115648140348</v>
      </c>
    </row>
    <row r="19" spans="1:10">
      <c r="A19" s="403" t="s">
        <v>227</v>
      </c>
      <c r="B19" s="404"/>
      <c r="C19" s="404"/>
      <c r="D19" s="404"/>
      <c r="E19" s="404"/>
      <c r="F19" s="405"/>
      <c r="G19" s="405"/>
      <c r="H19" s="405"/>
      <c r="I19" s="405"/>
      <c r="J19" s="406"/>
    </row>
    <row r="20" spans="1:10">
      <c r="A20" s="226" t="s">
        <v>228</v>
      </c>
      <c r="B20" s="231" t="s">
        <v>229</v>
      </c>
      <c r="C20" s="240">
        <f t="shared" ref="C20:J20" si="11">C46/C47</f>
        <v>0.51887129455163494</v>
      </c>
      <c r="D20" s="240">
        <f t="shared" si="11"/>
        <v>0.33875077054971625</v>
      </c>
      <c r="E20" s="240">
        <f t="shared" si="11"/>
        <v>0.47501916925663146</v>
      </c>
      <c r="F20" s="240">
        <f t="shared" si="11"/>
        <v>0.47339775881439827</v>
      </c>
      <c r="G20" s="240">
        <f t="shared" si="11"/>
        <v>0.49250676072227173</v>
      </c>
      <c r="H20" s="240">
        <f t="shared" si="11"/>
        <v>0.47705627739059442</v>
      </c>
      <c r="I20" s="240">
        <f t="shared" si="11"/>
        <v>0.47501916925663146</v>
      </c>
      <c r="J20" s="240">
        <f t="shared" si="11"/>
        <v>0.48580473028174037</v>
      </c>
    </row>
    <row r="21" spans="1:10">
      <c r="A21" s="226" t="s">
        <v>230</v>
      </c>
      <c r="B21" s="227" t="s">
        <v>231</v>
      </c>
      <c r="C21" s="240">
        <f t="shared" ref="C21:J21" si="12">C48/C29</f>
        <v>0</v>
      </c>
      <c r="D21" s="240">
        <f t="shared" si="12"/>
        <v>0</v>
      </c>
      <c r="E21" s="240">
        <f t="shared" si="12"/>
        <v>4.3723882297245824E-2</v>
      </c>
      <c r="F21" s="240">
        <f t="shared" si="12"/>
        <v>4.4141021046427961E-2</v>
      </c>
      <c r="G21" s="240">
        <f t="shared" si="12"/>
        <v>4.4531395546865478E-2</v>
      </c>
      <c r="H21" s="240">
        <f t="shared" si="12"/>
        <v>4.500664647592096E-2</v>
      </c>
      <c r="I21" s="240">
        <f t="shared" si="12"/>
        <v>4.3723882297245824E-2</v>
      </c>
      <c r="J21" s="240">
        <f t="shared" si="12"/>
        <v>4.692464663961949E-2</v>
      </c>
    </row>
    <row r="22" spans="1:10">
      <c r="A22" s="226" t="s">
        <v>232</v>
      </c>
      <c r="B22" s="227"/>
      <c r="C22" s="240">
        <f t="shared" ref="C22:J22" si="13">C46/C29</f>
        <v>0.28050870190054555</v>
      </c>
      <c r="D22" s="240">
        <f t="shared" si="13"/>
        <v>0.16984217641146768</v>
      </c>
      <c r="E22" s="240">
        <f t="shared" si="13"/>
        <v>0.22993071795848841</v>
      </c>
      <c r="F22" s="240">
        <f t="shared" si="13"/>
        <v>0.22593945693341638</v>
      </c>
      <c r="G22" s="240">
        <f t="shared" si="13"/>
        <v>0.22958833941542281</v>
      </c>
      <c r="H22" s="240">
        <f t="shared" si="13"/>
        <v>0.21983563496861791</v>
      </c>
      <c r="I22" s="240">
        <f t="shared" si="13"/>
        <v>0.22993071795848841</v>
      </c>
      <c r="J22" s="240">
        <f t="shared" si="13"/>
        <v>8.8828762655520921E-2</v>
      </c>
    </row>
    <row r="23" spans="1:10">
      <c r="A23" s="403" t="s">
        <v>233</v>
      </c>
      <c r="B23" s="404"/>
      <c r="C23" s="404"/>
      <c r="D23" s="404"/>
      <c r="E23" s="404"/>
      <c r="F23" s="405"/>
      <c r="G23" s="405"/>
      <c r="H23" s="405"/>
      <c r="I23" s="405"/>
      <c r="J23" s="406"/>
    </row>
    <row r="24" spans="1:10">
      <c r="A24" s="232" t="s">
        <v>234</v>
      </c>
      <c r="B24" s="230" t="s">
        <v>235</v>
      </c>
      <c r="C24" s="241">
        <f t="shared" ref="C24:J24" si="14">C32/C29</f>
        <v>0.72484899847648732</v>
      </c>
      <c r="D24" s="241">
        <f t="shared" si="14"/>
        <v>0.77258741760101601</v>
      </c>
      <c r="E24" s="241">
        <f t="shared" si="14"/>
        <v>0.73595915140894741</v>
      </c>
      <c r="F24" s="241">
        <f t="shared" si="14"/>
        <v>0.73729100721502627</v>
      </c>
      <c r="G24" s="241">
        <f t="shared" si="14"/>
        <v>0.74509988619687917</v>
      </c>
      <c r="H24" s="241">
        <f t="shared" si="14"/>
        <v>0.75894859028856132</v>
      </c>
      <c r="I24" s="241">
        <f t="shared" si="14"/>
        <v>0.73595915140894741</v>
      </c>
      <c r="J24" s="241">
        <f t="shared" si="14"/>
        <v>0.76593828136664732</v>
      </c>
    </row>
    <row r="25" spans="1:10">
      <c r="A25" s="232" t="s">
        <v>236</v>
      </c>
      <c r="B25" s="233" t="s">
        <v>237</v>
      </c>
      <c r="C25" s="241">
        <f t="shared" ref="C25:J25" si="15">C32/C31</f>
        <v>0.97686938719932159</v>
      </c>
      <c r="D25" s="241">
        <f t="shared" si="15"/>
        <v>1.0625514385503616</v>
      </c>
      <c r="E25" s="241">
        <f t="shared" si="15"/>
        <v>1.0583266862965095</v>
      </c>
      <c r="F25" s="241">
        <f t="shared" si="15"/>
        <v>1.0601823553361058</v>
      </c>
      <c r="G25" s="241">
        <f t="shared" si="15"/>
        <v>1.0899377648970765</v>
      </c>
      <c r="H25" s="241">
        <f t="shared" si="15"/>
        <v>1.1179519297646361</v>
      </c>
      <c r="I25" s="241">
        <f t="shared" si="15"/>
        <v>1.0583266862965095</v>
      </c>
      <c r="J25" s="241">
        <f t="shared" si="15"/>
        <v>1.0975103293700033</v>
      </c>
    </row>
    <row r="26" spans="1:10">
      <c r="A26" s="232" t="s">
        <v>238</v>
      </c>
      <c r="B26" s="233"/>
      <c r="C26" s="241">
        <f t="shared" ref="C26:J26" si="16">C39/C29</f>
        <v>0.18178176656478426</v>
      </c>
      <c r="D26" s="241">
        <f t="shared" si="16"/>
        <v>4.5506589251180396E-2</v>
      </c>
      <c r="E26" s="241">
        <f t="shared" si="16"/>
        <v>4.2924074924558242E-2</v>
      </c>
      <c r="F26" s="241">
        <f t="shared" si="16"/>
        <v>4.3377724296260856E-2</v>
      </c>
      <c r="G26" s="241">
        <f t="shared" si="16"/>
        <v>4.3984005328238478E-2</v>
      </c>
      <c r="H26" s="241">
        <f t="shared" si="16"/>
        <v>4.4498421009376864E-2</v>
      </c>
      <c r="I26" s="241">
        <f t="shared" si="16"/>
        <v>4.2924074924558242E-2</v>
      </c>
      <c r="J26" s="241">
        <f t="shared" si="16"/>
        <v>4.3992097175766708E-2</v>
      </c>
    </row>
    <row r="27" spans="1:10">
      <c r="A27" s="148" t="s">
        <v>239</v>
      </c>
      <c r="B27" s="149"/>
      <c r="C27" s="150">
        <f t="shared" ref="C27:J27" si="17">C43/C40</f>
        <v>7.507727430251819E-2</v>
      </c>
      <c r="D27" s="150">
        <f t="shared" si="17"/>
        <v>3.0162630933083245E-2</v>
      </c>
      <c r="E27" s="150">
        <f t="shared" si="17"/>
        <v>8.5254447278421921E-2</v>
      </c>
      <c r="F27" s="150">
        <f t="shared" si="17"/>
        <v>9.0226642046614139E-2</v>
      </c>
      <c r="G27" s="150">
        <f t="shared" si="17"/>
        <v>8.6130508680937967E-2</v>
      </c>
      <c r="H27" s="150">
        <f t="shared" si="17"/>
        <v>8.7702199271284614E-2</v>
      </c>
      <c r="I27" s="150">
        <f t="shared" si="17"/>
        <v>8.5254447278421921E-2</v>
      </c>
      <c r="J27" s="151">
        <f t="shared" si="17"/>
        <v>0.28301758201121346</v>
      </c>
    </row>
    <row r="28" spans="1:10">
      <c r="A28" s="403" t="s">
        <v>240</v>
      </c>
      <c r="B28" s="404"/>
      <c r="C28" s="404">
        <v>2015</v>
      </c>
      <c r="D28" s="404">
        <v>2016</v>
      </c>
      <c r="E28" s="404">
        <v>2017</v>
      </c>
      <c r="F28" s="405"/>
      <c r="G28" s="405"/>
      <c r="H28" s="405"/>
      <c r="I28" s="405"/>
      <c r="J28" s="406" t="s">
        <v>241</v>
      </c>
    </row>
    <row r="29" spans="1:10">
      <c r="A29" s="146" t="s">
        <v>44</v>
      </c>
      <c r="B29" s="236"/>
      <c r="C29" s="244">
        <f>('Evolutive SFP'!C27)</f>
        <v>1148549670</v>
      </c>
      <c r="D29" s="244">
        <f>('Evolutive SFP'!F27)</f>
        <v>1075347312.01</v>
      </c>
      <c r="E29" s="244">
        <f>('Evolutive SFP'!I27)</f>
        <v>1143539808.75</v>
      </c>
      <c r="F29" s="244">
        <f>('Evolutive SFP'!J27)</f>
        <v>1132733199.52</v>
      </c>
      <c r="G29" s="244">
        <f>('Evolutive SFP'!K27)</f>
        <v>1122803347.75</v>
      </c>
      <c r="H29" s="244">
        <f>('Evolutive SFP'!L27)</f>
        <v>1110947024.8300002</v>
      </c>
      <c r="I29" s="244">
        <v>1143539808.75</v>
      </c>
      <c r="J29" s="164">
        <v>470709475258.58887</v>
      </c>
    </row>
    <row r="30" spans="1:10">
      <c r="A30" s="146" t="s">
        <v>242</v>
      </c>
      <c r="B30" s="236"/>
      <c r="C30" s="244">
        <f>([1]SFP!$S$32+'Evolutive SFP'!C27)/2</f>
        <v>1188648292.5</v>
      </c>
      <c r="D30" s="244">
        <f>('Evolutive SFP'!C27+'Evolutive SFP'!F27)/2</f>
        <v>1111948491.0050001</v>
      </c>
      <c r="E30" s="244">
        <f>('Evolutive SFP'!C27+'Evolutive SFP'!I27)/2</f>
        <v>1146044739.375</v>
      </c>
      <c r="F30" s="244">
        <f>('Evolutive SFP'!D27+'Evolutive SFP'!J27)/2</f>
        <v>1124112657.1599998</v>
      </c>
      <c r="G30" s="244">
        <f>('Evolutive SFP'!E27+'Evolutive SFP'!K27)/2</f>
        <v>1110138475.8099999</v>
      </c>
      <c r="H30" s="244">
        <f>('Evolutive SFP'!F27+'Evolutive SFP'!L27)/2</f>
        <v>1093147168.4200001</v>
      </c>
      <c r="I30" s="244">
        <v>1146044739.375</v>
      </c>
      <c r="J30" s="164">
        <v>445555825331.61548</v>
      </c>
    </row>
    <row r="31" spans="1:10">
      <c r="A31" s="146" t="s">
        <v>45</v>
      </c>
      <c r="B31" s="236"/>
      <c r="C31" s="244">
        <f>('Evolutive SFP'!C31)</f>
        <v>852237862</v>
      </c>
      <c r="D31" s="244">
        <f>('Evolutive SFP'!F31)</f>
        <v>781891372.66000009</v>
      </c>
      <c r="E31" s="244">
        <f>('Evolutive SFP'!I31)</f>
        <v>795216258.02999997</v>
      </c>
      <c r="F31" s="244">
        <f>('Evolutive SFP'!J31)</f>
        <v>787745615.05999994</v>
      </c>
      <c r="G31" s="244">
        <f>('Evolutive SFP'!K31)</f>
        <v>767567354.37</v>
      </c>
      <c r="H31" s="244">
        <f>('Evolutive SFP'!L31)</f>
        <v>754193141.88</v>
      </c>
      <c r="I31" s="244">
        <v>795216258.02999997</v>
      </c>
      <c r="J31" s="164">
        <v>328502062217.05005</v>
      </c>
    </row>
    <row r="32" spans="1:10">
      <c r="A32" s="146" t="s">
        <v>243</v>
      </c>
      <c r="B32" s="236"/>
      <c r="C32" s="244">
        <f>('Evolutive SFP'!C15)</f>
        <v>832525078</v>
      </c>
      <c r="D32" s="244">
        <f>('Evolutive SFP'!F15)</f>
        <v>830799802.80999994</v>
      </c>
      <c r="E32" s="244">
        <f>('Evolutive SFP'!I15)</f>
        <v>841598587.25</v>
      </c>
      <c r="F32" s="244">
        <f>('Evolutive SFP'!J15)</f>
        <v>835154001.58000004</v>
      </c>
      <c r="G32" s="244">
        <f>('Evolutive SFP'!K15)</f>
        <v>836600646.63</v>
      </c>
      <c r="H32" s="244">
        <f>('Evolutive SFP'!L15)</f>
        <v>843151678.38</v>
      </c>
      <c r="I32" s="244">
        <v>841598587.25</v>
      </c>
      <c r="J32" s="164">
        <v>360534406502.55994</v>
      </c>
    </row>
    <row r="33" spans="1:10">
      <c r="A33" s="146" t="s">
        <v>9</v>
      </c>
      <c r="B33" s="236"/>
      <c r="C33" s="244">
        <f>('Evolutive SFP'!C39+'Evolutive SFP'!C40+'Evolutive SFP'!C41+'Evolutive SFP'!C42+'Evolutive SFP'!C43+'Evolutive SFP'!C44)-'Evolutive SFP'!C13</f>
        <v>218843226</v>
      </c>
      <c r="D33" s="244">
        <f>('Evolutive SFP'!F39+'Evolutive SFP'!F40+'Evolutive SFP'!F41+50%*'Evolutive SFP'!F42+'Evolutive SFP'!F43+'Evolutive SFP'!F44)-'Evolutive SFP'!F13</f>
        <v>170751419.45499998</v>
      </c>
      <c r="E33" s="244">
        <f>('Evolutive SFP'!I39+'Evolutive SFP'!I40+'Evolutive SFP'!I41+50%*'Evolutive SFP'!I42+'Evolutive SFP'!I43+'Evolutive SFP'!I44)-'Evolutive SFP'!I13</f>
        <v>171046891.785</v>
      </c>
      <c r="F33" s="244">
        <f>('Evolutive SFP'!J39+'Evolutive SFP'!J40+'Evolutive SFP'!J41+50%*'Evolutive SFP'!J42+'Evolutive SFP'!J43+'Evolutive SFP'!J44)-'Evolutive SFP'!J13</f>
        <v>171636604.38999999</v>
      </c>
      <c r="G33" s="244">
        <f>('Evolutive SFP'!K39+'Evolutive SFP'!K40+'Evolutive SFP'!K41+50%*'Evolutive SFP'!K42+'Evolutive SFP'!K43+'Evolutive SFP'!K44)-'Evolutive SFP'!K13</f>
        <v>174959634.40499997</v>
      </c>
      <c r="H33" s="244">
        <f>('Evolutive SFP'!L39+'Evolutive SFP'!L40+'Evolutive SFP'!L41+50%*'Evolutive SFP'!L42+'Evolutive SFP'!L43+'Evolutive SFP'!L44)-'Evolutive SFP'!L13</f>
        <v>175628009.75499997</v>
      </c>
      <c r="I33" s="244">
        <v>171046891.785</v>
      </c>
      <c r="J33" s="164">
        <v>68610901181.061005</v>
      </c>
    </row>
    <row r="34" spans="1:10">
      <c r="A34" s="146" t="s">
        <v>244</v>
      </c>
      <c r="B34" s="236"/>
      <c r="C34" s="244">
        <f>('Evolutive SFP'!C40+'Evolutive SFP'!C41+'Evolutive SFP'!C42+'Evolutive SFP'!C43+'Evolutive SFP'!C44)-'Evolutive SFP'!C13</f>
        <v>78177779</v>
      </c>
      <c r="D34" s="244">
        <f>('Evolutive SFP'!F40+'Evolutive SFP'!F41+'Evolutive SFP'!F42+'Evolutive SFP'!F43+'Evolutive SFP'!F44)-'Evolutive SFP'!F13</f>
        <v>32057095.340000011</v>
      </c>
      <c r="E34" s="244">
        <f>('Evolutive SFP'!I40+'Evolutive SFP'!I41+'Evolutive SFP'!I42+'Evolutive SFP'!I43+'Evolutive SFP'!I44)-'Evolutive SFP'!I13</f>
        <v>29134082.740000002</v>
      </c>
      <c r="F34" s="244">
        <f>('Evolutive SFP'!J40+'Evolutive SFP'!J41+'Evolutive SFP'!J42+'Evolutive SFP'!J43+'Evolutive SFP'!J44)-'Evolutive SFP'!J13</f>
        <v>29367040.590000011</v>
      </c>
      <c r="G34" s="244">
        <f>('Evolutive SFP'!K40+'Evolutive SFP'!K41+'Evolutive SFP'!K42+'Evolutive SFP'!K43+'Evolutive SFP'!K44)-'Evolutive SFP'!K13</f>
        <v>35160438.639999993</v>
      </c>
      <c r="H34" s="244">
        <f>('Evolutive SFP'!L40+'Evolutive SFP'!L41+'Evolutive SFP'!L42+'Evolutive SFP'!L43+'Evolutive SFP'!L44)-'Evolutive SFP'!L13</f>
        <v>34416279.800000004</v>
      </c>
      <c r="I34" s="244">
        <v>29134082.740000002</v>
      </c>
      <c r="J34" s="164">
        <v>38073694210.415009</v>
      </c>
    </row>
    <row r="35" spans="1:10">
      <c r="A35" s="146" t="s">
        <v>245</v>
      </c>
      <c r="B35" s="236"/>
      <c r="C35" s="244">
        <f>('[1]FORM 4'!$D$112+'[1]FORM 4'!$D$113+'[1]FORM 4'!$D$114)</f>
        <v>153106097.81</v>
      </c>
      <c r="D35" s="244">
        <f>('FORM 4'!D5+'FORM 4'!D6+'FORM 4'!D7)</f>
        <v>148521752.13999999</v>
      </c>
      <c r="E35" s="244">
        <f>('FORM 4'!D14+'FORM 4'!D15+'FORM 4'!D16)</f>
        <v>191651294.85000002</v>
      </c>
      <c r="F35" s="244">
        <f>('FORM 4'!E14+'FORM 4'!E15+'FORM 4'!E16)</f>
        <v>1.75</v>
      </c>
      <c r="G35" s="244">
        <f>('FORM 4'!F14+'FORM 4'!F15+'FORM 4'!F16)</f>
        <v>152436076.22499999</v>
      </c>
      <c r="H35" s="244">
        <f>'FORM 4'!D23+'FORM 4'!D24+'FORM 4'!D25</f>
        <v>188627953.19999999</v>
      </c>
      <c r="I35" s="244">
        <v>191651294.85000002</v>
      </c>
      <c r="J35" s="164">
        <v>26351067234.765495</v>
      </c>
    </row>
    <row r="36" spans="1:10">
      <c r="A36" s="146" t="s">
        <v>97</v>
      </c>
      <c r="B36" s="236"/>
      <c r="C36" s="244">
        <f>('Evolutive SFP'!C17+'Evolutive SFP'!C23+'Evolutive SFP'!C24+'Evolutive SFP'!C25+'Evolutive SFP'!C26+'Evolutive SFP'!C7)</f>
        <v>108312001</v>
      </c>
      <c r="D36" s="244">
        <f>('Evolutive SFP'!F17+'Evolutive SFP'!F23+'Evolutive SFP'!F24+'Evolutive SFP'!F25+'Evolutive SFP'!F26+'Evolutive SFP'!F7)</f>
        <v>125297613.13</v>
      </c>
      <c r="E36" s="244">
        <f>('Evolutive SFP'!I17+'Evolutive SFP'!I23+'Evolutive SFP'!I24+'Evolutive SFP'!I25+'Evolutive SFP'!I26+'Evolutive SFP'!I7)</f>
        <v>108004151.53999999</v>
      </c>
      <c r="F36" s="244">
        <f>('Evolutive SFP'!J17+'Evolutive SFP'!J23+'Evolutive SFP'!J24+'Evolutive SFP'!J25+'Evolutive SFP'!J26+'Evolutive SFP'!J7)</f>
        <v>110597933.27000001</v>
      </c>
      <c r="G36" s="244">
        <f>('Evolutive SFP'!K17+'Evolutive SFP'!K23+'Evolutive SFP'!K24+'Evolutive SFP'!K25+'Evolutive SFP'!K26+'Evolutive SFP'!K7)</f>
        <v>100968956.62</v>
      </c>
      <c r="H36" s="244">
        <f>('Evolutive SFP'!L17+'Evolutive SFP'!L23+'Evolutive SFP'!L24+'Evolutive SFP'!L25+'Evolutive SFP'!L26+'Evolutive SFP'!L7)</f>
        <v>97987764.590000004</v>
      </c>
      <c r="I36" s="244">
        <v>108004151.53999999</v>
      </c>
      <c r="J36" s="164">
        <v>56625446554.848999</v>
      </c>
    </row>
    <row r="37" spans="1:10">
      <c r="A37" s="146" t="s">
        <v>98</v>
      </c>
      <c r="B37" s="236"/>
      <c r="C37" s="244">
        <f>('Evolutive SFP'!C21)</f>
        <v>74636034</v>
      </c>
      <c r="D37" s="244">
        <f>('Evolutive SFP'!F21)</f>
        <v>102837606.83</v>
      </c>
      <c r="E37" s="244">
        <f>('Evolutive SFP'!I21)</f>
        <v>94868992.019999996</v>
      </c>
      <c r="F37" s="244">
        <f>('Evolutive SFP'!J21)</f>
        <v>103217454</v>
      </c>
      <c r="G37" s="244">
        <f>('Evolutive SFP'!K21)</f>
        <v>95012464.399999991</v>
      </c>
      <c r="H37" s="244">
        <f>('Evolutive SFP'!L21)</f>
        <v>93424006.909999996</v>
      </c>
      <c r="I37" s="244">
        <v>94868992.019999996</v>
      </c>
      <c r="J37" s="164">
        <v>17662274541.469006</v>
      </c>
    </row>
    <row r="38" spans="1:10">
      <c r="A38" s="146" t="s">
        <v>246</v>
      </c>
      <c r="B38" s="236"/>
      <c r="C38" s="244">
        <f>'Evolutive SFP'!C8-'Evolutive SFP'!C11</f>
        <v>196247000</v>
      </c>
      <c r="D38" s="244">
        <f>('Evolutive SFP'!F13)</f>
        <v>48935388.43</v>
      </c>
      <c r="E38" s="244">
        <f>('Evolutive SFP'!I13)</f>
        <v>49085388.43</v>
      </c>
      <c r="F38" s="244">
        <f>('Evolutive SFP'!J13)</f>
        <v>49135388.43</v>
      </c>
      <c r="G38" s="244">
        <f>('Evolutive SFP'!K13)</f>
        <v>49385388.43</v>
      </c>
      <c r="H38" s="244">
        <f>('Evolutive SFP'!L13)</f>
        <v>49435388.43</v>
      </c>
      <c r="I38" s="244">
        <v>49085388.43</v>
      </c>
      <c r="J38" s="164">
        <v>13504175448.949999</v>
      </c>
    </row>
    <row r="39" spans="1:10">
      <c r="A39" s="146" t="s">
        <v>247</v>
      </c>
      <c r="B39" s="236"/>
      <c r="C39" s="244">
        <f>('Evolutive SFP'!C8)</f>
        <v>208785388</v>
      </c>
      <c r="D39" s="244">
        <f>('Evolutive SFP'!F8)</f>
        <v>48935388.43</v>
      </c>
      <c r="E39" s="244">
        <f>('Evolutive SFP'!I8)</f>
        <v>49085388.43</v>
      </c>
      <c r="F39" s="244">
        <f>('Evolutive SFP'!J8)</f>
        <v>49135388.43</v>
      </c>
      <c r="G39" s="244">
        <f>('Evolutive SFP'!K8)</f>
        <v>49385388.43</v>
      </c>
      <c r="H39" s="244">
        <f>('Evolutive SFP'!L8)</f>
        <v>49435388.43</v>
      </c>
      <c r="I39" s="244">
        <v>49085388.43</v>
      </c>
      <c r="J39" s="164">
        <v>20707496977.129997</v>
      </c>
    </row>
    <row r="40" spans="1:10">
      <c r="A40" s="146" t="s">
        <v>251</v>
      </c>
      <c r="B40" s="236"/>
      <c r="C40" s="244">
        <f>('Evolutitve SCI'!C3+'Evolutitve SCI'!C31)</f>
        <v>196687961</v>
      </c>
      <c r="D40" s="244">
        <f>('Evolutitve SCI'!F3+'Evolutitve SCI'!F31)</f>
        <v>49279714.799999997</v>
      </c>
      <c r="E40" s="244">
        <f>('Evolutitve SCI'!I3+'Evolutitve SCI'!I31)</f>
        <v>94077047.310000002</v>
      </c>
      <c r="F40" s="244">
        <f>('Evolutitve SCI'!J3+'Evolutitve SCI'!J31)</f>
        <v>107440572.32000001</v>
      </c>
      <c r="G40" s="244">
        <f>('Evolutitve SCI'!K3+'Evolutitve SCI'!K31)</f>
        <v>130599310.77</v>
      </c>
      <c r="H40" s="244">
        <f>('Evolutitve SCI'!L3+'Evolutitve SCI'!L31)</f>
        <v>145288267.18000001</v>
      </c>
      <c r="I40" s="244">
        <v>94077047.310000002</v>
      </c>
      <c r="J40" s="164">
        <v>49294346719.870003</v>
      </c>
    </row>
    <row r="41" spans="1:10">
      <c r="A41" s="146" t="s">
        <v>331</v>
      </c>
      <c r="B41" s="236"/>
      <c r="C41" s="244">
        <f>('Evolutitve SCI'!C19)</f>
        <v>160233778</v>
      </c>
      <c r="D41" s="244">
        <f>('Evolutitve SCI'!F19)</f>
        <v>47090025.439999998</v>
      </c>
      <c r="E41" s="244">
        <f>('Evolutitve SCI'!I19)</f>
        <v>81417612.430000007</v>
      </c>
      <c r="F41" s="244">
        <f>('Evolutitve SCI'!J19)</f>
        <v>91545043.610000014</v>
      </c>
      <c r="G41" s="244">
        <f>('Evolutitve SCI'!K19)</f>
        <v>112418112.16999999</v>
      </c>
      <c r="H41" s="244">
        <f>('Evolutitve SCI'!L19)</f>
        <v>124692730.14000002</v>
      </c>
      <c r="I41" s="244">
        <v>81417612.430000007</v>
      </c>
      <c r="J41" s="164">
        <v>31446733131.079994</v>
      </c>
    </row>
    <row r="42" spans="1:10">
      <c r="A42" s="146" t="s">
        <v>257</v>
      </c>
      <c r="B42" s="236"/>
      <c r="C42" s="244">
        <f>('Evolutitve SCI'!C37)</f>
        <v>12685889</v>
      </c>
      <c r="D42" s="244">
        <f>('Evolutitve SCI'!F37)</f>
        <v>7436870.5699999928</v>
      </c>
      <c r="E42" s="244">
        <f>('Evolutitve SCI'!I37)</f>
        <v>4663857.9699999988</v>
      </c>
      <c r="F42" s="244">
        <f>('Evolutitve SCI'!J37)</f>
        <v>4946815.7800000161</v>
      </c>
      <c r="G42" s="244">
        <f>('Evolutitve SCI'!K37)</f>
        <v>10990213.87999998</v>
      </c>
      <c r="H42" s="244">
        <f>('Evolutitve SCI'!L37)</f>
        <v>10296055.140000015</v>
      </c>
      <c r="I42" s="244">
        <v>4663857.9699999988</v>
      </c>
      <c r="J42" s="164">
        <v>10693258148.83</v>
      </c>
    </row>
    <row r="43" spans="1:10">
      <c r="A43" s="146" t="s">
        <v>253</v>
      </c>
      <c r="B43" s="236"/>
      <c r="C43" s="244">
        <f>('Evolutitve SCI'!C15+'Evolutitve SCI'!C13)</f>
        <v>14766796</v>
      </c>
      <c r="D43" s="244">
        <f>('Evolutitve SCI'!F15+'Evolutitve SCI'!F13)</f>
        <v>1486405.85</v>
      </c>
      <c r="E43" s="244">
        <f>('Evolutitve SCI'!I15+'Evolutitve SCI'!I13)</f>
        <v>8020486.6699999999</v>
      </c>
      <c r="F43" s="244">
        <f>('Evolutitve SCI'!J15+'Evolutitve SCI'!J13)</f>
        <v>9694002.0600000005</v>
      </c>
      <c r="G43" s="244">
        <f>('Evolutitve SCI'!K15+'Evolutitve SCI'!K13)</f>
        <v>11248585.07</v>
      </c>
      <c r="H43" s="244">
        <f>('Evolutitve SCI'!L15+'Evolutitve SCI'!L13)</f>
        <v>12742100.560000001</v>
      </c>
      <c r="I43" s="244">
        <v>8020486.6699999999</v>
      </c>
      <c r="J43" s="164">
        <v>13951166815.48</v>
      </c>
    </row>
    <row r="44" spans="1:10">
      <c r="A44" s="146" t="s">
        <v>256</v>
      </c>
      <c r="B44" s="236"/>
      <c r="C44" s="244">
        <f>('Evolutitve SCI'!C39)</f>
        <v>167267134</v>
      </c>
      <c r="D44" s="244">
        <f>('Evolutitve SCI'!F39)</f>
        <v>34894552.75</v>
      </c>
      <c r="E44" s="244">
        <f>('Evolutitve SCI'!I39)</f>
        <v>76706844.379999995</v>
      </c>
      <c r="F44" s="244">
        <f>('Evolutitve SCI'!J39)</f>
        <v>89787411.539999992</v>
      </c>
      <c r="G44" s="244">
        <f>('Evolutitve SCI'!K39)</f>
        <v>103051799.59</v>
      </c>
      <c r="H44" s="244">
        <f>('Evolutitve SCI'!L39)</f>
        <v>116515563.63999999</v>
      </c>
      <c r="I44" s="244">
        <v>76706844.379999995</v>
      </c>
      <c r="J44" s="164">
        <v>38601088571.040001</v>
      </c>
    </row>
    <row r="45" spans="1:10">
      <c r="A45" s="146" t="s">
        <v>254</v>
      </c>
      <c r="B45" s="236"/>
      <c r="C45" s="244">
        <f>('Evolutitve SCI'!C23)</f>
        <v>130812951</v>
      </c>
      <c r="D45" s="244">
        <f>('Evolutitve SCI'!F23)</f>
        <v>32704863.390000001</v>
      </c>
      <c r="E45" s="244">
        <f>('Evolutitve SCI'!I23)</f>
        <v>65251483.5</v>
      </c>
      <c r="F45" s="244">
        <f>('Evolutitve SCI'!J23)</f>
        <v>75095956.829999998</v>
      </c>
      <c r="G45" s="244">
        <f>('Evolutitve SCI'!K23)</f>
        <v>86074674.99000001</v>
      </c>
      <c r="H45" s="244">
        <f>('Evolutitve SCI'!L23)</f>
        <v>97124100.599999994</v>
      </c>
      <c r="I45" s="244">
        <v>65251483.5</v>
      </c>
      <c r="J45" s="164">
        <v>34607153122.680016</v>
      </c>
    </row>
    <row r="46" spans="1:10">
      <c r="A46" s="146" t="s">
        <v>248</v>
      </c>
      <c r="B46" s="236"/>
      <c r="C46" s="244">
        <f>('Evolutive SFP'!C4+'Evolutive SFP'!C9+'Evolutive SFP'!C10+'Evolutive SFP'!C11)</f>
        <v>322178177</v>
      </c>
      <c r="D46" s="244">
        <f>('Evolutive SFP'!F4+'Evolutive SFP'!F9+'Evolutive SFP'!F10+'Evolutive SFP'!F11)</f>
        <v>182639327.87</v>
      </c>
      <c r="E46" s="244">
        <f>('Evolutive SFP'!I4+'Evolutive SFP'!I9+'Evolutive SFP'!I10+'Evolutive SFP'!I11)</f>
        <v>262934929.24000001</v>
      </c>
      <c r="F46" s="244">
        <f>('Evolutive SFP'!J4+'Evolutive SFP'!J9+'Evolutive SFP'!J10+'Evolutive SFP'!J11)</f>
        <v>255929123.94999999</v>
      </c>
      <c r="G46" s="244">
        <f>('Evolutive SFP'!K4+'Evolutive SFP'!K9+'Evolutive SFP'!K10+'Evolutive SFP'!K11)</f>
        <v>257782556.09999999</v>
      </c>
      <c r="H46" s="244">
        <f>('Evolutive SFP'!L4+'Evolutive SFP'!L9+'Evolutive SFP'!L10+'Evolutive SFP'!L11)</f>
        <v>244225744.62</v>
      </c>
      <c r="I46" s="244">
        <v>262934929.24000001</v>
      </c>
      <c r="J46" s="164">
        <v>41812540257.449989</v>
      </c>
    </row>
    <row r="47" spans="1:10">
      <c r="A47" s="146" t="s">
        <v>356</v>
      </c>
      <c r="B47" s="236"/>
      <c r="C47" s="244">
        <f>('Evolutive SFP'!C28+'Evolutive SFP'!C29+'Evolutive SFP'!C32+'Evolutive SFP'!C33+'Evolutive SFP'!C34+'Evolutive SFP'!C35+'Evolutive SFP'!C36)</f>
        <v>620921181</v>
      </c>
      <c r="D47" s="244">
        <f>('Evolutive SFP'!F28+'Evolutive SFP'!F29+'Evolutive SFP'!F32+'Evolutive SFP'!F33+'Evolutive SFP'!F34+'Evolutive SFP'!F35+'Evolutive SFP'!F36)</f>
        <v>539155461.02999997</v>
      </c>
      <c r="E47" s="244">
        <f>('Evolutive SFP'!I28+'Evolutive SFP'!I29+'Evolutive SFP'!I32+'Evolutive SFP'!I33+'Evolutive SFP'!I34+'Evolutive SFP'!I35+'Evolutive SFP'!I36)</f>
        <v>553524881.22000003</v>
      </c>
      <c r="F47" s="244">
        <f>('Evolutive SFP'!J28+'Evolutive SFP'!J29+'Evolutive SFP'!J32+'Evolutive SFP'!J33+'Evolutive SFP'!J34+'Evolutive SFP'!J35+'Evolutive SFP'!J36)</f>
        <v>540621748.16999996</v>
      </c>
      <c r="G47" s="244">
        <f>('Evolutive SFP'!K28+'Evolutive SFP'!K29+'Evolutive SFP'!K32+'Evolutive SFP'!K33+'Evolutive SFP'!K34+'Evolutive SFP'!K35+'Evolutive SFP'!K36)</f>
        <v>523409172.53999996</v>
      </c>
      <c r="H47" s="244">
        <f>('Evolutive SFP'!L28+'Evolutive SFP'!L29+'Evolutive SFP'!L32+'Evolutive SFP'!L33+'Evolutive SFP'!L34+'Evolutive SFP'!L35+'Evolutive SFP'!L36)</f>
        <v>511943257.42000002</v>
      </c>
      <c r="I47" s="244">
        <v>553524881.22000003</v>
      </c>
      <c r="J47" s="164">
        <v>86068614921.063004</v>
      </c>
    </row>
    <row r="48" spans="1:10">
      <c r="A48" s="146" t="s">
        <v>68</v>
      </c>
      <c r="B48" s="236"/>
      <c r="C48" s="244">
        <f>('Evolutive SFP'!C37)</f>
        <v>0</v>
      </c>
      <c r="D48" s="244">
        <f>('Evolutive SFP'!F37)</f>
        <v>0</v>
      </c>
      <c r="E48" s="244">
        <f>('Evolutive SFP'!I37)</f>
        <v>50000000</v>
      </c>
      <c r="F48" s="244">
        <f>('Evolutive SFP'!J37)</f>
        <v>50000000</v>
      </c>
      <c r="G48" s="244">
        <f>('Evolutive SFP'!K37)</f>
        <v>50000000</v>
      </c>
      <c r="H48" s="244">
        <f>('Evolutive SFP'!L37)</f>
        <v>50000000</v>
      </c>
      <c r="I48" s="244">
        <v>50000000</v>
      </c>
      <c r="J48" s="164">
        <v>22087875796.429996</v>
      </c>
    </row>
    <row r="49" spans="1:10">
      <c r="A49" s="397" t="s">
        <v>357</v>
      </c>
      <c r="B49" s="398"/>
      <c r="C49" s="398"/>
      <c r="D49" s="398"/>
      <c r="E49" s="398"/>
      <c r="F49" s="398"/>
      <c r="G49" s="398"/>
      <c r="H49" s="398"/>
      <c r="I49" s="398"/>
      <c r="J49" s="399"/>
    </row>
    <row r="50" spans="1:10">
      <c r="A50" s="212" t="s">
        <v>365</v>
      </c>
      <c r="B50" s="208"/>
      <c r="C50" s="213"/>
      <c r="D50" s="213"/>
      <c r="E50" s="213"/>
      <c r="F50" s="214"/>
      <c r="G50" s="214"/>
      <c r="H50" s="214"/>
      <c r="I50" s="214"/>
      <c r="J50" s="215"/>
    </row>
    <row r="51" spans="1:10">
      <c r="A51" s="212" t="s">
        <v>366</v>
      </c>
      <c r="B51" s="208"/>
      <c r="C51" s="213"/>
      <c r="D51" s="213"/>
      <c r="E51" s="213"/>
      <c r="F51" s="214"/>
      <c r="G51" s="214"/>
      <c r="H51" s="214"/>
      <c r="I51" s="214"/>
      <c r="J51" s="215"/>
    </row>
    <row r="52" spans="1:10">
      <c r="A52" s="212" t="s">
        <v>367</v>
      </c>
      <c r="B52" s="208"/>
      <c r="C52" s="214"/>
      <c r="D52" s="155"/>
      <c r="E52" s="155"/>
      <c r="F52" s="155"/>
      <c r="G52" s="155"/>
      <c r="H52" s="155"/>
      <c r="I52" s="155"/>
      <c r="J52" s="156"/>
    </row>
    <row r="53" spans="1:10">
      <c r="A53" s="212"/>
      <c r="B53" s="208"/>
      <c r="C53" s="214"/>
      <c r="D53" s="155"/>
      <c r="E53" s="155"/>
      <c r="F53" s="155"/>
      <c r="G53" s="155"/>
      <c r="H53" s="155"/>
      <c r="I53" s="155"/>
      <c r="J53" s="156"/>
    </row>
    <row r="54" spans="1:10">
      <c r="A54" s="157" t="s">
        <v>361</v>
      </c>
      <c r="B54" s="208"/>
      <c r="C54" s="214"/>
      <c r="D54" s="155"/>
      <c r="E54" s="155"/>
      <c r="F54" s="155"/>
      <c r="G54" s="155"/>
      <c r="H54" s="155"/>
      <c r="I54" s="155"/>
      <c r="J54" s="156"/>
    </row>
    <row r="55" spans="1:10">
      <c r="A55" s="212"/>
      <c r="B55" s="208"/>
      <c r="C55" s="214"/>
      <c r="D55" s="155"/>
      <c r="E55" s="155"/>
      <c r="F55" s="155"/>
      <c r="G55" s="155"/>
      <c r="H55" s="155"/>
      <c r="I55" s="155"/>
      <c r="J55" s="156"/>
    </row>
    <row r="56" spans="1:10">
      <c r="A56" s="238" t="s">
        <v>362</v>
      </c>
      <c r="B56" s="219"/>
      <c r="C56" s="400"/>
      <c r="D56" s="401"/>
      <c r="E56" s="401"/>
      <c r="F56" s="401"/>
      <c r="G56" s="401"/>
      <c r="H56" s="401"/>
      <c r="I56" s="401"/>
      <c r="J56" s="402"/>
    </row>
    <row r="57" spans="1:10">
      <c r="A57" s="3"/>
      <c r="B57" s="208"/>
      <c r="C57" s="213"/>
      <c r="D57" s="213"/>
      <c r="E57" s="213"/>
      <c r="F57" s="214"/>
      <c r="G57" s="214"/>
      <c r="H57" s="214"/>
      <c r="I57" s="214"/>
      <c r="J57" s="215"/>
    </row>
    <row r="58" spans="1:10">
      <c r="A58" s="237" t="s">
        <v>363</v>
      </c>
      <c r="B58" s="208"/>
      <c r="C58" s="400"/>
      <c r="D58" s="401"/>
      <c r="E58" s="401"/>
      <c r="F58" s="401"/>
      <c r="G58" s="401"/>
      <c r="H58" s="401"/>
      <c r="I58" s="401"/>
      <c r="J58" s="402"/>
    </row>
    <row r="59" spans="1:10" ht="15" thickBot="1">
      <c r="A59" s="239"/>
      <c r="B59" s="220"/>
      <c r="C59" s="221"/>
      <c r="D59" s="221"/>
      <c r="E59" s="221"/>
      <c r="F59" s="222"/>
      <c r="G59" s="222"/>
      <c r="H59" s="222"/>
      <c r="I59" s="222"/>
      <c r="J59" s="223"/>
    </row>
    <row r="60" spans="1:10">
      <c r="A60" s="158" t="s">
        <v>270</v>
      </c>
    </row>
  </sheetData>
  <mergeCells count="15">
    <mergeCell ref="A1:J1"/>
    <mergeCell ref="A2:J2"/>
    <mergeCell ref="B3:B4"/>
    <mergeCell ref="D3:E3"/>
    <mergeCell ref="I3:I4"/>
    <mergeCell ref="J3:J4"/>
    <mergeCell ref="A49:J49"/>
    <mergeCell ref="C56:J56"/>
    <mergeCell ref="C58:J58"/>
    <mergeCell ref="A5:J5"/>
    <mergeCell ref="A9:J9"/>
    <mergeCell ref="A14:J14"/>
    <mergeCell ref="A19:J19"/>
    <mergeCell ref="A23:J23"/>
    <mergeCell ref="A28:J2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67"/>
  <sheetViews>
    <sheetView workbookViewId="0">
      <selection activeCell="C53" sqref="C53"/>
    </sheetView>
  </sheetViews>
  <sheetFormatPr defaultRowHeight="14.45"/>
  <cols>
    <col min="1" max="1" width="97.140625" customWidth="1"/>
    <col min="2" max="2" width="18" bestFit="1" customWidth="1"/>
    <col min="3" max="3" width="16.28515625" bestFit="1" customWidth="1"/>
    <col min="4" max="4" width="20" bestFit="1" customWidth="1"/>
    <col min="5" max="5" width="16.28515625" bestFit="1" customWidth="1"/>
    <col min="6" max="6" width="0" hidden="1" customWidth="1"/>
  </cols>
  <sheetData>
    <row r="1" spans="1:7">
      <c r="A1" s="381" t="s">
        <v>200</v>
      </c>
      <c r="B1" s="382"/>
      <c r="C1" s="382"/>
      <c r="D1" s="382"/>
      <c r="E1" s="382"/>
      <c r="F1" s="383"/>
      <c r="G1" s="384"/>
    </row>
    <row r="2" spans="1:7">
      <c r="A2" s="385" t="s">
        <v>368</v>
      </c>
      <c r="B2" s="386"/>
      <c r="C2" s="386"/>
      <c r="D2" s="386"/>
      <c r="E2" s="386"/>
      <c r="F2" s="387"/>
      <c r="G2" s="388"/>
    </row>
    <row r="3" spans="1:7">
      <c r="A3" s="235"/>
      <c r="B3" s="389" t="s">
        <v>202</v>
      </c>
      <c r="C3" s="243" t="s">
        <v>203</v>
      </c>
      <c r="D3" s="391" t="s">
        <v>204</v>
      </c>
      <c r="E3" s="392"/>
      <c r="F3" s="393" t="s">
        <v>352</v>
      </c>
      <c r="G3" s="395" t="s">
        <v>205</v>
      </c>
    </row>
    <row r="4" spans="1:7" ht="28.9">
      <c r="A4" s="3"/>
      <c r="B4" s="390"/>
      <c r="C4" s="205">
        <v>2019</v>
      </c>
      <c r="D4" s="206" t="s">
        <v>369</v>
      </c>
      <c r="E4" s="207" t="s">
        <v>370</v>
      </c>
      <c r="F4" s="394"/>
      <c r="G4" s="396"/>
    </row>
    <row r="5" spans="1:7">
      <c r="A5" s="403" t="s">
        <v>208</v>
      </c>
      <c r="B5" s="404"/>
      <c r="C5" s="404"/>
      <c r="D5" s="404"/>
      <c r="E5" s="404"/>
      <c r="F5" s="405"/>
      <c r="G5" s="406"/>
    </row>
    <row r="6" spans="1:7">
      <c r="A6" s="226" t="s">
        <v>209</v>
      </c>
      <c r="B6" s="227" t="s">
        <v>210</v>
      </c>
      <c r="C6" s="225">
        <v>227230784</v>
      </c>
      <c r="D6" s="225">
        <v>22097631.600000001</v>
      </c>
      <c r="E6" s="225">
        <v>46990513.695</v>
      </c>
      <c r="F6" s="225">
        <v>0</v>
      </c>
      <c r="G6" s="225">
        <v>91097903862.069</v>
      </c>
    </row>
    <row r="7" spans="1:7">
      <c r="A7" s="226" t="s">
        <v>211</v>
      </c>
      <c r="B7" s="228" t="s">
        <v>212</v>
      </c>
      <c r="C7" s="240">
        <v>0.17581043434956461</v>
      </c>
      <c r="D7" s="240">
        <v>1.7173672226977261E-2</v>
      </c>
      <c r="E7" s="255">
        <v>3.8190231532689488E-2</v>
      </c>
      <c r="F7" s="240" t="e">
        <v>#DIV/0!</v>
      </c>
      <c r="G7" s="240">
        <v>0.16365073370293898</v>
      </c>
    </row>
    <row r="8" spans="1:7">
      <c r="A8" s="226" t="s">
        <v>213</v>
      </c>
      <c r="B8" s="228" t="s">
        <v>214</v>
      </c>
      <c r="C8" s="242">
        <v>4.219227119679568E-2</v>
      </c>
      <c r="D8" s="242">
        <v>-0.11704268777728671</v>
      </c>
      <c r="E8" s="254">
        <v>-0.10504845398832401</v>
      </c>
      <c r="F8" s="240" t="e">
        <v>#DIV/0!</v>
      </c>
      <c r="G8" s="240">
        <v>9.6359008129824286E-2</v>
      </c>
    </row>
    <row r="9" spans="1:7">
      <c r="A9" s="403" t="s">
        <v>215</v>
      </c>
      <c r="B9" s="404"/>
      <c r="C9" s="404"/>
      <c r="D9" s="404"/>
      <c r="E9" s="404"/>
      <c r="F9" s="405"/>
      <c r="G9" s="406"/>
    </row>
    <row r="10" spans="1:7">
      <c r="A10" s="226" t="s">
        <v>216</v>
      </c>
      <c r="B10" s="227" t="s">
        <v>217</v>
      </c>
      <c r="C10" s="242">
        <v>0</v>
      </c>
      <c r="D10" s="242">
        <v>0.21694331110053919</v>
      </c>
      <c r="E10" s="254">
        <v>0.21548708081127074</v>
      </c>
      <c r="F10" s="242" t="e">
        <v>#DIV/0!</v>
      </c>
      <c r="G10" s="242">
        <v>6.2163433212574309E-2</v>
      </c>
    </row>
    <row r="11" spans="1:7">
      <c r="A11" s="226" t="s">
        <v>97</v>
      </c>
      <c r="B11" s="227" t="s">
        <v>218</v>
      </c>
      <c r="C11" s="240">
        <v>6.9323251863589397E-2</v>
      </c>
      <c r="D11" s="240">
        <v>6.9962610425962107E-2</v>
      </c>
      <c r="E11" s="240">
        <v>7.0222099291783538E-2</v>
      </c>
      <c r="F11" s="240" t="e">
        <v>#DIV/0!</v>
      </c>
      <c r="G11" s="240">
        <v>0.11470538961473251</v>
      </c>
    </row>
    <row r="12" spans="1:7">
      <c r="A12" s="226" t="s">
        <v>219</v>
      </c>
      <c r="B12" s="227" t="s">
        <v>217</v>
      </c>
      <c r="C12" s="258">
        <v>5.7801342633057154E-2</v>
      </c>
      <c r="D12" s="258">
        <v>0.27737888583888132</v>
      </c>
      <c r="E12" s="253">
        <v>0.27734727259448344</v>
      </c>
      <c r="F12" s="258" t="e">
        <v>#DIV/0!</v>
      </c>
      <c r="G12" s="258">
        <v>3.6731343430805141E-2</v>
      </c>
    </row>
    <row r="13" spans="1:7">
      <c r="A13" s="229" t="s">
        <v>220</v>
      </c>
      <c r="B13" s="227" t="s">
        <v>221</v>
      </c>
      <c r="C13" s="241">
        <v>0.23120793791742583</v>
      </c>
      <c r="D13" s="241">
        <v>11.409317139217761</v>
      </c>
      <c r="E13" s="252">
        <v>5.0505957823834766</v>
      </c>
      <c r="F13" s="241" t="e">
        <v>#DIV/0!</v>
      </c>
      <c r="G13" s="241">
        <v>0.1587058115367885</v>
      </c>
    </row>
    <row r="14" spans="1:7">
      <c r="A14" s="403" t="s">
        <v>222</v>
      </c>
      <c r="B14" s="404"/>
      <c r="C14" s="404"/>
      <c r="D14" s="404"/>
      <c r="E14" s="404"/>
      <c r="F14" s="405"/>
      <c r="G14" s="406"/>
    </row>
    <row r="15" spans="1:7">
      <c r="A15" s="226" t="s">
        <v>223</v>
      </c>
      <c r="B15" s="227"/>
      <c r="C15" s="242">
        <v>0.11409705356849391</v>
      </c>
      <c r="D15" s="242">
        <v>0.14921943660441592</v>
      </c>
      <c r="E15" s="242">
        <v>4.0053348302910956E-2</v>
      </c>
      <c r="F15" s="242" t="e">
        <v>#DIV/0!</v>
      </c>
      <c r="G15" s="242">
        <v>4.1303182835937362E-2</v>
      </c>
    </row>
    <row r="16" spans="1:7">
      <c r="A16" s="226" t="s">
        <v>224</v>
      </c>
      <c r="B16" s="227"/>
      <c r="C16" s="242">
        <v>0.88739901581166936</v>
      </c>
      <c r="D16" s="242">
        <v>0.77365614493393364</v>
      </c>
      <c r="E16" s="242">
        <v>0.85491175468543723</v>
      </c>
      <c r="F16" s="242" t="e">
        <v>#DIV/0!</v>
      </c>
      <c r="G16" s="242">
        <v>0.69518953736887801</v>
      </c>
    </row>
    <row r="17" spans="1:9">
      <c r="A17" s="226" t="s">
        <v>225</v>
      </c>
      <c r="B17" s="227"/>
      <c r="C17" s="241">
        <v>1.9105825283957337E-2</v>
      </c>
      <c r="D17" s="241">
        <v>1.7154933368005859E-2</v>
      </c>
      <c r="E17" s="241">
        <v>1.6439914278233798E-3</v>
      </c>
      <c r="F17" s="241" t="e">
        <v>#DIV/0!</v>
      </c>
      <c r="G17" s="241">
        <v>9.55686937556279E-3</v>
      </c>
    </row>
    <row r="18" spans="1:9">
      <c r="A18" s="229" t="s">
        <v>226</v>
      </c>
      <c r="B18" s="230"/>
      <c r="C18" s="241">
        <v>0.63891574465225587</v>
      </c>
      <c r="D18" s="241">
        <v>0.64482792981631321</v>
      </c>
      <c r="E18" s="241">
        <v>0.71240341493352866</v>
      </c>
      <c r="F18" s="241" t="e">
        <v>#DIV/0!</v>
      </c>
      <c r="G18" s="241">
        <v>0.34945531363153787</v>
      </c>
    </row>
    <row r="19" spans="1:9">
      <c r="A19" s="403" t="s">
        <v>227</v>
      </c>
      <c r="B19" s="404"/>
      <c r="C19" s="404"/>
      <c r="D19" s="404"/>
      <c r="E19" s="404"/>
      <c r="F19" s="405"/>
      <c r="G19" s="406"/>
    </row>
    <row r="20" spans="1:9">
      <c r="A20" s="226" t="s">
        <v>228</v>
      </c>
      <c r="B20" s="231" t="s">
        <v>229</v>
      </c>
      <c r="C20" s="240">
        <v>0.74618152045957509</v>
      </c>
      <c r="D20" s="240">
        <v>0.44882452469885747</v>
      </c>
      <c r="E20" s="240">
        <v>0.39491937200279453</v>
      </c>
      <c r="F20" s="240" t="e">
        <v>#DIV/0!</v>
      </c>
      <c r="G20" s="240">
        <v>0.51630340941028563</v>
      </c>
      <c r="I20" s="209"/>
    </row>
    <row r="21" spans="1:9">
      <c r="A21" s="226" t="s">
        <v>230</v>
      </c>
      <c r="B21" s="227" t="s">
        <v>231</v>
      </c>
      <c r="C21" s="240">
        <v>0</v>
      </c>
      <c r="D21" s="240">
        <v>0</v>
      </c>
      <c r="E21" s="240">
        <v>0</v>
      </c>
      <c r="F21" s="240" t="e">
        <v>#DIV/0!</v>
      </c>
      <c r="G21" s="240">
        <v>4.1510181723279013E-2</v>
      </c>
      <c r="I21" s="210"/>
    </row>
    <row r="22" spans="1:9">
      <c r="A22" s="226" t="s">
        <v>232</v>
      </c>
      <c r="B22" s="227"/>
      <c r="C22" s="240">
        <v>0.38478031520609235</v>
      </c>
      <c r="D22" s="240">
        <v>0.23136986069836543</v>
      </c>
      <c r="E22" s="240">
        <v>0.1937271928862499</v>
      </c>
      <c r="F22" s="240" t="e">
        <v>#DIV/0!</v>
      </c>
      <c r="G22" s="240">
        <v>9.7848925233609121E-2</v>
      </c>
    </row>
    <row r="23" spans="1:9">
      <c r="A23" s="403" t="s">
        <v>233</v>
      </c>
      <c r="B23" s="404"/>
      <c r="C23" s="404"/>
      <c r="D23" s="404"/>
      <c r="E23" s="404"/>
      <c r="F23" s="405"/>
      <c r="G23" s="406"/>
    </row>
    <row r="24" spans="1:9">
      <c r="A24" s="232" t="s">
        <v>234</v>
      </c>
      <c r="B24" s="230" t="s">
        <v>235</v>
      </c>
      <c r="C24" s="241">
        <v>0.63201921404663319</v>
      </c>
      <c r="D24" s="241">
        <v>0.59832160117779842</v>
      </c>
      <c r="E24" s="252">
        <v>0.64731386580395978</v>
      </c>
      <c r="F24" s="241" t="e">
        <v>#DIV/0!</v>
      </c>
      <c r="G24" s="241">
        <v>0.76177934899154387</v>
      </c>
    </row>
    <row r="25" spans="1:9">
      <c r="A25" s="232" t="s">
        <v>236</v>
      </c>
      <c r="B25" s="233" t="s">
        <v>237</v>
      </c>
      <c r="C25" s="241">
        <v>0.89871257968939322</v>
      </c>
      <c r="D25" s="241">
        <v>0.8470036071091338</v>
      </c>
      <c r="E25" s="252">
        <v>0.93077327769174278</v>
      </c>
      <c r="F25" s="241" t="e">
        <v>#DIV/0!</v>
      </c>
      <c r="G25" s="241">
        <v>1.0773460434782811</v>
      </c>
    </row>
    <row r="26" spans="1:9">
      <c r="A26" s="232" t="s">
        <v>238</v>
      </c>
      <c r="B26" s="233"/>
      <c r="C26" s="241">
        <v>0.27739121307886522</v>
      </c>
      <c r="D26" s="241">
        <v>0.27737888583888132</v>
      </c>
      <c r="E26" s="241">
        <v>0.27734727259448344</v>
      </c>
      <c r="F26" s="241" t="e">
        <v>#DIV/0!</v>
      </c>
      <c r="G26" s="241">
        <v>6.0767499144699234E-2</v>
      </c>
    </row>
    <row r="27" spans="1:9">
      <c r="A27" s="232" t="s">
        <v>239</v>
      </c>
      <c r="B27" s="234"/>
      <c r="C27" s="241">
        <v>0.11574398934991627</v>
      </c>
      <c r="D27" s="241">
        <v>0.11574016579265022</v>
      </c>
      <c r="E27" s="241">
        <v>0.10997295232727818</v>
      </c>
      <c r="F27" s="241" t="e">
        <v>#DIV/0!</v>
      </c>
      <c r="G27" s="241">
        <v>0.28899150549548069</v>
      </c>
    </row>
    <row r="28" spans="1:9">
      <c r="A28" s="403" t="s">
        <v>240</v>
      </c>
      <c r="B28" s="404"/>
      <c r="C28" s="404">
        <v>2015</v>
      </c>
      <c r="D28" s="404">
        <v>2016</v>
      </c>
      <c r="E28" s="404">
        <v>2017</v>
      </c>
      <c r="F28" s="405"/>
      <c r="G28" s="406" t="s">
        <v>241</v>
      </c>
    </row>
    <row r="29" spans="1:9">
      <c r="A29" s="146" t="s">
        <v>44</v>
      </c>
      <c r="B29" s="236"/>
      <c r="C29" s="244">
        <v>1292476097</v>
      </c>
      <c r="D29" s="244">
        <v>1286715578.8199999</v>
      </c>
      <c r="E29" s="244">
        <v>1230432804.6500001</v>
      </c>
      <c r="F29" s="244"/>
      <c r="G29" s="245">
        <v>556660528191.89404</v>
      </c>
    </row>
    <row r="30" spans="1:9">
      <c r="A30" s="146" t="s">
        <v>242</v>
      </c>
      <c r="B30" s="236"/>
      <c r="C30" s="244">
        <v>1283570201</v>
      </c>
      <c r="D30" s="244">
        <v>1279264096.76</v>
      </c>
      <c r="E30" s="244">
        <v>1221697842.22</v>
      </c>
      <c r="F30" s="244"/>
      <c r="G30" s="245">
        <v>525736252737.48401</v>
      </c>
    </row>
    <row r="31" spans="1:9">
      <c r="A31" s="146" t="s">
        <v>45</v>
      </c>
      <c r="B31" s="236"/>
      <c r="C31" s="245">
        <v>908933229</v>
      </c>
      <c r="D31" s="245">
        <v>908933231.12</v>
      </c>
      <c r="E31" s="245">
        <v>855714527.35000002</v>
      </c>
      <c r="F31" s="245"/>
      <c r="G31" s="245">
        <v>393608439314.65997</v>
      </c>
    </row>
    <row r="32" spans="1:9">
      <c r="A32" s="146" t="s">
        <v>243</v>
      </c>
      <c r="B32" s="236"/>
      <c r="C32" s="246">
        <v>816869727</v>
      </c>
      <c r="D32" s="246">
        <v>769869725.38</v>
      </c>
      <c r="E32" s="246">
        <v>796476215.38999999</v>
      </c>
      <c r="F32" s="246"/>
      <c r="G32" s="245">
        <v>424052494775.31</v>
      </c>
    </row>
    <row r="33" spans="1:7">
      <c r="A33" s="146" t="s">
        <v>9</v>
      </c>
      <c r="B33" s="236"/>
      <c r="C33" s="244">
        <v>227230784</v>
      </c>
      <c r="D33" s="244">
        <v>22097631.600000001</v>
      </c>
      <c r="E33" s="244">
        <v>46990513.695</v>
      </c>
      <c r="F33" s="244"/>
      <c r="G33" s="245">
        <v>91097903862.069</v>
      </c>
    </row>
    <row r="34" spans="1:7">
      <c r="A34" s="146" t="s">
        <v>244</v>
      </c>
      <c r="B34" s="236"/>
      <c r="C34" s="244">
        <v>54532502</v>
      </c>
      <c r="D34" s="244">
        <v>-150600649.75</v>
      </c>
      <c r="E34" s="244">
        <v>-129255063.86499999</v>
      </c>
      <c r="F34" s="244"/>
      <c r="G34" s="245">
        <v>53639256361.595001</v>
      </c>
    </row>
    <row r="35" spans="1:7">
      <c r="A35" s="146" t="s">
        <v>245</v>
      </c>
      <c r="B35" s="236"/>
      <c r="C35" s="245">
        <v>0</v>
      </c>
      <c r="D35" s="245">
        <v>167018087.34</v>
      </c>
      <c r="E35" s="245">
        <v>171630334.59</v>
      </c>
      <c r="F35" s="245"/>
      <c r="G35" s="245">
        <v>26360558937.5905</v>
      </c>
    </row>
    <row r="36" spans="1:7">
      <c r="A36" s="146" t="s">
        <v>97</v>
      </c>
      <c r="B36" s="236"/>
      <c r="C36" s="246">
        <v>89598646</v>
      </c>
      <c r="D36" s="246">
        <v>90021980.769999996</v>
      </c>
      <c r="E36" s="246">
        <v>86403574.579999998</v>
      </c>
      <c r="F36" s="246"/>
      <c r="G36" s="245">
        <v>63851962769.393997</v>
      </c>
    </row>
    <row r="37" spans="1:7">
      <c r="A37" s="146" t="s">
        <v>98</v>
      </c>
      <c r="B37" s="236"/>
      <c r="C37" s="244">
        <v>70635261</v>
      </c>
      <c r="D37" s="244">
        <v>29788282.120000001</v>
      </c>
      <c r="E37" s="244">
        <v>29015863.949999999</v>
      </c>
      <c r="F37" s="244"/>
      <c r="G37" s="245">
        <v>18186971367.754002</v>
      </c>
    </row>
    <row r="38" spans="1:7">
      <c r="A38" s="146" t="s">
        <v>246</v>
      </c>
      <c r="B38" s="236"/>
      <c r="C38" s="244">
        <v>52537561</v>
      </c>
      <c r="D38" s="244">
        <v>252118886.94999999</v>
      </c>
      <c r="E38" s="244">
        <v>237330090.28</v>
      </c>
      <c r="F38" s="244"/>
      <c r="G38" s="245">
        <v>14457766761.73</v>
      </c>
    </row>
    <row r="39" spans="1:7">
      <c r="A39" s="146" t="s">
        <v>247</v>
      </c>
      <c r="B39" s="236"/>
      <c r="C39" s="244">
        <v>252130091</v>
      </c>
      <c r="D39" s="244">
        <v>252118886.94999999</v>
      </c>
      <c r="E39" s="244">
        <v>237330090.28</v>
      </c>
      <c r="F39" s="244"/>
      <c r="G39" s="245">
        <v>23918600499.400002</v>
      </c>
    </row>
    <row r="40" spans="1:7">
      <c r="A40" s="146" t="s">
        <v>248</v>
      </c>
      <c r="B40" s="236"/>
      <c r="C40" s="244">
        <v>497319360</v>
      </c>
      <c r="D40" s="244">
        <v>297707204.23000002</v>
      </c>
      <c r="E40" s="244">
        <v>238368293.28</v>
      </c>
      <c r="F40" s="244"/>
      <c r="G40" s="245">
        <v>54468634403.550003</v>
      </c>
    </row>
    <row r="41" spans="1:7">
      <c r="A41" s="146" t="s">
        <v>249</v>
      </c>
      <c r="B41" s="236"/>
      <c r="C41" s="244">
        <v>666485763</v>
      </c>
      <c r="D41" s="244">
        <v>663304226.59000003</v>
      </c>
      <c r="E41" s="244">
        <v>603587238.75999999</v>
      </c>
      <c r="F41" s="244"/>
      <c r="G41" s="245">
        <v>105497336277.061</v>
      </c>
    </row>
    <row r="42" spans="1:7">
      <c r="A42" s="146" t="s">
        <v>68</v>
      </c>
      <c r="B42" s="236"/>
      <c r="C42" s="244">
        <v>0</v>
      </c>
      <c r="D42" s="244">
        <v>0</v>
      </c>
      <c r="E42" s="244">
        <v>0</v>
      </c>
      <c r="F42" s="244"/>
      <c r="G42" s="245">
        <v>23107079683.422001</v>
      </c>
    </row>
    <row r="43" spans="1:7">
      <c r="A43" s="146" t="s">
        <v>250</v>
      </c>
      <c r="B43" s="236"/>
      <c r="C43" s="244">
        <v>804205298.5</v>
      </c>
      <c r="D43" s="244">
        <v>755955297.85000002</v>
      </c>
      <c r="E43" s="244">
        <v>791073416.01999998</v>
      </c>
      <c r="F43" s="244"/>
      <c r="G43" s="245">
        <v>399498858778.77502</v>
      </c>
    </row>
    <row r="44" spans="1:7">
      <c r="A44" s="146" t="s">
        <v>251</v>
      </c>
      <c r="B44" s="236"/>
      <c r="C44" s="244">
        <v>220242400</v>
      </c>
      <c r="D44" s="244">
        <v>220249674.22</v>
      </c>
      <c r="E44" s="244">
        <v>48908829</v>
      </c>
      <c r="F44" s="244"/>
      <c r="G44" s="245">
        <v>19659862542.98</v>
      </c>
    </row>
    <row r="45" spans="1:7">
      <c r="A45" s="146" t="s">
        <v>252</v>
      </c>
      <c r="B45" s="236"/>
      <c r="C45" s="244">
        <v>165515848</v>
      </c>
      <c r="D45" s="244">
        <v>191875301.81</v>
      </c>
      <c r="E45" s="244">
        <v>41938912.979999997</v>
      </c>
      <c r="F45" s="244"/>
      <c r="G45" s="245">
        <v>12862488927.93</v>
      </c>
    </row>
    <row r="46" spans="1:7">
      <c r="A46" s="146" t="s">
        <v>253</v>
      </c>
      <c r="B46" s="236"/>
      <c r="C46" s="244">
        <v>25491734</v>
      </c>
      <c r="D46" s="244">
        <v>25491733.809999999</v>
      </c>
      <c r="E46" s="244">
        <v>5378648.3200000003</v>
      </c>
      <c r="F46" s="244"/>
      <c r="G46" s="245">
        <v>5681533274.1300001</v>
      </c>
    </row>
    <row r="47" spans="1:7">
      <c r="A47" s="146" t="s">
        <v>254</v>
      </c>
      <c r="B47" s="236"/>
      <c r="C47" s="244">
        <v>140716337</v>
      </c>
      <c r="D47" s="244">
        <v>142023141.47</v>
      </c>
      <c r="E47" s="244">
        <v>34842816.799999997</v>
      </c>
      <c r="F47" s="244"/>
      <c r="G47" s="245">
        <v>6870243430.9099998</v>
      </c>
    </row>
    <row r="48" spans="1:7">
      <c r="A48" s="146" t="s">
        <v>255</v>
      </c>
      <c r="B48" s="236"/>
      <c r="C48" s="244">
        <v>93202429</v>
      </c>
      <c r="D48" s="244">
        <v>114879526.68000001</v>
      </c>
      <c r="E48" s="244">
        <v>31901539.27</v>
      </c>
      <c r="F48" s="244"/>
      <c r="G48" s="245">
        <v>17514717723.740002</v>
      </c>
    </row>
    <row r="49" spans="1:7">
      <c r="A49" s="146" t="s">
        <v>256</v>
      </c>
      <c r="B49" s="236"/>
      <c r="C49" s="244">
        <v>195442889</v>
      </c>
      <c r="D49" s="244">
        <v>170397513.88</v>
      </c>
      <c r="E49" s="244">
        <v>41812732.82</v>
      </c>
      <c r="F49" s="244"/>
      <c r="G49" s="245">
        <v>13667330745.99</v>
      </c>
    </row>
    <row r="50" spans="1:7">
      <c r="A50" s="146" t="s">
        <v>257</v>
      </c>
      <c r="B50" s="236"/>
      <c r="C50" s="244">
        <v>24523668</v>
      </c>
      <c r="D50" s="244">
        <v>21945690.34</v>
      </c>
      <c r="E50" s="244">
        <v>2008460.78</v>
      </c>
      <c r="F50" s="244"/>
      <c r="G50" s="245">
        <v>5024392693.4099998</v>
      </c>
    </row>
    <row r="51" spans="1:7">
      <c r="A51" s="397" t="s">
        <v>258</v>
      </c>
      <c r="B51" s="398"/>
      <c r="C51" s="398"/>
      <c r="D51" s="398"/>
      <c r="E51" s="398"/>
      <c r="F51" s="398"/>
      <c r="G51" s="399"/>
    </row>
    <row r="52" spans="1:7">
      <c r="A52" s="249" t="s">
        <v>371</v>
      </c>
      <c r="B52" s="208"/>
      <c r="C52" s="213"/>
      <c r="D52" s="213"/>
      <c r="E52" s="213"/>
      <c r="F52" s="214"/>
      <c r="G52" s="215"/>
    </row>
    <row r="53" spans="1:7">
      <c r="A53" s="211" t="s">
        <v>372</v>
      </c>
      <c r="B53" s="208"/>
      <c r="C53" s="213"/>
      <c r="D53" s="213"/>
      <c r="E53" s="213"/>
      <c r="F53" s="214"/>
      <c r="G53" s="215"/>
    </row>
    <row r="54" spans="1:7">
      <c r="A54" s="212" t="s">
        <v>373</v>
      </c>
      <c r="B54" s="208"/>
      <c r="C54" s="213"/>
      <c r="D54" s="213"/>
      <c r="E54" s="213"/>
      <c r="F54" s="214"/>
      <c r="G54" s="215"/>
    </row>
    <row r="55" spans="1:7">
      <c r="A55" s="211" t="s">
        <v>374</v>
      </c>
      <c r="B55" s="213"/>
      <c r="C55" s="213"/>
      <c r="D55" s="213"/>
      <c r="E55" s="214"/>
      <c r="F55" s="214"/>
      <c r="G55" s="247"/>
    </row>
    <row r="56" spans="1:7">
      <c r="A56" s="211" t="s">
        <v>375</v>
      </c>
      <c r="B56" s="213"/>
      <c r="C56" s="214"/>
      <c r="D56" s="155"/>
      <c r="E56" s="155"/>
      <c r="F56" s="155"/>
      <c r="G56" s="251"/>
    </row>
    <row r="57" spans="1:7">
      <c r="A57" s="211" t="s">
        <v>376</v>
      </c>
      <c r="B57" s="213"/>
      <c r="C57" s="214"/>
      <c r="D57" s="155"/>
      <c r="E57" s="155"/>
      <c r="F57" s="155"/>
      <c r="G57" s="251"/>
    </row>
    <row r="58" spans="1:7">
      <c r="A58" s="250" t="s">
        <v>377</v>
      </c>
      <c r="B58" s="213"/>
      <c r="C58" s="214"/>
      <c r="D58" s="155"/>
      <c r="E58" s="155"/>
      <c r="F58" s="155"/>
      <c r="G58" s="251"/>
    </row>
    <row r="59" spans="1:7">
      <c r="A59" s="237" t="s">
        <v>361</v>
      </c>
      <c r="B59" s="208"/>
      <c r="C59" s="400"/>
      <c r="D59" s="401"/>
      <c r="E59" s="401"/>
      <c r="F59" s="401"/>
      <c r="G59" s="402"/>
    </row>
    <row r="60" spans="1:7">
      <c r="A60" s="237"/>
      <c r="B60" s="208"/>
      <c r="C60" s="216"/>
      <c r="D60" s="216"/>
      <c r="E60" s="217"/>
      <c r="F60" s="217"/>
      <c r="G60" s="218"/>
    </row>
    <row r="61" spans="1:7">
      <c r="A61" s="238" t="s">
        <v>268</v>
      </c>
      <c r="B61" s="219"/>
      <c r="C61" s="400"/>
      <c r="D61" s="401"/>
      <c r="E61" s="401"/>
      <c r="F61" s="401"/>
      <c r="G61" s="402"/>
    </row>
    <row r="62" spans="1:7">
      <c r="A62" s="3"/>
      <c r="B62" s="208"/>
      <c r="C62" s="213"/>
      <c r="D62" s="213"/>
      <c r="E62" s="213"/>
      <c r="F62" s="214"/>
      <c r="G62" s="215"/>
    </row>
    <row r="63" spans="1:7">
      <c r="A63" s="237" t="s">
        <v>269</v>
      </c>
      <c r="B63" s="208"/>
      <c r="C63" s="400"/>
      <c r="D63" s="401"/>
      <c r="E63" s="401"/>
      <c r="F63" s="401"/>
      <c r="G63" s="402"/>
    </row>
    <row r="64" spans="1:7" ht="15" thickBot="1">
      <c r="A64" s="239"/>
      <c r="B64" s="220"/>
      <c r="C64" s="221"/>
      <c r="D64" s="221"/>
      <c r="E64" s="221"/>
      <c r="F64" s="222"/>
      <c r="G64" s="223"/>
    </row>
    <row r="65" spans="1:1">
      <c r="A65" s="248" t="s">
        <v>270</v>
      </c>
    </row>
    <row r="66" spans="1:1">
      <c r="A66" s="224"/>
    </row>
    <row r="67" spans="1:1">
      <c r="A67" s="224"/>
    </row>
  </sheetData>
  <mergeCells count="16">
    <mergeCell ref="C61:G61"/>
    <mergeCell ref="C63:G63"/>
    <mergeCell ref="A9:G9"/>
    <mergeCell ref="A5:G5"/>
    <mergeCell ref="A28:G28"/>
    <mergeCell ref="A19:G19"/>
    <mergeCell ref="A23:G23"/>
    <mergeCell ref="A51:G51"/>
    <mergeCell ref="A14:G14"/>
    <mergeCell ref="G3:G4"/>
    <mergeCell ref="B3:B4"/>
    <mergeCell ref="A1:G1"/>
    <mergeCell ref="A2:G2"/>
    <mergeCell ref="C59:G59"/>
    <mergeCell ref="D3:E3"/>
    <mergeCell ref="F3:F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f647032-17c5-4266-af02-4596a72daf50" xsi:nil="true"/>
    <lcf76f155ced4ddcb4097134ff3c332f xmlns="df647032-17c5-4266-af02-4596a72daf50">
      <Terms xmlns="http://schemas.microsoft.com/office/infopath/2007/PartnerControls"/>
    </lcf76f155ced4ddcb4097134ff3c332f>
    <TaxCatchAll xmlns="6e3db4b3-2b3b-4352-9127-36718d9c05b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FB27488935CD4FBFBB981DE553EA38" ma:contentTypeVersion="16" ma:contentTypeDescription="Create a new document." ma:contentTypeScope="" ma:versionID="02b30870fc8718c37a5fdeeb3f9f6640">
  <xsd:schema xmlns:xsd="http://www.w3.org/2001/XMLSchema" xmlns:xs="http://www.w3.org/2001/XMLSchema" xmlns:p="http://schemas.microsoft.com/office/2006/metadata/properties" xmlns:ns2="6e3db4b3-2b3b-4352-9127-36718d9c05b9" xmlns:ns3="df647032-17c5-4266-af02-4596a72daf50" targetNamespace="http://schemas.microsoft.com/office/2006/metadata/properties" ma:root="true" ma:fieldsID="1d039cf6d75f596d6402e382bea0e69c" ns2:_="" ns3:_="">
    <xsd:import namespace="6e3db4b3-2b3b-4352-9127-36718d9c05b9"/>
    <xsd:import namespace="df647032-17c5-4266-af02-4596a72daf5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_Flow_SignoffStatu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db4b3-2b3b-4352-9127-36718d9c05b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2a9480d-a1a4-4d65-9325-9590a28e6ac7}" ma:internalName="TaxCatchAll" ma:showField="CatchAllData" ma:web="6e3db4b3-2b3b-4352-9127-36718d9c05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47032-17c5-4266-af02-4596a72daf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14" nillable="true" ma:displayName="Sign-off status" ma:internalName="Sign_x002d_off_x0020_status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3e1d0d5-9008-431c-be16-ab01e5c392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60E4E3-4ADD-4DA8-BFC2-C5F7457BB0FF}"/>
</file>

<file path=customXml/itemProps2.xml><?xml version="1.0" encoding="utf-8"?>
<ds:datastoreItem xmlns:ds="http://schemas.openxmlformats.org/officeDocument/2006/customXml" ds:itemID="{F66222C5-5A35-4CDE-B59E-41EC65971030}"/>
</file>

<file path=customXml/itemProps3.xml><?xml version="1.0" encoding="utf-8"?>
<ds:datastoreItem xmlns:ds="http://schemas.openxmlformats.org/officeDocument/2006/customXml" ds:itemID="{4A0374FB-D7F3-4B8B-8E4D-C2AF17DB4A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</dc:creator>
  <cp:keywords/>
  <dc:description/>
  <cp:lastModifiedBy>David Onyango</cp:lastModifiedBy>
  <cp:revision/>
  <dcterms:created xsi:type="dcterms:W3CDTF">2012-11-01T05:11:14Z</dcterms:created>
  <dcterms:modified xsi:type="dcterms:W3CDTF">2023-02-15T13:55:28Z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0x010100F4FB27488935CD4FBFBB981DE553EA38</vt:lpwstr>
  </property>
  <property fmtid="{D5CDD505-2E9C-101B-9397-08002B2CF9AE}" pid="3" name="MSIP_Label_7a02b3b2-3762-4506-88a3-8b8c11cc60e6_Enabled">
    <vt:lpwstr>true</vt:lpwstr>
  </property>
  <property fmtid="{D5CDD505-2E9C-101B-9397-08002B2CF9AE}" pid="4" name="MSIP_Label_7a02b3b2-3762-4506-88a3-8b8c11cc60e6_SetDate">
    <vt:lpwstr>2021-09-17T09:53:35Z</vt:lpwstr>
  </property>
  <property fmtid="{D5CDD505-2E9C-101B-9397-08002B2CF9AE}" pid="5" name="MSIP_Label_7a02b3b2-3762-4506-88a3-8b8c11cc60e6_Method">
    <vt:lpwstr>Privileged</vt:lpwstr>
  </property>
  <property fmtid="{D5CDD505-2E9C-101B-9397-08002B2CF9AE}" pid="6" name="MSIP_Label_7a02b3b2-3762-4506-88a3-8b8c11cc60e6_Name">
    <vt:lpwstr>Internal Use</vt:lpwstr>
  </property>
  <property fmtid="{D5CDD505-2E9C-101B-9397-08002B2CF9AE}" pid="7" name="MSIP_Label_7a02b3b2-3762-4506-88a3-8b8c11cc60e6_SiteId">
    <vt:lpwstr>d6c8161d-ccd5-4325-b291-dd442c369fe4</vt:lpwstr>
  </property>
  <property fmtid="{D5CDD505-2E9C-101B-9397-08002B2CF9AE}" pid="8" name="MSIP_Label_7a02b3b2-3762-4506-88a3-8b8c11cc60e6_ActionId">
    <vt:lpwstr>02e9269f-ac3d-4bf5-8fd7-fef95681c600</vt:lpwstr>
  </property>
  <property fmtid="{D5CDD505-2E9C-101B-9397-08002B2CF9AE}" pid="9" name="MSIP_Label_7a02b3b2-3762-4506-88a3-8b8c11cc60e6_ContentBits">
    <vt:lpwstr>0</vt:lpwstr>
  </property>
  <property fmtid="{D5CDD505-2E9C-101B-9397-08002B2CF9AE}" pid="10" name="MediaServiceImageTags">
    <vt:lpwstr/>
  </property>
</Properties>
</file>
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1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srake.sharepoint.com/sites/Supervision/Shared Documents/DT Saccos/Portfolio 4/KWETU- 1781/ACCOUNTS APPROVAL/"/>
    </mc:Choice>
  </mc:AlternateContent>
  <xr:revisionPtr revIDLastSave="366" documentId="13_ncr:1_{0BFAE5A9-B363-4291-B9C3-E173DBA35D0C}" xr6:coauthVersionLast="47" xr6:coauthVersionMax="47" xr10:uidLastSave="{5A6F585E-8531-4084-88CB-422FDEAEA26C}"/>
  <bookViews>
    <workbookView xWindow="-108" yWindow="-108" windowWidth="23256" windowHeight="12576" firstSheet="2" activeTab="3" xr2:uid="{00000000-000D-0000-FFFF-FFFF00000000}"/>
  </bookViews>
  <sheets>
    <sheet name="compliance status" sheetId="8" r:id="rId1"/>
    <sheet name="Prudential Ratios" sheetId="5" r:id="rId2"/>
    <sheet name="CAELS" sheetId="9" r:id="rId3"/>
    <sheet name="Financials" sheetId="6" r:id="rId4"/>
    <sheet name="form4" sheetId="20" r:id="rId5"/>
    <sheet name="SFP-2022" sheetId="4" r:id="rId6"/>
    <sheet name="Sheet2" sheetId="27" r:id="rId7"/>
    <sheet name="SCI-2022" sheetId="7" r:id="rId8"/>
    <sheet name="Sheet1" sheetId="24" r:id="rId9"/>
    <sheet name="DEC 2020" sheetId="26" r:id="rId10"/>
    <sheet name="DEC 2019 REPORT" sheetId="25" r:id="rId11"/>
  </sheets>
  <externalReferences>
    <externalReference r:id="rId12"/>
  </externalReferences>
  <definedNames>
    <definedName name="BALANCE1_LDA01">'[1]Financial Statements'!$E$112</definedName>
    <definedName name="BALANCE1_LDA12">'[1]Financial Statements'!$E$123</definedName>
    <definedName name="BALANCE2_LDA01">'[1]Financial Statements'!$F$112</definedName>
    <definedName name="BALANCE2_LDA12">'[1]Financial Statements'!$F$123</definedName>
    <definedName name="BALANCE3_LDA01">'[1]Financial Statements'!$G$112</definedName>
    <definedName name="BALANCE3_LDA12">'[1]Financial Statements'!$G$123</definedName>
    <definedName name="BALANCE4_LDA01">'[1]Financial Statements'!$H$112</definedName>
    <definedName name="BALANCE4_LDA12">'[1]Financial Statements'!$H$123</definedName>
    <definedName name="BALANCE5_LDA01">'[1]Financial Statements'!$I$112</definedName>
    <definedName name="BALANCE5_LDA12">'[1]Financial Statements'!$I$123</definedName>
    <definedName name="BALANCE6_LDA01">'[1]Financial Statements'!$J$112</definedName>
    <definedName name="BALANCE6_LDA12">'[1]Financial Statements'!$J$123</definedName>
    <definedName name="NotApplicable">'Prudential Ratios'!$B$76</definedName>
    <definedName name="PEARLS1_LA002">'[1]Financial Statements'!$E$280</definedName>
    <definedName name="PEARLS1_LE008">'[1]Financial Statements'!$E$275</definedName>
    <definedName name="PEARLS1_LE009">'[1]Financial Statements'!$E$276</definedName>
    <definedName name="PEARLS1_LR001">'[1]Financial Statements'!$E$282</definedName>
    <definedName name="PEARLS1_LR005">'[1]Financial Statements'!$E$286</definedName>
    <definedName name="PEARLS1_LR006">'[1]Financial Statements'!$E$287</definedName>
    <definedName name="PEARLS1_LR007">'[1]Financial Statements'!$E$288</definedName>
    <definedName name="PEARLS1_LR009">'[1]Financial Statements'!$E$290</definedName>
    <definedName name="PEARLS1_LS001">'[1]Financial Statements'!$E$298</definedName>
    <definedName name="PEARLS1_LS005">'[1]Financial Statements'!$E$302</definedName>
    <definedName name="PEARLS1_LS011">'[1]Financial Statements'!$E$308</definedName>
    <definedName name="PEARLS2_LA002">'[1]Financial Statements'!$F$280</definedName>
    <definedName name="PEARLS2_LE008">'[1]Financial Statements'!$F$275</definedName>
    <definedName name="PEARLS2_LE009">'[1]Financial Statements'!$F$276</definedName>
    <definedName name="PEARLS2_LR001">'[1]Financial Statements'!$F$282</definedName>
    <definedName name="PEARLS2_LR005">'[1]Financial Statements'!$F$286</definedName>
    <definedName name="PEARLS2_LR006">'[1]Financial Statements'!$F$287</definedName>
    <definedName name="PEARLS2_LR007">'[1]Financial Statements'!$F$288</definedName>
    <definedName name="PEARLS2_LR009">'[1]Financial Statements'!$F$290</definedName>
    <definedName name="PEARLS2_LS001">'[1]Financial Statements'!$F$298</definedName>
    <definedName name="PEARLS2_LS005">'[1]Financial Statements'!$F$302</definedName>
    <definedName name="PEARLS2_LS010">'[1]Financial Statements'!$F$307</definedName>
    <definedName name="PEARLS2_LS011">'[1]Financial Statements'!$F$308</definedName>
    <definedName name="PEARLS3_LA002">'[1]Financial Statements'!$G$280</definedName>
    <definedName name="PEARLS3_LE008">'[1]Financial Statements'!$G$275</definedName>
    <definedName name="PEARLS3_LE009">'[1]Financial Statements'!$G$276</definedName>
    <definedName name="PEARLS3_LR001">'[1]Financial Statements'!$G$282</definedName>
    <definedName name="PEARLS3_LR005">'[1]Financial Statements'!$G$286</definedName>
    <definedName name="PEARLS3_LR006">'[1]Financial Statements'!$G$287</definedName>
    <definedName name="PEARLS3_LR007">'[1]Financial Statements'!$G$288</definedName>
    <definedName name="PEARLS3_LR009">'[1]Financial Statements'!$G$290</definedName>
    <definedName name="PEARLS3_LS001">'[1]Financial Statements'!$G$298</definedName>
    <definedName name="PEARLS3_LS005">'[1]Financial Statements'!$G$302</definedName>
    <definedName name="PEARLS3_LS010">'[1]Financial Statements'!$G$307</definedName>
    <definedName name="PEARLS3_LS011">'[1]Financial Statements'!$G$308</definedName>
    <definedName name="PEARLS4_LA002">'[1]Financial Statements'!$H$280</definedName>
    <definedName name="PEARLS4_LE008">'[1]Financial Statements'!$H$275</definedName>
    <definedName name="PEARLS4_LE009">'[1]Financial Statements'!$H$276</definedName>
    <definedName name="PEARLS4_LR001">'[1]Financial Statements'!$H$282</definedName>
    <definedName name="PEARLS4_LR005">'[1]Financial Statements'!$H$286</definedName>
    <definedName name="PEARLS4_LR006">'[1]Financial Statements'!$H$287</definedName>
    <definedName name="PEARLS4_LR007">'[1]Financial Statements'!$H$288</definedName>
    <definedName name="PEARLS4_LR009">'[1]Financial Statements'!$H$290</definedName>
    <definedName name="PEARLS4_LS001">'[1]Financial Statements'!$H$298</definedName>
    <definedName name="PEARLS4_LS005">'[1]Financial Statements'!$H$302</definedName>
    <definedName name="PEARLS4_LS010">'[1]Financial Statements'!$H$307</definedName>
    <definedName name="PEARLS4_LS011">'[1]Financial Statements'!$H$308</definedName>
    <definedName name="PEARLS5_LA002">'[1]Financial Statements'!$I$280</definedName>
    <definedName name="PEARLS5_LE008">'[1]Financial Statements'!$I$275</definedName>
    <definedName name="PEARLS5_LE009">'[1]Financial Statements'!$I$276</definedName>
    <definedName name="PEARLS5_LR001">'[1]Financial Statements'!$I$282</definedName>
    <definedName name="PEARLS5_LR005">'[1]Financial Statements'!$I$286</definedName>
    <definedName name="PEARLS5_LR006">'[1]Financial Statements'!$I$287</definedName>
    <definedName name="PEARLS5_LR007">'[1]Financial Statements'!$I$288</definedName>
    <definedName name="PEARLS5_LR009">'[1]Financial Statements'!$I$290</definedName>
    <definedName name="PEARLS5_LS001">'[1]Financial Statements'!$I$298</definedName>
    <definedName name="PEARLS5_LS005">'[1]Financial Statements'!$I$302</definedName>
    <definedName name="PEARLS5_LS010">'[1]Financial Statements'!$I$307</definedName>
    <definedName name="PEARLS5_LS011">'[1]Financial Statements'!$I$308</definedName>
    <definedName name="PEARLS6_LA002">'[1]Financial Statements'!$J$280</definedName>
    <definedName name="PEARLS6_LE008">'[1]Financial Statements'!$J$275</definedName>
    <definedName name="PEARLS6_LE009">'[1]Financial Statements'!$J$276</definedName>
    <definedName name="PEARLS6_LR001">'[1]Financial Statements'!$J$282</definedName>
    <definedName name="PEARLS6_LR005">'[1]Financial Statements'!$J$286</definedName>
    <definedName name="PEARLS6_LR006">'[1]Financial Statements'!$J$287</definedName>
    <definedName name="PEARLS6_LR007">'[1]Financial Statements'!$J$288</definedName>
    <definedName name="PEARLS6_LR009">'[1]Financial Statements'!$J$290</definedName>
    <definedName name="PEARLS6_LS001">'[1]Financial Statements'!$J$298</definedName>
    <definedName name="PEARLS6_LS005">'[1]Financial Statements'!$J$302</definedName>
    <definedName name="PEARLS6_LS010">'[1]Financial Statements'!$J$307</definedName>
    <definedName name="PEARLS6_LS011">'[1]Financial Statements'!$J$308</definedName>
    <definedName name="_xlnm.Print_Area" localSheetId="9">'DEC 2020'!$A$1:$G$64</definedName>
    <definedName name="_xlnm.Print_Area" localSheetId="7">'SCI-2022'!$A$1:$A$37</definedName>
    <definedName name="_xlnm.Print_Area" localSheetId="5">'SFP-2022'!$A$1:$A$55</definedName>
    <definedName name="units">'[1]SASRA B.S.'!$C$2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0" i="9" l="1"/>
  <c r="AJ20" i="9"/>
  <c r="AI21" i="9"/>
  <c r="AJ21" i="9"/>
  <c r="AI22" i="9"/>
  <c r="AJ22" i="9"/>
  <c r="AI23" i="9"/>
  <c r="AJ23" i="9"/>
  <c r="AI15" i="9"/>
  <c r="AJ15" i="9"/>
  <c r="AI16" i="9"/>
  <c r="AJ16" i="9"/>
  <c r="AI17" i="9"/>
  <c r="AJ17" i="9"/>
  <c r="AI18" i="9"/>
  <c r="AJ18" i="9"/>
  <c r="AI11" i="9"/>
  <c r="AJ11" i="9"/>
  <c r="AI12" i="9"/>
  <c r="AJ12" i="9"/>
  <c r="AI13" i="9"/>
  <c r="AJ13" i="9"/>
  <c r="AI4" i="9"/>
  <c r="AJ4" i="9"/>
  <c r="AI5" i="9"/>
  <c r="AJ5" i="9"/>
  <c r="AI6" i="9"/>
  <c r="AJ6" i="9"/>
  <c r="AI7" i="9"/>
  <c r="AJ7" i="9"/>
  <c r="AJ55" i="5"/>
  <c r="AK55" i="5"/>
  <c r="AJ56" i="5"/>
  <c r="AK56" i="5"/>
  <c r="AJ57" i="5"/>
  <c r="AK57" i="5"/>
  <c r="AJ58" i="5"/>
  <c r="AK58" i="5"/>
  <c r="AJ52" i="5"/>
  <c r="AK52" i="5"/>
  <c r="AJ53" i="5"/>
  <c r="AK53" i="5"/>
  <c r="AJ47" i="5"/>
  <c r="AK47" i="5"/>
  <c r="AJ48" i="5"/>
  <c r="AK48" i="5"/>
  <c r="AJ40" i="5"/>
  <c r="AK40" i="5"/>
  <c r="AJ41" i="5"/>
  <c r="AK41" i="5"/>
  <c r="AJ42" i="5"/>
  <c r="AK42" i="5"/>
  <c r="AJ43" i="5"/>
  <c r="AK43" i="5"/>
  <c r="AJ44" i="5"/>
  <c r="AK44" i="5"/>
  <c r="AJ30" i="5"/>
  <c r="AK30" i="5"/>
  <c r="AJ31" i="5"/>
  <c r="AK31" i="5"/>
  <c r="AJ32" i="5"/>
  <c r="AK32" i="5"/>
  <c r="AJ33" i="5"/>
  <c r="AK33" i="5"/>
  <c r="AJ34" i="5"/>
  <c r="AK34" i="5"/>
  <c r="AJ35" i="5"/>
  <c r="AK35" i="5"/>
  <c r="AJ36" i="5"/>
  <c r="AK36" i="5"/>
  <c r="AJ24" i="5"/>
  <c r="AK24" i="5"/>
  <c r="AJ25" i="5"/>
  <c r="AK25" i="5"/>
  <c r="AJ26" i="5"/>
  <c r="AK26" i="5"/>
  <c r="AJ27" i="5"/>
  <c r="AK27" i="5"/>
  <c r="AJ19" i="5"/>
  <c r="AK19" i="5"/>
  <c r="AJ20" i="5"/>
  <c r="AK20" i="5"/>
  <c r="AJ21" i="5"/>
  <c r="AK21" i="5"/>
  <c r="AK14" i="5"/>
  <c r="AK15" i="5"/>
  <c r="AK6" i="5"/>
  <c r="AK7" i="5"/>
  <c r="AK8" i="5"/>
  <c r="AK9" i="5"/>
  <c r="AK10" i="5"/>
  <c r="AH56" i="6"/>
  <c r="AI56" i="6"/>
  <c r="AI48" i="6"/>
  <c r="AI49" i="6"/>
  <c r="AI50" i="6"/>
  <c r="AI51" i="6"/>
  <c r="AI52" i="6"/>
  <c r="AI53" i="6"/>
  <c r="AI42" i="6"/>
  <c r="AI43" i="6"/>
  <c r="AI44" i="6"/>
  <c r="AI38" i="6"/>
  <c r="AI39" i="6"/>
  <c r="AI32" i="6"/>
  <c r="AI33" i="6"/>
  <c r="AI36" i="6"/>
  <c r="AI27" i="6"/>
  <c r="AI28" i="6"/>
  <c r="AI29" i="6"/>
  <c r="AI23" i="6"/>
  <c r="AI18" i="6"/>
  <c r="AI19" i="6"/>
  <c r="AI20" i="6"/>
  <c r="AI21" i="6"/>
  <c r="AI5" i="6"/>
  <c r="AI6" i="6"/>
  <c r="AI7" i="6"/>
  <c r="AI8" i="6"/>
  <c r="AI9" i="6"/>
  <c r="AI10" i="6"/>
  <c r="AG37" i="7"/>
  <c r="AH37" i="7"/>
  <c r="AH35" i="7"/>
  <c r="AH33" i="7"/>
  <c r="AH29" i="7"/>
  <c r="AH30" i="7"/>
  <c r="AH23" i="7"/>
  <c r="AH19" i="7"/>
  <c r="AH20" i="7"/>
  <c r="AH12" i="7"/>
  <c r="AH7" i="7"/>
  <c r="AH4" i="7"/>
  <c r="AH3" i="7" s="1"/>
  <c r="AG54" i="4"/>
  <c r="AH54" i="4"/>
  <c r="AG55" i="4"/>
  <c r="AH55" i="4"/>
  <c r="AG56" i="4"/>
  <c r="AH56" i="4"/>
  <c r="AG48" i="4"/>
  <c r="AH48" i="4"/>
  <c r="AG44" i="4"/>
  <c r="AH44" i="4"/>
  <c r="AG39" i="4"/>
  <c r="AH39" i="4"/>
  <c r="AG31" i="4"/>
  <c r="AH31" i="4"/>
  <c r="AG32" i="4"/>
  <c r="AH32" i="4"/>
  <c r="AG27" i="4"/>
  <c r="AH27" i="4"/>
  <c r="AG21" i="4"/>
  <c r="AH21" i="4"/>
  <c r="Z17" i="4"/>
  <c r="AA17" i="4"/>
  <c r="AB17" i="4"/>
  <c r="AC17" i="4"/>
  <c r="AD17" i="4"/>
  <c r="AE17" i="4"/>
  <c r="AF17" i="4"/>
  <c r="AG17" i="4"/>
  <c r="AH17" i="4"/>
  <c r="P17" i="4"/>
  <c r="Q17" i="4"/>
  <c r="R17" i="4"/>
  <c r="S17" i="4"/>
  <c r="T17" i="4"/>
  <c r="U17" i="4"/>
  <c r="V17" i="4"/>
  <c r="W17" i="4"/>
  <c r="X17" i="4"/>
  <c r="Y17" i="4"/>
  <c r="AG14" i="4"/>
  <c r="AH14" i="4"/>
  <c r="AG8" i="4"/>
  <c r="AH8" i="4"/>
  <c r="AG4" i="4"/>
  <c r="AH4" i="4"/>
  <c r="AD23" i="9"/>
  <c r="AE23" i="9"/>
  <c r="AF23" i="9"/>
  <c r="AG23" i="9"/>
  <c r="AH23" i="9"/>
  <c r="AD22" i="9"/>
  <c r="AE22" i="9"/>
  <c r="AF22" i="9"/>
  <c r="AG22" i="9"/>
  <c r="AH22" i="9"/>
  <c r="AD16" i="9"/>
  <c r="AE16" i="9"/>
  <c r="AF16" i="9"/>
  <c r="AG16" i="9"/>
  <c r="AH16" i="9"/>
  <c r="AD15" i="9"/>
  <c r="AE15" i="9"/>
  <c r="AF15" i="9"/>
  <c r="AG15" i="9"/>
  <c r="AH15" i="9"/>
  <c r="AC16" i="9"/>
  <c r="AD12" i="9"/>
  <c r="AD7" i="9"/>
  <c r="AE7" i="9"/>
  <c r="AF7" i="9"/>
  <c r="AG7" i="9"/>
  <c r="AH7" i="9"/>
  <c r="AD4" i="9"/>
  <c r="AE4" i="9"/>
  <c r="AF4" i="9"/>
  <c r="AG4" i="9"/>
  <c r="AH4" i="9"/>
  <c r="AD56" i="5"/>
  <c r="AE56" i="5"/>
  <c r="AD52" i="5"/>
  <c r="AE52" i="5"/>
  <c r="AF52" i="5"/>
  <c r="AG52" i="5"/>
  <c r="AH52" i="5"/>
  <c r="AI52" i="5"/>
  <c r="AD48" i="5"/>
  <c r="AE48" i="5"/>
  <c r="AF48" i="5"/>
  <c r="AG48" i="5"/>
  <c r="AH48" i="5"/>
  <c r="AI48" i="5"/>
  <c r="AD47" i="5"/>
  <c r="AE47" i="5"/>
  <c r="AF47" i="5"/>
  <c r="AG47" i="5"/>
  <c r="AH47" i="5"/>
  <c r="AI47" i="5"/>
  <c r="AD44" i="5"/>
  <c r="AE44" i="5"/>
  <c r="AF44" i="5"/>
  <c r="AG44" i="5"/>
  <c r="AH44" i="5"/>
  <c r="AI44" i="5"/>
  <c r="AD42" i="5"/>
  <c r="AE42" i="5"/>
  <c r="AF42" i="5"/>
  <c r="AG42" i="5"/>
  <c r="AH42" i="5"/>
  <c r="AI42" i="5"/>
  <c r="AD41" i="5"/>
  <c r="AE41" i="5"/>
  <c r="AF41" i="5"/>
  <c r="AG41" i="5"/>
  <c r="AH41" i="5"/>
  <c r="AI41" i="5"/>
  <c r="AD40" i="5"/>
  <c r="AE40" i="5"/>
  <c r="AF40" i="5"/>
  <c r="AG40" i="5"/>
  <c r="AH40" i="5"/>
  <c r="AI40" i="5"/>
  <c r="AE36" i="5"/>
  <c r="AF36" i="5"/>
  <c r="AG36" i="5"/>
  <c r="AH36" i="5"/>
  <c r="AI36" i="5"/>
  <c r="AE35" i="5"/>
  <c r="AF35" i="5"/>
  <c r="AG35" i="5"/>
  <c r="AH35" i="5"/>
  <c r="AI35" i="5"/>
  <c r="AE34" i="5"/>
  <c r="AF34" i="5"/>
  <c r="AG34" i="5"/>
  <c r="AH34" i="5"/>
  <c r="AI34" i="5"/>
  <c r="AE33" i="5"/>
  <c r="AF33" i="5"/>
  <c r="AG33" i="5"/>
  <c r="AH33" i="5"/>
  <c r="AI33" i="5"/>
  <c r="AE32" i="5"/>
  <c r="AF32" i="5"/>
  <c r="AG32" i="5"/>
  <c r="AH32" i="5"/>
  <c r="AI32" i="5"/>
  <c r="AE31" i="5"/>
  <c r="AF31" i="5"/>
  <c r="AG31" i="5"/>
  <c r="AH31" i="5"/>
  <c r="AI31" i="5"/>
  <c r="AE20" i="5"/>
  <c r="AF20" i="5"/>
  <c r="AG20" i="5"/>
  <c r="AH20" i="5"/>
  <c r="AI20" i="5"/>
  <c r="AE19" i="5"/>
  <c r="AF19" i="5"/>
  <c r="AG19" i="5"/>
  <c r="AH19" i="5"/>
  <c r="AI19" i="5"/>
  <c r="AD8" i="5"/>
  <c r="AE8" i="5"/>
  <c r="AF8" i="5"/>
  <c r="AG8" i="5"/>
  <c r="AH8" i="5"/>
  <c r="AI8" i="5"/>
  <c r="AD6" i="5"/>
  <c r="AE6" i="5"/>
  <c r="AF6" i="5"/>
  <c r="AG6" i="5"/>
  <c r="AH6" i="5"/>
  <c r="AI6" i="5"/>
  <c r="D56" i="6"/>
  <c r="E56" i="6"/>
  <c r="F56" i="6"/>
  <c r="G56" i="6"/>
  <c r="H56" i="6"/>
  <c r="I56" i="6"/>
  <c r="J56" i="6"/>
  <c r="K56" i="6"/>
  <c r="L56" i="6"/>
  <c r="M56" i="6"/>
  <c r="N56" i="6"/>
  <c r="O56" i="6"/>
  <c r="P56" i="6"/>
  <c r="Q56" i="6"/>
  <c r="R56" i="6"/>
  <c r="S56" i="6"/>
  <c r="T56" i="6"/>
  <c r="U56" i="6"/>
  <c r="V56" i="6"/>
  <c r="W56" i="6"/>
  <c r="X56" i="6"/>
  <c r="Y56" i="6"/>
  <c r="Z56" i="6"/>
  <c r="AA56" i="6"/>
  <c r="AB56" i="6"/>
  <c r="AC56" i="6"/>
  <c r="Q53" i="6"/>
  <c r="R53" i="6"/>
  <c r="S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Q52" i="6"/>
  <c r="R52" i="6"/>
  <c r="S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Q51" i="6"/>
  <c r="R51" i="6"/>
  <c r="S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Q50" i="6"/>
  <c r="R50" i="6"/>
  <c r="S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Q49" i="6"/>
  <c r="R49" i="6"/>
  <c r="S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Q48" i="6"/>
  <c r="R48" i="6"/>
  <c r="S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Q47" i="6"/>
  <c r="R47" i="6"/>
  <c r="S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Q44" i="6"/>
  <c r="R44" i="6"/>
  <c r="S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Q43" i="6"/>
  <c r="R43" i="6"/>
  <c r="S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Q42" i="6"/>
  <c r="R42" i="6"/>
  <c r="S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Q41" i="6"/>
  <c r="R41" i="6"/>
  <c r="S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Q39" i="6"/>
  <c r="R39" i="6"/>
  <c r="S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Q38" i="6"/>
  <c r="R38" i="6"/>
  <c r="S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Q36" i="6"/>
  <c r="R36" i="6"/>
  <c r="S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Q33" i="6"/>
  <c r="R33" i="6"/>
  <c r="S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Q32" i="6"/>
  <c r="R32" i="6"/>
  <c r="S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Q31" i="6"/>
  <c r="R31" i="6"/>
  <c r="S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Q29" i="6"/>
  <c r="R29" i="6"/>
  <c r="S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Q28" i="6"/>
  <c r="R28" i="6"/>
  <c r="S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Q27" i="6"/>
  <c r="R27" i="6"/>
  <c r="S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Q26" i="6"/>
  <c r="R26" i="6"/>
  <c r="S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Q23" i="6"/>
  <c r="R23" i="6"/>
  <c r="S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Q21" i="6"/>
  <c r="R21" i="6"/>
  <c r="S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Q19" i="6"/>
  <c r="R19" i="6"/>
  <c r="S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Q17" i="6"/>
  <c r="R17" i="6"/>
  <c r="S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Q14" i="6"/>
  <c r="Q15" i="6" s="1"/>
  <c r="R14" i="6"/>
  <c r="R15" i="6" s="1"/>
  <c r="S14" i="6"/>
  <c r="S15" i="6" s="1"/>
  <c r="T14" i="6"/>
  <c r="T15" i="6" s="1"/>
  <c r="U14" i="6"/>
  <c r="U15" i="6" s="1"/>
  <c r="V14" i="6"/>
  <c r="V15" i="6" s="1"/>
  <c r="W14" i="6"/>
  <c r="W15" i="6" s="1"/>
  <c r="X14" i="6"/>
  <c r="X15" i="6" s="1"/>
  <c r="Y14" i="6"/>
  <c r="Y15" i="6" s="1"/>
  <c r="Z14" i="6"/>
  <c r="Z15" i="6" s="1"/>
  <c r="AA14" i="6"/>
  <c r="AA15" i="6" s="1"/>
  <c r="AB14" i="6"/>
  <c r="AB15" i="6" s="1"/>
  <c r="AC14" i="6"/>
  <c r="AC15" i="6" s="1"/>
  <c r="AD14" i="6"/>
  <c r="AD15" i="6" s="1"/>
  <c r="AE14" i="6"/>
  <c r="AF14" i="6"/>
  <c r="AF15" i="6" s="1"/>
  <c r="AG14" i="6"/>
  <c r="AG15" i="6" s="1"/>
  <c r="AH14" i="6"/>
  <c r="AC10" i="6"/>
  <c r="AD10" i="6"/>
  <c r="AE10" i="6"/>
  <c r="AF10" i="6"/>
  <c r="AG10" i="6"/>
  <c r="AH10" i="6"/>
  <c r="AC9" i="6"/>
  <c r="AD9" i="6"/>
  <c r="AE9" i="6"/>
  <c r="AF9" i="6"/>
  <c r="AG9" i="6"/>
  <c r="AH9" i="6"/>
  <c r="AC8" i="6"/>
  <c r="AD8" i="6"/>
  <c r="AE8" i="6"/>
  <c r="AF8" i="6"/>
  <c r="AG8" i="6"/>
  <c r="AH8" i="6"/>
  <c r="AC7" i="6"/>
  <c r="AD7" i="6"/>
  <c r="AE7" i="6"/>
  <c r="AF7" i="6"/>
  <c r="AG7" i="6"/>
  <c r="AH7" i="6"/>
  <c r="AC6" i="6"/>
  <c r="AD6" i="6"/>
  <c r="AE6" i="6"/>
  <c r="AF6" i="6"/>
  <c r="AG6" i="6"/>
  <c r="AH6" i="6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F23" i="7"/>
  <c r="AG23" i="7"/>
  <c r="AF20" i="7"/>
  <c r="AG20" i="7"/>
  <c r="AF12" i="7"/>
  <c r="AG12" i="7"/>
  <c r="AF7" i="7"/>
  <c r="AG7" i="7"/>
  <c r="AF4" i="7"/>
  <c r="AG4" i="7"/>
  <c r="AG3" i="7"/>
  <c r="AG19" i="7" s="1"/>
  <c r="AE55" i="4"/>
  <c r="AF55" i="4"/>
  <c r="AE54" i="4"/>
  <c r="AF54" i="4"/>
  <c r="AE48" i="4"/>
  <c r="AF48" i="4"/>
  <c r="AE44" i="4"/>
  <c r="AF44" i="4"/>
  <c r="AE39" i="4"/>
  <c r="AF39" i="4"/>
  <c r="AE32" i="4"/>
  <c r="AF32" i="4"/>
  <c r="AE31" i="4"/>
  <c r="AF31" i="4"/>
  <c r="AE27" i="4"/>
  <c r="AF27" i="4"/>
  <c r="AE21" i="4"/>
  <c r="AF21" i="4"/>
  <c r="AE14" i="4"/>
  <c r="AF14" i="4"/>
  <c r="AE8" i="4"/>
  <c r="AF8" i="4"/>
  <c r="AE4" i="4"/>
  <c r="AF4" i="4"/>
  <c r="AB33" i="7"/>
  <c r="AB35" i="7" s="1"/>
  <c r="AB37" i="7" s="1"/>
  <c r="AB29" i="7"/>
  <c r="AB23" i="7"/>
  <c r="AC23" i="7"/>
  <c r="AD23" i="7"/>
  <c r="AE23" i="7"/>
  <c r="AB20" i="7"/>
  <c r="AC20" i="7"/>
  <c r="AD20" i="7"/>
  <c r="AE20" i="7"/>
  <c r="AB19" i="7"/>
  <c r="AB12" i="7"/>
  <c r="AC12" i="7"/>
  <c r="AD12" i="7"/>
  <c r="AE12" i="7"/>
  <c r="AB7" i="7"/>
  <c r="AC7" i="7"/>
  <c r="AD7" i="7"/>
  <c r="AE7" i="7"/>
  <c r="AC4" i="7"/>
  <c r="AD4" i="7"/>
  <c r="AE4" i="7"/>
  <c r="AB3" i="7"/>
  <c r="AC3" i="7"/>
  <c r="AC19" i="7" s="1"/>
  <c r="AD3" i="7"/>
  <c r="AD19" i="7" s="1"/>
  <c r="AE3" i="7"/>
  <c r="AE19" i="7" s="1"/>
  <c r="AF3" i="7"/>
  <c r="AF19" i="7" s="1"/>
  <c r="AB55" i="4"/>
  <c r="AC55" i="4"/>
  <c r="AD55" i="4"/>
  <c r="AB54" i="4"/>
  <c r="AC54" i="4"/>
  <c r="AD54" i="4"/>
  <c r="AB48" i="4"/>
  <c r="AC48" i="4"/>
  <c r="AD48" i="4"/>
  <c r="AB44" i="4"/>
  <c r="AC44" i="4"/>
  <c r="AD44" i="4"/>
  <c r="AB39" i="4"/>
  <c r="AC39" i="4"/>
  <c r="AD39" i="4"/>
  <c r="AB32" i="4"/>
  <c r="AC32" i="4"/>
  <c r="AD32" i="4"/>
  <c r="AB31" i="4"/>
  <c r="AC31" i="4"/>
  <c r="AD31" i="4"/>
  <c r="AB27" i="4"/>
  <c r="AC27" i="4"/>
  <c r="AD27" i="4"/>
  <c r="AB21" i="4"/>
  <c r="AC21" i="4"/>
  <c r="AD21" i="4"/>
  <c r="AB14" i="4"/>
  <c r="AC14" i="4"/>
  <c r="AD14" i="4"/>
  <c r="AB8" i="4"/>
  <c r="AC8" i="4"/>
  <c r="AD8" i="4"/>
  <c r="AC4" i="4"/>
  <c r="AD4" i="4"/>
  <c r="R28" i="27"/>
  <c r="R26" i="27"/>
  <c r="O28" i="27"/>
  <c r="O26" i="27"/>
  <c r="AB51" i="4"/>
  <c r="AB50" i="4"/>
  <c r="S47" i="5"/>
  <c r="T47" i="5"/>
  <c r="U47" i="5"/>
  <c r="V47" i="5"/>
  <c r="W47" i="5"/>
  <c r="X47" i="5"/>
  <c r="Y47" i="5"/>
  <c r="Z47" i="5"/>
  <c r="AA47" i="5"/>
  <c r="AB47" i="5"/>
  <c r="AC47" i="5"/>
  <c r="S48" i="5"/>
  <c r="R16" i="9" s="1"/>
  <c r="T48" i="5"/>
  <c r="U48" i="5"/>
  <c r="T16" i="9" s="1"/>
  <c r="V48" i="5"/>
  <c r="W48" i="5"/>
  <c r="X48" i="5"/>
  <c r="Y48" i="5"/>
  <c r="Z48" i="5"/>
  <c r="AA48" i="5"/>
  <c r="Z16" i="9" s="1"/>
  <c r="AB48" i="5"/>
  <c r="AC48" i="5"/>
  <c r="AB16" i="9" s="1"/>
  <c r="S52" i="5"/>
  <c r="T52" i="5"/>
  <c r="U52" i="5"/>
  <c r="V52" i="5"/>
  <c r="W52" i="5"/>
  <c r="X52" i="5"/>
  <c r="Y52" i="5"/>
  <c r="Z52" i="5"/>
  <c r="AA52" i="5"/>
  <c r="AB52" i="5"/>
  <c r="AC52" i="5"/>
  <c r="S56" i="5"/>
  <c r="T56" i="5"/>
  <c r="U56" i="5"/>
  <c r="V56" i="5"/>
  <c r="W56" i="5"/>
  <c r="V12" i="9" s="1"/>
  <c r="X56" i="5"/>
  <c r="Y56" i="5"/>
  <c r="X12" i="9" s="1"/>
  <c r="Z56" i="5"/>
  <c r="AA56" i="5"/>
  <c r="AB56" i="5"/>
  <c r="AC56" i="5"/>
  <c r="Z6" i="6"/>
  <c r="AA6" i="6"/>
  <c r="AB6" i="6"/>
  <c r="Z7" i="6"/>
  <c r="AA7" i="6"/>
  <c r="AB7" i="6"/>
  <c r="Z8" i="6"/>
  <c r="AA8" i="6"/>
  <c r="AB8" i="6"/>
  <c r="Z9" i="6"/>
  <c r="AA9" i="6"/>
  <c r="AB9" i="6"/>
  <c r="Z10" i="6"/>
  <c r="AA10" i="6"/>
  <c r="AB10" i="6"/>
  <c r="Z34" i="6"/>
  <c r="AA34" i="6"/>
  <c r="AB34" i="6"/>
  <c r="AC34" i="6"/>
  <c r="Z35" i="6"/>
  <c r="AA35" i="6"/>
  <c r="AB35" i="6"/>
  <c r="AC35" i="6"/>
  <c r="AC41" i="5"/>
  <c r="AC42" i="5"/>
  <c r="Q34" i="6"/>
  <c r="R34" i="6"/>
  <c r="S34" i="6"/>
  <c r="T34" i="6"/>
  <c r="U34" i="6"/>
  <c r="V34" i="6"/>
  <c r="W34" i="6"/>
  <c r="X34" i="6"/>
  <c r="Y34" i="6"/>
  <c r="Q35" i="6"/>
  <c r="R35" i="6"/>
  <c r="S35" i="6"/>
  <c r="T35" i="6"/>
  <c r="U35" i="6"/>
  <c r="V35" i="6"/>
  <c r="W35" i="6"/>
  <c r="X35" i="6"/>
  <c r="Y35" i="6"/>
  <c r="T41" i="5"/>
  <c r="U41" i="5"/>
  <c r="V41" i="5"/>
  <c r="W41" i="5"/>
  <c r="X41" i="5"/>
  <c r="Y41" i="5"/>
  <c r="Z41" i="5"/>
  <c r="AA41" i="5"/>
  <c r="Q6" i="6"/>
  <c r="R6" i="6"/>
  <c r="S6" i="6"/>
  <c r="T6" i="6"/>
  <c r="U6" i="6"/>
  <c r="V6" i="6"/>
  <c r="W6" i="6"/>
  <c r="X6" i="6"/>
  <c r="Y6" i="6"/>
  <c r="Q7" i="6"/>
  <c r="R7" i="6"/>
  <c r="S7" i="6"/>
  <c r="T7" i="6"/>
  <c r="U7" i="6"/>
  <c r="V7" i="6"/>
  <c r="W7" i="6"/>
  <c r="X7" i="6"/>
  <c r="Y7" i="6"/>
  <c r="Q8" i="6"/>
  <c r="R8" i="6"/>
  <c r="S8" i="6"/>
  <c r="T8" i="6"/>
  <c r="U8" i="6"/>
  <c r="V8" i="6"/>
  <c r="W8" i="6"/>
  <c r="X8" i="6"/>
  <c r="Y8" i="6"/>
  <c r="Q9" i="6"/>
  <c r="R9" i="6"/>
  <c r="S9" i="6"/>
  <c r="T9" i="6"/>
  <c r="U9" i="6"/>
  <c r="V9" i="6"/>
  <c r="W9" i="6"/>
  <c r="X9" i="6"/>
  <c r="Y9" i="6"/>
  <c r="Q10" i="6"/>
  <c r="R10" i="6"/>
  <c r="S10" i="6"/>
  <c r="T10" i="6"/>
  <c r="U10" i="6"/>
  <c r="V10" i="6"/>
  <c r="W10" i="6"/>
  <c r="X10" i="6"/>
  <c r="Y10" i="6"/>
  <c r="R12" i="9"/>
  <c r="S12" i="9"/>
  <c r="T12" i="9"/>
  <c r="U12" i="9"/>
  <c r="W12" i="9"/>
  <c r="Y12" i="9"/>
  <c r="Z12" i="9"/>
  <c r="AA12" i="9"/>
  <c r="AB12" i="9"/>
  <c r="AC12" i="9"/>
  <c r="R15" i="9"/>
  <c r="S15" i="9"/>
  <c r="T15" i="9"/>
  <c r="U15" i="9"/>
  <c r="V15" i="9"/>
  <c r="W15" i="9"/>
  <c r="X15" i="9"/>
  <c r="Y15" i="9"/>
  <c r="Z15" i="9"/>
  <c r="AA15" i="9"/>
  <c r="AB15" i="9"/>
  <c r="AC15" i="9"/>
  <c r="S16" i="9"/>
  <c r="U16" i="9"/>
  <c r="V16" i="9"/>
  <c r="W16" i="9"/>
  <c r="X16" i="9"/>
  <c r="Y16" i="9"/>
  <c r="AA16" i="9"/>
  <c r="AB26" i="7"/>
  <c r="AB28" i="7"/>
  <c r="AB21" i="7"/>
  <c r="AB13" i="7"/>
  <c r="AB13" i="4"/>
  <c r="AB12" i="4"/>
  <c r="AB7" i="4"/>
  <c r="AB5" i="4"/>
  <c r="AB6" i="4"/>
  <c r="AI47" i="6" l="1"/>
  <c r="AI41" i="6"/>
  <c r="AI31" i="6"/>
  <c r="AI26" i="6"/>
  <c r="AI17" i="6"/>
  <c r="AI14" i="6" s="1"/>
  <c r="AI56" i="5"/>
  <c r="AH12" i="9" s="1"/>
  <c r="AF29" i="7"/>
  <c r="AF33" i="7" s="1"/>
  <c r="AF35" i="7" s="1"/>
  <c r="AF37" i="7" s="1"/>
  <c r="AG56" i="6" s="1"/>
  <c r="AH56" i="5"/>
  <c r="AG12" i="9" s="1"/>
  <c r="AE29" i="7"/>
  <c r="AE33" i="7" s="1"/>
  <c r="AE35" i="7" s="1"/>
  <c r="AE37" i="7" s="1"/>
  <c r="AF56" i="6" s="1"/>
  <c r="AG56" i="5"/>
  <c r="AF12" i="9" s="1"/>
  <c r="AD29" i="7"/>
  <c r="AD33" i="7" s="1"/>
  <c r="AD35" i="7" s="1"/>
  <c r="AD37" i="7" s="1"/>
  <c r="AE56" i="6" s="1"/>
  <c r="AF56" i="5"/>
  <c r="AE12" i="9" s="1"/>
  <c r="AC29" i="7"/>
  <c r="AC33" i="7" s="1"/>
  <c r="AC35" i="7" s="1"/>
  <c r="AC37" i="7" s="1"/>
  <c r="AD56" i="6" s="1"/>
  <c r="AG29" i="7"/>
  <c r="AG33" i="7" s="1"/>
  <c r="AG35" i="7" s="1"/>
  <c r="AH15" i="6"/>
  <c r="AJ6" i="5"/>
  <c r="AJ8" i="5"/>
  <c r="AG57" i="5"/>
  <c r="AF13" i="9" s="1"/>
  <c r="AH55" i="5"/>
  <c r="AG11" i="9" s="1"/>
  <c r="AE5" i="6"/>
  <c r="AD56" i="4"/>
  <c r="AF57" i="5"/>
  <c r="AE13" i="9" s="1"/>
  <c r="AG55" i="5"/>
  <c r="AF11" i="9" s="1"/>
  <c r="AD5" i="6"/>
  <c r="AC56" i="4"/>
  <c r="AE57" i="5"/>
  <c r="AD13" i="9" s="1"/>
  <c r="AF55" i="5"/>
  <c r="AE11" i="9" s="1"/>
  <c r="AC5" i="6"/>
  <c r="AI57" i="5"/>
  <c r="AH13" i="9" s="1"/>
  <c r="AG5" i="6"/>
  <c r="AF56" i="4"/>
  <c r="AH57" i="5"/>
  <c r="AG13" i="9" s="1"/>
  <c r="AI55" i="5"/>
  <c r="AH11" i="9" s="1"/>
  <c r="AF5" i="6"/>
  <c r="AE56" i="4"/>
  <c r="AI14" i="5"/>
  <c r="AH20" i="9" s="1"/>
  <c r="AH14" i="5"/>
  <c r="AG20" i="9" s="1"/>
  <c r="AG14" i="5"/>
  <c r="AF20" i="9" s="1"/>
  <c r="AF14" i="5"/>
  <c r="AE20" i="9" s="1"/>
  <c r="AE14" i="5"/>
  <c r="AD20" i="9" s="1"/>
  <c r="AH5" i="6"/>
  <c r="AA32" i="5"/>
  <c r="Z32" i="5"/>
  <c r="Y32" i="5"/>
  <c r="X32" i="5"/>
  <c r="W32" i="5"/>
  <c r="V32" i="5"/>
  <c r="U32" i="5"/>
  <c r="T32" i="5"/>
  <c r="AA33" i="5"/>
  <c r="Z33" i="5"/>
  <c r="Y33" i="5"/>
  <c r="X33" i="5"/>
  <c r="W33" i="5"/>
  <c r="V33" i="5"/>
  <c r="U33" i="5"/>
  <c r="T33" i="5"/>
  <c r="AA31" i="5"/>
  <c r="Z31" i="5"/>
  <c r="Y31" i="5"/>
  <c r="X31" i="5"/>
  <c r="W31" i="5"/>
  <c r="V31" i="5"/>
  <c r="U31" i="5"/>
  <c r="T31" i="5"/>
  <c r="AA42" i="5"/>
  <c r="Z42" i="5"/>
  <c r="Y42" i="5"/>
  <c r="X42" i="5"/>
  <c r="W42" i="5"/>
  <c r="V42" i="5"/>
  <c r="U42" i="5"/>
  <c r="T42" i="5"/>
  <c r="AA40" i="5"/>
  <c r="Z40" i="5"/>
  <c r="Y40" i="5"/>
  <c r="X40" i="5"/>
  <c r="W40" i="5"/>
  <c r="V40" i="5"/>
  <c r="U40" i="5"/>
  <c r="T40" i="5"/>
  <c r="AB42" i="5"/>
  <c r="AB41" i="5"/>
  <c r="AC40" i="5"/>
  <c r="AB40" i="5"/>
  <c r="AD32" i="5"/>
  <c r="AC32" i="5"/>
  <c r="AB32" i="5"/>
  <c r="AD33" i="5"/>
  <c r="AC33" i="5"/>
  <c r="AB33" i="5"/>
  <c r="AD31" i="5"/>
  <c r="AC31" i="5"/>
  <c r="AB31" i="5"/>
  <c r="AE15" i="6"/>
  <c r="X23" i="7"/>
  <c r="Y23" i="7"/>
  <c r="Z23" i="7"/>
  <c r="AA23" i="7"/>
  <c r="X20" i="7"/>
  <c r="Y20" i="7"/>
  <c r="Z20" i="7"/>
  <c r="AA20" i="7"/>
  <c r="X12" i="7"/>
  <c r="Y12" i="7"/>
  <c r="Z12" i="7"/>
  <c r="AA12" i="7"/>
  <c r="X7" i="7"/>
  <c r="Y7" i="7"/>
  <c r="Z7" i="7"/>
  <c r="AA7" i="7"/>
  <c r="X4" i="7"/>
  <c r="Y4" i="7"/>
  <c r="Z4" i="7"/>
  <c r="AA4" i="7"/>
  <c r="AB4" i="7"/>
  <c r="AB4" i="4"/>
  <c r="C48" i="4"/>
  <c r="D48" i="4"/>
  <c r="E48" i="4"/>
  <c r="F48" i="4"/>
  <c r="G48" i="4"/>
  <c r="H48" i="4"/>
  <c r="I48" i="4"/>
  <c r="J48" i="4"/>
  <c r="K48" i="4"/>
  <c r="L48" i="4"/>
  <c r="M48" i="4"/>
  <c r="N48" i="4"/>
  <c r="P48" i="4"/>
  <c r="Q48" i="4"/>
  <c r="R48" i="4"/>
  <c r="S48" i="4"/>
  <c r="T48" i="4"/>
  <c r="U48" i="4"/>
  <c r="V48" i="4"/>
  <c r="W48" i="4"/>
  <c r="X48" i="4"/>
  <c r="Y48" i="4"/>
  <c r="Z48" i="4"/>
  <c r="AA48" i="4"/>
  <c r="C44" i="4"/>
  <c r="C54" i="4" s="1"/>
  <c r="D44" i="4"/>
  <c r="D54" i="4" s="1"/>
  <c r="E44" i="4"/>
  <c r="E54" i="4" s="1"/>
  <c r="F44" i="4"/>
  <c r="F54" i="4" s="1"/>
  <c r="G44" i="4"/>
  <c r="G54" i="4" s="1"/>
  <c r="H44" i="4"/>
  <c r="H54" i="4" s="1"/>
  <c r="I44" i="4"/>
  <c r="J44" i="4"/>
  <c r="K44" i="4"/>
  <c r="L44" i="4"/>
  <c r="L54" i="4" s="1"/>
  <c r="M44" i="4"/>
  <c r="M54" i="4" s="1"/>
  <c r="N44" i="4"/>
  <c r="N54" i="4" s="1"/>
  <c r="P44" i="4"/>
  <c r="P54" i="4" s="1"/>
  <c r="Q44" i="4"/>
  <c r="Q54" i="4" s="1"/>
  <c r="R44" i="4"/>
  <c r="R54" i="4" s="1"/>
  <c r="S44" i="4"/>
  <c r="S54" i="4" s="1"/>
  <c r="T44" i="4"/>
  <c r="T54" i="4" s="1"/>
  <c r="U44" i="4"/>
  <c r="U54" i="4" s="1"/>
  <c r="V44" i="4"/>
  <c r="V54" i="4" s="1"/>
  <c r="W44" i="4"/>
  <c r="W54" i="4" s="1"/>
  <c r="X44" i="4"/>
  <c r="X54" i="4" s="1"/>
  <c r="Y44" i="4"/>
  <c r="Y54" i="4" s="1"/>
  <c r="Z44" i="4"/>
  <c r="Z54" i="4" s="1"/>
  <c r="AA44" i="4"/>
  <c r="AA54" i="4" s="1"/>
  <c r="C32" i="4"/>
  <c r="D32" i="4"/>
  <c r="E32" i="4"/>
  <c r="F32" i="4"/>
  <c r="G32" i="4"/>
  <c r="H32" i="4"/>
  <c r="I32" i="4"/>
  <c r="J32" i="4"/>
  <c r="K32" i="4"/>
  <c r="L32" i="4"/>
  <c r="M32" i="4"/>
  <c r="N32" i="4"/>
  <c r="P32" i="4"/>
  <c r="Q32" i="4"/>
  <c r="R32" i="4"/>
  <c r="S32" i="4"/>
  <c r="T32" i="4"/>
  <c r="U32" i="4"/>
  <c r="V32" i="4"/>
  <c r="W32" i="4"/>
  <c r="X32" i="4"/>
  <c r="Y32" i="4"/>
  <c r="Z32" i="4"/>
  <c r="AA32" i="4"/>
  <c r="C31" i="4"/>
  <c r="C39" i="4" s="1"/>
  <c r="C55" i="4" s="1"/>
  <c r="D31" i="4"/>
  <c r="D39" i="4" s="1"/>
  <c r="D55" i="4" s="1"/>
  <c r="E31" i="4"/>
  <c r="E39" i="4" s="1"/>
  <c r="E55" i="4" s="1"/>
  <c r="F31" i="4"/>
  <c r="G31" i="4"/>
  <c r="G39" i="4" s="1"/>
  <c r="G55" i="4" s="1"/>
  <c r="H31" i="4"/>
  <c r="H39" i="4" s="1"/>
  <c r="H55" i="4" s="1"/>
  <c r="I31" i="4"/>
  <c r="J31" i="4"/>
  <c r="K31" i="4"/>
  <c r="K39" i="4" s="1"/>
  <c r="L31" i="4"/>
  <c r="L39" i="4" s="1"/>
  <c r="L55" i="4" s="1"/>
  <c r="M31" i="4"/>
  <c r="M39" i="4" s="1"/>
  <c r="M55" i="4" s="1"/>
  <c r="N31" i="4"/>
  <c r="O31" i="4"/>
  <c r="P31" i="4"/>
  <c r="P39" i="4" s="1"/>
  <c r="P55" i="4" s="1"/>
  <c r="Q31" i="4"/>
  <c r="Q39" i="4" s="1"/>
  <c r="Q55" i="4" s="1"/>
  <c r="R31" i="4"/>
  <c r="R39" i="4" s="1"/>
  <c r="R55" i="4" s="1"/>
  <c r="S31" i="4"/>
  <c r="S39" i="4" s="1"/>
  <c r="S55" i="4" s="1"/>
  <c r="T31" i="4"/>
  <c r="T39" i="4" s="1"/>
  <c r="T55" i="4" s="1"/>
  <c r="U31" i="4"/>
  <c r="U39" i="4" s="1"/>
  <c r="U55" i="4" s="1"/>
  <c r="V31" i="4"/>
  <c r="V39" i="4" s="1"/>
  <c r="V55" i="4" s="1"/>
  <c r="W31" i="4"/>
  <c r="W39" i="4" s="1"/>
  <c r="W55" i="4" s="1"/>
  <c r="X31" i="4"/>
  <c r="X39" i="4" s="1"/>
  <c r="X55" i="4" s="1"/>
  <c r="Y31" i="4"/>
  <c r="Y39" i="4" s="1"/>
  <c r="Y55" i="4" s="1"/>
  <c r="Z31" i="4"/>
  <c r="Z39" i="4" s="1"/>
  <c r="Z55" i="4" s="1"/>
  <c r="AA31" i="4"/>
  <c r="AA39" i="4" s="1"/>
  <c r="AA55" i="4" s="1"/>
  <c r="X21" i="4"/>
  <c r="Y21" i="4"/>
  <c r="Z21" i="4"/>
  <c r="AA21" i="4"/>
  <c r="X14" i="4"/>
  <c r="Y14" i="4"/>
  <c r="Z14" i="4"/>
  <c r="AA14" i="4"/>
  <c r="X8" i="4"/>
  <c r="Y8" i="4"/>
  <c r="Z8" i="4"/>
  <c r="AA8" i="4"/>
  <c r="X4" i="4"/>
  <c r="N15" i="9" s="1"/>
  <c r="Y4" i="4"/>
  <c r="O15" i="9" s="1"/>
  <c r="Z4" i="4"/>
  <c r="P15" i="9" s="1"/>
  <c r="AA4" i="4"/>
  <c r="AA27" i="4" s="1"/>
  <c r="W23" i="7"/>
  <c r="W20" i="7"/>
  <c r="W12" i="7"/>
  <c r="W7" i="7"/>
  <c r="W4" i="7"/>
  <c r="W21" i="4"/>
  <c r="W14" i="4"/>
  <c r="W8" i="4"/>
  <c r="W4" i="4"/>
  <c r="M15" i="9"/>
  <c r="P4" i="7"/>
  <c r="Q4" i="7"/>
  <c r="R4" i="7"/>
  <c r="S4" i="7"/>
  <c r="T4" i="7"/>
  <c r="U4" i="7"/>
  <c r="V4" i="7"/>
  <c r="P7" i="7"/>
  <c r="P3" i="7"/>
  <c r="Q7" i="7"/>
  <c r="Q3" i="7"/>
  <c r="R7" i="7"/>
  <c r="S7" i="7"/>
  <c r="T7" i="7"/>
  <c r="T3" i="7"/>
  <c r="U7" i="7"/>
  <c r="U3" i="7"/>
  <c r="V7" i="7"/>
  <c r="P12" i="7"/>
  <c r="P19" i="7" s="1"/>
  <c r="Q12" i="7"/>
  <c r="Q19" i="7" s="1"/>
  <c r="R12" i="7"/>
  <c r="S12" i="7"/>
  <c r="T12" i="7"/>
  <c r="T19" i="7" s="1"/>
  <c r="U12" i="7"/>
  <c r="U19" i="7" s="1"/>
  <c r="V12" i="7"/>
  <c r="P20" i="7"/>
  <c r="Q20" i="7"/>
  <c r="R20" i="7"/>
  <c r="S20" i="7"/>
  <c r="T20" i="7"/>
  <c r="U20" i="7"/>
  <c r="V20" i="7"/>
  <c r="P23" i="7"/>
  <c r="Q23" i="7"/>
  <c r="R23" i="7"/>
  <c r="S23" i="7"/>
  <c r="T23" i="7"/>
  <c r="U23" i="7"/>
  <c r="V23" i="7"/>
  <c r="P4" i="4"/>
  <c r="Q4" i="4"/>
  <c r="R4" i="4"/>
  <c r="S4" i="4"/>
  <c r="I15" i="9"/>
  <c r="T4" i="4"/>
  <c r="U4" i="4"/>
  <c r="V4" i="4"/>
  <c r="P8" i="4"/>
  <c r="Q8" i="4"/>
  <c r="R8" i="4"/>
  <c r="S8" i="4"/>
  <c r="T8" i="4"/>
  <c r="U8" i="4"/>
  <c r="V8" i="4"/>
  <c r="P14" i="4"/>
  <c r="Q14" i="4"/>
  <c r="R14" i="4"/>
  <c r="S14" i="4"/>
  <c r="T14" i="4"/>
  <c r="U14" i="4"/>
  <c r="V14" i="4"/>
  <c r="P21" i="4"/>
  <c r="Q21" i="4"/>
  <c r="R21" i="4"/>
  <c r="S21" i="4"/>
  <c r="T21" i="4"/>
  <c r="U21" i="4"/>
  <c r="V21" i="4"/>
  <c r="V27" i="4" s="1"/>
  <c r="P27" i="4"/>
  <c r="Q27" i="4"/>
  <c r="T27" i="4"/>
  <c r="U27" i="4"/>
  <c r="C39" i="6"/>
  <c r="D39" i="6"/>
  <c r="D8" i="6"/>
  <c r="F32" i="5"/>
  <c r="E8" i="6"/>
  <c r="F8" i="6"/>
  <c r="G8" i="6"/>
  <c r="I32" i="5" s="1"/>
  <c r="H8" i="6"/>
  <c r="I8" i="6"/>
  <c r="K32" i="5" s="1"/>
  <c r="J8" i="6"/>
  <c r="K8" i="6"/>
  <c r="L8" i="6"/>
  <c r="M8" i="6"/>
  <c r="O32" i="5" s="1"/>
  <c r="N8" i="6"/>
  <c r="O8" i="6"/>
  <c r="P8" i="6"/>
  <c r="S32" i="5" s="1"/>
  <c r="R32" i="5"/>
  <c r="D9" i="6"/>
  <c r="E9" i="6"/>
  <c r="F9" i="6"/>
  <c r="G9" i="6"/>
  <c r="H9" i="6"/>
  <c r="I9" i="6"/>
  <c r="J9" i="6"/>
  <c r="K9" i="6"/>
  <c r="L9" i="6"/>
  <c r="M9" i="6"/>
  <c r="N9" i="6"/>
  <c r="O9" i="6"/>
  <c r="P9" i="6"/>
  <c r="S42" i="5" s="1"/>
  <c r="C8" i="6"/>
  <c r="B31" i="4"/>
  <c r="C7" i="6"/>
  <c r="B46" i="4"/>
  <c r="B44" i="4"/>
  <c r="C19" i="6"/>
  <c r="B51" i="4"/>
  <c r="B48" i="4"/>
  <c r="B32" i="4"/>
  <c r="B39" i="4"/>
  <c r="C9" i="6"/>
  <c r="C10" i="6"/>
  <c r="C18" i="6"/>
  <c r="C20" i="6"/>
  <c r="C21" i="6"/>
  <c r="C23" i="6"/>
  <c r="C27" i="6"/>
  <c r="C28" i="6"/>
  <c r="C29" i="6"/>
  <c r="C32" i="6"/>
  <c r="C33" i="6"/>
  <c r="C31" i="6" s="1"/>
  <c r="C34" i="6"/>
  <c r="C35" i="6"/>
  <c r="C42" i="6"/>
  <c r="E44" i="5"/>
  <c r="C43" i="6"/>
  <c r="C48" i="6"/>
  <c r="C49" i="6"/>
  <c r="C50" i="6"/>
  <c r="C51" i="6"/>
  <c r="C52" i="6"/>
  <c r="C53" i="6"/>
  <c r="B17" i="4"/>
  <c r="C38" i="6"/>
  <c r="B8" i="4"/>
  <c r="B5" i="4"/>
  <c r="B6" i="4"/>
  <c r="B21" i="4"/>
  <c r="B14" i="4"/>
  <c r="E52" i="5"/>
  <c r="B7" i="7"/>
  <c r="B23" i="7"/>
  <c r="B20" i="7"/>
  <c r="B12" i="7"/>
  <c r="B4" i="7"/>
  <c r="F15" i="9"/>
  <c r="G15" i="9"/>
  <c r="H15" i="9"/>
  <c r="J15" i="9"/>
  <c r="K15" i="9"/>
  <c r="L15" i="9"/>
  <c r="O28" i="7"/>
  <c r="O13" i="7"/>
  <c r="P48" i="6"/>
  <c r="O51" i="4"/>
  <c r="O48" i="4" s="1"/>
  <c r="O46" i="4"/>
  <c r="O44" i="4" s="1"/>
  <c r="O54" i="4" s="1"/>
  <c r="P19" i="6"/>
  <c r="O37" i="4"/>
  <c r="O32" i="4" s="1"/>
  <c r="P7" i="6"/>
  <c r="S33" i="5" s="1"/>
  <c r="P6" i="6"/>
  <c r="O6" i="4"/>
  <c r="O5" i="4"/>
  <c r="O4" i="4"/>
  <c r="H69" i="20"/>
  <c r="E69" i="20"/>
  <c r="F69" i="20"/>
  <c r="C23" i="7"/>
  <c r="D23" i="7"/>
  <c r="E23" i="7"/>
  <c r="F23" i="7"/>
  <c r="G23" i="7"/>
  <c r="H23" i="7"/>
  <c r="I23" i="7"/>
  <c r="J23" i="7"/>
  <c r="K23" i="7"/>
  <c r="L23" i="7"/>
  <c r="M23" i="7"/>
  <c r="C20" i="7"/>
  <c r="D20" i="7"/>
  <c r="E20" i="7"/>
  <c r="F20" i="7"/>
  <c r="G20" i="7"/>
  <c r="H20" i="7"/>
  <c r="I20" i="7"/>
  <c r="J20" i="7"/>
  <c r="K20" i="7"/>
  <c r="L20" i="7"/>
  <c r="M20" i="7"/>
  <c r="C12" i="7"/>
  <c r="D12" i="7"/>
  <c r="E12" i="7"/>
  <c r="F12" i="7"/>
  <c r="G12" i="7"/>
  <c r="H12" i="7"/>
  <c r="I12" i="7"/>
  <c r="J12" i="7"/>
  <c r="K12" i="7"/>
  <c r="L12" i="7"/>
  <c r="M12" i="7"/>
  <c r="C7" i="7"/>
  <c r="D7" i="7"/>
  <c r="E7" i="7"/>
  <c r="F7" i="7"/>
  <c r="G7" i="7"/>
  <c r="H7" i="7"/>
  <c r="I7" i="7"/>
  <c r="J7" i="7"/>
  <c r="K7" i="7"/>
  <c r="L7" i="7"/>
  <c r="M7" i="7"/>
  <c r="C4" i="7"/>
  <c r="C3" i="7"/>
  <c r="C19" i="7"/>
  <c r="D4" i="7"/>
  <c r="E4" i="7"/>
  <c r="E3" i="7"/>
  <c r="E19" i="7"/>
  <c r="F4" i="7"/>
  <c r="F3" i="7"/>
  <c r="F19" i="7"/>
  <c r="G4" i="7"/>
  <c r="H4" i="7"/>
  <c r="H3" i="7" s="1"/>
  <c r="H19" i="7" s="1"/>
  <c r="I4" i="7"/>
  <c r="I3" i="7"/>
  <c r="I19" i="7"/>
  <c r="J4" i="7"/>
  <c r="J3" i="7" s="1"/>
  <c r="J19" i="7" s="1"/>
  <c r="J29" i="7" s="1"/>
  <c r="K4" i="7"/>
  <c r="K3" i="7"/>
  <c r="L4" i="7"/>
  <c r="L3" i="7"/>
  <c r="L19" i="7"/>
  <c r="M4" i="7"/>
  <c r="M3" i="7"/>
  <c r="M19" i="7"/>
  <c r="D7" i="6"/>
  <c r="E7" i="6"/>
  <c r="G33" i="5" s="1"/>
  <c r="F7" i="6"/>
  <c r="H33" i="5" s="1"/>
  <c r="H7" i="6"/>
  <c r="H6" i="6"/>
  <c r="J7" i="6"/>
  <c r="L7" i="6"/>
  <c r="M7" i="6"/>
  <c r="O33" i="5"/>
  <c r="M6" i="6"/>
  <c r="H19" i="6"/>
  <c r="M19" i="6"/>
  <c r="C21" i="4"/>
  <c r="D21" i="4"/>
  <c r="E21" i="4"/>
  <c r="F21" i="4"/>
  <c r="G21" i="4"/>
  <c r="H21" i="4"/>
  <c r="I21" i="4"/>
  <c r="J21" i="4"/>
  <c r="K21" i="4"/>
  <c r="L21" i="4"/>
  <c r="M21" i="4"/>
  <c r="C17" i="4"/>
  <c r="D38" i="6"/>
  <c r="D17" i="4"/>
  <c r="E38" i="6"/>
  <c r="E17" i="4"/>
  <c r="F38" i="6"/>
  <c r="F17" i="4"/>
  <c r="G38" i="6"/>
  <c r="G17" i="4"/>
  <c r="H38" i="6"/>
  <c r="H17" i="4"/>
  <c r="I17" i="4"/>
  <c r="J38" i="6"/>
  <c r="J17" i="4"/>
  <c r="K38" i="6"/>
  <c r="K17" i="4"/>
  <c r="L17" i="4"/>
  <c r="M38" i="6"/>
  <c r="M17" i="4"/>
  <c r="N38" i="6"/>
  <c r="N17" i="4"/>
  <c r="O38" i="6"/>
  <c r="C8" i="4"/>
  <c r="D8" i="4"/>
  <c r="E8" i="4"/>
  <c r="F8" i="4"/>
  <c r="G8" i="4"/>
  <c r="H8" i="4"/>
  <c r="I8" i="4"/>
  <c r="J8" i="4"/>
  <c r="K8" i="4"/>
  <c r="L8" i="4"/>
  <c r="M8" i="4"/>
  <c r="C14" i="4"/>
  <c r="F52" i="5"/>
  <c r="D14" i="4"/>
  <c r="G52" i="5"/>
  <c r="E14" i="4"/>
  <c r="F14" i="4"/>
  <c r="I52" i="5"/>
  <c r="G14" i="4"/>
  <c r="H14" i="4"/>
  <c r="I14" i="4"/>
  <c r="J14" i="4"/>
  <c r="M52" i="5"/>
  <c r="K14" i="4"/>
  <c r="N52" i="5"/>
  <c r="L14" i="4"/>
  <c r="O52" i="5"/>
  <c r="M14" i="4"/>
  <c r="P52" i="5"/>
  <c r="C4" i="4"/>
  <c r="F47" i="5"/>
  <c r="D4" i="4"/>
  <c r="E4" i="4"/>
  <c r="F4" i="4"/>
  <c r="F27" i="4" s="1"/>
  <c r="G4" i="4"/>
  <c r="H4" i="4"/>
  <c r="K47" i="5"/>
  <c r="I4" i="4"/>
  <c r="J4" i="4"/>
  <c r="M48" i="5" s="1"/>
  <c r="L16" i="9" s="1"/>
  <c r="K4" i="4"/>
  <c r="L36" i="6"/>
  <c r="L4" i="4"/>
  <c r="O48" i="5"/>
  <c r="N16" i="9"/>
  <c r="M4" i="4"/>
  <c r="N4" i="4"/>
  <c r="Q47" i="5"/>
  <c r="O36" i="6"/>
  <c r="D10" i="6"/>
  <c r="E10" i="6"/>
  <c r="F10" i="6"/>
  <c r="G10" i="6"/>
  <c r="H10" i="6"/>
  <c r="I10" i="6"/>
  <c r="J10" i="6"/>
  <c r="K10" i="6"/>
  <c r="L10" i="6"/>
  <c r="M10" i="6"/>
  <c r="N10" i="6"/>
  <c r="O10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S41" i="5" s="1"/>
  <c r="D20" i="6"/>
  <c r="E20" i="6"/>
  <c r="F20" i="6"/>
  <c r="G20" i="6"/>
  <c r="H20" i="6"/>
  <c r="I20" i="6"/>
  <c r="J20" i="6"/>
  <c r="K20" i="6"/>
  <c r="L20" i="6"/>
  <c r="M20" i="6"/>
  <c r="N20" i="6"/>
  <c r="O20" i="6"/>
  <c r="P20" i="6"/>
  <c r="D21" i="6"/>
  <c r="E21" i="6"/>
  <c r="F21" i="6"/>
  <c r="G21" i="6"/>
  <c r="H21" i="6"/>
  <c r="I21" i="6"/>
  <c r="J21" i="6"/>
  <c r="K21" i="6"/>
  <c r="L21" i="6"/>
  <c r="M21" i="6"/>
  <c r="M17" i="6" s="1"/>
  <c r="M14" i="6" s="1"/>
  <c r="O8" i="5" s="1"/>
  <c r="N7" i="9" s="1"/>
  <c r="N21" i="6"/>
  <c r="O21" i="6"/>
  <c r="P21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D27" i="6"/>
  <c r="E27" i="6"/>
  <c r="F27" i="6"/>
  <c r="G27" i="6"/>
  <c r="H27" i="6"/>
  <c r="I27" i="6"/>
  <c r="J27" i="6"/>
  <c r="K27" i="6"/>
  <c r="L27" i="6"/>
  <c r="M27" i="6"/>
  <c r="N27" i="6"/>
  <c r="O27" i="6"/>
  <c r="P27" i="6"/>
  <c r="D28" i="6"/>
  <c r="E28" i="6"/>
  <c r="F28" i="6"/>
  <c r="G28" i="6"/>
  <c r="H28" i="6"/>
  <c r="I28" i="6"/>
  <c r="J28" i="6"/>
  <c r="K28" i="6"/>
  <c r="L28" i="6"/>
  <c r="M28" i="6"/>
  <c r="N28" i="6"/>
  <c r="O28" i="6"/>
  <c r="P28" i="6"/>
  <c r="D29" i="6"/>
  <c r="D26" i="6"/>
  <c r="E29" i="6"/>
  <c r="F29" i="6"/>
  <c r="G29" i="6"/>
  <c r="H29" i="6"/>
  <c r="I29" i="6"/>
  <c r="I26" i="6" s="1"/>
  <c r="J29" i="6"/>
  <c r="K29" i="6"/>
  <c r="L29" i="6"/>
  <c r="M29" i="6"/>
  <c r="M26" i="6" s="1"/>
  <c r="N29" i="6"/>
  <c r="O29" i="6"/>
  <c r="P29" i="6"/>
  <c r="P26" i="6"/>
  <c r="D32" i="6"/>
  <c r="E32" i="6"/>
  <c r="F32" i="6"/>
  <c r="G32" i="6"/>
  <c r="H32" i="6"/>
  <c r="I32" i="6"/>
  <c r="J32" i="6"/>
  <c r="K32" i="6"/>
  <c r="L32" i="6"/>
  <c r="M32" i="6"/>
  <c r="N32" i="6"/>
  <c r="O32" i="6"/>
  <c r="P32" i="6"/>
  <c r="D33" i="6"/>
  <c r="D31" i="6" s="1"/>
  <c r="E33" i="6"/>
  <c r="F33" i="6"/>
  <c r="G33" i="6"/>
  <c r="G31" i="6" s="1"/>
  <c r="H33" i="6"/>
  <c r="I33" i="6"/>
  <c r="J33" i="6"/>
  <c r="K33" i="6"/>
  <c r="L33" i="6"/>
  <c r="M33" i="6"/>
  <c r="M31" i="6"/>
  <c r="N33" i="6"/>
  <c r="O33" i="6"/>
  <c r="O31" i="6" s="1"/>
  <c r="P33" i="6"/>
  <c r="D34" i="6"/>
  <c r="E34" i="6"/>
  <c r="F34" i="6"/>
  <c r="G34" i="6"/>
  <c r="H34" i="6"/>
  <c r="I34" i="6"/>
  <c r="J34" i="6"/>
  <c r="K34" i="6"/>
  <c r="L34" i="6"/>
  <c r="M34" i="6"/>
  <c r="N34" i="6"/>
  <c r="O34" i="6"/>
  <c r="P34" i="6"/>
  <c r="D35" i="6"/>
  <c r="E35" i="6"/>
  <c r="F35" i="6"/>
  <c r="G35" i="6"/>
  <c r="H35" i="6"/>
  <c r="I35" i="6"/>
  <c r="J35" i="6"/>
  <c r="K35" i="6"/>
  <c r="L35" i="6"/>
  <c r="M35" i="6"/>
  <c r="N35" i="6"/>
  <c r="O35" i="6"/>
  <c r="P35" i="6"/>
  <c r="I38" i="6"/>
  <c r="E39" i="6"/>
  <c r="F39" i="6"/>
  <c r="G39" i="6"/>
  <c r="H39" i="6"/>
  <c r="I39" i="6"/>
  <c r="J39" i="6"/>
  <c r="K39" i="6"/>
  <c r="L39" i="6"/>
  <c r="M39" i="6"/>
  <c r="N39" i="6"/>
  <c r="O39" i="6"/>
  <c r="P39" i="6"/>
  <c r="D42" i="6"/>
  <c r="E42" i="6"/>
  <c r="F42" i="6"/>
  <c r="G42" i="6"/>
  <c r="H42" i="6"/>
  <c r="I42" i="6"/>
  <c r="J42" i="6"/>
  <c r="K42" i="6"/>
  <c r="L42" i="6"/>
  <c r="M42" i="6"/>
  <c r="N42" i="6"/>
  <c r="O42" i="6"/>
  <c r="P42" i="6"/>
  <c r="D43" i="6"/>
  <c r="E43" i="6"/>
  <c r="F43" i="6"/>
  <c r="G43" i="6"/>
  <c r="H43" i="6"/>
  <c r="I43" i="6"/>
  <c r="J43" i="6"/>
  <c r="K43" i="6"/>
  <c r="L43" i="6"/>
  <c r="M43" i="6"/>
  <c r="N43" i="6"/>
  <c r="O43" i="6"/>
  <c r="P43" i="6"/>
  <c r="D44" i="6"/>
  <c r="D41" i="6" s="1"/>
  <c r="F36" i="5" s="1"/>
  <c r="E44" i="6"/>
  <c r="F44" i="6"/>
  <c r="G44" i="6"/>
  <c r="H44" i="6"/>
  <c r="H41" i="6" s="1"/>
  <c r="I44" i="6"/>
  <c r="J44" i="6"/>
  <c r="K44" i="6"/>
  <c r="L44" i="6"/>
  <c r="L41" i="6" s="1"/>
  <c r="M44" i="6"/>
  <c r="N44" i="6"/>
  <c r="O44" i="6"/>
  <c r="O41" i="6"/>
  <c r="P44" i="6"/>
  <c r="P41" i="6" s="1"/>
  <c r="D48" i="6"/>
  <c r="E48" i="6"/>
  <c r="F48" i="6"/>
  <c r="G48" i="6"/>
  <c r="H48" i="6"/>
  <c r="I48" i="6"/>
  <c r="J48" i="6"/>
  <c r="K48" i="6"/>
  <c r="L48" i="6"/>
  <c r="M48" i="6"/>
  <c r="N48" i="6"/>
  <c r="O48" i="6"/>
  <c r="D49" i="6"/>
  <c r="E49" i="6"/>
  <c r="F49" i="6"/>
  <c r="G49" i="6"/>
  <c r="I41" i="5" s="1"/>
  <c r="H49" i="6"/>
  <c r="I49" i="6"/>
  <c r="J49" i="6"/>
  <c r="K49" i="6"/>
  <c r="L49" i="6"/>
  <c r="N41" i="5" s="1"/>
  <c r="M49" i="6"/>
  <c r="N49" i="6"/>
  <c r="P41" i="5" s="1"/>
  <c r="O49" i="6"/>
  <c r="P49" i="6"/>
  <c r="D50" i="6"/>
  <c r="F42" i="5" s="1"/>
  <c r="E50" i="6"/>
  <c r="F50" i="6"/>
  <c r="G50" i="6"/>
  <c r="I42" i="5" s="1"/>
  <c r="H50" i="6"/>
  <c r="I50" i="6"/>
  <c r="J50" i="6"/>
  <c r="K50" i="6"/>
  <c r="M42" i="5" s="1"/>
  <c r="L50" i="6"/>
  <c r="M50" i="6"/>
  <c r="O42" i="5"/>
  <c r="N50" i="6"/>
  <c r="O50" i="6"/>
  <c r="Q42" i="5" s="1"/>
  <c r="P50" i="6"/>
  <c r="R42" i="5" s="1"/>
  <c r="D51" i="6"/>
  <c r="E51" i="6"/>
  <c r="F51" i="6"/>
  <c r="G51" i="6"/>
  <c r="H51" i="6"/>
  <c r="I51" i="6"/>
  <c r="J51" i="6"/>
  <c r="K51" i="6"/>
  <c r="L51" i="6"/>
  <c r="M51" i="6"/>
  <c r="N51" i="6"/>
  <c r="O51" i="6"/>
  <c r="P51" i="6"/>
  <c r="D52" i="6"/>
  <c r="E52" i="6"/>
  <c r="F52" i="6"/>
  <c r="G52" i="6"/>
  <c r="H52" i="6"/>
  <c r="I52" i="6"/>
  <c r="J52" i="6"/>
  <c r="K52" i="6"/>
  <c r="L52" i="6"/>
  <c r="M52" i="6"/>
  <c r="N52" i="6"/>
  <c r="O52" i="6"/>
  <c r="P52" i="6"/>
  <c r="D53" i="6"/>
  <c r="D47" i="6" s="1"/>
  <c r="E53" i="6"/>
  <c r="F53" i="6"/>
  <c r="G53" i="6"/>
  <c r="H53" i="6"/>
  <c r="I53" i="6"/>
  <c r="J53" i="6"/>
  <c r="K53" i="6"/>
  <c r="L53" i="6"/>
  <c r="M53" i="6"/>
  <c r="N53" i="6"/>
  <c r="O53" i="6"/>
  <c r="P53" i="6"/>
  <c r="H52" i="5"/>
  <c r="L52" i="5"/>
  <c r="O23" i="7"/>
  <c r="N23" i="7"/>
  <c r="N30" i="7"/>
  <c r="O30" i="7"/>
  <c r="O4" i="7"/>
  <c r="O7" i="7"/>
  <c r="O3" i="7" s="1"/>
  <c r="N20" i="7"/>
  <c r="O20" i="7"/>
  <c r="O12" i="7"/>
  <c r="N12" i="7"/>
  <c r="N7" i="7"/>
  <c r="N4" i="7"/>
  <c r="N3" i="7" s="1"/>
  <c r="N19" i="7" s="1"/>
  <c r="N29" i="7" s="1"/>
  <c r="N33" i="7" s="1"/>
  <c r="N35" i="7" s="1"/>
  <c r="N37" i="7" s="1"/>
  <c r="N8" i="4"/>
  <c r="N14" i="4"/>
  <c r="O14" i="4"/>
  <c r="R52" i="5"/>
  <c r="O19" i="6"/>
  <c r="N21" i="4"/>
  <c r="O21" i="4"/>
  <c r="O17" i="4"/>
  <c r="P38" i="6"/>
  <c r="O8" i="4"/>
  <c r="F39" i="26"/>
  <c r="F35" i="26"/>
  <c r="F48" i="26"/>
  <c r="F43" i="26"/>
  <c r="F42" i="26"/>
  <c r="F37" i="26"/>
  <c r="F36" i="26"/>
  <c r="G27" i="26"/>
  <c r="E27" i="26"/>
  <c r="D27" i="26"/>
  <c r="C27" i="26"/>
  <c r="G26" i="26"/>
  <c r="E26" i="26"/>
  <c r="D26" i="26"/>
  <c r="C26" i="26"/>
  <c r="G25" i="26"/>
  <c r="E25" i="26"/>
  <c r="D25" i="26"/>
  <c r="C25" i="26"/>
  <c r="G24" i="26"/>
  <c r="E24" i="26"/>
  <c r="D24" i="26"/>
  <c r="C24" i="26"/>
  <c r="G22" i="26"/>
  <c r="E22" i="26"/>
  <c r="D22" i="26"/>
  <c r="C22" i="26"/>
  <c r="G21" i="26"/>
  <c r="E21" i="26"/>
  <c r="D21" i="26"/>
  <c r="C21" i="26"/>
  <c r="G20" i="26"/>
  <c r="E20" i="26"/>
  <c r="D20" i="26"/>
  <c r="C20" i="26"/>
  <c r="G18" i="26"/>
  <c r="E18" i="26"/>
  <c r="D18" i="26"/>
  <c r="C18" i="26"/>
  <c r="G17" i="26"/>
  <c r="E17" i="26"/>
  <c r="D17" i="26"/>
  <c r="C17" i="26"/>
  <c r="G16" i="26"/>
  <c r="E16" i="26"/>
  <c r="D16" i="26"/>
  <c r="C16" i="26"/>
  <c r="G15" i="26"/>
  <c r="E15" i="26"/>
  <c r="D15" i="26"/>
  <c r="C15" i="26"/>
  <c r="G13" i="26"/>
  <c r="E13" i="26"/>
  <c r="D13" i="26"/>
  <c r="C13" i="26"/>
  <c r="G12" i="26"/>
  <c r="E12" i="26"/>
  <c r="D12" i="26"/>
  <c r="C12" i="26"/>
  <c r="G11" i="26"/>
  <c r="E11" i="26"/>
  <c r="D11" i="26"/>
  <c r="C11" i="26"/>
  <c r="G10" i="26"/>
  <c r="E10" i="26"/>
  <c r="D10" i="26"/>
  <c r="C10" i="26"/>
  <c r="G8" i="26"/>
  <c r="E8" i="26"/>
  <c r="D8" i="26"/>
  <c r="C8" i="26"/>
  <c r="G7" i="26"/>
  <c r="E7" i="26"/>
  <c r="D7" i="26"/>
  <c r="C7" i="26"/>
  <c r="G6" i="26"/>
  <c r="E6" i="26"/>
  <c r="D6" i="26"/>
  <c r="C6" i="26"/>
  <c r="F35" i="25"/>
  <c r="F38" i="25"/>
  <c r="F32" i="25"/>
  <c r="F43" i="25"/>
  <c r="F46" i="25"/>
  <c r="F42" i="25"/>
  <c r="F79" i="20"/>
  <c r="F76" i="20"/>
  <c r="F77" i="20"/>
  <c r="F80" i="20"/>
  <c r="E76" i="20"/>
  <c r="E77" i="20"/>
  <c r="H75" i="20"/>
  <c r="H74" i="20"/>
  <c r="H73" i="20"/>
  <c r="H72" i="20"/>
  <c r="H71" i="20"/>
  <c r="H76" i="20" s="1"/>
  <c r="F37" i="25"/>
  <c r="F53" i="20"/>
  <c r="F50" i="20"/>
  <c r="E50" i="20"/>
  <c r="E51" i="20"/>
  <c r="H49" i="20"/>
  <c r="H48" i="20"/>
  <c r="H47" i="20"/>
  <c r="H46" i="20"/>
  <c r="H45" i="20"/>
  <c r="F51" i="20"/>
  <c r="F54" i="20"/>
  <c r="N26" i="20"/>
  <c r="N23" i="20"/>
  <c r="M23" i="20"/>
  <c r="P22" i="20"/>
  <c r="P21" i="20"/>
  <c r="P20" i="20"/>
  <c r="P19" i="20"/>
  <c r="P18" i="20"/>
  <c r="P23" i="20" s="1"/>
  <c r="N16" i="20"/>
  <c r="N24" i="20"/>
  <c r="M16" i="20"/>
  <c r="M24" i="20"/>
  <c r="P16" i="20"/>
  <c r="F26" i="20"/>
  <c r="F23" i="20"/>
  <c r="F24" i="20"/>
  <c r="F27" i="20" s="1"/>
  <c r="E23" i="20"/>
  <c r="E24" i="20"/>
  <c r="M14" i="8"/>
  <c r="N14" i="8"/>
  <c r="F14" i="8"/>
  <c r="K14" i="8"/>
  <c r="L14" i="8"/>
  <c r="J14" i="8"/>
  <c r="I14" i="8"/>
  <c r="B14" i="8"/>
  <c r="C14" i="8"/>
  <c r="D14" i="8"/>
  <c r="E14" i="8"/>
  <c r="G14" i="8"/>
  <c r="H14" i="8"/>
  <c r="H23" i="20"/>
  <c r="H24" i="20"/>
  <c r="F31" i="26"/>
  <c r="F36" i="25"/>
  <c r="F32" i="26"/>
  <c r="F15" i="26"/>
  <c r="F47" i="25"/>
  <c r="F48" i="25"/>
  <c r="F46" i="26"/>
  <c r="F31" i="25"/>
  <c r="F40" i="25"/>
  <c r="F41" i="26"/>
  <c r="F39" i="25"/>
  <c r="F38" i="26"/>
  <c r="H8" i="8"/>
  <c r="N8" i="8"/>
  <c r="F49" i="25"/>
  <c r="F34" i="25"/>
  <c r="B8" i="8"/>
  <c r="G8" i="8"/>
  <c r="D8" i="8"/>
  <c r="E8" i="8"/>
  <c r="K8" i="8"/>
  <c r="J8" i="8"/>
  <c r="M11" i="8"/>
  <c r="I11" i="8"/>
  <c r="J4" i="8"/>
  <c r="F11" i="8"/>
  <c r="K4" i="8"/>
  <c r="I10" i="8"/>
  <c r="N11" i="8"/>
  <c r="J9" i="8"/>
  <c r="J13" i="8"/>
  <c r="I13" i="8"/>
  <c r="K13" i="8"/>
  <c r="J10" i="8"/>
  <c r="K19" i="7"/>
  <c r="K29" i="7"/>
  <c r="K33" i="7"/>
  <c r="K35" i="7"/>
  <c r="K37" i="7"/>
  <c r="C29" i="7"/>
  <c r="C33" i="7"/>
  <c r="C35" i="7"/>
  <c r="C37" i="7"/>
  <c r="C38" i="7"/>
  <c r="I8" i="8"/>
  <c r="M8" i="8"/>
  <c r="C8" i="8"/>
  <c r="F41" i="25"/>
  <c r="F20" i="25"/>
  <c r="K5" i="8"/>
  <c r="N10" i="8"/>
  <c r="N13" i="8"/>
  <c r="F29" i="25"/>
  <c r="F26" i="25" s="1"/>
  <c r="F30" i="25"/>
  <c r="I19" i="6"/>
  <c r="I17" i="6" s="1"/>
  <c r="I14" i="6" s="1"/>
  <c r="D36" i="6"/>
  <c r="F40" i="26"/>
  <c r="H10" i="8"/>
  <c r="C6" i="8"/>
  <c r="H9" i="8"/>
  <c r="J5" i="8"/>
  <c r="F29" i="26"/>
  <c r="F30" i="26"/>
  <c r="M13" i="8"/>
  <c r="F8" i="8"/>
  <c r="G5" i="6"/>
  <c r="N48" i="5"/>
  <c r="M16" i="9"/>
  <c r="K48" i="5"/>
  <c r="J16" i="9" s="1"/>
  <c r="I36" i="6"/>
  <c r="I9" i="8"/>
  <c r="D3" i="7"/>
  <c r="D19" i="7"/>
  <c r="D29" i="7"/>
  <c r="D33" i="7"/>
  <c r="D35" i="7"/>
  <c r="D37" i="7"/>
  <c r="H29" i="7"/>
  <c r="H33" i="7"/>
  <c r="H35" i="7"/>
  <c r="H37" i="7"/>
  <c r="J33" i="7"/>
  <c r="J35" i="7"/>
  <c r="J37" i="7"/>
  <c r="F13" i="8"/>
  <c r="G13" i="8"/>
  <c r="H5" i="8"/>
  <c r="E9" i="8"/>
  <c r="K12" i="8"/>
  <c r="L38" i="6"/>
  <c r="C3" i="8"/>
  <c r="M10" i="8"/>
  <c r="C27" i="4"/>
  <c r="F33" i="25"/>
  <c r="F13" i="25" s="1"/>
  <c r="P36" i="6"/>
  <c r="M9" i="8"/>
  <c r="N6" i="8"/>
  <c r="F33" i="26"/>
  <c r="F6" i="26"/>
  <c r="H6" i="26"/>
  <c r="L8" i="8"/>
  <c r="K3" i="8"/>
  <c r="M6" i="8"/>
  <c r="N9" i="8"/>
  <c r="J3" i="8"/>
  <c r="H13" i="8"/>
  <c r="K9" i="8"/>
  <c r="J6" i="8"/>
  <c r="F44" i="26"/>
  <c r="F27" i="26" s="1"/>
  <c r="B13" i="8"/>
  <c r="B6" i="8"/>
  <c r="B3" i="8"/>
  <c r="F47" i="26"/>
  <c r="F18" i="26"/>
  <c r="F49" i="26"/>
  <c r="F16" i="26" s="1"/>
  <c r="N27" i="20"/>
  <c r="P24" i="20"/>
  <c r="E6" i="6"/>
  <c r="F19" i="6"/>
  <c r="H50" i="20"/>
  <c r="H51" i="20"/>
  <c r="N19" i="6"/>
  <c r="C13" i="8"/>
  <c r="H12" i="8"/>
  <c r="K11" i="8"/>
  <c r="C9" i="8"/>
  <c r="B4" i="8"/>
  <c r="F10" i="8"/>
  <c r="C11" i="8"/>
  <c r="C5" i="8"/>
  <c r="H3" i="8"/>
  <c r="N12" i="8"/>
  <c r="C4" i="8"/>
  <c r="N5" i="8"/>
  <c r="C12" i="8"/>
  <c r="H11" i="8"/>
  <c r="N4" i="8"/>
  <c r="G9" i="8"/>
  <c r="B5" i="8"/>
  <c r="E10" i="8"/>
  <c r="F9" i="8"/>
  <c r="E11" i="8"/>
  <c r="F6" i="25"/>
  <c r="B9" i="8"/>
  <c r="E13" i="8"/>
  <c r="D9" i="8"/>
  <c r="K6" i="8"/>
  <c r="G10" i="8"/>
  <c r="B10" i="8"/>
  <c r="D13" i="8"/>
  <c r="H6" i="8"/>
  <c r="E12" i="8"/>
  <c r="D10" i="8"/>
  <c r="H4" i="8"/>
  <c r="N3" i="8"/>
  <c r="F45" i="26"/>
  <c r="M12" i="8"/>
  <c r="D5" i="8"/>
  <c r="L11" i="8"/>
  <c r="D12" i="8"/>
  <c r="L6" i="8"/>
  <c r="M4" i="8"/>
  <c r="I12" i="8"/>
  <c r="M5" i="8"/>
  <c r="F34" i="26"/>
  <c r="F8" i="26"/>
  <c r="M3" i="8"/>
  <c r="I5" i="8"/>
  <c r="I3" i="8"/>
  <c r="C10" i="8"/>
  <c r="F13" i="26"/>
  <c r="I4" i="8"/>
  <c r="D3" i="8"/>
  <c r="F44" i="25"/>
  <c r="K10" i="8"/>
  <c r="L12" i="8"/>
  <c r="I6" i="8"/>
  <c r="D11" i="8"/>
  <c r="L3" i="8"/>
  <c r="B12" i="8"/>
  <c r="D4" i="8"/>
  <c r="B11" i="8"/>
  <c r="D6" i="8"/>
  <c r="E4" i="8"/>
  <c r="J12" i="8"/>
  <c r="J11" i="8"/>
  <c r="E6" i="8"/>
  <c r="E5" i="8"/>
  <c r="E3" i="8"/>
  <c r="G11" i="8"/>
  <c r="F5" i="8"/>
  <c r="G5" i="8"/>
  <c r="G12" i="8"/>
  <c r="F6" i="8"/>
  <c r="G3" i="8"/>
  <c r="F4" i="8"/>
  <c r="L5" i="8"/>
  <c r="F27" i="25"/>
  <c r="F16" i="25"/>
  <c r="F45" i="25"/>
  <c r="F18" i="25"/>
  <c r="F12" i="8"/>
  <c r="G6" i="8"/>
  <c r="F3" i="8"/>
  <c r="G4" i="8"/>
  <c r="L13" i="8"/>
  <c r="L9" i="8"/>
  <c r="L10" i="8"/>
  <c r="F50" i="26"/>
  <c r="F17" i="26"/>
  <c r="L4" i="8"/>
  <c r="F50" i="25"/>
  <c r="H31" i="6"/>
  <c r="N17" i="6"/>
  <c r="N14" i="6"/>
  <c r="P6" i="5" s="1"/>
  <c r="O4" i="9" s="1"/>
  <c r="K27" i="4"/>
  <c r="K26" i="6"/>
  <c r="H47" i="5"/>
  <c r="N31" i="6"/>
  <c r="K31" i="6"/>
  <c r="O41" i="5"/>
  <c r="P42" i="5"/>
  <c r="D6" i="6"/>
  <c r="F19" i="5" s="1"/>
  <c r="E22" i="9" s="1"/>
  <c r="F40" i="5"/>
  <c r="J32" i="5"/>
  <c r="F25" i="25"/>
  <c r="F8" i="25"/>
  <c r="L41" i="5"/>
  <c r="F11" i="26"/>
  <c r="F21" i="26"/>
  <c r="I31" i="6"/>
  <c r="K44" i="5" s="1"/>
  <c r="K34" i="5"/>
  <c r="G42" i="5"/>
  <c r="I9" i="5"/>
  <c r="E42" i="5"/>
  <c r="G41" i="6"/>
  <c r="F17" i="6"/>
  <c r="F14" i="6" s="1"/>
  <c r="N32" i="5"/>
  <c r="E41" i="5"/>
  <c r="I41" i="6"/>
  <c r="C26" i="6"/>
  <c r="K41" i="5"/>
  <c r="H26" i="6"/>
  <c r="J19" i="5"/>
  <c r="I22" i="9"/>
  <c r="F21" i="25"/>
  <c r="F12" i="25"/>
  <c r="R41" i="5"/>
  <c r="J41" i="5"/>
  <c r="I26" i="5"/>
  <c r="L42" i="5"/>
  <c r="K41" i="6"/>
  <c r="F22" i="26"/>
  <c r="K42" i="5"/>
  <c r="Q32" i="5"/>
  <c r="F7" i="26"/>
  <c r="O26" i="6"/>
  <c r="G26" i="6"/>
  <c r="J31" i="6"/>
  <c r="M44" i="5" s="1"/>
  <c r="L44" i="5"/>
  <c r="G41" i="5"/>
  <c r="J47" i="6"/>
  <c r="O17" i="6"/>
  <c r="O14" i="6" s="1"/>
  <c r="I47" i="6"/>
  <c r="H41" i="5"/>
  <c r="H42" i="5"/>
  <c r="F41" i="5"/>
  <c r="E31" i="6"/>
  <c r="G34" i="5"/>
  <c r="P47" i="6"/>
  <c r="O47" i="6"/>
  <c r="H47" i="6"/>
  <c r="H32" i="5"/>
  <c r="B4" i="4"/>
  <c r="F29" i="7"/>
  <c r="F33" i="7"/>
  <c r="I56" i="5"/>
  <c r="H12" i="9"/>
  <c r="L56" i="5"/>
  <c r="K12" i="9"/>
  <c r="I29" i="7"/>
  <c r="I33" i="7"/>
  <c r="I35" i="7"/>
  <c r="I37" i="7"/>
  <c r="N56" i="5"/>
  <c r="M12" i="9"/>
  <c r="P56" i="5"/>
  <c r="O12" i="9"/>
  <c r="M29" i="7"/>
  <c r="M33" i="7"/>
  <c r="M35" i="7"/>
  <c r="M37" i="7"/>
  <c r="K56" i="5"/>
  <c r="J12" i="9"/>
  <c r="L29" i="7"/>
  <c r="L33" i="7"/>
  <c r="L35" i="7"/>
  <c r="L37" i="7"/>
  <c r="O56" i="5"/>
  <c r="N12" i="9"/>
  <c r="E29" i="7"/>
  <c r="E33" i="7"/>
  <c r="E35" i="7"/>
  <c r="E37" i="7"/>
  <c r="H56" i="5"/>
  <c r="G12" i="9"/>
  <c r="Q56" i="5"/>
  <c r="P12" i="9"/>
  <c r="F12" i="26"/>
  <c r="F26" i="26"/>
  <c r="M32" i="5"/>
  <c r="L32" i="5"/>
  <c r="E26" i="6"/>
  <c r="G19" i="5"/>
  <c r="F22" i="9"/>
  <c r="F55" i="5"/>
  <c r="E11" i="9"/>
  <c r="F57" i="5"/>
  <c r="E13" i="9"/>
  <c r="D5" i="6"/>
  <c r="F15" i="5"/>
  <c r="E21" i="9"/>
  <c r="Q34" i="5"/>
  <c r="E15" i="9"/>
  <c r="R48" i="5"/>
  <c r="Q16" i="9"/>
  <c r="Q15" i="9"/>
  <c r="R47" i="5"/>
  <c r="F41" i="6"/>
  <c r="I36" i="5" s="1"/>
  <c r="N57" i="5"/>
  <c r="M13" i="9"/>
  <c r="L5" i="6"/>
  <c r="N58" i="5" s="1"/>
  <c r="M18" i="9" s="1"/>
  <c r="E19" i="6"/>
  <c r="E17" i="6" s="1"/>
  <c r="E14" i="6" s="1"/>
  <c r="F6" i="6"/>
  <c r="P10" i="6"/>
  <c r="G27" i="4"/>
  <c r="F31" i="6"/>
  <c r="H44" i="5"/>
  <c r="I57" i="5"/>
  <c r="H13" i="9"/>
  <c r="K36" i="6"/>
  <c r="I47" i="5"/>
  <c r="I48" i="5"/>
  <c r="H16" i="9" s="1"/>
  <c r="G36" i="6"/>
  <c r="I58" i="5"/>
  <c r="H18" i="9"/>
  <c r="F22" i="25"/>
  <c r="F36" i="6"/>
  <c r="H48" i="5"/>
  <c r="G16" i="9"/>
  <c r="L6" i="6"/>
  <c r="H17" i="6"/>
  <c r="H14" i="6" s="1"/>
  <c r="M36" i="6"/>
  <c r="L27" i="4"/>
  <c r="O47" i="5"/>
  <c r="Q41" i="5"/>
  <c r="D27" i="4"/>
  <c r="G55" i="5"/>
  <c r="F11" i="9"/>
  <c r="M47" i="5"/>
  <c r="J27" i="4"/>
  <c r="K52" i="5"/>
  <c r="H27" i="4"/>
  <c r="Q48" i="5"/>
  <c r="P16" i="9"/>
  <c r="J52" i="5"/>
  <c r="F48" i="5"/>
  <c r="E16" i="9"/>
  <c r="N47" i="5"/>
  <c r="F24" i="25"/>
  <c r="F15" i="25"/>
  <c r="F10" i="25"/>
  <c r="E47" i="5"/>
  <c r="C36" i="6"/>
  <c r="E48" i="5"/>
  <c r="B27" i="4"/>
  <c r="F31" i="5"/>
  <c r="F24" i="5"/>
  <c r="K5" i="6"/>
  <c r="N55" i="5"/>
  <c r="M11" i="9"/>
  <c r="M57" i="5"/>
  <c r="L13" i="9"/>
  <c r="O57" i="5"/>
  <c r="N13" i="9"/>
  <c r="M5" i="6"/>
  <c r="O55" i="5"/>
  <c r="N11" i="9"/>
  <c r="E5" i="6"/>
  <c r="G57" i="5"/>
  <c r="F13" i="9"/>
  <c r="N53" i="5"/>
  <c r="N15" i="5"/>
  <c r="M21" i="9"/>
  <c r="N26" i="5"/>
  <c r="N27" i="5"/>
  <c r="M17" i="9"/>
  <c r="N14" i="5"/>
  <c r="M20" i="9"/>
  <c r="K57" i="5"/>
  <c r="J13" i="9"/>
  <c r="I5" i="6"/>
  <c r="K15" i="5"/>
  <c r="J21" i="9"/>
  <c r="H5" i="6"/>
  <c r="J57" i="5"/>
  <c r="I13" i="9"/>
  <c r="K55" i="5"/>
  <c r="J11" i="9"/>
  <c r="F30" i="5"/>
  <c r="F43" i="5"/>
  <c r="F9" i="5"/>
  <c r="F53" i="5"/>
  <c r="F27" i="5"/>
  <c r="E17" i="9"/>
  <c r="C5" i="6"/>
  <c r="E57" i="5"/>
  <c r="O26" i="5"/>
  <c r="O9" i="5"/>
  <c r="O24" i="5"/>
  <c r="O27" i="5"/>
  <c r="N17" i="9"/>
  <c r="O53" i="5"/>
  <c r="O15" i="5"/>
  <c r="N21" i="9"/>
  <c r="O14" i="5"/>
  <c r="N20" i="9"/>
  <c r="J15" i="5"/>
  <c r="I21" i="9"/>
  <c r="J27" i="5"/>
  <c r="I17" i="9"/>
  <c r="J43" i="5"/>
  <c r="J14" i="5"/>
  <c r="I20" i="9"/>
  <c r="J30" i="5"/>
  <c r="J24" i="5"/>
  <c r="J53" i="5"/>
  <c r="J9" i="5"/>
  <c r="K53" i="5"/>
  <c r="K27" i="5"/>
  <c r="J17" i="9"/>
  <c r="K26" i="5"/>
  <c r="K43" i="5"/>
  <c r="K21" i="5"/>
  <c r="K58" i="5"/>
  <c r="J18" i="9"/>
  <c r="M15" i="5"/>
  <c r="L21" i="9"/>
  <c r="M27" i="5"/>
  <c r="L17" i="9"/>
  <c r="M26" i="5"/>
  <c r="M58" i="5"/>
  <c r="L18" i="9"/>
  <c r="O58" i="5"/>
  <c r="N18" i="9"/>
  <c r="N43" i="5"/>
  <c r="G26" i="5"/>
  <c r="G15" i="5"/>
  <c r="F21" i="9"/>
  <c r="G9" i="5"/>
  <c r="G24" i="5"/>
  <c r="G30" i="5"/>
  <c r="G27" i="5"/>
  <c r="F17" i="9"/>
  <c r="G43" i="5"/>
  <c r="G53" i="5"/>
  <c r="G14" i="5"/>
  <c r="F20" i="9"/>
  <c r="E27" i="5"/>
  <c r="E26" i="5"/>
  <c r="E25" i="5"/>
  <c r="E43" i="5"/>
  <c r="E9" i="5"/>
  <c r="R27" i="4"/>
  <c r="S27" i="4"/>
  <c r="M15" i="6"/>
  <c r="O10" i="5" s="1"/>
  <c r="N6" i="9" s="1"/>
  <c r="R36" i="5"/>
  <c r="N36" i="5"/>
  <c r="O21" i="5"/>
  <c r="P44" i="5"/>
  <c r="P34" i="5"/>
  <c r="R19" i="5"/>
  <c r="Q22" i="9"/>
  <c r="J44" i="5"/>
  <c r="I44" i="5"/>
  <c r="I21" i="5"/>
  <c r="I34" i="5"/>
  <c r="F34" i="5"/>
  <c r="F21" i="5"/>
  <c r="F44" i="5"/>
  <c r="E53" i="5"/>
  <c r="G21" i="5"/>
  <c r="M9" i="5"/>
  <c r="K9" i="5"/>
  <c r="K30" i="5"/>
  <c r="O30" i="5"/>
  <c r="O43" i="5"/>
  <c r="E58" i="5"/>
  <c r="N25" i="5"/>
  <c r="N9" i="5"/>
  <c r="H34" i="5"/>
  <c r="F58" i="5"/>
  <c r="E18" i="9"/>
  <c r="L26" i="6"/>
  <c r="I53" i="5"/>
  <c r="J42" i="5"/>
  <c r="F11" i="25"/>
  <c r="F24" i="26"/>
  <c r="P31" i="6"/>
  <c r="L31" i="6"/>
  <c r="O34" i="5"/>
  <c r="K14" i="5"/>
  <c r="J20" i="9"/>
  <c r="J26" i="5"/>
  <c r="O25" i="5"/>
  <c r="J34" i="5"/>
  <c r="N24" i="5"/>
  <c r="L34" i="5"/>
  <c r="G44" i="5"/>
  <c r="K36" i="5"/>
  <c r="G32" i="5"/>
  <c r="F25" i="26"/>
  <c r="N42" i="5"/>
  <c r="F17" i="25"/>
  <c r="F7" i="25"/>
  <c r="F20" i="26"/>
  <c r="F10" i="26"/>
  <c r="F14" i="5"/>
  <c r="E20" i="9"/>
  <c r="P32" i="5"/>
  <c r="M21" i="5"/>
  <c r="J21" i="5"/>
  <c r="F26" i="5"/>
  <c r="M34" i="5"/>
  <c r="N19" i="5"/>
  <c r="M22" i="9"/>
  <c r="M41" i="6"/>
  <c r="F35" i="7"/>
  <c r="F37" i="7"/>
  <c r="Q52" i="5"/>
  <c r="N27" i="4"/>
  <c r="L47" i="6"/>
  <c r="L47" i="5"/>
  <c r="I27" i="4"/>
  <c r="G56" i="5"/>
  <c r="F12" i="9"/>
  <c r="B54" i="4"/>
  <c r="B55" i="4"/>
  <c r="J36" i="5"/>
  <c r="M41" i="5"/>
  <c r="K47" i="6"/>
  <c r="G47" i="6"/>
  <c r="I15" i="5"/>
  <c r="H21" i="9"/>
  <c r="J36" i="6"/>
  <c r="N36" i="6"/>
  <c r="P48" i="5"/>
  <c r="O16" i="9"/>
  <c r="P47" i="5"/>
  <c r="M27" i="4"/>
  <c r="E27" i="4"/>
  <c r="F56" i="5"/>
  <c r="E12" i="9"/>
  <c r="H77" i="20"/>
  <c r="E14" i="5"/>
  <c r="I27" i="5"/>
  <c r="H17" i="9"/>
  <c r="I14" i="5"/>
  <c r="H20" i="9"/>
  <c r="O27" i="4"/>
  <c r="D19" i="6"/>
  <c r="D17" i="6"/>
  <c r="D14" i="6" s="1"/>
  <c r="G3" i="7"/>
  <c r="G19" i="7"/>
  <c r="M56" i="5"/>
  <c r="L12" i="9"/>
  <c r="B3" i="7"/>
  <c r="B19" i="7"/>
  <c r="E15" i="5"/>
  <c r="J47" i="5"/>
  <c r="J48" i="5"/>
  <c r="I16" i="9"/>
  <c r="H36" i="6"/>
  <c r="J58" i="5"/>
  <c r="I18" i="9"/>
  <c r="G47" i="5"/>
  <c r="E36" i="6"/>
  <c r="G58" i="5"/>
  <c r="F18" i="9"/>
  <c r="G48" i="5"/>
  <c r="F16" i="9"/>
  <c r="G19" i="6"/>
  <c r="G17" i="6" s="1"/>
  <c r="G14" i="6" s="1"/>
  <c r="N6" i="6"/>
  <c r="N7" i="6"/>
  <c r="P33" i="5" s="1"/>
  <c r="C47" i="6"/>
  <c r="C6" i="6"/>
  <c r="E40" i="5" s="1"/>
  <c r="C44" i="6"/>
  <c r="C41" i="6"/>
  <c r="O36" i="5"/>
  <c r="N44" i="5"/>
  <c r="N34" i="5"/>
  <c r="N21" i="5"/>
  <c r="R34" i="5"/>
  <c r="R44" i="5"/>
  <c r="O44" i="5"/>
  <c r="P31" i="5"/>
  <c r="P5" i="6"/>
  <c r="R57" i="5"/>
  <c r="Q13" i="9"/>
  <c r="G29" i="7"/>
  <c r="G33" i="7"/>
  <c r="J56" i="5"/>
  <c r="I12" i="9"/>
  <c r="F5" i="6"/>
  <c r="H57" i="5"/>
  <c r="G13" i="9"/>
  <c r="H55" i="5"/>
  <c r="G11" i="9"/>
  <c r="O5" i="6"/>
  <c r="Q57" i="5"/>
  <c r="P13" i="9"/>
  <c r="I55" i="5"/>
  <c r="H11" i="9"/>
  <c r="E19" i="5"/>
  <c r="E24" i="5"/>
  <c r="Q55" i="5"/>
  <c r="P11" i="9"/>
  <c r="N5" i="6"/>
  <c r="P24" i="5"/>
  <c r="P57" i="5"/>
  <c r="O13" i="9"/>
  <c r="P55" i="5"/>
  <c r="O11" i="9"/>
  <c r="B29" i="7"/>
  <c r="B33" i="7"/>
  <c r="E56" i="5"/>
  <c r="P40" i="5"/>
  <c r="L57" i="5"/>
  <c r="K13" i="9"/>
  <c r="J5" i="6"/>
  <c r="L58" i="5"/>
  <c r="K18" i="9"/>
  <c r="M55" i="5"/>
  <c r="L11" i="9"/>
  <c r="L55" i="5"/>
  <c r="K11" i="9"/>
  <c r="P58" i="5"/>
  <c r="O18" i="9"/>
  <c r="R9" i="5"/>
  <c r="R24" i="5"/>
  <c r="R27" i="5"/>
  <c r="Q17" i="9"/>
  <c r="R26" i="5"/>
  <c r="R53" i="5"/>
  <c r="R25" i="5"/>
  <c r="R43" i="5"/>
  <c r="R58" i="5"/>
  <c r="Q18" i="9"/>
  <c r="R15" i="5"/>
  <c r="Q21" i="9"/>
  <c r="R30" i="5"/>
  <c r="R21" i="5"/>
  <c r="R14" i="5"/>
  <c r="Q20" i="9"/>
  <c r="L14" i="5"/>
  <c r="K20" i="9"/>
  <c r="L27" i="5"/>
  <c r="K17" i="9"/>
  <c r="L9" i="5"/>
  <c r="L21" i="5"/>
  <c r="M30" i="5"/>
  <c r="L53" i="5"/>
  <c r="L15" i="5"/>
  <c r="K21" i="9"/>
  <c r="L26" i="5"/>
  <c r="M43" i="5"/>
  <c r="L30" i="5"/>
  <c r="L43" i="5"/>
  <c r="P53" i="5"/>
  <c r="P26" i="5"/>
  <c r="P9" i="5"/>
  <c r="P14" i="5"/>
  <c r="O20" i="9"/>
  <c r="P21" i="5"/>
  <c r="P30" i="5"/>
  <c r="P27" i="5"/>
  <c r="O17" i="9"/>
  <c r="P15" i="5"/>
  <c r="O21" i="9"/>
  <c r="P7" i="5"/>
  <c r="O5" i="9" s="1"/>
  <c r="P43" i="5"/>
  <c r="Q30" i="5"/>
  <c r="Q53" i="5"/>
  <c r="Q43" i="5"/>
  <c r="Q21" i="5"/>
  <c r="Q15" i="5"/>
  <c r="P21" i="9"/>
  <c r="Q58" i="5"/>
  <c r="P18" i="9"/>
  <c r="Q14" i="5"/>
  <c r="P20" i="9"/>
  <c r="Q26" i="5"/>
  <c r="Q27" i="5"/>
  <c r="P17" i="9"/>
  <c r="Q9" i="5"/>
  <c r="H53" i="5"/>
  <c r="H15" i="5"/>
  <c r="G21" i="9"/>
  <c r="H26" i="5"/>
  <c r="H21" i="5"/>
  <c r="H9" i="5"/>
  <c r="H58" i="5"/>
  <c r="G18" i="9"/>
  <c r="I43" i="5"/>
  <c r="H27" i="5"/>
  <c r="G17" i="9"/>
  <c r="H30" i="5"/>
  <c r="H43" i="5"/>
  <c r="H14" i="5"/>
  <c r="G20" i="9"/>
  <c r="I30" i="5"/>
  <c r="G35" i="7"/>
  <c r="G37" i="7"/>
  <c r="J55" i="5"/>
  <c r="I11" i="9"/>
  <c r="B35" i="7"/>
  <c r="B37" i="7"/>
  <c r="C56" i="6"/>
  <c r="E55" i="5"/>
  <c r="W3" i="7"/>
  <c r="W19" i="7" s="1"/>
  <c r="W29" i="7" s="1"/>
  <c r="W33" i="7" s="1"/>
  <c r="AI15" i="6" l="1"/>
  <c r="AD57" i="5"/>
  <c r="AC13" i="9" s="1"/>
  <c r="AE55" i="5"/>
  <c r="AD11" i="9" s="1"/>
  <c r="AB5" i="6"/>
  <c r="AH58" i="5"/>
  <c r="AG18" i="9" s="1"/>
  <c r="AH53" i="5"/>
  <c r="AH43" i="5"/>
  <c r="AH30" i="5"/>
  <c r="AH27" i="5"/>
  <c r="AG17" i="9" s="1"/>
  <c r="AH26" i="5"/>
  <c r="AH25" i="5"/>
  <c r="AH24" i="5"/>
  <c r="AH21" i="5"/>
  <c r="AH15" i="5"/>
  <c r="AG21" i="9" s="1"/>
  <c r="AH10" i="5"/>
  <c r="AG6" i="9" s="1"/>
  <c r="AH9" i="5"/>
  <c r="AH7" i="5"/>
  <c r="AG5" i="9" s="1"/>
  <c r="AI58" i="5"/>
  <c r="AH18" i="9" s="1"/>
  <c r="AI53" i="5"/>
  <c r="AI43" i="5"/>
  <c r="AI30" i="5"/>
  <c r="AI27" i="5"/>
  <c r="AH17" i="9" s="1"/>
  <c r="AI26" i="5"/>
  <c r="AI25" i="5"/>
  <c r="AI24" i="5"/>
  <c r="AI21" i="5"/>
  <c r="AI15" i="5"/>
  <c r="AH21" i="9" s="1"/>
  <c r="AI10" i="5"/>
  <c r="AH6" i="9" s="1"/>
  <c r="AI9" i="5"/>
  <c r="AI7" i="5"/>
  <c r="AH5" i="9" s="1"/>
  <c r="AE58" i="5"/>
  <c r="AD18" i="9" s="1"/>
  <c r="AE53" i="5"/>
  <c r="AE43" i="5"/>
  <c r="AE30" i="5"/>
  <c r="AE27" i="5"/>
  <c r="AD17" i="9" s="1"/>
  <c r="AE26" i="5"/>
  <c r="AE25" i="5"/>
  <c r="AE24" i="5"/>
  <c r="AE21" i="5"/>
  <c r="AE15" i="5"/>
  <c r="AD21" i="9" s="1"/>
  <c r="AE10" i="5"/>
  <c r="AD6" i="9" s="1"/>
  <c r="AE9" i="5"/>
  <c r="AE7" i="5"/>
  <c r="AD5" i="9" s="1"/>
  <c r="AF58" i="5"/>
  <c r="AE18" i="9" s="1"/>
  <c r="AF53" i="5"/>
  <c r="AF43" i="5"/>
  <c r="AF30" i="5"/>
  <c r="AF27" i="5"/>
  <c r="AE17" i="9" s="1"/>
  <c r="AF26" i="5"/>
  <c r="AF25" i="5"/>
  <c r="AF24" i="5"/>
  <c r="AF21" i="5"/>
  <c r="AF15" i="5"/>
  <c r="AE21" i="9" s="1"/>
  <c r="AF10" i="5"/>
  <c r="AE6" i="9" s="1"/>
  <c r="AF9" i="5"/>
  <c r="AF7" i="5"/>
  <c r="AE5" i="9" s="1"/>
  <c r="AG58" i="5"/>
  <c r="AF18" i="9" s="1"/>
  <c r="AG53" i="5"/>
  <c r="AG43" i="5"/>
  <c r="AG30" i="5"/>
  <c r="AG27" i="5"/>
  <c r="AF17" i="9" s="1"/>
  <c r="AG26" i="5"/>
  <c r="AG25" i="5"/>
  <c r="AG24" i="5"/>
  <c r="AG21" i="5"/>
  <c r="AG15" i="5"/>
  <c r="AF21" i="9" s="1"/>
  <c r="AG10" i="5"/>
  <c r="AF6" i="9" s="1"/>
  <c r="AG9" i="5"/>
  <c r="AG7" i="5"/>
  <c r="AF5" i="9" s="1"/>
  <c r="V57" i="5"/>
  <c r="U13" i="9" s="1"/>
  <c r="T5" i="6"/>
  <c r="U57" i="5"/>
  <c r="T13" i="9" s="1"/>
  <c r="S5" i="6"/>
  <c r="X57" i="5"/>
  <c r="W13" i="9" s="1"/>
  <c r="V5" i="6"/>
  <c r="W57" i="5"/>
  <c r="V13" i="9" s="1"/>
  <c r="U5" i="6"/>
  <c r="T57" i="5"/>
  <c r="S13" i="9" s="1"/>
  <c r="R5" i="6"/>
  <c r="S57" i="5"/>
  <c r="R13" i="9" s="1"/>
  <c r="Q5" i="6"/>
  <c r="Y57" i="5"/>
  <c r="X13" i="9" s="1"/>
  <c r="W5" i="6"/>
  <c r="AJ15" i="5"/>
  <c r="AJ14" i="5"/>
  <c r="AJ10" i="5"/>
  <c r="AJ9" i="5"/>
  <c r="AJ7" i="5"/>
  <c r="W35" i="7"/>
  <c r="W37" i="7" s="1"/>
  <c r="S30" i="5"/>
  <c r="S43" i="5"/>
  <c r="S31" i="5"/>
  <c r="S40" i="5"/>
  <c r="S10" i="5"/>
  <c r="R6" i="9" s="1"/>
  <c r="S6" i="5"/>
  <c r="R4" i="9" s="1"/>
  <c r="S7" i="5"/>
  <c r="R5" i="9" s="1"/>
  <c r="S8" i="5"/>
  <c r="R7" i="9" s="1"/>
  <c r="T10" i="5"/>
  <c r="S6" i="9" s="1"/>
  <c r="T6" i="5"/>
  <c r="S4" i="9" s="1"/>
  <c r="T7" i="5"/>
  <c r="S5" i="9" s="1"/>
  <c r="T8" i="5"/>
  <c r="S7" i="9" s="1"/>
  <c r="T35" i="5"/>
  <c r="U10" i="5"/>
  <c r="T6" i="9" s="1"/>
  <c r="U6" i="5"/>
  <c r="T4" i="9" s="1"/>
  <c r="U7" i="5"/>
  <c r="T5" i="9" s="1"/>
  <c r="U8" i="5"/>
  <c r="T7" i="9" s="1"/>
  <c r="U35" i="5"/>
  <c r="V10" i="5"/>
  <c r="U6" i="9" s="1"/>
  <c r="V6" i="5"/>
  <c r="U4" i="9" s="1"/>
  <c r="V7" i="5"/>
  <c r="U5" i="9" s="1"/>
  <c r="V8" i="5"/>
  <c r="U7" i="9" s="1"/>
  <c r="V35" i="5"/>
  <c r="W10" i="5"/>
  <c r="V6" i="9" s="1"/>
  <c r="W6" i="5"/>
  <c r="V4" i="9" s="1"/>
  <c r="W7" i="5"/>
  <c r="V5" i="9" s="1"/>
  <c r="W8" i="5"/>
  <c r="V7" i="9" s="1"/>
  <c r="W35" i="5"/>
  <c r="X10" i="5"/>
  <c r="W6" i="9" s="1"/>
  <c r="X6" i="5"/>
  <c r="W4" i="9" s="1"/>
  <c r="X7" i="5"/>
  <c r="W5" i="9" s="1"/>
  <c r="X8" i="5"/>
  <c r="W7" i="9" s="1"/>
  <c r="X35" i="5"/>
  <c r="Y10" i="5"/>
  <c r="X6" i="9" s="1"/>
  <c r="Y6" i="5"/>
  <c r="X4" i="9" s="1"/>
  <c r="Y7" i="5"/>
  <c r="X5" i="9" s="1"/>
  <c r="Y8" i="5"/>
  <c r="X7" i="9" s="1"/>
  <c r="Y35" i="5"/>
  <c r="Z6" i="5"/>
  <c r="Y4" i="9" s="1"/>
  <c r="Z8" i="5"/>
  <c r="Y7" i="9" s="1"/>
  <c r="Z35" i="5"/>
  <c r="AA6" i="5"/>
  <c r="Z4" i="9" s="1"/>
  <c r="AA8" i="5"/>
  <c r="Z7" i="9" s="1"/>
  <c r="AA35" i="5"/>
  <c r="S19" i="5"/>
  <c r="R22" i="9" s="1"/>
  <c r="S20" i="5"/>
  <c r="R23" i="9" s="1"/>
  <c r="T19" i="5"/>
  <c r="S22" i="9" s="1"/>
  <c r="T20" i="5"/>
  <c r="S23" i="9" s="1"/>
  <c r="U19" i="5"/>
  <c r="T22" i="9" s="1"/>
  <c r="U20" i="5"/>
  <c r="T23" i="9" s="1"/>
  <c r="V19" i="5"/>
  <c r="U22" i="9" s="1"/>
  <c r="V20" i="5"/>
  <c r="U23" i="9" s="1"/>
  <c r="W19" i="5"/>
  <c r="V22" i="9" s="1"/>
  <c r="W20" i="5"/>
  <c r="V23" i="9" s="1"/>
  <c r="X19" i="5"/>
  <c r="W22" i="9" s="1"/>
  <c r="X20" i="5"/>
  <c r="W23" i="9" s="1"/>
  <c r="Y19" i="5"/>
  <c r="X22" i="9" s="1"/>
  <c r="Y20" i="5"/>
  <c r="X23" i="9" s="1"/>
  <c r="Z19" i="5"/>
  <c r="Y22" i="9" s="1"/>
  <c r="Z20" i="5"/>
  <c r="Y23" i="9" s="1"/>
  <c r="AA19" i="5"/>
  <c r="Z22" i="9" s="1"/>
  <c r="AA20" i="5"/>
  <c r="Z23" i="9" s="1"/>
  <c r="S21" i="5"/>
  <c r="S34" i="5"/>
  <c r="S44" i="5"/>
  <c r="T21" i="5"/>
  <c r="T34" i="5"/>
  <c r="T44" i="5"/>
  <c r="U21" i="5"/>
  <c r="U34" i="5"/>
  <c r="U44" i="5"/>
  <c r="V21" i="5"/>
  <c r="V34" i="5"/>
  <c r="V44" i="5"/>
  <c r="W21" i="5"/>
  <c r="W34" i="5"/>
  <c r="W44" i="5"/>
  <c r="X21" i="5"/>
  <c r="X34" i="5"/>
  <c r="X44" i="5"/>
  <c r="Y21" i="5"/>
  <c r="Y34" i="5"/>
  <c r="Y44" i="5"/>
  <c r="Z34" i="5"/>
  <c r="Z44" i="5"/>
  <c r="AA34" i="5"/>
  <c r="AA44" i="5"/>
  <c r="S36" i="5"/>
  <c r="T36" i="5"/>
  <c r="U36" i="5"/>
  <c r="V36" i="5"/>
  <c r="W36" i="5"/>
  <c r="X36" i="5"/>
  <c r="Y36" i="5"/>
  <c r="Z36" i="5"/>
  <c r="AA36" i="5"/>
  <c r="AB6" i="5"/>
  <c r="AA4" i="9" s="1"/>
  <c r="AB8" i="5"/>
  <c r="AA7" i="9" s="1"/>
  <c r="AB35" i="5"/>
  <c r="AC6" i="5"/>
  <c r="AB4" i="9" s="1"/>
  <c r="AC8" i="5"/>
  <c r="AB7" i="9" s="1"/>
  <c r="AC35" i="5"/>
  <c r="AC4" i="9"/>
  <c r="AC7" i="9"/>
  <c r="AD35" i="5"/>
  <c r="AB19" i="5"/>
  <c r="AA22" i="9" s="1"/>
  <c r="AB20" i="5"/>
  <c r="AA23" i="9" s="1"/>
  <c r="AC19" i="5"/>
  <c r="AB22" i="9" s="1"/>
  <c r="AC20" i="5"/>
  <c r="AB23" i="9" s="1"/>
  <c r="AD19" i="5"/>
  <c r="AC22" i="9" s="1"/>
  <c r="AD20" i="5"/>
  <c r="AC23" i="9" s="1"/>
  <c r="AB34" i="5"/>
  <c r="AB44" i="5"/>
  <c r="AC34" i="5"/>
  <c r="AC44" i="5"/>
  <c r="AD21" i="5"/>
  <c r="AD34" i="5"/>
  <c r="AB36" i="5"/>
  <c r="AC36" i="5"/>
  <c r="AD36" i="5"/>
  <c r="M14" i="5"/>
  <c r="L20" i="9" s="1"/>
  <c r="M53" i="5"/>
  <c r="N30" i="5"/>
  <c r="H24" i="5"/>
  <c r="G40" i="5"/>
  <c r="O19" i="7"/>
  <c r="M47" i="6"/>
  <c r="E47" i="6"/>
  <c r="N47" i="6"/>
  <c r="F47" i="6"/>
  <c r="N41" i="6"/>
  <c r="J41" i="6"/>
  <c r="E41" i="6"/>
  <c r="Q44" i="5"/>
  <c r="N26" i="6"/>
  <c r="P19" i="5" s="1"/>
  <c r="O22" i="9" s="1"/>
  <c r="J26" i="6"/>
  <c r="F26" i="6"/>
  <c r="O40" i="5"/>
  <c r="L25" i="5"/>
  <c r="J25" i="5"/>
  <c r="F25" i="5"/>
  <c r="P17" i="6"/>
  <c r="P14" i="6" s="1"/>
  <c r="S35" i="5" s="1"/>
  <c r="E21" i="5"/>
  <c r="C17" i="6"/>
  <c r="C14" i="6" s="1"/>
  <c r="U29" i="7"/>
  <c r="U33" i="7" s="1"/>
  <c r="T29" i="7"/>
  <c r="T33" i="7" s="1"/>
  <c r="Q29" i="7"/>
  <c r="Q33" i="7" s="1"/>
  <c r="P29" i="7"/>
  <c r="P33" i="7" s="1"/>
  <c r="V3" i="7"/>
  <c r="V19" i="7" s="1"/>
  <c r="V29" i="7" s="1"/>
  <c r="V33" i="7" s="1"/>
  <c r="S3" i="7"/>
  <c r="S19" i="7" s="1"/>
  <c r="S29" i="7" s="1"/>
  <c r="S33" i="7" s="1"/>
  <c r="R3" i="7"/>
  <c r="R19" i="7" s="1"/>
  <c r="R29" i="7" s="1"/>
  <c r="R33" i="7" s="1"/>
  <c r="W27" i="4"/>
  <c r="O39" i="4"/>
  <c r="O55" i="4" s="1"/>
  <c r="O6" i="6"/>
  <c r="R31" i="5" s="1"/>
  <c r="N39" i="4"/>
  <c r="N55" i="4" s="1"/>
  <c r="K7" i="6"/>
  <c r="J39" i="4"/>
  <c r="L48" i="5"/>
  <c r="K16" i="9" s="1"/>
  <c r="I39" i="4"/>
  <c r="G7" i="6"/>
  <c r="F39" i="4"/>
  <c r="F55" i="4" s="1"/>
  <c r="L19" i="6"/>
  <c r="L17" i="6" s="1"/>
  <c r="L14" i="6" s="1"/>
  <c r="K54" i="4"/>
  <c r="K55" i="4" s="1"/>
  <c r="K19" i="6"/>
  <c r="K17" i="6" s="1"/>
  <c r="K14" i="6" s="1"/>
  <c r="J54" i="4"/>
  <c r="J19" i="6"/>
  <c r="J17" i="6" s="1"/>
  <c r="J14" i="6" s="1"/>
  <c r="I54" i="4"/>
  <c r="AA3" i="7"/>
  <c r="AA19" i="7" s="1"/>
  <c r="AA29" i="7" s="1"/>
  <c r="AA33" i="7" s="1"/>
  <c r="Z3" i="7"/>
  <c r="Z19" i="7" s="1"/>
  <c r="Z29" i="7" s="1"/>
  <c r="Z33" i="7" s="1"/>
  <c r="Y3" i="7"/>
  <c r="Y19" i="7" s="1"/>
  <c r="Y29" i="7" s="1"/>
  <c r="Y33" i="7" s="1"/>
  <c r="X3" i="7"/>
  <c r="X19" i="7" s="1"/>
  <c r="X29" i="7" s="1"/>
  <c r="X33" i="7" s="1"/>
  <c r="J20" i="5"/>
  <c r="I23" i="9" s="1"/>
  <c r="J6" i="5"/>
  <c r="I4" i="9" s="1"/>
  <c r="H15" i="6"/>
  <c r="J10" i="5" s="1"/>
  <c r="I6" i="9" s="1"/>
  <c r="J8" i="5"/>
  <c r="I7" i="9" s="1"/>
  <c r="J7" i="5"/>
  <c r="I5" i="9" s="1"/>
  <c r="J35" i="5"/>
  <c r="Q6" i="5"/>
  <c r="P4" i="9" s="1"/>
  <c r="Q35" i="5"/>
  <c r="O15" i="6"/>
  <c r="Q10" i="5" s="1"/>
  <c r="P6" i="9" s="1"/>
  <c r="Q20" i="5"/>
  <c r="P23" i="9" s="1"/>
  <c r="Q7" i="5"/>
  <c r="P5" i="9" s="1"/>
  <c r="M20" i="5"/>
  <c r="L23" i="9" s="1"/>
  <c r="M35" i="5"/>
  <c r="M7" i="5"/>
  <c r="L5" i="9" s="1"/>
  <c r="M6" i="5"/>
  <c r="L4" i="9" s="1"/>
  <c r="K15" i="6"/>
  <c r="M10" i="5" s="1"/>
  <c r="L6" i="9" s="1"/>
  <c r="J15" i="6"/>
  <c r="L10" i="5" s="1"/>
  <c r="K6" i="9" s="1"/>
  <c r="L7" i="5"/>
  <c r="K5" i="9" s="1"/>
  <c r="L35" i="5"/>
  <c r="L6" i="5"/>
  <c r="K4" i="9" s="1"/>
  <c r="L20" i="5"/>
  <c r="K23" i="9" s="1"/>
  <c r="G6" i="5"/>
  <c r="F4" i="9" s="1"/>
  <c r="G8" i="5"/>
  <c r="F7" i="9" s="1"/>
  <c r="G20" i="5"/>
  <c r="F23" i="9" s="1"/>
  <c r="G35" i="5"/>
  <c r="G7" i="5"/>
  <c r="F5" i="9" s="1"/>
  <c r="E15" i="6"/>
  <c r="G10" i="5" s="1"/>
  <c r="F6" i="9" s="1"/>
  <c r="F15" i="6"/>
  <c r="H10" i="5" s="1"/>
  <c r="G6" i="9" s="1"/>
  <c r="H20" i="5"/>
  <c r="G23" i="9" s="1"/>
  <c r="H35" i="5"/>
  <c r="H7" i="5"/>
  <c r="G5" i="9" s="1"/>
  <c r="H6" i="5"/>
  <c r="G4" i="9" s="1"/>
  <c r="R7" i="5"/>
  <c r="Q5" i="9" s="1"/>
  <c r="P15" i="6"/>
  <c r="R10" i="5" s="1"/>
  <c r="Q6" i="9" s="1"/>
  <c r="R35" i="5"/>
  <c r="R6" i="5"/>
  <c r="Q4" i="9" s="1"/>
  <c r="R20" i="5"/>
  <c r="Q23" i="9" s="1"/>
  <c r="F8" i="5"/>
  <c r="E7" i="9" s="1"/>
  <c r="F6" i="5"/>
  <c r="E4" i="9" s="1"/>
  <c r="F20" i="5"/>
  <c r="E23" i="9" s="1"/>
  <c r="F35" i="5"/>
  <c r="D15" i="6"/>
  <c r="F10" i="5" s="1"/>
  <c r="E6" i="9" s="1"/>
  <c r="F7" i="5"/>
  <c r="E5" i="9" s="1"/>
  <c r="I20" i="5"/>
  <c r="H23" i="9" s="1"/>
  <c r="I35" i="5"/>
  <c r="I6" i="5"/>
  <c r="H4" i="9" s="1"/>
  <c r="G15" i="6"/>
  <c r="I10" i="5" s="1"/>
  <c r="H6" i="9" s="1"/>
  <c r="I7" i="5"/>
  <c r="H5" i="9" s="1"/>
  <c r="K35" i="5"/>
  <c r="I15" i="6"/>
  <c r="K10" i="5" s="1"/>
  <c r="J6" i="9" s="1"/>
  <c r="K7" i="5"/>
  <c r="J5" i="9" s="1"/>
  <c r="K6" i="5"/>
  <c r="J4" i="9" s="1"/>
  <c r="K20" i="5"/>
  <c r="J23" i="9" s="1"/>
  <c r="N6" i="5"/>
  <c r="M4" i="9" s="1"/>
  <c r="N8" i="5"/>
  <c r="M7" i="9" s="1"/>
  <c r="N20" i="5"/>
  <c r="M23" i="9" s="1"/>
  <c r="N35" i="5"/>
  <c r="L15" i="6"/>
  <c r="N10" i="5" s="1"/>
  <c r="M6" i="9" s="1"/>
  <c r="N7" i="5"/>
  <c r="M5" i="9" s="1"/>
  <c r="O7" i="5"/>
  <c r="N5" i="9" s="1"/>
  <c r="O6" i="5"/>
  <c r="N4" i="9" s="1"/>
  <c r="N15" i="6"/>
  <c r="P10" i="5" s="1"/>
  <c r="O6" i="9" s="1"/>
  <c r="O35" i="5"/>
  <c r="P35" i="5"/>
  <c r="O20" i="5"/>
  <c r="N23" i="9" s="1"/>
  <c r="P20" i="5"/>
  <c r="O23" i="9" s="1"/>
  <c r="P8" i="5"/>
  <c r="O7" i="9" s="1"/>
  <c r="M33" i="5"/>
  <c r="N33" i="5"/>
  <c r="M25" i="5"/>
  <c r="Q8" i="5"/>
  <c r="P7" i="9" s="1"/>
  <c r="Q31" i="5"/>
  <c r="R40" i="5"/>
  <c r="Q19" i="5"/>
  <c r="P22" i="9" s="1"/>
  <c r="Q24" i="5"/>
  <c r="Q40" i="5"/>
  <c r="I33" i="5"/>
  <c r="I25" i="5"/>
  <c r="H40" i="5"/>
  <c r="R8" i="5"/>
  <c r="Q7" i="9" s="1"/>
  <c r="I6" i="6"/>
  <c r="I7" i="6"/>
  <c r="L33" i="5" s="1"/>
  <c r="F33" i="5"/>
  <c r="J33" i="5"/>
  <c r="H31" i="5"/>
  <c r="P25" i="5"/>
  <c r="G31" i="5"/>
  <c r="K6" i="6"/>
  <c r="O31" i="5"/>
  <c r="O19" i="5"/>
  <c r="N22" i="9" s="1"/>
  <c r="H19" i="5"/>
  <c r="G22" i="9" s="1"/>
  <c r="G6" i="6"/>
  <c r="O7" i="6"/>
  <c r="H8" i="5"/>
  <c r="G7" i="9" s="1"/>
  <c r="H25" i="5"/>
  <c r="G25" i="5"/>
  <c r="J6" i="6"/>
  <c r="Z27" i="4"/>
  <c r="Y27" i="4"/>
  <c r="X27" i="4"/>
  <c r="AD55" i="5" l="1"/>
  <c r="AC57" i="5"/>
  <c r="AB13" i="9" s="1"/>
  <c r="AA5" i="6"/>
  <c r="AD30" i="5"/>
  <c r="AD58" i="5"/>
  <c r="AC18" i="9" s="1"/>
  <c r="AD53" i="5"/>
  <c r="AD43" i="5"/>
  <c r="AD10" i="5"/>
  <c r="AC6" i="9" s="1"/>
  <c r="AD9" i="5"/>
  <c r="AD7" i="5"/>
  <c r="AC5" i="9" s="1"/>
  <c r="AD15" i="5"/>
  <c r="AC21" i="9" s="1"/>
  <c r="AD27" i="5"/>
  <c r="AC17" i="9" s="1"/>
  <c r="AD14" i="5"/>
  <c r="AC20" i="9" s="1"/>
  <c r="AD26" i="5"/>
  <c r="AD25" i="5"/>
  <c r="AD24" i="5"/>
  <c r="AA57" i="5"/>
  <c r="Z13" i="9" s="1"/>
  <c r="Y5" i="6"/>
  <c r="AB57" i="5"/>
  <c r="AA13" i="9" s="1"/>
  <c r="Z5" i="6"/>
  <c r="Z57" i="5"/>
  <c r="Y13" i="9" s="1"/>
  <c r="X5" i="6"/>
  <c r="Z55" i="5"/>
  <c r="Y11" i="9" s="1"/>
  <c r="Y30" i="5"/>
  <c r="Y27" i="5"/>
  <c r="X17" i="9" s="1"/>
  <c r="Y26" i="5"/>
  <c r="Y25" i="5"/>
  <c r="Y24" i="5"/>
  <c r="Y43" i="5"/>
  <c r="Y15" i="5"/>
  <c r="X21" i="9" s="1"/>
  <c r="Y14" i="5"/>
  <c r="X20" i="9" s="1"/>
  <c r="Y58" i="5"/>
  <c r="X18" i="9" s="1"/>
  <c r="Y53" i="5"/>
  <c r="Y9" i="5"/>
  <c r="S27" i="5"/>
  <c r="R17" i="9" s="1"/>
  <c r="S26" i="5"/>
  <c r="S25" i="5"/>
  <c r="S24" i="5"/>
  <c r="S15" i="5"/>
  <c r="R21" i="9" s="1"/>
  <c r="S14" i="5"/>
  <c r="R20" i="9" s="1"/>
  <c r="S58" i="5"/>
  <c r="R18" i="9" s="1"/>
  <c r="S53" i="5"/>
  <c r="S9" i="5"/>
  <c r="T30" i="5"/>
  <c r="T27" i="5"/>
  <c r="S17" i="9" s="1"/>
  <c r="T26" i="5"/>
  <c r="T25" i="5"/>
  <c r="T24" i="5"/>
  <c r="T43" i="5"/>
  <c r="T15" i="5"/>
  <c r="S21" i="9" s="1"/>
  <c r="T14" i="5"/>
  <c r="S20" i="9" s="1"/>
  <c r="T58" i="5"/>
  <c r="S18" i="9" s="1"/>
  <c r="T53" i="5"/>
  <c r="T9" i="5"/>
  <c r="W30" i="5"/>
  <c r="W27" i="5"/>
  <c r="V17" i="9" s="1"/>
  <c r="W26" i="5"/>
  <c r="W25" i="5"/>
  <c r="W24" i="5"/>
  <c r="W43" i="5"/>
  <c r="W15" i="5"/>
  <c r="V21" i="9" s="1"/>
  <c r="W14" i="5"/>
  <c r="V20" i="9" s="1"/>
  <c r="W58" i="5"/>
  <c r="V18" i="9" s="1"/>
  <c r="W53" i="5"/>
  <c r="W9" i="5"/>
  <c r="X30" i="5"/>
  <c r="X27" i="5"/>
  <c r="W17" i="9" s="1"/>
  <c r="X26" i="5"/>
  <c r="X25" i="5"/>
  <c r="X24" i="5"/>
  <c r="X43" i="5"/>
  <c r="X15" i="5"/>
  <c r="W21" i="9" s="1"/>
  <c r="X14" i="5"/>
  <c r="W20" i="9" s="1"/>
  <c r="X58" i="5"/>
  <c r="W18" i="9" s="1"/>
  <c r="X53" i="5"/>
  <c r="X9" i="5"/>
  <c r="U30" i="5"/>
  <c r="U27" i="5"/>
  <c r="T17" i="9" s="1"/>
  <c r="U26" i="5"/>
  <c r="U25" i="5"/>
  <c r="U24" i="5"/>
  <c r="U43" i="5"/>
  <c r="U15" i="5"/>
  <c r="T21" i="9" s="1"/>
  <c r="U14" i="5"/>
  <c r="T20" i="9" s="1"/>
  <c r="U58" i="5"/>
  <c r="T18" i="9" s="1"/>
  <c r="U53" i="5"/>
  <c r="U9" i="5"/>
  <c r="V30" i="5"/>
  <c r="V27" i="5"/>
  <c r="U17" i="9" s="1"/>
  <c r="V26" i="5"/>
  <c r="V25" i="5"/>
  <c r="V24" i="5"/>
  <c r="V43" i="5"/>
  <c r="V15" i="5"/>
  <c r="U21" i="9" s="1"/>
  <c r="V14" i="5"/>
  <c r="U20" i="9" s="1"/>
  <c r="V58" i="5"/>
  <c r="U18" i="9" s="1"/>
  <c r="V53" i="5"/>
  <c r="V9" i="5"/>
  <c r="X35" i="7"/>
  <c r="X37" i="7" s="1"/>
  <c r="AA55" i="5"/>
  <c r="Z11" i="9" s="1"/>
  <c r="Y35" i="7"/>
  <c r="Y37" i="7" s="1"/>
  <c r="AB55" i="5"/>
  <c r="AA11" i="9" s="1"/>
  <c r="Z35" i="7"/>
  <c r="Z37" i="7" s="1"/>
  <c r="AC55" i="5"/>
  <c r="AB11" i="9" s="1"/>
  <c r="AA35" i="7"/>
  <c r="AA37" i="7" s="1"/>
  <c r="AC11" i="9"/>
  <c r="R35" i="7"/>
  <c r="R37" i="7" s="1"/>
  <c r="U55" i="5"/>
  <c r="T11" i="9" s="1"/>
  <c r="S35" i="7"/>
  <c r="S37" i="7" s="1"/>
  <c r="V55" i="5"/>
  <c r="U11" i="9" s="1"/>
  <c r="V35" i="7"/>
  <c r="V37" i="7" s="1"/>
  <c r="Y55" i="5"/>
  <c r="X11" i="9" s="1"/>
  <c r="P35" i="7"/>
  <c r="P37" i="7" s="1"/>
  <c r="S55" i="5"/>
  <c r="R11" i="9" s="1"/>
  <c r="Q35" i="7"/>
  <c r="Q37" i="7" s="1"/>
  <c r="T55" i="5"/>
  <c r="S11" i="9" s="1"/>
  <c r="T35" i="7"/>
  <c r="T37" i="7" s="1"/>
  <c r="W55" i="5"/>
  <c r="V11" i="9" s="1"/>
  <c r="U35" i="7"/>
  <c r="U37" i="7" s="1"/>
  <c r="X55" i="5"/>
  <c r="W11" i="9" s="1"/>
  <c r="I55" i="4"/>
  <c r="J55" i="4"/>
  <c r="C15" i="6"/>
  <c r="E10" i="5" s="1"/>
  <c r="E20" i="5"/>
  <c r="E6" i="5"/>
  <c r="E7" i="5"/>
  <c r="E8" i="5"/>
  <c r="G36" i="5"/>
  <c r="H36" i="5"/>
  <c r="L36" i="5"/>
  <c r="M36" i="5"/>
  <c r="Q36" i="5"/>
  <c r="P36" i="5"/>
  <c r="R56" i="5"/>
  <c r="Q12" i="9" s="1"/>
  <c r="O29" i="7"/>
  <c r="O33" i="7" s="1"/>
  <c r="R33" i="5"/>
  <c r="Q25" i="5"/>
  <c r="Q33" i="5"/>
  <c r="I40" i="5"/>
  <c r="J31" i="5"/>
  <c r="I8" i="5"/>
  <c r="H7" i="9" s="1"/>
  <c r="I31" i="5"/>
  <c r="J40" i="5"/>
  <c r="I24" i="5"/>
  <c r="I19" i="5"/>
  <c r="H22" i="9" s="1"/>
  <c r="L19" i="5"/>
  <c r="K22" i="9" s="1"/>
  <c r="L8" i="5"/>
  <c r="K7" i="9" s="1"/>
  <c r="L24" i="5"/>
  <c r="L31" i="5"/>
  <c r="L40" i="5"/>
  <c r="K33" i="5"/>
  <c r="K25" i="5"/>
  <c r="M19" i="5"/>
  <c r="L22" i="9" s="1"/>
  <c r="N31" i="5"/>
  <c r="N40" i="5"/>
  <c r="M31" i="5"/>
  <c r="M40" i="5"/>
  <c r="M24" i="5"/>
  <c r="M8" i="5"/>
  <c r="L7" i="9" s="1"/>
  <c r="K8" i="5"/>
  <c r="J7" i="9" s="1"/>
  <c r="K31" i="5"/>
  <c r="K24" i="5"/>
  <c r="K19" i="5"/>
  <c r="J22" i="9" s="1"/>
  <c r="K40" i="5"/>
  <c r="AC58" i="5" l="1"/>
  <c r="AB18" i="9" s="1"/>
  <c r="AC14" i="5"/>
  <c r="AB20" i="9" s="1"/>
  <c r="AC15" i="5"/>
  <c r="AB21" i="9" s="1"/>
  <c r="AC27" i="5"/>
  <c r="AB17" i="9" s="1"/>
  <c r="AC53" i="5"/>
  <c r="AC9" i="5"/>
  <c r="AC26" i="5"/>
  <c r="AC25" i="5"/>
  <c r="AC24" i="5"/>
  <c r="AC10" i="5"/>
  <c r="AB6" i="9" s="1"/>
  <c r="AC7" i="5"/>
  <c r="AB5" i="9" s="1"/>
  <c r="AC21" i="5"/>
  <c r="Z30" i="5"/>
  <c r="Z27" i="5"/>
  <c r="Y17" i="9" s="1"/>
  <c r="Z26" i="5"/>
  <c r="Z25" i="5"/>
  <c r="Z24" i="5"/>
  <c r="Z43" i="5"/>
  <c r="Z15" i="5"/>
  <c r="Y21" i="9" s="1"/>
  <c r="Z14" i="5"/>
  <c r="Y20" i="9" s="1"/>
  <c r="Z58" i="5"/>
  <c r="Y18" i="9" s="1"/>
  <c r="Z53" i="5"/>
  <c r="Z9" i="5"/>
  <c r="Z10" i="5"/>
  <c r="Y6" i="9" s="1"/>
  <c r="Z7" i="5"/>
  <c r="Y5" i="9" s="1"/>
  <c r="Z21" i="5"/>
  <c r="AB58" i="5"/>
  <c r="AA18" i="9" s="1"/>
  <c r="AB14" i="5"/>
  <c r="AA20" i="9" s="1"/>
  <c r="AB15" i="5"/>
  <c r="AA21" i="9" s="1"/>
  <c r="AB27" i="5"/>
  <c r="AA17" i="9" s="1"/>
  <c r="AC30" i="5"/>
  <c r="AC43" i="5"/>
  <c r="AB43" i="5"/>
  <c r="AB53" i="5"/>
  <c r="AB9" i="5"/>
  <c r="AB26" i="5"/>
  <c r="AB25" i="5"/>
  <c r="AB24" i="5"/>
  <c r="AB30" i="5"/>
  <c r="AB10" i="5"/>
  <c r="AA6" i="9" s="1"/>
  <c r="AB7" i="5"/>
  <c r="AA5" i="9" s="1"/>
  <c r="AB21" i="5"/>
  <c r="AA30" i="5"/>
  <c r="AA27" i="5"/>
  <c r="Z17" i="9" s="1"/>
  <c r="AA26" i="5"/>
  <c r="AA25" i="5"/>
  <c r="AA24" i="5"/>
  <c r="AA43" i="5"/>
  <c r="AA15" i="5"/>
  <c r="Z21" i="9" s="1"/>
  <c r="AA14" i="5"/>
  <c r="Z20" i="9" s="1"/>
  <c r="AA58" i="5"/>
  <c r="Z18" i="9" s="1"/>
  <c r="AA53" i="5"/>
  <c r="AA9" i="5"/>
  <c r="AA10" i="5"/>
  <c r="Z6" i="9" s="1"/>
  <c r="AA7" i="5"/>
  <c r="Z5" i="9" s="1"/>
  <c r="AA21" i="5"/>
  <c r="O35" i="7"/>
  <c r="O37" i="7" s="1"/>
  <c r="R55" i="5"/>
  <c r="Q11" i="9" s="1"/>
</calcChain>
</file>

<file path=xl/sharedStrings.xml><?xml version="1.0" encoding="utf-8"?>
<sst xmlns="http://schemas.openxmlformats.org/spreadsheetml/2006/main" count="597" uniqueCount="337">
  <si>
    <t>audited2017</t>
  </si>
  <si>
    <t>CORE CAPITAL</t>
  </si>
  <si>
    <t>CCA (Min 10%)</t>
  </si>
  <si>
    <t>ICA (Min 8%)</t>
  </si>
  <si>
    <t>CCD (Min 8%)</t>
  </si>
  <si>
    <t>NPL(5%)</t>
  </si>
  <si>
    <t>Liquidity(15%)</t>
  </si>
  <si>
    <t>NEA (Max 10%)</t>
  </si>
  <si>
    <t>LB ratio (Max 5%)</t>
  </si>
  <si>
    <t>FITD (Max 5%)</t>
  </si>
  <si>
    <t>FICC (Max 40%)</t>
  </si>
  <si>
    <t>EB ratio</t>
  </si>
  <si>
    <t>A=S+L</t>
  </si>
  <si>
    <t>KWETU SACCO SOCIETY LTD</t>
  </si>
  <si>
    <t xml:space="preserve"> Sacco Financial Performance </t>
  </si>
  <si>
    <t>FINANCIAL SOUNDNESS INDICATORS</t>
  </si>
  <si>
    <t>Prude.  Std</t>
  </si>
  <si>
    <t>Audited 2020</t>
  </si>
  <si>
    <t>Audited 2021</t>
  </si>
  <si>
    <t>Audited-2022</t>
  </si>
  <si>
    <t>CAPITAL ADEQUACY REQUIREMENTS</t>
  </si>
  <si>
    <t xml:space="preserve">Core capital </t>
  </si>
  <si>
    <t>≥ Ksh.10M</t>
  </si>
  <si>
    <t>Core capital /Total Assets</t>
  </si>
  <si>
    <t>≥ 10%</t>
  </si>
  <si>
    <t>Core capital /Total Deposits</t>
  </si>
  <si>
    <t>≥ 8%</t>
  </si>
  <si>
    <t>Share Capital/Total Assets</t>
  </si>
  <si>
    <t>≤2%</t>
  </si>
  <si>
    <t>Institutional Capital/Total Assets</t>
  </si>
  <si>
    <t>ASSET MIX AND QUALITY</t>
  </si>
  <si>
    <t>Non Earning Assets</t>
  </si>
  <si>
    <t>2.1.1</t>
  </si>
  <si>
    <t>Non earning Assets/Total assets</t>
  </si>
  <si>
    <t>≤ 10%</t>
  </si>
  <si>
    <t>2.1.2</t>
  </si>
  <si>
    <t xml:space="preserve">Property and Equipment/Total Assets </t>
  </si>
  <si>
    <t>≤ 5%</t>
  </si>
  <si>
    <t>2.1.3</t>
  </si>
  <si>
    <t xml:space="preserve">Non Performing loans/Gross Loans </t>
  </si>
  <si>
    <t>≤ 6%</t>
  </si>
  <si>
    <t>Earning Assets</t>
  </si>
  <si>
    <t>2.2.1</t>
  </si>
  <si>
    <t>Equities &amp; Investments/Deposits</t>
  </si>
  <si>
    <t>2.2.2</t>
  </si>
  <si>
    <t>Equities &amp; Investments/Core Capital</t>
  </si>
  <si>
    <t>≤ 40%</t>
  </si>
  <si>
    <t>2.2.3</t>
  </si>
  <si>
    <t>Net Loans &amp; advances /Total assets</t>
  </si>
  <si>
    <t>NPR</t>
  </si>
  <si>
    <t>FUNDING MIX</t>
  </si>
  <si>
    <t>Total Deposits/Total Assets</t>
  </si>
  <si>
    <t>3.1.1</t>
  </si>
  <si>
    <t>BOSA Deposits/Total Assets</t>
  </si>
  <si>
    <t>3.1.2</t>
  </si>
  <si>
    <t>FOSA Deposits/Total Assets</t>
  </si>
  <si>
    <t>External Borrowing/Total assets</t>
  </si>
  <si>
    <t>≤ 25%</t>
  </si>
  <si>
    <t>GROWTH RATIOS</t>
  </si>
  <si>
    <t>Total Assets</t>
  </si>
  <si>
    <t>Total Deposits</t>
  </si>
  <si>
    <t>4.2.1</t>
  </si>
  <si>
    <t>FOSA Deposits</t>
  </si>
  <si>
    <t>4.2.2</t>
  </si>
  <si>
    <t>BOSA Deposits</t>
  </si>
  <si>
    <t>Net Loans &amp; advances</t>
  </si>
  <si>
    <t>Core capital</t>
  </si>
  <si>
    <t>Total Gross Income</t>
  </si>
  <si>
    <t>Membership</t>
  </si>
  <si>
    <t xml:space="preserve">Efficiency Ratios </t>
  </si>
  <si>
    <t>FinCost-Deposits/Average Deposits</t>
  </si>
  <si>
    <t>FinCost-Shares/Average Share capital</t>
  </si>
  <si>
    <t>FinCost-Ext Loans/Average Ext Loans</t>
  </si>
  <si>
    <t>OpEx/Average Total Assets</t>
  </si>
  <si>
    <t xml:space="preserve">Avge yield on Net loans </t>
  </si>
  <si>
    <t>Liquidity Ratio</t>
  </si>
  <si>
    <t>minimum Liquidity</t>
  </si>
  <si>
    <t>TECHNICAL Liquidity</t>
  </si>
  <si>
    <t>Loan Loss Provisions Ratios</t>
  </si>
  <si>
    <t>Actual LLP / Required LLP</t>
  </si>
  <si>
    <t>allowance for loan loss/NPL</t>
  </si>
  <si>
    <t xml:space="preserve">Loan interest/Net Loans </t>
  </si>
  <si>
    <t>Gross loans/Total assets</t>
  </si>
  <si>
    <t>Earnings</t>
  </si>
  <si>
    <t>ROA</t>
  </si>
  <si>
    <t>Cost Income Ratio</t>
  </si>
  <si>
    <t>Operating Expense Ratio</t>
  </si>
  <si>
    <t>Liquid assets/total assets</t>
  </si>
  <si>
    <t>KWETU SACCO</t>
  </si>
  <si>
    <t>CAPITAL</t>
  </si>
  <si>
    <t>CCA</t>
  </si>
  <si>
    <t>ICA</t>
  </si>
  <si>
    <t>CCD</t>
  </si>
  <si>
    <t>Asset Quality</t>
  </si>
  <si>
    <t>NPL</t>
  </si>
  <si>
    <t>CIR</t>
  </si>
  <si>
    <t>OER</t>
  </si>
  <si>
    <t>LIQUIDITY</t>
  </si>
  <si>
    <t>MIN LIQ</t>
  </si>
  <si>
    <t>TEC LIQ</t>
  </si>
  <si>
    <t>EB</t>
  </si>
  <si>
    <t>LIQ/TA</t>
  </si>
  <si>
    <t>STRUCTURE</t>
  </si>
  <si>
    <t>NEA</t>
  </si>
  <si>
    <t>LB</t>
  </si>
  <si>
    <t>FITD</t>
  </si>
  <si>
    <t>FICC</t>
  </si>
  <si>
    <t>KWETU SACCO SOCIETY</t>
  </si>
  <si>
    <t>Year</t>
  </si>
  <si>
    <t>Deposits-Members(BOSA)</t>
  </si>
  <si>
    <t>Deposits-Customers(FOSA)</t>
  </si>
  <si>
    <t xml:space="preserve">External Borrowing </t>
  </si>
  <si>
    <t>Short term Liabilities</t>
  </si>
  <si>
    <t>Share capital and Reserves</t>
  </si>
  <si>
    <t>Core Capital</t>
  </si>
  <si>
    <t>Institutional  Capital</t>
  </si>
  <si>
    <t>Total Capital</t>
  </si>
  <si>
    <t>5.3.1</t>
  </si>
  <si>
    <t>Members Share Capital</t>
  </si>
  <si>
    <t>5.3.3</t>
  </si>
  <si>
    <t>Retained Earnings</t>
  </si>
  <si>
    <t>5.3.5</t>
  </si>
  <si>
    <t>Statutory Reserves</t>
  </si>
  <si>
    <t>5.3.6</t>
  </si>
  <si>
    <t>Capital Reserve</t>
  </si>
  <si>
    <t>5.3.7</t>
  </si>
  <si>
    <t>Supplementary Capital &amp; reserves</t>
  </si>
  <si>
    <t>a</t>
  </si>
  <si>
    <t>Proposed Dividends</t>
  </si>
  <si>
    <t>b</t>
  </si>
  <si>
    <t>Investments</t>
  </si>
  <si>
    <t>Investments in Coop bank, CIC, Kuscco, Kerussu &amp; Codic</t>
  </si>
  <si>
    <t>Equity Investments (at cost)</t>
  </si>
  <si>
    <t>Deposits in KUSCCO CFP</t>
  </si>
  <si>
    <t>Gross Loans &amp; advances</t>
  </si>
  <si>
    <t>Allowance for loan losses</t>
  </si>
  <si>
    <t>Non Performing Loans</t>
  </si>
  <si>
    <t>Required loan loss provision</t>
  </si>
  <si>
    <t>Cash and Cash equipments</t>
  </si>
  <si>
    <t>Non-Earning Assets</t>
  </si>
  <si>
    <t>Property and Equipment</t>
  </si>
  <si>
    <t>Turnover</t>
  </si>
  <si>
    <t>Loan Interest</t>
  </si>
  <si>
    <t>Income from investments</t>
  </si>
  <si>
    <t>Fees &amp; Commissions</t>
  </si>
  <si>
    <t>Average yield on loans</t>
  </si>
  <si>
    <t>Total Expenses (FinCosts + OpEx)</t>
  </si>
  <si>
    <t>Financial Exp. (Interest on deposits)</t>
  </si>
  <si>
    <t>Financial Exp. (Dividends)</t>
  </si>
  <si>
    <t>Financial Exp. (Interest on bank loans)</t>
  </si>
  <si>
    <t>Other Financial Expenses</t>
  </si>
  <si>
    <t>Administrative Expenses</t>
  </si>
  <si>
    <t>Governance Expenses</t>
  </si>
  <si>
    <t>LLP</t>
  </si>
  <si>
    <t>Net Surplus</t>
  </si>
  <si>
    <t>RISK CLASSIFICATION OF ASSETS AND PROVISIONING</t>
  </si>
  <si>
    <t>SACCO SOCIETY CS NUMBER</t>
  </si>
  <si>
    <t xml:space="preserve">FINANCIAL YEAR </t>
  </si>
  <si>
    <t>START DATE:</t>
  </si>
  <si>
    <t>END DATE:</t>
  </si>
  <si>
    <r>
      <t xml:space="preserve">                                                            </t>
    </r>
    <r>
      <rPr>
        <b/>
        <sz val="11"/>
        <rFont val="Cambria"/>
        <family val="1"/>
      </rPr>
      <t>PORTFOLIO AGEING REPORT</t>
    </r>
  </si>
  <si>
    <t>A</t>
  </si>
  <si>
    <t>B</t>
  </si>
  <si>
    <t>C</t>
  </si>
  <si>
    <t>D</t>
  </si>
  <si>
    <t>NO.</t>
  </si>
  <si>
    <t>CLASSIFICATION</t>
  </si>
  <si>
    <t>NO. OF A/Cs</t>
  </si>
  <si>
    <t>OUTSTANDING LOAN PORTFOLIO(Kshs)</t>
  </si>
  <si>
    <t>REQUIRED PROVISION</t>
  </si>
  <si>
    <t>REQUIRED PROVISION AMOUNT(Kshs)</t>
  </si>
  <si>
    <t>Performing</t>
  </si>
  <si>
    <t>Watch</t>
  </si>
  <si>
    <t>Substandard</t>
  </si>
  <si>
    <t>Doubtful</t>
  </si>
  <si>
    <t>Loss</t>
  </si>
  <si>
    <t>subtotal</t>
  </si>
  <si>
    <t>Reschedule/Renegotiated loans</t>
  </si>
  <si>
    <t>GRAND TOTAL</t>
  </si>
  <si>
    <t>STATEMENT OF FINANCIAL POSITION</t>
  </si>
  <si>
    <t>AUDITED 2021</t>
  </si>
  <si>
    <t>Audited-22</t>
  </si>
  <si>
    <t>Cash &amp; Cash Equivalent</t>
  </si>
  <si>
    <t>Cash in hand</t>
  </si>
  <si>
    <t>Cash at bank</t>
  </si>
  <si>
    <t>Prepayments &amp; Sundry Receivables</t>
  </si>
  <si>
    <t>Financial Investments</t>
  </si>
  <si>
    <t xml:space="preserve">Government Securities - Treasury Bills/bonds,  </t>
  </si>
  <si>
    <t>Other Securities - Commercial papers/Bonds</t>
  </si>
  <si>
    <t>Balances  in NACCOS (E.g Jungu Kuu, ESS, Savings,Money Market,Coop FD, CFP)</t>
  </si>
  <si>
    <t>Equity Investments in NACCOs(Shares in- CIC, KUSCCO, COOP BANK,CAK, KERUSSU)</t>
  </si>
  <si>
    <t xml:space="preserve">Equity Investments in companies - shares/stocks </t>
  </si>
  <si>
    <t>Net Loan Portfolio</t>
  </si>
  <si>
    <t>Gross Loan Portfolio</t>
  </si>
  <si>
    <t>Allowance for Loan Loss</t>
  </si>
  <si>
    <t>Accounts Receivables</t>
  </si>
  <si>
    <t>Tax Recoverable</t>
  </si>
  <si>
    <t>Deferred Tax Assets</t>
  </si>
  <si>
    <t>Retirement Benefit Assets</t>
  </si>
  <si>
    <t>Property &amp; Equipment &amp; Other assets</t>
  </si>
  <si>
    <t>Investment Properties</t>
  </si>
  <si>
    <t>Property &amp; Equipment</t>
  </si>
  <si>
    <t>Prepaid Lease rentals</t>
  </si>
  <si>
    <t>Intangible Assets</t>
  </si>
  <si>
    <t>Other Assets</t>
  </si>
  <si>
    <t>fosa</t>
  </si>
  <si>
    <t>Short Term Deposits (e.g Fixed deposits, special savings)</t>
  </si>
  <si>
    <t>Non withdrawable deposits (BOSA member deposits)</t>
  </si>
  <si>
    <t>Total Deposit liabilities</t>
  </si>
  <si>
    <t>Accounts Payable &amp; Other Liabilities</t>
  </si>
  <si>
    <t>Tax Payable</t>
  </si>
  <si>
    <t>Dividends Payable</t>
  </si>
  <si>
    <t>Deferred Tax Liability</t>
  </si>
  <si>
    <t>Retirement Benefits Liability</t>
  </si>
  <si>
    <t>Other Liabilities</t>
  </si>
  <si>
    <t>External Borrowings</t>
  </si>
  <si>
    <t>Total Liabilities</t>
  </si>
  <si>
    <t>EQUITY</t>
  </si>
  <si>
    <t>Share Capital (Members share capital per Bylaws)</t>
  </si>
  <si>
    <t>Capital Grants</t>
  </si>
  <si>
    <t>Prior Years' Retained Earnings</t>
  </si>
  <si>
    <t>Current Year's Surplus</t>
  </si>
  <si>
    <t>Other Equity Accounts</t>
  </si>
  <si>
    <t>Statutory Reserve</t>
  </si>
  <si>
    <t>Other Reserves (provide notes on these reserves)</t>
  </si>
  <si>
    <t>Revaluation Reserves (Not part of core capital)</t>
  </si>
  <si>
    <t>Adjustment to Equity</t>
  </si>
  <si>
    <t>Total Equity</t>
  </si>
  <si>
    <t>Total Liabilities and  Equity</t>
  </si>
  <si>
    <t>STATEMENT OF COMPREHENSIVE INCOME</t>
  </si>
  <si>
    <t>Audited -22</t>
  </si>
  <si>
    <t xml:space="preserve">Financial Income </t>
  </si>
  <si>
    <t>Financial Income from Loans Portfolio</t>
  </si>
  <si>
    <t>Interest on Loan Portfolio</t>
  </si>
  <si>
    <t>Fees &amp; Commission on Loan Portfolio</t>
  </si>
  <si>
    <t>Financial Income from Investments in:</t>
  </si>
  <si>
    <t>Government Securities</t>
  </si>
  <si>
    <t>Deposit with Banks and Other Financial Inst.</t>
  </si>
  <si>
    <t>Other Investments - dividend &amp; Interest incomes from investments</t>
  </si>
  <si>
    <t>Other Operating Income- Salary processing fees, transaction fees, membership fees</t>
  </si>
  <si>
    <t>Financial Expense</t>
  </si>
  <si>
    <t>Interest Expense on Deposits</t>
  </si>
  <si>
    <t>Cost of External Borrowings</t>
  </si>
  <si>
    <t>Dividend Expenses (on member shares)</t>
  </si>
  <si>
    <t>Other Financial Expense</t>
  </si>
  <si>
    <t>Fees &amp; Commission Expense</t>
  </si>
  <si>
    <t>Other Expense</t>
  </si>
  <si>
    <t>Net Financial Income/(Loss)</t>
  </si>
  <si>
    <t>Provision for Loan Losses</t>
  </si>
  <si>
    <t>Value of Loans Recovered</t>
  </si>
  <si>
    <t>Operating Expenses</t>
  </si>
  <si>
    <t>Personnel Expenses</t>
  </si>
  <si>
    <t>Marketing Expenses</t>
  </si>
  <si>
    <t>Depreciation and Amortization Charges</t>
  </si>
  <si>
    <t>Net Operating Income</t>
  </si>
  <si>
    <t>Net Non- Operating Income/ (Expense)</t>
  </si>
  <si>
    <t>Non- Operating Income</t>
  </si>
  <si>
    <t>Non- Operating Expense</t>
  </si>
  <si>
    <t>Net Income (Before Taxes and Donations)</t>
  </si>
  <si>
    <r>
      <t xml:space="preserve">Taxes </t>
    </r>
    <r>
      <rPr>
        <i/>
        <sz val="11"/>
        <rFont val="Cambria"/>
        <family val="1"/>
      </rPr>
      <t>(Incomes taxes &amp; Other payable to KRA)</t>
    </r>
  </si>
  <si>
    <t>Net Income (After Taxes before Donations)</t>
  </si>
  <si>
    <t>Donations</t>
  </si>
  <si>
    <t>Net Income/(After Taxes and Donations)</t>
  </si>
  <si>
    <t>AUDITED 2015</t>
  </si>
  <si>
    <t>AUDITED 2016</t>
  </si>
  <si>
    <t>AUDITED 2017</t>
  </si>
  <si>
    <t>AUDITED 2018</t>
  </si>
  <si>
    <t>MAGADI  SACCO SOCIETY LIMITED</t>
  </si>
  <si>
    <t>PERFORMANCE AND COMPLIANCE REPORT AS AT :  31st December , 2020</t>
  </si>
  <si>
    <t>Prudential Standard</t>
  </si>
  <si>
    <t>Audited</t>
  </si>
  <si>
    <t>Returns</t>
  </si>
  <si>
    <t>AUDITED 2020</t>
  </si>
  <si>
    <t>Aggregate for all Licensed Saccos</t>
  </si>
  <si>
    <t xml:space="preserve"> 30th September  , 2020</t>
  </si>
  <si>
    <t xml:space="preserve"> 31st December  , 2020</t>
  </si>
  <si>
    <t>A. CAPITAL  ADEQUACY</t>
  </si>
  <si>
    <t xml:space="preserve">Core Capital </t>
  </si>
  <si>
    <r>
      <rPr>
        <sz val="11"/>
        <color indexed="8"/>
        <rFont val="Calibri"/>
        <family val="2"/>
      </rPr>
      <t>≥</t>
    </r>
    <r>
      <rPr>
        <sz val="11"/>
        <color indexed="8"/>
        <rFont val="Cambria"/>
        <family val="1"/>
      </rPr>
      <t>10M</t>
    </r>
  </si>
  <si>
    <t>Core Capital/Total Assets</t>
  </si>
  <si>
    <r>
      <rPr>
        <sz val="11"/>
        <color indexed="8"/>
        <rFont val="Calibri"/>
        <family val="2"/>
      </rPr>
      <t>≥</t>
    </r>
    <r>
      <rPr>
        <sz val="11"/>
        <color indexed="8"/>
        <rFont val="Cambria"/>
        <family val="1"/>
      </rPr>
      <t>10%</t>
    </r>
  </si>
  <si>
    <r>
      <rPr>
        <sz val="11"/>
        <color indexed="8"/>
        <rFont val="Calibri"/>
        <family val="2"/>
      </rPr>
      <t>≥</t>
    </r>
    <r>
      <rPr>
        <sz val="11"/>
        <color indexed="8"/>
        <rFont val="Cambria"/>
        <family val="1"/>
      </rPr>
      <t>8%</t>
    </r>
  </si>
  <si>
    <t>B. ASSET QUALITY</t>
  </si>
  <si>
    <t>NPL  (Substandard+Doubtful+Loss)</t>
  </si>
  <si>
    <t>&lt;5%</t>
  </si>
  <si>
    <t>&lt;10%</t>
  </si>
  <si>
    <t>Equity investments/Deposits</t>
  </si>
  <si>
    <t>Equity investments/Core capital</t>
  </si>
  <si>
    <t>&lt;40%</t>
  </si>
  <si>
    <t>C. EARNINGS RATING</t>
  </si>
  <si>
    <t xml:space="preserve">Yield on Gross Loans </t>
  </si>
  <si>
    <t>Total Expense/Total Income</t>
  </si>
  <si>
    <t>Net Income/Average Assets (ROA)</t>
  </si>
  <si>
    <t>Operating Expenses/Financial Income (OPEX)</t>
  </si>
  <si>
    <t>D. LIQUIDITY</t>
  </si>
  <si>
    <t>Liquid Assets/Short-term Liabilities</t>
  </si>
  <si>
    <t>&gt;15%</t>
  </si>
  <si>
    <t>External Borrowing/Total Assets</t>
  </si>
  <si>
    <t>&lt;25%</t>
  </si>
  <si>
    <t>Liquid Assets/Total Assets</t>
  </si>
  <si>
    <t>E. STRUCTURE/SENSITIVITY TO RISK</t>
  </si>
  <si>
    <t>Gross loans /Total Assets</t>
  </si>
  <si>
    <t>70-80</t>
  </si>
  <si>
    <t>Gross loans/Deposits</t>
  </si>
  <si>
    <t>&gt;100%</t>
  </si>
  <si>
    <t>Financial Investments/Total Assets</t>
  </si>
  <si>
    <t>Dividends+Interest on Deposits/Total Income</t>
  </si>
  <si>
    <t>F. KEY FINANCIAL STATISTICS</t>
  </si>
  <si>
    <t>AGGREGATE</t>
  </si>
  <si>
    <t>Average Assets</t>
  </si>
  <si>
    <t>Gross Loans</t>
  </si>
  <si>
    <t>Institutional Capital</t>
  </si>
  <si>
    <t>Non-performing Loans</t>
  </si>
  <si>
    <t>Equity Investments</t>
  </si>
  <si>
    <t>Liquid Assets</t>
  </si>
  <si>
    <t>Short-term Liabilities)</t>
  </si>
  <si>
    <t>External Borrowing</t>
  </si>
  <si>
    <t>Average Gross Loans</t>
  </si>
  <si>
    <t>Total Income</t>
  </si>
  <si>
    <t>Net Financial Income/Loss</t>
  </si>
  <si>
    <t>Dividends+Interest on Deposits</t>
  </si>
  <si>
    <t>Interest on Loan portfolio+Fees&amp;Commission on Loan</t>
  </si>
  <si>
    <t>Total Expenses</t>
  </si>
  <si>
    <t>Net Income</t>
  </si>
  <si>
    <t>G. AREAS OF IMPROVEMENT/REGULATORY CONCERNS</t>
  </si>
  <si>
    <t>Prepared by:</t>
  </si>
  <si>
    <t>Checked by:</t>
  </si>
  <si>
    <t>Approved by:</t>
  </si>
  <si>
    <t>DISCLAIMER: This report is prepared based on information submitted by the Sacco as at the stated date and may change upon verification by the Authority.</t>
  </si>
  <si>
    <t>EGERTON  SACCO SOCIETY LIMITED</t>
  </si>
  <si>
    <t>PERFORMANCE AND COMPLIANCE REPORT AS AT :  31st December , 2019</t>
  </si>
  <si>
    <t>Audited 2019</t>
  </si>
  <si>
    <t xml:space="preserve"> 30th September  , 2019</t>
  </si>
  <si>
    <t xml:space="preserve"> 31st December  , 2019</t>
  </si>
  <si>
    <t>Checked by: Nelly Kulei</t>
  </si>
  <si>
    <t>Approved by: Peter Owira</t>
  </si>
  <si>
    <t>22nd January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</si>
</sst>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_-* #,##0.00_-;\-* #,##0.00_-;_-* &quot;-&quot;??_-;_-@_-"/>
    <numFmt numFmtId="165" formatCode="&quot;£&quot;#,##0;\-&quot;£&quot;#,##0"/>
    <numFmt numFmtId="166" formatCode="_(* #,##0_);_(* \(#,##0\);_(* &quot;-&quot;??_);_(@_)"/>
    <numFmt numFmtId="167" formatCode="_(* #,##0.00_);_(* \(#,##0.00\);_(* \-??_);_(@_)"/>
    <numFmt numFmtId="168" formatCode="[$-10409]#,##0.00;\-\ #,##0.00"/>
    <numFmt numFmtId="169" formatCode="d/mmm/yy"/>
    <numFmt numFmtId="170" formatCode="\£#,##0;&quot;-£&quot;#,##0"/>
    <numFmt numFmtId="171" formatCode="_-* #,##0.00_-;\-* #,##0.00_-;_-* \-??_-;_-@_-"/>
    <numFmt numFmtId="172" formatCode="0.0"/>
    <numFmt numFmtId="173" formatCode="0.0%"/>
    <numFmt numFmtId="174" formatCode="[$-10409]0.00;\-\ 0.00"/>
    <numFmt numFmtId="175" formatCode="[$-409]mmm\-yy;@"/>
  </numFmts>
  <fonts count="5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9"/>
      <name val="Arial"/>
      <family val="2"/>
    </font>
    <font>
      <sz val="10"/>
      <color indexed="9"/>
      <name val="Trebuchet MS"/>
      <family val="2"/>
    </font>
    <font>
      <b/>
      <sz val="11"/>
      <color indexed="9"/>
      <name val="Arial"/>
      <family val="2"/>
    </font>
    <font>
      <sz val="8"/>
      <color indexed="8"/>
      <name val="Trebuchet MS"/>
      <family val="2"/>
    </font>
    <font>
      <b/>
      <sz val="8.3000000000000007"/>
      <color indexed="8"/>
      <name val="Arial"/>
      <family val="2"/>
    </font>
    <font>
      <sz val="10"/>
      <name val="Arial Narrow"/>
      <family val="2"/>
    </font>
    <font>
      <sz val="11"/>
      <color indexed="62"/>
      <name val="Arial"/>
      <family val="2"/>
    </font>
    <font>
      <sz val="10"/>
      <color indexed="8"/>
      <name val="MS Sans Serif"/>
      <family val="2"/>
    </font>
    <font>
      <b/>
      <sz val="11"/>
      <color indexed="8"/>
      <name val="Arial"/>
      <family val="2"/>
    </font>
    <font>
      <sz val="10"/>
      <name val="Cambria"/>
      <family val="1"/>
    </font>
    <font>
      <sz val="11"/>
      <name val="Cambria"/>
      <family val="1"/>
    </font>
    <font>
      <b/>
      <sz val="11"/>
      <name val="Cambria"/>
      <family val="1"/>
    </font>
    <font>
      <b/>
      <sz val="10"/>
      <name val="Arial"/>
      <family val="2"/>
    </font>
    <font>
      <i/>
      <sz val="11"/>
      <name val="Cambria"/>
      <family val="1"/>
    </font>
    <font>
      <b/>
      <sz val="12"/>
      <name val="Cambria"/>
      <family val="1"/>
    </font>
    <font>
      <sz val="11"/>
      <color indexed="8"/>
      <name val="Cambria"/>
      <family val="1"/>
    </font>
    <font>
      <sz val="9"/>
      <color indexed="8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Arial"/>
      <family val="2"/>
    </font>
    <font>
      <sz val="10"/>
      <color theme="0"/>
      <name val="Trebuchet MS"/>
      <family val="2"/>
    </font>
    <font>
      <b/>
      <sz val="11"/>
      <color theme="0"/>
      <name val="Arial"/>
      <family val="2"/>
    </font>
    <font>
      <sz val="11"/>
      <color rgb="FF3F3F76"/>
      <name val="Arial"/>
      <family val="2"/>
    </font>
    <font>
      <sz val="8"/>
      <color theme="1"/>
      <name val="Trebuchet MS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rgb="FFFF0000"/>
      <name val="Calibri"/>
      <family val="2"/>
      <scheme val="minor"/>
    </font>
    <font>
      <sz val="10"/>
      <name val="Cambria"/>
      <family val="1"/>
      <scheme val="major"/>
    </font>
    <font>
      <b/>
      <sz val="10"/>
      <name val="Cambria"/>
      <family val="1"/>
      <scheme val="major"/>
    </font>
    <font>
      <b/>
      <sz val="10"/>
      <color indexed="8"/>
      <name val="Cambria"/>
      <family val="1"/>
      <scheme val="major"/>
    </font>
    <font>
      <b/>
      <sz val="10"/>
      <color theme="1"/>
      <name val="Cambria"/>
      <family val="1"/>
      <scheme val="major"/>
    </font>
    <font>
      <sz val="10"/>
      <color indexed="8"/>
      <name val="Cambria"/>
      <family val="1"/>
      <scheme val="major"/>
    </font>
    <font>
      <sz val="10"/>
      <color theme="1"/>
      <name val="Cambria"/>
      <family val="1"/>
      <scheme val="major"/>
    </font>
    <font>
      <i/>
      <sz val="10"/>
      <color theme="1"/>
      <name val="Cambria"/>
      <family val="1"/>
      <scheme val="major"/>
    </font>
    <font>
      <i/>
      <sz val="10"/>
      <name val="Cambria"/>
      <family val="1"/>
      <scheme val="major"/>
    </font>
    <font>
      <b/>
      <i/>
      <sz val="10"/>
      <name val="Cambria"/>
      <family val="1"/>
      <scheme val="major"/>
    </font>
    <font>
      <i/>
      <sz val="10"/>
      <color indexed="8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1"/>
      <color theme="1"/>
      <name val="Cambria"/>
      <family val="1"/>
      <scheme val="major"/>
    </font>
    <font>
      <sz val="11"/>
      <name val="Cambria"/>
      <family val="1"/>
      <scheme val="major"/>
    </font>
    <font>
      <b/>
      <sz val="12"/>
      <name val="Cambria"/>
      <family val="1"/>
      <scheme val="major"/>
    </font>
    <font>
      <b/>
      <sz val="11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sz val="11"/>
      <color theme="1"/>
      <name val="Cambria"/>
      <family val="1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indexed="8"/>
      <name val="Cambria"/>
      <family val="1"/>
      <scheme val="major"/>
    </font>
    <font>
      <b/>
      <sz val="20"/>
      <color theme="1"/>
      <name val="Calibri"/>
      <family val="2"/>
      <scheme val="minor"/>
    </font>
    <font>
      <sz val="12"/>
      <name val="Cambria"/>
      <family val="1"/>
      <scheme val="major"/>
    </font>
    <font>
      <b/>
      <sz val="11"/>
      <name val="Calibri"/>
      <family val="2"/>
      <scheme val="minor"/>
    </font>
    <font>
      <b/>
      <sz val="11"/>
      <color theme="1"/>
      <name val="Cambria"/>
      <family val="1"/>
    </font>
    <font>
      <sz val="8"/>
      <name val="Calibri"/>
      <family val="2"/>
      <scheme val="minor"/>
    </font>
    <font>
      <sz val="10"/>
      <color rgb="FF000000"/>
      <name val="Arial"/>
      <charset val="1"/>
    </font>
    <font>
      <sz val="9"/>
      <color rgb="FF000000"/>
      <name val="Arial"/>
      <charset val="1"/>
    </font>
  </fonts>
  <fills count="24">
    <fill>
      <patternFill patternType="none"/>
    </fill>
    <fill>
      <patternFill patternType="gray125"/>
    </fill>
    <fill>
      <patternFill patternType="solid">
        <fgColor indexed="29"/>
        <bgColor indexed="45"/>
      </patternFill>
    </fill>
    <fill>
      <patternFill patternType="solid">
        <fgColor indexed="62"/>
        <bgColor indexed="59"/>
      </patternFill>
    </fill>
    <fill>
      <patternFill patternType="solid">
        <fgColor indexed="49"/>
        <bgColor indexed="40"/>
      </patternFill>
    </fill>
    <fill>
      <patternFill patternType="solid">
        <fgColor indexed="55"/>
        <bgColor indexed="23"/>
      </patternFill>
    </fill>
    <fill>
      <patternFill patternType="solid">
        <fgColor indexed="47"/>
        <bgColor indexed="22"/>
      </patternFill>
    </fill>
    <fill>
      <patternFill patternType="solid">
        <fgColor indexed="26"/>
        <bgColor indexed="9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0"/>
      </patternFill>
    </fill>
    <fill>
      <patternFill patternType="solid">
        <fgColor indexed="52"/>
        <bgColor indexed="51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5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/>
      <top style="thin">
        <color indexed="59"/>
      </top>
      <bottom style="thin">
        <color indexed="5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59"/>
      </left>
      <right style="thin">
        <color indexed="59"/>
      </right>
      <top/>
      <bottom style="thin">
        <color indexed="59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 count="690">
    <xf numFmtId="0" fontId="0" fillId="0" borderId="0"/>
    <xf numFmtId="0" fontId="3" fillId="2" borderId="0" applyNumberFormat="0" applyBorder="0" applyAlignment="0" applyProtection="0"/>
    <xf numFmtId="0" fontId="22" fillId="11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23" fillId="12" borderId="0" applyNumberFormat="0" applyBorder="0" applyAlignment="0" applyProtection="0"/>
    <xf numFmtId="0" fontId="4" fillId="3" borderId="0" applyNumberFormat="0" applyBorder="0" applyAlignment="0" applyProtection="0"/>
    <xf numFmtId="0" fontId="23" fillId="12" borderId="0" applyNumberFormat="0" applyBorder="0" applyAlignment="0" applyProtection="0"/>
    <xf numFmtId="0" fontId="4" fillId="3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4" fillId="3" borderId="0" applyNumberFormat="0" applyBorder="0" applyAlignment="0" applyProtection="0"/>
    <xf numFmtId="0" fontId="23" fillId="12" borderId="0" applyNumberFormat="0" applyBorder="0" applyAlignment="0" applyProtection="0"/>
    <xf numFmtId="0" fontId="4" fillId="3" borderId="0" applyNumberFormat="0" applyBorder="0" applyAlignment="0" applyProtection="0"/>
    <xf numFmtId="0" fontId="23" fillId="12" borderId="0" applyNumberFormat="0" applyBorder="0" applyAlignment="0" applyProtection="0"/>
    <xf numFmtId="0" fontId="4" fillId="3" borderId="0" applyNumberFormat="0" applyBorder="0" applyAlignment="0" applyProtection="0"/>
    <xf numFmtId="0" fontId="23" fillId="12" borderId="0" applyNumberFormat="0" applyBorder="0" applyAlignment="0" applyProtection="0"/>
    <xf numFmtId="0" fontId="4" fillId="3" borderId="0" applyNumberFormat="0" applyBorder="0" applyAlignment="0" applyProtection="0"/>
    <xf numFmtId="0" fontId="23" fillId="12" borderId="0" applyNumberFormat="0" applyBorder="0" applyAlignment="0" applyProtection="0"/>
    <xf numFmtId="0" fontId="4" fillId="3" borderId="0" applyNumberFormat="0" applyBorder="0" applyAlignment="0" applyProtection="0"/>
    <xf numFmtId="0" fontId="23" fillId="12" borderId="0" applyNumberFormat="0" applyBorder="0" applyAlignment="0" applyProtection="0"/>
    <xf numFmtId="0" fontId="4" fillId="3" borderId="0" applyNumberFormat="0" applyBorder="0" applyAlignment="0" applyProtection="0"/>
    <xf numFmtId="0" fontId="23" fillId="12" borderId="0" applyNumberFormat="0" applyBorder="0" applyAlignment="0" applyProtection="0"/>
    <xf numFmtId="0" fontId="4" fillId="3" borderId="0" applyNumberFormat="0" applyBorder="0" applyAlignment="0" applyProtection="0"/>
    <xf numFmtId="0" fontId="23" fillId="12" borderId="0" applyNumberFormat="0" applyBorder="0" applyAlignment="0" applyProtection="0"/>
    <xf numFmtId="0" fontId="4" fillId="3" borderId="0" applyNumberFormat="0" applyBorder="0" applyAlignment="0" applyProtection="0"/>
    <xf numFmtId="0" fontId="23" fillId="12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23" fillId="13" borderId="0" applyNumberFormat="0" applyBorder="0" applyAlignment="0" applyProtection="0"/>
    <xf numFmtId="0" fontId="4" fillId="4" borderId="0" applyNumberFormat="0" applyBorder="0" applyAlignment="0" applyProtection="0"/>
    <xf numFmtId="0" fontId="23" fillId="13" borderId="0" applyNumberFormat="0" applyBorder="0" applyAlignment="0" applyProtection="0"/>
    <xf numFmtId="0" fontId="4" fillId="4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4" fillId="4" borderId="0" applyNumberFormat="0" applyBorder="0" applyAlignment="0" applyProtection="0"/>
    <xf numFmtId="0" fontId="23" fillId="13" borderId="0" applyNumberFormat="0" applyBorder="0" applyAlignment="0" applyProtection="0"/>
    <xf numFmtId="0" fontId="4" fillId="4" borderId="0" applyNumberFormat="0" applyBorder="0" applyAlignment="0" applyProtection="0"/>
    <xf numFmtId="0" fontId="23" fillId="13" borderId="0" applyNumberFormat="0" applyBorder="0" applyAlignment="0" applyProtection="0"/>
    <xf numFmtId="0" fontId="4" fillId="4" borderId="0" applyNumberFormat="0" applyBorder="0" applyAlignment="0" applyProtection="0"/>
    <xf numFmtId="0" fontId="23" fillId="13" borderId="0" applyNumberFormat="0" applyBorder="0" applyAlignment="0" applyProtection="0"/>
    <xf numFmtId="0" fontId="4" fillId="4" borderId="0" applyNumberFormat="0" applyBorder="0" applyAlignment="0" applyProtection="0"/>
    <xf numFmtId="0" fontId="23" fillId="13" borderId="0" applyNumberFormat="0" applyBorder="0" applyAlignment="0" applyProtection="0"/>
    <xf numFmtId="0" fontId="4" fillId="4" borderId="0" applyNumberFormat="0" applyBorder="0" applyAlignment="0" applyProtection="0"/>
    <xf numFmtId="0" fontId="23" fillId="13" borderId="0" applyNumberFormat="0" applyBorder="0" applyAlignment="0" applyProtection="0"/>
    <xf numFmtId="0" fontId="4" fillId="4" borderId="0" applyNumberFormat="0" applyBorder="0" applyAlignment="0" applyProtection="0"/>
    <xf numFmtId="0" fontId="23" fillId="13" borderId="0" applyNumberFormat="0" applyBorder="0" applyAlignment="0" applyProtection="0"/>
    <xf numFmtId="0" fontId="4" fillId="4" borderId="0" applyNumberFormat="0" applyBorder="0" applyAlignment="0" applyProtection="0"/>
    <xf numFmtId="0" fontId="23" fillId="13" borderId="0" applyNumberFormat="0" applyBorder="0" applyAlignment="0" applyProtection="0"/>
    <xf numFmtId="0" fontId="4" fillId="4" borderId="0" applyNumberFormat="0" applyBorder="0" applyAlignment="0" applyProtection="0"/>
    <xf numFmtId="0" fontId="23" fillId="13" borderId="0" applyNumberFormat="0" applyBorder="0" applyAlignment="0" applyProtection="0"/>
    <xf numFmtId="0" fontId="5" fillId="5" borderId="2" applyNumberFormat="0" applyAlignment="0" applyProtection="0"/>
    <xf numFmtId="0" fontId="24" fillId="14" borderId="47" applyNumberFormat="0" applyAlignment="0" applyProtection="0"/>
    <xf numFmtId="43" fontId="21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9" fontId="2" fillId="0" borderId="0" applyFill="0" applyBorder="0" applyAlignment="0" applyProtection="0"/>
    <xf numFmtId="16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70" fontId="2" fillId="0" borderId="0" applyFill="0" applyBorder="0" applyAlignment="0" applyProtection="0"/>
    <xf numFmtId="165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6" fillId="0" borderId="0" applyFont="0" applyFill="0" applyBorder="0" applyAlignment="0" applyProtection="0"/>
    <xf numFmtId="171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71" fontId="2" fillId="0" borderId="0" applyFill="0" applyBorder="0" applyAlignment="0" applyProtection="0"/>
    <xf numFmtId="164" fontId="8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0" fontId="9" fillId="6" borderId="1" applyNumberFormat="0" applyAlignment="0" applyProtection="0"/>
    <xf numFmtId="0" fontId="25" fillId="15" borderId="46" applyNumberForma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6" fillId="0" borderId="0"/>
    <xf numFmtId="0" fontId="6" fillId="0" borderId="0"/>
    <xf numFmtId="0" fontId="26" fillId="0" borderId="0"/>
    <xf numFmtId="0" fontId="6" fillId="0" borderId="0"/>
    <xf numFmtId="0" fontId="26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6" fillId="0" borderId="0"/>
    <xf numFmtId="0" fontId="26" fillId="0" borderId="0"/>
    <xf numFmtId="0" fontId="6" fillId="0" borderId="0"/>
    <xf numFmtId="0" fontId="26" fillId="0" borderId="0"/>
    <xf numFmtId="0" fontId="6" fillId="0" borderId="0"/>
    <xf numFmtId="0" fontId="26" fillId="0" borderId="0"/>
    <xf numFmtId="0" fontId="6" fillId="0" borderId="0"/>
    <xf numFmtId="0" fontId="26" fillId="0" borderId="0"/>
    <xf numFmtId="0" fontId="6" fillId="0" borderId="0"/>
    <xf numFmtId="0" fontId="26" fillId="0" borderId="0"/>
    <xf numFmtId="0" fontId="6" fillId="0" borderId="0"/>
    <xf numFmtId="0" fontId="26" fillId="0" borderId="0"/>
    <xf numFmtId="0" fontId="6" fillId="0" borderId="0"/>
    <xf numFmtId="0" fontId="26" fillId="0" borderId="0"/>
    <xf numFmtId="0" fontId="6" fillId="0" borderId="0"/>
    <xf numFmtId="0" fontId="26" fillId="0" borderId="0"/>
    <xf numFmtId="0" fontId="6" fillId="0" borderId="0"/>
    <xf numFmtId="0" fontId="26" fillId="0" borderId="0"/>
    <xf numFmtId="0" fontId="6" fillId="0" borderId="0"/>
    <xf numFmtId="0" fontId="26" fillId="0" borderId="0"/>
    <xf numFmtId="0" fontId="2" fillId="7" borderId="3" applyNumberFormat="0" applyAlignment="0" applyProtection="0"/>
    <xf numFmtId="0" fontId="2" fillId="16" borderId="48" applyNumberFormat="0" applyFont="0" applyAlignment="0" applyProtection="0"/>
    <xf numFmtId="9" fontId="21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ont="0" applyFill="0" applyBorder="0" applyAlignment="0" applyProtection="0"/>
    <xf numFmtId="9" fontId="2" fillId="0" borderId="0" applyFill="0" applyBorder="0" applyAlignment="0" applyProtection="0"/>
    <xf numFmtId="9" fontId="6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28" fillId="0" borderId="49" applyNumberFormat="0" applyFill="0" applyAlignment="0" applyProtection="0"/>
    <xf numFmtId="0" fontId="28" fillId="0" borderId="49" applyNumberFormat="0" applyFill="0" applyAlignment="0" applyProtection="0"/>
  </cellStyleXfs>
  <cellXfs count="398">
    <xf numFmtId="0" fontId="0" fillId="0" borderId="0" xfId="0"/>
    <xf numFmtId="0" fontId="30" fillId="0" borderId="0" xfId="640" applyFont="1"/>
    <xf numFmtId="0" fontId="31" fillId="0" borderId="0" xfId="640" applyFont="1"/>
    <xf numFmtId="0" fontId="30" fillId="0" borderId="0" xfId="640" applyFont="1" applyAlignment="1">
      <alignment horizontal="center"/>
    </xf>
    <xf numFmtId="0" fontId="32" fillId="0" borderId="0" xfId="640" applyFont="1"/>
    <xf numFmtId="17" fontId="33" fillId="0" borderId="5" xfId="0" applyNumberFormat="1" applyFont="1" applyBorder="1"/>
    <xf numFmtId="173" fontId="34" fillId="0" borderId="5" xfId="680" applyNumberFormat="1" applyFont="1" applyBorder="1" applyAlignment="1">
      <alignment horizontal="right"/>
    </xf>
    <xf numFmtId="9" fontId="34" fillId="0" borderId="5" xfId="680" applyFont="1" applyBorder="1" applyAlignment="1">
      <alignment horizontal="right"/>
    </xf>
    <xf numFmtId="9" fontId="30" fillId="0" borderId="5" xfId="678" applyFont="1" applyBorder="1" applyAlignment="1">
      <alignment horizontal="right"/>
    </xf>
    <xf numFmtId="166" fontId="34" fillId="0" borderId="5" xfId="56" applyNumberFormat="1" applyFont="1" applyBorder="1" applyAlignment="1">
      <alignment horizontal="right"/>
    </xf>
    <xf numFmtId="14" fontId="32" fillId="8" borderId="5" xfId="640" applyNumberFormat="1" applyFont="1" applyFill="1" applyBorder="1" applyAlignment="1">
      <alignment horizontal="right"/>
    </xf>
    <xf numFmtId="9" fontId="30" fillId="0" borderId="5" xfId="680" applyFont="1" applyBorder="1" applyAlignment="1">
      <alignment horizontal="right"/>
    </xf>
    <xf numFmtId="0" fontId="30" fillId="0" borderId="5" xfId="640" applyFont="1" applyBorder="1" applyAlignment="1">
      <alignment horizontal="right"/>
    </xf>
    <xf numFmtId="173" fontId="30" fillId="0" borderId="5" xfId="680" applyNumberFormat="1" applyFont="1" applyBorder="1" applyAlignment="1">
      <alignment horizontal="right"/>
    </xf>
    <xf numFmtId="0" fontId="35" fillId="0" borderId="0" xfId="0" applyFont="1"/>
    <xf numFmtId="0" fontId="33" fillId="0" borderId="6" xfId="0" applyFont="1" applyBorder="1"/>
    <xf numFmtId="0" fontId="33" fillId="0" borderId="7" xfId="0" applyFont="1" applyBorder="1"/>
    <xf numFmtId="0" fontId="33" fillId="0" borderId="8" xfId="0" applyFont="1" applyBorder="1"/>
    <xf numFmtId="0" fontId="30" fillId="0" borderId="9" xfId="0" applyFont="1" applyBorder="1"/>
    <xf numFmtId="0" fontId="30" fillId="0" borderId="8" xfId="0" applyFont="1" applyBorder="1"/>
    <xf numFmtId="0" fontId="30" fillId="0" borderId="0" xfId="0" applyFont="1"/>
    <xf numFmtId="172" fontId="30" fillId="0" borderId="10" xfId="0" applyNumberFormat="1" applyFont="1" applyBorder="1"/>
    <xf numFmtId="172" fontId="30" fillId="0" borderId="9" xfId="0" applyNumberFormat="1" applyFont="1" applyBorder="1"/>
    <xf numFmtId="172" fontId="30" fillId="0" borderId="11" xfId="0" applyNumberFormat="1" applyFont="1" applyBorder="1"/>
    <xf numFmtId="172" fontId="30" fillId="0" borderId="8" xfId="0" applyNumberFormat="1" applyFont="1" applyBorder="1"/>
    <xf numFmtId="0" fontId="33" fillId="0" borderId="0" xfId="0" applyFont="1"/>
    <xf numFmtId="172" fontId="30" fillId="0" borderId="6" xfId="0" applyNumberFormat="1" applyFont="1" applyBorder="1"/>
    <xf numFmtId="172" fontId="30" fillId="0" borderId="9" xfId="0" applyNumberFormat="1" applyFont="1" applyBorder="1" applyAlignment="1">
      <alignment horizontal="right"/>
    </xf>
    <xf numFmtId="172" fontId="30" fillId="0" borderId="11" xfId="0" applyNumberFormat="1" applyFont="1" applyBorder="1" applyAlignment="1">
      <alignment horizontal="right"/>
    </xf>
    <xf numFmtId="166" fontId="36" fillId="0" borderId="0" xfId="0" applyNumberFormat="1" applyFont="1"/>
    <xf numFmtId="0" fontId="36" fillId="0" borderId="0" xfId="0" applyFont="1"/>
    <xf numFmtId="0" fontId="30" fillId="0" borderId="11" xfId="0" applyFont="1" applyBorder="1"/>
    <xf numFmtId="0" fontId="37" fillId="0" borderId="0" xfId="0" applyFont="1"/>
    <xf numFmtId="43" fontId="33" fillId="0" borderId="0" xfId="56" applyFont="1" applyBorder="1"/>
    <xf numFmtId="172" fontId="30" fillId="0" borderId="12" xfId="0" applyNumberFormat="1" applyFont="1" applyBorder="1"/>
    <xf numFmtId="172" fontId="30" fillId="0" borderId="13" xfId="0" applyNumberFormat="1" applyFont="1" applyBorder="1"/>
    <xf numFmtId="172" fontId="30" fillId="0" borderId="14" xfId="0" applyNumberFormat="1" applyFont="1" applyBorder="1"/>
    <xf numFmtId="172" fontId="38" fillId="0" borderId="6" xfId="0" applyNumberFormat="1" applyFont="1" applyBorder="1"/>
    <xf numFmtId="0" fontId="38" fillId="0" borderId="7" xfId="0" applyFont="1" applyBorder="1"/>
    <xf numFmtId="0" fontId="30" fillId="0" borderId="15" xfId="0" applyFont="1" applyBorder="1"/>
    <xf numFmtId="0" fontId="30" fillId="0" borderId="16" xfId="0" applyFont="1" applyBorder="1"/>
    <xf numFmtId="0" fontId="30" fillId="0" borderId="17" xfId="0" applyFont="1" applyBorder="1"/>
    <xf numFmtId="43" fontId="35" fillId="0" borderId="0" xfId="53" applyFont="1"/>
    <xf numFmtId="43" fontId="35" fillId="0" borderId="5" xfId="53" applyFont="1" applyBorder="1"/>
    <xf numFmtId="43" fontId="30" fillId="0" borderId="5" xfId="53" applyFont="1" applyBorder="1"/>
    <xf numFmtId="173" fontId="34" fillId="0" borderId="18" xfId="680" applyNumberFormat="1" applyFont="1" applyBorder="1"/>
    <xf numFmtId="0" fontId="32" fillId="0" borderId="18" xfId="640" applyFont="1" applyBorder="1"/>
    <xf numFmtId="14" fontId="32" fillId="8" borderId="18" xfId="640" applyNumberFormat="1" applyFont="1" applyFill="1" applyBorder="1" applyAlignment="1">
      <alignment horizontal="center"/>
    </xf>
    <xf numFmtId="173" fontId="39" fillId="0" borderId="18" xfId="680" applyNumberFormat="1" applyFont="1" applyBorder="1"/>
    <xf numFmtId="0" fontId="30" fillId="0" borderId="5" xfId="640" applyFont="1" applyBorder="1" applyAlignment="1">
      <alignment horizontal="center"/>
    </xf>
    <xf numFmtId="173" fontId="30" fillId="0" borderId="5" xfId="680" applyNumberFormat="1" applyFont="1" applyBorder="1"/>
    <xf numFmtId="173" fontId="30" fillId="0" borderId="5" xfId="678" applyNumberFormat="1" applyFont="1" applyBorder="1"/>
    <xf numFmtId="0" fontId="31" fillId="0" borderId="5" xfId="640" applyFont="1" applyBorder="1" applyAlignment="1">
      <alignment horizontal="center"/>
    </xf>
    <xf numFmtId="173" fontId="31" fillId="0" borderId="5" xfId="680" applyNumberFormat="1" applyFont="1" applyBorder="1"/>
    <xf numFmtId="43" fontId="35" fillId="0" borderId="19" xfId="53" applyFont="1" applyFill="1" applyBorder="1"/>
    <xf numFmtId="166" fontId="30" fillId="0" borderId="5" xfId="53" applyNumberFormat="1" applyFont="1" applyFill="1" applyBorder="1" applyAlignment="1">
      <alignment horizontal="right"/>
    </xf>
    <xf numFmtId="173" fontId="34" fillId="0" borderId="18" xfId="680" applyNumberFormat="1" applyFont="1" applyFill="1" applyBorder="1"/>
    <xf numFmtId="173" fontId="39" fillId="0" borderId="18" xfId="680" applyNumberFormat="1" applyFont="1" applyFill="1" applyBorder="1"/>
    <xf numFmtId="173" fontId="30" fillId="0" borderId="18" xfId="680" applyNumberFormat="1" applyFont="1" applyFill="1" applyBorder="1"/>
    <xf numFmtId="0" fontId="30" fillId="0" borderId="5" xfId="640" applyFont="1" applyBorder="1"/>
    <xf numFmtId="0" fontId="31" fillId="17" borderId="5" xfId="640" applyFont="1" applyFill="1" applyBorder="1"/>
    <xf numFmtId="0" fontId="30" fillId="17" borderId="5" xfId="640" applyFont="1" applyFill="1" applyBorder="1"/>
    <xf numFmtId="9" fontId="34" fillId="0" borderId="5" xfId="640" applyNumberFormat="1" applyFont="1" applyBorder="1" applyAlignment="1">
      <alignment horizontal="center"/>
    </xf>
    <xf numFmtId="166" fontId="2" fillId="0" borderId="5" xfId="56" applyNumberFormat="1" applyFont="1" applyFill="1" applyBorder="1"/>
    <xf numFmtId="0" fontId="0" fillId="0" borderId="5" xfId="0" applyBorder="1"/>
    <xf numFmtId="0" fontId="2" fillId="0" borderId="5" xfId="0" applyFont="1" applyBorder="1"/>
    <xf numFmtId="0" fontId="0" fillId="0" borderId="9" xfId="0" applyBorder="1"/>
    <xf numFmtId="0" fontId="0" fillId="0" borderId="11" xfId="0" applyBorder="1"/>
    <xf numFmtId="0" fontId="34" fillId="0" borderId="5" xfId="640" applyFont="1" applyBorder="1" applyAlignment="1">
      <alignment horizontal="center"/>
    </xf>
    <xf numFmtId="0" fontId="34" fillId="0" borderId="19" xfId="640" applyFont="1" applyBorder="1" applyAlignment="1">
      <alignment horizontal="center"/>
    </xf>
    <xf numFmtId="0" fontId="27" fillId="0" borderId="13" xfId="0" applyFont="1" applyBorder="1"/>
    <xf numFmtId="0" fontId="27" fillId="0" borderId="20" xfId="0" applyFont="1" applyBorder="1"/>
    <xf numFmtId="0" fontId="27" fillId="0" borderId="21" xfId="0" applyFont="1" applyBorder="1"/>
    <xf numFmtId="0" fontId="27" fillId="0" borderId="0" xfId="0" applyFont="1"/>
    <xf numFmtId="43" fontId="33" fillId="0" borderId="15" xfId="56" applyFont="1" applyBorder="1"/>
    <xf numFmtId="0" fontId="36" fillId="0" borderId="15" xfId="0" applyFont="1" applyBorder="1"/>
    <xf numFmtId="0" fontId="33" fillId="0" borderId="22" xfId="0" applyFont="1" applyBorder="1"/>
    <xf numFmtId="9" fontId="36" fillId="0" borderId="15" xfId="680" applyFont="1" applyBorder="1"/>
    <xf numFmtId="0" fontId="40" fillId="0" borderId="15" xfId="0" applyFont="1" applyBorder="1"/>
    <xf numFmtId="0" fontId="36" fillId="0" borderId="17" xfId="0" applyFont="1" applyBorder="1"/>
    <xf numFmtId="0" fontId="40" fillId="0" borderId="22" xfId="0" applyFont="1" applyBorder="1"/>
    <xf numFmtId="0" fontId="30" fillId="0" borderId="22" xfId="0" applyFont="1" applyBorder="1"/>
    <xf numFmtId="0" fontId="37" fillId="0" borderId="15" xfId="0" applyFont="1" applyBorder="1"/>
    <xf numFmtId="0" fontId="38" fillId="0" borderId="12" xfId="0" applyFont="1" applyBorder="1"/>
    <xf numFmtId="0" fontId="30" fillId="0" borderId="13" xfId="0" applyFont="1" applyBorder="1"/>
    <xf numFmtId="0" fontId="30" fillId="0" borderId="14" xfId="0" applyFont="1" applyBorder="1"/>
    <xf numFmtId="43" fontId="35" fillId="0" borderId="18" xfId="53" applyFont="1" applyBorder="1"/>
    <xf numFmtId="43" fontId="30" fillId="0" borderId="18" xfId="53" applyFont="1" applyBorder="1"/>
    <xf numFmtId="43" fontId="35" fillId="0" borderId="23" xfId="53" applyFont="1" applyBorder="1"/>
    <xf numFmtId="43" fontId="35" fillId="0" borderId="24" xfId="53" applyFont="1" applyBorder="1"/>
    <xf numFmtId="43" fontId="35" fillId="0" borderId="25" xfId="53" applyFont="1" applyBorder="1"/>
    <xf numFmtId="43" fontId="35" fillId="0" borderId="26" xfId="53" applyFont="1" applyBorder="1"/>
    <xf numFmtId="43" fontId="35" fillId="0" borderId="27" xfId="53" applyFont="1" applyBorder="1"/>
    <xf numFmtId="38" fontId="35" fillId="0" borderId="23" xfId="53" applyNumberFormat="1" applyFont="1" applyBorder="1"/>
    <xf numFmtId="9" fontId="41" fillId="0" borderId="25" xfId="678" applyFont="1" applyBorder="1"/>
    <xf numFmtId="38" fontId="33" fillId="0" borderId="23" xfId="53" applyNumberFormat="1" applyFont="1" applyBorder="1"/>
    <xf numFmtId="43" fontId="33" fillId="0" borderId="24" xfId="53" applyFont="1" applyBorder="1"/>
    <xf numFmtId="166" fontId="35" fillId="0" borderId="25" xfId="53" applyNumberFormat="1" applyFont="1" applyBorder="1"/>
    <xf numFmtId="172" fontId="30" fillId="18" borderId="9" xfId="0" applyNumberFormat="1" applyFont="1" applyFill="1" applyBorder="1"/>
    <xf numFmtId="0" fontId="33" fillId="18" borderId="15" xfId="0" applyFont="1" applyFill="1" applyBorder="1"/>
    <xf numFmtId="43" fontId="35" fillId="18" borderId="18" xfId="53" applyFont="1" applyFill="1" applyBorder="1"/>
    <xf numFmtId="0" fontId="35" fillId="18" borderId="0" xfId="0" applyFont="1" applyFill="1"/>
    <xf numFmtId="172" fontId="30" fillId="19" borderId="11" xfId="0" applyNumberFormat="1" applyFont="1" applyFill="1" applyBorder="1"/>
    <xf numFmtId="0" fontId="33" fillId="19" borderId="17" xfId="0" applyFont="1" applyFill="1" applyBorder="1"/>
    <xf numFmtId="43" fontId="35" fillId="19" borderId="25" xfId="53" applyFont="1" applyFill="1" applyBorder="1"/>
    <xf numFmtId="0" fontId="35" fillId="19" borderId="0" xfId="0" applyFont="1" applyFill="1"/>
    <xf numFmtId="0" fontId="42" fillId="0" borderId="5" xfId="0" applyFont="1" applyBorder="1"/>
    <xf numFmtId="43" fontId="43" fillId="0" borderId="5" xfId="53" applyFont="1" applyFill="1" applyBorder="1"/>
    <xf numFmtId="0" fontId="43" fillId="0" borderId="5" xfId="0" applyFont="1" applyBorder="1"/>
    <xf numFmtId="0" fontId="0" fillId="0" borderId="15" xfId="0" applyBorder="1"/>
    <xf numFmtId="17" fontId="44" fillId="0" borderId="5" xfId="0" applyNumberFormat="1" applyFont="1" applyBorder="1" applyAlignment="1">
      <alignment horizontal="center" vertical="center"/>
    </xf>
    <xf numFmtId="0" fontId="12" fillId="0" borderId="0" xfId="0" applyFont="1"/>
    <xf numFmtId="0" fontId="13" fillId="0" borderId="28" xfId="0" applyFont="1" applyBorder="1" applyAlignment="1">
      <alignment wrapText="1"/>
    </xf>
    <xf numFmtId="0" fontId="14" fillId="0" borderId="28" xfId="0" applyFont="1" applyBorder="1" applyAlignment="1">
      <alignment wrapText="1"/>
    </xf>
    <xf numFmtId="49" fontId="14" fillId="0" borderId="28" xfId="0" applyNumberFormat="1" applyFont="1" applyBorder="1" applyAlignment="1" applyProtection="1">
      <alignment horizontal="right" wrapText="1"/>
      <protection locked="0"/>
    </xf>
    <xf numFmtId="0" fontId="14" fillId="0" borderId="29" xfId="0" applyFont="1" applyBorder="1" applyAlignment="1" applyProtection="1">
      <alignment horizontal="right" wrapText="1"/>
      <protection locked="0"/>
    </xf>
    <xf numFmtId="0" fontId="13" fillId="0" borderId="30" xfId="0" applyFont="1" applyBorder="1" applyAlignment="1">
      <alignment wrapText="1"/>
    </xf>
    <xf numFmtId="49" fontId="15" fillId="0" borderId="5" xfId="0" applyNumberFormat="1" applyFont="1" applyBorder="1" applyAlignment="1" applyProtection="1">
      <alignment horizontal="right"/>
      <protection locked="0"/>
    </xf>
    <xf numFmtId="0" fontId="13" fillId="0" borderId="28" xfId="0" applyFont="1" applyBorder="1" applyAlignment="1" applyProtection="1">
      <alignment wrapText="1"/>
      <protection locked="0"/>
    </xf>
    <xf numFmtId="9" fontId="12" fillId="0" borderId="0" xfId="678" applyFont="1"/>
    <xf numFmtId="43" fontId="43" fillId="17" borderId="5" xfId="56" applyFont="1" applyFill="1" applyBorder="1" applyAlignment="1">
      <alignment horizontal="left"/>
    </xf>
    <xf numFmtId="43" fontId="45" fillId="17" borderId="5" xfId="56" applyFont="1" applyFill="1" applyBorder="1" applyAlignment="1">
      <alignment horizontal="left" wrapText="1"/>
    </xf>
    <xf numFmtId="43" fontId="43" fillId="17" borderId="5" xfId="56" applyFont="1" applyFill="1" applyBorder="1" applyAlignment="1">
      <alignment horizontal="left" wrapText="1"/>
    </xf>
    <xf numFmtId="0" fontId="46" fillId="0" borderId="0" xfId="0" applyFont="1"/>
    <xf numFmtId="0" fontId="42" fillId="0" borderId="0" xfId="0" applyFont="1"/>
    <xf numFmtId="43" fontId="45" fillId="17" borderId="5" xfId="53" applyFont="1" applyFill="1" applyBorder="1" applyAlignment="1">
      <alignment horizontal="left" wrapText="1"/>
    </xf>
    <xf numFmtId="43" fontId="46" fillId="20" borderId="0" xfId="53" applyFont="1" applyFill="1"/>
    <xf numFmtId="0" fontId="46" fillId="20" borderId="0" xfId="0" applyFont="1" applyFill="1"/>
    <xf numFmtId="0" fontId="42" fillId="20" borderId="0" xfId="0" applyFont="1" applyFill="1"/>
    <xf numFmtId="43" fontId="45" fillId="17" borderId="5" xfId="56" applyFont="1" applyFill="1" applyBorder="1" applyAlignment="1">
      <alignment horizontal="left"/>
    </xf>
    <xf numFmtId="43" fontId="12" fillId="0" borderId="0" xfId="53" applyFont="1"/>
    <xf numFmtId="43" fontId="13" fillId="0" borderId="28" xfId="53" applyFont="1" applyBorder="1" applyAlignment="1" applyProtection="1">
      <alignment wrapText="1"/>
      <protection locked="0"/>
    </xf>
    <xf numFmtId="43" fontId="13" fillId="0" borderId="28" xfId="53" applyFont="1" applyBorder="1" applyAlignment="1" applyProtection="1">
      <alignment horizontal="center" wrapText="1"/>
    </xf>
    <xf numFmtId="43" fontId="13" fillId="0" borderId="28" xfId="53" applyFont="1" applyBorder="1" applyAlignment="1" applyProtection="1">
      <alignment wrapText="1"/>
    </xf>
    <xf numFmtId="43" fontId="14" fillId="0" borderId="28" xfId="53" applyFont="1" applyBorder="1" applyAlignment="1" applyProtection="1">
      <alignment wrapText="1"/>
    </xf>
    <xf numFmtId="175" fontId="27" fillId="0" borderId="5" xfId="0" applyNumberFormat="1" applyFont="1" applyBorder="1"/>
    <xf numFmtId="0" fontId="32" fillId="18" borderId="0" xfId="640" applyFont="1" applyFill="1" applyAlignment="1">
      <alignment horizontal="center" wrapText="1"/>
    </xf>
    <xf numFmtId="0" fontId="32" fillId="18" borderId="0" xfId="640" applyFont="1" applyFill="1" applyAlignment="1">
      <alignment horizontal="center"/>
    </xf>
    <xf numFmtId="0" fontId="34" fillId="0" borderId="0" xfId="640" applyFont="1" applyAlignment="1">
      <alignment horizontal="center"/>
    </xf>
    <xf numFmtId="9" fontId="34" fillId="0" borderId="0" xfId="640" applyNumberFormat="1" applyFont="1" applyAlignment="1">
      <alignment horizontal="center"/>
    </xf>
    <xf numFmtId="0" fontId="27" fillId="0" borderId="31" xfId="0" applyFont="1" applyBorder="1"/>
    <xf numFmtId="0" fontId="27" fillId="0" borderId="32" xfId="0" applyFont="1" applyBorder="1"/>
    <xf numFmtId="0" fontId="32" fillId="18" borderId="33" xfId="640" applyFont="1" applyFill="1" applyBorder="1" applyAlignment="1">
      <alignment horizontal="center" wrapText="1"/>
    </xf>
    <xf numFmtId="0" fontId="32" fillId="18" borderId="34" xfId="640" applyFont="1" applyFill="1" applyBorder="1" applyAlignment="1">
      <alignment horizontal="center"/>
    </xf>
    <xf numFmtId="0" fontId="0" fillId="0" borderId="23" xfId="0" applyBorder="1"/>
    <xf numFmtId="43" fontId="21" fillId="0" borderId="18" xfId="53" applyFont="1" applyFill="1" applyBorder="1" applyAlignment="1">
      <alignment horizontal="right"/>
    </xf>
    <xf numFmtId="173" fontId="21" fillId="0" borderId="18" xfId="678" applyNumberFormat="1" applyFont="1" applyFill="1" applyBorder="1" applyAlignment="1">
      <alignment horizontal="right"/>
    </xf>
    <xf numFmtId="173" fontId="2" fillId="0" borderId="18" xfId="680" applyNumberFormat="1" applyFont="1" applyFill="1" applyBorder="1" applyAlignment="1">
      <alignment horizontal="right"/>
    </xf>
    <xf numFmtId="173" fontId="21" fillId="0" borderId="18" xfId="678" applyNumberFormat="1" applyFont="1" applyFill="1" applyBorder="1"/>
    <xf numFmtId="173" fontId="21" fillId="0" borderId="25" xfId="678" applyNumberFormat="1" applyFont="1" applyFill="1" applyBorder="1"/>
    <xf numFmtId="43" fontId="42" fillId="0" borderId="5" xfId="53" applyFont="1" applyBorder="1"/>
    <xf numFmtId="43" fontId="12" fillId="0" borderId="0" xfId="0" applyNumberFormat="1" applyFont="1"/>
    <xf numFmtId="0" fontId="35" fillId="0" borderId="6" xfId="0" applyFont="1" applyBorder="1"/>
    <xf numFmtId="0" fontId="35" fillId="0" borderId="7" xfId="0" applyFont="1" applyBorder="1"/>
    <xf numFmtId="0" fontId="35" fillId="0" borderId="5" xfId="0" applyFont="1" applyBorder="1"/>
    <xf numFmtId="0" fontId="35" fillId="0" borderId="8" xfId="0" applyFont="1" applyBorder="1"/>
    <xf numFmtId="43" fontId="35" fillId="0" borderId="15" xfId="56" applyFont="1" applyFill="1" applyBorder="1"/>
    <xf numFmtId="17" fontId="35" fillId="0" borderId="5" xfId="0" applyNumberFormat="1" applyFont="1" applyBorder="1"/>
    <xf numFmtId="17" fontId="42" fillId="0" borderId="5" xfId="0" applyNumberFormat="1" applyFont="1" applyBorder="1"/>
    <xf numFmtId="17" fontId="47" fillId="0" borderId="5" xfId="0" applyNumberFormat="1" applyFont="1" applyBorder="1"/>
    <xf numFmtId="43" fontId="35" fillId="0" borderId="35" xfId="53" applyFont="1" applyFill="1" applyBorder="1"/>
    <xf numFmtId="43" fontId="35" fillId="0" borderId="5" xfId="53" applyFont="1" applyFill="1" applyBorder="1"/>
    <xf numFmtId="43" fontId="30" fillId="0" borderId="5" xfId="53" applyFont="1" applyFill="1" applyBorder="1"/>
    <xf numFmtId="0" fontId="35" fillId="0" borderId="15" xfId="0" applyFont="1" applyBorder="1"/>
    <xf numFmtId="43" fontId="35" fillId="0" borderId="18" xfId="53" applyFont="1" applyFill="1" applyBorder="1"/>
    <xf numFmtId="0" fontId="35" fillId="0" borderId="17" xfId="0" applyFont="1" applyBorder="1"/>
    <xf numFmtId="43" fontId="35" fillId="0" borderId="25" xfId="53" applyFont="1" applyFill="1" applyBorder="1"/>
    <xf numFmtId="43" fontId="35" fillId="0" borderId="26" xfId="53" applyFont="1" applyFill="1" applyBorder="1"/>
    <xf numFmtId="43" fontId="35" fillId="0" borderId="24" xfId="53" applyFont="1" applyFill="1" applyBorder="1"/>
    <xf numFmtId="43" fontId="35" fillId="0" borderId="23" xfId="53" applyFont="1" applyFill="1" applyBorder="1"/>
    <xf numFmtId="0" fontId="37" fillId="0" borderId="12" xfId="0" applyFont="1" applyBorder="1"/>
    <xf numFmtId="172" fontId="37" fillId="0" borderId="6" xfId="0" applyNumberFormat="1" applyFont="1" applyBorder="1"/>
    <xf numFmtId="0" fontId="37" fillId="0" borderId="7" xfId="0" applyFont="1" applyBorder="1"/>
    <xf numFmtId="9" fontId="35" fillId="0" borderId="0" xfId="678" applyFont="1" applyFill="1"/>
    <xf numFmtId="43" fontId="35" fillId="0" borderId="0" xfId="53" applyFont="1" applyFill="1"/>
    <xf numFmtId="43" fontId="13" fillId="0" borderId="28" xfId="53" applyFont="1" applyBorder="1" applyAlignment="1">
      <alignment horizontal="center" wrapText="1"/>
    </xf>
    <xf numFmtId="43" fontId="13" fillId="0" borderId="28" xfId="53" applyFont="1" applyBorder="1" applyAlignment="1">
      <alignment wrapText="1"/>
    </xf>
    <xf numFmtId="43" fontId="14" fillId="0" borderId="28" xfId="53" applyFont="1" applyBorder="1" applyAlignment="1">
      <alignment wrapText="1"/>
    </xf>
    <xf numFmtId="43" fontId="14" fillId="0" borderId="28" xfId="53" applyFont="1" applyBorder="1" applyAlignment="1" applyProtection="1">
      <alignment horizontal="right" wrapText="1"/>
      <protection locked="0"/>
    </xf>
    <xf numFmtId="43" fontId="14" fillId="0" borderId="29" xfId="53" applyFont="1" applyBorder="1" applyAlignment="1" applyProtection="1">
      <alignment horizontal="right" wrapText="1"/>
      <protection locked="0"/>
    </xf>
    <xf numFmtId="43" fontId="13" fillId="0" borderId="30" xfId="53" applyFont="1" applyBorder="1" applyAlignment="1">
      <alignment wrapText="1"/>
    </xf>
    <xf numFmtId="43" fontId="15" fillId="0" borderId="5" xfId="53" applyFont="1" applyBorder="1" applyAlignment="1" applyProtection="1">
      <alignment horizontal="right"/>
      <protection locked="0"/>
    </xf>
    <xf numFmtId="43" fontId="14" fillId="0" borderId="28" xfId="53" applyFont="1" applyFill="1" applyBorder="1" applyAlignment="1">
      <alignment wrapText="1"/>
    </xf>
    <xf numFmtId="0" fontId="27" fillId="0" borderId="5" xfId="0" applyFont="1" applyBorder="1" applyAlignment="1" applyProtection="1">
      <alignment horizontal="right"/>
      <protection locked="0"/>
    </xf>
    <xf numFmtId="17" fontId="27" fillId="0" borderId="0" xfId="0" applyNumberFormat="1" applyFont="1" applyProtection="1">
      <protection locked="0"/>
    </xf>
    <xf numFmtId="17" fontId="27" fillId="0" borderId="18" xfId="0" applyNumberFormat="1" applyFont="1" applyBorder="1" applyAlignment="1" applyProtection="1">
      <alignment horizontal="right" wrapText="1"/>
      <protection locked="0"/>
    </xf>
    <xf numFmtId="0" fontId="0" fillId="0" borderId="5" xfId="0" applyBorder="1" applyAlignment="1" applyProtection="1">
      <alignment horizontal="center"/>
      <protection locked="0"/>
    </xf>
    <xf numFmtId="173" fontId="2" fillId="0" borderId="0" xfId="680" applyNumberFormat="1" applyFont="1" applyProtection="1">
      <protection locked="0"/>
    </xf>
    <xf numFmtId="173" fontId="21" fillId="0" borderId="0" xfId="680" applyNumberFormat="1" applyFont="1" applyProtection="1">
      <protection locked="0"/>
    </xf>
    <xf numFmtId="0" fontId="48" fillId="17" borderId="9" xfId="0" applyFont="1" applyFill="1" applyBorder="1" applyAlignment="1" applyProtection="1">
      <alignment horizontal="left"/>
      <protection locked="0"/>
    </xf>
    <xf numFmtId="0" fontId="0" fillId="0" borderId="9" xfId="0" applyBorder="1" applyAlignment="1" applyProtection="1">
      <alignment horizontal="left"/>
      <protection locked="0"/>
    </xf>
    <xf numFmtId="0" fontId="0" fillId="0" borderId="5" xfId="0" applyBorder="1" applyProtection="1">
      <protection locked="0"/>
    </xf>
    <xf numFmtId="0" fontId="0" fillId="0" borderId="15" xfId="0" applyBorder="1" applyProtection="1">
      <protection locked="0"/>
    </xf>
    <xf numFmtId="0" fontId="29" fillId="0" borderId="18" xfId="0" applyFont="1" applyBorder="1" applyProtection="1">
      <protection locked="0"/>
    </xf>
    <xf numFmtId="0" fontId="0" fillId="0" borderId="5" xfId="0" applyBorder="1" applyAlignment="1" applyProtection="1">
      <alignment horizontal="left"/>
      <protection locked="0"/>
    </xf>
    <xf numFmtId="0" fontId="0" fillId="0" borderId="15" xfId="0" applyBorder="1" applyAlignment="1" applyProtection="1">
      <alignment horizontal="left"/>
      <protection locked="0"/>
    </xf>
    <xf numFmtId="0" fontId="29" fillId="0" borderId="18" xfId="0" applyFont="1" applyBorder="1" applyAlignment="1" applyProtection="1">
      <alignment horizontal="left"/>
      <protection locked="0"/>
    </xf>
    <xf numFmtId="0" fontId="0" fillId="0" borderId="36" xfId="0" applyBorder="1" applyAlignment="1" applyProtection="1">
      <alignment horizontal="center"/>
      <protection locked="0"/>
    </xf>
    <xf numFmtId="166" fontId="48" fillId="0" borderId="5" xfId="56" applyNumberFormat="1" applyFont="1" applyBorder="1" applyAlignment="1" applyProtection="1">
      <alignment horizontal="right"/>
    </xf>
    <xf numFmtId="0" fontId="48" fillId="0" borderId="9" xfId="0" applyFont="1" applyBorder="1"/>
    <xf numFmtId="0" fontId="48" fillId="0" borderId="5" xfId="0" applyFont="1" applyBorder="1" applyAlignment="1">
      <alignment horizontal="center"/>
    </xf>
    <xf numFmtId="9" fontId="48" fillId="0" borderId="5" xfId="0" applyNumberFormat="1" applyFont="1" applyBorder="1" applyAlignment="1">
      <alignment horizontal="center"/>
    </xf>
    <xf numFmtId="173" fontId="21" fillId="17" borderId="5" xfId="678" applyNumberFormat="1" applyFont="1" applyFill="1" applyBorder="1" applyAlignment="1" applyProtection="1">
      <alignment horizontal="right"/>
    </xf>
    <xf numFmtId="0" fontId="48" fillId="17" borderId="9" xfId="0" applyFont="1" applyFill="1" applyBorder="1"/>
    <xf numFmtId="0" fontId="48" fillId="17" borderId="5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48" fillId="17" borderId="9" xfId="0" applyFont="1" applyFill="1" applyBorder="1" applyAlignment="1">
      <alignment horizontal="left"/>
    </xf>
    <xf numFmtId="9" fontId="48" fillId="17" borderId="5" xfId="0" applyNumberFormat="1" applyFont="1" applyFill="1" applyBorder="1" applyAlignment="1">
      <alignment horizontal="center"/>
    </xf>
    <xf numFmtId="0" fontId="29" fillId="0" borderId="5" xfId="0" applyFont="1" applyBorder="1" applyAlignment="1">
      <alignment horizontal="center"/>
    </xf>
    <xf numFmtId="0" fontId="27" fillId="0" borderId="9" xfId="0" applyFont="1" applyBorder="1" applyAlignment="1">
      <alignment horizontal="center"/>
    </xf>
    <xf numFmtId="43" fontId="49" fillId="0" borderId="5" xfId="53" applyFont="1" applyBorder="1" applyAlignment="1" applyProtection="1">
      <alignment horizontal="center"/>
    </xf>
    <xf numFmtId="0" fontId="27" fillId="17" borderId="9" xfId="0" applyFont="1" applyFill="1" applyBorder="1"/>
    <xf numFmtId="0" fontId="27" fillId="17" borderId="37" xfId="0" applyFont="1" applyFill="1" applyBorder="1"/>
    <xf numFmtId="173" fontId="48" fillId="0" borderId="5" xfId="678" applyNumberFormat="1" applyFont="1" applyBorder="1" applyAlignment="1" applyProtection="1">
      <alignment horizontal="right"/>
    </xf>
    <xf numFmtId="173" fontId="48" fillId="17" borderId="5" xfId="678" applyNumberFormat="1" applyFont="1" applyFill="1" applyBorder="1" applyAlignment="1" applyProtection="1">
      <alignment horizontal="right"/>
    </xf>
    <xf numFmtId="173" fontId="48" fillId="0" borderId="5" xfId="678" applyNumberFormat="1" applyFont="1" applyFill="1" applyBorder="1" applyAlignment="1" applyProtection="1">
      <alignment horizontal="right"/>
    </xf>
    <xf numFmtId="0" fontId="27" fillId="0" borderId="15" xfId="0" applyFont="1" applyBorder="1" applyAlignment="1">
      <alignment horizontal="right"/>
    </xf>
    <xf numFmtId="43" fontId="49" fillId="0" borderId="5" xfId="53" applyFont="1" applyBorder="1" applyProtection="1">
      <protection locked="0"/>
    </xf>
    <xf numFmtId="43" fontId="13" fillId="0" borderId="5" xfId="53" applyFont="1" applyBorder="1" applyProtection="1">
      <protection locked="0"/>
    </xf>
    <xf numFmtId="43" fontId="12" fillId="0" borderId="5" xfId="53" applyFont="1" applyBorder="1" applyProtection="1">
      <protection locked="0"/>
    </xf>
    <xf numFmtId="0" fontId="0" fillId="0" borderId="18" xfId="0" applyBorder="1" applyProtection="1">
      <protection locked="0"/>
    </xf>
    <xf numFmtId="0" fontId="49" fillId="0" borderId="9" xfId="0" applyFont="1" applyBorder="1"/>
    <xf numFmtId="0" fontId="27" fillId="0" borderId="5" xfId="0" applyFont="1" applyBorder="1" applyProtection="1">
      <protection locked="0"/>
    </xf>
    <xf numFmtId="0" fontId="27" fillId="17" borderId="5" xfId="0" applyFont="1" applyFill="1" applyBorder="1"/>
    <xf numFmtId="0" fontId="29" fillId="0" borderId="5" xfId="0" applyFont="1" applyBorder="1" applyProtection="1">
      <protection locked="0"/>
    </xf>
    <xf numFmtId="0" fontId="50" fillId="17" borderId="5" xfId="0" applyFont="1" applyFill="1" applyBorder="1"/>
    <xf numFmtId="0" fontId="0" fillId="17" borderId="5" xfId="0" applyFill="1" applyBorder="1" applyProtection="1">
      <protection locked="0"/>
    </xf>
    <xf numFmtId="168" fontId="19" fillId="0" borderId="38" xfId="0" applyNumberFormat="1" applyFont="1" applyBorder="1" applyAlignment="1" applyProtection="1">
      <alignment vertical="top" wrapText="1" readingOrder="1"/>
      <protection locked="0"/>
    </xf>
    <xf numFmtId="168" fontId="19" fillId="9" borderId="38" xfId="0" applyNumberFormat="1" applyFont="1" applyFill="1" applyBorder="1" applyAlignment="1" applyProtection="1">
      <alignment vertical="top" wrapText="1" readingOrder="1"/>
      <protection locked="0"/>
    </xf>
    <xf numFmtId="0" fontId="0" fillId="0" borderId="0" xfId="0" applyProtection="1">
      <protection locked="0"/>
    </xf>
    <xf numFmtId="0" fontId="0" fillId="17" borderId="0" xfId="0" applyFill="1" applyProtection="1">
      <protection locked="0"/>
    </xf>
    <xf numFmtId="0" fontId="27" fillId="17" borderId="11" xfId="0" applyFont="1" applyFill="1" applyBorder="1"/>
    <xf numFmtId="0" fontId="0" fillId="0" borderId="19" xfId="0" applyBorder="1" applyAlignment="1" applyProtection="1">
      <alignment horizontal="center"/>
      <protection locked="0"/>
    </xf>
    <xf numFmtId="0" fontId="0" fillId="0" borderId="19" xfId="0" applyBorder="1" applyProtection="1">
      <protection locked="0"/>
    </xf>
    <xf numFmtId="0" fontId="0" fillId="0" borderId="17" xfId="0" applyBorder="1" applyProtection="1">
      <protection locked="0"/>
    </xf>
    <xf numFmtId="0" fontId="29" fillId="0" borderId="25" xfId="0" applyFont="1" applyBorder="1" applyProtection="1">
      <protection locked="0"/>
    </xf>
    <xf numFmtId="0" fontId="50" fillId="17" borderId="39" xfId="0" applyFont="1" applyFill="1" applyBorder="1"/>
    <xf numFmtId="0" fontId="0" fillId="0" borderId="0" xfId="0" applyAlignment="1" applyProtection="1">
      <alignment horizontal="center"/>
      <protection locked="0"/>
    </xf>
    <xf numFmtId="0" fontId="29" fillId="0" borderId="0" xfId="0" applyFont="1" applyProtection="1">
      <protection locked="0"/>
    </xf>
    <xf numFmtId="43" fontId="42" fillId="0" borderId="0" xfId="53" applyFont="1"/>
    <xf numFmtId="166" fontId="0" fillId="0" borderId="0" xfId="0" applyNumberFormat="1" applyProtection="1">
      <protection locked="0"/>
    </xf>
    <xf numFmtId="43" fontId="17" fillId="10" borderId="5" xfId="53" applyFont="1" applyFill="1" applyBorder="1" applyAlignment="1" applyProtection="1"/>
    <xf numFmtId="17" fontId="33" fillId="0" borderId="5" xfId="0" applyNumberFormat="1" applyFont="1" applyBorder="1" applyAlignment="1">
      <alignment horizontal="center"/>
    </xf>
    <xf numFmtId="0" fontId="31" fillId="0" borderId="5" xfId="0" applyFont="1" applyBorder="1" applyAlignment="1">
      <alignment horizontal="center" vertical="center"/>
    </xf>
    <xf numFmtId="17" fontId="46" fillId="0" borderId="5" xfId="0" applyNumberFormat="1" applyFont="1" applyBorder="1" applyAlignment="1">
      <alignment horizontal="center"/>
    </xf>
    <xf numFmtId="0" fontId="46" fillId="0" borderId="5" xfId="0" applyFont="1" applyBorder="1" applyAlignment="1">
      <alignment horizontal="right"/>
    </xf>
    <xf numFmtId="43" fontId="45" fillId="21" borderId="15" xfId="53" applyFont="1" applyFill="1" applyBorder="1" applyAlignment="1" applyProtection="1"/>
    <xf numFmtId="43" fontId="51" fillId="21" borderId="15" xfId="53" applyFont="1" applyFill="1" applyBorder="1" applyAlignment="1" applyProtection="1">
      <alignment horizontal="right" vertical="center"/>
    </xf>
    <xf numFmtId="3" fontId="0" fillId="0" borderId="0" xfId="0" applyNumberFormat="1"/>
    <xf numFmtId="3" fontId="0" fillId="0" borderId="5" xfId="0" applyNumberFormat="1" applyBorder="1"/>
    <xf numFmtId="43" fontId="45" fillId="21" borderId="5" xfId="53" applyFont="1" applyFill="1" applyBorder="1" applyAlignment="1" applyProtection="1"/>
    <xf numFmtId="43" fontId="43" fillId="0" borderId="5" xfId="53" applyFont="1" applyFill="1" applyBorder="1" applyAlignment="1" applyProtection="1">
      <protection locked="0"/>
    </xf>
    <xf numFmtId="43" fontId="43" fillId="0" borderId="5" xfId="53" applyFont="1" applyBorder="1" applyAlignment="1" applyProtection="1">
      <alignment horizontal="right" vertical="center"/>
      <protection locked="0"/>
    </xf>
    <xf numFmtId="166" fontId="42" fillId="0" borderId="5" xfId="53" applyNumberFormat="1" applyFont="1" applyBorder="1"/>
    <xf numFmtId="3" fontId="42" fillId="0" borderId="5" xfId="0" applyNumberFormat="1" applyFont="1" applyBorder="1"/>
    <xf numFmtId="166" fontId="21" fillId="0" borderId="5" xfId="53" applyNumberFormat="1" applyFont="1" applyBorder="1"/>
    <xf numFmtId="166" fontId="43" fillId="0" borderId="5" xfId="53" applyNumberFormat="1" applyFont="1" applyFill="1" applyBorder="1"/>
    <xf numFmtId="17" fontId="27" fillId="0" borderId="5" xfId="0" applyNumberFormat="1" applyFont="1" applyBorder="1"/>
    <xf numFmtId="0" fontId="27" fillId="0" borderId="5" xfId="0" applyFont="1" applyBorder="1"/>
    <xf numFmtId="0" fontId="52" fillId="0" borderId="0" xfId="0" applyFont="1" applyAlignment="1">
      <alignment horizontal="center" wrapText="1"/>
    </xf>
    <xf numFmtId="43" fontId="43" fillId="17" borderId="0" xfId="56" applyFont="1" applyFill="1" applyBorder="1" applyAlignment="1">
      <alignment horizontal="left"/>
    </xf>
    <xf numFmtId="43" fontId="43" fillId="17" borderId="0" xfId="56" applyFont="1" applyFill="1" applyBorder="1" applyAlignment="1">
      <alignment horizontal="left" wrapText="1"/>
    </xf>
    <xf numFmtId="0" fontId="45" fillId="0" borderId="5" xfId="0" applyFont="1" applyBorder="1"/>
    <xf numFmtId="0" fontId="45" fillId="0" borderId="5" xfId="0" applyFont="1" applyBorder="1" applyAlignment="1" applyProtection="1">
      <alignment horizontal="left" vertical="top" wrapText="1" readingOrder="1"/>
      <protection locked="0"/>
    </xf>
    <xf numFmtId="0" fontId="31" fillId="0" borderId="5" xfId="0" applyFont="1" applyBorder="1" applyAlignment="1" applyProtection="1">
      <alignment horizontal="center" vertical="center" wrapText="1"/>
      <protection locked="0"/>
    </xf>
    <xf numFmtId="0" fontId="30" fillId="0" borderId="5" xfId="0" applyFont="1" applyBorder="1" applyAlignment="1">
      <alignment horizontal="center" vertical="center"/>
    </xf>
    <xf numFmtId="0" fontId="45" fillId="20" borderId="5" xfId="0" applyFont="1" applyFill="1" applyBorder="1"/>
    <xf numFmtId="168" fontId="20" fillId="0" borderId="5" xfId="0" applyNumberFormat="1" applyFont="1" applyBorder="1" applyAlignment="1" applyProtection="1">
      <alignment vertical="top" wrapText="1" readingOrder="1"/>
      <protection locked="0"/>
    </xf>
    <xf numFmtId="0" fontId="13" fillId="0" borderId="5" xfId="477" applyFont="1" applyBorder="1"/>
    <xf numFmtId="0" fontId="13" fillId="22" borderId="5" xfId="477" applyFont="1" applyFill="1" applyBorder="1"/>
    <xf numFmtId="43" fontId="17" fillId="21" borderId="5" xfId="53" applyFont="1" applyFill="1" applyBorder="1" applyAlignment="1" applyProtection="1"/>
    <xf numFmtId="174" fontId="20" fillId="0" borderId="5" xfId="0" applyNumberFormat="1" applyFont="1" applyBorder="1" applyAlignment="1" applyProtection="1">
      <alignment vertical="top" wrapText="1" readingOrder="1"/>
      <protection locked="0"/>
    </xf>
    <xf numFmtId="43" fontId="43" fillId="0" borderId="5" xfId="56" applyFont="1" applyFill="1" applyBorder="1" applyAlignment="1">
      <alignment horizontal="left" wrapText="1"/>
    </xf>
    <xf numFmtId="43" fontId="53" fillId="0" borderId="5" xfId="53" applyFont="1" applyFill="1" applyBorder="1" applyAlignment="1" applyProtection="1"/>
    <xf numFmtId="43" fontId="43" fillId="17" borderId="15" xfId="56" applyFont="1" applyFill="1" applyBorder="1" applyAlignment="1">
      <alignment horizontal="left" wrapText="1"/>
    </xf>
    <xf numFmtId="0" fontId="32" fillId="18" borderId="40" xfId="640" applyFont="1" applyFill="1" applyBorder="1" applyAlignment="1">
      <alignment horizontal="center"/>
    </xf>
    <xf numFmtId="0" fontId="34" fillId="0" borderId="15" xfId="640" applyFont="1" applyBorder="1" applyAlignment="1">
      <alignment horizontal="center"/>
    </xf>
    <xf numFmtId="9" fontId="34" fillId="0" borderId="15" xfId="640" applyNumberFormat="1" applyFont="1" applyBorder="1" applyAlignment="1">
      <alignment horizontal="center"/>
    </xf>
    <xf numFmtId="0" fontId="34" fillId="0" borderId="17" xfId="640" applyFont="1" applyBorder="1" applyAlignment="1">
      <alignment horizontal="center"/>
    </xf>
    <xf numFmtId="0" fontId="32" fillId="0" borderId="5" xfId="640" applyFont="1" applyBorder="1"/>
    <xf numFmtId="0" fontId="32" fillId="0" borderId="5" xfId="640" applyFont="1" applyBorder="1" applyAlignment="1">
      <alignment horizontal="center"/>
    </xf>
    <xf numFmtId="0" fontId="32" fillId="8" borderId="5" xfId="640" applyFont="1" applyFill="1" applyBorder="1"/>
    <xf numFmtId="0" fontId="32" fillId="8" borderId="5" xfId="640" applyFont="1" applyFill="1" applyBorder="1" applyAlignment="1">
      <alignment horizontal="center"/>
    </xf>
    <xf numFmtId="17" fontId="32" fillId="0" borderId="5" xfId="640" applyNumberFormat="1" applyFont="1" applyBorder="1"/>
    <xf numFmtId="173" fontId="34" fillId="0" borderId="5" xfId="680" applyNumberFormat="1" applyFont="1" applyFill="1" applyBorder="1"/>
    <xf numFmtId="9" fontId="34" fillId="0" borderId="5" xfId="680" applyFont="1" applyBorder="1" applyAlignment="1">
      <alignment horizontal="center"/>
    </xf>
    <xf numFmtId="173" fontId="32" fillId="0" borderId="5" xfId="680" applyNumberFormat="1" applyFont="1" applyFill="1" applyBorder="1"/>
    <xf numFmtId="173" fontId="34" fillId="0" borderId="5" xfId="680" applyNumberFormat="1" applyFont="1" applyBorder="1"/>
    <xf numFmtId="173" fontId="34" fillId="0" borderId="5" xfId="680" applyNumberFormat="1" applyFont="1" applyBorder="1" applyAlignment="1">
      <alignment horizontal="center"/>
    </xf>
    <xf numFmtId="14" fontId="32" fillId="8" borderId="5" xfId="640" applyNumberFormat="1" applyFont="1" applyFill="1" applyBorder="1" applyAlignment="1">
      <alignment horizontal="center"/>
    </xf>
    <xf numFmtId="0" fontId="37" fillId="0" borderId="5" xfId="640" applyFont="1" applyBorder="1"/>
    <xf numFmtId="173" fontId="39" fillId="0" borderId="5" xfId="680" applyNumberFormat="1" applyFont="1" applyBorder="1" applyAlignment="1">
      <alignment horizontal="center"/>
    </xf>
    <xf numFmtId="173" fontId="39" fillId="0" borderId="5" xfId="680" applyNumberFormat="1" applyFont="1" applyBorder="1"/>
    <xf numFmtId="173" fontId="39" fillId="0" borderId="5" xfId="680" applyNumberFormat="1" applyFont="1" applyFill="1" applyBorder="1"/>
    <xf numFmtId="173" fontId="30" fillId="0" borderId="5" xfId="680" applyNumberFormat="1" applyFont="1" applyFill="1" applyBorder="1"/>
    <xf numFmtId="0" fontId="39" fillId="17" borderId="5" xfId="640" applyFont="1" applyFill="1" applyBorder="1"/>
    <xf numFmtId="0" fontId="32" fillId="0" borderId="10" xfId="640" applyFont="1" applyBorder="1"/>
    <xf numFmtId="0" fontId="32" fillId="0" borderId="41" xfId="640" applyFont="1" applyBorder="1"/>
    <xf numFmtId="0" fontId="32" fillId="0" borderId="41" xfId="640" applyFont="1" applyBorder="1" applyAlignment="1">
      <alignment horizontal="center"/>
    </xf>
    <xf numFmtId="0" fontId="32" fillId="0" borderId="24" xfId="640" applyFont="1" applyBorder="1"/>
    <xf numFmtId="0" fontId="32" fillId="0" borderId="9" xfId="640" applyFont="1" applyBorder="1"/>
    <xf numFmtId="17" fontId="32" fillId="0" borderId="18" xfId="640" applyNumberFormat="1" applyFont="1" applyBorder="1"/>
    <xf numFmtId="172" fontId="32" fillId="0" borderId="9" xfId="640" applyNumberFormat="1" applyFont="1" applyBorder="1"/>
    <xf numFmtId="0" fontId="30" fillId="0" borderId="9" xfId="640" applyFont="1" applyBorder="1"/>
    <xf numFmtId="166" fontId="30" fillId="0" borderId="18" xfId="53" applyNumberFormat="1" applyFont="1" applyFill="1" applyBorder="1" applyAlignment="1">
      <alignment horizontal="right"/>
    </xf>
    <xf numFmtId="172" fontId="30" fillId="0" borderId="9" xfId="640" applyNumberFormat="1" applyFont="1" applyBorder="1"/>
    <xf numFmtId="0" fontId="30" fillId="0" borderId="9" xfId="640" applyFont="1" applyBorder="1" applyAlignment="1">
      <alignment horizontal="right"/>
    </xf>
    <xf numFmtId="173" fontId="32" fillId="0" borderId="18" xfId="680" applyNumberFormat="1" applyFont="1" applyFill="1" applyBorder="1"/>
    <xf numFmtId="173" fontId="34" fillId="0" borderId="18" xfId="680" applyNumberFormat="1" applyFont="1" applyBorder="1" applyAlignment="1">
      <alignment horizontal="right"/>
    </xf>
    <xf numFmtId="9" fontId="34" fillId="0" borderId="18" xfId="680" applyFont="1" applyBorder="1" applyAlignment="1">
      <alignment horizontal="right"/>
    </xf>
    <xf numFmtId="9" fontId="30" fillId="0" borderId="18" xfId="678" applyFont="1" applyBorder="1" applyAlignment="1">
      <alignment horizontal="right"/>
    </xf>
    <xf numFmtId="166" fontId="34" fillId="0" borderId="18" xfId="56" applyNumberFormat="1" applyFont="1" applyBorder="1" applyAlignment="1">
      <alignment horizontal="right"/>
    </xf>
    <xf numFmtId="14" fontId="32" fillId="8" borderId="18" xfId="640" applyNumberFormat="1" applyFont="1" applyFill="1" applyBorder="1" applyAlignment="1">
      <alignment horizontal="right"/>
    </xf>
    <xf numFmtId="9" fontId="30" fillId="0" borderId="18" xfId="680" applyFont="1" applyBorder="1" applyAlignment="1">
      <alignment horizontal="right"/>
    </xf>
    <xf numFmtId="0" fontId="30" fillId="0" borderId="18" xfId="640" applyFont="1" applyBorder="1" applyAlignment="1">
      <alignment horizontal="right"/>
    </xf>
    <xf numFmtId="173" fontId="30" fillId="0" borderId="18" xfId="680" applyNumberFormat="1" applyFont="1" applyBorder="1" applyAlignment="1">
      <alignment horizontal="right"/>
    </xf>
    <xf numFmtId="173" fontId="30" fillId="0" borderId="18" xfId="680" applyNumberFormat="1" applyFont="1" applyBorder="1"/>
    <xf numFmtId="172" fontId="31" fillId="0" borderId="9" xfId="640" applyNumberFormat="1" applyFont="1" applyBorder="1"/>
    <xf numFmtId="173" fontId="31" fillId="0" borderId="18" xfId="680" applyNumberFormat="1" applyFont="1" applyBorder="1"/>
    <xf numFmtId="173" fontId="30" fillId="0" borderId="18" xfId="678" applyNumberFormat="1" applyFont="1" applyBorder="1"/>
    <xf numFmtId="0" fontId="30" fillId="0" borderId="11" xfId="640" applyFont="1" applyBorder="1"/>
    <xf numFmtId="0" fontId="30" fillId="0" borderId="19" xfId="640" applyFont="1" applyBorder="1"/>
    <xf numFmtId="0" fontId="30" fillId="0" borderId="19" xfId="640" applyFont="1" applyBorder="1" applyAlignment="1">
      <alignment horizontal="center"/>
    </xf>
    <xf numFmtId="9" fontId="30" fillId="0" borderId="19" xfId="678" applyFont="1" applyBorder="1"/>
    <xf numFmtId="9" fontId="30" fillId="0" borderId="25" xfId="678" applyFont="1" applyBorder="1"/>
    <xf numFmtId="17" fontId="30" fillId="0" borderId="5" xfId="0" applyNumberFormat="1" applyFont="1" applyBorder="1" applyAlignment="1">
      <alignment horizontal="center" vertical="center"/>
    </xf>
    <xf numFmtId="17" fontId="42" fillId="0" borderId="0" xfId="0" applyNumberFormat="1" applyFont="1"/>
    <xf numFmtId="43" fontId="43" fillId="0" borderId="5" xfId="53" applyFont="1" applyBorder="1"/>
    <xf numFmtId="166" fontId="17" fillId="10" borderId="5" xfId="53" applyNumberFormat="1" applyFont="1" applyFill="1" applyBorder="1" applyAlignment="1" applyProtection="1"/>
    <xf numFmtId="166" fontId="21" fillId="0" borderId="5" xfId="53" applyNumberFormat="1" applyFont="1" applyBorder="1" applyAlignment="1" applyProtection="1">
      <alignment vertical="top" wrapText="1"/>
      <protection locked="0"/>
    </xf>
    <xf numFmtId="166" fontId="43" fillId="0" borderId="5" xfId="0" applyNumberFormat="1" applyFont="1" applyBorder="1"/>
    <xf numFmtId="166" fontId="43" fillId="0" borderId="5" xfId="53" applyNumberFormat="1" applyFont="1" applyBorder="1"/>
    <xf numFmtId="166" fontId="45" fillId="20" borderId="5" xfId="0" applyNumberFormat="1" applyFont="1" applyFill="1" applyBorder="1"/>
    <xf numFmtId="166" fontId="45" fillId="20" borderId="5" xfId="53" applyNumberFormat="1" applyFont="1" applyFill="1" applyBorder="1"/>
    <xf numFmtId="166" fontId="20" fillId="0" borderId="5" xfId="0" applyNumberFormat="1" applyFont="1" applyBorder="1" applyAlignment="1" applyProtection="1">
      <alignment vertical="top" wrapText="1" readingOrder="1"/>
      <protection locked="0"/>
    </xf>
    <xf numFmtId="166" fontId="0" fillId="0" borderId="5" xfId="0" applyNumberFormat="1" applyBorder="1"/>
    <xf numFmtId="166" fontId="20" fillId="0" borderId="5" xfId="53" applyNumberFormat="1" applyFont="1" applyBorder="1" applyAlignment="1" applyProtection="1">
      <alignment wrapText="1" readingOrder="1"/>
      <protection locked="0"/>
    </xf>
    <xf numFmtId="166" fontId="17" fillId="21" borderId="5" xfId="53" applyNumberFormat="1" applyFont="1" applyFill="1" applyBorder="1" applyAlignment="1" applyProtection="1"/>
    <xf numFmtId="166" fontId="20" fillId="0" borderId="5" xfId="53" applyNumberFormat="1" applyFont="1" applyBorder="1" applyAlignment="1" applyProtection="1">
      <alignment vertical="top" wrapText="1" readingOrder="1"/>
      <protection locked="0"/>
    </xf>
    <xf numFmtId="43" fontId="0" fillId="0" borderId="0" xfId="53" applyFont="1"/>
    <xf numFmtId="0" fontId="57" fillId="0" borderId="50" xfId="0" applyFont="1" applyBorder="1" applyAlignment="1">
      <alignment wrapText="1" readingOrder="1"/>
    </xf>
    <xf numFmtId="4" fontId="57" fillId="0" borderId="50" xfId="0" applyNumberFormat="1" applyFont="1" applyBorder="1" applyAlignment="1">
      <alignment wrapText="1" readingOrder="1"/>
    </xf>
    <xf numFmtId="0" fontId="57" fillId="0" borderId="51" xfId="0" applyFont="1" applyBorder="1" applyAlignment="1">
      <alignment wrapText="1" readingOrder="1"/>
    </xf>
    <xf numFmtId="4" fontId="57" fillId="0" borderId="51" xfId="0" applyNumberFormat="1" applyFont="1" applyBorder="1" applyAlignment="1">
      <alignment wrapText="1" readingOrder="1"/>
    </xf>
    <xf numFmtId="0" fontId="57" fillId="0" borderId="52" xfId="0" applyFont="1" applyBorder="1" applyAlignment="1">
      <alignment wrapText="1" readingOrder="1"/>
    </xf>
    <xf numFmtId="4" fontId="57" fillId="0" borderId="52" xfId="0" applyNumberFormat="1" applyFont="1" applyBorder="1" applyAlignment="1">
      <alignment wrapText="1" readingOrder="1"/>
    </xf>
    <xf numFmtId="0" fontId="57" fillId="0" borderId="53" xfId="0" applyFont="1" applyBorder="1" applyAlignment="1">
      <alignment wrapText="1" readingOrder="1"/>
    </xf>
    <xf numFmtId="4" fontId="57" fillId="0" borderId="53" xfId="0" applyNumberFormat="1" applyFont="1" applyBorder="1" applyAlignment="1">
      <alignment wrapText="1" readingOrder="1"/>
    </xf>
    <xf numFmtId="0" fontId="58" fillId="0" borderId="50" xfId="0" applyFont="1" applyBorder="1" applyAlignment="1">
      <alignment wrapText="1" readingOrder="1"/>
    </xf>
    <xf numFmtId="4" fontId="58" fillId="0" borderId="50" xfId="0" applyNumberFormat="1" applyFont="1" applyBorder="1" applyAlignment="1">
      <alignment wrapText="1" readingOrder="1"/>
    </xf>
    <xf numFmtId="0" fontId="58" fillId="0" borderId="51" xfId="0" applyFont="1" applyBorder="1" applyAlignment="1">
      <alignment wrapText="1" readingOrder="1"/>
    </xf>
    <xf numFmtId="4" fontId="58" fillId="0" borderId="51" xfId="0" applyNumberFormat="1" applyFont="1" applyBorder="1" applyAlignment="1">
      <alignment wrapText="1" readingOrder="1"/>
    </xf>
    <xf numFmtId="0" fontId="58" fillId="0" borderId="52" xfId="0" applyFont="1" applyBorder="1" applyAlignment="1">
      <alignment wrapText="1" readingOrder="1"/>
    </xf>
    <xf numFmtId="4" fontId="58" fillId="0" borderId="52" xfId="0" applyNumberFormat="1" applyFont="1" applyBorder="1" applyAlignment="1">
      <alignment wrapText="1" readingOrder="1"/>
    </xf>
    <xf numFmtId="0" fontId="58" fillId="0" borderId="53" xfId="0" applyFont="1" applyBorder="1" applyAlignment="1">
      <alignment wrapText="1" readingOrder="1"/>
    </xf>
    <xf numFmtId="4" fontId="58" fillId="0" borderId="53" xfId="0" applyNumberFormat="1" applyFont="1" applyBorder="1" applyAlignment="1">
      <alignment wrapText="1" readingOrder="1"/>
    </xf>
    <xf numFmtId="0" fontId="52" fillId="0" borderId="0" xfId="0" applyFont="1" applyAlignment="1">
      <alignment horizontal="center" wrapText="1"/>
    </xf>
    <xf numFmtId="43" fontId="14" fillId="0" borderId="28" xfId="53" applyFont="1" applyBorder="1" applyAlignment="1">
      <alignment horizontal="center" wrapText="1"/>
    </xf>
    <xf numFmtId="43" fontId="13" fillId="0" borderId="28" xfId="53" applyFont="1" applyBorder="1" applyAlignment="1">
      <alignment horizontal="center" wrapText="1"/>
    </xf>
    <xf numFmtId="43" fontId="13" fillId="0" borderId="42" xfId="53" applyFont="1" applyBorder="1" applyAlignment="1">
      <alignment horizontal="center" wrapText="1"/>
    </xf>
    <xf numFmtId="0" fontId="14" fillId="0" borderId="28" xfId="0" applyFont="1" applyBorder="1" applyAlignment="1">
      <alignment horizontal="center" wrapText="1"/>
    </xf>
    <xf numFmtId="0" fontId="13" fillId="0" borderId="28" xfId="0" applyFont="1" applyBorder="1" applyAlignment="1">
      <alignment horizontal="center" wrapText="1"/>
    </xf>
    <xf numFmtId="0" fontId="13" fillId="0" borderId="42" xfId="0" applyFont="1" applyBorder="1" applyAlignment="1">
      <alignment horizontal="center" wrapText="1"/>
    </xf>
    <xf numFmtId="0" fontId="54" fillId="23" borderId="31" xfId="0" applyFont="1" applyFill="1" applyBorder="1" applyAlignment="1">
      <alignment horizontal="left"/>
    </xf>
    <xf numFmtId="0" fontId="54" fillId="23" borderId="32" xfId="0" applyFont="1" applyFill="1" applyBorder="1" applyAlignment="1">
      <alignment horizontal="left"/>
    </xf>
    <xf numFmtId="0" fontId="54" fillId="23" borderId="43" xfId="0" applyFont="1" applyFill="1" applyBorder="1" applyAlignment="1">
      <alignment horizontal="left"/>
    </xf>
    <xf numFmtId="0" fontId="0" fillId="0" borderId="15" xfId="0" applyBorder="1" applyAlignment="1" applyProtection="1">
      <alignment horizontal="center"/>
      <protection locked="0"/>
    </xf>
    <xf numFmtId="0" fontId="0" fillId="0" borderId="20" xfId="0" applyBorder="1" applyAlignment="1" applyProtection="1">
      <alignment horizontal="center"/>
      <protection locked="0"/>
    </xf>
    <xf numFmtId="0" fontId="0" fillId="0" borderId="21" xfId="0" applyBorder="1" applyAlignment="1" applyProtection="1">
      <alignment horizontal="center"/>
      <protection locked="0"/>
    </xf>
    <xf numFmtId="0" fontId="55" fillId="18" borderId="9" xfId="0" applyFont="1" applyFill="1" applyBorder="1" applyAlignment="1">
      <alignment horizontal="left"/>
    </xf>
    <xf numFmtId="0" fontId="55" fillId="18" borderId="5" xfId="0" applyFont="1" applyFill="1" applyBorder="1" applyAlignment="1">
      <alignment horizontal="left"/>
    </xf>
    <xf numFmtId="0" fontId="55" fillId="18" borderId="15" xfId="0" applyFont="1" applyFill="1" applyBorder="1" applyAlignment="1">
      <alignment horizontal="left"/>
    </xf>
    <xf numFmtId="0" fontId="55" fillId="18" borderId="18" xfId="0" applyFont="1" applyFill="1" applyBorder="1" applyAlignment="1">
      <alignment horizontal="left"/>
    </xf>
    <xf numFmtId="0" fontId="27" fillId="0" borderId="10" xfId="0" applyFont="1" applyBorder="1" applyAlignment="1" applyProtection="1">
      <alignment horizontal="center"/>
      <protection locked="0"/>
    </xf>
    <xf numFmtId="0" fontId="27" fillId="0" borderId="41" xfId="0" applyFont="1" applyBorder="1" applyAlignment="1" applyProtection="1">
      <alignment horizontal="center"/>
      <protection locked="0"/>
    </xf>
    <xf numFmtId="0" fontId="27" fillId="0" borderId="22" xfId="0" applyFont="1" applyBorder="1" applyAlignment="1" applyProtection="1">
      <alignment horizontal="center"/>
      <protection locked="0"/>
    </xf>
    <xf numFmtId="0" fontId="27" fillId="0" borderId="24" xfId="0" applyFont="1" applyBorder="1" applyAlignment="1" applyProtection="1">
      <alignment horizontal="center"/>
      <protection locked="0"/>
    </xf>
    <xf numFmtId="0" fontId="27" fillId="0" borderId="9" xfId="0" applyFont="1" applyBorder="1" applyAlignment="1" applyProtection="1">
      <alignment horizontal="center"/>
      <protection locked="0"/>
    </xf>
    <xf numFmtId="0" fontId="27" fillId="0" borderId="5" xfId="0" applyFont="1" applyBorder="1" applyAlignment="1" applyProtection="1">
      <alignment horizontal="center"/>
      <protection locked="0"/>
    </xf>
    <xf numFmtId="0" fontId="27" fillId="0" borderId="15" xfId="0" applyFont="1" applyBorder="1" applyAlignment="1" applyProtection="1">
      <alignment horizontal="center"/>
      <protection locked="0"/>
    </xf>
    <xf numFmtId="0" fontId="27" fillId="0" borderId="18" xfId="0" applyFont="1" applyBorder="1" applyAlignment="1" applyProtection="1">
      <alignment horizontal="center"/>
      <protection locked="0"/>
    </xf>
    <xf numFmtId="0" fontId="27" fillId="0" borderId="36" xfId="0" applyFont="1" applyBorder="1" applyAlignment="1">
      <alignment horizontal="center"/>
    </xf>
    <xf numFmtId="0" fontId="27" fillId="0" borderId="35" xfId="0" applyFont="1" applyBorder="1" applyAlignment="1">
      <alignment horizontal="center"/>
    </xf>
    <xf numFmtId="0" fontId="27" fillId="0" borderId="20" xfId="0" applyFont="1" applyBorder="1" applyAlignment="1" applyProtection="1">
      <alignment horizontal="center"/>
      <protection locked="0"/>
    </xf>
    <xf numFmtId="0" fontId="27" fillId="0" borderId="21" xfId="0" applyFont="1" applyBorder="1" applyAlignment="1" applyProtection="1">
      <alignment horizontal="center"/>
      <protection locked="0"/>
    </xf>
    <xf numFmtId="17" fontId="27" fillId="0" borderId="44" xfId="0" applyNumberFormat="1" applyFont="1" applyBorder="1" applyAlignment="1" applyProtection="1">
      <alignment horizontal="center" wrapText="1"/>
      <protection locked="0"/>
    </xf>
    <xf numFmtId="17" fontId="27" fillId="0" borderId="45" xfId="0" applyNumberFormat="1" applyFont="1" applyBorder="1" applyAlignment="1" applyProtection="1">
      <alignment horizontal="center" wrapText="1"/>
      <protection locked="0"/>
    </xf>
    <xf numFmtId="0" fontId="55" fillId="0" borderId="44" xfId="0" applyFont="1" applyBorder="1" applyAlignment="1">
      <alignment horizontal="center" wrapText="1"/>
    </xf>
    <xf numFmtId="0" fontId="55" fillId="0" borderId="45" xfId="0" applyFont="1" applyBorder="1" applyAlignment="1">
      <alignment horizontal="center" wrapText="1"/>
    </xf>
    <xf numFmtId="0" fontId="57" fillId="0" borderId="50" xfId="0" applyFont="1" applyFill="1" applyBorder="1" applyAlignment="1">
      <alignment wrapText="1" readingOrder="1"/>
    </xf>
    <xf numFmtId="4" fontId="57" fillId="0" borderId="50" xfId="0" applyNumberFormat="1" applyFont="1" applyFill="1" applyBorder="1" applyAlignment="1">
      <alignment wrapText="1" readingOrder="1"/>
    </xf>
    <xf numFmtId="0" fontId="57" fillId="0" borderId="52" xfId="0" applyFont="1" applyFill="1" applyBorder="1" applyAlignment="1">
      <alignment wrapText="1" readingOrder="1"/>
    </xf>
    <xf numFmtId="4" fontId="57" fillId="0" borderId="52" xfId="0" applyNumberFormat="1" applyFont="1" applyFill="1" applyBorder="1" applyAlignment="1">
      <alignment wrapText="1" readingOrder="1"/>
    </xf>
    <xf numFmtId="0" fontId="58" fillId="0" borderId="50" xfId="0" applyFont="1" applyFill="1" applyBorder="1" applyAlignment="1">
      <alignment wrapText="1" readingOrder="1"/>
    </xf>
    <xf numFmtId="4" fontId="58" fillId="0" borderId="50" xfId="0" applyNumberFormat="1" applyFont="1" applyFill="1" applyBorder="1" applyAlignment="1">
      <alignment wrapText="1" readingOrder="1"/>
    </xf>
    <xf numFmtId="0" fontId="58" fillId="0" borderId="52" xfId="0" applyFont="1" applyFill="1" applyBorder="1" applyAlignment="1">
      <alignment wrapText="1" readingOrder="1"/>
    </xf>
    <xf numFmtId="4" fontId="58" fillId="0" borderId="52" xfId="0" applyNumberFormat="1" applyFont="1" applyFill="1" applyBorder="1" applyAlignment="1">
      <alignment wrapText="1" readingOrder="1"/>
    </xf>
    <xf numFmtId="4" fontId="58" fillId="0" borderId="51" xfId="0" applyNumberFormat="1" applyFont="1" applyFill="1" applyBorder="1" applyAlignment="1">
      <alignment wrapText="1" readingOrder="1"/>
    </xf>
  </cellXfs>
  <cellStyles count="690">
    <cellStyle name="60% - Accent2 2" xfId="1" xr:uid="{00000000-0005-0000-0000-000000000000}"/>
    <cellStyle name="60% - Accent2 2 2" xfId="2" xr:uid="{00000000-0005-0000-0000-000001000000}"/>
    <cellStyle name="Accent1 2" xfId="3" xr:uid="{00000000-0005-0000-0000-000002000000}"/>
    <cellStyle name="Accent1 2 10" xfId="4" xr:uid="{00000000-0005-0000-0000-000003000000}"/>
    <cellStyle name="Accent1 2 10 2" xfId="5" xr:uid="{00000000-0005-0000-0000-000004000000}"/>
    <cellStyle name="Accent1 2 11" xfId="6" xr:uid="{00000000-0005-0000-0000-000005000000}"/>
    <cellStyle name="Accent1 2 11 2" xfId="7" xr:uid="{00000000-0005-0000-0000-000006000000}"/>
    <cellStyle name="Accent1 2 12" xfId="8" xr:uid="{00000000-0005-0000-0000-000007000000}"/>
    <cellStyle name="Accent1 2 12 2" xfId="9" xr:uid="{00000000-0005-0000-0000-000008000000}"/>
    <cellStyle name="Accent1 2 13" xfId="10" xr:uid="{00000000-0005-0000-0000-000009000000}"/>
    <cellStyle name="Accent1 2 2" xfId="11" xr:uid="{00000000-0005-0000-0000-00000A000000}"/>
    <cellStyle name="Accent1 2 2 2" xfId="12" xr:uid="{00000000-0005-0000-0000-00000B000000}"/>
    <cellStyle name="Accent1 2 3" xfId="13" xr:uid="{00000000-0005-0000-0000-00000C000000}"/>
    <cellStyle name="Accent1 2 3 2" xfId="14" xr:uid="{00000000-0005-0000-0000-00000D000000}"/>
    <cellStyle name="Accent1 2 4" xfId="15" xr:uid="{00000000-0005-0000-0000-00000E000000}"/>
    <cellStyle name="Accent1 2 4 2" xfId="16" xr:uid="{00000000-0005-0000-0000-00000F000000}"/>
    <cellStyle name="Accent1 2 5" xfId="17" xr:uid="{00000000-0005-0000-0000-000010000000}"/>
    <cellStyle name="Accent1 2 5 2" xfId="18" xr:uid="{00000000-0005-0000-0000-000011000000}"/>
    <cellStyle name="Accent1 2 6" xfId="19" xr:uid="{00000000-0005-0000-0000-000012000000}"/>
    <cellStyle name="Accent1 2 6 2" xfId="20" xr:uid="{00000000-0005-0000-0000-000013000000}"/>
    <cellStyle name="Accent1 2 7" xfId="21" xr:uid="{00000000-0005-0000-0000-000014000000}"/>
    <cellStyle name="Accent1 2 7 2" xfId="22" xr:uid="{00000000-0005-0000-0000-000015000000}"/>
    <cellStyle name="Accent1 2 8" xfId="23" xr:uid="{00000000-0005-0000-0000-000016000000}"/>
    <cellStyle name="Accent1 2 8 2" xfId="24" xr:uid="{00000000-0005-0000-0000-000017000000}"/>
    <cellStyle name="Accent1 2 9" xfId="25" xr:uid="{00000000-0005-0000-0000-000018000000}"/>
    <cellStyle name="Accent1 2 9 2" xfId="26" xr:uid="{00000000-0005-0000-0000-000019000000}"/>
    <cellStyle name="Accent5 2" xfId="27" xr:uid="{00000000-0005-0000-0000-00001A000000}"/>
    <cellStyle name="Accent5 2 10" xfId="28" xr:uid="{00000000-0005-0000-0000-00001B000000}"/>
    <cellStyle name="Accent5 2 10 2" xfId="29" xr:uid="{00000000-0005-0000-0000-00001C000000}"/>
    <cellStyle name="Accent5 2 11" xfId="30" xr:uid="{00000000-0005-0000-0000-00001D000000}"/>
    <cellStyle name="Accent5 2 11 2" xfId="31" xr:uid="{00000000-0005-0000-0000-00001E000000}"/>
    <cellStyle name="Accent5 2 12" xfId="32" xr:uid="{00000000-0005-0000-0000-00001F000000}"/>
    <cellStyle name="Accent5 2 12 2" xfId="33" xr:uid="{00000000-0005-0000-0000-000020000000}"/>
    <cellStyle name="Accent5 2 13" xfId="34" xr:uid="{00000000-0005-0000-0000-000021000000}"/>
    <cellStyle name="Accent5 2 2" xfId="35" xr:uid="{00000000-0005-0000-0000-000022000000}"/>
    <cellStyle name="Accent5 2 2 2" xfId="36" xr:uid="{00000000-0005-0000-0000-000023000000}"/>
    <cellStyle name="Accent5 2 3" xfId="37" xr:uid="{00000000-0005-0000-0000-000024000000}"/>
    <cellStyle name="Accent5 2 3 2" xfId="38" xr:uid="{00000000-0005-0000-0000-000025000000}"/>
    <cellStyle name="Accent5 2 4" xfId="39" xr:uid="{00000000-0005-0000-0000-000026000000}"/>
    <cellStyle name="Accent5 2 4 2" xfId="40" xr:uid="{00000000-0005-0000-0000-000027000000}"/>
    <cellStyle name="Accent5 2 5" xfId="41" xr:uid="{00000000-0005-0000-0000-000028000000}"/>
    <cellStyle name="Accent5 2 5 2" xfId="42" xr:uid="{00000000-0005-0000-0000-000029000000}"/>
    <cellStyle name="Accent5 2 6" xfId="43" xr:uid="{00000000-0005-0000-0000-00002A000000}"/>
    <cellStyle name="Accent5 2 6 2" xfId="44" xr:uid="{00000000-0005-0000-0000-00002B000000}"/>
    <cellStyle name="Accent5 2 7" xfId="45" xr:uid="{00000000-0005-0000-0000-00002C000000}"/>
    <cellStyle name="Accent5 2 7 2" xfId="46" xr:uid="{00000000-0005-0000-0000-00002D000000}"/>
    <cellStyle name="Accent5 2 8" xfId="47" xr:uid="{00000000-0005-0000-0000-00002E000000}"/>
    <cellStyle name="Accent5 2 8 2" xfId="48" xr:uid="{00000000-0005-0000-0000-00002F000000}"/>
    <cellStyle name="Accent5 2 9" xfId="49" xr:uid="{00000000-0005-0000-0000-000030000000}"/>
    <cellStyle name="Accent5 2 9 2" xfId="50" xr:uid="{00000000-0005-0000-0000-000031000000}"/>
    <cellStyle name="Check Cell 2" xfId="51" xr:uid="{00000000-0005-0000-0000-000032000000}"/>
    <cellStyle name="Check Cell 2 2" xfId="52" xr:uid="{00000000-0005-0000-0000-000033000000}"/>
    <cellStyle name="Comma" xfId="53" builtinId="3"/>
    <cellStyle name="Comma 10" xfId="54" xr:uid="{00000000-0005-0000-0000-000035000000}"/>
    <cellStyle name="Comma 10 10" xfId="55" xr:uid="{00000000-0005-0000-0000-000036000000}"/>
    <cellStyle name="Comma 10 10 2" xfId="56" xr:uid="{00000000-0005-0000-0000-000037000000}"/>
    <cellStyle name="Comma 10 11" xfId="57" xr:uid="{00000000-0005-0000-0000-000038000000}"/>
    <cellStyle name="Comma 10 11 2" xfId="58" xr:uid="{00000000-0005-0000-0000-000039000000}"/>
    <cellStyle name="Comma 10 12" xfId="59" xr:uid="{00000000-0005-0000-0000-00003A000000}"/>
    <cellStyle name="Comma 10 12 2" xfId="60" xr:uid="{00000000-0005-0000-0000-00003B000000}"/>
    <cellStyle name="Comma 10 13" xfId="61" xr:uid="{00000000-0005-0000-0000-00003C000000}"/>
    <cellStyle name="Comma 10 13 2" xfId="62" xr:uid="{00000000-0005-0000-0000-00003D000000}"/>
    <cellStyle name="Comma 10 14" xfId="63" xr:uid="{00000000-0005-0000-0000-00003E000000}"/>
    <cellStyle name="Comma 10 14 2" xfId="64" xr:uid="{00000000-0005-0000-0000-00003F000000}"/>
    <cellStyle name="Comma 10 15" xfId="65" xr:uid="{00000000-0005-0000-0000-000040000000}"/>
    <cellStyle name="Comma 10 15 2" xfId="66" xr:uid="{00000000-0005-0000-0000-000041000000}"/>
    <cellStyle name="Comma 10 16" xfId="67" xr:uid="{00000000-0005-0000-0000-000042000000}"/>
    <cellStyle name="Comma 10 16 2" xfId="68" xr:uid="{00000000-0005-0000-0000-000043000000}"/>
    <cellStyle name="Comma 10 17" xfId="69" xr:uid="{00000000-0005-0000-0000-000044000000}"/>
    <cellStyle name="Comma 10 19" xfId="70" xr:uid="{00000000-0005-0000-0000-000045000000}"/>
    <cellStyle name="Comma 10 2" xfId="71" xr:uid="{00000000-0005-0000-0000-000046000000}"/>
    <cellStyle name="Comma 10 2 2" xfId="72" xr:uid="{00000000-0005-0000-0000-000047000000}"/>
    <cellStyle name="Comma 10 3" xfId="73" xr:uid="{00000000-0005-0000-0000-000048000000}"/>
    <cellStyle name="Comma 10 3 2" xfId="74" xr:uid="{00000000-0005-0000-0000-000049000000}"/>
    <cellStyle name="Comma 10 4" xfId="75" xr:uid="{00000000-0005-0000-0000-00004A000000}"/>
    <cellStyle name="Comma 10 4 2" xfId="76" xr:uid="{00000000-0005-0000-0000-00004B000000}"/>
    <cellStyle name="Comma 10 5" xfId="77" xr:uid="{00000000-0005-0000-0000-00004C000000}"/>
    <cellStyle name="Comma 10 5 2" xfId="78" xr:uid="{00000000-0005-0000-0000-00004D000000}"/>
    <cellStyle name="Comma 10 6" xfId="79" xr:uid="{00000000-0005-0000-0000-00004E000000}"/>
    <cellStyle name="Comma 10 6 2" xfId="80" xr:uid="{00000000-0005-0000-0000-00004F000000}"/>
    <cellStyle name="Comma 10 7" xfId="81" xr:uid="{00000000-0005-0000-0000-000050000000}"/>
    <cellStyle name="Comma 10 7 2" xfId="82" xr:uid="{00000000-0005-0000-0000-000051000000}"/>
    <cellStyle name="Comma 10 8" xfId="83" xr:uid="{00000000-0005-0000-0000-000052000000}"/>
    <cellStyle name="Comma 10 8 2" xfId="84" xr:uid="{00000000-0005-0000-0000-000053000000}"/>
    <cellStyle name="Comma 10 9" xfId="85" xr:uid="{00000000-0005-0000-0000-000054000000}"/>
    <cellStyle name="Comma 10 9 2" xfId="86" xr:uid="{00000000-0005-0000-0000-000055000000}"/>
    <cellStyle name="Comma 11" xfId="87" xr:uid="{00000000-0005-0000-0000-000056000000}"/>
    <cellStyle name="Comma 11 10" xfId="88" xr:uid="{00000000-0005-0000-0000-000057000000}"/>
    <cellStyle name="Comma 11 10 2" xfId="89" xr:uid="{00000000-0005-0000-0000-000058000000}"/>
    <cellStyle name="Comma 11 11" xfId="90" xr:uid="{00000000-0005-0000-0000-000059000000}"/>
    <cellStyle name="Comma 11 11 2" xfId="91" xr:uid="{00000000-0005-0000-0000-00005A000000}"/>
    <cellStyle name="Comma 11 12" xfId="92" xr:uid="{00000000-0005-0000-0000-00005B000000}"/>
    <cellStyle name="Comma 11 12 2" xfId="93" xr:uid="{00000000-0005-0000-0000-00005C000000}"/>
    <cellStyle name="Comma 11 13" xfId="94" xr:uid="{00000000-0005-0000-0000-00005D000000}"/>
    <cellStyle name="Comma 11 13 2" xfId="95" xr:uid="{00000000-0005-0000-0000-00005E000000}"/>
    <cellStyle name="Comma 11 14" xfId="96" xr:uid="{00000000-0005-0000-0000-00005F000000}"/>
    <cellStyle name="Comma 11 14 2" xfId="97" xr:uid="{00000000-0005-0000-0000-000060000000}"/>
    <cellStyle name="Comma 11 15" xfId="98" xr:uid="{00000000-0005-0000-0000-000061000000}"/>
    <cellStyle name="Comma 11 15 2" xfId="99" xr:uid="{00000000-0005-0000-0000-000062000000}"/>
    <cellStyle name="Comma 11 16" xfId="100" xr:uid="{00000000-0005-0000-0000-000063000000}"/>
    <cellStyle name="Comma 11 16 2" xfId="101" xr:uid="{00000000-0005-0000-0000-000064000000}"/>
    <cellStyle name="Comma 11 17" xfId="102" xr:uid="{00000000-0005-0000-0000-000065000000}"/>
    <cellStyle name="Comma 11 17 2" xfId="103" xr:uid="{00000000-0005-0000-0000-000066000000}"/>
    <cellStyle name="Comma 11 18" xfId="104" xr:uid="{00000000-0005-0000-0000-000067000000}"/>
    <cellStyle name="Comma 11 2" xfId="105" xr:uid="{00000000-0005-0000-0000-000068000000}"/>
    <cellStyle name="Comma 11 2 2" xfId="106" xr:uid="{00000000-0005-0000-0000-000069000000}"/>
    <cellStyle name="Comma 11 2 2 2" xfId="107" xr:uid="{00000000-0005-0000-0000-00006A000000}"/>
    <cellStyle name="Comma 11 2 3" xfId="108" xr:uid="{00000000-0005-0000-0000-00006B000000}"/>
    <cellStyle name="Comma 11 3" xfId="109" xr:uid="{00000000-0005-0000-0000-00006C000000}"/>
    <cellStyle name="Comma 11 3 2" xfId="110" xr:uid="{00000000-0005-0000-0000-00006D000000}"/>
    <cellStyle name="Comma 11 4" xfId="111" xr:uid="{00000000-0005-0000-0000-00006E000000}"/>
    <cellStyle name="Comma 11 4 2" xfId="112" xr:uid="{00000000-0005-0000-0000-00006F000000}"/>
    <cellStyle name="Comma 11 5" xfId="113" xr:uid="{00000000-0005-0000-0000-000070000000}"/>
    <cellStyle name="Comma 11 5 2" xfId="114" xr:uid="{00000000-0005-0000-0000-000071000000}"/>
    <cellStyle name="Comma 11 6" xfId="115" xr:uid="{00000000-0005-0000-0000-000072000000}"/>
    <cellStyle name="Comma 11 6 2" xfId="116" xr:uid="{00000000-0005-0000-0000-000073000000}"/>
    <cellStyle name="Comma 11 7" xfId="117" xr:uid="{00000000-0005-0000-0000-000074000000}"/>
    <cellStyle name="Comma 11 7 2" xfId="118" xr:uid="{00000000-0005-0000-0000-000075000000}"/>
    <cellStyle name="Comma 11 8" xfId="119" xr:uid="{00000000-0005-0000-0000-000076000000}"/>
    <cellStyle name="Comma 11 8 2" xfId="120" xr:uid="{00000000-0005-0000-0000-000077000000}"/>
    <cellStyle name="Comma 11 9" xfId="121" xr:uid="{00000000-0005-0000-0000-000078000000}"/>
    <cellStyle name="Comma 11 9 2" xfId="122" xr:uid="{00000000-0005-0000-0000-000079000000}"/>
    <cellStyle name="Comma 12" xfId="123" xr:uid="{00000000-0005-0000-0000-00007A000000}"/>
    <cellStyle name="Comma 12 2" xfId="124" xr:uid="{00000000-0005-0000-0000-00007B000000}"/>
    <cellStyle name="Comma 13" xfId="125" xr:uid="{00000000-0005-0000-0000-00007C000000}"/>
    <cellStyle name="Comma 13 2" xfId="126" xr:uid="{00000000-0005-0000-0000-00007D000000}"/>
    <cellStyle name="Comma 14" xfId="127" xr:uid="{00000000-0005-0000-0000-00007E000000}"/>
    <cellStyle name="Comma 14 2" xfId="128" xr:uid="{00000000-0005-0000-0000-00007F000000}"/>
    <cellStyle name="Comma 15" xfId="129" xr:uid="{00000000-0005-0000-0000-000080000000}"/>
    <cellStyle name="Comma 15 2" xfId="130" xr:uid="{00000000-0005-0000-0000-000081000000}"/>
    <cellStyle name="Comma 16" xfId="131" xr:uid="{00000000-0005-0000-0000-000082000000}"/>
    <cellStyle name="Comma 16 10" xfId="132" xr:uid="{00000000-0005-0000-0000-000083000000}"/>
    <cellStyle name="Comma 16 10 2" xfId="133" xr:uid="{00000000-0005-0000-0000-000084000000}"/>
    <cellStyle name="Comma 16 11" xfId="134" xr:uid="{00000000-0005-0000-0000-000085000000}"/>
    <cellStyle name="Comma 16 11 2" xfId="135" xr:uid="{00000000-0005-0000-0000-000086000000}"/>
    <cellStyle name="Comma 16 12" xfId="136" xr:uid="{00000000-0005-0000-0000-000087000000}"/>
    <cellStyle name="Comma 16 12 2" xfId="137" xr:uid="{00000000-0005-0000-0000-000088000000}"/>
    <cellStyle name="Comma 16 13" xfId="138" xr:uid="{00000000-0005-0000-0000-000089000000}"/>
    <cellStyle name="Comma 16 13 2" xfId="139" xr:uid="{00000000-0005-0000-0000-00008A000000}"/>
    <cellStyle name="Comma 16 14" xfId="140" xr:uid="{00000000-0005-0000-0000-00008B000000}"/>
    <cellStyle name="Comma 16 14 2" xfId="141" xr:uid="{00000000-0005-0000-0000-00008C000000}"/>
    <cellStyle name="Comma 16 15" xfId="142" xr:uid="{00000000-0005-0000-0000-00008D000000}"/>
    <cellStyle name="Comma 16 15 2" xfId="143" xr:uid="{00000000-0005-0000-0000-00008E000000}"/>
    <cellStyle name="Comma 16 16" xfId="144" xr:uid="{00000000-0005-0000-0000-00008F000000}"/>
    <cellStyle name="Comma 16 16 2" xfId="145" xr:uid="{00000000-0005-0000-0000-000090000000}"/>
    <cellStyle name="Comma 16 17" xfId="146" xr:uid="{00000000-0005-0000-0000-000091000000}"/>
    <cellStyle name="Comma 16 2" xfId="147" xr:uid="{00000000-0005-0000-0000-000092000000}"/>
    <cellStyle name="Comma 16 2 2" xfId="148" xr:uid="{00000000-0005-0000-0000-000093000000}"/>
    <cellStyle name="Comma 16 3" xfId="149" xr:uid="{00000000-0005-0000-0000-000094000000}"/>
    <cellStyle name="Comma 16 3 2" xfId="150" xr:uid="{00000000-0005-0000-0000-000095000000}"/>
    <cellStyle name="Comma 16 4" xfId="151" xr:uid="{00000000-0005-0000-0000-000096000000}"/>
    <cellStyle name="Comma 16 4 2" xfId="152" xr:uid="{00000000-0005-0000-0000-000097000000}"/>
    <cellStyle name="Comma 16 5" xfId="153" xr:uid="{00000000-0005-0000-0000-000098000000}"/>
    <cellStyle name="Comma 16 5 2" xfId="154" xr:uid="{00000000-0005-0000-0000-000099000000}"/>
    <cellStyle name="Comma 16 6" xfId="155" xr:uid="{00000000-0005-0000-0000-00009A000000}"/>
    <cellStyle name="Comma 16 6 2" xfId="156" xr:uid="{00000000-0005-0000-0000-00009B000000}"/>
    <cellStyle name="Comma 16 7" xfId="157" xr:uid="{00000000-0005-0000-0000-00009C000000}"/>
    <cellStyle name="Comma 16 7 2" xfId="158" xr:uid="{00000000-0005-0000-0000-00009D000000}"/>
    <cellStyle name="Comma 16 8" xfId="159" xr:uid="{00000000-0005-0000-0000-00009E000000}"/>
    <cellStyle name="Comma 16 8 2" xfId="160" xr:uid="{00000000-0005-0000-0000-00009F000000}"/>
    <cellStyle name="Comma 16 9" xfId="161" xr:uid="{00000000-0005-0000-0000-0000A0000000}"/>
    <cellStyle name="Comma 16 9 2" xfId="162" xr:uid="{00000000-0005-0000-0000-0000A1000000}"/>
    <cellStyle name="Comma 17" xfId="163" xr:uid="{00000000-0005-0000-0000-0000A2000000}"/>
    <cellStyle name="Comma 17 10" xfId="164" xr:uid="{00000000-0005-0000-0000-0000A3000000}"/>
    <cellStyle name="Comma 17 10 2" xfId="165" xr:uid="{00000000-0005-0000-0000-0000A4000000}"/>
    <cellStyle name="Comma 17 11" xfId="166" xr:uid="{00000000-0005-0000-0000-0000A5000000}"/>
    <cellStyle name="Comma 17 2" xfId="167" xr:uid="{00000000-0005-0000-0000-0000A6000000}"/>
    <cellStyle name="Comma 17 2 2" xfId="168" xr:uid="{00000000-0005-0000-0000-0000A7000000}"/>
    <cellStyle name="Comma 17 3" xfId="169" xr:uid="{00000000-0005-0000-0000-0000A8000000}"/>
    <cellStyle name="Comma 17 3 2" xfId="170" xr:uid="{00000000-0005-0000-0000-0000A9000000}"/>
    <cellStyle name="Comma 17 4" xfId="171" xr:uid="{00000000-0005-0000-0000-0000AA000000}"/>
    <cellStyle name="Comma 17 4 2" xfId="172" xr:uid="{00000000-0005-0000-0000-0000AB000000}"/>
    <cellStyle name="Comma 17 5" xfId="173" xr:uid="{00000000-0005-0000-0000-0000AC000000}"/>
    <cellStyle name="Comma 17 5 2" xfId="174" xr:uid="{00000000-0005-0000-0000-0000AD000000}"/>
    <cellStyle name="Comma 17 6" xfId="175" xr:uid="{00000000-0005-0000-0000-0000AE000000}"/>
    <cellStyle name="Comma 17 6 2" xfId="176" xr:uid="{00000000-0005-0000-0000-0000AF000000}"/>
    <cellStyle name="Comma 17 7" xfId="177" xr:uid="{00000000-0005-0000-0000-0000B0000000}"/>
    <cellStyle name="Comma 17 7 2" xfId="178" xr:uid="{00000000-0005-0000-0000-0000B1000000}"/>
    <cellStyle name="Comma 17 8" xfId="179" xr:uid="{00000000-0005-0000-0000-0000B2000000}"/>
    <cellStyle name="Comma 17 8 2" xfId="180" xr:uid="{00000000-0005-0000-0000-0000B3000000}"/>
    <cellStyle name="Comma 17 9" xfId="181" xr:uid="{00000000-0005-0000-0000-0000B4000000}"/>
    <cellStyle name="Comma 17 9 2" xfId="182" xr:uid="{00000000-0005-0000-0000-0000B5000000}"/>
    <cellStyle name="Comma 18" xfId="183" xr:uid="{00000000-0005-0000-0000-0000B6000000}"/>
    <cellStyle name="Comma 18 2" xfId="184" xr:uid="{00000000-0005-0000-0000-0000B7000000}"/>
    <cellStyle name="Comma 19" xfId="185" xr:uid="{00000000-0005-0000-0000-0000B8000000}"/>
    <cellStyle name="Comma 2" xfId="186" xr:uid="{00000000-0005-0000-0000-0000B9000000}"/>
    <cellStyle name="Comma 2 10" xfId="187" xr:uid="{00000000-0005-0000-0000-0000BA000000}"/>
    <cellStyle name="Comma 2 10 2" xfId="188" xr:uid="{00000000-0005-0000-0000-0000BB000000}"/>
    <cellStyle name="Comma 2 11" xfId="189" xr:uid="{00000000-0005-0000-0000-0000BC000000}"/>
    <cellStyle name="Comma 2 11 2" xfId="190" xr:uid="{00000000-0005-0000-0000-0000BD000000}"/>
    <cellStyle name="Comma 2 12" xfId="191" xr:uid="{00000000-0005-0000-0000-0000BE000000}"/>
    <cellStyle name="Comma 2 12 2" xfId="192" xr:uid="{00000000-0005-0000-0000-0000BF000000}"/>
    <cellStyle name="Comma 2 13" xfId="193" xr:uid="{00000000-0005-0000-0000-0000C0000000}"/>
    <cellStyle name="Comma 2 13 2" xfId="194" xr:uid="{00000000-0005-0000-0000-0000C1000000}"/>
    <cellStyle name="Comma 2 14" xfId="195" xr:uid="{00000000-0005-0000-0000-0000C2000000}"/>
    <cellStyle name="Comma 2 14 2" xfId="196" xr:uid="{00000000-0005-0000-0000-0000C3000000}"/>
    <cellStyle name="Comma 2 15" xfId="197" xr:uid="{00000000-0005-0000-0000-0000C4000000}"/>
    <cellStyle name="Comma 2 15 2" xfId="198" xr:uid="{00000000-0005-0000-0000-0000C5000000}"/>
    <cellStyle name="Comma 2 16" xfId="199" xr:uid="{00000000-0005-0000-0000-0000C6000000}"/>
    <cellStyle name="Comma 2 16 2" xfId="200" xr:uid="{00000000-0005-0000-0000-0000C7000000}"/>
    <cellStyle name="Comma 2 17" xfId="201" xr:uid="{00000000-0005-0000-0000-0000C8000000}"/>
    <cellStyle name="Comma 2 17 2" xfId="202" xr:uid="{00000000-0005-0000-0000-0000C9000000}"/>
    <cellStyle name="Comma 2 18" xfId="203" xr:uid="{00000000-0005-0000-0000-0000CA000000}"/>
    <cellStyle name="Comma 2 18 2" xfId="204" xr:uid="{00000000-0005-0000-0000-0000CB000000}"/>
    <cellStyle name="Comma 2 19" xfId="205" xr:uid="{00000000-0005-0000-0000-0000CC000000}"/>
    <cellStyle name="Comma 2 19 2" xfId="206" xr:uid="{00000000-0005-0000-0000-0000CD000000}"/>
    <cellStyle name="Comma 2 2" xfId="207" xr:uid="{00000000-0005-0000-0000-0000CE000000}"/>
    <cellStyle name="Comma 2 2 2" xfId="208" xr:uid="{00000000-0005-0000-0000-0000CF000000}"/>
    <cellStyle name="Comma 2 20" xfId="209" xr:uid="{00000000-0005-0000-0000-0000D0000000}"/>
    <cellStyle name="Comma 2 20 2" xfId="210" xr:uid="{00000000-0005-0000-0000-0000D1000000}"/>
    <cellStyle name="Comma 2 21" xfId="211" xr:uid="{00000000-0005-0000-0000-0000D2000000}"/>
    <cellStyle name="Comma 2 21 2" xfId="212" xr:uid="{00000000-0005-0000-0000-0000D3000000}"/>
    <cellStyle name="Comma 2 22" xfId="213" xr:uid="{00000000-0005-0000-0000-0000D4000000}"/>
    <cellStyle name="Comma 2 22 2" xfId="214" xr:uid="{00000000-0005-0000-0000-0000D5000000}"/>
    <cellStyle name="Comma 2 23" xfId="215" xr:uid="{00000000-0005-0000-0000-0000D6000000}"/>
    <cellStyle name="Comma 2 23 2" xfId="216" xr:uid="{00000000-0005-0000-0000-0000D7000000}"/>
    <cellStyle name="Comma 2 24" xfId="217" xr:uid="{00000000-0005-0000-0000-0000D8000000}"/>
    <cellStyle name="Comma 2 24 2" xfId="218" xr:uid="{00000000-0005-0000-0000-0000D9000000}"/>
    <cellStyle name="Comma 2 25" xfId="219" xr:uid="{00000000-0005-0000-0000-0000DA000000}"/>
    <cellStyle name="Comma 2 25 2" xfId="220" xr:uid="{00000000-0005-0000-0000-0000DB000000}"/>
    <cellStyle name="Comma 2 26" xfId="221" xr:uid="{00000000-0005-0000-0000-0000DC000000}"/>
    <cellStyle name="Comma 2 26 2" xfId="222" xr:uid="{00000000-0005-0000-0000-0000DD000000}"/>
    <cellStyle name="Comma 2 27" xfId="223" xr:uid="{00000000-0005-0000-0000-0000DE000000}"/>
    <cellStyle name="Comma 2 3" xfId="224" xr:uid="{00000000-0005-0000-0000-0000DF000000}"/>
    <cellStyle name="Comma 2 3 2" xfId="225" xr:uid="{00000000-0005-0000-0000-0000E0000000}"/>
    <cellStyle name="Comma 2 4" xfId="226" xr:uid="{00000000-0005-0000-0000-0000E1000000}"/>
    <cellStyle name="Comma 2 4 2" xfId="227" xr:uid="{00000000-0005-0000-0000-0000E2000000}"/>
    <cellStyle name="Comma 2 5" xfId="228" xr:uid="{00000000-0005-0000-0000-0000E3000000}"/>
    <cellStyle name="Comma 2 5 2" xfId="229" xr:uid="{00000000-0005-0000-0000-0000E4000000}"/>
    <cellStyle name="Comma 2 6" xfId="230" xr:uid="{00000000-0005-0000-0000-0000E5000000}"/>
    <cellStyle name="Comma 2 6 2" xfId="231" xr:uid="{00000000-0005-0000-0000-0000E6000000}"/>
    <cellStyle name="Comma 2 7" xfId="232" xr:uid="{00000000-0005-0000-0000-0000E7000000}"/>
    <cellStyle name="Comma 2 7 2" xfId="233" xr:uid="{00000000-0005-0000-0000-0000E8000000}"/>
    <cellStyle name="Comma 2 8" xfId="234" xr:uid="{00000000-0005-0000-0000-0000E9000000}"/>
    <cellStyle name="Comma 2 8 2" xfId="235" xr:uid="{00000000-0005-0000-0000-0000EA000000}"/>
    <cellStyle name="Comma 2 9" xfId="236" xr:uid="{00000000-0005-0000-0000-0000EB000000}"/>
    <cellStyle name="Comma 2 9 2" xfId="237" xr:uid="{00000000-0005-0000-0000-0000EC000000}"/>
    <cellStyle name="Comma 24" xfId="238" xr:uid="{00000000-0005-0000-0000-0000ED000000}"/>
    <cellStyle name="Comma 24 2" xfId="239" xr:uid="{00000000-0005-0000-0000-0000EE000000}"/>
    <cellStyle name="Comma 3" xfId="240" xr:uid="{00000000-0005-0000-0000-0000EF000000}"/>
    <cellStyle name="Comma 3 10" xfId="241" xr:uid="{00000000-0005-0000-0000-0000F0000000}"/>
    <cellStyle name="Comma 3 10 2" xfId="242" xr:uid="{00000000-0005-0000-0000-0000F1000000}"/>
    <cellStyle name="Comma 3 11" xfId="243" xr:uid="{00000000-0005-0000-0000-0000F2000000}"/>
    <cellStyle name="Comma 3 11 2" xfId="244" xr:uid="{00000000-0005-0000-0000-0000F3000000}"/>
    <cellStyle name="Comma 3 12" xfId="245" xr:uid="{00000000-0005-0000-0000-0000F4000000}"/>
    <cellStyle name="Comma 3 12 2" xfId="246" xr:uid="{00000000-0005-0000-0000-0000F5000000}"/>
    <cellStyle name="Comma 3 13" xfId="247" xr:uid="{00000000-0005-0000-0000-0000F6000000}"/>
    <cellStyle name="Comma 3 13 2" xfId="248" xr:uid="{00000000-0005-0000-0000-0000F7000000}"/>
    <cellStyle name="Comma 3 14" xfId="249" xr:uid="{00000000-0005-0000-0000-0000F8000000}"/>
    <cellStyle name="Comma 3 14 2" xfId="250" xr:uid="{00000000-0005-0000-0000-0000F9000000}"/>
    <cellStyle name="Comma 3 15" xfId="251" xr:uid="{00000000-0005-0000-0000-0000FA000000}"/>
    <cellStyle name="Comma 3 15 2" xfId="252" xr:uid="{00000000-0005-0000-0000-0000FB000000}"/>
    <cellStyle name="Comma 3 16" xfId="253" xr:uid="{00000000-0005-0000-0000-0000FC000000}"/>
    <cellStyle name="Comma 3 16 2" xfId="254" xr:uid="{00000000-0005-0000-0000-0000FD000000}"/>
    <cellStyle name="Comma 3 17" xfId="255" xr:uid="{00000000-0005-0000-0000-0000FE000000}"/>
    <cellStyle name="Comma 3 17 2" xfId="256" xr:uid="{00000000-0005-0000-0000-0000FF000000}"/>
    <cellStyle name="Comma 3 18" xfId="257" xr:uid="{00000000-0005-0000-0000-000000010000}"/>
    <cellStyle name="Comma 3 18 2" xfId="258" xr:uid="{00000000-0005-0000-0000-000001010000}"/>
    <cellStyle name="Comma 3 19" xfId="259" xr:uid="{00000000-0005-0000-0000-000002010000}"/>
    <cellStyle name="Comma 3 19 2" xfId="260" xr:uid="{00000000-0005-0000-0000-000003010000}"/>
    <cellStyle name="Comma 3 2" xfId="261" xr:uid="{00000000-0005-0000-0000-000004010000}"/>
    <cellStyle name="Comma 3 2 2" xfId="262" xr:uid="{00000000-0005-0000-0000-000005010000}"/>
    <cellStyle name="Comma 3 20" xfId="263" xr:uid="{00000000-0005-0000-0000-000006010000}"/>
    <cellStyle name="Comma 3 20 2" xfId="264" xr:uid="{00000000-0005-0000-0000-000007010000}"/>
    <cellStyle name="Comma 3 21" xfId="265" xr:uid="{00000000-0005-0000-0000-000008010000}"/>
    <cellStyle name="Comma 3 3" xfId="266" xr:uid="{00000000-0005-0000-0000-000009010000}"/>
    <cellStyle name="Comma 3 3 2" xfId="267" xr:uid="{00000000-0005-0000-0000-00000A010000}"/>
    <cellStyle name="Comma 3 4" xfId="268" xr:uid="{00000000-0005-0000-0000-00000B010000}"/>
    <cellStyle name="Comma 3 4 2" xfId="269" xr:uid="{00000000-0005-0000-0000-00000C010000}"/>
    <cellStyle name="Comma 3 5" xfId="270" xr:uid="{00000000-0005-0000-0000-00000D010000}"/>
    <cellStyle name="Comma 3 5 2" xfId="271" xr:uid="{00000000-0005-0000-0000-00000E010000}"/>
    <cellStyle name="Comma 3 6" xfId="272" xr:uid="{00000000-0005-0000-0000-00000F010000}"/>
    <cellStyle name="Comma 3 6 2" xfId="273" xr:uid="{00000000-0005-0000-0000-000010010000}"/>
    <cellStyle name="Comma 3 7" xfId="274" xr:uid="{00000000-0005-0000-0000-000011010000}"/>
    <cellStyle name="Comma 3 7 2" xfId="275" xr:uid="{00000000-0005-0000-0000-000012010000}"/>
    <cellStyle name="Comma 3 8" xfId="276" xr:uid="{00000000-0005-0000-0000-000013010000}"/>
    <cellStyle name="Comma 3 8 2" xfId="277" xr:uid="{00000000-0005-0000-0000-000014010000}"/>
    <cellStyle name="Comma 3 9" xfId="278" xr:uid="{00000000-0005-0000-0000-000015010000}"/>
    <cellStyle name="Comma 3 9 2" xfId="279" xr:uid="{00000000-0005-0000-0000-000016010000}"/>
    <cellStyle name="Comma 4" xfId="280" xr:uid="{00000000-0005-0000-0000-000017010000}"/>
    <cellStyle name="Comma 4 2" xfId="281" xr:uid="{00000000-0005-0000-0000-000018010000}"/>
    <cellStyle name="Comma 5" xfId="282" xr:uid="{00000000-0005-0000-0000-000019010000}"/>
    <cellStyle name="Comma 5 10" xfId="283" xr:uid="{00000000-0005-0000-0000-00001A010000}"/>
    <cellStyle name="Comma 5 10 2" xfId="284" xr:uid="{00000000-0005-0000-0000-00001B010000}"/>
    <cellStyle name="Comma 5 11" xfId="285" xr:uid="{00000000-0005-0000-0000-00001C010000}"/>
    <cellStyle name="Comma 5 11 2" xfId="286" xr:uid="{00000000-0005-0000-0000-00001D010000}"/>
    <cellStyle name="Comma 5 12" xfId="287" xr:uid="{00000000-0005-0000-0000-00001E010000}"/>
    <cellStyle name="Comma 5 12 2" xfId="288" xr:uid="{00000000-0005-0000-0000-00001F010000}"/>
    <cellStyle name="Comma 5 13" xfId="289" xr:uid="{00000000-0005-0000-0000-000020010000}"/>
    <cellStyle name="Comma 5 13 2" xfId="290" xr:uid="{00000000-0005-0000-0000-000021010000}"/>
    <cellStyle name="Comma 5 14" xfId="291" xr:uid="{00000000-0005-0000-0000-000022010000}"/>
    <cellStyle name="Comma 5 14 2" xfId="292" xr:uid="{00000000-0005-0000-0000-000023010000}"/>
    <cellStyle name="Comma 5 15" xfId="293" xr:uid="{00000000-0005-0000-0000-000024010000}"/>
    <cellStyle name="Comma 5 15 2" xfId="294" xr:uid="{00000000-0005-0000-0000-000025010000}"/>
    <cellStyle name="Comma 5 16" xfId="295" xr:uid="{00000000-0005-0000-0000-000026010000}"/>
    <cellStyle name="Comma 5 16 2" xfId="296" xr:uid="{00000000-0005-0000-0000-000027010000}"/>
    <cellStyle name="Comma 5 17" xfId="297" xr:uid="{00000000-0005-0000-0000-000028010000}"/>
    <cellStyle name="Comma 5 17 2" xfId="298" xr:uid="{00000000-0005-0000-0000-000029010000}"/>
    <cellStyle name="Comma 5 18" xfId="299" xr:uid="{00000000-0005-0000-0000-00002A010000}"/>
    <cellStyle name="Comma 5 18 2" xfId="300" xr:uid="{00000000-0005-0000-0000-00002B010000}"/>
    <cellStyle name="Comma 5 19" xfId="301" xr:uid="{00000000-0005-0000-0000-00002C010000}"/>
    <cellStyle name="Comma 5 19 2" xfId="302" xr:uid="{00000000-0005-0000-0000-00002D010000}"/>
    <cellStyle name="Comma 5 2" xfId="303" xr:uid="{00000000-0005-0000-0000-00002E010000}"/>
    <cellStyle name="Comma 5 2 2" xfId="304" xr:uid="{00000000-0005-0000-0000-00002F010000}"/>
    <cellStyle name="Comma 5 20" xfId="305" xr:uid="{00000000-0005-0000-0000-000030010000}"/>
    <cellStyle name="Comma 5 20 2" xfId="306" xr:uid="{00000000-0005-0000-0000-000031010000}"/>
    <cellStyle name="Comma 5 21" xfId="307" xr:uid="{00000000-0005-0000-0000-000032010000}"/>
    <cellStyle name="Comma 5 3" xfId="308" xr:uid="{00000000-0005-0000-0000-000033010000}"/>
    <cellStyle name="Comma 5 3 2" xfId="309" xr:uid="{00000000-0005-0000-0000-000034010000}"/>
    <cellStyle name="Comma 5 4" xfId="310" xr:uid="{00000000-0005-0000-0000-000035010000}"/>
    <cellStyle name="Comma 5 4 2" xfId="311" xr:uid="{00000000-0005-0000-0000-000036010000}"/>
    <cellStyle name="Comma 5 5" xfId="312" xr:uid="{00000000-0005-0000-0000-000037010000}"/>
    <cellStyle name="Comma 5 5 2" xfId="313" xr:uid="{00000000-0005-0000-0000-000038010000}"/>
    <cellStyle name="Comma 5 6" xfId="314" xr:uid="{00000000-0005-0000-0000-000039010000}"/>
    <cellStyle name="Comma 5 6 2" xfId="315" xr:uid="{00000000-0005-0000-0000-00003A010000}"/>
    <cellStyle name="Comma 5 7" xfId="316" xr:uid="{00000000-0005-0000-0000-00003B010000}"/>
    <cellStyle name="Comma 5 7 2" xfId="317" xr:uid="{00000000-0005-0000-0000-00003C010000}"/>
    <cellStyle name="Comma 5 8" xfId="318" xr:uid="{00000000-0005-0000-0000-00003D010000}"/>
    <cellStyle name="Comma 5 8 2" xfId="319" xr:uid="{00000000-0005-0000-0000-00003E010000}"/>
    <cellStyle name="Comma 5 9" xfId="320" xr:uid="{00000000-0005-0000-0000-00003F010000}"/>
    <cellStyle name="Comma 5 9 2" xfId="321" xr:uid="{00000000-0005-0000-0000-000040010000}"/>
    <cellStyle name="Comma 6" xfId="322" xr:uid="{00000000-0005-0000-0000-000041010000}"/>
    <cellStyle name="Comma 6 10" xfId="323" xr:uid="{00000000-0005-0000-0000-000042010000}"/>
    <cellStyle name="Comma 6 10 2" xfId="324" xr:uid="{00000000-0005-0000-0000-000043010000}"/>
    <cellStyle name="Comma 6 11" xfId="325" xr:uid="{00000000-0005-0000-0000-000044010000}"/>
    <cellStyle name="Comma 6 11 2" xfId="326" xr:uid="{00000000-0005-0000-0000-000045010000}"/>
    <cellStyle name="Comma 6 12" xfId="327" xr:uid="{00000000-0005-0000-0000-000046010000}"/>
    <cellStyle name="Comma 6 12 2" xfId="328" xr:uid="{00000000-0005-0000-0000-000047010000}"/>
    <cellStyle name="Comma 6 13" xfId="329" xr:uid="{00000000-0005-0000-0000-000048010000}"/>
    <cellStyle name="Comma 6 13 2" xfId="330" xr:uid="{00000000-0005-0000-0000-000049010000}"/>
    <cellStyle name="Comma 6 14" xfId="331" xr:uid="{00000000-0005-0000-0000-00004A010000}"/>
    <cellStyle name="Comma 6 14 2" xfId="332" xr:uid="{00000000-0005-0000-0000-00004B010000}"/>
    <cellStyle name="Comma 6 15" xfId="333" xr:uid="{00000000-0005-0000-0000-00004C010000}"/>
    <cellStyle name="Comma 6 15 2" xfId="334" xr:uid="{00000000-0005-0000-0000-00004D010000}"/>
    <cellStyle name="Comma 6 16" xfId="335" xr:uid="{00000000-0005-0000-0000-00004E010000}"/>
    <cellStyle name="Comma 6 16 2" xfId="336" xr:uid="{00000000-0005-0000-0000-00004F010000}"/>
    <cellStyle name="Comma 6 17" xfId="337" xr:uid="{00000000-0005-0000-0000-000050010000}"/>
    <cellStyle name="Comma 6 17 2" xfId="338" xr:uid="{00000000-0005-0000-0000-000051010000}"/>
    <cellStyle name="Comma 6 18" xfId="339" xr:uid="{00000000-0005-0000-0000-000052010000}"/>
    <cellStyle name="Comma 6 18 2" xfId="340" xr:uid="{00000000-0005-0000-0000-000053010000}"/>
    <cellStyle name="Comma 6 19" xfId="341" xr:uid="{00000000-0005-0000-0000-000054010000}"/>
    <cellStyle name="Comma 6 19 2" xfId="342" xr:uid="{00000000-0005-0000-0000-000055010000}"/>
    <cellStyle name="Comma 6 2" xfId="343" xr:uid="{00000000-0005-0000-0000-000056010000}"/>
    <cellStyle name="Comma 6 2 2" xfId="344" xr:uid="{00000000-0005-0000-0000-000057010000}"/>
    <cellStyle name="Comma 6 20" xfId="345" xr:uid="{00000000-0005-0000-0000-000058010000}"/>
    <cellStyle name="Comma 6 3" xfId="346" xr:uid="{00000000-0005-0000-0000-000059010000}"/>
    <cellStyle name="Comma 6 3 2" xfId="347" xr:uid="{00000000-0005-0000-0000-00005A010000}"/>
    <cellStyle name="Comma 6 4" xfId="348" xr:uid="{00000000-0005-0000-0000-00005B010000}"/>
    <cellStyle name="Comma 6 4 2" xfId="349" xr:uid="{00000000-0005-0000-0000-00005C010000}"/>
    <cellStyle name="Comma 6 5" xfId="350" xr:uid="{00000000-0005-0000-0000-00005D010000}"/>
    <cellStyle name="Comma 6 5 2" xfId="351" xr:uid="{00000000-0005-0000-0000-00005E010000}"/>
    <cellStyle name="Comma 6 6" xfId="352" xr:uid="{00000000-0005-0000-0000-00005F010000}"/>
    <cellStyle name="Comma 6 6 2" xfId="353" xr:uid="{00000000-0005-0000-0000-000060010000}"/>
    <cellStyle name="Comma 6 7" xfId="354" xr:uid="{00000000-0005-0000-0000-000061010000}"/>
    <cellStyle name="Comma 6 7 2" xfId="355" xr:uid="{00000000-0005-0000-0000-000062010000}"/>
    <cellStyle name="Comma 6 8" xfId="356" xr:uid="{00000000-0005-0000-0000-000063010000}"/>
    <cellStyle name="Comma 6 8 2" xfId="357" xr:uid="{00000000-0005-0000-0000-000064010000}"/>
    <cellStyle name="Comma 6 9" xfId="358" xr:uid="{00000000-0005-0000-0000-000065010000}"/>
    <cellStyle name="Comma 6 9 2" xfId="359" xr:uid="{00000000-0005-0000-0000-000066010000}"/>
    <cellStyle name="Comma 7" xfId="360" xr:uid="{00000000-0005-0000-0000-000067010000}"/>
    <cellStyle name="Comma 7 10" xfId="361" xr:uid="{00000000-0005-0000-0000-000068010000}"/>
    <cellStyle name="Comma 7 10 2" xfId="362" xr:uid="{00000000-0005-0000-0000-000069010000}"/>
    <cellStyle name="Comma 7 11" xfId="363" xr:uid="{00000000-0005-0000-0000-00006A010000}"/>
    <cellStyle name="Comma 7 11 2" xfId="364" xr:uid="{00000000-0005-0000-0000-00006B010000}"/>
    <cellStyle name="Comma 7 12" xfId="365" xr:uid="{00000000-0005-0000-0000-00006C010000}"/>
    <cellStyle name="Comma 7 12 2" xfId="366" xr:uid="{00000000-0005-0000-0000-00006D010000}"/>
    <cellStyle name="Comma 7 13" xfId="367" xr:uid="{00000000-0005-0000-0000-00006E010000}"/>
    <cellStyle name="Comma 7 13 2" xfId="368" xr:uid="{00000000-0005-0000-0000-00006F010000}"/>
    <cellStyle name="Comma 7 14" xfId="369" xr:uid="{00000000-0005-0000-0000-000070010000}"/>
    <cellStyle name="Comma 7 14 2" xfId="370" xr:uid="{00000000-0005-0000-0000-000071010000}"/>
    <cellStyle name="Comma 7 15" xfId="371" xr:uid="{00000000-0005-0000-0000-000072010000}"/>
    <cellStyle name="Comma 7 15 2" xfId="372" xr:uid="{00000000-0005-0000-0000-000073010000}"/>
    <cellStyle name="Comma 7 16" xfId="373" xr:uid="{00000000-0005-0000-0000-000074010000}"/>
    <cellStyle name="Comma 7 16 2" xfId="374" xr:uid="{00000000-0005-0000-0000-000075010000}"/>
    <cellStyle name="Comma 7 17" xfId="375" xr:uid="{00000000-0005-0000-0000-000076010000}"/>
    <cellStyle name="Comma 7 17 2" xfId="376" xr:uid="{00000000-0005-0000-0000-000077010000}"/>
    <cellStyle name="Comma 7 18" xfId="377" xr:uid="{00000000-0005-0000-0000-000078010000}"/>
    <cellStyle name="Comma 7 18 2" xfId="378" xr:uid="{00000000-0005-0000-0000-000079010000}"/>
    <cellStyle name="Comma 7 19" xfId="379" xr:uid="{00000000-0005-0000-0000-00007A010000}"/>
    <cellStyle name="Comma 7 19 2" xfId="380" xr:uid="{00000000-0005-0000-0000-00007B010000}"/>
    <cellStyle name="Comma 7 2" xfId="381" xr:uid="{00000000-0005-0000-0000-00007C010000}"/>
    <cellStyle name="Comma 7 2 2" xfId="382" xr:uid="{00000000-0005-0000-0000-00007D010000}"/>
    <cellStyle name="Comma 7 20" xfId="383" xr:uid="{00000000-0005-0000-0000-00007E010000}"/>
    <cellStyle name="Comma 7 3" xfId="384" xr:uid="{00000000-0005-0000-0000-00007F010000}"/>
    <cellStyle name="Comma 7 3 2" xfId="385" xr:uid="{00000000-0005-0000-0000-000080010000}"/>
    <cellStyle name="Comma 7 4" xfId="386" xr:uid="{00000000-0005-0000-0000-000081010000}"/>
    <cellStyle name="Comma 7 4 2" xfId="387" xr:uid="{00000000-0005-0000-0000-000082010000}"/>
    <cellStyle name="Comma 7 5" xfId="388" xr:uid="{00000000-0005-0000-0000-000083010000}"/>
    <cellStyle name="Comma 7 5 2" xfId="389" xr:uid="{00000000-0005-0000-0000-000084010000}"/>
    <cellStyle name="Comma 7 6" xfId="390" xr:uid="{00000000-0005-0000-0000-000085010000}"/>
    <cellStyle name="Comma 7 6 2" xfId="391" xr:uid="{00000000-0005-0000-0000-000086010000}"/>
    <cellStyle name="Comma 7 7" xfId="392" xr:uid="{00000000-0005-0000-0000-000087010000}"/>
    <cellStyle name="Comma 7 7 2" xfId="393" xr:uid="{00000000-0005-0000-0000-000088010000}"/>
    <cellStyle name="Comma 7 8" xfId="394" xr:uid="{00000000-0005-0000-0000-000089010000}"/>
    <cellStyle name="Comma 7 8 2" xfId="395" xr:uid="{00000000-0005-0000-0000-00008A010000}"/>
    <cellStyle name="Comma 7 9" xfId="396" xr:uid="{00000000-0005-0000-0000-00008B010000}"/>
    <cellStyle name="Comma 7 9 2" xfId="397" xr:uid="{00000000-0005-0000-0000-00008C010000}"/>
    <cellStyle name="Comma 8" xfId="398" xr:uid="{00000000-0005-0000-0000-00008D010000}"/>
    <cellStyle name="Comma 8 10" xfId="399" xr:uid="{00000000-0005-0000-0000-00008E010000}"/>
    <cellStyle name="Comma 8 10 2" xfId="400" xr:uid="{00000000-0005-0000-0000-00008F010000}"/>
    <cellStyle name="Comma 8 11" xfId="401" xr:uid="{00000000-0005-0000-0000-000090010000}"/>
    <cellStyle name="Comma 8 11 2" xfId="402" xr:uid="{00000000-0005-0000-0000-000091010000}"/>
    <cellStyle name="Comma 8 12" xfId="403" xr:uid="{00000000-0005-0000-0000-000092010000}"/>
    <cellStyle name="Comma 8 12 2" xfId="404" xr:uid="{00000000-0005-0000-0000-000093010000}"/>
    <cellStyle name="Comma 8 13" xfId="405" xr:uid="{00000000-0005-0000-0000-000094010000}"/>
    <cellStyle name="Comma 8 13 2" xfId="406" xr:uid="{00000000-0005-0000-0000-000095010000}"/>
    <cellStyle name="Comma 8 14" xfId="407" xr:uid="{00000000-0005-0000-0000-000096010000}"/>
    <cellStyle name="Comma 8 14 2" xfId="408" xr:uid="{00000000-0005-0000-0000-000097010000}"/>
    <cellStyle name="Comma 8 15" xfId="409" xr:uid="{00000000-0005-0000-0000-000098010000}"/>
    <cellStyle name="Comma 8 15 2" xfId="410" xr:uid="{00000000-0005-0000-0000-000099010000}"/>
    <cellStyle name="Comma 8 16" xfId="411" xr:uid="{00000000-0005-0000-0000-00009A010000}"/>
    <cellStyle name="Comma 8 16 2" xfId="412" xr:uid="{00000000-0005-0000-0000-00009B010000}"/>
    <cellStyle name="Comma 8 17" xfId="413" xr:uid="{00000000-0005-0000-0000-00009C010000}"/>
    <cellStyle name="Comma 8 17 2" xfId="414" xr:uid="{00000000-0005-0000-0000-00009D010000}"/>
    <cellStyle name="Comma 8 18" xfId="415" xr:uid="{00000000-0005-0000-0000-00009E010000}"/>
    <cellStyle name="Comma 8 18 2" xfId="416" xr:uid="{00000000-0005-0000-0000-00009F010000}"/>
    <cellStyle name="Comma 8 19" xfId="417" xr:uid="{00000000-0005-0000-0000-0000A0010000}"/>
    <cellStyle name="Comma 8 19 2" xfId="418" xr:uid="{00000000-0005-0000-0000-0000A1010000}"/>
    <cellStyle name="Comma 8 2" xfId="419" xr:uid="{00000000-0005-0000-0000-0000A2010000}"/>
    <cellStyle name="Comma 8 2 2" xfId="420" xr:uid="{00000000-0005-0000-0000-0000A3010000}"/>
    <cellStyle name="Comma 8 20" xfId="421" xr:uid="{00000000-0005-0000-0000-0000A4010000}"/>
    <cellStyle name="Comma 8 3" xfId="422" xr:uid="{00000000-0005-0000-0000-0000A5010000}"/>
    <cellStyle name="Comma 8 3 2" xfId="423" xr:uid="{00000000-0005-0000-0000-0000A6010000}"/>
    <cellStyle name="Comma 8 4" xfId="424" xr:uid="{00000000-0005-0000-0000-0000A7010000}"/>
    <cellStyle name="Comma 8 4 2" xfId="425" xr:uid="{00000000-0005-0000-0000-0000A8010000}"/>
    <cellStyle name="Comma 8 5" xfId="426" xr:uid="{00000000-0005-0000-0000-0000A9010000}"/>
    <cellStyle name="Comma 8 5 2" xfId="427" xr:uid="{00000000-0005-0000-0000-0000AA010000}"/>
    <cellStyle name="Comma 8 6" xfId="428" xr:uid="{00000000-0005-0000-0000-0000AB010000}"/>
    <cellStyle name="Comma 8 6 2" xfId="429" xr:uid="{00000000-0005-0000-0000-0000AC010000}"/>
    <cellStyle name="Comma 8 7" xfId="430" xr:uid="{00000000-0005-0000-0000-0000AD010000}"/>
    <cellStyle name="Comma 8 7 2" xfId="431" xr:uid="{00000000-0005-0000-0000-0000AE010000}"/>
    <cellStyle name="Comma 8 8" xfId="432" xr:uid="{00000000-0005-0000-0000-0000AF010000}"/>
    <cellStyle name="Comma 8 8 2" xfId="433" xr:uid="{00000000-0005-0000-0000-0000B0010000}"/>
    <cellStyle name="Comma 8 9" xfId="434" xr:uid="{00000000-0005-0000-0000-0000B1010000}"/>
    <cellStyle name="Comma 8 9 2" xfId="435" xr:uid="{00000000-0005-0000-0000-0000B2010000}"/>
    <cellStyle name="Comma 9" xfId="436" xr:uid="{00000000-0005-0000-0000-0000B3010000}"/>
    <cellStyle name="Comma 9 10" xfId="437" xr:uid="{00000000-0005-0000-0000-0000B4010000}"/>
    <cellStyle name="Comma 9 10 2" xfId="438" xr:uid="{00000000-0005-0000-0000-0000B5010000}"/>
    <cellStyle name="Comma 9 11" xfId="439" xr:uid="{00000000-0005-0000-0000-0000B6010000}"/>
    <cellStyle name="Comma 9 11 2" xfId="440" xr:uid="{00000000-0005-0000-0000-0000B7010000}"/>
    <cellStyle name="Comma 9 12" xfId="441" xr:uid="{00000000-0005-0000-0000-0000B8010000}"/>
    <cellStyle name="Comma 9 12 2" xfId="442" xr:uid="{00000000-0005-0000-0000-0000B9010000}"/>
    <cellStyle name="Comma 9 13" xfId="443" xr:uid="{00000000-0005-0000-0000-0000BA010000}"/>
    <cellStyle name="Comma 9 13 2" xfId="444" xr:uid="{00000000-0005-0000-0000-0000BB010000}"/>
    <cellStyle name="Comma 9 14" xfId="445" xr:uid="{00000000-0005-0000-0000-0000BC010000}"/>
    <cellStyle name="Comma 9 14 2" xfId="446" xr:uid="{00000000-0005-0000-0000-0000BD010000}"/>
    <cellStyle name="Comma 9 15" xfId="447" xr:uid="{00000000-0005-0000-0000-0000BE010000}"/>
    <cellStyle name="Comma 9 15 2" xfId="448" xr:uid="{00000000-0005-0000-0000-0000BF010000}"/>
    <cellStyle name="Comma 9 16" xfId="449" xr:uid="{00000000-0005-0000-0000-0000C0010000}"/>
    <cellStyle name="Comma 9 16 2" xfId="450" xr:uid="{00000000-0005-0000-0000-0000C1010000}"/>
    <cellStyle name="Comma 9 17" xfId="451" xr:uid="{00000000-0005-0000-0000-0000C2010000}"/>
    <cellStyle name="Comma 9 17 2" xfId="452" xr:uid="{00000000-0005-0000-0000-0000C3010000}"/>
    <cellStyle name="Comma 9 18" xfId="453" xr:uid="{00000000-0005-0000-0000-0000C4010000}"/>
    <cellStyle name="Comma 9 18 2" xfId="454" xr:uid="{00000000-0005-0000-0000-0000C5010000}"/>
    <cellStyle name="Comma 9 19" xfId="455" xr:uid="{00000000-0005-0000-0000-0000C6010000}"/>
    <cellStyle name="Comma 9 19 2" xfId="456" xr:uid="{00000000-0005-0000-0000-0000C7010000}"/>
    <cellStyle name="Comma 9 2" xfId="457" xr:uid="{00000000-0005-0000-0000-0000C8010000}"/>
    <cellStyle name="Comma 9 2 2" xfId="458" xr:uid="{00000000-0005-0000-0000-0000C9010000}"/>
    <cellStyle name="Comma 9 20" xfId="459" xr:uid="{00000000-0005-0000-0000-0000CA010000}"/>
    <cellStyle name="Comma 9 3" xfId="460" xr:uid="{00000000-0005-0000-0000-0000CB010000}"/>
    <cellStyle name="Comma 9 3 2" xfId="461" xr:uid="{00000000-0005-0000-0000-0000CC010000}"/>
    <cellStyle name="Comma 9 4" xfId="462" xr:uid="{00000000-0005-0000-0000-0000CD010000}"/>
    <cellStyle name="Comma 9 4 2" xfId="463" xr:uid="{00000000-0005-0000-0000-0000CE010000}"/>
    <cellStyle name="Comma 9 5" xfId="464" xr:uid="{00000000-0005-0000-0000-0000CF010000}"/>
    <cellStyle name="Comma 9 5 2" xfId="465" xr:uid="{00000000-0005-0000-0000-0000D0010000}"/>
    <cellStyle name="Comma 9 6" xfId="466" xr:uid="{00000000-0005-0000-0000-0000D1010000}"/>
    <cellStyle name="Comma 9 6 2" xfId="467" xr:uid="{00000000-0005-0000-0000-0000D2010000}"/>
    <cellStyle name="Comma 9 7" xfId="468" xr:uid="{00000000-0005-0000-0000-0000D3010000}"/>
    <cellStyle name="Comma 9 7 2" xfId="469" xr:uid="{00000000-0005-0000-0000-0000D4010000}"/>
    <cellStyle name="Comma 9 8" xfId="470" xr:uid="{00000000-0005-0000-0000-0000D5010000}"/>
    <cellStyle name="Comma 9 8 2" xfId="471" xr:uid="{00000000-0005-0000-0000-0000D6010000}"/>
    <cellStyle name="Comma 9 9" xfId="472" xr:uid="{00000000-0005-0000-0000-0000D7010000}"/>
    <cellStyle name="Comma 9 9 2" xfId="473" xr:uid="{00000000-0005-0000-0000-0000D8010000}"/>
    <cellStyle name="Input 2" xfId="474" xr:uid="{00000000-0005-0000-0000-0000D9010000}"/>
    <cellStyle name="Input 2 2" xfId="475" xr:uid="{00000000-0005-0000-0000-0000DA010000}"/>
    <cellStyle name="Jun" xfId="476" xr:uid="{00000000-0005-0000-0000-0000DB010000}"/>
    <cellStyle name="Normal" xfId="0" builtinId="0"/>
    <cellStyle name="Normal 10" xfId="477" xr:uid="{00000000-0005-0000-0000-0000DD010000}"/>
    <cellStyle name="Normal 10 2" xfId="478" xr:uid="{00000000-0005-0000-0000-0000DE010000}"/>
    <cellStyle name="Normal 10 2 2" xfId="479" xr:uid="{00000000-0005-0000-0000-0000DF010000}"/>
    <cellStyle name="Normal 10 3" xfId="480" xr:uid="{00000000-0005-0000-0000-0000E0010000}"/>
    <cellStyle name="Normal 10 4" xfId="481" xr:uid="{00000000-0005-0000-0000-0000E1010000}"/>
    <cellStyle name="Normal 10 5" xfId="482" xr:uid="{00000000-0005-0000-0000-0000E2010000}"/>
    <cellStyle name="Normal 11" xfId="483" xr:uid="{00000000-0005-0000-0000-0000E3010000}"/>
    <cellStyle name="Normal 12" xfId="484" xr:uid="{00000000-0005-0000-0000-0000E4010000}"/>
    <cellStyle name="Normal 12 2" xfId="485" xr:uid="{00000000-0005-0000-0000-0000E5010000}"/>
    <cellStyle name="Normal 12 3" xfId="486" xr:uid="{00000000-0005-0000-0000-0000E6010000}"/>
    <cellStyle name="Normal 12 4" xfId="487" xr:uid="{00000000-0005-0000-0000-0000E7010000}"/>
    <cellStyle name="Normal 12 5" xfId="488" xr:uid="{00000000-0005-0000-0000-0000E8010000}"/>
    <cellStyle name="Normal 13" xfId="489" xr:uid="{00000000-0005-0000-0000-0000E9010000}"/>
    <cellStyle name="Normal 13 2" xfId="490" xr:uid="{00000000-0005-0000-0000-0000EA010000}"/>
    <cellStyle name="Normal 13 3" xfId="491" xr:uid="{00000000-0005-0000-0000-0000EB010000}"/>
    <cellStyle name="Normal 13 4" xfId="492" xr:uid="{00000000-0005-0000-0000-0000EC010000}"/>
    <cellStyle name="Normal 13 5" xfId="493" xr:uid="{00000000-0005-0000-0000-0000ED010000}"/>
    <cellStyle name="Normal 14" xfId="494" xr:uid="{00000000-0005-0000-0000-0000EE010000}"/>
    <cellStyle name="Normal 14 10" xfId="495" xr:uid="{00000000-0005-0000-0000-0000EF010000}"/>
    <cellStyle name="Normal 14 11" xfId="496" xr:uid="{00000000-0005-0000-0000-0000F0010000}"/>
    <cellStyle name="Normal 14 12" xfId="497" xr:uid="{00000000-0005-0000-0000-0000F1010000}"/>
    <cellStyle name="Normal 14 2" xfId="498" xr:uid="{00000000-0005-0000-0000-0000F2010000}"/>
    <cellStyle name="Normal 14 3" xfId="499" xr:uid="{00000000-0005-0000-0000-0000F3010000}"/>
    <cellStyle name="Normal 14 4" xfId="500" xr:uid="{00000000-0005-0000-0000-0000F4010000}"/>
    <cellStyle name="Normal 14 5" xfId="501" xr:uid="{00000000-0005-0000-0000-0000F5010000}"/>
    <cellStyle name="Normal 14 6" xfId="502" xr:uid="{00000000-0005-0000-0000-0000F6010000}"/>
    <cellStyle name="Normal 14 7" xfId="503" xr:uid="{00000000-0005-0000-0000-0000F7010000}"/>
    <cellStyle name="Normal 14 8" xfId="504" xr:uid="{00000000-0005-0000-0000-0000F8010000}"/>
    <cellStyle name="Normal 14 9" xfId="505" xr:uid="{00000000-0005-0000-0000-0000F9010000}"/>
    <cellStyle name="Normal 15" xfId="506" xr:uid="{00000000-0005-0000-0000-0000FA010000}"/>
    <cellStyle name="Normal 16" xfId="507" xr:uid="{00000000-0005-0000-0000-0000FB010000}"/>
    <cellStyle name="Normal 17" xfId="508" xr:uid="{00000000-0005-0000-0000-0000FC010000}"/>
    <cellStyle name="Normal 17 2" xfId="509" xr:uid="{00000000-0005-0000-0000-0000FD010000}"/>
    <cellStyle name="Normal 17 2 2" xfId="510" xr:uid="{00000000-0005-0000-0000-0000FE010000}"/>
    <cellStyle name="Normal 17 3" xfId="511" xr:uid="{00000000-0005-0000-0000-0000FF010000}"/>
    <cellStyle name="Normal 17 3 2" xfId="512" xr:uid="{00000000-0005-0000-0000-000000020000}"/>
    <cellStyle name="Normal 17 4" xfId="513" xr:uid="{00000000-0005-0000-0000-000001020000}"/>
    <cellStyle name="Normal 17 4 2" xfId="514" xr:uid="{00000000-0005-0000-0000-000002020000}"/>
    <cellStyle name="Normal 17 5" xfId="515" xr:uid="{00000000-0005-0000-0000-000003020000}"/>
    <cellStyle name="Normal 17 5 2" xfId="516" xr:uid="{00000000-0005-0000-0000-000004020000}"/>
    <cellStyle name="Normal 17 6" xfId="517" xr:uid="{00000000-0005-0000-0000-000005020000}"/>
    <cellStyle name="Normal 18" xfId="518" xr:uid="{00000000-0005-0000-0000-000006020000}"/>
    <cellStyle name="Normal 2" xfId="519" xr:uid="{00000000-0005-0000-0000-000007020000}"/>
    <cellStyle name="Normal 2 10" xfId="520" xr:uid="{00000000-0005-0000-0000-000008020000}"/>
    <cellStyle name="Normal 2 11" xfId="521" xr:uid="{00000000-0005-0000-0000-000009020000}"/>
    <cellStyle name="Normal 2 12" xfId="522" xr:uid="{00000000-0005-0000-0000-00000A020000}"/>
    <cellStyle name="Normal 2 13" xfId="523" xr:uid="{00000000-0005-0000-0000-00000B020000}"/>
    <cellStyle name="Normal 2 14" xfId="524" xr:uid="{00000000-0005-0000-0000-00000C020000}"/>
    <cellStyle name="Normal 2 15" xfId="525" xr:uid="{00000000-0005-0000-0000-00000D020000}"/>
    <cellStyle name="Normal 2 16" xfId="526" xr:uid="{00000000-0005-0000-0000-00000E020000}"/>
    <cellStyle name="Normal 2 17" xfId="527" xr:uid="{00000000-0005-0000-0000-00000F020000}"/>
    <cellStyle name="Normal 2 18" xfId="528" xr:uid="{00000000-0005-0000-0000-000010020000}"/>
    <cellStyle name="Normal 2 19" xfId="529" xr:uid="{00000000-0005-0000-0000-000011020000}"/>
    <cellStyle name="Normal 2 2" xfId="530" xr:uid="{00000000-0005-0000-0000-000012020000}"/>
    <cellStyle name="Normal 2 20" xfId="531" xr:uid="{00000000-0005-0000-0000-000013020000}"/>
    <cellStyle name="Normal 2 3" xfId="532" xr:uid="{00000000-0005-0000-0000-000014020000}"/>
    <cellStyle name="Normal 2 4" xfId="533" xr:uid="{00000000-0005-0000-0000-000015020000}"/>
    <cellStyle name="Normal 2 5" xfId="534" xr:uid="{00000000-0005-0000-0000-000016020000}"/>
    <cellStyle name="Normal 2 6" xfId="535" xr:uid="{00000000-0005-0000-0000-000017020000}"/>
    <cellStyle name="Normal 2 7" xfId="536" xr:uid="{00000000-0005-0000-0000-000018020000}"/>
    <cellStyle name="Normal 2 8" xfId="537" xr:uid="{00000000-0005-0000-0000-000019020000}"/>
    <cellStyle name="Normal 2 9" xfId="538" xr:uid="{00000000-0005-0000-0000-00001A020000}"/>
    <cellStyle name="Normal 2_deposits mobilized" xfId="539" xr:uid="{00000000-0005-0000-0000-00001B020000}"/>
    <cellStyle name="Normal 21" xfId="540" xr:uid="{00000000-0005-0000-0000-00001C020000}"/>
    <cellStyle name="Normal 21 10" xfId="541" xr:uid="{00000000-0005-0000-0000-00001D020000}"/>
    <cellStyle name="Normal 21 11" xfId="542" xr:uid="{00000000-0005-0000-0000-00001E020000}"/>
    <cellStyle name="Normal 21 12" xfId="543" xr:uid="{00000000-0005-0000-0000-00001F020000}"/>
    <cellStyle name="Normal 21 13" xfId="544" xr:uid="{00000000-0005-0000-0000-000020020000}"/>
    <cellStyle name="Normal 21 14" xfId="545" xr:uid="{00000000-0005-0000-0000-000021020000}"/>
    <cellStyle name="Normal 21 15" xfId="546" xr:uid="{00000000-0005-0000-0000-000022020000}"/>
    <cellStyle name="Normal 21 16" xfId="547" xr:uid="{00000000-0005-0000-0000-000023020000}"/>
    <cellStyle name="Normal 21 2" xfId="548" xr:uid="{00000000-0005-0000-0000-000024020000}"/>
    <cellStyle name="Normal 21 3" xfId="549" xr:uid="{00000000-0005-0000-0000-000025020000}"/>
    <cellStyle name="Normal 21 4" xfId="550" xr:uid="{00000000-0005-0000-0000-000026020000}"/>
    <cellStyle name="Normal 21 5" xfId="551" xr:uid="{00000000-0005-0000-0000-000027020000}"/>
    <cellStyle name="Normal 21 6" xfId="552" xr:uid="{00000000-0005-0000-0000-000028020000}"/>
    <cellStyle name="Normal 21 7" xfId="553" xr:uid="{00000000-0005-0000-0000-000029020000}"/>
    <cellStyle name="Normal 21 8" xfId="554" xr:uid="{00000000-0005-0000-0000-00002A020000}"/>
    <cellStyle name="Normal 21 9" xfId="555" xr:uid="{00000000-0005-0000-0000-00002B020000}"/>
    <cellStyle name="Normal 22" xfId="556" xr:uid="{00000000-0005-0000-0000-00002C020000}"/>
    <cellStyle name="Normal 26" xfId="557" xr:uid="{00000000-0005-0000-0000-00002D020000}"/>
    <cellStyle name="Normal 27" xfId="558" xr:uid="{00000000-0005-0000-0000-00002E020000}"/>
    <cellStyle name="Normal 3" xfId="559" xr:uid="{00000000-0005-0000-0000-00002F020000}"/>
    <cellStyle name="Normal 3 10" xfId="560" xr:uid="{00000000-0005-0000-0000-000030020000}"/>
    <cellStyle name="Normal 3 11" xfId="561" xr:uid="{00000000-0005-0000-0000-000031020000}"/>
    <cellStyle name="Normal 3 12" xfId="562" xr:uid="{00000000-0005-0000-0000-000032020000}"/>
    <cellStyle name="Normal 3 13" xfId="563" xr:uid="{00000000-0005-0000-0000-000033020000}"/>
    <cellStyle name="Normal 3 14" xfId="564" xr:uid="{00000000-0005-0000-0000-000034020000}"/>
    <cellStyle name="Normal 3 15" xfId="565" xr:uid="{00000000-0005-0000-0000-000035020000}"/>
    <cellStyle name="Normal 3 16" xfId="566" xr:uid="{00000000-0005-0000-0000-000036020000}"/>
    <cellStyle name="Normal 3 17" xfId="567" xr:uid="{00000000-0005-0000-0000-000037020000}"/>
    <cellStyle name="Normal 3 18" xfId="568" xr:uid="{00000000-0005-0000-0000-000038020000}"/>
    <cellStyle name="Normal 3 19" xfId="569" xr:uid="{00000000-0005-0000-0000-000039020000}"/>
    <cellStyle name="Normal 3 2" xfId="570" xr:uid="{00000000-0005-0000-0000-00003A020000}"/>
    <cellStyle name="Normal 3 20" xfId="571" xr:uid="{00000000-0005-0000-0000-00003B020000}"/>
    <cellStyle name="Normal 3 21" xfId="572" xr:uid="{00000000-0005-0000-0000-00003C020000}"/>
    <cellStyle name="Normal 3 22" xfId="573" xr:uid="{00000000-0005-0000-0000-00003D020000}"/>
    <cellStyle name="Normal 3 23" xfId="574" xr:uid="{00000000-0005-0000-0000-00003E020000}"/>
    <cellStyle name="Normal 3 24" xfId="575" xr:uid="{00000000-0005-0000-0000-00003F020000}"/>
    <cellStyle name="Normal 3 25" xfId="576" xr:uid="{00000000-0005-0000-0000-000040020000}"/>
    <cellStyle name="Normal 3 26" xfId="577" xr:uid="{00000000-0005-0000-0000-000041020000}"/>
    <cellStyle name="Normal 3 27" xfId="578" xr:uid="{00000000-0005-0000-0000-000042020000}"/>
    <cellStyle name="Normal 3 28" xfId="579" xr:uid="{00000000-0005-0000-0000-000043020000}"/>
    <cellStyle name="Normal 3 29" xfId="580" xr:uid="{00000000-0005-0000-0000-000044020000}"/>
    <cellStyle name="Normal 3 3" xfId="581" xr:uid="{00000000-0005-0000-0000-000045020000}"/>
    <cellStyle name="Normal 3 30" xfId="582" xr:uid="{00000000-0005-0000-0000-000046020000}"/>
    <cellStyle name="Normal 3 4" xfId="583" xr:uid="{00000000-0005-0000-0000-000047020000}"/>
    <cellStyle name="Normal 3 5" xfId="584" xr:uid="{00000000-0005-0000-0000-000048020000}"/>
    <cellStyle name="Normal 3 6" xfId="585" xr:uid="{00000000-0005-0000-0000-000049020000}"/>
    <cellStyle name="Normal 3 7" xfId="586" xr:uid="{00000000-0005-0000-0000-00004A020000}"/>
    <cellStyle name="Normal 3 8" xfId="587" xr:uid="{00000000-0005-0000-0000-00004B020000}"/>
    <cellStyle name="Normal 3 9" xfId="588" xr:uid="{00000000-0005-0000-0000-00004C020000}"/>
    <cellStyle name="Normal 3_deposits mobilized" xfId="589" xr:uid="{00000000-0005-0000-0000-00004D020000}"/>
    <cellStyle name="Normal 4" xfId="590" xr:uid="{00000000-0005-0000-0000-00004E020000}"/>
    <cellStyle name="Normal 4 10" xfId="591" xr:uid="{00000000-0005-0000-0000-00004F020000}"/>
    <cellStyle name="Normal 4 11" xfId="592" xr:uid="{00000000-0005-0000-0000-000050020000}"/>
    <cellStyle name="Normal 4 12" xfId="593" xr:uid="{00000000-0005-0000-0000-000051020000}"/>
    <cellStyle name="Normal 4 13" xfId="594" xr:uid="{00000000-0005-0000-0000-000052020000}"/>
    <cellStyle name="Normal 4 14" xfId="595" xr:uid="{00000000-0005-0000-0000-000053020000}"/>
    <cellStyle name="Normal 4 15" xfId="596" xr:uid="{00000000-0005-0000-0000-000054020000}"/>
    <cellStyle name="Normal 4 16" xfId="597" xr:uid="{00000000-0005-0000-0000-000055020000}"/>
    <cellStyle name="Normal 4 17" xfId="598" xr:uid="{00000000-0005-0000-0000-000056020000}"/>
    <cellStyle name="Normal 4 18" xfId="599" xr:uid="{00000000-0005-0000-0000-000057020000}"/>
    <cellStyle name="Normal 4 19" xfId="600" xr:uid="{00000000-0005-0000-0000-000058020000}"/>
    <cellStyle name="Normal 4 2" xfId="601" xr:uid="{00000000-0005-0000-0000-000059020000}"/>
    <cellStyle name="Normal 4 20" xfId="602" xr:uid="{00000000-0005-0000-0000-00005A020000}"/>
    <cellStyle name="Normal 4 21" xfId="603" xr:uid="{00000000-0005-0000-0000-00005B020000}"/>
    <cellStyle name="Normal 4 22" xfId="604" xr:uid="{00000000-0005-0000-0000-00005C020000}"/>
    <cellStyle name="Normal 4 23" xfId="605" xr:uid="{00000000-0005-0000-0000-00005D020000}"/>
    <cellStyle name="Normal 4 24" xfId="606" xr:uid="{00000000-0005-0000-0000-00005E020000}"/>
    <cellStyle name="Normal 4 25" xfId="607" xr:uid="{00000000-0005-0000-0000-00005F020000}"/>
    <cellStyle name="Normal 4 26" xfId="608" xr:uid="{00000000-0005-0000-0000-000060020000}"/>
    <cellStyle name="Normal 4 27" xfId="609" xr:uid="{00000000-0005-0000-0000-000061020000}"/>
    <cellStyle name="Normal 4 28" xfId="610" xr:uid="{00000000-0005-0000-0000-000062020000}"/>
    <cellStyle name="Normal 4 29" xfId="611" xr:uid="{00000000-0005-0000-0000-000063020000}"/>
    <cellStyle name="Normal 4 3" xfId="612" xr:uid="{00000000-0005-0000-0000-000064020000}"/>
    <cellStyle name="Normal 4 30" xfId="613" xr:uid="{00000000-0005-0000-0000-000065020000}"/>
    <cellStyle name="Normal 4 4" xfId="614" xr:uid="{00000000-0005-0000-0000-000066020000}"/>
    <cellStyle name="Normal 4 5" xfId="615" xr:uid="{00000000-0005-0000-0000-000067020000}"/>
    <cellStyle name="Normal 4 6" xfId="616" xr:uid="{00000000-0005-0000-0000-000068020000}"/>
    <cellStyle name="Normal 4 7" xfId="617" xr:uid="{00000000-0005-0000-0000-000069020000}"/>
    <cellStyle name="Normal 4 8" xfId="618" xr:uid="{00000000-0005-0000-0000-00006A020000}"/>
    <cellStyle name="Normal 4 9" xfId="619" xr:uid="{00000000-0005-0000-0000-00006B020000}"/>
    <cellStyle name="Normal 5" xfId="620" xr:uid="{00000000-0005-0000-0000-00006C020000}"/>
    <cellStyle name="Normal 5 10" xfId="621" xr:uid="{00000000-0005-0000-0000-00006D020000}"/>
    <cellStyle name="Normal 5 11" xfId="622" xr:uid="{00000000-0005-0000-0000-00006E020000}"/>
    <cellStyle name="Normal 5 12" xfId="623" xr:uid="{00000000-0005-0000-0000-00006F020000}"/>
    <cellStyle name="Normal 5 13" xfId="624" xr:uid="{00000000-0005-0000-0000-000070020000}"/>
    <cellStyle name="Normal 5 14" xfId="625" xr:uid="{00000000-0005-0000-0000-000071020000}"/>
    <cellStyle name="Normal 5 15" xfId="626" xr:uid="{00000000-0005-0000-0000-000072020000}"/>
    <cellStyle name="Normal 5 2" xfId="627" xr:uid="{00000000-0005-0000-0000-000073020000}"/>
    <cellStyle name="Normal 5 3" xfId="628" xr:uid="{00000000-0005-0000-0000-000074020000}"/>
    <cellStyle name="Normal 5 4" xfId="629" xr:uid="{00000000-0005-0000-0000-000075020000}"/>
    <cellStyle name="Normal 5 5" xfId="630" xr:uid="{00000000-0005-0000-0000-000076020000}"/>
    <cellStyle name="Normal 5 6" xfId="631" xr:uid="{00000000-0005-0000-0000-000077020000}"/>
    <cellStyle name="Normal 5 7" xfId="632" xr:uid="{00000000-0005-0000-0000-000078020000}"/>
    <cellStyle name="Normal 5 8" xfId="633" xr:uid="{00000000-0005-0000-0000-000079020000}"/>
    <cellStyle name="Normal 5 9" xfId="634" xr:uid="{00000000-0005-0000-0000-00007A020000}"/>
    <cellStyle name="Normal 6" xfId="635" xr:uid="{00000000-0005-0000-0000-00007B020000}"/>
    <cellStyle name="Normal 6 2" xfId="636" xr:uid="{00000000-0005-0000-0000-00007C020000}"/>
    <cellStyle name="Normal 6 3" xfId="637" xr:uid="{00000000-0005-0000-0000-00007D020000}"/>
    <cellStyle name="Normal 6 4" xfId="638" xr:uid="{00000000-0005-0000-0000-00007E020000}"/>
    <cellStyle name="Normal 6 5" xfId="639" xr:uid="{00000000-0005-0000-0000-00007F020000}"/>
    <cellStyle name="Normal 7" xfId="640" xr:uid="{00000000-0005-0000-0000-000080020000}"/>
    <cellStyle name="Normal 7 2" xfId="641" xr:uid="{00000000-0005-0000-0000-000081020000}"/>
    <cellStyle name="Normal 7 3" xfId="642" xr:uid="{00000000-0005-0000-0000-000082020000}"/>
    <cellStyle name="Normal 7 4" xfId="643" xr:uid="{00000000-0005-0000-0000-000083020000}"/>
    <cellStyle name="Normal 8" xfId="644" xr:uid="{00000000-0005-0000-0000-000084020000}"/>
    <cellStyle name="Normal 9" xfId="645" xr:uid="{00000000-0005-0000-0000-000085020000}"/>
    <cellStyle name="Normal 9 10" xfId="646" xr:uid="{00000000-0005-0000-0000-000086020000}"/>
    <cellStyle name="Normal 9 10 2" xfId="647" xr:uid="{00000000-0005-0000-0000-000087020000}"/>
    <cellStyle name="Normal 9 11" xfId="648" xr:uid="{00000000-0005-0000-0000-000088020000}"/>
    <cellStyle name="Normal 9 11 2" xfId="649" xr:uid="{00000000-0005-0000-0000-000089020000}"/>
    <cellStyle name="Normal 9 12" xfId="650" xr:uid="{00000000-0005-0000-0000-00008A020000}"/>
    <cellStyle name="Normal 9 12 2" xfId="651" xr:uid="{00000000-0005-0000-0000-00008B020000}"/>
    <cellStyle name="Normal 9 13" xfId="652" xr:uid="{00000000-0005-0000-0000-00008C020000}"/>
    <cellStyle name="Normal 9 14" xfId="653" xr:uid="{00000000-0005-0000-0000-00008D020000}"/>
    <cellStyle name="Normal 9 15" xfId="654" xr:uid="{00000000-0005-0000-0000-00008E020000}"/>
    <cellStyle name="Normal 9 2" xfId="655" xr:uid="{00000000-0005-0000-0000-00008F020000}"/>
    <cellStyle name="Normal 9 2 2" xfId="656" xr:uid="{00000000-0005-0000-0000-000090020000}"/>
    <cellStyle name="Normal 9 2 2 2" xfId="657" xr:uid="{00000000-0005-0000-0000-000091020000}"/>
    <cellStyle name="Normal 9 2 3" xfId="658" xr:uid="{00000000-0005-0000-0000-000092020000}"/>
    <cellStyle name="Normal 9 2 3 2" xfId="659" xr:uid="{00000000-0005-0000-0000-000093020000}"/>
    <cellStyle name="Normal 9 2 4" xfId="660" xr:uid="{00000000-0005-0000-0000-000094020000}"/>
    <cellStyle name="Normal 9 2 4 2" xfId="661" xr:uid="{00000000-0005-0000-0000-000095020000}"/>
    <cellStyle name="Normal 9 3" xfId="662" xr:uid="{00000000-0005-0000-0000-000096020000}"/>
    <cellStyle name="Normal 9 3 2" xfId="663" xr:uid="{00000000-0005-0000-0000-000097020000}"/>
    <cellStyle name="Normal 9 4" xfId="664" xr:uid="{00000000-0005-0000-0000-000098020000}"/>
    <cellStyle name="Normal 9 4 2" xfId="665" xr:uid="{00000000-0005-0000-0000-000099020000}"/>
    <cellStyle name="Normal 9 5" xfId="666" xr:uid="{00000000-0005-0000-0000-00009A020000}"/>
    <cellStyle name="Normal 9 5 2" xfId="667" xr:uid="{00000000-0005-0000-0000-00009B020000}"/>
    <cellStyle name="Normal 9 6" xfId="668" xr:uid="{00000000-0005-0000-0000-00009C020000}"/>
    <cellStyle name="Normal 9 6 2" xfId="669" xr:uid="{00000000-0005-0000-0000-00009D020000}"/>
    <cellStyle name="Normal 9 7" xfId="670" xr:uid="{00000000-0005-0000-0000-00009E020000}"/>
    <cellStyle name="Normal 9 7 2" xfId="671" xr:uid="{00000000-0005-0000-0000-00009F020000}"/>
    <cellStyle name="Normal 9 8" xfId="672" xr:uid="{00000000-0005-0000-0000-0000A0020000}"/>
    <cellStyle name="Normal 9 8 2" xfId="673" xr:uid="{00000000-0005-0000-0000-0000A1020000}"/>
    <cellStyle name="Normal 9 9" xfId="674" xr:uid="{00000000-0005-0000-0000-0000A2020000}"/>
    <cellStyle name="Normal 9 9 2" xfId="675" xr:uid="{00000000-0005-0000-0000-0000A3020000}"/>
    <cellStyle name="Note 2" xfId="676" xr:uid="{00000000-0005-0000-0000-0000A4020000}"/>
    <cellStyle name="Note 2 2" xfId="677" xr:uid="{00000000-0005-0000-0000-0000A5020000}"/>
    <cellStyle name="Per cent" xfId="678" builtinId="5"/>
    <cellStyle name="Percent 2" xfId="679" xr:uid="{00000000-0005-0000-0000-0000A7020000}"/>
    <cellStyle name="Percent 2 2" xfId="680" xr:uid="{00000000-0005-0000-0000-0000A8020000}"/>
    <cellStyle name="Percent 3" xfId="681" xr:uid="{00000000-0005-0000-0000-0000A9020000}"/>
    <cellStyle name="Percent 3 2" xfId="682" xr:uid="{00000000-0005-0000-0000-0000AA020000}"/>
    <cellStyle name="Percent 3 4" xfId="683" xr:uid="{00000000-0005-0000-0000-0000AB020000}"/>
    <cellStyle name="Percent 4" xfId="684" xr:uid="{00000000-0005-0000-0000-0000AC020000}"/>
    <cellStyle name="Percent 5" xfId="685" xr:uid="{00000000-0005-0000-0000-0000AD020000}"/>
    <cellStyle name="Total 2" xfId="686" xr:uid="{00000000-0005-0000-0000-0000AE020000}"/>
    <cellStyle name="Total 2 2" xfId="687" xr:uid="{00000000-0005-0000-0000-0000AF020000}"/>
    <cellStyle name="Total 2 2 2" xfId="688" xr:uid="{00000000-0005-0000-0000-0000B0020000}"/>
    <cellStyle name="Total 2 3" xfId="689" xr:uid="{00000000-0005-0000-0000-0000B102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\Supervision\Documents%20and%20Settings\Francis\My%20Documents\Downloads\Wakenya%20Pamoja%20financials%20(3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 Statements"/>
      <sheetName val="SASRA B.S."/>
      <sheetName val="SASRA I.S."/>
      <sheetName val="SASRA Prudential Ratios"/>
      <sheetName val="PEARLS PL"/>
      <sheetName val="PEARLS BS"/>
      <sheetName val="PEARLS Ratios"/>
      <sheetName val="BS Yr. 1"/>
      <sheetName val="P&amp;L Yr. 1"/>
      <sheetName val="Rates Yr.1"/>
      <sheetName val="PEARLS Yr. 1"/>
      <sheetName val="BS Yr. 2"/>
      <sheetName val="P&amp;L Yr. 2"/>
      <sheetName val="Rates Yr. 2"/>
      <sheetName val="PEARLS Yr. 2"/>
      <sheetName val="BS Yr. 3"/>
      <sheetName val="P&amp;L Yr. 3"/>
      <sheetName val="Rates Yr. 3"/>
      <sheetName val="PEARLS Yr. 3"/>
      <sheetName val="BS Yr. 4"/>
      <sheetName val="P&amp;L Yr. 4"/>
      <sheetName val="Rates Yr. 4"/>
      <sheetName val="PEARLS Yr. 4"/>
      <sheetName val="Pro Forma SASRA BS"/>
      <sheetName val="Pro Forma SASRA P&amp;L "/>
      <sheetName val="SASRA Pro Forma Ratios"/>
      <sheetName val="ProForma PEARLS"/>
      <sheetName val=" Key Regulatory Ratio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4"/>
  <sheetViews>
    <sheetView workbookViewId="0">
      <selection activeCell="I3" sqref="I3"/>
    </sheetView>
  </sheetViews>
  <sheetFormatPr defaultRowHeight="14.45"/>
  <cols>
    <col min="1" max="1" width="16.85546875" bestFit="1" customWidth="1"/>
    <col min="2" max="2" width="14.85546875" bestFit="1" customWidth="1"/>
    <col min="3" max="12" width="13.42578125" bestFit="1" customWidth="1"/>
    <col min="14" max="14" width="13" customWidth="1"/>
  </cols>
  <sheetData>
    <row r="2" spans="1:14" ht="15">
      <c r="B2" s="110" t="s">
        <v>0</v>
      </c>
      <c r="C2" s="135">
        <v>43101</v>
      </c>
      <c r="D2" s="135">
        <v>43133</v>
      </c>
      <c r="E2" s="135">
        <v>43165</v>
      </c>
      <c r="F2" s="135">
        <v>43197</v>
      </c>
      <c r="G2" s="135">
        <v>43229</v>
      </c>
      <c r="H2" s="135">
        <v>43261</v>
      </c>
      <c r="I2" s="135">
        <v>43293</v>
      </c>
      <c r="J2" s="135">
        <v>43325</v>
      </c>
      <c r="K2" s="135">
        <v>43357</v>
      </c>
      <c r="L2" s="135">
        <v>43389</v>
      </c>
      <c r="M2" s="135">
        <v>43421</v>
      </c>
      <c r="N2" s="135">
        <v>43453</v>
      </c>
    </row>
    <row r="3" spans="1:14">
      <c r="A3" s="63" t="s">
        <v>1</v>
      </c>
      <c r="B3" s="109" t="e">
        <f>IF('Prudential Ratios'!#REF!&gt;10,"compliant","not compliant")</f>
        <v>#REF!</v>
      </c>
      <c r="C3" s="109" t="e">
        <f>IF('Prudential Ratios'!#REF!&gt;10,"compliant","not compliant")</f>
        <v>#REF!</v>
      </c>
      <c r="D3" s="109" t="e">
        <f>IF('Prudential Ratios'!#REF!&gt;10,"compliant","not compliant")</f>
        <v>#REF!</v>
      </c>
      <c r="E3" s="64" t="e">
        <f>IF('Prudential Ratios'!#REF!&gt;10,"compliant","not compliant")</f>
        <v>#REF!</v>
      </c>
      <c r="F3" s="109" t="e">
        <f>IF('Prudential Ratios'!#REF!&gt;10,"compliant","not compliant")</f>
        <v>#REF!</v>
      </c>
      <c r="G3" s="64" t="e">
        <f>IF('Prudential Ratios'!#REF!&gt;10,"compliant","not compliant")</f>
        <v>#REF!</v>
      </c>
      <c r="H3" s="64" t="e">
        <f>IF('Prudential Ratios'!#REF!&gt;10,"compliant","not compliant")</f>
        <v>#REF!</v>
      </c>
      <c r="I3" s="109" t="e">
        <f>IF('Prudential Ratios'!#REF!&gt;10,"compliant","not compliant")</f>
        <v>#REF!</v>
      </c>
      <c r="J3" s="109" t="e">
        <f>IF('Prudential Ratios'!#REF!&gt;10,"compliant","not compliant")</f>
        <v>#REF!</v>
      </c>
      <c r="K3" s="109" t="e">
        <f>IF('Prudential Ratios'!#REF!&gt;10,"compliant","not compliant")</f>
        <v>#REF!</v>
      </c>
      <c r="L3" s="64" t="e">
        <f>IF('Prudential Ratios'!#REF!&gt;10,"compliant","not compliant")</f>
        <v>#REF!</v>
      </c>
      <c r="M3" s="109" t="e">
        <f>IF('Prudential Ratios'!#REF!&gt;10,"compliant","not compliant")</f>
        <v>#REF!</v>
      </c>
      <c r="N3" s="64" t="e">
        <f>IF('Prudential Ratios'!#REF!&gt;10,"compliant","not compliant")</f>
        <v>#REF!</v>
      </c>
    </row>
    <row r="4" spans="1:14">
      <c r="A4" s="65" t="s">
        <v>2</v>
      </c>
      <c r="B4" s="64" t="e">
        <f>IF('Prudential Ratios'!#REF!&gt;10%,"compliant","not compliant")</f>
        <v>#REF!</v>
      </c>
      <c r="C4" s="64" t="e">
        <f>IF('Prudential Ratios'!#REF!&gt;10%,"compliant","not compliant")</f>
        <v>#REF!</v>
      </c>
      <c r="D4" s="64" t="e">
        <f>IF('Prudential Ratios'!#REF!&gt;10%,"compliant","not compliant")</f>
        <v>#REF!</v>
      </c>
      <c r="E4" s="64" t="e">
        <f>IF('Prudential Ratios'!#REF!&gt;10%,"compliant","not compliant")</f>
        <v>#REF!</v>
      </c>
      <c r="F4" s="64" t="e">
        <f>IF('Prudential Ratios'!#REF!&gt;10%,"compliant","not compliant")</f>
        <v>#REF!</v>
      </c>
      <c r="G4" s="64" t="e">
        <f>IF('Prudential Ratios'!#REF!&gt;10%,"compliant","not compliant")</f>
        <v>#REF!</v>
      </c>
      <c r="H4" s="64" t="e">
        <f>IF('Prudential Ratios'!#REF!&gt;10%,"compliant","not compliant")</f>
        <v>#REF!</v>
      </c>
      <c r="I4" s="64" t="e">
        <f>IF('Prudential Ratios'!#REF!&gt;10%,"compliant","not compliant")</f>
        <v>#REF!</v>
      </c>
      <c r="J4" s="64" t="e">
        <f>IF('Prudential Ratios'!#REF!&gt;10%,"compliant","not compliant")</f>
        <v>#REF!</v>
      </c>
      <c r="K4" s="64" t="e">
        <f>IF('Prudential Ratios'!#REF!&gt;10%,"compliant","not compliant")</f>
        <v>#REF!</v>
      </c>
      <c r="L4" s="64" t="e">
        <f>IF('Prudential Ratios'!#REF!&gt;10%,"compliant","not compliant")</f>
        <v>#REF!</v>
      </c>
      <c r="M4" s="64" t="e">
        <f>IF('Prudential Ratios'!#REF!&gt;10%,"compliant","not compliant")</f>
        <v>#REF!</v>
      </c>
      <c r="N4" s="64" t="e">
        <f>IF('Prudential Ratios'!#REF!&gt;10%,"compliant","not compliant")</f>
        <v>#REF!</v>
      </c>
    </row>
    <row r="5" spans="1:14">
      <c r="A5" s="65" t="s">
        <v>3</v>
      </c>
      <c r="B5" s="64" t="e">
        <f>IF('Prudential Ratios'!#REF!&gt;8%,"compliant","not compliant")</f>
        <v>#REF!</v>
      </c>
      <c r="C5" s="64" t="e">
        <f>IF('Prudential Ratios'!#REF!&gt;8%,"compliant","not compliant")</f>
        <v>#REF!</v>
      </c>
      <c r="D5" s="64" t="e">
        <f>IF('Prudential Ratios'!#REF!&gt;8%,"compliant","not compliant")</f>
        <v>#REF!</v>
      </c>
      <c r="E5" s="64" t="e">
        <f>IF('Prudential Ratios'!#REF!&gt;8%,"compliant","not compliant")</f>
        <v>#REF!</v>
      </c>
      <c r="F5" s="64" t="e">
        <f>IF('Prudential Ratios'!#REF!&gt;8%,"compliant","not compliant")</f>
        <v>#REF!</v>
      </c>
      <c r="G5" s="64" t="e">
        <f>IF('Prudential Ratios'!#REF!&gt;8%,"compliant","not compliant")</f>
        <v>#REF!</v>
      </c>
      <c r="H5" s="64" t="e">
        <f>IF('Prudential Ratios'!#REF!&gt;8%,"compliant","not compliant")</f>
        <v>#REF!</v>
      </c>
      <c r="I5" s="64" t="e">
        <f>IF('Prudential Ratios'!#REF!&gt;8%,"compliant","not compliant")</f>
        <v>#REF!</v>
      </c>
      <c r="J5" s="64" t="e">
        <f>IF('Prudential Ratios'!#REF!&gt;8%,"compliant","not compliant")</f>
        <v>#REF!</v>
      </c>
      <c r="K5" s="64" t="e">
        <f>IF('Prudential Ratios'!#REF!&gt;8%,"compliant","not compliant")</f>
        <v>#REF!</v>
      </c>
      <c r="L5" s="64" t="e">
        <f>IF('Prudential Ratios'!#REF!&gt;8%,"compliant","not compliant")</f>
        <v>#REF!</v>
      </c>
      <c r="M5" s="64" t="e">
        <f>IF('Prudential Ratios'!#REF!&gt;8%,"compliant","not compliant")</f>
        <v>#REF!</v>
      </c>
      <c r="N5" s="64" t="e">
        <f>IF('Prudential Ratios'!#REF!&gt;8%,"compliant","not compliant")</f>
        <v>#REF!</v>
      </c>
    </row>
    <row r="6" spans="1:14">
      <c r="A6" s="65" t="s">
        <v>4</v>
      </c>
      <c r="B6" s="64" t="e">
        <f>IF('Prudential Ratios'!#REF!&gt;8%,"compliant","not compliant")</f>
        <v>#REF!</v>
      </c>
      <c r="C6" s="64" t="e">
        <f>IF('Prudential Ratios'!#REF!&gt;8%,"compliant","not compliant")</f>
        <v>#REF!</v>
      </c>
      <c r="D6" s="64" t="e">
        <f>IF('Prudential Ratios'!#REF!&gt;8%,"compliant","not compliant")</f>
        <v>#REF!</v>
      </c>
      <c r="E6" s="64" t="e">
        <f>IF('Prudential Ratios'!#REF!&gt;8%,"compliant","not compliant")</f>
        <v>#REF!</v>
      </c>
      <c r="F6" s="64" t="e">
        <f>IF('Prudential Ratios'!#REF!&gt;8%,"compliant","not compliant")</f>
        <v>#REF!</v>
      </c>
      <c r="G6" s="64" t="e">
        <f>IF('Prudential Ratios'!#REF!&gt;8%,"compliant","not compliant")</f>
        <v>#REF!</v>
      </c>
      <c r="H6" s="64" t="e">
        <f>IF('Prudential Ratios'!#REF!&gt;8%,"compliant","not compliant")</f>
        <v>#REF!</v>
      </c>
      <c r="I6" s="64" t="e">
        <f>IF('Prudential Ratios'!#REF!&gt;8%,"compliant","not compliant")</f>
        <v>#REF!</v>
      </c>
      <c r="J6" s="64" t="e">
        <f>IF('Prudential Ratios'!#REF!&gt;8%,"compliant","not compliant")</f>
        <v>#REF!</v>
      </c>
      <c r="K6" s="64" t="e">
        <f>IF('Prudential Ratios'!#REF!&gt;8%,"compliant","not compliant")</f>
        <v>#REF!</v>
      </c>
      <c r="L6" s="64" t="e">
        <f>IF('Prudential Ratios'!#REF!&gt;8%,"compliant","not compliant")</f>
        <v>#REF!</v>
      </c>
      <c r="M6" s="64" t="e">
        <f>IF('Prudential Ratios'!#REF!&gt;8%,"compliant","not compliant")</f>
        <v>#REF!</v>
      </c>
      <c r="N6" s="64" t="e">
        <f>IF('Prudential Ratios'!#REF!&gt;8%,"compliant","not compliant")</f>
        <v>#REF!</v>
      </c>
    </row>
    <row r="7" spans="1:14">
      <c r="A7" s="65" t="s">
        <v>5</v>
      </c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</row>
    <row r="8" spans="1:14">
      <c r="A8" s="65" t="s">
        <v>6</v>
      </c>
      <c r="B8" s="64" t="e">
        <f>IF('Prudential Ratios'!#REF!&gt;15%,"compliant","not compliant")</f>
        <v>#REF!</v>
      </c>
      <c r="C8" s="64" t="e">
        <f>IF('Prudential Ratios'!#REF!&gt;15%,"compliant","not compliant")</f>
        <v>#REF!</v>
      </c>
      <c r="D8" s="64" t="e">
        <f>IF('Prudential Ratios'!#REF!&gt;15%,"compliant","not compliant")</f>
        <v>#REF!</v>
      </c>
      <c r="E8" s="64" t="e">
        <f>IF('Prudential Ratios'!#REF!&gt;15%,"compliant","not compliant")</f>
        <v>#REF!</v>
      </c>
      <c r="F8" s="64" t="e">
        <f>IF('Prudential Ratios'!#REF!&gt;15%,"compliant","not compliant")</f>
        <v>#REF!</v>
      </c>
      <c r="G8" s="64" t="e">
        <f>IF('Prudential Ratios'!#REF!&gt;15%,"compliant","not compliant")</f>
        <v>#REF!</v>
      </c>
      <c r="H8" s="64" t="e">
        <f>IF('Prudential Ratios'!#REF!&gt;15%,"compliant","not compliant")</f>
        <v>#REF!</v>
      </c>
      <c r="I8" s="64" t="e">
        <f>IF('Prudential Ratios'!#REF!&gt;15%,"compliant","not compliant")</f>
        <v>#REF!</v>
      </c>
      <c r="J8" s="64" t="e">
        <f>IF('Prudential Ratios'!#REF!&gt;15%,"compliant","not compliant")</f>
        <v>#REF!</v>
      </c>
      <c r="K8" s="64" t="e">
        <f>IF('Prudential Ratios'!#REF!&gt;15%,"compliant","not compliant")</f>
        <v>#REF!</v>
      </c>
      <c r="L8" s="64" t="e">
        <f>IF('Prudential Ratios'!#REF!&gt;15%,"compliant","not compliant")</f>
        <v>#REF!</v>
      </c>
      <c r="M8" s="64" t="e">
        <f>IF('Prudential Ratios'!#REF!&gt;15%,"compliant","not compliant")</f>
        <v>#REF!</v>
      </c>
      <c r="N8" s="64" t="e">
        <f>IF('Prudential Ratios'!#REF!&gt;15%,"compliant","not compliant")</f>
        <v>#REF!</v>
      </c>
    </row>
    <row r="9" spans="1:14">
      <c r="A9" s="65" t="s">
        <v>7</v>
      </c>
      <c r="B9" s="64" t="e">
        <f>IF('Prudential Ratios'!#REF!&lt;10%,"compliant","not compliant")</f>
        <v>#REF!</v>
      </c>
      <c r="C9" s="64" t="e">
        <f>IF('Prudential Ratios'!#REF!&lt;10%,"compliant","not compliant")</f>
        <v>#REF!</v>
      </c>
      <c r="D9" s="64" t="e">
        <f>IF('Prudential Ratios'!#REF!&lt;10%,"compliant","not compliant")</f>
        <v>#REF!</v>
      </c>
      <c r="E9" s="64" t="e">
        <f>IF('Prudential Ratios'!#REF!&lt;10%,"compliant","not compliant")</f>
        <v>#REF!</v>
      </c>
      <c r="F9" s="64" t="e">
        <f>IF('Prudential Ratios'!#REF!&lt;10%,"compliant","not compliant")</f>
        <v>#REF!</v>
      </c>
      <c r="G9" s="64" t="e">
        <f>IF('Prudential Ratios'!#REF!&lt;10%,"compliant","not compliant")</f>
        <v>#REF!</v>
      </c>
      <c r="H9" s="64" t="e">
        <f>IF('Prudential Ratios'!#REF!&lt;10%,"compliant","not compliant")</f>
        <v>#REF!</v>
      </c>
      <c r="I9" s="64" t="e">
        <f>IF('Prudential Ratios'!#REF!&lt;10%,"compliant","not compliant")</f>
        <v>#REF!</v>
      </c>
      <c r="J9" s="64" t="e">
        <f>IF('Prudential Ratios'!#REF!&lt;10%,"compliant","not compliant")</f>
        <v>#REF!</v>
      </c>
      <c r="K9" s="64" t="e">
        <f>IF('Prudential Ratios'!#REF!&lt;10%,"compliant","not compliant")</f>
        <v>#REF!</v>
      </c>
      <c r="L9" s="64" t="e">
        <f>IF('Prudential Ratios'!#REF!&lt;10%,"compliant","not compliant")</f>
        <v>#REF!</v>
      </c>
      <c r="M9" s="64" t="e">
        <f>IF('Prudential Ratios'!#REF!&lt;10%,"compliant","not compliant")</f>
        <v>#REF!</v>
      </c>
      <c r="N9" s="64" t="e">
        <f>IF('Prudential Ratios'!#REF!&lt;10%,"compliant","not compliant")</f>
        <v>#REF!</v>
      </c>
    </row>
    <row r="10" spans="1:14">
      <c r="A10" s="65" t="s">
        <v>8</v>
      </c>
      <c r="B10" s="64" t="e">
        <f>IF('Prudential Ratios'!#REF!&lt;5%,"compliant","not compliant")</f>
        <v>#REF!</v>
      </c>
      <c r="C10" s="64" t="e">
        <f>IF('Prudential Ratios'!#REF!&lt;5%,"compliant","not compliant")</f>
        <v>#REF!</v>
      </c>
      <c r="D10" s="64" t="e">
        <f>IF('Prudential Ratios'!#REF!&lt;5%,"compliant","not compliant")</f>
        <v>#REF!</v>
      </c>
      <c r="E10" s="64" t="e">
        <f>IF('Prudential Ratios'!#REF!&lt;5%,"compliant","not compliant")</f>
        <v>#REF!</v>
      </c>
      <c r="F10" s="64" t="e">
        <f>IF('Prudential Ratios'!#REF!&lt;5%,"compliant","not compliant")</f>
        <v>#REF!</v>
      </c>
      <c r="G10" s="64" t="e">
        <f>IF('Prudential Ratios'!#REF!&lt;5%,"compliant","not compliant")</f>
        <v>#REF!</v>
      </c>
      <c r="H10" s="64" t="e">
        <f>IF('Prudential Ratios'!#REF!&lt;5%,"compliant","not compliant")</f>
        <v>#REF!</v>
      </c>
      <c r="I10" s="64" t="e">
        <f>IF('Prudential Ratios'!#REF!&lt;5%,"compliant","not compliant")</f>
        <v>#REF!</v>
      </c>
      <c r="J10" s="64" t="e">
        <f>IF('Prudential Ratios'!#REF!&lt;5%,"compliant","not compliant")</f>
        <v>#REF!</v>
      </c>
      <c r="K10" s="64" t="e">
        <f>IF('Prudential Ratios'!#REF!&lt;5%,"compliant","not compliant")</f>
        <v>#REF!</v>
      </c>
      <c r="L10" s="64" t="e">
        <f>IF('Prudential Ratios'!#REF!&lt;5%,"compliant","not compliant")</f>
        <v>#REF!</v>
      </c>
      <c r="M10" s="64" t="e">
        <f>IF('Prudential Ratios'!#REF!&lt;5%,"compliant","not compliant")</f>
        <v>#REF!</v>
      </c>
      <c r="N10" s="64" t="e">
        <f>IF('Prudential Ratios'!#REF!&lt;5%,"compliant","not compliant")</f>
        <v>#REF!</v>
      </c>
    </row>
    <row r="11" spans="1:14">
      <c r="A11" s="65" t="s">
        <v>9</v>
      </c>
      <c r="B11" s="64" t="e">
        <f>IF('Prudential Ratios'!#REF!&lt;5%,"compliant","not compliant")</f>
        <v>#REF!</v>
      </c>
      <c r="C11" s="64" t="e">
        <f>IF('Prudential Ratios'!#REF!&lt;5%,"compliant","not compliant")</f>
        <v>#REF!</v>
      </c>
      <c r="D11" s="64" t="e">
        <f>IF('Prudential Ratios'!#REF!&lt;5%,"compliant","not compliant")</f>
        <v>#REF!</v>
      </c>
      <c r="E11" s="64" t="e">
        <f>IF('Prudential Ratios'!#REF!&lt;5%,"compliant","not compliant")</f>
        <v>#REF!</v>
      </c>
      <c r="F11" s="64" t="e">
        <f>IF('Prudential Ratios'!#REF!&lt;5%,"compliant","not compliant")</f>
        <v>#REF!</v>
      </c>
      <c r="G11" s="64" t="e">
        <f>IF('Prudential Ratios'!#REF!&lt;5%,"compliant","not compliant")</f>
        <v>#REF!</v>
      </c>
      <c r="H11" s="64" t="e">
        <f>IF('Prudential Ratios'!#REF!&lt;5%,"compliant","not compliant")</f>
        <v>#REF!</v>
      </c>
      <c r="I11" s="64" t="e">
        <f>IF('Prudential Ratios'!#REF!&lt;5%,"compliant","not compliant")</f>
        <v>#REF!</v>
      </c>
      <c r="J11" s="64" t="e">
        <f>IF('Prudential Ratios'!#REF!&lt;5%,"compliant","not compliant")</f>
        <v>#REF!</v>
      </c>
      <c r="K11" s="64" t="e">
        <f>IF('Prudential Ratios'!#REF!&lt;5%,"compliant","not compliant")</f>
        <v>#REF!</v>
      </c>
      <c r="L11" s="64" t="e">
        <f>IF('Prudential Ratios'!#REF!&lt;5%,"compliant","not compliant")</f>
        <v>#REF!</v>
      </c>
      <c r="M11" s="64" t="e">
        <f>IF('Prudential Ratios'!#REF!&lt;5%,"compliant","not compliant")</f>
        <v>#REF!</v>
      </c>
      <c r="N11" s="64" t="e">
        <f>IF('Prudential Ratios'!#REF!&lt;5%,"compliant","not compliant")</f>
        <v>#REF!</v>
      </c>
    </row>
    <row r="12" spans="1:14">
      <c r="A12" s="65" t="s">
        <v>10</v>
      </c>
      <c r="B12" s="64" t="e">
        <f>IF('Prudential Ratios'!#REF!&lt;40%,"compliant","not compliant")</f>
        <v>#REF!</v>
      </c>
      <c r="C12" s="64" t="e">
        <f>IF('Prudential Ratios'!#REF!&lt;40%,"compliant","not compliant")</f>
        <v>#REF!</v>
      </c>
      <c r="D12" s="64" t="e">
        <f>IF('Prudential Ratios'!#REF!&lt;40%,"compliant","not compliant")</f>
        <v>#REF!</v>
      </c>
      <c r="E12" s="64" t="e">
        <f>IF('Prudential Ratios'!#REF!&lt;40%,"compliant","not compliant")</f>
        <v>#REF!</v>
      </c>
      <c r="F12" s="64" t="e">
        <f>IF('Prudential Ratios'!#REF!&lt;40%,"compliant","not compliant")</f>
        <v>#REF!</v>
      </c>
      <c r="G12" s="64" t="e">
        <f>IF('Prudential Ratios'!#REF!&lt;40%,"compliant","not compliant")</f>
        <v>#REF!</v>
      </c>
      <c r="H12" s="64" t="e">
        <f>IF('Prudential Ratios'!#REF!&lt;40%,"compliant","not compliant")</f>
        <v>#REF!</v>
      </c>
      <c r="I12" s="64" t="e">
        <f>IF('Prudential Ratios'!#REF!&lt;40%,"compliant","not compliant")</f>
        <v>#REF!</v>
      </c>
      <c r="J12" s="64" t="e">
        <f>IF('Prudential Ratios'!#REF!&lt;40%,"compliant","not compliant")</f>
        <v>#REF!</v>
      </c>
      <c r="K12" s="64" t="e">
        <f>IF('Prudential Ratios'!#REF!&lt;40%,"compliant","not compliant")</f>
        <v>#REF!</v>
      </c>
      <c r="L12" s="64" t="e">
        <f>IF('Prudential Ratios'!#REF!&lt;40%,"compliant","not compliant")</f>
        <v>#REF!</v>
      </c>
      <c r="M12" s="64" t="e">
        <f>IF('Prudential Ratios'!#REF!&lt;40%,"compliant","not compliant")</f>
        <v>#REF!</v>
      </c>
      <c r="N12" s="64" t="e">
        <f>IF('Prudential Ratios'!#REF!&lt;40%,"compliant","not compliant")</f>
        <v>#REF!</v>
      </c>
    </row>
    <row r="13" spans="1:14">
      <c r="A13" s="65" t="s">
        <v>11</v>
      </c>
      <c r="B13" s="64" t="e">
        <f>IF('Prudential Ratios'!#REF!&lt;25%,"compliant","not compliant")</f>
        <v>#REF!</v>
      </c>
      <c r="C13" s="64" t="e">
        <f>IF('Prudential Ratios'!#REF!&lt;25%,"compliant","not compliant")</f>
        <v>#REF!</v>
      </c>
      <c r="D13" s="64" t="e">
        <f>IF('Prudential Ratios'!#REF!&lt;25%,"compliant","not compliant")</f>
        <v>#REF!</v>
      </c>
      <c r="E13" s="64" t="e">
        <f>IF('Prudential Ratios'!#REF!&lt;25%,"compliant","not compliant")</f>
        <v>#REF!</v>
      </c>
      <c r="F13" s="64" t="e">
        <f>IF('Prudential Ratios'!#REF!&lt;25%,"compliant","not compliant")</f>
        <v>#REF!</v>
      </c>
      <c r="G13" s="64" t="e">
        <f>IF('Prudential Ratios'!#REF!&lt;25%,"compliant","not compliant")</f>
        <v>#REF!</v>
      </c>
      <c r="H13" s="64" t="e">
        <f>IF('Prudential Ratios'!#REF!&lt;25%,"compliant","not compliant")</f>
        <v>#REF!</v>
      </c>
      <c r="I13" s="64" t="e">
        <f>IF('Prudential Ratios'!#REF!&lt;25%,"compliant","not compliant")</f>
        <v>#REF!</v>
      </c>
      <c r="J13" s="64" t="e">
        <f>IF('Prudential Ratios'!#REF!&lt;25%,"compliant","not compliant")</f>
        <v>#REF!</v>
      </c>
      <c r="K13" s="64" t="e">
        <f>IF('Prudential Ratios'!#REF!&lt;25%,"compliant","not compliant")</f>
        <v>#REF!</v>
      </c>
      <c r="L13" s="64" t="e">
        <f>IF('Prudential Ratios'!#REF!&lt;25%,"compliant","not compliant")</f>
        <v>#REF!</v>
      </c>
      <c r="M13" s="64" t="e">
        <f>IF('Prudential Ratios'!#REF!&lt;25%,"compliant","not compliant")</f>
        <v>#REF!</v>
      </c>
      <c r="N13" s="64" t="e">
        <f>IF('Prudential Ratios'!#REF!&lt;25%,"compliant","not compliant")</f>
        <v>#REF!</v>
      </c>
    </row>
    <row r="14" spans="1:14">
      <c r="A14" s="65" t="s">
        <v>12</v>
      </c>
      <c r="B14" s="64" t="e">
        <f>IF('SFP-2022'!#REF!='SFP-2022'!#REF!,"balancing","notbalancing")</f>
        <v>#REF!</v>
      </c>
      <c r="C14" s="64" t="e">
        <f>IF('SFP-2022'!#REF!='SFP-2022'!#REF!,"balancing","notbalancing")</f>
        <v>#REF!</v>
      </c>
      <c r="D14" s="64" t="e">
        <f>IF('SFP-2022'!#REF!='SFP-2022'!#REF!,"balancing","notbalancing")</f>
        <v>#REF!</v>
      </c>
      <c r="E14" s="64" t="e">
        <f>IF('SFP-2022'!#REF!='SFP-2022'!#REF!,"balancing","notbalancing")</f>
        <v>#REF!</v>
      </c>
      <c r="F14" s="64" t="e">
        <f>IF('SFP-2022'!#REF!='SFP-2022'!#REF!,"balancing","notbalancing")</f>
        <v>#REF!</v>
      </c>
      <c r="G14" s="64" t="e">
        <f>IF('SFP-2022'!#REF!='SFP-2022'!#REF!,"balancing","notbalancing")</f>
        <v>#REF!</v>
      </c>
      <c r="H14" s="64" t="e">
        <f>IF('SFP-2022'!#REF!='SFP-2022'!#REF!,"balancing","notbalancing")</f>
        <v>#REF!</v>
      </c>
      <c r="I14" s="64" t="e">
        <f>IF('SFP-2022'!#REF!='SFP-2022'!#REF!,"balancing","notbalancing")</f>
        <v>#REF!</v>
      </c>
      <c r="J14" s="64" t="e">
        <f>IF('SFP-2022'!#REF!='SFP-2022'!#REF!,"balancing","notbalancing")</f>
        <v>#REF!</v>
      </c>
      <c r="K14" s="64" t="e">
        <f>IF('SFP-2022'!#REF!='SFP-2022'!#REF!,"balancing","notbalancing")</f>
        <v>#REF!</v>
      </c>
      <c r="L14" s="64" t="e">
        <f>IF('SFP-2022'!#REF!='SFP-2022'!#REF!,"balancing","notbalancing")</f>
        <v>#REF!</v>
      </c>
      <c r="M14" s="64" t="e">
        <f>IF('SFP-2022'!#REF!='SFP-2022'!#REF!,"balancing","notbalancing")</f>
        <v>#REF!</v>
      </c>
      <c r="N14" s="64" t="e">
        <f>IF('SFP-2022'!#REF!='SFP-2022'!#REF!,"balancing","notbalancing")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O76"/>
  <sheetViews>
    <sheetView workbookViewId="0">
      <pane xSplit="4" topLeftCell="AC26" activePane="topRight" state="frozen"/>
      <selection pane="topRight" activeCell="AI55" sqref="AI55:AK58"/>
    </sheetView>
  </sheetViews>
  <sheetFormatPr defaultColWidth="9.140625" defaultRowHeight="13.15"/>
  <cols>
    <col min="1" max="1" width="9.140625" style="1"/>
    <col min="2" max="2" width="4.85546875" style="1" bestFit="1" customWidth="1"/>
    <col min="3" max="3" width="34" style="1" customWidth="1"/>
    <col min="4" max="4" width="10.42578125" style="3" bestFit="1" customWidth="1"/>
    <col min="5" max="5" width="16.140625" style="3" bestFit="1" customWidth="1"/>
    <col min="6" max="6" width="6.85546875" style="1" hidden="1" customWidth="1"/>
    <col min="7" max="7" width="0" style="1" hidden="1" customWidth="1"/>
    <col min="8" max="8" width="9.140625" style="1"/>
    <col min="9" max="10" width="0" style="1" hidden="1" customWidth="1"/>
    <col min="11" max="11" width="9.140625" style="1"/>
    <col min="12" max="13" width="0" style="1" hidden="1" customWidth="1"/>
    <col min="14" max="14" width="9.140625" style="1"/>
    <col min="15" max="16" width="0" style="1" hidden="1" customWidth="1"/>
    <col min="17" max="17" width="13.7109375" style="1" customWidth="1"/>
    <col min="18" max="18" width="19" style="1" customWidth="1"/>
    <col min="19" max="30" width="9.140625" style="1"/>
    <col min="31" max="31" width="13.140625" style="1" customWidth="1"/>
    <col min="32" max="16384" width="9.140625" style="1"/>
  </cols>
  <sheetData>
    <row r="1" spans="2:41">
      <c r="C1" s="2" t="s">
        <v>13</v>
      </c>
    </row>
    <row r="2" spans="2:41" ht="13.9" thickBot="1">
      <c r="C2" s="4" t="s">
        <v>14</v>
      </c>
    </row>
    <row r="3" spans="2:41" s="4" customFormat="1" ht="15" customHeight="1">
      <c r="B3" s="296"/>
      <c r="C3" s="297"/>
      <c r="D3" s="298"/>
      <c r="E3" s="298"/>
      <c r="F3" s="297"/>
      <c r="G3" s="297"/>
      <c r="H3" s="297"/>
      <c r="I3" s="297"/>
      <c r="J3" s="297"/>
      <c r="K3" s="297"/>
      <c r="L3" s="297"/>
      <c r="M3" s="297"/>
      <c r="N3" s="297"/>
      <c r="O3" s="297"/>
      <c r="P3" s="297"/>
      <c r="Q3" s="297"/>
      <c r="R3" s="299"/>
    </row>
    <row r="4" spans="2:41" s="4" customFormat="1">
      <c r="B4" s="300"/>
      <c r="C4" s="281" t="s">
        <v>15</v>
      </c>
      <c r="D4" s="282" t="s">
        <v>16</v>
      </c>
      <c r="E4" s="282" t="s">
        <v>17</v>
      </c>
      <c r="F4" s="283">
        <v>44197</v>
      </c>
      <c r="G4" s="283">
        <v>44228</v>
      </c>
      <c r="H4" s="283">
        <v>44256</v>
      </c>
      <c r="I4" s="283">
        <v>44287</v>
      </c>
      <c r="J4" s="283">
        <v>44317</v>
      </c>
      <c r="K4" s="283">
        <v>44348</v>
      </c>
      <c r="L4" s="283">
        <v>44378</v>
      </c>
      <c r="M4" s="283">
        <v>44409</v>
      </c>
      <c r="N4" s="283">
        <v>44440</v>
      </c>
      <c r="O4" s="283">
        <v>44470</v>
      </c>
      <c r="P4" s="283">
        <v>44501</v>
      </c>
      <c r="Q4" s="283">
        <v>44531</v>
      </c>
      <c r="R4" s="301" t="s">
        <v>18</v>
      </c>
      <c r="S4" s="301">
        <v>44562</v>
      </c>
      <c r="T4" s="301">
        <v>44593</v>
      </c>
      <c r="U4" s="301">
        <v>44621</v>
      </c>
      <c r="V4" s="301">
        <v>44652</v>
      </c>
      <c r="W4" s="301">
        <v>44682</v>
      </c>
      <c r="X4" s="301">
        <v>44713</v>
      </c>
      <c r="Y4" s="301">
        <v>44743</v>
      </c>
      <c r="Z4" s="301">
        <v>44774</v>
      </c>
      <c r="AA4" s="301">
        <v>44805</v>
      </c>
      <c r="AB4" s="301">
        <v>44835</v>
      </c>
      <c r="AC4" s="301">
        <v>44866</v>
      </c>
      <c r="AD4" s="301">
        <v>44896</v>
      </c>
      <c r="AE4" s="301" t="s">
        <v>19</v>
      </c>
      <c r="AF4" s="301">
        <v>44949</v>
      </c>
      <c r="AG4" s="301">
        <v>44980</v>
      </c>
      <c r="AH4" s="301">
        <v>45008</v>
      </c>
      <c r="AI4" s="301">
        <v>45039</v>
      </c>
      <c r="AJ4" s="301">
        <v>45069</v>
      </c>
      <c r="AK4" s="301">
        <v>45100</v>
      </c>
      <c r="AL4" s="301"/>
      <c r="AM4" s="301"/>
      <c r="AN4" s="301"/>
      <c r="AO4" s="301"/>
    </row>
    <row r="5" spans="2:41" s="4" customFormat="1">
      <c r="B5" s="302">
        <v>1</v>
      </c>
      <c r="C5" s="279" t="s">
        <v>20</v>
      </c>
      <c r="D5" s="280"/>
      <c r="E5" s="280"/>
      <c r="F5" s="279"/>
      <c r="G5" s="279"/>
      <c r="H5" s="279"/>
      <c r="I5" s="279"/>
      <c r="J5" s="279"/>
      <c r="K5" s="279"/>
      <c r="L5" s="279"/>
      <c r="M5" s="279"/>
      <c r="N5" s="279"/>
      <c r="O5" s="279"/>
      <c r="P5" s="279"/>
      <c r="Q5" s="279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</row>
    <row r="6" spans="2:41" s="4" customFormat="1">
      <c r="B6" s="303">
        <v>1.1000000000000001</v>
      </c>
      <c r="C6" s="59" t="s">
        <v>21</v>
      </c>
      <c r="D6" s="68" t="s">
        <v>22</v>
      </c>
      <c r="E6" s="55">
        <f>Financials!C14/1000000</f>
        <v>629.59023300000001</v>
      </c>
      <c r="F6" s="55">
        <f>Financials!D14/1000000</f>
        <v>637.74635640999998</v>
      </c>
      <c r="G6" s="55">
        <f>Financials!E14/1000000</f>
        <v>670.01583560000006</v>
      </c>
      <c r="H6" s="55">
        <f>Financials!F14/1000000</f>
        <v>689.21990738000011</v>
      </c>
      <c r="I6" s="55">
        <f>Financials!G14/1000000</f>
        <v>727.80070186</v>
      </c>
      <c r="J6" s="55">
        <f>Financials!H14/1000000</f>
        <v>707.23569318</v>
      </c>
      <c r="K6" s="55">
        <f>Financials!I14/1000000</f>
        <v>716.34862294000004</v>
      </c>
      <c r="L6" s="55">
        <f>Financials!J14/1000000</f>
        <v>724.18981938000013</v>
      </c>
      <c r="M6" s="55">
        <f>Financials!K14/1000000</f>
        <v>740.33401721000007</v>
      </c>
      <c r="N6" s="55">
        <f>Financials!L14/1000000</f>
        <v>749.81336859999999</v>
      </c>
      <c r="O6" s="55">
        <f>Financials!M14/1000000</f>
        <v>764.42200825000009</v>
      </c>
      <c r="P6" s="55">
        <f>Financials!N14/1000000</f>
        <v>780.20285533000003</v>
      </c>
      <c r="Q6" s="55">
        <f>Financials!O14/1000000</f>
        <v>796.28299230999994</v>
      </c>
      <c r="R6" s="304">
        <f>Financials!P14/1000000</f>
        <v>767.36451099999999</v>
      </c>
      <c r="S6" s="304">
        <f>Financials!Q14/1000000</f>
        <v>810.88760418000004</v>
      </c>
      <c r="T6" s="304">
        <f>Financials!R14/1000000</f>
        <v>788.26835261999986</v>
      </c>
      <c r="U6" s="304">
        <f>Financials!S14/1000000</f>
        <v>798.83140314000002</v>
      </c>
      <c r="V6" s="304">
        <f>Financials!T14/1000000</f>
        <v>813.07164107000006</v>
      </c>
      <c r="W6" s="304">
        <f>Financials!U14/1000000</f>
        <v>826.60133976999998</v>
      </c>
      <c r="X6" s="304">
        <f>Financials!V14/1000000</f>
        <v>891.02147821000005</v>
      </c>
      <c r="Y6" s="304">
        <f>Financials!W14/1000000</f>
        <v>895.7281164100001</v>
      </c>
      <c r="Z6" s="304">
        <f>Financials!X14/1000000</f>
        <v>910.54266620999999</v>
      </c>
      <c r="AA6" s="304">
        <f>Financials!Y14/1000000</f>
        <v>922.71420467999997</v>
      </c>
      <c r="AB6" s="304">
        <f>Financials!Z14/1000000</f>
        <v>1019.7399912000001</v>
      </c>
      <c r="AC6" s="304">
        <f>Financials!AA14/1000000</f>
        <v>1039.0812287200001</v>
      </c>
      <c r="AD6" s="304">
        <f>Financials!AB14/1000000</f>
        <v>1035.5753640099999</v>
      </c>
      <c r="AE6" s="304">
        <f>Financials!AC14/1000000</f>
        <v>996.57459600000004</v>
      </c>
      <c r="AF6" s="304">
        <f>Financials!AD14/1000000</f>
        <v>1005.94777277</v>
      </c>
      <c r="AG6" s="304">
        <f>Financials!AE14/1000000</f>
        <v>1016.2522621000001</v>
      </c>
      <c r="AH6" s="304">
        <f>Financials!AF14/1000000</f>
        <v>1101.62392202</v>
      </c>
      <c r="AI6" s="304">
        <f>Financials!AG14/1000000</f>
        <v>1111.2875522500001</v>
      </c>
      <c r="AJ6" s="304">
        <f>Financials!AH14/1000000</f>
        <v>1123.8549192099999</v>
      </c>
      <c r="AK6" s="304">
        <f>Financials!AI14/1000000</f>
        <v>1198.3180497099997</v>
      </c>
      <c r="AL6" s="304"/>
      <c r="AM6" s="304"/>
      <c r="AN6" s="304"/>
      <c r="AO6" s="304"/>
    </row>
    <row r="7" spans="2:41" s="4" customFormat="1">
      <c r="B7" s="303">
        <v>1.2</v>
      </c>
      <c r="C7" s="59" t="s">
        <v>23</v>
      </c>
      <c r="D7" s="68" t="s">
        <v>24</v>
      </c>
      <c r="E7" s="284">
        <f>Financials!C14/Financials!C5</f>
        <v>0.14376602415337503</v>
      </c>
      <c r="F7" s="284">
        <f>Financials!D14/Financials!D5</f>
        <v>0.14528077153700641</v>
      </c>
      <c r="G7" s="284">
        <f>Financials!E14/Financials!E5</f>
        <v>0.15149908079403987</v>
      </c>
      <c r="H7" s="284">
        <f>Financials!F14/Financials!F5</f>
        <v>0.15561638518668716</v>
      </c>
      <c r="I7" s="284">
        <f>Financials!G14/Financials!G5</f>
        <v>0.16282358058544619</v>
      </c>
      <c r="J7" s="284">
        <f>Financials!H14/Financials!H5</f>
        <v>0.15929065670023701</v>
      </c>
      <c r="K7" s="284">
        <f>Financials!I14/Financials!I5</f>
        <v>0.16085586133521534</v>
      </c>
      <c r="L7" s="284">
        <f>Financials!J14/Financials!J5</f>
        <v>0.1580465964071267</v>
      </c>
      <c r="M7" s="284">
        <f>Financials!K14/Financials!K5</f>
        <v>0.16067272944654851</v>
      </c>
      <c r="N7" s="284">
        <f>Financials!L14/Financials!L5</f>
        <v>0.16241217619896758</v>
      </c>
      <c r="O7" s="284">
        <f>Financials!M14/Financials!M5</f>
        <v>0.16605665813199302</v>
      </c>
      <c r="P7" s="284">
        <f>Financials!N14/Financials!N5</f>
        <v>0.16843765245112843</v>
      </c>
      <c r="Q7" s="284">
        <f>Financials!O14/Financials!O5</f>
        <v>0.16887899244569041</v>
      </c>
      <c r="R7" s="56">
        <f>Financials!P14/Financials!P5</f>
        <v>0.16284663727836643</v>
      </c>
      <c r="S7" s="56">
        <f>Financials!Q14/Financials!Q5</f>
        <v>0.1721072016446426</v>
      </c>
      <c r="T7" s="56">
        <f>Financials!R14/Financials!R5</f>
        <v>0.16625546283922044</v>
      </c>
      <c r="U7" s="56">
        <f>Financials!S14/Financials!S5</f>
        <v>0.16818405628335978</v>
      </c>
      <c r="V7" s="56">
        <f>Financials!T14/Financials!T5</f>
        <v>0.17042258691688286</v>
      </c>
      <c r="W7" s="56">
        <f>Financials!U14/Financials!U5</f>
        <v>0.17588322530035355</v>
      </c>
      <c r="X7" s="56">
        <f>Financials!V14/Financials!V5</f>
        <v>0.18579730834679062</v>
      </c>
      <c r="Y7" s="56">
        <f>Financials!W14/Financials!W5</f>
        <v>0.18596836208093781</v>
      </c>
      <c r="Z7" s="56">
        <f>Financials!X14/Financials!X5</f>
        <v>0.18875743849451582</v>
      </c>
      <c r="AA7" s="56">
        <f>Financials!Y14/Financials!Y5</f>
        <v>0.19141182260541889</v>
      </c>
      <c r="AB7" s="56">
        <f>Financials!Z14/Financials!Z5</f>
        <v>0.21294038741966498</v>
      </c>
      <c r="AC7" s="56">
        <f>Financials!AA14/Financials!AA5</f>
        <v>0.21593510014033609</v>
      </c>
      <c r="AD7" s="56">
        <f>Financials!AB14/Financials!AB5</f>
        <v>0.21599450036585197</v>
      </c>
      <c r="AE7" s="56">
        <f>Financials!AC14/Financials!AC5</f>
        <v>0.20835412732375216</v>
      </c>
      <c r="AF7" s="56">
        <f>Financials!AD14/Financials!AD5</f>
        <v>0.20362163064387709</v>
      </c>
      <c r="AG7" s="56">
        <f>Financials!AE14/Financials!AE5</f>
        <v>0.20549190879416152</v>
      </c>
      <c r="AH7" s="56">
        <f>Financials!AF14/Financials!AF5</f>
        <v>0.21992195162781991</v>
      </c>
      <c r="AI7" s="56">
        <f>Financials!AG14/Financials!AG5</f>
        <v>0.21930349592229267</v>
      </c>
      <c r="AJ7" s="56">
        <f>Financials!AH14/Financials!AH5</f>
        <v>0.21955734438488719</v>
      </c>
      <c r="AK7" s="56">
        <f>Financials!AI14/Financials!AI5</f>
        <v>0.23288769579249838</v>
      </c>
      <c r="AL7" s="56"/>
      <c r="AM7" s="56"/>
      <c r="AN7" s="56"/>
      <c r="AO7" s="56"/>
    </row>
    <row r="8" spans="2:41" s="4" customFormat="1">
      <c r="B8" s="303">
        <v>1.3</v>
      </c>
      <c r="C8" s="59" t="s">
        <v>25</v>
      </c>
      <c r="D8" s="68" t="s">
        <v>26</v>
      </c>
      <c r="E8" s="284">
        <f>Financials!C14/Financials!C6</f>
        <v>0.26221750795919535</v>
      </c>
      <c r="F8" s="284">
        <f>Financials!D14/Financials!D6</f>
        <v>0.26444542363423634</v>
      </c>
      <c r="G8" s="284">
        <f>Financials!E14/Financials!E6</f>
        <v>0.27423695048423008</v>
      </c>
      <c r="H8" s="284">
        <f>Financials!F14/Financials!F6</f>
        <v>0.282525809266511</v>
      </c>
      <c r="I8" s="284">
        <f>Financials!G14/Financials!G6</f>
        <v>0.29340120825930349</v>
      </c>
      <c r="J8" s="284">
        <f>Financials!H14/Financials!H6</f>
        <v>0.2865414261663432</v>
      </c>
      <c r="K8" s="284">
        <f>Financials!I14/Financials!I6</f>
        <v>0.28894287841259064</v>
      </c>
      <c r="L8" s="284">
        <f>Financials!J14/Financials!J6</f>
        <v>0.27781484806396534</v>
      </c>
      <c r="M8" s="284">
        <f>Financials!K14/Financials!K6</f>
        <v>0.28238490354998724</v>
      </c>
      <c r="N8" s="284">
        <f>Financials!L14/Financials!L6</f>
        <v>0.28566861917162523</v>
      </c>
      <c r="O8" s="284">
        <f>Financials!M14/Financials!M6</f>
        <v>0.29387835434947124</v>
      </c>
      <c r="P8" s="284">
        <f>Financials!N14/Financials!N6</f>
        <v>0.29826922897136726</v>
      </c>
      <c r="Q8" s="284">
        <f>Financials!O14/Financials!O6</f>
        <v>0.30669282349529969</v>
      </c>
      <c r="R8" s="56">
        <f>Financials!P14/Financials!P6</f>
        <v>0.29555470963154712</v>
      </c>
      <c r="S8" s="56">
        <f>Financials!Q14/Financials!Q6</f>
        <v>0.30946504698465543</v>
      </c>
      <c r="T8" s="56">
        <f>Financials!R14/Financials!R6</f>
        <v>0.29733595797212042</v>
      </c>
      <c r="U8" s="56">
        <f>Financials!S14/Financials!S6</f>
        <v>0.30018212217050455</v>
      </c>
      <c r="V8" s="56">
        <f>Financials!T14/Financials!T6</f>
        <v>0.30340152350312949</v>
      </c>
      <c r="W8" s="56">
        <f>Financials!U14/Financials!U6</f>
        <v>0.30196442004392948</v>
      </c>
      <c r="X8" s="56">
        <f>Financials!V14/Financials!V6</f>
        <v>0.32696453858517033</v>
      </c>
      <c r="Y8" s="56">
        <f>Financials!W14/Financials!W6</f>
        <v>0.32567209459284208</v>
      </c>
      <c r="Z8" s="56">
        <f>Financials!X14/Financials!X6</f>
        <v>0.33191750039239021</v>
      </c>
      <c r="AA8" s="56">
        <f>Financials!Y14/Financials!Y6</f>
        <v>0.33825430303713688</v>
      </c>
      <c r="AB8" s="56">
        <f>Financials!Z14/Financials!Z6</f>
        <v>0.37740463982937872</v>
      </c>
      <c r="AC8" s="56">
        <f>Financials!AA14/Financials!AA6</f>
        <v>0.38413230353447447</v>
      </c>
      <c r="AD8" s="56">
        <f>Financials!AB14/Financials!AB6</f>
        <v>0.38484442222099802</v>
      </c>
      <c r="AE8" s="56">
        <f>Financials!AC14/Financials!AC6</f>
        <v>0.37035080963660544</v>
      </c>
      <c r="AF8" s="56">
        <f>Financials!AD14/Financials!AD6</f>
        <v>0.37310383047076107</v>
      </c>
      <c r="AG8" s="56">
        <f>Financials!AE14/Financials!AE6</f>
        <v>0.37657017416462119</v>
      </c>
      <c r="AH8" s="56">
        <f>Financials!AF14/Financials!AF6</f>
        <v>0.41834142059337392</v>
      </c>
      <c r="AI8" s="56">
        <f>Financials!AG14/Financials!AG6</f>
        <v>0.42144557696046137</v>
      </c>
      <c r="AJ8" s="56">
        <f>Financials!AH14/Financials!AH6</f>
        <v>0.42574297623327201</v>
      </c>
      <c r="AK8" s="56">
        <f>Financials!AI14/Financials!AI6</f>
        <v>0.44084484238067878</v>
      </c>
      <c r="AL8" s="56"/>
      <c r="AM8" s="56"/>
      <c r="AN8" s="56"/>
      <c r="AO8" s="56"/>
    </row>
    <row r="9" spans="2:41" s="4" customFormat="1">
      <c r="B9" s="303">
        <v>1.4</v>
      </c>
      <c r="C9" s="61" t="s">
        <v>27</v>
      </c>
      <c r="D9" s="68" t="s">
        <v>28</v>
      </c>
      <c r="E9" s="284">
        <f>Financials!C18/Financials!C5</f>
        <v>6.4477440215363752E-2</v>
      </c>
      <c r="F9" s="284">
        <f>Financials!D18/Financials!D5</f>
        <v>6.45358877722291E-2</v>
      </c>
      <c r="G9" s="284">
        <f>Financials!E18/Financials!E5</f>
        <v>6.4304703416680917E-2</v>
      </c>
      <c r="H9" s="284">
        <f>Financials!F18/Financials!F5</f>
        <v>6.4477694874607222E-2</v>
      </c>
      <c r="I9" s="284">
        <f>Financials!G18/Financials!G5</f>
        <v>6.4149518665487543E-2</v>
      </c>
      <c r="J9" s="284">
        <f>Financials!H18/Financials!H5</f>
        <v>6.4808328992865497E-2</v>
      </c>
      <c r="K9" s="284">
        <f>Financials!I18/Financials!I5</f>
        <v>6.494082315136504E-2</v>
      </c>
      <c r="L9" s="284">
        <f>Financials!J18/Financials!J5</f>
        <v>6.3402115403675907E-2</v>
      </c>
      <c r="M9" s="284">
        <f>Financials!K18/Financials!K5</f>
        <v>6.3500897548363341E-2</v>
      </c>
      <c r="N9" s="284">
        <f>Financials!L18/Financials!L5</f>
        <v>6.3680367158097814E-2</v>
      </c>
      <c r="O9" s="284">
        <f>Financials!M18/Financials!M5</f>
        <v>6.4165878778336516E-2</v>
      </c>
      <c r="P9" s="284">
        <f>Financials!N18/Financials!N5</f>
        <v>6.4323429165259391E-2</v>
      </c>
      <c r="Q9" s="284">
        <f>Financials!O18/Financials!O5</f>
        <v>6.3709724830642578E-2</v>
      </c>
      <c r="R9" s="56">
        <f>Financials!P18/Financials!P5</f>
        <v>6.3749183229789078E-2</v>
      </c>
      <c r="S9" s="56">
        <f>Financials!Q18/Financials!Q5</f>
        <v>6.4100042949653213E-2</v>
      </c>
      <c r="T9" s="56">
        <f>Financials!R18/Financials!R5</f>
        <v>6.403267973796789E-2</v>
      </c>
      <c r="U9" s="56">
        <f>Financials!S18/Financials!S5</f>
        <v>6.4404937944314219E-2</v>
      </c>
      <c r="V9" s="56">
        <f>Financials!T18/Financials!T5</f>
        <v>6.4253566508252397E-2</v>
      </c>
      <c r="W9" s="56">
        <f>Financials!U18/Financials!U5</f>
        <v>6.579109732763809E-2</v>
      </c>
      <c r="X9" s="56">
        <f>Financials!V18/Financials!V5</f>
        <v>6.4737272589978953E-2</v>
      </c>
      <c r="Y9" s="56">
        <f>Financials!W18/Financials!W5</f>
        <v>6.4660756491626101E-2</v>
      </c>
      <c r="Z9" s="56">
        <f>Financials!X18/Financials!X5</f>
        <v>6.4969396280909017E-2</v>
      </c>
      <c r="AA9" s="56">
        <f>Financials!Y18/Financials!Y5</f>
        <v>6.5378387019906184E-2</v>
      </c>
      <c r="AB9" s="56">
        <f>Financials!Z18/Financials!Z5</f>
        <v>6.6132089777981781E-2</v>
      </c>
      <c r="AC9" s="56">
        <f>Financials!AA18/Financials!AA5</f>
        <v>6.610727789180261E-2</v>
      </c>
      <c r="AD9" s="56">
        <f>Financials!AB18/Financials!AB5</f>
        <v>6.6734664114536296E-2</v>
      </c>
      <c r="AE9" s="56">
        <f>Financials!AC18/Financials!AC5</f>
        <v>6.6893326291422667E-2</v>
      </c>
      <c r="AF9" s="56">
        <f>Financials!AD18/Financials!AD5</f>
        <v>6.5025611406693301E-2</v>
      </c>
      <c r="AG9" s="56">
        <f>Financials!AE18/Financials!AE5</f>
        <v>6.5381358232513509E-2</v>
      </c>
      <c r="AH9" s="56">
        <f>Financials!AF18/Financials!AF5</f>
        <v>8.0019777229891773E-2</v>
      </c>
      <c r="AI9" s="56">
        <f>Financials!AG18/Financials!AG5</f>
        <v>7.9456968889754009E-2</v>
      </c>
      <c r="AJ9" s="56">
        <f>Financials!AH18/Financials!AH5</f>
        <v>7.9167547356059631E-2</v>
      </c>
      <c r="AK9" s="56">
        <f>Financials!AI18/Financials!AI5</f>
        <v>7.9479254502927033E-2</v>
      </c>
      <c r="AL9" s="56"/>
      <c r="AM9" s="56"/>
      <c r="AN9" s="56"/>
      <c r="AO9" s="56"/>
    </row>
    <row r="10" spans="2:41" s="4" customFormat="1">
      <c r="B10" s="303">
        <v>1.5</v>
      </c>
      <c r="C10" s="61" t="s">
        <v>29</v>
      </c>
      <c r="D10" s="68" t="s">
        <v>26</v>
      </c>
      <c r="E10" s="284">
        <f>Financials!C15/Financials!C5</f>
        <v>7.9288583938011262E-2</v>
      </c>
      <c r="F10" s="284">
        <f>Financials!D15/Financials!D5</f>
        <v>8.0744883764777328E-2</v>
      </c>
      <c r="G10" s="284">
        <f>Financials!E15/Financials!E5</f>
        <v>8.7194377377358953E-2</v>
      </c>
      <c r="H10" s="284">
        <f>Financials!F15/Financials!F5</f>
        <v>9.113869031207994E-2</v>
      </c>
      <c r="I10" s="284">
        <f>Financials!G15/Financials!G5</f>
        <v>9.8674061919958658E-2</v>
      </c>
      <c r="J10" s="284">
        <f>Financials!H15/Financials!H5</f>
        <v>9.4482327707371527E-2</v>
      </c>
      <c r="K10" s="284">
        <f>Financials!I15/Financials!I5</f>
        <v>9.5915038183850304E-2</v>
      </c>
      <c r="L10" s="284">
        <f>Financials!J15/Financials!J5</f>
        <v>9.4644481003450812E-2</v>
      </c>
      <c r="M10" s="284">
        <f>Financials!K15/Financials!K5</f>
        <v>9.7171831898185165E-2</v>
      </c>
      <c r="N10" s="284">
        <f>Financials!L15/Financials!L5</f>
        <v>9.8731809040869783E-2</v>
      </c>
      <c r="O10" s="284">
        <f>Financials!M15/Financials!M5</f>
        <v>0.10189077935365651</v>
      </c>
      <c r="P10" s="284">
        <f>Financials!N15/Financials!N5</f>
        <v>0.10411422328586903</v>
      </c>
      <c r="Q10" s="284">
        <f>Financials!O15/Financials!O5</f>
        <v>0.10516926761504783</v>
      </c>
      <c r="R10" s="56">
        <f>Financials!P15/Financials!P5</f>
        <v>9.9097454048577366E-2</v>
      </c>
      <c r="S10" s="56">
        <f>Financials!Q15/Financials!Q5</f>
        <v>0.10800715869498938</v>
      </c>
      <c r="T10" s="56">
        <f>Financials!R15/Financials!R5</f>
        <v>0.10222278310125256</v>
      </c>
      <c r="U10" s="56">
        <f>Financials!S15/Financials!S5</f>
        <v>0.10377911833904557</v>
      </c>
      <c r="V10" s="56">
        <f>Financials!T15/Financials!T5</f>
        <v>0.10616902040863045</v>
      </c>
      <c r="W10" s="56">
        <f>Financials!U15/Financials!U5</f>
        <v>0.11009212797271545</v>
      </c>
      <c r="X10" s="56">
        <f>Financials!V15/Financials!V5</f>
        <v>0.12106003575681167</v>
      </c>
      <c r="Y10" s="56">
        <f>Financials!W15/Financials!W5</f>
        <v>0.12130760558931172</v>
      </c>
      <c r="Z10" s="56">
        <f>Financials!X15/Financials!X5</f>
        <v>0.1237880422136068</v>
      </c>
      <c r="AA10" s="56">
        <f>Financials!Y15/Financials!Y5</f>
        <v>0.12603343558551269</v>
      </c>
      <c r="AB10" s="56">
        <f>Financials!Z15/Financials!Z5</f>
        <v>0.14680829764168321</v>
      </c>
      <c r="AC10" s="56">
        <f>Financials!AA15/Financials!AA5</f>
        <v>0.1498278222485335</v>
      </c>
      <c r="AD10" s="56">
        <f>Financials!AB15/Financials!AB5</f>
        <v>0.14925983625131567</v>
      </c>
      <c r="AE10" s="56">
        <f>Financials!AC15/Financials!AC5</f>
        <v>0.1414608010323295</v>
      </c>
      <c r="AF10" s="56">
        <f>Financials!AD15/Financials!AD5</f>
        <v>0.13859601923718379</v>
      </c>
      <c r="AG10" s="56">
        <f>Financials!AE15/Financials!AE5</f>
        <v>0.14011055056164801</v>
      </c>
      <c r="AH10" s="56">
        <f>Financials!AF15/Financials!AF5</f>
        <v>0.13990217439792813</v>
      </c>
      <c r="AI10" s="56">
        <f>Financials!AG15/Financials!AG5</f>
        <v>0.13984652703253866</v>
      </c>
      <c r="AJ10" s="56">
        <f>Financials!AH15/Financials!AH5</f>
        <v>0.14038979702882756</v>
      </c>
      <c r="AK10" s="56">
        <f>Financials!AI15/Financials!AI5</f>
        <v>0.15340844128957135</v>
      </c>
      <c r="AL10" s="56"/>
      <c r="AM10" s="56"/>
      <c r="AN10" s="56"/>
      <c r="AO10" s="56"/>
    </row>
    <row r="11" spans="2:41" s="4" customFormat="1">
      <c r="B11" s="300"/>
      <c r="C11" s="59"/>
      <c r="D11" s="285"/>
      <c r="E11" s="284"/>
      <c r="F11" s="284"/>
      <c r="G11" s="284"/>
      <c r="H11" s="284"/>
      <c r="I11" s="284"/>
      <c r="J11" s="284"/>
      <c r="K11" s="284"/>
      <c r="L11" s="284"/>
      <c r="M11" s="284"/>
      <c r="N11" s="284"/>
      <c r="O11" s="284"/>
      <c r="P11" s="284"/>
      <c r="Q11" s="284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</row>
    <row r="12" spans="2:41" s="4" customFormat="1">
      <c r="B12" s="302">
        <v>2</v>
      </c>
      <c r="C12" s="279" t="s">
        <v>30</v>
      </c>
      <c r="D12" s="280"/>
      <c r="E12" s="279"/>
      <c r="F12" s="279"/>
      <c r="G12" s="279"/>
      <c r="H12" s="279"/>
      <c r="I12" s="279"/>
      <c r="J12" s="279"/>
      <c r="K12" s="279"/>
      <c r="L12" s="279"/>
      <c r="M12" s="279"/>
      <c r="N12" s="279"/>
      <c r="O12" s="279"/>
      <c r="P12" s="279"/>
      <c r="Q12" s="279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</row>
    <row r="13" spans="2:41" s="4" customFormat="1">
      <c r="B13" s="305">
        <v>2.1</v>
      </c>
      <c r="C13" s="279" t="s">
        <v>31</v>
      </c>
      <c r="D13" s="280"/>
      <c r="E13" s="279"/>
      <c r="F13" s="279"/>
      <c r="G13" s="279"/>
      <c r="H13" s="279"/>
      <c r="I13" s="279"/>
      <c r="J13" s="279"/>
      <c r="K13" s="279"/>
      <c r="L13" s="279"/>
      <c r="M13" s="279"/>
      <c r="N13" s="279"/>
      <c r="O13" s="279"/>
      <c r="P13" s="279"/>
      <c r="Q13" s="279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</row>
    <row r="14" spans="2:41" s="4" customFormat="1">
      <c r="B14" s="306" t="s">
        <v>32</v>
      </c>
      <c r="C14" s="61" t="s">
        <v>33</v>
      </c>
      <c r="D14" s="68" t="s">
        <v>34</v>
      </c>
      <c r="E14" s="284">
        <f>Financials!C38/Financials!C5</f>
        <v>0.27231683929237543</v>
      </c>
      <c r="F14" s="284">
        <f>Financials!D38/Financials!D5</f>
        <v>0.27381193116558145</v>
      </c>
      <c r="G14" s="284">
        <f>Financials!E38/Financials!E5</f>
        <v>0.27168583374897948</v>
      </c>
      <c r="H14" s="284">
        <f>Financials!F38/Financials!F5</f>
        <v>0.27195813186407741</v>
      </c>
      <c r="I14" s="284">
        <f>Financials!G38/Financials!G5</f>
        <v>0.26486551800258035</v>
      </c>
      <c r="J14" s="284">
        <f>Financials!H38/Financials!H5</f>
        <v>0.2700083422518641</v>
      </c>
      <c r="K14" s="284">
        <f>Financials!I38/Financials!I5</f>
        <v>0.26543323878040959</v>
      </c>
      <c r="L14" s="284">
        <f>Financials!J38/Financials!J5</f>
        <v>0.25780747612941202</v>
      </c>
      <c r="M14" s="284">
        <f>Financials!K38/Financials!K5</f>
        <v>0.271918841063227</v>
      </c>
      <c r="N14" s="284">
        <f>Financials!L38/Financials!L5</f>
        <v>0.27114827883594328</v>
      </c>
      <c r="O14" s="284">
        <f>Financials!M38/Financials!M5</f>
        <v>0.2787139521707061</v>
      </c>
      <c r="P14" s="284">
        <f>Financials!N38/Financials!N5</f>
        <v>0.27285091973588604</v>
      </c>
      <c r="Q14" s="284">
        <f>Financials!O38/Financials!O5</f>
        <v>0.26388808561918325</v>
      </c>
      <c r="R14" s="56">
        <f>Financials!P38/Financials!P5</f>
        <v>0.26395473719265083</v>
      </c>
      <c r="S14" s="56">
        <f>Financials!Q38/Financials!Q5</f>
        <v>0.26471023051878234</v>
      </c>
      <c r="T14" s="56">
        <f>Financials!R38/Financials!R5</f>
        <v>0.26417605901282576</v>
      </c>
      <c r="U14" s="56">
        <f>Financials!S38/Financials!S5</f>
        <v>0.26360658986244639</v>
      </c>
      <c r="V14" s="56">
        <f>Financials!T38/Financials!T5</f>
        <v>0.26283800431645077</v>
      </c>
      <c r="W14" s="56">
        <f>Financials!U38/Financials!U5</f>
        <v>0.26521002118028936</v>
      </c>
      <c r="X14" s="56">
        <f>Financials!V38/Financials!V5</f>
        <v>0.25994180826058372</v>
      </c>
      <c r="Y14" s="56">
        <f>Financials!W38/Financials!W5</f>
        <v>0.24335847221383228</v>
      </c>
      <c r="Z14" s="56">
        <f>Financials!X38/Financials!X5</f>
        <v>0.25290530867729605</v>
      </c>
      <c r="AA14" s="56">
        <f>Financials!Y38/Financials!Y5</f>
        <v>0.25864978517405363</v>
      </c>
      <c r="AB14" s="56">
        <f>Financials!Z38/Financials!Z5</f>
        <v>0.26058529990980522</v>
      </c>
      <c r="AC14" s="56">
        <f>Financials!AA38/Financials!AA5</f>
        <v>0.26246597762935209</v>
      </c>
      <c r="AD14" s="56">
        <f>Financials!AB38/Financials!AB5</f>
        <v>0.23929864978660115</v>
      </c>
      <c r="AE14" s="56">
        <f>Financials!AC38/Financials!AC5</f>
        <v>0.23901465085392445</v>
      </c>
      <c r="AF14" s="56">
        <f>Financials!AD38/Financials!AD5</f>
        <v>0.23162226545061299</v>
      </c>
      <c r="AG14" s="56">
        <f>Financials!AE38/Financials!AE5</f>
        <v>0.23274422358283475</v>
      </c>
      <c r="AH14" s="56">
        <f>Financials!AF38/Financials!AF5</f>
        <v>0.22909691871013299</v>
      </c>
      <c r="AI14" s="56">
        <f>Financials!AG38/Financials!AG5</f>
        <v>0.21184971842806083</v>
      </c>
      <c r="AJ14" s="56">
        <f>Financials!AH38/Financials!AH5</f>
        <v>0.22956790171614028</v>
      </c>
      <c r="AK14" s="56">
        <f>Financials!AI38/Financials!AI5</f>
        <v>0.22392615239050764</v>
      </c>
      <c r="AL14" s="56"/>
      <c r="AM14" s="56"/>
      <c r="AN14" s="56"/>
      <c r="AO14" s="56"/>
    </row>
    <row r="15" spans="2:41" s="4" customFormat="1">
      <c r="B15" s="306" t="s">
        <v>35</v>
      </c>
      <c r="C15" s="59" t="s">
        <v>36</v>
      </c>
      <c r="D15" s="68" t="s">
        <v>37</v>
      </c>
      <c r="E15" s="284">
        <f>Financials!C39/Financials!C5</f>
        <v>3.1560110655201153E-2</v>
      </c>
      <c r="F15" s="284">
        <f>Financials!D39/Financials!D5</f>
        <v>3.1323489618147113E-2</v>
      </c>
      <c r="G15" s="284">
        <f>Financials!E39/Financials!E5</f>
        <v>3.1069599417515744E-2</v>
      </c>
      <c r="H15" s="284">
        <f>Financials!F39/Financials!F5</f>
        <v>3.093291464199056E-2</v>
      </c>
      <c r="I15" s="284">
        <f>Financials!G39/Financials!G5</f>
        <v>3.1384934152048793E-2</v>
      </c>
      <c r="J15" s="284">
        <f>Financials!H39/Financials!H5</f>
        <v>3.164615589385858E-2</v>
      </c>
      <c r="K15" s="284">
        <f>Financials!I39/Financials!I5</f>
        <v>3.1590010087892556E-2</v>
      </c>
      <c r="L15" s="284">
        <f>Financials!J39/Financials!J5</f>
        <v>3.0722329816973714E-2</v>
      </c>
      <c r="M15" s="284">
        <f>Financials!K39/Financials!K5</f>
        <v>3.0832037170238306E-2</v>
      </c>
      <c r="N15" s="284">
        <f>Financials!L39/Financials!L5</f>
        <v>3.0618476659288026E-2</v>
      </c>
      <c r="O15" s="284">
        <f>Financials!M39/Financials!M5</f>
        <v>3.0675138720301528E-2</v>
      </c>
      <c r="P15" s="284">
        <f>Financials!N39/Financials!N5</f>
        <v>3.0451924888940773E-2</v>
      </c>
      <c r="Q15" s="284">
        <f>Financials!O39/Financials!O5</f>
        <v>2.9965494936576683E-2</v>
      </c>
      <c r="R15" s="56">
        <f>Financials!P39/Financials!P5</f>
        <v>2.991357021984686E-2</v>
      </c>
      <c r="S15" s="56">
        <f>Financials!Q39/Financials!Q5</f>
        <v>3.0198490652427339E-2</v>
      </c>
      <c r="T15" s="56">
        <f>Financials!R39/Financials!R5</f>
        <v>3.0525746621227506E-2</v>
      </c>
      <c r="U15" s="56">
        <f>Financials!S39/Financials!S5</f>
        <v>3.0544099843732738E-2</v>
      </c>
      <c r="V15" s="56">
        <f>Financials!T39/Financials!T5</f>
        <v>3.0273316437441695E-2</v>
      </c>
      <c r="W15" s="56">
        <f>Financials!U39/Financials!U5</f>
        <v>3.0649580504613496E-2</v>
      </c>
      <c r="X15" s="56">
        <f>Financials!V39/Financials!V5</f>
        <v>2.997482266809556E-2</v>
      </c>
      <c r="Y15" s="56">
        <f>Financials!W39/Financials!W5</f>
        <v>2.9710799688155674E-2</v>
      </c>
      <c r="Z15" s="56">
        <f>Financials!X39/Financials!X5</f>
        <v>2.9512462823554558E-2</v>
      </c>
      <c r="AA15" s="56">
        <f>Financials!Y39/Financials!Y5</f>
        <v>3.0239772697972685E-2</v>
      </c>
      <c r="AB15" s="56">
        <f>Financials!Z39/Financials!Z5</f>
        <v>3.0362889711311986E-2</v>
      </c>
      <c r="AC15" s="56">
        <f>Financials!AA39/Financials!AA5</f>
        <v>3.0213086826225068E-2</v>
      </c>
      <c r="AD15" s="56">
        <f>Financials!AB39/Financials!AB5</f>
        <v>3.0860112644660365E-2</v>
      </c>
      <c r="AE15" s="56">
        <f>Financials!AC39/Financials!AC5</f>
        <v>3.0568591774965879E-2</v>
      </c>
      <c r="AF15" s="56">
        <f>Financials!AD39/Financials!AD5</f>
        <v>3.0371482310427252E-2</v>
      </c>
      <c r="AG15" s="56">
        <f>Financials!AE39/Financials!AE5</f>
        <v>3.1282541711736361E-2</v>
      </c>
      <c r="AH15" s="56">
        <f>Financials!AF39/Financials!AF5</f>
        <v>3.0939560843979551E-2</v>
      </c>
      <c r="AI15" s="56">
        <f>Financials!AG39/Financials!AG5</f>
        <v>3.0617189457355046E-2</v>
      </c>
      <c r="AJ15" s="56">
        <f>Financials!AH39/Financials!AH5</f>
        <v>3.1040013805833228E-2</v>
      </c>
      <c r="AK15" s="56">
        <f>Financials!AI39/Financials!AI5</f>
        <v>3.1187136363651752E-2</v>
      </c>
      <c r="AL15" s="56"/>
      <c r="AM15" s="56"/>
      <c r="AN15" s="56"/>
      <c r="AO15" s="56"/>
    </row>
    <row r="16" spans="2:41" s="4" customFormat="1">
      <c r="B16" s="306" t="s">
        <v>38</v>
      </c>
      <c r="C16" s="59" t="s">
        <v>39</v>
      </c>
      <c r="D16" s="68" t="s">
        <v>40</v>
      </c>
      <c r="E16" s="286"/>
      <c r="F16" s="286"/>
      <c r="G16" s="286"/>
      <c r="H16" s="286"/>
      <c r="I16" s="286"/>
      <c r="J16" s="286"/>
      <c r="K16" s="286"/>
      <c r="L16" s="286"/>
      <c r="M16" s="286"/>
      <c r="N16" s="286"/>
      <c r="O16" s="286"/>
      <c r="P16" s="286"/>
      <c r="Q16" s="286"/>
      <c r="R16" s="307"/>
      <c r="S16" s="307"/>
      <c r="T16" s="307"/>
      <c r="U16" s="307"/>
      <c r="V16" s="307"/>
      <c r="W16" s="307"/>
      <c r="X16" s="307"/>
      <c r="Y16" s="307"/>
      <c r="Z16" s="307"/>
      <c r="AA16" s="307"/>
      <c r="AB16" s="307"/>
      <c r="AC16" s="307"/>
      <c r="AD16" s="307"/>
      <c r="AE16" s="307"/>
      <c r="AF16" s="307"/>
      <c r="AG16" s="307"/>
      <c r="AH16" s="307"/>
      <c r="AI16" s="307"/>
      <c r="AJ16" s="307"/>
      <c r="AK16" s="307"/>
      <c r="AL16" s="307"/>
      <c r="AM16" s="307"/>
      <c r="AN16" s="307"/>
      <c r="AO16" s="307"/>
    </row>
    <row r="17" spans="2:41" s="4" customFormat="1">
      <c r="B17" s="306"/>
      <c r="C17" s="59"/>
      <c r="D17" s="68"/>
      <c r="E17" s="284"/>
      <c r="F17" s="284"/>
      <c r="G17" s="284"/>
      <c r="H17" s="284"/>
      <c r="I17" s="284"/>
      <c r="J17" s="284"/>
      <c r="K17" s="284"/>
      <c r="L17" s="284"/>
      <c r="M17" s="284"/>
      <c r="N17" s="284"/>
      <c r="O17" s="284"/>
      <c r="P17" s="284"/>
      <c r="Q17" s="284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</row>
    <row r="18" spans="2:41" s="4" customFormat="1">
      <c r="B18" s="306">
        <v>2.2000000000000002</v>
      </c>
      <c r="C18" s="279" t="s">
        <v>41</v>
      </c>
      <c r="D18" s="68"/>
      <c r="E18" s="284"/>
      <c r="F18" s="284"/>
      <c r="G18" s="284"/>
      <c r="H18" s="284"/>
      <c r="I18" s="284"/>
      <c r="J18" s="284"/>
      <c r="K18" s="284"/>
      <c r="L18" s="284"/>
      <c r="M18" s="284"/>
      <c r="N18" s="284"/>
      <c r="O18" s="284"/>
      <c r="P18" s="284"/>
      <c r="Q18" s="284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</row>
    <row r="19" spans="2:41" s="4" customFormat="1">
      <c r="B19" s="306" t="s">
        <v>42</v>
      </c>
      <c r="C19" s="59" t="s">
        <v>43</v>
      </c>
      <c r="D19" s="68" t="s">
        <v>37</v>
      </c>
      <c r="E19" s="287">
        <f>Financials!C26/Financials!C6</f>
        <v>0.35331811425296261</v>
      </c>
      <c r="F19" s="287">
        <f>Financials!D26/Financials!D6</f>
        <v>0.3492600858552693</v>
      </c>
      <c r="G19" s="287">
        <f>Financials!E26/Financials!E6</f>
        <v>0.34485039767666104</v>
      </c>
      <c r="H19" s="287">
        <f>Financials!F26/Financials!F6</f>
        <v>0.34543072894948212</v>
      </c>
      <c r="I19" s="287">
        <f>Financials!G26/Financials!G6</f>
        <v>0.33976310719254071</v>
      </c>
      <c r="J19" s="287">
        <f>Financials!H26/Financials!H6</f>
        <v>0.34148828005005144</v>
      </c>
      <c r="K19" s="287">
        <f>Financials!I26/Financials!I6</f>
        <v>0.34002567847117421</v>
      </c>
      <c r="L19" s="287">
        <f>Financials!J26/Financials!J6</f>
        <v>0.32339044906361786</v>
      </c>
      <c r="M19" s="287">
        <f>Financials!K26/Financials!K6</f>
        <v>0.32157777629686835</v>
      </c>
      <c r="N19" s="287">
        <f>Financials!L26/Financials!L6</f>
        <v>0.32196646713539911</v>
      </c>
      <c r="O19" s="287">
        <f>Financials!M26/Financials!M6</f>
        <v>0.324889520361136</v>
      </c>
      <c r="P19" s="287">
        <f>Financials!N26/Financials!N6</f>
        <v>0.32311065284172308</v>
      </c>
      <c r="Q19" s="287">
        <f>Financials!O26/Financials!O6</f>
        <v>0.35397522667807507</v>
      </c>
      <c r="R19" s="45">
        <f>Financials!P26/Financials!P6</f>
        <v>0.35738421925016428</v>
      </c>
      <c r="S19" s="45">
        <f>Financials!Q26/Financials!Q6</f>
        <v>0.33522804454028049</v>
      </c>
      <c r="T19" s="45">
        <f>Financials!R26/Financials!R6</f>
        <v>0.33133151294623175</v>
      </c>
      <c r="U19" s="45">
        <f>Financials!S26/Financials!S6</f>
        <v>0.3300799125238959</v>
      </c>
      <c r="V19" s="45">
        <f>Financials!T26/Financials!T6</f>
        <v>0.3277769009353047</v>
      </c>
      <c r="W19" s="45">
        <f>Financials!U26/Financials!U6</f>
        <v>0.3208847443293153</v>
      </c>
      <c r="X19" s="45">
        <f>Financials!V26/Financials!V6</f>
        <v>0.32230559700190214</v>
      </c>
      <c r="Y19" s="45">
        <f>Financials!W26/Financials!W6</f>
        <v>0.31934469628151096</v>
      </c>
      <c r="Z19" s="45">
        <f>Financials!X26/Financials!X6</f>
        <v>0.32017337759432429</v>
      </c>
      <c r="AA19" s="45">
        <f>Financials!Y26/Financials!Y6</f>
        <v>0.2849017285675477</v>
      </c>
      <c r="AB19" s="45">
        <f>Financials!Z26/Financials!Z6</f>
        <v>0.28763169742132461</v>
      </c>
      <c r="AC19" s="45">
        <f>Financials!AA26/Financials!AA6</f>
        <v>0.28730970212427709</v>
      </c>
      <c r="AD19" s="45">
        <f>Financials!AB26/Financials!AB6</f>
        <v>0.28882908067407637</v>
      </c>
      <c r="AE19" s="45">
        <f>Financials!AC26/Financials!AC6</f>
        <v>0.29080371981986775</v>
      </c>
      <c r="AF19" s="45">
        <f>Financials!AD26/Financials!AD6</f>
        <v>0.285840151252027</v>
      </c>
      <c r="AG19" s="45">
        <f>Financials!AE26/Financials!AE6</f>
        <v>0.28557050699466824</v>
      </c>
      <c r="AH19" s="45">
        <f>Financials!AF26/Financials!AF6</f>
        <v>0.29266208840561941</v>
      </c>
      <c r="AI19" s="45">
        <f>Financials!AG26/Financials!AG6</f>
        <v>0.29185130311593177</v>
      </c>
      <c r="AJ19" s="45">
        <f>Financials!AH26/Financials!AH6</f>
        <v>0.29153038570009904</v>
      </c>
      <c r="AK19" s="45">
        <f>Financials!AI26/Financials!AI6</f>
        <v>0.28311328531424934</v>
      </c>
      <c r="AL19" s="45"/>
      <c r="AM19" s="45"/>
      <c r="AN19" s="45"/>
      <c r="AO19" s="45"/>
    </row>
    <row r="20" spans="2:41" s="4" customFormat="1">
      <c r="B20" s="306" t="s">
        <v>44</v>
      </c>
      <c r="C20" s="59" t="s">
        <v>45</v>
      </c>
      <c r="D20" s="68" t="s">
        <v>46</v>
      </c>
      <c r="E20" s="287">
        <f>Financials!C26/Financials!C14</f>
        <v>1.3474238124021216</v>
      </c>
      <c r="F20" s="287">
        <f>Financials!D26/Financials!D14</f>
        <v>1.3207265266890873</v>
      </c>
      <c r="G20" s="287">
        <f>Financials!E26/Financials!E14</f>
        <v>1.2574906374496442</v>
      </c>
      <c r="H20" s="287">
        <f>Financials!F26/Financials!F14</f>
        <v>1.2226519405299072</v>
      </c>
      <c r="I20" s="287">
        <f>Financials!G26/Financials!G14</f>
        <v>1.158015364722913</v>
      </c>
      <c r="J20" s="287">
        <f>Financials!H26/Financials!H14</f>
        <v>1.1917588483412185</v>
      </c>
      <c r="K20" s="287">
        <f>Financials!I26/Financials!I14</f>
        <v>1.1767920370255356</v>
      </c>
      <c r="L20" s="287">
        <f>Financials!J26/Financials!J14</f>
        <v>1.1640502705930209</v>
      </c>
      <c r="M20" s="287">
        <f>Financials!K26/Financials!K14</f>
        <v>1.1387923796710446</v>
      </c>
      <c r="N20" s="287">
        <f>Financials!L26/Financials!L14</f>
        <v>1.1270627766852008</v>
      </c>
      <c r="O20" s="287">
        <f>Financials!M26/Financials!M14</f>
        <v>1.1055238181128073</v>
      </c>
      <c r="P20" s="287">
        <f>Financials!N26/Financials!N14</f>
        <v>1.0832852384941809</v>
      </c>
      <c r="Q20" s="287">
        <f>Financials!O26/Financials!O14</f>
        <v>1.1541685998515059</v>
      </c>
      <c r="R20" s="45">
        <f>Financials!P26/Financials!P14</f>
        <v>1.2091981876915336</v>
      </c>
      <c r="S20" s="45">
        <f>Financials!Q26/Financials!Q14</f>
        <v>1.0832501046779042</v>
      </c>
      <c r="T20" s="45">
        <f>Financials!R26/Financials!R14</f>
        <v>1.1143338168917292</v>
      </c>
      <c r="U20" s="45">
        <f>Financials!S26/Financials!S14</f>
        <v>1.0995988373231944</v>
      </c>
      <c r="V20" s="45">
        <f>Financials!T26/Financials!T14</f>
        <v>1.0803403264121176</v>
      </c>
      <c r="W20" s="45">
        <f>Financials!U26/Financials!U14</f>
        <v>1.0626574623680276</v>
      </c>
      <c r="X20" s="45">
        <f>Financials!V26/Financials!V14</f>
        <v>0.98575092698606337</v>
      </c>
      <c r="Y20" s="45">
        <f>Financials!W26/Financials!W14</f>
        <v>0.98057126042916987</v>
      </c>
      <c r="Z20" s="45">
        <f>Financials!X26/Financials!X14</f>
        <v>0.96461734381530928</v>
      </c>
      <c r="AA20" s="45">
        <f>Financials!Y26/Financials!Y14</f>
        <v>0.84227081816685234</v>
      </c>
      <c r="AB20" s="45">
        <f>Financials!Z26/Financials!Z14</f>
        <v>0.7621307929636485</v>
      </c>
      <c r="AC20" s="45">
        <f>Financials!AA26/Financials!AA14</f>
        <v>0.74794465209170335</v>
      </c>
      <c r="AD20" s="45">
        <f>Financials!AB26/Financials!AB14</f>
        <v>0.75050868350175903</v>
      </c>
      <c r="AE20" s="45">
        <f>Financials!AC26/Financials!AC14</f>
        <v>0.78521151365973607</v>
      </c>
      <c r="AF20" s="45">
        <f>Financials!AD26/Financials!AD14</f>
        <v>0.76611422319457356</v>
      </c>
      <c r="AG20" s="45">
        <f>Financials!AE26/Financials!AE14</f>
        <v>0.75834605761907314</v>
      </c>
      <c r="AH20" s="45">
        <f>Financials!AF26/Financials!AF14</f>
        <v>0.69957712528324023</v>
      </c>
      <c r="AI20" s="45">
        <f>Financials!AG26/Financials!AG14</f>
        <v>0.69250057200935411</v>
      </c>
      <c r="AJ20" s="45">
        <f>Financials!AH26/Financials!AH14</f>
        <v>0.68475677104386201</v>
      </c>
      <c r="AK20" s="45">
        <f>Financials!AI26/Financials!AI14</f>
        <v>0.64220618706881694</v>
      </c>
      <c r="AL20" s="45"/>
      <c r="AM20" s="45"/>
      <c r="AN20" s="45"/>
      <c r="AO20" s="45"/>
    </row>
    <row r="21" spans="2:41" s="4" customFormat="1">
      <c r="B21" s="306" t="s">
        <v>47</v>
      </c>
      <c r="C21" s="61" t="s">
        <v>48</v>
      </c>
      <c r="D21" s="288" t="s">
        <v>49</v>
      </c>
      <c r="E21" s="287">
        <f>Financials!C31/Financials!C5</f>
        <v>0.47658656098268981</v>
      </c>
      <c r="F21" s="287">
        <f>Financials!D31/Financials!D5</f>
        <v>0.4778735232677086</v>
      </c>
      <c r="G21" s="287">
        <f>Financials!E31/Financials!E5</f>
        <v>0.479212169841011</v>
      </c>
      <c r="H21" s="287">
        <f>Financials!F31/Financials!F5</f>
        <v>0.48191869358034939</v>
      </c>
      <c r="I21" s="287">
        <f>Financials!G31/Financials!G5</f>
        <v>0.47989055177669593</v>
      </c>
      <c r="J21" s="287">
        <f>Financials!H31/Financials!H5</f>
        <v>0.48221068293018138</v>
      </c>
      <c r="K21" s="287">
        <f>Financials!I31/Financials!I5</f>
        <v>0.48725955704369489</v>
      </c>
      <c r="L21" s="287">
        <f>Financials!J31/Financials!J5</f>
        <v>0.48320864351377196</v>
      </c>
      <c r="M21" s="287">
        <f>Financials!K31/Financials!K5</f>
        <v>0.47608026286390476</v>
      </c>
      <c r="N21" s="287">
        <f>Financials!L31/Financials!L5</f>
        <v>0.48066827523673294</v>
      </c>
      <c r="O21" s="287">
        <f>Financials!M31/Financials!M5</f>
        <v>0.48926845013144282</v>
      </c>
      <c r="P21" s="287">
        <f>Financials!N31/Financials!N5</f>
        <v>0.49301061986775668</v>
      </c>
      <c r="Q21" s="287">
        <f>Financials!O31/Financials!O5</f>
        <v>0.49364645401376911</v>
      </c>
      <c r="R21" s="45">
        <f>Financials!P31/Financials!P5</f>
        <v>0.49395219207952185</v>
      </c>
      <c r="S21" s="45">
        <f>Financials!Q31/Financials!Q5</f>
        <v>0.49329931788164894</v>
      </c>
      <c r="T21" s="45">
        <f>Financials!R31/Financials!R5</f>
        <v>0.49080464123779227</v>
      </c>
      <c r="U21" s="45">
        <f>Financials!S31/Financials!S5</f>
        <v>0.50243046251778734</v>
      </c>
      <c r="V21" s="45">
        <f>Financials!T31/Financials!T5</f>
        <v>0.50420127028725525</v>
      </c>
      <c r="W21" s="45">
        <f>Financials!U31/Financials!U5</f>
        <v>0.5046985310180292</v>
      </c>
      <c r="X21" s="45">
        <f>Financials!V31/Financials!V5</f>
        <v>0.49353588831419687</v>
      </c>
      <c r="Y21" s="45">
        <f>Financials!W31/Financials!W5</f>
        <v>0.50751521619898621</v>
      </c>
      <c r="Z21" s="45">
        <f>Financials!X31/Financials!X5</f>
        <v>0.50406700259632087</v>
      </c>
      <c r="AA21" s="45">
        <f>Financials!Y31/Financials!Y5</f>
        <v>0.51207306474599268</v>
      </c>
      <c r="AB21" s="45">
        <f>Financials!Z31/Financials!Z5</f>
        <v>0.52197041165837932</v>
      </c>
      <c r="AC21" s="45">
        <f>Financials!AA31/Financials!AA5</f>
        <v>0.53336890231473344</v>
      </c>
      <c r="AD21" s="45">
        <f>Financials!AB31/Financials!AB5</f>
        <v>0.55057009535557799</v>
      </c>
      <c r="AE21" s="45">
        <f>Financials!AC31/Financials!AC5</f>
        <v>0.5518790793729822</v>
      </c>
      <c r="AF21" s="45">
        <f>Financials!AD31/Financials!AD5</f>
        <v>0.55391677149603835</v>
      </c>
      <c r="AG21" s="45">
        <f>Financials!AE31/Financials!AE5</f>
        <v>0.55793985198509921</v>
      </c>
      <c r="AH21" s="45">
        <f>Financials!AF31/Financials!AF5</f>
        <v>0.56147773822322233</v>
      </c>
      <c r="AI21" s="45">
        <f>Financials!AG31/Financials!AG5</f>
        <v>0.57727395086508537</v>
      </c>
      <c r="AJ21" s="45">
        <f>Financials!AH31/Financials!AH5</f>
        <v>0.57606593198906342</v>
      </c>
      <c r="AK21" s="45">
        <f>Financials!AI31/Financials!AI5</f>
        <v>0.55616216567314292</v>
      </c>
      <c r="AL21" s="45"/>
      <c r="AM21" s="45"/>
      <c r="AN21" s="45"/>
      <c r="AO21" s="45"/>
    </row>
    <row r="22" spans="2:41" s="4" customFormat="1">
      <c r="B22" s="300"/>
      <c r="C22" s="279"/>
      <c r="D22" s="280"/>
      <c r="E22" s="279"/>
      <c r="F22" s="279"/>
      <c r="G22" s="279"/>
      <c r="H22" s="279"/>
      <c r="I22" s="279"/>
      <c r="J22" s="279"/>
      <c r="K22" s="279"/>
      <c r="L22" s="279"/>
      <c r="M22" s="279"/>
      <c r="N22" s="279"/>
      <c r="O22" s="279"/>
      <c r="P22" s="279"/>
      <c r="Q22" s="279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</row>
    <row r="23" spans="2:41" s="4" customFormat="1">
      <c r="B23" s="302">
        <v>3</v>
      </c>
      <c r="C23" s="279" t="s">
        <v>50</v>
      </c>
      <c r="D23" s="280"/>
      <c r="E23" s="289"/>
      <c r="F23" s="289"/>
      <c r="G23" s="289"/>
      <c r="H23" s="289"/>
      <c r="I23" s="289"/>
      <c r="J23" s="289"/>
      <c r="K23" s="289"/>
      <c r="L23" s="289"/>
      <c r="M23" s="289"/>
      <c r="N23" s="289"/>
      <c r="O23" s="289"/>
      <c r="P23" s="289"/>
      <c r="Q23" s="289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</row>
    <row r="24" spans="2:41" s="4" customFormat="1">
      <c r="B24" s="303">
        <v>3.1</v>
      </c>
      <c r="C24" s="61" t="s">
        <v>51</v>
      </c>
      <c r="D24" s="288" t="s">
        <v>49</v>
      </c>
      <c r="E24" s="287">
        <f>Financials!C6/Financials!C5</f>
        <v>0.54827011846877516</v>
      </c>
      <c r="F24" s="287">
        <f>Financials!D6/Financials!D5</f>
        <v>0.54937903458654402</v>
      </c>
      <c r="G24" s="287">
        <f>Financials!E6/Financials!E5</f>
        <v>0.55243861385758719</v>
      </c>
      <c r="H24" s="287">
        <f>Financials!F6/Financials!F5</f>
        <v>0.55080413924198968</v>
      </c>
      <c r="I24" s="287">
        <f>Financials!G6/Financials!G5</f>
        <v>0.55495197702643817</v>
      </c>
      <c r="J24" s="287">
        <f>Financials!H6/Financials!H5</f>
        <v>0.55590794961621182</v>
      </c>
      <c r="K24" s="287">
        <f>Financials!I6/Financials!I5</f>
        <v>0.55670471000681387</v>
      </c>
      <c r="L24" s="287">
        <f>Financials!J6/Financials!J5</f>
        <v>0.56889182672748062</v>
      </c>
      <c r="M24" s="287">
        <f>Financials!K6/Financials!K5</f>
        <v>0.56898484099772895</v>
      </c>
      <c r="N24" s="287">
        <f>Financials!L6/Financials!L5</f>
        <v>0.56853348705197793</v>
      </c>
      <c r="O24" s="287">
        <f>Financials!M6/Financials!M5</f>
        <v>0.56505236154454397</v>
      </c>
      <c r="P24" s="287">
        <f>Financials!N6/Financials!N5</f>
        <v>0.56471682657984745</v>
      </c>
      <c r="Q24" s="287">
        <f>Financials!O6/Financials!O5</f>
        <v>0.55064539991845818</v>
      </c>
      <c r="R24" s="45">
        <f>Financials!P6/Financials!P5</f>
        <v>0.55098643997715002</v>
      </c>
      <c r="S24" s="45">
        <f>Financials!Q6/Financials!Q5</f>
        <v>0.55614423445106032</v>
      </c>
      <c r="T24" s="45">
        <f>Financials!R6/Financials!R5</f>
        <v>0.55915020831355122</v>
      </c>
      <c r="U24" s="45">
        <f>Financials!S6/Financials!S5</f>
        <v>0.56027339358947781</v>
      </c>
      <c r="V24" s="45">
        <f>Financials!T6/Financials!T5</f>
        <v>0.56170643096696582</v>
      </c>
      <c r="W24" s="45">
        <f>Financials!U6/Financials!U5</f>
        <v>0.58246340835375976</v>
      </c>
      <c r="X24" s="45">
        <f>Financials!V6/Financials!V5</f>
        <v>0.56824911089981289</v>
      </c>
      <c r="Y24" s="45">
        <f>Financials!W6/Financials!W5</f>
        <v>0.57102946543036481</v>
      </c>
      <c r="Z24" s="45">
        <f>Financials!X6/Financials!X5</f>
        <v>0.5686878163138982</v>
      </c>
      <c r="AA24" s="45">
        <f>Financials!Y6/Financials!Y5</f>
        <v>0.56588141196360131</v>
      </c>
      <c r="AB24" s="45">
        <f>Financials!Z6/Financials!Z5</f>
        <v>0.56422302469819507</v>
      </c>
      <c r="AC24" s="45">
        <f>Financials!AA6/Financials!AA5</f>
        <v>0.56213731090427999</v>
      </c>
      <c r="AD24" s="45">
        <f>Financials!AB6/Financials!AB5</f>
        <v>0.56125147694570587</v>
      </c>
      <c r="AE24" s="45">
        <f>Financials!AC6/Financials!AC5</f>
        <v>0.56258585617294266</v>
      </c>
      <c r="AF24" s="45">
        <f>Financials!AD6/Financials!AD5</f>
        <v>0.54575057668788596</v>
      </c>
      <c r="AG24" s="45">
        <f>Financials!AE6/Financials!AE5</f>
        <v>0.54569353308456336</v>
      </c>
      <c r="AH24" s="45">
        <f>Financials!AF6/Financials!AF5</f>
        <v>0.52569968165209036</v>
      </c>
      <c r="AI24" s="45">
        <f>Financials!AG6/Financials!AG5</f>
        <v>0.5203601791337984</v>
      </c>
      <c r="AJ24" s="45">
        <f>Financials!AH6/Financials!AH5</f>
        <v>0.51570397315160377</v>
      </c>
      <c r="AK24" s="45">
        <f>Financials!AI6/Financials!AI5</f>
        <v>0.52827587714272262</v>
      </c>
      <c r="AL24" s="45"/>
      <c r="AM24" s="45"/>
      <c r="AN24" s="45"/>
      <c r="AO24" s="45"/>
    </row>
    <row r="25" spans="2:41" s="4" customFormat="1">
      <c r="B25" s="306" t="s">
        <v>52</v>
      </c>
      <c r="C25" s="290" t="s">
        <v>53</v>
      </c>
      <c r="D25" s="291" t="s">
        <v>49</v>
      </c>
      <c r="E25" s="292">
        <f>Financials!C7/Financials!C5</f>
        <v>0.54827011846877516</v>
      </c>
      <c r="F25" s="292">
        <f>Financials!D7/Financials!D5</f>
        <v>0.54937903458654402</v>
      </c>
      <c r="G25" s="292">
        <f>Financials!E7/Financials!E5</f>
        <v>0.55243861385758719</v>
      </c>
      <c r="H25" s="292">
        <f>Financials!F7/Financials!F5</f>
        <v>0.55080413924198968</v>
      </c>
      <c r="I25" s="292">
        <f>Financials!G7/Financials!G5</f>
        <v>0.55495197702643817</v>
      </c>
      <c r="J25" s="292">
        <f>Financials!H7/Financials!H5</f>
        <v>0.55590794961621182</v>
      </c>
      <c r="K25" s="292">
        <f>Financials!I7/Financials!I5</f>
        <v>0.55670471000681387</v>
      </c>
      <c r="L25" s="292">
        <f>Financials!J7/Financials!J5</f>
        <v>0.56889182672748062</v>
      </c>
      <c r="M25" s="292">
        <f>Financials!K7/Financials!K5</f>
        <v>0.56898484099772895</v>
      </c>
      <c r="N25" s="292">
        <f>Financials!L7/Financials!L5</f>
        <v>0.56853348705197793</v>
      </c>
      <c r="O25" s="292">
        <f>Financials!M7/Financials!M5</f>
        <v>0.56505236154454397</v>
      </c>
      <c r="P25" s="292">
        <f>Financials!N7/Financials!N5</f>
        <v>0.56471682657984745</v>
      </c>
      <c r="Q25" s="292">
        <f>Financials!O7/Financials!O5</f>
        <v>0.55064539991845818</v>
      </c>
      <c r="R25" s="48">
        <f>Financials!P7/Financials!P5</f>
        <v>0.55098643997715002</v>
      </c>
      <c r="S25" s="48">
        <f>Financials!Q7/Financials!Q5</f>
        <v>0.55614423445106032</v>
      </c>
      <c r="T25" s="48">
        <f>Financials!R7/Financials!R5</f>
        <v>0.55915020831355122</v>
      </c>
      <c r="U25" s="48">
        <f>Financials!S7/Financials!S5</f>
        <v>0.56027339358947781</v>
      </c>
      <c r="V25" s="48">
        <f>Financials!T7/Financials!T5</f>
        <v>0.56170643096696582</v>
      </c>
      <c r="W25" s="48">
        <f>Financials!U7/Financials!U5</f>
        <v>0.58246340835375976</v>
      </c>
      <c r="X25" s="48">
        <f>Financials!V7/Financials!V5</f>
        <v>0.56824911089981289</v>
      </c>
      <c r="Y25" s="48">
        <f>Financials!W7/Financials!W5</f>
        <v>0.57102946543036481</v>
      </c>
      <c r="Z25" s="48">
        <f>Financials!X7/Financials!X5</f>
        <v>0.5686878163138982</v>
      </c>
      <c r="AA25" s="48">
        <f>Financials!Y7/Financials!Y5</f>
        <v>0.56588141196360131</v>
      </c>
      <c r="AB25" s="48">
        <f>Financials!Z7/Financials!Z5</f>
        <v>0.56422302469819507</v>
      </c>
      <c r="AC25" s="48">
        <f>Financials!AA7/Financials!AA5</f>
        <v>0.56213731090427999</v>
      </c>
      <c r="AD25" s="48">
        <f>Financials!AB7/Financials!AB5</f>
        <v>0.56125147694570587</v>
      </c>
      <c r="AE25" s="48">
        <f>Financials!AC7/Financials!AC5</f>
        <v>0.56258585617294266</v>
      </c>
      <c r="AF25" s="48">
        <f>Financials!AD7/Financials!AD5</f>
        <v>0.54575057668788596</v>
      </c>
      <c r="AG25" s="48">
        <f>Financials!AE7/Financials!AE5</f>
        <v>0.54569353308456336</v>
      </c>
      <c r="AH25" s="48">
        <f>Financials!AF7/Financials!AF5</f>
        <v>0.52569968165209036</v>
      </c>
      <c r="AI25" s="48">
        <f>Financials!AG7/Financials!AG5</f>
        <v>0.5203601791337984</v>
      </c>
      <c r="AJ25" s="48">
        <f>Financials!AH7/Financials!AH5</f>
        <v>0.51570397315160377</v>
      </c>
      <c r="AK25" s="48">
        <f>Financials!AI7/Financials!AI5</f>
        <v>0.52827587714272262</v>
      </c>
      <c r="AL25" s="48"/>
      <c r="AM25" s="48"/>
      <c r="AN25" s="48"/>
      <c r="AO25" s="48"/>
    </row>
    <row r="26" spans="2:41" s="4" customFormat="1">
      <c r="B26" s="306" t="s">
        <v>54</v>
      </c>
      <c r="C26" s="290" t="s">
        <v>55</v>
      </c>
      <c r="D26" s="291" t="s">
        <v>49</v>
      </c>
      <c r="E26" s="293">
        <f>Financials!C8/Financials!C5</f>
        <v>0.12563503372499887</v>
      </c>
      <c r="F26" s="293">
        <f>Financials!D8/Financials!D5</f>
        <v>7.4312766485877632E-2</v>
      </c>
      <c r="G26" s="293">
        <f>Financials!E8/Financials!E5</f>
        <v>7.7185346144984915E-2</v>
      </c>
      <c r="H26" s="293">
        <f>Financials!F8/Financials!F5</f>
        <v>7.3284241438212758E-2</v>
      </c>
      <c r="I26" s="293">
        <f>Financials!G8/Financials!G5</f>
        <v>8.0028241037428782E-2</v>
      </c>
      <c r="J26" s="293">
        <f>Financials!H8/Financials!H5</f>
        <v>7.4455918964256976E-2</v>
      </c>
      <c r="K26" s="293">
        <f>Financials!I8/Financials!I5</f>
        <v>7.1918860440239402E-2</v>
      </c>
      <c r="L26" s="293">
        <f>Financials!J8/Financials!J5</f>
        <v>9.1701425581784318E-2</v>
      </c>
      <c r="M26" s="293">
        <f>Financials!K8/Financials!K5</f>
        <v>8.7154038184247912E-2</v>
      </c>
      <c r="N26" s="293">
        <f>Financials!L8/Financials!L5</f>
        <v>8.4937772523320576E-2</v>
      </c>
      <c r="O26" s="293">
        <f>Financials!M8/Financials!M5</f>
        <v>8.1300610475004448E-2</v>
      </c>
      <c r="P26" s="293">
        <f>Financials!N8/Financials!N5</f>
        <v>8.4400479743126769E-2</v>
      </c>
      <c r="Q26" s="293">
        <f>Financials!O8/Financials!O5</f>
        <v>7.4672909168155416E-2</v>
      </c>
      <c r="R26" s="57">
        <f>Financials!P8/Financials!P5</f>
        <v>0.1347987357886824</v>
      </c>
      <c r="S26" s="57">
        <f>Financials!Q8/Financials!Q5</f>
        <v>7.6577698528512678E-2</v>
      </c>
      <c r="T26" s="57">
        <f>Financials!R8/Financials!R5</f>
        <v>7.7924188355988952E-2</v>
      </c>
      <c r="U26" s="57">
        <f>Financials!S8/Financials!S5</f>
        <v>7.504201071822228E-2</v>
      </c>
      <c r="V26" s="57">
        <f>Financials!T8/Financials!T5</f>
        <v>7.4334873882558841E-2</v>
      </c>
      <c r="W26" s="57">
        <f>Financials!U8/Financials!U5</f>
        <v>8.305195486791507E-2</v>
      </c>
      <c r="X26" s="57">
        <f>Financials!V8/Financials!V5</f>
        <v>7.5541483756938477E-2</v>
      </c>
      <c r="Y26" s="57">
        <f>Financials!W8/Financials!W5</f>
        <v>8.0948589676732005E-2</v>
      </c>
      <c r="Z26" s="57">
        <f>Financials!X8/Financials!X5</f>
        <v>7.6505772883229115E-2</v>
      </c>
      <c r="AA26" s="57">
        <f>Financials!Y8/Financials!Y5</f>
        <v>7.2098765938374582E-2</v>
      </c>
      <c r="AB26" s="57">
        <f>Financials!Z8/Financials!Z5</f>
        <v>7.6552955231589351E-2</v>
      </c>
      <c r="AC26" s="57">
        <f>Financials!AA8/Financials!AA5</f>
        <v>7.9789158836830062E-2</v>
      </c>
      <c r="AD26" s="57">
        <f>Financials!AB8/Financials!AB5</f>
        <v>7.4321981905251161E-2</v>
      </c>
      <c r="AE26" s="57">
        <f>Financials!AC8/Financials!AC5</f>
        <v>0.1411943813142339</v>
      </c>
      <c r="AF26" s="57">
        <f>Financials!AD8/Financials!AD5</f>
        <v>7.2178873866703644E-2</v>
      </c>
      <c r="AG26" s="57">
        <f>Financials!AE8/Financials!AE5</f>
        <v>6.9468869988775175E-2</v>
      </c>
      <c r="AH26" s="57">
        <f>Financials!AF8/Financials!AF5</f>
        <v>6.8019572649423432E-2</v>
      </c>
      <c r="AI26" s="57">
        <f>Financials!AG8/Financials!AG5</f>
        <v>6.959857537032102E-2</v>
      </c>
      <c r="AJ26" s="57">
        <f>Financials!AH8/Financials!AH5</f>
        <v>6.6547396005951068E-2</v>
      </c>
      <c r="AK26" s="57">
        <f>Financials!AI8/Financials!AI5</f>
        <v>7.3962086279316261E-2</v>
      </c>
      <c r="AL26" s="57"/>
      <c r="AM26" s="57"/>
      <c r="AN26" s="57"/>
      <c r="AO26" s="57"/>
    </row>
    <row r="27" spans="2:41" s="4" customFormat="1">
      <c r="B27" s="303">
        <v>3.2</v>
      </c>
      <c r="C27" s="61" t="s">
        <v>56</v>
      </c>
      <c r="D27" s="68" t="s">
        <v>57</v>
      </c>
      <c r="E27" s="294">
        <f>Financials!C9/Financials!C5</f>
        <v>0.1063723715731867</v>
      </c>
      <c r="F27" s="294">
        <f>Financials!D9/Financials!D5</f>
        <v>0.10365053499099053</v>
      </c>
      <c r="G27" s="294">
        <f>Financials!E9/Financials!E5</f>
        <v>0.10043171836138588</v>
      </c>
      <c r="H27" s="294">
        <f>Financials!F9/Financials!F5</f>
        <v>9.7840712622867698E-2</v>
      </c>
      <c r="I27" s="294">
        <f>Financials!G9/Financials!G5</f>
        <v>9.452170435823587E-2</v>
      </c>
      <c r="J27" s="294">
        <f>Financials!H9/Financials!H5</f>
        <v>9.2719660902756268E-2</v>
      </c>
      <c r="K27" s="294">
        <f>Financials!I9/Financials!I5</f>
        <v>9.0007000773317747E-2</v>
      </c>
      <c r="L27" s="294">
        <f>Financials!J9/Financials!J5</f>
        <v>8.5113282350035957E-2</v>
      </c>
      <c r="M27" s="294">
        <f>Financials!K9/Financials!K5</f>
        <v>8.2289536619815556E-2</v>
      </c>
      <c r="N27" s="294">
        <f>Financials!L9/Financials!L5</f>
        <v>7.9782277442193406E-2</v>
      </c>
      <c r="O27" s="294">
        <f>Financials!M9/Financials!M5</f>
        <v>7.7660316696718718E-2</v>
      </c>
      <c r="P27" s="294">
        <f>Financials!N9/Financials!N5</f>
        <v>7.4841714669920498E-2</v>
      </c>
      <c r="Q27" s="294">
        <f>Financials!O9/Financials!O5</f>
        <v>7.1224923144650787E-2</v>
      </c>
      <c r="R27" s="58">
        <f>Financials!P9/Financials!P5</f>
        <v>7.126903600710803E-2</v>
      </c>
      <c r="S27" s="58">
        <f>Financials!Q9/Financials!Q5</f>
        <v>6.8979770081612907E-2</v>
      </c>
      <c r="T27" s="58">
        <f>Financials!R9/Financials!R5</f>
        <v>6.626160287381111E-2</v>
      </c>
      <c r="U27" s="58">
        <f>Financials!S9/Financials!S5</f>
        <v>6.3863075697651983E-2</v>
      </c>
      <c r="V27" s="58">
        <f>Financials!T9/Financials!T5</f>
        <v>6.1308996791956005E-2</v>
      </c>
      <c r="W27" s="58">
        <f>Financials!U9/Financials!U5</f>
        <v>5.9932689880579842E-2</v>
      </c>
      <c r="X27" s="58">
        <f>Financials!V9/Financials!V5</f>
        <v>5.6474625504877113E-2</v>
      </c>
      <c r="Y27" s="58">
        <f>Financials!W9/Financials!W5</f>
        <v>5.3980413485669537E-2</v>
      </c>
      <c r="Z27" s="58">
        <f>Financials!X9/Financials!X5</f>
        <v>5.1652781857585164E-2</v>
      </c>
      <c r="AA27" s="58">
        <f>Financials!Y9/Financials!Y5</f>
        <v>4.9440896692789234E-2</v>
      </c>
      <c r="AB27" s="58">
        <f>Financials!Z9/Financials!Z5</f>
        <v>4.7506166766562205E-2</v>
      </c>
      <c r="AC27" s="58">
        <f>Financials!AA9/Financials!AA5</f>
        <v>4.5026256861199439E-2</v>
      </c>
      <c r="AD27" s="58">
        <f>Financials!AB9/Financials!AB5</f>
        <v>4.2931561985616568E-2</v>
      </c>
      <c r="AE27" s="58">
        <f>Financials!AC9/Financials!AC5</f>
        <v>4.3033632046701575E-2</v>
      </c>
      <c r="AF27" s="58">
        <f>Financials!AD9/Financials!AD5</f>
        <v>6.9834105124212204E-2</v>
      </c>
      <c r="AG27" s="58">
        <f>Financials!AE9/Financials!AE5</f>
        <v>6.6711485582095623E-2</v>
      </c>
      <c r="AH27" s="58">
        <f>Financials!AF9/Financials!AF5</f>
        <v>7.3183096000908665E-2</v>
      </c>
      <c r="AI27" s="58">
        <f>Financials!AG9/Financials!AG5</f>
        <v>7.9249654497253366E-2</v>
      </c>
      <c r="AJ27" s="58">
        <f>Financials!AH9/Financials!AH5</f>
        <v>8.5633208442147835E-2</v>
      </c>
      <c r="AK27" s="58">
        <f>Financials!AI9/Financials!AI5</f>
        <v>8.2110964969839551E-2</v>
      </c>
      <c r="AL27" s="58"/>
      <c r="AM27" s="58"/>
      <c r="AN27" s="58"/>
      <c r="AO27" s="58"/>
    </row>
    <row r="28" spans="2:41" s="4" customFormat="1">
      <c r="B28" s="303"/>
      <c r="C28" s="59"/>
      <c r="D28" s="49"/>
      <c r="E28" s="279"/>
      <c r="F28" s="279"/>
      <c r="G28" s="279"/>
      <c r="H28" s="279"/>
      <c r="I28" s="279"/>
      <c r="J28" s="279"/>
      <c r="K28" s="279"/>
      <c r="L28" s="279"/>
      <c r="M28" s="279"/>
      <c r="N28" s="279"/>
      <c r="O28" s="279"/>
      <c r="P28" s="279"/>
      <c r="Q28" s="279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</row>
    <row r="29" spans="2:41" s="4" customFormat="1">
      <c r="B29" s="302">
        <v>4</v>
      </c>
      <c r="C29" s="279" t="s">
        <v>58</v>
      </c>
      <c r="D29" s="280"/>
      <c r="E29" s="289"/>
      <c r="F29" s="289"/>
      <c r="G29" s="289"/>
      <c r="H29" s="289"/>
      <c r="I29" s="289"/>
      <c r="J29" s="289"/>
      <c r="K29" s="289"/>
      <c r="L29" s="289"/>
      <c r="M29" s="289"/>
      <c r="N29" s="289"/>
      <c r="O29" s="289"/>
      <c r="P29" s="289"/>
      <c r="Q29" s="289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</row>
    <row r="30" spans="2:41">
      <c r="B30" s="303">
        <v>4.0999999999999996</v>
      </c>
      <c r="C30" s="61" t="s">
        <v>59</v>
      </c>
      <c r="D30" s="288" t="s">
        <v>49</v>
      </c>
      <c r="E30" s="6"/>
      <c r="F30" s="6" t="e">
        <f>Financials!D5/Financials!B5-1</f>
        <v>#VALUE!</v>
      </c>
      <c r="G30" s="6">
        <f>Financials!E5/Financials!D5-1</f>
        <v>7.4771870769034798E-3</v>
      </c>
      <c r="H30" s="6">
        <f>Financials!F5/Financials!E5-1</f>
        <v>1.4457338472895209E-3</v>
      </c>
      <c r="I30" s="6">
        <f>Financials!G5/Financials!F5-1</f>
        <v>9.2358728894395004E-3</v>
      </c>
      <c r="J30" s="6">
        <f>Financials!H5/Financials!G5-1</f>
        <v>-6.7039717995434067E-3</v>
      </c>
      <c r="K30" s="6">
        <f>Financials!I5/Financials!H5-1</f>
        <v>3.0294204703786853E-3</v>
      </c>
      <c r="L30" s="6">
        <f>Financials!J5/Financials!I5-1</f>
        <v>2.8915543030639368E-2</v>
      </c>
      <c r="M30" s="6">
        <f>Financials!K5/Financials!J5-1</f>
        <v>5.5837947757710893E-3</v>
      </c>
      <c r="N30" s="6">
        <f>Financials!L5/Financials!K5-1</f>
        <v>1.9569453564913797E-3</v>
      </c>
      <c r="O30" s="6">
        <f>Financials!M5/Financials!L5-1</f>
        <v>-2.8917835841892892E-3</v>
      </c>
      <c r="P30" s="6">
        <f>Financials!N5/Financials!M5-1</f>
        <v>6.2165744858688754E-3</v>
      </c>
      <c r="Q30" s="6">
        <f>Financials!O5/Financials!N5-1</f>
        <v>1.7942987968876167E-2</v>
      </c>
      <c r="R30" s="308">
        <f>Financials!P5/Financials!O5-1</f>
        <v>-6.1896291151997129E-4</v>
      </c>
      <c r="S30" s="308">
        <f>Financials!Q5/Financials!P5-1</f>
        <v>-1.4113140884064457E-4</v>
      </c>
      <c r="T30" s="308">
        <f>Financials!R5/Financials!Q5-1</f>
        <v>6.3210293344644342E-3</v>
      </c>
      <c r="U30" s="308">
        <f>Financials!S5/Financials!R5-1</f>
        <v>1.7794995655655566E-3</v>
      </c>
      <c r="V30" s="308">
        <f>Financials!T5/Financials!S5-1</f>
        <v>4.4570093273805789E-3</v>
      </c>
      <c r="W30" s="308">
        <f>Financials!U5/Financials!T5-1</f>
        <v>-1.4923352822576619E-2</v>
      </c>
      <c r="X30" s="308">
        <f>Financials!V5/Financials!U5-1</f>
        <v>2.0415556634411303E-2</v>
      </c>
      <c r="Y30" s="308">
        <f>Financials!W5/Financials!V5-1</f>
        <v>4.3576360461778929E-3</v>
      </c>
      <c r="Z30" s="308">
        <f>Financials!X5/Financials!W5-1</f>
        <v>1.5187512943182213E-3</v>
      </c>
      <c r="AA30" s="308">
        <f>Financials!Y5/Financials!X5-1</f>
        <v>-6.8542371617674736E-4</v>
      </c>
      <c r="AB30" s="308">
        <f>Financials!Z5/Financials!Y5-1</f>
        <v>-6.5798523633961992E-3</v>
      </c>
      <c r="AC30" s="308">
        <f>Financials!AA5/Financials!Z5-1</f>
        <v>4.8352116966245973E-3</v>
      </c>
      <c r="AD30" s="308">
        <f>Financials!AB5/Financials!AA5-1</f>
        <v>-3.6480846373525555E-3</v>
      </c>
      <c r="AE30" s="308">
        <f>Financials!AC5/Financials!AB5-1</f>
        <v>-2.371867459454946E-3</v>
      </c>
      <c r="AF30" s="308">
        <f>Financials!AD5/Financials!AC5-1</f>
        <v>3.2865611217073099E-2</v>
      </c>
      <c r="AG30" s="308">
        <f>Financials!AE5/Financials!AD5-1</f>
        <v>1.0488629041143227E-3</v>
      </c>
      <c r="AH30" s="308">
        <f>Financials!AF5/Financials!AE5-1</f>
        <v>1.2879959162286569E-2</v>
      </c>
      <c r="AI30" s="308">
        <f>Financials!AG5/Financials!AF5-1</f>
        <v>1.1616996910984057E-2</v>
      </c>
      <c r="AJ30" s="308">
        <f>Financials!AH5/Financials!AG5-1</f>
        <v>1.0139576402564687E-2</v>
      </c>
      <c r="AK30" s="308">
        <f>Financials!AI5/Financials!AH5-1</f>
        <v>5.2249869108567104E-3</v>
      </c>
      <c r="AL30" s="308"/>
      <c r="AM30" s="308"/>
      <c r="AN30" s="308"/>
      <c r="AO30" s="308"/>
    </row>
    <row r="31" spans="2:41">
      <c r="B31" s="303">
        <v>4.2</v>
      </c>
      <c r="C31" s="61" t="s">
        <v>60</v>
      </c>
      <c r="D31" s="288" t="s">
        <v>49</v>
      </c>
      <c r="E31" s="6"/>
      <c r="F31" s="6" t="e">
        <f>Financials!D6/Financials!B6-1</f>
        <v>#VALUE!</v>
      </c>
      <c r="G31" s="6">
        <f>Financials!E6/Financials!D6-1</f>
        <v>1.3087987860281203E-2</v>
      </c>
      <c r="H31" s="6">
        <f>Financials!F6/Financials!E6-1</f>
        <v>-1.5171973993917121E-3</v>
      </c>
      <c r="I31" s="6">
        <f>Financials!G6/Financials!F6-1</f>
        <v>1.6835936848204502E-2</v>
      </c>
      <c r="J31" s="6">
        <f>Financials!H6/Financials!G6-1</f>
        <v>-4.9928980205496964E-3</v>
      </c>
      <c r="K31" s="6">
        <f>Financials!I6/Financials!H6-1</f>
        <v>4.467021989462916E-3</v>
      </c>
      <c r="L31" s="6">
        <f>Financials!J6/Financials!I6-1</f>
        <v>5.1440076402144763E-2</v>
      </c>
      <c r="M31" s="6">
        <f>Financials!K6/Financials!J6-1</f>
        <v>5.7482085332734023E-3</v>
      </c>
      <c r="N31" s="6">
        <f>Financials!L6/Financials!K6-1</f>
        <v>1.1621311748584162E-3</v>
      </c>
      <c r="O31" s="6">
        <f>Financials!M6/Financials!L6-1</f>
        <v>-8.9970683649251981E-3</v>
      </c>
      <c r="P31" s="6">
        <f>Financials!N6/Financials!M6-1</f>
        <v>5.6190708458976335E-3</v>
      </c>
      <c r="Q31" s="6">
        <f>Financials!O6/Financials!N6-1</f>
        <v>-7.4217779217221613E-3</v>
      </c>
      <c r="R31" s="308">
        <f>Financials!P6/Financials!O6-1</f>
        <v>-2.0413237766803149E-10</v>
      </c>
      <c r="S31" s="308">
        <f>Financials!Q6/Financials!P6-1</f>
        <v>9.2185663494628312E-3</v>
      </c>
      <c r="T31" s="308">
        <f>Financials!R6/Financials!Q6-1</f>
        <v>1.1760220328578042E-2</v>
      </c>
      <c r="U31" s="308">
        <f>Financials!S6/Financials!R6-1</f>
        <v>3.7918103309155793E-3</v>
      </c>
      <c r="V31" s="308">
        <f>Financials!T6/Financials!S6-1</f>
        <v>7.0261558456974349E-3</v>
      </c>
      <c r="W31" s="308">
        <f>Financials!U6/Financials!T6-1</f>
        <v>2.1478604788129685E-2</v>
      </c>
      <c r="X31" s="308">
        <f>Financials!V6/Financials!U6-1</f>
        <v>-4.4864201088676836E-3</v>
      </c>
      <c r="Y31" s="308">
        <f>Financials!W6/Financials!V6-1</f>
        <v>9.2718017705264444E-3</v>
      </c>
      <c r="Z31" s="308">
        <f>Financials!X6/Financials!W6-1</f>
        <v>-2.5882267883724497E-3</v>
      </c>
      <c r="AA31" s="308">
        <f>Financials!Y6/Financials!X6-1</f>
        <v>-5.6169181033363103E-3</v>
      </c>
      <c r="AB31" s="308">
        <f>Financials!Z6/Financials!Y6-1</f>
        <v>-9.4911961312038606E-3</v>
      </c>
      <c r="AC31" s="308">
        <f>Financials!AA6/Financials!Z6-1</f>
        <v>1.1207254564213898E-3</v>
      </c>
      <c r="AD31" s="308">
        <f>Financials!AB6/Financials!AA6-1</f>
        <v>-5.2181678611449289E-3</v>
      </c>
      <c r="AE31" s="308">
        <f>Financials!AC6/Financials!AB6-1</f>
        <v>2.5270407988386978E-10</v>
      </c>
      <c r="AF31" s="308">
        <f>Financials!AD6/Financials!AC6-1</f>
        <v>1.9572955448108331E-3</v>
      </c>
      <c r="AG31" s="308">
        <f>Financials!AE6/Financials!AD6-1</f>
        <v>9.4423006141819421E-4</v>
      </c>
      <c r="AH31" s="308">
        <f>Financials!AF6/Financials!AE6-1</f>
        <v>-2.4231295039221279E-2</v>
      </c>
      <c r="AI31" s="308">
        <f>Financials!AG6/Financials!AF6-1</f>
        <v>1.3420591640596058E-3</v>
      </c>
      <c r="AJ31" s="308">
        <f>Financials!AH6/Financials!AG6-1</f>
        <v>1.1008026318151121E-3</v>
      </c>
      <c r="AK31" s="308">
        <f>Financials!AI6/Financials!AH6-1</f>
        <v>2.9730503026401234E-2</v>
      </c>
      <c r="AL31" s="308"/>
      <c r="AM31" s="308"/>
      <c r="AN31" s="308"/>
      <c r="AO31" s="308"/>
    </row>
    <row r="32" spans="2:41">
      <c r="B32" s="303" t="s">
        <v>61</v>
      </c>
      <c r="C32" s="295" t="s">
        <v>62</v>
      </c>
      <c r="D32" s="288" t="s">
        <v>49</v>
      </c>
      <c r="E32" s="6"/>
      <c r="F32" s="6" t="e">
        <f>Financials!D8/Financials!B8-1</f>
        <v>#VALUE!</v>
      </c>
      <c r="G32" s="6">
        <f>Financials!E8/Financials!D8-1</f>
        <v>4.6421484422659365E-2</v>
      </c>
      <c r="H32" s="6">
        <f>Financials!F8/Financials!E8-1</f>
        <v>-4.9169374602831772E-2</v>
      </c>
      <c r="I32" s="6">
        <f>Financials!G8/Financials!F8-1</f>
        <v>0.10211104207597343</v>
      </c>
      <c r="J32" s="6">
        <f>Financials!H8/Financials!G8-1</f>
        <v>-7.5866623775695419E-2</v>
      </c>
      <c r="K32" s="6">
        <f>Financials!I8/Financials!H8-1</f>
        <v>-3.1148444452172352E-2</v>
      </c>
      <c r="L32" s="6">
        <f>Financials!J8/Financials!I8-1</f>
        <v>0.3119371124848056</v>
      </c>
      <c r="M32" s="6">
        <f>Financials!K8/Financials!J8-1</f>
        <v>-4.4282159286763378E-2</v>
      </c>
      <c r="N32" s="6">
        <f>Financials!L8/Financials!K8-1</f>
        <v>-2.3522112389826377E-2</v>
      </c>
      <c r="O32" s="6">
        <f>Financials!M8/Financials!L8-1</f>
        <v>-4.5589443942730568E-2</v>
      </c>
      <c r="P32" s="6">
        <f>Financials!N8/Financials!M8-1</f>
        <v>4.4582090047194489E-2</v>
      </c>
      <c r="Q32" s="6">
        <f>Financials!O8/Financials!N8-1</f>
        <v>-9.937995008670808E-2</v>
      </c>
      <c r="R32" s="308">
        <f>Financials!P8/Financials!O8-1</f>
        <v>0.80407194351227118</v>
      </c>
      <c r="S32" s="308">
        <f>Financials!Q8/Financials!P8-1</f>
        <v>-0.43199103046438159</v>
      </c>
      <c r="T32" s="308">
        <f>Financials!R8/Financials!Q8-1</f>
        <v>2.401548940850029E-2</v>
      </c>
      <c r="U32" s="308">
        <f>Financials!S8/Financials!R8-1</f>
        <v>-3.5273263286844103E-2</v>
      </c>
      <c r="V32" s="308">
        <f>Financials!T8/Financials!S8-1</f>
        <v>-5.0082028162919956E-3</v>
      </c>
      <c r="W32" s="308">
        <f>Financials!U8/Financials!T8-1</f>
        <v>0.1005943370815634</v>
      </c>
      <c r="X32" s="308">
        <f>Financials!V8/Financials!U8-1</f>
        <v>-7.1861639868455729E-2</v>
      </c>
      <c r="Y32" s="308">
        <f>Financials!W8/Financials!V8-1</f>
        <v>7.6247514949387973E-2</v>
      </c>
      <c r="Z32" s="308">
        <f>Financials!X8/Financials!W8-1</f>
        <v>-5.3449029429567863E-2</v>
      </c>
      <c r="AA32" s="308">
        <f>Financials!Y8/Financials!X8-1</f>
        <v>-5.8249527858997285E-2</v>
      </c>
      <c r="AB32" s="308">
        <f>Financials!Z8/Financials!Y8-1</f>
        <v>5.4792645871162948E-2</v>
      </c>
      <c r="AC32" s="308">
        <f>Financials!AA8/Financials!Z8-1</f>
        <v>4.7313667622040922E-2</v>
      </c>
      <c r="AD32" s="308">
        <f>Financials!AB8/Financials!AA8-1</f>
        <v>-7.1918414677362041E-2</v>
      </c>
      <c r="AE32" s="308">
        <f>Financials!AC8/Financials!AB8-1</f>
        <v>0.89526010131579215</v>
      </c>
      <c r="AF32" s="308">
        <f>Financials!AD8/Financials!AC8-1</f>
        <v>-0.47199686007776465</v>
      </c>
      <c r="AG32" s="308">
        <f>Financials!AE8/Financials!AD8-1</f>
        <v>-3.6536183178427439E-2</v>
      </c>
      <c r="AH32" s="308">
        <f>Financials!AF8/Financials!AE8-1</f>
        <v>-8.2512932984747378E-3</v>
      </c>
      <c r="AI32" s="308">
        <f>Financials!AG8/Financials!AF8-1</f>
        <v>3.5100619762622687E-2</v>
      </c>
      <c r="AJ32" s="308">
        <f>Financials!AH8/Financials!AG8-1</f>
        <v>-3.4144620712872498E-2</v>
      </c>
      <c r="AK32" s="308">
        <f>Financials!AI8/Financials!AH8-1</f>
        <v>0.11722684393806571</v>
      </c>
      <c r="AL32" s="308"/>
      <c r="AM32" s="308"/>
      <c r="AN32" s="308"/>
      <c r="AO32" s="308"/>
    </row>
    <row r="33" spans="2:41">
      <c r="B33" s="303" t="s">
        <v>63</v>
      </c>
      <c r="C33" s="295" t="s">
        <v>64</v>
      </c>
      <c r="D33" s="288" t="s">
        <v>49</v>
      </c>
      <c r="E33" s="6"/>
      <c r="F33" s="6" t="e">
        <f>Financials!D7/Financials!B7-1</f>
        <v>#VALUE!</v>
      </c>
      <c r="G33" s="6">
        <f>Financials!E7/Financials!D7-1</f>
        <v>1.3087987860281203E-2</v>
      </c>
      <c r="H33" s="6">
        <f>Financials!F7/Financials!E7-1</f>
        <v>-1.5171973993917121E-3</v>
      </c>
      <c r="I33" s="6">
        <f>Financials!G7/Financials!F7-1</f>
        <v>1.6835936848204502E-2</v>
      </c>
      <c r="J33" s="6">
        <f>Financials!H7/Financials!G7-1</f>
        <v>-4.9928980205496964E-3</v>
      </c>
      <c r="K33" s="6">
        <f>Financials!I7/Financials!H7-1</f>
        <v>4.467021989462916E-3</v>
      </c>
      <c r="L33" s="6">
        <f>Financials!J7/Financials!I7-1</f>
        <v>5.1440076402144763E-2</v>
      </c>
      <c r="M33" s="6">
        <f>Financials!K7/Financials!J7-1</f>
        <v>5.7482085332734023E-3</v>
      </c>
      <c r="N33" s="6">
        <f>Financials!L7/Financials!K7-1</f>
        <v>1.1621311748584162E-3</v>
      </c>
      <c r="O33" s="6">
        <f>Financials!M7/Financials!L7-1</f>
        <v>-8.9970683649251981E-3</v>
      </c>
      <c r="P33" s="6">
        <f>Financials!N7/Financials!M7-1</f>
        <v>5.6190708458976335E-3</v>
      </c>
      <c r="Q33" s="6">
        <f>Financials!O7/Financials!N7-1</f>
        <v>-7.4217779217221613E-3</v>
      </c>
      <c r="R33" s="308">
        <f>Financials!P7/Financials!O7-1</f>
        <v>-2.0413237766803149E-10</v>
      </c>
      <c r="S33" s="308">
        <f>Financials!Q7/Financials!P7-1</f>
        <v>9.2185663494628312E-3</v>
      </c>
      <c r="T33" s="308">
        <f>Financials!R7/Financials!Q7-1</f>
        <v>1.1760220328578042E-2</v>
      </c>
      <c r="U33" s="308">
        <f>Financials!S7/Financials!R7-1</f>
        <v>3.7918103309155793E-3</v>
      </c>
      <c r="V33" s="308">
        <f>Financials!T7/Financials!S7-1</f>
        <v>7.0261558456974349E-3</v>
      </c>
      <c r="W33" s="308">
        <f>Financials!U7/Financials!T7-1</f>
        <v>2.1478604788129685E-2</v>
      </c>
      <c r="X33" s="308">
        <f>Financials!V7/Financials!U7-1</f>
        <v>-4.4864201088676836E-3</v>
      </c>
      <c r="Y33" s="308">
        <f>Financials!W7/Financials!V7-1</f>
        <v>9.2718017705264444E-3</v>
      </c>
      <c r="Z33" s="308">
        <f>Financials!X7/Financials!W7-1</f>
        <v>-2.5882267883724497E-3</v>
      </c>
      <c r="AA33" s="308">
        <f>Financials!Y7/Financials!X7-1</f>
        <v>-5.6169181033363103E-3</v>
      </c>
      <c r="AB33" s="308">
        <f>Financials!Z7/Financials!Y7-1</f>
        <v>-9.4911961312038606E-3</v>
      </c>
      <c r="AC33" s="308">
        <f>Financials!AA7/Financials!Z7-1</f>
        <v>1.1207254564213898E-3</v>
      </c>
      <c r="AD33" s="308">
        <f>Financials!AB7/Financials!AA7-1</f>
        <v>-5.2181678611449289E-3</v>
      </c>
      <c r="AE33" s="308">
        <f>Financials!AC7/Financials!AB7-1</f>
        <v>2.5270407988386978E-10</v>
      </c>
      <c r="AF33" s="308">
        <f>Financials!AD7/Financials!AC7-1</f>
        <v>1.9572955448108331E-3</v>
      </c>
      <c r="AG33" s="308">
        <f>Financials!AE7/Financials!AD7-1</f>
        <v>9.4423006141819421E-4</v>
      </c>
      <c r="AH33" s="308">
        <f>Financials!AF7/Financials!AE7-1</f>
        <v>-2.4231295039221279E-2</v>
      </c>
      <c r="AI33" s="308">
        <f>Financials!AG7/Financials!AF7-1</f>
        <v>1.3420591640596058E-3</v>
      </c>
      <c r="AJ33" s="308">
        <f>Financials!AH7/Financials!AG7-1</f>
        <v>1.1008026318151121E-3</v>
      </c>
      <c r="AK33" s="308">
        <f>Financials!AI7/Financials!AH7-1</f>
        <v>2.9730503026401234E-2</v>
      </c>
      <c r="AL33" s="308"/>
      <c r="AM33" s="308"/>
      <c r="AN33" s="308"/>
      <c r="AO33" s="308"/>
    </row>
    <row r="34" spans="2:41">
      <c r="B34" s="303">
        <v>4.3</v>
      </c>
      <c r="C34" s="61" t="s">
        <v>65</v>
      </c>
      <c r="D34" s="288" t="s">
        <v>49</v>
      </c>
      <c r="E34" s="6"/>
      <c r="F34" s="6" t="e">
        <f>Financials!D31/Financials!B31-1</f>
        <v>#VALUE!</v>
      </c>
      <c r="G34" s="6">
        <f>Financials!E31/Financials!D31-1</f>
        <v>1.0299389644099044E-2</v>
      </c>
      <c r="H34" s="6">
        <f>Financials!F31/Financials!E31-1</f>
        <v>7.1017601815457354E-3</v>
      </c>
      <c r="I34" s="6">
        <f>Financials!G31/Financials!F31-1</f>
        <v>4.9885309813122447E-3</v>
      </c>
      <c r="J34" s="6">
        <f>Financials!H31/Financials!G31-1</f>
        <v>-1.9016745858787543E-3</v>
      </c>
      <c r="K34" s="6">
        <f>Financials!I31/Financials!H31-1</f>
        <v>1.3531405298530252E-2</v>
      </c>
      <c r="L34" s="6">
        <f>Financials!J31/Financials!I31-1</f>
        <v>2.0361482193538061E-2</v>
      </c>
      <c r="M34" s="6">
        <f>Financials!K31/Financials!J31-1</f>
        <v>-9.250757877042437E-3</v>
      </c>
      <c r="N34" s="6">
        <f>Financials!L31/Financials!K31-1</f>
        <v>1.1612861009627551E-2</v>
      </c>
      <c r="O34" s="6">
        <f>Financials!M31/Financials!L31-1</f>
        <v>1.4948597177167899E-2</v>
      </c>
      <c r="P34" s="6">
        <f>Financials!N31/Financials!M31-1</f>
        <v>1.3912621946535531E-2</v>
      </c>
      <c r="Q34" s="6">
        <f>Financials!O31/Financials!N31-1</f>
        <v>1.9255825632734425E-2</v>
      </c>
      <c r="R34" s="308">
        <f>Financials!P31/Financials!O31-1</f>
        <v>-4.2962966517734458E-11</v>
      </c>
      <c r="S34" s="308">
        <f>Financials!Q31/Financials!P31-1</f>
        <v>-1.4626804722619458E-3</v>
      </c>
      <c r="T34" s="308">
        <f>Financials!R31/Financials!Q31-1</f>
        <v>1.231937423932461E-3</v>
      </c>
      <c r="U34" s="308">
        <f>Financials!S31/Financials!R31-1</f>
        <v>2.5508919471905589E-2</v>
      </c>
      <c r="V34" s="308">
        <f>Financials!T31/Financials!S31-1</f>
        <v>7.9972012721525321E-3</v>
      </c>
      <c r="W34" s="308">
        <f>Financials!U31/Financials!T31-1</f>
        <v>-1.3951836163832998E-2</v>
      </c>
      <c r="X34" s="308">
        <f>Financials!V31/Financials!U31-1</f>
        <v>-2.1534297368512867E-3</v>
      </c>
      <c r="Y34" s="308">
        <f>Financials!W31/Financials!V31-1</f>
        <v>3.2805911116587927E-2</v>
      </c>
      <c r="Z34" s="308">
        <f>Financials!X31/Financials!W31-1</f>
        <v>-5.2858734170390109E-3</v>
      </c>
      <c r="AA34" s="308">
        <f>Financials!Y31/Financials!X31-1</f>
        <v>1.5186622189610199E-2</v>
      </c>
      <c r="AB34" s="308">
        <f>Financials!Z31/Financials!Y31-1</f>
        <v>1.2620969761061751E-2</v>
      </c>
      <c r="AC34" s="308">
        <f>Financials!AA31/Financials!Z31-1</f>
        <v>2.6778227078109174E-2</v>
      </c>
      <c r="AD34" s="308">
        <f>Financials!AB31/Financials!AA31-1</f>
        <v>2.8484350452863794E-2</v>
      </c>
      <c r="AE34" s="308">
        <f>Financials!AC31/Financials!AB31-1</f>
        <v>-2.273004007236068E-11</v>
      </c>
      <c r="AF34" s="308">
        <f>Financials!AD31/Financials!AC31-1</f>
        <v>3.6679240323187701E-2</v>
      </c>
      <c r="AG34" s="308">
        <f>Financials!AE31/Financials!AD31-1</f>
        <v>8.3194500323378051E-3</v>
      </c>
      <c r="AH34" s="308">
        <f>Financials!AF31/Financials!AE31-1</f>
        <v>1.9302612169848965E-2</v>
      </c>
      <c r="AI34" s="308">
        <f>Financials!AG31/Financials!AF31-1</f>
        <v>4.0077105135214008E-2</v>
      </c>
      <c r="AJ34" s="308">
        <f>Financials!AH31/Financials!AG31-1</f>
        <v>8.025731366109401E-3</v>
      </c>
      <c r="AK34" s="308">
        <f>Financials!AI31/Financials!AH31-1</f>
        <v>-2.9506737573030462E-2</v>
      </c>
      <c r="AL34" s="308"/>
      <c r="AM34" s="308"/>
      <c r="AN34" s="308"/>
      <c r="AO34" s="308"/>
    </row>
    <row r="35" spans="2:41">
      <c r="B35" s="303">
        <v>4.4000000000000004</v>
      </c>
      <c r="C35" s="61" t="s">
        <v>66</v>
      </c>
      <c r="D35" s="288" t="s">
        <v>49</v>
      </c>
      <c r="E35" s="6"/>
      <c r="F35" s="6" t="e">
        <f>Financials!D14/Financials!B14-1</f>
        <v>#VALUE!</v>
      </c>
      <c r="G35" s="6">
        <f>Financials!E14/Financials!D14-1</f>
        <v>5.0599237244805861E-2</v>
      </c>
      <c r="H35" s="6">
        <f>Financials!F14/Financials!E14-1</f>
        <v>2.8662116265957938E-2</v>
      </c>
      <c r="I35" s="6">
        <f>Financials!G14/Financials!F14-1</f>
        <v>5.5977481304422705E-2</v>
      </c>
      <c r="J35" s="6">
        <f>Financials!H14/Financials!G14-1</f>
        <v>-2.8256373794973255E-2</v>
      </c>
      <c r="K35" s="6">
        <f>Financials!I14/Financials!H14-1</f>
        <v>1.288527975592535E-2</v>
      </c>
      <c r="L35" s="6">
        <f>Financials!J14/Financials!I14-1</f>
        <v>1.0946061999559165E-2</v>
      </c>
      <c r="M35" s="6">
        <f>Financials!K14/Financials!J14-1</f>
        <v>2.2292771035943959E-2</v>
      </c>
      <c r="N35" s="6">
        <f>Financials!L14/Financials!K14-1</f>
        <v>1.280415484043762E-2</v>
      </c>
      <c r="O35" s="6">
        <f>Financials!M14/Financials!L14-1</f>
        <v>1.9483034394647269E-2</v>
      </c>
      <c r="P35" s="6">
        <f>Financials!N14/Financials!M14-1</f>
        <v>2.0644155858525304E-2</v>
      </c>
      <c r="Q35" s="6">
        <f>Financials!O14/Financials!N14-1</f>
        <v>2.0610200116735644E-2</v>
      </c>
      <c r="R35" s="308">
        <f>Financials!P14/Financials!O14-1</f>
        <v>-3.6316839100265175E-2</v>
      </c>
      <c r="S35" s="308">
        <f>Financials!Q14/Financials!P14-1</f>
        <v>5.6717625790750237E-2</v>
      </c>
      <c r="T35" s="308">
        <f>Financials!R14/Financials!Q14-1</f>
        <v>-2.7894434991238559E-2</v>
      </c>
      <c r="U35" s="308">
        <f>Financials!S14/Financials!R14-1</f>
        <v>1.3400322979974177E-2</v>
      </c>
      <c r="V35" s="308">
        <f>Financials!T14/Financials!S14-1</f>
        <v>1.7826337164544848E-2</v>
      </c>
      <c r="W35" s="308">
        <f>Financials!U14/Financials!T14-1</f>
        <v>1.6640229490964442E-2</v>
      </c>
      <c r="X35" s="308">
        <f>Financials!V14/Financials!U14-1</f>
        <v>7.7933745495651907E-2</v>
      </c>
      <c r="Y35" s="308">
        <f>Financials!W14/Financials!V14-1</f>
        <v>5.2822948886208643E-3</v>
      </c>
      <c r="Z35" s="308">
        <f>Financials!X14/Financials!W14-1</f>
        <v>1.6539114412725375E-2</v>
      </c>
      <c r="AA35" s="308">
        <f>Financials!Y14/Financials!X14-1</f>
        <v>1.3367345564005317E-2</v>
      </c>
      <c r="AB35" s="308">
        <f>Financials!Z14/Financials!Y14-1</f>
        <v>0.10515258790629423</v>
      </c>
      <c r="AC35" s="308">
        <f>Financials!AA14/Financials!Z14-1</f>
        <v>1.8966832415035384E-2</v>
      </c>
      <c r="AD35" s="308">
        <f>Financials!AB14/Financials!AA14-1</f>
        <v>-3.3740044696205507E-3</v>
      </c>
      <c r="AE35" s="308">
        <f>Financials!AC14/Financials!AB14-1</f>
        <v>-3.7660965454971329E-2</v>
      </c>
      <c r="AF35" s="308">
        <f>Financials!AD14/Financials!AC14-1</f>
        <v>9.4053940443812323E-3</v>
      </c>
      <c r="AG35" s="308">
        <f>Financials!AE14/Financials!AD14-1</f>
        <v>1.0243562945246421E-2</v>
      </c>
      <c r="AH35" s="308">
        <f>Financials!AF14/Financials!AE14-1</f>
        <v>8.4006366434635549E-2</v>
      </c>
      <c r="AI35" s="308">
        <f>Financials!AG14/Financials!AF14-1</f>
        <v>8.7721681027770337E-3</v>
      </c>
      <c r="AJ35" s="308">
        <f>Financials!AH14/Financials!AG14-1</f>
        <v>1.1308834454732297E-2</v>
      </c>
      <c r="AK35" s="308">
        <f>Financials!AI14/Financials!AH14-1</f>
        <v>6.625688888058856E-2</v>
      </c>
      <c r="AL35" s="308"/>
      <c r="AM35" s="308"/>
      <c r="AN35" s="308"/>
      <c r="AO35" s="308"/>
    </row>
    <row r="36" spans="2:41">
      <c r="B36" s="303">
        <v>4.5</v>
      </c>
      <c r="C36" s="61" t="s">
        <v>67</v>
      </c>
      <c r="D36" s="288" t="s">
        <v>49</v>
      </c>
      <c r="E36" s="7"/>
      <c r="F36" s="7" t="e">
        <f>Financials!D41/Financials!B41-1</f>
        <v>#VALUE!</v>
      </c>
      <c r="G36" s="7">
        <f>Financials!E41/Financials!D41-1</f>
        <v>9.9146333763434624E-2</v>
      </c>
      <c r="H36" s="7">
        <f>Financials!F41/Financials!E41-1</f>
        <v>2.0988052578089222E-2</v>
      </c>
      <c r="I36" s="7">
        <f>Financials!G41/Financials!F41-1</f>
        <v>-6.2053427036770192E-2</v>
      </c>
      <c r="J36" s="7">
        <f>Financials!H41/Financials!G41-1</f>
        <v>-9.5693316388502203E-2</v>
      </c>
      <c r="K36" s="7">
        <f>Financials!I41/Financials!H41-1</f>
        <v>1.9166248427426869E-2</v>
      </c>
      <c r="L36" s="7">
        <f>Financials!J41/Financials!I41-1</f>
        <v>7.2405752114304001E-3</v>
      </c>
      <c r="M36" s="7">
        <f>Financials!K41/Financials!J41-1</f>
        <v>4.0751731549405479E-2</v>
      </c>
      <c r="N36" s="7">
        <f>Financials!L41/Financials!K41-1</f>
        <v>8.920809965660581E-3</v>
      </c>
      <c r="O36" s="7">
        <f>Financials!M41/Financials!L41-1</f>
        <v>2.0408106246539548E-2</v>
      </c>
      <c r="P36" s="7">
        <f>Financials!N41/Financials!M41-1</f>
        <v>1.5059526447829041E-2</v>
      </c>
      <c r="Q36" s="7">
        <f>Financials!O41/Financials!N41-1</f>
        <v>0.24841702332677462</v>
      </c>
      <c r="R36" s="309">
        <f>Financials!P41/Financials!O41-1</f>
        <v>2.6376790665855609</v>
      </c>
      <c r="S36" s="309">
        <f>Financials!Q41/Financials!P41-1</f>
        <v>-0.71820362886876266</v>
      </c>
      <c r="T36" s="309">
        <f>Financials!R41/Financials!Q41-1</f>
        <v>-0.10424566595011953</v>
      </c>
      <c r="U36" s="309">
        <f>Financials!S41/Financials!R41-1</f>
        <v>-1.912137693009841E-2</v>
      </c>
      <c r="V36" s="309">
        <f>Financials!T41/Financials!S41-1</f>
        <v>1.5852067174443318E-2</v>
      </c>
      <c r="W36" s="309">
        <f>Financials!U41/Financials!T41-1</f>
        <v>-3.1422310713153934E-3</v>
      </c>
      <c r="X36" s="309">
        <f>Financials!V41/Financials!U41-1</f>
        <v>3.1396031376721201E-2</v>
      </c>
      <c r="Y36" s="309">
        <f>Financials!W41/Financials!V41-1</f>
        <v>-9.7596181215310329E-3</v>
      </c>
      <c r="Z36" s="309">
        <f>Financials!X41/Financials!W41-1</f>
        <v>2.2099004716130244E-2</v>
      </c>
      <c r="AA36" s="309">
        <f>Financials!Y41/Financials!X41-1</f>
        <v>1.7594773480680281E-2</v>
      </c>
      <c r="AB36" s="309">
        <f>Financials!Z41/Financials!Y41-1</f>
        <v>2.0785938149567196E-2</v>
      </c>
      <c r="AC36" s="309">
        <f>Financials!AA41/Financials!Z41-1</f>
        <v>1.6637229211701854E-2</v>
      </c>
      <c r="AD36" s="309">
        <f>Financials!AB41/Financials!AA41-1</f>
        <v>-2.6329939923423029E-2</v>
      </c>
      <c r="AE36" s="309">
        <f>Financials!AC41/Financials!AB41-1</f>
        <v>2.3703517078278793</v>
      </c>
      <c r="AF36" s="309">
        <f>Financials!AD41/Financials!AC41-1</f>
        <v>-0.66733200938259229</v>
      </c>
      <c r="AG36" s="309">
        <f>Financials!AE41/Financials!AD41-1</f>
        <v>1.2344515086039953E-2</v>
      </c>
      <c r="AH36" s="309">
        <f>Financials!AF41/Financials!AE41-1</f>
        <v>1.6462343823313574E-3</v>
      </c>
      <c r="AI36" s="309">
        <f>Financials!AG41/Financials!AF41-1</f>
        <v>1.070891727924117E-2</v>
      </c>
      <c r="AJ36" s="309">
        <f>Financials!AH41/Financials!AG41-1</f>
        <v>1.6578844685588567E-3</v>
      </c>
      <c r="AK36" s="309">
        <f>Financials!AI41/Financials!AH41-1</f>
        <v>-3.8768986211709433E-2</v>
      </c>
      <c r="AL36" s="309"/>
      <c r="AM36" s="309"/>
      <c r="AN36" s="309"/>
      <c r="AO36" s="309"/>
    </row>
    <row r="37" spans="2:41">
      <c r="B37" s="303">
        <v>4.5999999999999996</v>
      </c>
      <c r="C37" s="61" t="s">
        <v>68</v>
      </c>
      <c r="D37" s="288" t="s">
        <v>49</v>
      </c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310"/>
      <c r="S37" s="310"/>
      <c r="T37" s="310"/>
      <c r="U37" s="310"/>
      <c r="V37" s="310"/>
      <c r="W37" s="310"/>
      <c r="X37" s="310"/>
      <c r="Y37" s="310"/>
      <c r="Z37" s="310"/>
      <c r="AA37" s="310"/>
      <c r="AB37" s="310"/>
      <c r="AC37" s="310"/>
      <c r="AD37" s="310"/>
      <c r="AE37" s="310"/>
      <c r="AF37" s="310"/>
      <c r="AG37" s="310"/>
      <c r="AH37" s="310"/>
      <c r="AI37" s="310"/>
      <c r="AJ37" s="310"/>
      <c r="AK37" s="310"/>
      <c r="AL37" s="310"/>
      <c r="AM37" s="310"/>
      <c r="AN37" s="310"/>
      <c r="AO37" s="310"/>
    </row>
    <row r="38" spans="2:41">
      <c r="B38" s="303"/>
      <c r="C38" s="61"/>
      <c r="D38" s="4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311"/>
      <c r="S38" s="311"/>
      <c r="T38" s="311"/>
      <c r="U38" s="311"/>
      <c r="V38" s="311"/>
      <c r="W38" s="311"/>
      <c r="X38" s="311"/>
      <c r="Y38" s="311"/>
      <c r="Z38" s="311"/>
      <c r="AA38" s="311"/>
      <c r="AB38" s="311"/>
      <c r="AC38" s="311"/>
      <c r="AD38" s="311"/>
      <c r="AE38" s="311"/>
      <c r="AF38" s="311"/>
      <c r="AG38" s="311"/>
      <c r="AH38" s="311"/>
      <c r="AI38" s="311"/>
      <c r="AJ38" s="311"/>
      <c r="AK38" s="311"/>
      <c r="AL38" s="311"/>
      <c r="AM38" s="311"/>
      <c r="AN38" s="311"/>
      <c r="AO38" s="311"/>
    </row>
    <row r="39" spans="2:41">
      <c r="B39" s="305">
        <v>5</v>
      </c>
      <c r="C39" s="60" t="s">
        <v>69</v>
      </c>
      <c r="D39" s="49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312"/>
      <c r="S39" s="312"/>
      <c r="T39" s="312"/>
      <c r="U39" s="312"/>
      <c r="V39" s="312"/>
      <c r="W39" s="312"/>
      <c r="X39" s="312"/>
      <c r="Y39" s="312"/>
      <c r="Z39" s="312"/>
      <c r="AA39" s="312"/>
      <c r="AB39" s="312"/>
      <c r="AC39" s="312"/>
      <c r="AD39" s="312"/>
      <c r="AE39" s="312"/>
      <c r="AF39" s="312"/>
      <c r="AG39" s="312"/>
      <c r="AH39" s="312"/>
      <c r="AI39" s="312"/>
      <c r="AJ39" s="312"/>
      <c r="AK39" s="312"/>
      <c r="AL39" s="312"/>
      <c r="AM39" s="312"/>
      <c r="AN39" s="312"/>
      <c r="AO39" s="312"/>
    </row>
    <row r="40" spans="2:41">
      <c r="B40" s="305">
        <v>5.0999999999999996</v>
      </c>
      <c r="C40" s="61" t="s">
        <v>70</v>
      </c>
      <c r="D40" s="288" t="s">
        <v>49</v>
      </c>
      <c r="E40" s="6">
        <f>Financials!C48/((Financials!C6+Financials!A6)/2)</f>
        <v>0.18416552601010189</v>
      </c>
      <c r="F40" s="6" t="e">
        <f>Financials!D48/((Financials!D6+Financials!B6)/2)</f>
        <v>#VALUE!</v>
      </c>
      <c r="G40" s="6">
        <f>Financials!E48/((Financials!E6+Financials!D6)/2)</f>
        <v>2.2826207960023877E-3</v>
      </c>
      <c r="H40" s="6">
        <f>Financials!F48/((Financials!F6+Financials!E6)/2)</f>
        <v>3.6078732886757766E-3</v>
      </c>
      <c r="I40" s="6">
        <f>Financials!G48/((Financials!G6+Financials!F6)/2)</f>
        <v>2.7252861892439219E-2</v>
      </c>
      <c r="J40" s="6">
        <f>Financials!H48/((Financials!H6+Financials!G6)/2)</f>
        <v>3.2661346353780797E-2</v>
      </c>
      <c r="K40" s="6">
        <f>Financials!I48/((Financials!I6+Financials!H6)/2)</f>
        <v>3.636746424462977E-2</v>
      </c>
      <c r="L40" s="6">
        <f>Financials!J48/((Financials!J6+Financials!I6)/2)</f>
        <v>3.9238107749116388E-2</v>
      </c>
      <c r="M40" s="6">
        <f>Financials!K48/((Financials!K6+Financials!J6)/2)</f>
        <v>4.1493453884013265E-2</v>
      </c>
      <c r="N40" s="6">
        <f>Financials!L48/((Financials!L6+Financials!K6)/2)</f>
        <v>4.5098838814265289E-2</v>
      </c>
      <c r="O40" s="6">
        <f>Financials!M48/((Financials!M6+Financials!L6)/2)</f>
        <v>4.8788744257476299E-2</v>
      </c>
      <c r="P40" s="6">
        <f>Financials!N48/((Financials!N6+Financials!M6)/2)</f>
        <v>5.2175213826478654E-2</v>
      </c>
      <c r="Q40" s="6">
        <f>Financials!O48/((Financials!O6+Financials!N6)/2)</f>
        <v>6.4781912330562047E-2</v>
      </c>
      <c r="R40" s="308">
        <f>Financials!P48/((Financials!P6+Financials!O6)/2)</f>
        <v>6.5024108472618358E-2</v>
      </c>
      <c r="S40" s="308">
        <f>Financials!Q48/((Financials!Q6+Financials!P6)/2)</f>
        <v>3.9878818748832808E-3</v>
      </c>
      <c r="T40" s="308">
        <f>Financials!R48/((Financials!R6+Financials!Q6)/2)</f>
        <v>7.0906973612263804E-3</v>
      </c>
      <c r="U40" s="308">
        <f>Financials!S48/((Financials!S6+Financials!R6)/2)</f>
        <v>8.7542651273850199E-3</v>
      </c>
      <c r="V40" s="308">
        <f>Financials!T48/((Financials!T6+Financials!S6)/2)</f>
        <v>1.18761289005544E-2</v>
      </c>
      <c r="W40" s="308">
        <f>Financials!U48/((Financials!U6+Financials!T6)/2)</f>
        <v>1.5273576378619411E-2</v>
      </c>
      <c r="X40" s="308">
        <f>Financials!V48/((Financials!V6+Financials!U6)/2)</f>
        <v>3.6547379838868986E-2</v>
      </c>
      <c r="Y40" s="308">
        <f>Financials!W48/((Financials!W6+Financials!V6)/2)</f>
        <v>4.16082680939764E-2</v>
      </c>
      <c r="Z40" s="308">
        <f>Financials!X48/((Financials!X6+Financials!W6)/2)</f>
        <v>4.6073329031390123E-2</v>
      </c>
      <c r="AA40" s="308">
        <f>Financials!Y48/((Financials!Y6+Financials!X6)/2)</f>
        <v>5.088441986546776E-2</v>
      </c>
      <c r="AB40" s="308">
        <f>Financials!Z48/((Financials!Z6+Financials!Y6)/2)</f>
        <v>5.5782172050455027E-2</v>
      </c>
      <c r="AC40" s="308">
        <f>Financials!AA48/((Financials!AA6+Financials!Z6)/2)</f>
        <v>6.0571893147046287E-2</v>
      </c>
      <c r="AD40" s="308">
        <f>Financials!AB48/((Financials!AB6+Financials!AA6)/2)</f>
        <v>6.5486660879203101E-2</v>
      </c>
      <c r="AE40" s="308">
        <f>Financials!AC48/((Financials!AC6+Financials!AB6)/2)</f>
        <v>6.5658417293439894E-2</v>
      </c>
      <c r="AF40" s="308">
        <f>Financials!AD48/((Financials!AD6+Financials!AC6)/2)</f>
        <v>3.0299182641359535E-3</v>
      </c>
      <c r="AG40" s="308">
        <f>Financials!AE48/((Financials!AE6+Financials!AD6)/2)</f>
        <v>6.5199067367502994E-3</v>
      </c>
      <c r="AH40" s="308">
        <f>Financials!AF48/((Financials!AF6+Financials!AE6)/2)</f>
        <v>9.9715032176904399E-3</v>
      </c>
      <c r="AI40" s="308">
        <f>Financials!AG48/((Financials!AG6+Financials!AF6)/2)</f>
        <v>1.3262848286253841E-2</v>
      </c>
      <c r="AJ40" s="308">
        <f>Financials!AH48/((Financials!AH6+Financials!AG6)/2)</f>
        <v>1.7314647002693747E-2</v>
      </c>
      <c r="AK40" s="308">
        <f>Financials!AI48/((Financials!AI6+Financials!AH6)/2)</f>
        <v>4.1851975328214303E-2</v>
      </c>
      <c r="AL40" s="308"/>
      <c r="AM40" s="308"/>
      <c r="AN40" s="308"/>
      <c r="AO40" s="308"/>
    </row>
    <row r="41" spans="2:41">
      <c r="B41" s="305">
        <v>5.2</v>
      </c>
      <c r="C41" s="61" t="s">
        <v>71</v>
      </c>
      <c r="D41" s="288" t="s">
        <v>49</v>
      </c>
      <c r="E41" s="6" t="e">
        <f>Financials!C49/((Financials!C18+Financials!A18)/2)</f>
        <v>#VALUE!</v>
      </c>
      <c r="F41" s="6" t="e">
        <f>Financials!D49/((Financials!D18+Financials!B18)/2)</f>
        <v>#VALUE!</v>
      </c>
      <c r="G41" s="6">
        <f>Financials!E49/((Financials!E18+Financials!D18)/2)</f>
        <v>0</v>
      </c>
      <c r="H41" s="6">
        <f>Financials!F49/((Financials!F18+Financials!E18)/2)</f>
        <v>0</v>
      </c>
      <c r="I41" s="6">
        <f>Financials!G49/((Financials!G18+Financials!F18)/2)</f>
        <v>0</v>
      </c>
      <c r="J41" s="6">
        <f>Financials!H49/((Financials!H18+Financials!G18)/2)</f>
        <v>0</v>
      </c>
      <c r="K41" s="6">
        <f>Financials!I49/((Financials!I18+Financials!H18)/2)</f>
        <v>0</v>
      </c>
      <c r="L41" s="6">
        <f>Financials!J49/((Financials!J18+Financials!I18)/2)</f>
        <v>0</v>
      </c>
      <c r="M41" s="6">
        <f>Financials!K49/((Financials!K18+Financials!J18)/2)</f>
        <v>0</v>
      </c>
      <c r="N41" s="6">
        <f>Financials!L49/((Financials!L18+Financials!K18)/2)</f>
        <v>0</v>
      </c>
      <c r="O41" s="6">
        <f>Financials!M49/((Financials!M18+Financials!L18)/2)</f>
        <v>0</v>
      </c>
      <c r="P41" s="6">
        <f>Financials!N49/((Financials!N18+Financials!M18)/2)</f>
        <v>0</v>
      </c>
      <c r="Q41" s="6">
        <f>Financials!O49/((Financials!O18+Financials!N18)/2)</f>
        <v>0</v>
      </c>
      <c r="R41" s="308">
        <f>Financials!P49/((Financials!P18+Financials!O18)/2)</f>
        <v>0</v>
      </c>
      <c r="S41" s="308">
        <f>Financials!Q49/((Financials!Q18+Financials!P18)/2)</f>
        <v>0</v>
      </c>
      <c r="T41" s="308">
        <f>Financials!R49/((Financials!R18+Financials!Q18)/2)</f>
        <v>0</v>
      </c>
      <c r="U41" s="308">
        <f>Financials!S49/((Financials!S18+Financials!R18)/2)</f>
        <v>0</v>
      </c>
      <c r="V41" s="308">
        <f>Financials!T49/((Financials!T18+Financials!S18)/2)</f>
        <v>0</v>
      </c>
      <c r="W41" s="308">
        <f>Financials!U49/((Financials!U18+Financials!T18)/2)</f>
        <v>0</v>
      </c>
      <c r="X41" s="308">
        <f>Financials!V49/((Financials!V18+Financials!U18)/2)</f>
        <v>0</v>
      </c>
      <c r="Y41" s="308">
        <f>Financials!W49/((Financials!W18+Financials!V18)/2)</f>
        <v>0</v>
      </c>
      <c r="Z41" s="308">
        <f>Financials!X49/((Financials!X18+Financials!W18)/2)</f>
        <v>0</v>
      </c>
      <c r="AA41" s="308">
        <f>Financials!Y49/((Financials!Y18+Financials!X18)/2)</f>
        <v>0</v>
      </c>
      <c r="AB41" s="308">
        <f>Financials!Z49/((Financials!Z18+Financials!Y18)/2)</f>
        <v>0</v>
      </c>
      <c r="AC41" s="308">
        <f>Financials!AA49/((Financials!AA18+Financials!Z18)/2)</f>
        <v>0</v>
      </c>
      <c r="AD41" s="308">
        <f>Financials!AB49/((Financials!AB18+Financials!AA18)/2)</f>
        <v>0</v>
      </c>
      <c r="AE41" s="308">
        <f>Financials!AC49/((Financials!AC18+Financials!AB18)/2)</f>
        <v>0</v>
      </c>
      <c r="AF41" s="308">
        <f>Financials!AD49/((Financials!AD18+Financials!AC18)/2)</f>
        <v>0</v>
      </c>
      <c r="AG41" s="308">
        <f>Financials!AE49/((Financials!AE18+Financials!AD18)/2)</f>
        <v>0</v>
      </c>
      <c r="AH41" s="308">
        <f>Financials!AF49/((Financials!AF18+Financials!AE18)/2)</f>
        <v>0</v>
      </c>
      <c r="AI41" s="308">
        <f>Financials!AG49/((Financials!AG18+Financials!AF18)/2)</f>
        <v>0</v>
      </c>
      <c r="AJ41" s="308">
        <f>Financials!AH49/((Financials!AH18+Financials!AG18)/2)</f>
        <v>0</v>
      </c>
      <c r="AK41" s="308">
        <f>Financials!AI49/((Financials!AI18+Financials!AH18)/2)</f>
        <v>0</v>
      </c>
      <c r="AL41" s="308"/>
      <c r="AM41" s="308"/>
      <c r="AN41" s="308"/>
      <c r="AO41" s="308"/>
    </row>
    <row r="42" spans="2:41">
      <c r="B42" s="305">
        <v>5.3</v>
      </c>
      <c r="C42" s="61" t="s">
        <v>72</v>
      </c>
      <c r="D42" s="288" t="s">
        <v>49</v>
      </c>
      <c r="E42" s="6">
        <f>Financials!C50/((Financials!C9+Financials!A9)/2)</f>
        <v>0</v>
      </c>
      <c r="F42" s="6" t="e">
        <f>Financials!D50/((Financials!D9+Financials!B9)/2)</f>
        <v>#VALUE!</v>
      </c>
      <c r="G42" s="6">
        <f>Financials!E50/((Financials!E9+Financials!D9)/2)</f>
        <v>2.2342732410704055E-2</v>
      </c>
      <c r="H42" s="6">
        <f>Financials!F50/((Financials!F9+Financials!E9)/2)</f>
        <v>3.2888654802517174E-2</v>
      </c>
      <c r="I42" s="6">
        <f>Financials!G50/((Financials!G9+Financials!F9)/2)</f>
        <v>4.4786464256830409E-2</v>
      </c>
      <c r="J42" s="6">
        <f>Financials!H50/((Financials!H9+Financials!G9)/2)</f>
        <v>5.665301842642189E-2</v>
      </c>
      <c r="K42" s="6">
        <f>Financials!I50/((Financials!I9+Financials!H9)/2)</f>
        <v>6.9288449208827443E-2</v>
      </c>
      <c r="L42" s="6">
        <f>Financials!J50/((Financials!J9+Financials!I9)/2)</f>
        <v>8.197695753929482E-2</v>
      </c>
      <c r="M42" s="6">
        <f>Financials!K50/((Financials!K9+Financials!J9)/2)</f>
        <v>9.535394841134047E-2</v>
      </c>
      <c r="N42" s="6">
        <f>Financials!L50/((Financials!L9+Financials!K9)/2)</f>
        <v>0.1091911194372024</v>
      </c>
      <c r="O42" s="6">
        <f>Financials!M50/((Financials!M9+Financials!L9)/2)</f>
        <v>0.12317228967070171</v>
      </c>
      <c r="P42" s="6">
        <f>Financials!N50/((Financials!N9+Financials!M9)/2)</f>
        <v>0.13804752689237165</v>
      </c>
      <c r="Q42" s="6">
        <f>Financials!O50/((Financials!O9+Financials!N9)/2)</f>
        <v>0.15316409415570056</v>
      </c>
      <c r="R42" s="308">
        <f>Financials!P50/((Financials!P9+Financials!O9)/2)</f>
        <v>0.15563448250648709</v>
      </c>
      <c r="S42" s="308">
        <f>Financials!Q50/((Financials!Q9+Financials!P9)/2)</f>
        <v>1.1098930753135566E-2</v>
      </c>
      <c r="T42" s="308">
        <f>Financials!R50/((Financials!R9+Financials!Q9)/2)</f>
        <v>2.2582533449233711E-2</v>
      </c>
      <c r="U42" s="308">
        <f>Financials!S50/((Financials!S9+Financials!R9)/2)</f>
        <v>3.3415788946887369E-2</v>
      </c>
      <c r="V42" s="308">
        <f>Financials!T50/((Financials!T9+Financials!S9)/2)</f>
        <v>4.5757745925723382E-2</v>
      </c>
      <c r="W42" s="308">
        <f>Financials!U50/((Financials!U9+Financials!T9)/2)</f>
        <v>5.8260930787556044E-2</v>
      </c>
      <c r="X42" s="308">
        <f>Financials!V50/((Financials!V9+Financials!U9)/2)</f>
        <v>7.1700196623377552E-2</v>
      </c>
      <c r="Y42" s="308">
        <f>Financials!W50/((Financials!W9+Financials!V9)/2)</f>
        <v>8.5430656732456756E-2</v>
      </c>
      <c r="Z42" s="308">
        <f>Financials!X50/((Financials!X9+Financials!W9)/2)</f>
        <v>0.10023081342870759</v>
      </c>
      <c r="AA42" s="308">
        <f>Financials!Y50/((Financials!Y9+Financials!X9)/2)</f>
        <v>0.11586308332358729</v>
      </c>
      <c r="AB42" s="308">
        <f>Financials!Z50/((Financials!Z9+Financials!Y9)/2)</f>
        <v>0.13208255877733963</v>
      </c>
      <c r="AC42" s="308">
        <f>Financials!AA50/((Financials!AA9+Financials!Z9)/2)</f>
        <v>0.14975002284847283</v>
      </c>
      <c r="AD42" s="308">
        <f>Financials!AB50/((Financials!AB9+Financials!AA9)/2)</f>
        <v>0.16830656263728208</v>
      </c>
      <c r="AE42" s="308">
        <f>Financials!AC50/((Financials!AC9+Financials!AB9)/2)</f>
        <v>0.17273568123041377</v>
      </c>
      <c r="AF42" s="308">
        <f>Financials!AD50/((Financials!AD9+Financials!AC9)/2)</f>
        <v>2.1296685446187475E-2</v>
      </c>
      <c r="AG42" s="308">
        <f>Financials!AE50/((Financials!AE9+Financials!AD9)/2)</f>
        <v>2.3716981531122346E-2</v>
      </c>
      <c r="AH42" s="308">
        <f>Financials!AF50/((Financials!AF9+Financials!AE9)/2)</f>
        <v>3.2933236470003853E-2</v>
      </c>
      <c r="AI42" s="308">
        <f>Financials!AG50/((Financials!AG9+Financials!AF9)/2)</f>
        <v>4.30038449956444E-2</v>
      </c>
      <c r="AJ42" s="308">
        <f>Financials!AH50/((Financials!AH9+Financials!AG9)/2)</f>
        <v>5.8027055783125642E-2</v>
      </c>
      <c r="AK42" s="308">
        <f>Financials!AI50/((Financials!AI9+Financials!AH9)/2)</f>
        <v>6.8516270359734538E-2</v>
      </c>
      <c r="AL42" s="308"/>
      <c r="AM42" s="308"/>
      <c r="AN42" s="308"/>
      <c r="AO42" s="308"/>
    </row>
    <row r="43" spans="2:41">
      <c r="B43" s="305">
        <v>5.4</v>
      </c>
      <c r="C43" s="61" t="s">
        <v>73</v>
      </c>
      <c r="D43" s="288" t="s">
        <v>49</v>
      </c>
      <c r="E43" s="6">
        <f>(Financials!C52+Financials!C53)/((Financials!C5+Financials!A5)/2)</f>
        <v>8.0372012195766937E-2</v>
      </c>
      <c r="F43" s="6" t="e">
        <f>(Financials!D52+Financials!D53)/((Financials!D5+Financials!B5)/2)</f>
        <v>#VALUE!</v>
      </c>
      <c r="G43" s="6">
        <f>(Financials!E52+Financials!E53)/((Financials!E5+Financials!D5)/2)</f>
        <v>5.8310399096125603E-3</v>
      </c>
      <c r="H43" s="6">
        <f>(Financials!F52+Financials!F53)/((Financials!F5+Financials!E5)/2)</f>
        <v>9.4401882898914376E-3</v>
      </c>
      <c r="I43" s="6">
        <f>(Financials!G52+Financials!G53)/((Financials!G5+Financials!F5)/2)</f>
        <v>1.2740571333247103E-2</v>
      </c>
      <c r="J43" s="6">
        <f>(Financials!H52+Financials!H53)/((Financials!H5+Financials!G5)/2)</f>
        <v>1.4708069180737983E-2</v>
      </c>
      <c r="K43" s="6">
        <f>(Financials!I52+Financials!I53)/((Financials!I5+Financials!H5)/2)</f>
        <v>1.6542345569230333E-2</v>
      </c>
      <c r="L43" s="6">
        <f>(Financials!J52+Financials!J53)/((Financials!J5+Financials!I5)/2)</f>
        <v>1.8489480777850464E-2</v>
      </c>
      <c r="M43" s="6">
        <f>(Financials!K52+Financials!K53)/((Financials!K5+Financials!J5)/2)</f>
        <v>1.9694142613833683E-2</v>
      </c>
      <c r="N43" s="6">
        <f>(Financials!L52+Financials!L53)/((Financials!L5+Financials!K5)/2)</f>
        <v>2.1510843175898998E-2</v>
      </c>
      <c r="O43" s="6">
        <f>(Financials!M52+Financials!M53)/((Financials!M5+Financials!L5)/2)</f>
        <v>2.3731454421173689E-2</v>
      </c>
      <c r="P43" s="6">
        <f>(Financials!N52+Financials!N53)/((Financials!N5+Financials!M5)/2)</f>
        <v>2.58010874452697E-2</v>
      </c>
      <c r="Q43" s="6">
        <f>(Financials!O52+Financials!O53)/((Financials!O5+Financials!N5)/2)</f>
        <v>2.8930842198392023E-2</v>
      </c>
      <c r="R43" s="308">
        <f>(Financials!P52+Financials!P53)/((Financials!P5+Financials!O5)/2)</f>
        <v>3.6529532422918225E-2</v>
      </c>
      <c r="S43" s="308">
        <f>(Financials!Q52+Financials!Q53)/((Financials!Q5+Financials!P5)/2)</f>
        <v>2.7636187404396551E-3</v>
      </c>
      <c r="T43" s="308">
        <f>(Financials!R52+Financials!R53)/((Financials!R5+Financials!Q5)/2)</f>
        <v>5.520056485255229E-3</v>
      </c>
      <c r="U43" s="308">
        <f>(Financials!S52+Financials!S53)/((Financials!S5+Financials!R5)/2)</f>
        <v>9.001954171646254E-3</v>
      </c>
      <c r="V43" s="308">
        <f>(Financials!T52+Financials!T53)/((Financials!T5+Financials!S5)/2)</f>
        <v>1.0657422279590606E-2</v>
      </c>
      <c r="W43" s="308">
        <f>(Financials!U52+Financials!U53)/((Financials!U5+Financials!T5)/2)</f>
        <v>1.1794451495810871E-2</v>
      </c>
      <c r="X43" s="308">
        <f>(Financials!V52+Financials!V53)/((Financials!V5+Financials!U5)/2)</f>
        <v>1.3648579740720193E-2</v>
      </c>
      <c r="Y43" s="308">
        <f>(Financials!W52+Financials!W53)/((Financials!W5+Financials!V5)/2)</f>
        <v>1.5805266467474138E-2</v>
      </c>
      <c r="Z43" s="308">
        <f>(Financials!X52+Financials!X53)/((Financials!X5+Financials!W5)/2)</f>
        <v>1.8689113807592087E-2</v>
      </c>
      <c r="AA43" s="308">
        <f>(Financials!Y52+Financials!Y53)/((Financials!Y5+Financials!X5)/2)</f>
        <v>2.1930953705989069E-2</v>
      </c>
      <c r="AB43" s="308">
        <f>(Financials!Z52+Financials!Z53)/((Financials!Z5+Financials!Y5)/2)</f>
        <v>2.5229440023327526E-2</v>
      </c>
      <c r="AC43" s="308">
        <f>(Financials!AA52+Financials!AA53)/((Financials!AA5+Financials!Z5)/2)</f>
        <v>2.73215823454829E-2</v>
      </c>
      <c r="AD43" s="308">
        <f>(Financials!AB52+Financials!AB53)/((Financials!AB5+Financials!AA5)/2)</f>
        <v>3.1099490292466614E-2</v>
      </c>
      <c r="AE43" s="308">
        <f>(Financials!AC52+Financials!AC53)/((Financials!AC5+Financials!AB5)/2)</f>
        <v>3.6093635986312093E-2</v>
      </c>
      <c r="AF43" s="308">
        <f>(Financials!AD52+Financials!AD53)/((Financials!AD5+Financials!AC5)/2)</f>
        <v>3.4228010378699429E-3</v>
      </c>
      <c r="AG43" s="308">
        <f>(Financials!AE52+Financials!AE53)/((Financials!AE5+Financials!AD5)/2)</f>
        <v>6.5386143849649669E-3</v>
      </c>
      <c r="AH43" s="308">
        <f>(Financials!AF52+Financials!AF53)/((Financials!AF5+Financials!AE5)/2)</f>
        <v>1.2106909527379518E-2</v>
      </c>
      <c r="AI43" s="308">
        <f>(Financials!AG52+Financials!AG53)/((Financials!AG5+Financials!AF5)/2)</f>
        <v>1.6264986994113613E-2</v>
      </c>
      <c r="AJ43" s="308">
        <f>(Financials!AH52+Financials!AH53)/((Financials!AH5+Financials!AG5)/2)</f>
        <v>1.8187028102884369E-2</v>
      </c>
      <c r="AK43" s="308">
        <f>(Financials!AI52+Financials!AI53)/((Financials!AI5+Financials!AH5)/2)</f>
        <v>2.1005275425951868E-2</v>
      </c>
      <c r="AL43" s="308"/>
      <c r="AM43" s="308"/>
      <c r="AN43" s="308"/>
      <c r="AO43" s="308"/>
    </row>
    <row r="44" spans="2:41">
      <c r="B44" s="305">
        <v>5.5</v>
      </c>
      <c r="C44" s="61" t="s">
        <v>74</v>
      </c>
      <c r="D44" s="288" t="s">
        <v>49</v>
      </c>
      <c r="E44" s="6">
        <f>Financials!C42/((Financials!C31+Financials!A31)/2)</f>
        <v>9.7304206266902171E-2</v>
      </c>
      <c r="F44" s="6" t="e">
        <f>Financials!D42/((Financials!D31+Financials!B31)/2)</f>
        <v>#VALUE!</v>
      </c>
      <c r="G44" s="6">
        <f>Financials!E42/((Financials!E31+Financials!D31)/2)</f>
        <v>4.8157237854672366E-2</v>
      </c>
      <c r="H44" s="6">
        <f>Financials!F42/((Financials!F31+Financials!E31)/2)</f>
        <v>4.7742243952152749E-2</v>
      </c>
      <c r="I44" s="6">
        <f>Financials!G42/((Financials!G31+Financials!F31)/2)</f>
        <v>4.74555456888432E-2</v>
      </c>
      <c r="J44" s="6">
        <f>Financials!H42/((Financials!H31+Financials!G31)/2)</f>
        <v>4.7382819856167657E-2</v>
      </c>
      <c r="K44" s="6">
        <f>Financials!I42/((Financials!I31+Financials!H31)/2)</f>
        <v>4.7109231992688426E-2</v>
      </c>
      <c r="L44" s="6">
        <f>Financials!J42/((Financials!J31+Financials!I31)/2)</f>
        <v>4.6323156123233296E-2</v>
      </c>
      <c r="M44" s="6">
        <f>Financials!K42/((Financials!K31+Financials!J31)/2)</f>
        <v>4.607407304807451E-2</v>
      </c>
      <c r="N44" s="6">
        <f>Financials!L42/((Financials!L31+Financials!K31)/2)</f>
        <v>4.6021949679598925E-2</v>
      </c>
      <c r="O44" s="6">
        <f>Financials!M42/((Financials!M31+Financials!L31)/2)</f>
        <v>4.541832391559459E-2</v>
      </c>
      <c r="P44" s="6">
        <f>Financials!N42/((Financials!N31+Financials!M31)/2)</f>
        <v>4.4772402904714431E-2</v>
      </c>
      <c r="Q44" s="6">
        <f>Financials!O42/((Financials!O31+Financials!N31)/2)</f>
        <v>5.481210104509978E-2</v>
      </c>
      <c r="R44" s="308">
        <f>Financials!P42/((Financials!P31+Financials!O31)/2)</f>
        <v>5.4294344917398894E-2</v>
      </c>
      <c r="S44" s="308">
        <f>Financials!Q42/((Financials!Q31+Financials!P31)/2)</f>
        <v>5.4334081442369925E-2</v>
      </c>
      <c r="T44" s="308">
        <f>Financials!R42/((Financials!R31+Financials!Q31)/2)</f>
        <v>5.4340404360673805E-2</v>
      </c>
      <c r="U44" s="308">
        <f>Financials!S42/((Financials!S31+Financials!R31)/2)</f>
        <v>5.3623040643642185E-2</v>
      </c>
      <c r="V44" s="308">
        <f>Financials!T42/((Financials!T31+Financials!S31)/2)</f>
        <v>5.2745213109261557E-2</v>
      </c>
      <c r="W44" s="308">
        <f>Financials!U42/((Financials!U31+Financials!T31)/2)</f>
        <v>5.2905040580258585E-2</v>
      </c>
      <c r="X44" s="308">
        <f>Financials!V42/((Financials!V31+Financials!U31)/2)</f>
        <v>5.3336752221036531E-2</v>
      </c>
      <c r="Y44" s="308">
        <f>Financials!W42/((Financials!W31+Financials!V31)/2)</f>
        <v>5.2532614489424874E-2</v>
      </c>
      <c r="Z44" s="308">
        <f>Financials!X42/((Financials!X31+Financials!W31)/2)</f>
        <v>5.183529235785922E-2</v>
      </c>
      <c r="AA44" s="308">
        <f>Financials!Y42/((Financials!Y31+Financials!X31)/2)</f>
        <v>5.1581344557921481E-2</v>
      </c>
      <c r="AB44" s="308">
        <f>Financials!Z42/((Financials!Z31+Financials!Y31)/2)</f>
        <v>5.0874487886612675E-2</v>
      </c>
      <c r="AC44" s="308">
        <f>Financials!AA42/((Financials!AA31+Financials!Z31)/2)</f>
        <v>4.9889470780204018E-2</v>
      </c>
      <c r="AD44" s="308">
        <f>Financials!AB42/((Financials!AB31+Financials!AA31)/2)</f>
        <v>4.8547493789748167E-2</v>
      </c>
      <c r="AE44" s="308">
        <f>Financials!AC42/((Financials!AC31+Financials!AB31)/2)</f>
        <v>5.7784433650866232E-2</v>
      </c>
      <c r="AF44" s="308">
        <f>Financials!AD42/((Financials!AD31+Financials!AC31)/2)</f>
        <v>5.6743774379086974E-2</v>
      </c>
      <c r="AG44" s="308">
        <f>Financials!AE42/((Financials!AE31+Financials!AD31)/2)</f>
        <v>5.5509032857433624E-2</v>
      </c>
      <c r="AH44" s="308">
        <f>Financials!AF42/((Financials!AF31+Financials!AE31)/2)</f>
        <v>5.475161111790465E-2</v>
      </c>
      <c r="AI44" s="308">
        <f>Financials!AG42/((Financials!AG31+Financials!AF31)/2)</f>
        <v>5.3167787864923807E-2</v>
      </c>
      <c r="AJ44" s="308">
        <f>Financials!AH42/((Financials!AH31+Financials!AG31)/2)</f>
        <v>5.1935027144820962E-2</v>
      </c>
      <c r="AK44" s="308">
        <f>Financials!AI42/((Financials!AI31+Financials!AH31)/2)</f>
        <v>5.2502872407365273E-2</v>
      </c>
      <c r="AL44" s="308"/>
      <c r="AM44" s="308"/>
      <c r="AN44" s="308"/>
      <c r="AO44" s="308"/>
    </row>
    <row r="45" spans="2:41">
      <c r="B45" s="305"/>
      <c r="C45" s="60"/>
      <c r="D45" s="49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313"/>
      <c r="S45" s="313"/>
      <c r="T45" s="313"/>
      <c r="U45" s="313"/>
      <c r="V45" s="313"/>
      <c r="W45" s="313"/>
      <c r="X45" s="313"/>
      <c r="Y45" s="313"/>
      <c r="Z45" s="313"/>
      <c r="AA45" s="313"/>
      <c r="AB45" s="313"/>
      <c r="AC45" s="313"/>
      <c r="AD45" s="313"/>
      <c r="AE45" s="313"/>
      <c r="AF45" s="313"/>
      <c r="AG45" s="313"/>
      <c r="AH45" s="313"/>
      <c r="AI45" s="313"/>
      <c r="AJ45" s="313"/>
      <c r="AK45" s="313"/>
      <c r="AL45" s="313"/>
      <c r="AM45" s="313"/>
      <c r="AN45" s="313"/>
      <c r="AO45" s="313"/>
    </row>
    <row r="46" spans="2:41">
      <c r="B46" s="305">
        <v>6</v>
      </c>
      <c r="C46" s="60" t="s">
        <v>75</v>
      </c>
      <c r="D46" s="49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314"/>
      <c r="S46" s="314"/>
      <c r="T46" s="314"/>
      <c r="U46" s="314"/>
      <c r="V46" s="314"/>
      <c r="W46" s="314"/>
      <c r="X46" s="314"/>
      <c r="Y46" s="314"/>
      <c r="Z46" s="314"/>
      <c r="AA46" s="314"/>
      <c r="AB46" s="314"/>
      <c r="AC46" s="314"/>
      <c r="AD46" s="314"/>
      <c r="AE46" s="314"/>
      <c r="AF46" s="314"/>
      <c r="AG46" s="314"/>
      <c r="AH46" s="314"/>
      <c r="AI46" s="314"/>
      <c r="AJ46" s="314"/>
      <c r="AK46" s="314"/>
      <c r="AL46" s="314"/>
      <c r="AM46" s="314"/>
      <c r="AN46" s="314"/>
      <c r="AO46" s="314"/>
    </row>
    <row r="47" spans="2:41">
      <c r="B47" s="305">
        <v>6.1</v>
      </c>
      <c r="C47" s="61" t="s">
        <v>76</v>
      </c>
      <c r="D47" s="62">
        <v>0.15</v>
      </c>
      <c r="E47" s="6" t="e">
        <f>('SFP-2022'!B4+'SFP-2022'!B11)/('SFP-2022'!#REF!+'SFP-2022'!B33+'SFP-2022'!B34+'SFP-2022'!B35+'SFP-2022'!B36+'SFP-2022'!B37)</f>
        <v>#REF!</v>
      </c>
      <c r="F47" s="6" t="e">
        <f>('SFP-2022'!C4+'SFP-2022'!C11)/('SFP-2022'!#REF!+'SFP-2022'!C33+'SFP-2022'!C34+'SFP-2022'!C35+'SFP-2022'!C36+'SFP-2022'!C37)</f>
        <v>#REF!</v>
      </c>
      <c r="G47" s="6">
        <f>'SFP-2022'!D4/('SFP-2022'!D28+'SFP-2022'!D37)</f>
        <v>0.58941618185952327</v>
      </c>
      <c r="H47" s="6">
        <f>'SFP-2022'!E4/('SFP-2022'!E28+'SFP-2022'!E37)</f>
        <v>0.58271459948246407</v>
      </c>
      <c r="I47" s="6">
        <f>'SFP-2022'!F4/('SFP-2022'!F28+'SFP-2022'!F37)</f>
        <v>0.69405351163604945</v>
      </c>
      <c r="J47" s="6">
        <f>'SFP-2022'!G4/('SFP-2022'!G28+'SFP-2022'!G37)</f>
        <v>0.61783139295903466</v>
      </c>
      <c r="K47" s="6">
        <f>'SFP-2022'!H4/('SFP-2022'!H28+'SFP-2022'!H37)</f>
        <v>0.62966390478683165</v>
      </c>
      <c r="L47" s="6">
        <f>'SFP-2022'!I4/('SFP-2022'!I28+'SFP-2022'!I37)</f>
        <v>0.66839463729533255</v>
      </c>
      <c r="M47" s="6">
        <f>'SFP-2022'!J4/('SFP-2022'!J28+'SFP-2022'!J37)</f>
        <v>0.63491466038357225</v>
      </c>
      <c r="N47" s="6">
        <f>'SFP-2022'!K4/('SFP-2022'!K28+'SFP-2022'!K37)</f>
        <v>0.60259415468062705</v>
      </c>
      <c r="O47" s="6">
        <f>'SFP-2022'!L4/('SFP-2022'!L28+'SFP-2022'!L37)</f>
        <v>0.45728023187957662</v>
      </c>
      <c r="P47" s="6">
        <f>'SFP-2022'!M4/('SFP-2022'!M28+'SFP-2022'!M37)</f>
        <v>0.46622741674666851</v>
      </c>
      <c r="Q47" s="6">
        <f>'SFP-2022'!N4/('SFP-2022'!N28+'SFP-2022'!N37)</f>
        <v>0.4501582527649311</v>
      </c>
      <c r="R47" s="308">
        <f>'SFP-2022'!O4/('SFP-2022'!O28+'SFP-2022'!O37)</f>
        <v>0.27248358300329195</v>
      </c>
      <c r="S47" s="308">
        <f>'SFP-2022'!P4/('SFP-2022'!P28+'SFP-2022'!P37)</f>
        <v>0.5070566787103854</v>
      </c>
      <c r="T47" s="308">
        <f>'SFP-2022'!Q4/('SFP-2022'!Q28+'SFP-2022'!Q37)</f>
        <v>0.50837506029458002</v>
      </c>
      <c r="U47" s="308">
        <f>'SFP-2022'!R4/('SFP-2022'!R28+'SFP-2022'!R37)</f>
        <v>0.42898862496724932</v>
      </c>
      <c r="V47" s="308">
        <f>'SFP-2022'!S4/('SFP-2022'!S28+'SFP-2022'!S37)</f>
        <v>0.43141474514853323</v>
      </c>
      <c r="W47" s="308">
        <f>'SFP-2022'!T4/('SFP-2022'!T28+'SFP-2022'!T37)</f>
        <v>0.45700381238214033</v>
      </c>
      <c r="X47" s="308">
        <f>'SFP-2022'!U4/('SFP-2022'!U28+'SFP-2022'!U37)</f>
        <v>0.64530038000738144</v>
      </c>
      <c r="Y47" s="308">
        <f>'SFP-2022'!V4/('SFP-2022'!V28+'SFP-2022'!V37)</f>
        <v>0.64274263692636091</v>
      </c>
      <c r="Z47" s="308">
        <f>'SFP-2022'!W4/('SFP-2022'!W28+'SFP-2022'!W37)</f>
        <v>0.6000399448013235</v>
      </c>
      <c r="AA47" s="308">
        <f>'SFP-2022'!X4/('SFP-2022'!X28+'SFP-2022'!X37)</f>
        <v>0.68454611783765784</v>
      </c>
      <c r="AB47" s="308">
        <f>'SFP-2022'!Y4/('SFP-2022'!Y28+'SFP-2022'!Y37)</f>
        <v>0.52053139270607895</v>
      </c>
      <c r="AC47" s="308">
        <f>'SFP-2022'!Z4/('SFP-2022'!Z28+'SFP-2022'!Z37)</f>
        <v>0.38268239070306831</v>
      </c>
      <c r="AD47" s="308">
        <f>'SFP-2022'!AA4/('SFP-2022'!AA28+'SFP-2022'!AA37)</f>
        <v>0.44307944816524353</v>
      </c>
      <c r="AE47" s="308">
        <f>'SFP-2022'!AB4/('SFP-2022'!AB28+'SFP-2022'!AB37)</f>
        <v>0.31968078386081772</v>
      </c>
      <c r="AF47" s="308">
        <f>'SFP-2022'!AC4/('SFP-2022'!AC28+'SFP-2022'!AC37)</f>
        <v>0.51808604677412251</v>
      </c>
      <c r="AG47" s="308">
        <f>'SFP-2022'!AD4/('SFP-2022'!AD28+'SFP-2022'!AD37)</f>
        <v>0.4792520319018474</v>
      </c>
      <c r="AH47" s="308">
        <f>'SFP-2022'!AE4/('SFP-2022'!AE28+'SFP-2022'!AE37)</f>
        <v>0.50059579056024739</v>
      </c>
      <c r="AI47" s="308">
        <f>'SFP-2022'!AF4/('SFP-2022'!AF28+'SFP-2022'!AF37)</f>
        <v>0.51727162196946741</v>
      </c>
      <c r="AJ47" s="308">
        <f>'SFP-2022'!AG4/('SFP-2022'!AG28+'SFP-2022'!AG37)</f>
        <v>0.39872170704542903</v>
      </c>
      <c r="AK47" s="308">
        <f>'SFP-2022'!AH4/('SFP-2022'!AH28+'SFP-2022'!AH37)</f>
        <v>0.73228622146081668</v>
      </c>
      <c r="AL47" s="308"/>
      <c r="AM47" s="308"/>
      <c r="AN47" s="308"/>
      <c r="AO47" s="308"/>
    </row>
    <row r="48" spans="2:41">
      <c r="B48" s="305"/>
      <c r="C48" s="61" t="s">
        <v>77</v>
      </c>
      <c r="D48" s="49"/>
      <c r="E48" s="13">
        <f>('SFP-2022'!B4+'SFP-2022'!B11)/('SFP-2022'!B31+'SFP-2022'!B33+'SFP-2022'!B34+'SFP-2022'!B35+'SFP-2022'!B36+'SFP-2022'!B37)</f>
        <v>0.44072712689803056</v>
      </c>
      <c r="F48" s="13">
        <f>('SFP-2022'!C4+'SFP-2022'!C11)/('SFP-2022'!C31+'SFP-2022'!C33+'SFP-2022'!C34+'SFP-2022'!C35+'SFP-2022'!C36+'SFP-2022'!C37)</f>
        <v>0.43079736537290869</v>
      </c>
      <c r="G48" s="13">
        <f>('SFP-2022'!D4+'SFP-2022'!D11)/('SFP-2022'!D31+'SFP-2022'!D33+'SFP-2022'!D34+'SFP-2022'!D35+'SFP-2022'!D36+'SFP-2022'!D37)</f>
        <v>0.43344427300248461</v>
      </c>
      <c r="H48" s="13">
        <f>('SFP-2022'!E4+'SFP-2022'!E11)/('SFP-2022'!E31+'SFP-2022'!E33+'SFP-2022'!E34+'SFP-2022'!E35+'SFP-2022'!E36+'SFP-2022'!E37)</f>
        <v>0.42921402972256884</v>
      </c>
      <c r="I48" s="13">
        <f>('SFP-2022'!F4+'SFP-2022'!F11)/('SFP-2022'!F31+'SFP-2022'!F33+'SFP-2022'!F34+'SFP-2022'!F35+'SFP-2022'!F36+'SFP-2022'!F37)</f>
        <v>0.44691534945971867</v>
      </c>
      <c r="J48" s="13">
        <f>('SFP-2022'!G4+'SFP-2022'!G11)/('SFP-2022'!G31+'SFP-2022'!G33+'SFP-2022'!G34+'SFP-2022'!G35+'SFP-2022'!G36+'SFP-2022'!G37)</f>
        <v>0.43069802803181539</v>
      </c>
      <c r="K48" s="13">
        <f>('SFP-2022'!H4+'SFP-2022'!H11)/('SFP-2022'!H31+'SFP-2022'!H33+'SFP-2022'!H34+'SFP-2022'!H35+'SFP-2022'!H36+'SFP-2022'!H37)</f>
        <v>0.42863099619324152</v>
      </c>
      <c r="L48" s="13">
        <f>('SFP-2022'!I4+'SFP-2022'!I11)/('SFP-2022'!I31+'SFP-2022'!I33+'SFP-2022'!I34+'SFP-2022'!I35+'SFP-2022'!I36+'SFP-2022'!I37)</f>
        <v>0.43931959368515255</v>
      </c>
      <c r="M48" s="13">
        <f>('SFP-2022'!J4+'SFP-2022'!J11)/('SFP-2022'!J31+'SFP-2022'!J33+'SFP-2022'!J34+'SFP-2022'!J35+'SFP-2022'!J36+'SFP-2022'!J37)</f>
        <v>0.42665872810007716</v>
      </c>
      <c r="N48" s="13">
        <f>('SFP-2022'!K4+'SFP-2022'!K11)/('SFP-2022'!K31+'SFP-2022'!K33+'SFP-2022'!K34+'SFP-2022'!K35+'SFP-2022'!K36+'SFP-2022'!K37)</f>
        <v>0.41941944471393933</v>
      </c>
      <c r="O48" s="13">
        <f>('SFP-2022'!L4+'SFP-2022'!L11)/('SFP-2022'!L31+'SFP-2022'!L33+'SFP-2022'!L34+'SFP-2022'!L35+'SFP-2022'!L36+'SFP-2022'!L37)</f>
        <v>0.39343238807427422</v>
      </c>
      <c r="P48" s="13">
        <f>('SFP-2022'!M4+'SFP-2022'!M11)/('SFP-2022'!M31+'SFP-2022'!M33+'SFP-2022'!M34+'SFP-2022'!M35+'SFP-2022'!M36+'SFP-2022'!M37)</f>
        <v>0.39604379555158442</v>
      </c>
      <c r="Q48" s="13">
        <f>('SFP-2022'!N4+'SFP-2022'!N11)/('SFP-2022'!N31+'SFP-2022'!N33+'SFP-2022'!N34+'SFP-2022'!N35+'SFP-2022'!N36+'SFP-2022'!N37)</f>
        <v>0.41685754549520393</v>
      </c>
      <c r="R48" s="315">
        <f>('SFP-2022'!O4+'SFP-2022'!O11)/('SFP-2022'!O31+'SFP-2022'!O33+'SFP-2022'!O34+'SFP-2022'!O35+'SFP-2022'!O36+'SFP-2022'!O37)</f>
        <v>0.41597250225444127</v>
      </c>
      <c r="S48" s="315">
        <f>('SFP-2022'!P4+'SFP-2022'!P11)/('SFP-2022'!P31+'SFP-2022'!P33+'SFP-2022'!P34+'SFP-2022'!P35+'SFP-2022'!P36+'SFP-2022'!P37)</f>
        <v>0.41072880405470175</v>
      </c>
      <c r="T48" s="315">
        <f>('SFP-2022'!Q4+'SFP-2022'!Q11)/('SFP-2022'!Q31+'SFP-2022'!Q33+'SFP-2022'!Q34+'SFP-2022'!Q35+'SFP-2022'!Q36+'SFP-2022'!Q37)</f>
        <v>0.4091774353951681</v>
      </c>
      <c r="U48" s="315">
        <f>('SFP-2022'!R4+'SFP-2022'!R11)/('SFP-2022'!R31+'SFP-2022'!R33+'SFP-2022'!R34+'SFP-2022'!R35+'SFP-2022'!R36+'SFP-2022'!R37)</f>
        <v>0.39021206587661728</v>
      </c>
      <c r="V48" s="315">
        <f>('SFP-2022'!S4+'SFP-2022'!S11)/('SFP-2022'!S31+'SFP-2022'!S33+'SFP-2022'!S34+'SFP-2022'!S35+'SFP-2022'!S36+'SFP-2022'!S37)</f>
        <v>0.38785311196544214</v>
      </c>
      <c r="W48" s="315">
        <f>('SFP-2022'!T4+'SFP-2022'!T11)/('SFP-2022'!T31+'SFP-2022'!T33+'SFP-2022'!T34+'SFP-2022'!T35+'SFP-2022'!T36+'SFP-2022'!T37)</f>
        <v>0.38734770117515521</v>
      </c>
      <c r="X48" s="315">
        <f>('SFP-2022'!U4+'SFP-2022'!U11)/('SFP-2022'!U31+'SFP-2022'!U33+'SFP-2022'!U34+'SFP-2022'!U35+'SFP-2022'!U36+'SFP-2022'!U37)</f>
        <v>0.41715115989417423</v>
      </c>
      <c r="Y48" s="315">
        <f>('SFP-2022'!V4+'SFP-2022'!V11)/('SFP-2022'!V31+'SFP-2022'!V33+'SFP-2022'!V34+'SFP-2022'!V35+'SFP-2022'!V36+'SFP-2022'!V37)</f>
        <v>0.41939534790841004</v>
      </c>
      <c r="Z48" s="315">
        <f>('SFP-2022'!W4+'SFP-2022'!W11)/('SFP-2022'!W31+'SFP-2022'!W33+'SFP-2022'!W34+'SFP-2022'!W35+'SFP-2022'!W36+'SFP-2022'!W37)</f>
        <v>0.40927298431053694</v>
      </c>
      <c r="AA48" s="315">
        <f>('SFP-2022'!X4+'SFP-2022'!X11)/('SFP-2022'!X31+'SFP-2022'!X33+'SFP-2022'!X34+'SFP-2022'!X35+'SFP-2022'!X36+'SFP-2022'!X37)</f>
        <v>0.38647827598989676</v>
      </c>
      <c r="AB48" s="315">
        <f>('SFP-2022'!Y4+'SFP-2022'!Y11)/('SFP-2022'!Y31+'SFP-2022'!Y33+'SFP-2022'!Y34+'SFP-2022'!Y35+'SFP-2022'!Y36+'SFP-2022'!Y37)</f>
        <v>0.36626730164336985</v>
      </c>
      <c r="AC48" s="315">
        <f>('SFP-2022'!Z4+'SFP-2022'!Z11)/('SFP-2022'!Z31+'SFP-2022'!Z33+'SFP-2022'!Z34+'SFP-2022'!Z35+'SFP-2022'!Z36+'SFP-2022'!Z37)</f>
        <v>0.3437912416148951</v>
      </c>
      <c r="AD48" s="315">
        <f>('SFP-2022'!AA4+'SFP-2022'!AA11)/('SFP-2022'!AA31+'SFP-2022'!AA33+'SFP-2022'!AA34+'SFP-2022'!AA35+'SFP-2022'!AA36+'SFP-2022'!AA37)</f>
        <v>0.35294384316226923</v>
      </c>
      <c r="AE48" s="315">
        <f>('SFP-2022'!AB4+'SFP-2022'!AB11)/('SFP-2022'!AB31+'SFP-2022'!AB33+'SFP-2022'!AB34+'SFP-2022'!AB35+'SFP-2022'!AB36+'SFP-2022'!AB37)</f>
        <v>7.6893580890649002E-2</v>
      </c>
      <c r="AF48" s="315">
        <f>('SFP-2022'!AC4+'SFP-2022'!AC11)/('SFP-2022'!AC31+'SFP-2022'!AC33+'SFP-2022'!AC34+'SFP-2022'!AC35+'SFP-2022'!AC36+'SFP-2022'!AC37)</f>
        <v>0.36568605523179415</v>
      </c>
      <c r="AG48" s="315">
        <f>('SFP-2022'!AD4+'SFP-2022'!AD11)/('SFP-2022'!AD31+'SFP-2022'!AD33+'SFP-2022'!AD34+'SFP-2022'!AD35+'SFP-2022'!AD36+'SFP-2022'!AD37)</f>
        <v>0.35606358575255659</v>
      </c>
      <c r="AH48" s="315">
        <f>('SFP-2022'!AE4+'SFP-2022'!AE11)/('SFP-2022'!AE31+'SFP-2022'!AE33+'SFP-2022'!AE34+'SFP-2022'!AE35+'SFP-2022'!AE36+'SFP-2022'!AE37)</f>
        <v>0.36822758776845865</v>
      </c>
      <c r="AI48" s="315">
        <f>('SFP-2022'!AF4+'SFP-2022'!AF11)/('SFP-2022'!AF31+'SFP-2022'!AF33+'SFP-2022'!AF34+'SFP-2022'!AF35+'SFP-2022'!AF36+'SFP-2022'!AF37)</f>
        <v>0.37331351704754434</v>
      </c>
      <c r="AJ48" s="315">
        <f>('SFP-2022'!AG4+'SFP-2022'!AG11)/('SFP-2022'!AG31+'SFP-2022'!AG33+'SFP-2022'!AG34+'SFP-2022'!AG35+'SFP-2022'!AG36+'SFP-2022'!AG37)</f>
        <v>0.34732385917520908</v>
      </c>
      <c r="AK48" s="315">
        <f>('SFP-2022'!AH4+'SFP-2022'!AH11)/('SFP-2022'!AH31+'SFP-2022'!AH33+'SFP-2022'!AH34+'SFP-2022'!AH35+'SFP-2022'!AH36+'SFP-2022'!AH37)</f>
        <v>0.3994723542133285</v>
      </c>
      <c r="AL48" s="315"/>
      <c r="AM48" s="315"/>
      <c r="AN48" s="315"/>
      <c r="AO48" s="315"/>
    </row>
    <row r="49" spans="2:41">
      <c r="B49" s="305">
        <v>7</v>
      </c>
      <c r="C49" s="60" t="s">
        <v>78</v>
      </c>
      <c r="D49" s="49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314"/>
      <c r="S49" s="314"/>
      <c r="T49" s="314"/>
      <c r="U49" s="314"/>
      <c r="V49" s="314"/>
      <c r="W49" s="314"/>
      <c r="X49" s="314"/>
      <c r="Y49" s="314"/>
      <c r="Z49" s="314"/>
      <c r="AA49" s="314"/>
      <c r="AB49" s="314"/>
      <c r="AC49" s="314"/>
      <c r="AD49" s="314"/>
      <c r="AE49" s="314"/>
      <c r="AF49" s="314"/>
      <c r="AG49" s="314"/>
      <c r="AH49" s="314"/>
      <c r="AI49" s="314"/>
      <c r="AJ49" s="314"/>
      <c r="AK49" s="314"/>
      <c r="AL49" s="314"/>
      <c r="AM49" s="314"/>
      <c r="AN49" s="314"/>
      <c r="AO49" s="314"/>
    </row>
    <row r="50" spans="2:41">
      <c r="B50" s="305">
        <v>7.1</v>
      </c>
      <c r="C50" s="61" t="s">
        <v>79</v>
      </c>
      <c r="D50" s="62">
        <v>1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308"/>
      <c r="S50" s="308"/>
      <c r="T50" s="308"/>
      <c r="U50" s="308"/>
      <c r="V50" s="308"/>
      <c r="W50" s="308"/>
      <c r="X50" s="308"/>
      <c r="Y50" s="308"/>
      <c r="Z50" s="308"/>
      <c r="AA50" s="308"/>
      <c r="AB50" s="308"/>
      <c r="AC50" s="308"/>
      <c r="AD50" s="308"/>
      <c r="AE50" s="308"/>
      <c r="AF50" s="308"/>
      <c r="AG50" s="308"/>
      <c r="AH50" s="308"/>
      <c r="AI50" s="308"/>
      <c r="AJ50" s="308"/>
      <c r="AK50" s="308"/>
      <c r="AL50" s="308"/>
      <c r="AM50" s="308"/>
      <c r="AN50" s="308"/>
      <c r="AO50" s="308"/>
    </row>
    <row r="51" spans="2:41">
      <c r="B51" s="305">
        <v>7.2</v>
      </c>
      <c r="C51" s="50" t="s">
        <v>80</v>
      </c>
      <c r="D51" s="49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316"/>
      <c r="S51" s="316"/>
      <c r="T51" s="316"/>
      <c r="U51" s="316"/>
      <c r="V51" s="316"/>
      <c r="W51" s="316"/>
      <c r="X51" s="316"/>
      <c r="Y51" s="316"/>
      <c r="Z51" s="316"/>
      <c r="AA51" s="316"/>
      <c r="AB51" s="316"/>
      <c r="AC51" s="316"/>
      <c r="AD51" s="316"/>
      <c r="AE51" s="316"/>
      <c r="AF51" s="316"/>
      <c r="AG51" s="316"/>
      <c r="AH51" s="316"/>
      <c r="AI51" s="316"/>
      <c r="AJ51" s="316"/>
      <c r="AK51" s="316"/>
      <c r="AL51" s="316"/>
      <c r="AM51" s="316"/>
      <c r="AN51" s="316"/>
      <c r="AO51" s="316"/>
    </row>
    <row r="52" spans="2:41">
      <c r="B52" s="305"/>
      <c r="C52" s="50" t="s">
        <v>81</v>
      </c>
      <c r="D52" s="49"/>
      <c r="E52" s="50">
        <f>'SCI-2022'!B5/'SFP-2022'!B14</f>
        <v>0.21865339365570405</v>
      </c>
      <c r="F52" s="50">
        <f>'SCI-2022'!C5/'SFP-2022'!C14</f>
        <v>1.6394010941643312E-2</v>
      </c>
      <c r="G52" s="50">
        <f>'SCI-2022'!D5/'SFP-2022'!D14</f>
        <v>3.2888148492257865E-2</v>
      </c>
      <c r="H52" s="50">
        <f>'SCI-2022'!E5/'SFP-2022'!E14</f>
        <v>4.855260640372272E-2</v>
      </c>
      <c r="I52" s="50">
        <f>'SCI-2022'!F5/'SFP-2022'!F14</f>
        <v>6.5180308252559646E-2</v>
      </c>
      <c r="J52" s="50">
        <f>'SCI-2022'!G5/'SFP-2022'!G14</f>
        <v>8.1684933060033577E-2</v>
      </c>
      <c r="K52" s="50">
        <f>'SCI-2022'!H5/'SFP-2022'!H14</f>
        <v>9.7800570133754011E-2</v>
      </c>
      <c r="L52" s="50">
        <f>'SCI-2022'!I5/'SFP-2022'!I14</f>
        <v>0.1142075993755437</v>
      </c>
      <c r="M52" s="50">
        <f>'SCI-2022'!J5/'SFP-2022'!J14</f>
        <v>0.13248910434599909</v>
      </c>
      <c r="N52" s="50">
        <f>'SCI-2022'!K5/'SFP-2022'!K14</f>
        <v>0.14865461955481143</v>
      </c>
      <c r="O52" s="50">
        <f>'SCI-2022'!L5/'SFP-2022'!L14</f>
        <v>0.16557537739435799</v>
      </c>
      <c r="P52" s="50">
        <f>'SCI-2022'!M5/'SFP-2022'!M14</f>
        <v>0.18181696267114361</v>
      </c>
      <c r="Q52" s="50">
        <f>'SCI-2022'!N5/'SFP-2022'!N14</f>
        <v>0.19606131049666606</v>
      </c>
      <c r="R52" s="316">
        <f>'SCI-2022'!O5/'SFP-2022'!O14</f>
        <v>0.19606131057812612</v>
      </c>
      <c r="S52" s="316">
        <f>'SCI-2022'!P5/'SFP-2022'!P14</f>
        <v>1.7038959762786819E-2</v>
      </c>
      <c r="T52" s="316">
        <f>'SCI-2022'!Q5/'SFP-2022'!Q14</f>
        <v>3.4539972662559891E-2</v>
      </c>
      <c r="U52" s="316">
        <f>'SCI-2022'!R5/'SFP-2022'!R14</f>
        <v>5.2096101594745349E-2</v>
      </c>
      <c r="V52" s="316">
        <f>'SCI-2022'!S5/'SFP-2022'!S14</f>
        <v>6.8413194267041538E-2</v>
      </c>
      <c r="W52" s="316">
        <f>'SCI-2022'!T5/'SFP-2022'!T14</f>
        <v>8.5329155224688952E-2</v>
      </c>
      <c r="X52" s="316">
        <f>'SCI-2022'!U5/'SFP-2022'!U14</f>
        <v>0.10249531540150901</v>
      </c>
      <c r="Y52" s="316">
        <f>'SCI-2022'!V5/'SFP-2022'!V14</f>
        <v>0.11647809312340866</v>
      </c>
      <c r="Z52" s="316">
        <f>'SCI-2022'!W5/'SFP-2022'!W14</f>
        <v>0.13452369550410309</v>
      </c>
      <c r="AA52" s="316">
        <f>'SCI-2022'!X5/'SFP-2022'!X14</f>
        <v>0.14991611146793396</v>
      </c>
      <c r="AB52" s="316">
        <f>'SCI-2022'!Y5/'SFP-2022'!Y14</f>
        <v>0.16601094729808408</v>
      </c>
      <c r="AC52" s="316">
        <f>'SCI-2022'!Z5/'SFP-2022'!Z14</f>
        <v>0.17953851840354476</v>
      </c>
      <c r="AD52" s="316">
        <f>'SCI-2022'!AA5/'SFP-2022'!AA14</f>
        <v>0.19173297211568788</v>
      </c>
      <c r="AE52" s="316">
        <f>'SCI-2022'!AB5/'SFP-2022'!AB14</f>
        <v>0.19173297216550597</v>
      </c>
      <c r="AF52" s="316">
        <f>'SCI-2022'!AC5/'SFP-2022'!AC14</f>
        <v>1.6784935442666068E-2</v>
      </c>
      <c r="AG52" s="316">
        <f>'SCI-2022'!AD5/'SFP-2022'!AD14</f>
        <v>3.1994398623732788E-2</v>
      </c>
      <c r="AH52" s="316">
        <f>'SCI-2022'!AE5/'SFP-2022'!AE14</f>
        <v>4.763196944280973E-2</v>
      </c>
      <c r="AI52" s="316">
        <f>'SCI-2022'!AF5/'SFP-2022'!AF14</f>
        <v>6.1645620195211977E-2</v>
      </c>
      <c r="AJ52" s="316">
        <f>'SCI-2022'!AG5/'SFP-2022'!AG14</f>
        <v>7.6673214853488256E-2</v>
      </c>
      <c r="AK52" s="316">
        <f>'SCI-2022'!AH5/'SFP-2022'!AH14</f>
        <v>9.4443343385964718E-2</v>
      </c>
      <c r="AL52" s="316"/>
      <c r="AM52" s="316"/>
      <c r="AN52" s="316"/>
      <c r="AO52" s="316"/>
    </row>
    <row r="53" spans="2:41">
      <c r="B53" s="305"/>
      <c r="C53" s="50" t="s">
        <v>82</v>
      </c>
      <c r="D53" s="49"/>
      <c r="E53" s="50">
        <f>Financials!C32/Financials!C5</f>
        <v>0.49165381474340364</v>
      </c>
      <c r="F53" s="50">
        <f>Financials!D32/Financials!D5</f>
        <v>0.49324322149782579</v>
      </c>
      <c r="G53" s="50">
        <f>Financials!E32/Financials!E5</f>
        <v>0.49532139782571005</v>
      </c>
      <c r="H53" s="50">
        <f>Financials!F32/Financials!F5</f>
        <v>0.49639252536448997</v>
      </c>
      <c r="I53" s="50">
        <f>Financials!G32/Financials!G5</f>
        <v>0.49497242176800238</v>
      </c>
      <c r="J53" s="50">
        <f>Financials!H32/Financials!H5</f>
        <v>0.49797373846150211</v>
      </c>
      <c r="K53" s="50">
        <f>Financials!I32/Financials!I5</f>
        <v>0.50459774559624637</v>
      </c>
      <c r="L53" s="50">
        <f>Financials!J32/Financials!J5</f>
        <v>0.50156779750151137</v>
      </c>
      <c r="M53" s="50">
        <f>Financials!K32/Financials!K5</f>
        <v>0.49520558173845969</v>
      </c>
      <c r="N53" s="50">
        <f>Financials!L32/Financials!L5</f>
        <v>0.50062265388037197</v>
      </c>
      <c r="O53" s="50">
        <f>Financials!M32/Financials!M5</f>
        <v>0.51014962649120421</v>
      </c>
      <c r="P53" s="50">
        <f>Financials!N32/Financials!N5</f>
        <v>0.51462634707014288</v>
      </c>
      <c r="Q53" s="50">
        <f>Financials!O32/Financials!O5</f>
        <v>0.50844600141108909</v>
      </c>
      <c r="R53" s="316">
        <f>Financials!P32/Financials!P5</f>
        <v>0.50876090552759601</v>
      </c>
      <c r="S53" s="316">
        <f>Financials!Q32/Financials!Q5</f>
        <v>0.50833153220750804</v>
      </c>
      <c r="T53" s="316">
        <f>Financials!R32/Financials!R5</f>
        <v>0.50604841607170126</v>
      </c>
      <c r="U53" s="316">
        <f>Financials!S32/Financials!S5</f>
        <v>0.51795017565663293</v>
      </c>
      <c r="V53" s="316">
        <f>Financials!T32/Financials!T5</f>
        <v>0.52025502959232373</v>
      </c>
      <c r="W53" s="316">
        <f>Financials!U32/Financials!U5</f>
        <v>0.52144459509960717</v>
      </c>
      <c r="X53" s="316">
        <f>Financials!V32/Financials!V5</f>
        <v>0.50994691220804134</v>
      </c>
      <c r="Y53" s="316">
        <f>Financials!W32/Financials!W5</f>
        <v>0.52385503710028314</v>
      </c>
      <c r="Z53" s="316">
        <f>Financials!X32/Financials!X5</f>
        <v>0.5203820450058414</v>
      </c>
      <c r="AA53" s="316">
        <f>Financials!Y32/Financials!Y5</f>
        <v>0.5283992975426679</v>
      </c>
      <c r="AB53" s="316">
        <f>Financials!Z32/Financials!Z5</f>
        <v>0.53866582253006867</v>
      </c>
      <c r="AC53" s="316">
        <f>Financials!AA32/Financials!AA5</f>
        <v>0.55024374265565923</v>
      </c>
      <c r="AD53" s="316">
        <f>Financials!AB32/Financials!AB5</f>
        <v>0.56738372043427399</v>
      </c>
      <c r="AE53" s="316">
        <f>Financials!AC32/Financials!AC5</f>
        <v>0.56873267892474355</v>
      </c>
      <c r="AF53" s="316">
        <f>Financials!AD32/Financials!AD5</f>
        <v>0.57085055770636361</v>
      </c>
      <c r="AG53" s="316">
        <f>Financials!AE32/Financials!AE5</f>
        <v>0.57521223309476111</v>
      </c>
      <c r="AH53" s="316">
        <f>Financials!AF32/Financials!AF5</f>
        <v>0.57873575171756653</v>
      </c>
      <c r="AI53" s="316">
        <f>Financials!AG32/Financials!AG5</f>
        <v>0.59508044469839927</v>
      </c>
      <c r="AJ53" s="316">
        <f>Financials!AH32/Financials!AH5</f>
        <v>0.5936936878450696</v>
      </c>
      <c r="AK53" s="316">
        <f>Financials!AI32/Financials!AI5</f>
        <v>0.57369829548043894</v>
      </c>
      <c r="AL53" s="316"/>
      <c r="AM53" s="316"/>
      <c r="AN53" s="316"/>
      <c r="AO53" s="316"/>
    </row>
    <row r="54" spans="2:41" s="2" customFormat="1">
      <c r="B54" s="317">
        <v>8</v>
      </c>
      <c r="C54" s="53" t="s">
        <v>83</v>
      </c>
      <c r="D54" s="52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318"/>
      <c r="S54" s="318"/>
      <c r="T54" s="318"/>
      <c r="U54" s="318"/>
      <c r="V54" s="318"/>
      <c r="W54" s="318"/>
      <c r="X54" s="318"/>
      <c r="Y54" s="318"/>
      <c r="Z54" s="318"/>
      <c r="AA54" s="318"/>
      <c r="AB54" s="318"/>
      <c r="AC54" s="318"/>
      <c r="AD54" s="318"/>
      <c r="AE54" s="318"/>
      <c r="AF54" s="318"/>
      <c r="AG54" s="318"/>
      <c r="AH54" s="318"/>
      <c r="AI54" s="318"/>
      <c r="AJ54" s="318"/>
      <c r="AK54" s="318"/>
      <c r="AL54" s="318"/>
      <c r="AM54" s="318"/>
      <c r="AN54" s="318"/>
      <c r="AO54" s="318"/>
    </row>
    <row r="55" spans="2:41">
      <c r="B55" s="303">
        <v>8.1</v>
      </c>
      <c r="C55" s="50" t="s">
        <v>84</v>
      </c>
      <c r="D55" s="49"/>
      <c r="E55" s="51" t="e">
        <f>'SCI-2022'!B33/('SFP-2022'!#REF!+'SFP-2022'!B27/2)</f>
        <v>#REF!</v>
      </c>
      <c r="F55" s="51" t="e">
        <f>'SCI-2022'!C33/('SFP-2022'!A27+'SFP-2022'!C27/2)</f>
        <v>#VALUE!</v>
      </c>
      <c r="G55" s="51">
        <f>'SCI-2022'!D33/('SFP-2022'!C27+'SFP-2022'!D27/2)</f>
        <v>1.7874321751218071E-3</v>
      </c>
      <c r="H55" s="51">
        <f>'SCI-2022'!E33/('SFP-2022'!D27+'SFP-2022'!E27/2)</f>
        <v>3.7483422724817095E-3</v>
      </c>
      <c r="I55" s="51">
        <f>'SCI-2022'!F33/('SFP-2022'!E27+'SFP-2022'!F27/2)</f>
        <v>1.1588337228360506E-2</v>
      </c>
      <c r="J55" s="51">
        <f>'SCI-2022'!G33/('SFP-2022'!F27+'SFP-2022'!G27/2)</f>
        <v>1.1548673082302903E-2</v>
      </c>
      <c r="K55" s="51">
        <f>'SCI-2022'!H33/('SFP-2022'!G27+'SFP-2022'!H27/2)</f>
        <v>1.2149707161345596E-2</v>
      </c>
      <c r="L55" s="51">
        <f>'SCI-2022'!I33/('SFP-2022'!H27+'SFP-2022'!I27/2)</f>
        <v>1.2754218708591968E-2</v>
      </c>
      <c r="M55" s="51">
        <f>'SCI-2022'!J33/('SFP-2022'!I27+'SFP-2022'!J27/2)</f>
        <v>1.3294605717242306E-2</v>
      </c>
      <c r="N55" s="51">
        <f>'SCI-2022'!K33/('SFP-2022'!J27+'SFP-2022'!K27/2)</f>
        <v>1.4123458920801189E-2</v>
      </c>
      <c r="O55" s="51">
        <f>'SCI-2022'!L33/('SFP-2022'!K27+'SFP-2022'!L27/2)</f>
        <v>1.5380953756860284E-2</v>
      </c>
      <c r="P55" s="51">
        <f>'SCI-2022'!M33/('SFP-2022'!L27+'SFP-2022'!M27/2)</f>
        <v>1.6799948702599415E-2</v>
      </c>
      <c r="Q55" s="51">
        <f>'SCI-2022'!N33/('SFP-2022'!M27+'SFP-2022'!N27/2)</f>
        <v>1.7753066002166248E-2</v>
      </c>
      <c r="R55" s="319">
        <f>'SCI-2022'!O33/('SFP-2022'!N27+'SFP-2022'!O27/2)</f>
        <v>1.7559596123071786E-2</v>
      </c>
      <c r="S55" s="319">
        <f>'SCI-2022'!P33/('SFP-2022'!O27+'SFP-2022'!P27/2)</f>
        <v>8.1701736188232745E-4</v>
      </c>
      <c r="T55" s="319">
        <f>'SCI-2022'!Q33/('SFP-2022'!P27+'SFP-2022'!Q27/2)</f>
        <v>1.6905125395617606E-3</v>
      </c>
      <c r="U55" s="319">
        <f>'SCI-2022'!R33/('SFP-2022'!Q27+'SFP-2022'!R27/2)</f>
        <v>3.5444788735515763E-3</v>
      </c>
      <c r="V55" s="319">
        <f>'SCI-2022'!S33/('SFP-2022'!R27+'SFP-2022'!S27/2)</f>
        <v>4.8715587896239199E-3</v>
      </c>
      <c r="W55" s="319">
        <f>'SCI-2022'!T33/('SFP-2022'!S27+'SFP-2022'!T27/2)</f>
        <v>6.5240226299422624E-3</v>
      </c>
      <c r="X55" s="319">
        <f>'SCI-2022'!U33/('SFP-2022'!T27+'SFP-2022'!U27/2)</f>
        <v>1.429640999367191E-2</v>
      </c>
      <c r="Y55" s="319">
        <f>'SCI-2022'!V33/('SFP-2022'!U27+'SFP-2022'!V27/2)</f>
        <v>1.4964602926638645E-2</v>
      </c>
      <c r="Z55" s="319">
        <f>'SCI-2022'!W33/('SFP-2022'!V27+'SFP-2022'!W27/2)</f>
        <v>1.5881481962103452E-2</v>
      </c>
      <c r="AA55" s="319">
        <f>'SCI-2022'!X33/('SFP-2022'!W27+'SFP-2022'!X27/2)</f>
        <v>1.6649796634679168E-2</v>
      </c>
      <c r="AB55" s="319">
        <f>'SCI-2022'!Y33/('SFP-2022'!X27+'SFP-2022'!Y27/2)</f>
        <v>1.7519714750356088E-2</v>
      </c>
      <c r="AC55" s="319">
        <f>'SCI-2022'!Z33/('SFP-2022'!Y27+'SFP-2022'!Z27/2)</f>
        <v>1.9409985480671875E-2</v>
      </c>
      <c r="AD55" s="319">
        <f>'SCI-2022'!AA33/('SFP-2022'!Z27+'SFP-2022'!AA27/2)</f>
        <v>1.9667365339082418E-2</v>
      </c>
      <c r="AE55" s="319">
        <f>'SCI-2022'!AB33/('SFP-2022'!AA27+'SFP-2022'!AB27/2)</f>
        <v>1.8200109828387961E-2</v>
      </c>
      <c r="AF55" s="319">
        <f>'SCI-2022'!AC33/('SFP-2022'!AB27+'SFP-2022'!AC27/2)</f>
        <v>8.9305331096272875E-4</v>
      </c>
      <c r="AG55" s="319">
        <f>'SCI-2022'!AD33/('SFP-2022'!AC27+'SFP-2022'!AD27/2)</f>
        <v>1.460968893355031E-3</v>
      </c>
      <c r="AH55" s="319">
        <f>'SCI-2022'!AE33/('SFP-2022'!AD27+'SFP-2022'!AE27/2)</f>
        <v>2.4416703668865918E-3</v>
      </c>
      <c r="AI55" s="319">
        <f>'SCI-2022'!AF33/('SFP-2022'!AE27+'SFP-2022'!AF27/2)</f>
        <v>3.003922839253226E-3</v>
      </c>
      <c r="AJ55" s="319">
        <f>'SCI-2022'!AG33/('SFP-2022'!AF27+'SFP-2022'!AG27/2)</f>
        <v>4.2080609997923839E-3</v>
      </c>
      <c r="AK55" s="319">
        <f>'SCI-2022'!AH33/('SFP-2022'!AG27+'SFP-2022'!AH27/2)</f>
        <v>1.4986210757548857E-2</v>
      </c>
      <c r="AL55" s="319"/>
      <c r="AM55" s="319"/>
      <c r="AN55" s="319"/>
      <c r="AO55" s="319"/>
    </row>
    <row r="56" spans="2:41">
      <c r="B56" s="303">
        <v>8.1999999999999993</v>
      </c>
      <c r="C56" s="50" t="s">
        <v>85</v>
      </c>
      <c r="D56" s="49"/>
      <c r="E56" s="51">
        <f>'SCI-2022'!B23/'SCI-2022'!B19</f>
        <v>0.70313142681218432</v>
      </c>
      <c r="F56" s="51">
        <f>'SCI-2022'!C23/'SCI-2022'!C19</f>
        <v>0.79133967951470097</v>
      </c>
      <c r="G56" s="51">
        <f>'SCI-2022'!D23/'SCI-2022'!D19</f>
        <v>0.73809657945290796</v>
      </c>
      <c r="H56" s="51">
        <f>'SCI-2022'!E23/'SCI-2022'!E19</f>
        <v>0.76385028571108304</v>
      </c>
      <c r="I56" s="51">
        <f>'SCI-2022'!F23/'SCI-2022'!F19</f>
        <v>0.56201554222216688</v>
      </c>
      <c r="J56" s="51">
        <f>'SCI-2022'!G23/'SCI-2022'!G19</f>
        <v>0.59990835113508145</v>
      </c>
      <c r="K56" s="51">
        <f>'SCI-2022'!H23/'SCI-2022'!H19</f>
        <v>0.605668174506097</v>
      </c>
      <c r="L56" s="51">
        <f>'SCI-2022'!I23/'SCI-2022'!I19</f>
        <v>0.6109526528688104</v>
      </c>
      <c r="M56" s="51">
        <f>'SCI-2022'!J23/'SCI-2022'!J19</f>
        <v>0.620063931129889</v>
      </c>
      <c r="N56" s="51">
        <f>'SCI-2022'!K23/'SCI-2022'!K19</f>
        <v>0.62664839204327805</v>
      </c>
      <c r="O56" s="51">
        <f>'SCI-2022'!L23/'SCI-2022'!L19</f>
        <v>0.62994935088533843</v>
      </c>
      <c r="P56" s="51">
        <f>'SCI-2022'!M23/'SCI-2022'!M19</f>
        <v>0.62981715064053156</v>
      </c>
      <c r="Q56" s="51">
        <f>'SCI-2022'!N23/'SCI-2022'!N19</f>
        <v>0.69418638862962534</v>
      </c>
      <c r="R56" s="319">
        <f>'SCI-2022'!O23/'SCI-2022'!O19</f>
        <v>0.6940510902857272</v>
      </c>
      <c r="S56" s="319">
        <f>'SCI-2022'!P23/'SCI-2022'!P19</f>
        <v>0.78856246214889392</v>
      </c>
      <c r="T56" s="319">
        <f>'SCI-2022'!Q23/'SCI-2022'!Q19</f>
        <v>0.78446105716197667</v>
      </c>
      <c r="U56" s="319">
        <f>'SCI-2022'!R23/'SCI-2022'!R19</f>
        <v>0.73932059684471974</v>
      </c>
      <c r="V56" s="319">
        <f>'SCI-2022'!S23/'SCI-2022'!S19</f>
        <v>0.71746296239265339</v>
      </c>
      <c r="W56" s="319">
        <f>'SCI-2022'!T23/'SCI-2022'!T19</f>
        <v>0.69527039912336763</v>
      </c>
      <c r="X56" s="319">
        <f>'SCI-2022'!U23/'SCI-2022'!U19</f>
        <v>0.58257913858587695</v>
      </c>
      <c r="Y56" s="319">
        <f>'SCI-2022'!V23/'SCI-2022'!V19</f>
        <v>0.6063975377788321</v>
      </c>
      <c r="Z56" s="319">
        <f>'SCI-2022'!W23/'SCI-2022'!W19</f>
        <v>0.62722002029728019</v>
      </c>
      <c r="AA56" s="319">
        <f>'SCI-2022'!X23/'SCI-2022'!X19</f>
        <v>0.64796482077925044</v>
      </c>
      <c r="AB56" s="319">
        <f>'SCI-2022'!Y23/'SCI-2022'!Y19</f>
        <v>0.66327241404213388</v>
      </c>
      <c r="AC56" s="319">
        <f>'SCI-2022'!Z23/'SCI-2022'!Z19</f>
        <v>0.6610193199658525</v>
      </c>
      <c r="AD56" s="319">
        <f>'SCI-2022'!AA23/'SCI-2022'!AA19</f>
        <v>0.68486289997273953</v>
      </c>
      <c r="AE56" s="319">
        <f>'SCI-2022'!AB23/'SCI-2022'!AB19</f>
        <v>0.70757822044237484</v>
      </c>
      <c r="AF56" s="319">
        <f>'SCI-2022'!AC23/'SCI-2022'!AC19</f>
        <v>0.76883718765874942</v>
      </c>
      <c r="AG56" s="319">
        <f>'SCI-2022'!AD23/'SCI-2022'!AD19</f>
        <v>0.80023738769569874</v>
      </c>
      <c r="AH56" s="319">
        <f>'SCI-2022'!AE23/'SCI-2022'!AE19</f>
        <v>0.80099054572425887</v>
      </c>
      <c r="AI56" s="319">
        <f>'SCI-2022'!AF23/'SCI-2022'!AF19</f>
        <v>0.80158059751398403</v>
      </c>
      <c r="AJ56" s="319">
        <f>'SCI-2022'!AG23/'SCI-2022'!AG19</f>
        <v>0.78766445326176537</v>
      </c>
      <c r="AK56" s="319">
        <f>'SCI-2022'!AH23/'SCI-2022'!AH19</f>
        <v>0.59457624961754829</v>
      </c>
      <c r="AL56" s="319"/>
      <c r="AM56" s="319"/>
      <c r="AN56" s="319"/>
      <c r="AO56" s="319"/>
    </row>
    <row r="57" spans="2:41">
      <c r="B57" s="303">
        <v>8.3000000000000007</v>
      </c>
      <c r="C57" s="59" t="s">
        <v>86</v>
      </c>
      <c r="D57" s="49"/>
      <c r="E57" s="51">
        <f>'SCI-2022'!B23/'SFP-2022'!B27</f>
        <v>6.7155029417888312E-2</v>
      </c>
      <c r="F57" s="51">
        <f>'SCI-2022'!C23/'SFP-2022'!C27</f>
        <v>5.5077290312365379E-3</v>
      </c>
      <c r="G57" s="51">
        <f>'SCI-2022'!D23/'SFP-2022'!D27</f>
        <v>1.0870895728513959E-2</v>
      </c>
      <c r="H57" s="51">
        <f>'SCI-2022'!E23/'SFP-2022'!E27</f>
        <v>1.6796478648406665E-2</v>
      </c>
      <c r="I57" s="51">
        <f>'SCI-2022'!F23/'SFP-2022'!F27</f>
        <v>2.2579559531982096E-2</v>
      </c>
      <c r="J57" s="51">
        <f>'SCI-2022'!G23/'SFP-2022'!G27</f>
        <v>2.7443318806218663E-2</v>
      </c>
      <c r="K57" s="51">
        <f>'SCI-2022'!H23/'SFP-2022'!H27</f>
        <v>3.1808396003588181E-2</v>
      </c>
      <c r="L57" s="51">
        <f>'SCI-2022'!I23/'SFP-2022'!I27</f>
        <v>3.5697670975996708E-2</v>
      </c>
      <c r="M57" s="51">
        <f>'SCI-2022'!J23/'SFP-2022'!J27</f>
        <v>4.0267143240631138E-2</v>
      </c>
      <c r="N57" s="51">
        <f>'SCI-2022'!K23/'SFP-2022'!K27</f>
        <v>4.5015285530625178E-2</v>
      </c>
      <c r="O57" s="51">
        <f>'SCI-2022'!L23/'SFP-2022'!L27</f>
        <v>5.049713813777363E-2</v>
      </c>
      <c r="P57" s="51">
        <f>'SCI-2022'!M23/'SFP-2022'!M27</f>
        <v>5.5237783527592378E-2</v>
      </c>
      <c r="Q57" s="51">
        <f>'SCI-2022'!N23/'SFP-2022'!N27</f>
        <v>6.1566346880078802E-2</v>
      </c>
      <c r="R57" s="319">
        <f>'SCI-2022'!O23/'SFP-2022'!O27</f>
        <v>6.1604477654525931E-2</v>
      </c>
      <c r="S57" s="319">
        <f>'SCI-2022'!P23/'SFP-2022'!P27</f>
        <v>5.3968225280687761E-3</v>
      </c>
      <c r="T57" s="319">
        <f>'SCI-2022'!Q23/'SFP-2022'!Q27</f>
        <v>1.1104770566683726E-2</v>
      </c>
      <c r="U57" s="319">
        <f>'SCI-2022'!R23/'SFP-2022'!R27</f>
        <v>1.7409601314863535E-2</v>
      </c>
      <c r="V57" s="319">
        <f>'SCI-2022'!S23/'SFP-2022'!S27</f>
        <v>2.2125543768586019E-2</v>
      </c>
      <c r="W57" s="319">
        <f>'SCI-2022'!T23/'SFP-2022'!T27</f>
        <v>2.6883868176382338E-2</v>
      </c>
      <c r="X57" s="319">
        <f>'SCI-2022'!U23/'SFP-2022'!U27</f>
        <v>3.2126300140897457E-2</v>
      </c>
      <c r="Y57" s="319">
        <f>'SCI-2022'!V23/'SFP-2022'!V27</f>
        <v>3.7335699598771192E-2</v>
      </c>
      <c r="Z57" s="319">
        <f>'SCI-2022'!W23/'SFP-2022'!W27</f>
        <v>4.3152850574819247E-2</v>
      </c>
      <c r="AA57" s="319">
        <f>'SCI-2022'!X23/'SFP-2022'!X27</f>
        <v>4.9396073662924644E-2</v>
      </c>
      <c r="AB57" s="319">
        <f>'SCI-2022'!Y23/'SFP-2022'!Y27</f>
        <v>5.6176304963659614E-2</v>
      </c>
      <c r="AC57" s="319">
        <f>'SCI-2022'!Z23/'SFP-2022'!Z27</f>
        <v>6.1220670313346499E-2</v>
      </c>
      <c r="AD57" s="319">
        <f>'SCI-2022'!AA23/'SFP-2022'!AA27</f>
        <v>6.9178117979891901E-2</v>
      </c>
      <c r="AE57" s="319">
        <f>'SCI-2022'!AB23/'SFP-2022'!AB27</f>
        <v>7.1642523019164406E-2</v>
      </c>
      <c r="AF57" s="319">
        <f>'SCI-2022'!AC23/'SFP-2022'!AC27</f>
        <v>6.4112063493680736E-3</v>
      </c>
      <c r="AG57" s="319">
        <f>'SCI-2022'!AD23/'SFP-2022'!AD27</f>
        <v>1.2667106445992567E-2</v>
      </c>
      <c r="AH57" s="319">
        <f>'SCI-2022'!AE23/'SFP-2022'!AE27</f>
        <v>1.9305461312001664E-2</v>
      </c>
      <c r="AI57" s="319">
        <f>'SCI-2022'!AF23/'SFP-2022'!AF27</f>
        <v>2.5732662713253841E-2</v>
      </c>
      <c r="AJ57" s="319">
        <f>'SCI-2022'!AG23/'SFP-2022'!AG27</f>
        <v>3.0229483400386548E-2</v>
      </c>
      <c r="AK57" s="319">
        <f>'SCI-2022'!AH23/'SFP-2022'!AH27</f>
        <v>3.5594681260188006E-2</v>
      </c>
      <c r="AL57" s="319"/>
      <c r="AM57" s="319"/>
      <c r="AN57" s="319"/>
      <c r="AO57" s="319"/>
    </row>
    <row r="58" spans="2:41" ht="13.9" thickBot="1">
      <c r="B58" s="320"/>
      <c r="C58" s="321" t="s">
        <v>87</v>
      </c>
      <c r="D58" s="322"/>
      <c r="E58" s="323">
        <f>(Financials!C36+Financials!C29)/Financials!C5</f>
        <v>0.25109659972493475</v>
      </c>
      <c r="F58" s="323">
        <f>(Financials!D36+Financials!D29)/Financials!D5</f>
        <v>0.24831454556670987</v>
      </c>
      <c r="G58" s="323">
        <f>(Financials!E36+Financials!E29)/Financials!E5</f>
        <v>0.24910199641000952</v>
      </c>
      <c r="H58" s="323">
        <f>(Financials!F36+Financials!F29)/Financials!F5</f>
        <v>0.24612317455557309</v>
      </c>
      <c r="I58" s="323">
        <f>(Financials!G36+Financials!G29)/Financials!G5</f>
        <v>0.25524393022072367</v>
      </c>
      <c r="J58" s="323">
        <f>(Financials!H36+Financials!H29)/Financials!H5</f>
        <v>0.24778097481795458</v>
      </c>
      <c r="K58" s="323">
        <f>(Financials!I36+Financials!I29)/Financials!I5</f>
        <v>0.24730720417589558</v>
      </c>
      <c r="L58" s="323">
        <f>(Financials!J36+Financials!J29)/Financials!J5</f>
        <v>0.25898388035681602</v>
      </c>
      <c r="M58" s="323">
        <f>(Financials!K36+Financials!K29)/Financials!K5</f>
        <v>0.25200089607286819</v>
      </c>
      <c r="N58" s="323">
        <f>(Financials!L36+Financials!L29)/Financials!L5</f>
        <v>0.24818344592732383</v>
      </c>
      <c r="O58" s="323">
        <f>(Financials!M36+Financials!M29)/Financials!M5</f>
        <v>0.23201759769785091</v>
      </c>
      <c r="P58" s="323">
        <f>(Financials!N36+Financials!N29)/Financials!N5</f>
        <v>0.23413846039635722</v>
      </c>
      <c r="Q58" s="323">
        <f>(Financials!O36+Financials!O29)/Financials!O5</f>
        <v>0.24246546036704769</v>
      </c>
      <c r="R58" s="324">
        <f>(Financials!P36+Financials!P29)/Financials!P5</f>
        <v>0.24209307072782729</v>
      </c>
      <c r="S58" s="324">
        <f>(Financials!Q36+Financials!Q29)/Financials!Q5</f>
        <v>0.24199045159956883</v>
      </c>
      <c r="T58" s="324">
        <f>(Financials!R36+Financials!R29)/Financials!R5</f>
        <v>0.24501929974938197</v>
      </c>
      <c r="U58" s="324">
        <f>(Financials!S36+Financials!S29)/Financials!S5</f>
        <v>0.23396294761976641</v>
      </c>
      <c r="V58" s="324">
        <f>(Financials!T36+Financials!T29)/Financials!T5</f>
        <v>0.23296072539629406</v>
      </c>
      <c r="W58" s="324">
        <f>(Financials!U36+Financials!U29)/Financials!U5</f>
        <v>0.23009144780168159</v>
      </c>
      <c r="X58" s="324">
        <f>(Financials!V36+Financials!V29)/Financials!V5</f>
        <v>0.24652230342521941</v>
      </c>
      <c r="Y58" s="324">
        <f>(Financials!W36+Financials!W29)/Financials!W5</f>
        <v>0.24912631158718168</v>
      </c>
      <c r="Z58" s="324">
        <f>(Financials!X36+Financials!X29)/Financials!X5</f>
        <v>0.24302768872638311</v>
      </c>
      <c r="AA58" s="324">
        <f>(Financials!Y36+Financials!Y29)/Financials!Y5</f>
        <v>0.22927715007995395</v>
      </c>
      <c r="AB58" s="324">
        <f>(Financials!Z36+Financials!Z29)/Financials!Z5</f>
        <v>0.21744428843181557</v>
      </c>
      <c r="AC58" s="324">
        <f>(Financials!AA36+Financials!AA29)/Financials!AA5</f>
        <v>0.20416512005591458</v>
      </c>
      <c r="AD58" s="324">
        <f>(Financials!AB36+Financials!AB29)/Financials!AB5</f>
        <v>0.21013125485782091</v>
      </c>
      <c r="AE58" s="324">
        <f>(Financials!AC36+Financials!AC29)/Financials!AC5</f>
        <v>4.5835886903764562E-2</v>
      </c>
      <c r="AF58" s="324">
        <f>(Financials!AD36+Financials!AD29)/Financials!AD5</f>
        <v>0.21446096305334875</v>
      </c>
      <c r="AG58" s="324">
        <f>(Financials!AE36+Financials!AE29)/Financials!AE5</f>
        <v>0.2093159244320659</v>
      </c>
      <c r="AH58" s="324">
        <f>(Financials!AF36+Financials!AF29)/Financials!AF5</f>
        <v>0.20942534306664462</v>
      </c>
      <c r="AI58" s="324">
        <f>(Financials!AG36+Financials!AG29)/Financials!AG5</f>
        <v>0.21087633070685377</v>
      </c>
      <c r="AJ58" s="324">
        <f>(Financials!AH36+Financials!AH29)/Financials!AH5</f>
        <v>0.19436616629479625</v>
      </c>
      <c r="AK58" s="324">
        <f>(Financials!AI36+Financials!AI29)/Financials!AI5</f>
        <v>0.21991168193634938</v>
      </c>
      <c r="AL58" s="324"/>
      <c r="AM58" s="324"/>
      <c r="AN58" s="324"/>
      <c r="AO58" s="324"/>
    </row>
    <row r="76" spans="2:5">
      <c r="B76" s="1">
        <v>0</v>
      </c>
      <c r="D76" s="1"/>
      <c r="E76" s="1"/>
    </row>
  </sheetData>
  <phoneticPr fontId="56" type="noConversion"/>
  <pageMargins left="0.7" right="0.7" top="0.75" bottom="0.75" header="0.3" footer="0.3"/>
  <pageSetup scale="9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J54"/>
  <sheetViews>
    <sheetView workbookViewId="0">
      <pane xSplit="3" topLeftCell="AA1" activePane="topRight" state="frozen"/>
      <selection pane="topRight" activeCell="AH20" sqref="AH20:AJ23"/>
    </sheetView>
  </sheetViews>
  <sheetFormatPr defaultRowHeight="14.45"/>
  <cols>
    <col min="2" max="2" width="16.5703125" customWidth="1"/>
    <col min="3" max="3" width="14" customWidth="1"/>
    <col min="4" max="4" width="14" hidden="1" customWidth="1"/>
    <col min="5" max="16" width="0" hidden="1" customWidth="1"/>
    <col min="17" max="17" width="13.7109375" customWidth="1"/>
    <col min="18" max="19" width="0" hidden="1" customWidth="1"/>
    <col min="21" max="22" width="0" hidden="1" customWidth="1"/>
    <col min="24" max="25" width="0" hidden="1" customWidth="1"/>
    <col min="28" max="28" width="0" hidden="1" customWidth="1"/>
    <col min="30" max="30" width="12.42578125" customWidth="1"/>
  </cols>
  <sheetData>
    <row r="1" spans="2:36">
      <c r="B1" s="73" t="s">
        <v>88</v>
      </c>
    </row>
    <row r="2" spans="2:36" ht="39">
      <c r="B2" s="142" t="s">
        <v>15</v>
      </c>
      <c r="C2" s="143" t="s">
        <v>16</v>
      </c>
      <c r="D2" s="275"/>
      <c r="E2" s="257">
        <v>44197</v>
      </c>
      <c r="F2" s="257">
        <v>44228</v>
      </c>
      <c r="G2" s="257">
        <v>44256</v>
      </c>
      <c r="H2" s="257">
        <v>44287</v>
      </c>
      <c r="I2" s="257">
        <v>44317</v>
      </c>
      <c r="J2" s="257">
        <v>44348</v>
      </c>
      <c r="K2" s="257">
        <v>44378</v>
      </c>
      <c r="L2" s="257">
        <v>44409</v>
      </c>
      <c r="M2" s="257">
        <v>44440</v>
      </c>
      <c r="N2" s="257">
        <v>44470</v>
      </c>
      <c r="O2" s="257">
        <v>44501</v>
      </c>
      <c r="P2" s="257">
        <v>44531</v>
      </c>
      <c r="Q2" s="258" t="s">
        <v>18</v>
      </c>
      <c r="R2" s="257">
        <v>44562</v>
      </c>
      <c r="S2" s="257">
        <v>44593</v>
      </c>
      <c r="T2" s="257">
        <v>44621</v>
      </c>
      <c r="U2" s="257">
        <v>44652</v>
      </c>
      <c r="V2" s="257">
        <v>44682</v>
      </c>
      <c r="W2" s="257">
        <v>44713</v>
      </c>
      <c r="X2" s="257">
        <v>44743</v>
      </c>
      <c r="Y2" s="257">
        <v>44774</v>
      </c>
      <c r="Z2" s="257">
        <v>44805</v>
      </c>
      <c r="AA2" s="257">
        <v>44835</v>
      </c>
      <c r="AB2" s="257">
        <v>44866</v>
      </c>
      <c r="AC2" s="257">
        <v>44896</v>
      </c>
      <c r="AD2" s="257" t="s">
        <v>19</v>
      </c>
      <c r="AE2" s="257">
        <v>44949</v>
      </c>
      <c r="AF2" s="257">
        <v>44980</v>
      </c>
      <c r="AG2" s="257">
        <v>45008</v>
      </c>
      <c r="AH2" s="257">
        <v>45039</v>
      </c>
      <c r="AI2" s="257">
        <v>45069</v>
      </c>
      <c r="AJ2" s="257">
        <v>45100</v>
      </c>
    </row>
    <row r="3" spans="2:36">
      <c r="B3" s="140" t="s">
        <v>89</v>
      </c>
      <c r="C3" s="141"/>
      <c r="D3" s="73"/>
    </row>
    <row r="4" spans="2:36" ht="15">
      <c r="B4" s="66" t="s">
        <v>1</v>
      </c>
      <c r="C4" s="68" t="s">
        <v>22</v>
      </c>
      <c r="D4" s="276"/>
      <c r="E4" s="145">
        <f>'Prudential Ratios'!F6</f>
        <v>637.74635640999998</v>
      </c>
      <c r="F4" s="145">
        <f>'Prudential Ratios'!G6</f>
        <v>670.01583560000006</v>
      </c>
      <c r="G4" s="145">
        <f>'Prudential Ratios'!H6</f>
        <v>689.21990738000011</v>
      </c>
      <c r="H4" s="145">
        <f>'Prudential Ratios'!I6</f>
        <v>727.80070186</v>
      </c>
      <c r="I4" s="145">
        <f>'Prudential Ratios'!J6</f>
        <v>707.23569318</v>
      </c>
      <c r="J4" s="145">
        <f>'Prudential Ratios'!K6</f>
        <v>716.34862294000004</v>
      </c>
      <c r="K4" s="145">
        <f>'Prudential Ratios'!L6</f>
        <v>724.18981938000013</v>
      </c>
      <c r="L4" s="145">
        <f>'Prudential Ratios'!M6</f>
        <v>740.33401721000007</v>
      </c>
      <c r="M4" s="145">
        <f>'Prudential Ratios'!N6</f>
        <v>749.81336859999999</v>
      </c>
      <c r="N4" s="145">
        <f>'Prudential Ratios'!O6</f>
        <v>764.42200825000009</v>
      </c>
      <c r="O4" s="145">
        <f>'Prudential Ratios'!P6</f>
        <v>780.20285533000003</v>
      </c>
      <c r="P4" s="145">
        <f>'Prudential Ratios'!Q6</f>
        <v>796.28299230999994</v>
      </c>
      <c r="Q4" s="145">
        <f>'Prudential Ratios'!R6</f>
        <v>767.36451099999999</v>
      </c>
      <c r="R4" s="145">
        <f>'Prudential Ratios'!S6</f>
        <v>810.88760418000004</v>
      </c>
      <c r="S4" s="145">
        <f>'Prudential Ratios'!T6</f>
        <v>788.26835261999986</v>
      </c>
      <c r="T4" s="145">
        <f>'Prudential Ratios'!U6</f>
        <v>798.83140314000002</v>
      </c>
      <c r="U4" s="145">
        <f>'Prudential Ratios'!V6</f>
        <v>813.07164107000006</v>
      </c>
      <c r="V4" s="145">
        <f>'Prudential Ratios'!W6</f>
        <v>826.60133976999998</v>
      </c>
      <c r="W4" s="145">
        <f>'Prudential Ratios'!X6</f>
        <v>891.02147821000005</v>
      </c>
      <c r="X4" s="145">
        <f>'Prudential Ratios'!Y6</f>
        <v>895.7281164100001</v>
      </c>
      <c r="Y4" s="145">
        <f>'Prudential Ratios'!Z6</f>
        <v>910.54266620999999</v>
      </c>
      <c r="Z4" s="145">
        <f>'Prudential Ratios'!AA6</f>
        <v>922.71420467999997</v>
      </c>
      <c r="AA4" s="145">
        <f>'Prudential Ratios'!AB6</f>
        <v>1019.7399912000001</v>
      </c>
      <c r="AB4" s="145">
        <f>'Prudential Ratios'!AC6</f>
        <v>1039.0812287200001</v>
      </c>
      <c r="AC4" s="145">
        <f>'Prudential Ratios'!AD6</f>
        <v>1035.5753640099999</v>
      </c>
      <c r="AD4" s="145">
        <f>'Prudential Ratios'!AE6</f>
        <v>996.57459600000004</v>
      </c>
      <c r="AE4" s="145">
        <f>'Prudential Ratios'!AF6</f>
        <v>1005.94777277</v>
      </c>
      <c r="AF4" s="145">
        <f>'Prudential Ratios'!AG6</f>
        <v>1016.2522621000001</v>
      </c>
      <c r="AG4" s="145">
        <f>'Prudential Ratios'!AH6</f>
        <v>1101.62392202</v>
      </c>
      <c r="AH4" s="145">
        <f>'Prudential Ratios'!AI6</f>
        <v>1111.2875522500001</v>
      </c>
      <c r="AI4" s="145">
        <f>'Prudential Ratios'!AJ6</f>
        <v>1123.8549192099999</v>
      </c>
      <c r="AJ4" s="145">
        <f>'Prudential Ratios'!AK6</f>
        <v>1198.3180497099997</v>
      </c>
    </row>
    <row r="5" spans="2:36" ht="15">
      <c r="B5" s="66" t="s">
        <v>90</v>
      </c>
      <c r="C5" s="68" t="s">
        <v>24</v>
      </c>
      <c r="D5" s="276"/>
      <c r="E5" s="146">
        <f>'Prudential Ratios'!F7</f>
        <v>0.14528077153700641</v>
      </c>
      <c r="F5" s="146">
        <f>'Prudential Ratios'!G7</f>
        <v>0.15149908079403987</v>
      </c>
      <c r="G5" s="146">
        <f>'Prudential Ratios'!H7</f>
        <v>0.15561638518668716</v>
      </c>
      <c r="H5" s="146">
        <f>'Prudential Ratios'!I7</f>
        <v>0.16282358058544619</v>
      </c>
      <c r="I5" s="146">
        <f>'Prudential Ratios'!J7</f>
        <v>0.15929065670023701</v>
      </c>
      <c r="J5" s="146">
        <f>'Prudential Ratios'!K7</f>
        <v>0.16085586133521534</v>
      </c>
      <c r="K5" s="146">
        <f>'Prudential Ratios'!L7</f>
        <v>0.1580465964071267</v>
      </c>
      <c r="L5" s="146">
        <f>'Prudential Ratios'!M7</f>
        <v>0.16067272944654851</v>
      </c>
      <c r="M5" s="146">
        <f>'Prudential Ratios'!N7</f>
        <v>0.16241217619896758</v>
      </c>
      <c r="N5" s="146">
        <f>'Prudential Ratios'!O7</f>
        <v>0.16605665813199302</v>
      </c>
      <c r="O5" s="146">
        <f>'Prudential Ratios'!P7</f>
        <v>0.16843765245112843</v>
      </c>
      <c r="P5" s="146">
        <f>'Prudential Ratios'!Q7</f>
        <v>0.16887899244569041</v>
      </c>
      <c r="Q5" s="146">
        <f>'Prudential Ratios'!R7</f>
        <v>0.16284663727836643</v>
      </c>
      <c r="R5" s="146">
        <f>'Prudential Ratios'!S7</f>
        <v>0.1721072016446426</v>
      </c>
      <c r="S5" s="146">
        <f>'Prudential Ratios'!T7</f>
        <v>0.16625546283922044</v>
      </c>
      <c r="T5" s="146">
        <f>'Prudential Ratios'!U7</f>
        <v>0.16818405628335978</v>
      </c>
      <c r="U5" s="146">
        <f>'Prudential Ratios'!V7</f>
        <v>0.17042258691688286</v>
      </c>
      <c r="V5" s="146">
        <f>'Prudential Ratios'!W7</f>
        <v>0.17588322530035355</v>
      </c>
      <c r="W5" s="146">
        <f>'Prudential Ratios'!X7</f>
        <v>0.18579730834679062</v>
      </c>
      <c r="X5" s="146">
        <f>'Prudential Ratios'!Y7</f>
        <v>0.18596836208093781</v>
      </c>
      <c r="Y5" s="146">
        <f>'Prudential Ratios'!Z7</f>
        <v>0.18875743849451582</v>
      </c>
      <c r="Z5" s="146">
        <f>'Prudential Ratios'!AA7</f>
        <v>0.19141182260541889</v>
      </c>
      <c r="AA5" s="146">
        <f>'Prudential Ratios'!AB7</f>
        <v>0.21294038741966498</v>
      </c>
      <c r="AB5" s="146">
        <f>'Prudential Ratios'!AC7</f>
        <v>0.21593510014033609</v>
      </c>
      <c r="AC5" s="146">
        <f>'Prudential Ratios'!AD7</f>
        <v>0.21599450036585197</v>
      </c>
      <c r="AD5" s="146">
        <f>'Prudential Ratios'!AE7</f>
        <v>0.20835412732375216</v>
      </c>
      <c r="AE5" s="146">
        <f>'Prudential Ratios'!AF7</f>
        <v>0.20362163064387709</v>
      </c>
      <c r="AF5" s="146">
        <f>'Prudential Ratios'!AG7</f>
        <v>0.20549190879416152</v>
      </c>
      <c r="AG5" s="146">
        <f>'Prudential Ratios'!AH7</f>
        <v>0.21992195162781991</v>
      </c>
      <c r="AH5" s="146">
        <f>'Prudential Ratios'!AI7</f>
        <v>0.21930349592229267</v>
      </c>
      <c r="AI5" s="146">
        <f>'Prudential Ratios'!AJ7</f>
        <v>0.21955734438488719</v>
      </c>
      <c r="AJ5" s="146">
        <f>'Prudential Ratios'!AK7</f>
        <v>0.23288769579249838</v>
      </c>
    </row>
    <row r="6" spans="2:36" ht="15">
      <c r="B6" s="66" t="s">
        <v>91</v>
      </c>
      <c r="C6" s="68" t="s">
        <v>26</v>
      </c>
      <c r="D6" s="276"/>
      <c r="E6" s="146">
        <f>'Prudential Ratios'!F10</f>
        <v>8.0744883764777328E-2</v>
      </c>
      <c r="F6" s="146">
        <f>'Prudential Ratios'!G10</f>
        <v>8.7194377377358953E-2</v>
      </c>
      <c r="G6" s="146">
        <f>'Prudential Ratios'!H10</f>
        <v>9.113869031207994E-2</v>
      </c>
      <c r="H6" s="146">
        <f>'Prudential Ratios'!I10</f>
        <v>9.8674061919958658E-2</v>
      </c>
      <c r="I6" s="146">
        <f>'Prudential Ratios'!J10</f>
        <v>9.4482327707371527E-2</v>
      </c>
      <c r="J6" s="146">
        <f>'Prudential Ratios'!K10</f>
        <v>9.5915038183850304E-2</v>
      </c>
      <c r="K6" s="146">
        <f>'Prudential Ratios'!L10</f>
        <v>9.4644481003450812E-2</v>
      </c>
      <c r="L6" s="146">
        <f>'Prudential Ratios'!M10</f>
        <v>9.7171831898185165E-2</v>
      </c>
      <c r="M6" s="146">
        <f>'Prudential Ratios'!N10</f>
        <v>9.8731809040869783E-2</v>
      </c>
      <c r="N6" s="146">
        <f>'Prudential Ratios'!O10</f>
        <v>0.10189077935365651</v>
      </c>
      <c r="O6" s="146">
        <f>'Prudential Ratios'!P10</f>
        <v>0.10411422328586903</v>
      </c>
      <c r="P6" s="146">
        <f>'Prudential Ratios'!Q10</f>
        <v>0.10516926761504783</v>
      </c>
      <c r="Q6" s="146">
        <f>'Prudential Ratios'!R10</f>
        <v>9.9097454048577366E-2</v>
      </c>
      <c r="R6" s="146">
        <f>'Prudential Ratios'!S10</f>
        <v>0.10800715869498938</v>
      </c>
      <c r="S6" s="146">
        <f>'Prudential Ratios'!T10</f>
        <v>0.10222278310125256</v>
      </c>
      <c r="T6" s="146">
        <f>'Prudential Ratios'!U10</f>
        <v>0.10377911833904557</v>
      </c>
      <c r="U6" s="146">
        <f>'Prudential Ratios'!V10</f>
        <v>0.10616902040863045</v>
      </c>
      <c r="V6" s="146">
        <f>'Prudential Ratios'!W10</f>
        <v>0.11009212797271545</v>
      </c>
      <c r="W6" s="146">
        <f>'Prudential Ratios'!X10</f>
        <v>0.12106003575681167</v>
      </c>
      <c r="X6" s="146">
        <f>'Prudential Ratios'!Y10</f>
        <v>0.12130760558931172</v>
      </c>
      <c r="Y6" s="146">
        <f>'Prudential Ratios'!Z10</f>
        <v>0.1237880422136068</v>
      </c>
      <c r="Z6" s="146">
        <f>'Prudential Ratios'!AA10</f>
        <v>0.12603343558551269</v>
      </c>
      <c r="AA6" s="146">
        <f>'Prudential Ratios'!AB10</f>
        <v>0.14680829764168321</v>
      </c>
      <c r="AB6" s="146">
        <f>'Prudential Ratios'!AC10</f>
        <v>0.1498278222485335</v>
      </c>
      <c r="AC6" s="146">
        <f>'Prudential Ratios'!AD10</f>
        <v>0.14925983625131567</v>
      </c>
      <c r="AD6" s="146">
        <f>'Prudential Ratios'!AE10</f>
        <v>0.1414608010323295</v>
      </c>
      <c r="AE6" s="146">
        <f>'Prudential Ratios'!AF10</f>
        <v>0.13859601923718379</v>
      </c>
      <c r="AF6" s="146">
        <f>'Prudential Ratios'!AG10</f>
        <v>0.14011055056164801</v>
      </c>
      <c r="AG6" s="146">
        <f>'Prudential Ratios'!AH10</f>
        <v>0.13990217439792813</v>
      </c>
      <c r="AH6" s="146">
        <f>'Prudential Ratios'!AI10</f>
        <v>0.13984652703253866</v>
      </c>
      <c r="AI6" s="146">
        <f>'Prudential Ratios'!AJ10</f>
        <v>0.14038979702882756</v>
      </c>
      <c r="AJ6" s="146">
        <f>'Prudential Ratios'!AK10</f>
        <v>0.15340844128957135</v>
      </c>
    </row>
    <row r="7" spans="2:36" ht="15">
      <c r="B7" s="66" t="s">
        <v>92</v>
      </c>
      <c r="C7" s="68" t="s">
        <v>26</v>
      </c>
      <c r="D7" s="276"/>
      <c r="E7" s="146">
        <f>'Prudential Ratios'!F8</f>
        <v>0.26444542363423634</v>
      </c>
      <c r="F7" s="146">
        <f>'Prudential Ratios'!G8</f>
        <v>0.27423695048423008</v>
      </c>
      <c r="G7" s="146">
        <f>'Prudential Ratios'!H8</f>
        <v>0.282525809266511</v>
      </c>
      <c r="H7" s="146">
        <f>'Prudential Ratios'!I8</f>
        <v>0.29340120825930349</v>
      </c>
      <c r="I7" s="146">
        <f>'Prudential Ratios'!J8</f>
        <v>0.2865414261663432</v>
      </c>
      <c r="J7" s="146">
        <f>'Prudential Ratios'!K8</f>
        <v>0.28894287841259064</v>
      </c>
      <c r="K7" s="146">
        <f>'Prudential Ratios'!L8</f>
        <v>0.27781484806396534</v>
      </c>
      <c r="L7" s="146">
        <f>'Prudential Ratios'!M8</f>
        <v>0.28238490354998724</v>
      </c>
      <c r="M7" s="146">
        <f>'Prudential Ratios'!N8</f>
        <v>0.28566861917162523</v>
      </c>
      <c r="N7" s="146">
        <f>'Prudential Ratios'!O8</f>
        <v>0.29387835434947124</v>
      </c>
      <c r="O7" s="146">
        <f>'Prudential Ratios'!P8</f>
        <v>0.29826922897136726</v>
      </c>
      <c r="P7" s="146">
        <f>'Prudential Ratios'!Q8</f>
        <v>0.30669282349529969</v>
      </c>
      <c r="Q7" s="146">
        <f>'Prudential Ratios'!R8</f>
        <v>0.29555470963154712</v>
      </c>
      <c r="R7" s="146">
        <f>'Prudential Ratios'!S8</f>
        <v>0.30946504698465543</v>
      </c>
      <c r="S7" s="146">
        <f>'Prudential Ratios'!T8</f>
        <v>0.29733595797212042</v>
      </c>
      <c r="T7" s="146">
        <f>'Prudential Ratios'!U8</f>
        <v>0.30018212217050455</v>
      </c>
      <c r="U7" s="146">
        <f>'Prudential Ratios'!V8</f>
        <v>0.30340152350312949</v>
      </c>
      <c r="V7" s="146">
        <f>'Prudential Ratios'!W8</f>
        <v>0.30196442004392948</v>
      </c>
      <c r="W7" s="146">
        <f>'Prudential Ratios'!X8</f>
        <v>0.32696453858517033</v>
      </c>
      <c r="X7" s="146">
        <f>'Prudential Ratios'!Y8</f>
        <v>0.32567209459284208</v>
      </c>
      <c r="Y7" s="146">
        <f>'Prudential Ratios'!Z8</f>
        <v>0.33191750039239021</v>
      </c>
      <c r="Z7" s="146">
        <f>'Prudential Ratios'!AA8</f>
        <v>0.33825430303713688</v>
      </c>
      <c r="AA7" s="146">
        <f>'Prudential Ratios'!AB8</f>
        <v>0.37740463982937872</v>
      </c>
      <c r="AB7" s="146">
        <f>'Prudential Ratios'!AC8</f>
        <v>0.38413230353447447</v>
      </c>
      <c r="AC7" s="146">
        <f>'Prudential Ratios'!AD8</f>
        <v>0.38484442222099802</v>
      </c>
      <c r="AD7" s="146">
        <f>'Prudential Ratios'!AE8</f>
        <v>0.37035080963660544</v>
      </c>
      <c r="AE7" s="146">
        <f>'Prudential Ratios'!AF8</f>
        <v>0.37310383047076107</v>
      </c>
      <c r="AF7" s="146">
        <f>'Prudential Ratios'!AG8</f>
        <v>0.37657017416462119</v>
      </c>
      <c r="AG7" s="146">
        <f>'Prudential Ratios'!AH8</f>
        <v>0.41834142059337392</v>
      </c>
      <c r="AH7" s="146">
        <f>'Prudential Ratios'!AI8</f>
        <v>0.42144557696046137</v>
      </c>
      <c r="AI7" s="146">
        <f>'Prudential Ratios'!AJ8</f>
        <v>0.42574297623327201</v>
      </c>
      <c r="AJ7" s="146">
        <f>'Prudential Ratios'!AK8</f>
        <v>0.44084484238067878</v>
      </c>
    </row>
    <row r="8" spans="2:36">
      <c r="B8" s="70" t="s">
        <v>93</v>
      </c>
      <c r="C8" s="71"/>
      <c r="D8" s="71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</row>
    <row r="9" spans="2:36">
      <c r="B9" s="66" t="s">
        <v>94</v>
      </c>
      <c r="C9" s="68" t="s">
        <v>40</v>
      </c>
      <c r="D9" s="276"/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  <c r="Z9" s="147"/>
      <c r="AA9" s="147"/>
      <c r="AB9" s="147"/>
      <c r="AC9" s="147"/>
      <c r="AD9" s="147"/>
      <c r="AE9" s="147"/>
      <c r="AF9" s="147"/>
      <c r="AG9" s="147"/>
    </row>
    <row r="10" spans="2:36">
      <c r="B10" s="70" t="s">
        <v>83</v>
      </c>
      <c r="C10" s="71"/>
      <c r="D10" s="73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  <c r="AA10" s="144"/>
      <c r="AB10" s="144"/>
      <c r="AC10" s="144"/>
      <c r="AD10" s="144"/>
      <c r="AE10" s="144"/>
      <c r="AF10" s="144"/>
      <c r="AG10" s="144"/>
    </row>
    <row r="11" spans="2:36" ht="15">
      <c r="B11" s="66" t="s">
        <v>84</v>
      </c>
      <c r="C11" s="64"/>
      <c r="D11" s="109"/>
      <c r="E11" s="147" t="e">
        <f>'Prudential Ratios'!F55</f>
        <v>#VALUE!</v>
      </c>
      <c r="F11" s="147">
        <f>'Prudential Ratios'!G55</f>
        <v>1.7874321751218071E-3</v>
      </c>
      <c r="G11" s="147">
        <f>'Prudential Ratios'!H55</f>
        <v>3.7483422724817095E-3</v>
      </c>
      <c r="H11" s="147">
        <f>'Prudential Ratios'!I55</f>
        <v>1.1588337228360506E-2</v>
      </c>
      <c r="I11" s="147">
        <f>'Prudential Ratios'!J55</f>
        <v>1.1548673082302903E-2</v>
      </c>
      <c r="J11" s="147">
        <f>'Prudential Ratios'!K55</f>
        <v>1.2149707161345596E-2</v>
      </c>
      <c r="K11" s="147">
        <f>'Prudential Ratios'!L55</f>
        <v>1.2754218708591968E-2</v>
      </c>
      <c r="L11" s="147">
        <f>'Prudential Ratios'!M55</f>
        <v>1.3294605717242306E-2</v>
      </c>
      <c r="M11" s="147">
        <f>'Prudential Ratios'!N55</f>
        <v>1.4123458920801189E-2</v>
      </c>
      <c r="N11" s="147">
        <f>'Prudential Ratios'!O55</f>
        <v>1.5380953756860284E-2</v>
      </c>
      <c r="O11" s="147">
        <f>'Prudential Ratios'!P55</f>
        <v>1.6799948702599415E-2</v>
      </c>
      <c r="P11" s="147">
        <f>'Prudential Ratios'!Q55</f>
        <v>1.7753066002166248E-2</v>
      </c>
      <c r="Q11" s="147">
        <f>'Prudential Ratios'!R55</f>
        <v>1.7559596123071786E-2</v>
      </c>
      <c r="R11" s="147">
        <f>'Prudential Ratios'!S55</f>
        <v>8.1701736188232745E-4</v>
      </c>
      <c r="S11" s="147">
        <f>'Prudential Ratios'!T55</f>
        <v>1.6905125395617606E-3</v>
      </c>
      <c r="T11" s="147">
        <f>'Prudential Ratios'!U55</f>
        <v>3.5444788735515763E-3</v>
      </c>
      <c r="U11" s="147">
        <f>'Prudential Ratios'!V55</f>
        <v>4.8715587896239199E-3</v>
      </c>
      <c r="V11" s="147">
        <f>'Prudential Ratios'!W55</f>
        <v>6.5240226299422624E-3</v>
      </c>
      <c r="W11" s="147">
        <f>'Prudential Ratios'!X55</f>
        <v>1.429640999367191E-2</v>
      </c>
      <c r="X11" s="147">
        <f>'Prudential Ratios'!Y55</f>
        <v>1.4964602926638645E-2</v>
      </c>
      <c r="Y11" s="147">
        <f>'Prudential Ratios'!Z55</f>
        <v>1.5881481962103452E-2</v>
      </c>
      <c r="Z11" s="147">
        <f>'Prudential Ratios'!AA55</f>
        <v>1.6649796634679168E-2</v>
      </c>
      <c r="AA11" s="147">
        <f>'Prudential Ratios'!AB55</f>
        <v>1.7519714750356088E-2</v>
      </c>
      <c r="AB11" s="147">
        <f>'Prudential Ratios'!AC55</f>
        <v>1.9409985480671875E-2</v>
      </c>
      <c r="AC11" s="147">
        <f>'Prudential Ratios'!AD55</f>
        <v>1.9667365339082418E-2</v>
      </c>
      <c r="AD11" s="147">
        <f>'Prudential Ratios'!AE55</f>
        <v>1.8200109828387961E-2</v>
      </c>
      <c r="AE11" s="147">
        <f>'Prudential Ratios'!AF55</f>
        <v>8.9305331096272875E-4</v>
      </c>
      <c r="AF11" s="147">
        <f>'Prudential Ratios'!AG55</f>
        <v>1.460968893355031E-3</v>
      </c>
      <c r="AG11" s="147">
        <f>'Prudential Ratios'!AH55</f>
        <v>2.4416703668865918E-3</v>
      </c>
      <c r="AH11" s="147">
        <f>'Prudential Ratios'!AI55</f>
        <v>3.003922839253226E-3</v>
      </c>
      <c r="AI11" s="147">
        <f>'Prudential Ratios'!AJ55</f>
        <v>4.2080609997923839E-3</v>
      </c>
      <c r="AJ11" s="147">
        <f>'Prudential Ratios'!AK55</f>
        <v>1.4986210757548857E-2</v>
      </c>
    </row>
    <row r="12" spans="2:36" ht="15">
      <c r="B12" s="66" t="s">
        <v>95</v>
      </c>
      <c r="C12" s="64"/>
      <c r="D12" s="109"/>
      <c r="E12" s="147">
        <f>'Prudential Ratios'!F56</f>
        <v>0.79133967951470097</v>
      </c>
      <c r="F12" s="147">
        <f>'Prudential Ratios'!G56</f>
        <v>0.73809657945290796</v>
      </c>
      <c r="G12" s="147">
        <f>'Prudential Ratios'!H56</f>
        <v>0.76385028571108304</v>
      </c>
      <c r="H12" s="147">
        <f>'Prudential Ratios'!I56</f>
        <v>0.56201554222216688</v>
      </c>
      <c r="I12" s="147">
        <f>'Prudential Ratios'!J56</f>
        <v>0.59990835113508145</v>
      </c>
      <c r="J12" s="147">
        <f>'Prudential Ratios'!K56</f>
        <v>0.605668174506097</v>
      </c>
      <c r="K12" s="147">
        <f>'Prudential Ratios'!L56</f>
        <v>0.6109526528688104</v>
      </c>
      <c r="L12" s="147">
        <f>'Prudential Ratios'!M56</f>
        <v>0.620063931129889</v>
      </c>
      <c r="M12" s="147">
        <f>'Prudential Ratios'!N56</f>
        <v>0.62664839204327805</v>
      </c>
      <c r="N12" s="147">
        <f>'Prudential Ratios'!O56</f>
        <v>0.62994935088533843</v>
      </c>
      <c r="O12" s="147">
        <f>'Prudential Ratios'!P56</f>
        <v>0.62981715064053156</v>
      </c>
      <c r="P12" s="147">
        <f>'Prudential Ratios'!Q56</f>
        <v>0.69418638862962534</v>
      </c>
      <c r="Q12" s="147">
        <f>'Prudential Ratios'!R56</f>
        <v>0.6940510902857272</v>
      </c>
      <c r="R12" s="147">
        <f>'Prudential Ratios'!S56</f>
        <v>0.78856246214889392</v>
      </c>
      <c r="S12" s="147">
        <f>'Prudential Ratios'!T56</f>
        <v>0.78446105716197667</v>
      </c>
      <c r="T12" s="147">
        <f>'Prudential Ratios'!U56</f>
        <v>0.73932059684471974</v>
      </c>
      <c r="U12" s="147">
        <f>'Prudential Ratios'!V56</f>
        <v>0.71746296239265339</v>
      </c>
      <c r="V12" s="147">
        <f>'Prudential Ratios'!W56</f>
        <v>0.69527039912336763</v>
      </c>
      <c r="W12" s="147">
        <f>'Prudential Ratios'!X56</f>
        <v>0.58257913858587695</v>
      </c>
      <c r="X12" s="147">
        <f>'Prudential Ratios'!Y56</f>
        <v>0.6063975377788321</v>
      </c>
      <c r="Y12" s="147">
        <f>'Prudential Ratios'!Z56</f>
        <v>0.62722002029728019</v>
      </c>
      <c r="Z12" s="147">
        <f>'Prudential Ratios'!AA56</f>
        <v>0.64796482077925044</v>
      </c>
      <c r="AA12" s="147">
        <f>'Prudential Ratios'!AB56</f>
        <v>0.66327241404213388</v>
      </c>
      <c r="AB12" s="147">
        <f>'Prudential Ratios'!AC56</f>
        <v>0.6610193199658525</v>
      </c>
      <c r="AC12" s="147">
        <f>'Prudential Ratios'!AD56</f>
        <v>0.68486289997273953</v>
      </c>
      <c r="AD12" s="147">
        <f>'Prudential Ratios'!AE56</f>
        <v>0.70757822044237484</v>
      </c>
      <c r="AE12" s="147">
        <f>'Prudential Ratios'!AF56</f>
        <v>0.76883718765874942</v>
      </c>
      <c r="AF12" s="147">
        <f>'Prudential Ratios'!AG56</f>
        <v>0.80023738769569874</v>
      </c>
      <c r="AG12" s="147">
        <f>'Prudential Ratios'!AH56</f>
        <v>0.80099054572425887</v>
      </c>
      <c r="AH12" s="147">
        <f>'Prudential Ratios'!AI56</f>
        <v>0.80158059751398403</v>
      </c>
      <c r="AI12" s="147">
        <f>'Prudential Ratios'!AJ56</f>
        <v>0.78766445326176537</v>
      </c>
      <c r="AJ12" s="147">
        <f>'Prudential Ratios'!AK56</f>
        <v>0.59457624961754829</v>
      </c>
    </row>
    <row r="13" spans="2:36" ht="15">
      <c r="B13" s="66" t="s">
        <v>96</v>
      </c>
      <c r="C13" s="64"/>
      <c r="D13" s="109"/>
      <c r="E13" s="147">
        <f>'Prudential Ratios'!F57</f>
        <v>5.5077290312365379E-3</v>
      </c>
      <c r="F13" s="147">
        <f>'Prudential Ratios'!G57</f>
        <v>1.0870895728513959E-2</v>
      </c>
      <c r="G13" s="147">
        <f>'Prudential Ratios'!H57</f>
        <v>1.6796478648406665E-2</v>
      </c>
      <c r="H13" s="147">
        <f>'Prudential Ratios'!I57</f>
        <v>2.2579559531982096E-2</v>
      </c>
      <c r="I13" s="147">
        <f>'Prudential Ratios'!J57</f>
        <v>2.7443318806218663E-2</v>
      </c>
      <c r="J13" s="147">
        <f>'Prudential Ratios'!K57</f>
        <v>3.1808396003588181E-2</v>
      </c>
      <c r="K13" s="147">
        <f>'Prudential Ratios'!L57</f>
        <v>3.5697670975996708E-2</v>
      </c>
      <c r="L13" s="147">
        <f>'Prudential Ratios'!M57</f>
        <v>4.0267143240631138E-2</v>
      </c>
      <c r="M13" s="147">
        <f>'Prudential Ratios'!N57</f>
        <v>4.5015285530625178E-2</v>
      </c>
      <c r="N13" s="147">
        <f>'Prudential Ratios'!O57</f>
        <v>5.049713813777363E-2</v>
      </c>
      <c r="O13" s="147">
        <f>'Prudential Ratios'!P57</f>
        <v>5.5237783527592378E-2</v>
      </c>
      <c r="P13" s="147">
        <f>'Prudential Ratios'!Q57</f>
        <v>6.1566346880078802E-2</v>
      </c>
      <c r="Q13" s="147">
        <f>'Prudential Ratios'!R57</f>
        <v>6.1604477654525931E-2</v>
      </c>
      <c r="R13" s="147">
        <f>'Prudential Ratios'!S57</f>
        <v>5.3968225280687761E-3</v>
      </c>
      <c r="S13" s="147">
        <f>'Prudential Ratios'!T57</f>
        <v>1.1104770566683726E-2</v>
      </c>
      <c r="T13" s="147">
        <f>'Prudential Ratios'!U57</f>
        <v>1.7409601314863535E-2</v>
      </c>
      <c r="U13" s="147">
        <f>'Prudential Ratios'!V57</f>
        <v>2.2125543768586019E-2</v>
      </c>
      <c r="V13" s="147">
        <f>'Prudential Ratios'!W57</f>
        <v>2.6883868176382338E-2</v>
      </c>
      <c r="W13" s="147">
        <f>'Prudential Ratios'!X57</f>
        <v>3.2126300140897457E-2</v>
      </c>
      <c r="X13" s="147">
        <f>'Prudential Ratios'!Y57</f>
        <v>3.7335699598771192E-2</v>
      </c>
      <c r="Y13" s="147">
        <f>'Prudential Ratios'!Z57</f>
        <v>4.3152850574819247E-2</v>
      </c>
      <c r="Z13" s="147">
        <f>'Prudential Ratios'!AA57</f>
        <v>4.9396073662924644E-2</v>
      </c>
      <c r="AA13" s="147">
        <f>'Prudential Ratios'!AB57</f>
        <v>5.6176304963659614E-2</v>
      </c>
      <c r="AB13" s="147">
        <f>'Prudential Ratios'!AC57</f>
        <v>6.1220670313346499E-2</v>
      </c>
      <c r="AC13" s="147">
        <f>'Prudential Ratios'!AD57</f>
        <v>6.9178117979891901E-2</v>
      </c>
      <c r="AD13" s="147">
        <f>'Prudential Ratios'!AE57</f>
        <v>7.1642523019164406E-2</v>
      </c>
      <c r="AE13" s="147">
        <f>'Prudential Ratios'!AF57</f>
        <v>6.4112063493680736E-3</v>
      </c>
      <c r="AF13" s="147">
        <f>'Prudential Ratios'!AG57</f>
        <v>1.2667106445992567E-2</v>
      </c>
      <c r="AG13" s="147">
        <f>'Prudential Ratios'!AH57</f>
        <v>1.9305461312001664E-2</v>
      </c>
      <c r="AH13" s="147">
        <f>'Prudential Ratios'!AI57</f>
        <v>2.5732662713253841E-2</v>
      </c>
      <c r="AI13" s="147">
        <f>'Prudential Ratios'!AJ57</f>
        <v>3.0229483400386548E-2</v>
      </c>
      <c r="AJ13" s="147">
        <f>'Prudential Ratios'!AK57</f>
        <v>3.5594681260188006E-2</v>
      </c>
    </row>
    <row r="14" spans="2:36">
      <c r="B14" s="70" t="s">
        <v>97</v>
      </c>
      <c r="C14" s="71"/>
      <c r="D14" s="71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</row>
    <row r="15" spans="2:36" ht="15">
      <c r="B15" s="66" t="s">
        <v>98</v>
      </c>
      <c r="C15" s="62">
        <v>0.15</v>
      </c>
      <c r="D15" s="277"/>
      <c r="E15" s="148">
        <f>'SFP-2022'!O4/('SFP-2022'!O30+'SFP-2022'!O29+'SFP-2022'!O37)</f>
        <v>0.10102816386706792</v>
      </c>
      <c r="F15" s="148">
        <f>'SFP-2022'!P4/('SFP-2022'!P30+'SFP-2022'!P29+'SFP-2022'!P37)</f>
        <v>0.10838936281509494</v>
      </c>
      <c r="G15" s="148">
        <f>'SFP-2022'!Q4/('SFP-2022'!Q30+'SFP-2022'!Q29+'SFP-2022'!Q37)</f>
        <v>0.11472779006793263</v>
      </c>
      <c r="H15" s="148">
        <f>'SFP-2022'!R4/('SFP-2022'!R30+'SFP-2022'!R29+'SFP-2022'!R37)</f>
        <v>9.3479761409738474E-2</v>
      </c>
      <c r="I15" s="148">
        <f>'SFP-2022'!S4/('SFP-2022'!S30+'SFP-2022'!S29+'SFP-2022'!S37)</f>
        <v>9.281781927364334E-2</v>
      </c>
      <c r="J15" s="148">
        <f>'SFP-2022'!T4/('SFP-2022'!T30+'SFP-2022'!T29+'SFP-2022'!T37)</f>
        <v>8.4539188200018295E-2</v>
      </c>
      <c r="K15" s="148">
        <f>'SFP-2022'!U4/('SFP-2022'!U30+'SFP-2022'!U29+'SFP-2022'!U37)</f>
        <v>0.12296439155142523</v>
      </c>
      <c r="L15" s="148">
        <f>'SFP-2022'!V4/('SFP-2022'!V30+'SFP-2022'!V29+'SFP-2022'!V37)</f>
        <v>0.13015375988357833</v>
      </c>
      <c r="M15" s="148">
        <f>'SFP-2022'!W4/('SFP-2022'!W30+'SFP-2022'!W29+'SFP-2022'!W37)</f>
        <v>0.11783248592764849</v>
      </c>
      <c r="N15" s="148">
        <f>'SFP-2022'!X4/('SFP-2022'!X30+'SFP-2022'!X29+'SFP-2022'!X37)</f>
        <v>0.1306011226366616</v>
      </c>
      <c r="O15" s="148">
        <f>'SFP-2022'!Y4/('SFP-2022'!Y30+'SFP-2022'!Y29+'SFP-2022'!Y37)</f>
        <v>0.10666840147384932</v>
      </c>
      <c r="P15" s="148">
        <f>'SFP-2022'!Z4/('SFP-2022'!Z30+'SFP-2022'!Z29+'SFP-2022'!Z37)</f>
        <v>8.2986786673176854E-2</v>
      </c>
      <c r="Q15" s="148">
        <f>'SFP-2022'!O4/('SFP-2022'!O29+'SFP-2022'!O30+'SFP-2022'!O37)</f>
        <v>0.10102816386706792</v>
      </c>
      <c r="R15" s="148">
        <f>'SFP-2022'!P4/('SFP-2022'!P29+'SFP-2022'!P30+'SFP-2022'!P37)</f>
        <v>0.10838936281509494</v>
      </c>
      <c r="S15" s="148">
        <f>'SFP-2022'!Q4/('SFP-2022'!Q29+'SFP-2022'!Q30+'SFP-2022'!Q37)</f>
        <v>0.11472779006793263</v>
      </c>
      <c r="T15" s="148">
        <f>'SFP-2022'!R4/('SFP-2022'!R29+'SFP-2022'!R30+'SFP-2022'!R37)</f>
        <v>9.3479761409738474E-2</v>
      </c>
      <c r="U15" s="148">
        <f>'SFP-2022'!S4/('SFP-2022'!S29+'SFP-2022'!S30+'SFP-2022'!S37)</f>
        <v>9.281781927364334E-2</v>
      </c>
      <c r="V15" s="148">
        <f>'SFP-2022'!T4/('SFP-2022'!T29+'SFP-2022'!T30+'SFP-2022'!T37)</f>
        <v>8.4539188200018295E-2</v>
      </c>
      <c r="W15" s="148">
        <f>'SFP-2022'!U4/('SFP-2022'!U29+'SFP-2022'!U30+'SFP-2022'!U37)</f>
        <v>0.12296439155142523</v>
      </c>
      <c r="X15" s="148">
        <f>'SFP-2022'!V4/('SFP-2022'!V29+'SFP-2022'!V30+'SFP-2022'!V37)</f>
        <v>0.13015375988357833</v>
      </c>
      <c r="Y15" s="148">
        <f>'SFP-2022'!W4/('SFP-2022'!W29+'SFP-2022'!W30+'SFP-2022'!W37)</f>
        <v>0.11783248592764849</v>
      </c>
      <c r="Z15" s="148">
        <f>'SFP-2022'!X4/('SFP-2022'!X29+'SFP-2022'!X30+'SFP-2022'!X37)</f>
        <v>0.1306011226366616</v>
      </c>
      <c r="AA15" s="148">
        <f>'SFP-2022'!Y4/('SFP-2022'!Y29+'SFP-2022'!Y30+'SFP-2022'!Y37)</f>
        <v>0.10666840147384932</v>
      </c>
      <c r="AB15" s="148">
        <f>'SFP-2022'!Z4/('SFP-2022'!Z29+'SFP-2022'!Z30+'SFP-2022'!Z37)</f>
        <v>8.2986786673176854E-2</v>
      </c>
      <c r="AC15" s="148">
        <f>'SFP-2022'!AA4/('SFP-2022'!AA29+'SFP-2022'!AA30+'SFP-2022'!AA37)</f>
        <v>9.2179865457874918E-2</v>
      </c>
      <c r="AD15" s="148">
        <f>'SFP-2022'!AB4/('SFP-2022'!AB29+'SFP-2022'!AB30+'SFP-2022'!AB37)</f>
        <v>0.1076921419209764</v>
      </c>
      <c r="AE15" s="148">
        <f>'SFP-2022'!AC4/('SFP-2022'!AC29+'SFP-2022'!AC30+'SFP-2022'!AC37)</f>
        <v>0.11368963343741822</v>
      </c>
      <c r="AF15" s="148">
        <f>'SFP-2022'!AD4/('SFP-2022'!AD29+'SFP-2022'!AD30+'SFP-2022'!AD37)</f>
        <v>0.10317720366096249</v>
      </c>
      <c r="AG15" s="148">
        <f>'SFP-2022'!AE4/('SFP-2022'!AE29+'SFP-2022'!AE30+'SFP-2022'!AE37)</f>
        <v>0.11099628371545879</v>
      </c>
      <c r="AH15" s="148">
        <f>'SFP-2022'!AF4/('SFP-2022'!AF29+'SFP-2022'!AF30+'SFP-2022'!AF37)</f>
        <v>0.11915150423033982</v>
      </c>
      <c r="AI15" s="148">
        <f>'SFP-2022'!AG4/('SFP-2022'!AG29+'SFP-2022'!AG30+'SFP-2022'!AG37)</f>
        <v>8.929227645656003E-2</v>
      </c>
      <c r="AJ15" s="148">
        <f>'SFP-2022'!AH4/('SFP-2022'!AH29+'SFP-2022'!AH30+'SFP-2022'!AH37)</f>
        <v>0.14766321230131446</v>
      </c>
    </row>
    <row r="16" spans="2:36" ht="15">
      <c r="B16" s="66" t="s">
        <v>99</v>
      </c>
      <c r="C16" s="62"/>
      <c r="D16" s="277"/>
      <c r="E16" s="148">
        <f>'Prudential Ratios'!F48</f>
        <v>0.43079736537290869</v>
      </c>
      <c r="F16" s="148">
        <f>'Prudential Ratios'!G48</f>
        <v>0.43344427300248461</v>
      </c>
      <c r="G16" s="148">
        <f>'Prudential Ratios'!H48</f>
        <v>0.42921402972256884</v>
      </c>
      <c r="H16" s="148">
        <f>'Prudential Ratios'!I48</f>
        <v>0.44691534945971867</v>
      </c>
      <c r="I16" s="148">
        <f>'Prudential Ratios'!J48</f>
        <v>0.43069802803181539</v>
      </c>
      <c r="J16" s="148">
        <f>'Prudential Ratios'!K48</f>
        <v>0.42863099619324152</v>
      </c>
      <c r="K16" s="148">
        <f>'Prudential Ratios'!L48</f>
        <v>0.43931959368515255</v>
      </c>
      <c r="L16" s="148">
        <f>'Prudential Ratios'!M48</f>
        <v>0.42665872810007716</v>
      </c>
      <c r="M16" s="148">
        <f>'Prudential Ratios'!N48</f>
        <v>0.41941944471393933</v>
      </c>
      <c r="N16" s="148">
        <f>'Prudential Ratios'!O48</f>
        <v>0.39343238807427422</v>
      </c>
      <c r="O16" s="148">
        <f>'Prudential Ratios'!P48</f>
        <v>0.39604379555158442</v>
      </c>
      <c r="P16" s="148">
        <f>'Prudential Ratios'!Q48</f>
        <v>0.41685754549520393</v>
      </c>
      <c r="Q16" s="148">
        <f>'Prudential Ratios'!R48</f>
        <v>0.41597250225444127</v>
      </c>
      <c r="R16" s="148">
        <f>'Prudential Ratios'!S48</f>
        <v>0.41072880405470175</v>
      </c>
      <c r="S16" s="148">
        <f>'Prudential Ratios'!T48</f>
        <v>0.4091774353951681</v>
      </c>
      <c r="T16" s="148">
        <f>'Prudential Ratios'!U48</f>
        <v>0.39021206587661728</v>
      </c>
      <c r="U16" s="148">
        <f>'Prudential Ratios'!V48</f>
        <v>0.38785311196544214</v>
      </c>
      <c r="V16" s="148">
        <f>'Prudential Ratios'!W48</f>
        <v>0.38734770117515521</v>
      </c>
      <c r="W16" s="148">
        <f>'Prudential Ratios'!X48</f>
        <v>0.41715115989417423</v>
      </c>
      <c r="X16" s="148">
        <f>'Prudential Ratios'!Y48</f>
        <v>0.41939534790841004</v>
      </c>
      <c r="Y16" s="148">
        <f>'Prudential Ratios'!Z48</f>
        <v>0.40927298431053694</v>
      </c>
      <c r="Z16" s="148">
        <f>'Prudential Ratios'!AA48</f>
        <v>0.38647827598989676</v>
      </c>
      <c r="AA16" s="148">
        <f>'Prudential Ratios'!AB48</f>
        <v>0.36626730164336985</v>
      </c>
      <c r="AB16" s="148">
        <f>'Prudential Ratios'!AC48</f>
        <v>0.3437912416148951</v>
      </c>
      <c r="AC16" s="148">
        <f>'Prudential Ratios'!AD48</f>
        <v>0.35294384316226923</v>
      </c>
      <c r="AD16" s="148">
        <f>'Prudential Ratios'!AE48</f>
        <v>7.6893580890649002E-2</v>
      </c>
      <c r="AE16" s="148">
        <f>'Prudential Ratios'!AF48</f>
        <v>0.36568605523179415</v>
      </c>
      <c r="AF16" s="148">
        <f>'Prudential Ratios'!AG48</f>
        <v>0.35606358575255659</v>
      </c>
      <c r="AG16" s="148">
        <f>'Prudential Ratios'!AH48</f>
        <v>0.36822758776845865</v>
      </c>
      <c r="AH16" s="148">
        <f>'Prudential Ratios'!AI48</f>
        <v>0.37331351704754434</v>
      </c>
      <c r="AI16" s="148">
        <f>'Prudential Ratios'!AJ48</f>
        <v>0.34732385917520908</v>
      </c>
      <c r="AJ16" s="148">
        <f>'Prudential Ratios'!AK48</f>
        <v>0.3994723542133285</v>
      </c>
    </row>
    <row r="17" spans="2:36" ht="15">
      <c r="B17" s="66" t="s">
        <v>100</v>
      </c>
      <c r="C17" s="68" t="s">
        <v>57</v>
      </c>
      <c r="D17" s="276"/>
      <c r="E17" s="148">
        <f>'Prudential Ratios'!F27</f>
        <v>0.10365053499099053</v>
      </c>
      <c r="F17" s="148">
        <f>'Prudential Ratios'!G27</f>
        <v>0.10043171836138588</v>
      </c>
      <c r="G17" s="148">
        <f>'Prudential Ratios'!H27</f>
        <v>9.7840712622867698E-2</v>
      </c>
      <c r="H17" s="148">
        <f>'Prudential Ratios'!I27</f>
        <v>9.452170435823587E-2</v>
      </c>
      <c r="I17" s="148">
        <f>'Prudential Ratios'!J27</f>
        <v>9.2719660902756268E-2</v>
      </c>
      <c r="J17" s="148">
        <f>'Prudential Ratios'!K27</f>
        <v>9.0007000773317747E-2</v>
      </c>
      <c r="K17" s="148">
        <f>'Prudential Ratios'!L27</f>
        <v>8.5113282350035957E-2</v>
      </c>
      <c r="L17" s="148">
        <f>'Prudential Ratios'!M27</f>
        <v>8.2289536619815556E-2</v>
      </c>
      <c r="M17" s="148">
        <f>'Prudential Ratios'!N27</f>
        <v>7.9782277442193406E-2</v>
      </c>
      <c r="N17" s="148">
        <f>'Prudential Ratios'!O27</f>
        <v>7.7660316696718718E-2</v>
      </c>
      <c r="O17" s="148">
        <f>'Prudential Ratios'!P27</f>
        <v>7.4841714669920498E-2</v>
      </c>
      <c r="P17" s="148">
        <f>'Prudential Ratios'!Q27</f>
        <v>7.1224923144650787E-2</v>
      </c>
      <c r="Q17" s="148">
        <f>'Prudential Ratios'!R27</f>
        <v>7.126903600710803E-2</v>
      </c>
      <c r="R17" s="148">
        <f>'Prudential Ratios'!S27</f>
        <v>6.8979770081612907E-2</v>
      </c>
      <c r="S17" s="148">
        <f>'Prudential Ratios'!T27</f>
        <v>6.626160287381111E-2</v>
      </c>
      <c r="T17" s="148">
        <f>'Prudential Ratios'!U27</f>
        <v>6.3863075697651983E-2</v>
      </c>
      <c r="U17" s="148">
        <f>'Prudential Ratios'!V27</f>
        <v>6.1308996791956005E-2</v>
      </c>
      <c r="V17" s="148">
        <f>'Prudential Ratios'!W27</f>
        <v>5.9932689880579842E-2</v>
      </c>
      <c r="W17" s="148">
        <f>'Prudential Ratios'!X27</f>
        <v>5.6474625504877113E-2</v>
      </c>
      <c r="X17" s="148">
        <f>'Prudential Ratios'!Y27</f>
        <v>5.3980413485669537E-2</v>
      </c>
      <c r="Y17" s="148">
        <f>'Prudential Ratios'!Z27</f>
        <v>5.1652781857585164E-2</v>
      </c>
      <c r="Z17" s="148">
        <f>'Prudential Ratios'!AA27</f>
        <v>4.9440896692789234E-2</v>
      </c>
      <c r="AA17" s="148">
        <f>'Prudential Ratios'!AB27</f>
        <v>4.7506166766562205E-2</v>
      </c>
      <c r="AB17" s="148">
        <f>'Prudential Ratios'!AC27</f>
        <v>4.5026256861199439E-2</v>
      </c>
      <c r="AC17" s="148">
        <f>'Prudential Ratios'!AD27</f>
        <v>4.2931561985616568E-2</v>
      </c>
      <c r="AD17" s="148">
        <f>'Prudential Ratios'!AE27</f>
        <v>4.3033632046701575E-2</v>
      </c>
      <c r="AE17" s="148">
        <f>'Prudential Ratios'!AF27</f>
        <v>6.9834105124212204E-2</v>
      </c>
      <c r="AF17" s="148">
        <f>'Prudential Ratios'!AG27</f>
        <v>6.6711485582095623E-2</v>
      </c>
      <c r="AG17" s="148">
        <f>'Prudential Ratios'!AH27</f>
        <v>7.3183096000908665E-2</v>
      </c>
      <c r="AH17" s="148">
        <f>'Prudential Ratios'!AI27</f>
        <v>7.9249654497253366E-2</v>
      </c>
      <c r="AI17" s="148">
        <f>'Prudential Ratios'!AJ27</f>
        <v>8.5633208442147835E-2</v>
      </c>
      <c r="AJ17" s="148">
        <f>'Prudential Ratios'!AK27</f>
        <v>8.2110964969839551E-2</v>
      </c>
    </row>
    <row r="18" spans="2:36" ht="15">
      <c r="B18" s="66" t="s">
        <v>101</v>
      </c>
      <c r="C18" s="64"/>
      <c r="D18" s="109"/>
      <c r="E18" s="148">
        <f>'Prudential Ratios'!F58</f>
        <v>0.24831454556670987</v>
      </c>
      <c r="F18" s="148">
        <f>'Prudential Ratios'!G58</f>
        <v>0.24910199641000952</v>
      </c>
      <c r="G18" s="148">
        <f>'Prudential Ratios'!H58</f>
        <v>0.24612317455557309</v>
      </c>
      <c r="H18" s="148">
        <f>'Prudential Ratios'!I58</f>
        <v>0.25524393022072367</v>
      </c>
      <c r="I18" s="148">
        <f>'Prudential Ratios'!J58</f>
        <v>0.24778097481795458</v>
      </c>
      <c r="J18" s="148">
        <f>'Prudential Ratios'!K58</f>
        <v>0.24730720417589558</v>
      </c>
      <c r="K18" s="148">
        <f>'Prudential Ratios'!L58</f>
        <v>0.25898388035681602</v>
      </c>
      <c r="L18" s="148">
        <f>'Prudential Ratios'!M58</f>
        <v>0.25200089607286819</v>
      </c>
      <c r="M18" s="148">
        <f>'Prudential Ratios'!N58</f>
        <v>0.24818344592732383</v>
      </c>
      <c r="N18" s="148">
        <f>'Prudential Ratios'!O58</f>
        <v>0.23201759769785091</v>
      </c>
      <c r="O18" s="148">
        <f>'Prudential Ratios'!P58</f>
        <v>0.23413846039635722</v>
      </c>
      <c r="P18" s="148">
        <f>'Prudential Ratios'!Q58</f>
        <v>0.24246546036704769</v>
      </c>
      <c r="Q18" s="148">
        <f>'Prudential Ratios'!R58</f>
        <v>0.24209307072782729</v>
      </c>
      <c r="R18" s="148">
        <f>'Prudential Ratios'!S58</f>
        <v>0.24199045159956883</v>
      </c>
      <c r="S18" s="148">
        <f>'Prudential Ratios'!T58</f>
        <v>0.24501929974938197</v>
      </c>
      <c r="T18" s="148">
        <f>'Prudential Ratios'!U58</f>
        <v>0.23396294761976641</v>
      </c>
      <c r="U18" s="148">
        <f>'Prudential Ratios'!V58</f>
        <v>0.23296072539629406</v>
      </c>
      <c r="V18" s="148">
        <f>'Prudential Ratios'!W58</f>
        <v>0.23009144780168159</v>
      </c>
      <c r="W18" s="148">
        <f>'Prudential Ratios'!X58</f>
        <v>0.24652230342521941</v>
      </c>
      <c r="X18" s="148">
        <f>'Prudential Ratios'!Y58</f>
        <v>0.24912631158718168</v>
      </c>
      <c r="Y18" s="148">
        <f>'Prudential Ratios'!Z58</f>
        <v>0.24302768872638311</v>
      </c>
      <c r="Z18" s="148">
        <f>'Prudential Ratios'!AA58</f>
        <v>0.22927715007995395</v>
      </c>
      <c r="AA18" s="148">
        <f>'Prudential Ratios'!AB58</f>
        <v>0.21744428843181557</v>
      </c>
      <c r="AB18" s="148">
        <f>'Prudential Ratios'!AC58</f>
        <v>0.20416512005591458</v>
      </c>
      <c r="AC18" s="148">
        <f>'Prudential Ratios'!AD58</f>
        <v>0.21013125485782091</v>
      </c>
      <c r="AD18" s="148">
        <f>'Prudential Ratios'!AE58</f>
        <v>4.5835886903764562E-2</v>
      </c>
      <c r="AE18" s="148">
        <f>'Prudential Ratios'!AF58</f>
        <v>0.21446096305334875</v>
      </c>
      <c r="AF18" s="148">
        <f>'Prudential Ratios'!AG58</f>
        <v>0.2093159244320659</v>
      </c>
      <c r="AG18" s="148">
        <f>'Prudential Ratios'!AH58</f>
        <v>0.20942534306664462</v>
      </c>
      <c r="AH18" s="148">
        <f>'Prudential Ratios'!AI58</f>
        <v>0.21087633070685377</v>
      </c>
      <c r="AI18" s="148">
        <f>'Prudential Ratios'!AJ58</f>
        <v>0.19436616629479625</v>
      </c>
      <c r="AJ18" s="148">
        <f>'Prudential Ratios'!AK58</f>
        <v>0.21991168193634938</v>
      </c>
    </row>
    <row r="19" spans="2:36" ht="15">
      <c r="B19" s="70" t="s">
        <v>102</v>
      </c>
      <c r="C19" s="71"/>
      <c r="D19" s="71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</row>
    <row r="20" spans="2:36" ht="15">
      <c r="B20" s="66" t="s">
        <v>103</v>
      </c>
      <c r="C20" s="68" t="s">
        <v>34</v>
      </c>
      <c r="D20" s="276"/>
      <c r="E20" s="148">
        <f>'Prudential Ratios'!F14</f>
        <v>0.27381193116558145</v>
      </c>
      <c r="F20" s="148">
        <f>'Prudential Ratios'!G14</f>
        <v>0.27168583374897948</v>
      </c>
      <c r="G20" s="148">
        <f>'Prudential Ratios'!H14</f>
        <v>0.27195813186407741</v>
      </c>
      <c r="H20" s="148">
        <f>'Prudential Ratios'!I14</f>
        <v>0.26486551800258035</v>
      </c>
      <c r="I20" s="148">
        <f>'Prudential Ratios'!J14</f>
        <v>0.2700083422518641</v>
      </c>
      <c r="J20" s="148">
        <f>'Prudential Ratios'!K14</f>
        <v>0.26543323878040959</v>
      </c>
      <c r="K20" s="148">
        <f>'Prudential Ratios'!L14</f>
        <v>0.25780747612941202</v>
      </c>
      <c r="L20" s="148">
        <f>'Prudential Ratios'!M14</f>
        <v>0.271918841063227</v>
      </c>
      <c r="M20" s="148">
        <f>'Prudential Ratios'!N14</f>
        <v>0.27114827883594328</v>
      </c>
      <c r="N20" s="148">
        <f>'Prudential Ratios'!O14</f>
        <v>0.2787139521707061</v>
      </c>
      <c r="O20" s="148">
        <f>'Prudential Ratios'!P14</f>
        <v>0.27285091973588604</v>
      </c>
      <c r="P20" s="148">
        <f>'Prudential Ratios'!Q14</f>
        <v>0.26388808561918325</v>
      </c>
      <c r="Q20" s="148">
        <f>'Prudential Ratios'!R14</f>
        <v>0.26395473719265083</v>
      </c>
      <c r="R20" s="148">
        <f>'Prudential Ratios'!S14</f>
        <v>0.26471023051878234</v>
      </c>
      <c r="S20" s="148">
        <f>'Prudential Ratios'!T14</f>
        <v>0.26417605901282576</v>
      </c>
      <c r="T20" s="148">
        <f>'Prudential Ratios'!U14</f>
        <v>0.26360658986244639</v>
      </c>
      <c r="U20" s="148">
        <f>'Prudential Ratios'!V14</f>
        <v>0.26283800431645077</v>
      </c>
      <c r="V20" s="148">
        <f>'Prudential Ratios'!W14</f>
        <v>0.26521002118028936</v>
      </c>
      <c r="W20" s="148">
        <f>'Prudential Ratios'!X14</f>
        <v>0.25994180826058372</v>
      </c>
      <c r="X20" s="148">
        <f>'Prudential Ratios'!Y14</f>
        <v>0.24335847221383228</v>
      </c>
      <c r="Y20" s="148">
        <f>'Prudential Ratios'!Z14</f>
        <v>0.25290530867729605</v>
      </c>
      <c r="Z20" s="148">
        <f>'Prudential Ratios'!AA14</f>
        <v>0.25864978517405363</v>
      </c>
      <c r="AA20" s="148">
        <f>'Prudential Ratios'!AB14</f>
        <v>0.26058529990980522</v>
      </c>
      <c r="AB20" s="148">
        <f>'Prudential Ratios'!AC14</f>
        <v>0.26246597762935209</v>
      </c>
      <c r="AC20" s="148">
        <f>'Prudential Ratios'!AD14</f>
        <v>0.23929864978660115</v>
      </c>
      <c r="AD20" s="148">
        <f>'Prudential Ratios'!AE14</f>
        <v>0.23901465085392445</v>
      </c>
      <c r="AE20" s="148">
        <f>'Prudential Ratios'!AF14</f>
        <v>0.23162226545061299</v>
      </c>
      <c r="AF20" s="148">
        <f>'Prudential Ratios'!AG14</f>
        <v>0.23274422358283475</v>
      </c>
      <c r="AG20" s="148">
        <f>'Prudential Ratios'!AH14</f>
        <v>0.22909691871013299</v>
      </c>
      <c r="AH20" s="148">
        <f>'Prudential Ratios'!AI14</f>
        <v>0.21184971842806083</v>
      </c>
      <c r="AI20" s="148">
        <f>'Prudential Ratios'!AJ14</f>
        <v>0.22956790171614028</v>
      </c>
      <c r="AJ20" s="148">
        <f>'Prudential Ratios'!AK14</f>
        <v>0.22392615239050764</v>
      </c>
    </row>
    <row r="21" spans="2:36" ht="15">
      <c r="B21" s="66" t="s">
        <v>104</v>
      </c>
      <c r="C21" s="68" t="s">
        <v>37</v>
      </c>
      <c r="D21" s="276"/>
      <c r="E21" s="148">
        <f>'Prudential Ratios'!F15</f>
        <v>3.1323489618147113E-2</v>
      </c>
      <c r="F21" s="148">
        <f>'Prudential Ratios'!G15</f>
        <v>3.1069599417515744E-2</v>
      </c>
      <c r="G21" s="148">
        <f>'Prudential Ratios'!H15</f>
        <v>3.093291464199056E-2</v>
      </c>
      <c r="H21" s="148">
        <f>'Prudential Ratios'!I15</f>
        <v>3.1384934152048793E-2</v>
      </c>
      <c r="I21" s="148">
        <f>'Prudential Ratios'!J15</f>
        <v>3.164615589385858E-2</v>
      </c>
      <c r="J21" s="148">
        <f>'Prudential Ratios'!K15</f>
        <v>3.1590010087892556E-2</v>
      </c>
      <c r="K21" s="148">
        <f>'Prudential Ratios'!L15</f>
        <v>3.0722329816973714E-2</v>
      </c>
      <c r="L21" s="148">
        <f>'Prudential Ratios'!M15</f>
        <v>3.0832037170238306E-2</v>
      </c>
      <c r="M21" s="148">
        <f>'Prudential Ratios'!N15</f>
        <v>3.0618476659288026E-2</v>
      </c>
      <c r="N21" s="148">
        <f>'Prudential Ratios'!O15</f>
        <v>3.0675138720301528E-2</v>
      </c>
      <c r="O21" s="148">
        <f>'Prudential Ratios'!P15</f>
        <v>3.0451924888940773E-2</v>
      </c>
      <c r="P21" s="148">
        <f>'Prudential Ratios'!Q15</f>
        <v>2.9965494936576683E-2</v>
      </c>
      <c r="Q21" s="148">
        <f>'Prudential Ratios'!R15</f>
        <v>2.991357021984686E-2</v>
      </c>
      <c r="R21" s="148">
        <f>'Prudential Ratios'!S15</f>
        <v>3.0198490652427339E-2</v>
      </c>
      <c r="S21" s="148">
        <f>'Prudential Ratios'!T15</f>
        <v>3.0525746621227506E-2</v>
      </c>
      <c r="T21" s="148">
        <f>'Prudential Ratios'!U15</f>
        <v>3.0544099843732738E-2</v>
      </c>
      <c r="U21" s="148">
        <f>'Prudential Ratios'!V15</f>
        <v>3.0273316437441695E-2</v>
      </c>
      <c r="V21" s="148">
        <f>'Prudential Ratios'!W15</f>
        <v>3.0649580504613496E-2</v>
      </c>
      <c r="W21" s="148">
        <f>'Prudential Ratios'!X15</f>
        <v>2.997482266809556E-2</v>
      </c>
      <c r="X21" s="148">
        <f>'Prudential Ratios'!Y15</f>
        <v>2.9710799688155674E-2</v>
      </c>
      <c r="Y21" s="148">
        <f>'Prudential Ratios'!Z15</f>
        <v>2.9512462823554558E-2</v>
      </c>
      <c r="Z21" s="148">
        <f>'Prudential Ratios'!AA15</f>
        <v>3.0239772697972685E-2</v>
      </c>
      <c r="AA21" s="148">
        <f>'Prudential Ratios'!AB15</f>
        <v>3.0362889711311986E-2</v>
      </c>
      <c r="AB21" s="148">
        <f>'Prudential Ratios'!AC15</f>
        <v>3.0213086826225068E-2</v>
      </c>
      <c r="AC21" s="148">
        <f>'Prudential Ratios'!AD15</f>
        <v>3.0860112644660365E-2</v>
      </c>
      <c r="AD21" s="148">
        <f>'Prudential Ratios'!AE15</f>
        <v>3.0568591774965879E-2</v>
      </c>
      <c r="AE21" s="148">
        <f>'Prudential Ratios'!AF15</f>
        <v>3.0371482310427252E-2</v>
      </c>
      <c r="AF21" s="148">
        <f>'Prudential Ratios'!AG15</f>
        <v>3.1282541711736361E-2</v>
      </c>
      <c r="AG21" s="148">
        <f>'Prudential Ratios'!AH15</f>
        <v>3.0939560843979551E-2</v>
      </c>
      <c r="AH21" s="148">
        <f>'Prudential Ratios'!AI15</f>
        <v>3.0617189457355046E-2</v>
      </c>
      <c r="AI21" s="148">
        <f>'Prudential Ratios'!AJ15</f>
        <v>3.1040013805833228E-2</v>
      </c>
      <c r="AJ21" s="148">
        <f>'Prudential Ratios'!AK15</f>
        <v>3.1187136363651752E-2</v>
      </c>
    </row>
    <row r="22" spans="2:36" ht="15">
      <c r="B22" s="66" t="s">
        <v>105</v>
      </c>
      <c r="C22" s="68" t="s">
        <v>37</v>
      </c>
      <c r="D22" s="276"/>
      <c r="E22" s="148">
        <f>'Prudential Ratios'!F19</f>
        <v>0.3492600858552693</v>
      </c>
      <c r="F22" s="148">
        <f>'Prudential Ratios'!G19</f>
        <v>0.34485039767666104</v>
      </c>
      <c r="G22" s="148">
        <f>'Prudential Ratios'!H19</f>
        <v>0.34543072894948212</v>
      </c>
      <c r="H22" s="148">
        <f>'Prudential Ratios'!I19</f>
        <v>0.33976310719254071</v>
      </c>
      <c r="I22" s="148">
        <f>'Prudential Ratios'!J19</f>
        <v>0.34148828005005144</v>
      </c>
      <c r="J22" s="148">
        <f>'Prudential Ratios'!K19</f>
        <v>0.34002567847117421</v>
      </c>
      <c r="K22" s="148">
        <f>'Prudential Ratios'!L19</f>
        <v>0.32339044906361786</v>
      </c>
      <c r="L22" s="148">
        <f>'Prudential Ratios'!M19</f>
        <v>0.32157777629686835</v>
      </c>
      <c r="M22" s="148">
        <f>'Prudential Ratios'!N19</f>
        <v>0.32196646713539911</v>
      </c>
      <c r="N22" s="148">
        <f>'Prudential Ratios'!O19</f>
        <v>0.324889520361136</v>
      </c>
      <c r="O22" s="148">
        <f>'Prudential Ratios'!P19</f>
        <v>0.32311065284172308</v>
      </c>
      <c r="P22" s="148">
        <f>'Prudential Ratios'!Q19</f>
        <v>0.35397522667807507</v>
      </c>
      <c r="Q22" s="148">
        <f>'Prudential Ratios'!R19</f>
        <v>0.35738421925016428</v>
      </c>
      <c r="R22" s="148">
        <f>'Prudential Ratios'!S19</f>
        <v>0.33522804454028049</v>
      </c>
      <c r="S22" s="148">
        <f>'Prudential Ratios'!T19</f>
        <v>0.33133151294623175</v>
      </c>
      <c r="T22" s="148">
        <f>'Prudential Ratios'!U19</f>
        <v>0.3300799125238959</v>
      </c>
      <c r="U22" s="148">
        <f>'Prudential Ratios'!V19</f>
        <v>0.3277769009353047</v>
      </c>
      <c r="V22" s="148">
        <f>'Prudential Ratios'!W19</f>
        <v>0.3208847443293153</v>
      </c>
      <c r="W22" s="148">
        <f>'Prudential Ratios'!X19</f>
        <v>0.32230559700190214</v>
      </c>
      <c r="X22" s="148">
        <f>'Prudential Ratios'!Y19</f>
        <v>0.31934469628151096</v>
      </c>
      <c r="Y22" s="148">
        <f>'Prudential Ratios'!Z19</f>
        <v>0.32017337759432429</v>
      </c>
      <c r="Z22" s="148">
        <f>'Prudential Ratios'!AA19</f>
        <v>0.2849017285675477</v>
      </c>
      <c r="AA22" s="148">
        <f>'Prudential Ratios'!AB19</f>
        <v>0.28763169742132461</v>
      </c>
      <c r="AB22" s="148">
        <f>'Prudential Ratios'!AC19</f>
        <v>0.28730970212427709</v>
      </c>
      <c r="AC22" s="148">
        <f>'Prudential Ratios'!AD19</f>
        <v>0.28882908067407637</v>
      </c>
      <c r="AD22" s="148">
        <f>'Prudential Ratios'!AE19</f>
        <v>0.29080371981986775</v>
      </c>
      <c r="AE22" s="148">
        <f>'Prudential Ratios'!AF19</f>
        <v>0.285840151252027</v>
      </c>
      <c r="AF22" s="148">
        <f>'Prudential Ratios'!AG19</f>
        <v>0.28557050699466824</v>
      </c>
      <c r="AG22" s="148">
        <f>'Prudential Ratios'!AH19</f>
        <v>0.29266208840561941</v>
      </c>
      <c r="AH22" s="148">
        <f>'Prudential Ratios'!AI19</f>
        <v>0.29185130311593177</v>
      </c>
      <c r="AI22" s="148">
        <f>'Prudential Ratios'!AJ19</f>
        <v>0.29153038570009904</v>
      </c>
      <c r="AJ22" s="148">
        <f>'Prudential Ratios'!AK19</f>
        <v>0.28311328531424934</v>
      </c>
    </row>
    <row r="23" spans="2:36" ht="15">
      <c r="B23" s="67" t="s">
        <v>106</v>
      </c>
      <c r="C23" s="69" t="s">
        <v>46</v>
      </c>
      <c r="D23" s="278"/>
      <c r="E23" s="149">
        <f>'Prudential Ratios'!F20</f>
        <v>1.3207265266890873</v>
      </c>
      <c r="F23" s="149">
        <f>'Prudential Ratios'!G20</f>
        <v>1.2574906374496442</v>
      </c>
      <c r="G23" s="149">
        <f>'Prudential Ratios'!H20</f>
        <v>1.2226519405299072</v>
      </c>
      <c r="H23" s="149">
        <f>'Prudential Ratios'!I20</f>
        <v>1.158015364722913</v>
      </c>
      <c r="I23" s="149">
        <f>'Prudential Ratios'!J20</f>
        <v>1.1917588483412185</v>
      </c>
      <c r="J23" s="149">
        <f>'Prudential Ratios'!K20</f>
        <v>1.1767920370255356</v>
      </c>
      <c r="K23" s="149">
        <f>'Prudential Ratios'!L20</f>
        <v>1.1640502705930209</v>
      </c>
      <c r="L23" s="149">
        <f>'Prudential Ratios'!M20</f>
        <v>1.1387923796710446</v>
      </c>
      <c r="M23" s="149">
        <f>'Prudential Ratios'!N20</f>
        <v>1.1270627766852008</v>
      </c>
      <c r="N23" s="149">
        <f>'Prudential Ratios'!O20</f>
        <v>1.1055238181128073</v>
      </c>
      <c r="O23" s="149">
        <f>'Prudential Ratios'!P20</f>
        <v>1.0832852384941809</v>
      </c>
      <c r="P23" s="149">
        <f>'Prudential Ratios'!Q20</f>
        <v>1.1541685998515059</v>
      </c>
      <c r="Q23" s="149">
        <f>'Prudential Ratios'!R20</f>
        <v>1.2091981876915336</v>
      </c>
      <c r="R23" s="149">
        <f>'Prudential Ratios'!S20</f>
        <v>1.0832501046779042</v>
      </c>
      <c r="S23" s="149">
        <f>'Prudential Ratios'!T20</f>
        <v>1.1143338168917292</v>
      </c>
      <c r="T23" s="149">
        <f>'Prudential Ratios'!U20</f>
        <v>1.0995988373231944</v>
      </c>
      <c r="U23" s="149">
        <f>'Prudential Ratios'!V20</f>
        <v>1.0803403264121176</v>
      </c>
      <c r="V23" s="149">
        <f>'Prudential Ratios'!W20</f>
        <v>1.0626574623680276</v>
      </c>
      <c r="W23" s="149">
        <f>'Prudential Ratios'!X20</f>
        <v>0.98575092698606337</v>
      </c>
      <c r="X23" s="149">
        <f>'Prudential Ratios'!Y20</f>
        <v>0.98057126042916987</v>
      </c>
      <c r="Y23" s="149">
        <f>'Prudential Ratios'!Z20</f>
        <v>0.96461734381530928</v>
      </c>
      <c r="Z23" s="149">
        <f>'Prudential Ratios'!AA20</f>
        <v>0.84227081816685234</v>
      </c>
      <c r="AA23" s="149">
        <f>'Prudential Ratios'!AB20</f>
        <v>0.7621307929636485</v>
      </c>
      <c r="AB23" s="149">
        <f>'Prudential Ratios'!AC20</f>
        <v>0.74794465209170335</v>
      </c>
      <c r="AC23" s="149">
        <f>'Prudential Ratios'!AD20</f>
        <v>0.75050868350175903</v>
      </c>
      <c r="AD23" s="149">
        <f>'Prudential Ratios'!AE20</f>
        <v>0.78521151365973607</v>
      </c>
      <c r="AE23" s="149">
        <f>'Prudential Ratios'!AF20</f>
        <v>0.76611422319457356</v>
      </c>
      <c r="AF23" s="149">
        <f>'Prudential Ratios'!AG20</f>
        <v>0.75834605761907314</v>
      </c>
      <c r="AG23" s="149">
        <f>'Prudential Ratios'!AH20</f>
        <v>0.69957712528324023</v>
      </c>
      <c r="AH23" s="149">
        <f>'Prudential Ratios'!AI20</f>
        <v>0.69250057200935411</v>
      </c>
      <c r="AI23" s="149">
        <f>'Prudential Ratios'!AJ20</f>
        <v>0.68475677104386201</v>
      </c>
      <c r="AJ23" s="149">
        <f>'Prudential Ratios'!AK20</f>
        <v>0.64220618706881694</v>
      </c>
    </row>
    <row r="24" spans="2:36" ht="15"/>
    <row r="26" spans="2:36" ht="25.9">
      <c r="B26" s="356"/>
      <c r="C26" s="356"/>
      <c r="D26" s="259"/>
    </row>
    <row r="27" spans="2:36">
      <c r="B27" s="136"/>
      <c r="C27" s="137"/>
      <c r="D27" s="137"/>
    </row>
    <row r="28" spans="2:36">
      <c r="B28" s="73"/>
      <c r="C28" s="73"/>
      <c r="D28" s="73"/>
    </row>
    <row r="29" spans="2:36">
      <c r="C29" s="138"/>
      <c r="D29" s="138"/>
    </row>
    <row r="30" spans="2:36">
      <c r="C30" s="138"/>
      <c r="D30" s="138"/>
    </row>
    <row r="31" spans="2:36">
      <c r="C31" s="138"/>
      <c r="D31" s="138"/>
    </row>
    <row r="32" spans="2:36">
      <c r="C32" s="138"/>
      <c r="D32" s="138"/>
    </row>
    <row r="33" spans="2:4">
      <c r="C33" s="138"/>
      <c r="D33" s="138"/>
    </row>
    <row r="34" spans="2:4">
      <c r="B34" s="73"/>
      <c r="C34" s="73"/>
      <c r="D34" s="73"/>
    </row>
    <row r="35" spans="2:4">
      <c r="C35" s="138"/>
      <c r="D35" s="138"/>
    </row>
    <row r="36" spans="2:4">
      <c r="C36" s="138"/>
      <c r="D36" s="138"/>
    </row>
    <row r="37" spans="2:4">
      <c r="B37" s="73"/>
      <c r="C37" s="73"/>
      <c r="D37" s="73"/>
    </row>
    <row r="42" spans="2:4">
      <c r="B42" s="73"/>
      <c r="C42" s="73"/>
      <c r="D42" s="73"/>
    </row>
    <row r="43" spans="2:4">
      <c r="C43" s="139"/>
      <c r="D43" s="139"/>
    </row>
    <row r="44" spans="2:4">
      <c r="C44" s="139"/>
      <c r="D44" s="139"/>
    </row>
    <row r="45" spans="2:4">
      <c r="C45" s="138"/>
      <c r="D45" s="138"/>
    </row>
    <row r="48" spans="2:4">
      <c r="B48" s="73"/>
      <c r="C48" s="73"/>
      <c r="D48" s="73"/>
    </row>
    <row r="49" spans="3:4">
      <c r="C49" s="138"/>
      <c r="D49" s="138"/>
    </row>
    <row r="50" spans="3:4">
      <c r="C50" s="138"/>
      <c r="D50" s="138"/>
    </row>
    <row r="51" spans="3:4">
      <c r="C51" s="138"/>
      <c r="D51" s="138"/>
    </row>
    <row r="52" spans="3:4">
      <c r="C52" s="138"/>
      <c r="D52" s="138"/>
    </row>
    <row r="54" spans="3:4" s="73" customFormat="1"/>
  </sheetData>
  <mergeCells count="1">
    <mergeCell ref="B26:C2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56"/>
  <sheetViews>
    <sheetView tabSelected="1" topLeftCell="C43" workbookViewId="0">
      <selection activeCell="AG56" sqref="AG56:AI56"/>
    </sheetView>
  </sheetViews>
  <sheetFormatPr defaultColWidth="9.140625" defaultRowHeight="12.75" customHeight="1"/>
  <cols>
    <col min="1" max="1" width="5" style="14" bestFit="1" customWidth="1"/>
    <col min="2" max="2" width="23.28515625" style="14" customWidth="1"/>
    <col min="3" max="3" width="26.85546875" style="14" customWidth="1"/>
    <col min="4" max="4" width="16.28515625" style="14" hidden="1" customWidth="1"/>
    <col min="5" max="5" width="16.5703125" style="14" hidden="1" customWidth="1"/>
    <col min="6" max="6" width="16.140625" style="14" hidden="1" customWidth="1"/>
    <col min="7" max="8" width="17.28515625" style="14" hidden="1" customWidth="1"/>
    <col min="9" max="9" width="17.42578125" style="14" hidden="1" customWidth="1"/>
    <col min="10" max="11" width="16.7109375" style="14" hidden="1" customWidth="1"/>
    <col min="12" max="12" width="16" style="14" hidden="1" customWidth="1"/>
    <col min="13" max="13" width="16.5703125" style="14" hidden="1" customWidth="1"/>
    <col min="14" max="14" width="16" style="14" hidden="1" customWidth="1"/>
    <col min="15" max="15" width="16.7109375" style="14" hidden="1" customWidth="1"/>
    <col min="16" max="16" width="16.28515625" style="14" customWidth="1"/>
    <col min="17" max="18" width="16" style="14" hidden="1" customWidth="1"/>
    <col min="19" max="20" width="15.7109375" style="14" hidden="1" customWidth="1"/>
    <col min="21" max="27" width="16.28515625" style="14" hidden="1" customWidth="1"/>
    <col min="28" max="29" width="16.28515625" style="14" bestFit="1" customWidth="1"/>
    <col min="30" max="30" width="16" style="14" bestFit="1" customWidth="1"/>
    <col min="31" max="31" width="15.7109375" style="14" bestFit="1" customWidth="1"/>
    <col min="32" max="35" width="16" style="14" bestFit="1" customWidth="1"/>
    <col min="36" max="16384" width="9.140625" style="14"/>
  </cols>
  <sheetData>
    <row r="1" spans="1:37">
      <c r="B1" s="25" t="s">
        <v>107</v>
      </c>
      <c r="C1" s="25"/>
    </row>
    <row r="2" spans="1:37">
      <c r="A2" s="15"/>
      <c r="B2" s="16"/>
      <c r="C2" s="25"/>
    </row>
    <row r="3" spans="1:37">
      <c r="A3" s="17"/>
      <c r="B3" s="74" t="s">
        <v>108</v>
      </c>
      <c r="C3" s="5" t="s">
        <v>17</v>
      </c>
      <c r="D3" s="5">
        <v>44197</v>
      </c>
      <c r="E3" s="5">
        <v>44228</v>
      </c>
      <c r="F3" s="5">
        <v>44256</v>
      </c>
      <c r="G3" s="5">
        <v>44287</v>
      </c>
      <c r="H3" s="5">
        <v>44317</v>
      </c>
      <c r="I3" s="5">
        <v>44348</v>
      </c>
      <c r="J3" s="5">
        <v>44378</v>
      </c>
      <c r="K3" s="5">
        <v>44409</v>
      </c>
      <c r="L3" s="5">
        <v>44440</v>
      </c>
      <c r="M3" s="5">
        <v>44470</v>
      </c>
      <c r="N3" s="5">
        <v>44501</v>
      </c>
      <c r="O3" s="5">
        <v>44531</v>
      </c>
      <c r="P3" s="5" t="s">
        <v>18</v>
      </c>
      <c r="Q3" s="5">
        <v>44562</v>
      </c>
      <c r="R3" s="5">
        <v>44593</v>
      </c>
      <c r="S3" s="5">
        <v>44621</v>
      </c>
      <c r="T3" s="5">
        <v>44652</v>
      </c>
      <c r="U3" s="5">
        <v>44682</v>
      </c>
      <c r="V3" s="5">
        <v>44713</v>
      </c>
      <c r="W3" s="5">
        <v>44743</v>
      </c>
      <c r="X3" s="5">
        <v>44774</v>
      </c>
      <c r="Y3" s="5">
        <v>44805</v>
      </c>
      <c r="Z3" s="5">
        <v>44835</v>
      </c>
      <c r="AA3" s="5">
        <v>44866</v>
      </c>
      <c r="AB3" s="5">
        <v>44896</v>
      </c>
      <c r="AC3" s="5" t="s">
        <v>19</v>
      </c>
      <c r="AD3" s="5">
        <v>44949</v>
      </c>
      <c r="AE3" s="5">
        <v>44980</v>
      </c>
      <c r="AF3" s="5">
        <v>45008</v>
      </c>
      <c r="AG3" s="5">
        <v>45039</v>
      </c>
      <c r="AH3" s="5">
        <v>45069</v>
      </c>
      <c r="AI3" s="5">
        <v>45100</v>
      </c>
      <c r="AJ3" s="5">
        <v>45130</v>
      </c>
      <c r="AK3" s="5">
        <v>45161</v>
      </c>
    </row>
    <row r="4" spans="1:37">
      <c r="A4" s="18">
        <v>1</v>
      </c>
      <c r="B4" s="39" t="s">
        <v>68</v>
      </c>
    </row>
    <row r="5" spans="1:37">
      <c r="A5" s="18">
        <v>2</v>
      </c>
      <c r="B5" s="39" t="s">
        <v>59</v>
      </c>
      <c r="C5" s="43">
        <f>'SFP-2022'!B27</f>
        <v>4379269975</v>
      </c>
      <c r="D5" s="43">
        <f>'SFP-2022'!C27</f>
        <v>4389750616.4300003</v>
      </c>
      <c r="E5" s="43">
        <f>'SFP-2022'!D27</f>
        <v>4422573603.0100002</v>
      </c>
      <c r="F5" s="43">
        <f>'SFP-2022'!E27</f>
        <v>4428967467.3600006</v>
      </c>
      <c r="G5" s="43">
        <f>'SFP-2022'!F27</f>
        <v>4469872847.9200001</v>
      </c>
      <c r="H5" s="43">
        <f>'SFP-2022'!G27</f>
        <v>4439906946.3999996</v>
      </c>
      <c r="I5" s="43">
        <f>'SFP-2022'!H27</f>
        <v>4453357291.3900003</v>
      </c>
      <c r="J5" s="43">
        <f>'SFP-2022'!I27</f>
        <v>4582128535.7799997</v>
      </c>
      <c r="K5" s="43">
        <f>'SFP-2022'!J27</f>
        <v>4607714201.1599998</v>
      </c>
      <c r="L5" s="43">
        <f>'SFP-2022'!K27</f>
        <v>4616731246.0699997</v>
      </c>
      <c r="M5" s="43">
        <f>'SFP-2022'!L27</f>
        <v>4603380658.4400005</v>
      </c>
      <c r="N5" s="43">
        <f>'SFP-2022'!M27</f>
        <v>4631997917.1900005</v>
      </c>
      <c r="O5" s="43">
        <f>'SFP-2022'!N27</f>
        <v>4715109800.0900002</v>
      </c>
      <c r="P5" s="43">
        <f>'SFP-2022'!O27</f>
        <v>4712191322</v>
      </c>
      <c r="Q5" s="43">
        <f>'SFP-2022'!P27</f>
        <v>4711526283.7999992</v>
      </c>
      <c r="R5" s="43">
        <f>'SFP-2022'!Q27</f>
        <v>4741307979.6499996</v>
      </c>
      <c r="S5" s="43">
        <f>'SFP-2022'!R27</f>
        <v>4749745135.1399994</v>
      </c>
      <c r="T5" s="43">
        <f>'SFP-2022'!S27</f>
        <v>4770914793.5099993</v>
      </c>
      <c r="U5" s="43">
        <f>'SFP-2022'!T27</f>
        <v>4699716748.7599993</v>
      </c>
      <c r="V5" s="43">
        <f>'SFP-2022'!U27</f>
        <v>4795664082.21</v>
      </c>
      <c r="W5" s="43">
        <f>'SFP-2022'!V27</f>
        <v>4816561840.8799992</v>
      </c>
      <c r="X5" s="43">
        <f>'SFP-2022'!W27</f>
        <v>4823877000.4099998</v>
      </c>
      <c r="Y5" s="43">
        <f>'SFP-2022'!X27</f>
        <v>4820570600.7099991</v>
      </c>
      <c r="Z5" s="43">
        <f>'SFP-2022'!Y27</f>
        <v>4788851957.8499994</v>
      </c>
      <c r="AA5" s="43">
        <f>'SFP-2022'!Z27</f>
        <v>4812007070.8499994</v>
      </c>
      <c r="AB5" s="43">
        <f>'SFP-2022'!AA27</f>
        <v>4794452461.7799997</v>
      </c>
      <c r="AC5" s="43">
        <f>'SFP-2022'!AB27</f>
        <v>4783080656</v>
      </c>
      <c r="AD5" s="43">
        <f>'SFP-2022'!AC27</f>
        <v>4940279525.2599993</v>
      </c>
      <c r="AE5" s="43">
        <f>'SFP-2022'!AD27</f>
        <v>4945461201.1900005</v>
      </c>
      <c r="AF5" s="43">
        <f>'SFP-2022'!AE27</f>
        <v>5009158539.5</v>
      </c>
      <c r="AG5" s="43">
        <f>'SFP-2022'!AF27</f>
        <v>5067349918.7800007</v>
      </c>
      <c r="AH5" s="43">
        <f>'SFP-2022'!AG27</f>
        <v>5118730700.4400005</v>
      </c>
      <c r="AI5" s="43">
        <f>'SFP-2022'!AH27</f>
        <v>5145476001.3500004</v>
      </c>
    </row>
    <row r="6" spans="1:37">
      <c r="A6" s="18">
        <v>3</v>
      </c>
      <c r="B6" s="39" t="s">
        <v>60</v>
      </c>
      <c r="C6" s="43">
        <f>'SFP-2022'!B31</f>
        <v>2401022868</v>
      </c>
      <c r="D6" s="43">
        <f>'SFP-2022'!C31</f>
        <v>2411636955.73</v>
      </c>
      <c r="E6" s="43">
        <f>'SFP-2022'!D31</f>
        <v>2443200430.9299998</v>
      </c>
      <c r="F6" s="43">
        <f>'SFP-2022'!E31</f>
        <v>2439493613.5900002</v>
      </c>
      <c r="G6" s="43">
        <f>'SFP-2022'!F31</f>
        <v>2480564774.0099998</v>
      </c>
      <c r="H6" s="43">
        <f>'SFP-2022'!G31</f>
        <v>2468179567.0599999</v>
      </c>
      <c r="I6" s="43">
        <f>'SFP-2022'!H31</f>
        <v>2479204979.46</v>
      </c>
      <c r="J6" s="43">
        <f>'SFP-2022'!I31</f>
        <v>2606735473.02</v>
      </c>
      <c r="K6" s="43">
        <f>'SFP-2022'!J31</f>
        <v>2621719532.1100001</v>
      </c>
      <c r="L6" s="43">
        <f>'SFP-2022'!K31</f>
        <v>2624766314.1100001</v>
      </c>
      <c r="M6" s="43">
        <f>'SFP-2022'!L31</f>
        <v>2601151112.1399999</v>
      </c>
      <c r="N6" s="43">
        <f>'SFP-2022'!M31</f>
        <v>2615767164.52</v>
      </c>
      <c r="O6" s="43">
        <f>'SFP-2022'!N31</f>
        <v>2596353521.5299997</v>
      </c>
      <c r="P6" s="43">
        <f>'SFP-2022'!O31</f>
        <v>2596353521</v>
      </c>
      <c r="Q6" s="43">
        <f>'SFP-2022'!P31</f>
        <v>2620288178.1999998</v>
      </c>
      <c r="R6" s="43">
        <f>'SFP-2022'!Q31</f>
        <v>2651103344.5</v>
      </c>
      <c r="S6" s="43">
        <f>'SFP-2022'!R31</f>
        <v>2661155825.5500002</v>
      </c>
      <c r="T6" s="43">
        <f>'SFP-2022'!S31</f>
        <v>2679853521.1100001</v>
      </c>
      <c r="U6" s="43">
        <f>'SFP-2022'!T31</f>
        <v>2737413035.7799997</v>
      </c>
      <c r="V6" s="43">
        <f>'SFP-2022'!U31</f>
        <v>2725131850.8899999</v>
      </c>
      <c r="W6" s="43">
        <f>'SFP-2022'!V31</f>
        <v>2750398733.21</v>
      </c>
      <c r="X6" s="43">
        <f>'SFP-2022'!W31</f>
        <v>2743280077.5300002</v>
      </c>
      <c r="Y6" s="43">
        <f>'SFP-2022'!X31</f>
        <v>2727871298</v>
      </c>
      <c r="Z6" s="43">
        <f>'SFP-2022'!Y31</f>
        <v>2701980536.4900002</v>
      </c>
      <c r="AA6" s="43">
        <f>'SFP-2022'!Z31</f>
        <v>2705008714.8599997</v>
      </c>
      <c r="AB6" s="43">
        <f>'SFP-2022'!AA31</f>
        <v>2690893525.3200002</v>
      </c>
      <c r="AC6" s="43">
        <f>'SFP-2022'!AB31</f>
        <v>2690893526</v>
      </c>
      <c r="AD6" s="43">
        <f>'SFP-2022'!AC31</f>
        <v>2696160399.9099998</v>
      </c>
      <c r="AE6" s="43">
        <f>'SFP-2022'!AD31</f>
        <v>2698706195.6100001</v>
      </c>
      <c r="AF6" s="43">
        <f>'SFP-2022'!AE31</f>
        <v>2633313049.5599999</v>
      </c>
      <c r="AG6" s="43">
        <f>'SFP-2022'!AF31</f>
        <v>2636847111.4699998</v>
      </c>
      <c r="AH6" s="43">
        <f>'SFP-2022'!AG31</f>
        <v>2639749759.71</v>
      </c>
      <c r="AI6" s="43">
        <f>'SFP-2022'!AH31</f>
        <v>2718230847.9300003</v>
      </c>
    </row>
    <row r="7" spans="1:37">
      <c r="A7" s="18">
        <v>3.1</v>
      </c>
      <c r="B7" s="75" t="s">
        <v>109</v>
      </c>
      <c r="C7" s="43">
        <f>'SFP-2022'!B31</f>
        <v>2401022868</v>
      </c>
      <c r="D7" s="43">
        <f>'SFP-2022'!C31</f>
        <v>2411636955.73</v>
      </c>
      <c r="E7" s="43">
        <f>'SFP-2022'!D31</f>
        <v>2443200430.9299998</v>
      </c>
      <c r="F7" s="43">
        <f>'SFP-2022'!E31</f>
        <v>2439493613.5900002</v>
      </c>
      <c r="G7" s="43">
        <f>'SFP-2022'!F31</f>
        <v>2480564774.0099998</v>
      </c>
      <c r="H7" s="43">
        <f>'SFP-2022'!G31</f>
        <v>2468179567.0599999</v>
      </c>
      <c r="I7" s="43">
        <f>'SFP-2022'!H31</f>
        <v>2479204979.46</v>
      </c>
      <c r="J7" s="43">
        <f>'SFP-2022'!I31</f>
        <v>2606735473.02</v>
      </c>
      <c r="K7" s="43">
        <f>'SFP-2022'!J31</f>
        <v>2621719532.1100001</v>
      </c>
      <c r="L7" s="43">
        <f>'SFP-2022'!K31</f>
        <v>2624766314.1100001</v>
      </c>
      <c r="M7" s="43">
        <f>'SFP-2022'!L31</f>
        <v>2601151112.1399999</v>
      </c>
      <c r="N7" s="43">
        <f>'SFP-2022'!M31</f>
        <v>2615767164.52</v>
      </c>
      <c r="O7" s="43">
        <f>'SFP-2022'!N31</f>
        <v>2596353521.5299997</v>
      </c>
      <c r="P7" s="43">
        <f>'SFP-2022'!O31</f>
        <v>2596353521</v>
      </c>
      <c r="Q7" s="43">
        <f>'SFP-2022'!P31</f>
        <v>2620288178.1999998</v>
      </c>
      <c r="R7" s="43">
        <f>'SFP-2022'!Q31</f>
        <v>2651103344.5</v>
      </c>
      <c r="S7" s="43">
        <f>'SFP-2022'!R31</f>
        <v>2661155825.5500002</v>
      </c>
      <c r="T7" s="43">
        <f>'SFP-2022'!S31</f>
        <v>2679853521.1100001</v>
      </c>
      <c r="U7" s="43">
        <f>'SFP-2022'!T31</f>
        <v>2737413035.7799997</v>
      </c>
      <c r="V7" s="43">
        <f>'SFP-2022'!U31</f>
        <v>2725131850.8899999</v>
      </c>
      <c r="W7" s="43">
        <f>'SFP-2022'!V31</f>
        <v>2750398733.21</v>
      </c>
      <c r="X7" s="43">
        <f>'SFP-2022'!W31</f>
        <v>2743280077.5300002</v>
      </c>
      <c r="Y7" s="43">
        <f>'SFP-2022'!X31</f>
        <v>2727871298</v>
      </c>
      <c r="Z7" s="43">
        <f>'SFP-2022'!Y31</f>
        <v>2701980536.4900002</v>
      </c>
      <c r="AA7" s="43">
        <f>'SFP-2022'!Z31</f>
        <v>2705008714.8599997</v>
      </c>
      <c r="AB7" s="43">
        <f>'SFP-2022'!AA31</f>
        <v>2690893525.3200002</v>
      </c>
      <c r="AC7" s="43">
        <f>'SFP-2022'!AB31</f>
        <v>2690893526</v>
      </c>
      <c r="AD7" s="43">
        <f>'SFP-2022'!AC31</f>
        <v>2696160399.9099998</v>
      </c>
      <c r="AE7" s="43">
        <f>'SFP-2022'!AD31</f>
        <v>2698706195.6100001</v>
      </c>
      <c r="AF7" s="43">
        <f>'SFP-2022'!AE31</f>
        <v>2633313049.5599999</v>
      </c>
      <c r="AG7" s="43">
        <f>'SFP-2022'!AF31</f>
        <v>2636847111.4699998</v>
      </c>
      <c r="AH7" s="43">
        <f>'SFP-2022'!AG31</f>
        <v>2639749759.71</v>
      </c>
      <c r="AI7" s="43">
        <f>'SFP-2022'!AH31</f>
        <v>2718230847.9300003</v>
      </c>
    </row>
    <row r="8" spans="1:37">
      <c r="A8" s="18">
        <v>3.2</v>
      </c>
      <c r="B8" s="75" t="s">
        <v>110</v>
      </c>
      <c r="C8" s="43">
        <f>'SFP-2022'!B28</f>
        <v>550189731</v>
      </c>
      <c r="D8" s="43">
        <f>'SFP-2022'!C28</f>
        <v>326214512.49000001</v>
      </c>
      <c r="E8" s="43">
        <f>'SFP-2022'!D28</f>
        <v>341357874.39999998</v>
      </c>
      <c r="F8" s="43">
        <f>'SFP-2022'!E28</f>
        <v>324573521.19999999</v>
      </c>
      <c r="G8" s="43">
        <f>'SFP-2022'!F28</f>
        <v>357716061.68000001</v>
      </c>
      <c r="H8" s="43">
        <f>'SFP-2022'!G28</f>
        <v>330577351.81</v>
      </c>
      <c r="I8" s="43">
        <f>'SFP-2022'!H28</f>
        <v>320280381.52999997</v>
      </c>
      <c r="J8" s="43">
        <f>'SFP-2022'!I28</f>
        <v>420187718.93000001</v>
      </c>
      <c r="K8" s="43">
        <f>'SFP-2022'!J28</f>
        <v>401580899.43000001</v>
      </c>
      <c r="L8" s="43">
        <f>'SFP-2022'!K28</f>
        <v>392134868.38</v>
      </c>
      <c r="M8" s="43">
        <f>'SFP-2022'!L28</f>
        <v>374257657.77999997</v>
      </c>
      <c r="N8" s="43">
        <f>'SFP-2022'!M28</f>
        <v>390942846.38</v>
      </c>
      <c r="O8" s="43">
        <f>'SFP-2022'!N28</f>
        <v>352090965.81999999</v>
      </c>
      <c r="P8" s="43">
        <f>'SFP-2022'!O28</f>
        <v>635197433</v>
      </c>
      <c r="Q8" s="43">
        <f>'SFP-2022'!P28</f>
        <v>360797839.37</v>
      </c>
      <c r="R8" s="43">
        <f>'SFP-2022'!Q28</f>
        <v>369462576.06</v>
      </c>
      <c r="S8" s="43">
        <f>'SFP-2022'!R28</f>
        <v>356430425.33999997</v>
      </c>
      <c r="T8" s="43">
        <f>'SFP-2022'!S28</f>
        <v>354645349.48000002</v>
      </c>
      <c r="U8" s="43">
        <f>'SFP-2022'!T28</f>
        <v>390320663.31</v>
      </c>
      <c r="V8" s="43">
        <f>'SFP-2022'!U28</f>
        <v>362271580.37</v>
      </c>
      <c r="W8" s="43">
        <f>'SFP-2022'!V28</f>
        <v>389893888.11000001</v>
      </c>
      <c r="X8" s="43">
        <f>'SFP-2022'!W28</f>
        <v>369054438.20999998</v>
      </c>
      <c r="Y8" s="43">
        <f>'SFP-2022'!X28</f>
        <v>347557191.43000001</v>
      </c>
      <c r="Z8" s="43">
        <f>'SFP-2022'!Y28</f>
        <v>366600769.54000002</v>
      </c>
      <c r="AA8" s="43">
        <f>'SFP-2022'!Z28</f>
        <v>383945996.5</v>
      </c>
      <c r="AB8" s="43">
        <f>'SFP-2022'!AA28</f>
        <v>356333209.11000001</v>
      </c>
      <c r="AC8" s="43">
        <f>'SFP-2022'!AB28</f>
        <v>675344114</v>
      </c>
      <c r="AD8" s="43">
        <f>'SFP-2022'!AC28</f>
        <v>356583812.72000003</v>
      </c>
      <c r="AE8" s="43">
        <f>'SFP-2022'!AD28</f>
        <v>343555601.22000003</v>
      </c>
      <c r="AF8" s="43">
        <f>'SFP-2022'!AE28</f>
        <v>340720823.19</v>
      </c>
      <c r="AG8" s="43">
        <f>'SFP-2022'!AF28</f>
        <v>352680335.25</v>
      </c>
      <c r="AH8" s="43">
        <f>'SFP-2022'!AG28</f>
        <v>340638198.97000003</v>
      </c>
      <c r="AI8" s="43">
        <f>'SFP-2022'!AH28</f>
        <v>380570139.95999998</v>
      </c>
    </row>
    <row r="9" spans="1:37">
      <c r="A9" s="18">
        <v>4</v>
      </c>
      <c r="B9" s="39" t="s">
        <v>111</v>
      </c>
      <c r="C9" s="44">
        <f>'SFP-2022'!B38</f>
        <v>465833333</v>
      </c>
      <c r="D9" s="44">
        <f>'SFP-2022'!C38</f>
        <v>454999999.87</v>
      </c>
      <c r="E9" s="44">
        <f>'SFP-2022'!D38</f>
        <v>444166666.52999997</v>
      </c>
      <c r="F9" s="44">
        <f>'SFP-2022'!E38</f>
        <v>433333333.19</v>
      </c>
      <c r="G9" s="44">
        <f>'SFP-2022'!F38</f>
        <v>422499999.85000002</v>
      </c>
      <c r="H9" s="44">
        <f>'SFP-2022'!G38</f>
        <v>411666666.50999999</v>
      </c>
      <c r="I9" s="44">
        <f>'SFP-2022'!H38</f>
        <v>400833333.17000002</v>
      </c>
      <c r="J9" s="44">
        <f>'SFP-2022'!I38</f>
        <v>389999999.82999998</v>
      </c>
      <c r="K9" s="44">
        <f>'SFP-2022'!J38</f>
        <v>379166666.49000001</v>
      </c>
      <c r="L9" s="44">
        <f>'SFP-2022'!K38</f>
        <v>368333333.14999998</v>
      </c>
      <c r="M9" s="44">
        <f>'SFP-2022'!L38</f>
        <v>357499999.81</v>
      </c>
      <c r="N9" s="44">
        <f>'SFP-2022'!M38</f>
        <v>346666666.47000003</v>
      </c>
      <c r="O9" s="44">
        <f>'SFP-2022'!N38</f>
        <v>335833333.13</v>
      </c>
      <c r="P9" s="44">
        <f>'SFP-2022'!O38</f>
        <v>335833333</v>
      </c>
      <c r="Q9" s="44">
        <f>'SFP-2022'!P38</f>
        <v>324999999.79000002</v>
      </c>
      <c r="R9" s="44">
        <f>'SFP-2022'!Q38</f>
        <v>314166666.44999999</v>
      </c>
      <c r="S9" s="44">
        <f>'SFP-2022'!R38</f>
        <v>303333333.11000001</v>
      </c>
      <c r="T9" s="44">
        <f>'SFP-2022'!S38</f>
        <v>292499999.76999998</v>
      </c>
      <c r="U9" s="44">
        <f>'SFP-2022'!T38</f>
        <v>281666666.43000001</v>
      </c>
      <c r="V9" s="44">
        <f>'SFP-2022'!U38</f>
        <v>270833333.08999997</v>
      </c>
      <c r="W9" s="44">
        <f>'SFP-2022'!V38</f>
        <v>259999999.75</v>
      </c>
      <c r="X9" s="44">
        <f>'SFP-2022'!W38</f>
        <v>249166666.41</v>
      </c>
      <c r="Y9" s="44">
        <f>'SFP-2022'!X38</f>
        <v>238333333.06999999</v>
      </c>
      <c r="Z9" s="44">
        <f>'SFP-2022'!Y38</f>
        <v>227499999.72999999</v>
      </c>
      <c r="AA9" s="44">
        <f>'SFP-2022'!Z38</f>
        <v>216666666.38999999</v>
      </c>
      <c r="AB9" s="44">
        <f>'SFP-2022'!AA38</f>
        <v>205833333.05000001</v>
      </c>
      <c r="AC9" s="44">
        <f>'SFP-2022'!AB38</f>
        <v>205833333</v>
      </c>
      <c r="AD9" s="44">
        <f>'SFP-2022'!AC38</f>
        <v>344999999.70999998</v>
      </c>
      <c r="AE9" s="44">
        <f>'SFP-2022'!AD38</f>
        <v>329919063.62</v>
      </c>
      <c r="AF9" s="44">
        <f>'SFP-2022'!AE38</f>
        <v>366585730.27999997</v>
      </c>
      <c r="AG9" s="44">
        <f>'SFP-2022'!AF38</f>
        <v>401585730.27999997</v>
      </c>
      <c r="AH9" s="44">
        <f>'SFP-2022'!AG38</f>
        <v>438333333.02999997</v>
      </c>
      <c r="AI9" s="44">
        <f>'SFP-2022'!AH38</f>
        <v>422499999.69999999</v>
      </c>
    </row>
    <row r="10" spans="1:37">
      <c r="A10" s="31">
        <v>4.0999999999999996</v>
      </c>
      <c r="B10" s="41" t="s">
        <v>112</v>
      </c>
      <c r="C10" s="54">
        <f>'SFP-2022'!B33+'SFP-2022'!B34+'SFP-2022'!B35+'SFP-2022'!B36+'SFP-2022'!B37</f>
        <v>93989880</v>
      </c>
      <c r="D10" s="54">
        <f>'SFP-2022'!C33+'SFP-2022'!C34+'SFP-2022'!C35+'SFP-2022'!C36+'SFP-2022'!C37</f>
        <v>118645300.12</v>
      </c>
      <c r="E10" s="54">
        <f>'SFP-2022'!D33+'SFP-2022'!D34+'SFP-2022'!D35+'SFP-2022'!D36+'SFP-2022'!D37</f>
        <v>98468665.650000006</v>
      </c>
      <c r="F10" s="54">
        <f>'SFP-2022'!E33+'SFP-2022'!E34+'SFP-2022'!E35+'SFP-2022'!E36+'SFP-2022'!E37</f>
        <v>100198608.90000001</v>
      </c>
      <c r="G10" s="54">
        <f>'SFP-2022'!F33+'SFP-2022'!F34+'SFP-2022'!F35+'SFP-2022'!F36+'SFP-2022'!F37</f>
        <v>72285367.900000006</v>
      </c>
      <c r="H10" s="54">
        <f>'SFP-2022'!G33+'SFP-2022'!G34+'SFP-2022'!G35+'SFP-2022'!G36+'SFP-2022'!G37</f>
        <v>86103015.350000009</v>
      </c>
      <c r="I10" s="54">
        <f>'SFP-2022'!H33+'SFP-2022'!H34+'SFP-2022'!H35+'SFP-2022'!H36+'SFP-2022'!H37</f>
        <v>90248351.519999996</v>
      </c>
      <c r="J10" s="54">
        <f>'SFP-2022'!I33+'SFP-2022'!I34+'SFP-2022'!I35+'SFP-2022'!I36+'SFP-2022'!I37</f>
        <v>94481239.25</v>
      </c>
      <c r="K10" s="54">
        <f>'SFP-2022'!J33+'SFP-2022'!J34+'SFP-2022'!J35+'SFP-2022'!J36+'SFP-2022'!J37</f>
        <v>99771981.049999997</v>
      </c>
      <c r="L10" s="54">
        <f>'SFP-2022'!K33+'SFP-2022'!K34+'SFP-2022'!K35+'SFP-2022'!K36+'SFP-2022'!K37</f>
        <v>107096225.91</v>
      </c>
      <c r="M10" s="54">
        <f>'SFP-2022'!L33+'SFP-2022'!L34+'SFP-2022'!L35+'SFP-2022'!L36+'SFP-2022'!L37</f>
        <v>113585533.94</v>
      </c>
      <c r="N10" s="54">
        <f>'SFP-2022'!M33+'SFP-2022'!M34+'SFP-2022'!M35+'SFP-2022'!M36+'SFP-2022'!M37</f>
        <v>122639226.57000001</v>
      </c>
      <c r="O10" s="54">
        <f>'SFP-2022'!N33+'SFP-2022'!N34+'SFP-2022'!N35+'SFP-2022'!N36+'SFP-2022'!N37</f>
        <v>146193136.71000001</v>
      </c>
      <c r="P10" s="54">
        <f>'SFP-2022'!O33+'SFP-2022'!O34+'SFP-2022'!O35+'SFP-2022'!O36+'SFP-2022'!O37</f>
        <v>146108687</v>
      </c>
      <c r="Q10" s="54">
        <f>'SFP-2022'!P33+'SFP-2022'!P34+'SFP-2022'!P35+'SFP-2022'!P36+'SFP-2022'!P37</f>
        <v>155617387.43000001</v>
      </c>
      <c r="R10" s="54">
        <f>'SFP-2022'!Q33+'SFP-2022'!Q34+'SFP-2022'!Q35+'SFP-2022'!Q36+'SFP-2022'!Q37</f>
        <v>188036501.88</v>
      </c>
      <c r="S10" s="54">
        <f>'SFP-2022'!R33+'SFP-2022'!R34+'SFP-2022'!R35+'SFP-2022'!R36+'SFP-2022'!R37</f>
        <v>186691459.13999999</v>
      </c>
      <c r="T10" s="54">
        <f>'SFP-2022'!S33+'SFP-2022'!S34+'SFP-2022'!S35+'SFP-2022'!S36+'SFP-2022'!S37</f>
        <v>185756517.36000001</v>
      </c>
      <c r="U10" s="54">
        <f>'SFP-2022'!T33+'SFP-2022'!T34+'SFP-2022'!T35+'SFP-2022'!T36+'SFP-2022'!T37</f>
        <v>54302592.579999998</v>
      </c>
      <c r="V10" s="54">
        <f>'SFP-2022'!U33+'SFP-2022'!U34+'SFP-2022'!U35+'SFP-2022'!U36+'SFP-2022'!U37</f>
        <v>108944305.82000001</v>
      </c>
      <c r="W10" s="54">
        <f>'SFP-2022'!V33+'SFP-2022'!V34+'SFP-2022'!V35+'SFP-2022'!V36+'SFP-2022'!V37</f>
        <v>110701877.31</v>
      </c>
      <c r="X10" s="54">
        <f>'SFP-2022'!W33+'SFP-2022'!W34+'SFP-2022'!W35+'SFP-2022'!W36+'SFP-2022'!W37</f>
        <v>121154476.06</v>
      </c>
      <c r="Y10" s="54">
        <f>'SFP-2022'!X33+'SFP-2022'!X34+'SFP-2022'!X35+'SFP-2022'!X36+'SFP-2022'!X37</f>
        <v>131918650.76000001</v>
      </c>
      <c r="Z10" s="54">
        <f>'SFP-2022'!Y33+'SFP-2022'!Y34+'SFP-2022'!Y35+'SFP-2022'!Y36+'SFP-2022'!Y37</f>
        <v>141048316.22999999</v>
      </c>
      <c r="AA10" s="54">
        <f>'SFP-2022'!Z33+'SFP-2022'!Z34+'SFP-2022'!Z35+'SFP-2022'!Z36+'SFP-2022'!Z37</f>
        <v>152667346.67999998</v>
      </c>
      <c r="AB10" s="54">
        <f>'SFP-2022'!AA33+'SFP-2022'!AA34+'SFP-2022'!AA35+'SFP-2022'!AA36+'SFP-2022'!AA37</f>
        <v>163567125.19999999</v>
      </c>
      <c r="AC10" s="54">
        <f>'SFP-2022'!AB33+'SFP-2022'!AB34+'SFP-2022'!AB35+'SFP-2022'!AB36+'SFP-2022'!AB37</f>
        <v>160277423</v>
      </c>
      <c r="AD10" s="54">
        <f>'SFP-2022'!AC33+'SFP-2022'!AC34+'SFP-2022'!AC35+'SFP-2022'!AC36+'SFP-2022'!AC37</f>
        <v>201125645.26999998</v>
      </c>
      <c r="AE10" s="54">
        <f>'SFP-2022'!AD33+'SFP-2022'!AD34+'SFP-2022'!AD35+'SFP-2022'!AD36+'SFP-2022'!AD37</f>
        <v>208537972.25999999</v>
      </c>
      <c r="AF10" s="54">
        <f>'SFP-2022'!AE33+'SFP-2022'!AE34+'SFP-2022'!AE35+'SFP-2022'!AE36+'SFP-2022'!AE37</f>
        <v>215590130.03999999</v>
      </c>
      <c r="AG10" s="54">
        <f>'SFP-2022'!AF33+'SFP-2022'!AF34+'SFP-2022'!AF35+'SFP-2022'!AF36+'SFP-2022'!AF37</f>
        <v>225583817.17999998</v>
      </c>
      <c r="AH10" s="54">
        <f>'SFP-2022'!AG33+'SFP-2022'!AG34+'SFP-2022'!AG35+'SFP-2022'!AG36+'SFP-2022'!AG37</f>
        <v>224746980.88999999</v>
      </c>
      <c r="AI10" s="54">
        <f>'SFP-2022'!AH33+'SFP-2022'!AH34+'SFP-2022'!AH35+'SFP-2022'!AH36+'SFP-2022'!AH37</f>
        <v>114381396.41000001</v>
      </c>
    </row>
    <row r="11" spans="1:37">
      <c r="A11" s="19"/>
      <c r="B11" s="20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</row>
    <row r="12" spans="1:37">
      <c r="A12" s="19"/>
      <c r="B12" s="20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</row>
    <row r="13" spans="1:37" ht="12" customHeight="1">
      <c r="A13" s="21">
        <v>5</v>
      </c>
      <c r="B13" s="76" t="s">
        <v>113</v>
      </c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</row>
    <row r="14" spans="1:37" s="101" customFormat="1">
      <c r="A14" s="98">
        <v>5.0999999999999996</v>
      </c>
      <c r="B14" s="99" t="s">
        <v>114</v>
      </c>
      <c r="C14" s="100">
        <f>C17</f>
        <v>629590233</v>
      </c>
      <c r="D14" s="100">
        <f t="shared" ref="D14:AH14" si="0">D17</f>
        <v>637746356.40999997</v>
      </c>
      <c r="E14" s="100">
        <f t="shared" si="0"/>
        <v>670015835.60000002</v>
      </c>
      <c r="F14" s="100">
        <f t="shared" si="0"/>
        <v>689219907.38000011</v>
      </c>
      <c r="G14" s="100">
        <f t="shared" si="0"/>
        <v>727800701.86000001</v>
      </c>
      <c r="H14" s="100">
        <f t="shared" si="0"/>
        <v>707235693.17999995</v>
      </c>
      <c r="I14" s="100">
        <f t="shared" si="0"/>
        <v>716348622.94000006</v>
      </c>
      <c r="J14" s="100">
        <f t="shared" si="0"/>
        <v>724189819.38000011</v>
      </c>
      <c r="K14" s="100">
        <f t="shared" si="0"/>
        <v>740334017.21000004</v>
      </c>
      <c r="L14" s="100">
        <f t="shared" si="0"/>
        <v>749813368.60000002</v>
      </c>
      <c r="M14" s="100">
        <f t="shared" si="0"/>
        <v>764422008.25000012</v>
      </c>
      <c r="N14" s="100">
        <f t="shared" si="0"/>
        <v>780202855.33000004</v>
      </c>
      <c r="O14" s="100">
        <f t="shared" si="0"/>
        <v>796282992.30999994</v>
      </c>
      <c r="P14" s="100">
        <f t="shared" si="0"/>
        <v>767364511</v>
      </c>
      <c r="Q14" s="100">
        <f t="shared" si="0"/>
        <v>810887604.18000007</v>
      </c>
      <c r="R14" s="100">
        <f t="shared" si="0"/>
        <v>788268352.61999989</v>
      </c>
      <c r="S14" s="100">
        <f t="shared" si="0"/>
        <v>798831403.13999999</v>
      </c>
      <c r="T14" s="100">
        <f t="shared" si="0"/>
        <v>813071641.07000005</v>
      </c>
      <c r="U14" s="100">
        <f t="shared" si="0"/>
        <v>826601339.76999998</v>
      </c>
      <c r="V14" s="100">
        <f t="shared" si="0"/>
        <v>891021478.21000004</v>
      </c>
      <c r="W14" s="100">
        <f t="shared" si="0"/>
        <v>895728116.41000009</v>
      </c>
      <c r="X14" s="100">
        <f t="shared" si="0"/>
        <v>910542666.21000004</v>
      </c>
      <c r="Y14" s="100">
        <f t="shared" si="0"/>
        <v>922714204.67999995</v>
      </c>
      <c r="Z14" s="100">
        <f t="shared" si="0"/>
        <v>1019739991.2</v>
      </c>
      <c r="AA14" s="100">
        <f t="shared" si="0"/>
        <v>1039081228.72</v>
      </c>
      <c r="AB14" s="100">
        <f t="shared" si="0"/>
        <v>1035575364.01</v>
      </c>
      <c r="AC14" s="100">
        <f t="shared" si="0"/>
        <v>996574596</v>
      </c>
      <c r="AD14" s="100">
        <f t="shared" si="0"/>
        <v>1005947772.77</v>
      </c>
      <c r="AE14" s="100">
        <f t="shared" si="0"/>
        <v>1016252262.1</v>
      </c>
      <c r="AF14" s="100">
        <f t="shared" si="0"/>
        <v>1101623922.02</v>
      </c>
      <c r="AG14" s="100">
        <f t="shared" si="0"/>
        <v>1111287552.25</v>
      </c>
      <c r="AH14" s="100">
        <f t="shared" si="0"/>
        <v>1123854919.21</v>
      </c>
      <c r="AI14" s="100">
        <f t="shared" ref="AI14" si="1">AI17</f>
        <v>1198318049.7099998</v>
      </c>
    </row>
    <row r="15" spans="1:37" s="105" customFormat="1">
      <c r="A15" s="102">
        <v>5.2</v>
      </c>
      <c r="B15" s="103" t="s">
        <v>115</v>
      </c>
      <c r="C15" s="104">
        <f>C14-C18</f>
        <v>347226115</v>
      </c>
      <c r="D15" s="104">
        <f t="shared" ref="D15:AH15" si="2">D14-D18</f>
        <v>354449903.27999997</v>
      </c>
      <c r="E15" s="104">
        <f t="shared" si="2"/>
        <v>385623551.72000003</v>
      </c>
      <c r="F15" s="104">
        <f t="shared" si="2"/>
        <v>403650294.41000009</v>
      </c>
      <c r="G15" s="104">
        <f t="shared" si="2"/>
        <v>441060510.17000002</v>
      </c>
      <c r="H15" s="104">
        <f t="shared" si="2"/>
        <v>419492743.09999996</v>
      </c>
      <c r="I15" s="104">
        <f t="shared" si="2"/>
        <v>427143934.65000004</v>
      </c>
      <c r="J15" s="104">
        <f t="shared" si="2"/>
        <v>433673177.16000009</v>
      </c>
      <c r="K15" s="104">
        <f t="shared" si="2"/>
        <v>447740029.79000002</v>
      </c>
      <c r="L15" s="104">
        <f t="shared" si="2"/>
        <v>455818227.78000003</v>
      </c>
      <c r="M15" s="104">
        <f t="shared" si="2"/>
        <v>469042042.95000011</v>
      </c>
      <c r="N15" s="104">
        <f t="shared" si="2"/>
        <v>482256865.41000003</v>
      </c>
      <c r="O15" s="104">
        <f t="shared" si="2"/>
        <v>495884644.39999992</v>
      </c>
      <c r="P15" s="104">
        <f t="shared" si="2"/>
        <v>466966163</v>
      </c>
      <c r="Q15" s="104">
        <f t="shared" si="2"/>
        <v>508878567.03000009</v>
      </c>
      <c r="R15" s="104">
        <f t="shared" si="2"/>
        <v>484669697.21999991</v>
      </c>
      <c r="S15" s="104">
        <f t="shared" si="2"/>
        <v>492924362.45999998</v>
      </c>
      <c r="T15" s="104">
        <f t="shared" si="2"/>
        <v>506523350.08000004</v>
      </c>
      <c r="U15" s="104">
        <f t="shared" si="2"/>
        <v>517401817.74000001</v>
      </c>
      <c r="V15" s="104">
        <f t="shared" si="2"/>
        <v>580563265.26999998</v>
      </c>
      <c r="W15" s="104">
        <f t="shared" si="2"/>
        <v>584285584.09000015</v>
      </c>
      <c r="X15" s="104">
        <f t="shared" si="2"/>
        <v>597138289.75999999</v>
      </c>
      <c r="Y15" s="104">
        <f t="shared" si="2"/>
        <v>607553074.28999996</v>
      </c>
      <c r="Z15" s="104">
        <f t="shared" si="2"/>
        <v>703043203.59000003</v>
      </c>
      <c r="AA15" s="104">
        <f t="shared" si="2"/>
        <v>720972540.07000005</v>
      </c>
      <c r="AB15" s="104">
        <f t="shared" si="2"/>
        <v>715619189.36000001</v>
      </c>
      <c r="AC15" s="104">
        <f t="shared" si="2"/>
        <v>676618421</v>
      </c>
      <c r="AD15" s="104">
        <f t="shared" si="2"/>
        <v>684703076.12</v>
      </c>
      <c r="AE15" s="104">
        <f t="shared" si="2"/>
        <v>692911291.68000007</v>
      </c>
      <c r="AF15" s="104">
        <f t="shared" si="2"/>
        <v>700792171.57999992</v>
      </c>
      <c r="AG15" s="104">
        <f t="shared" si="2"/>
        <v>708651287.39999998</v>
      </c>
      <c r="AH15" s="104">
        <f t="shared" si="2"/>
        <v>718617564.08000004</v>
      </c>
      <c r="AI15" s="104">
        <f t="shared" ref="AI15" si="3">AI14-AI18</f>
        <v>789359453.05999982</v>
      </c>
    </row>
    <row r="16" spans="1:37">
      <c r="A16" s="24"/>
      <c r="B16" s="25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</row>
    <row r="17" spans="1:35">
      <c r="A17" s="26">
        <v>5.3</v>
      </c>
      <c r="B17" s="16" t="s">
        <v>116</v>
      </c>
      <c r="C17" s="91">
        <f>SUM(C18:C21)</f>
        <v>629590233</v>
      </c>
      <c r="D17" s="91">
        <f t="shared" ref="D17:AH17" si="4">SUM(D18:D21)</f>
        <v>637746356.40999997</v>
      </c>
      <c r="E17" s="91">
        <f t="shared" si="4"/>
        <v>670015835.60000002</v>
      </c>
      <c r="F17" s="91">
        <f t="shared" si="4"/>
        <v>689219907.38000011</v>
      </c>
      <c r="G17" s="91">
        <f t="shared" si="4"/>
        <v>727800701.86000001</v>
      </c>
      <c r="H17" s="91">
        <f t="shared" si="4"/>
        <v>707235693.17999995</v>
      </c>
      <c r="I17" s="91">
        <f t="shared" si="4"/>
        <v>716348622.94000006</v>
      </c>
      <c r="J17" s="91">
        <f t="shared" si="4"/>
        <v>724189819.38000011</v>
      </c>
      <c r="K17" s="91">
        <f t="shared" si="4"/>
        <v>740334017.21000004</v>
      </c>
      <c r="L17" s="91">
        <f t="shared" si="4"/>
        <v>749813368.60000002</v>
      </c>
      <c r="M17" s="91">
        <f t="shared" si="4"/>
        <v>764422008.25000012</v>
      </c>
      <c r="N17" s="91">
        <f t="shared" si="4"/>
        <v>780202855.33000004</v>
      </c>
      <c r="O17" s="91">
        <f t="shared" si="4"/>
        <v>796282992.30999994</v>
      </c>
      <c r="P17" s="91">
        <f t="shared" si="4"/>
        <v>767364511</v>
      </c>
      <c r="Q17" s="91">
        <f t="shared" si="4"/>
        <v>810887604.18000007</v>
      </c>
      <c r="R17" s="91">
        <f t="shared" si="4"/>
        <v>788268352.61999989</v>
      </c>
      <c r="S17" s="91">
        <f t="shared" si="4"/>
        <v>798831403.13999999</v>
      </c>
      <c r="T17" s="91">
        <f t="shared" si="4"/>
        <v>813071641.07000005</v>
      </c>
      <c r="U17" s="91">
        <f t="shared" si="4"/>
        <v>826601339.76999998</v>
      </c>
      <c r="V17" s="91">
        <f t="shared" si="4"/>
        <v>891021478.21000004</v>
      </c>
      <c r="W17" s="91">
        <f t="shared" si="4"/>
        <v>895728116.41000009</v>
      </c>
      <c r="X17" s="91">
        <f t="shared" si="4"/>
        <v>910542666.21000004</v>
      </c>
      <c r="Y17" s="91">
        <f t="shared" si="4"/>
        <v>922714204.67999995</v>
      </c>
      <c r="Z17" s="91">
        <f t="shared" si="4"/>
        <v>1019739991.2</v>
      </c>
      <c r="AA17" s="91">
        <f t="shared" si="4"/>
        <v>1039081228.72</v>
      </c>
      <c r="AB17" s="91">
        <f t="shared" si="4"/>
        <v>1035575364.01</v>
      </c>
      <c r="AC17" s="91">
        <f t="shared" si="4"/>
        <v>996574596</v>
      </c>
      <c r="AD17" s="91">
        <f t="shared" si="4"/>
        <v>1005947772.77</v>
      </c>
      <c r="AE17" s="91">
        <f t="shared" si="4"/>
        <v>1016252262.1</v>
      </c>
      <c r="AF17" s="91">
        <f t="shared" si="4"/>
        <v>1101623922.02</v>
      </c>
      <c r="AG17" s="91">
        <f t="shared" si="4"/>
        <v>1111287552.25</v>
      </c>
      <c r="AH17" s="91">
        <f t="shared" si="4"/>
        <v>1123854919.21</v>
      </c>
      <c r="AI17" s="91">
        <f t="shared" ref="AI17" si="5">SUM(AI18:AI21)</f>
        <v>1198318049.7099998</v>
      </c>
    </row>
    <row r="18" spans="1:35">
      <c r="A18" s="22" t="s">
        <v>117</v>
      </c>
      <c r="B18" s="77" t="s">
        <v>118</v>
      </c>
      <c r="C18" s="86">
        <f>'SFP-2022'!B41</f>
        <v>282364118</v>
      </c>
      <c r="D18" s="86">
        <f>'SFP-2022'!C41</f>
        <v>283296453.13</v>
      </c>
      <c r="E18" s="86">
        <f>'SFP-2022'!D41</f>
        <v>284392283.88</v>
      </c>
      <c r="F18" s="86">
        <f>'SFP-2022'!E41</f>
        <v>285569612.97000003</v>
      </c>
      <c r="G18" s="86">
        <f>'SFP-2022'!F41</f>
        <v>286740191.69</v>
      </c>
      <c r="H18" s="86">
        <f>'SFP-2022'!G41</f>
        <v>287742950.07999998</v>
      </c>
      <c r="I18" s="86">
        <f>'SFP-2022'!H41</f>
        <v>289204688.29000002</v>
      </c>
      <c r="J18" s="86">
        <f>'SFP-2022'!I41</f>
        <v>290516642.22000003</v>
      </c>
      <c r="K18" s="86">
        <f>'SFP-2022'!J41</f>
        <v>292593987.42000002</v>
      </c>
      <c r="L18" s="86">
        <f>'SFP-2022'!K41</f>
        <v>293995140.81999999</v>
      </c>
      <c r="M18" s="86">
        <f>'SFP-2022'!L41</f>
        <v>295379965.30000001</v>
      </c>
      <c r="N18" s="86">
        <f>'SFP-2022'!M41</f>
        <v>297945989.92000002</v>
      </c>
      <c r="O18" s="86">
        <f>'SFP-2022'!N41</f>
        <v>300398347.91000003</v>
      </c>
      <c r="P18" s="86">
        <f>'SFP-2022'!O41</f>
        <v>300398348</v>
      </c>
      <c r="Q18" s="86">
        <f>'SFP-2022'!P41</f>
        <v>302009037.14999998</v>
      </c>
      <c r="R18" s="86">
        <f>'SFP-2022'!Q41</f>
        <v>303598655.39999998</v>
      </c>
      <c r="S18" s="86">
        <f>'SFP-2022'!R41</f>
        <v>305907040.68000001</v>
      </c>
      <c r="T18" s="86">
        <f>'SFP-2022'!S41</f>
        <v>306548290.99000001</v>
      </c>
      <c r="U18" s="86">
        <f>'SFP-2022'!T41</f>
        <v>309199522.02999997</v>
      </c>
      <c r="V18" s="86">
        <f>'SFP-2022'!U41</f>
        <v>310458212.94</v>
      </c>
      <c r="W18" s="86">
        <f>'SFP-2022'!V41</f>
        <v>311442532.31999999</v>
      </c>
      <c r="X18" s="86">
        <f>'SFP-2022'!W41</f>
        <v>313404376.44999999</v>
      </c>
      <c r="Y18" s="86">
        <f>'SFP-2022'!X41</f>
        <v>315161130.38999999</v>
      </c>
      <c r="Z18" s="86">
        <f>'SFP-2022'!Y41</f>
        <v>316696787.61000001</v>
      </c>
      <c r="AA18" s="86">
        <f>'SFP-2022'!Z41</f>
        <v>318108688.64999998</v>
      </c>
      <c r="AB18" s="86">
        <f>'SFP-2022'!AA41</f>
        <v>319956174.64999998</v>
      </c>
      <c r="AC18" s="86">
        <f>'SFP-2022'!AB41</f>
        <v>319956175</v>
      </c>
      <c r="AD18" s="86">
        <f>'SFP-2022'!AC41</f>
        <v>321244696.64999998</v>
      </c>
      <c r="AE18" s="86">
        <f>'SFP-2022'!AD41</f>
        <v>323340970.42000002</v>
      </c>
      <c r="AF18" s="86">
        <f>'SFP-2022'!AE41</f>
        <v>400831750.44</v>
      </c>
      <c r="AG18" s="86">
        <f>'SFP-2022'!AF41</f>
        <v>402636264.85000002</v>
      </c>
      <c r="AH18" s="86">
        <f>'SFP-2022'!AG41</f>
        <v>405237355.13</v>
      </c>
      <c r="AI18" s="86">
        <f>'SFP-2022'!AH41</f>
        <v>408958596.64999998</v>
      </c>
    </row>
    <row r="19" spans="1:35">
      <c r="A19" s="22" t="s">
        <v>119</v>
      </c>
      <c r="B19" s="75" t="s">
        <v>120</v>
      </c>
      <c r="C19" s="86">
        <f>'SFP-2022'!B44</f>
        <v>198992818</v>
      </c>
      <c r="D19" s="86">
        <f>'SFP-2022'!C44</f>
        <v>203882382.82999998</v>
      </c>
      <c r="E19" s="86">
        <f>'SFP-2022'!D44</f>
        <v>213791725.99000001</v>
      </c>
      <c r="F19" s="86">
        <f>'SFP-2022'!E44</f>
        <v>226870781.90000001</v>
      </c>
      <c r="G19" s="86">
        <f>'SFP-2022'!F44</f>
        <v>279216384.86000001</v>
      </c>
      <c r="H19" s="86">
        <f>'SFP-2022'!G44</f>
        <v>279251436.52999997</v>
      </c>
      <c r="I19" s="86">
        <f>'SFP-2022'!H44</f>
        <v>282989881.95999998</v>
      </c>
      <c r="J19" s="86">
        <f>'SFP-2022'!I44</f>
        <v>288012646.94</v>
      </c>
      <c r="K19" s="86">
        <f>'SFP-2022'!J44</f>
        <v>293539283.31</v>
      </c>
      <c r="L19" s="86">
        <f>'SFP-2022'!K44</f>
        <v>299671788.68000001</v>
      </c>
      <c r="M19" s="86">
        <f>'SFP-2022'!L44</f>
        <v>308404741.63999999</v>
      </c>
      <c r="N19" s="86">
        <f>'SFP-2022'!M44</f>
        <v>318238041.93000001</v>
      </c>
      <c r="O19" s="86">
        <f>'SFP-2022'!N44</f>
        <v>275245309.39999998</v>
      </c>
      <c r="P19" s="86">
        <f>'SFP-2022'!O44</f>
        <v>272326828</v>
      </c>
      <c r="Q19" s="86">
        <f>'SFP-2022'!P44</f>
        <v>281101469.87</v>
      </c>
      <c r="R19" s="86">
        <f>'SFP-2022'!Q44</f>
        <v>287299342.96999997</v>
      </c>
      <c r="S19" s="86">
        <f>'SFP-2022'!R44</f>
        <v>300549979.96999997</v>
      </c>
      <c r="T19" s="86">
        <f>'SFP-2022'!S44</f>
        <v>310086387.02999997</v>
      </c>
      <c r="U19" s="86">
        <f>'SFP-2022'!T44</f>
        <v>321782913.76999998</v>
      </c>
      <c r="V19" s="86">
        <f>'SFP-2022'!U44</f>
        <v>376796295.95999998</v>
      </c>
      <c r="W19" s="86">
        <f>'SFP-2022'!V44</f>
        <v>383131004.88</v>
      </c>
      <c r="X19" s="86">
        <f>'SFP-2022'!W44</f>
        <v>390126126.19</v>
      </c>
      <c r="Y19" s="86">
        <f>'SFP-2022'!X44</f>
        <v>395774159.53999996</v>
      </c>
      <c r="Z19" s="86">
        <f>'SFP-2022'!Y44</f>
        <v>485533910.44</v>
      </c>
      <c r="AA19" s="86">
        <f>'SFP-2022'!Z44</f>
        <v>498781269.13</v>
      </c>
      <c r="AB19" s="86">
        <f>'SFP-2022'!AA44</f>
        <v>500960853.53999996</v>
      </c>
      <c r="AC19" s="86">
        <f>'SFP-2022'!AB44</f>
        <v>429802914</v>
      </c>
      <c r="AD19" s="86">
        <f>'SFP-2022'!AC44</f>
        <v>436280426.58999997</v>
      </c>
      <c r="AE19" s="86">
        <f>'SFP-2022'!AD44</f>
        <v>440633091.19</v>
      </c>
      <c r="AF19" s="86">
        <f>'SFP-2022'!AE44</f>
        <v>447993457.08999997</v>
      </c>
      <c r="AG19" s="86">
        <f>'SFP-2022'!AF44</f>
        <v>452461003.77999997</v>
      </c>
      <c r="AH19" s="86">
        <f>'SFP-2022'!AG44</f>
        <v>461896597.09999996</v>
      </c>
      <c r="AI19" s="86">
        <f>'SFP-2022'!AH44</f>
        <v>545068884.98000002</v>
      </c>
    </row>
    <row r="20" spans="1:35">
      <c r="A20" s="22" t="s">
        <v>121</v>
      </c>
      <c r="B20" s="75" t="s">
        <v>122</v>
      </c>
      <c r="C20" s="86">
        <f>'SFP-2022'!B49</f>
        <v>101541864</v>
      </c>
      <c r="D20" s="86">
        <f>'SFP-2022'!C49</f>
        <v>101541864.08</v>
      </c>
      <c r="E20" s="86">
        <f>'SFP-2022'!D49</f>
        <v>101541864.08</v>
      </c>
      <c r="F20" s="86">
        <f>'SFP-2022'!E49</f>
        <v>101541864.08</v>
      </c>
      <c r="G20" s="86">
        <f>'SFP-2022'!F49</f>
        <v>101541864.08</v>
      </c>
      <c r="H20" s="86">
        <f>'SFP-2022'!G49</f>
        <v>101541864.08</v>
      </c>
      <c r="I20" s="86">
        <f>'SFP-2022'!H49</f>
        <v>101541864.08</v>
      </c>
      <c r="J20" s="86">
        <f>'SFP-2022'!I49</f>
        <v>101541864.08</v>
      </c>
      <c r="K20" s="86">
        <f>'SFP-2022'!J49</f>
        <v>101541864.08</v>
      </c>
      <c r="L20" s="86">
        <f>'SFP-2022'!K49</f>
        <v>101541864.08</v>
      </c>
      <c r="M20" s="86">
        <f>'SFP-2022'!L49</f>
        <v>101541864.08</v>
      </c>
      <c r="N20" s="86">
        <f>'SFP-2022'!M49</f>
        <v>101541864.08</v>
      </c>
      <c r="O20" s="86">
        <f>'SFP-2022'!N49</f>
        <v>126375366.59</v>
      </c>
      <c r="P20" s="86">
        <f>'SFP-2022'!O49</f>
        <v>126375367</v>
      </c>
      <c r="Q20" s="86">
        <f>'SFP-2022'!P49</f>
        <v>126375366.59</v>
      </c>
      <c r="R20" s="86">
        <f>'SFP-2022'!Q49</f>
        <v>126375366.59</v>
      </c>
      <c r="S20" s="86">
        <f>'SFP-2022'!R49</f>
        <v>126375366.59</v>
      </c>
      <c r="T20" s="86">
        <f>'SFP-2022'!S49</f>
        <v>126375366.59</v>
      </c>
      <c r="U20" s="86">
        <f>'SFP-2022'!T49</f>
        <v>126375366.59</v>
      </c>
      <c r="V20" s="86">
        <f>'SFP-2022'!U49</f>
        <v>126375366.59</v>
      </c>
      <c r="W20" s="86">
        <f>'SFP-2022'!V49</f>
        <v>126375366.59</v>
      </c>
      <c r="X20" s="86">
        <f>'SFP-2022'!W49</f>
        <v>126375366.59</v>
      </c>
      <c r="Y20" s="86">
        <f>'SFP-2022'!X49</f>
        <v>126375366.59</v>
      </c>
      <c r="Z20" s="86">
        <f>'SFP-2022'!Y49</f>
        <v>126375366.59</v>
      </c>
      <c r="AA20" s="86">
        <f>'SFP-2022'!Z49</f>
        <v>126375366.59</v>
      </c>
      <c r="AB20" s="86">
        <f>'SFP-2022'!AA49</f>
        <v>126375366.59</v>
      </c>
      <c r="AC20" s="86">
        <f>'SFP-2022'!AB49</f>
        <v>152532538</v>
      </c>
      <c r="AD20" s="86">
        <f>'SFP-2022'!AC49</f>
        <v>152532537.99000001</v>
      </c>
      <c r="AE20" s="86">
        <f>'SFP-2022'!AD49</f>
        <v>152532537.99000001</v>
      </c>
      <c r="AF20" s="86">
        <f>'SFP-2022'!AE49</f>
        <v>152532537.99000001</v>
      </c>
      <c r="AG20" s="86">
        <f>'SFP-2022'!AF49</f>
        <v>152532537.99000001</v>
      </c>
      <c r="AH20" s="86">
        <f>'SFP-2022'!AG49</f>
        <v>152532537.99000001</v>
      </c>
      <c r="AI20" s="86">
        <f>'SFP-2022'!AH49</f>
        <v>152532537.99000001</v>
      </c>
    </row>
    <row r="21" spans="1:35">
      <c r="A21" s="22" t="s">
        <v>123</v>
      </c>
      <c r="B21" s="75" t="s">
        <v>124</v>
      </c>
      <c r="C21" s="86">
        <f>'SFP-2022'!B50</f>
        <v>46691433</v>
      </c>
      <c r="D21" s="86">
        <f>'SFP-2022'!C50</f>
        <v>49025656.369999997</v>
      </c>
      <c r="E21" s="86">
        <f>'SFP-2022'!D50</f>
        <v>70289961.650000006</v>
      </c>
      <c r="F21" s="86">
        <f>'SFP-2022'!E50</f>
        <v>75237648.430000007</v>
      </c>
      <c r="G21" s="86">
        <f>'SFP-2022'!F50</f>
        <v>60302261.229999997</v>
      </c>
      <c r="H21" s="86">
        <f>'SFP-2022'!G50</f>
        <v>38699442.490000002</v>
      </c>
      <c r="I21" s="86">
        <f>'SFP-2022'!H50</f>
        <v>42612188.609999999</v>
      </c>
      <c r="J21" s="86">
        <f>'SFP-2022'!I50</f>
        <v>44118666.140000001</v>
      </c>
      <c r="K21" s="86">
        <f>'SFP-2022'!J50</f>
        <v>52658882.399999999</v>
      </c>
      <c r="L21" s="86">
        <f>'SFP-2022'!K50</f>
        <v>54604575.020000003</v>
      </c>
      <c r="M21" s="86">
        <f>'SFP-2022'!L50</f>
        <v>59095437.229999997</v>
      </c>
      <c r="N21" s="86">
        <f>'SFP-2022'!M50</f>
        <v>62476959.399999999</v>
      </c>
      <c r="O21" s="86">
        <f>'SFP-2022'!N50</f>
        <v>94263968.409999996</v>
      </c>
      <c r="P21" s="86">
        <f>'SFP-2022'!O50</f>
        <v>68263968</v>
      </c>
      <c r="Q21" s="86">
        <f>'SFP-2022'!P50</f>
        <v>101401730.56999999</v>
      </c>
      <c r="R21" s="86">
        <f>'SFP-2022'!Q50</f>
        <v>70994987.659999996</v>
      </c>
      <c r="S21" s="86">
        <f>'SFP-2022'!R50</f>
        <v>65999015.899999999</v>
      </c>
      <c r="T21" s="86">
        <f>'SFP-2022'!S50</f>
        <v>70061596.459999993</v>
      </c>
      <c r="U21" s="86">
        <f>'SFP-2022'!T50</f>
        <v>69243537.379999995</v>
      </c>
      <c r="V21" s="86">
        <f>'SFP-2022'!U50</f>
        <v>77391602.719999999</v>
      </c>
      <c r="W21" s="86">
        <f>'SFP-2022'!V50</f>
        <v>74779212.620000005</v>
      </c>
      <c r="X21" s="86">
        <f>'SFP-2022'!W50</f>
        <v>80636796.980000004</v>
      </c>
      <c r="Y21" s="86">
        <f>'SFP-2022'!X50</f>
        <v>85403548.159999996</v>
      </c>
      <c r="Z21" s="86">
        <f>'SFP-2022'!Y50</f>
        <v>91133926.560000002</v>
      </c>
      <c r="AA21" s="86">
        <f>'SFP-2022'!Z50</f>
        <v>95815904.349999994</v>
      </c>
      <c r="AB21" s="86">
        <f>'SFP-2022'!AA50</f>
        <v>88282969.230000004</v>
      </c>
      <c r="AC21" s="86">
        <f>'SFP-2022'!AB50</f>
        <v>94282969</v>
      </c>
      <c r="AD21" s="86">
        <f>'SFP-2022'!AC50</f>
        <v>95890111.540000007</v>
      </c>
      <c r="AE21" s="86">
        <f>'SFP-2022'!AD50</f>
        <v>99745662.5</v>
      </c>
      <c r="AF21" s="86">
        <f>'SFP-2022'!AE50</f>
        <v>100266176.5</v>
      </c>
      <c r="AG21" s="86">
        <f>'SFP-2022'!AF50</f>
        <v>103657745.63</v>
      </c>
      <c r="AH21" s="86">
        <f>'SFP-2022'!AG50</f>
        <v>104188428.98999999</v>
      </c>
      <c r="AI21" s="86">
        <f>'SFP-2022'!AH50</f>
        <v>91758030.090000004</v>
      </c>
    </row>
    <row r="22" spans="1:35">
      <c r="A22" s="22" t="s">
        <v>125</v>
      </c>
      <c r="B22" s="78" t="s">
        <v>126</v>
      </c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</row>
    <row r="23" spans="1:35">
      <c r="A23" s="27" t="s">
        <v>127</v>
      </c>
      <c r="B23" s="75" t="s">
        <v>128</v>
      </c>
      <c r="C23" s="86">
        <f>'SFP-2022'!B52</f>
        <v>22111655</v>
      </c>
      <c r="D23" s="86">
        <f>'SFP-2022'!C52</f>
        <v>702815580.29999995</v>
      </c>
      <c r="E23" s="86">
        <f>'SFP-2022'!D52</f>
        <v>702815580.29999995</v>
      </c>
      <c r="F23" s="86">
        <f>'SFP-2022'!E52</f>
        <v>702815580.29999995</v>
      </c>
      <c r="G23" s="86">
        <f>'SFP-2022'!F52</f>
        <v>702815580.29999995</v>
      </c>
      <c r="H23" s="86">
        <f>'SFP-2022'!G52</f>
        <v>702815580.29999995</v>
      </c>
      <c r="I23" s="86">
        <f>'SFP-2022'!H52</f>
        <v>702815580.29999995</v>
      </c>
      <c r="J23" s="86">
        <f>'SFP-2022'!I52</f>
        <v>702815580.29999995</v>
      </c>
      <c r="K23" s="86">
        <f>'SFP-2022'!J52</f>
        <v>702815580.29999995</v>
      </c>
      <c r="L23" s="86">
        <f>'SFP-2022'!K52</f>
        <v>702815580.29999995</v>
      </c>
      <c r="M23" s="86">
        <f>'SFP-2022'!L52</f>
        <v>702815580.29999995</v>
      </c>
      <c r="N23" s="86">
        <f>'SFP-2022'!M52</f>
        <v>702815580.29999995</v>
      </c>
      <c r="O23" s="86">
        <f>'SFP-2022'!N52</f>
        <v>776540392.40999997</v>
      </c>
      <c r="P23" s="86">
        <f>'SFP-2022'!O52</f>
        <v>26084450</v>
      </c>
      <c r="Q23" s="86">
        <f>'SFP-2022'!P52</f>
        <v>735826690.20000005</v>
      </c>
      <c r="R23" s="86">
        <f>'SFP-2022'!Q52</f>
        <v>735826690.20000005</v>
      </c>
      <c r="S23" s="86">
        <f>'SFP-2022'!R52</f>
        <v>735826690.20000005</v>
      </c>
      <c r="T23" s="86">
        <f>'SFP-2022'!S52</f>
        <v>735826690.20000005</v>
      </c>
      <c r="U23" s="86">
        <f>'SFP-2022'!T52</f>
        <v>735826690.20000005</v>
      </c>
      <c r="V23" s="86">
        <f>'SFP-2022'!U52</f>
        <v>735826690.20000005</v>
      </c>
      <c r="W23" s="86">
        <f>'SFP-2022'!V52</f>
        <v>735826690.20000005</v>
      </c>
      <c r="X23" s="86">
        <f>'SFP-2022'!W52</f>
        <v>735826690.20000005</v>
      </c>
      <c r="Y23" s="86">
        <f>'SFP-2022'!X52</f>
        <v>735826690.20000005</v>
      </c>
      <c r="Z23" s="86">
        <f>'SFP-2022'!Y52</f>
        <v>634676690.20000005</v>
      </c>
      <c r="AA23" s="86">
        <f>'SFP-2022'!Z52</f>
        <v>634676690.20000005</v>
      </c>
      <c r="AB23" s="86">
        <f>'SFP-2022'!AA52</f>
        <v>634676690.20000005</v>
      </c>
      <c r="AC23" s="86">
        <f>'SFP-2022'!AB52</f>
        <v>37456070</v>
      </c>
      <c r="AD23" s="86">
        <f>'SFP-2022'!AC52</f>
        <v>628139283.60000002</v>
      </c>
      <c r="AE23" s="86">
        <f>'SFP-2022'!AD52</f>
        <v>628139283.60000002</v>
      </c>
      <c r="AF23" s="86">
        <f>'SFP-2022'!AE52</f>
        <v>628139283.60000002</v>
      </c>
      <c r="AG23" s="86">
        <f>'SFP-2022'!AF52</f>
        <v>628139283.60000002</v>
      </c>
      <c r="AH23" s="86">
        <f>'SFP-2022'!AG52</f>
        <v>628139283.60000002</v>
      </c>
      <c r="AI23" s="86">
        <f>'SFP-2022'!AH52</f>
        <v>628139283.60000002</v>
      </c>
    </row>
    <row r="24" spans="1:35">
      <c r="A24" s="28" t="s">
        <v>129</v>
      </c>
      <c r="B24" s="79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</row>
    <row r="25" spans="1:35">
      <c r="A25" s="19"/>
      <c r="B25" s="29"/>
      <c r="C25" s="88"/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</row>
    <row r="26" spans="1:35">
      <c r="A26" s="21">
        <v>6</v>
      </c>
      <c r="B26" s="80" t="s">
        <v>130</v>
      </c>
      <c r="C26" s="89">
        <f>C27+C28+C29</f>
        <v>848324872</v>
      </c>
      <c r="D26" s="89">
        <f t="shared" ref="D26:AH26" si="6">D27+D28+D29</f>
        <v>842288530.21000004</v>
      </c>
      <c r="E26" s="89">
        <f t="shared" si="6"/>
        <v>842538640.21000004</v>
      </c>
      <c r="F26" s="89">
        <f t="shared" si="6"/>
        <v>842676057.21000004</v>
      </c>
      <c r="G26" s="89">
        <f t="shared" si="6"/>
        <v>842804395.21000004</v>
      </c>
      <c r="H26" s="89">
        <f t="shared" si="6"/>
        <v>842854395.21000004</v>
      </c>
      <c r="I26" s="89">
        <f t="shared" si="6"/>
        <v>842993355.21000004</v>
      </c>
      <c r="J26" s="89">
        <f t="shared" si="6"/>
        <v>842993355.21000004</v>
      </c>
      <c r="K26" s="89">
        <f t="shared" si="6"/>
        <v>843086737.21000004</v>
      </c>
      <c r="L26" s="89">
        <f t="shared" si="6"/>
        <v>845086737.21000004</v>
      </c>
      <c r="M26" s="89">
        <f t="shared" si="6"/>
        <v>845086737.21000004</v>
      </c>
      <c r="N26" s="89">
        <f t="shared" si="6"/>
        <v>845182236.21000004</v>
      </c>
      <c r="O26" s="89">
        <f t="shared" si="6"/>
        <v>919044826.32000005</v>
      </c>
      <c r="P26" s="89">
        <f t="shared" si="6"/>
        <v>927895776</v>
      </c>
      <c r="Q26" s="89">
        <f t="shared" si="6"/>
        <v>878394082.11000001</v>
      </c>
      <c r="R26" s="89">
        <f t="shared" si="6"/>
        <v>878394082.11000001</v>
      </c>
      <c r="S26" s="89">
        <f t="shared" si="6"/>
        <v>878394082.11000001</v>
      </c>
      <c r="T26" s="89">
        <f t="shared" si="6"/>
        <v>878394082.11000001</v>
      </c>
      <c r="U26" s="89">
        <f t="shared" si="6"/>
        <v>878394082.11000001</v>
      </c>
      <c r="V26" s="89">
        <f t="shared" si="6"/>
        <v>878325248.11000001</v>
      </c>
      <c r="W26" s="89">
        <f t="shared" si="6"/>
        <v>878325248.11000001</v>
      </c>
      <c r="X26" s="89">
        <f t="shared" si="6"/>
        <v>878325248.11000001</v>
      </c>
      <c r="Y26" s="89">
        <f t="shared" si="6"/>
        <v>777175248.11000001</v>
      </c>
      <c r="Z26" s="89">
        <f t="shared" si="6"/>
        <v>777175248.11000001</v>
      </c>
      <c r="AA26" s="89">
        <f t="shared" si="6"/>
        <v>777175248.11000001</v>
      </c>
      <c r="AB26" s="89">
        <f t="shared" si="6"/>
        <v>777208303.11000001</v>
      </c>
      <c r="AC26" s="89">
        <f t="shared" si="6"/>
        <v>782521847</v>
      </c>
      <c r="AD26" s="89">
        <f t="shared" si="6"/>
        <v>770670896.50999999</v>
      </c>
      <c r="AE26" s="89">
        <f t="shared" si="6"/>
        <v>770670896.50999999</v>
      </c>
      <c r="AF26" s="89">
        <f t="shared" si="6"/>
        <v>770670896.50999999</v>
      </c>
      <c r="AG26" s="89">
        <f t="shared" si="6"/>
        <v>769567265.60000002</v>
      </c>
      <c r="AH26" s="89">
        <f t="shared" si="6"/>
        <v>769567265.60000002</v>
      </c>
      <c r="AI26" s="89">
        <f t="shared" ref="AI26" si="7">AI27+AI28+AI29</f>
        <v>769567265.60000002</v>
      </c>
    </row>
    <row r="27" spans="1:35">
      <c r="A27" s="22">
        <v>6.1</v>
      </c>
      <c r="B27" s="75" t="s">
        <v>131</v>
      </c>
      <c r="C27" s="86">
        <f>'SFP-2022'!B12</f>
        <v>0</v>
      </c>
      <c r="D27" s="86">
        <f>'SFP-2022'!C12</f>
        <v>0</v>
      </c>
      <c r="E27" s="86">
        <f>'SFP-2022'!D12</f>
        <v>0</v>
      </c>
      <c r="F27" s="86">
        <f>'SFP-2022'!E12</f>
        <v>0</v>
      </c>
      <c r="G27" s="86">
        <f>'SFP-2022'!F12</f>
        <v>0</v>
      </c>
      <c r="H27" s="86">
        <f>'SFP-2022'!G12</f>
        <v>0</v>
      </c>
      <c r="I27" s="86">
        <f>'SFP-2022'!H12</f>
        <v>0</v>
      </c>
      <c r="J27" s="86">
        <f>'SFP-2022'!I12</f>
        <v>0</v>
      </c>
      <c r="K27" s="86">
        <f>'SFP-2022'!J12</f>
        <v>0</v>
      </c>
      <c r="L27" s="86">
        <f>'SFP-2022'!K12</f>
        <v>0</v>
      </c>
      <c r="M27" s="86">
        <f>'SFP-2022'!L12</f>
        <v>0</v>
      </c>
      <c r="N27" s="86">
        <f>'SFP-2022'!M12</f>
        <v>0</v>
      </c>
      <c r="O27" s="86">
        <f>'SFP-2022'!N12</f>
        <v>0</v>
      </c>
      <c r="P27" s="86">
        <f>'SFP-2022'!O12</f>
        <v>0</v>
      </c>
      <c r="Q27" s="86">
        <f>'SFP-2022'!P12</f>
        <v>0</v>
      </c>
      <c r="R27" s="86">
        <f>'SFP-2022'!Q12</f>
        <v>0</v>
      </c>
      <c r="S27" s="86">
        <f>'SFP-2022'!R12</f>
        <v>0</v>
      </c>
      <c r="T27" s="86">
        <f>'SFP-2022'!S12</f>
        <v>0</v>
      </c>
      <c r="U27" s="86">
        <f>'SFP-2022'!T12</f>
        <v>0</v>
      </c>
      <c r="V27" s="86">
        <f>'SFP-2022'!U12</f>
        <v>0</v>
      </c>
      <c r="W27" s="86">
        <f>'SFP-2022'!V12</f>
        <v>0</v>
      </c>
      <c r="X27" s="86">
        <f>'SFP-2022'!W12</f>
        <v>0</v>
      </c>
      <c r="Y27" s="86">
        <f>'SFP-2022'!X12</f>
        <v>0</v>
      </c>
      <c r="Z27" s="86">
        <f>'SFP-2022'!Y12</f>
        <v>0</v>
      </c>
      <c r="AA27" s="86">
        <f>'SFP-2022'!Z12</f>
        <v>0</v>
      </c>
      <c r="AB27" s="86">
        <f>'SFP-2022'!AA12</f>
        <v>0</v>
      </c>
      <c r="AC27" s="86">
        <f>'SFP-2022'!AB12</f>
        <v>727688355</v>
      </c>
      <c r="AD27" s="86">
        <f>'SFP-2022'!AC12</f>
        <v>0</v>
      </c>
      <c r="AE27" s="86">
        <f>'SFP-2022'!AD12</f>
        <v>0</v>
      </c>
      <c r="AF27" s="86">
        <f>'SFP-2022'!AE12</f>
        <v>0</v>
      </c>
      <c r="AG27" s="86">
        <f>'SFP-2022'!AF12</f>
        <v>0</v>
      </c>
      <c r="AH27" s="86">
        <f>'SFP-2022'!AG12</f>
        <v>0</v>
      </c>
      <c r="AI27" s="86">
        <f>'SFP-2022'!AH12</f>
        <v>0</v>
      </c>
    </row>
    <row r="28" spans="1:35">
      <c r="A28" s="22">
        <v>6.2</v>
      </c>
      <c r="B28" s="75" t="s">
        <v>132</v>
      </c>
      <c r="C28" s="86">
        <f>'SFP-2022'!B13</f>
        <v>0</v>
      </c>
      <c r="D28" s="86">
        <f>'SFP-2022'!C13</f>
        <v>0</v>
      </c>
      <c r="E28" s="86">
        <f>'SFP-2022'!D13</f>
        <v>0</v>
      </c>
      <c r="F28" s="86">
        <f>'SFP-2022'!E13</f>
        <v>0</v>
      </c>
      <c r="G28" s="86">
        <f>'SFP-2022'!F13</f>
        <v>0</v>
      </c>
      <c r="H28" s="86">
        <f>'SFP-2022'!G13</f>
        <v>0</v>
      </c>
      <c r="I28" s="86">
        <f>'SFP-2022'!H13</f>
        <v>0</v>
      </c>
      <c r="J28" s="86">
        <f>'SFP-2022'!I13</f>
        <v>0</v>
      </c>
      <c r="K28" s="86">
        <f>'SFP-2022'!J13</f>
        <v>0</v>
      </c>
      <c r="L28" s="86">
        <f>'SFP-2022'!K13</f>
        <v>0</v>
      </c>
      <c r="M28" s="86">
        <f>'SFP-2022'!L13</f>
        <v>0</v>
      </c>
      <c r="N28" s="86">
        <f>'SFP-2022'!M13</f>
        <v>0</v>
      </c>
      <c r="O28" s="86">
        <f>'SFP-2022'!N13</f>
        <v>0</v>
      </c>
      <c r="P28" s="86">
        <f>'SFP-2022'!O13</f>
        <v>0</v>
      </c>
      <c r="Q28" s="86">
        <f>'SFP-2022'!P13</f>
        <v>0</v>
      </c>
      <c r="R28" s="86">
        <f>'SFP-2022'!Q13</f>
        <v>0</v>
      </c>
      <c r="S28" s="86">
        <f>'SFP-2022'!R13</f>
        <v>0</v>
      </c>
      <c r="T28" s="86">
        <f>'SFP-2022'!S13</f>
        <v>0</v>
      </c>
      <c r="U28" s="86">
        <f>'SFP-2022'!T13</f>
        <v>0</v>
      </c>
      <c r="V28" s="86">
        <f>'SFP-2022'!U13</f>
        <v>0</v>
      </c>
      <c r="W28" s="86">
        <f>'SFP-2022'!V13</f>
        <v>0</v>
      </c>
      <c r="X28" s="86">
        <f>'SFP-2022'!W13</f>
        <v>0</v>
      </c>
      <c r="Y28" s="86">
        <f>'SFP-2022'!X13</f>
        <v>0</v>
      </c>
      <c r="Z28" s="86">
        <f>'SFP-2022'!Y13</f>
        <v>0</v>
      </c>
      <c r="AA28" s="86">
        <f>'SFP-2022'!Z13</f>
        <v>0</v>
      </c>
      <c r="AB28" s="86">
        <f>'SFP-2022'!AA13</f>
        <v>0</v>
      </c>
      <c r="AC28" s="86">
        <f>'SFP-2022'!AB13</f>
        <v>53247055</v>
      </c>
      <c r="AD28" s="86">
        <f>'SFP-2022'!AC13</f>
        <v>0</v>
      </c>
      <c r="AE28" s="86">
        <f>'SFP-2022'!AD13</f>
        <v>0</v>
      </c>
      <c r="AF28" s="86">
        <f>'SFP-2022'!AE13</f>
        <v>0</v>
      </c>
      <c r="AG28" s="86">
        <f>'SFP-2022'!AF13</f>
        <v>0</v>
      </c>
      <c r="AH28" s="86">
        <f>'SFP-2022'!AG13</f>
        <v>0</v>
      </c>
      <c r="AI28" s="86">
        <f>'SFP-2022'!AH13</f>
        <v>0</v>
      </c>
    </row>
    <row r="29" spans="1:35">
      <c r="A29" s="23">
        <v>6.3</v>
      </c>
      <c r="B29" s="79" t="s">
        <v>133</v>
      </c>
      <c r="C29" s="90">
        <f>'SFP-2022'!B11</f>
        <v>848324872</v>
      </c>
      <c r="D29" s="90">
        <f>'SFP-2022'!C11</f>
        <v>842288530.21000004</v>
      </c>
      <c r="E29" s="90">
        <f>'SFP-2022'!D11</f>
        <v>842538640.21000004</v>
      </c>
      <c r="F29" s="90">
        <f>'SFP-2022'!E11</f>
        <v>842676057.21000004</v>
      </c>
      <c r="G29" s="90">
        <f>'SFP-2022'!F11</f>
        <v>842804395.21000004</v>
      </c>
      <c r="H29" s="90">
        <f>'SFP-2022'!G11</f>
        <v>842854395.21000004</v>
      </c>
      <c r="I29" s="90">
        <f>'SFP-2022'!H11</f>
        <v>842993355.21000004</v>
      </c>
      <c r="J29" s="90">
        <f>'SFP-2022'!I11</f>
        <v>842993355.21000004</v>
      </c>
      <c r="K29" s="90">
        <f>'SFP-2022'!J11</f>
        <v>843086737.21000004</v>
      </c>
      <c r="L29" s="90">
        <f>'SFP-2022'!K11</f>
        <v>845086737.21000004</v>
      </c>
      <c r="M29" s="90">
        <f>'SFP-2022'!L11</f>
        <v>845086737.21000004</v>
      </c>
      <c r="N29" s="90">
        <f>'SFP-2022'!M11</f>
        <v>845182236.21000004</v>
      </c>
      <c r="O29" s="90">
        <f>'SFP-2022'!N11</f>
        <v>919044826.32000005</v>
      </c>
      <c r="P29" s="90">
        <f>'SFP-2022'!O11</f>
        <v>927895776</v>
      </c>
      <c r="Q29" s="90">
        <f>'SFP-2022'!P11</f>
        <v>878394082.11000001</v>
      </c>
      <c r="R29" s="90">
        <f>'SFP-2022'!Q11</f>
        <v>878394082.11000001</v>
      </c>
      <c r="S29" s="90">
        <f>'SFP-2022'!R11</f>
        <v>878394082.11000001</v>
      </c>
      <c r="T29" s="90">
        <f>'SFP-2022'!S11</f>
        <v>878394082.11000001</v>
      </c>
      <c r="U29" s="90">
        <f>'SFP-2022'!T11</f>
        <v>878394082.11000001</v>
      </c>
      <c r="V29" s="90">
        <f>'SFP-2022'!U11</f>
        <v>878325248.11000001</v>
      </c>
      <c r="W29" s="90">
        <f>'SFP-2022'!V11</f>
        <v>878325248.11000001</v>
      </c>
      <c r="X29" s="90">
        <f>'SFP-2022'!W11</f>
        <v>878325248.11000001</v>
      </c>
      <c r="Y29" s="90">
        <f>'SFP-2022'!X11</f>
        <v>777175248.11000001</v>
      </c>
      <c r="Z29" s="90">
        <f>'SFP-2022'!Y11</f>
        <v>777175248.11000001</v>
      </c>
      <c r="AA29" s="90">
        <f>'SFP-2022'!Z11</f>
        <v>777175248.11000001</v>
      </c>
      <c r="AB29" s="90">
        <f>'SFP-2022'!AA11</f>
        <v>777208303.11000001</v>
      </c>
      <c r="AC29" s="90">
        <f>'SFP-2022'!AB11</f>
        <v>1586437</v>
      </c>
      <c r="AD29" s="90">
        <f>'SFP-2022'!AC11</f>
        <v>770670896.50999999</v>
      </c>
      <c r="AE29" s="90">
        <f>'SFP-2022'!AD11</f>
        <v>770670896.50999999</v>
      </c>
      <c r="AF29" s="90">
        <f>'SFP-2022'!AE11</f>
        <v>770670896.50999999</v>
      </c>
      <c r="AG29" s="90">
        <f>'SFP-2022'!AF11</f>
        <v>769567265.60000002</v>
      </c>
      <c r="AH29" s="90">
        <f>'SFP-2022'!AG11</f>
        <v>769567265.60000002</v>
      </c>
      <c r="AI29" s="90">
        <f>'SFP-2022'!AH11</f>
        <v>769567265.60000002</v>
      </c>
    </row>
    <row r="30" spans="1:35">
      <c r="A30" s="19"/>
      <c r="B30" s="30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</row>
    <row r="31" spans="1:35">
      <c r="A31" s="21">
        <v>7</v>
      </c>
      <c r="B31" s="81" t="s">
        <v>65</v>
      </c>
      <c r="C31" s="89">
        <f>C32-C33</f>
        <v>2087101217</v>
      </c>
      <c r="D31" s="89">
        <f t="shared" ref="D31:AH31" si="8">D32-D33</f>
        <v>2097745593.3399999</v>
      </c>
      <c r="E31" s="89">
        <f t="shared" si="8"/>
        <v>2119351092.5800002</v>
      </c>
      <c r="F31" s="89">
        <f t="shared" si="8"/>
        <v>2134402215.7800002</v>
      </c>
      <c r="G31" s="89">
        <f t="shared" si="8"/>
        <v>2145049747.3600001</v>
      </c>
      <c r="H31" s="89">
        <f t="shared" si="8"/>
        <v>2140970560.77</v>
      </c>
      <c r="I31" s="89">
        <f t="shared" si="8"/>
        <v>2169940901.1600003</v>
      </c>
      <c r="J31" s="89">
        <f t="shared" si="8"/>
        <v>2214124114.1799998</v>
      </c>
      <c r="K31" s="89">
        <f t="shared" si="8"/>
        <v>2193641788.0899997</v>
      </c>
      <c r="L31" s="89">
        <f t="shared" si="8"/>
        <v>2219116245.2799997</v>
      </c>
      <c r="M31" s="89">
        <f t="shared" si="8"/>
        <v>2252288920.1199999</v>
      </c>
      <c r="N31" s="89">
        <f t="shared" si="8"/>
        <v>2283624164.3800001</v>
      </c>
      <c r="O31" s="89">
        <f t="shared" si="8"/>
        <v>2327597233.1000004</v>
      </c>
      <c r="P31" s="89">
        <f t="shared" si="8"/>
        <v>2327597233</v>
      </c>
      <c r="Q31" s="89">
        <f t="shared" si="8"/>
        <v>2324192701.98</v>
      </c>
      <c r="R31" s="89">
        <f t="shared" si="8"/>
        <v>2327055961.9499998</v>
      </c>
      <c r="S31" s="89">
        <f t="shared" si="8"/>
        <v>2386416645.0900002</v>
      </c>
      <c r="T31" s="89">
        <f t="shared" si="8"/>
        <v>2405501299.3199997</v>
      </c>
      <c r="U31" s="89">
        <f t="shared" si="8"/>
        <v>2371940139.2999997</v>
      </c>
      <c r="V31" s="89">
        <f t="shared" si="8"/>
        <v>2366832332.8699999</v>
      </c>
      <c r="W31" s="89">
        <f t="shared" si="8"/>
        <v>2444478424.0099998</v>
      </c>
      <c r="X31" s="89">
        <f t="shared" si="8"/>
        <v>2431557220.4899998</v>
      </c>
      <c r="Y31" s="89">
        <f t="shared" si="8"/>
        <v>2468484361.3299999</v>
      </c>
      <c r="Z31" s="89">
        <f t="shared" si="8"/>
        <v>2499639027.8099999</v>
      </c>
      <c r="AA31" s="89">
        <f t="shared" si="8"/>
        <v>2566574929.3099999</v>
      </c>
      <c r="AB31" s="89">
        <f t="shared" si="8"/>
        <v>2639682149.0599999</v>
      </c>
      <c r="AC31" s="89">
        <f t="shared" si="8"/>
        <v>2639682149</v>
      </c>
      <c r="AD31" s="89">
        <f t="shared" si="8"/>
        <v>2736503684.9199996</v>
      </c>
      <c r="AE31" s="89">
        <f t="shared" si="8"/>
        <v>2759269890.5899997</v>
      </c>
      <c r="AF31" s="89">
        <f t="shared" si="8"/>
        <v>2812531007.1599998</v>
      </c>
      <c r="AG31" s="89">
        <f t="shared" si="8"/>
        <v>2925249108.0300002</v>
      </c>
      <c r="AH31" s="89">
        <f t="shared" si="8"/>
        <v>2948726371.5500002</v>
      </c>
      <c r="AI31" s="89">
        <f t="shared" ref="AI31" si="9">AI32-AI33</f>
        <v>2861719076.3299999</v>
      </c>
    </row>
    <row r="32" spans="1:35">
      <c r="A32" s="22">
        <v>7.1</v>
      </c>
      <c r="B32" s="39" t="s">
        <v>134</v>
      </c>
      <c r="C32" s="86">
        <f>'SFP-2022'!B15</f>
        <v>2153084789</v>
      </c>
      <c r="D32" s="86">
        <f>'SFP-2022'!C15</f>
        <v>2165214735.6199999</v>
      </c>
      <c r="E32" s="86">
        <f>'SFP-2022'!D15</f>
        <v>2190595339.0300002</v>
      </c>
      <c r="F32" s="86">
        <f>'SFP-2022'!E15</f>
        <v>2198506345.8800001</v>
      </c>
      <c r="G32" s="86">
        <f>'SFP-2022'!F15</f>
        <v>2212463788.5300002</v>
      </c>
      <c r="H32" s="86">
        <f>'SFP-2022'!G15</f>
        <v>2210957060.52</v>
      </c>
      <c r="I32" s="86">
        <f>'SFP-2022'!H15</f>
        <v>2247154049.5700002</v>
      </c>
      <c r="J32" s="86">
        <f>'SFP-2022'!I15</f>
        <v>2298248117.5599999</v>
      </c>
      <c r="K32" s="86">
        <f>'SFP-2022'!J15</f>
        <v>2281765791.4699998</v>
      </c>
      <c r="L32" s="86">
        <f>'SFP-2022'!K15</f>
        <v>2311240248.6599998</v>
      </c>
      <c r="M32" s="86">
        <f>'SFP-2022'!L15</f>
        <v>2348412923.5</v>
      </c>
      <c r="N32" s="86">
        <f>'SFP-2022'!M15</f>
        <v>2383748167.7600002</v>
      </c>
      <c r="O32" s="86">
        <f>'SFP-2022'!N15</f>
        <v>2397378724.0700002</v>
      </c>
      <c r="P32" s="86">
        <f>'SFP-2022'!O15</f>
        <v>2397378724</v>
      </c>
      <c r="Q32" s="86">
        <f>'SFP-2022'!P15</f>
        <v>2395017374.8800001</v>
      </c>
      <c r="R32" s="86">
        <f>'SFP-2022'!Q15</f>
        <v>2399331393.21</v>
      </c>
      <c r="S32" s="86">
        <f>'SFP-2022'!R15</f>
        <v>2460131327.0700002</v>
      </c>
      <c r="T32" s="86">
        <f>'SFP-2022'!S15</f>
        <v>2482092417.0799999</v>
      </c>
      <c r="U32" s="86">
        <f>'SFP-2022'!T15</f>
        <v>2450641897.1399999</v>
      </c>
      <c r="V32" s="86">
        <f>'SFP-2022'!U15</f>
        <v>2445534090.71</v>
      </c>
      <c r="W32" s="86">
        <f>'SFP-2022'!V15</f>
        <v>2523180181.8499999</v>
      </c>
      <c r="X32" s="86">
        <f>'SFP-2022'!W15</f>
        <v>2510258978.3299999</v>
      </c>
      <c r="Y32" s="86">
        <f>'SFP-2022'!X15</f>
        <v>2547186119.1700001</v>
      </c>
      <c r="Z32" s="86">
        <f>'SFP-2022'!Y15</f>
        <v>2579590878.8499999</v>
      </c>
      <c r="AA32" s="86">
        <f>'SFP-2022'!Z15</f>
        <v>2647776780.3499999</v>
      </c>
      <c r="AB32" s="86">
        <f>'SFP-2022'!AA15</f>
        <v>2720294275.21</v>
      </c>
      <c r="AC32" s="86">
        <f>'SFP-2022'!AB15</f>
        <v>2720294275</v>
      </c>
      <c r="AD32" s="86">
        <f>'SFP-2022'!AC15</f>
        <v>2820161322.2199998</v>
      </c>
      <c r="AE32" s="86">
        <f>'SFP-2022'!AD15</f>
        <v>2844689781.2199998</v>
      </c>
      <c r="AF32" s="86">
        <f>'SFP-2022'!AE15</f>
        <v>2898979132.8299999</v>
      </c>
      <c r="AG32" s="86">
        <f>'SFP-2022'!AF15</f>
        <v>3015480843.1100001</v>
      </c>
      <c r="AH32" s="86">
        <f>'SFP-2022'!AG15</f>
        <v>3038958106.6300001</v>
      </c>
      <c r="AI32" s="86">
        <f>'SFP-2022'!AH15</f>
        <v>2951950811.4099998</v>
      </c>
    </row>
    <row r="33" spans="1:35">
      <c r="A33" s="22">
        <v>7.3</v>
      </c>
      <c r="B33" s="39" t="s">
        <v>135</v>
      </c>
      <c r="C33" s="86">
        <f>'SFP-2022'!B16</f>
        <v>65983572</v>
      </c>
      <c r="D33" s="86">
        <f>'SFP-2022'!C16</f>
        <v>67469142.280000001</v>
      </c>
      <c r="E33" s="86">
        <f>'SFP-2022'!D16</f>
        <v>71244246.450000003</v>
      </c>
      <c r="F33" s="86">
        <f>'SFP-2022'!E16</f>
        <v>64104130.100000001</v>
      </c>
      <c r="G33" s="86">
        <f>'SFP-2022'!F16</f>
        <v>67414041.170000002</v>
      </c>
      <c r="H33" s="86">
        <f>'SFP-2022'!G16</f>
        <v>69986499.75</v>
      </c>
      <c r="I33" s="86">
        <f>'SFP-2022'!H16</f>
        <v>77213148.409999996</v>
      </c>
      <c r="J33" s="86">
        <f>'SFP-2022'!I16</f>
        <v>84124003.379999995</v>
      </c>
      <c r="K33" s="86">
        <f>'SFP-2022'!J16</f>
        <v>88124003.379999995</v>
      </c>
      <c r="L33" s="86">
        <f>'SFP-2022'!K16</f>
        <v>92124003.379999995</v>
      </c>
      <c r="M33" s="86">
        <f>'SFP-2022'!L16</f>
        <v>96124003.379999995</v>
      </c>
      <c r="N33" s="86">
        <f>'SFP-2022'!M16</f>
        <v>100124003.38</v>
      </c>
      <c r="O33" s="86">
        <f>'SFP-2022'!N16</f>
        <v>69781490.969999999</v>
      </c>
      <c r="P33" s="86">
        <f>'SFP-2022'!O16</f>
        <v>69781491</v>
      </c>
      <c r="Q33" s="86">
        <f>'SFP-2022'!P16</f>
        <v>70824672.900000006</v>
      </c>
      <c r="R33" s="86">
        <f>'SFP-2022'!Q16</f>
        <v>72275431.260000005</v>
      </c>
      <c r="S33" s="86">
        <f>'SFP-2022'!R16</f>
        <v>73714681.980000004</v>
      </c>
      <c r="T33" s="86">
        <f>'SFP-2022'!S16</f>
        <v>76591117.760000005</v>
      </c>
      <c r="U33" s="86">
        <f>'SFP-2022'!T16</f>
        <v>78701757.840000004</v>
      </c>
      <c r="V33" s="86">
        <f>'SFP-2022'!U16</f>
        <v>78701757.840000004</v>
      </c>
      <c r="W33" s="86">
        <f>'SFP-2022'!V16</f>
        <v>78701757.840000004</v>
      </c>
      <c r="X33" s="86">
        <f>'SFP-2022'!W16</f>
        <v>78701757.840000004</v>
      </c>
      <c r="Y33" s="86">
        <f>'SFP-2022'!X16</f>
        <v>78701757.840000004</v>
      </c>
      <c r="Z33" s="86">
        <f>'SFP-2022'!Y16</f>
        <v>79951851.040000007</v>
      </c>
      <c r="AA33" s="86">
        <f>'SFP-2022'!Z16</f>
        <v>81201851.040000007</v>
      </c>
      <c r="AB33" s="86">
        <f>'SFP-2022'!AA16</f>
        <v>80612126.150000006</v>
      </c>
      <c r="AC33" s="86">
        <f>'SFP-2022'!AB16</f>
        <v>80612126</v>
      </c>
      <c r="AD33" s="86">
        <f>'SFP-2022'!AC16</f>
        <v>83657637.299999997</v>
      </c>
      <c r="AE33" s="86">
        <f>'SFP-2022'!AD16</f>
        <v>85419890.629999995</v>
      </c>
      <c r="AF33" s="86">
        <f>'SFP-2022'!AE16</f>
        <v>86448125.670000002</v>
      </c>
      <c r="AG33" s="86">
        <f>'SFP-2022'!AF16</f>
        <v>90231735.079999998</v>
      </c>
      <c r="AH33" s="86">
        <f>'SFP-2022'!AG16</f>
        <v>90231735.079999998</v>
      </c>
      <c r="AI33" s="86">
        <f>'SFP-2022'!AH16</f>
        <v>90231735.079999998</v>
      </c>
    </row>
    <row r="34" spans="1:35" hidden="1">
      <c r="A34" s="31">
        <v>7.4</v>
      </c>
      <c r="B34" s="39" t="s">
        <v>136</v>
      </c>
      <c r="C34" s="92" t="e">
        <f>(#REF!+#REF!+#REF!)</f>
        <v>#REF!</v>
      </c>
      <c r="D34" s="92" t="e">
        <f>(#REF!+#REF!+#REF!)</f>
        <v>#REF!</v>
      </c>
      <c r="E34" s="92" t="e">
        <f>(#REF!+#REF!+#REF!)</f>
        <v>#REF!</v>
      </c>
      <c r="F34" s="92" t="e">
        <f>(#REF!+#REF!+#REF!)</f>
        <v>#REF!</v>
      </c>
      <c r="G34" s="92" t="e">
        <f>(#REF!+#REF!+#REF!)</f>
        <v>#REF!</v>
      </c>
      <c r="H34" s="92" t="e">
        <f>(#REF!+#REF!+#REF!)</f>
        <v>#REF!</v>
      </c>
      <c r="I34" s="92" t="e">
        <f>(#REF!+#REF!+#REF!)</f>
        <v>#REF!</v>
      </c>
      <c r="J34" s="92" t="e">
        <f>(#REF!+#REF!+#REF!)</f>
        <v>#REF!</v>
      </c>
      <c r="K34" s="92" t="e">
        <f>(#REF!+#REF!+#REF!)</f>
        <v>#REF!</v>
      </c>
      <c r="L34" s="92" t="e">
        <f>(#REF!+#REF!+#REF!)</f>
        <v>#REF!</v>
      </c>
      <c r="M34" s="92" t="e">
        <f>(#REF!+#REF!+#REF!)</f>
        <v>#REF!</v>
      </c>
      <c r="N34" s="92" t="e">
        <f>(#REF!+#REF!+#REF!)</f>
        <v>#REF!</v>
      </c>
      <c r="O34" s="92" t="e">
        <f>(#REF!+#REF!+#REF!)</f>
        <v>#REF!</v>
      </c>
      <c r="P34" s="92" t="e">
        <f>(#REF!+#REF!+#REF!)</f>
        <v>#REF!</v>
      </c>
      <c r="Q34" s="92" t="e">
        <f>(#REF!+#REF!+#REF!)</f>
        <v>#REF!</v>
      </c>
      <c r="R34" s="92" t="e">
        <f>(#REF!+#REF!+#REF!)</f>
        <v>#REF!</v>
      </c>
      <c r="S34" s="92" t="e">
        <f>(#REF!+#REF!+#REF!)</f>
        <v>#REF!</v>
      </c>
      <c r="T34" s="92" t="e">
        <f>(#REF!+#REF!+#REF!)</f>
        <v>#REF!</v>
      </c>
      <c r="U34" s="92" t="e">
        <f>(#REF!+#REF!+#REF!)</f>
        <v>#REF!</v>
      </c>
      <c r="V34" s="92" t="e">
        <f>(#REF!+#REF!+#REF!)</f>
        <v>#REF!</v>
      </c>
      <c r="W34" s="92" t="e">
        <f>(#REF!+#REF!+#REF!)</f>
        <v>#REF!</v>
      </c>
      <c r="X34" s="92" t="e">
        <f>(#REF!+#REF!+#REF!)</f>
        <v>#REF!</v>
      </c>
      <c r="Y34" s="92" t="e">
        <f>(#REF!+#REF!+#REF!)</f>
        <v>#REF!</v>
      </c>
      <c r="Z34" s="92" t="e">
        <f>(#REF!+#REF!+#REF!)</f>
        <v>#REF!</v>
      </c>
      <c r="AA34" s="92" t="e">
        <f>(#REF!+#REF!+#REF!)</f>
        <v>#REF!</v>
      </c>
      <c r="AB34" s="92" t="e">
        <f>(#REF!+#REF!+#REF!)</f>
        <v>#REF!</v>
      </c>
      <c r="AC34" s="92" t="e">
        <f>(#REF!+#REF!+#REF!)</f>
        <v>#REF!</v>
      </c>
    </row>
    <row r="35" spans="1:35" hidden="1">
      <c r="A35" s="31">
        <v>7.5</v>
      </c>
      <c r="B35" s="82" t="s">
        <v>137</v>
      </c>
      <c r="C35" s="92" t="e">
        <f>#REF!</f>
        <v>#REF!</v>
      </c>
      <c r="D35" s="92" t="e">
        <f>#REF!</f>
        <v>#REF!</v>
      </c>
      <c r="E35" s="92" t="e">
        <f>#REF!</f>
        <v>#REF!</v>
      </c>
      <c r="F35" s="92" t="e">
        <f>#REF!</f>
        <v>#REF!</v>
      </c>
      <c r="G35" s="92" t="e">
        <f>#REF!</f>
        <v>#REF!</v>
      </c>
      <c r="H35" s="92" t="e">
        <f>#REF!</f>
        <v>#REF!</v>
      </c>
      <c r="I35" s="92" t="e">
        <f>#REF!</f>
        <v>#REF!</v>
      </c>
      <c r="J35" s="92" t="e">
        <f>#REF!</f>
        <v>#REF!</v>
      </c>
      <c r="K35" s="92" t="e">
        <f>#REF!</f>
        <v>#REF!</v>
      </c>
      <c r="L35" s="92" t="e">
        <f>#REF!</f>
        <v>#REF!</v>
      </c>
      <c r="M35" s="92" t="e">
        <f>#REF!</f>
        <v>#REF!</v>
      </c>
      <c r="N35" s="92" t="e">
        <f>#REF!</f>
        <v>#REF!</v>
      </c>
      <c r="O35" s="92" t="e">
        <f>#REF!</f>
        <v>#REF!</v>
      </c>
      <c r="P35" s="92" t="e">
        <f>#REF!</f>
        <v>#REF!</v>
      </c>
      <c r="Q35" s="92" t="e">
        <f>#REF!</f>
        <v>#REF!</v>
      </c>
      <c r="R35" s="92" t="e">
        <f>#REF!</f>
        <v>#REF!</v>
      </c>
      <c r="S35" s="92" t="e">
        <f>#REF!</f>
        <v>#REF!</v>
      </c>
      <c r="T35" s="92" t="e">
        <f>#REF!</f>
        <v>#REF!</v>
      </c>
      <c r="U35" s="92" t="e">
        <f>#REF!</f>
        <v>#REF!</v>
      </c>
      <c r="V35" s="92" t="e">
        <f>#REF!</f>
        <v>#REF!</v>
      </c>
      <c r="W35" s="92" t="e">
        <f>#REF!</f>
        <v>#REF!</v>
      </c>
      <c r="X35" s="92" t="e">
        <f>#REF!</f>
        <v>#REF!</v>
      </c>
      <c r="Y35" s="92" t="e">
        <f>#REF!</f>
        <v>#REF!</v>
      </c>
      <c r="Z35" s="92" t="e">
        <f>#REF!</f>
        <v>#REF!</v>
      </c>
      <c r="AA35" s="92" t="e">
        <f>#REF!</f>
        <v>#REF!</v>
      </c>
      <c r="AB35" s="92" t="e">
        <f>#REF!</f>
        <v>#REF!</v>
      </c>
      <c r="AC35" s="92" t="e">
        <f>#REF!</f>
        <v>#REF!</v>
      </c>
    </row>
    <row r="36" spans="1:35">
      <c r="A36" s="31">
        <v>7.6</v>
      </c>
      <c r="B36" s="32" t="s">
        <v>138</v>
      </c>
      <c r="C36" s="88">
        <f>'SFP-2022'!B4</f>
        <v>251294928</v>
      </c>
      <c r="D36" s="88">
        <f>'SFP-2022'!C4</f>
        <v>247750399.25999999</v>
      </c>
      <c r="E36" s="88">
        <f>'SFP-2022'!D4</f>
        <v>259133273.56999999</v>
      </c>
      <c r="F36" s="88">
        <f>'SFP-2022'!E4</f>
        <v>247395475.85999998</v>
      </c>
      <c r="G36" s="88">
        <f>'SFP-2022'!F4</f>
        <v>298103518.07999998</v>
      </c>
      <c r="H36" s="88">
        <f>'SFP-2022'!G4</f>
        <v>257270076.07000002</v>
      </c>
      <c r="I36" s="88">
        <f>'SFP-2022'!H4</f>
        <v>258353985.72</v>
      </c>
      <c r="J36" s="88">
        <f>'SFP-2022'!I4</f>
        <v>343704073.28000003</v>
      </c>
      <c r="K36" s="88">
        <f>'SFP-2022'!J4</f>
        <v>318061370.33000004</v>
      </c>
      <c r="L36" s="88">
        <f>'SFP-2022'!K4</f>
        <v>300709532.36000001</v>
      </c>
      <c r="M36" s="88">
        <f>'SFP-2022'!L4</f>
        <v>222978584.44999999</v>
      </c>
      <c r="N36" s="88">
        <f>'SFP-2022'!M4</f>
        <v>239346624.68000001</v>
      </c>
      <c r="O36" s="88">
        <f>'SFP-2022'!N4</f>
        <v>224206442.03999999</v>
      </c>
      <c r="P36" s="88">
        <f>'SFP-2022'!O4</f>
        <v>212893091</v>
      </c>
      <c r="Q36" s="88">
        <f>'SFP-2022'!P4</f>
        <v>261750291.03</v>
      </c>
      <c r="R36" s="88">
        <f>'SFP-2022'!Q4</f>
        <v>283317878.95999998</v>
      </c>
      <c r="S36" s="88">
        <f>'SFP-2022'!R4</f>
        <v>232870290.15000001</v>
      </c>
      <c r="T36" s="88">
        <f>'SFP-2022'!S4</f>
        <v>233041688.99000001</v>
      </c>
      <c r="U36" s="88">
        <f>'SFP-2022'!T4</f>
        <v>202970548.87</v>
      </c>
      <c r="V36" s="88">
        <f>'SFP-2022'!U4</f>
        <v>303912907.88999999</v>
      </c>
      <c r="W36" s="88">
        <f>'SFP-2022'!V4</f>
        <v>321607037.84000003</v>
      </c>
      <c r="X36" s="88">
        <f>'SFP-2022'!W4</f>
        <v>294010430</v>
      </c>
      <c r="Y36" s="88">
        <f>'SFP-2022'!X4</f>
        <v>328071440.98000002</v>
      </c>
      <c r="Z36" s="88">
        <f>'SFP-2022'!Y4</f>
        <v>264133258.27000001</v>
      </c>
      <c r="AA36" s="88">
        <f>'SFP-2022'!Z4</f>
        <v>205268753.22</v>
      </c>
      <c r="AB36" s="88">
        <f>'SFP-2022'!AA4</f>
        <v>230256009.03999999</v>
      </c>
      <c r="AC36" s="88">
        <f>'SFP-2022'!AB4</f>
        <v>217650307</v>
      </c>
      <c r="AD36" s="88">
        <f>'SFP-2022'!AC4</f>
        <v>288826208.23000002</v>
      </c>
      <c r="AE36" s="88">
        <f>'SFP-2022'!AD4</f>
        <v>264492886.56</v>
      </c>
      <c r="AF36" s="88">
        <f>'SFP-2022'!AE4</f>
        <v>278373849.10000002</v>
      </c>
      <c r="AG36" s="88">
        <f>'SFP-2022'!AF4</f>
        <v>299016891.67999995</v>
      </c>
      <c r="AH36" s="88">
        <f>'SFP-2022'!AG4</f>
        <v>225340796.94</v>
      </c>
      <c r="AI36" s="88">
        <f>'SFP-2022'!AH4</f>
        <v>361983016.22000003</v>
      </c>
    </row>
    <row r="37" spans="1:35">
      <c r="A37" s="19"/>
      <c r="B37" s="33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</row>
    <row r="38" spans="1:35">
      <c r="A38" s="21">
        <v>8</v>
      </c>
      <c r="B38" s="81" t="s">
        <v>139</v>
      </c>
      <c r="C38" s="89">
        <f>'SFP-2022'!B7+'SFP-2022'!B17+'SFP-2022'!B23+'SFP-2022'!B24+'SFP-2022'!B25+'SFP-2022'!B26</f>
        <v>1192548958</v>
      </c>
      <c r="D38" s="89">
        <f>'SFP-2022'!C7+'SFP-2022'!C17+'SFP-2022'!C23+'SFP-2022'!C24+'SFP-2022'!C25+'SFP-2022'!C26</f>
        <v>1201966093.6199999</v>
      </c>
      <c r="E38" s="89">
        <f>'SFP-2022'!D7+'SFP-2022'!D17+'SFP-2022'!D23+'SFP-2022'!D24+'SFP-2022'!D25+'SFP-2022'!D26</f>
        <v>1201550596.6500001</v>
      </c>
      <c r="F38" s="89">
        <f>'SFP-2022'!E7+'SFP-2022'!E17+'SFP-2022'!E23+'SFP-2022'!E24+'SFP-2022'!E25+'SFP-2022'!E26</f>
        <v>1204493718.51</v>
      </c>
      <c r="G38" s="89">
        <f>'SFP-2022'!F7+'SFP-2022'!F17+'SFP-2022'!F23+'SFP-2022'!F24+'SFP-2022'!F25+'SFP-2022'!F26</f>
        <v>1183915187.27</v>
      </c>
      <c r="H38" s="89">
        <f>'SFP-2022'!G7+'SFP-2022'!G17+'SFP-2022'!G23+'SFP-2022'!G24+'SFP-2022'!G25+'SFP-2022'!G26</f>
        <v>1198811914.3499999</v>
      </c>
      <c r="I38" s="89">
        <f>'SFP-2022'!H7+'SFP-2022'!H17+'SFP-2022'!H23+'SFP-2022'!H24+'SFP-2022'!H25+'SFP-2022'!H26</f>
        <v>1182069049.3</v>
      </c>
      <c r="J38" s="89">
        <f>'SFP-2022'!I7+'SFP-2022'!I17+'SFP-2022'!I23+'SFP-2022'!I24+'SFP-2022'!I25+'SFP-2022'!I26</f>
        <v>1181306993.1099999</v>
      </c>
      <c r="K38" s="89">
        <f>'SFP-2022'!J7+'SFP-2022'!J17+'SFP-2022'!J23+'SFP-2022'!J24+'SFP-2022'!J25+'SFP-2022'!J26</f>
        <v>1252924305.53</v>
      </c>
      <c r="L38" s="89">
        <f>'SFP-2022'!K7+'SFP-2022'!K17+'SFP-2022'!K23+'SFP-2022'!K24+'SFP-2022'!K25+'SFP-2022'!K26</f>
        <v>1251818731.22</v>
      </c>
      <c r="M38" s="89">
        <f>'SFP-2022'!L7+'SFP-2022'!L17+'SFP-2022'!L23+'SFP-2022'!L24+'SFP-2022'!L25+'SFP-2022'!L26</f>
        <v>1283026416.6599998</v>
      </c>
      <c r="N38" s="89">
        <f>'SFP-2022'!M7+'SFP-2022'!M17+'SFP-2022'!M23+'SFP-2022'!M24+'SFP-2022'!M25+'SFP-2022'!M26</f>
        <v>1263844891.9200001</v>
      </c>
      <c r="O38" s="89">
        <f>'SFP-2022'!N7+'SFP-2022'!N17+'SFP-2022'!N23+'SFP-2022'!N24+'SFP-2022'!N25+'SFP-2022'!N26</f>
        <v>1244261298.6300001</v>
      </c>
      <c r="P38" s="89">
        <f>'SFP-2022'!O7+'SFP-2022'!O17+'SFP-2022'!O23+'SFP-2022'!O24+'SFP-2022'!O25+'SFP-2022'!O26</f>
        <v>1243805222</v>
      </c>
      <c r="Q38" s="89">
        <f>'SFP-2022'!P7+'SFP-2022'!P17+'SFP-2022'!P23+'SFP-2022'!P24+'SFP-2022'!P25+'SFP-2022'!P26</f>
        <v>1247189208.6799998</v>
      </c>
      <c r="R38" s="89">
        <f>'SFP-2022'!Q7+'SFP-2022'!Q17+'SFP-2022'!Q23+'SFP-2022'!Q24+'SFP-2022'!Q25+'SFP-2022'!Q26</f>
        <v>1252540056.6299999</v>
      </c>
      <c r="S38" s="89">
        <f>'SFP-2022'!R7+'SFP-2022'!R17+'SFP-2022'!R23+'SFP-2022'!R24+'SFP-2022'!R25+'SFP-2022'!R26</f>
        <v>1252064117.79</v>
      </c>
      <c r="T38" s="89">
        <f>'SFP-2022'!S7+'SFP-2022'!S17+'SFP-2022'!S23+'SFP-2022'!S24+'SFP-2022'!S25+'SFP-2022'!S26</f>
        <v>1253977723.0899999</v>
      </c>
      <c r="U38" s="89">
        <f>'SFP-2022'!T7+'SFP-2022'!T17+'SFP-2022'!T23+'SFP-2022'!T24+'SFP-2022'!T25+'SFP-2022'!T26</f>
        <v>1246411978.48</v>
      </c>
      <c r="V38" s="89">
        <f>'SFP-2022'!U7+'SFP-2022'!U17+'SFP-2022'!U23+'SFP-2022'!U24+'SFP-2022'!U25+'SFP-2022'!U26</f>
        <v>1246593593.3399999</v>
      </c>
      <c r="W38" s="89">
        <f>'SFP-2022'!V7+'SFP-2022'!V17+'SFP-2022'!V23+'SFP-2022'!V24+'SFP-2022'!V25+'SFP-2022'!V26</f>
        <v>1172151130.9200001</v>
      </c>
      <c r="X38" s="89">
        <f>'SFP-2022'!W7+'SFP-2022'!W17+'SFP-2022'!W23+'SFP-2022'!W24+'SFP-2022'!W25+'SFP-2022'!W26</f>
        <v>1219984101.8099999</v>
      </c>
      <c r="Y38" s="89">
        <f>'SFP-2022'!X7+'SFP-2022'!X17+'SFP-2022'!X23+'SFP-2022'!X24+'SFP-2022'!X25+'SFP-2022'!X26</f>
        <v>1246839550.29</v>
      </c>
      <c r="Z38" s="89">
        <f>'SFP-2022'!Y7+'SFP-2022'!Y17+'SFP-2022'!Y23+'SFP-2022'!Y24+'SFP-2022'!Y25+'SFP-2022'!Y26</f>
        <v>1247904423.6600001</v>
      </c>
      <c r="AA38" s="89">
        <f>'SFP-2022'!Z7+'SFP-2022'!Z17+'SFP-2022'!Z23+'SFP-2022'!Z24+'SFP-2022'!Z25+'SFP-2022'!Z26</f>
        <v>1262988140.21</v>
      </c>
      <c r="AB38" s="89">
        <f>'SFP-2022'!AA7+'SFP-2022'!AA17+'SFP-2022'!AA23+'SFP-2022'!AA24+'SFP-2022'!AA25+'SFP-2022'!AA26</f>
        <v>1147306000.5699999</v>
      </c>
      <c r="AC38" s="89">
        <f>'SFP-2022'!AB7+'SFP-2022'!AB17+'SFP-2022'!AB23+'SFP-2022'!AB24+'SFP-2022'!AB25+'SFP-2022'!AB26</f>
        <v>1143226353</v>
      </c>
      <c r="AD38" s="89">
        <f>'SFP-2022'!AC7+'SFP-2022'!AC17+'SFP-2022'!AC23+'SFP-2022'!AC24+'SFP-2022'!AC25+'SFP-2022'!AC26</f>
        <v>1144278735.5999999</v>
      </c>
      <c r="AE38" s="89">
        <f>'SFP-2022'!AD7+'SFP-2022'!AD17+'SFP-2022'!AD23+'SFP-2022'!AD24+'SFP-2022'!AD25+'SFP-2022'!AD26</f>
        <v>1151027527.53</v>
      </c>
      <c r="AF38" s="89">
        <f>'SFP-2022'!AE7+'SFP-2022'!AE17+'SFP-2022'!AE23+'SFP-2022'!AE24+'SFP-2022'!AE25+'SFP-2022'!AE26</f>
        <v>1147582786.73</v>
      </c>
      <c r="AG38" s="89">
        <f>'SFP-2022'!AF7+'SFP-2022'!AF17+'SFP-2022'!AF23+'SFP-2022'!AF24+'SFP-2022'!AF25+'SFP-2022'!AF26</f>
        <v>1073516653.47</v>
      </c>
      <c r="AH38" s="89">
        <f>'SFP-2022'!AG7+'SFP-2022'!AG17+'SFP-2022'!AG23+'SFP-2022'!AG24+'SFP-2022'!AG25+'SFP-2022'!AG26</f>
        <v>1175096266.3499999</v>
      </c>
      <c r="AI38" s="89">
        <f>'SFP-2022'!AH7+'SFP-2022'!AH17+'SFP-2022'!AH23+'SFP-2022'!AH24+'SFP-2022'!AH25+'SFP-2022'!AH26</f>
        <v>1152206643.2</v>
      </c>
    </row>
    <row r="39" spans="1:35">
      <c r="A39" s="23">
        <v>8.1</v>
      </c>
      <c r="B39" s="41" t="s">
        <v>140</v>
      </c>
      <c r="C39" s="90">
        <f>'SFP-2022'!B23</f>
        <v>138210245</v>
      </c>
      <c r="D39" s="90">
        <f>'SFP-2022'!C23</f>
        <v>137502307.86000001</v>
      </c>
      <c r="E39" s="90">
        <f>'SFP-2022'!D23</f>
        <v>137407590.24000001</v>
      </c>
      <c r="F39" s="90">
        <f>'SFP-2022'!E23</f>
        <v>137000872.62</v>
      </c>
      <c r="G39" s="90">
        <f>'SFP-2022'!F23</f>
        <v>140286665</v>
      </c>
      <c r="H39" s="90">
        <f>'SFP-2022'!G23</f>
        <v>140505987.38</v>
      </c>
      <c r="I39" s="90">
        <f>'SFP-2022'!H23</f>
        <v>140681601.75999999</v>
      </c>
      <c r="J39" s="90">
        <f>'SFP-2022'!I23</f>
        <v>140773664.13999999</v>
      </c>
      <c r="K39" s="90">
        <f>'SFP-2022'!J23</f>
        <v>142065215.52000001</v>
      </c>
      <c r="L39" s="90">
        <f>'SFP-2022'!K23</f>
        <v>141357277.90000001</v>
      </c>
      <c r="M39" s="90">
        <f>'SFP-2022'!L23</f>
        <v>141209340.28</v>
      </c>
      <c r="N39" s="90">
        <f>'SFP-2022'!M23</f>
        <v>141053252.66</v>
      </c>
      <c r="O39" s="90">
        <f>'SFP-2022'!N23</f>
        <v>141290598.84</v>
      </c>
      <c r="P39" s="90">
        <f>'SFP-2022'!O23</f>
        <v>140958466</v>
      </c>
      <c r="Q39" s="90">
        <f>'SFP-2022'!P23</f>
        <v>142280982.44</v>
      </c>
      <c r="R39" s="90">
        <f>'SFP-2022'!Q23</f>
        <v>144731966.03999999</v>
      </c>
      <c r="S39" s="90">
        <f>'SFP-2022'!R23</f>
        <v>145076689.63999999</v>
      </c>
      <c r="T39" s="90">
        <f>'SFP-2022'!S23</f>
        <v>144431413.24000001</v>
      </c>
      <c r="U39" s="90">
        <f>'SFP-2022'!T23</f>
        <v>144044346.84</v>
      </c>
      <c r="V39" s="90">
        <f>'SFP-2022'!U23</f>
        <v>143749180.44</v>
      </c>
      <c r="W39" s="90">
        <f>'SFP-2022'!V23</f>
        <v>143103904.03999999</v>
      </c>
      <c r="X39" s="90">
        <f>'SFP-2022'!W23</f>
        <v>142364490.63999999</v>
      </c>
      <c r="Y39" s="90">
        <f>'SFP-2022'!X23</f>
        <v>145772959.24000001</v>
      </c>
      <c r="Z39" s="90">
        <f>'SFP-2022'!Y23</f>
        <v>145403383.84</v>
      </c>
      <c r="AA39" s="90">
        <f>'SFP-2022'!Z23</f>
        <v>145385587.44</v>
      </c>
      <c r="AB39" s="90">
        <f>'SFP-2022'!AA23</f>
        <v>147957343.03999999</v>
      </c>
      <c r="AC39" s="90">
        <f>'SFP-2022'!AB23</f>
        <v>146212040</v>
      </c>
      <c r="AD39" s="90">
        <f>'SFP-2022'!AC23</f>
        <v>150043612.21000001</v>
      </c>
      <c r="AE39" s="90">
        <f>'SFP-2022'!AD23</f>
        <v>154706596.31</v>
      </c>
      <c r="AF39" s="90">
        <f>'SFP-2022'!AE23</f>
        <v>154981165.41</v>
      </c>
      <c r="AG39" s="90">
        <f>'SFP-2022'!AF23</f>
        <v>155148012.50999999</v>
      </c>
      <c r="AH39" s="90">
        <f>'SFP-2022'!AG23</f>
        <v>158885471.61000001</v>
      </c>
      <c r="AI39" s="90">
        <f>'SFP-2022'!AH23</f>
        <v>160472661.71000001</v>
      </c>
    </row>
    <row r="40" spans="1:35">
      <c r="A40" s="19"/>
      <c r="B40" s="20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93"/>
      <c r="AC40" s="93"/>
    </row>
    <row r="41" spans="1:35">
      <c r="A41" s="34">
        <v>9</v>
      </c>
      <c r="B41" s="83" t="s">
        <v>141</v>
      </c>
      <c r="C41" s="89">
        <f>C42+C43+C44</f>
        <v>914955301</v>
      </c>
      <c r="D41" s="89">
        <f t="shared" ref="D41:AH41" si="10">D42+D43+D44</f>
        <v>214473944.44999999</v>
      </c>
      <c r="E41" s="89">
        <f t="shared" si="10"/>
        <v>235738249.73000002</v>
      </c>
      <c r="F41" s="89">
        <f t="shared" si="10"/>
        <v>240685936.50999999</v>
      </c>
      <c r="G41" s="89">
        <f t="shared" si="10"/>
        <v>225750549.31</v>
      </c>
      <c r="H41" s="89">
        <f t="shared" si="10"/>
        <v>204147730.56999999</v>
      </c>
      <c r="I41" s="89">
        <f t="shared" si="10"/>
        <v>208060476.69</v>
      </c>
      <c r="J41" s="89">
        <f t="shared" si="10"/>
        <v>209566954.22</v>
      </c>
      <c r="K41" s="89">
        <f t="shared" si="10"/>
        <v>218107170.47999999</v>
      </c>
      <c r="L41" s="89">
        <f t="shared" si="10"/>
        <v>220052863.09999999</v>
      </c>
      <c r="M41" s="89">
        <f t="shared" si="10"/>
        <v>224543725.31</v>
      </c>
      <c r="N41" s="89">
        <f t="shared" si="10"/>
        <v>227925247.47999999</v>
      </c>
      <c r="O41" s="89">
        <f t="shared" si="10"/>
        <v>284545759</v>
      </c>
      <c r="P41" s="89">
        <f t="shared" si="10"/>
        <v>1035086151</v>
      </c>
      <c r="Q41" s="89">
        <f t="shared" si="10"/>
        <v>291683521.15999997</v>
      </c>
      <c r="R41" s="89">
        <f t="shared" si="10"/>
        <v>261276778.25</v>
      </c>
      <c r="S41" s="89">
        <f t="shared" si="10"/>
        <v>256280806.49000001</v>
      </c>
      <c r="T41" s="89">
        <f t="shared" si="10"/>
        <v>260343387.05000001</v>
      </c>
      <c r="U41" s="89">
        <f t="shared" si="10"/>
        <v>259525327.97</v>
      </c>
      <c r="V41" s="89">
        <f t="shared" si="10"/>
        <v>267673393.31</v>
      </c>
      <c r="W41" s="89">
        <f t="shared" si="10"/>
        <v>265061003.21000001</v>
      </c>
      <c r="X41" s="89">
        <f t="shared" si="10"/>
        <v>270918587.56999999</v>
      </c>
      <c r="Y41" s="89">
        <f t="shared" si="10"/>
        <v>275685338.75</v>
      </c>
      <c r="Z41" s="89">
        <f t="shared" si="10"/>
        <v>281415717.14999998</v>
      </c>
      <c r="AA41" s="89">
        <f t="shared" si="10"/>
        <v>286097694.94</v>
      </c>
      <c r="AB41" s="89">
        <f t="shared" si="10"/>
        <v>278564759.81999999</v>
      </c>
      <c r="AC41" s="89">
        <f t="shared" si="10"/>
        <v>938861214</v>
      </c>
      <c r="AD41" s="89">
        <f t="shared" si="10"/>
        <v>312329073.53000003</v>
      </c>
      <c r="AE41" s="89">
        <f t="shared" si="10"/>
        <v>316184624.49000001</v>
      </c>
      <c r="AF41" s="89">
        <f t="shared" si="10"/>
        <v>316705138.49000001</v>
      </c>
      <c r="AG41" s="89">
        <f t="shared" si="10"/>
        <v>320096707.62</v>
      </c>
      <c r="AH41" s="89">
        <f t="shared" si="10"/>
        <v>320627390.98000002</v>
      </c>
      <c r="AI41" s="89">
        <f t="shared" ref="AI41" si="11">AI42+AI43+AI44</f>
        <v>308196992.08000004</v>
      </c>
    </row>
    <row r="42" spans="1:35">
      <c r="A42" s="35">
        <v>9.1</v>
      </c>
      <c r="B42" s="84" t="s">
        <v>142</v>
      </c>
      <c r="C42" s="86">
        <f>'SFP-2022'!B49</f>
        <v>101541864</v>
      </c>
      <c r="D42" s="86">
        <f>'SFP-2022'!C49</f>
        <v>101541864.08</v>
      </c>
      <c r="E42" s="86">
        <f>'SFP-2022'!D49</f>
        <v>101541864.08</v>
      </c>
      <c r="F42" s="86">
        <f>'SFP-2022'!E49</f>
        <v>101541864.08</v>
      </c>
      <c r="G42" s="86">
        <f>'SFP-2022'!F49</f>
        <v>101541864.08</v>
      </c>
      <c r="H42" s="86">
        <f>'SFP-2022'!G49</f>
        <v>101541864.08</v>
      </c>
      <c r="I42" s="86">
        <f>'SFP-2022'!H49</f>
        <v>101541864.08</v>
      </c>
      <c r="J42" s="86">
        <f>'SFP-2022'!I49</f>
        <v>101541864.08</v>
      </c>
      <c r="K42" s="86">
        <f>'SFP-2022'!J49</f>
        <v>101541864.08</v>
      </c>
      <c r="L42" s="86">
        <f>'SFP-2022'!K49</f>
        <v>101541864.08</v>
      </c>
      <c r="M42" s="86">
        <f>'SFP-2022'!L49</f>
        <v>101541864.08</v>
      </c>
      <c r="N42" s="86">
        <f>'SFP-2022'!M49</f>
        <v>101541864.08</v>
      </c>
      <c r="O42" s="86">
        <f>'SFP-2022'!N49</f>
        <v>126375366.59</v>
      </c>
      <c r="P42" s="86">
        <f>'SFP-2022'!O49</f>
        <v>126375367</v>
      </c>
      <c r="Q42" s="86">
        <f>'SFP-2022'!P49</f>
        <v>126375366.59</v>
      </c>
      <c r="R42" s="86">
        <f>'SFP-2022'!Q49</f>
        <v>126375366.59</v>
      </c>
      <c r="S42" s="86">
        <f>'SFP-2022'!R49</f>
        <v>126375366.59</v>
      </c>
      <c r="T42" s="86">
        <f>'SFP-2022'!S49</f>
        <v>126375366.59</v>
      </c>
      <c r="U42" s="86">
        <f>'SFP-2022'!T49</f>
        <v>126375366.59</v>
      </c>
      <c r="V42" s="86">
        <f>'SFP-2022'!U49</f>
        <v>126375366.59</v>
      </c>
      <c r="W42" s="86">
        <f>'SFP-2022'!V49</f>
        <v>126375366.59</v>
      </c>
      <c r="X42" s="86">
        <f>'SFP-2022'!W49</f>
        <v>126375366.59</v>
      </c>
      <c r="Y42" s="86">
        <f>'SFP-2022'!X49</f>
        <v>126375366.59</v>
      </c>
      <c r="Z42" s="86">
        <f>'SFP-2022'!Y49</f>
        <v>126375366.59</v>
      </c>
      <c r="AA42" s="86">
        <f>'SFP-2022'!Z49</f>
        <v>126375366.59</v>
      </c>
      <c r="AB42" s="86">
        <f>'SFP-2022'!AA49</f>
        <v>126375366.59</v>
      </c>
      <c r="AC42" s="86">
        <f>'SFP-2022'!AB49</f>
        <v>152532538</v>
      </c>
      <c r="AD42" s="86">
        <f>'SFP-2022'!AC49</f>
        <v>152532537.99000001</v>
      </c>
      <c r="AE42" s="86">
        <f>'SFP-2022'!AD49</f>
        <v>152532537.99000001</v>
      </c>
      <c r="AF42" s="86">
        <f>'SFP-2022'!AE49</f>
        <v>152532537.99000001</v>
      </c>
      <c r="AG42" s="86">
        <f>'SFP-2022'!AF49</f>
        <v>152532537.99000001</v>
      </c>
      <c r="AH42" s="86">
        <f>'SFP-2022'!AG49</f>
        <v>152532537.99000001</v>
      </c>
      <c r="AI42" s="86">
        <f>'SFP-2022'!AH49</f>
        <v>152532537.99000001</v>
      </c>
    </row>
    <row r="43" spans="1:35">
      <c r="A43" s="35"/>
      <c r="B43" s="84" t="s">
        <v>143</v>
      </c>
      <c r="C43" s="86">
        <f>'SFP-2022'!B50</f>
        <v>46691433</v>
      </c>
      <c r="D43" s="86">
        <f>'SFP-2022'!C50</f>
        <v>49025656.369999997</v>
      </c>
      <c r="E43" s="86">
        <f>'SFP-2022'!D50</f>
        <v>70289961.650000006</v>
      </c>
      <c r="F43" s="86">
        <f>'SFP-2022'!E50</f>
        <v>75237648.430000007</v>
      </c>
      <c r="G43" s="86">
        <f>'SFP-2022'!F50</f>
        <v>60302261.229999997</v>
      </c>
      <c r="H43" s="86">
        <f>'SFP-2022'!G50</f>
        <v>38699442.490000002</v>
      </c>
      <c r="I43" s="86">
        <f>'SFP-2022'!H50</f>
        <v>42612188.609999999</v>
      </c>
      <c r="J43" s="86">
        <f>'SFP-2022'!I50</f>
        <v>44118666.140000001</v>
      </c>
      <c r="K43" s="86">
        <f>'SFP-2022'!J50</f>
        <v>52658882.399999999</v>
      </c>
      <c r="L43" s="86">
        <f>'SFP-2022'!K50</f>
        <v>54604575.020000003</v>
      </c>
      <c r="M43" s="86">
        <f>'SFP-2022'!L50</f>
        <v>59095437.229999997</v>
      </c>
      <c r="N43" s="86">
        <f>'SFP-2022'!M50</f>
        <v>62476959.399999999</v>
      </c>
      <c r="O43" s="86">
        <f>'SFP-2022'!N50</f>
        <v>94263968.409999996</v>
      </c>
      <c r="P43" s="86">
        <f>'SFP-2022'!O50</f>
        <v>68263968</v>
      </c>
      <c r="Q43" s="86">
        <f>'SFP-2022'!P50</f>
        <v>101401730.56999999</v>
      </c>
      <c r="R43" s="86">
        <f>'SFP-2022'!Q50</f>
        <v>70994987.659999996</v>
      </c>
      <c r="S43" s="86">
        <f>'SFP-2022'!R50</f>
        <v>65999015.899999999</v>
      </c>
      <c r="T43" s="86">
        <f>'SFP-2022'!S50</f>
        <v>70061596.459999993</v>
      </c>
      <c r="U43" s="86">
        <f>'SFP-2022'!T50</f>
        <v>69243537.379999995</v>
      </c>
      <c r="V43" s="86">
        <f>'SFP-2022'!U50</f>
        <v>77391602.719999999</v>
      </c>
      <c r="W43" s="86">
        <f>'SFP-2022'!V50</f>
        <v>74779212.620000005</v>
      </c>
      <c r="X43" s="86">
        <f>'SFP-2022'!W50</f>
        <v>80636796.980000004</v>
      </c>
      <c r="Y43" s="86">
        <f>'SFP-2022'!X50</f>
        <v>85403548.159999996</v>
      </c>
      <c r="Z43" s="86">
        <f>'SFP-2022'!Y50</f>
        <v>91133926.560000002</v>
      </c>
      <c r="AA43" s="86">
        <f>'SFP-2022'!Z50</f>
        <v>95815904.349999994</v>
      </c>
      <c r="AB43" s="86">
        <f>'SFP-2022'!AA50</f>
        <v>88282969.230000004</v>
      </c>
      <c r="AC43" s="86">
        <f>'SFP-2022'!AB50</f>
        <v>94282969</v>
      </c>
      <c r="AD43" s="86">
        <f>'SFP-2022'!AC50</f>
        <v>95890111.540000007</v>
      </c>
      <c r="AE43" s="86">
        <f>'SFP-2022'!AD50</f>
        <v>99745662.5</v>
      </c>
      <c r="AF43" s="86">
        <f>'SFP-2022'!AE50</f>
        <v>100266176.5</v>
      </c>
      <c r="AG43" s="86">
        <f>'SFP-2022'!AF50</f>
        <v>103657745.63</v>
      </c>
      <c r="AH43" s="86">
        <f>'SFP-2022'!AG50</f>
        <v>104188428.98999999</v>
      </c>
      <c r="AI43" s="86">
        <f>'SFP-2022'!AH50</f>
        <v>91758030.090000004</v>
      </c>
    </row>
    <row r="44" spans="1:35">
      <c r="A44" s="35">
        <v>9.1999999999999993</v>
      </c>
      <c r="B44" s="84" t="s">
        <v>144</v>
      </c>
      <c r="C44" s="86">
        <f>'SFP-2022'!B51</f>
        <v>766722004</v>
      </c>
      <c r="D44" s="86">
        <f>'SFP-2022'!C51</f>
        <v>63906424</v>
      </c>
      <c r="E44" s="86">
        <f>'SFP-2022'!D51</f>
        <v>63906424</v>
      </c>
      <c r="F44" s="86">
        <f>'SFP-2022'!E51</f>
        <v>63906424</v>
      </c>
      <c r="G44" s="86">
        <f>'SFP-2022'!F51</f>
        <v>63906424</v>
      </c>
      <c r="H44" s="86">
        <f>'SFP-2022'!G51</f>
        <v>63906424</v>
      </c>
      <c r="I44" s="86">
        <f>'SFP-2022'!H51</f>
        <v>63906424</v>
      </c>
      <c r="J44" s="86">
        <f>'SFP-2022'!I51</f>
        <v>63906424</v>
      </c>
      <c r="K44" s="86">
        <f>'SFP-2022'!J51</f>
        <v>63906424</v>
      </c>
      <c r="L44" s="86">
        <f>'SFP-2022'!K51</f>
        <v>63906424</v>
      </c>
      <c r="M44" s="86">
        <f>'SFP-2022'!L51</f>
        <v>63906424</v>
      </c>
      <c r="N44" s="86">
        <f>'SFP-2022'!M51</f>
        <v>63906424</v>
      </c>
      <c r="O44" s="86">
        <f>'SFP-2022'!N51</f>
        <v>63906424</v>
      </c>
      <c r="P44" s="86">
        <f>'SFP-2022'!O51</f>
        <v>840446816</v>
      </c>
      <c r="Q44" s="86">
        <f>'SFP-2022'!P51</f>
        <v>63906424</v>
      </c>
      <c r="R44" s="86">
        <f>'SFP-2022'!Q51</f>
        <v>63906424</v>
      </c>
      <c r="S44" s="86">
        <f>'SFP-2022'!R51</f>
        <v>63906424</v>
      </c>
      <c r="T44" s="86">
        <f>'SFP-2022'!S51</f>
        <v>63906424</v>
      </c>
      <c r="U44" s="86">
        <f>'SFP-2022'!T51</f>
        <v>63906424</v>
      </c>
      <c r="V44" s="86">
        <f>'SFP-2022'!U51</f>
        <v>63906424</v>
      </c>
      <c r="W44" s="86">
        <f>'SFP-2022'!V51</f>
        <v>63906424</v>
      </c>
      <c r="X44" s="86">
        <f>'SFP-2022'!W51</f>
        <v>63906424</v>
      </c>
      <c r="Y44" s="86">
        <f>'SFP-2022'!X51</f>
        <v>63906424</v>
      </c>
      <c r="Z44" s="86">
        <f>'SFP-2022'!Y51</f>
        <v>63906424</v>
      </c>
      <c r="AA44" s="86">
        <f>'SFP-2022'!Z51</f>
        <v>63906424</v>
      </c>
      <c r="AB44" s="86">
        <f>'SFP-2022'!AA51</f>
        <v>63906424</v>
      </c>
      <c r="AC44" s="86">
        <f>'SFP-2022'!AB51</f>
        <v>692045707</v>
      </c>
      <c r="AD44" s="86">
        <f>'SFP-2022'!AC51</f>
        <v>63906424</v>
      </c>
      <c r="AE44" s="86">
        <f>'SFP-2022'!AD51</f>
        <v>63906424</v>
      </c>
      <c r="AF44" s="86">
        <f>'SFP-2022'!AE51</f>
        <v>63906424</v>
      </c>
      <c r="AG44" s="86">
        <f>'SFP-2022'!AF51</f>
        <v>63906424</v>
      </c>
      <c r="AH44" s="86">
        <f>'SFP-2022'!AG51</f>
        <v>63906424</v>
      </c>
      <c r="AI44" s="86">
        <f>'SFP-2022'!AH51</f>
        <v>63906424</v>
      </c>
    </row>
    <row r="45" spans="1:35">
      <c r="A45" s="36"/>
      <c r="B45" s="85" t="s">
        <v>145</v>
      </c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  <c r="AB45" s="94"/>
      <c r="AC45" s="94"/>
    </row>
    <row r="46" spans="1:35">
      <c r="A46" s="24"/>
      <c r="B46" s="20"/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  <c r="AC46" s="95"/>
    </row>
    <row r="47" spans="1:35">
      <c r="A47" s="37">
        <v>10</v>
      </c>
      <c r="B47" s="38" t="s">
        <v>146</v>
      </c>
      <c r="C47" s="96">
        <f>SUM(C48:C53)</f>
        <v>397078190</v>
      </c>
      <c r="D47" s="96">
        <f t="shared" ref="D47:AH47" si="12">SUM(D48:D53)</f>
        <v>21371654.02</v>
      </c>
      <c r="E47" s="96">
        <f t="shared" si="12"/>
        <v>41278303.609999999</v>
      </c>
      <c r="F47" s="96">
        <f t="shared" si="12"/>
        <v>65018075.18</v>
      </c>
      <c r="G47" s="96">
        <f t="shared" si="12"/>
        <v>142895865.27000001</v>
      </c>
      <c r="H47" s="96">
        <f t="shared" si="12"/>
        <v>169968185.03</v>
      </c>
      <c r="I47" s="96">
        <f t="shared" si="12"/>
        <v>191668072.90999997</v>
      </c>
      <c r="J47" s="96">
        <f t="shared" si="12"/>
        <v>215727115.77999997</v>
      </c>
      <c r="K47" s="96">
        <f t="shared" si="12"/>
        <v>235637904.35999998</v>
      </c>
      <c r="L47" s="96">
        <f t="shared" si="12"/>
        <v>258328190.32999998</v>
      </c>
      <c r="M47" s="96">
        <f t="shared" si="12"/>
        <v>281587583.88999999</v>
      </c>
      <c r="N47" s="96">
        <f t="shared" si="12"/>
        <v>303842551.81000006</v>
      </c>
      <c r="O47" s="96">
        <f t="shared" si="12"/>
        <v>356302668.95999998</v>
      </c>
      <c r="P47" s="96">
        <f t="shared" si="12"/>
        <v>393280271</v>
      </c>
      <c r="Q47" s="96">
        <f t="shared" si="12"/>
        <v>27090728.43</v>
      </c>
      <c r="R47" s="96">
        <f t="shared" si="12"/>
        <v>51996011.829999998</v>
      </c>
      <c r="S47" s="96">
        <f t="shared" si="12"/>
        <v>76288600.019999996</v>
      </c>
      <c r="T47" s="96">
        <f t="shared" si="12"/>
        <v>96080099.480000004</v>
      </c>
      <c r="U47" s="96">
        <f t="shared" si="12"/>
        <v>113946711.63999999</v>
      </c>
      <c r="V47" s="96">
        <f t="shared" si="12"/>
        <v>184427261.95000002</v>
      </c>
      <c r="W47" s="96">
        <f t="shared" si="12"/>
        <v>212550288.40000001</v>
      </c>
      <c r="X47" s="96">
        <f t="shared" si="12"/>
        <v>242158759.61000001</v>
      </c>
      <c r="Y47" s="96">
        <f t="shared" si="12"/>
        <v>273195775.32999998</v>
      </c>
      <c r="Z47" s="96">
        <f t="shared" si="12"/>
        <v>303428868.94999999</v>
      </c>
      <c r="AA47" s="96">
        <f t="shared" si="12"/>
        <v>328168102.05999994</v>
      </c>
      <c r="AB47" s="96">
        <f t="shared" si="12"/>
        <v>361612568.87</v>
      </c>
      <c r="AC47" s="96">
        <f t="shared" si="12"/>
        <v>385078568</v>
      </c>
      <c r="AD47" s="96">
        <f t="shared" si="12"/>
        <v>30667192.309999999</v>
      </c>
      <c r="AE47" s="96">
        <f t="shared" si="12"/>
        <v>57910058.269999996</v>
      </c>
      <c r="AF47" s="96">
        <f t="shared" si="12"/>
        <v>98313042.360000014</v>
      </c>
      <c r="AG47" s="96">
        <f t="shared" si="12"/>
        <v>133412970.05</v>
      </c>
      <c r="AH47" s="96">
        <f t="shared" si="12"/>
        <v>162677488.50999999</v>
      </c>
      <c r="AI47" s="96">
        <f t="shared" ref="AI47" si="13">SUM(AI48:AI53)</f>
        <v>249412825.18000001</v>
      </c>
    </row>
    <row r="48" spans="1:35">
      <c r="A48" s="22">
        <v>10.1</v>
      </c>
      <c r="B48" s="39" t="s">
        <v>147</v>
      </c>
      <c r="C48" s="86">
        <f>'SCI-2022'!B13</f>
        <v>221092820</v>
      </c>
      <c r="D48" s="86">
        <f>'SCI-2022'!C13</f>
        <v>4002490.26</v>
      </c>
      <c r="E48" s="86">
        <f>'SCI-2022'!D13</f>
        <v>5540876.3899999997</v>
      </c>
      <c r="F48" s="86">
        <f>'SCI-2022'!E13</f>
        <v>8808070.7100000009</v>
      </c>
      <c r="G48" s="86">
        <f>'SCI-2022'!F13</f>
        <v>67042835.869999997</v>
      </c>
      <c r="H48" s="86">
        <f>'SCI-2022'!G13</f>
        <v>80816326.469999999</v>
      </c>
      <c r="I48" s="86">
        <f>'SCI-2022'!H13</f>
        <v>89961915.299999997</v>
      </c>
      <c r="J48" s="86">
        <f>'SCI-2022'!I13</f>
        <v>99781339.739999995</v>
      </c>
      <c r="K48" s="86">
        <f>'SCI-2022'!J13</f>
        <v>108473328.31999999</v>
      </c>
      <c r="L48" s="86">
        <f>'SCI-2022'!K13</f>
        <v>118305209.76000001</v>
      </c>
      <c r="M48" s="86">
        <f>'SCI-2022'!L13</f>
        <v>127482974.41</v>
      </c>
      <c r="N48" s="86">
        <f>'SCI-2022'!M13</f>
        <v>136096913.30000001</v>
      </c>
      <c r="O48" s="86">
        <f>'SCI-2022'!N13</f>
        <v>168825572.66999999</v>
      </c>
      <c r="P48" s="86">
        <f>'SCI-2022'!O13</f>
        <v>168825573</v>
      </c>
      <c r="Q48" s="86">
        <f>'SCI-2022'!P13</f>
        <v>10401675.439999999</v>
      </c>
      <c r="R48" s="86">
        <f>'SCI-2022'!Q13</f>
        <v>18688920.98</v>
      </c>
      <c r="S48" s="86">
        <f>'SCI-2022'!R13</f>
        <v>23252462.600000001</v>
      </c>
      <c r="T48" s="86">
        <f>'SCI-2022'!S13</f>
        <v>31715257.73</v>
      </c>
      <c r="U48" s="86">
        <f>'SCI-2022'!T13</f>
        <v>41370517.259999998</v>
      </c>
      <c r="V48" s="86">
        <f>'SCI-2022'!U13</f>
        <v>99820851.430000007</v>
      </c>
      <c r="W48" s="86">
        <f>'SCI-2022'!V13</f>
        <v>113913672.25</v>
      </c>
      <c r="X48" s="86">
        <f>'SCI-2022'!W13</f>
        <v>126556035.72</v>
      </c>
      <c r="Y48" s="86">
        <f>'SCI-2022'!X13</f>
        <v>139198181.87</v>
      </c>
      <c r="Z48" s="86">
        <f>'SCI-2022'!Y13</f>
        <v>151444464.62</v>
      </c>
      <c r="AA48" s="86">
        <f>'SCI-2022'!Z13</f>
        <v>163755787.59</v>
      </c>
      <c r="AB48" s="86">
        <f>'SCI-2022'!AA13</f>
        <v>176679810.06999999</v>
      </c>
      <c r="AC48" s="86">
        <f>'SCI-2022'!AB13</f>
        <v>176679810</v>
      </c>
      <c r="AD48" s="86">
        <f>'SCI-2022'!AC13</f>
        <v>8161166.54</v>
      </c>
      <c r="AE48" s="86">
        <f>'SCI-2022'!AD13</f>
        <v>17587013.530000001</v>
      </c>
      <c r="AF48" s="86">
        <f>'SCI-2022'!AE13</f>
        <v>26584123.530000001</v>
      </c>
      <c r="AG48" s="86">
        <f>'SCI-2022'!AF13</f>
        <v>34948667.329999998</v>
      </c>
      <c r="AH48" s="86">
        <f>'SCI-2022'!AG13</f>
        <v>45681206.100000001</v>
      </c>
      <c r="AI48" s="86">
        <f>'SCI-2022'!AH13</f>
        <v>112121036.09999999</v>
      </c>
    </row>
    <row r="49" spans="1:35">
      <c r="A49" s="22">
        <v>10.199999999999999</v>
      </c>
      <c r="B49" s="39" t="s">
        <v>148</v>
      </c>
      <c r="C49" s="92">
        <f>'SCI-2022'!B15</f>
        <v>0</v>
      </c>
      <c r="D49" s="92">
        <f>'SCI-2022'!C15</f>
        <v>0</v>
      </c>
      <c r="E49" s="92">
        <f>'SCI-2022'!D15</f>
        <v>0</v>
      </c>
      <c r="F49" s="92">
        <f>'SCI-2022'!E15</f>
        <v>0</v>
      </c>
      <c r="G49" s="92">
        <f>'SCI-2022'!F15</f>
        <v>0</v>
      </c>
      <c r="H49" s="92">
        <f>'SCI-2022'!G15</f>
        <v>0</v>
      </c>
      <c r="I49" s="92">
        <f>'SCI-2022'!H15</f>
        <v>0</v>
      </c>
      <c r="J49" s="92">
        <f>'SCI-2022'!I15</f>
        <v>0</v>
      </c>
      <c r="K49" s="92">
        <f>'SCI-2022'!J15</f>
        <v>0</v>
      </c>
      <c r="L49" s="92">
        <f>'SCI-2022'!K15</f>
        <v>0</v>
      </c>
      <c r="M49" s="92">
        <f>'SCI-2022'!L15</f>
        <v>0</v>
      </c>
      <c r="N49" s="92">
        <f>'SCI-2022'!M15</f>
        <v>0</v>
      </c>
      <c r="O49" s="92">
        <f>'SCI-2022'!N15</f>
        <v>0</v>
      </c>
      <c r="P49" s="92">
        <f>'SCI-2022'!O15</f>
        <v>0</v>
      </c>
      <c r="Q49" s="92">
        <f>'SCI-2022'!P15</f>
        <v>0</v>
      </c>
      <c r="R49" s="92">
        <f>'SCI-2022'!Q15</f>
        <v>0</v>
      </c>
      <c r="S49" s="92">
        <f>'SCI-2022'!R15</f>
        <v>0</v>
      </c>
      <c r="T49" s="92">
        <f>'SCI-2022'!S15</f>
        <v>0</v>
      </c>
      <c r="U49" s="92">
        <f>'SCI-2022'!T15</f>
        <v>0</v>
      </c>
      <c r="V49" s="92">
        <f>'SCI-2022'!U15</f>
        <v>0</v>
      </c>
      <c r="W49" s="92">
        <f>'SCI-2022'!V15</f>
        <v>0</v>
      </c>
      <c r="X49" s="92">
        <f>'SCI-2022'!W15</f>
        <v>0</v>
      </c>
      <c r="Y49" s="92">
        <f>'SCI-2022'!X15</f>
        <v>0</v>
      </c>
      <c r="Z49" s="92">
        <f>'SCI-2022'!Y15</f>
        <v>0</v>
      </c>
      <c r="AA49" s="92">
        <f>'SCI-2022'!Z15</f>
        <v>0</v>
      </c>
      <c r="AB49" s="92">
        <f>'SCI-2022'!AA15</f>
        <v>0</v>
      </c>
      <c r="AC49" s="92">
        <f>'SCI-2022'!AB15</f>
        <v>0</v>
      </c>
      <c r="AD49" s="92">
        <f>'SCI-2022'!AC15</f>
        <v>0</v>
      </c>
      <c r="AE49" s="92">
        <f>'SCI-2022'!AD15</f>
        <v>0</v>
      </c>
      <c r="AF49" s="92">
        <f>'SCI-2022'!AE15</f>
        <v>0</v>
      </c>
      <c r="AG49" s="92">
        <f>'SCI-2022'!AF15</f>
        <v>0</v>
      </c>
      <c r="AH49" s="92">
        <f>'SCI-2022'!AG15</f>
        <v>0</v>
      </c>
      <c r="AI49" s="92">
        <f>'SCI-2022'!AH15</f>
        <v>0</v>
      </c>
    </row>
    <row r="50" spans="1:35">
      <c r="A50" s="22">
        <v>10.3</v>
      </c>
      <c r="B50" s="39" t="s">
        <v>149</v>
      </c>
      <c r="C50" s="87">
        <f>'SCI-2022'!B14</f>
        <v>0</v>
      </c>
      <c r="D50" s="87">
        <f>'SCI-2022'!C14</f>
        <v>5081381.29</v>
      </c>
      <c r="E50" s="87">
        <f>'SCI-2022'!D14</f>
        <v>10044920.109999999</v>
      </c>
      <c r="F50" s="87">
        <f>'SCI-2022'!E14</f>
        <v>14429897.289999999</v>
      </c>
      <c r="G50" s="87">
        <f>'SCI-2022'!F14</f>
        <v>19164874.489999998</v>
      </c>
      <c r="H50" s="87">
        <f>'SCI-2022'!G14</f>
        <v>23629029.760000002</v>
      </c>
      <c r="I50" s="87">
        <f>'SCI-2022'!H14</f>
        <v>28148432.48</v>
      </c>
      <c r="J50" s="87">
        <f>'SCI-2022'!I14</f>
        <v>32415055.280000001</v>
      </c>
      <c r="K50" s="87">
        <f>'SCI-2022'!J14</f>
        <v>36671539.310000002</v>
      </c>
      <c r="L50" s="87">
        <f>'SCI-2022'!K14</f>
        <v>40810180.869999997</v>
      </c>
      <c r="M50" s="87">
        <f>'SCI-2022'!L14</f>
        <v>44701276.770000003</v>
      </c>
      <c r="N50" s="87">
        <f>'SCI-2022'!M14</f>
        <v>48604233.399999999</v>
      </c>
      <c r="O50" s="87">
        <f>'SCI-2022'!N14</f>
        <v>52267247.100000001</v>
      </c>
      <c r="P50" s="87">
        <f>'SCI-2022'!O14</f>
        <v>52267247</v>
      </c>
      <c r="Q50" s="87">
        <f>'SCI-2022'!P14</f>
        <v>3667271.7</v>
      </c>
      <c r="R50" s="87">
        <f>'SCI-2022'!Q14</f>
        <v>7217001.3099999996</v>
      </c>
      <c r="S50" s="87">
        <f>'SCI-2022'!R14</f>
        <v>10317124.83</v>
      </c>
      <c r="T50" s="87">
        <f>'SCI-2022'!S14</f>
        <v>13631995.130000001</v>
      </c>
      <c r="U50" s="87">
        <f>'SCI-2022'!T14</f>
        <v>16725742.199999999</v>
      </c>
      <c r="V50" s="87">
        <f>'SCI-2022'!U14</f>
        <v>19807179.300000001</v>
      </c>
      <c r="W50" s="87">
        <f>'SCI-2022'!V14</f>
        <v>22674720.120000001</v>
      </c>
      <c r="X50" s="87">
        <f>'SCI-2022'!W14</f>
        <v>25517094.559999999</v>
      </c>
      <c r="Y50" s="87">
        <f>'SCI-2022'!X14</f>
        <v>28241626.530000001</v>
      </c>
      <c r="Z50" s="87">
        <f>'SCI-2022'!Y14</f>
        <v>30764229.280000001</v>
      </c>
      <c r="AA50" s="87">
        <f>'SCI-2022'!Z14</f>
        <v>33256984.199999999</v>
      </c>
      <c r="AB50" s="87">
        <f>'SCI-2022'!AA14</f>
        <v>35554761.310000002</v>
      </c>
      <c r="AC50" s="87">
        <f>'SCI-2022'!AB14</f>
        <v>35554761</v>
      </c>
      <c r="AD50" s="87">
        <f>'SCI-2022'!AC14</f>
        <v>5865462.1100000003</v>
      </c>
      <c r="AE50" s="87">
        <f>'SCI-2022'!AD14</f>
        <v>8003521.4800000004</v>
      </c>
      <c r="AF50" s="87">
        <f>'SCI-2022'!AE14</f>
        <v>11469078.539999999</v>
      </c>
      <c r="AG50" s="87">
        <f>'SCI-2022'!AF14</f>
        <v>16517163.210000001</v>
      </c>
      <c r="AH50" s="87">
        <f>'SCI-2022'!AG14</f>
        <v>24369015.170000002</v>
      </c>
      <c r="AI50" s="87">
        <f>'SCI-2022'!AH14</f>
        <v>29490544.68</v>
      </c>
    </row>
    <row r="51" spans="1:35">
      <c r="A51" s="22">
        <v>10.4</v>
      </c>
      <c r="B51" s="39" t="s">
        <v>150</v>
      </c>
      <c r="C51" s="92">
        <f>'SCI-2022'!B16+'SCI-2022'!B17+'SCI-2022'!B18</f>
        <v>0</v>
      </c>
      <c r="D51" s="92">
        <f>'SCI-2022'!C16+'SCI-2022'!C17+'SCI-2022'!C18</f>
        <v>0</v>
      </c>
      <c r="E51" s="92">
        <f>'SCI-2022'!D16+'SCI-2022'!D17+'SCI-2022'!D18</f>
        <v>0</v>
      </c>
      <c r="F51" s="92">
        <f>'SCI-2022'!E16+'SCI-2022'!E17+'SCI-2022'!E18</f>
        <v>0</v>
      </c>
      <c r="G51" s="92">
        <f>'SCI-2022'!F16+'SCI-2022'!F17+'SCI-2022'!F18</f>
        <v>0</v>
      </c>
      <c r="H51" s="92">
        <f>'SCI-2022'!G16+'SCI-2022'!G17+'SCI-2022'!G18</f>
        <v>0</v>
      </c>
      <c r="I51" s="92">
        <f>'SCI-2022'!H16+'SCI-2022'!H17+'SCI-2022'!H18</f>
        <v>0</v>
      </c>
      <c r="J51" s="92">
        <f>'SCI-2022'!I16+'SCI-2022'!I17+'SCI-2022'!I18</f>
        <v>0</v>
      </c>
      <c r="K51" s="92">
        <f>'SCI-2022'!J16+'SCI-2022'!J17+'SCI-2022'!J18</f>
        <v>0</v>
      </c>
      <c r="L51" s="92">
        <f>'SCI-2022'!K16+'SCI-2022'!K17+'SCI-2022'!K18</f>
        <v>0</v>
      </c>
      <c r="M51" s="92">
        <f>'SCI-2022'!L16+'SCI-2022'!L17+'SCI-2022'!L18</f>
        <v>0</v>
      </c>
      <c r="N51" s="92">
        <f>'SCI-2022'!M16+'SCI-2022'!M17+'SCI-2022'!M18</f>
        <v>0</v>
      </c>
      <c r="O51" s="92">
        <f>'SCI-2022'!N16+'SCI-2022'!N17+'SCI-2022'!N18</f>
        <v>0</v>
      </c>
      <c r="P51" s="92">
        <f>'SCI-2022'!O16+'SCI-2022'!O17+'SCI-2022'!O18</f>
        <v>0</v>
      </c>
      <c r="Q51" s="92">
        <f>'SCI-2022'!P16+'SCI-2022'!P17+'SCI-2022'!P18</f>
        <v>0</v>
      </c>
      <c r="R51" s="92">
        <f>'SCI-2022'!Q16+'SCI-2022'!Q17+'SCI-2022'!Q18</f>
        <v>0</v>
      </c>
      <c r="S51" s="92">
        <f>'SCI-2022'!R16+'SCI-2022'!R17+'SCI-2022'!R18</f>
        <v>0</v>
      </c>
      <c r="T51" s="92">
        <f>'SCI-2022'!S16+'SCI-2022'!S17+'SCI-2022'!S18</f>
        <v>0</v>
      </c>
      <c r="U51" s="92">
        <f>'SCI-2022'!T16+'SCI-2022'!T17+'SCI-2022'!T18</f>
        <v>0</v>
      </c>
      <c r="V51" s="92">
        <f>'SCI-2022'!U16+'SCI-2022'!U17+'SCI-2022'!U18</f>
        <v>0</v>
      </c>
      <c r="W51" s="92">
        <f>'SCI-2022'!V16+'SCI-2022'!V17+'SCI-2022'!V18</f>
        <v>0</v>
      </c>
      <c r="X51" s="92">
        <f>'SCI-2022'!W16+'SCI-2022'!W17+'SCI-2022'!W18</f>
        <v>0</v>
      </c>
      <c r="Y51" s="92">
        <f>'SCI-2022'!X16+'SCI-2022'!X17+'SCI-2022'!X18</f>
        <v>0</v>
      </c>
      <c r="Z51" s="92">
        <f>'SCI-2022'!Y16+'SCI-2022'!Y17+'SCI-2022'!Y18</f>
        <v>0</v>
      </c>
      <c r="AA51" s="92">
        <f>'SCI-2022'!Z16+'SCI-2022'!Z17+'SCI-2022'!Z18</f>
        <v>0</v>
      </c>
      <c r="AB51" s="92">
        <f>'SCI-2022'!AA16+'SCI-2022'!AA17+'SCI-2022'!AA18</f>
        <v>0</v>
      </c>
      <c r="AC51" s="92">
        <f>'SCI-2022'!AB16+'SCI-2022'!AB17+'SCI-2022'!AB18</f>
        <v>0</v>
      </c>
      <c r="AD51" s="92">
        <f>'SCI-2022'!AC16+'SCI-2022'!AC17+'SCI-2022'!AC18</f>
        <v>0</v>
      </c>
      <c r="AE51" s="92">
        <f>'SCI-2022'!AD16+'SCI-2022'!AD17+'SCI-2022'!AD18</f>
        <v>0</v>
      </c>
      <c r="AF51" s="92">
        <f>'SCI-2022'!AE16+'SCI-2022'!AE17+'SCI-2022'!AE18</f>
        <v>0</v>
      </c>
      <c r="AG51" s="92">
        <f>'SCI-2022'!AF16+'SCI-2022'!AF17+'SCI-2022'!AF18</f>
        <v>0</v>
      </c>
      <c r="AH51" s="92">
        <f>'SCI-2022'!AG16+'SCI-2022'!AG17+'SCI-2022'!AG18</f>
        <v>0</v>
      </c>
      <c r="AI51" s="92">
        <f>'SCI-2022'!AH16+'SCI-2022'!AH17+'SCI-2022'!AH18</f>
        <v>0</v>
      </c>
    </row>
    <row r="52" spans="1:35">
      <c r="A52" s="22">
        <v>10.5</v>
      </c>
      <c r="B52" s="40" t="s">
        <v>151</v>
      </c>
      <c r="C52" s="86">
        <f>'SCI-2022'!B28</f>
        <v>128579268</v>
      </c>
      <c r="D52" s="86">
        <f>'SCI-2022'!C28</f>
        <v>9390351.0399999991</v>
      </c>
      <c r="E52" s="86">
        <f>'SCI-2022'!D28</f>
        <v>19050524.25</v>
      </c>
      <c r="F52" s="86">
        <f>'SCI-2022'!E28</f>
        <v>31599899.32</v>
      </c>
      <c r="G52" s="86">
        <f>'SCI-2022'!F28</f>
        <v>41079134.189999998</v>
      </c>
      <c r="H52" s="86">
        <f>'SCI-2022'!G28</f>
        <v>46352490.649999999</v>
      </c>
      <c r="I52" s="86">
        <f>'SCI-2022'!H28</f>
        <v>51782285.549999997</v>
      </c>
      <c r="J52" s="86">
        <f>'SCI-2022'!I28</f>
        <v>58347039.75</v>
      </c>
      <c r="K52" s="86">
        <f>'SCI-2022'!J28</f>
        <v>62563064.289999999</v>
      </c>
      <c r="L52" s="86">
        <f>'SCI-2022'!K28</f>
        <v>68167964.840000004</v>
      </c>
      <c r="M52" s="86">
        <f>'SCI-2022'!L28</f>
        <v>72408519.430000007</v>
      </c>
      <c r="N52" s="86">
        <f>'SCI-2022'!M28</f>
        <v>79063061.829999998</v>
      </c>
      <c r="O52" s="86">
        <f>'SCI-2022'!N28</f>
        <v>86102286.069999993</v>
      </c>
      <c r="P52" s="86">
        <f>'SCI-2022'!O28</f>
        <v>124781349</v>
      </c>
      <c r="Q52" s="86">
        <f>'SCI-2022'!P28</f>
        <v>10404099.869999999</v>
      </c>
      <c r="R52" s="86">
        <f>'SCI-2022'!Q28</f>
        <v>20456114.289999999</v>
      </c>
      <c r="S52" s="86">
        <f>'SCI-2022'!R28</f>
        <v>28257209.260000002</v>
      </c>
      <c r="T52" s="86">
        <f>'SCI-2022'!S28</f>
        <v>33463659.809999999</v>
      </c>
      <c r="U52" s="86">
        <f>'SCI-2022'!T28</f>
        <v>37302429.140000001</v>
      </c>
      <c r="V52" s="86">
        <f>'SCI-2022'!U28</f>
        <v>44046029.850000001</v>
      </c>
      <c r="W52" s="86">
        <f>'SCI-2022'!V28</f>
        <v>50897214.68</v>
      </c>
      <c r="X52" s="86">
        <f>'SCI-2022'!W28</f>
        <v>61567638.399999999</v>
      </c>
      <c r="Y52" s="86">
        <f>'SCI-2022'!X28</f>
        <v>73776314.920000002</v>
      </c>
      <c r="Z52" s="86">
        <f>'SCI-2022'!Y28</f>
        <v>81856788.469999999</v>
      </c>
      <c r="AA52" s="86">
        <f>'SCI-2022'!Z28</f>
        <v>88002949.109999999</v>
      </c>
      <c r="AB52" s="86">
        <f>'SCI-2022'!AA28</f>
        <v>99198128.430000007</v>
      </c>
      <c r="AC52" s="86">
        <f>'SCI-2022'!AB28</f>
        <v>126555848</v>
      </c>
      <c r="AD52" s="86">
        <f>'SCI-2022'!AC28</f>
        <v>14368159.68</v>
      </c>
      <c r="AE52" s="86">
        <f>'SCI-2022'!AD28</f>
        <v>26480229.489999998</v>
      </c>
      <c r="AF52" s="86">
        <f>'SCI-2022'!AE28</f>
        <v>48802065.390000001</v>
      </c>
      <c r="AG52" s="86">
        <f>'SCI-2022'!AF28</f>
        <v>67385155.120000005</v>
      </c>
      <c r="AH52" s="86">
        <f>'SCI-2022'!AG28</f>
        <v>74655794.489999995</v>
      </c>
      <c r="AI52" s="86">
        <f>'SCI-2022'!AH28</f>
        <v>85385670.709999993</v>
      </c>
    </row>
    <row r="53" spans="1:35">
      <c r="A53" s="22">
        <v>10.6</v>
      </c>
      <c r="B53" s="40" t="s">
        <v>152</v>
      </c>
      <c r="C53" s="86">
        <f>'SCI-2022'!B25</f>
        <v>47406102</v>
      </c>
      <c r="D53" s="86">
        <f>'SCI-2022'!C25</f>
        <v>2897431.43</v>
      </c>
      <c r="E53" s="86">
        <f>'SCI-2022'!D25</f>
        <v>6641982.8600000003</v>
      </c>
      <c r="F53" s="86">
        <f>'SCI-2022'!E25</f>
        <v>10180207.859999999</v>
      </c>
      <c r="G53" s="86">
        <f>'SCI-2022'!F25</f>
        <v>15609020.720000001</v>
      </c>
      <c r="H53" s="86">
        <f>'SCI-2022'!G25</f>
        <v>19170338.149999999</v>
      </c>
      <c r="I53" s="86">
        <f>'SCI-2022'!H25</f>
        <v>21775439.579999998</v>
      </c>
      <c r="J53" s="86">
        <f>'SCI-2022'!I25</f>
        <v>25183681.010000002</v>
      </c>
      <c r="K53" s="86">
        <f>'SCI-2022'!J25</f>
        <v>27929972.440000001</v>
      </c>
      <c r="L53" s="86">
        <f>'SCI-2022'!K25</f>
        <v>31044834.859999999</v>
      </c>
      <c r="M53" s="86">
        <f>'SCI-2022'!L25</f>
        <v>36994813.280000001</v>
      </c>
      <c r="N53" s="86">
        <f>'SCI-2022'!M25</f>
        <v>40078343.280000001</v>
      </c>
      <c r="O53" s="86">
        <f>'SCI-2022'!N25</f>
        <v>49107563.119999997</v>
      </c>
      <c r="P53" s="86">
        <f>'SCI-2022'!O25</f>
        <v>47406102</v>
      </c>
      <c r="Q53" s="86">
        <f>'SCI-2022'!P25</f>
        <v>2617681.42</v>
      </c>
      <c r="R53" s="86">
        <f>'SCI-2022'!Q25</f>
        <v>5633975.25</v>
      </c>
      <c r="S53" s="86">
        <f>'SCI-2022'!R25</f>
        <v>14461803.33</v>
      </c>
      <c r="T53" s="86">
        <f>'SCI-2022'!S25</f>
        <v>17269186.809999999</v>
      </c>
      <c r="U53" s="86">
        <f>'SCI-2022'!T25</f>
        <v>18548023.039999999</v>
      </c>
      <c r="V53" s="86">
        <f>'SCI-2022'!U25</f>
        <v>20753201.370000001</v>
      </c>
      <c r="W53" s="86">
        <f>'SCI-2022'!V25</f>
        <v>25064681.350000001</v>
      </c>
      <c r="X53" s="86">
        <f>'SCI-2022'!W25</f>
        <v>28517990.93</v>
      </c>
      <c r="Y53" s="86">
        <f>'SCI-2022'!X25</f>
        <v>31979652.010000002</v>
      </c>
      <c r="Z53" s="86">
        <f>'SCI-2022'!Y25</f>
        <v>39363386.579999998</v>
      </c>
      <c r="AA53" s="86">
        <f>'SCI-2022'!Z25</f>
        <v>43152381.159999996</v>
      </c>
      <c r="AB53" s="86">
        <f>'SCI-2022'!AA25</f>
        <v>50179869.060000002</v>
      </c>
      <c r="AC53" s="86">
        <f>'SCI-2022'!AB25</f>
        <v>46288149</v>
      </c>
      <c r="AD53" s="86">
        <f>'SCI-2022'!AC25</f>
        <v>2272403.98</v>
      </c>
      <c r="AE53" s="86">
        <f>'SCI-2022'!AD25</f>
        <v>5839293.7699999996</v>
      </c>
      <c r="AF53" s="86">
        <f>'SCI-2022'!AE25</f>
        <v>11457774.9</v>
      </c>
      <c r="AG53" s="86">
        <f>'SCI-2022'!AF25</f>
        <v>14561984.390000001</v>
      </c>
      <c r="AH53" s="86">
        <f>'SCI-2022'!AG25</f>
        <v>17971472.75</v>
      </c>
      <c r="AI53" s="86">
        <f>'SCI-2022'!AH25</f>
        <v>22415573.690000001</v>
      </c>
    </row>
    <row r="54" spans="1:35">
      <c r="A54" s="22"/>
      <c r="B54" s="41" t="s">
        <v>153</v>
      </c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  <c r="AA54" s="97"/>
      <c r="AB54" s="97"/>
      <c r="AC54" s="97"/>
    </row>
    <row r="56" spans="1:35">
      <c r="B56" s="14" t="s">
        <v>154</v>
      </c>
      <c r="C56" s="42">
        <f>'SCI-2022'!B37</f>
        <v>124167512</v>
      </c>
      <c r="D56" s="42">
        <f>'SCI-2022'!C37</f>
        <v>4889563.5499999933</v>
      </c>
      <c r="E56" s="42">
        <f>'SCI-2022'!D37</f>
        <v>11798906.669999994</v>
      </c>
      <c r="F56" s="42">
        <f>'SCI-2022'!E37</f>
        <v>24877962.579999998</v>
      </c>
      <c r="G56" s="42">
        <f>'SCI-2022'!F37</f>
        <v>77223565.550000012</v>
      </c>
      <c r="H56" s="42">
        <f>'SCI-2022'!G37</f>
        <v>77258617.159999996</v>
      </c>
      <c r="I56" s="42">
        <f>'SCI-2022'!H37</f>
        <v>80997062.709999979</v>
      </c>
      <c r="J56" s="42">
        <f>'SCI-2022'!I37</f>
        <v>86019827.629999995</v>
      </c>
      <c r="K56" s="42">
        <f>'SCI-2022'!J37</f>
        <v>91546464.01000005</v>
      </c>
      <c r="L56" s="42">
        <f>'SCI-2022'!K37</f>
        <v>97678969.289999992</v>
      </c>
      <c r="M56" s="42">
        <f>'SCI-2022'!L37</f>
        <v>106411922.31999996</v>
      </c>
      <c r="N56" s="42">
        <f>'SCI-2022'!M37</f>
        <v>116245222.62</v>
      </c>
      <c r="O56" s="42">
        <f>'SCI-2022'!N37</f>
        <v>124085992.49000001</v>
      </c>
      <c r="P56" s="42">
        <f>'SCI-2022'!O37</f>
        <v>124167512</v>
      </c>
      <c r="Q56" s="42">
        <f>'SCI-2022'!P37</f>
        <v>5774641.5099999979</v>
      </c>
      <c r="R56" s="42">
        <f>'SCI-2022'!Q37</f>
        <v>11972514.560000002</v>
      </c>
      <c r="S56" s="42">
        <f>'SCI-2022'!R37</f>
        <v>25223151.609999985</v>
      </c>
      <c r="T56" s="42">
        <f>'SCI-2022'!S37</f>
        <v>34759558.609999925</v>
      </c>
      <c r="U56" s="42">
        <f>'SCI-2022'!T37</f>
        <v>46456085.290000007</v>
      </c>
      <c r="V56" s="42">
        <f>'SCI-2022'!U37</f>
        <v>101469467.44999996</v>
      </c>
      <c r="W56" s="42">
        <f>'SCI-2022'!V37</f>
        <v>107804176.47000003</v>
      </c>
      <c r="X56" s="42">
        <f>'SCI-2022'!W37</f>
        <v>114799297.78000006</v>
      </c>
      <c r="Y56" s="42">
        <f>'SCI-2022'!X37</f>
        <v>120447331.13</v>
      </c>
      <c r="Z56" s="42">
        <f>'SCI-2022'!Y37</f>
        <v>126404682</v>
      </c>
      <c r="AA56" s="42">
        <f>'SCI-2022'!Z37</f>
        <v>139652040.66000003</v>
      </c>
      <c r="AB56" s="42">
        <f>'SCI-2022'!AA37</f>
        <v>141786625.15999997</v>
      </c>
      <c r="AC56" s="42">
        <f>'SCI-2022'!AB37</f>
        <v>130785858</v>
      </c>
      <c r="AD56" s="42">
        <f>'SCI-2022'!AC37</f>
        <v>6477512.5099999905</v>
      </c>
      <c r="AE56" s="42">
        <f>'SCI-2022'!AD37</f>
        <v>10830177.200000018</v>
      </c>
      <c r="AF56" s="42">
        <f>'SCI-2022'!AE37</f>
        <v>18190543.050000027</v>
      </c>
      <c r="AG56" s="42">
        <f>'SCI-2022'!AF37</f>
        <v>22658089.819999993</v>
      </c>
      <c r="AH56" s="42">
        <f>'SCI-2022'!AG37</f>
        <v>32093683.079999983</v>
      </c>
      <c r="AI56" s="42">
        <f>'SCI-2022'!AH37</f>
        <v>115265970.98999995</v>
      </c>
    </row>
  </sheetData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3:P80"/>
  <sheetViews>
    <sheetView topLeftCell="F1" workbookViewId="0">
      <selection activeCell="P4" sqref="P4:P7"/>
    </sheetView>
  </sheetViews>
  <sheetFormatPr defaultColWidth="9.140625" defaultRowHeight="13.15"/>
  <cols>
    <col min="1" max="2" width="9.140625" style="111"/>
    <col min="3" max="3" width="5.7109375" style="111" bestFit="1" customWidth="1"/>
    <col min="4" max="4" width="18.7109375" style="111" customWidth="1"/>
    <col min="5" max="5" width="12.140625" style="111" bestFit="1" customWidth="1"/>
    <col min="6" max="6" width="21.42578125" style="111" bestFit="1" customWidth="1"/>
    <col min="7" max="7" width="17" style="111" customWidth="1"/>
    <col min="8" max="8" width="22.42578125" style="111" bestFit="1" customWidth="1"/>
    <col min="9" max="10" width="9.140625" style="111"/>
    <col min="11" max="11" width="4.140625" style="130" bestFit="1" customWidth="1"/>
    <col min="12" max="12" width="20.7109375" style="130" customWidth="1"/>
    <col min="13" max="13" width="12" style="130" bestFit="1" customWidth="1"/>
    <col min="14" max="14" width="21.140625" style="111" customWidth="1"/>
    <col min="15" max="15" width="11.28515625" style="111" bestFit="1" customWidth="1"/>
    <col min="16" max="16" width="24.7109375" style="111" customWidth="1"/>
    <col min="17" max="16384" width="9.140625" style="111"/>
  </cols>
  <sheetData>
    <row r="3" spans="3:16" ht="13.9">
      <c r="C3" s="112"/>
      <c r="D3" s="360" t="s">
        <v>155</v>
      </c>
      <c r="E3" s="360"/>
      <c r="F3" s="360"/>
      <c r="G3" s="360"/>
      <c r="H3" s="360"/>
      <c r="K3" s="112"/>
      <c r="L3" s="360" t="s">
        <v>155</v>
      </c>
      <c r="M3" s="360"/>
      <c r="N3" s="360"/>
      <c r="O3" s="360"/>
      <c r="P3" s="360"/>
    </row>
    <row r="4" spans="3:16" ht="27.6">
      <c r="C4" s="112"/>
      <c r="D4" s="113" t="s">
        <v>156</v>
      </c>
      <c r="E4" s="112"/>
      <c r="G4" s="112"/>
      <c r="H4" s="114"/>
      <c r="K4" s="112"/>
      <c r="L4" s="113" t="s">
        <v>156</v>
      </c>
      <c r="M4" s="112"/>
      <c r="O4" s="112"/>
      <c r="P4" s="114"/>
    </row>
    <row r="5" spans="3:16" ht="13.9">
      <c r="C5" s="112"/>
      <c r="D5" s="113" t="s">
        <v>157</v>
      </c>
      <c r="E5" s="112"/>
      <c r="F5" s="112"/>
      <c r="G5" s="112"/>
      <c r="H5" s="115"/>
      <c r="K5" s="112"/>
      <c r="L5" s="113" t="s">
        <v>157</v>
      </c>
      <c r="M5" s="112"/>
      <c r="N5" s="112"/>
      <c r="O5" s="112"/>
      <c r="P5" s="115"/>
    </row>
    <row r="6" spans="3:16" ht="13.9">
      <c r="C6" s="112"/>
      <c r="D6" s="113" t="s">
        <v>158</v>
      </c>
      <c r="E6" s="112"/>
      <c r="F6" s="112"/>
      <c r="G6" s="116"/>
      <c r="H6" s="117"/>
      <c r="K6" s="112"/>
      <c r="L6" s="113" t="s">
        <v>158</v>
      </c>
      <c r="M6" s="112"/>
      <c r="N6" s="112"/>
      <c r="O6" s="116"/>
      <c r="P6" s="117"/>
    </row>
    <row r="7" spans="3:16" ht="13.9">
      <c r="C7" s="112"/>
      <c r="D7" s="113" t="s">
        <v>159</v>
      </c>
      <c r="E7" s="112"/>
      <c r="F7" s="112"/>
      <c r="G7" s="116"/>
      <c r="H7" s="117"/>
      <c r="K7" s="112"/>
      <c r="L7" s="113" t="s">
        <v>159</v>
      </c>
      <c r="M7" s="112"/>
      <c r="N7" s="112"/>
      <c r="O7" s="116"/>
      <c r="P7" s="117"/>
    </row>
    <row r="8" spans="3:16" ht="13.9">
      <c r="C8" s="112"/>
      <c r="D8" s="361" t="s">
        <v>160</v>
      </c>
      <c r="E8" s="361"/>
      <c r="F8" s="361"/>
      <c r="G8" s="361"/>
      <c r="H8" s="362"/>
      <c r="K8" s="112"/>
      <c r="L8" s="361" t="s">
        <v>160</v>
      </c>
      <c r="M8" s="361"/>
      <c r="N8" s="361"/>
      <c r="O8" s="361"/>
      <c r="P8" s="362"/>
    </row>
    <row r="9" spans="3:16" ht="13.9">
      <c r="C9" s="112"/>
      <c r="D9" s="112"/>
      <c r="E9" s="113" t="s">
        <v>161</v>
      </c>
      <c r="F9" s="113" t="s">
        <v>162</v>
      </c>
      <c r="G9" s="113" t="s">
        <v>163</v>
      </c>
      <c r="H9" s="113" t="s">
        <v>164</v>
      </c>
      <c r="K9" s="112"/>
      <c r="L9" s="112"/>
      <c r="M9" s="113" t="s">
        <v>161</v>
      </c>
      <c r="N9" s="113" t="s">
        <v>162</v>
      </c>
      <c r="O9" s="113" t="s">
        <v>163</v>
      </c>
      <c r="P9" s="113" t="s">
        <v>164</v>
      </c>
    </row>
    <row r="10" spans="3:16" ht="27.6">
      <c r="C10" s="112" t="s">
        <v>165</v>
      </c>
      <c r="D10" s="113" t="s">
        <v>166</v>
      </c>
      <c r="E10" s="113" t="s">
        <v>167</v>
      </c>
      <c r="F10" s="113" t="s">
        <v>168</v>
      </c>
      <c r="G10" s="113" t="s">
        <v>169</v>
      </c>
      <c r="H10" s="113" t="s">
        <v>170</v>
      </c>
      <c r="K10" s="112" t="s">
        <v>165</v>
      </c>
      <c r="L10" s="113" t="s">
        <v>166</v>
      </c>
      <c r="M10" s="113" t="s">
        <v>167</v>
      </c>
      <c r="N10" s="113" t="s">
        <v>168</v>
      </c>
      <c r="O10" s="113" t="s">
        <v>169</v>
      </c>
      <c r="P10" s="113" t="s">
        <v>170</v>
      </c>
    </row>
    <row r="11" spans="3:16" ht="13.9">
      <c r="C11" s="112">
        <v>1</v>
      </c>
      <c r="D11" s="112" t="s">
        <v>171</v>
      </c>
      <c r="E11" s="118"/>
      <c r="F11" s="131"/>
      <c r="G11" s="132"/>
      <c r="H11" s="133"/>
      <c r="K11" s="112">
        <v>1</v>
      </c>
      <c r="L11" s="112" t="s">
        <v>171</v>
      </c>
      <c r="M11" s="118"/>
      <c r="N11" s="131"/>
      <c r="O11" s="132"/>
      <c r="P11" s="133"/>
    </row>
    <row r="12" spans="3:16" ht="13.9">
      <c r="C12" s="112">
        <v>2</v>
      </c>
      <c r="D12" s="112" t="s">
        <v>172</v>
      </c>
      <c r="E12" s="118"/>
      <c r="F12" s="131"/>
      <c r="G12" s="132"/>
      <c r="H12" s="133"/>
      <c r="K12" s="112">
        <v>2</v>
      </c>
      <c r="L12" s="112" t="s">
        <v>172</v>
      </c>
      <c r="M12" s="118"/>
      <c r="N12" s="131"/>
      <c r="O12" s="132"/>
      <c r="P12" s="133"/>
    </row>
    <row r="13" spans="3:16" ht="13.9">
      <c r="C13" s="112">
        <v>3</v>
      </c>
      <c r="D13" s="112" t="s">
        <v>173</v>
      </c>
      <c r="E13" s="118"/>
      <c r="F13" s="131"/>
      <c r="G13" s="132"/>
      <c r="H13" s="133"/>
      <c r="K13" s="112">
        <v>3</v>
      </c>
      <c r="L13" s="112" t="s">
        <v>173</v>
      </c>
      <c r="M13" s="118"/>
      <c r="N13" s="131"/>
      <c r="O13" s="132"/>
      <c r="P13" s="133"/>
    </row>
    <row r="14" spans="3:16" ht="13.9">
      <c r="C14" s="112">
        <v>4</v>
      </c>
      <c r="D14" s="112" t="s">
        <v>174</v>
      </c>
      <c r="E14" s="118"/>
      <c r="F14" s="131"/>
      <c r="G14" s="132"/>
      <c r="H14" s="133"/>
      <c r="K14" s="112">
        <v>4</v>
      </c>
      <c r="L14" s="112" t="s">
        <v>174</v>
      </c>
      <c r="M14" s="118"/>
      <c r="N14" s="131"/>
      <c r="O14" s="132"/>
      <c r="P14" s="133"/>
    </row>
    <row r="15" spans="3:16" ht="13.9">
      <c r="C15" s="112">
        <v>5</v>
      </c>
      <c r="D15" s="112" t="s">
        <v>175</v>
      </c>
      <c r="E15" s="118"/>
      <c r="F15" s="131"/>
      <c r="G15" s="132"/>
      <c r="H15" s="133"/>
      <c r="K15" s="112">
        <v>5</v>
      </c>
      <c r="L15" s="112" t="s">
        <v>175</v>
      </c>
      <c r="M15" s="118"/>
      <c r="N15" s="131"/>
      <c r="O15" s="132"/>
      <c r="P15" s="133"/>
    </row>
    <row r="16" spans="3:16" ht="13.9">
      <c r="C16" s="112"/>
      <c r="D16" s="113" t="s">
        <v>176</v>
      </c>
      <c r="E16" s="113"/>
      <c r="F16" s="134"/>
      <c r="G16" s="134"/>
      <c r="H16" s="134"/>
      <c r="K16" s="112"/>
      <c r="L16" s="113" t="s">
        <v>176</v>
      </c>
      <c r="M16" s="113">
        <f>SUM(M11:M15)</f>
        <v>0</v>
      </c>
      <c r="N16" s="134">
        <f>SUM(N11:N15)</f>
        <v>0</v>
      </c>
      <c r="O16" s="134"/>
      <c r="P16" s="134">
        <f>SUM(P11:P15)</f>
        <v>0</v>
      </c>
    </row>
    <row r="17" spans="3:16" ht="27.6">
      <c r="C17" s="112"/>
      <c r="D17" s="112" t="s">
        <v>177</v>
      </c>
      <c r="E17" s="118"/>
      <c r="F17" s="131"/>
      <c r="G17" s="131"/>
      <c r="H17" s="131"/>
      <c r="K17" s="112"/>
      <c r="L17" s="112" t="s">
        <v>177</v>
      </c>
      <c r="M17" s="118"/>
      <c r="N17" s="131"/>
      <c r="O17" s="131"/>
      <c r="P17" s="131"/>
    </row>
    <row r="18" spans="3:16" ht="13.9">
      <c r="C18" s="112">
        <v>1</v>
      </c>
      <c r="D18" s="112" t="s">
        <v>171</v>
      </c>
      <c r="E18" s="118"/>
      <c r="F18" s="131"/>
      <c r="G18" s="132"/>
      <c r="H18" s="133"/>
      <c r="K18" s="112">
        <v>1</v>
      </c>
      <c r="L18" s="112" t="s">
        <v>171</v>
      </c>
      <c r="M18" s="118">
        <v>0</v>
      </c>
      <c r="N18" s="131">
        <v>0</v>
      </c>
      <c r="O18" s="132">
        <v>0.01</v>
      </c>
      <c r="P18" s="133">
        <f>N18*O18</f>
        <v>0</v>
      </c>
    </row>
    <row r="19" spans="3:16" ht="13.9">
      <c r="C19" s="112">
        <v>2</v>
      </c>
      <c r="D19" s="112" t="s">
        <v>172</v>
      </c>
      <c r="E19" s="118"/>
      <c r="F19" s="131"/>
      <c r="G19" s="132"/>
      <c r="H19" s="133"/>
      <c r="K19" s="112">
        <v>2</v>
      </c>
      <c r="L19" s="112" t="s">
        <v>172</v>
      </c>
      <c r="M19" s="118">
        <v>0</v>
      </c>
      <c r="N19" s="131">
        <v>0</v>
      </c>
      <c r="O19" s="132">
        <v>0.05</v>
      </c>
      <c r="P19" s="133">
        <f>N19*O19</f>
        <v>0</v>
      </c>
    </row>
    <row r="20" spans="3:16" ht="13.9">
      <c r="C20" s="112">
        <v>3</v>
      </c>
      <c r="D20" s="112" t="s">
        <v>173</v>
      </c>
      <c r="E20" s="118"/>
      <c r="F20" s="131"/>
      <c r="G20" s="132"/>
      <c r="H20" s="133"/>
      <c r="K20" s="112">
        <v>3</v>
      </c>
      <c r="L20" s="112" t="s">
        <v>173</v>
      </c>
      <c r="M20" s="118">
        <v>0</v>
      </c>
      <c r="N20" s="131">
        <v>0</v>
      </c>
      <c r="O20" s="132">
        <v>0.25</v>
      </c>
      <c r="P20" s="133">
        <f>N20*O20</f>
        <v>0</v>
      </c>
    </row>
    <row r="21" spans="3:16" ht="13.9">
      <c r="C21" s="112">
        <v>4</v>
      </c>
      <c r="D21" s="112" t="s">
        <v>174</v>
      </c>
      <c r="E21" s="118"/>
      <c r="F21" s="131"/>
      <c r="G21" s="132"/>
      <c r="H21" s="133"/>
      <c r="K21" s="112">
        <v>4</v>
      </c>
      <c r="L21" s="112" t="s">
        <v>174</v>
      </c>
      <c r="M21" s="118">
        <v>0</v>
      </c>
      <c r="N21" s="131">
        <v>0</v>
      </c>
      <c r="O21" s="132">
        <v>0.5</v>
      </c>
      <c r="P21" s="133">
        <f>N21*O21</f>
        <v>0</v>
      </c>
    </row>
    <row r="22" spans="3:16" ht="13.9">
      <c r="C22" s="112">
        <v>5</v>
      </c>
      <c r="D22" s="112" t="s">
        <v>175</v>
      </c>
      <c r="E22" s="118"/>
      <c r="F22" s="131"/>
      <c r="G22" s="132"/>
      <c r="H22" s="133"/>
      <c r="K22" s="112">
        <v>5</v>
      </c>
      <c r="L22" s="112" t="s">
        <v>175</v>
      </c>
      <c r="M22" s="118">
        <v>0</v>
      </c>
      <c r="N22" s="131">
        <v>0</v>
      </c>
      <c r="O22" s="132">
        <v>1</v>
      </c>
      <c r="P22" s="133">
        <f>N22*O22</f>
        <v>0</v>
      </c>
    </row>
    <row r="23" spans="3:16" ht="13.9">
      <c r="C23" s="112"/>
      <c r="D23" s="113" t="s">
        <v>176</v>
      </c>
      <c r="E23" s="113">
        <f>SUM(E17:E22)</f>
        <v>0</v>
      </c>
      <c r="F23" s="134">
        <f>SUM(F17:F22)</f>
        <v>0</v>
      </c>
      <c r="G23" s="134"/>
      <c r="H23" s="134">
        <f>SUM(H17:H22)</f>
        <v>0</v>
      </c>
      <c r="K23" s="112"/>
      <c r="L23" s="113" t="s">
        <v>176</v>
      </c>
      <c r="M23" s="113">
        <f>SUM(M17:M22)</f>
        <v>0</v>
      </c>
      <c r="N23" s="134">
        <f>SUM(N17:N22)</f>
        <v>0</v>
      </c>
      <c r="O23" s="134"/>
      <c r="P23" s="134">
        <f>SUM(P17:P22)</f>
        <v>0</v>
      </c>
    </row>
    <row r="24" spans="3:16" ht="13.9">
      <c r="C24" s="112"/>
      <c r="D24" s="113" t="s">
        <v>178</v>
      </c>
      <c r="E24" s="113">
        <f>E16+E23</f>
        <v>0</v>
      </c>
      <c r="F24" s="134">
        <f>F16+F23</f>
        <v>0</v>
      </c>
      <c r="G24" s="134"/>
      <c r="H24" s="134">
        <f>H16+H23</f>
        <v>0</v>
      </c>
      <c r="K24" s="112"/>
      <c r="L24" s="113" t="s">
        <v>178</v>
      </c>
      <c r="M24" s="113">
        <f>M16+M23</f>
        <v>0</v>
      </c>
      <c r="N24" s="134">
        <f>N16+N23</f>
        <v>0</v>
      </c>
      <c r="O24" s="134"/>
      <c r="P24" s="134">
        <f>P16+P23</f>
        <v>0</v>
      </c>
    </row>
    <row r="26" spans="3:16">
      <c r="F26" s="151">
        <f>F13+F14+F15</f>
        <v>0</v>
      </c>
      <c r="N26" s="151">
        <f>N13+N14+N15</f>
        <v>0</v>
      </c>
    </row>
    <row r="27" spans="3:16">
      <c r="F27" s="119" t="e">
        <f>F26/F24</f>
        <v>#DIV/0!</v>
      </c>
      <c r="N27" s="111" t="e">
        <f>N26/N24</f>
        <v>#DIV/0!</v>
      </c>
    </row>
    <row r="30" spans="3:16" ht="13.9">
      <c r="C30" s="112"/>
      <c r="D30" s="360" t="s">
        <v>155</v>
      </c>
      <c r="E30" s="360"/>
      <c r="F30" s="360"/>
      <c r="G30" s="360"/>
      <c r="H30" s="360"/>
    </row>
    <row r="31" spans="3:16" ht="27.6">
      <c r="C31" s="112"/>
      <c r="D31" s="113" t="s">
        <v>156</v>
      </c>
      <c r="E31" s="112"/>
      <c r="G31" s="112"/>
      <c r="H31" s="114"/>
    </row>
    <row r="32" spans="3:16" ht="13.9">
      <c r="C32" s="112"/>
      <c r="D32" s="113" t="s">
        <v>157</v>
      </c>
      <c r="E32" s="112"/>
      <c r="F32" s="112"/>
      <c r="G32" s="112"/>
      <c r="H32" s="115"/>
    </row>
    <row r="33" spans="3:8" ht="13.9">
      <c r="C33" s="112"/>
      <c r="D33" s="113" t="s">
        <v>158</v>
      </c>
      <c r="E33" s="112"/>
      <c r="F33" s="112"/>
      <c r="G33" s="116"/>
      <c r="H33" s="117"/>
    </row>
    <row r="34" spans="3:8" ht="13.9">
      <c r="C34" s="112"/>
      <c r="D34" s="113" t="s">
        <v>159</v>
      </c>
      <c r="E34" s="112"/>
      <c r="F34" s="112"/>
      <c r="G34" s="116"/>
      <c r="H34" s="117"/>
    </row>
    <row r="35" spans="3:8" ht="13.9">
      <c r="C35" s="112"/>
      <c r="D35" s="361" t="s">
        <v>160</v>
      </c>
      <c r="E35" s="361"/>
      <c r="F35" s="361"/>
      <c r="G35" s="361"/>
      <c r="H35" s="362"/>
    </row>
    <row r="36" spans="3:8" ht="13.9">
      <c r="C36" s="112"/>
      <c r="D36" s="112"/>
      <c r="E36" s="113" t="s">
        <v>161</v>
      </c>
      <c r="F36" s="113" t="s">
        <v>162</v>
      </c>
      <c r="G36" s="113" t="s">
        <v>163</v>
      </c>
      <c r="H36" s="113" t="s">
        <v>164</v>
      </c>
    </row>
    <row r="37" spans="3:8" ht="27.6">
      <c r="C37" s="112" t="s">
        <v>165</v>
      </c>
      <c r="D37" s="113" t="s">
        <v>166</v>
      </c>
      <c r="E37" s="113" t="s">
        <v>167</v>
      </c>
      <c r="F37" s="113" t="s">
        <v>168</v>
      </c>
      <c r="G37" s="113" t="s">
        <v>169</v>
      </c>
      <c r="H37" s="113" t="s">
        <v>170</v>
      </c>
    </row>
    <row r="38" spans="3:8" ht="13.9">
      <c r="C38" s="112">
        <v>1</v>
      </c>
      <c r="D38" s="112" t="s">
        <v>171</v>
      </c>
      <c r="E38" s="118"/>
      <c r="F38" s="131"/>
      <c r="G38" s="175"/>
      <c r="H38" s="176"/>
    </row>
    <row r="39" spans="3:8" ht="13.9">
      <c r="C39" s="112">
        <v>2</v>
      </c>
      <c r="D39" s="112" t="s">
        <v>172</v>
      </c>
      <c r="E39" s="118"/>
      <c r="F39" s="131"/>
      <c r="G39" s="175"/>
      <c r="H39" s="176"/>
    </row>
    <row r="40" spans="3:8" ht="13.9">
      <c r="C40" s="112">
        <v>3</v>
      </c>
      <c r="D40" s="112" t="s">
        <v>173</v>
      </c>
      <c r="E40" s="118"/>
      <c r="F40" s="131"/>
      <c r="G40" s="175"/>
      <c r="H40" s="176"/>
    </row>
    <row r="41" spans="3:8" ht="13.9">
      <c r="C41" s="112">
        <v>4</v>
      </c>
      <c r="D41" s="112" t="s">
        <v>174</v>
      </c>
      <c r="E41" s="118"/>
      <c r="F41" s="131"/>
      <c r="G41" s="175"/>
      <c r="H41" s="176"/>
    </row>
    <row r="42" spans="3:8" ht="13.9">
      <c r="C42" s="112">
        <v>5</v>
      </c>
      <c r="D42" s="112" t="s">
        <v>175</v>
      </c>
      <c r="E42" s="118"/>
      <c r="F42" s="131"/>
      <c r="G42" s="175"/>
      <c r="H42" s="176"/>
    </row>
    <row r="43" spans="3:8" ht="13.9">
      <c r="C43" s="112"/>
      <c r="D43" s="113" t="s">
        <v>176</v>
      </c>
      <c r="E43" s="113"/>
      <c r="F43" s="177"/>
      <c r="G43" s="177"/>
      <c r="H43" s="177"/>
    </row>
    <row r="44" spans="3:8" ht="27.6">
      <c r="C44" s="112"/>
      <c r="D44" s="112" t="s">
        <v>177</v>
      </c>
      <c r="E44" s="118"/>
      <c r="F44" s="131"/>
      <c r="G44" s="131"/>
      <c r="H44" s="131"/>
    </row>
    <row r="45" spans="3:8" ht="13.9">
      <c r="C45" s="112">
        <v>1</v>
      </c>
      <c r="D45" s="112" t="s">
        <v>171</v>
      </c>
      <c r="E45" s="118"/>
      <c r="F45" s="131"/>
      <c r="G45" s="175"/>
      <c r="H45" s="176">
        <f>F45*G45</f>
        <v>0</v>
      </c>
    </row>
    <row r="46" spans="3:8" ht="13.9">
      <c r="C46" s="112">
        <v>2</v>
      </c>
      <c r="D46" s="112" t="s">
        <v>172</v>
      </c>
      <c r="E46" s="118"/>
      <c r="F46" s="131"/>
      <c r="G46" s="175"/>
      <c r="H46" s="176">
        <f>F46*G46</f>
        <v>0</v>
      </c>
    </row>
    <row r="47" spans="3:8" ht="13.9">
      <c r="C47" s="112">
        <v>3</v>
      </c>
      <c r="D47" s="112" t="s">
        <v>173</v>
      </c>
      <c r="E47" s="118"/>
      <c r="F47" s="131"/>
      <c r="G47" s="175"/>
      <c r="H47" s="176">
        <f>F47*G47</f>
        <v>0</v>
      </c>
    </row>
    <row r="48" spans="3:8" ht="13.9">
      <c r="C48" s="112">
        <v>4</v>
      </c>
      <c r="D48" s="112" t="s">
        <v>174</v>
      </c>
      <c r="E48" s="118"/>
      <c r="F48" s="131"/>
      <c r="G48" s="175"/>
      <c r="H48" s="176">
        <f>F48*G48</f>
        <v>0</v>
      </c>
    </row>
    <row r="49" spans="3:8" ht="13.9">
      <c r="C49" s="112">
        <v>5</v>
      </c>
      <c r="D49" s="112" t="s">
        <v>175</v>
      </c>
      <c r="E49" s="118"/>
      <c r="F49" s="131"/>
      <c r="G49" s="175"/>
      <c r="H49" s="176">
        <f>F49*G49</f>
        <v>0</v>
      </c>
    </row>
    <row r="50" spans="3:8" ht="13.9">
      <c r="C50" s="112"/>
      <c r="D50" s="113" t="s">
        <v>176</v>
      </c>
      <c r="E50" s="113">
        <f>SUM(E44:E49)</f>
        <v>0</v>
      </c>
      <c r="F50" s="177">
        <f>SUM(F44:F49)</f>
        <v>0</v>
      </c>
      <c r="G50" s="177"/>
      <c r="H50" s="177">
        <f>SUM(H44:H49)</f>
        <v>0</v>
      </c>
    </row>
    <row r="51" spans="3:8" ht="13.9">
      <c r="C51" s="112"/>
      <c r="D51" s="113" t="s">
        <v>178</v>
      </c>
      <c r="E51" s="113">
        <f>E43+E50</f>
        <v>0</v>
      </c>
      <c r="F51" s="177">
        <f>F43+F50</f>
        <v>0</v>
      </c>
      <c r="G51" s="177"/>
      <c r="H51" s="177">
        <f>H43+H50</f>
        <v>0</v>
      </c>
    </row>
    <row r="52" spans="3:8">
      <c r="F52" s="130"/>
      <c r="G52" s="130"/>
      <c r="H52" s="130"/>
    </row>
    <row r="53" spans="3:8">
      <c r="F53" s="151">
        <f>F40+F41+F42</f>
        <v>0</v>
      </c>
    </row>
    <row r="54" spans="3:8">
      <c r="F54" s="119" t="e">
        <f>F53/F51</f>
        <v>#DIV/0!</v>
      </c>
    </row>
    <row r="56" spans="3:8" ht="13.9">
      <c r="C56" s="176"/>
      <c r="D56" s="357" t="s">
        <v>155</v>
      </c>
      <c r="E56" s="357"/>
      <c r="F56" s="357"/>
      <c r="G56" s="357"/>
      <c r="H56" s="357"/>
    </row>
    <row r="57" spans="3:8" ht="27.6">
      <c r="C57" s="176"/>
      <c r="D57" s="177" t="s">
        <v>156</v>
      </c>
      <c r="E57" s="176"/>
      <c r="F57" s="130"/>
      <c r="G57" s="176"/>
      <c r="H57" s="178"/>
    </row>
    <row r="58" spans="3:8" ht="13.9">
      <c r="C58" s="176"/>
      <c r="D58" s="177" t="s">
        <v>157</v>
      </c>
      <c r="E58" s="176"/>
      <c r="F58" s="176"/>
      <c r="G58" s="176"/>
      <c r="H58" s="179"/>
    </row>
    <row r="59" spans="3:8" ht="13.9">
      <c r="C59" s="176"/>
      <c r="D59" s="177" t="s">
        <v>158</v>
      </c>
      <c r="E59" s="176"/>
      <c r="F59" s="176"/>
      <c r="G59" s="180"/>
      <c r="H59" s="181"/>
    </row>
    <row r="60" spans="3:8" ht="13.9">
      <c r="C60" s="176"/>
      <c r="D60" s="177" t="s">
        <v>159</v>
      </c>
      <c r="E60" s="176"/>
      <c r="F60" s="176"/>
      <c r="G60" s="180"/>
      <c r="H60" s="181"/>
    </row>
    <row r="61" spans="3:8" ht="13.9">
      <c r="C61" s="176"/>
      <c r="D61" s="358" t="s">
        <v>160</v>
      </c>
      <c r="E61" s="358"/>
      <c r="F61" s="358"/>
      <c r="G61" s="358"/>
      <c r="H61" s="359"/>
    </row>
    <row r="62" spans="3:8" ht="13.9">
      <c r="C62" s="176"/>
      <c r="D62" s="176"/>
      <c r="E62" s="177" t="s">
        <v>161</v>
      </c>
      <c r="F62" s="177" t="s">
        <v>162</v>
      </c>
      <c r="G62" s="177" t="s">
        <v>163</v>
      </c>
      <c r="H62" s="177" t="s">
        <v>164</v>
      </c>
    </row>
    <row r="63" spans="3:8" ht="27.6">
      <c r="C63" s="176" t="s">
        <v>165</v>
      </c>
      <c r="D63" s="182" t="s">
        <v>166</v>
      </c>
      <c r="E63" s="177" t="s">
        <v>167</v>
      </c>
      <c r="F63" s="177" t="s">
        <v>168</v>
      </c>
      <c r="G63" s="177" t="s">
        <v>169</v>
      </c>
      <c r="H63" s="177" t="s">
        <v>170</v>
      </c>
    </row>
    <row r="64" spans="3:8" ht="13.9">
      <c r="C64" s="176">
        <v>1</v>
      </c>
      <c r="D64" s="176" t="s">
        <v>171</v>
      </c>
      <c r="E64" s="131"/>
      <c r="F64" s="131"/>
      <c r="G64" s="132"/>
      <c r="H64" s="133"/>
    </row>
    <row r="65" spans="3:8" ht="13.9">
      <c r="C65" s="176">
        <v>2</v>
      </c>
      <c r="D65" s="176" t="s">
        <v>172</v>
      </c>
      <c r="E65" s="131"/>
      <c r="F65" s="131"/>
      <c r="G65" s="132"/>
      <c r="H65" s="133"/>
    </row>
    <row r="66" spans="3:8" ht="13.9">
      <c r="C66" s="176">
        <v>3</v>
      </c>
      <c r="D66" s="176" t="s">
        <v>173</v>
      </c>
      <c r="E66" s="131"/>
      <c r="F66" s="131"/>
      <c r="G66" s="132"/>
      <c r="H66" s="133"/>
    </row>
    <row r="67" spans="3:8" ht="13.9">
      <c r="C67" s="176">
        <v>4</v>
      </c>
      <c r="D67" s="176" t="s">
        <v>174</v>
      </c>
      <c r="E67" s="131"/>
      <c r="F67" s="131"/>
      <c r="G67" s="132"/>
      <c r="H67" s="133"/>
    </row>
    <row r="68" spans="3:8" ht="13.9">
      <c r="C68" s="176">
        <v>5</v>
      </c>
      <c r="D68" s="176" t="s">
        <v>175</v>
      </c>
      <c r="E68" s="131"/>
      <c r="F68" s="131"/>
      <c r="G68" s="132"/>
      <c r="H68" s="133"/>
    </row>
    <row r="69" spans="3:8" ht="13.9">
      <c r="C69" s="176"/>
      <c r="D69" s="177" t="s">
        <v>176</v>
      </c>
      <c r="E69" s="134">
        <f>SUM(E64:E68)</f>
        <v>0</v>
      </c>
      <c r="F69" s="134">
        <f>SUM(F64:F68)</f>
        <v>0</v>
      </c>
      <c r="G69" s="134"/>
      <c r="H69" s="134">
        <f>SUM(H64:H68)</f>
        <v>0</v>
      </c>
    </row>
    <row r="70" spans="3:8" ht="41.45">
      <c r="C70" s="176"/>
      <c r="D70" s="176" t="s">
        <v>177</v>
      </c>
      <c r="E70" s="131"/>
      <c r="F70" s="131"/>
      <c r="G70" s="131"/>
      <c r="H70" s="131"/>
    </row>
    <row r="71" spans="3:8" ht="13.9">
      <c r="C71" s="176">
        <v>1</v>
      </c>
      <c r="D71" s="176" t="s">
        <v>171</v>
      </c>
      <c r="E71" s="131">
        <v>0</v>
      </c>
      <c r="F71" s="131">
        <v>0</v>
      </c>
      <c r="G71" s="132">
        <v>0.01</v>
      </c>
      <c r="H71" s="133">
        <f>F71*G71</f>
        <v>0</v>
      </c>
    </row>
    <row r="72" spans="3:8" ht="13.9">
      <c r="C72" s="176">
        <v>2</v>
      </c>
      <c r="D72" s="176" t="s">
        <v>172</v>
      </c>
      <c r="E72" s="131">
        <v>0</v>
      </c>
      <c r="F72" s="131">
        <v>0</v>
      </c>
      <c r="G72" s="132">
        <v>0.05</v>
      </c>
      <c r="H72" s="133">
        <f>F72*G72</f>
        <v>0</v>
      </c>
    </row>
    <row r="73" spans="3:8" ht="13.9">
      <c r="C73" s="176">
        <v>3</v>
      </c>
      <c r="D73" s="176" t="s">
        <v>173</v>
      </c>
      <c r="E73" s="131">
        <v>0</v>
      </c>
      <c r="F73" s="131">
        <v>0</v>
      </c>
      <c r="G73" s="132">
        <v>0.25</v>
      </c>
      <c r="H73" s="133">
        <f>F73*G73</f>
        <v>0</v>
      </c>
    </row>
    <row r="74" spans="3:8" ht="13.9">
      <c r="C74" s="176">
        <v>4</v>
      </c>
      <c r="D74" s="176" t="s">
        <v>174</v>
      </c>
      <c r="E74" s="131">
        <v>0</v>
      </c>
      <c r="F74" s="131">
        <v>0</v>
      </c>
      <c r="G74" s="132">
        <v>0.5</v>
      </c>
      <c r="H74" s="133">
        <f>F74*G74</f>
        <v>0</v>
      </c>
    </row>
    <row r="75" spans="3:8" ht="13.9">
      <c r="C75" s="176">
        <v>5</v>
      </c>
      <c r="D75" s="176" t="s">
        <v>175</v>
      </c>
      <c r="E75" s="131">
        <v>0</v>
      </c>
      <c r="F75" s="131">
        <v>0</v>
      </c>
      <c r="G75" s="132">
        <v>1</v>
      </c>
      <c r="H75" s="133">
        <f>F75*G75</f>
        <v>0</v>
      </c>
    </row>
    <row r="76" spans="3:8" ht="13.9">
      <c r="C76" s="176"/>
      <c r="D76" s="177" t="s">
        <v>176</v>
      </c>
      <c r="E76" s="134">
        <f>SUM(E70:E75)</f>
        <v>0</v>
      </c>
      <c r="F76" s="134">
        <f>SUM(F70:F75)</f>
        <v>0</v>
      </c>
      <c r="G76" s="134"/>
      <c r="H76" s="134">
        <f>SUM(H70:H75)</f>
        <v>0</v>
      </c>
    </row>
    <row r="77" spans="3:8" ht="13.9">
      <c r="C77" s="176"/>
      <c r="D77" s="177" t="s">
        <v>178</v>
      </c>
      <c r="E77" s="134">
        <f>E69+E76</f>
        <v>0</v>
      </c>
      <c r="F77" s="134">
        <f>F69+F76</f>
        <v>0</v>
      </c>
      <c r="G77" s="134"/>
      <c r="H77" s="134">
        <f>H69+H76</f>
        <v>0</v>
      </c>
    </row>
    <row r="79" spans="3:8">
      <c r="F79" s="151">
        <f>F66+F67+F68</f>
        <v>0</v>
      </c>
    </row>
    <row r="80" spans="3:8">
      <c r="F80" s="119" t="e">
        <f>F79/F77</f>
        <v>#DIV/0!</v>
      </c>
    </row>
  </sheetData>
  <mergeCells count="8">
    <mergeCell ref="D56:H56"/>
    <mergeCell ref="D61:H61"/>
    <mergeCell ref="D3:H3"/>
    <mergeCell ref="D8:H8"/>
    <mergeCell ref="L3:P3"/>
    <mergeCell ref="L8:P8"/>
    <mergeCell ref="D30:H30"/>
    <mergeCell ref="D35:H3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L56"/>
  <sheetViews>
    <sheetView zoomScale="70" zoomScaleNormal="70" zoomScaleSheetLayoutView="78" workbookViewId="0">
      <pane xSplit="14" ySplit="3" topLeftCell="AC41" activePane="bottomRight" state="frozen"/>
      <selection pane="bottomRight" activeCell="AF54" sqref="AF54:AH56"/>
      <selection pane="bottomLeft" activeCell="A4" sqref="A4"/>
      <selection pane="topRight" activeCell="O1" sqref="O1"/>
    </sheetView>
  </sheetViews>
  <sheetFormatPr defaultColWidth="17.140625" defaultRowHeight="13.9"/>
  <cols>
    <col min="1" max="1" width="40.5703125" style="262" customWidth="1"/>
    <col min="2" max="2" width="11" style="262" hidden="1" customWidth="1"/>
    <col min="3" max="3" width="27.42578125" style="108" hidden="1" customWidth="1"/>
    <col min="4" max="4" width="31.5703125" style="108" hidden="1" customWidth="1"/>
    <col min="5" max="6" width="21.7109375" style="108" hidden="1" customWidth="1"/>
    <col min="7" max="7" width="20.5703125" style="108" hidden="1" customWidth="1"/>
    <col min="8" max="8" width="22.7109375" style="108" hidden="1" customWidth="1"/>
    <col min="9" max="9" width="23.28515625" style="108" hidden="1" customWidth="1"/>
    <col min="10" max="10" width="23.85546875" style="108" hidden="1" customWidth="1"/>
    <col min="11" max="11" width="21.140625" style="108" hidden="1" customWidth="1"/>
    <col min="12" max="12" width="22.42578125" style="108" hidden="1" customWidth="1"/>
    <col min="13" max="14" width="21.28515625" style="108" hidden="1" customWidth="1"/>
    <col min="15" max="15" width="17.7109375" style="108" bestFit="1" customWidth="1"/>
    <col min="16" max="22" width="21.28515625" style="108" hidden="1" customWidth="1"/>
    <col min="23" max="23" width="17.7109375" style="108" bestFit="1" customWidth="1"/>
    <col min="24" max="28" width="17.7109375" style="327" bestFit="1" customWidth="1"/>
    <col min="29" max="16384" width="17.140625" style="108"/>
  </cols>
  <sheetData>
    <row r="1" spans="1:38">
      <c r="A1" s="262" t="s">
        <v>13</v>
      </c>
    </row>
    <row r="2" spans="1:38" ht="14.25" customHeight="1">
      <c r="A2" s="263" t="s">
        <v>179</v>
      </c>
      <c r="B2" s="263"/>
    </row>
    <row r="3" spans="1:38" s="265" customFormat="1" ht="12.75">
      <c r="A3" s="264"/>
      <c r="B3" s="242" t="s">
        <v>17</v>
      </c>
      <c r="C3" s="242">
        <v>44197</v>
      </c>
      <c r="D3" s="242">
        <v>44228</v>
      </c>
      <c r="E3" s="242">
        <v>44256</v>
      </c>
      <c r="F3" s="242">
        <v>44287</v>
      </c>
      <c r="G3" s="242">
        <v>44317</v>
      </c>
      <c r="H3" s="242">
        <v>44348</v>
      </c>
      <c r="I3" s="242">
        <v>44378</v>
      </c>
      <c r="J3" s="242">
        <v>44409</v>
      </c>
      <c r="K3" s="242">
        <v>44440</v>
      </c>
      <c r="L3" s="242">
        <v>44470</v>
      </c>
      <c r="M3" s="242">
        <v>44501</v>
      </c>
      <c r="N3" s="242">
        <v>44531</v>
      </c>
      <c r="O3" s="243" t="s">
        <v>180</v>
      </c>
      <c r="P3" s="325">
        <v>44562</v>
      </c>
      <c r="Q3" s="325">
        <v>44593</v>
      </c>
      <c r="R3" s="325">
        <v>44621</v>
      </c>
      <c r="S3" s="325">
        <v>44652</v>
      </c>
      <c r="T3" s="325">
        <v>44682</v>
      </c>
      <c r="U3" s="325">
        <v>44713</v>
      </c>
      <c r="V3" s="325">
        <v>44743</v>
      </c>
      <c r="W3" s="325">
        <v>44774</v>
      </c>
      <c r="X3" s="325">
        <v>44805</v>
      </c>
      <c r="Y3" s="325">
        <v>44835</v>
      </c>
      <c r="Z3" s="325">
        <v>44866</v>
      </c>
      <c r="AA3" s="325">
        <v>44896</v>
      </c>
      <c r="AB3" s="325" t="s">
        <v>181</v>
      </c>
      <c r="AC3" s="325">
        <v>44949</v>
      </c>
      <c r="AD3" s="325">
        <v>44980</v>
      </c>
      <c r="AE3" s="325">
        <v>45008</v>
      </c>
      <c r="AF3" s="325">
        <v>45039</v>
      </c>
      <c r="AG3" s="325">
        <v>45069</v>
      </c>
      <c r="AH3" s="325">
        <v>45100</v>
      </c>
      <c r="AI3" s="325">
        <v>45130</v>
      </c>
      <c r="AJ3" s="325">
        <v>45161</v>
      </c>
      <c r="AK3" s="325">
        <v>45192</v>
      </c>
      <c r="AL3" s="325">
        <v>45222</v>
      </c>
    </row>
    <row r="4" spans="1:38" s="266" customFormat="1" ht="15.75">
      <c r="A4" s="121" t="s">
        <v>182</v>
      </c>
      <c r="B4" s="241">
        <f t="shared" ref="B4:AH4" si="0">SUM(B5:B6)</f>
        <v>251294928</v>
      </c>
      <c r="C4" s="241">
        <f t="shared" si="0"/>
        <v>247750399.25999999</v>
      </c>
      <c r="D4" s="241">
        <f t="shared" si="0"/>
        <v>259133273.56999999</v>
      </c>
      <c r="E4" s="241">
        <f t="shared" si="0"/>
        <v>247395475.85999998</v>
      </c>
      <c r="F4" s="241">
        <f t="shared" si="0"/>
        <v>298103518.07999998</v>
      </c>
      <c r="G4" s="241">
        <f t="shared" si="0"/>
        <v>257270076.07000002</v>
      </c>
      <c r="H4" s="241">
        <f t="shared" si="0"/>
        <v>258353985.72</v>
      </c>
      <c r="I4" s="241">
        <f t="shared" si="0"/>
        <v>343704073.28000003</v>
      </c>
      <c r="J4" s="241">
        <f t="shared" si="0"/>
        <v>318061370.33000004</v>
      </c>
      <c r="K4" s="241">
        <f t="shared" si="0"/>
        <v>300709532.36000001</v>
      </c>
      <c r="L4" s="241">
        <f t="shared" si="0"/>
        <v>222978584.44999999</v>
      </c>
      <c r="M4" s="241">
        <f t="shared" si="0"/>
        <v>239346624.68000001</v>
      </c>
      <c r="N4" s="241">
        <f t="shared" si="0"/>
        <v>224206442.03999999</v>
      </c>
      <c r="O4" s="328">
        <f t="shared" si="0"/>
        <v>212893091</v>
      </c>
      <c r="P4" s="328">
        <f t="shared" si="0"/>
        <v>261750291.03</v>
      </c>
      <c r="Q4" s="328">
        <f t="shared" si="0"/>
        <v>283317878.95999998</v>
      </c>
      <c r="R4" s="328">
        <f t="shared" si="0"/>
        <v>232870290.15000001</v>
      </c>
      <c r="S4" s="328">
        <f t="shared" si="0"/>
        <v>233041688.99000001</v>
      </c>
      <c r="T4" s="328">
        <f t="shared" si="0"/>
        <v>202970548.87</v>
      </c>
      <c r="U4" s="328">
        <f t="shared" si="0"/>
        <v>303912907.88999999</v>
      </c>
      <c r="V4" s="328">
        <f t="shared" si="0"/>
        <v>321607037.84000003</v>
      </c>
      <c r="W4" s="328">
        <f t="shared" si="0"/>
        <v>294010430</v>
      </c>
      <c r="X4" s="328">
        <f t="shared" si="0"/>
        <v>328071440.98000002</v>
      </c>
      <c r="Y4" s="328">
        <f t="shared" si="0"/>
        <v>264133258.27000001</v>
      </c>
      <c r="Z4" s="328">
        <f t="shared" si="0"/>
        <v>205268753.22</v>
      </c>
      <c r="AA4" s="328">
        <f t="shared" si="0"/>
        <v>230256009.03999999</v>
      </c>
      <c r="AB4" s="328">
        <f t="shared" si="0"/>
        <v>217650307</v>
      </c>
      <c r="AC4" s="328">
        <f t="shared" si="0"/>
        <v>288826208.23000002</v>
      </c>
      <c r="AD4" s="328">
        <f t="shared" si="0"/>
        <v>264492886.56</v>
      </c>
      <c r="AE4" s="328">
        <f t="shared" si="0"/>
        <v>278373849.10000002</v>
      </c>
      <c r="AF4" s="328">
        <f t="shared" si="0"/>
        <v>299016891.67999995</v>
      </c>
      <c r="AG4" s="328">
        <f t="shared" si="0"/>
        <v>225340796.94</v>
      </c>
      <c r="AH4" s="328">
        <f t="shared" si="0"/>
        <v>361983016.22000003</v>
      </c>
    </row>
    <row r="5" spans="1:38" ht="15">
      <c r="A5" s="120" t="s">
        <v>183</v>
      </c>
      <c r="B5" s="120">
        <f>14623898+23902605</f>
        <v>38526503</v>
      </c>
      <c r="C5" s="267">
        <v>32528615.920000002</v>
      </c>
      <c r="D5" s="267">
        <v>25335508.329999998</v>
      </c>
      <c r="E5" s="267">
        <v>18428546.82</v>
      </c>
      <c r="F5" s="267">
        <v>12460689.01</v>
      </c>
      <c r="G5" s="267">
        <v>45531113.520000003</v>
      </c>
      <c r="H5" s="267">
        <v>35558284.25</v>
      </c>
      <c r="I5" s="267">
        <v>26373154.039999999</v>
      </c>
      <c r="J5" s="267">
        <v>12476967.42</v>
      </c>
      <c r="K5" s="267">
        <v>47584094.810000002</v>
      </c>
      <c r="L5" s="267">
        <v>42570463.829999998</v>
      </c>
      <c r="M5" s="267">
        <v>36021999.549999997</v>
      </c>
      <c r="N5" s="267">
        <v>39816394.119999997</v>
      </c>
      <c r="O5" s="329">
        <f>5753282+21912855</f>
        <v>27666137</v>
      </c>
      <c r="P5" s="330">
        <v>32888430.98</v>
      </c>
      <c r="Q5" s="330">
        <v>23517964.949999999</v>
      </c>
      <c r="R5" s="330">
        <v>40496647.93</v>
      </c>
      <c r="S5" s="330">
        <v>46022747.270000003</v>
      </c>
      <c r="T5" s="330">
        <v>41374150.670000002</v>
      </c>
      <c r="U5" s="330">
        <v>52623478.729999997</v>
      </c>
      <c r="V5" s="330">
        <v>36421180.18</v>
      </c>
      <c r="W5" s="330">
        <v>31360312.670000002</v>
      </c>
      <c r="X5" s="331">
        <v>34000823.549999997</v>
      </c>
      <c r="Y5" s="331">
        <v>28637228.190000001</v>
      </c>
      <c r="Z5" s="331">
        <v>27662293.120000001</v>
      </c>
      <c r="AA5" s="331">
        <v>33257684.260000002</v>
      </c>
      <c r="AB5" s="331">
        <f>15230372+17362560</f>
        <v>32592932</v>
      </c>
      <c r="AC5" s="341">
        <v>27601431.859999999</v>
      </c>
      <c r="AD5" s="343">
        <v>17489747.829999998</v>
      </c>
      <c r="AE5" s="343">
        <v>45002038.32</v>
      </c>
      <c r="AF5" s="343">
        <v>25213498.34</v>
      </c>
      <c r="AG5" s="341">
        <v>27502420.699999999</v>
      </c>
      <c r="AH5" s="390">
        <v>22731416.780000001</v>
      </c>
    </row>
    <row r="6" spans="1:38" ht="15">
      <c r="A6" s="120" t="s">
        <v>184</v>
      </c>
      <c r="B6" s="120">
        <f>251294928-B5</f>
        <v>212768425</v>
      </c>
      <c r="C6" s="267">
        <v>215221783.34</v>
      </c>
      <c r="D6" s="267">
        <v>233797765.24000001</v>
      </c>
      <c r="E6" s="267">
        <v>228966929.03999999</v>
      </c>
      <c r="F6" s="267">
        <v>285642829.06999999</v>
      </c>
      <c r="G6" s="267">
        <v>211738962.55000001</v>
      </c>
      <c r="H6" s="267">
        <v>222795701.47</v>
      </c>
      <c r="I6" s="267">
        <v>317330919.24000001</v>
      </c>
      <c r="J6" s="267">
        <v>305584402.91000003</v>
      </c>
      <c r="K6" s="267">
        <v>253125437.55000001</v>
      </c>
      <c r="L6" s="267">
        <v>180408120.62</v>
      </c>
      <c r="M6" s="267">
        <v>203324625.13</v>
      </c>
      <c r="N6" s="267">
        <v>184390047.91999999</v>
      </c>
      <c r="O6" s="329">
        <f>212893091-27666137</f>
        <v>185226954</v>
      </c>
      <c r="P6" s="330">
        <v>228861860.05000001</v>
      </c>
      <c r="Q6" s="330">
        <v>259799914.00999999</v>
      </c>
      <c r="R6" s="330">
        <v>192373642.22</v>
      </c>
      <c r="S6" s="330">
        <v>187018941.72</v>
      </c>
      <c r="T6" s="330">
        <v>161596398.19999999</v>
      </c>
      <c r="U6" s="330">
        <v>251289429.16</v>
      </c>
      <c r="V6" s="330">
        <v>285185857.66000003</v>
      </c>
      <c r="W6" s="330">
        <v>262650117.33000001</v>
      </c>
      <c r="X6" s="331">
        <v>294070617.43000001</v>
      </c>
      <c r="Y6" s="331">
        <v>235496030.08000001</v>
      </c>
      <c r="Z6" s="331">
        <v>177606460.09999999</v>
      </c>
      <c r="AA6" s="331">
        <v>196998324.78</v>
      </c>
      <c r="AB6" s="331">
        <f>12903743+106983802+36217395+7373629+5937365+100586+1329838+14211017</f>
        <v>185057375</v>
      </c>
      <c r="AC6" s="345">
        <v>261224776.37</v>
      </c>
      <c r="AD6" s="347">
        <v>247003138.72999999</v>
      </c>
      <c r="AE6" s="347">
        <v>233371810.78</v>
      </c>
      <c r="AF6" s="347">
        <v>273803393.33999997</v>
      </c>
      <c r="AG6" s="345">
        <v>197838376.24000001</v>
      </c>
      <c r="AH6" s="392">
        <v>339251599.44</v>
      </c>
    </row>
    <row r="7" spans="1:38" s="266" customFormat="1" ht="15">
      <c r="A7" s="121" t="s">
        <v>185</v>
      </c>
      <c r="B7" s="121">
        <v>65659257</v>
      </c>
      <c r="C7" s="267">
        <v>75087891.459999993</v>
      </c>
      <c r="D7" s="267">
        <v>76667653.730000004</v>
      </c>
      <c r="E7" s="267">
        <v>79744434.829999998</v>
      </c>
      <c r="F7" s="267">
        <v>57780652.829999998</v>
      </c>
      <c r="G7" s="267">
        <v>74358599.150000006</v>
      </c>
      <c r="H7" s="267">
        <v>58815661.340000004</v>
      </c>
      <c r="I7" s="267">
        <v>59806984.390000001</v>
      </c>
      <c r="J7" s="267">
        <v>132033287.05</v>
      </c>
      <c r="K7" s="267">
        <v>133536191.98</v>
      </c>
      <c r="L7" s="267">
        <v>166738728.66</v>
      </c>
      <c r="M7" s="267">
        <v>149613833.16</v>
      </c>
      <c r="N7" s="267">
        <v>134078781.37</v>
      </c>
      <c r="O7" s="329">
        <v>136459664</v>
      </c>
      <c r="P7" s="332">
        <v>136633573.91999999</v>
      </c>
      <c r="Q7" s="332">
        <v>141124111.33000001</v>
      </c>
      <c r="R7" s="332">
        <v>142939369.99000001</v>
      </c>
      <c r="S7" s="332">
        <v>144539767.78999999</v>
      </c>
      <c r="T7" s="332">
        <v>139302605.68000001</v>
      </c>
      <c r="U7" s="332">
        <v>142277547.03999999</v>
      </c>
      <c r="V7" s="332">
        <v>70421877.120000005</v>
      </c>
      <c r="W7" s="332">
        <v>120935777.51000001</v>
      </c>
      <c r="X7" s="333">
        <v>146232433.49000001</v>
      </c>
      <c r="Y7" s="333">
        <v>149608398.36000001</v>
      </c>
      <c r="Z7" s="333">
        <v>166651427.41</v>
      </c>
      <c r="AA7" s="333">
        <v>50340483.189999998</v>
      </c>
      <c r="AB7" s="333">
        <f>27912536+1381710+20385292+1308490+183574</f>
        <v>51171602</v>
      </c>
      <c r="AC7" s="341">
        <v>51546558.539999999</v>
      </c>
      <c r="AD7" s="343">
        <v>55408557.670000002</v>
      </c>
      <c r="AE7" s="343">
        <v>53601259.07</v>
      </c>
      <c r="AF7" s="343">
        <v>-20444603.989999998</v>
      </c>
      <c r="AG7" s="345">
        <v>79309561.090000004</v>
      </c>
      <c r="AH7" s="392">
        <v>56744759.140000001</v>
      </c>
    </row>
    <row r="8" spans="1:38" s="266" customFormat="1" ht="15.75">
      <c r="A8" s="121" t="s">
        <v>186</v>
      </c>
      <c r="B8" s="241">
        <f t="shared" ref="B8:AH8" si="1">SUM(B9:B13)</f>
        <v>848324872</v>
      </c>
      <c r="C8" s="241">
        <f t="shared" si="1"/>
        <v>842288530.21000004</v>
      </c>
      <c r="D8" s="241">
        <f t="shared" si="1"/>
        <v>842538640.21000004</v>
      </c>
      <c r="E8" s="241">
        <f t="shared" si="1"/>
        <v>842676057.21000004</v>
      </c>
      <c r="F8" s="241">
        <f t="shared" si="1"/>
        <v>842804395.21000004</v>
      </c>
      <c r="G8" s="241">
        <f t="shared" si="1"/>
        <v>842854395.21000004</v>
      </c>
      <c r="H8" s="241">
        <f t="shared" si="1"/>
        <v>842993355.21000004</v>
      </c>
      <c r="I8" s="241">
        <f t="shared" si="1"/>
        <v>842993355.21000004</v>
      </c>
      <c r="J8" s="241">
        <f t="shared" si="1"/>
        <v>843086737.21000004</v>
      </c>
      <c r="K8" s="241">
        <f t="shared" si="1"/>
        <v>845086737.21000004</v>
      </c>
      <c r="L8" s="241">
        <f t="shared" si="1"/>
        <v>845086737.21000004</v>
      </c>
      <c r="M8" s="241">
        <f t="shared" si="1"/>
        <v>845182236.21000004</v>
      </c>
      <c r="N8" s="241">
        <f t="shared" si="1"/>
        <v>919044826.32000005</v>
      </c>
      <c r="O8" s="328">
        <f t="shared" si="1"/>
        <v>927895776</v>
      </c>
      <c r="P8" s="328">
        <f t="shared" si="1"/>
        <v>878394082.11000001</v>
      </c>
      <c r="Q8" s="328">
        <f t="shared" si="1"/>
        <v>878394082.11000001</v>
      </c>
      <c r="R8" s="328">
        <f t="shared" si="1"/>
        <v>878394082.11000001</v>
      </c>
      <c r="S8" s="328">
        <f t="shared" si="1"/>
        <v>878394082.11000001</v>
      </c>
      <c r="T8" s="328">
        <f t="shared" si="1"/>
        <v>878394082.11000001</v>
      </c>
      <c r="U8" s="328">
        <f t="shared" si="1"/>
        <v>878325248.11000001</v>
      </c>
      <c r="V8" s="328">
        <f t="shared" si="1"/>
        <v>878325248.11000001</v>
      </c>
      <c r="W8" s="328">
        <f t="shared" si="1"/>
        <v>878325248.11000001</v>
      </c>
      <c r="X8" s="328">
        <f t="shared" si="1"/>
        <v>777175248.11000001</v>
      </c>
      <c r="Y8" s="328">
        <f t="shared" si="1"/>
        <v>777175248.11000001</v>
      </c>
      <c r="Z8" s="328">
        <f t="shared" si="1"/>
        <v>777175248.11000001</v>
      </c>
      <c r="AA8" s="328">
        <f t="shared" si="1"/>
        <v>777208303.11000001</v>
      </c>
      <c r="AB8" s="328">
        <f t="shared" si="1"/>
        <v>782521847</v>
      </c>
      <c r="AC8" s="328">
        <f t="shared" si="1"/>
        <v>770670896.50999999</v>
      </c>
      <c r="AD8" s="328">
        <f t="shared" si="1"/>
        <v>770670896.50999999</v>
      </c>
      <c r="AE8" s="328">
        <f t="shared" si="1"/>
        <v>770670896.50999999</v>
      </c>
      <c r="AF8" s="328">
        <f t="shared" si="1"/>
        <v>769567265.60000002</v>
      </c>
      <c r="AG8" s="328">
        <f t="shared" si="1"/>
        <v>769567265.60000002</v>
      </c>
      <c r="AH8" s="328">
        <f t="shared" si="1"/>
        <v>769567265.60000002</v>
      </c>
    </row>
    <row r="9" spans="1:38" ht="29.25">
      <c r="A9" s="122" t="s">
        <v>187</v>
      </c>
      <c r="B9" s="122"/>
      <c r="C9" s="267">
        <v>0</v>
      </c>
      <c r="D9" s="267">
        <v>0</v>
      </c>
      <c r="E9" s="267">
        <v>0</v>
      </c>
      <c r="F9" s="267">
        <v>0</v>
      </c>
      <c r="G9" s="267">
        <v>0</v>
      </c>
      <c r="H9" s="267">
        <v>0</v>
      </c>
      <c r="I9" s="267">
        <v>0</v>
      </c>
      <c r="J9" s="267">
        <v>0</v>
      </c>
      <c r="K9" s="267">
        <v>0</v>
      </c>
      <c r="L9" s="267">
        <v>0</v>
      </c>
      <c r="M9" s="267">
        <v>0</v>
      </c>
      <c r="N9" s="267">
        <v>0</v>
      </c>
      <c r="O9" s="334"/>
      <c r="P9" s="334">
        <v>0</v>
      </c>
      <c r="Q9" s="334">
        <v>0</v>
      </c>
      <c r="R9" s="334">
        <v>0</v>
      </c>
      <c r="S9" s="334">
        <v>0</v>
      </c>
      <c r="T9" s="334">
        <v>0</v>
      </c>
      <c r="U9" s="334">
        <v>0</v>
      </c>
      <c r="V9" s="330">
        <v>0</v>
      </c>
      <c r="W9" s="330">
        <v>0</v>
      </c>
      <c r="X9" s="331">
        <v>0</v>
      </c>
      <c r="Y9" s="331">
        <v>0</v>
      </c>
      <c r="Z9" s="331">
        <v>0</v>
      </c>
      <c r="AA9" s="331">
        <v>0</v>
      </c>
      <c r="AB9" s="331">
        <v>0</v>
      </c>
      <c r="AC9" s="340">
        <v>0</v>
      </c>
      <c r="AD9" s="342">
        <v>0</v>
      </c>
      <c r="AE9" s="342">
        <v>0</v>
      </c>
      <c r="AF9" s="342">
        <v>0</v>
      </c>
      <c r="AG9" s="340">
        <v>0</v>
      </c>
      <c r="AH9" s="389">
        <v>0</v>
      </c>
    </row>
    <row r="10" spans="1:38" ht="14.25">
      <c r="A10" s="120" t="s">
        <v>188</v>
      </c>
      <c r="B10" s="120"/>
      <c r="C10" s="267">
        <v>0</v>
      </c>
      <c r="D10" s="267">
        <v>0</v>
      </c>
      <c r="E10" s="267">
        <v>0</v>
      </c>
      <c r="F10" s="267">
        <v>0</v>
      </c>
      <c r="G10" s="267">
        <v>0</v>
      </c>
      <c r="H10" s="267">
        <v>0</v>
      </c>
      <c r="I10" s="267">
        <v>0</v>
      </c>
      <c r="J10" s="267">
        <v>0</v>
      </c>
      <c r="K10" s="267">
        <v>0</v>
      </c>
      <c r="L10" s="267">
        <v>0</v>
      </c>
      <c r="M10" s="267">
        <v>0</v>
      </c>
      <c r="N10" s="267">
        <v>0</v>
      </c>
      <c r="O10" s="334"/>
      <c r="P10" s="334">
        <v>0</v>
      </c>
      <c r="Q10" s="334">
        <v>0</v>
      </c>
      <c r="R10" s="334">
        <v>0</v>
      </c>
      <c r="S10" s="334">
        <v>0</v>
      </c>
      <c r="T10" s="334">
        <v>0</v>
      </c>
      <c r="U10" s="334">
        <v>0</v>
      </c>
      <c r="V10" s="330">
        <v>0</v>
      </c>
      <c r="W10" s="330">
        <v>0</v>
      </c>
      <c r="X10" s="331">
        <v>0</v>
      </c>
      <c r="Y10" s="331">
        <v>0</v>
      </c>
      <c r="Z10" s="331">
        <v>0</v>
      </c>
      <c r="AA10" s="331">
        <v>0</v>
      </c>
      <c r="AB10" s="331">
        <v>0</v>
      </c>
      <c r="AC10" s="344">
        <v>0</v>
      </c>
      <c r="AD10" s="346">
        <v>0</v>
      </c>
      <c r="AE10" s="346">
        <v>0</v>
      </c>
      <c r="AF10" s="346">
        <v>0</v>
      </c>
      <c r="AG10" s="344">
        <v>0</v>
      </c>
      <c r="AH10" s="391">
        <v>0</v>
      </c>
    </row>
    <row r="11" spans="1:38" ht="14.25">
      <c r="A11" s="268" t="s">
        <v>189</v>
      </c>
      <c r="B11" s="268">
        <v>848324872</v>
      </c>
      <c r="C11" s="267">
        <v>842288530.21000004</v>
      </c>
      <c r="D11" s="267">
        <v>842538640.21000004</v>
      </c>
      <c r="E11" s="267">
        <v>842676057.21000004</v>
      </c>
      <c r="F11" s="267">
        <v>842804395.21000004</v>
      </c>
      <c r="G11" s="267">
        <v>842854395.21000004</v>
      </c>
      <c r="H11" s="267">
        <v>842993355.21000004</v>
      </c>
      <c r="I11" s="267">
        <v>842993355.21000004</v>
      </c>
      <c r="J11" s="267">
        <v>843086737.21000004</v>
      </c>
      <c r="K11" s="267">
        <v>845086737.21000004</v>
      </c>
      <c r="L11" s="267">
        <v>845086737.21000004</v>
      </c>
      <c r="M11" s="267">
        <v>845182236.21000004</v>
      </c>
      <c r="N11" s="267">
        <v>919044826.32000005</v>
      </c>
      <c r="O11" s="334">
        <v>927895776</v>
      </c>
      <c r="P11" s="334">
        <v>878394082.11000001</v>
      </c>
      <c r="Q11" s="334">
        <v>878394082.11000001</v>
      </c>
      <c r="R11" s="334">
        <v>878394082.11000001</v>
      </c>
      <c r="S11" s="334">
        <v>878394082.11000001</v>
      </c>
      <c r="T11" s="334">
        <v>878394082.11000001</v>
      </c>
      <c r="U11" s="334">
        <v>878325248.11000001</v>
      </c>
      <c r="V11" s="330">
        <v>878325248.11000001</v>
      </c>
      <c r="W11" s="330">
        <v>878325248.11000001</v>
      </c>
      <c r="X11" s="331">
        <v>777175248.11000001</v>
      </c>
      <c r="Y11" s="331">
        <v>777175248.11000001</v>
      </c>
      <c r="Z11" s="331">
        <v>777175248.11000001</v>
      </c>
      <c r="AA11" s="331">
        <v>777208303.11000001</v>
      </c>
      <c r="AB11" s="331">
        <v>1586437</v>
      </c>
      <c r="AC11" s="345">
        <v>770670896.50999999</v>
      </c>
      <c r="AD11" s="347">
        <v>770670896.50999999</v>
      </c>
      <c r="AE11" s="347">
        <v>770670896.50999999</v>
      </c>
      <c r="AF11" s="347">
        <v>769567265.60000002</v>
      </c>
      <c r="AG11" s="345">
        <v>769567265.60000002</v>
      </c>
      <c r="AH11" s="392">
        <v>769567265.60000002</v>
      </c>
    </row>
    <row r="12" spans="1:38" ht="14.25">
      <c r="A12" s="269" t="s">
        <v>190</v>
      </c>
      <c r="B12" s="269"/>
      <c r="C12" s="267">
        <v>0</v>
      </c>
      <c r="D12" s="267">
        <v>0</v>
      </c>
      <c r="E12" s="267">
        <v>0</v>
      </c>
      <c r="F12" s="267">
        <v>0</v>
      </c>
      <c r="G12" s="267">
        <v>0</v>
      </c>
      <c r="H12" s="267">
        <v>0</v>
      </c>
      <c r="I12" s="267">
        <v>0</v>
      </c>
      <c r="J12" s="267">
        <v>0</v>
      </c>
      <c r="K12" s="267">
        <v>0</v>
      </c>
      <c r="L12" s="267">
        <v>0</v>
      </c>
      <c r="M12" s="267">
        <v>0</v>
      </c>
      <c r="N12" s="267">
        <v>0</v>
      </c>
      <c r="O12" s="334"/>
      <c r="P12" s="330"/>
      <c r="Q12" s="330"/>
      <c r="R12" s="330"/>
      <c r="S12" s="330"/>
      <c r="T12" s="330"/>
      <c r="U12" s="330"/>
      <c r="V12" s="330"/>
      <c r="W12" s="330">
        <v>0</v>
      </c>
      <c r="X12" s="331">
        <v>0</v>
      </c>
      <c r="Y12" s="331">
        <v>0</v>
      </c>
      <c r="Z12" s="331">
        <v>0</v>
      </c>
      <c r="AA12" s="331">
        <v>0</v>
      </c>
      <c r="AB12" s="331">
        <f>3738508+706586638+17363209</f>
        <v>727688355</v>
      </c>
      <c r="AC12" s="344">
        <v>0</v>
      </c>
      <c r="AD12" s="346">
        <v>0</v>
      </c>
      <c r="AE12" s="346">
        <v>0</v>
      </c>
      <c r="AF12" s="346">
        <v>0</v>
      </c>
      <c r="AG12" s="344">
        <v>0</v>
      </c>
      <c r="AH12" s="391">
        <v>0</v>
      </c>
    </row>
    <row r="13" spans="1:38">
      <c r="A13" s="268" t="s">
        <v>191</v>
      </c>
      <c r="B13" s="268"/>
      <c r="C13" s="107"/>
      <c r="D13" s="107"/>
      <c r="E13" s="107"/>
      <c r="F13" s="107"/>
      <c r="G13" s="107"/>
      <c r="H13" s="107"/>
      <c r="I13" s="107"/>
      <c r="J13" s="107"/>
      <c r="K13" s="107"/>
      <c r="L13" s="107"/>
      <c r="M13" s="107"/>
      <c r="N13" s="267"/>
      <c r="O13" s="330"/>
      <c r="P13" s="334">
        <v>0</v>
      </c>
      <c r="Q13" s="334">
        <v>0</v>
      </c>
      <c r="R13" s="334">
        <v>0</v>
      </c>
      <c r="S13" s="334">
        <v>0</v>
      </c>
      <c r="T13" s="334">
        <v>0</v>
      </c>
      <c r="U13" s="334">
        <v>0</v>
      </c>
      <c r="V13" s="330">
        <v>0</v>
      </c>
      <c r="W13" s="330"/>
      <c r="X13" s="331"/>
      <c r="Y13" s="331"/>
      <c r="Z13" s="331"/>
      <c r="AA13" s="331"/>
      <c r="AB13" s="331">
        <f>260155+11850950+250000+40885950</f>
        <v>53247055</v>
      </c>
    </row>
    <row r="14" spans="1:38" s="266" customFormat="1" ht="15.75">
      <c r="A14" s="121" t="s">
        <v>192</v>
      </c>
      <c r="B14" s="241">
        <f t="shared" ref="B14:AH14" si="2">B15-B16</f>
        <v>2087101217</v>
      </c>
      <c r="C14" s="241">
        <f t="shared" si="2"/>
        <v>2097745593.3399999</v>
      </c>
      <c r="D14" s="241">
        <f t="shared" si="2"/>
        <v>2119351092.5800002</v>
      </c>
      <c r="E14" s="241">
        <f t="shared" si="2"/>
        <v>2134402215.7800002</v>
      </c>
      <c r="F14" s="241">
        <f t="shared" si="2"/>
        <v>2145049747.3600001</v>
      </c>
      <c r="G14" s="241">
        <f t="shared" si="2"/>
        <v>2140970560.77</v>
      </c>
      <c r="H14" s="241">
        <f t="shared" si="2"/>
        <v>2169940901.1600003</v>
      </c>
      <c r="I14" s="241">
        <f t="shared" si="2"/>
        <v>2214124114.1799998</v>
      </c>
      <c r="J14" s="241">
        <f t="shared" si="2"/>
        <v>2193641788.0899997</v>
      </c>
      <c r="K14" s="241">
        <f t="shared" si="2"/>
        <v>2219116245.2799997</v>
      </c>
      <c r="L14" s="241">
        <f t="shared" si="2"/>
        <v>2252288920.1199999</v>
      </c>
      <c r="M14" s="241">
        <f t="shared" si="2"/>
        <v>2283624164.3800001</v>
      </c>
      <c r="N14" s="241">
        <f t="shared" si="2"/>
        <v>2327597233.1000004</v>
      </c>
      <c r="O14" s="328">
        <f t="shared" si="2"/>
        <v>2327597233</v>
      </c>
      <c r="P14" s="328">
        <f t="shared" si="2"/>
        <v>2324192701.98</v>
      </c>
      <c r="Q14" s="328">
        <f t="shared" si="2"/>
        <v>2327055961.9499998</v>
      </c>
      <c r="R14" s="328">
        <f t="shared" si="2"/>
        <v>2386416645.0900002</v>
      </c>
      <c r="S14" s="328">
        <f t="shared" si="2"/>
        <v>2405501299.3199997</v>
      </c>
      <c r="T14" s="328">
        <f t="shared" si="2"/>
        <v>2371940139.2999997</v>
      </c>
      <c r="U14" s="328">
        <f t="shared" si="2"/>
        <v>2366832332.8699999</v>
      </c>
      <c r="V14" s="328">
        <f t="shared" si="2"/>
        <v>2444478424.0099998</v>
      </c>
      <c r="W14" s="328">
        <f t="shared" si="2"/>
        <v>2431557220.4899998</v>
      </c>
      <c r="X14" s="328">
        <f t="shared" si="2"/>
        <v>2468484361.3299999</v>
      </c>
      <c r="Y14" s="328">
        <f t="shared" si="2"/>
        <v>2499639027.8099999</v>
      </c>
      <c r="Z14" s="328">
        <f t="shared" si="2"/>
        <v>2566574929.3099999</v>
      </c>
      <c r="AA14" s="328">
        <f t="shared" si="2"/>
        <v>2639682149.0599999</v>
      </c>
      <c r="AB14" s="328">
        <f t="shared" si="2"/>
        <v>2639682149</v>
      </c>
      <c r="AC14" s="328">
        <f t="shared" si="2"/>
        <v>2736503684.9199996</v>
      </c>
      <c r="AD14" s="328">
        <f t="shared" si="2"/>
        <v>2759269890.5899997</v>
      </c>
      <c r="AE14" s="328">
        <f t="shared" si="2"/>
        <v>2812531007.1599998</v>
      </c>
      <c r="AF14" s="328">
        <f t="shared" si="2"/>
        <v>2925249108.0300002</v>
      </c>
      <c r="AG14" s="328">
        <f t="shared" si="2"/>
        <v>2948726371.5500002</v>
      </c>
      <c r="AH14" s="328">
        <f t="shared" si="2"/>
        <v>2861719076.3299999</v>
      </c>
    </row>
    <row r="15" spans="1:38" ht="15">
      <c r="A15" s="122" t="s">
        <v>193</v>
      </c>
      <c r="B15" s="122">
        <v>2153084789</v>
      </c>
      <c r="C15" s="267">
        <v>2165214735.6199999</v>
      </c>
      <c r="D15" s="267">
        <v>2190595339.0300002</v>
      </c>
      <c r="E15" s="267">
        <v>2198506345.8800001</v>
      </c>
      <c r="F15" s="267">
        <v>2212463788.5300002</v>
      </c>
      <c r="G15" s="267">
        <v>2210957060.52</v>
      </c>
      <c r="H15" s="267">
        <v>2247154049.5700002</v>
      </c>
      <c r="I15" s="267">
        <v>2298248117.5599999</v>
      </c>
      <c r="J15" s="267">
        <v>2281765791.4699998</v>
      </c>
      <c r="K15" s="267">
        <v>2311240248.6599998</v>
      </c>
      <c r="L15" s="267">
        <v>2348412923.5</v>
      </c>
      <c r="M15" s="267">
        <v>2383748167.7600002</v>
      </c>
      <c r="N15" s="267">
        <v>2397378724.0700002</v>
      </c>
      <c r="O15" s="330">
        <v>2397378724</v>
      </c>
      <c r="P15" s="330">
        <v>2395017374.8800001</v>
      </c>
      <c r="Q15" s="330">
        <v>2399331393.21</v>
      </c>
      <c r="R15" s="330">
        <v>2460131327.0700002</v>
      </c>
      <c r="S15" s="330">
        <v>2482092417.0799999</v>
      </c>
      <c r="T15" s="330">
        <v>2450641897.1399999</v>
      </c>
      <c r="U15" s="330">
        <v>2445534090.71</v>
      </c>
      <c r="V15" s="330">
        <v>2523180181.8499999</v>
      </c>
      <c r="W15" s="330">
        <v>2510258978.3299999</v>
      </c>
      <c r="X15" s="331">
        <v>2547186119.1700001</v>
      </c>
      <c r="Y15" s="331">
        <v>2579590878.8499999</v>
      </c>
      <c r="Z15" s="331">
        <v>2647776780.3499999</v>
      </c>
      <c r="AA15" s="331">
        <v>2720294275.21</v>
      </c>
      <c r="AB15" s="331">
        <v>2720294275</v>
      </c>
      <c r="AC15" s="341">
        <v>2820161322.2199998</v>
      </c>
      <c r="AD15" s="343">
        <v>2844689781.2199998</v>
      </c>
      <c r="AE15" s="343">
        <v>2898979132.8299999</v>
      </c>
      <c r="AF15" s="343">
        <v>3015480843.1100001</v>
      </c>
      <c r="AG15" s="341">
        <v>3038958106.6300001</v>
      </c>
      <c r="AH15" s="390">
        <v>2951950811.4099998</v>
      </c>
    </row>
    <row r="16" spans="1:38" ht="15">
      <c r="A16" s="122" t="s">
        <v>194</v>
      </c>
      <c r="B16" s="122">
        <v>65983572</v>
      </c>
      <c r="C16" s="267">
        <v>67469142.280000001</v>
      </c>
      <c r="D16" s="267">
        <v>71244246.450000003</v>
      </c>
      <c r="E16" s="267">
        <v>64104130.100000001</v>
      </c>
      <c r="F16" s="267">
        <v>67414041.170000002</v>
      </c>
      <c r="G16" s="267">
        <v>69986499.75</v>
      </c>
      <c r="H16" s="267">
        <v>77213148.409999996</v>
      </c>
      <c r="I16" s="267">
        <v>84124003.379999995</v>
      </c>
      <c r="J16" s="267">
        <v>88124003.379999995</v>
      </c>
      <c r="K16" s="267">
        <v>92124003.379999995</v>
      </c>
      <c r="L16" s="267">
        <v>96124003.379999995</v>
      </c>
      <c r="M16" s="267">
        <v>100124003.38</v>
      </c>
      <c r="N16" s="267">
        <v>69781490.969999999</v>
      </c>
      <c r="O16" s="256">
        <v>69781491</v>
      </c>
      <c r="P16" s="330">
        <v>70824672.900000006</v>
      </c>
      <c r="Q16" s="330">
        <v>72275431.260000005</v>
      </c>
      <c r="R16" s="330">
        <v>73714681.980000004</v>
      </c>
      <c r="S16" s="330">
        <v>76591117.760000005</v>
      </c>
      <c r="T16" s="330">
        <v>78701757.840000004</v>
      </c>
      <c r="U16" s="330">
        <v>78701757.840000004</v>
      </c>
      <c r="V16" s="330">
        <v>78701757.840000004</v>
      </c>
      <c r="W16" s="330">
        <v>78701757.840000004</v>
      </c>
      <c r="X16" s="331">
        <v>78701757.840000004</v>
      </c>
      <c r="Y16" s="331">
        <v>79951851.040000007</v>
      </c>
      <c r="Z16" s="331">
        <v>81201851.040000007</v>
      </c>
      <c r="AA16" s="331">
        <v>80612126.150000006</v>
      </c>
      <c r="AB16" s="331">
        <v>80612126</v>
      </c>
      <c r="AC16" s="345">
        <v>83657637.299999997</v>
      </c>
      <c r="AD16" s="347">
        <v>85419890.629999995</v>
      </c>
      <c r="AE16" s="347">
        <v>86448125.670000002</v>
      </c>
      <c r="AF16" s="347">
        <v>90231735.079999998</v>
      </c>
      <c r="AG16" s="345">
        <v>90231735.079999998</v>
      </c>
      <c r="AH16" s="392">
        <v>90231735.079999998</v>
      </c>
    </row>
    <row r="17" spans="1:34" s="266" customFormat="1" ht="15.75">
      <c r="A17" s="121" t="s">
        <v>195</v>
      </c>
      <c r="B17" s="241">
        <f t="shared" ref="B17:AH17" si="3">SUM(B18:B20)</f>
        <v>0</v>
      </c>
      <c r="C17" s="241">
        <f t="shared" si="3"/>
        <v>0</v>
      </c>
      <c r="D17" s="241">
        <f t="shared" si="3"/>
        <v>0</v>
      </c>
      <c r="E17" s="241">
        <f t="shared" si="3"/>
        <v>0</v>
      </c>
      <c r="F17" s="241">
        <f t="shared" si="3"/>
        <v>0</v>
      </c>
      <c r="G17" s="241">
        <f t="shared" si="3"/>
        <v>0</v>
      </c>
      <c r="H17" s="241">
        <f t="shared" si="3"/>
        <v>0</v>
      </c>
      <c r="I17" s="241">
        <f t="shared" si="3"/>
        <v>0</v>
      </c>
      <c r="J17" s="241">
        <f t="shared" si="3"/>
        <v>0</v>
      </c>
      <c r="K17" s="241">
        <f t="shared" si="3"/>
        <v>0</v>
      </c>
      <c r="L17" s="241">
        <f t="shared" si="3"/>
        <v>0</v>
      </c>
      <c r="M17" s="241">
        <f t="shared" si="3"/>
        <v>0</v>
      </c>
      <c r="N17" s="241">
        <f t="shared" si="3"/>
        <v>0</v>
      </c>
      <c r="O17" s="328">
        <f t="shared" si="3"/>
        <v>0</v>
      </c>
      <c r="P17" s="328">
        <f t="shared" si="3"/>
        <v>0</v>
      </c>
      <c r="Q17" s="328">
        <f t="shared" si="3"/>
        <v>0</v>
      </c>
      <c r="R17" s="328">
        <f t="shared" si="3"/>
        <v>0</v>
      </c>
      <c r="S17" s="328">
        <f t="shared" si="3"/>
        <v>0</v>
      </c>
      <c r="T17" s="328">
        <f t="shared" si="3"/>
        <v>0</v>
      </c>
      <c r="U17" s="328">
        <f t="shared" si="3"/>
        <v>0</v>
      </c>
      <c r="V17" s="328">
        <f t="shared" si="3"/>
        <v>0</v>
      </c>
      <c r="W17" s="328">
        <f t="shared" si="3"/>
        <v>0</v>
      </c>
      <c r="X17" s="328">
        <f t="shared" si="3"/>
        <v>0</v>
      </c>
      <c r="Y17" s="328">
        <f t="shared" si="3"/>
        <v>0</v>
      </c>
      <c r="Z17" s="328">
        <f t="shared" si="3"/>
        <v>0</v>
      </c>
      <c r="AA17" s="328">
        <f t="shared" si="3"/>
        <v>0</v>
      </c>
      <c r="AB17" s="328">
        <f t="shared" si="3"/>
        <v>0</v>
      </c>
      <c r="AC17" s="328">
        <f t="shared" si="3"/>
        <v>0</v>
      </c>
      <c r="AD17" s="328">
        <f t="shared" si="3"/>
        <v>0</v>
      </c>
      <c r="AE17" s="328">
        <f t="shared" si="3"/>
        <v>0</v>
      </c>
      <c r="AF17" s="328">
        <f t="shared" si="3"/>
        <v>0</v>
      </c>
      <c r="AG17" s="328">
        <f t="shared" si="3"/>
        <v>0</v>
      </c>
      <c r="AH17" s="328">
        <f t="shared" si="3"/>
        <v>0</v>
      </c>
    </row>
    <row r="18" spans="1:34" ht="15">
      <c r="A18" s="122" t="s">
        <v>196</v>
      </c>
      <c r="B18" s="122"/>
      <c r="C18" s="267">
        <v>0</v>
      </c>
      <c r="D18" s="267">
        <v>0</v>
      </c>
      <c r="E18" s="267">
        <v>0</v>
      </c>
      <c r="F18" s="267">
        <v>0</v>
      </c>
      <c r="G18" s="267">
        <v>0</v>
      </c>
      <c r="H18" s="267">
        <v>0</v>
      </c>
      <c r="I18" s="267">
        <v>0</v>
      </c>
      <c r="J18" s="267">
        <v>0</v>
      </c>
      <c r="K18" s="267">
        <v>0</v>
      </c>
      <c r="L18" s="267">
        <v>0</v>
      </c>
      <c r="M18" s="267">
        <v>0</v>
      </c>
      <c r="N18" s="267">
        <v>0</v>
      </c>
      <c r="O18" s="330">
        <v>0</v>
      </c>
      <c r="P18" s="330">
        <v>0</v>
      </c>
      <c r="Q18" s="330">
        <v>0</v>
      </c>
      <c r="R18" s="330">
        <v>0</v>
      </c>
      <c r="S18" s="330">
        <v>0</v>
      </c>
      <c r="T18" s="330">
        <v>0</v>
      </c>
      <c r="U18" s="330">
        <v>0</v>
      </c>
      <c r="V18" s="330">
        <v>0</v>
      </c>
      <c r="W18" s="330">
        <v>0</v>
      </c>
      <c r="X18" s="331">
        <v>0</v>
      </c>
      <c r="Y18" s="331">
        <v>0</v>
      </c>
      <c r="Z18" s="331">
        <v>0</v>
      </c>
      <c r="AA18" s="331">
        <v>0</v>
      </c>
      <c r="AB18" s="331"/>
      <c r="AC18" s="340">
        <v>0</v>
      </c>
      <c r="AD18" s="342">
        <v>0</v>
      </c>
      <c r="AE18" s="342">
        <v>0</v>
      </c>
      <c r="AF18" s="342">
        <v>0</v>
      </c>
      <c r="AG18" s="340">
        <v>0</v>
      </c>
      <c r="AH18" s="389">
        <v>0</v>
      </c>
    </row>
    <row r="19" spans="1:34" ht="15">
      <c r="A19" s="122" t="s">
        <v>197</v>
      </c>
      <c r="B19" s="122"/>
      <c r="C19" s="267">
        <v>0</v>
      </c>
      <c r="D19" s="267">
        <v>0</v>
      </c>
      <c r="E19" s="267">
        <v>0</v>
      </c>
      <c r="F19" s="267">
        <v>0</v>
      </c>
      <c r="G19" s="267">
        <v>0</v>
      </c>
      <c r="H19" s="267">
        <v>0</v>
      </c>
      <c r="I19" s="267">
        <v>0</v>
      </c>
      <c r="J19" s="267">
        <v>0</v>
      </c>
      <c r="K19" s="267">
        <v>0</v>
      </c>
      <c r="L19" s="267">
        <v>0</v>
      </c>
      <c r="M19" s="267">
        <v>0</v>
      </c>
      <c r="N19" s="267">
        <v>0</v>
      </c>
      <c r="O19" s="334">
        <v>0</v>
      </c>
      <c r="P19" s="330">
        <v>0</v>
      </c>
      <c r="Q19" s="330">
        <v>0</v>
      </c>
      <c r="R19" s="330">
        <v>0</v>
      </c>
      <c r="S19" s="330">
        <v>0</v>
      </c>
      <c r="T19" s="330">
        <v>0</v>
      </c>
      <c r="U19" s="330">
        <v>0</v>
      </c>
      <c r="V19" s="330">
        <v>0</v>
      </c>
      <c r="W19" s="330">
        <v>0</v>
      </c>
      <c r="X19" s="331">
        <v>0</v>
      </c>
      <c r="Y19" s="331">
        <v>0</v>
      </c>
      <c r="Z19" s="331">
        <v>0</v>
      </c>
      <c r="AA19" s="331">
        <v>0</v>
      </c>
      <c r="AB19" s="331"/>
      <c r="AC19" s="344">
        <v>0</v>
      </c>
      <c r="AD19" s="346">
        <v>0</v>
      </c>
      <c r="AE19" s="346">
        <v>0</v>
      </c>
      <c r="AF19" s="346">
        <v>0</v>
      </c>
      <c r="AG19" s="344">
        <v>0</v>
      </c>
      <c r="AH19" s="391">
        <v>0</v>
      </c>
    </row>
    <row r="20" spans="1:34" ht="15">
      <c r="A20" s="122" t="s">
        <v>198</v>
      </c>
      <c r="B20" s="122"/>
      <c r="C20" s="267">
        <v>0</v>
      </c>
      <c r="D20" s="267">
        <v>0</v>
      </c>
      <c r="E20" s="267">
        <v>0</v>
      </c>
      <c r="F20" s="267">
        <v>0</v>
      </c>
      <c r="G20" s="267">
        <v>0</v>
      </c>
      <c r="H20" s="267">
        <v>0</v>
      </c>
      <c r="I20" s="267">
        <v>0</v>
      </c>
      <c r="J20" s="267">
        <v>0</v>
      </c>
      <c r="K20" s="267">
        <v>0</v>
      </c>
      <c r="L20" s="267">
        <v>0</v>
      </c>
      <c r="M20" s="267">
        <v>0</v>
      </c>
      <c r="N20" s="267">
        <v>0</v>
      </c>
      <c r="O20" s="334">
        <v>0</v>
      </c>
      <c r="P20" s="330">
        <v>0</v>
      </c>
      <c r="Q20" s="330">
        <v>0</v>
      </c>
      <c r="R20" s="330">
        <v>0</v>
      </c>
      <c r="S20" s="330">
        <v>0</v>
      </c>
      <c r="T20" s="330">
        <v>0</v>
      </c>
      <c r="U20" s="330">
        <v>0</v>
      </c>
      <c r="V20" s="330">
        <v>0</v>
      </c>
      <c r="W20" s="330">
        <v>0</v>
      </c>
      <c r="X20" s="331">
        <v>0</v>
      </c>
      <c r="Y20" s="331">
        <v>0</v>
      </c>
      <c r="Z20" s="331">
        <v>0</v>
      </c>
      <c r="AA20" s="331">
        <v>0</v>
      </c>
      <c r="AB20" s="331"/>
      <c r="AC20" s="344">
        <v>0</v>
      </c>
      <c r="AD20" s="346">
        <v>0</v>
      </c>
      <c r="AE20" s="346">
        <v>0</v>
      </c>
      <c r="AF20" s="346">
        <v>0</v>
      </c>
      <c r="AG20" s="344">
        <v>0</v>
      </c>
      <c r="AH20" s="391">
        <v>0</v>
      </c>
    </row>
    <row r="21" spans="1:34" s="266" customFormat="1" ht="15.75">
      <c r="A21" s="121" t="s">
        <v>199</v>
      </c>
      <c r="B21" s="241">
        <f>SUM(B23:B26)</f>
        <v>1126889701</v>
      </c>
      <c r="C21" s="241">
        <f>SUM(C23:C26)</f>
        <v>1126878202.1599998</v>
      </c>
      <c r="D21" s="241">
        <f t="shared" ref="D21:AH21" si="4">SUM(D22:D26)</f>
        <v>1124882942.9200001</v>
      </c>
      <c r="E21" s="241">
        <f t="shared" si="4"/>
        <v>1124749283.6799998</v>
      </c>
      <c r="F21" s="241">
        <f t="shared" si="4"/>
        <v>1126134534.4400001</v>
      </c>
      <c r="G21" s="241">
        <f t="shared" si="4"/>
        <v>1124453315.2</v>
      </c>
      <c r="H21" s="241">
        <f t="shared" si="4"/>
        <v>1123253387.96</v>
      </c>
      <c r="I21" s="241">
        <f t="shared" si="4"/>
        <v>1121500008.72</v>
      </c>
      <c r="J21" s="241">
        <f t="shared" si="4"/>
        <v>1120891018.48</v>
      </c>
      <c r="K21" s="241">
        <f t="shared" si="4"/>
        <v>1118282539.24</v>
      </c>
      <c r="L21" s="241">
        <f t="shared" si="4"/>
        <v>1116287688</v>
      </c>
      <c r="M21" s="241">
        <f t="shared" si="4"/>
        <v>1114231058.76</v>
      </c>
      <c r="N21" s="241">
        <f t="shared" si="4"/>
        <v>1110182517.26</v>
      </c>
      <c r="O21" s="328">
        <f t="shared" si="4"/>
        <v>1107345558</v>
      </c>
      <c r="P21" s="328">
        <f t="shared" si="4"/>
        <v>1110555634.76</v>
      </c>
      <c r="Q21" s="328">
        <f t="shared" si="4"/>
        <v>1111415945.3</v>
      </c>
      <c r="R21" s="328">
        <f t="shared" si="4"/>
        <v>1109124747.8</v>
      </c>
      <c r="S21" s="328">
        <f t="shared" si="4"/>
        <v>1109437955.3</v>
      </c>
      <c r="T21" s="328">
        <f t="shared" si="4"/>
        <v>1107109372.8</v>
      </c>
      <c r="U21" s="328">
        <f t="shared" si="4"/>
        <v>1104316046.3</v>
      </c>
      <c r="V21" s="328">
        <f t="shared" si="4"/>
        <v>1101729253.8</v>
      </c>
      <c r="W21" s="328">
        <f t="shared" si="4"/>
        <v>1099048324.3</v>
      </c>
      <c r="X21" s="328">
        <f t="shared" si="4"/>
        <v>1100607116.8</v>
      </c>
      <c r="Y21" s="328">
        <f t="shared" si="4"/>
        <v>1098296025.3</v>
      </c>
      <c r="Z21" s="328">
        <f t="shared" si="4"/>
        <v>1096336712.8</v>
      </c>
      <c r="AA21" s="328">
        <f t="shared" si="4"/>
        <v>1096965517.3800001</v>
      </c>
      <c r="AB21" s="328">
        <f t="shared" si="4"/>
        <v>1092054751</v>
      </c>
      <c r="AC21" s="328">
        <f t="shared" si="4"/>
        <v>1092732177.0599999</v>
      </c>
      <c r="AD21" s="328">
        <f t="shared" si="4"/>
        <v>1095618969.8600001</v>
      </c>
      <c r="AE21" s="328">
        <f t="shared" si="4"/>
        <v>1093981527.6600001</v>
      </c>
      <c r="AF21" s="328">
        <f t="shared" si="4"/>
        <v>1093961257.46</v>
      </c>
      <c r="AG21" s="328">
        <f t="shared" si="4"/>
        <v>1095786705.26</v>
      </c>
      <c r="AH21" s="328">
        <f t="shared" si="4"/>
        <v>1095461884.0599999</v>
      </c>
    </row>
    <row r="22" spans="1:34" ht="15">
      <c r="A22" s="122" t="s">
        <v>200</v>
      </c>
      <c r="B22" s="122"/>
      <c r="C22" s="267">
        <v>0</v>
      </c>
      <c r="D22" s="267">
        <v>0</v>
      </c>
      <c r="E22" s="267">
        <v>0</v>
      </c>
      <c r="F22" s="267">
        <v>0</v>
      </c>
      <c r="G22" s="267">
        <v>0</v>
      </c>
      <c r="H22" s="267">
        <v>0</v>
      </c>
      <c r="I22" s="267">
        <v>0</v>
      </c>
      <c r="J22" s="267">
        <v>0</v>
      </c>
      <c r="K22" s="267">
        <v>0</v>
      </c>
      <c r="L22" s="267">
        <v>0</v>
      </c>
      <c r="M22" s="267">
        <v>0</v>
      </c>
      <c r="N22" s="267">
        <v>0</v>
      </c>
      <c r="O22" s="330"/>
      <c r="P22" s="330">
        <v>0</v>
      </c>
      <c r="Q22" s="330">
        <v>0</v>
      </c>
      <c r="R22" s="330">
        <v>0</v>
      </c>
      <c r="S22" s="330">
        <v>0</v>
      </c>
      <c r="T22" s="330">
        <v>0</v>
      </c>
      <c r="U22" s="330">
        <v>0</v>
      </c>
      <c r="V22" s="330">
        <v>0</v>
      </c>
      <c r="W22" s="330">
        <v>0</v>
      </c>
      <c r="X22" s="331">
        <v>0</v>
      </c>
      <c r="Y22" s="331">
        <v>0</v>
      </c>
      <c r="Z22" s="331">
        <v>0</v>
      </c>
      <c r="AA22" s="331">
        <v>0</v>
      </c>
      <c r="AB22" s="331"/>
      <c r="AC22" s="340">
        <v>0</v>
      </c>
      <c r="AD22" s="342">
        <v>0</v>
      </c>
      <c r="AE22" s="342">
        <v>0</v>
      </c>
      <c r="AF22" s="342">
        <v>0</v>
      </c>
      <c r="AG22" s="340">
        <v>0</v>
      </c>
      <c r="AH22" s="389">
        <v>0</v>
      </c>
    </row>
    <row r="23" spans="1:34" ht="15">
      <c r="A23" s="122" t="s">
        <v>201</v>
      </c>
      <c r="B23" s="122">
        <v>138210245</v>
      </c>
      <c r="C23" s="267">
        <v>137502307.86000001</v>
      </c>
      <c r="D23" s="267">
        <v>137407590.24000001</v>
      </c>
      <c r="E23" s="267">
        <v>137000872.62</v>
      </c>
      <c r="F23" s="267">
        <v>140286665</v>
      </c>
      <c r="G23" s="267">
        <v>140505987.38</v>
      </c>
      <c r="H23" s="267">
        <v>140681601.75999999</v>
      </c>
      <c r="I23" s="267">
        <v>140773664.13999999</v>
      </c>
      <c r="J23" s="267">
        <v>142065215.52000001</v>
      </c>
      <c r="K23" s="267">
        <v>141357277.90000001</v>
      </c>
      <c r="L23" s="267">
        <v>141209340.28</v>
      </c>
      <c r="M23" s="267">
        <v>141053252.66</v>
      </c>
      <c r="N23" s="267">
        <v>141290598.84</v>
      </c>
      <c r="O23" s="335">
        <v>140958466</v>
      </c>
      <c r="P23" s="330">
        <v>142280982.44</v>
      </c>
      <c r="Q23" s="330">
        <v>144731966.03999999</v>
      </c>
      <c r="R23" s="330">
        <v>145076689.63999999</v>
      </c>
      <c r="S23" s="330">
        <v>144431413.24000001</v>
      </c>
      <c r="T23" s="330">
        <v>144044346.84</v>
      </c>
      <c r="U23" s="330">
        <v>143749180.44</v>
      </c>
      <c r="V23" s="330">
        <v>143103904.03999999</v>
      </c>
      <c r="W23" s="330">
        <v>142364490.63999999</v>
      </c>
      <c r="X23" s="331">
        <v>145772959.24000001</v>
      </c>
      <c r="Y23" s="331">
        <v>145403383.84</v>
      </c>
      <c r="Z23" s="331">
        <v>145385587.44</v>
      </c>
      <c r="AA23" s="331">
        <v>147957343.03999999</v>
      </c>
      <c r="AB23" s="331">
        <v>146212040</v>
      </c>
      <c r="AC23" s="345">
        <v>150043612.21000001</v>
      </c>
      <c r="AD23" s="347">
        <v>154706596.31</v>
      </c>
      <c r="AE23" s="347">
        <v>154981165.41</v>
      </c>
      <c r="AF23" s="347">
        <v>155148012.50999999</v>
      </c>
      <c r="AG23" s="345">
        <v>158885471.61000001</v>
      </c>
      <c r="AH23" s="392">
        <v>160472661.71000001</v>
      </c>
    </row>
    <row r="24" spans="1:34" ht="15">
      <c r="A24" s="122" t="s">
        <v>202</v>
      </c>
      <c r="B24" s="122"/>
      <c r="C24" s="267">
        <v>0</v>
      </c>
      <c r="D24" s="267">
        <v>0</v>
      </c>
      <c r="E24" s="267">
        <v>0</v>
      </c>
      <c r="F24" s="267">
        <v>0</v>
      </c>
      <c r="G24" s="267">
        <v>0</v>
      </c>
      <c r="H24" s="267">
        <v>0</v>
      </c>
      <c r="I24" s="267">
        <v>0</v>
      </c>
      <c r="J24" s="267">
        <v>0</v>
      </c>
      <c r="K24" s="267">
        <v>0</v>
      </c>
      <c r="L24" s="267">
        <v>0</v>
      </c>
      <c r="M24" s="267">
        <v>0</v>
      </c>
      <c r="N24" s="267">
        <v>0</v>
      </c>
      <c r="O24" s="334"/>
      <c r="P24" s="330">
        <v>0</v>
      </c>
      <c r="Q24" s="330">
        <v>0</v>
      </c>
      <c r="R24" s="330">
        <v>0</v>
      </c>
      <c r="S24" s="330">
        <v>0</v>
      </c>
      <c r="T24" s="330">
        <v>0</v>
      </c>
      <c r="U24" s="330">
        <v>0</v>
      </c>
      <c r="V24" s="330">
        <v>0</v>
      </c>
      <c r="W24" s="330">
        <v>0</v>
      </c>
      <c r="X24" s="331">
        <v>0</v>
      </c>
      <c r="Y24" s="331">
        <v>0</v>
      </c>
      <c r="Z24" s="331">
        <v>0</v>
      </c>
      <c r="AA24" s="331">
        <v>0</v>
      </c>
      <c r="AB24" s="331"/>
      <c r="AC24" s="344">
        <v>0</v>
      </c>
      <c r="AD24" s="346">
        <v>0</v>
      </c>
      <c r="AE24" s="346">
        <v>0</v>
      </c>
      <c r="AF24" s="346">
        <v>0</v>
      </c>
      <c r="AG24" s="344">
        <v>0</v>
      </c>
      <c r="AH24" s="391">
        <v>0</v>
      </c>
    </row>
    <row r="25" spans="1:34" ht="15">
      <c r="A25" s="122" t="s">
        <v>203</v>
      </c>
      <c r="B25" s="122">
        <v>11215165</v>
      </c>
      <c r="C25" s="267">
        <v>13411603.630000001</v>
      </c>
      <c r="D25" s="267">
        <v>13011062.01</v>
      </c>
      <c r="E25" s="267">
        <v>14860520.390000001</v>
      </c>
      <c r="F25" s="267">
        <v>14459978.77</v>
      </c>
      <c r="G25" s="267">
        <v>14059437.15</v>
      </c>
      <c r="H25" s="267">
        <v>14183895.529999999</v>
      </c>
      <c r="I25" s="267">
        <v>13783353.91</v>
      </c>
      <c r="J25" s="267">
        <v>13382812.289999999</v>
      </c>
      <c r="K25" s="267">
        <v>12982270.67</v>
      </c>
      <c r="L25" s="267">
        <v>12581729.050000001</v>
      </c>
      <c r="M25" s="267">
        <v>12181187.43</v>
      </c>
      <c r="N25" s="267">
        <v>12362449.75</v>
      </c>
      <c r="O25" s="335">
        <v>9857623</v>
      </c>
      <c r="P25" s="330">
        <v>13138933.65</v>
      </c>
      <c r="Q25" s="330">
        <v>13086433.59</v>
      </c>
      <c r="R25" s="330">
        <v>12644917.49</v>
      </c>
      <c r="S25" s="330">
        <v>15103401.390000001</v>
      </c>
      <c r="T25" s="330">
        <v>14661885.289999999</v>
      </c>
      <c r="U25" s="330">
        <v>14220369.189999999</v>
      </c>
      <c r="V25" s="330">
        <v>13778853.09</v>
      </c>
      <c r="W25" s="330">
        <v>13337336.99</v>
      </c>
      <c r="X25" s="331">
        <v>12895820.890000001</v>
      </c>
      <c r="Y25" s="331">
        <v>12454304.789999999</v>
      </c>
      <c r="Z25" s="331">
        <v>12012788.689999999</v>
      </c>
      <c r="AA25" s="331">
        <v>11571272.59</v>
      </c>
      <c r="AB25" s="331">
        <v>12405809</v>
      </c>
      <c r="AC25" s="345">
        <v>10751663.1</v>
      </c>
      <c r="AD25" s="347">
        <v>10339651.800000001</v>
      </c>
      <c r="AE25" s="347">
        <v>9927640.5</v>
      </c>
      <c r="AF25" s="347">
        <v>11240523.199999999</v>
      </c>
      <c r="AG25" s="345">
        <v>10828511.9</v>
      </c>
      <c r="AH25" s="392">
        <v>10416500.6</v>
      </c>
    </row>
    <row r="26" spans="1:34" ht="15">
      <c r="A26" s="122" t="s">
        <v>204</v>
      </c>
      <c r="B26" s="122">
        <v>977464291</v>
      </c>
      <c r="C26" s="267">
        <v>975964290.66999996</v>
      </c>
      <c r="D26" s="267">
        <v>974464290.66999996</v>
      </c>
      <c r="E26" s="267">
        <v>972887890.66999996</v>
      </c>
      <c r="F26" s="267">
        <v>971387890.66999996</v>
      </c>
      <c r="G26" s="267">
        <v>969887890.66999996</v>
      </c>
      <c r="H26" s="267">
        <v>968387890.66999996</v>
      </c>
      <c r="I26" s="267">
        <v>966942990.66999996</v>
      </c>
      <c r="J26" s="267">
        <v>965442990.66999996</v>
      </c>
      <c r="K26" s="267">
        <v>963942990.66999996</v>
      </c>
      <c r="L26" s="267">
        <v>962496618.66999996</v>
      </c>
      <c r="M26" s="267">
        <v>960996618.66999996</v>
      </c>
      <c r="N26" s="267">
        <v>956529468.66999996</v>
      </c>
      <c r="O26" s="334">
        <v>956529469</v>
      </c>
      <c r="P26" s="330">
        <v>955135718.66999996</v>
      </c>
      <c r="Q26" s="330">
        <v>953597545.66999996</v>
      </c>
      <c r="R26" s="330">
        <v>951403140.66999996</v>
      </c>
      <c r="S26" s="330">
        <v>949903140.66999996</v>
      </c>
      <c r="T26" s="330">
        <v>948403140.66999996</v>
      </c>
      <c r="U26" s="330">
        <v>946346496.66999996</v>
      </c>
      <c r="V26" s="330">
        <v>944846496.66999996</v>
      </c>
      <c r="W26" s="330">
        <v>943346496.66999996</v>
      </c>
      <c r="X26" s="331">
        <v>941938336.66999996</v>
      </c>
      <c r="Y26" s="331">
        <v>940438336.66999996</v>
      </c>
      <c r="Z26" s="331">
        <v>938938336.66999996</v>
      </c>
      <c r="AA26" s="331">
        <v>937436901.75</v>
      </c>
      <c r="AB26" s="331">
        <v>933436902</v>
      </c>
      <c r="AC26" s="345">
        <v>931936901.75</v>
      </c>
      <c r="AD26" s="347">
        <v>930572721.75</v>
      </c>
      <c r="AE26" s="347">
        <v>929072721.75</v>
      </c>
      <c r="AF26" s="347">
        <v>927572721.75</v>
      </c>
      <c r="AG26" s="345">
        <v>926072721.75</v>
      </c>
      <c r="AH26" s="392">
        <v>924572721.75</v>
      </c>
    </row>
    <row r="27" spans="1:34" s="266" customFormat="1" ht="15.75">
      <c r="A27" s="121" t="s">
        <v>59</v>
      </c>
      <c r="B27" s="241">
        <f t="shared" ref="B27:N27" si="5">B4+B7+B8+B14+B17+B21</f>
        <v>4379269975</v>
      </c>
      <c r="C27" s="241">
        <f t="shared" si="5"/>
        <v>4389750616.4300003</v>
      </c>
      <c r="D27" s="241">
        <f t="shared" si="5"/>
        <v>4422573603.0100002</v>
      </c>
      <c r="E27" s="241">
        <f t="shared" si="5"/>
        <v>4428967467.3600006</v>
      </c>
      <c r="F27" s="241">
        <f t="shared" si="5"/>
        <v>4469872847.9200001</v>
      </c>
      <c r="G27" s="241">
        <f t="shared" si="5"/>
        <v>4439906946.3999996</v>
      </c>
      <c r="H27" s="241">
        <f t="shared" si="5"/>
        <v>4453357291.3900003</v>
      </c>
      <c r="I27" s="241">
        <f t="shared" si="5"/>
        <v>4582128535.7799997</v>
      </c>
      <c r="J27" s="241">
        <f t="shared" si="5"/>
        <v>4607714201.1599998</v>
      </c>
      <c r="K27" s="241">
        <f t="shared" si="5"/>
        <v>4616731246.0699997</v>
      </c>
      <c r="L27" s="241">
        <f t="shared" si="5"/>
        <v>4603380658.4400005</v>
      </c>
      <c r="M27" s="241">
        <f t="shared" si="5"/>
        <v>4631997917.1900005</v>
      </c>
      <c r="N27" s="241">
        <f t="shared" si="5"/>
        <v>4715109800.0900002</v>
      </c>
      <c r="O27" s="328">
        <f>O21+O17+O14+O8+O4+O7</f>
        <v>4712191322</v>
      </c>
      <c r="P27" s="328">
        <f t="shared" ref="P27:AH27" si="6">P21+P17+P14+P8+P4+P7</f>
        <v>4711526283.7999992</v>
      </c>
      <c r="Q27" s="328">
        <f t="shared" si="6"/>
        <v>4741307979.6499996</v>
      </c>
      <c r="R27" s="328">
        <f t="shared" si="6"/>
        <v>4749745135.1399994</v>
      </c>
      <c r="S27" s="328">
        <f t="shared" si="6"/>
        <v>4770914793.5099993</v>
      </c>
      <c r="T27" s="328">
        <f t="shared" si="6"/>
        <v>4699716748.7599993</v>
      </c>
      <c r="U27" s="328">
        <f t="shared" si="6"/>
        <v>4795664082.21</v>
      </c>
      <c r="V27" s="328">
        <f t="shared" si="6"/>
        <v>4816561840.8799992</v>
      </c>
      <c r="W27" s="328">
        <f t="shared" si="6"/>
        <v>4823877000.4099998</v>
      </c>
      <c r="X27" s="328">
        <f t="shared" si="6"/>
        <v>4820570600.7099991</v>
      </c>
      <c r="Y27" s="328">
        <f t="shared" si="6"/>
        <v>4788851957.8499994</v>
      </c>
      <c r="Z27" s="328">
        <f t="shared" si="6"/>
        <v>4812007070.8499994</v>
      </c>
      <c r="AA27" s="328">
        <f t="shared" si="6"/>
        <v>4794452461.7799997</v>
      </c>
      <c r="AB27" s="328">
        <f t="shared" si="6"/>
        <v>4783080656</v>
      </c>
      <c r="AC27" s="328">
        <f t="shared" si="6"/>
        <v>4940279525.2599993</v>
      </c>
      <c r="AD27" s="328">
        <f t="shared" si="6"/>
        <v>4945461201.1900005</v>
      </c>
      <c r="AE27" s="328">
        <f t="shared" si="6"/>
        <v>5009158539.5</v>
      </c>
      <c r="AF27" s="328">
        <f t="shared" si="6"/>
        <v>5067349918.7800007</v>
      </c>
      <c r="AG27" s="328">
        <f t="shared" si="6"/>
        <v>5118730700.4400005</v>
      </c>
      <c r="AH27" s="328">
        <f t="shared" si="6"/>
        <v>5145476001.3500004</v>
      </c>
    </row>
    <row r="28" spans="1:34" ht="14.25">
      <c r="A28" s="129" t="s">
        <v>205</v>
      </c>
      <c r="B28" s="129">
        <v>550189731</v>
      </c>
      <c r="C28" s="267">
        <v>326214512.49000001</v>
      </c>
      <c r="D28" s="267">
        <v>341357874.39999998</v>
      </c>
      <c r="E28" s="267">
        <v>324573521.19999999</v>
      </c>
      <c r="F28" s="267">
        <v>357716061.68000001</v>
      </c>
      <c r="G28" s="267">
        <v>330577351.81</v>
      </c>
      <c r="H28" s="267">
        <v>320280381.52999997</v>
      </c>
      <c r="I28" s="267">
        <v>420187718.93000001</v>
      </c>
      <c r="J28" s="267">
        <v>401580899.43000001</v>
      </c>
      <c r="K28" s="267">
        <v>392134868.38</v>
      </c>
      <c r="L28" s="267">
        <v>374257657.77999997</v>
      </c>
      <c r="M28" s="267">
        <v>390942846.38</v>
      </c>
      <c r="N28" s="267">
        <v>352090965.81999999</v>
      </c>
      <c r="O28" s="256">
        <v>635197433</v>
      </c>
      <c r="P28" s="330">
        <v>360797839.37</v>
      </c>
      <c r="Q28" s="330">
        <v>369462576.06</v>
      </c>
      <c r="R28" s="330">
        <v>356430425.33999997</v>
      </c>
      <c r="S28" s="330">
        <v>354645349.48000002</v>
      </c>
      <c r="T28" s="330">
        <v>390320663.31</v>
      </c>
      <c r="U28" s="330">
        <v>362271580.37</v>
      </c>
      <c r="V28" s="330">
        <v>389893888.11000001</v>
      </c>
      <c r="W28" s="330">
        <v>369054438.20999998</v>
      </c>
      <c r="X28" s="331">
        <v>347557191.43000001</v>
      </c>
      <c r="Y28" s="331">
        <v>366600769.54000002</v>
      </c>
      <c r="Z28" s="331">
        <v>383945996.5</v>
      </c>
      <c r="AA28" s="331">
        <v>356333209.11000001</v>
      </c>
      <c r="AB28" s="331">
        <v>675344114</v>
      </c>
      <c r="AC28" s="341">
        <v>356583812.72000003</v>
      </c>
      <c r="AD28" s="343">
        <v>343555601.22000003</v>
      </c>
      <c r="AE28" s="343">
        <v>340720823.19</v>
      </c>
      <c r="AF28" s="343">
        <v>352680335.25</v>
      </c>
      <c r="AG28" s="341">
        <v>340638198.97000003</v>
      </c>
      <c r="AH28" s="390">
        <v>380570139.95999998</v>
      </c>
    </row>
    <row r="29" spans="1:34" ht="29.25">
      <c r="A29" s="122" t="s">
        <v>206</v>
      </c>
      <c r="B29" s="122"/>
      <c r="C29" s="267">
        <v>198209336.21000001</v>
      </c>
      <c r="D29" s="267">
        <v>199118359.22</v>
      </c>
      <c r="E29" s="267">
        <v>198831202.41999999</v>
      </c>
      <c r="F29" s="267">
        <v>199333286.71000001</v>
      </c>
      <c r="G29" s="267">
        <v>199834697.50999999</v>
      </c>
      <c r="H29" s="267">
        <v>203570230.50999999</v>
      </c>
      <c r="I29" s="267">
        <v>220897096.50999999</v>
      </c>
      <c r="J29" s="267">
        <v>225376342.50999999</v>
      </c>
      <c r="K29" s="267">
        <v>226999200.50999999</v>
      </c>
      <c r="L29" s="267">
        <v>231921828.00999999</v>
      </c>
      <c r="M29" s="267">
        <v>235780245.44999999</v>
      </c>
      <c r="N29" s="267">
        <v>241483330.44999999</v>
      </c>
      <c r="O29" s="255"/>
      <c r="P29" s="330">
        <v>243514121.94999999</v>
      </c>
      <c r="Q29" s="330">
        <v>255117700.83000001</v>
      </c>
      <c r="R29" s="330">
        <v>261491942.88</v>
      </c>
      <c r="S29" s="330">
        <v>264388368.88</v>
      </c>
      <c r="T29" s="330">
        <v>271151608.91000003</v>
      </c>
      <c r="U29" s="330">
        <v>277014764.91000003</v>
      </c>
      <c r="V29" s="330">
        <v>277225675.91000003</v>
      </c>
      <c r="W29" s="330">
        <v>272091192.91000003</v>
      </c>
      <c r="X29" s="331">
        <v>268972414.31</v>
      </c>
      <c r="Y29" s="331">
        <v>270107609.31</v>
      </c>
      <c r="Z29" s="331">
        <v>266607252.28</v>
      </c>
      <c r="AA29" s="331">
        <v>265116236.28</v>
      </c>
      <c r="AB29" s="331">
        <v>0</v>
      </c>
      <c r="AC29" s="345">
        <v>259194411.72999999</v>
      </c>
      <c r="AD29" s="347">
        <v>255642325.84999999</v>
      </c>
      <c r="AE29" s="347">
        <v>254943760.84999999</v>
      </c>
      <c r="AF29" s="347">
        <v>253340760.84999999</v>
      </c>
      <c r="AG29" s="345">
        <v>253154752.53</v>
      </c>
      <c r="AH29" s="392">
        <v>256132318.53</v>
      </c>
    </row>
    <row r="30" spans="1:34" ht="29.25">
      <c r="A30" s="122" t="s">
        <v>207</v>
      </c>
      <c r="B30" s="122">
        <v>1850833137</v>
      </c>
      <c r="C30" s="267">
        <v>1887213107.03</v>
      </c>
      <c r="D30" s="267">
        <v>1902724197.3099999</v>
      </c>
      <c r="E30" s="267">
        <v>1916088889.97</v>
      </c>
      <c r="F30" s="267">
        <v>1923515425.6199999</v>
      </c>
      <c r="G30" s="267">
        <v>1937767517.74</v>
      </c>
      <c r="H30" s="267">
        <v>1955354367.4200001</v>
      </c>
      <c r="I30" s="267">
        <v>1965650657.5799999</v>
      </c>
      <c r="J30" s="267">
        <v>1994762290.1700001</v>
      </c>
      <c r="K30" s="267">
        <v>2005632245.22</v>
      </c>
      <c r="L30" s="267">
        <v>1994971626.3499999</v>
      </c>
      <c r="M30" s="267">
        <v>1989044072.6900001</v>
      </c>
      <c r="N30" s="267">
        <v>2002779225.26</v>
      </c>
      <c r="O30" s="336">
        <v>1961156088</v>
      </c>
      <c r="P30" s="330">
        <v>2015976216.8800001</v>
      </c>
      <c r="Q30" s="330">
        <v>2026523067.6099999</v>
      </c>
      <c r="R30" s="330">
        <v>2043233457.3299999</v>
      </c>
      <c r="S30" s="330">
        <v>2060819802.75</v>
      </c>
      <c r="T30" s="330">
        <v>2075940763.5599999</v>
      </c>
      <c r="U30" s="330">
        <v>2085845505.6099999</v>
      </c>
      <c r="V30" s="330">
        <v>2083279169.1900001</v>
      </c>
      <c r="W30" s="330">
        <v>2102134446.4100001</v>
      </c>
      <c r="X30" s="331">
        <v>2111341692.26</v>
      </c>
      <c r="Y30" s="331">
        <v>2065272157.6400001</v>
      </c>
      <c r="Z30" s="331">
        <v>2054455466.0799999</v>
      </c>
      <c r="AA30" s="331">
        <v>2069444079.9300001</v>
      </c>
      <c r="AB30" s="331">
        <v>2015549412</v>
      </c>
      <c r="AC30" s="345">
        <v>2080382175.46</v>
      </c>
      <c r="AD30" s="347">
        <v>2099508268.54</v>
      </c>
      <c r="AE30" s="347">
        <v>2037648465.52</v>
      </c>
      <c r="AF30" s="347">
        <v>2030826015.3699999</v>
      </c>
      <c r="AG30" s="345">
        <v>2045956808.21</v>
      </c>
      <c r="AH30" s="392">
        <v>2081528389.4400001</v>
      </c>
    </row>
    <row r="31" spans="1:34" s="266" customFormat="1" ht="15.75">
      <c r="A31" s="121" t="s">
        <v>208</v>
      </c>
      <c r="B31" s="241">
        <f>SUM(B28:B30)</f>
        <v>2401022868</v>
      </c>
      <c r="C31" s="241">
        <f t="shared" ref="C31:AG31" si="7">SUM(C28:C30)</f>
        <v>2411636955.73</v>
      </c>
      <c r="D31" s="241">
        <f t="shared" si="7"/>
        <v>2443200430.9299998</v>
      </c>
      <c r="E31" s="241">
        <f t="shared" si="7"/>
        <v>2439493613.5900002</v>
      </c>
      <c r="F31" s="241">
        <f t="shared" si="7"/>
        <v>2480564774.0099998</v>
      </c>
      <c r="G31" s="241">
        <f t="shared" si="7"/>
        <v>2468179567.0599999</v>
      </c>
      <c r="H31" s="241">
        <f t="shared" si="7"/>
        <v>2479204979.46</v>
      </c>
      <c r="I31" s="241">
        <f t="shared" si="7"/>
        <v>2606735473.02</v>
      </c>
      <c r="J31" s="241">
        <f t="shared" si="7"/>
        <v>2621719532.1100001</v>
      </c>
      <c r="K31" s="241">
        <f t="shared" si="7"/>
        <v>2624766314.1100001</v>
      </c>
      <c r="L31" s="241">
        <f t="shared" si="7"/>
        <v>2601151112.1399999</v>
      </c>
      <c r="M31" s="241">
        <f t="shared" si="7"/>
        <v>2615767164.52</v>
      </c>
      <c r="N31" s="241">
        <f t="shared" si="7"/>
        <v>2596353521.5299997</v>
      </c>
      <c r="O31" s="328">
        <f t="shared" si="7"/>
        <v>2596353521</v>
      </c>
      <c r="P31" s="328">
        <f t="shared" si="7"/>
        <v>2620288178.1999998</v>
      </c>
      <c r="Q31" s="328">
        <f t="shared" si="7"/>
        <v>2651103344.5</v>
      </c>
      <c r="R31" s="328">
        <f t="shared" si="7"/>
        <v>2661155825.5500002</v>
      </c>
      <c r="S31" s="328">
        <f t="shared" si="7"/>
        <v>2679853521.1100001</v>
      </c>
      <c r="T31" s="328">
        <f t="shared" si="7"/>
        <v>2737413035.7799997</v>
      </c>
      <c r="U31" s="328">
        <f t="shared" si="7"/>
        <v>2725131850.8899999</v>
      </c>
      <c r="V31" s="328">
        <f t="shared" si="7"/>
        <v>2750398733.21</v>
      </c>
      <c r="W31" s="328">
        <f t="shared" si="7"/>
        <v>2743280077.5300002</v>
      </c>
      <c r="X31" s="328">
        <f t="shared" si="7"/>
        <v>2727871298</v>
      </c>
      <c r="Y31" s="328">
        <f t="shared" si="7"/>
        <v>2701980536.4900002</v>
      </c>
      <c r="Z31" s="328">
        <f t="shared" si="7"/>
        <v>2705008714.8599997</v>
      </c>
      <c r="AA31" s="328">
        <f t="shared" si="7"/>
        <v>2690893525.3200002</v>
      </c>
      <c r="AB31" s="328">
        <f t="shared" si="7"/>
        <v>2690893526</v>
      </c>
      <c r="AC31" s="328">
        <f t="shared" si="7"/>
        <v>2696160399.9099998</v>
      </c>
      <c r="AD31" s="328">
        <f t="shared" si="7"/>
        <v>2698706195.6100001</v>
      </c>
      <c r="AE31" s="328">
        <f t="shared" si="7"/>
        <v>2633313049.5599999</v>
      </c>
      <c r="AF31" s="328">
        <f t="shared" si="7"/>
        <v>2636847111.4699998</v>
      </c>
      <c r="AG31" s="328">
        <f t="shared" ref="AG31:AH31" si="8">SUM(AG28:AG30)</f>
        <v>2639749759.71</v>
      </c>
      <c r="AH31" s="328">
        <f t="shared" si="8"/>
        <v>2718230847.9300003</v>
      </c>
    </row>
    <row r="32" spans="1:34" s="266" customFormat="1" ht="15" customHeight="1">
      <c r="A32" s="121" t="s">
        <v>209</v>
      </c>
      <c r="B32" s="270">
        <f t="shared" ref="B32:AG32" si="9">SUM(B33:B38)</f>
        <v>559823213</v>
      </c>
      <c r="C32" s="270">
        <f t="shared" si="9"/>
        <v>573645299.99000001</v>
      </c>
      <c r="D32" s="270">
        <f t="shared" si="9"/>
        <v>542635332.17999995</v>
      </c>
      <c r="E32" s="270">
        <f t="shared" si="9"/>
        <v>533531942.09000003</v>
      </c>
      <c r="F32" s="270">
        <f t="shared" si="9"/>
        <v>494785367.75</v>
      </c>
      <c r="G32" s="270">
        <f t="shared" si="9"/>
        <v>497769681.86000001</v>
      </c>
      <c r="H32" s="270">
        <f t="shared" si="9"/>
        <v>491081684.69</v>
      </c>
      <c r="I32" s="270">
        <f t="shared" si="9"/>
        <v>484481239.07999998</v>
      </c>
      <c r="J32" s="270">
        <f t="shared" si="9"/>
        <v>478938647.54000002</v>
      </c>
      <c r="K32" s="270">
        <f t="shared" si="9"/>
        <v>475429559.05999994</v>
      </c>
      <c r="L32" s="270">
        <f t="shared" si="9"/>
        <v>471085533.75</v>
      </c>
      <c r="M32" s="270">
        <f t="shared" si="9"/>
        <v>469305893.04000002</v>
      </c>
      <c r="N32" s="270">
        <f t="shared" si="9"/>
        <v>482026469.84000003</v>
      </c>
      <c r="O32" s="337">
        <f t="shared" si="9"/>
        <v>481942020</v>
      </c>
      <c r="P32" s="337">
        <f t="shared" si="9"/>
        <v>480617387.22000003</v>
      </c>
      <c r="Q32" s="337">
        <f t="shared" si="9"/>
        <v>502203168.32999998</v>
      </c>
      <c r="R32" s="337">
        <f t="shared" si="9"/>
        <v>490024792.25</v>
      </c>
      <c r="S32" s="337">
        <f t="shared" si="9"/>
        <v>478256517.13</v>
      </c>
      <c r="T32" s="337">
        <f t="shared" si="9"/>
        <v>335969259.00999999</v>
      </c>
      <c r="U32" s="337">
        <f t="shared" si="9"/>
        <v>379777638.90999997</v>
      </c>
      <c r="V32" s="337">
        <f t="shared" si="9"/>
        <v>370701877.06</v>
      </c>
      <c r="W32" s="337">
        <f t="shared" si="9"/>
        <v>370321142.47000003</v>
      </c>
      <c r="X32" s="337">
        <f t="shared" si="9"/>
        <v>370251983.82999998</v>
      </c>
      <c r="Y32" s="337">
        <f t="shared" si="9"/>
        <v>368548315.95999998</v>
      </c>
      <c r="Z32" s="337">
        <f t="shared" si="9"/>
        <v>369334013.06999993</v>
      </c>
      <c r="AA32" s="337">
        <f t="shared" si="9"/>
        <v>369400458.25</v>
      </c>
      <c r="AB32" s="337">
        <f t="shared" si="9"/>
        <v>366110756</v>
      </c>
      <c r="AC32" s="337">
        <f t="shared" si="9"/>
        <v>546125644.98000002</v>
      </c>
      <c r="AD32" s="337">
        <f t="shared" si="9"/>
        <v>538457035.88</v>
      </c>
      <c r="AE32" s="337">
        <f t="shared" si="9"/>
        <v>582175860.31999993</v>
      </c>
      <c r="AF32" s="337">
        <f t="shared" si="9"/>
        <v>627169547.45999992</v>
      </c>
      <c r="AG32" s="337">
        <f t="shared" ref="AG32:AH32" si="10">SUM(AG33:AG38)</f>
        <v>663080313.91999996</v>
      </c>
      <c r="AH32" s="337">
        <f t="shared" si="10"/>
        <v>536881396.11000001</v>
      </c>
    </row>
    <row r="33" spans="1:34" ht="15">
      <c r="A33" s="122" t="s">
        <v>210</v>
      </c>
      <c r="B33" s="122">
        <v>2989880</v>
      </c>
      <c r="C33" s="267">
        <v>190690.29</v>
      </c>
      <c r="D33" s="267">
        <v>182564.29</v>
      </c>
      <c r="E33" s="267">
        <v>215278.29</v>
      </c>
      <c r="F33" s="267">
        <v>490573.31</v>
      </c>
      <c r="G33" s="267">
        <v>272138.31</v>
      </c>
      <c r="H33" s="267">
        <v>224150.31</v>
      </c>
      <c r="I33" s="267">
        <v>445692.31</v>
      </c>
      <c r="J33" s="267">
        <v>401508.31</v>
      </c>
      <c r="K33" s="267">
        <v>206120.31</v>
      </c>
      <c r="L33" s="267">
        <v>224071.31</v>
      </c>
      <c r="M33" s="267">
        <v>213240.31</v>
      </c>
      <c r="N33" s="267">
        <v>222719.31</v>
      </c>
      <c r="O33" s="255"/>
      <c r="P33" s="330">
        <v>200172.31</v>
      </c>
      <c r="Q33" s="330">
        <v>198177.31</v>
      </c>
      <c r="R33" s="330">
        <v>286301.90999999997</v>
      </c>
      <c r="S33" s="330">
        <v>221700.05</v>
      </c>
      <c r="T33" s="330">
        <v>490092.51</v>
      </c>
      <c r="U33" s="330">
        <v>252413.51</v>
      </c>
      <c r="V33" s="330">
        <v>229025.51</v>
      </c>
      <c r="W33" s="330">
        <v>224151.51</v>
      </c>
      <c r="X33" s="331">
        <v>221877.51</v>
      </c>
      <c r="Y33" s="331">
        <v>219059.51</v>
      </c>
      <c r="Z33" s="331">
        <v>218781.51</v>
      </c>
      <c r="AA33" s="331">
        <v>228275.51</v>
      </c>
      <c r="AB33" s="331">
        <v>228276</v>
      </c>
      <c r="AC33" s="341">
        <v>222511.51</v>
      </c>
      <c r="AD33" s="343">
        <v>206739.51</v>
      </c>
      <c r="AE33" s="343">
        <v>225875.51</v>
      </c>
      <c r="AF33" s="343">
        <v>198627.51</v>
      </c>
      <c r="AG33" s="341">
        <v>227093.51</v>
      </c>
      <c r="AH33" s="390">
        <v>632504.26</v>
      </c>
    </row>
    <row r="34" spans="1:34" ht="15">
      <c r="A34" s="122" t="s">
        <v>211</v>
      </c>
      <c r="B34" s="122">
        <v>91000000</v>
      </c>
      <c r="C34" s="267">
        <v>0</v>
      </c>
      <c r="D34" s="267">
        <v>0</v>
      </c>
      <c r="E34" s="267">
        <v>0</v>
      </c>
      <c r="F34" s="267">
        <v>0</v>
      </c>
      <c r="G34" s="267">
        <v>0</v>
      </c>
      <c r="H34" s="267">
        <v>0</v>
      </c>
      <c r="I34" s="267">
        <v>0</v>
      </c>
      <c r="J34" s="267">
        <v>0</v>
      </c>
      <c r="K34" s="267">
        <v>0</v>
      </c>
      <c r="L34" s="267">
        <v>0</v>
      </c>
      <c r="M34" s="267">
        <v>0</v>
      </c>
      <c r="N34" s="267">
        <v>0</v>
      </c>
      <c r="O34" s="255"/>
      <c r="P34" s="330">
        <v>0</v>
      </c>
      <c r="Q34" s="330">
        <v>0</v>
      </c>
      <c r="R34" s="330">
        <v>0</v>
      </c>
      <c r="S34" s="330">
        <v>0</v>
      </c>
      <c r="T34" s="330">
        <v>0</v>
      </c>
      <c r="U34" s="330">
        <v>0</v>
      </c>
      <c r="V34" s="330">
        <v>0</v>
      </c>
      <c r="W34" s="330">
        <v>0</v>
      </c>
      <c r="X34" s="331">
        <v>0</v>
      </c>
      <c r="Y34" s="331">
        <v>0</v>
      </c>
      <c r="Z34" s="331">
        <v>0</v>
      </c>
      <c r="AA34" s="331">
        <v>0</v>
      </c>
      <c r="AB34" s="331">
        <v>154556883</v>
      </c>
      <c r="AC34" s="344">
        <v>0</v>
      </c>
      <c r="AD34" s="346">
        <v>0</v>
      </c>
      <c r="AE34" s="346">
        <v>0</v>
      </c>
      <c r="AF34" s="346">
        <v>0</v>
      </c>
      <c r="AG34" s="344">
        <v>0</v>
      </c>
      <c r="AH34" s="391">
        <v>0</v>
      </c>
    </row>
    <row r="35" spans="1:34" ht="15">
      <c r="A35" s="122" t="s">
        <v>212</v>
      </c>
      <c r="B35" s="122"/>
      <c r="C35" s="267">
        <v>0</v>
      </c>
      <c r="D35" s="267">
        <v>0</v>
      </c>
      <c r="E35" s="267">
        <v>0</v>
      </c>
      <c r="F35" s="267">
        <v>0</v>
      </c>
      <c r="G35" s="267">
        <v>0</v>
      </c>
      <c r="H35" s="267">
        <v>0</v>
      </c>
      <c r="I35" s="267">
        <v>0</v>
      </c>
      <c r="J35" s="267">
        <v>0</v>
      </c>
      <c r="K35" s="267">
        <v>0</v>
      </c>
      <c r="L35" s="267">
        <v>0</v>
      </c>
      <c r="M35" s="267">
        <v>0</v>
      </c>
      <c r="N35" s="267">
        <v>0</v>
      </c>
      <c r="O35" s="338"/>
      <c r="P35" s="330">
        <v>0</v>
      </c>
      <c r="Q35" s="330">
        <v>0</v>
      </c>
      <c r="R35" s="330">
        <v>0</v>
      </c>
      <c r="S35" s="330">
        <v>0</v>
      </c>
      <c r="T35" s="330">
        <v>0</v>
      </c>
      <c r="U35" s="330">
        <v>0</v>
      </c>
      <c r="V35" s="330">
        <v>0</v>
      </c>
      <c r="W35" s="330">
        <v>0</v>
      </c>
      <c r="X35" s="331">
        <v>0</v>
      </c>
      <c r="Y35" s="331">
        <v>0</v>
      </c>
      <c r="Z35" s="331">
        <v>0</v>
      </c>
      <c r="AA35" s="331">
        <v>0</v>
      </c>
      <c r="AB35" s="331"/>
      <c r="AC35" s="344">
        <v>0</v>
      </c>
      <c r="AD35" s="346">
        <v>0</v>
      </c>
      <c r="AE35" s="346">
        <v>0</v>
      </c>
      <c r="AF35" s="346">
        <v>0</v>
      </c>
      <c r="AG35" s="344">
        <v>0</v>
      </c>
      <c r="AH35" s="391">
        <v>0</v>
      </c>
    </row>
    <row r="36" spans="1:34" ht="15">
      <c r="A36" s="122" t="s">
        <v>213</v>
      </c>
      <c r="B36" s="122"/>
      <c r="C36" s="267">
        <v>0</v>
      </c>
      <c r="D36" s="267">
        <v>0</v>
      </c>
      <c r="E36" s="267">
        <v>0</v>
      </c>
      <c r="F36" s="267">
        <v>0</v>
      </c>
      <c r="G36" s="267">
        <v>0</v>
      </c>
      <c r="H36" s="267">
        <v>0</v>
      </c>
      <c r="I36" s="267">
        <v>0</v>
      </c>
      <c r="J36" s="267">
        <v>0</v>
      </c>
      <c r="K36" s="267">
        <v>0</v>
      </c>
      <c r="L36" s="267">
        <v>0</v>
      </c>
      <c r="M36" s="267">
        <v>0</v>
      </c>
      <c r="N36" s="267">
        <v>0</v>
      </c>
      <c r="O36" s="338"/>
      <c r="P36" s="330">
        <v>0</v>
      </c>
      <c r="Q36" s="330">
        <v>0</v>
      </c>
      <c r="R36" s="330">
        <v>0</v>
      </c>
      <c r="S36" s="330">
        <v>0</v>
      </c>
      <c r="T36" s="330">
        <v>0</v>
      </c>
      <c r="U36" s="330">
        <v>0</v>
      </c>
      <c r="V36" s="330">
        <v>0</v>
      </c>
      <c r="W36" s="330">
        <v>0</v>
      </c>
      <c r="X36" s="331">
        <v>0</v>
      </c>
      <c r="Y36" s="331">
        <v>0</v>
      </c>
      <c r="Z36" s="331">
        <v>0</v>
      </c>
      <c r="AA36" s="331">
        <v>0</v>
      </c>
      <c r="AB36" s="331"/>
      <c r="AC36" s="344">
        <v>0</v>
      </c>
      <c r="AD36" s="346">
        <v>0</v>
      </c>
      <c r="AE36" s="346">
        <v>0</v>
      </c>
      <c r="AF36" s="346">
        <v>0</v>
      </c>
      <c r="AG36" s="344">
        <v>0</v>
      </c>
      <c r="AH36" s="391">
        <v>0</v>
      </c>
    </row>
    <row r="37" spans="1:34" ht="15">
      <c r="A37" s="122" t="s">
        <v>214</v>
      </c>
      <c r="B37" s="122"/>
      <c r="C37" s="267">
        <v>118454609.83</v>
      </c>
      <c r="D37" s="267">
        <v>98286101.359999999</v>
      </c>
      <c r="E37" s="267">
        <v>99983330.609999999</v>
      </c>
      <c r="F37" s="267">
        <v>71794794.590000004</v>
      </c>
      <c r="G37" s="267">
        <v>85830877.040000007</v>
      </c>
      <c r="H37" s="267">
        <v>90024201.209999993</v>
      </c>
      <c r="I37" s="267">
        <v>94035546.939999998</v>
      </c>
      <c r="J37" s="267">
        <v>99370472.739999995</v>
      </c>
      <c r="K37" s="267">
        <v>106890105.59999999</v>
      </c>
      <c r="L37" s="267">
        <v>113361462.63</v>
      </c>
      <c r="M37" s="267">
        <v>122425986.26000001</v>
      </c>
      <c r="N37" s="267">
        <v>145970417.40000001</v>
      </c>
      <c r="O37" s="256">
        <f>141400000+4708687</f>
        <v>146108687</v>
      </c>
      <c r="P37" s="330">
        <v>155417215.12</v>
      </c>
      <c r="Q37" s="330">
        <v>187838324.56999999</v>
      </c>
      <c r="R37" s="330">
        <v>186405157.22999999</v>
      </c>
      <c r="S37" s="330">
        <v>185534817.31</v>
      </c>
      <c r="T37" s="330">
        <v>53812500.07</v>
      </c>
      <c r="U37" s="330">
        <v>108691892.31</v>
      </c>
      <c r="V37" s="330">
        <v>110472851.8</v>
      </c>
      <c r="W37" s="330">
        <v>120930324.55</v>
      </c>
      <c r="X37" s="331">
        <v>131696773.25</v>
      </c>
      <c r="Y37" s="331">
        <v>140829256.72</v>
      </c>
      <c r="Z37" s="331">
        <v>152448565.16999999</v>
      </c>
      <c r="AA37" s="331">
        <v>163338849.69</v>
      </c>
      <c r="AB37" s="331">
        <v>5492264</v>
      </c>
      <c r="AC37" s="345">
        <v>200903133.75999999</v>
      </c>
      <c r="AD37" s="347">
        <v>208331232.75</v>
      </c>
      <c r="AE37" s="347">
        <v>215364254.53</v>
      </c>
      <c r="AF37" s="347">
        <v>225385189.66999999</v>
      </c>
      <c r="AG37" s="345">
        <v>224519887.38</v>
      </c>
      <c r="AH37" s="392">
        <v>113748892.15000001</v>
      </c>
    </row>
    <row r="38" spans="1:34" ht="15">
      <c r="A38" s="122" t="s">
        <v>215</v>
      </c>
      <c r="B38" s="122">
        <v>465833333</v>
      </c>
      <c r="C38" s="267">
        <v>454999999.87</v>
      </c>
      <c r="D38" s="267">
        <v>444166666.52999997</v>
      </c>
      <c r="E38" s="267">
        <v>433333333.19</v>
      </c>
      <c r="F38" s="267">
        <v>422499999.85000002</v>
      </c>
      <c r="G38" s="267">
        <v>411666666.50999999</v>
      </c>
      <c r="H38" s="267">
        <v>400833333.17000002</v>
      </c>
      <c r="I38" s="267">
        <v>389999999.82999998</v>
      </c>
      <c r="J38" s="267">
        <v>379166666.49000001</v>
      </c>
      <c r="K38" s="267">
        <v>368333333.14999998</v>
      </c>
      <c r="L38" s="267">
        <v>357499999.81</v>
      </c>
      <c r="M38" s="267">
        <v>346666666.47000003</v>
      </c>
      <c r="N38" s="267">
        <v>335833333.13</v>
      </c>
      <c r="O38" s="256">
        <v>335833333</v>
      </c>
      <c r="P38" s="330">
        <v>324999999.79000002</v>
      </c>
      <c r="Q38" s="330">
        <v>314166666.44999999</v>
      </c>
      <c r="R38" s="330">
        <v>303333333.11000001</v>
      </c>
      <c r="S38" s="330">
        <v>292499999.76999998</v>
      </c>
      <c r="T38" s="330">
        <v>281666666.43000001</v>
      </c>
      <c r="U38" s="330">
        <v>270833333.08999997</v>
      </c>
      <c r="V38" s="330">
        <v>259999999.75</v>
      </c>
      <c r="W38" s="330">
        <v>249166666.41</v>
      </c>
      <c r="X38" s="331">
        <v>238333333.06999999</v>
      </c>
      <c r="Y38" s="331">
        <v>227499999.72999999</v>
      </c>
      <c r="Z38" s="331">
        <v>216666666.38999999</v>
      </c>
      <c r="AA38" s="331">
        <v>205833333.05000001</v>
      </c>
      <c r="AB38" s="331">
        <v>205833333</v>
      </c>
      <c r="AC38" s="345">
        <v>344999999.70999998</v>
      </c>
      <c r="AD38" s="347">
        <v>329919063.62</v>
      </c>
      <c r="AE38" s="347">
        <v>366585730.27999997</v>
      </c>
      <c r="AF38" s="347">
        <v>401585730.27999997</v>
      </c>
      <c r="AG38" s="345">
        <v>438333333.02999997</v>
      </c>
      <c r="AH38" s="392">
        <v>422499999.69999999</v>
      </c>
    </row>
    <row r="39" spans="1:34" s="266" customFormat="1" ht="15.75">
      <c r="A39" s="121" t="s">
        <v>216</v>
      </c>
      <c r="B39" s="241">
        <f t="shared" ref="B39:AH39" si="11">B31+B32</f>
        <v>2960846081</v>
      </c>
      <c r="C39" s="241">
        <f t="shared" si="11"/>
        <v>2985282255.7200003</v>
      </c>
      <c r="D39" s="241">
        <f t="shared" si="11"/>
        <v>2985835763.1099997</v>
      </c>
      <c r="E39" s="241">
        <f t="shared" si="11"/>
        <v>2973025555.6800003</v>
      </c>
      <c r="F39" s="241">
        <f t="shared" si="11"/>
        <v>2975350141.7599998</v>
      </c>
      <c r="G39" s="241">
        <f t="shared" si="11"/>
        <v>2965949248.9200001</v>
      </c>
      <c r="H39" s="241">
        <f t="shared" si="11"/>
        <v>2970286664.1500001</v>
      </c>
      <c r="I39" s="241">
        <f t="shared" si="11"/>
        <v>3091216712.0999999</v>
      </c>
      <c r="J39" s="241">
        <f t="shared" si="11"/>
        <v>3100658179.6500001</v>
      </c>
      <c r="K39" s="241">
        <f t="shared" si="11"/>
        <v>3100195873.1700001</v>
      </c>
      <c r="L39" s="241">
        <f t="shared" si="11"/>
        <v>3072236645.8899999</v>
      </c>
      <c r="M39" s="241">
        <f t="shared" si="11"/>
        <v>3085073057.5599999</v>
      </c>
      <c r="N39" s="241">
        <f t="shared" si="11"/>
        <v>3078379991.3699999</v>
      </c>
      <c r="O39" s="328">
        <f t="shared" si="11"/>
        <v>3078295541</v>
      </c>
      <c r="P39" s="328">
        <f t="shared" si="11"/>
        <v>3100905565.4200001</v>
      </c>
      <c r="Q39" s="328">
        <f t="shared" si="11"/>
        <v>3153306512.8299999</v>
      </c>
      <c r="R39" s="328">
        <f t="shared" si="11"/>
        <v>3151180617.8000002</v>
      </c>
      <c r="S39" s="328">
        <f t="shared" si="11"/>
        <v>3158110038.2400002</v>
      </c>
      <c r="T39" s="328">
        <f t="shared" si="11"/>
        <v>3073382294.79</v>
      </c>
      <c r="U39" s="328">
        <f t="shared" si="11"/>
        <v>3104909489.7999997</v>
      </c>
      <c r="V39" s="328">
        <f t="shared" si="11"/>
        <v>3121100610.27</v>
      </c>
      <c r="W39" s="328">
        <f t="shared" si="11"/>
        <v>3113601220</v>
      </c>
      <c r="X39" s="328">
        <f t="shared" si="11"/>
        <v>3098123281.8299999</v>
      </c>
      <c r="Y39" s="328">
        <f t="shared" si="11"/>
        <v>3070528852.4500003</v>
      </c>
      <c r="Z39" s="328">
        <f t="shared" si="11"/>
        <v>3074342727.9299994</v>
      </c>
      <c r="AA39" s="328">
        <f t="shared" si="11"/>
        <v>3060293983.5700002</v>
      </c>
      <c r="AB39" s="328">
        <f t="shared" si="11"/>
        <v>3057004282</v>
      </c>
      <c r="AC39" s="328">
        <f t="shared" si="11"/>
        <v>3242286044.8899999</v>
      </c>
      <c r="AD39" s="328">
        <f t="shared" si="11"/>
        <v>3237163231.4900002</v>
      </c>
      <c r="AE39" s="328">
        <f t="shared" si="11"/>
        <v>3215488909.8800001</v>
      </c>
      <c r="AF39" s="328">
        <f t="shared" si="11"/>
        <v>3264016658.9299998</v>
      </c>
      <c r="AG39" s="328">
        <f t="shared" si="11"/>
        <v>3302830073.6300001</v>
      </c>
      <c r="AH39" s="328">
        <f t="shared" si="11"/>
        <v>3255112244.0400004</v>
      </c>
    </row>
    <row r="40" spans="1:34">
      <c r="A40" s="129" t="s">
        <v>217</v>
      </c>
      <c r="B40" s="129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107"/>
      <c r="N40" s="107"/>
      <c r="O40" s="256"/>
      <c r="P40" s="330"/>
      <c r="Q40" s="330"/>
      <c r="R40" s="330"/>
      <c r="S40" s="330"/>
      <c r="T40" s="330"/>
      <c r="U40" s="330"/>
      <c r="V40" s="330"/>
      <c r="W40" s="330"/>
      <c r="X40" s="331"/>
      <c r="Y40" s="331"/>
      <c r="Z40" s="331"/>
      <c r="AA40" s="331"/>
      <c r="AB40" s="331"/>
    </row>
    <row r="41" spans="1:34" ht="29.25">
      <c r="A41" s="122" t="s">
        <v>218</v>
      </c>
      <c r="B41" s="122">
        <v>282364118</v>
      </c>
      <c r="C41" s="267">
        <v>283296453.13</v>
      </c>
      <c r="D41" s="267">
        <v>284392283.88</v>
      </c>
      <c r="E41" s="267">
        <v>285569612.97000003</v>
      </c>
      <c r="F41" s="267">
        <v>286740191.69</v>
      </c>
      <c r="G41" s="267">
        <v>287742950.07999998</v>
      </c>
      <c r="H41" s="267">
        <v>289204688.29000002</v>
      </c>
      <c r="I41" s="267">
        <v>290516642.22000003</v>
      </c>
      <c r="J41" s="267">
        <v>292593987.42000002</v>
      </c>
      <c r="K41" s="267">
        <v>293995140.81999999</v>
      </c>
      <c r="L41" s="267">
        <v>295379965.30000001</v>
      </c>
      <c r="M41" s="267">
        <v>297945989.92000002</v>
      </c>
      <c r="N41" s="267">
        <v>300398347.91000003</v>
      </c>
      <c r="O41" s="256">
        <v>300398348</v>
      </c>
      <c r="P41" s="330">
        <v>302009037.14999998</v>
      </c>
      <c r="Q41" s="330">
        <v>303598655.39999998</v>
      </c>
      <c r="R41" s="330">
        <v>305907040.68000001</v>
      </c>
      <c r="S41" s="330">
        <v>306548290.99000001</v>
      </c>
      <c r="T41" s="330">
        <v>309199522.02999997</v>
      </c>
      <c r="U41" s="330">
        <v>310458212.94</v>
      </c>
      <c r="V41" s="330">
        <v>311442532.31999999</v>
      </c>
      <c r="W41" s="330">
        <v>313404376.44999999</v>
      </c>
      <c r="X41" s="331">
        <v>315161130.38999999</v>
      </c>
      <c r="Y41" s="331">
        <v>316696787.61000001</v>
      </c>
      <c r="Z41" s="331">
        <v>318108688.64999998</v>
      </c>
      <c r="AA41" s="331">
        <v>319956174.64999998</v>
      </c>
      <c r="AB41" s="331">
        <v>319956175</v>
      </c>
      <c r="AC41" s="341">
        <v>321244696.64999998</v>
      </c>
      <c r="AD41" s="343">
        <v>323340970.42000002</v>
      </c>
      <c r="AE41" s="343">
        <v>400831750.44</v>
      </c>
      <c r="AF41" s="343">
        <v>402636264.85000002</v>
      </c>
      <c r="AG41" s="341">
        <v>405237355.13</v>
      </c>
      <c r="AH41" s="390">
        <v>408958596.64999998</v>
      </c>
    </row>
    <row r="42" spans="1:34" ht="14.25">
      <c r="A42" s="120" t="s">
        <v>219</v>
      </c>
      <c r="B42" s="120"/>
      <c r="C42" s="267">
        <v>0</v>
      </c>
      <c r="D42" s="267">
        <v>0</v>
      </c>
      <c r="E42" s="267">
        <v>0</v>
      </c>
      <c r="F42" s="267">
        <v>0</v>
      </c>
      <c r="G42" s="267">
        <v>0</v>
      </c>
      <c r="H42" s="267">
        <v>0</v>
      </c>
      <c r="I42" s="267">
        <v>0</v>
      </c>
      <c r="J42" s="267">
        <v>0</v>
      </c>
      <c r="K42" s="267">
        <v>0</v>
      </c>
      <c r="L42" s="267">
        <v>0</v>
      </c>
      <c r="M42" s="267">
        <v>0</v>
      </c>
      <c r="N42" s="267">
        <v>0</v>
      </c>
      <c r="O42" s="338">
        <v>0</v>
      </c>
      <c r="P42" s="330">
        <v>0</v>
      </c>
      <c r="Q42" s="330">
        <v>0</v>
      </c>
      <c r="R42" s="330">
        <v>0</v>
      </c>
      <c r="S42" s="330">
        <v>0</v>
      </c>
      <c r="T42" s="330">
        <v>0</v>
      </c>
      <c r="U42" s="330">
        <v>0</v>
      </c>
      <c r="V42" s="330">
        <v>0</v>
      </c>
      <c r="W42" s="330">
        <v>0</v>
      </c>
      <c r="X42" s="331">
        <v>0</v>
      </c>
      <c r="Y42" s="331">
        <v>0</v>
      </c>
      <c r="Z42" s="331">
        <v>0</v>
      </c>
      <c r="AA42" s="331">
        <v>0</v>
      </c>
      <c r="AB42" s="331">
        <v>0</v>
      </c>
      <c r="AC42" s="344">
        <v>0</v>
      </c>
      <c r="AD42" s="346">
        <v>0</v>
      </c>
      <c r="AE42" s="346">
        <v>0</v>
      </c>
      <c r="AF42" s="346">
        <v>0</v>
      </c>
      <c r="AG42" s="344">
        <v>0</v>
      </c>
      <c r="AH42" s="391">
        <v>0</v>
      </c>
    </row>
    <row r="43" spans="1:34">
      <c r="A43" s="120"/>
      <c r="B43" s="120"/>
      <c r="C43" s="107"/>
      <c r="D43" s="107"/>
      <c r="E43" s="107"/>
      <c r="F43" s="107"/>
      <c r="G43" s="107"/>
      <c r="H43" s="107"/>
      <c r="I43" s="107"/>
      <c r="J43" s="107"/>
      <c r="K43" s="107"/>
      <c r="L43" s="107"/>
      <c r="M43" s="107"/>
      <c r="N43" s="107"/>
      <c r="O43" s="330"/>
      <c r="P43" s="330"/>
      <c r="Q43" s="330"/>
      <c r="R43" s="330"/>
      <c r="S43" s="330"/>
      <c r="T43" s="330"/>
      <c r="U43" s="330"/>
      <c r="V43" s="330"/>
      <c r="W43" s="330"/>
      <c r="X43" s="331"/>
      <c r="Y43" s="331"/>
      <c r="Z43" s="331"/>
      <c r="AA43" s="331"/>
      <c r="AB43" s="331"/>
    </row>
    <row r="44" spans="1:34" s="266" customFormat="1" ht="15.75">
      <c r="A44" s="121" t="s">
        <v>120</v>
      </c>
      <c r="B44" s="270">
        <f t="shared" ref="B44:AH44" si="12">B46+B45</f>
        <v>198992818</v>
      </c>
      <c r="C44" s="270">
        <f t="shared" si="12"/>
        <v>203882382.82999998</v>
      </c>
      <c r="D44" s="270">
        <f t="shared" si="12"/>
        <v>213791725.99000001</v>
      </c>
      <c r="E44" s="270">
        <f t="shared" si="12"/>
        <v>226870781.90000001</v>
      </c>
      <c r="F44" s="270">
        <f t="shared" si="12"/>
        <v>279216384.86000001</v>
      </c>
      <c r="G44" s="270">
        <f t="shared" si="12"/>
        <v>279251436.52999997</v>
      </c>
      <c r="H44" s="270">
        <f t="shared" si="12"/>
        <v>282989881.95999998</v>
      </c>
      <c r="I44" s="270">
        <f t="shared" si="12"/>
        <v>288012646.94</v>
      </c>
      <c r="J44" s="270">
        <f t="shared" si="12"/>
        <v>293539283.31</v>
      </c>
      <c r="K44" s="270">
        <f t="shared" si="12"/>
        <v>299671788.68000001</v>
      </c>
      <c r="L44" s="270">
        <f t="shared" si="12"/>
        <v>308404741.63999999</v>
      </c>
      <c r="M44" s="270">
        <f t="shared" si="12"/>
        <v>318238041.93000001</v>
      </c>
      <c r="N44" s="270">
        <f t="shared" si="12"/>
        <v>275245309.39999998</v>
      </c>
      <c r="O44" s="337">
        <f t="shared" si="12"/>
        <v>272326828</v>
      </c>
      <c r="P44" s="337">
        <f t="shared" si="12"/>
        <v>281101469.87</v>
      </c>
      <c r="Q44" s="337">
        <f t="shared" si="12"/>
        <v>287299342.96999997</v>
      </c>
      <c r="R44" s="337">
        <f t="shared" si="12"/>
        <v>300549979.96999997</v>
      </c>
      <c r="S44" s="337">
        <f t="shared" si="12"/>
        <v>310086387.02999997</v>
      </c>
      <c r="T44" s="337">
        <f t="shared" si="12"/>
        <v>321782913.76999998</v>
      </c>
      <c r="U44" s="337">
        <f t="shared" si="12"/>
        <v>376796295.95999998</v>
      </c>
      <c r="V44" s="337">
        <f t="shared" si="12"/>
        <v>383131004.88</v>
      </c>
      <c r="W44" s="337">
        <f t="shared" si="12"/>
        <v>390126126.19</v>
      </c>
      <c r="X44" s="337">
        <f t="shared" si="12"/>
        <v>395774159.53999996</v>
      </c>
      <c r="Y44" s="337">
        <f t="shared" si="12"/>
        <v>485533910.44</v>
      </c>
      <c r="Z44" s="337">
        <f t="shared" si="12"/>
        <v>498781269.13</v>
      </c>
      <c r="AA44" s="337">
        <f t="shared" si="12"/>
        <v>500960853.53999996</v>
      </c>
      <c r="AB44" s="337">
        <f t="shared" si="12"/>
        <v>429802914</v>
      </c>
      <c r="AC44" s="337">
        <f t="shared" si="12"/>
        <v>436280426.58999997</v>
      </c>
      <c r="AD44" s="337">
        <f t="shared" si="12"/>
        <v>440633091.19</v>
      </c>
      <c r="AE44" s="337">
        <f t="shared" si="12"/>
        <v>447993457.08999997</v>
      </c>
      <c r="AF44" s="337">
        <f t="shared" si="12"/>
        <v>452461003.77999997</v>
      </c>
      <c r="AG44" s="337">
        <f t="shared" si="12"/>
        <v>461896597.09999996</v>
      </c>
      <c r="AH44" s="337">
        <f t="shared" si="12"/>
        <v>545068884.98000002</v>
      </c>
    </row>
    <row r="45" spans="1:34" ht="15">
      <c r="A45" s="122" t="s">
        <v>220</v>
      </c>
      <c r="B45" s="122">
        <v>136371407</v>
      </c>
      <c r="C45" s="267">
        <v>198992819.34999999</v>
      </c>
      <c r="D45" s="267">
        <v>201992819.34999999</v>
      </c>
      <c r="E45" s="267">
        <v>201992819.34999999</v>
      </c>
      <c r="F45" s="267">
        <v>201992819.34999999</v>
      </c>
      <c r="G45" s="267">
        <v>201992819.34999999</v>
      </c>
      <c r="H45" s="267">
        <v>201992819.34999999</v>
      </c>
      <c r="I45" s="267">
        <v>201992819.34999999</v>
      </c>
      <c r="J45" s="267">
        <v>201992819.34999999</v>
      </c>
      <c r="K45" s="267">
        <v>201992819.34999999</v>
      </c>
      <c r="L45" s="267">
        <v>201992819.34999999</v>
      </c>
      <c r="M45" s="267">
        <v>201992819.34999999</v>
      </c>
      <c r="N45" s="267">
        <v>151159316.84</v>
      </c>
      <c r="O45" s="330">
        <v>198992818</v>
      </c>
      <c r="P45" s="330">
        <v>275326828.39999998</v>
      </c>
      <c r="Q45" s="330">
        <v>275326828.39999998</v>
      </c>
      <c r="R45" s="330">
        <v>275326828.39999998</v>
      </c>
      <c r="S45" s="330">
        <v>275326828.39999998</v>
      </c>
      <c r="T45" s="330">
        <v>275326828.39999998</v>
      </c>
      <c r="U45" s="330">
        <v>275326828.39999998</v>
      </c>
      <c r="V45" s="330">
        <v>275326828.39999998</v>
      </c>
      <c r="W45" s="330">
        <v>275326828.39999998</v>
      </c>
      <c r="X45" s="331">
        <v>275326828.39999998</v>
      </c>
      <c r="Y45" s="331">
        <v>359129228.39999998</v>
      </c>
      <c r="Z45" s="331">
        <v>359129228.39999998</v>
      </c>
      <c r="AA45" s="331">
        <v>359174228.39999998</v>
      </c>
      <c r="AB45" s="331">
        <v>275326828</v>
      </c>
      <c r="AC45" s="341">
        <v>429802914.01999998</v>
      </c>
      <c r="AD45" s="343">
        <v>429802914.01999998</v>
      </c>
      <c r="AE45" s="343">
        <v>429802914.01999998</v>
      </c>
      <c r="AF45" s="343">
        <v>429802914.01999998</v>
      </c>
      <c r="AG45" s="341">
        <v>429802914.01999998</v>
      </c>
      <c r="AH45" s="390">
        <v>429802914.01999998</v>
      </c>
    </row>
    <row r="46" spans="1:34" ht="15">
      <c r="A46" s="122" t="s">
        <v>221</v>
      </c>
      <c r="B46" s="122">
        <f>198992818-136371407</f>
        <v>62621411</v>
      </c>
      <c r="C46" s="267">
        <v>4889563.4800000004</v>
      </c>
      <c r="D46" s="267">
        <v>11798906.640000001</v>
      </c>
      <c r="E46" s="267">
        <v>24877962.550000001</v>
      </c>
      <c r="F46" s="267">
        <v>77223565.510000005</v>
      </c>
      <c r="G46" s="267">
        <v>77258617.180000007</v>
      </c>
      <c r="H46" s="267">
        <v>80997062.609999999</v>
      </c>
      <c r="I46" s="267">
        <v>86019827.590000004</v>
      </c>
      <c r="J46" s="267">
        <v>91546463.959999993</v>
      </c>
      <c r="K46" s="267">
        <v>97678969.329999998</v>
      </c>
      <c r="L46" s="267">
        <v>106411922.29000001</v>
      </c>
      <c r="M46" s="267">
        <v>116245222.58</v>
      </c>
      <c r="N46" s="267">
        <v>124085992.56</v>
      </c>
      <c r="O46" s="256">
        <f>272326828-198992818</f>
        <v>73334010</v>
      </c>
      <c r="P46" s="330">
        <v>5774641.4699999997</v>
      </c>
      <c r="Q46" s="330">
        <v>11972514.57</v>
      </c>
      <c r="R46" s="330">
        <v>25223151.57</v>
      </c>
      <c r="S46" s="330">
        <v>34759558.630000003</v>
      </c>
      <c r="T46" s="330">
        <v>46456085.369999997</v>
      </c>
      <c r="U46" s="330">
        <v>101469467.56</v>
      </c>
      <c r="V46" s="330">
        <v>107804176.48</v>
      </c>
      <c r="W46" s="330">
        <v>114799297.79000001</v>
      </c>
      <c r="X46" s="331">
        <v>120447331.14</v>
      </c>
      <c r="Y46" s="331">
        <v>126404682.04000001</v>
      </c>
      <c r="Z46" s="331">
        <v>139652040.72999999</v>
      </c>
      <c r="AA46" s="331">
        <v>141786625.13999999</v>
      </c>
      <c r="AB46" s="331">
        <v>154476086</v>
      </c>
      <c r="AC46" s="345">
        <v>6477512.5700000003</v>
      </c>
      <c r="AD46" s="347">
        <v>10830177.17</v>
      </c>
      <c r="AE46" s="347">
        <v>18190543.07</v>
      </c>
      <c r="AF46" s="347">
        <v>22658089.760000002</v>
      </c>
      <c r="AG46" s="345">
        <v>32093683.079999998</v>
      </c>
      <c r="AH46" s="392">
        <v>115265970.95999999</v>
      </c>
    </row>
    <row r="47" spans="1:34">
      <c r="A47" s="120"/>
      <c r="B47" s="120"/>
      <c r="C47" s="107"/>
      <c r="D47" s="107"/>
      <c r="E47" s="107"/>
      <c r="F47" s="107"/>
      <c r="G47" s="107"/>
      <c r="H47" s="107"/>
      <c r="I47" s="107"/>
      <c r="J47" s="107"/>
      <c r="K47" s="107"/>
      <c r="L47" s="107"/>
      <c r="M47" s="107"/>
      <c r="N47" s="107"/>
      <c r="O47" s="330"/>
      <c r="P47" s="330"/>
      <c r="Q47" s="330"/>
      <c r="R47" s="330"/>
      <c r="S47" s="330"/>
      <c r="T47" s="330"/>
      <c r="U47" s="330"/>
      <c r="V47" s="330"/>
      <c r="W47" s="330"/>
      <c r="X47" s="331"/>
      <c r="Y47" s="331"/>
      <c r="Z47" s="331"/>
      <c r="AA47" s="331"/>
      <c r="AB47" s="331"/>
    </row>
    <row r="48" spans="1:34" s="266" customFormat="1" ht="15.75">
      <c r="A48" s="121" t="s">
        <v>222</v>
      </c>
      <c r="B48" s="270">
        <f t="shared" ref="B48:AH48" si="13">SUM(B49:B53)</f>
        <v>937066956</v>
      </c>
      <c r="C48" s="270">
        <f t="shared" si="13"/>
        <v>917289524.75</v>
      </c>
      <c r="D48" s="270">
        <f t="shared" si="13"/>
        <v>938553830.02999997</v>
      </c>
      <c r="E48" s="270">
        <f t="shared" si="13"/>
        <v>943501516.80999994</v>
      </c>
      <c r="F48" s="270">
        <f t="shared" si="13"/>
        <v>928566129.6099999</v>
      </c>
      <c r="G48" s="270">
        <f t="shared" si="13"/>
        <v>906963310.86999989</v>
      </c>
      <c r="H48" s="270">
        <f t="shared" si="13"/>
        <v>910876056.99000001</v>
      </c>
      <c r="I48" s="270">
        <f t="shared" si="13"/>
        <v>912382534.51999998</v>
      </c>
      <c r="J48" s="270">
        <f t="shared" si="13"/>
        <v>920922750.77999997</v>
      </c>
      <c r="K48" s="270">
        <f t="shared" si="13"/>
        <v>922868443.39999998</v>
      </c>
      <c r="L48" s="270">
        <f t="shared" si="13"/>
        <v>927359305.6099999</v>
      </c>
      <c r="M48" s="270">
        <f t="shared" si="13"/>
        <v>930740827.77999997</v>
      </c>
      <c r="N48" s="270">
        <f t="shared" si="13"/>
        <v>1061086151.41</v>
      </c>
      <c r="O48" s="337">
        <f t="shared" si="13"/>
        <v>1061170601</v>
      </c>
      <c r="P48" s="337">
        <f t="shared" si="13"/>
        <v>1027510211.36</v>
      </c>
      <c r="Q48" s="337">
        <f t="shared" si="13"/>
        <v>997103468.45000005</v>
      </c>
      <c r="R48" s="337">
        <f t="shared" si="13"/>
        <v>992107496.69000006</v>
      </c>
      <c r="S48" s="337">
        <f t="shared" si="13"/>
        <v>996170077.25</v>
      </c>
      <c r="T48" s="337">
        <f t="shared" si="13"/>
        <v>995352018.17000008</v>
      </c>
      <c r="U48" s="337">
        <f t="shared" si="13"/>
        <v>1003500083.51</v>
      </c>
      <c r="V48" s="337">
        <f t="shared" si="13"/>
        <v>1000887693.4100001</v>
      </c>
      <c r="W48" s="337">
        <f t="shared" si="13"/>
        <v>1006745277.77</v>
      </c>
      <c r="X48" s="337">
        <f t="shared" si="13"/>
        <v>1011512028.95</v>
      </c>
      <c r="Y48" s="337">
        <f t="shared" si="13"/>
        <v>916092407.35000002</v>
      </c>
      <c r="Z48" s="337">
        <f t="shared" si="13"/>
        <v>920774385.1400001</v>
      </c>
      <c r="AA48" s="337">
        <f t="shared" si="13"/>
        <v>913241450.01999998</v>
      </c>
      <c r="AB48" s="337">
        <f t="shared" si="13"/>
        <v>976317284</v>
      </c>
      <c r="AC48" s="337">
        <f t="shared" si="13"/>
        <v>940468357.13000011</v>
      </c>
      <c r="AD48" s="337">
        <f t="shared" si="13"/>
        <v>944323908.09000003</v>
      </c>
      <c r="AE48" s="337">
        <f t="shared" si="13"/>
        <v>944844422.09000003</v>
      </c>
      <c r="AF48" s="337">
        <f t="shared" si="13"/>
        <v>948235991.22000003</v>
      </c>
      <c r="AG48" s="337">
        <f t="shared" si="13"/>
        <v>948766674.58000004</v>
      </c>
      <c r="AH48" s="337">
        <f t="shared" si="13"/>
        <v>936336275.68000007</v>
      </c>
    </row>
    <row r="49" spans="1:34" ht="15">
      <c r="A49" s="122" t="s">
        <v>223</v>
      </c>
      <c r="B49" s="122">
        <v>101541864</v>
      </c>
      <c r="C49" s="267">
        <v>101541864.08</v>
      </c>
      <c r="D49" s="267">
        <v>101541864.08</v>
      </c>
      <c r="E49" s="267">
        <v>101541864.08</v>
      </c>
      <c r="F49" s="267">
        <v>101541864.08</v>
      </c>
      <c r="G49" s="267">
        <v>101541864.08</v>
      </c>
      <c r="H49" s="267">
        <v>101541864.08</v>
      </c>
      <c r="I49" s="267">
        <v>101541864.08</v>
      </c>
      <c r="J49" s="267">
        <v>101541864.08</v>
      </c>
      <c r="K49" s="267">
        <v>101541864.08</v>
      </c>
      <c r="L49" s="267">
        <v>101541864.08</v>
      </c>
      <c r="M49" s="267">
        <v>101541864.08</v>
      </c>
      <c r="N49" s="267">
        <v>126375366.59</v>
      </c>
      <c r="O49" s="256">
        <v>126375367</v>
      </c>
      <c r="P49" s="330">
        <v>126375366.59</v>
      </c>
      <c r="Q49" s="330">
        <v>126375366.59</v>
      </c>
      <c r="R49" s="330">
        <v>126375366.59</v>
      </c>
      <c r="S49" s="330">
        <v>126375366.59</v>
      </c>
      <c r="T49" s="330">
        <v>126375366.59</v>
      </c>
      <c r="U49" s="330">
        <v>126375366.59</v>
      </c>
      <c r="V49" s="330">
        <v>126375366.59</v>
      </c>
      <c r="W49" s="330">
        <v>126375366.59</v>
      </c>
      <c r="X49" s="331">
        <v>126375366.59</v>
      </c>
      <c r="Y49" s="331">
        <v>126375366.59</v>
      </c>
      <c r="Z49" s="331">
        <v>126375366.59</v>
      </c>
      <c r="AA49" s="331">
        <v>126375366.59</v>
      </c>
      <c r="AB49" s="331">
        <v>152532538</v>
      </c>
      <c r="AC49" s="341">
        <v>152532537.99000001</v>
      </c>
      <c r="AD49" s="343">
        <v>152532537.99000001</v>
      </c>
      <c r="AE49" s="343">
        <v>152532537.99000001</v>
      </c>
      <c r="AF49" s="343">
        <v>152532537.99000001</v>
      </c>
      <c r="AG49" s="341">
        <v>152532537.99000001</v>
      </c>
      <c r="AH49" s="390">
        <v>152532537.99000001</v>
      </c>
    </row>
    <row r="50" spans="1:34" ht="29.25">
      <c r="A50" s="122" t="s">
        <v>224</v>
      </c>
      <c r="B50" s="122">
        <v>46691433</v>
      </c>
      <c r="C50" s="267">
        <v>49025656.369999997</v>
      </c>
      <c r="D50" s="267">
        <v>70289961.650000006</v>
      </c>
      <c r="E50" s="267">
        <v>75237648.430000007</v>
      </c>
      <c r="F50" s="267">
        <v>60302261.229999997</v>
      </c>
      <c r="G50" s="267">
        <v>38699442.490000002</v>
      </c>
      <c r="H50" s="267">
        <v>42612188.609999999</v>
      </c>
      <c r="I50" s="267">
        <v>44118666.140000001</v>
      </c>
      <c r="J50" s="267">
        <v>52658882.399999999</v>
      </c>
      <c r="K50" s="267">
        <v>54604575.020000003</v>
      </c>
      <c r="L50" s="267">
        <v>59095437.229999997</v>
      </c>
      <c r="M50" s="267">
        <v>62476959.399999999</v>
      </c>
      <c r="N50" s="267">
        <v>94263968.409999996</v>
      </c>
      <c r="O50" s="330">
        <v>68263968</v>
      </c>
      <c r="P50" s="330">
        <v>101401730.56999999</v>
      </c>
      <c r="Q50" s="330">
        <v>70994987.659999996</v>
      </c>
      <c r="R50" s="330">
        <v>65999015.899999999</v>
      </c>
      <c r="S50" s="330">
        <v>70061596.459999993</v>
      </c>
      <c r="T50" s="330">
        <v>69243537.379999995</v>
      </c>
      <c r="U50" s="330">
        <v>77391602.719999999</v>
      </c>
      <c r="V50" s="330">
        <v>74779212.620000005</v>
      </c>
      <c r="W50" s="330">
        <v>80636796.980000004</v>
      </c>
      <c r="X50" s="331">
        <v>85403548.159999996</v>
      </c>
      <c r="Y50" s="331">
        <v>91133926.560000002</v>
      </c>
      <c r="Z50" s="331">
        <v>95815904.349999994</v>
      </c>
      <c r="AA50" s="331">
        <v>88282969.230000004</v>
      </c>
      <c r="AB50" s="331">
        <f>94282969</f>
        <v>94282969</v>
      </c>
      <c r="AC50" s="345">
        <v>95890111.540000007</v>
      </c>
      <c r="AD50" s="347">
        <v>99745662.5</v>
      </c>
      <c r="AE50" s="347">
        <v>100266176.5</v>
      </c>
      <c r="AF50" s="347">
        <v>103657745.63</v>
      </c>
      <c r="AG50" s="345">
        <v>104188428.98999999</v>
      </c>
      <c r="AH50" s="392">
        <v>91758030.090000004</v>
      </c>
    </row>
    <row r="51" spans="1:34" ht="29.25">
      <c r="A51" s="122" t="s">
        <v>225</v>
      </c>
      <c r="B51" s="122">
        <f>63906424+702815580</f>
        <v>766722004</v>
      </c>
      <c r="C51" s="267">
        <v>63906424</v>
      </c>
      <c r="D51" s="267">
        <v>63906424</v>
      </c>
      <c r="E51" s="267">
        <v>63906424</v>
      </c>
      <c r="F51" s="267">
        <v>63906424</v>
      </c>
      <c r="G51" s="267">
        <v>63906424</v>
      </c>
      <c r="H51" s="267">
        <v>63906424</v>
      </c>
      <c r="I51" s="267">
        <v>63906424</v>
      </c>
      <c r="J51" s="267">
        <v>63906424</v>
      </c>
      <c r="K51" s="267">
        <v>63906424</v>
      </c>
      <c r="L51" s="267">
        <v>63906424</v>
      </c>
      <c r="M51" s="267">
        <v>63906424</v>
      </c>
      <c r="N51" s="267">
        <v>63906424</v>
      </c>
      <c r="O51" s="256">
        <f>63906424+776540392</f>
        <v>840446816</v>
      </c>
      <c r="P51" s="330">
        <v>63906424</v>
      </c>
      <c r="Q51" s="330">
        <v>63906424</v>
      </c>
      <c r="R51" s="330">
        <v>63906424</v>
      </c>
      <c r="S51" s="330">
        <v>63906424</v>
      </c>
      <c r="T51" s="330">
        <v>63906424</v>
      </c>
      <c r="U51" s="330">
        <v>63906424</v>
      </c>
      <c r="V51" s="330">
        <v>63906424</v>
      </c>
      <c r="W51" s="330">
        <v>63906424</v>
      </c>
      <c r="X51" s="331">
        <v>63906424</v>
      </c>
      <c r="Y51" s="331">
        <v>63906424</v>
      </c>
      <c r="Z51" s="331">
        <v>63906424</v>
      </c>
      <c r="AA51" s="331">
        <v>63906424</v>
      </c>
      <c r="AB51" s="331">
        <f>63906424+628139283</f>
        <v>692045707</v>
      </c>
      <c r="AC51" s="345">
        <v>63906424</v>
      </c>
      <c r="AD51" s="347">
        <v>63906424</v>
      </c>
      <c r="AE51" s="347">
        <v>63906424</v>
      </c>
      <c r="AF51" s="347">
        <v>63906424</v>
      </c>
      <c r="AG51" s="345">
        <v>63906424</v>
      </c>
      <c r="AH51" s="392">
        <v>63906424</v>
      </c>
    </row>
    <row r="52" spans="1:34" ht="15">
      <c r="A52" s="122" t="s">
        <v>128</v>
      </c>
      <c r="B52" s="122">
        <v>22111655</v>
      </c>
      <c r="C52" s="271">
        <v>702815580.29999995</v>
      </c>
      <c r="D52" s="271">
        <v>702815580.29999995</v>
      </c>
      <c r="E52" s="271">
        <v>702815580.29999995</v>
      </c>
      <c r="F52" s="271">
        <v>702815580.29999995</v>
      </c>
      <c r="G52" s="271">
        <v>702815580.29999995</v>
      </c>
      <c r="H52" s="271">
        <v>702815580.29999995</v>
      </c>
      <c r="I52" s="271">
        <v>702815580.29999995</v>
      </c>
      <c r="J52" s="271">
        <v>702815580.29999995</v>
      </c>
      <c r="K52" s="271">
        <v>702815580.29999995</v>
      </c>
      <c r="L52" s="271">
        <v>702815580.29999995</v>
      </c>
      <c r="M52" s="271">
        <v>702815580.29999995</v>
      </c>
      <c r="N52" s="271">
        <v>776540392.40999997</v>
      </c>
      <c r="O52" s="330">
        <v>26084450</v>
      </c>
      <c r="P52" s="330">
        <v>735826690.20000005</v>
      </c>
      <c r="Q52" s="330">
        <v>735826690.20000005</v>
      </c>
      <c r="R52" s="330">
        <v>735826690.20000005</v>
      </c>
      <c r="S52" s="330">
        <v>735826690.20000005</v>
      </c>
      <c r="T52" s="330">
        <v>735826690.20000005</v>
      </c>
      <c r="U52" s="330">
        <v>735826690.20000005</v>
      </c>
      <c r="V52" s="330">
        <v>735826690.20000005</v>
      </c>
      <c r="W52" s="330">
        <v>735826690.20000005</v>
      </c>
      <c r="X52" s="331">
        <v>735826690.20000005</v>
      </c>
      <c r="Y52" s="331">
        <v>634676690.20000005</v>
      </c>
      <c r="Z52" s="331">
        <v>634676690.20000005</v>
      </c>
      <c r="AA52" s="331">
        <v>634676690.20000005</v>
      </c>
      <c r="AB52" s="331">
        <v>37456070</v>
      </c>
      <c r="AC52" s="344">
        <v>628139283.60000002</v>
      </c>
      <c r="AD52" s="346">
        <v>628139283.60000002</v>
      </c>
      <c r="AE52" s="346">
        <v>628139283.60000002</v>
      </c>
      <c r="AF52" s="346">
        <v>628139283.60000002</v>
      </c>
      <c r="AG52" s="344">
        <v>628139283.60000002</v>
      </c>
      <c r="AH52" s="391">
        <v>628139283.60000002</v>
      </c>
    </row>
    <row r="53" spans="1:34" ht="15">
      <c r="A53" s="122" t="s">
        <v>226</v>
      </c>
      <c r="B53" s="122"/>
      <c r="C53" s="271">
        <v>0</v>
      </c>
      <c r="D53" s="271">
        <v>0</v>
      </c>
      <c r="E53" s="271">
        <v>0</v>
      </c>
      <c r="F53" s="271">
        <v>0</v>
      </c>
      <c r="G53" s="271">
        <v>0</v>
      </c>
      <c r="H53" s="271">
        <v>0</v>
      </c>
      <c r="I53" s="271">
        <v>0</v>
      </c>
      <c r="J53" s="271">
        <v>0</v>
      </c>
      <c r="K53" s="271">
        <v>0</v>
      </c>
      <c r="L53" s="271">
        <v>0</v>
      </c>
      <c r="M53" s="271">
        <v>0</v>
      </c>
      <c r="N53" s="271">
        <v>0</v>
      </c>
      <c r="O53" s="330"/>
      <c r="P53" s="330">
        <v>0</v>
      </c>
      <c r="Q53" s="330">
        <v>0</v>
      </c>
      <c r="R53" s="330">
        <v>0</v>
      </c>
      <c r="S53" s="330">
        <v>0</v>
      </c>
      <c r="T53" s="330">
        <v>0</v>
      </c>
      <c r="U53" s="330">
        <v>0</v>
      </c>
      <c r="V53" s="330">
        <v>0</v>
      </c>
      <c r="W53" s="330">
        <v>0</v>
      </c>
      <c r="X53" s="331">
        <v>0</v>
      </c>
      <c r="Y53" s="331">
        <v>0</v>
      </c>
      <c r="Z53" s="331">
        <v>0</v>
      </c>
      <c r="AA53" s="331">
        <v>0</v>
      </c>
      <c r="AB53" s="331"/>
      <c r="AC53" s="344">
        <v>0</v>
      </c>
      <c r="AD53" s="346">
        <v>0</v>
      </c>
      <c r="AE53" s="346">
        <v>0</v>
      </c>
      <c r="AF53" s="346">
        <v>0</v>
      </c>
      <c r="AG53" s="344">
        <v>0</v>
      </c>
      <c r="AH53" s="391">
        <v>0</v>
      </c>
    </row>
    <row r="54" spans="1:34" s="266" customFormat="1" ht="15.75">
      <c r="A54" s="121" t="s">
        <v>227</v>
      </c>
      <c r="B54" s="241">
        <f t="shared" ref="B54:AG54" si="14">B41+B42+B44+B48</f>
        <v>1418423892</v>
      </c>
      <c r="C54" s="241">
        <f t="shared" si="14"/>
        <v>1404468360.71</v>
      </c>
      <c r="D54" s="241">
        <f t="shared" si="14"/>
        <v>1436737839.9000001</v>
      </c>
      <c r="E54" s="241">
        <f t="shared" si="14"/>
        <v>1455941911.6799998</v>
      </c>
      <c r="F54" s="241">
        <f t="shared" si="14"/>
        <v>1494522706.1599998</v>
      </c>
      <c r="G54" s="241">
        <f t="shared" si="14"/>
        <v>1473957697.4799998</v>
      </c>
      <c r="H54" s="241">
        <f t="shared" si="14"/>
        <v>1483070627.24</v>
      </c>
      <c r="I54" s="241">
        <f t="shared" si="14"/>
        <v>1490911823.6800001</v>
      </c>
      <c r="J54" s="241">
        <f t="shared" si="14"/>
        <v>1507056021.51</v>
      </c>
      <c r="K54" s="241">
        <f t="shared" si="14"/>
        <v>1516535372.9000001</v>
      </c>
      <c r="L54" s="241">
        <f t="shared" si="14"/>
        <v>1531144012.55</v>
      </c>
      <c r="M54" s="241">
        <f t="shared" si="14"/>
        <v>1546924859.6300001</v>
      </c>
      <c r="N54" s="241">
        <f t="shared" si="14"/>
        <v>1636729808.7199998</v>
      </c>
      <c r="O54" s="328">
        <f t="shared" si="14"/>
        <v>1633895777</v>
      </c>
      <c r="P54" s="328">
        <f t="shared" si="14"/>
        <v>1610620718.3800001</v>
      </c>
      <c r="Q54" s="328">
        <f t="shared" si="14"/>
        <v>1588001466.8199999</v>
      </c>
      <c r="R54" s="328">
        <f t="shared" si="14"/>
        <v>1598564517.3400002</v>
      </c>
      <c r="S54" s="328">
        <f t="shared" si="14"/>
        <v>1612804755.27</v>
      </c>
      <c r="T54" s="328">
        <f t="shared" si="14"/>
        <v>1626334453.97</v>
      </c>
      <c r="U54" s="328">
        <f t="shared" si="14"/>
        <v>1690754592.4099998</v>
      </c>
      <c r="V54" s="328">
        <f t="shared" si="14"/>
        <v>1695461230.6100001</v>
      </c>
      <c r="W54" s="328">
        <f t="shared" si="14"/>
        <v>1710275780.4099998</v>
      </c>
      <c r="X54" s="328">
        <f t="shared" si="14"/>
        <v>1722447318.8800001</v>
      </c>
      <c r="Y54" s="328">
        <f t="shared" si="14"/>
        <v>1718323105.4000001</v>
      </c>
      <c r="Z54" s="328">
        <f t="shared" si="14"/>
        <v>1737664342.9200001</v>
      </c>
      <c r="AA54" s="328">
        <f t="shared" si="14"/>
        <v>1734158478.21</v>
      </c>
      <c r="AB54" s="328">
        <f t="shared" si="14"/>
        <v>1726076373</v>
      </c>
      <c r="AC54" s="328">
        <f t="shared" si="14"/>
        <v>1697993480.3700001</v>
      </c>
      <c r="AD54" s="328">
        <f t="shared" si="14"/>
        <v>1708297969.7</v>
      </c>
      <c r="AE54" s="328">
        <f t="shared" si="14"/>
        <v>1793669629.6199999</v>
      </c>
      <c r="AF54" s="328">
        <f t="shared" si="14"/>
        <v>1803333259.8499999</v>
      </c>
      <c r="AG54" s="328">
        <f t="shared" ref="AG54:AH54" si="15">AG41+AG42+AG44+AG48</f>
        <v>1815900626.8099999</v>
      </c>
      <c r="AH54" s="328">
        <f t="shared" si="15"/>
        <v>1890363757.3099999</v>
      </c>
    </row>
    <row r="55" spans="1:34" s="266" customFormat="1" ht="15.75">
      <c r="A55" s="121" t="s">
        <v>228</v>
      </c>
      <c r="B55" s="241">
        <f t="shared" ref="B55:AG55" si="16">B39+B54</f>
        <v>4379269973</v>
      </c>
      <c r="C55" s="241">
        <f t="shared" si="16"/>
        <v>4389750616.4300003</v>
      </c>
      <c r="D55" s="241">
        <f t="shared" si="16"/>
        <v>4422573603.0100002</v>
      </c>
      <c r="E55" s="241">
        <f t="shared" si="16"/>
        <v>4428967467.3600006</v>
      </c>
      <c r="F55" s="241">
        <f t="shared" si="16"/>
        <v>4469872847.9200001</v>
      </c>
      <c r="G55" s="241">
        <f t="shared" si="16"/>
        <v>4439906946.3999996</v>
      </c>
      <c r="H55" s="241">
        <f t="shared" si="16"/>
        <v>4453357291.3900003</v>
      </c>
      <c r="I55" s="241">
        <f t="shared" si="16"/>
        <v>4582128535.7799997</v>
      </c>
      <c r="J55" s="241">
        <f t="shared" si="16"/>
        <v>4607714201.1599998</v>
      </c>
      <c r="K55" s="241">
        <f t="shared" si="16"/>
        <v>4616731246.0699997</v>
      </c>
      <c r="L55" s="241">
        <f t="shared" si="16"/>
        <v>4603380658.4399996</v>
      </c>
      <c r="M55" s="241">
        <f t="shared" si="16"/>
        <v>4631997917.1900005</v>
      </c>
      <c r="N55" s="241">
        <f t="shared" si="16"/>
        <v>4715109800.0900002</v>
      </c>
      <c r="O55" s="328">
        <f t="shared" si="16"/>
        <v>4712191318</v>
      </c>
      <c r="P55" s="328">
        <f t="shared" si="16"/>
        <v>4711526283.8000002</v>
      </c>
      <c r="Q55" s="328">
        <f t="shared" si="16"/>
        <v>4741307979.6499996</v>
      </c>
      <c r="R55" s="328">
        <f t="shared" si="16"/>
        <v>4749745135.1400003</v>
      </c>
      <c r="S55" s="328">
        <f t="shared" si="16"/>
        <v>4770914793.5100002</v>
      </c>
      <c r="T55" s="328">
        <f t="shared" si="16"/>
        <v>4699716748.7600002</v>
      </c>
      <c r="U55" s="328">
        <f t="shared" si="16"/>
        <v>4795664082.2099991</v>
      </c>
      <c r="V55" s="328">
        <f t="shared" si="16"/>
        <v>4816561840.8800001</v>
      </c>
      <c r="W55" s="328">
        <f t="shared" si="16"/>
        <v>4823877000.4099998</v>
      </c>
      <c r="X55" s="328">
        <f t="shared" si="16"/>
        <v>4820570600.71</v>
      </c>
      <c r="Y55" s="328">
        <f t="shared" si="16"/>
        <v>4788851957.8500004</v>
      </c>
      <c r="Z55" s="328">
        <f t="shared" si="16"/>
        <v>4812007070.8499994</v>
      </c>
      <c r="AA55" s="328">
        <f t="shared" si="16"/>
        <v>4794452461.7800007</v>
      </c>
      <c r="AB55" s="328">
        <f t="shared" si="16"/>
        <v>4783080655</v>
      </c>
      <c r="AC55" s="328">
        <f t="shared" si="16"/>
        <v>4940279525.2600002</v>
      </c>
      <c r="AD55" s="328">
        <f t="shared" si="16"/>
        <v>4945461201.1900005</v>
      </c>
      <c r="AE55" s="328">
        <f t="shared" si="16"/>
        <v>5009158539.5</v>
      </c>
      <c r="AF55" s="328">
        <f t="shared" si="16"/>
        <v>5067349918.7799997</v>
      </c>
      <c r="AG55" s="328">
        <f t="shared" ref="AG55:AH55" si="17">AG39+AG54</f>
        <v>5118730700.4400005</v>
      </c>
      <c r="AH55" s="328">
        <f t="shared" si="17"/>
        <v>5145476001.3500004</v>
      </c>
    </row>
    <row r="56" spans="1:34" ht="15">
      <c r="A56" s="272"/>
      <c r="B56" s="272"/>
      <c r="C56" s="273"/>
      <c r="D56" s="273"/>
      <c r="E56" s="273"/>
      <c r="F56" s="273"/>
      <c r="G56" s="273"/>
      <c r="H56" s="273"/>
      <c r="I56" s="273"/>
      <c r="J56" s="273"/>
      <c r="K56" s="273"/>
      <c r="L56" s="273"/>
      <c r="M56" s="273"/>
      <c r="N56" s="273"/>
      <c r="O56" s="273"/>
      <c r="AC56" s="330">
        <f t="shared" ref="AC56" si="18">AC55-AC27</f>
        <v>0</v>
      </c>
      <c r="AD56" s="330">
        <f t="shared" ref="AD56" si="19">AD55-AD27</f>
        <v>0</v>
      </c>
      <c r="AE56" s="330">
        <f t="shared" ref="AE56:AG56" si="20">AE55-AE27</f>
        <v>0</v>
      </c>
      <c r="AF56" s="330">
        <f t="shared" si="20"/>
        <v>0</v>
      </c>
      <c r="AG56" s="330">
        <f t="shared" ref="AG56:AH56" si="21">AG55-AG27</f>
        <v>0</v>
      </c>
      <c r="AH56" s="330">
        <f t="shared" si="21"/>
        <v>0</v>
      </c>
    </row>
  </sheetData>
  <pageMargins left="0.7" right="0.7" top="0.75" bottom="0.75" header="0.3" footer="0.3"/>
  <pageSetup scale="23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352C6-0D0C-4676-B856-1E5A7E62F897}">
  <dimension ref="O26:R28"/>
  <sheetViews>
    <sheetView workbookViewId="0">
      <selection activeCell="R28" sqref="R28"/>
    </sheetView>
  </sheetViews>
  <sheetFormatPr defaultRowHeight="14.45"/>
  <cols>
    <col min="15" max="15" width="14.7109375" bestFit="1" customWidth="1"/>
    <col min="18" max="18" width="12.5703125" bestFit="1" customWidth="1"/>
  </cols>
  <sheetData>
    <row r="26" spans="15:18">
      <c r="O26">
        <f>419229770</f>
        <v>419229770</v>
      </c>
      <c r="R26">
        <f>1439501529</f>
        <v>1439501529</v>
      </c>
    </row>
    <row r="27" spans="15:18">
      <c r="O27">
        <v>264941067</v>
      </c>
      <c r="R27">
        <v>1431173549</v>
      </c>
    </row>
    <row r="28" spans="15:18">
      <c r="O28" s="339">
        <f>O26-O27</f>
        <v>154288703</v>
      </c>
      <c r="R28" s="339">
        <f>R26-R27</f>
        <v>8327980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38"/>
  <sheetViews>
    <sheetView zoomScale="70" zoomScaleNormal="70" zoomScaleSheetLayoutView="100" workbookViewId="0">
      <pane xSplit="1" topLeftCell="AF20" activePane="topRight" state="frozen"/>
      <selection pane="topRight" activeCell="AF37" sqref="AF37:AH37"/>
    </sheetView>
  </sheetViews>
  <sheetFormatPr defaultColWidth="9.140625" defaultRowHeight="13.9"/>
  <cols>
    <col min="1" max="1" width="44.42578125" style="124" bestFit="1" customWidth="1"/>
    <col min="2" max="2" width="25.7109375" style="124" customWidth="1"/>
    <col min="3" max="4" width="17.5703125" style="239" customWidth="1"/>
    <col min="5" max="5" width="19.28515625" style="239" customWidth="1"/>
    <col min="6" max="6" width="19.42578125" style="239" customWidth="1"/>
    <col min="7" max="7" width="18.7109375" style="239" customWidth="1"/>
    <col min="8" max="8" width="18.85546875" style="239" customWidth="1"/>
    <col min="9" max="9" width="19" style="239" customWidth="1"/>
    <col min="10" max="10" width="20.28515625" style="239" customWidth="1"/>
    <col min="11" max="11" width="19.28515625" style="239" customWidth="1"/>
    <col min="12" max="12" width="18.7109375" style="239" customWidth="1"/>
    <col min="13" max="13" width="19.5703125" style="239" customWidth="1"/>
    <col min="14" max="14" width="20.7109375" style="124" customWidth="1"/>
    <col min="15" max="15" width="21.42578125" style="124" customWidth="1"/>
    <col min="16" max="17" width="17.28515625" style="124" hidden="1" customWidth="1"/>
    <col min="18" max="22" width="18.7109375" style="124" hidden="1" customWidth="1"/>
    <col min="23" max="23" width="18.7109375" style="124" bestFit="1" customWidth="1"/>
    <col min="24" max="27" width="19.7109375" style="239" bestFit="1" customWidth="1"/>
    <col min="28" max="28" width="18.28515625" style="239" bestFit="1" customWidth="1"/>
    <col min="29" max="29" width="16.85546875" style="124" customWidth="1"/>
    <col min="30" max="30" width="18.42578125" style="124" customWidth="1"/>
    <col min="31" max="31" width="20.42578125" style="124" customWidth="1"/>
    <col min="32" max="32" width="20.140625" style="124" customWidth="1"/>
    <col min="33" max="33" width="17.42578125" style="124" customWidth="1"/>
    <col min="34" max="34" width="18" style="124" bestFit="1" customWidth="1"/>
    <col min="35" max="16384" width="9.140625" style="124"/>
  </cols>
  <sheetData>
    <row r="1" spans="1:34">
      <c r="A1" s="123" t="s">
        <v>13</v>
      </c>
      <c r="B1" s="123"/>
    </row>
    <row r="2" spans="1:34" ht="14.25">
      <c r="A2" s="123" t="s">
        <v>229</v>
      </c>
      <c r="B2" s="244" t="s">
        <v>17</v>
      </c>
      <c r="C2" s="244">
        <v>44197</v>
      </c>
      <c r="D2" s="244">
        <v>44228</v>
      </c>
      <c r="E2" s="244">
        <v>44256</v>
      </c>
      <c r="F2" s="244">
        <v>44287</v>
      </c>
      <c r="G2" s="244">
        <v>44317</v>
      </c>
      <c r="H2" s="244">
        <v>44348</v>
      </c>
      <c r="I2" s="244">
        <v>44378</v>
      </c>
      <c r="J2" s="244">
        <v>44409</v>
      </c>
      <c r="K2" s="244">
        <v>44440</v>
      </c>
      <c r="L2" s="244">
        <v>44470</v>
      </c>
      <c r="M2" s="244">
        <v>44501</v>
      </c>
      <c r="N2" s="244">
        <v>44531</v>
      </c>
      <c r="O2" s="245" t="s">
        <v>18</v>
      </c>
      <c r="P2" s="326">
        <v>44562</v>
      </c>
      <c r="Q2" s="326">
        <v>44593</v>
      </c>
      <c r="R2" s="326">
        <v>44621</v>
      </c>
      <c r="S2" s="326">
        <v>44652</v>
      </c>
      <c r="T2" s="326">
        <v>44682</v>
      </c>
      <c r="U2" s="326">
        <v>44713</v>
      </c>
      <c r="V2" s="326">
        <v>44743</v>
      </c>
      <c r="W2" s="326">
        <v>44774</v>
      </c>
      <c r="X2" s="326">
        <v>44805</v>
      </c>
      <c r="Y2" s="326">
        <v>44835</v>
      </c>
      <c r="Z2" s="326">
        <v>44866</v>
      </c>
      <c r="AA2" s="326">
        <v>44896</v>
      </c>
      <c r="AB2" s="326" t="s">
        <v>230</v>
      </c>
      <c r="AC2" s="326">
        <v>44949</v>
      </c>
      <c r="AD2" s="326">
        <v>44980</v>
      </c>
      <c r="AE2" s="326">
        <v>45008</v>
      </c>
      <c r="AF2" s="326">
        <v>45039</v>
      </c>
      <c r="AG2" s="326">
        <v>45069</v>
      </c>
      <c r="AH2" s="326">
        <v>45100</v>
      </c>
    </row>
    <row r="3" spans="1:34" s="126" customFormat="1" ht="15">
      <c r="A3" s="125" t="s">
        <v>231</v>
      </c>
      <c r="B3" s="246">
        <f>B4+B7</f>
        <v>639350336</v>
      </c>
      <c r="C3" s="246">
        <f t="shared" ref="C3:AG3" si="0">C4+C7</f>
        <v>39636562.809999995</v>
      </c>
      <c r="D3" s="246">
        <f t="shared" si="0"/>
        <v>80722714.659999996</v>
      </c>
      <c r="E3" s="246">
        <f t="shared" si="0"/>
        <v>120627546.67999999</v>
      </c>
      <c r="F3" s="246">
        <f t="shared" si="0"/>
        <v>265789505.68000001</v>
      </c>
      <c r="G3" s="246">
        <f t="shared" si="0"/>
        <v>307552683.49000001</v>
      </c>
      <c r="H3" s="246">
        <f t="shared" si="0"/>
        <v>351991139.65999997</v>
      </c>
      <c r="I3" s="246">
        <f t="shared" si="0"/>
        <v>399927971.38999999</v>
      </c>
      <c r="J3" s="246">
        <f t="shared" si="0"/>
        <v>444371251.29000002</v>
      </c>
      <c r="K3" s="246">
        <f t="shared" si="0"/>
        <v>490758267.07999998</v>
      </c>
      <c r="L3" s="246">
        <f t="shared" si="0"/>
        <v>541194154.40999997</v>
      </c>
      <c r="M3" s="246">
        <f t="shared" si="0"/>
        <v>590948099.47000003</v>
      </c>
      <c r="N3" s="246">
        <f t="shared" si="0"/>
        <v>639268817.28999996</v>
      </c>
      <c r="O3" s="250">
        <f t="shared" si="0"/>
        <v>639350336</v>
      </c>
      <c r="P3" s="250">
        <f t="shared" si="0"/>
        <v>46314041.739999995</v>
      </c>
      <c r="Q3" s="250">
        <f t="shared" si="0"/>
        <v>93023514.450000003</v>
      </c>
      <c r="R3" s="250">
        <f t="shared" si="0"/>
        <v>145417099.19</v>
      </c>
      <c r="S3" s="250">
        <f t="shared" si="0"/>
        <v>192475522.34999996</v>
      </c>
      <c r="T3" s="250">
        <f t="shared" si="0"/>
        <v>239819177.19000003</v>
      </c>
      <c r="U3" s="250">
        <f t="shared" si="0"/>
        <v>384084708.75999999</v>
      </c>
      <c r="V3" s="250">
        <f t="shared" si="0"/>
        <v>433142541.73000002</v>
      </c>
      <c r="W3" s="250">
        <f t="shared" si="0"/>
        <v>483956738.35000002</v>
      </c>
      <c r="X3" s="250">
        <f t="shared" si="0"/>
        <v>534924666.92000002</v>
      </c>
      <c r="Y3" s="250">
        <f t="shared" si="0"/>
        <v>587803744.00999999</v>
      </c>
      <c r="Z3" s="250">
        <f t="shared" si="0"/>
        <v>642679470.98000002</v>
      </c>
      <c r="AA3" s="250">
        <f t="shared" si="0"/>
        <v>696523029.78999996</v>
      </c>
      <c r="AB3" s="250">
        <f t="shared" si="0"/>
        <v>696523030</v>
      </c>
      <c r="AC3" s="250">
        <f t="shared" si="0"/>
        <v>55222803.819999993</v>
      </c>
      <c r="AD3" s="250">
        <f t="shared" si="0"/>
        <v>103873160.17000002</v>
      </c>
      <c r="AE3" s="250">
        <f t="shared" si="0"/>
        <v>158783861.01000002</v>
      </c>
      <c r="AF3" s="250">
        <f t="shared" si="0"/>
        <v>214139935.56999999</v>
      </c>
      <c r="AG3" s="250">
        <f t="shared" si="0"/>
        <v>266500097.99000001</v>
      </c>
      <c r="AH3" s="250">
        <f t="shared" ref="AH3" si="1">AH4+AH7</f>
        <v>449648738.86999995</v>
      </c>
    </row>
    <row r="4" spans="1:34" s="127" customFormat="1" ht="15">
      <c r="A4" s="121" t="s">
        <v>232</v>
      </c>
      <c r="B4" s="246">
        <f>SUM(B5:B6)</f>
        <v>456351764</v>
      </c>
      <c r="C4" s="246">
        <f t="shared" ref="C4:M4" si="2">SUM(C5:C6)</f>
        <v>38028979.009999998</v>
      </c>
      <c r="D4" s="246">
        <f t="shared" si="2"/>
        <v>76886253.939999998</v>
      </c>
      <c r="E4" s="246">
        <f t="shared" si="2"/>
        <v>115187460.69</v>
      </c>
      <c r="F4" s="246">
        <f t="shared" si="2"/>
        <v>157846859.25</v>
      </c>
      <c r="G4" s="246">
        <f t="shared" si="2"/>
        <v>197668306.44</v>
      </c>
      <c r="H4" s="246">
        <f t="shared" si="2"/>
        <v>240480066.98999998</v>
      </c>
      <c r="I4" s="246">
        <f t="shared" si="2"/>
        <v>286623185.5</v>
      </c>
      <c r="J4" s="246">
        <f t="shared" si="2"/>
        <v>329142051.36000001</v>
      </c>
      <c r="K4" s="246">
        <f t="shared" si="2"/>
        <v>373548165.38999999</v>
      </c>
      <c r="L4" s="246">
        <f t="shared" si="2"/>
        <v>422206517.44999999</v>
      </c>
      <c r="M4" s="246">
        <f t="shared" si="2"/>
        <v>470336829.05000001</v>
      </c>
      <c r="N4" s="246">
        <f>SUM(N5:N6)</f>
        <v>517005977.52999997</v>
      </c>
      <c r="O4" s="250">
        <f>SUM(O5:O6)</f>
        <v>456351764</v>
      </c>
      <c r="P4" s="250">
        <f t="shared" ref="P4:AG4" si="3">SUM(P5:P6)</f>
        <v>44076969.829999998</v>
      </c>
      <c r="Q4" s="250">
        <f t="shared" si="3"/>
        <v>89197147.409999996</v>
      </c>
      <c r="R4" s="250">
        <f t="shared" si="3"/>
        <v>139660775.59</v>
      </c>
      <c r="S4" s="250">
        <f t="shared" si="3"/>
        <v>185288773.39999998</v>
      </c>
      <c r="T4" s="250">
        <f t="shared" si="3"/>
        <v>229850941.13000003</v>
      </c>
      <c r="U4" s="250">
        <f t="shared" si="3"/>
        <v>275605127.06</v>
      </c>
      <c r="V4" s="250">
        <f t="shared" si="3"/>
        <v>323185976.20999998</v>
      </c>
      <c r="W4" s="250">
        <f t="shared" si="3"/>
        <v>371788504.63</v>
      </c>
      <c r="X4" s="250">
        <f t="shared" si="3"/>
        <v>421271068.77000004</v>
      </c>
      <c r="Y4" s="250">
        <f t="shared" si="3"/>
        <v>472379529.11000001</v>
      </c>
      <c r="Z4" s="250">
        <f t="shared" si="3"/>
        <v>525374074.78000003</v>
      </c>
      <c r="AA4" s="250">
        <f t="shared" si="3"/>
        <v>577915947.67999995</v>
      </c>
      <c r="AB4" s="250">
        <f t="shared" si="3"/>
        <v>569389062</v>
      </c>
      <c r="AC4" s="250">
        <f t="shared" si="3"/>
        <v>53360201.089999996</v>
      </c>
      <c r="AD4" s="250">
        <f t="shared" si="3"/>
        <v>100789901.49000001</v>
      </c>
      <c r="AE4" s="250">
        <f t="shared" si="3"/>
        <v>152664599.49000001</v>
      </c>
      <c r="AF4" s="250">
        <f t="shared" si="3"/>
        <v>204104337.59</v>
      </c>
      <c r="AG4" s="250">
        <f t="shared" si="3"/>
        <v>255188884.13</v>
      </c>
      <c r="AH4" s="250">
        <f t="shared" ref="AH4" si="4">SUM(AH5:AH6)</f>
        <v>307175315.79999995</v>
      </c>
    </row>
    <row r="5" spans="1:34" ht="15">
      <c r="A5" s="122" t="s">
        <v>233</v>
      </c>
      <c r="B5" s="261">
        <v>456351764</v>
      </c>
      <c r="C5" s="227">
        <v>34390464.210000001</v>
      </c>
      <c r="D5" s="227">
        <v>69701533.439999998</v>
      </c>
      <c r="E5" s="227">
        <v>103630790.69</v>
      </c>
      <c r="F5" s="227">
        <v>139815003.75</v>
      </c>
      <c r="G5" s="227">
        <v>174885036.94</v>
      </c>
      <c r="H5" s="227">
        <v>212221457.28999999</v>
      </c>
      <c r="I5" s="227">
        <v>252869799.80000001</v>
      </c>
      <c r="J5" s="227">
        <v>290633635.75999999</v>
      </c>
      <c r="K5" s="227">
        <v>329881881.19</v>
      </c>
      <c r="L5" s="227">
        <v>372923587.94999999</v>
      </c>
      <c r="M5" s="227">
        <v>415201609.44999999</v>
      </c>
      <c r="N5" s="227">
        <v>456351763.82999998</v>
      </c>
      <c r="O5" s="249">
        <v>456351764</v>
      </c>
      <c r="P5" s="124">
        <v>39601825.93</v>
      </c>
      <c r="Q5" s="124">
        <v>80376449.310000002</v>
      </c>
      <c r="R5" s="124">
        <v>124323003.98999999</v>
      </c>
      <c r="S5" s="124">
        <v>164568027.69999999</v>
      </c>
      <c r="T5" s="124">
        <v>202395648.33000001</v>
      </c>
      <c r="U5" s="124">
        <v>242589226.46000001</v>
      </c>
      <c r="V5" s="124">
        <v>284728185.50999999</v>
      </c>
      <c r="W5" s="124">
        <v>327102063.13</v>
      </c>
      <c r="X5" s="239">
        <v>370065576.67000002</v>
      </c>
      <c r="Y5" s="239">
        <v>414967442.91000003</v>
      </c>
      <c r="Z5" s="239">
        <v>460799060.18000001</v>
      </c>
      <c r="AA5" s="239">
        <v>506114103.88</v>
      </c>
      <c r="AB5" s="239">
        <v>506114104</v>
      </c>
      <c r="AC5" s="349">
        <v>45932037.689999998</v>
      </c>
      <c r="AD5" s="351">
        <v>88281180.790000007</v>
      </c>
      <c r="AE5" s="351">
        <v>133966390.98999999</v>
      </c>
      <c r="AF5" s="351">
        <v>180328795.49000001</v>
      </c>
      <c r="AG5" s="349">
        <v>226088330.63</v>
      </c>
      <c r="AH5" s="394">
        <v>270270317.39999998</v>
      </c>
    </row>
    <row r="6" spans="1:34" ht="15">
      <c r="A6" s="122" t="s">
        <v>234</v>
      </c>
      <c r="B6" s="261"/>
      <c r="C6" s="227">
        <v>3638514.8</v>
      </c>
      <c r="D6" s="227">
        <v>7184720.5</v>
      </c>
      <c r="E6" s="227">
        <v>11556670</v>
      </c>
      <c r="F6" s="227">
        <v>18031855.5</v>
      </c>
      <c r="G6" s="227">
        <v>22783269.5</v>
      </c>
      <c r="H6" s="227">
        <v>28258609.699999999</v>
      </c>
      <c r="I6" s="227">
        <v>33753385.700000003</v>
      </c>
      <c r="J6" s="227">
        <v>38508415.600000001</v>
      </c>
      <c r="K6" s="227">
        <v>43666284.200000003</v>
      </c>
      <c r="L6" s="227">
        <v>49282929.5</v>
      </c>
      <c r="M6" s="227">
        <v>55135219.600000001</v>
      </c>
      <c r="N6" s="227">
        <v>60654213.700000003</v>
      </c>
      <c r="O6" s="253"/>
      <c r="P6" s="124">
        <v>4475143.9000000004</v>
      </c>
      <c r="Q6" s="124">
        <v>8820698.0999999996</v>
      </c>
      <c r="R6" s="124">
        <v>15337771.6</v>
      </c>
      <c r="S6" s="124">
        <v>20720745.699999999</v>
      </c>
      <c r="T6" s="124">
        <v>27455292.800000001</v>
      </c>
      <c r="U6" s="124">
        <v>33015900.600000001</v>
      </c>
      <c r="V6" s="124">
        <v>38457790.700000003</v>
      </c>
      <c r="W6" s="124">
        <v>44686441.5</v>
      </c>
      <c r="X6" s="239">
        <v>51205492.100000001</v>
      </c>
      <c r="Y6" s="239">
        <v>57412086.200000003</v>
      </c>
      <c r="Z6" s="239">
        <v>64575014.600000001</v>
      </c>
      <c r="AA6" s="239">
        <v>71801843.799999997</v>
      </c>
      <c r="AB6" s="239">
        <v>63274958</v>
      </c>
      <c r="AC6" s="353">
        <v>7428163.4000000004</v>
      </c>
      <c r="AD6" s="355">
        <v>12508720.699999999</v>
      </c>
      <c r="AE6" s="355">
        <v>18698208.5</v>
      </c>
      <c r="AF6" s="355">
        <v>23775542.100000001</v>
      </c>
      <c r="AG6" s="353">
        <v>29100553.5</v>
      </c>
      <c r="AH6" s="396">
        <v>36904998.399999999</v>
      </c>
    </row>
    <row r="7" spans="1:34" s="127" customFormat="1" ht="15">
      <c r="A7" s="121" t="s">
        <v>235</v>
      </c>
      <c r="B7" s="246">
        <f t="shared" ref="B7:AH7" si="5">SUM(B8:B11)</f>
        <v>182998572</v>
      </c>
      <c r="C7" s="246">
        <f t="shared" si="5"/>
        <v>1607583.8</v>
      </c>
      <c r="D7" s="246">
        <f t="shared" si="5"/>
        <v>3836460.7199999997</v>
      </c>
      <c r="E7" s="246">
        <f t="shared" si="5"/>
        <v>5440085.9900000002</v>
      </c>
      <c r="F7" s="246">
        <f t="shared" si="5"/>
        <v>107942646.42999999</v>
      </c>
      <c r="G7" s="246">
        <f t="shared" si="5"/>
        <v>109884377.05</v>
      </c>
      <c r="H7" s="246">
        <f t="shared" si="5"/>
        <v>111511072.67</v>
      </c>
      <c r="I7" s="246">
        <f t="shared" si="5"/>
        <v>113304785.89</v>
      </c>
      <c r="J7" s="246">
        <f t="shared" si="5"/>
        <v>115229199.92999999</v>
      </c>
      <c r="K7" s="246">
        <f t="shared" si="5"/>
        <v>117210101.69000001</v>
      </c>
      <c r="L7" s="246">
        <f t="shared" si="5"/>
        <v>118987636.95999999</v>
      </c>
      <c r="M7" s="246">
        <f t="shared" si="5"/>
        <v>120611270.42</v>
      </c>
      <c r="N7" s="246">
        <f t="shared" si="5"/>
        <v>122262839.76000001</v>
      </c>
      <c r="O7" s="250">
        <f t="shared" si="5"/>
        <v>182998572</v>
      </c>
      <c r="P7" s="250">
        <f t="shared" si="5"/>
        <v>2237071.91</v>
      </c>
      <c r="Q7" s="250">
        <f t="shared" si="5"/>
        <v>3826367.04</v>
      </c>
      <c r="R7" s="250">
        <f t="shared" si="5"/>
        <v>5756323.5999999996</v>
      </c>
      <c r="S7" s="250">
        <f t="shared" si="5"/>
        <v>7186748.9500000002</v>
      </c>
      <c r="T7" s="250">
        <f t="shared" si="5"/>
        <v>9968236.0600000005</v>
      </c>
      <c r="U7" s="250">
        <f t="shared" si="5"/>
        <v>108479581.69999999</v>
      </c>
      <c r="V7" s="250">
        <f t="shared" si="5"/>
        <v>109956565.52000001</v>
      </c>
      <c r="W7" s="250">
        <f t="shared" si="5"/>
        <v>112168233.72</v>
      </c>
      <c r="X7" s="250">
        <f t="shared" si="5"/>
        <v>113653598.14999999</v>
      </c>
      <c r="Y7" s="250">
        <f t="shared" si="5"/>
        <v>115424214.90000001</v>
      </c>
      <c r="Z7" s="250">
        <f t="shared" si="5"/>
        <v>117305396.19999999</v>
      </c>
      <c r="AA7" s="250">
        <f t="shared" si="5"/>
        <v>118607082.11</v>
      </c>
      <c r="AB7" s="250">
        <f t="shared" si="5"/>
        <v>127133968</v>
      </c>
      <c r="AC7" s="250">
        <f t="shared" si="5"/>
        <v>1862602.73</v>
      </c>
      <c r="AD7" s="250">
        <f t="shared" si="5"/>
        <v>3083258.68</v>
      </c>
      <c r="AE7" s="250">
        <f t="shared" si="5"/>
        <v>6119261.5199999996</v>
      </c>
      <c r="AF7" s="250">
        <f t="shared" si="5"/>
        <v>10035597.98</v>
      </c>
      <c r="AG7" s="250">
        <f t="shared" si="5"/>
        <v>11311213.859999999</v>
      </c>
      <c r="AH7" s="250">
        <f t="shared" si="5"/>
        <v>142473423.06999999</v>
      </c>
    </row>
    <row r="8" spans="1:34" ht="15">
      <c r="A8" s="122" t="s">
        <v>236</v>
      </c>
      <c r="B8" s="261"/>
      <c r="C8" s="227">
        <v>0</v>
      </c>
      <c r="D8" s="227">
        <v>0</v>
      </c>
      <c r="E8" s="227">
        <v>0</v>
      </c>
      <c r="F8" s="227">
        <v>0</v>
      </c>
      <c r="G8" s="227">
        <v>0</v>
      </c>
      <c r="H8" s="227">
        <v>0</v>
      </c>
      <c r="I8" s="227">
        <v>0</v>
      </c>
      <c r="J8" s="227">
        <v>0</v>
      </c>
      <c r="K8" s="227">
        <v>0</v>
      </c>
      <c r="L8" s="227">
        <v>0</v>
      </c>
      <c r="M8" s="227">
        <v>0</v>
      </c>
      <c r="N8" s="227">
        <v>0</v>
      </c>
      <c r="O8" s="150">
        <v>0</v>
      </c>
      <c r="P8" s="124">
        <v>0</v>
      </c>
      <c r="Q8" s="124">
        <v>0</v>
      </c>
      <c r="R8" s="124">
        <v>0</v>
      </c>
      <c r="S8" s="124">
        <v>0</v>
      </c>
      <c r="T8" s="124">
        <v>0</v>
      </c>
      <c r="U8" s="124">
        <v>0</v>
      </c>
      <c r="V8" s="124">
        <v>0</v>
      </c>
      <c r="W8" s="124">
        <v>0</v>
      </c>
      <c r="X8" s="239">
        <v>0</v>
      </c>
      <c r="Y8" s="239">
        <v>0</v>
      </c>
      <c r="Z8" s="239">
        <v>0</v>
      </c>
      <c r="AA8" s="239">
        <v>0</v>
      </c>
      <c r="AB8" s="239">
        <v>0</v>
      </c>
      <c r="AC8" s="348">
        <v>0</v>
      </c>
      <c r="AD8" s="350">
        <v>0</v>
      </c>
      <c r="AE8" s="350">
        <v>0</v>
      </c>
      <c r="AF8" s="350">
        <v>0</v>
      </c>
      <c r="AG8" s="348">
        <v>0</v>
      </c>
      <c r="AH8" s="393">
        <v>0</v>
      </c>
    </row>
    <row r="9" spans="1:34" ht="15">
      <c r="A9" s="122" t="s">
        <v>237</v>
      </c>
      <c r="B9" s="261"/>
      <c r="C9" s="227">
        <v>0</v>
      </c>
      <c r="D9" s="227">
        <v>0</v>
      </c>
      <c r="E9" s="227">
        <v>0</v>
      </c>
      <c r="F9" s="227">
        <v>0</v>
      </c>
      <c r="G9" s="227">
        <v>0</v>
      </c>
      <c r="H9" s="227">
        <v>0</v>
      </c>
      <c r="I9" s="227">
        <v>0</v>
      </c>
      <c r="J9" s="227">
        <v>0</v>
      </c>
      <c r="K9" s="227">
        <v>0</v>
      </c>
      <c r="L9" s="227">
        <v>0</v>
      </c>
      <c r="M9" s="227">
        <v>0</v>
      </c>
      <c r="N9" s="227">
        <v>0</v>
      </c>
      <c r="O9" s="150">
        <v>0</v>
      </c>
      <c r="P9" s="124">
        <v>0</v>
      </c>
      <c r="Q9" s="124">
        <v>0</v>
      </c>
      <c r="R9" s="124">
        <v>0</v>
      </c>
      <c r="S9" s="124">
        <v>0</v>
      </c>
      <c r="T9" s="124">
        <v>0</v>
      </c>
      <c r="U9" s="124">
        <v>0</v>
      </c>
      <c r="V9" s="124">
        <v>0</v>
      </c>
      <c r="W9" s="124">
        <v>0</v>
      </c>
      <c r="X9" s="239">
        <v>0</v>
      </c>
      <c r="Y9" s="239">
        <v>0</v>
      </c>
      <c r="Z9" s="239">
        <v>0</v>
      </c>
      <c r="AA9" s="239">
        <v>0</v>
      </c>
      <c r="AB9" s="239">
        <v>0</v>
      </c>
      <c r="AC9" s="352">
        <v>0</v>
      </c>
      <c r="AD9" s="354">
        <v>0</v>
      </c>
      <c r="AE9" s="354">
        <v>0</v>
      </c>
      <c r="AF9" s="354">
        <v>0</v>
      </c>
      <c r="AG9" s="352">
        <v>0</v>
      </c>
      <c r="AH9" s="395">
        <v>0</v>
      </c>
    </row>
    <row r="10" spans="1:34" ht="29.25">
      <c r="A10" s="122" t="s">
        <v>238</v>
      </c>
      <c r="B10" s="261"/>
      <c r="C10" s="227">
        <v>727207.54</v>
      </c>
      <c r="D10" s="227">
        <v>2119185.42</v>
      </c>
      <c r="E10" s="227">
        <v>2871931.79</v>
      </c>
      <c r="F10" s="227">
        <v>104004919.20999999</v>
      </c>
      <c r="G10" s="227">
        <v>104930626.13</v>
      </c>
      <c r="H10" s="227">
        <v>105597736.26000001</v>
      </c>
      <c r="I10" s="227">
        <v>106393553.22</v>
      </c>
      <c r="J10" s="227">
        <v>107386985.83</v>
      </c>
      <c r="K10" s="227">
        <v>108294454.54000001</v>
      </c>
      <c r="L10" s="227">
        <v>109180220.38</v>
      </c>
      <c r="M10" s="227">
        <v>109855555.68000001</v>
      </c>
      <c r="N10" s="227">
        <v>110471909.36</v>
      </c>
      <c r="O10" s="254"/>
      <c r="P10" s="124">
        <v>1179881.1499999999</v>
      </c>
      <c r="Q10" s="124">
        <v>1771999.73</v>
      </c>
      <c r="R10" s="124">
        <v>2497504.27</v>
      </c>
      <c r="S10" s="124">
        <v>2881541.76</v>
      </c>
      <c r="T10" s="124">
        <v>3171543.85</v>
      </c>
      <c r="U10" s="124">
        <v>100674891.38</v>
      </c>
      <c r="V10" s="124">
        <v>101161116.7</v>
      </c>
      <c r="W10" s="124">
        <v>101909647.25</v>
      </c>
      <c r="X10" s="239">
        <v>102430133.88</v>
      </c>
      <c r="Y10" s="239">
        <v>103193318.25</v>
      </c>
      <c r="Z10" s="239">
        <v>103772879.31999999</v>
      </c>
      <c r="AA10" s="239">
        <v>104026223.78</v>
      </c>
      <c r="AB10" s="239">
        <v>104026224</v>
      </c>
      <c r="AC10" s="353">
        <v>781227.66</v>
      </c>
      <c r="AD10" s="355">
        <v>916871.77</v>
      </c>
      <c r="AE10" s="355">
        <v>916871.77</v>
      </c>
      <c r="AF10" s="355">
        <v>3708872.56</v>
      </c>
      <c r="AG10" s="353">
        <v>3839856.31</v>
      </c>
      <c r="AH10" s="396">
        <v>132980521.39</v>
      </c>
    </row>
    <row r="11" spans="1:34" ht="29.25">
      <c r="A11" s="122" t="s">
        <v>239</v>
      </c>
      <c r="B11" s="261">
        <v>182998572</v>
      </c>
      <c r="C11" s="228">
        <v>880376.26</v>
      </c>
      <c r="D11" s="228">
        <v>1717275.3</v>
      </c>
      <c r="E11" s="228">
        <v>2568154.2000000002</v>
      </c>
      <c r="F11" s="228">
        <v>3937727.22</v>
      </c>
      <c r="G11" s="228">
        <v>4953750.92</v>
      </c>
      <c r="H11" s="228">
        <v>5913336.4100000001</v>
      </c>
      <c r="I11" s="228">
        <v>6911232.6699999999</v>
      </c>
      <c r="J11" s="228">
        <v>7842214.0999999996</v>
      </c>
      <c r="K11" s="228">
        <v>8915647.1500000004</v>
      </c>
      <c r="L11" s="228">
        <v>9807416.5800000001</v>
      </c>
      <c r="M11" s="228">
        <v>10755714.74</v>
      </c>
      <c r="N11" s="228">
        <v>11790930.4</v>
      </c>
      <c r="O11" s="254">
        <v>182998572</v>
      </c>
      <c r="P11" s="124">
        <v>1057190.76</v>
      </c>
      <c r="Q11" s="124">
        <v>2054367.31</v>
      </c>
      <c r="R11" s="124">
        <v>3258819.33</v>
      </c>
      <c r="S11" s="124">
        <v>4305207.1900000004</v>
      </c>
      <c r="T11" s="124">
        <v>6796692.21</v>
      </c>
      <c r="U11" s="124">
        <v>7804690.3200000003</v>
      </c>
      <c r="V11" s="124">
        <v>8795448.8200000003</v>
      </c>
      <c r="W11" s="124">
        <v>10258586.470000001</v>
      </c>
      <c r="X11" s="239">
        <v>11223464.27</v>
      </c>
      <c r="Y11" s="239">
        <v>12230896.65</v>
      </c>
      <c r="Z11" s="239">
        <v>13532516.880000001</v>
      </c>
      <c r="AA11" s="239">
        <v>14580858.33</v>
      </c>
      <c r="AB11" s="239">
        <v>23107744</v>
      </c>
      <c r="AC11" s="394">
        <v>1081375.07</v>
      </c>
      <c r="AD11" s="397">
        <v>2166386.91</v>
      </c>
      <c r="AE11" s="397">
        <v>5202389.75</v>
      </c>
      <c r="AF11" s="397">
        <v>6326725.4199999999</v>
      </c>
      <c r="AG11" s="397">
        <v>7471357.5499999998</v>
      </c>
      <c r="AH11" s="396">
        <v>9492901.6799999997</v>
      </c>
    </row>
    <row r="12" spans="1:34" s="127" customFormat="1" ht="15">
      <c r="A12" s="121" t="s">
        <v>240</v>
      </c>
      <c r="B12" s="246">
        <f t="shared" ref="B12:AH12" si="6">B13+B14+B15+B16+B17+B18</f>
        <v>221092820</v>
      </c>
      <c r="C12" s="246">
        <f t="shared" si="6"/>
        <v>9083871.5500000007</v>
      </c>
      <c r="D12" s="246">
        <f t="shared" si="6"/>
        <v>15585796.5</v>
      </c>
      <c r="E12" s="246">
        <f t="shared" si="6"/>
        <v>23237968</v>
      </c>
      <c r="F12" s="246">
        <f t="shared" si="6"/>
        <v>86207710.359999999</v>
      </c>
      <c r="G12" s="246">
        <f t="shared" si="6"/>
        <v>104445356.23</v>
      </c>
      <c r="H12" s="246">
        <f t="shared" si="6"/>
        <v>118110347.78</v>
      </c>
      <c r="I12" s="246">
        <f t="shared" si="6"/>
        <v>132196395.02</v>
      </c>
      <c r="J12" s="246">
        <f t="shared" si="6"/>
        <v>145144867.63</v>
      </c>
      <c r="K12" s="246">
        <f t="shared" si="6"/>
        <v>159115390.63</v>
      </c>
      <c r="L12" s="246">
        <f t="shared" si="6"/>
        <v>172184251.18000001</v>
      </c>
      <c r="M12" s="246">
        <f t="shared" si="6"/>
        <v>184701146.70000002</v>
      </c>
      <c r="N12" s="246">
        <f t="shared" si="6"/>
        <v>221092819.76999998</v>
      </c>
      <c r="O12" s="250">
        <f t="shared" si="6"/>
        <v>221092820</v>
      </c>
      <c r="P12" s="250">
        <f t="shared" si="6"/>
        <v>14068947.140000001</v>
      </c>
      <c r="Q12" s="250">
        <f t="shared" si="6"/>
        <v>25905922.289999999</v>
      </c>
      <c r="R12" s="250">
        <f t="shared" si="6"/>
        <v>33569587.43</v>
      </c>
      <c r="S12" s="250">
        <f t="shared" si="6"/>
        <v>45347252.859999999</v>
      </c>
      <c r="T12" s="250">
        <f t="shared" si="6"/>
        <v>58096259.459999993</v>
      </c>
      <c r="U12" s="250">
        <f t="shared" si="6"/>
        <v>119628030.73</v>
      </c>
      <c r="V12" s="250">
        <f t="shared" si="6"/>
        <v>136588392.37</v>
      </c>
      <c r="W12" s="250">
        <f t="shared" si="6"/>
        <v>152073130.28</v>
      </c>
      <c r="X12" s="250">
        <f t="shared" si="6"/>
        <v>167439808.40000001</v>
      </c>
      <c r="Y12" s="250">
        <f t="shared" si="6"/>
        <v>182208693.90000001</v>
      </c>
      <c r="Z12" s="250">
        <f t="shared" si="6"/>
        <v>197012771.78999999</v>
      </c>
      <c r="AA12" s="250">
        <f t="shared" si="6"/>
        <v>212234571.38</v>
      </c>
      <c r="AB12" s="250">
        <f t="shared" si="6"/>
        <v>212234571</v>
      </c>
      <c r="AC12" s="250">
        <f t="shared" si="6"/>
        <v>14026628.65</v>
      </c>
      <c r="AD12" s="250">
        <f t="shared" si="6"/>
        <v>25590535.010000002</v>
      </c>
      <c r="AE12" s="250">
        <f t="shared" si="6"/>
        <v>38053202.07</v>
      </c>
      <c r="AF12" s="250">
        <f t="shared" si="6"/>
        <v>51465830.539999999</v>
      </c>
      <c r="AG12" s="250">
        <f t="shared" si="6"/>
        <v>70050221.270000011</v>
      </c>
      <c r="AH12" s="250">
        <f t="shared" si="6"/>
        <v>141611580.78</v>
      </c>
    </row>
    <row r="13" spans="1:34" ht="15">
      <c r="A13" s="122" t="s">
        <v>241</v>
      </c>
      <c r="B13" s="261">
        <v>221092820</v>
      </c>
      <c r="C13" s="227">
        <v>4002490.26</v>
      </c>
      <c r="D13" s="227">
        <v>5540876.3899999997</v>
      </c>
      <c r="E13" s="227">
        <v>8808070.7100000009</v>
      </c>
      <c r="F13" s="227">
        <v>67042835.869999997</v>
      </c>
      <c r="G13" s="227">
        <v>80816326.469999999</v>
      </c>
      <c r="H13" s="227">
        <v>89961915.299999997</v>
      </c>
      <c r="I13" s="227">
        <v>99781339.739999995</v>
      </c>
      <c r="J13" s="227">
        <v>108473328.31999999</v>
      </c>
      <c r="K13" s="227">
        <v>118305209.76000001</v>
      </c>
      <c r="L13" s="227">
        <v>127482974.41</v>
      </c>
      <c r="M13" s="227">
        <v>136096913.30000001</v>
      </c>
      <c r="N13" s="227">
        <v>168825572.66999999</v>
      </c>
      <c r="O13" s="254">
        <f>149000000+19825573</f>
        <v>168825573</v>
      </c>
      <c r="P13" s="124">
        <v>10401675.439999999</v>
      </c>
      <c r="Q13" s="124">
        <v>18688920.98</v>
      </c>
      <c r="R13" s="124">
        <v>23252462.600000001</v>
      </c>
      <c r="S13" s="124">
        <v>31715257.73</v>
      </c>
      <c r="T13" s="124">
        <v>41370517.259999998</v>
      </c>
      <c r="U13" s="124">
        <v>99820851.430000007</v>
      </c>
      <c r="V13" s="124">
        <v>113913672.25</v>
      </c>
      <c r="W13" s="124">
        <v>126556035.72</v>
      </c>
      <c r="X13" s="239">
        <v>139198181.87</v>
      </c>
      <c r="Y13" s="239">
        <v>151444464.62</v>
      </c>
      <c r="Z13" s="239">
        <v>163755787.59</v>
      </c>
      <c r="AA13" s="239">
        <v>176679810.06999999</v>
      </c>
      <c r="AB13" s="239">
        <f>153200004+23479806</f>
        <v>176679810</v>
      </c>
      <c r="AC13" s="349">
        <v>8161166.54</v>
      </c>
      <c r="AD13" s="351">
        <v>17587013.530000001</v>
      </c>
      <c r="AE13" s="351">
        <v>26584123.530000001</v>
      </c>
      <c r="AF13" s="351">
        <v>34948667.329999998</v>
      </c>
      <c r="AG13" s="349">
        <v>45681206.100000001</v>
      </c>
      <c r="AH13" s="394">
        <v>112121036.09999999</v>
      </c>
    </row>
    <row r="14" spans="1:34" ht="15">
      <c r="A14" s="122" t="s">
        <v>242</v>
      </c>
      <c r="B14" s="261"/>
      <c r="C14" s="227">
        <v>5081381.29</v>
      </c>
      <c r="D14" s="227">
        <v>10044920.109999999</v>
      </c>
      <c r="E14" s="227">
        <v>14429897.289999999</v>
      </c>
      <c r="F14" s="227">
        <v>19164874.489999998</v>
      </c>
      <c r="G14" s="227">
        <v>23629029.760000002</v>
      </c>
      <c r="H14" s="227">
        <v>28148432.48</v>
      </c>
      <c r="I14" s="227">
        <v>32415055.280000001</v>
      </c>
      <c r="J14" s="227">
        <v>36671539.310000002</v>
      </c>
      <c r="K14" s="227">
        <v>40810180.869999997</v>
      </c>
      <c r="L14" s="227">
        <v>44701276.770000003</v>
      </c>
      <c r="M14" s="227">
        <v>48604233.399999999</v>
      </c>
      <c r="N14" s="227">
        <v>52267247.100000001</v>
      </c>
      <c r="O14" s="254">
        <v>52267247</v>
      </c>
      <c r="P14" s="124">
        <v>3667271.7</v>
      </c>
      <c r="Q14" s="124">
        <v>7217001.3099999996</v>
      </c>
      <c r="R14" s="124">
        <v>10317124.83</v>
      </c>
      <c r="S14" s="124">
        <v>13631995.130000001</v>
      </c>
      <c r="T14" s="124">
        <v>16725742.199999999</v>
      </c>
      <c r="U14" s="124">
        <v>19807179.300000001</v>
      </c>
      <c r="V14" s="124">
        <v>22674720.120000001</v>
      </c>
      <c r="W14" s="124">
        <v>25517094.559999999</v>
      </c>
      <c r="X14" s="239">
        <v>28241626.530000001</v>
      </c>
      <c r="Y14" s="239">
        <v>30764229.280000001</v>
      </c>
      <c r="Z14" s="239">
        <v>33256984.199999999</v>
      </c>
      <c r="AA14" s="239">
        <v>35554761.310000002</v>
      </c>
      <c r="AB14" s="239">
        <v>35554761</v>
      </c>
      <c r="AC14" s="353">
        <v>5865462.1100000003</v>
      </c>
      <c r="AD14" s="355">
        <v>8003521.4800000004</v>
      </c>
      <c r="AE14" s="355">
        <v>11469078.539999999</v>
      </c>
      <c r="AF14" s="355">
        <v>16517163.210000001</v>
      </c>
      <c r="AG14" s="353">
        <v>24369015.170000002</v>
      </c>
      <c r="AH14" s="396">
        <v>29490544.68</v>
      </c>
    </row>
    <row r="15" spans="1:34" ht="15">
      <c r="A15" s="122" t="s">
        <v>243</v>
      </c>
      <c r="B15" s="261"/>
      <c r="C15" s="227">
        <v>0</v>
      </c>
      <c r="D15" s="227">
        <v>0</v>
      </c>
      <c r="E15" s="227">
        <v>0</v>
      </c>
      <c r="F15" s="227">
        <v>0</v>
      </c>
      <c r="G15" s="227">
        <v>0</v>
      </c>
      <c r="H15" s="227">
        <v>0</v>
      </c>
      <c r="I15" s="227">
        <v>0</v>
      </c>
      <c r="J15" s="227">
        <v>0</v>
      </c>
      <c r="K15" s="227">
        <v>0</v>
      </c>
      <c r="L15" s="227">
        <v>0</v>
      </c>
      <c r="M15" s="227">
        <v>0</v>
      </c>
      <c r="N15" s="227">
        <v>0</v>
      </c>
      <c r="O15" s="251"/>
      <c r="P15" s="124">
        <v>0</v>
      </c>
      <c r="Q15" s="248">
        <v>0</v>
      </c>
      <c r="R15" s="124">
        <v>0</v>
      </c>
      <c r="S15" s="124">
        <v>0</v>
      </c>
      <c r="T15" s="124">
        <v>0</v>
      </c>
      <c r="U15" s="124">
        <v>0</v>
      </c>
      <c r="V15" s="124">
        <v>0</v>
      </c>
      <c r="W15" s="124">
        <v>0</v>
      </c>
      <c r="X15" s="239">
        <v>0</v>
      </c>
      <c r="Y15" s="239">
        <v>0</v>
      </c>
      <c r="Z15" s="239">
        <v>0</v>
      </c>
      <c r="AA15" s="239">
        <v>0</v>
      </c>
      <c r="AB15" s="239">
        <v>0</v>
      </c>
      <c r="AC15" s="352">
        <v>0</v>
      </c>
      <c r="AD15" s="354">
        <v>0</v>
      </c>
      <c r="AE15" s="354">
        <v>0</v>
      </c>
      <c r="AF15" s="354">
        <v>0</v>
      </c>
      <c r="AG15" s="352">
        <v>0</v>
      </c>
      <c r="AH15" s="395">
        <v>0</v>
      </c>
    </row>
    <row r="16" spans="1:34" ht="15">
      <c r="A16" s="122" t="s">
        <v>244</v>
      </c>
      <c r="B16" s="261"/>
      <c r="C16" s="227">
        <v>0</v>
      </c>
      <c r="D16" s="227">
        <v>0</v>
      </c>
      <c r="E16" s="227">
        <v>0</v>
      </c>
      <c r="F16" s="227">
        <v>0</v>
      </c>
      <c r="G16" s="227">
        <v>0</v>
      </c>
      <c r="H16" s="227">
        <v>0</v>
      </c>
      <c r="I16" s="227">
        <v>0</v>
      </c>
      <c r="J16" s="227">
        <v>0</v>
      </c>
      <c r="K16" s="227">
        <v>0</v>
      </c>
      <c r="L16" s="227">
        <v>0</v>
      </c>
      <c r="M16" s="227">
        <v>0</v>
      </c>
      <c r="N16" s="227">
        <v>0</v>
      </c>
      <c r="O16" s="253"/>
      <c r="P16" s="124">
        <v>0</v>
      </c>
      <c r="Q16" s="124">
        <v>0</v>
      </c>
      <c r="R16" s="124">
        <v>0</v>
      </c>
      <c r="S16" s="124">
        <v>0</v>
      </c>
      <c r="T16" s="124">
        <v>0</v>
      </c>
      <c r="U16" s="124">
        <v>0</v>
      </c>
      <c r="V16" s="124">
        <v>0</v>
      </c>
      <c r="W16" s="124">
        <v>0</v>
      </c>
      <c r="X16" s="239">
        <v>0</v>
      </c>
      <c r="Y16" s="239">
        <v>0</v>
      </c>
      <c r="Z16" s="239">
        <v>0</v>
      </c>
      <c r="AA16" s="239">
        <v>0</v>
      </c>
      <c r="AB16" s="239">
        <v>0</v>
      </c>
      <c r="AC16" s="352">
        <v>0</v>
      </c>
      <c r="AD16" s="354">
        <v>0</v>
      </c>
      <c r="AE16" s="354">
        <v>0</v>
      </c>
      <c r="AF16" s="354">
        <v>0</v>
      </c>
      <c r="AG16" s="352">
        <v>0</v>
      </c>
      <c r="AH16" s="395">
        <v>0</v>
      </c>
    </row>
    <row r="17" spans="1:34" ht="15">
      <c r="A17" s="122" t="s">
        <v>245</v>
      </c>
      <c r="B17" s="261"/>
      <c r="C17" s="227">
        <v>0</v>
      </c>
      <c r="D17" s="227">
        <v>0</v>
      </c>
      <c r="E17" s="227">
        <v>0</v>
      </c>
      <c r="F17" s="227">
        <v>0</v>
      </c>
      <c r="G17" s="227">
        <v>0</v>
      </c>
      <c r="H17" s="227">
        <v>0</v>
      </c>
      <c r="I17" s="227">
        <v>0</v>
      </c>
      <c r="J17" s="227">
        <v>0</v>
      </c>
      <c r="K17" s="227">
        <v>0</v>
      </c>
      <c r="L17" s="227">
        <v>0</v>
      </c>
      <c r="M17" s="227">
        <v>0</v>
      </c>
      <c r="N17" s="227">
        <v>0</v>
      </c>
      <c r="O17" s="252"/>
      <c r="P17" s="124">
        <v>0</v>
      </c>
      <c r="Q17" s="124">
        <v>0</v>
      </c>
      <c r="R17" s="124">
        <v>0</v>
      </c>
      <c r="S17" s="124">
        <v>0</v>
      </c>
      <c r="T17" s="124">
        <v>0</v>
      </c>
      <c r="U17" s="124">
        <v>0</v>
      </c>
      <c r="V17" s="124">
        <v>0</v>
      </c>
      <c r="W17" s="124">
        <v>0</v>
      </c>
      <c r="X17" s="239">
        <v>0</v>
      </c>
      <c r="Y17" s="239">
        <v>0</v>
      </c>
      <c r="Z17" s="239">
        <v>0</v>
      </c>
      <c r="AA17" s="239">
        <v>0</v>
      </c>
      <c r="AB17" s="239">
        <v>0</v>
      </c>
      <c r="AC17" s="352">
        <v>0</v>
      </c>
      <c r="AD17" s="354">
        <v>0</v>
      </c>
      <c r="AE17" s="354">
        <v>0</v>
      </c>
      <c r="AF17" s="354">
        <v>0</v>
      </c>
      <c r="AG17" s="352">
        <v>0</v>
      </c>
      <c r="AH17" s="395">
        <v>0</v>
      </c>
    </row>
    <row r="18" spans="1:34" ht="15">
      <c r="A18" s="122" t="s">
        <v>246</v>
      </c>
      <c r="B18" s="261"/>
      <c r="C18" s="227">
        <v>0</v>
      </c>
      <c r="D18" s="227">
        <v>0</v>
      </c>
      <c r="E18" s="227">
        <v>0</v>
      </c>
      <c r="F18" s="227">
        <v>0</v>
      </c>
      <c r="G18" s="227">
        <v>0</v>
      </c>
      <c r="H18" s="227">
        <v>0</v>
      </c>
      <c r="I18" s="227">
        <v>0</v>
      </c>
      <c r="J18" s="227">
        <v>0</v>
      </c>
      <c r="K18" s="227">
        <v>0</v>
      </c>
      <c r="L18" s="227">
        <v>0</v>
      </c>
      <c r="M18" s="227">
        <v>0</v>
      </c>
      <c r="N18" s="227">
        <v>0</v>
      </c>
      <c r="O18" s="252"/>
      <c r="P18" s="124">
        <v>0</v>
      </c>
      <c r="Q18" s="124">
        <v>0</v>
      </c>
      <c r="R18" s="124">
        <v>0</v>
      </c>
      <c r="S18" s="124">
        <v>0</v>
      </c>
      <c r="T18" s="124">
        <v>0</v>
      </c>
      <c r="U18" s="124">
        <v>0</v>
      </c>
      <c r="V18" s="124">
        <v>0</v>
      </c>
      <c r="W18" s="124">
        <v>0</v>
      </c>
      <c r="X18" s="239">
        <v>0</v>
      </c>
      <c r="Y18" s="239">
        <v>0</v>
      </c>
      <c r="Z18" s="239">
        <v>0</v>
      </c>
      <c r="AA18" s="239">
        <v>0</v>
      </c>
      <c r="AB18" s="239">
        <v>0</v>
      </c>
      <c r="AC18" s="352">
        <v>0</v>
      </c>
      <c r="AD18" s="354">
        <v>0</v>
      </c>
      <c r="AE18" s="354">
        <v>0</v>
      </c>
      <c r="AF18" s="354">
        <v>0</v>
      </c>
      <c r="AG18" s="352">
        <v>0</v>
      </c>
      <c r="AH18" s="395">
        <v>0</v>
      </c>
    </row>
    <row r="19" spans="1:34" s="127" customFormat="1" ht="15">
      <c r="A19" s="121" t="s">
        <v>247</v>
      </c>
      <c r="B19" s="246">
        <f t="shared" ref="B19:AG19" si="7">B3-B12</f>
        <v>418257516</v>
      </c>
      <c r="C19" s="246">
        <f t="shared" si="7"/>
        <v>30552691.259999994</v>
      </c>
      <c r="D19" s="246">
        <f t="shared" si="7"/>
        <v>65136918.159999996</v>
      </c>
      <c r="E19" s="246">
        <f t="shared" si="7"/>
        <v>97389578.679999992</v>
      </c>
      <c r="F19" s="246">
        <f t="shared" si="7"/>
        <v>179581795.31999999</v>
      </c>
      <c r="G19" s="246">
        <f t="shared" si="7"/>
        <v>203107327.25999999</v>
      </c>
      <c r="H19" s="246">
        <f t="shared" si="7"/>
        <v>233880791.87999997</v>
      </c>
      <c r="I19" s="246">
        <f t="shared" si="7"/>
        <v>267731576.37</v>
      </c>
      <c r="J19" s="246">
        <f t="shared" si="7"/>
        <v>299226383.66000003</v>
      </c>
      <c r="K19" s="246">
        <f t="shared" si="7"/>
        <v>331642876.44999999</v>
      </c>
      <c r="L19" s="246">
        <f t="shared" si="7"/>
        <v>369009903.22999996</v>
      </c>
      <c r="M19" s="246">
        <f t="shared" si="7"/>
        <v>406246952.76999998</v>
      </c>
      <c r="N19" s="246">
        <f t="shared" si="7"/>
        <v>418175997.51999998</v>
      </c>
      <c r="O19" s="250">
        <f t="shared" si="7"/>
        <v>418257516</v>
      </c>
      <c r="P19" s="250">
        <f t="shared" si="7"/>
        <v>32245094.599999994</v>
      </c>
      <c r="Q19" s="250">
        <f t="shared" si="7"/>
        <v>67117592.159999996</v>
      </c>
      <c r="R19" s="250">
        <f t="shared" si="7"/>
        <v>111847511.75999999</v>
      </c>
      <c r="S19" s="250">
        <f t="shared" si="7"/>
        <v>147128269.48999995</v>
      </c>
      <c r="T19" s="250">
        <f t="shared" si="7"/>
        <v>181722917.73000002</v>
      </c>
      <c r="U19" s="250">
        <f t="shared" si="7"/>
        <v>264456678.02999997</v>
      </c>
      <c r="V19" s="250">
        <f t="shared" si="7"/>
        <v>296554149.36000001</v>
      </c>
      <c r="W19" s="250">
        <f t="shared" si="7"/>
        <v>331883608.07000005</v>
      </c>
      <c r="X19" s="250">
        <f t="shared" si="7"/>
        <v>367484858.51999998</v>
      </c>
      <c r="Y19" s="250">
        <f t="shared" si="7"/>
        <v>405595050.11000001</v>
      </c>
      <c r="Z19" s="250">
        <f t="shared" si="7"/>
        <v>445666699.19000006</v>
      </c>
      <c r="AA19" s="250">
        <f t="shared" si="7"/>
        <v>484288458.40999997</v>
      </c>
      <c r="AB19" s="250">
        <f t="shared" si="7"/>
        <v>484288459</v>
      </c>
      <c r="AC19" s="250">
        <f t="shared" si="7"/>
        <v>41196175.169999994</v>
      </c>
      <c r="AD19" s="250">
        <f t="shared" si="7"/>
        <v>78282625.160000011</v>
      </c>
      <c r="AE19" s="250">
        <f t="shared" si="7"/>
        <v>120730658.94000003</v>
      </c>
      <c r="AF19" s="250">
        <f t="shared" si="7"/>
        <v>162674105.03</v>
      </c>
      <c r="AG19" s="250">
        <f t="shared" si="7"/>
        <v>196449876.72</v>
      </c>
      <c r="AH19" s="250">
        <f t="shared" ref="AH19" si="8">AH3-AH12</f>
        <v>308037158.08999991</v>
      </c>
    </row>
    <row r="20" spans="1:34" s="127" customFormat="1" ht="15">
      <c r="A20" s="121" t="s">
        <v>194</v>
      </c>
      <c r="B20" s="246">
        <f t="shared" ref="B20:AG20" si="9">B21-B22</f>
        <v>0</v>
      </c>
      <c r="C20" s="246">
        <f t="shared" si="9"/>
        <v>1485570.8</v>
      </c>
      <c r="D20" s="246">
        <f t="shared" si="9"/>
        <v>5260675</v>
      </c>
      <c r="E20" s="246">
        <f t="shared" si="9"/>
        <v>-1879441.4</v>
      </c>
      <c r="F20" s="246">
        <f t="shared" si="9"/>
        <v>1430469.7</v>
      </c>
      <c r="G20" s="246">
        <f t="shared" si="9"/>
        <v>4002928.3</v>
      </c>
      <c r="H20" s="246">
        <f t="shared" si="9"/>
        <v>11229576.9</v>
      </c>
      <c r="I20" s="246">
        <f t="shared" si="9"/>
        <v>18140431.899999999</v>
      </c>
      <c r="J20" s="246">
        <f t="shared" si="9"/>
        <v>22140431.899999999</v>
      </c>
      <c r="K20" s="246">
        <f t="shared" si="9"/>
        <v>26140431.899999999</v>
      </c>
      <c r="L20" s="246">
        <f t="shared" si="9"/>
        <v>30140431.899999999</v>
      </c>
      <c r="M20" s="246">
        <f t="shared" si="9"/>
        <v>34140431.899999999</v>
      </c>
      <c r="N20" s="246">
        <f t="shared" si="9"/>
        <v>3797919.5</v>
      </c>
      <c r="O20" s="250">
        <f t="shared" si="9"/>
        <v>3797919</v>
      </c>
      <c r="P20" s="250">
        <f t="shared" si="9"/>
        <v>1043181.9</v>
      </c>
      <c r="Q20" s="250">
        <f t="shared" si="9"/>
        <v>2493940.2999999998</v>
      </c>
      <c r="R20" s="250">
        <f t="shared" si="9"/>
        <v>3933191</v>
      </c>
      <c r="S20" s="250">
        <f t="shared" si="9"/>
        <v>6809626.7999999998</v>
      </c>
      <c r="T20" s="250">
        <f t="shared" si="9"/>
        <v>8920266.9000000004</v>
      </c>
      <c r="U20" s="250">
        <f t="shared" si="9"/>
        <v>8920266.9000000004</v>
      </c>
      <c r="V20" s="250">
        <f t="shared" si="9"/>
        <v>8920266.9000000004</v>
      </c>
      <c r="W20" s="250">
        <f t="shared" si="9"/>
        <v>8920266.9000000004</v>
      </c>
      <c r="X20" s="250">
        <f t="shared" si="9"/>
        <v>8920266.9000000004</v>
      </c>
      <c r="Y20" s="250">
        <f t="shared" si="9"/>
        <v>10170360.1</v>
      </c>
      <c r="Z20" s="250">
        <f t="shared" si="9"/>
        <v>11420360.1</v>
      </c>
      <c r="AA20" s="250">
        <f t="shared" si="9"/>
        <v>10830635.199999999</v>
      </c>
      <c r="AB20" s="250">
        <f t="shared" si="9"/>
        <v>10830635</v>
      </c>
      <c r="AC20" s="250">
        <f t="shared" si="9"/>
        <v>3045511.2</v>
      </c>
      <c r="AD20" s="250">
        <f t="shared" si="9"/>
        <v>4807764.5</v>
      </c>
      <c r="AE20" s="250">
        <f t="shared" si="9"/>
        <v>5835999.5</v>
      </c>
      <c r="AF20" s="250">
        <f t="shared" si="9"/>
        <v>9619608.9000000004</v>
      </c>
      <c r="AG20" s="250">
        <f t="shared" si="9"/>
        <v>9619608.9000000004</v>
      </c>
      <c r="AH20" s="250">
        <f t="shared" ref="AH20" si="10">AH21-AH22</f>
        <v>9619608.9000000004</v>
      </c>
    </row>
    <row r="21" spans="1:34" ht="15">
      <c r="A21" s="122" t="s">
        <v>248</v>
      </c>
      <c r="B21" s="261"/>
      <c r="C21" s="227">
        <v>1485570.8</v>
      </c>
      <c r="D21" s="227">
        <v>5260675</v>
      </c>
      <c r="E21" s="227">
        <v>-1879441.4</v>
      </c>
      <c r="F21" s="227">
        <v>1430469.7</v>
      </c>
      <c r="G21" s="227">
        <v>4002928.3</v>
      </c>
      <c r="H21" s="227">
        <v>11229576.9</v>
      </c>
      <c r="I21" s="227">
        <v>18140431.899999999</v>
      </c>
      <c r="J21" s="227">
        <v>22140431.899999999</v>
      </c>
      <c r="K21" s="227">
        <v>26140431.899999999</v>
      </c>
      <c r="L21" s="227">
        <v>30140431.899999999</v>
      </c>
      <c r="M21" s="227">
        <v>34140431.899999999</v>
      </c>
      <c r="N21" s="227">
        <v>3797919.5</v>
      </c>
      <c r="O21" s="255">
        <v>3797919</v>
      </c>
      <c r="P21" s="124">
        <v>1043181.9</v>
      </c>
      <c r="Q21" s="124">
        <v>2493940.2999999998</v>
      </c>
      <c r="R21" s="124">
        <v>3933191</v>
      </c>
      <c r="S21" s="124">
        <v>6809626.7999999998</v>
      </c>
      <c r="T21" s="124">
        <v>8920266.9000000004</v>
      </c>
      <c r="U21" s="124">
        <v>8920266.9000000004</v>
      </c>
      <c r="V21" s="124">
        <v>8920266.9000000004</v>
      </c>
      <c r="W21" s="124">
        <v>8920266.9000000004</v>
      </c>
      <c r="X21" s="239">
        <v>8920266.9000000004</v>
      </c>
      <c r="Y21" s="239">
        <v>10170360.1</v>
      </c>
      <c r="Z21" s="239">
        <v>11420360.1</v>
      </c>
      <c r="AA21" s="239">
        <v>10830635.199999999</v>
      </c>
      <c r="AB21" s="239">
        <f>10830635</f>
        <v>10830635</v>
      </c>
      <c r="AC21" s="349">
        <v>3045511.2</v>
      </c>
      <c r="AD21" s="351">
        <v>4807764.5</v>
      </c>
      <c r="AE21" s="351">
        <v>5835999.5</v>
      </c>
      <c r="AF21" s="351">
        <v>9619608.9000000004</v>
      </c>
      <c r="AG21" s="349">
        <v>9619608.9000000004</v>
      </c>
      <c r="AH21" s="394">
        <v>9619608.9000000004</v>
      </c>
    </row>
    <row r="22" spans="1:34" ht="15">
      <c r="A22" s="122" t="s">
        <v>249</v>
      </c>
      <c r="B22" s="261"/>
      <c r="C22" s="227">
        <v>0</v>
      </c>
      <c r="D22" s="227">
        <v>0</v>
      </c>
      <c r="E22" s="227">
        <v>0</v>
      </c>
      <c r="F22" s="227">
        <v>0</v>
      </c>
      <c r="G22" s="227">
        <v>0</v>
      </c>
      <c r="H22" s="227">
        <v>0</v>
      </c>
      <c r="I22" s="227">
        <v>0</v>
      </c>
      <c r="J22" s="227">
        <v>0</v>
      </c>
      <c r="K22" s="227">
        <v>0</v>
      </c>
      <c r="L22" s="227">
        <v>0</v>
      </c>
      <c r="M22" s="227">
        <v>0</v>
      </c>
      <c r="N22" s="227">
        <v>0</v>
      </c>
      <c r="O22" s="251">
        <v>0</v>
      </c>
      <c r="P22" s="124">
        <v>0</v>
      </c>
      <c r="Q22" s="248">
        <v>0</v>
      </c>
      <c r="R22" s="124">
        <v>0</v>
      </c>
      <c r="S22" s="124">
        <v>0</v>
      </c>
      <c r="T22" s="124">
        <v>0</v>
      </c>
      <c r="U22" s="124">
        <v>0</v>
      </c>
      <c r="V22" s="124">
        <v>0</v>
      </c>
      <c r="W22" s="124">
        <v>0</v>
      </c>
      <c r="X22" s="239">
        <v>0</v>
      </c>
      <c r="Y22" s="239">
        <v>0</v>
      </c>
      <c r="Z22" s="239">
        <v>0</v>
      </c>
      <c r="AA22" s="239">
        <v>0</v>
      </c>
      <c r="AB22" s="239">
        <v>0</v>
      </c>
      <c r="AC22" s="352">
        <v>0</v>
      </c>
      <c r="AD22" s="354">
        <v>0</v>
      </c>
      <c r="AE22" s="354">
        <v>0</v>
      </c>
      <c r="AF22" s="354">
        <v>0</v>
      </c>
      <c r="AG22" s="352">
        <v>0</v>
      </c>
      <c r="AH22" s="395">
        <v>0</v>
      </c>
    </row>
    <row r="23" spans="1:34" s="127" customFormat="1" ht="15">
      <c r="A23" s="121" t="s">
        <v>250</v>
      </c>
      <c r="B23" s="246">
        <f t="shared" ref="B23:AH23" si="11">SUM(B24:B28)</f>
        <v>294090004</v>
      </c>
      <c r="C23" s="246">
        <f t="shared" si="11"/>
        <v>24177556.91</v>
      </c>
      <c r="D23" s="246">
        <f t="shared" si="11"/>
        <v>48077336.490000002</v>
      </c>
      <c r="E23" s="246">
        <f t="shared" si="11"/>
        <v>74391057.5</v>
      </c>
      <c r="F23" s="246">
        <f t="shared" si="11"/>
        <v>100927760.06999999</v>
      </c>
      <c r="G23" s="246">
        <f t="shared" si="11"/>
        <v>121845781.79999998</v>
      </c>
      <c r="H23" s="246">
        <f t="shared" si="11"/>
        <v>141654152.26999998</v>
      </c>
      <c r="I23" s="246">
        <f t="shared" si="11"/>
        <v>163571316.84</v>
      </c>
      <c r="J23" s="246">
        <f t="shared" si="11"/>
        <v>185539487.75</v>
      </c>
      <c r="K23" s="246">
        <f t="shared" si="11"/>
        <v>207823475.26000002</v>
      </c>
      <c r="L23" s="246">
        <f t="shared" si="11"/>
        <v>232457549.01000002</v>
      </c>
      <c r="M23" s="246">
        <f t="shared" si="11"/>
        <v>255861298.25</v>
      </c>
      <c r="N23" s="246">
        <f t="shared" si="11"/>
        <v>290292085.52999997</v>
      </c>
      <c r="O23" s="246">
        <f t="shared" si="11"/>
        <v>290292085</v>
      </c>
      <c r="P23" s="246">
        <f t="shared" si="11"/>
        <v>25427271.189999998</v>
      </c>
      <c r="Q23" s="246">
        <f t="shared" si="11"/>
        <v>52651137.299999997</v>
      </c>
      <c r="R23" s="246">
        <f t="shared" si="11"/>
        <v>82691169.150000006</v>
      </c>
      <c r="S23" s="246">
        <f t="shared" si="11"/>
        <v>105559084.08000001</v>
      </c>
      <c r="T23" s="246">
        <f t="shared" si="11"/>
        <v>126346565.54000001</v>
      </c>
      <c r="U23" s="246">
        <f t="shared" si="11"/>
        <v>154066943.68000001</v>
      </c>
      <c r="V23" s="246">
        <f t="shared" si="11"/>
        <v>179829705.99000001</v>
      </c>
      <c r="W23" s="246">
        <f t="shared" si="11"/>
        <v>208164043.39000002</v>
      </c>
      <c r="X23" s="246">
        <f t="shared" si="11"/>
        <v>238117260.49000001</v>
      </c>
      <c r="Y23" s="246">
        <f t="shared" si="11"/>
        <v>269020008.00999999</v>
      </c>
      <c r="Z23" s="246">
        <f t="shared" si="11"/>
        <v>294594298.43000001</v>
      </c>
      <c r="AA23" s="246">
        <f t="shared" si="11"/>
        <v>331671198.05000001</v>
      </c>
      <c r="AB23" s="246">
        <f t="shared" si="11"/>
        <v>342671966</v>
      </c>
      <c r="AC23" s="246">
        <f t="shared" si="11"/>
        <v>31673151.460000001</v>
      </c>
      <c r="AD23" s="246">
        <f t="shared" si="11"/>
        <v>62644683.459999993</v>
      </c>
      <c r="AE23" s="246">
        <f t="shared" si="11"/>
        <v>96704116.390000001</v>
      </c>
      <c r="AF23" s="246">
        <f t="shared" si="11"/>
        <v>130396406.31</v>
      </c>
      <c r="AG23" s="246">
        <f t="shared" si="11"/>
        <v>154736584.74000001</v>
      </c>
      <c r="AH23" s="246">
        <f t="shared" si="11"/>
        <v>183151578.19999999</v>
      </c>
    </row>
    <row r="24" spans="1:34" ht="15">
      <c r="A24" s="122" t="s">
        <v>251</v>
      </c>
      <c r="B24" s="261">
        <v>104355946</v>
      </c>
      <c r="C24" s="227">
        <v>6878923.2000000002</v>
      </c>
      <c r="D24" s="227">
        <v>13104498.9</v>
      </c>
      <c r="E24" s="227">
        <v>19758279.600000001</v>
      </c>
      <c r="F24" s="227">
        <v>28119555.199999999</v>
      </c>
      <c r="G24" s="227">
        <v>37414373.799999997</v>
      </c>
      <c r="H24" s="227">
        <v>46102558.700000003</v>
      </c>
      <c r="I24" s="227">
        <v>54618184.399999999</v>
      </c>
      <c r="J24" s="227">
        <v>65595118.100000001</v>
      </c>
      <c r="K24" s="227">
        <v>75126351.400000006</v>
      </c>
      <c r="L24" s="227">
        <v>84664803.900000006</v>
      </c>
      <c r="M24" s="227">
        <v>93478548.5</v>
      </c>
      <c r="N24" s="227">
        <v>104355946.2</v>
      </c>
      <c r="O24" s="254">
        <v>104355946</v>
      </c>
      <c r="P24" s="124">
        <v>9317337.4000000004</v>
      </c>
      <c r="Q24" s="124">
        <v>18258495.800000001</v>
      </c>
      <c r="R24" s="124">
        <v>25674382.100000001</v>
      </c>
      <c r="S24" s="124">
        <v>35741030.5</v>
      </c>
      <c r="T24" s="124">
        <v>46892653.899999999</v>
      </c>
      <c r="U24" s="124">
        <v>60807175.5</v>
      </c>
      <c r="V24" s="124">
        <v>70268183.5</v>
      </c>
      <c r="W24" s="124">
        <v>80454205.099999994</v>
      </c>
      <c r="X24" s="239">
        <v>90368772.099999994</v>
      </c>
      <c r="Y24" s="239">
        <v>100257010</v>
      </c>
      <c r="Z24" s="239">
        <v>110814312.7</v>
      </c>
      <c r="AA24" s="239">
        <v>120755050.59999999</v>
      </c>
      <c r="AB24" s="239">
        <v>126755051</v>
      </c>
      <c r="AC24" s="349">
        <v>10373028.6</v>
      </c>
      <c r="AD24" s="351">
        <v>19901911.800000001</v>
      </c>
      <c r="AE24" s="351">
        <v>21604786.5</v>
      </c>
      <c r="AF24" s="351">
        <v>28369474</v>
      </c>
      <c r="AG24" s="349">
        <v>36886371.5</v>
      </c>
      <c r="AH24" s="394">
        <v>44039775.600000001</v>
      </c>
    </row>
    <row r="25" spans="1:34" ht="15">
      <c r="A25" s="122" t="s">
        <v>152</v>
      </c>
      <c r="B25" s="261">
        <v>47406102</v>
      </c>
      <c r="C25" s="227">
        <v>2897431.43</v>
      </c>
      <c r="D25" s="227">
        <v>6641982.8600000003</v>
      </c>
      <c r="E25" s="227">
        <v>10180207.859999999</v>
      </c>
      <c r="F25" s="227">
        <v>15609020.720000001</v>
      </c>
      <c r="G25" s="227">
        <v>19170338.149999999</v>
      </c>
      <c r="H25" s="227">
        <v>21775439.579999998</v>
      </c>
      <c r="I25" s="227">
        <v>25183681.010000002</v>
      </c>
      <c r="J25" s="227">
        <v>27929972.440000001</v>
      </c>
      <c r="K25" s="227">
        <v>31044834.859999999</v>
      </c>
      <c r="L25" s="227">
        <v>36994813.280000001</v>
      </c>
      <c r="M25" s="227">
        <v>40078343.280000001</v>
      </c>
      <c r="N25" s="227">
        <v>49107563.119999997</v>
      </c>
      <c r="O25" s="254">
        <v>47406102</v>
      </c>
      <c r="P25" s="124">
        <v>2617681.42</v>
      </c>
      <c r="Q25" s="124">
        <v>5633975.25</v>
      </c>
      <c r="R25" s="124">
        <v>14461803.33</v>
      </c>
      <c r="S25" s="124">
        <v>17269186.809999999</v>
      </c>
      <c r="T25" s="124">
        <v>18548023.039999999</v>
      </c>
      <c r="U25" s="124">
        <v>20753201.370000001</v>
      </c>
      <c r="V25" s="124">
        <v>25064681.350000001</v>
      </c>
      <c r="W25" s="124">
        <v>28517990.93</v>
      </c>
      <c r="X25" s="239">
        <v>31979652.010000002</v>
      </c>
      <c r="Y25" s="239">
        <v>39363386.579999998</v>
      </c>
      <c r="Z25" s="239">
        <v>43152381.159999996</v>
      </c>
      <c r="AA25" s="239">
        <v>50179869.060000002</v>
      </c>
      <c r="AB25" s="239">
        <v>46288149</v>
      </c>
      <c r="AC25" s="353">
        <v>2272403.98</v>
      </c>
      <c r="AD25" s="355">
        <v>5839293.7699999996</v>
      </c>
      <c r="AE25" s="355">
        <v>11457774.9</v>
      </c>
      <c r="AF25" s="355">
        <v>14561984.390000001</v>
      </c>
      <c r="AG25" s="353">
        <v>17971472.75</v>
      </c>
      <c r="AH25" s="396">
        <v>22415573.690000001</v>
      </c>
    </row>
    <row r="26" spans="1:34" ht="15">
      <c r="A26" s="122" t="s">
        <v>252</v>
      </c>
      <c r="B26" s="261"/>
      <c r="C26" s="227">
        <v>2402372</v>
      </c>
      <c r="D26" s="227">
        <v>4063372</v>
      </c>
      <c r="E26" s="227">
        <v>5027233</v>
      </c>
      <c r="F26" s="227">
        <v>5686133</v>
      </c>
      <c r="G26" s="227">
        <v>5866183</v>
      </c>
      <c r="H26" s="227">
        <v>6342993</v>
      </c>
      <c r="I26" s="227">
        <v>7163057</v>
      </c>
      <c r="J26" s="227">
        <v>8583499</v>
      </c>
      <c r="K26" s="227">
        <v>10008011</v>
      </c>
      <c r="L26" s="227">
        <v>12304620</v>
      </c>
      <c r="M26" s="227">
        <v>14548073</v>
      </c>
      <c r="N26" s="227">
        <v>15977602</v>
      </c>
      <c r="O26" s="254"/>
      <c r="P26" s="124">
        <v>341250</v>
      </c>
      <c r="Q26" s="124">
        <v>3197763</v>
      </c>
      <c r="R26" s="124">
        <v>6446083</v>
      </c>
      <c r="S26" s="124">
        <v>8486613</v>
      </c>
      <c r="T26" s="124">
        <v>10257963</v>
      </c>
      <c r="U26" s="124">
        <v>12368138</v>
      </c>
      <c r="V26" s="124">
        <v>14760325</v>
      </c>
      <c r="W26" s="124">
        <v>16038005</v>
      </c>
      <c r="X26" s="239">
        <v>17659415</v>
      </c>
      <c r="Y26" s="239">
        <v>20462814</v>
      </c>
      <c r="Z26" s="239">
        <v>22797744</v>
      </c>
      <c r="AA26" s="239">
        <v>28964336</v>
      </c>
      <c r="AB26" s="239">
        <f>27498336</f>
        <v>27498336</v>
      </c>
      <c r="AC26" s="353">
        <v>1863927</v>
      </c>
      <c r="AD26" s="355">
        <v>4831984</v>
      </c>
      <c r="AE26" s="355">
        <v>6452593</v>
      </c>
      <c r="AF26" s="355">
        <v>8897264</v>
      </c>
      <c r="AG26" s="353">
        <v>11244785</v>
      </c>
      <c r="AH26" s="396">
        <v>14536765</v>
      </c>
    </row>
    <row r="27" spans="1:34" ht="15">
      <c r="A27" s="122" t="s">
        <v>253</v>
      </c>
      <c r="B27" s="261">
        <v>13748688</v>
      </c>
      <c r="C27" s="227">
        <v>2608479.2400000002</v>
      </c>
      <c r="D27" s="227">
        <v>5216958.4800000004</v>
      </c>
      <c r="E27" s="227">
        <v>7825437.7199999997</v>
      </c>
      <c r="F27" s="227">
        <v>10433916.960000001</v>
      </c>
      <c r="G27" s="227">
        <v>13042396.199999999</v>
      </c>
      <c r="H27" s="227">
        <v>15650875.439999999</v>
      </c>
      <c r="I27" s="227">
        <v>18259354.68</v>
      </c>
      <c r="J27" s="227">
        <v>20867833.920000002</v>
      </c>
      <c r="K27" s="227">
        <v>23476313.16</v>
      </c>
      <c r="L27" s="227">
        <v>26084792.399999999</v>
      </c>
      <c r="M27" s="227">
        <v>28693271.640000001</v>
      </c>
      <c r="N27" s="227">
        <v>34748688.140000001</v>
      </c>
      <c r="O27" s="254">
        <v>13748688</v>
      </c>
      <c r="P27" s="124">
        <v>2746902.5</v>
      </c>
      <c r="Q27" s="124">
        <v>5104788.96</v>
      </c>
      <c r="R27" s="124">
        <v>7851691.46</v>
      </c>
      <c r="S27" s="124">
        <v>10598593.960000001</v>
      </c>
      <c r="T27" s="124">
        <v>13345496.460000001</v>
      </c>
      <c r="U27" s="124">
        <v>16092398.960000001</v>
      </c>
      <c r="V27" s="124">
        <v>18839301.460000001</v>
      </c>
      <c r="W27" s="124">
        <v>21586203.960000001</v>
      </c>
      <c r="X27" s="239">
        <v>24333106.460000001</v>
      </c>
      <c r="Y27" s="239">
        <v>27080008.960000001</v>
      </c>
      <c r="Z27" s="239">
        <v>29826911.460000001</v>
      </c>
      <c r="AA27" s="239">
        <v>32573813.960000001</v>
      </c>
      <c r="AB27" s="239">
        <v>15574582</v>
      </c>
      <c r="AC27" s="353">
        <v>2795632.2</v>
      </c>
      <c r="AD27" s="355">
        <v>5591264.4000000004</v>
      </c>
      <c r="AE27" s="355">
        <v>8386896.5999999996</v>
      </c>
      <c r="AF27" s="355">
        <v>11182528.800000001</v>
      </c>
      <c r="AG27" s="353">
        <v>13978161</v>
      </c>
      <c r="AH27" s="396">
        <v>16773793.199999999</v>
      </c>
    </row>
    <row r="28" spans="1:34" ht="15">
      <c r="A28" s="122" t="s">
        <v>151</v>
      </c>
      <c r="B28" s="261">
        <v>128579268</v>
      </c>
      <c r="C28" s="227">
        <v>9390351.0399999991</v>
      </c>
      <c r="D28" s="227">
        <v>19050524.25</v>
      </c>
      <c r="E28" s="227">
        <v>31599899.32</v>
      </c>
      <c r="F28" s="227">
        <v>41079134.189999998</v>
      </c>
      <c r="G28" s="227">
        <v>46352490.649999999</v>
      </c>
      <c r="H28" s="227">
        <v>51782285.549999997</v>
      </c>
      <c r="I28" s="227">
        <v>58347039.75</v>
      </c>
      <c r="J28" s="227">
        <v>62563064.289999999</v>
      </c>
      <c r="K28" s="227">
        <v>68167964.840000004</v>
      </c>
      <c r="L28" s="227">
        <v>72408519.430000007</v>
      </c>
      <c r="M28" s="227">
        <v>79063061.829999998</v>
      </c>
      <c r="N28" s="227">
        <v>86102286.069999993</v>
      </c>
      <c r="O28" s="254">
        <f>128579268-3797919</f>
        <v>124781349</v>
      </c>
      <c r="P28" s="124">
        <v>10404099.869999999</v>
      </c>
      <c r="Q28" s="248">
        <v>20456114.289999999</v>
      </c>
      <c r="R28" s="124">
        <v>28257209.260000002</v>
      </c>
      <c r="S28" s="124">
        <v>33463659.809999999</v>
      </c>
      <c r="T28" s="124">
        <v>37302429.140000001</v>
      </c>
      <c r="U28" s="124">
        <v>44046029.850000001</v>
      </c>
      <c r="V28" s="124">
        <v>50897214.68</v>
      </c>
      <c r="W28" s="124">
        <v>61567638.399999999</v>
      </c>
      <c r="X28" s="239">
        <v>73776314.920000002</v>
      </c>
      <c r="Y28" s="239">
        <v>81856788.469999999</v>
      </c>
      <c r="Z28" s="239">
        <v>88002949.109999999</v>
      </c>
      <c r="AA28" s="239">
        <v>99198128.430000007</v>
      </c>
      <c r="AB28" s="239">
        <f>164884819-(10830635+27498336)</f>
        <v>126555848</v>
      </c>
      <c r="AC28" s="353">
        <v>14368159.68</v>
      </c>
      <c r="AD28" s="355">
        <v>26480229.489999998</v>
      </c>
      <c r="AE28" s="355">
        <v>48802065.390000001</v>
      </c>
      <c r="AF28" s="355">
        <v>67385155.120000005</v>
      </c>
      <c r="AG28" s="353">
        <v>74655794.489999995</v>
      </c>
      <c r="AH28" s="396">
        <v>85385670.709999993</v>
      </c>
    </row>
    <row r="29" spans="1:34" s="127" customFormat="1" ht="15">
      <c r="A29" s="121" t="s">
        <v>254</v>
      </c>
      <c r="B29" s="246">
        <f t="shared" ref="B29:M29" si="12">B19-B20-B23</f>
        <v>124167512</v>
      </c>
      <c r="C29" s="246">
        <f t="shared" si="12"/>
        <v>4889563.5499999933</v>
      </c>
      <c r="D29" s="246">
        <f t="shared" si="12"/>
        <v>11798906.669999994</v>
      </c>
      <c r="E29" s="246">
        <f t="shared" si="12"/>
        <v>24877962.579999998</v>
      </c>
      <c r="F29" s="246">
        <f t="shared" si="12"/>
        <v>77223565.550000012</v>
      </c>
      <c r="G29" s="246">
        <f t="shared" si="12"/>
        <v>77258617.159999996</v>
      </c>
      <c r="H29" s="246">
        <f t="shared" si="12"/>
        <v>80997062.709999979</v>
      </c>
      <c r="I29" s="246">
        <f t="shared" si="12"/>
        <v>86019827.629999995</v>
      </c>
      <c r="J29" s="246">
        <f t="shared" si="12"/>
        <v>91546464.01000005</v>
      </c>
      <c r="K29" s="246">
        <f t="shared" si="12"/>
        <v>97678969.289999992</v>
      </c>
      <c r="L29" s="246">
        <f t="shared" si="12"/>
        <v>106411922.31999996</v>
      </c>
      <c r="M29" s="246">
        <f t="shared" si="12"/>
        <v>116245222.62</v>
      </c>
      <c r="N29" s="246">
        <f>N19-N20-N23</f>
        <v>124085992.49000001</v>
      </c>
      <c r="O29" s="246">
        <f>O19-O20-O23</f>
        <v>124167512</v>
      </c>
      <c r="P29" s="246">
        <f t="shared" ref="P29:AG29" si="13">P19-P20-P23</f>
        <v>5774641.5099999979</v>
      </c>
      <c r="Q29" s="246">
        <f t="shared" si="13"/>
        <v>11972514.560000002</v>
      </c>
      <c r="R29" s="246">
        <f t="shared" si="13"/>
        <v>25223151.609999985</v>
      </c>
      <c r="S29" s="246">
        <f t="shared" si="13"/>
        <v>34759558.609999925</v>
      </c>
      <c r="T29" s="246">
        <f t="shared" si="13"/>
        <v>46456085.290000007</v>
      </c>
      <c r="U29" s="246">
        <f t="shared" si="13"/>
        <v>101469467.44999996</v>
      </c>
      <c r="V29" s="246">
        <f t="shared" si="13"/>
        <v>107804176.47000003</v>
      </c>
      <c r="W29" s="246">
        <f t="shared" si="13"/>
        <v>114799297.78000006</v>
      </c>
      <c r="X29" s="246">
        <f t="shared" si="13"/>
        <v>120447331.13</v>
      </c>
      <c r="Y29" s="246">
        <f t="shared" si="13"/>
        <v>126404682</v>
      </c>
      <c r="Z29" s="246">
        <f t="shared" si="13"/>
        <v>139652040.66000003</v>
      </c>
      <c r="AA29" s="246">
        <f t="shared" si="13"/>
        <v>141786625.15999997</v>
      </c>
      <c r="AB29" s="246">
        <f t="shared" si="13"/>
        <v>130785858</v>
      </c>
      <c r="AC29" s="246">
        <f t="shared" si="13"/>
        <v>6477512.5099999905</v>
      </c>
      <c r="AD29" s="246">
        <f t="shared" si="13"/>
        <v>10830177.200000018</v>
      </c>
      <c r="AE29" s="246">
        <f t="shared" si="13"/>
        <v>18190543.050000027</v>
      </c>
      <c r="AF29" s="246">
        <f t="shared" si="13"/>
        <v>22658089.819999993</v>
      </c>
      <c r="AG29" s="246">
        <f t="shared" si="13"/>
        <v>32093683.079999983</v>
      </c>
      <c r="AH29" s="246">
        <f t="shared" ref="AH29" si="14">AH19-AH20-AH23</f>
        <v>115265970.98999995</v>
      </c>
    </row>
    <row r="30" spans="1:34" s="128" customFormat="1" ht="15">
      <c r="A30" s="122" t="s">
        <v>255</v>
      </c>
      <c r="B30" s="274"/>
      <c r="C30" s="246"/>
      <c r="D30" s="246"/>
      <c r="E30" s="246"/>
      <c r="F30" s="246"/>
      <c r="G30" s="246"/>
      <c r="H30" s="246"/>
      <c r="I30" s="246"/>
      <c r="J30" s="246"/>
      <c r="K30" s="246"/>
      <c r="L30" s="246"/>
      <c r="M30" s="246"/>
      <c r="N30" s="246">
        <f>N31-N32</f>
        <v>0</v>
      </c>
      <c r="O30" s="246">
        <f>O31-O32</f>
        <v>0</v>
      </c>
      <c r="P30" s="246">
        <f t="shared" ref="P30:AG30" si="15">P31-P32</f>
        <v>0</v>
      </c>
      <c r="Q30" s="246">
        <f t="shared" si="15"/>
        <v>0</v>
      </c>
      <c r="R30" s="246">
        <f t="shared" si="15"/>
        <v>0</v>
      </c>
      <c r="S30" s="246">
        <f t="shared" si="15"/>
        <v>0</v>
      </c>
      <c r="T30" s="246">
        <f t="shared" si="15"/>
        <v>0</v>
      </c>
      <c r="U30" s="246">
        <f t="shared" si="15"/>
        <v>0</v>
      </c>
      <c r="V30" s="246">
        <f t="shared" si="15"/>
        <v>0</v>
      </c>
      <c r="W30" s="246">
        <f t="shared" si="15"/>
        <v>0</v>
      </c>
      <c r="X30" s="246">
        <f t="shared" si="15"/>
        <v>0</v>
      </c>
      <c r="Y30" s="246">
        <f t="shared" si="15"/>
        <v>0</v>
      </c>
      <c r="Z30" s="246">
        <f t="shared" si="15"/>
        <v>0</v>
      </c>
      <c r="AA30" s="246">
        <f t="shared" si="15"/>
        <v>0</v>
      </c>
      <c r="AB30" s="246">
        <f t="shared" si="15"/>
        <v>0</v>
      </c>
      <c r="AC30" s="246">
        <f t="shared" si="15"/>
        <v>0</v>
      </c>
      <c r="AD30" s="246">
        <f t="shared" si="15"/>
        <v>0</v>
      </c>
      <c r="AE30" s="246">
        <f t="shared" si="15"/>
        <v>0</v>
      </c>
      <c r="AF30" s="246">
        <f t="shared" si="15"/>
        <v>0</v>
      </c>
      <c r="AG30" s="246">
        <f t="shared" si="15"/>
        <v>0</v>
      </c>
      <c r="AH30" s="246">
        <f t="shared" ref="AH30" si="16">AH31-AH32</f>
        <v>0</v>
      </c>
    </row>
    <row r="31" spans="1:34" ht="15">
      <c r="A31" s="122" t="s">
        <v>256</v>
      </c>
      <c r="B31" s="261"/>
      <c r="C31" s="227">
        <v>0</v>
      </c>
      <c r="D31" s="227">
        <v>0</v>
      </c>
      <c r="E31" s="227">
        <v>0</v>
      </c>
      <c r="F31" s="227">
        <v>0</v>
      </c>
      <c r="G31" s="227">
        <v>0</v>
      </c>
      <c r="H31" s="227">
        <v>0</v>
      </c>
      <c r="I31" s="227">
        <v>0</v>
      </c>
      <c r="J31" s="227">
        <v>0</v>
      </c>
      <c r="K31" s="227">
        <v>0</v>
      </c>
      <c r="L31" s="227">
        <v>0</v>
      </c>
      <c r="M31" s="227">
        <v>0</v>
      </c>
      <c r="N31" s="227">
        <v>0</v>
      </c>
      <c r="O31" s="106"/>
      <c r="P31" s="124">
        <v>0</v>
      </c>
      <c r="Q31" s="124">
        <v>0</v>
      </c>
      <c r="R31" s="124">
        <v>0</v>
      </c>
      <c r="S31" s="124">
        <v>0</v>
      </c>
      <c r="T31" s="124">
        <v>0</v>
      </c>
      <c r="U31" s="124">
        <v>0</v>
      </c>
      <c r="V31" s="124">
        <v>0</v>
      </c>
      <c r="W31" s="124">
        <v>0</v>
      </c>
      <c r="X31" s="239">
        <v>0</v>
      </c>
      <c r="Y31" s="239">
        <v>0</v>
      </c>
      <c r="Z31" s="239">
        <v>0</v>
      </c>
      <c r="AA31" s="239">
        <v>0</v>
      </c>
      <c r="AC31" s="348">
        <v>0</v>
      </c>
      <c r="AD31" s="350">
        <v>0</v>
      </c>
      <c r="AE31" s="350">
        <v>0</v>
      </c>
      <c r="AF31" s="350">
        <v>0</v>
      </c>
      <c r="AG31" s="348">
        <v>0</v>
      </c>
      <c r="AH31" s="393">
        <v>0</v>
      </c>
    </row>
    <row r="32" spans="1:34" ht="15">
      <c r="A32" s="122" t="s">
        <v>257</v>
      </c>
      <c r="B32" s="261"/>
      <c r="C32" s="227">
        <v>0</v>
      </c>
      <c r="D32" s="227">
        <v>0</v>
      </c>
      <c r="E32" s="227">
        <v>0</v>
      </c>
      <c r="F32" s="227">
        <v>0</v>
      </c>
      <c r="G32" s="227">
        <v>0</v>
      </c>
      <c r="H32" s="227">
        <v>0</v>
      </c>
      <c r="I32" s="227">
        <v>0</v>
      </c>
      <c r="J32" s="227">
        <v>0</v>
      </c>
      <c r="K32" s="227">
        <v>0</v>
      </c>
      <c r="L32" s="227">
        <v>0</v>
      </c>
      <c r="M32" s="227">
        <v>0</v>
      </c>
      <c r="N32" s="227">
        <v>0</v>
      </c>
      <c r="O32" s="106"/>
      <c r="P32" s="124">
        <v>0</v>
      </c>
      <c r="Q32" s="124">
        <v>0</v>
      </c>
      <c r="R32" s="124">
        <v>0</v>
      </c>
      <c r="S32" s="124">
        <v>0</v>
      </c>
      <c r="T32" s="124">
        <v>0</v>
      </c>
      <c r="U32" s="124">
        <v>0</v>
      </c>
      <c r="V32" s="124">
        <v>0</v>
      </c>
      <c r="W32" s="124">
        <v>0</v>
      </c>
      <c r="X32" s="239">
        <v>0</v>
      </c>
      <c r="Y32" s="239">
        <v>0</v>
      </c>
      <c r="Z32" s="239">
        <v>0</v>
      </c>
      <c r="AA32" s="239">
        <v>0</v>
      </c>
      <c r="AC32" s="352">
        <v>0</v>
      </c>
      <c r="AD32" s="354">
        <v>0</v>
      </c>
      <c r="AE32" s="354">
        <v>0</v>
      </c>
      <c r="AF32" s="354">
        <v>0</v>
      </c>
      <c r="AG32" s="352">
        <v>0</v>
      </c>
      <c r="AH32" s="395">
        <v>0</v>
      </c>
    </row>
    <row r="33" spans="1:34" s="127" customFormat="1" ht="15">
      <c r="A33" s="121" t="s">
        <v>258</v>
      </c>
      <c r="B33" s="247">
        <f t="shared" ref="B33:AH33" si="17">B29+B30</f>
        <v>124167512</v>
      </c>
      <c r="C33" s="247">
        <f t="shared" si="17"/>
        <v>4889563.5499999933</v>
      </c>
      <c r="D33" s="247">
        <f t="shared" si="17"/>
        <v>11798906.669999994</v>
      </c>
      <c r="E33" s="247">
        <f t="shared" si="17"/>
        <v>24877962.579999998</v>
      </c>
      <c r="F33" s="247">
        <f t="shared" si="17"/>
        <v>77223565.550000012</v>
      </c>
      <c r="G33" s="247">
        <f t="shared" si="17"/>
        <v>77258617.159999996</v>
      </c>
      <c r="H33" s="247">
        <f t="shared" si="17"/>
        <v>80997062.709999979</v>
      </c>
      <c r="I33" s="247">
        <f t="shared" si="17"/>
        <v>86019827.629999995</v>
      </c>
      <c r="J33" s="247">
        <f t="shared" si="17"/>
        <v>91546464.01000005</v>
      </c>
      <c r="K33" s="247">
        <f t="shared" si="17"/>
        <v>97678969.289999992</v>
      </c>
      <c r="L33" s="247">
        <f t="shared" si="17"/>
        <v>106411922.31999996</v>
      </c>
      <c r="M33" s="247">
        <f t="shared" si="17"/>
        <v>116245222.62</v>
      </c>
      <c r="N33" s="247">
        <f t="shared" si="17"/>
        <v>124085992.49000001</v>
      </c>
      <c r="O33" s="247">
        <f t="shared" si="17"/>
        <v>124167512</v>
      </c>
      <c r="P33" s="247">
        <f t="shared" si="17"/>
        <v>5774641.5099999979</v>
      </c>
      <c r="Q33" s="247">
        <f t="shared" si="17"/>
        <v>11972514.560000002</v>
      </c>
      <c r="R33" s="247">
        <f t="shared" si="17"/>
        <v>25223151.609999985</v>
      </c>
      <c r="S33" s="247">
        <f t="shared" si="17"/>
        <v>34759558.609999925</v>
      </c>
      <c r="T33" s="247">
        <f t="shared" si="17"/>
        <v>46456085.290000007</v>
      </c>
      <c r="U33" s="247">
        <f t="shared" si="17"/>
        <v>101469467.44999996</v>
      </c>
      <c r="V33" s="247">
        <f t="shared" si="17"/>
        <v>107804176.47000003</v>
      </c>
      <c r="W33" s="247">
        <f t="shared" si="17"/>
        <v>114799297.78000006</v>
      </c>
      <c r="X33" s="247">
        <f t="shared" si="17"/>
        <v>120447331.13</v>
      </c>
      <c r="Y33" s="247">
        <f t="shared" si="17"/>
        <v>126404682</v>
      </c>
      <c r="Z33" s="247">
        <f t="shared" si="17"/>
        <v>139652040.66000003</v>
      </c>
      <c r="AA33" s="247">
        <f t="shared" si="17"/>
        <v>141786625.15999997</v>
      </c>
      <c r="AB33" s="247">
        <f t="shared" si="17"/>
        <v>130785858</v>
      </c>
      <c r="AC33" s="247">
        <f t="shared" si="17"/>
        <v>6477512.5099999905</v>
      </c>
      <c r="AD33" s="247">
        <f t="shared" si="17"/>
        <v>10830177.200000018</v>
      </c>
      <c r="AE33" s="247">
        <f t="shared" si="17"/>
        <v>18190543.050000027</v>
      </c>
      <c r="AF33" s="247">
        <f t="shared" si="17"/>
        <v>22658089.819999993</v>
      </c>
      <c r="AG33" s="247">
        <f t="shared" si="17"/>
        <v>32093683.079999983</v>
      </c>
      <c r="AH33" s="247">
        <f t="shared" si="17"/>
        <v>115265970.98999995</v>
      </c>
    </row>
    <row r="34" spans="1:34" ht="29.25">
      <c r="A34" s="122" t="s">
        <v>259</v>
      </c>
      <c r="B34" s="261"/>
      <c r="C34" s="227">
        <v>0</v>
      </c>
      <c r="D34" s="227">
        <v>0</v>
      </c>
      <c r="E34" s="227">
        <v>0</v>
      </c>
      <c r="F34" s="227">
        <v>0</v>
      </c>
      <c r="G34" s="227">
        <v>0</v>
      </c>
      <c r="H34" s="227">
        <v>0</v>
      </c>
      <c r="I34" s="227">
        <v>0</v>
      </c>
      <c r="J34" s="227">
        <v>0</v>
      </c>
      <c r="K34" s="227">
        <v>0</v>
      </c>
      <c r="L34" s="227">
        <v>0</v>
      </c>
      <c r="M34" s="227">
        <v>0</v>
      </c>
      <c r="N34" s="227">
        <v>0</v>
      </c>
      <c r="O34" s="150"/>
      <c r="P34" s="124">
        <v>0</v>
      </c>
      <c r="Q34" s="124">
        <v>0</v>
      </c>
      <c r="R34" s="124">
        <v>0</v>
      </c>
      <c r="S34" s="124">
        <v>0</v>
      </c>
      <c r="T34" s="124">
        <v>0</v>
      </c>
      <c r="U34" s="124">
        <v>0</v>
      </c>
      <c r="V34" s="124">
        <v>0</v>
      </c>
      <c r="W34" s="124">
        <v>0</v>
      </c>
      <c r="X34" s="239">
        <v>0</v>
      </c>
      <c r="Y34" s="239">
        <v>0</v>
      </c>
      <c r="Z34" s="239">
        <v>0</v>
      </c>
      <c r="AA34" s="239">
        <v>0</v>
      </c>
      <c r="AC34" s="348">
        <v>0</v>
      </c>
      <c r="AD34" s="350">
        <v>0</v>
      </c>
      <c r="AE34" s="350">
        <v>0</v>
      </c>
      <c r="AF34" s="350">
        <v>0</v>
      </c>
      <c r="AG34" s="348">
        <v>0</v>
      </c>
      <c r="AH34" s="393">
        <v>0</v>
      </c>
    </row>
    <row r="35" spans="1:34" s="127" customFormat="1" ht="29.25">
      <c r="A35" s="121" t="s">
        <v>260</v>
      </c>
      <c r="B35" s="246">
        <f t="shared" ref="B35:M35" si="18">B33-B34</f>
        <v>124167512</v>
      </c>
      <c r="C35" s="246">
        <f t="shared" si="18"/>
        <v>4889563.5499999933</v>
      </c>
      <c r="D35" s="246">
        <f t="shared" si="18"/>
        <v>11798906.669999994</v>
      </c>
      <c r="E35" s="246">
        <f t="shared" si="18"/>
        <v>24877962.579999998</v>
      </c>
      <c r="F35" s="246">
        <f t="shared" si="18"/>
        <v>77223565.550000012</v>
      </c>
      <c r="G35" s="246">
        <f t="shared" si="18"/>
        <v>77258617.159999996</v>
      </c>
      <c r="H35" s="246">
        <f t="shared" si="18"/>
        <v>80997062.709999979</v>
      </c>
      <c r="I35" s="246">
        <f t="shared" si="18"/>
        <v>86019827.629999995</v>
      </c>
      <c r="J35" s="246">
        <f t="shared" si="18"/>
        <v>91546464.01000005</v>
      </c>
      <c r="K35" s="246">
        <f t="shared" si="18"/>
        <v>97678969.289999992</v>
      </c>
      <c r="L35" s="246">
        <f t="shared" si="18"/>
        <v>106411922.31999996</v>
      </c>
      <c r="M35" s="246">
        <f t="shared" si="18"/>
        <v>116245222.62</v>
      </c>
      <c r="N35" s="246">
        <f>N33-N34</f>
        <v>124085992.49000001</v>
      </c>
      <c r="O35" s="246">
        <f>O33-O34</f>
        <v>124167512</v>
      </c>
      <c r="P35" s="246">
        <f t="shared" ref="P35:AH35" si="19">P33-P34</f>
        <v>5774641.5099999979</v>
      </c>
      <c r="Q35" s="246">
        <f t="shared" si="19"/>
        <v>11972514.560000002</v>
      </c>
      <c r="R35" s="246">
        <f t="shared" si="19"/>
        <v>25223151.609999985</v>
      </c>
      <c r="S35" s="246">
        <f t="shared" si="19"/>
        <v>34759558.609999925</v>
      </c>
      <c r="T35" s="246">
        <f t="shared" si="19"/>
        <v>46456085.290000007</v>
      </c>
      <c r="U35" s="246">
        <f t="shared" si="19"/>
        <v>101469467.44999996</v>
      </c>
      <c r="V35" s="246">
        <f t="shared" si="19"/>
        <v>107804176.47000003</v>
      </c>
      <c r="W35" s="246">
        <f t="shared" si="19"/>
        <v>114799297.78000006</v>
      </c>
      <c r="X35" s="246">
        <f t="shared" si="19"/>
        <v>120447331.13</v>
      </c>
      <c r="Y35" s="246">
        <f t="shared" si="19"/>
        <v>126404682</v>
      </c>
      <c r="Z35" s="246">
        <f t="shared" si="19"/>
        <v>139652040.66000003</v>
      </c>
      <c r="AA35" s="246">
        <f t="shared" si="19"/>
        <v>141786625.15999997</v>
      </c>
      <c r="AB35" s="246">
        <f t="shared" si="19"/>
        <v>130785858</v>
      </c>
      <c r="AC35" s="246">
        <f t="shared" si="19"/>
        <v>6477512.5099999905</v>
      </c>
      <c r="AD35" s="246">
        <f t="shared" si="19"/>
        <v>10830177.200000018</v>
      </c>
      <c r="AE35" s="246">
        <f t="shared" si="19"/>
        <v>18190543.050000027</v>
      </c>
      <c r="AF35" s="246">
        <f t="shared" si="19"/>
        <v>22658089.819999993</v>
      </c>
      <c r="AG35" s="246">
        <f t="shared" si="19"/>
        <v>32093683.079999983</v>
      </c>
      <c r="AH35" s="246">
        <f t="shared" si="19"/>
        <v>115265970.98999995</v>
      </c>
    </row>
    <row r="36" spans="1:34" ht="14.25">
      <c r="A36" s="120" t="s">
        <v>261</v>
      </c>
      <c r="B36" s="260"/>
      <c r="C36" s="227">
        <v>0</v>
      </c>
      <c r="D36" s="227">
        <v>0</v>
      </c>
      <c r="E36" s="227">
        <v>0</v>
      </c>
      <c r="F36" s="227">
        <v>0</v>
      </c>
      <c r="G36" s="227">
        <v>0</v>
      </c>
      <c r="H36" s="227">
        <v>0</v>
      </c>
      <c r="I36" s="227">
        <v>0</v>
      </c>
      <c r="J36" s="227">
        <v>0</v>
      </c>
      <c r="K36" s="227">
        <v>0</v>
      </c>
      <c r="L36" s="227">
        <v>0</v>
      </c>
      <c r="M36" s="227">
        <v>0</v>
      </c>
      <c r="N36" s="227">
        <v>0</v>
      </c>
      <c r="O36" s="106"/>
      <c r="P36" s="124">
        <v>0</v>
      </c>
      <c r="Q36" s="124">
        <v>0</v>
      </c>
      <c r="R36" s="124">
        <v>0</v>
      </c>
      <c r="S36" s="124">
        <v>0</v>
      </c>
      <c r="T36" s="124">
        <v>0</v>
      </c>
      <c r="U36" s="124">
        <v>0</v>
      </c>
      <c r="V36" s="124">
        <v>0</v>
      </c>
      <c r="W36" s="124">
        <v>0</v>
      </c>
      <c r="X36" s="239">
        <v>0</v>
      </c>
      <c r="Y36" s="239">
        <v>0</v>
      </c>
      <c r="Z36" s="239">
        <v>0</v>
      </c>
      <c r="AA36" s="239">
        <v>0</v>
      </c>
      <c r="AC36" s="348">
        <v>0</v>
      </c>
      <c r="AD36" s="350">
        <v>0</v>
      </c>
      <c r="AE36" s="350">
        <v>0</v>
      </c>
      <c r="AF36" s="350">
        <v>0</v>
      </c>
      <c r="AG36" s="348">
        <v>0</v>
      </c>
      <c r="AH36" s="393">
        <v>0</v>
      </c>
    </row>
    <row r="37" spans="1:34" s="127" customFormat="1" ht="15">
      <c r="A37" s="121" t="s">
        <v>262</v>
      </c>
      <c r="B37" s="246">
        <f t="shared" ref="B37:Q38" si="20">B35+B36</f>
        <v>124167512</v>
      </c>
      <c r="C37" s="246">
        <f t="shared" si="20"/>
        <v>4889563.5499999933</v>
      </c>
      <c r="D37" s="246">
        <f t="shared" si="20"/>
        <v>11798906.669999994</v>
      </c>
      <c r="E37" s="246">
        <f t="shared" si="20"/>
        <v>24877962.579999998</v>
      </c>
      <c r="F37" s="246">
        <f t="shared" si="20"/>
        <v>77223565.550000012</v>
      </c>
      <c r="G37" s="246">
        <f t="shared" si="20"/>
        <v>77258617.159999996</v>
      </c>
      <c r="H37" s="246">
        <f t="shared" si="20"/>
        <v>80997062.709999979</v>
      </c>
      <c r="I37" s="246">
        <f t="shared" si="20"/>
        <v>86019827.629999995</v>
      </c>
      <c r="J37" s="246">
        <f t="shared" si="20"/>
        <v>91546464.01000005</v>
      </c>
      <c r="K37" s="246">
        <f t="shared" si="20"/>
        <v>97678969.289999992</v>
      </c>
      <c r="L37" s="246">
        <f t="shared" si="20"/>
        <v>106411922.31999996</v>
      </c>
      <c r="M37" s="246">
        <f t="shared" si="20"/>
        <v>116245222.62</v>
      </c>
      <c r="N37" s="246">
        <f t="shared" si="20"/>
        <v>124085992.49000001</v>
      </c>
      <c r="O37" s="246">
        <f t="shared" si="20"/>
        <v>124167512</v>
      </c>
      <c r="P37" s="246">
        <f t="shared" si="20"/>
        <v>5774641.5099999979</v>
      </c>
      <c r="Q37" s="246">
        <f t="shared" si="20"/>
        <v>11972514.560000002</v>
      </c>
      <c r="R37" s="246">
        <f t="shared" ref="R37:AH37" si="21">R35+R36</f>
        <v>25223151.609999985</v>
      </c>
      <c r="S37" s="246">
        <f t="shared" si="21"/>
        <v>34759558.609999925</v>
      </c>
      <c r="T37" s="246">
        <f t="shared" si="21"/>
        <v>46456085.290000007</v>
      </c>
      <c r="U37" s="246">
        <f t="shared" si="21"/>
        <v>101469467.44999996</v>
      </c>
      <c r="V37" s="246">
        <f t="shared" si="21"/>
        <v>107804176.47000003</v>
      </c>
      <c r="W37" s="246">
        <f t="shared" si="21"/>
        <v>114799297.78000006</v>
      </c>
      <c r="X37" s="246">
        <f t="shared" si="21"/>
        <v>120447331.13</v>
      </c>
      <c r="Y37" s="246">
        <f t="shared" si="21"/>
        <v>126404682</v>
      </c>
      <c r="Z37" s="246">
        <f t="shared" si="21"/>
        <v>139652040.66000003</v>
      </c>
      <c r="AA37" s="246">
        <f t="shared" si="21"/>
        <v>141786625.15999997</v>
      </c>
      <c r="AB37" s="246">
        <f t="shared" si="21"/>
        <v>130785858</v>
      </c>
      <c r="AC37" s="246">
        <f t="shared" si="21"/>
        <v>6477512.5099999905</v>
      </c>
      <c r="AD37" s="246">
        <f t="shared" si="21"/>
        <v>10830177.200000018</v>
      </c>
      <c r="AE37" s="246">
        <f t="shared" si="21"/>
        <v>18190543.050000027</v>
      </c>
      <c r="AF37" s="246">
        <f t="shared" si="21"/>
        <v>22658089.819999993</v>
      </c>
      <c r="AG37" s="246">
        <f t="shared" si="21"/>
        <v>32093683.079999983</v>
      </c>
      <c r="AH37" s="246">
        <f t="shared" si="21"/>
        <v>115265970.98999995</v>
      </c>
    </row>
    <row r="38" spans="1:34">
      <c r="C38" s="246">
        <f t="shared" si="20"/>
        <v>4889563.5499999933</v>
      </c>
    </row>
  </sheetData>
  <pageMargins left="0.7" right="0.7" top="0.75" bottom="0.75" header="0.3" footer="0.3"/>
  <pageSetup scale="36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40"/>
  <sheetViews>
    <sheetView topLeftCell="A7" workbookViewId="0">
      <selection activeCell="H27" sqref="H27"/>
    </sheetView>
  </sheetViews>
  <sheetFormatPr defaultColWidth="9.140625" defaultRowHeight="13.15"/>
  <cols>
    <col min="1" max="1" width="5" style="14" bestFit="1" customWidth="1"/>
    <col min="2" max="2" width="28.42578125" style="14" bestFit="1" customWidth="1"/>
    <col min="3" max="4" width="14.7109375" style="14" bestFit="1" customWidth="1"/>
    <col min="5" max="12" width="14.42578125" style="14" bestFit="1" customWidth="1"/>
    <col min="13" max="16384" width="9.140625" style="14"/>
  </cols>
  <sheetData>
    <row r="1" spans="1:12">
      <c r="A1" s="152"/>
      <c r="B1" s="153"/>
      <c r="E1" s="154"/>
    </row>
    <row r="2" spans="1:12" ht="15">
      <c r="A2" s="155"/>
      <c r="B2" s="156" t="s">
        <v>108</v>
      </c>
      <c r="C2" s="156" t="s">
        <v>263</v>
      </c>
      <c r="D2" s="156" t="s">
        <v>264</v>
      </c>
      <c r="E2" s="157" t="s">
        <v>265</v>
      </c>
      <c r="F2" s="157" t="s">
        <v>266</v>
      </c>
      <c r="G2" s="158">
        <v>43466</v>
      </c>
      <c r="H2" s="158">
        <v>43497</v>
      </c>
      <c r="I2" s="159">
        <v>43525</v>
      </c>
      <c r="J2" s="159">
        <v>43556</v>
      </c>
      <c r="K2" s="159">
        <v>43586</v>
      </c>
      <c r="L2" s="159">
        <v>43617</v>
      </c>
    </row>
    <row r="3" spans="1:12">
      <c r="A3" s="18">
        <v>2</v>
      </c>
      <c r="B3" s="39" t="s">
        <v>59</v>
      </c>
      <c r="C3" s="160">
        <v>463518893.97999996</v>
      </c>
      <c r="D3" s="160">
        <v>456370932.63</v>
      </c>
      <c r="E3" s="160">
        <v>436833618.45000005</v>
      </c>
      <c r="F3" s="160">
        <v>590186392</v>
      </c>
      <c r="G3" s="160">
        <v>602313936.84000003</v>
      </c>
      <c r="H3" s="160">
        <v>626251080.43000007</v>
      </c>
      <c r="I3" s="160">
        <v>598286974.44000006</v>
      </c>
      <c r="J3" s="160">
        <v>589072781.48000002</v>
      </c>
      <c r="K3" s="160">
        <v>617101547.82000005</v>
      </c>
      <c r="L3" s="160">
        <v>604177230.95000005</v>
      </c>
    </row>
    <row r="4" spans="1:12">
      <c r="A4" s="18">
        <v>3</v>
      </c>
      <c r="B4" s="39" t="s">
        <v>60</v>
      </c>
      <c r="C4" s="161">
        <v>363910285.35000002</v>
      </c>
      <c r="D4" s="161">
        <v>352811563.69999999</v>
      </c>
      <c r="E4" s="161">
        <v>346819825.96000004</v>
      </c>
      <c r="F4" s="161">
        <v>433315333</v>
      </c>
      <c r="G4" s="161">
        <v>438395348.75</v>
      </c>
      <c r="H4" s="161">
        <v>454200200.84000003</v>
      </c>
      <c r="I4" s="161">
        <v>471183574.06999999</v>
      </c>
      <c r="J4" s="161">
        <v>463060081.56999999</v>
      </c>
      <c r="K4" s="161">
        <v>486178640.04999995</v>
      </c>
      <c r="L4" s="161">
        <v>466221165.13999999</v>
      </c>
    </row>
    <row r="5" spans="1:12">
      <c r="A5" s="18">
        <v>3.1</v>
      </c>
      <c r="B5" s="75" t="s">
        <v>109</v>
      </c>
      <c r="C5" s="161">
        <v>242281651.97</v>
      </c>
      <c r="D5" s="161">
        <v>244644369.28</v>
      </c>
      <c r="E5" s="161">
        <v>243234342.24000001</v>
      </c>
      <c r="F5" s="161">
        <v>365696388</v>
      </c>
      <c r="G5" s="161">
        <v>373130884.45999998</v>
      </c>
      <c r="H5" s="161">
        <v>380563374.49000001</v>
      </c>
      <c r="I5" s="161">
        <v>389962101.52999997</v>
      </c>
      <c r="J5" s="161">
        <v>394639975.25999999</v>
      </c>
      <c r="K5" s="161">
        <v>397105169.01999998</v>
      </c>
      <c r="L5" s="161">
        <v>404014250.98000002</v>
      </c>
    </row>
    <row r="6" spans="1:12">
      <c r="A6" s="18">
        <v>3.2</v>
      </c>
      <c r="B6" s="75" t="s">
        <v>110</v>
      </c>
      <c r="C6" s="161">
        <v>4074376.91</v>
      </c>
      <c r="D6" s="161">
        <v>4984401.29</v>
      </c>
      <c r="E6" s="161">
        <v>5076228.9000000004</v>
      </c>
      <c r="F6" s="161">
        <v>67618945</v>
      </c>
      <c r="G6" s="161">
        <v>14363007.560000001</v>
      </c>
      <c r="H6" s="161">
        <v>15611949.109999999</v>
      </c>
      <c r="I6" s="161">
        <v>13612358.779999999</v>
      </c>
      <c r="J6" s="161">
        <v>14419908.76</v>
      </c>
      <c r="K6" s="161">
        <v>14679037.42</v>
      </c>
      <c r="L6" s="161">
        <v>13096148.84</v>
      </c>
    </row>
    <row r="7" spans="1:12">
      <c r="A7" s="18">
        <v>4</v>
      </c>
      <c r="B7" s="39" t="s">
        <v>111</v>
      </c>
      <c r="C7" s="162">
        <v>782851.88</v>
      </c>
      <c r="D7" s="162">
        <v>782851.88</v>
      </c>
      <c r="E7" s="162">
        <v>782851.88</v>
      </c>
      <c r="F7" s="162">
        <v>0</v>
      </c>
      <c r="G7" s="162">
        <v>0</v>
      </c>
      <c r="H7" s="162">
        <v>0</v>
      </c>
      <c r="I7" s="162">
        <v>0</v>
      </c>
      <c r="J7" s="162">
        <v>0</v>
      </c>
      <c r="K7" s="162">
        <v>0</v>
      </c>
      <c r="L7" s="162">
        <v>0</v>
      </c>
    </row>
    <row r="8" spans="1:12" ht="13.9" thickBot="1">
      <c r="A8" s="31">
        <v>4.0999999999999996</v>
      </c>
      <c r="B8" s="41" t="s">
        <v>112</v>
      </c>
      <c r="C8" s="54">
        <v>4642444.88</v>
      </c>
      <c r="D8" s="54">
        <v>27506533.770000003</v>
      </c>
      <c r="E8" s="54">
        <v>4912342.24</v>
      </c>
      <c r="F8" s="54">
        <v>58156529</v>
      </c>
      <c r="G8" s="54">
        <v>3901907.32</v>
      </c>
      <c r="H8" s="54">
        <v>4415903.3899999997</v>
      </c>
      <c r="I8" s="54">
        <v>-44130680.829999998</v>
      </c>
      <c r="J8" s="54">
        <v>10574287.379999999</v>
      </c>
      <c r="K8" s="54">
        <v>12876255.23</v>
      </c>
      <c r="L8" s="54">
        <v>10617409.810000001</v>
      </c>
    </row>
    <row r="9" spans="1:12">
      <c r="A9" s="22">
        <v>5.0999999999999996</v>
      </c>
      <c r="B9" s="163" t="s">
        <v>114</v>
      </c>
      <c r="C9" s="164">
        <v>94944699.390000001</v>
      </c>
      <c r="D9" s="164">
        <v>75269883.280000001</v>
      </c>
      <c r="E9" s="164">
        <v>78350880.049999997</v>
      </c>
      <c r="F9" s="164">
        <v>88729697</v>
      </c>
      <c r="G9" s="164">
        <v>155788125.82999998</v>
      </c>
      <c r="H9" s="164">
        <v>163406421.19999999</v>
      </c>
      <c r="I9" s="164">
        <v>167005526.25999999</v>
      </c>
      <c r="J9" s="164">
        <v>111209857.65000001</v>
      </c>
      <c r="K9" s="164">
        <v>113818097.59999999</v>
      </c>
      <c r="L9" s="164">
        <v>123110101.06000002</v>
      </c>
    </row>
    <row r="10" spans="1:12" ht="13.9" thickBot="1">
      <c r="A10" s="23">
        <v>5.2</v>
      </c>
      <c r="B10" s="165" t="s">
        <v>115</v>
      </c>
      <c r="C10" s="166">
        <v>85006163.939999998</v>
      </c>
      <c r="D10" s="166">
        <v>65331347.829999998</v>
      </c>
      <c r="E10" s="166">
        <v>67704198.769999996</v>
      </c>
      <c r="F10" s="166">
        <v>65523502</v>
      </c>
      <c r="G10" s="166">
        <v>131996813.03999999</v>
      </c>
      <c r="H10" s="166">
        <v>139578976.91</v>
      </c>
      <c r="I10" s="166">
        <v>142917002.03</v>
      </c>
      <c r="J10" s="166">
        <v>87051630.75</v>
      </c>
      <c r="K10" s="166">
        <v>89639870.699999988</v>
      </c>
      <c r="L10" s="166">
        <v>98730332.050000012</v>
      </c>
    </row>
    <row r="11" spans="1:12" ht="13.9" thickBot="1">
      <c r="A11" s="26">
        <v>5.3</v>
      </c>
      <c r="B11" s="153" t="s">
        <v>116</v>
      </c>
      <c r="C11" s="167">
        <v>94944699.390000001</v>
      </c>
      <c r="D11" s="167">
        <v>75269883.280000001</v>
      </c>
      <c r="E11" s="167">
        <v>78350880.049999997</v>
      </c>
      <c r="F11" s="167">
        <v>92958252</v>
      </c>
      <c r="G11" s="167">
        <v>160016680.76999998</v>
      </c>
      <c r="H11" s="167">
        <v>167634976.13999999</v>
      </c>
      <c r="I11" s="167">
        <v>171234081.19999999</v>
      </c>
      <c r="J11" s="167">
        <v>115438412.59</v>
      </c>
      <c r="K11" s="167">
        <v>118046652.53999999</v>
      </c>
      <c r="L11" s="167">
        <v>127338656.00000001</v>
      </c>
    </row>
    <row r="12" spans="1:12">
      <c r="A12" s="21">
        <v>7</v>
      </c>
      <c r="B12" s="81" t="s">
        <v>65</v>
      </c>
      <c r="C12" s="168">
        <v>299631067.07999998</v>
      </c>
      <c r="D12" s="168">
        <v>309643144.38</v>
      </c>
      <c r="E12" s="168">
        <v>310639770.16000003</v>
      </c>
      <c r="F12" s="168">
        <v>467465209</v>
      </c>
      <c r="G12" s="168">
        <v>472919770.68000001</v>
      </c>
      <c r="H12" s="168">
        <v>478687357.68000001</v>
      </c>
      <c r="I12" s="168">
        <v>475787713.94</v>
      </c>
      <c r="J12" s="168">
        <v>479582540.77999997</v>
      </c>
      <c r="K12" s="168">
        <v>481266665.38999999</v>
      </c>
      <c r="L12" s="168">
        <v>485276972.57000005</v>
      </c>
    </row>
    <row r="13" spans="1:12">
      <c r="A13" s="22">
        <v>7.1</v>
      </c>
      <c r="B13" s="39" t="s">
        <v>134</v>
      </c>
      <c r="C13" s="164">
        <v>309603490.20999998</v>
      </c>
      <c r="D13" s="164">
        <v>319615567.50999999</v>
      </c>
      <c r="E13" s="164">
        <v>320612193.29000002</v>
      </c>
      <c r="F13" s="164">
        <v>478678153</v>
      </c>
      <c r="G13" s="164">
        <v>484132714.24000001</v>
      </c>
      <c r="H13" s="164">
        <v>489900301.24000001</v>
      </c>
      <c r="I13" s="164">
        <v>487605607.92000002</v>
      </c>
      <c r="J13" s="164">
        <v>491602084.89999998</v>
      </c>
      <c r="K13" s="164">
        <v>493487859.64999998</v>
      </c>
      <c r="L13" s="164">
        <v>497699816.97000003</v>
      </c>
    </row>
    <row r="14" spans="1:12">
      <c r="A14" s="22">
        <v>7.3</v>
      </c>
      <c r="B14" s="39" t="s">
        <v>135</v>
      </c>
      <c r="C14" s="164">
        <v>9972423.1300000008</v>
      </c>
      <c r="D14" s="164">
        <v>9972423.1300000008</v>
      </c>
      <c r="E14" s="164">
        <v>9972423.1300000008</v>
      </c>
      <c r="F14" s="164">
        <v>11212944</v>
      </c>
      <c r="G14" s="164">
        <v>11212943.560000001</v>
      </c>
      <c r="H14" s="164">
        <v>11212943.560000001</v>
      </c>
      <c r="I14" s="164">
        <v>11817893.98</v>
      </c>
      <c r="J14" s="164">
        <v>12019544.119999999</v>
      </c>
      <c r="K14" s="164">
        <v>12221194.26</v>
      </c>
      <c r="L14" s="164">
        <v>12422844.4</v>
      </c>
    </row>
    <row r="15" spans="1:12" ht="13.9" thickBot="1">
      <c r="A15" s="31">
        <v>7.6</v>
      </c>
      <c r="B15" s="32" t="s">
        <v>138</v>
      </c>
      <c r="C15" s="169">
        <v>64879933.079999998</v>
      </c>
      <c r="D15" s="169">
        <v>49119809.189999998</v>
      </c>
      <c r="E15" s="169">
        <v>36488011.020000003</v>
      </c>
      <c r="F15" s="169">
        <v>86995878</v>
      </c>
      <c r="G15" s="169">
        <v>99084093.540000007</v>
      </c>
      <c r="H15" s="169">
        <v>106402453.78</v>
      </c>
      <c r="I15" s="169">
        <v>93263618.600000009</v>
      </c>
      <c r="J15" s="169">
        <v>81785848.030000001</v>
      </c>
      <c r="K15" s="169">
        <v>86648913.530000001</v>
      </c>
      <c r="L15" s="169">
        <v>81659238.829999998</v>
      </c>
    </row>
    <row r="16" spans="1:12">
      <c r="A16" s="21">
        <v>8</v>
      </c>
      <c r="B16" s="81" t="s">
        <v>139</v>
      </c>
      <c r="C16" s="168">
        <v>54697471.630000003</v>
      </c>
      <c r="D16" s="168">
        <v>57847365.859999999</v>
      </c>
      <c r="E16" s="168">
        <v>43977605.75</v>
      </c>
      <c r="F16" s="168">
        <v>31496750</v>
      </c>
      <c r="G16" s="168">
        <v>26081517.679999996</v>
      </c>
      <c r="H16" s="168">
        <v>36932714.030000001</v>
      </c>
      <c r="I16" s="168">
        <v>25007086.960000001</v>
      </c>
      <c r="J16" s="168">
        <v>23475837.73</v>
      </c>
      <c r="K16" s="168">
        <v>44957413.959999993</v>
      </c>
      <c r="L16" s="168">
        <v>33012464.609999996</v>
      </c>
    </row>
    <row r="17" spans="1:12" ht="13.9" thickBot="1">
      <c r="A17" s="23">
        <v>8.1</v>
      </c>
      <c r="B17" s="41" t="s">
        <v>140</v>
      </c>
      <c r="C17" s="166">
        <v>5970994.9500000002</v>
      </c>
      <c r="D17" s="166">
        <v>5779199.6399999997</v>
      </c>
      <c r="E17" s="166">
        <v>5967618.2599999998</v>
      </c>
      <c r="F17" s="166">
        <v>3048281</v>
      </c>
      <c r="G17" s="166">
        <v>7005758.3499999996</v>
      </c>
      <c r="H17" s="166">
        <v>7005758.4100000001</v>
      </c>
      <c r="I17" s="166">
        <v>6855145.9100000001</v>
      </c>
      <c r="J17" s="166">
        <v>6223465.2300000004</v>
      </c>
      <c r="K17" s="166">
        <v>6843368.5800000001</v>
      </c>
      <c r="L17" s="166">
        <v>6621497.3099999996</v>
      </c>
    </row>
    <row r="18" spans="1:12" ht="13.9" thickBot="1">
      <c r="A18" s="34">
        <v>9</v>
      </c>
      <c r="B18" s="170" t="s">
        <v>141</v>
      </c>
      <c r="C18" s="168">
        <v>6545698.6699999999</v>
      </c>
      <c r="D18" s="168">
        <v>43521403.869999997</v>
      </c>
      <c r="E18" s="168">
        <v>43551629.869999997</v>
      </c>
      <c r="F18" s="168">
        <v>18430545</v>
      </c>
      <c r="G18" s="168">
        <v>14759404.379999999</v>
      </c>
      <c r="H18" s="168">
        <v>14858404.379999999</v>
      </c>
      <c r="I18" s="168">
        <v>14602688.379999999</v>
      </c>
      <c r="J18" s="168">
        <v>16880137.379999999</v>
      </c>
      <c r="K18" s="168">
        <v>16989737.379999999</v>
      </c>
      <c r="L18" s="168">
        <v>17093937.34</v>
      </c>
    </row>
    <row r="19" spans="1:12">
      <c r="A19" s="171">
        <v>10</v>
      </c>
      <c r="B19" s="172" t="s">
        <v>146</v>
      </c>
      <c r="C19" s="168">
        <v>22339454.649999999</v>
      </c>
      <c r="D19" s="168">
        <v>4546921.07</v>
      </c>
      <c r="E19" s="168">
        <v>5916993.0600000005</v>
      </c>
      <c r="F19" s="168">
        <v>68345005</v>
      </c>
      <c r="G19" s="168">
        <v>18479434.449999999</v>
      </c>
      <c r="H19" s="168">
        <v>19450021.170000002</v>
      </c>
      <c r="I19" s="168">
        <v>21786997.959999997</v>
      </c>
      <c r="J19" s="168">
        <v>6653981.0599999996</v>
      </c>
      <c r="K19" s="168">
        <v>12263359.280000001</v>
      </c>
      <c r="L19" s="168">
        <v>13807774.51</v>
      </c>
    </row>
    <row r="21" spans="1:12" ht="14.45">
      <c r="B21" s="66" t="s">
        <v>1</v>
      </c>
      <c r="C21" s="174">
        <v>94.944699389999997</v>
      </c>
      <c r="D21" s="174">
        <v>75.269883280000002</v>
      </c>
      <c r="E21" s="174">
        <v>78.350880050000001</v>
      </c>
      <c r="F21" s="174">
        <v>88.729697000000002</v>
      </c>
      <c r="G21" s="174">
        <v>155.78812582999998</v>
      </c>
      <c r="H21" s="174">
        <v>163.40642119999998</v>
      </c>
      <c r="I21" s="174">
        <v>167.00552625999998</v>
      </c>
      <c r="J21" s="174">
        <v>111.20985765</v>
      </c>
      <c r="K21" s="174">
        <v>113.81809759999999</v>
      </c>
      <c r="L21" s="174">
        <v>123.11010106000002</v>
      </c>
    </row>
    <row r="22" spans="1:12" ht="14.45">
      <c r="B22" s="66" t="s">
        <v>90</v>
      </c>
      <c r="C22" s="173">
        <v>0.20483458306253358</v>
      </c>
      <c r="D22" s="173">
        <v>0.16493137029177229</v>
      </c>
      <c r="E22" s="173">
        <v>0.17936092081925703</v>
      </c>
      <c r="F22" s="173">
        <v>0.15034182116486344</v>
      </c>
      <c r="G22" s="173">
        <v>0.25864937917148656</v>
      </c>
      <c r="H22" s="173">
        <v>0.26092796692310843</v>
      </c>
      <c r="I22" s="173">
        <v>0.27913949892744716</v>
      </c>
      <c r="J22" s="173">
        <v>0.18878797518125656</v>
      </c>
      <c r="K22" s="173">
        <v>0.18443981870095577</v>
      </c>
      <c r="L22" s="173">
        <v>0.20376488016012018</v>
      </c>
    </row>
    <row r="23" spans="1:12" ht="14.45">
      <c r="B23" s="66" t="s">
        <v>91</v>
      </c>
      <c r="C23" s="173">
        <v>0.18339309366678777</v>
      </c>
      <c r="D23" s="173">
        <v>0.14315405114323307</v>
      </c>
      <c r="E23" s="173">
        <v>0.15498852631862953</v>
      </c>
      <c r="F23" s="173">
        <v>0.11102170922300764</v>
      </c>
      <c r="G23" s="173">
        <v>0.21914952480182093</v>
      </c>
      <c r="H23" s="173">
        <v>0.22288021733098087</v>
      </c>
      <c r="I23" s="173">
        <v>0.23887700741566556</v>
      </c>
      <c r="J23" s="173">
        <v>0.14777737740876346</v>
      </c>
      <c r="K23" s="173">
        <v>0.14525951363542308</v>
      </c>
      <c r="L23" s="173">
        <v>0.16341286462377569</v>
      </c>
    </row>
    <row r="24" spans="1:12" ht="14.45">
      <c r="B24" s="66" t="s">
        <v>92</v>
      </c>
      <c r="C24" s="173">
        <v>0.26090139029372172</v>
      </c>
      <c r="D24" s="173">
        <v>0.21334301656847876</v>
      </c>
      <c r="E24" s="173">
        <v>0.22591234463924931</v>
      </c>
      <c r="F24" s="173">
        <v>0.20476934519185361</v>
      </c>
      <c r="G24" s="173">
        <v>0.35535989666450579</v>
      </c>
      <c r="H24" s="173">
        <v>0.35976739089457771</v>
      </c>
      <c r="I24" s="173">
        <v>0.35443834516011652</v>
      </c>
      <c r="J24" s="173">
        <v>0.24016291206303994</v>
      </c>
      <c r="K24" s="173">
        <v>0.23410756504706712</v>
      </c>
      <c r="L24" s="173">
        <v>0.26405944273900928</v>
      </c>
    </row>
    <row r="25" spans="1:12" ht="14.45">
      <c r="B25" s="70" t="s">
        <v>93</v>
      </c>
      <c r="C25" s="173"/>
      <c r="D25" s="173"/>
      <c r="E25" s="173"/>
      <c r="F25" s="173"/>
      <c r="G25" s="173"/>
      <c r="H25" s="173"/>
      <c r="I25" s="173"/>
      <c r="J25" s="173"/>
      <c r="K25" s="173"/>
      <c r="L25" s="173"/>
    </row>
    <row r="26" spans="1:12" ht="14.45">
      <c r="B26" s="66" t="s">
        <v>94</v>
      </c>
      <c r="C26" s="173"/>
      <c r="D26" s="173"/>
      <c r="E26" s="173"/>
      <c r="F26" s="173"/>
      <c r="G26" s="173"/>
      <c r="H26" s="173"/>
      <c r="I26" s="173"/>
      <c r="J26" s="173"/>
      <c r="K26" s="173"/>
      <c r="L26" s="173"/>
    </row>
    <row r="27" spans="1:12" ht="14.45">
      <c r="B27" s="70" t="s">
        <v>83</v>
      </c>
      <c r="C27" s="173"/>
      <c r="D27" s="173"/>
      <c r="E27" s="173"/>
      <c r="F27" s="173"/>
      <c r="G27" s="173"/>
      <c r="H27" s="173"/>
      <c r="I27" s="173"/>
      <c r="J27" s="173"/>
      <c r="K27" s="173"/>
      <c r="L27" s="173"/>
    </row>
    <row r="28" spans="1:12" ht="14.45">
      <c r="B28" s="66" t="s">
        <v>84</v>
      </c>
      <c r="C28" s="173">
        <v>0.10366401602677947</v>
      </c>
      <c r="D28" s="173">
        <v>4.9791285087911821E-3</v>
      </c>
      <c r="E28" s="173">
        <v>8.6990957539672831E-3</v>
      </c>
      <c r="F28" s="173">
        <v>2.1403286692598458E-2</v>
      </c>
      <c r="G28" s="173">
        <v>8.6521768483988973E-2</v>
      </c>
      <c r="H28" s="173">
        <v>9.2418745160710331E-2</v>
      </c>
      <c r="I28" s="173">
        <v>9.5308003681039338E-2</v>
      </c>
      <c r="J28" s="173">
        <v>2.5179366139760146E-2</v>
      </c>
      <c r="K28" s="173">
        <v>2.7427623319558749E-2</v>
      </c>
      <c r="L28" s="173">
        <v>3.6644693878419822E-2</v>
      </c>
    </row>
    <row r="29" spans="1:12" ht="14.45">
      <c r="B29" s="66" t="s">
        <v>95</v>
      </c>
      <c r="C29" s="173">
        <v>0.25741416351582458</v>
      </c>
      <c r="D29" s="173">
        <v>0.47475461442470174</v>
      </c>
      <c r="E29" s="173">
        <v>0.47309013231184821</v>
      </c>
      <c r="F29" s="173">
        <v>0.59346690595014484</v>
      </c>
      <c r="G29" s="173">
        <v>0.29062189047777387</v>
      </c>
      <c r="H29" s="173">
        <v>0.28378980928479264</v>
      </c>
      <c r="I29" s="173">
        <v>0.30491294255765539</v>
      </c>
      <c r="J29" s="173">
        <v>0.35188480121631338</v>
      </c>
      <c r="K29" s="173">
        <v>0.42614588607338072</v>
      </c>
      <c r="L29" s="173">
        <v>0.38569896660788255</v>
      </c>
    </row>
    <row r="30" spans="1:12" ht="14.45">
      <c r="B30" s="66" t="s">
        <v>96</v>
      </c>
      <c r="C30" s="173">
        <v>5.0864586829587354E-2</v>
      </c>
      <c r="D30" s="173">
        <v>6.8212320229515053E-3</v>
      </c>
      <c r="E30" s="173">
        <v>1.206515205652208E-2</v>
      </c>
      <c r="F30" s="173">
        <v>5.6671521833393947E-2</v>
      </c>
      <c r="G30" s="173">
        <v>5.4654003762069081E-2</v>
      </c>
      <c r="H30" s="173">
        <v>5.5574311322709478E-2</v>
      </c>
      <c r="I30" s="173">
        <v>6.7479628714612397E-2</v>
      </c>
      <c r="J30" s="173">
        <v>2.1463423141422584E-2</v>
      </c>
      <c r="K30" s="173">
        <v>3.0839953808625337E-2</v>
      </c>
      <c r="L30" s="173">
        <v>3.6261474047195714E-2</v>
      </c>
    </row>
    <row r="31" spans="1:12" ht="14.45">
      <c r="B31" s="66" t="s">
        <v>98</v>
      </c>
      <c r="C31" s="173">
        <v>0.28117847936152124</v>
      </c>
      <c r="D31" s="173">
        <v>0.18048740106872116</v>
      </c>
      <c r="E31" s="173">
        <v>0.14704210574669535</v>
      </c>
      <c r="F31" s="173">
        <v>0.20525015756822076</v>
      </c>
      <c r="G31" s="173">
        <v>0.26279967074539218</v>
      </c>
      <c r="H31" s="173">
        <v>0.27638488587213306</v>
      </c>
      <c r="I31" s="173">
        <v>0.26967942476488815</v>
      </c>
      <c r="J31" s="173">
        <v>0.20183358674780927</v>
      </c>
      <c r="K31" s="173">
        <v>0.21134838898740665</v>
      </c>
      <c r="L31" s="173">
        <v>0.19694405071338303</v>
      </c>
    </row>
    <row r="32" spans="1:12" ht="14.45">
      <c r="B32" s="66" t="s">
        <v>99</v>
      </c>
      <c r="C32" s="173">
        <v>0.18838482630876585</v>
      </c>
      <c r="D32" s="173">
        <v>0.12915454067729354</v>
      </c>
      <c r="E32" s="173">
        <v>0.1037380550284283</v>
      </c>
      <c r="F32" s="173">
        <v>0.17701090281339443</v>
      </c>
      <c r="G32" s="173">
        <v>0.22402149726273343</v>
      </c>
      <c r="H32" s="173">
        <v>0.232007670028609</v>
      </c>
      <c r="I32" s="173">
        <v>0.21838891639960548</v>
      </c>
      <c r="J32" s="173">
        <v>0.17267718179175012</v>
      </c>
      <c r="K32" s="173">
        <v>0.17362601659559862</v>
      </c>
      <c r="L32" s="173">
        <v>0.17125132722024969</v>
      </c>
    </row>
    <row r="33" spans="2:12" ht="14.45">
      <c r="B33" s="66" t="s">
        <v>100</v>
      </c>
      <c r="C33" s="173">
        <v>1.6889319727143176E-3</v>
      </c>
      <c r="D33" s="173">
        <v>1.7153850607630448E-3</v>
      </c>
      <c r="E33" s="173">
        <v>1.7921053850611665E-3</v>
      </c>
      <c r="F33" s="173">
        <v>0</v>
      </c>
      <c r="G33" s="173">
        <v>0</v>
      </c>
      <c r="H33" s="173">
        <v>0</v>
      </c>
      <c r="I33" s="173">
        <v>0</v>
      </c>
      <c r="J33" s="173">
        <v>0</v>
      </c>
      <c r="K33" s="173">
        <v>0</v>
      </c>
      <c r="L33" s="173">
        <v>0</v>
      </c>
    </row>
    <row r="34" spans="2:12" ht="14.45">
      <c r="B34" s="66" t="s">
        <v>101</v>
      </c>
      <c r="C34" s="173">
        <v>0.14978837534289544</v>
      </c>
      <c r="D34" s="173">
        <v>0.10763132723403221</v>
      </c>
      <c r="E34" s="173">
        <v>8.3528394974427586E-2</v>
      </c>
      <c r="F34" s="173">
        <v>0.14740407298309921</v>
      </c>
      <c r="G34" s="173">
        <v>0.16450572945370998</v>
      </c>
      <c r="H34" s="173">
        <v>0.16990382468792126</v>
      </c>
      <c r="I34" s="173">
        <v>0.15588442099595312</v>
      </c>
      <c r="J34" s="173">
        <v>0.13883827364170409</v>
      </c>
      <c r="K34" s="173">
        <v>0.14041273083190237</v>
      </c>
      <c r="L34" s="173">
        <v>0.13515775611338435</v>
      </c>
    </row>
    <row r="35" spans="2:12" ht="14.45">
      <c r="B35" s="66" t="s">
        <v>103</v>
      </c>
      <c r="C35" s="173">
        <v>0.11800483721459713</v>
      </c>
      <c r="D35" s="173">
        <v>0.12675514964687595</v>
      </c>
      <c r="E35" s="173">
        <v>0.10067358347108002</v>
      </c>
      <c r="F35" s="173">
        <v>5.3367462257584548E-2</v>
      </c>
      <c r="G35" s="173">
        <v>4.3302198545886121E-2</v>
      </c>
      <c r="H35" s="173">
        <v>5.8974291916017219E-2</v>
      </c>
      <c r="I35" s="173">
        <v>4.1797812802805499E-2</v>
      </c>
      <c r="J35" s="173">
        <v>3.9852185448152541E-2</v>
      </c>
      <c r="K35" s="173">
        <v>7.2852537996085931E-2</v>
      </c>
      <c r="L35" s="173">
        <v>5.4640365308192176E-2</v>
      </c>
    </row>
    <row r="36" spans="2:12" ht="14.45">
      <c r="B36" s="66" t="s">
        <v>104</v>
      </c>
      <c r="C36" s="173">
        <v>1.2881880388370185E-2</v>
      </c>
      <c r="D36" s="173">
        <v>1.2663382408461696E-2</v>
      </c>
      <c r="E36" s="173">
        <v>1.3661078286910861E-2</v>
      </c>
      <c r="F36" s="173">
        <v>5.1649462632815156E-3</v>
      </c>
      <c r="G36" s="173">
        <v>1.1631406682626745E-2</v>
      </c>
      <c r="H36" s="173">
        <v>1.1186820476524634E-2</v>
      </c>
      <c r="I36" s="173">
        <v>1.1457956136211147E-2</v>
      </c>
      <c r="J36" s="173">
        <v>1.056484941362258E-2</v>
      </c>
      <c r="K36" s="173">
        <v>1.108953397406826E-2</v>
      </c>
      <c r="L36" s="173">
        <v>1.0959528050384235E-2</v>
      </c>
    </row>
    <row r="37" spans="2:12" ht="14.45">
      <c r="B37" s="66" t="s">
        <v>105</v>
      </c>
      <c r="C37" s="173">
        <v>0.12176193961482382</v>
      </c>
      <c r="D37" s="173">
        <v>0.11269645695005888</v>
      </c>
      <c r="E37" s="173">
        <v>0.11464342642449089</v>
      </c>
      <c r="F37" s="173">
        <v>9.7586092112738592E-3</v>
      </c>
      <c r="G37" s="173">
        <v>9.6455287494653201E-3</v>
      </c>
      <c r="H37" s="173">
        <v>9.3098922725698731E-3</v>
      </c>
      <c r="I37" s="173">
        <v>8.9743258736175672E-3</v>
      </c>
      <c r="J37" s="173">
        <v>9.1317630439297047E-3</v>
      </c>
      <c r="K37" s="173">
        <v>8.6975333584485004E-3</v>
      </c>
      <c r="L37" s="173">
        <v>9.0698476520906599E-3</v>
      </c>
    </row>
    <row r="38" spans="2:12" ht="15" thickBot="1">
      <c r="B38" s="67" t="s">
        <v>106</v>
      </c>
      <c r="C38" s="173">
        <v>0.46669716661051408</v>
      </c>
      <c r="D38" s="173">
        <v>0.52824066502259104</v>
      </c>
      <c r="E38" s="173">
        <v>0.50746862287477268</v>
      </c>
      <c r="F38" s="173">
        <v>4.7656592358249573E-2</v>
      </c>
      <c r="G38" s="173">
        <v>2.7142986138842883E-2</v>
      </c>
      <c r="H38" s="173">
        <v>2.5877532283902688E-2</v>
      </c>
      <c r="I38" s="173">
        <v>2.5319850394751844E-2</v>
      </c>
      <c r="J38" s="173">
        <v>3.8023202523180283E-2</v>
      </c>
      <c r="K38" s="173">
        <v>3.7151868017164968E-2</v>
      </c>
      <c r="L38" s="173">
        <v>3.4347749726394386E-2</v>
      </c>
    </row>
    <row r="40" spans="2:12">
      <c r="F40" s="173"/>
      <c r="G40" s="173"/>
      <c r="H40" s="173"/>
      <c r="I40" s="173"/>
      <c r="J40" s="173"/>
      <c r="K40" s="173"/>
      <c r="L40" s="173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64"/>
  <sheetViews>
    <sheetView view="pageBreakPreview" topLeftCell="A7" zoomScaleNormal="100" zoomScaleSheetLayoutView="100" workbookViewId="0">
      <selection activeCell="E38" sqref="E38"/>
    </sheetView>
  </sheetViews>
  <sheetFormatPr defaultColWidth="8.85546875" defaultRowHeight="14.45"/>
  <cols>
    <col min="1" max="1" width="48" style="229" customWidth="1"/>
    <col min="2" max="2" width="20.7109375" style="237" customWidth="1"/>
    <col min="3" max="3" width="26.140625" style="229" customWidth="1"/>
    <col min="4" max="4" width="22.140625" style="229" customWidth="1"/>
    <col min="5" max="5" width="24.42578125" style="229" customWidth="1"/>
    <col min="6" max="6" width="21.42578125" style="229" customWidth="1"/>
    <col min="7" max="7" width="23.140625" style="238" customWidth="1"/>
    <col min="8" max="8" width="13.7109375" style="229" bestFit="1" customWidth="1"/>
    <col min="9" max="16384" width="8.85546875" style="229"/>
  </cols>
  <sheetData>
    <row r="1" spans="1:8">
      <c r="A1" s="373" t="s">
        <v>267</v>
      </c>
      <c r="B1" s="374"/>
      <c r="C1" s="374"/>
      <c r="D1" s="374"/>
      <c r="E1" s="374"/>
      <c r="F1" s="375"/>
      <c r="G1" s="376"/>
    </row>
    <row r="2" spans="1:8">
      <c r="A2" s="377" t="s">
        <v>268</v>
      </c>
      <c r="B2" s="378"/>
      <c r="C2" s="378"/>
      <c r="D2" s="378"/>
      <c r="E2" s="378"/>
      <c r="F2" s="379"/>
      <c r="G2" s="380"/>
    </row>
    <row r="3" spans="1:8">
      <c r="A3" s="209"/>
      <c r="B3" s="381" t="s">
        <v>269</v>
      </c>
      <c r="C3" s="216" t="s">
        <v>270</v>
      </c>
      <c r="D3" s="383" t="s">
        <v>271</v>
      </c>
      <c r="E3" s="384"/>
      <c r="F3" s="385" t="s">
        <v>272</v>
      </c>
      <c r="G3" s="387" t="s">
        <v>273</v>
      </c>
    </row>
    <row r="4" spans="1:8" ht="21.75" customHeight="1">
      <c r="A4" s="66"/>
      <c r="B4" s="382"/>
      <c r="C4" s="183">
        <v>2019</v>
      </c>
      <c r="D4" s="184" t="s">
        <v>274</v>
      </c>
      <c r="E4" s="185" t="s">
        <v>275</v>
      </c>
      <c r="F4" s="386"/>
      <c r="G4" s="388"/>
    </row>
    <row r="5" spans="1:8">
      <c r="A5" s="369" t="s">
        <v>276</v>
      </c>
      <c r="B5" s="370"/>
      <c r="C5" s="370"/>
      <c r="D5" s="370"/>
      <c r="E5" s="370"/>
      <c r="F5" s="371"/>
      <c r="G5" s="372"/>
    </row>
    <row r="6" spans="1:8">
      <c r="A6" s="199" t="s">
        <v>277</v>
      </c>
      <c r="B6" s="200" t="s">
        <v>278</v>
      </c>
      <c r="C6" s="198">
        <f>C33</f>
        <v>98409139</v>
      </c>
      <c r="D6" s="198">
        <f>D33</f>
        <v>153985536.19000003</v>
      </c>
      <c r="E6" s="198">
        <f>E33</f>
        <v>175657416.46000001</v>
      </c>
      <c r="F6" s="198" t="e">
        <f>F33</f>
        <v>#REF!</v>
      </c>
      <c r="G6" s="198">
        <f>G33</f>
        <v>92813819771.184998</v>
      </c>
      <c r="H6" s="240" t="e">
        <f>F6-C6</f>
        <v>#REF!</v>
      </c>
    </row>
    <row r="7" spans="1:8">
      <c r="A7" s="199" t="s">
        <v>279</v>
      </c>
      <c r="B7" s="201" t="s">
        <v>280</v>
      </c>
      <c r="C7" s="213">
        <f>C33/C29</f>
        <v>0.14919599732487918</v>
      </c>
      <c r="D7" s="213">
        <f>D33/D29</f>
        <v>0.21974079100548016</v>
      </c>
      <c r="E7" s="213">
        <f>E33/E29</f>
        <v>0.23992254014155917</v>
      </c>
      <c r="F7" s="213" t="e">
        <f>F33/F29</f>
        <v>#REF!</v>
      </c>
      <c r="G7" s="213">
        <f>G33/G29</f>
        <v>0.15852844215836145</v>
      </c>
    </row>
    <row r="8" spans="1:8">
      <c r="A8" s="199" t="s">
        <v>29</v>
      </c>
      <c r="B8" s="201" t="s">
        <v>281</v>
      </c>
      <c r="C8" s="215">
        <f>C34/C29</f>
        <v>0.11007418893107167</v>
      </c>
      <c r="D8" s="215">
        <f>D34/D29</f>
        <v>0.18075964856116333</v>
      </c>
      <c r="E8" s="215">
        <f>E34/E29</f>
        <v>0.20203819807576381</v>
      </c>
      <c r="F8" s="213" t="e">
        <f>F34/F29</f>
        <v>#REF!</v>
      </c>
      <c r="G8" s="213">
        <f>G34/G29</f>
        <v>9.2879021526115629E-2</v>
      </c>
    </row>
    <row r="9" spans="1:8">
      <c r="A9" s="369" t="s">
        <v>282</v>
      </c>
      <c r="B9" s="370"/>
      <c r="C9" s="370"/>
      <c r="D9" s="370"/>
      <c r="E9" s="370"/>
      <c r="F9" s="371"/>
      <c r="G9" s="372"/>
    </row>
    <row r="10" spans="1:8">
      <c r="A10" s="199" t="s">
        <v>283</v>
      </c>
      <c r="B10" s="200" t="s">
        <v>284</v>
      </c>
      <c r="C10" s="215">
        <f>C35/C32</f>
        <v>0</v>
      </c>
      <c r="D10" s="215">
        <f>D35/D32</f>
        <v>6.680461637070903E-2</v>
      </c>
      <c r="E10" s="215">
        <f>E35/E32</f>
        <v>5.8669004320712224E-2</v>
      </c>
      <c r="F10" s="215" t="e">
        <f>F35/F32</f>
        <v>#REF!</v>
      </c>
      <c r="G10" s="215">
        <f>G35/G32</f>
        <v>8.1923115843372349E-2</v>
      </c>
    </row>
    <row r="11" spans="1:8">
      <c r="A11" s="199" t="s">
        <v>139</v>
      </c>
      <c r="B11" s="200" t="s">
        <v>285</v>
      </c>
      <c r="C11" s="213">
        <f>C36/C29</f>
        <v>4.1460676614543251E-2</v>
      </c>
      <c r="D11" s="213">
        <f>D36/D29</f>
        <v>3.450476512838186E-2</v>
      </c>
      <c r="E11" s="213">
        <f>E36/E29</f>
        <v>3.1473270026014293E-2</v>
      </c>
      <c r="F11" s="213" t="e">
        <f>F36/F29</f>
        <v>#REF!</v>
      </c>
      <c r="G11" s="213">
        <f>G36/G29</f>
        <v>0.10331964188281548</v>
      </c>
    </row>
    <row r="12" spans="1:8">
      <c r="A12" s="199" t="s">
        <v>286</v>
      </c>
      <c r="B12" s="200" t="s">
        <v>284</v>
      </c>
      <c r="C12" s="202">
        <f>C38/C31</f>
        <v>8.6859989292853296E-3</v>
      </c>
      <c r="D12" s="202">
        <f>D38/D31</f>
        <v>7.9726879541608467E-3</v>
      </c>
      <c r="E12" s="202">
        <f>E38/E31</f>
        <v>7.8282924204748777E-3</v>
      </c>
      <c r="F12" s="202" t="e">
        <f>F38/F31</f>
        <v>#REF!</v>
      </c>
      <c r="G12" s="202">
        <f>G38/G31</f>
        <v>3.3894147010812434E-2</v>
      </c>
    </row>
    <row r="13" spans="1:8" s="230" customFormat="1">
      <c r="A13" s="203" t="s">
        <v>287</v>
      </c>
      <c r="B13" s="200" t="s">
        <v>288</v>
      </c>
      <c r="C13" s="214">
        <f>C38/C33</f>
        <v>4.2969139278822469E-2</v>
      </c>
      <c r="D13" s="214">
        <f>D38/D33</f>
        <v>2.7460728095802852E-2</v>
      </c>
      <c r="E13" s="214">
        <f>E38/E33</f>
        <v>2.4072737862240561E-2</v>
      </c>
      <c r="F13" s="214" t="e">
        <f>F38/F33</f>
        <v>#REF!</v>
      </c>
      <c r="G13" s="214">
        <f>G38/G33</f>
        <v>0.14648773764078013</v>
      </c>
    </row>
    <row r="14" spans="1:8">
      <c r="A14" s="369" t="s">
        <v>289</v>
      </c>
      <c r="B14" s="370"/>
      <c r="C14" s="370"/>
      <c r="D14" s="370"/>
      <c r="E14" s="370"/>
      <c r="F14" s="371"/>
      <c r="G14" s="372"/>
    </row>
    <row r="15" spans="1:8">
      <c r="A15" s="199" t="s">
        <v>290</v>
      </c>
      <c r="B15" s="200"/>
      <c r="C15" s="215">
        <f>C48/C32</f>
        <v>0.18432222967654191</v>
      </c>
      <c r="D15" s="215">
        <f>D48/D32</f>
        <v>0.12920339640568926</v>
      </c>
      <c r="E15" s="215">
        <f>E48/E32</f>
        <v>0.17383407041543647</v>
      </c>
      <c r="F15" s="215" t="e">
        <f>F48/F32</f>
        <v>#REF!</v>
      </c>
      <c r="G15" s="215">
        <f>G48/G32</f>
        <v>0.17443870315662696</v>
      </c>
    </row>
    <row r="16" spans="1:8">
      <c r="A16" s="199" t="s">
        <v>291</v>
      </c>
      <c r="B16" s="200"/>
      <c r="C16" s="215">
        <f>C49/C44</f>
        <v>0.81230274644767986</v>
      </c>
      <c r="D16" s="215">
        <f>D49/D44</f>
        <v>0.33068826204585827</v>
      </c>
      <c r="E16" s="215">
        <f>E49/E44</f>
        <v>0.33091343328538642</v>
      </c>
      <c r="F16" s="215" t="e">
        <f>F49/F44</f>
        <v>#REF!</v>
      </c>
      <c r="G16" s="215">
        <f>G49/G44</f>
        <v>0.69938820574704474</v>
      </c>
    </row>
    <row r="17" spans="1:9">
      <c r="A17" s="199" t="s">
        <v>292</v>
      </c>
      <c r="B17" s="200"/>
      <c r="C17" s="214">
        <f>C50/C30</f>
        <v>2.2379769613754919E-2</v>
      </c>
      <c r="D17" s="214">
        <f>D50/D30</f>
        <v>8.1626280696577722E-2</v>
      </c>
      <c r="E17" s="214">
        <f>E50/E30</f>
        <v>0.10964544222755615</v>
      </c>
      <c r="F17" s="214" t="e">
        <f>F50/F30</f>
        <v>#REF!</v>
      </c>
      <c r="G17" s="214">
        <f>G50/G30</f>
        <v>3.841044164466715E-2</v>
      </c>
    </row>
    <row r="18" spans="1:9">
      <c r="A18" s="203" t="s">
        <v>293</v>
      </c>
      <c r="B18" s="204"/>
      <c r="C18" s="214">
        <f>C47/C44</f>
        <v>0.32162796115314152</v>
      </c>
      <c r="D18" s="214">
        <f>D47/D44</f>
        <v>0.28452021663262222</v>
      </c>
      <c r="E18" s="214">
        <f>E47/E44</f>
        <v>0.28396283960033991</v>
      </c>
      <c r="F18" s="214" t="e">
        <f>F47/F44</f>
        <v>#REF!</v>
      </c>
      <c r="G18" s="214">
        <f>G47/G44</f>
        <v>0.30079836895724715</v>
      </c>
    </row>
    <row r="19" spans="1:9">
      <c r="A19" s="369" t="s">
        <v>294</v>
      </c>
      <c r="B19" s="370"/>
      <c r="C19" s="370"/>
      <c r="D19" s="370"/>
      <c r="E19" s="370"/>
      <c r="F19" s="371"/>
      <c r="G19" s="372"/>
    </row>
    <row r="20" spans="1:9">
      <c r="A20" s="199" t="s">
        <v>295</v>
      </c>
      <c r="B20" s="205" t="s">
        <v>296</v>
      </c>
      <c r="C20" s="213">
        <f>C40/C41</f>
        <v>0.59313783443023149</v>
      </c>
      <c r="D20" s="213">
        <f>D40/D41</f>
        <v>1.4178168206476982</v>
      </c>
      <c r="E20" s="213">
        <f>E40/E41</f>
        <v>2.0006731708475938</v>
      </c>
      <c r="F20" s="213" t="e">
        <f>F40/F41</f>
        <v>#REF!</v>
      </c>
      <c r="G20" s="213">
        <f>G40/G41</f>
        <v>0.61510570462426006</v>
      </c>
      <c r="I20" s="187"/>
    </row>
    <row r="21" spans="1:9">
      <c r="A21" s="199" t="s">
        <v>297</v>
      </c>
      <c r="B21" s="200" t="s">
        <v>298</v>
      </c>
      <c r="C21" s="213">
        <f>C42/C29</f>
        <v>1.1611646592205726E-5</v>
      </c>
      <c r="D21" s="213">
        <f>D42/D29</f>
        <v>1.1921445449206786E-2</v>
      </c>
      <c r="E21" s="213">
        <f>E42/E29</f>
        <v>1.0282181516231097E-2</v>
      </c>
      <c r="F21" s="213" t="e">
        <f>F42/F29</f>
        <v>#REF!</v>
      </c>
      <c r="G21" s="213">
        <f>G42/G29</f>
        <v>3.6576677282176132E-2</v>
      </c>
      <c r="I21" s="188"/>
    </row>
    <row r="22" spans="1:9">
      <c r="A22" s="199" t="s">
        <v>299</v>
      </c>
      <c r="B22" s="200"/>
      <c r="C22" s="213">
        <f>C40/C29</f>
        <v>6.7680720652838644E-2</v>
      </c>
      <c r="D22" s="213">
        <f>D40/D29</f>
        <v>0.12936886465819566</v>
      </c>
      <c r="E22" s="213">
        <f>E40/E29</f>
        <v>0.15742858586785072</v>
      </c>
      <c r="F22" s="213" t="e">
        <f>F40/F29</f>
        <v>#REF!</v>
      </c>
      <c r="G22" s="213">
        <f>G40/G29</f>
        <v>0.11724056070831325</v>
      </c>
    </row>
    <row r="23" spans="1:9">
      <c r="A23" s="369" t="s">
        <v>300</v>
      </c>
      <c r="B23" s="370"/>
      <c r="C23" s="370"/>
      <c r="D23" s="370"/>
      <c r="E23" s="370"/>
      <c r="F23" s="371"/>
      <c r="G23" s="372"/>
    </row>
    <row r="24" spans="1:9">
      <c r="A24" s="206" t="s">
        <v>301</v>
      </c>
      <c r="B24" s="204" t="s">
        <v>302</v>
      </c>
      <c r="C24" s="214">
        <f>C32/C29</f>
        <v>0.82800207020543437</v>
      </c>
      <c r="D24" s="214">
        <f>D32/D29</f>
        <v>0.86523081232939758</v>
      </c>
      <c r="E24" s="214">
        <f>E32/E29</f>
        <v>0.83846194422529452</v>
      </c>
      <c r="F24" s="214" t="e">
        <f>F32/F29</f>
        <v>#REF!</v>
      </c>
      <c r="G24" s="214">
        <f>G32/G29</f>
        <v>0.75523899350036761</v>
      </c>
    </row>
    <row r="25" spans="1:9">
      <c r="A25" s="206" t="s">
        <v>303</v>
      </c>
      <c r="B25" s="207" t="s">
        <v>304</v>
      </c>
      <c r="C25" s="214">
        <f>C32/C31</f>
        <v>1.1218566531308134</v>
      </c>
      <c r="D25" s="214">
        <f>D32/D31</f>
        <v>1.1431784050820011</v>
      </c>
      <c r="E25" s="214">
        <f>E32/E31</f>
        <v>1.1364592253033425</v>
      </c>
      <c r="F25" s="214" t="e">
        <f>F32/F31</f>
        <v>#REF!</v>
      </c>
      <c r="G25" s="214">
        <f>G32/G31</f>
        <v>1.1023021383861471</v>
      </c>
    </row>
    <row r="26" spans="1:9">
      <c r="A26" s="206" t="s">
        <v>305</v>
      </c>
      <c r="B26" s="207"/>
      <c r="C26" s="214">
        <f>C39/C31</f>
        <v>0.11977916882243211</v>
      </c>
      <c r="D26" s="214">
        <f>D39/D31</f>
        <v>7.9726879541608467E-3</v>
      </c>
      <c r="E26" s="214">
        <f>E39/E31</f>
        <v>7.8282924204748777E-3</v>
      </c>
      <c r="F26" s="214" t="e">
        <f>F39/F31</f>
        <v>#REF!</v>
      </c>
      <c r="G26" s="214">
        <f>G39/G31</f>
        <v>6.7272666508328971E-2</v>
      </c>
    </row>
    <row r="27" spans="1:9">
      <c r="A27" s="206" t="s">
        <v>306</v>
      </c>
      <c r="B27" s="208"/>
      <c r="C27" s="214">
        <f>C46/C44</f>
        <v>0.48412626546975585</v>
      </c>
      <c r="D27" s="214">
        <f>D46/D44</f>
        <v>1.2481243403697214E-2</v>
      </c>
      <c r="E27" s="214">
        <f>E46/E44</f>
        <v>1.1558499799963928E-2</v>
      </c>
      <c r="F27" s="214" t="e">
        <f>F46/F44</f>
        <v>#REF!</v>
      </c>
      <c r="G27" s="214">
        <f>G46/G44</f>
        <v>0.33833568901269484</v>
      </c>
    </row>
    <row r="28" spans="1:9">
      <c r="A28" s="369" t="s">
        <v>307</v>
      </c>
      <c r="B28" s="370"/>
      <c r="C28" s="370">
        <v>2015</v>
      </c>
      <c r="D28" s="370">
        <v>2016</v>
      </c>
      <c r="E28" s="370">
        <v>2017</v>
      </c>
      <c r="F28" s="371"/>
      <c r="G28" s="372" t="s">
        <v>308</v>
      </c>
    </row>
    <row r="29" spans="1:9">
      <c r="A29" s="221" t="s">
        <v>59</v>
      </c>
      <c r="B29" s="210"/>
      <c r="C29" s="217">
        <v>659596375</v>
      </c>
      <c r="D29" s="217">
        <v>700759906.63999999</v>
      </c>
      <c r="E29" s="217">
        <v>732142200.38</v>
      </c>
      <c r="F29" s="217" t="e">
        <f>'SFP-2022'!#REF!</f>
        <v>#REF!</v>
      </c>
      <c r="G29" s="218">
        <v>585471089651.33801</v>
      </c>
    </row>
    <row r="30" spans="1:9">
      <c r="A30" s="221" t="s">
        <v>309</v>
      </c>
      <c r="B30" s="210"/>
      <c r="C30" s="217">
        <v>624882661.5</v>
      </c>
      <c r="D30" s="217">
        <v>669201874.61500001</v>
      </c>
      <c r="E30" s="217">
        <v>695624447.03999996</v>
      </c>
      <c r="F30" s="217" t="e">
        <f>(C29+F29)/2</f>
        <v>#REF!</v>
      </c>
      <c r="G30" s="218">
        <v>569661220979.42395</v>
      </c>
    </row>
    <row r="31" spans="1:9">
      <c r="A31" s="221" t="s">
        <v>60</v>
      </c>
      <c r="B31" s="210"/>
      <c r="C31" s="218">
        <v>486824375</v>
      </c>
      <c r="D31" s="218">
        <v>530380088.16000003</v>
      </c>
      <c r="E31" s="218">
        <v>540163130.46000004</v>
      </c>
      <c r="F31" s="218" t="e">
        <f>'SFP-2022'!#REF!</f>
        <v>#REF!</v>
      </c>
      <c r="G31" s="218">
        <v>401133755504.83002</v>
      </c>
    </row>
    <row r="32" spans="1:9">
      <c r="A32" s="221" t="s">
        <v>310</v>
      </c>
      <c r="B32" s="210"/>
      <c r="C32" s="219">
        <v>546147164</v>
      </c>
      <c r="D32" s="219">
        <v>606319063.26999998</v>
      </c>
      <c r="E32" s="219">
        <v>613873372.77999997</v>
      </c>
      <c r="F32" s="219" t="e">
        <f>'SFP-2022'!#REF!</f>
        <v>#REF!</v>
      </c>
      <c r="G32" s="218">
        <v>442170596471.84003</v>
      </c>
    </row>
    <row r="33" spans="1:7">
      <c r="A33" s="221" t="s">
        <v>114</v>
      </c>
      <c r="B33" s="210"/>
      <c r="C33" s="217">
        <v>98409139</v>
      </c>
      <c r="D33" s="217">
        <v>153985536.19000003</v>
      </c>
      <c r="E33" s="217">
        <v>175657416.46000001</v>
      </c>
      <c r="F33" s="217" t="e">
        <f>Financials!#REF!</f>
        <v>#REF!</v>
      </c>
      <c r="G33" s="218">
        <v>92813819771.184998</v>
      </c>
    </row>
    <row r="34" spans="1:7">
      <c r="A34" s="221" t="s">
        <v>311</v>
      </c>
      <c r="B34" s="210"/>
      <c r="C34" s="217">
        <v>72604536</v>
      </c>
      <c r="D34" s="217">
        <v>126669114.45000003</v>
      </c>
      <c r="E34" s="217">
        <v>147920690.90000001</v>
      </c>
      <c r="F34" s="217" t="e">
        <f>Financials!#REF!</f>
        <v>#REF!</v>
      </c>
      <c r="G34" s="218">
        <v>54377981938.644997</v>
      </c>
    </row>
    <row r="35" spans="1:7">
      <c r="A35" s="221" t="s">
        <v>312</v>
      </c>
      <c r="B35" s="210"/>
      <c r="C35" s="218">
        <v>0</v>
      </c>
      <c r="D35" s="218">
        <v>40504912.420000002</v>
      </c>
      <c r="E35" s="218">
        <v>36015339.560000002</v>
      </c>
      <c r="F35" s="218">
        <f>16172116+14580201+5263023</f>
        <v>36015340</v>
      </c>
      <c r="G35" s="218">
        <v>36223992997.295601</v>
      </c>
    </row>
    <row r="36" spans="1:7">
      <c r="A36" s="221" t="s">
        <v>139</v>
      </c>
      <c r="B36" s="210"/>
      <c r="C36" s="219">
        <v>27347312</v>
      </c>
      <c r="D36" s="219">
        <v>24179555.989999998</v>
      </c>
      <c r="E36" s="219">
        <v>23042909.170000002</v>
      </c>
      <c r="F36" s="219" t="e">
        <f>Financials!#REF!</f>
        <v>#REF!</v>
      </c>
      <c r="G36" s="218">
        <v>60490663315.517998</v>
      </c>
    </row>
    <row r="37" spans="1:7">
      <c r="A37" s="221" t="s">
        <v>140</v>
      </c>
      <c r="B37" s="210"/>
      <c r="C37" s="217">
        <v>5678927</v>
      </c>
      <c r="D37" s="217">
        <v>5703357.4500000002</v>
      </c>
      <c r="E37" s="217">
        <v>5726553.9800000004</v>
      </c>
      <c r="F37" s="219" t="e">
        <f>Financials!#REF!</f>
        <v>#REF!</v>
      </c>
      <c r="G37" s="218">
        <v>17300265302.768002</v>
      </c>
    </row>
    <row r="38" spans="1:7">
      <c r="A38" s="221" t="s">
        <v>313</v>
      </c>
      <c r="B38" s="210"/>
      <c r="C38" s="217">
        <v>4228556</v>
      </c>
      <c r="D38" s="217">
        <v>4228554.9400000004</v>
      </c>
      <c r="E38" s="217">
        <v>4228554.9400000004</v>
      </c>
      <c r="F38" s="217" t="e">
        <f>'SFP-2022'!#REF!+'SFP-2022'!#REF!</f>
        <v>#REF!</v>
      </c>
      <c r="G38" s="218">
        <v>13596086480.08</v>
      </c>
    </row>
    <row r="39" spans="1:7">
      <c r="A39" s="221" t="s">
        <v>186</v>
      </c>
      <c r="B39" s="210"/>
      <c r="C39" s="217">
        <v>58311419</v>
      </c>
      <c r="D39" s="217">
        <v>4228554.9400000004</v>
      </c>
      <c r="E39" s="217">
        <v>4228554.9400000004</v>
      </c>
      <c r="F39" s="217" t="e">
        <f>'SFP-2022'!#REF!</f>
        <v>#REF!</v>
      </c>
      <c r="G39" s="218">
        <v>26985337359.310001</v>
      </c>
    </row>
    <row r="40" spans="1:7">
      <c r="A40" s="221" t="s">
        <v>314</v>
      </c>
      <c r="B40" s="210"/>
      <c r="C40" s="217">
        <v>44641958</v>
      </c>
      <c r="D40" s="217">
        <v>90656513.519999996</v>
      </c>
      <c r="E40" s="217">
        <v>115260111.26000001</v>
      </c>
      <c r="F40" s="217" t="e">
        <f>'SFP-2022'!#REF!+'SFP-2022'!#REF!</f>
        <v>#REF!</v>
      </c>
      <c r="G40" s="218">
        <v>68640958829.230003</v>
      </c>
    </row>
    <row r="41" spans="1:7">
      <c r="A41" s="221" t="s">
        <v>315</v>
      </c>
      <c r="B41" s="210"/>
      <c r="C41" s="217">
        <v>75264054</v>
      </c>
      <c r="D41" s="217">
        <v>63940921.140000001</v>
      </c>
      <c r="E41" s="217">
        <v>57610664.719999999</v>
      </c>
      <c r="F41" s="217" t="e">
        <f>'SFP-2022'!#REF!+'SFP-2022'!#REF!+'SFP-2022'!#REF!-'SFP-2022'!#REF!</f>
        <v>#REF!</v>
      </c>
      <c r="G41" s="218">
        <v>111592134999.235</v>
      </c>
    </row>
    <row r="42" spans="1:7">
      <c r="A42" s="221" t="s">
        <v>316</v>
      </c>
      <c r="B42" s="210"/>
      <c r="C42" s="217">
        <v>7659</v>
      </c>
      <c r="D42" s="217">
        <v>8354071</v>
      </c>
      <c r="E42" s="217">
        <v>7528019</v>
      </c>
      <c r="F42" s="217" t="e">
        <f>'SFP-2022'!#REF!</f>
        <v>#REF!</v>
      </c>
      <c r="G42" s="218">
        <v>21414587104.221001</v>
      </c>
    </row>
    <row r="43" spans="1:7">
      <c r="A43" s="221" t="s">
        <v>317</v>
      </c>
      <c r="B43" s="210"/>
      <c r="C43" s="217">
        <v>512412658.5</v>
      </c>
      <c r="D43" s="217">
        <v>576858696.53999996</v>
      </c>
      <c r="E43" s="217">
        <v>579967320.245</v>
      </c>
      <c r="F43" s="217">
        <f>(C32+E32)/2</f>
        <v>580010268.38999999</v>
      </c>
      <c r="G43" s="218">
        <v>431312247219.79498</v>
      </c>
    </row>
    <row r="44" spans="1:7">
      <c r="A44" s="221" t="s">
        <v>318</v>
      </c>
      <c r="B44" s="210"/>
      <c r="C44" s="217">
        <v>119501967</v>
      </c>
      <c r="D44" s="217">
        <v>93225263.090000004</v>
      </c>
      <c r="E44" s="217">
        <v>125316872.87</v>
      </c>
      <c r="F44" s="217" t="e">
        <f>'SCI-2022'!#REF!</f>
        <v>#REF!</v>
      </c>
      <c r="G44" s="218">
        <v>89459919464.139999</v>
      </c>
    </row>
    <row r="45" spans="1:7">
      <c r="A45" s="221" t="s">
        <v>319</v>
      </c>
      <c r="B45" s="210"/>
      <c r="C45" s="217">
        <v>60865365</v>
      </c>
      <c r="D45" s="217">
        <v>88921234.909999996</v>
      </c>
      <c r="E45" s="217">
        <v>119433171.29000001</v>
      </c>
      <c r="F45" s="217" t="e">
        <f>'SCI-2022'!#REF!</f>
        <v>#REF!</v>
      </c>
      <c r="G45" s="218">
        <v>53897611535.760002</v>
      </c>
    </row>
    <row r="46" spans="1:7">
      <c r="A46" s="221" t="s">
        <v>320</v>
      </c>
      <c r="B46" s="210"/>
      <c r="C46" s="217">
        <v>57854041</v>
      </c>
      <c r="D46" s="217">
        <v>1163567.2</v>
      </c>
      <c r="E46" s="217">
        <v>1448475.05</v>
      </c>
      <c r="F46" s="217" t="e">
        <f>'SCI-2022'!#REF!</f>
        <v>#REF!</v>
      </c>
      <c r="G46" s="218">
        <v>30267483490.919998</v>
      </c>
    </row>
    <row r="47" spans="1:7">
      <c r="A47" s="221" t="s">
        <v>250</v>
      </c>
      <c r="B47" s="210"/>
      <c r="C47" s="217">
        <v>38435174</v>
      </c>
      <c r="D47" s="217">
        <v>26524472.050000001</v>
      </c>
      <c r="E47" s="217">
        <v>35585335.07</v>
      </c>
      <c r="F47" s="217" t="e">
        <f>'SCI-2022'!#REF!</f>
        <v>#REF!</v>
      </c>
      <c r="G47" s="218">
        <v>26909397861.860001</v>
      </c>
    </row>
    <row r="48" spans="1:7">
      <c r="A48" s="221" t="s">
        <v>321</v>
      </c>
      <c r="B48" s="210"/>
      <c r="C48" s="217">
        <v>100667063</v>
      </c>
      <c r="D48" s="217">
        <v>78338482.280000001</v>
      </c>
      <c r="E48" s="217">
        <v>106712107.11</v>
      </c>
      <c r="F48" s="217" t="e">
        <f>'SCI-2022'!#REF!+'SCI-2022'!#REF!</f>
        <v>#REF!</v>
      </c>
      <c r="G48" s="218">
        <v>77131665422.539993</v>
      </c>
    </row>
    <row r="49" spans="1:7">
      <c r="A49" s="221" t="s">
        <v>322</v>
      </c>
      <c r="B49" s="210"/>
      <c r="C49" s="217">
        <v>97071776</v>
      </c>
      <c r="D49" s="217">
        <v>30828500.23</v>
      </c>
      <c r="E49" s="217">
        <v>41469036.649999999</v>
      </c>
      <c r="F49" s="217" t="e">
        <f>'SCI-2022'!#REF!+'SCI-2022'!#REF!+'SCI-2022'!#REF!</f>
        <v>#REF!</v>
      </c>
      <c r="G49" s="218">
        <v>62567212560.300003</v>
      </c>
    </row>
    <row r="50" spans="1:7">
      <c r="A50" s="221" t="s">
        <v>323</v>
      </c>
      <c r="B50" s="210"/>
      <c r="C50" s="217">
        <v>13984730</v>
      </c>
      <c r="D50" s="217">
        <v>54624460.060000002</v>
      </c>
      <c r="E50" s="217">
        <v>76272050.120000005</v>
      </c>
      <c r="F50" s="217" t="e">
        <f>'SCI-2022'!#REF!</f>
        <v>#REF!</v>
      </c>
      <c r="G50" s="218">
        <v>21880939085.66</v>
      </c>
    </row>
    <row r="51" spans="1:7">
      <c r="A51" s="363" t="s">
        <v>324</v>
      </c>
      <c r="B51" s="364"/>
      <c r="C51" s="364"/>
      <c r="D51" s="364"/>
      <c r="E51" s="364"/>
      <c r="F51" s="364"/>
      <c r="G51" s="365"/>
    </row>
    <row r="52" spans="1:7">
      <c r="A52" s="190">
        <v>1</v>
      </c>
      <c r="B52" s="186"/>
      <c r="C52" s="191"/>
      <c r="D52" s="191"/>
      <c r="E52" s="191"/>
      <c r="F52" s="192"/>
      <c r="G52" s="193"/>
    </row>
    <row r="53" spans="1:7">
      <c r="A53" s="190">
        <v>2</v>
      </c>
      <c r="B53" s="186"/>
      <c r="C53" s="191"/>
      <c r="D53" s="191"/>
      <c r="E53" s="191"/>
      <c r="F53" s="192"/>
      <c r="G53" s="193"/>
    </row>
    <row r="54" spans="1:7">
      <c r="A54" s="190">
        <v>3</v>
      </c>
      <c r="B54" s="186"/>
      <c r="C54" s="191"/>
      <c r="D54" s="191"/>
      <c r="E54" s="191"/>
      <c r="F54" s="192"/>
      <c r="G54" s="193"/>
    </row>
    <row r="55" spans="1:7">
      <c r="A55" s="189">
        <v>4</v>
      </c>
      <c r="B55" s="191"/>
      <c r="C55" s="191"/>
      <c r="D55" s="191"/>
      <c r="E55" s="192"/>
      <c r="F55" s="192"/>
      <c r="G55" s="220"/>
    </row>
    <row r="56" spans="1:7">
      <c r="A56" s="211" t="s">
        <v>325</v>
      </c>
      <c r="B56" s="186"/>
      <c r="C56" s="366"/>
      <c r="D56" s="367"/>
      <c r="E56" s="367"/>
      <c r="F56" s="367"/>
      <c r="G56" s="368"/>
    </row>
    <row r="57" spans="1:7">
      <c r="A57" s="211"/>
      <c r="B57" s="186"/>
      <c r="C57" s="194"/>
      <c r="D57" s="194"/>
      <c r="E57" s="195"/>
      <c r="F57" s="195"/>
      <c r="G57" s="196"/>
    </row>
    <row r="58" spans="1:7">
      <c r="A58" s="212" t="s">
        <v>326</v>
      </c>
      <c r="B58" s="197"/>
      <c r="C58" s="366"/>
      <c r="D58" s="367"/>
      <c r="E58" s="367"/>
      <c r="F58" s="367"/>
      <c r="G58" s="368"/>
    </row>
    <row r="59" spans="1:7">
      <c r="A59" s="66"/>
      <c r="B59" s="186"/>
      <c r="C59" s="191"/>
      <c r="D59" s="191"/>
      <c r="E59" s="191"/>
      <c r="F59" s="192"/>
      <c r="G59" s="193"/>
    </row>
    <row r="60" spans="1:7">
      <c r="A60" s="211" t="s">
        <v>327</v>
      </c>
      <c r="B60" s="186"/>
      <c r="C60" s="366"/>
      <c r="D60" s="367"/>
      <c r="E60" s="367"/>
      <c r="F60" s="367"/>
      <c r="G60" s="368"/>
    </row>
    <row r="61" spans="1:7" ht="15" thickBot="1">
      <c r="A61" s="231"/>
      <c r="B61" s="232"/>
      <c r="C61" s="233"/>
      <c r="D61" s="233"/>
      <c r="E61" s="233"/>
      <c r="F61" s="234"/>
      <c r="G61" s="235"/>
    </row>
    <row r="62" spans="1:7">
      <c r="A62" s="236" t="s">
        <v>328</v>
      </c>
    </row>
    <row r="63" spans="1:7">
      <c r="A63" s="230"/>
    </row>
    <row r="64" spans="1:7">
      <c r="A64" s="230"/>
    </row>
  </sheetData>
  <mergeCells count="16">
    <mergeCell ref="A1:G1"/>
    <mergeCell ref="A2:G2"/>
    <mergeCell ref="B3:B4"/>
    <mergeCell ref="D3:E3"/>
    <mergeCell ref="F3:F4"/>
    <mergeCell ref="G3:G4"/>
    <mergeCell ref="A51:G51"/>
    <mergeCell ref="C56:G56"/>
    <mergeCell ref="C58:G58"/>
    <mergeCell ref="C60:G60"/>
    <mergeCell ref="A5:G5"/>
    <mergeCell ref="A9:G9"/>
    <mergeCell ref="A14:G14"/>
    <mergeCell ref="A19:G19"/>
    <mergeCell ref="A23:G23"/>
    <mergeCell ref="A28:G28"/>
  </mergeCells>
  <pageMargins left="0.70866141732283472" right="0.70866141732283472" top="0.74803149606299213" bottom="0.74803149606299213" header="0.31496062992125984" footer="0.31496062992125984"/>
  <pageSetup scale="53" orientation="landscape" r:id="rId1"/>
  <colBreaks count="1" manualBreakCount="1">
    <brk id="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64"/>
  <sheetViews>
    <sheetView topLeftCell="A43" workbookViewId="0">
      <selection sqref="A1:G1"/>
    </sheetView>
  </sheetViews>
  <sheetFormatPr defaultRowHeight="14.45"/>
  <cols>
    <col min="1" max="1" width="42.42578125" customWidth="1"/>
    <col min="2" max="2" width="18" bestFit="1" customWidth="1"/>
    <col min="3" max="3" width="16.7109375" bestFit="1" customWidth="1"/>
    <col min="4" max="4" width="21" bestFit="1" customWidth="1"/>
    <col min="5" max="6" width="16.28515625" bestFit="1" customWidth="1"/>
    <col min="7" max="7" width="31.85546875" bestFit="1" customWidth="1"/>
  </cols>
  <sheetData>
    <row r="1" spans="1:7">
      <c r="A1" s="373" t="s">
        <v>329</v>
      </c>
      <c r="B1" s="374"/>
      <c r="C1" s="374"/>
      <c r="D1" s="374"/>
      <c r="E1" s="374"/>
      <c r="F1" s="375"/>
      <c r="G1" s="376"/>
    </row>
    <row r="2" spans="1:7">
      <c r="A2" s="377" t="s">
        <v>330</v>
      </c>
      <c r="B2" s="378"/>
      <c r="C2" s="378"/>
      <c r="D2" s="378"/>
      <c r="E2" s="378"/>
      <c r="F2" s="379"/>
      <c r="G2" s="380"/>
    </row>
    <row r="3" spans="1:7">
      <c r="A3" s="209"/>
      <c r="B3" s="381" t="s">
        <v>269</v>
      </c>
      <c r="C3" s="216" t="s">
        <v>270</v>
      </c>
      <c r="D3" s="383" t="s">
        <v>271</v>
      </c>
      <c r="E3" s="384"/>
      <c r="F3" s="385" t="s">
        <v>331</v>
      </c>
      <c r="G3" s="387" t="s">
        <v>273</v>
      </c>
    </row>
    <row r="4" spans="1:7" ht="28.9">
      <c r="A4" s="66"/>
      <c r="B4" s="382"/>
      <c r="C4" s="183">
        <v>2018</v>
      </c>
      <c r="D4" s="184" t="s">
        <v>332</v>
      </c>
      <c r="E4" s="185" t="s">
        <v>333</v>
      </c>
      <c r="F4" s="386"/>
      <c r="G4" s="388"/>
    </row>
    <row r="5" spans="1:7">
      <c r="A5" s="369" t="s">
        <v>276</v>
      </c>
      <c r="B5" s="370"/>
      <c r="C5" s="370"/>
      <c r="D5" s="370"/>
      <c r="E5" s="370"/>
      <c r="F5" s="371"/>
      <c r="G5" s="372"/>
    </row>
    <row r="6" spans="1:7">
      <c r="A6" s="199" t="s">
        <v>277</v>
      </c>
      <c r="B6" s="200" t="s">
        <v>278</v>
      </c>
      <c r="C6" s="198">
        <v>92958252</v>
      </c>
      <c r="D6" s="198">
        <v>114415998.61</v>
      </c>
      <c r="E6" s="198">
        <v>127048808.22</v>
      </c>
      <c r="F6" s="198" t="e">
        <f>F33</f>
        <v>#REF!</v>
      </c>
      <c r="G6" s="198">
        <v>85391581296.029007</v>
      </c>
    </row>
    <row r="7" spans="1:7">
      <c r="A7" s="199" t="s">
        <v>279</v>
      </c>
      <c r="B7" s="201" t="s">
        <v>280</v>
      </c>
      <c r="C7" s="213">
        <v>0.15751125557354806</v>
      </c>
      <c r="D7" s="213">
        <v>0.17943558922369865</v>
      </c>
      <c r="E7" s="213">
        <v>0.19275909262397464</v>
      </c>
      <c r="F7" s="213" t="e">
        <f>F6/F29</f>
        <v>#REF!</v>
      </c>
      <c r="G7" s="213">
        <v>0.15597716421648317</v>
      </c>
    </row>
    <row r="8" spans="1:7">
      <c r="A8" s="199" t="s">
        <v>29</v>
      </c>
      <c r="B8" s="201" t="s">
        <v>281</v>
      </c>
      <c r="C8" s="215">
        <v>0.1181899814220656</v>
      </c>
      <c r="D8" s="215">
        <v>0.13976271198356527</v>
      </c>
      <c r="E8" s="215">
        <v>0.15360973590124533</v>
      </c>
      <c r="F8" s="213" t="e">
        <f>F34/F29</f>
        <v>#REF!</v>
      </c>
      <c r="G8" s="213">
        <v>9.1529476530776754E-2</v>
      </c>
    </row>
    <row r="9" spans="1:7">
      <c r="A9" s="369" t="s">
        <v>282</v>
      </c>
      <c r="B9" s="370"/>
      <c r="C9" s="370"/>
      <c r="D9" s="370"/>
      <c r="E9" s="370"/>
      <c r="F9" s="371"/>
      <c r="G9" s="372"/>
    </row>
    <row r="10" spans="1:7">
      <c r="A10" s="199" t="s">
        <v>283</v>
      </c>
      <c r="B10" s="200" t="s">
        <v>284</v>
      </c>
      <c r="C10" s="215">
        <v>0</v>
      </c>
      <c r="D10" s="215">
        <v>5.7997793674342386E-2</v>
      </c>
      <c r="E10" s="215">
        <v>4.9062416773035251E-2</v>
      </c>
      <c r="F10" s="215" t="e">
        <f>F35/F32</f>
        <v>#REF!</v>
      </c>
      <c r="G10" s="215">
        <v>7.3407956508729152E-2</v>
      </c>
    </row>
    <row r="11" spans="1:7">
      <c r="A11" s="199" t="s">
        <v>139</v>
      </c>
      <c r="B11" s="200" t="s">
        <v>285</v>
      </c>
      <c r="C11" s="213">
        <v>5.3369039673703739E-2</v>
      </c>
      <c r="D11" s="213">
        <v>4.313589934198693E-2</v>
      </c>
      <c r="E11" s="213">
        <v>4.1315651335798287E-2</v>
      </c>
      <c r="F11" s="213" t="e">
        <f>F36/F29</f>
        <v>#REF!</v>
      </c>
      <c r="G11" s="213">
        <v>0.10567686658211675</v>
      </c>
    </row>
    <row r="12" spans="1:7">
      <c r="A12" s="199" t="s">
        <v>286</v>
      </c>
      <c r="B12" s="200" t="s">
        <v>284</v>
      </c>
      <c r="C12" s="202">
        <v>0</v>
      </c>
      <c r="D12" s="202">
        <v>8.629787820115465E-3</v>
      </c>
      <c r="E12" s="202">
        <v>8.6830722287846648E-3</v>
      </c>
      <c r="F12" s="202" t="e">
        <f>F38/F31</f>
        <v>#REF!</v>
      </c>
      <c r="G12" s="202">
        <v>3.4924322826732836E-2</v>
      </c>
    </row>
    <row r="13" spans="1:7">
      <c r="A13" s="203" t="s">
        <v>287</v>
      </c>
      <c r="B13" s="200" t="s">
        <v>288</v>
      </c>
      <c r="C13" s="214">
        <v>0</v>
      </c>
      <c r="D13" s="214">
        <v>3.6957724368717991E-2</v>
      </c>
      <c r="E13" s="214">
        <v>3.3282917008381208E-2</v>
      </c>
      <c r="F13" s="214" t="e">
        <f>F38/F33</f>
        <v>#REF!</v>
      </c>
      <c r="G13" s="214">
        <v>0.15379721295547349</v>
      </c>
    </row>
    <row r="14" spans="1:7">
      <c r="A14" s="369" t="s">
        <v>289</v>
      </c>
      <c r="B14" s="370"/>
      <c r="C14" s="370"/>
      <c r="D14" s="370"/>
      <c r="E14" s="370"/>
      <c r="F14" s="371"/>
      <c r="G14" s="372"/>
    </row>
    <row r="15" spans="1:7">
      <c r="A15" s="199" t="s">
        <v>290</v>
      </c>
      <c r="B15" s="200"/>
      <c r="C15" s="215">
        <v>0.1927037977853984</v>
      </c>
      <c r="D15" s="215">
        <v>0.13877868068462679</v>
      </c>
      <c r="E15" s="215">
        <v>0.1873746590727593</v>
      </c>
      <c r="F15" s="215" t="e">
        <f>F48/F32</f>
        <v>#REF!</v>
      </c>
      <c r="G15" s="215">
        <v>0.16090340655515664</v>
      </c>
    </row>
    <row r="16" spans="1:7">
      <c r="A16" s="199" t="s">
        <v>291</v>
      </c>
      <c r="B16" s="200"/>
      <c r="C16" s="215">
        <v>0.79311986141810542</v>
      </c>
      <c r="D16" s="215">
        <v>0.35836604868678473</v>
      </c>
      <c r="E16" s="215">
        <v>0.33974950555086231</v>
      </c>
      <c r="F16" s="215" t="e">
        <f>F49/F44</f>
        <v>#REF!</v>
      </c>
      <c r="G16" s="215">
        <v>0.70779969699627798</v>
      </c>
    </row>
    <row r="17" spans="1:9">
      <c r="A17" s="199" t="s">
        <v>292</v>
      </c>
      <c r="B17" s="200"/>
      <c r="C17" s="214">
        <v>2.7977037909074701E-2</v>
      </c>
      <c r="D17" s="214">
        <v>8.1818348036064151E-2</v>
      </c>
      <c r="E17" s="214">
        <v>0.11400955414054095</v>
      </c>
      <c r="F17" s="214" t="e">
        <f>F50/F30</f>
        <v>#REF!</v>
      </c>
      <c r="G17" s="214">
        <v>3.697597245768388E-2</v>
      </c>
    </row>
    <row r="18" spans="1:9">
      <c r="A18" s="203" t="s">
        <v>293</v>
      </c>
      <c r="B18" s="204"/>
      <c r="C18" s="214">
        <v>0.30200756782358568</v>
      </c>
      <c r="D18" s="214">
        <v>0.31934512643499757</v>
      </c>
      <c r="E18" s="214">
        <v>0.30463818249029551</v>
      </c>
      <c r="F18" s="214" t="e">
        <f>F47/F45</f>
        <v>#REF!</v>
      </c>
      <c r="G18" s="214">
        <v>0.31992696870403498</v>
      </c>
    </row>
    <row r="19" spans="1:9">
      <c r="A19" s="369" t="s">
        <v>294</v>
      </c>
      <c r="B19" s="370"/>
      <c r="C19" s="370"/>
      <c r="D19" s="370"/>
      <c r="E19" s="370"/>
      <c r="F19" s="371"/>
      <c r="G19" s="372"/>
    </row>
    <row r="20" spans="1:9">
      <c r="A20" s="199" t="s">
        <v>295</v>
      </c>
      <c r="B20" s="205" t="s">
        <v>296</v>
      </c>
      <c r="C20" s="213">
        <v>1.1755674252429795</v>
      </c>
      <c r="D20" s="213">
        <v>1.0116662174612125</v>
      </c>
      <c r="E20" s="213">
        <v>1.4570233995613726</v>
      </c>
      <c r="F20" s="213" t="e">
        <f>F40/F41</f>
        <v>#REF!</v>
      </c>
      <c r="G20" s="213">
        <v>0.54995223824859307</v>
      </c>
      <c r="I20" s="187"/>
    </row>
    <row r="21" spans="1:9">
      <c r="A21" s="199" t="s">
        <v>297</v>
      </c>
      <c r="B21" s="200" t="s">
        <v>298</v>
      </c>
      <c r="C21" s="213">
        <v>0</v>
      </c>
      <c r="D21" s="213">
        <v>0</v>
      </c>
      <c r="E21" s="213">
        <v>0</v>
      </c>
      <c r="F21" s="213" t="e">
        <f>F42/F29</f>
        <v>#REF!</v>
      </c>
      <c r="G21" s="213">
        <v>3.9238044622780577E-2</v>
      </c>
      <c r="I21" s="188"/>
    </row>
    <row r="22" spans="1:9">
      <c r="A22" s="199" t="s">
        <v>299</v>
      </c>
      <c r="B22" s="200"/>
      <c r="C22" s="213">
        <v>0.14737887226150706</v>
      </c>
      <c r="D22" s="213">
        <v>0.12043217751163511</v>
      </c>
      <c r="E22" s="213">
        <v>0.14934900214320188</v>
      </c>
      <c r="F22" s="213" t="e">
        <f>F40/F29</f>
        <v>#REF!</v>
      </c>
      <c r="G22" s="213">
        <v>0.11016896486052413</v>
      </c>
    </row>
    <row r="23" spans="1:9">
      <c r="A23" s="369" t="s">
        <v>300</v>
      </c>
      <c r="B23" s="370"/>
      <c r="C23" s="370"/>
      <c r="D23" s="370"/>
      <c r="E23" s="370"/>
      <c r="F23" s="371"/>
      <c r="G23" s="372"/>
    </row>
    <row r="24" spans="1:9">
      <c r="A24" s="206" t="s">
        <v>301</v>
      </c>
      <c r="B24" s="204" t="s">
        <v>302</v>
      </c>
      <c r="C24" s="214">
        <v>0.8110866466664729</v>
      </c>
      <c r="D24" s="214">
        <v>0.85847034543070588</v>
      </c>
      <c r="E24" s="214">
        <v>0.8284869095238564</v>
      </c>
      <c r="F24" s="214" t="e">
        <f>F32/F29</f>
        <v>#REF!</v>
      </c>
      <c r="G24" s="214">
        <v>0.75892187654689014</v>
      </c>
    </row>
    <row r="25" spans="1:9">
      <c r="A25" s="206" t="s">
        <v>303</v>
      </c>
      <c r="B25" s="207" t="s">
        <v>304</v>
      </c>
      <c r="C25" s="214">
        <v>1.1046877794190588</v>
      </c>
      <c r="D25" s="214">
        <v>1.1171503046253162</v>
      </c>
      <c r="E25" s="214">
        <v>1.1213025480680283</v>
      </c>
      <c r="F25" s="214" t="e">
        <f>F32/F31</f>
        <v>#REF!</v>
      </c>
      <c r="G25" s="214">
        <v>1.1048811904759108</v>
      </c>
    </row>
    <row r="26" spans="1:9">
      <c r="A26" s="206" t="s">
        <v>305</v>
      </c>
      <c r="B26" s="207"/>
      <c r="C26" s="214">
        <v>9.7586092112738592E-3</v>
      </c>
      <c r="D26" s="214">
        <v>8.629787820115465E-3</v>
      </c>
      <c r="E26" s="214">
        <v>8.6830722287846648E-3</v>
      </c>
      <c r="F26" s="214" t="e">
        <f>F39/F29</f>
        <v>#REF!</v>
      </c>
      <c r="G26" s="214">
        <v>5.9782934598017992E-2</v>
      </c>
    </row>
    <row r="27" spans="1:9">
      <c r="A27" s="206" t="s">
        <v>306</v>
      </c>
      <c r="B27" s="208"/>
      <c r="C27" s="214">
        <v>0.48814818827257594</v>
      </c>
      <c r="D27" s="214">
        <v>1.203500084899308E-2</v>
      </c>
      <c r="E27" s="214">
        <v>1.2230217070811957E-2</v>
      </c>
      <c r="F27" s="214" t="e">
        <f>F46/F44</f>
        <v>#REF!</v>
      </c>
      <c r="G27" s="214">
        <v>0.3210852746392126</v>
      </c>
    </row>
    <row r="28" spans="1:9">
      <c r="A28" s="369" t="s">
        <v>307</v>
      </c>
      <c r="B28" s="370"/>
      <c r="C28" s="370">
        <v>2015</v>
      </c>
      <c r="D28" s="370">
        <v>2016</v>
      </c>
      <c r="E28" s="370">
        <v>2017</v>
      </c>
      <c r="F28" s="371"/>
      <c r="G28" s="372" t="s">
        <v>308</v>
      </c>
    </row>
    <row r="29" spans="1:9">
      <c r="A29" s="221" t="s">
        <v>59</v>
      </c>
      <c r="B29" s="210"/>
      <c r="C29" s="217">
        <v>590168948</v>
      </c>
      <c r="D29" s="217">
        <v>637643842.59000003</v>
      </c>
      <c r="E29" s="217">
        <v>659106693.70000005</v>
      </c>
      <c r="F29" s="217" t="e">
        <f>'SFP-2022'!#REF!</f>
        <v>#REF!</v>
      </c>
      <c r="G29" s="218">
        <v>547462070649.73102</v>
      </c>
    </row>
    <row r="30" spans="1:9">
      <c r="A30" s="221" t="s">
        <v>309</v>
      </c>
      <c r="B30" s="210"/>
      <c r="C30" s="217">
        <v>564133381.5</v>
      </c>
      <c r="D30" s="217">
        <v>614923991.35000002</v>
      </c>
      <c r="E30" s="217">
        <v>641761675.34000003</v>
      </c>
      <c r="F30" s="217" t="e">
        <f>(F29+C29)/2</f>
        <v>#REF!</v>
      </c>
      <c r="G30" s="218">
        <v>520792906241.42297</v>
      </c>
    </row>
    <row r="31" spans="1:9">
      <c r="A31" s="221" t="s">
        <v>60</v>
      </c>
      <c r="B31" s="210"/>
      <c r="C31" s="218">
        <v>433315333</v>
      </c>
      <c r="D31" s="218">
        <v>489995238.37</v>
      </c>
      <c r="E31" s="218">
        <v>486988341.06</v>
      </c>
      <c r="F31" s="218" t="e">
        <f>'SFP-2022'!#REF!</f>
        <v>#REF!</v>
      </c>
      <c r="G31" s="218">
        <v>376041284417.90002</v>
      </c>
    </row>
    <row r="32" spans="1:9">
      <c r="A32" s="221" t="s">
        <v>310</v>
      </c>
      <c r="B32" s="210"/>
      <c r="C32" s="219">
        <v>478678153</v>
      </c>
      <c r="D32" s="219">
        <v>547398329.80999994</v>
      </c>
      <c r="E32" s="219">
        <v>546061267.71000004</v>
      </c>
      <c r="F32" s="219" t="e">
        <f>'SFP-2022'!#REF!</f>
        <v>#REF!</v>
      </c>
      <c r="G32" s="218">
        <v>415480941995.73999</v>
      </c>
    </row>
    <row r="33" spans="1:7">
      <c r="A33" s="221" t="s">
        <v>114</v>
      </c>
      <c r="B33" s="210"/>
      <c r="C33" s="217">
        <v>92958252</v>
      </c>
      <c r="D33" s="217">
        <v>114415998.61</v>
      </c>
      <c r="E33" s="217">
        <v>127048808.22</v>
      </c>
      <c r="F33" s="217" t="e">
        <f>Financials!#REF!</f>
        <v>#REF!</v>
      </c>
      <c r="G33" s="218">
        <v>85391581296.029007</v>
      </c>
    </row>
    <row r="34" spans="1:7">
      <c r="A34" s="221" t="s">
        <v>311</v>
      </c>
      <c r="B34" s="210"/>
      <c r="C34" s="217">
        <v>69752057</v>
      </c>
      <c r="D34" s="217">
        <v>89118832.719999999</v>
      </c>
      <c r="E34" s="217">
        <v>101245205.15000001</v>
      </c>
      <c r="F34" s="217" t="e">
        <f>Financials!#REF!</f>
        <v>#REF!</v>
      </c>
      <c r="G34" s="218">
        <v>50108916747.025002</v>
      </c>
    </row>
    <row r="35" spans="1:7">
      <c r="A35" s="221" t="s">
        <v>312</v>
      </c>
      <c r="B35" s="210"/>
      <c r="C35" s="218">
        <v>0</v>
      </c>
      <c r="D35" s="218">
        <v>31747895.390000001</v>
      </c>
      <c r="E35" s="218">
        <v>26791085.5</v>
      </c>
      <c r="F35" s="218">
        <f>22604726+734025+3452334</f>
        <v>26791085</v>
      </c>
      <c r="G35" s="218">
        <v>30499606920.229099</v>
      </c>
    </row>
    <row r="36" spans="1:7">
      <c r="A36" s="221" t="s">
        <v>139</v>
      </c>
      <c r="B36" s="210"/>
      <c r="C36" s="219">
        <v>31496750</v>
      </c>
      <c r="D36" s="219">
        <v>27505340.609999999</v>
      </c>
      <c r="E36" s="219">
        <v>27231422.350000001</v>
      </c>
      <c r="F36" s="219" t="e">
        <f>Financials!#REF!</f>
        <v>#REF!</v>
      </c>
      <c r="G36" s="218">
        <v>57854076198.820999</v>
      </c>
    </row>
    <row r="37" spans="1:7">
      <c r="A37" s="221" t="s">
        <v>140</v>
      </c>
      <c r="B37" s="210"/>
      <c r="C37" s="217">
        <v>7005759</v>
      </c>
      <c r="D37" s="217">
        <v>5982262.1699999999</v>
      </c>
      <c r="E37" s="217">
        <v>5325780.8099999996</v>
      </c>
      <c r="F37" s="219" t="e">
        <f>Financials!#REF!</f>
        <v>#REF!</v>
      </c>
      <c r="G37" s="218">
        <v>17751023583.351002</v>
      </c>
    </row>
    <row r="38" spans="1:7">
      <c r="A38" s="221" t="s">
        <v>313</v>
      </c>
      <c r="B38" s="210"/>
      <c r="C38" s="217">
        <v>0</v>
      </c>
      <c r="D38" s="217">
        <v>4228554.9400000004</v>
      </c>
      <c r="E38" s="217">
        <v>4228554.9400000004</v>
      </c>
      <c r="F38" s="217" t="e">
        <f>'SFP-2022'!#REF!+'SFP-2022'!#REF!</f>
        <v>#REF!</v>
      </c>
      <c r="G38" s="218">
        <v>13132987213.190001</v>
      </c>
    </row>
    <row r="39" spans="1:7">
      <c r="A39" s="221" t="s">
        <v>186</v>
      </c>
      <c r="B39" s="210"/>
      <c r="C39" s="217">
        <v>4228555</v>
      </c>
      <c r="D39" s="217">
        <v>4228554.9400000004</v>
      </c>
      <c r="E39" s="217">
        <v>4228554.9400000004</v>
      </c>
      <c r="F39" s="217" t="e">
        <f>'SFP-2022'!#REF!</f>
        <v>#REF!</v>
      </c>
      <c r="G39" s="218">
        <v>22480851512.509998</v>
      </c>
    </row>
    <row r="40" spans="1:7">
      <c r="A40" s="221" t="s">
        <v>314</v>
      </c>
      <c r="B40" s="210"/>
      <c r="C40" s="217">
        <v>86978434</v>
      </c>
      <c r="D40" s="217">
        <v>76792836.439999998</v>
      </c>
      <c r="E40" s="217">
        <v>98436927.010000005</v>
      </c>
      <c r="F40" s="217" t="e">
        <f>'SFP-2022'!#REF!</f>
        <v>#REF!</v>
      </c>
      <c r="G40" s="218">
        <v>60313329623.879997</v>
      </c>
    </row>
    <row r="41" spans="1:7">
      <c r="A41" s="221" t="s">
        <v>315</v>
      </c>
      <c r="B41" s="210"/>
      <c r="C41" s="217">
        <v>73988469</v>
      </c>
      <c r="D41" s="217">
        <v>75907285.540000007</v>
      </c>
      <c r="E41" s="217">
        <v>67560292.469999999</v>
      </c>
      <c r="F41" s="217" t="e">
        <f>'SFP-2022'!#REF!+'SFP-2022'!#REF!+'SFP-2022'!#REF!-'SFP-2022'!#REF!</f>
        <v>#REF!</v>
      </c>
      <c r="G41" s="218">
        <v>109670123020.05901</v>
      </c>
    </row>
    <row r="42" spans="1:7">
      <c r="A42" s="221" t="s">
        <v>316</v>
      </c>
      <c r="B42" s="210"/>
      <c r="C42" s="217">
        <v>0</v>
      </c>
      <c r="D42" s="217">
        <v>0</v>
      </c>
      <c r="E42" s="217">
        <v>0</v>
      </c>
      <c r="F42" s="217" t="e">
        <f>'SFP-2022'!#REF!</f>
        <v>#REF!</v>
      </c>
      <c r="G42" s="218">
        <v>21481341157.433998</v>
      </c>
    </row>
    <row r="43" spans="1:7">
      <c r="A43" s="221" t="s">
        <v>317</v>
      </c>
      <c r="B43" s="210"/>
      <c r="C43" s="217">
        <v>445483841</v>
      </c>
      <c r="D43" s="217">
        <v>504627081.32499999</v>
      </c>
      <c r="E43" s="217">
        <v>512088379.35500002</v>
      </c>
      <c r="F43" s="217" t="e">
        <f>(C32+F32)/2</f>
        <v>#REF!</v>
      </c>
      <c r="G43" s="218">
        <v>393392009454.375</v>
      </c>
    </row>
    <row r="44" spans="1:7">
      <c r="A44" s="221" t="s">
        <v>318</v>
      </c>
      <c r="B44" s="210"/>
      <c r="C44" s="217">
        <v>110748089</v>
      </c>
      <c r="D44" s="217">
        <v>89428467.310000002</v>
      </c>
      <c r="E44" s="217">
        <v>119356968.2</v>
      </c>
      <c r="F44" s="217" t="e">
        <f>'SCI-2022'!#REF!</f>
        <v>#REF!</v>
      </c>
      <c r="G44" s="218">
        <v>79322865013.129898</v>
      </c>
    </row>
    <row r="45" spans="1:7">
      <c r="A45" s="221" t="s">
        <v>319</v>
      </c>
      <c r="B45" s="210"/>
      <c r="C45" s="217">
        <v>56358341</v>
      </c>
      <c r="D45" s="217">
        <v>85938886.040000007</v>
      </c>
      <c r="E45" s="217">
        <v>115166187.13</v>
      </c>
      <c r="F45" s="217" t="e">
        <f>'SCI-2022'!#REF!</f>
        <v>#REF!</v>
      </c>
      <c r="G45" s="218">
        <v>46800235781.199997</v>
      </c>
    </row>
    <row r="46" spans="1:7">
      <c r="A46" s="221" t="s">
        <v>320</v>
      </c>
      <c r="B46" s="210"/>
      <c r="C46" s="217">
        <v>54061479</v>
      </c>
      <c r="D46" s="217">
        <v>1076271.68</v>
      </c>
      <c r="E46" s="217">
        <v>1459761.63</v>
      </c>
      <c r="F46" s="217" t="e">
        <f>'SCI-2022'!#REF!</f>
        <v>#REF!</v>
      </c>
      <c r="G46" s="218">
        <v>25469403897.91</v>
      </c>
    </row>
    <row r="47" spans="1:7">
      <c r="A47" s="221" t="s">
        <v>250</v>
      </c>
      <c r="B47" s="210"/>
      <c r="C47" s="217">
        <v>33446761</v>
      </c>
      <c r="D47" s="217">
        <v>28558545.199999999</v>
      </c>
      <c r="E47" s="217">
        <v>36360689.859999999</v>
      </c>
      <c r="F47" s="217" t="e">
        <f>'SCI-2022'!#REF!</f>
        <v>#REF!</v>
      </c>
      <c r="G47" s="218">
        <v>25377523752.57</v>
      </c>
    </row>
    <row r="48" spans="1:7">
      <c r="A48" s="221" t="s">
        <v>321</v>
      </c>
      <c r="B48" s="210"/>
      <c r="C48" s="217">
        <v>92243098</v>
      </c>
      <c r="D48" s="217">
        <v>75967218.019999996</v>
      </c>
      <c r="E48" s="217">
        <v>102318043.87</v>
      </c>
      <c r="F48" s="217" t="e">
        <f>'SCI-2022'!#REF!</f>
        <v>#REF!</v>
      </c>
      <c r="G48" s="218">
        <v>66852298925.860001</v>
      </c>
    </row>
    <row r="49" spans="1:7">
      <c r="A49" s="221" t="s">
        <v>322</v>
      </c>
      <c r="B49" s="210"/>
      <c r="C49" s="217">
        <v>87836509</v>
      </c>
      <c r="D49" s="217">
        <v>32048126.469999999</v>
      </c>
      <c r="E49" s="217">
        <v>40551470.93</v>
      </c>
      <c r="F49" s="217" t="e">
        <f>'SCI-2022'!#REF!+'SCI-2022'!#REF!</f>
        <v>#REF!</v>
      </c>
      <c r="G49" s="218">
        <v>56144699821.169998</v>
      </c>
    </row>
    <row r="50" spans="1:7">
      <c r="A50" s="221" t="s">
        <v>323</v>
      </c>
      <c r="B50" s="210"/>
      <c r="C50" s="217">
        <v>15782781</v>
      </c>
      <c r="D50" s="217">
        <v>50312065.140000001</v>
      </c>
      <c r="E50" s="217">
        <v>73166962.469999999</v>
      </c>
      <c r="F50" s="217" t="e">
        <f>'SCI-2022'!#REF!</f>
        <v>#REF!</v>
      </c>
      <c r="G50" s="218">
        <v>19256824157.34</v>
      </c>
    </row>
    <row r="51" spans="1:7">
      <c r="A51" s="363" t="s">
        <v>324</v>
      </c>
      <c r="B51" s="364"/>
      <c r="C51" s="364"/>
      <c r="D51" s="364"/>
      <c r="E51" s="364"/>
      <c r="F51" s="364"/>
      <c r="G51" s="365"/>
    </row>
    <row r="52" spans="1:7">
      <c r="A52" s="190">
        <v>1</v>
      </c>
      <c r="B52" s="186"/>
      <c r="C52" s="191"/>
      <c r="D52" s="191"/>
      <c r="E52" s="191"/>
      <c r="F52" s="192"/>
      <c r="G52" s="193"/>
    </row>
    <row r="53" spans="1:7">
      <c r="A53" s="190">
        <v>2</v>
      </c>
      <c r="B53" s="186"/>
      <c r="C53" s="191"/>
      <c r="D53" s="191"/>
      <c r="E53" s="191"/>
      <c r="F53" s="192"/>
      <c r="G53" s="193"/>
    </row>
    <row r="54" spans="1:7">
      <c r="A54" s="190">
        <v>3</v>
      </c>
      <c r="B54" s="186"/>
      <c r="C54" s="191"/>
      <c r="D54" s="191"/>
      <c r="E54" s="191"/>
      <c r="F54" s="192"/>
      <c r="G54" s="193"/>
    </row>
    <row r="55" spans="1:7">
      <c r="A55" s="189">
        <v>4</v>
      </c>
      <c r="B55" s="191"/>
      <c r="C55" s="191"/>
      <c r="D55" s="191"/>
      <c r="E55" s="192"/>
      <c r="F55" s="192"/>
      <c r="G55" s="220"/>
    </row>
    <row r="56" spans="1:7">
      <c r="A56" s="211" t="s">
        <v>325</v>
      </c>
      <c r="B56" s="186"/>
      <c r="C56" s="366"/>
      <c r="D56" s="367"/>
      <c r="E56" s="367"/>
      <c r="F56" s="367"/>
      <c r="G56" s="368"/>
    </row>
    <row r="57" spans="1:7">
      <c r="A57" s="211"/>
      <c r="B57" s="186"/>
      <c r="C57" s="194"/>
      <c r="D57" s="194"/>
      <c r="E57" s="195"/>
      <c r="F57" s="195"/>
      <c r="G57" s="196"/>
    </row>
    <row r="58" spans="1:7">
      <c r="A58" s="212" t="s">
        <v>334</v>
      </c>
      <c r="B58" s="197"/>
      <c r="C58" s="366"/>
      <c r="D58" s="367"/>
      <c r="E58" s="367"/>
      <c r="F58" s="367"/>
      <c r="G58" s="368"/>
    </row>
    <row r="59" spans="1:7">
      <c r="A59" s="66"/>
      <c r="B59" s="186"/>
      <c r="C59" s="191"/>
      <c r="D59" s="191"/>
      <c r="E59" s="191"/>
      <c r="F59" s="192"/>
      <c r="G59" s="193"/>
    </row>
    <row r="60" spans="1:7">
      <c r="A60" s="211" t="s">
        <v>335</v>
      </c>
      <c r="B60" s="186"/>
      <c r="C60" s="366"/>
      <c r="D60" s="367"/>
      <c r="E60" s="367"/>
      <c r="F60" s="367"/>
      <c r="G60" s="368"/>
    </row>
    <row r="61" spans="1:7">
      <c r="A61" s="223"/>
      <c r="B61" s="186"/>
      <c r="C61" s="191"/>
      <c r="D61" s="191"/>
      <c r="E61" s="191"/>
      <c r="F61" s="191"/>
      <c r="G61" s="224"/>
    </row>
    <row r="62" spans="1:7">
      <c r="A62" s="225" t="s">
        <v>328</v>
      </c>
      <c r="B62" s="186"/>
      <c r="C62" s="191"/>
      <c r="D62" s="191"/>
      <c r="E62" s="191"/>
      <c r="F62" s="191"/>
      <c r="G62" s="224"/>
    </row>
    <row r="63" spans="1:7">
      <c r="A63" s="226"/>
      <c r="B63" s="186"/>
      <c r="C63" s="222" t="s">
        <v>336</v>
      </c>
      <c r="D63" s="191"/>
      <c r="E63" s="191"/>
      <c r="F63" s="191"/>
      <c r="G63" s="224"/>
    </row>
    <row r="64" spans="1:7">
      <c r="A64" s="226"/>
      <c r="B64" s="186"/>
      <c r="C64" s="191"/>
      <c r="D64" s="191"/>
      <c r="E64" s="191"/>
      <c r="F64" s="191"/>
      <c r="G64" s="224"/>
    </row>
  </sheetData>
  <mergeCells count="16">
    <mergeCell ref="C58:G58"/>
    <mergeCell ref="C60:G60"/>
    <mergeCell ref="A9:G9"/>
    <mergeCell ref="A5:G5"/>
    <mergeCell ref="A28:G28"/>
    <mergeCell ref="A19:G19"/>
    <mergeCell ref="A23:G23"/>
    <mergeCell ref="A51:G51"/>
    <mergeCell ref="A14:G14"/>
    <mergeCell ref="G3:G4"/>
    <mergeCell ref="B3:B4"/>
    <mergeCell ref="A1:G1"/>
    <mergeCell ref="A2:G2"/>
    <mergeCell ref="C56:G56"/>
    <mergeCell ref="D3:E3"/>
    <mergeCell ref="F3:F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FB27488935CD4FBFBB981DE553EA38" ma:contentTypeVersion="17" ma:contentTypeDescription="Create a new document." ma:contentTypeScope="" ma:versionID="332fa557c6615f9869f6fecf8fd32bdc">
  <xsd:schema xmlns:xsd="http://www.w3.org/2001/XMLSchema" xmlns:xs="http://www.w3.org/2001/XMLSchema" xmlns:p="http://schemas.microsoft.com/office/2006/metadata/properties" xmlns:ns2="6e3db4b3-2b3b-4352-9127-36718d9c05b9" xmlns:ns3="df647032-17c5-4266-af02-4596a72daf50" targetNamespace="http://schemas.microsoft.com/office/2006/metadata/properties" ma:root="true" ma:fieldsID="0ef70def4206780f33c1bc13f4ed6917" ns2:_="" ns3:_="">
    <xsd:import namespace="6e3db4b3-2b3b-4352-9127-36718d9c05b9"/>
    <xsd:import namespace="df647032-17c5-4266-af02-4596a72daf5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Flow_SignoffStatu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3db4b3-2b3b-4352-9127-36718d9c05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2a9480d-a1a4-4d65-9325-9590a28e6ac7}" ma:internalName="TaxCatchAll" ma:showField="CatchAllData" ma:web="6e3db4b3-2b3b-4352-9127-36718d9c05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647032-17c5-4266-af02-4596a72daf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14" nillable="true" ma:displayName="Sign-off status" ma:internalName="Sign_x002d_off_x0020_status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3e1d0d5-9008-431c-be16-ab01e5c392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f647032-17c5-4266-af02-4596a72daf50" xsi:nil="true"/>
    <lcf76f155ced4ddcb4097134ff3c332f xmlns="df647032-17c5-4266-af02-4596a72daf50">
      <Terms xmlns="http://schemas.microsoft.com/office/infopath/2007/PartnerControls"/>
    </lcf76f155ced4ddcb4097134ff3c332f>
    <TaxCatchAll xmlns="6e3db4b3-2b3b-4352-9127-36718d9c05b9" xsi:nil="true"/>
  </documentManagement>
</p:properties>
</file>

<file path=customXml/itemProps1.xml><?xml version="1.0" encoding="utf-8"?>
<ds:datastoreItem xmlns:ds="http://schemas.openxmlformats.org/officeDocument/2006/customXml" ds:itemID="{667CF60C-AA40-4056-AFB3-823907932213}"/>
</file>

<file path=customXml/itemProps2.xml><?xml version="1.0" encoding="utf-8"?>
<ds:datastoreItem xmlns:ds="http://schemas.openxmlformats.org/officeDocument/2006/customXml" ds:itemID="{F1B12125-70F0-418C-B8B1-9F94B441A808}"/>
</file>

<file path=customXml/itemProps3.xml><?xml version="1.0" encoding="utf-8"?>
<ds:datastoreItem xmlns:ds="http://schemas.openxmlformats.org/officeDocument/2006/customXml" ds:itemID="{C26D51F7-76CE-4F2C-ADFA-184B3B0879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wilfred</dc:creator>
  <cp:keywords/>
  <dc:description/>
  <cp:lastModifiedBy>Brian Nzioka</cp:lastModifiedBy>
  <cp:revision/>
  <dcterms:created xsi:type="dcterms:W3CDTF">2012-07-31T14:31:17Z</dcterms:created>
  <dcterms:modified xsi:type="dcterms:W3CDTF">2023-07-20T07:50:49Z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ign-off status">
    <vt:lpwstr/>
  </property>
  <property fmtid="{D5CDD505-2E9C-101B-9397-08002B2CF9AE}" pid="3" name="MSIP_Label_2e417465-7ab2-4d43-aa73-f6726da16fc6_Enabled">
    <vt:lpwstr>true</vt:lpwstr>
  </property>
  <property fmtid="{D5CDD505-2E9C-101B-9397-08002B2CF9AE}" pid="4" name="MSIP_Label_2e417465-7ab2-4d43-aa73-f6726da16fc6_SetDate">
    <vt:lpwstr>2022-09-14T12:47:16Z</vt:lpwstr>
  </property>
  <property fmtid="{D5CDD505-2E9C-101B-9397-08002B2CF9AE}" pid="5" name="MSIP_Label_2e417465-7ab2-4d43-aa73-f6726da16fc6_Method">
    <vt:lpwstr>Privileged</vt:lpwstr>
  </property>
  <property fmtid="{D5CDD505-2E9C-101B-9397-08002B2CF9AE}" pid="6" name="MSIP_Label_2e417465-7ab2-4d43-aa73-f6726da16fc6_Name">
    <vt:lpwstr>Supervision</vt:lpwstr>
  </property>
  <property fmtid="{D5CDD505-2E9C-101B-9397-08002B2CF9AE}" pid="7" name="MSIP_Label_2e417465-7ab2-4d43-aa73-f6726da16fc6_SiteId">
    <vt:lpwstr>d6c8161d-ccd5-4325-b291-dd442c369fe4</vt:lpwstr>
  </property>
  <property fmtid="{D5CDD505-2E9C-101B-9397-08002B2CF9AE}" pid="8" name="MSIP_Label_2e417465-7ab2-4d43-aa73-f6726da16fc6_ActionId">
    <vt:lpwstr>52cce6d0-10ab-4b48-a8ba-6bbeb21248e3</vt:lpwstr>
  </property>
  <property fmtid="{D5CDD505-2E9C-101B-9397-08002B2CF9AE}" pid="9" name="MSIP_Label_2e417465-7ab2-4d43-aa73-f6726da16fc6_ContentBits">
    <vt:lpwstr>0</vt:lpwstr>
  </property>
  <property fmtid="{D5CDD505-2E9C-101B-9397-08002B2CF9AE}" pid="10" name="ContentTypeId">
    <vt:lpwstr>0x010100F4FB27488935CD4FBFBB981DE553EA38</vt:lpwstr>
  </property>
</Properties>
</file>
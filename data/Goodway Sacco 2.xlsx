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04"/>
  <workbookPr/>
  <mc:AlternateContent xmlns:mc="http://schemas.openxmlformats.org/markup-compatibility/2006">
    <mc:Choice Requires="x15">
      <x15ac:absPath xmlns:x15ac="http://schemas.microsoft.com/office/spreadsheetml/2010/11/ac" url="C:\Users\pkiarie\Desktop\Accounts Approval 2023\Good way\"/>
    </mc:Choice>
  </mc:AlternateContent>
  <xr:revisionPtr revIDLastSave="303" documentId="11_753EC55C6EBE3C7FCA5C5E6E12556405473B21A2" xr6:coauthVersionLast="47" xr6:coauthVersionMax="47" xr10:uidLastSave="{44695C28-08B6-4674-9F2A-057908872CED}"/>
  <bookViews>
    <workbookView xWindow="0" yWindow="0" windowWidth="14088" windowHeight="11676" firstSheet="5" activeTab="3" xr2:uid="{00000000-000D-0000-FFFF-FFFF00000000}"/>
  </bookViews>
  <sheets>
    <sheet name="Balance Sheet" sheetId="1" r:id="rId1"/>
    <sheet name="Income Statement" sheetId="2" r:id="rId2"/>
    <sheet name="performance report" sheetId="6" r:id="rId3"/>
    <sheet name="Financials" sheetId="3" r:id="rId4"/>
    <sheet name="FORM 4" sheetId="4" r:id="rId5"/>
    <sheet name="CAEL" sheetId="5" r:id="rId6"/>
  </sheets>
  <externalReferences>
    <externalReference r:id="rId7"/>
    <externalReference r:id="rId8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5" i="3" l="1"/>
  <c r="AJ5" i="3"/>
  <c r="AK5" i="3"/>
  <c r="AL5" i="3"/>
  <c r="AM5" i="3"/>
  <c r="AN5" i="3"/>
  <c r="AI7" i="3"/>
  <c r="AJ7" i="3"/>
  <c r="AK7" i="3"/>
  <c r="AL7" i="3"/>
  <c r="AM7" i="3"/>
  <c r="AN7" i="3"/>
  <c r="AI8" i="3"/>
  <c r="AJ8" i="3"/>
  <c r="AK8" i="3"/>
  <c r="AL8" i="3"/>
  <c r="AM8" i="3"/>
  <c r="AN8" i="3"/>
  <c r="AI9" i="3"/>
  <c r="AJ9" i="3"/>
  <c r="AK9" i="3"/>
  <c r="AL9" i="3"/>
  <c r="AM9" i="3"/>
  <c r="AN9" i="3"/>
  <c r="AI10" i="3"/>
  <c r="AJ10" i="3"/>
  <c r="AK10" i="3"/>
  <c r="AL10" i="3"/>
  <c r="AM10" i="3"/>
  <c r="AN10" i="3"/>
  <c r="AI16" i="3"/>
  <c r="AJ16" i="3"/>
  <c r="AK16" i="3"/>
  <c r="AL16" i="3"/>
  <c r="AM16" i="3"/>
  <c r="AN16" i="3"/>
  <c r="AI18" i="3"/>
  <c r="AJ18" i="3"/>
  <c r="AK18" i="3"/>
  <c r="AL18" i="3"/>
  <c r="AM18" i="3"/>
  <c r="AN18" i="3"/>
  <c r="AI20" i="3"/>
  <c r="AJ20" i="3"/>
  <c r="AK20" i="3"/>
  <c r="AL20" i="3"/>
  <c r="AM20" i="3"/>
  <c r="AN20" i="3"/>
  <c r="AI21" i="3"/>
  <c r="AJ21" i="3"/>
  <c r="AK21" i="3"/>
  <c r="AL21" i="3"/>
  <c r="AM21" i="3"/>
  <c r="AN21" i="3"/>
  <c r="AI26" i="3"/>
  <c r="AJ26" i="3"/>
  <c r="AK26" i="3"/>
  <c r="AL26" i="3"/>
  <c r="AM26" i="3"/>
  <c r="AN26" i="3"/>
  <c r="AI27" i="3"/>
  <c r="AJ27" i="3"/>
  <c r="AK27" i="3"/>
  <c r="AL27" i="3"/>
  <c r="AM27" i="3"/>
  <c r="AN27" i="3"/>
  <c r="AI28" i="3"/>
  <c r="AJ28" i="3"/>
  <c r="AK28" i="3"/>
  <c r="AL28" i="3"/>
  <c r="AM28" i="3"/>
  <c r="AN28" i="3"/>
  <c r="AI29" i="3"/>
  <c r="AJ29" i="3"/>
  <c r="AK29" i="3"/>
  <c r="AL29" i="3"/>
  <c r="AM29" i="3"/>
  <c r="AN29" i="3"/>
  <c r="AI31" i="3"/>
  <c r="AJ31" i="3"/>
  <c r="AK31" i="3"/>
  <c r="AL31" i="3"/>
  <c r="AM31" i="3"/>
  <c r="AN31" i="3"/>
  <c r="AI32" i="3"/>
  <c r="AJ32" i="3"/>
  <c r="AK32" i="3"/>
  <c r="AL32" i="3"/>
  <c r="AM32" i="3"/>
  <c r="AN32" i="3"/>
  <c r="AI34" i="3"/>
  <c r="AJ34" i="3"/>
  <c r="AK34" i="3"/>
  <c r="AL34" i="3"/>
  <c r="AM34" i="3"/>
  <c r="AN34" i="3"/>
  <c r="AI35" i="3"/>
  <c r="AJ35" i="3"/>
  <c r="AK35" i="3"/>
  <c r="AL35" i="3"/>
  <c r="AM35" i="3"/>
  <c r="AN35" i="3"/>
  <c r="AI39" i="3"/>
  <c r="AJ39" i="3"/>
  <c r="AK39" i="3"/>
  <c r="AL39" i="3"/>
  <c r="AM39" i="3"/>
  <c r="AN39" i="3"/>
  <c r="AI40" i="3"/>
  <c r="AJ40" i="3"/>
  <c r="AK40" i="3"/>
  <c r="AL40" i="3"/>
  <c r="AM40" i="3"/>
  <c r="AN40" i="3"/>
  <c r="AI41" i="3"/>
  <c r="AJ41" i="3"/>
  <c r="AK41" i="3"/>
  <c r="AL41" i="3"/>
  <c r="AM41" i="3"/>
  <c r="AN41" i="3"/>
  <c r="AI42" i="3"/>
  <c r="AJ42" i="3"/>
  <c r="AK42" i="3"/>
  <c r="AL42" i="3"/>
  <c r="AM42" i="3"/>
  <c r="AN42" i="3"/>
  <c r="AI45" i="3"/>
  <c r="AJ45" i="3"/>
  <c r="AK45" i="3"/>
  <c r="AL45" i="3"/>
  <c r="AM45" i="3"/>
  <c r="AN45" i="3"/>
  <c r="AI46" i="3"/>
  <c r="AJ46" i="3"/>
  <c r="AK46" i="3"/>
  <c r="AL46" i="3"/>
  <c r="AM46" i="3"/>
  <c r="AN46" i="3"/>
  <c r="AI47" i="3"/>
  <c r="AJ47" i="3"/>
  <c r="AK47" i="3"/>
  <c r="AL47" i="3"/>
  <c r="AM47" i="3"/>
  <c r="AN47" i="3"/>
  <c r="AI48" i="3"/>
  <c r="AJ48" i="3"/>
  <c r="AK48" i="3"/>
  <c r="AL48" i="3"/>
  <c r="AM48" i="3"/>
  <c r="AN48" i="3"/>
  <c r="AI49" i="3"/>
  <c r="AJ49" i="3"/>
  <c r="AK49" i="3"/>
  <c r="AL49" i="3"/>
  <c r="AM49" i="3"/>
  <c r="AN49" i="3"/>
  <c r="AI5" i="2"/>
  <c r="AI8" i="2"/>
  <c r="AI4" i="2" s="1"/>
  <c r="AI21" i="2"/>
  <c r="AI20" i="2"/>
  <c r="AI13" i="2"/>
  <c r="AI24" i="2"/>
  <c r="AI30" i="2"/>
  <c r="AI31" i="2"/>
  <c r="AI34" i="2"/>
  <c r="AI36" i="2"/>
  <c r="AI38" i="2"/>
  <c r="AI13" i="1"/>
  <c r="AI8" i="1"/>
  <c r="AI4" i="1"/>
  <c r="AI26" i="1"/>
  <c r="AI16" i="1"/>
  <c r="AI20" i="1"/>
  <c r="AI53" i="1"/>
  <c r="AI51" i="1"/>
  <c r="AI50" i="1"/>
  <c r="AI44" i="1"/>
  <c r="AI41" i="1"/>
  <c r="AI38" i="1"/>
  <c r="AI30" i="1"/>
  <c r="AI31" i="1"/>
  <c r="AG31" i="2"/>
  <c r="AH31" i="2"/>
  <c r="AH24" i="2"/>
  <c r="AH21" i="2"/>
  <c r="AH13" i="2"/>
  <c r="AH8" i="2"/>
  <c r="AH5" i="2"/>
  <c r="AH4" i="2"/>
  <c r="AH20" i="2" s="1"/>
  <c r="AH30" i="2" s="1"/>
  <c r="AH34" i="2" s="1"/>
  <c r="AH36" i="2" s="1"/>
  <c r="AH38" i="2" s="1"/>
  <c r="AH44" i="1"/>
  <c r="AH41" i="1"/>
  <c r="AH50" i="1" s="1"/>
  <c r="AH31" i="1"/>
  <c r="AH30" i="1"/>
  <c r="AH38" i="1" s="1"/>
  <c r="AH51" i="1" s="1"/>
  <c r="AH20" i="1"/>
  <c r="AH16" i="1"/>
  <c r="AH13" i="1"/>
  <c r="AH8" i="1"/>
  <c r="AH4" i="1"/>
  <c r="AH26" i="1" s="1"/>
  <c r="AH53" i="1" s="1"/>
  <c r="AD3" i="5"/>
  <c r="AE3" i="5"/>
  <c r="AF3" i="5"/>
  <c r="AG3" i="5"/>
  <c r="AA5" i="3"/>
  <c r="AB5" i="3"/>
  <c r="AC5" i="3"/>
  <c r="AD5" i="3"/>
  <c r="AE5" i="3"/>
  <c r="AF5" i="3"/>
  <c r="AG5" i="3"/>
  <c r="AH5" i="3"/>
  <c r="AA7" i="3"/>
  <c r="AB7" i="3"/>
  <c r="AC7" i="3"/>
  <c r="AD7" i="3"/>
  <c r="AE7" i="3"/>
  <c r="AF7" i="3"/>
  <c r="AG7" i="3"/>
  <c r="AH7" i="3"/>
  <c r="AA8" i="3"/>
  <c r="AB8" i="3"/>
  <c r="AC8" i="3"/>
  <c r="AD8" i="3"/>
  <c r="AE8" i="3"/>
  <c r="AF8" i="3"/>
  <c r="AG8" i="3"/>
  <c r="AH8" i="3"/>
  <c r="AA9" i="3"/>
  <c r="AB9" i="3"/>
  <c r="AC9" i="3"/>
  <c r="AD9" i="3"/>
  <c r="AE9" i="3"/>
  <c r="AF9" i="3"/>
  <c r="AG9" i="3"/>
  <c r="AH9" i="3"/>
  <c r="AA10" i="3"/>
  <c r="AB10" i="3"/>
  <c r="AC10" i="3"/>
  <c r="AD10" i="3"/>
  <c r="AE10" i="3"/>
  <c r="AF10" i="3"/>
  <c r="AG10" i="3"/>
  <c r="AH10" i="3"/>
  <c r="AA16" i="3"/>
  <c r="AB16" i="3"/>
  <c r="AC16" i="3"/>
  <c r="AD16" i="3"/>
  <c r="AE16" i="3"/>
  <c r="AF16" i="3"/>
  <c r="AG16" i="3"/>
  <c r="AH16" i="3"/>
  <c r="AA18" i="3"/>
  <c r="AB18" i="3"/>
  <c r="AC18" i="3"/>
  <c r="AD18" i="3"/>
  <c r="AE18" i="3"/>
  <c r="AF18" i="3"/>
  <c r="AG18" i="3"/>
  <c r="AH18" i="3"/>
  <c r="AA20" i="3"/>
  <c r="AB20" i="3"/>
  <c r="AC20" i="3"/>
  <c r="AD20" i="3"/>
  <c r="AE20" i="3"/>
  <c r="AF20" i="3"/>
  <c r="AG20" i="3"/>
  <c r="AH20" i="3"/>
  <c r="AA21" i="3"/>
  <c r="AB21" i="3"/>
  <c r="AC21" i="3"/>
  <c r="AD21" i="3"/>
  <c r="AE21" i="3"/>
  <c r="AF21" i="3"/>
  <c r="AG21" i="3"/>
  <c r="AH21" i="3"/>
  <c r="AA26" i="3"/>
  <c r="AB26" i="3"/>
  <c r="AC26" i="3"/>
  <c r="AD26" i="3"/>
  <c r="AE26" i="3"/>
  <c r="AF26" i="3"/>
  <c r="AG26" i="3"/>
  <c r="AH26" i="3"/>
  <c r="AA27" i="3"/>
  <c r="AB27" i="3"/>
  <c r="AC27" i="3"/>
  <c r="AD27" i="3"/>
  <c r="AE27" i="3"/>
  <c r="AF27" i="3"/>
  <c r="AG27" i="3"/>
  <c r="AH27" i="3"/>
  <c r="AA28" i="3"/>
  <c r="AB28" i="3"/>
  <c r="AC28" i="3"/>
  <c r="AD28" i="3"/>
  <c r="AE28" i="3"/>
  <c r="AF28" i="3"/>
  <c r="AG28" i="3"/>
  <c r="AH28" i="3"/>
  <c r="AA29" i="3"/>
  <c r="AB29" i="3"/>
  <c r="AC29" i="3"/>
  <c r="AD29" i="3"/>
  <c r="AE29" i="3"/>
  <c r="AF29" i="3"/>
  <c r="AG29" i="3"/>
  <c r="AH29" i="3"/>
  <c r="AA31" i="3"/>
  <c r="AB31" i="3"/>
  <c r="AC31" i="3"/>
  <c r="AD31" i="3"/>
  <c r="AE31" i="3"/>
  <c r="AF31" i="3"/>
  <c r="AG31" i="3"/>
  <c r="AH31" i="3"/>
  <c r="AA32" i="3"/>
  <c r="AB32" i="3"/>
  <c r="AC32" i="3"/>
  <c r="AD32" i="3"/>
  <c r="AE32" i="3"/>
  <c r="AF32" i="3"/>
  <c r="AG32" i="3"/>
  <c r="AH32" i="3"/>
  <c r="AA34" i="3"/>
  <c r="AB34" i="3"/>
  <c r="AC34" i="3"/>
  <c r="AD34" i="3"/>
  <c r="AE34" i="3"/>
  <c r="AF34" i="3"/>
  <c r="AG34" i="3"/>
  <c r="AH34" i="3"/>
  <c r="AA35" i="3"/>
  <c r="AB35" i="3"/>
  <c r="AC35" i="3"/>
  <c r="AD35" i="3"/>
  <c r="AE35" i="3"/>
  <c r="AF35" i="3"/>
  <c r="AG35" i="3"/>
  <c r="AH35" i="3"/>
  <c r="AA39" i="3"/>
  <c r="AB39" i="3"/>
  <c r="AC39" i="3"/>
  <c r="AD39" i="3"/>
  <c r="AE39" i="3"/>
  <c r="AF39" i="3"/>
  <c r="AG39" i="3"/>
  <c r="AH39" i="3"/>
  <c r="AA40" i="3"/>
  <c r="AB40" i="3"/>
  <c r="AC40" i="3"/>
  <c r="AD40" i="3"/>
  <c r="AE40" i="3"/>
  <c r="AF40" i="3"/>
  <c r="AG40" i="3"/>
  <c r="AH40" i="3"/>
  <c r="AA41" i="3"/>
  <c r="AB41" i="3"/>
  <c r="AC41" i="3"/>
  <c r="AD41" i="3"/>
  <c r="AE41" i="3"/>
  <c r="AF41" i="3"/>
  <c r="AG41" i="3"/>
  <c r="AH41" i="3"/>
  <c r="AA42" i="3"/>
  <c r="AB42" i="3"/>
  <c r="AC42" i="3"/>
  <c r="AD42" i="3"/>
  <c r="AE42" i="3"/>
  <c r="AF42" i="3"/>
  <c r="AG42" i="3"/>
  <c r="AH42" i="3"/>
  <c r="AA45" i="3"/>
  <c r="AB45" i="3"/>
  <c r="AC45" i="3"/>
  <c r="AD45" i="3"/>
  <c r="AE45" i="3"/>
  <c r="AF45" i="3"/>
  <c r="AG45" i="3"/>
  <c r="AH45" i="3"/>
  <c r="AA46" i="3"/>
  <c r="AB46" i="3"/>
  <c r="AC46" i="3"/>
  <c r="AD46" i="3"/>
  <c r="AE46" i="3"/>
  <c r="AF46" i="3"/>
  <c r="AG46" i="3"/>
  <c r="AH46" i="3"/>
  <c r="AA47" i="3"/>
  <c r="AB47" i="3"/>
  <c r="AC47" i="3"/>
  <c r="AD47" i="3"/>
  <c r="AE47" i="3"/>
  <c r="AF47" i="3"/>
  <c r="AG47" i="3"/>
  <c r="AH47" i="3"/>
  <c r="AA48" i="3"/>
  <c r="AB48" i="3"/>
  <c r="AC48" i="3"/>
  <c r="AD48" i="3"/>
  <c r="AE48" i="3"/>
  <c r="AF48" i="3"/>
  <c r="AG48" i="3"/>
  <c r="AH48" i="3"/>
  <c r="AA49" i="3"/>
  <c r="AB49" i="3"/>
  <c r="AC49" i="3"/>
  <c r="AD49" i="3"/>
  <c r="AE49" i="3"/>
  <c r="AF49" i="3"/>
  <c r="AG49" i="3"/>
  <c r="AH49" i="3"/>
  <c r="AG24" i="2"/>
  <c r="AG21" i="2"/>
  <c r="AG13" i="2"/>
  <c r="AG8" i="2"/>
  <c r="AG5" i="2"/>
  <c r="AG4" i="2"/>
  <c r="AG20" i="2" s="1"/>
  <c r="AG30" i="2" s="1"/>
  <c r="AG34" i="2" s="1"/>
  <c r="AG36" i="2" s="1"/>
  <c r="AG38" i="2" s="1"/>
  <c r="AG44" i="1"/>
  <c r="AG41" i="1"/>
  <c r="AG50" i="1" s="1"/>
  <c r="AG31" i="1"/>
  <c r="AG30" i="1"/>
  <c r="AG38" i="1" s="1"/>
  <c r="AG51" i="1" s="1"/>
  <c r="AG20" i="1"/>
  <c r="AG16" i="1"/>
  <c r="AG13" i="1"/>
  <c r="AG8" i="1"/>
  <c r="AG4" i="1"/>
  <c r="AG26" i="1" s="1"/>
  <c r="AG53" i="1" s="1"/>
  <c r="AB53" i="1"/>
  <c r="AC53" i="1"/>
  <c r="AD53" i="1"/>
  <c r="AE53" i="1"/>
  <c r="AF53" i="1"/>
  <c r="AD44" i="1"/>
  <c r="AE44" i="1"/>
  <c r="AF44" i="1"/>
  <c r="AD41" i="1"/>
  <c r="AD50" i="1" s="1"/>
  <c r="AE41" i="1"/>
  <c r="AE50" i="1" s="1"/>
  <c r="AF41" i="1"/>
  <c r="AF50" i="1" s="1"/>
  <c r="AD31" i="1"/>
  <c r="AE31" i="1"/>
  <c r="AF31" i="1"/>
  <c r="AD30" i="1"/>
  <c r="AD38" i="1" s="1"/>
  <c r="AD51" i="1" s="1"/>
  <c r="AE30" i="1"/>
  <c r="AE38" i="1" s="1"/>
  <c r="AE51" i="1" s="1"/>
  <c r="AF30" i="1"/>
  <c r="AF38" i="1" s="1"/>
  <c r="AF51" i="1" s="1"/>
  <c r="AD20" i="1"/>
  <c r="AE20" i="1"/>
  <c r="AF20" i="1"/>
  <c r="AD16" i="1"/>
  <c r="AE16" i="1"/>
  <c r="AF16" i="1"/>
  <c r="AD13" i="1"/>
  <c r="AE13" i="1"/>
  <c r="AF13" i="1"/>
  <c r="AD8" i="1"/>
  <c r="AE8" i="1"/>
  <c r="AF8" i="1"/>
  <c r="AD4" i="1"/>
  <c r="AD26" i="1" s="1"/>
  <c r="AE4" i="1"/>
  <c r="AE26" i="1" s="1"/>
  <c r="AF4" i="1"/>
  <c r="AF26" i="1" s="1"/>
  <c r="Y31" i="2"/>
  <c r="Z31" i="2"/>
  <c r="AA31" i="2"/>
  <c r="AB31" i="2"/>
  <c r="AC31" i="2"/>
  <c r="AD31" i="2"/>
  <c r="AE31" i="2"/>
  <c r="AF31" i="2"/>
  <c r="AD24" i="2"/>
  <c r="AE24" i="2"/>
  <c r="AF24" i="2"/>
  <c r="AD21" i="2"/>
  <c r="AE21" i="2"/>
  <c r="AF21" i="2"/>
  <c r="AD13" i="2"/>
  <c r="AE13" i="2"/>
  <c r="AF13" i="2"/>
  <c r="AD8" i="2"/>
  <c r="AE8" i="2"/>
  <c r="AF8" i="2"/>
  <c r="AD5" i="2"/>
  <c r="AE5" i="2"/>
  <c r="AF5" i="2"/>
  <c r="AD4" i="2"/>
  <c r="AD20" i="2" s="1"/>
  <c r="AD30" i="2" s="1"/>
  <c r="AD34" i="2" s="1"/>
  <c r="AD36" i="2" s="1"/>
  <c r="AD38" i="2" s="1"/>
  <c r="AE4" i="2"/>
  <c r="AE20" i="2" s="1"/>
  <c r="AE30" i="2" s="1"/>
  <c r="AE34" i="2" s="1"/>
  <c r="AE36" i="2" s="1"/>
  <c r="AE38" i="2" s="1"/>
  <c r="AF4" i="2"/>
  <c r="AF20" i="2" s="1"/>
  <c r="AF30" i="2" s="1"/>
  <c r="AF34" i="2" s="1"/>
  <c r="AF36" i="2" s="1"/>
  <c r="AF38" i="2" s="1"/>
  <c r="AC23" i="2"/>
  <c r="AC21" i="2" s="1"/>
  <c r="AC25" i="2"/>
  <c r="AC6" i="2"/>
  <c r="AC33" i="1"/>
  <c r="AC43" i="1"/>
  <c r="AC41" i="1" s="1"/>
  <c r="AC36" i="1"/>
  <c r="AC22" i="1"/>
  <c r="AC20" i="1" s="1"/>
  <c r="AC7" i="1"/>
  <c r="AC6" i="1"/>
  <c r="AC4" i="1" s="1"/>
  <c r="AC5" i="2"/>
  <c r="AC8" i="2"/>
  <c r="AC13" i="2"/>
  <c r="AC8" i="1"/>
  <c r="AC13" i="1"/>
  <c r="AC16" i="1"/>
  <c r="AC30" i="1"/>
  <c r="AC44" i="1"/>
  <c r="AN25" i="3" l="1"/>
  <c r="AM25" i="3"/>
  <c r="AL25" i="3"/>
  <c r="AK25" i="3"/>
  <c r="AJ25" i="3"/>
  <c r="AI25" i="3"/>
  <c r="AN15" i="3"/>
  <c r="AN13" i="3" s="1"/>
  <c r="AN14" i="3" s="1"/>
  <c r="AM15" i="3"/>
  <c r="AM13" i="3" s="1"/>
  <c r="AM14" i="3" s="1"/>
  <c r="AL15" i="3"/>
  <c r="AL13" i="3" s="1"/>
  <c r="AL14" i="3" s="1"/>
  <c r="AK15" i="3"/>
  <c r="AK13" i="3" s="1"/>
  <c r="AK14" i="3" s="1"/>
  <c r="AJ15" i="3"/>
  <c r="AJ13" i="3" s="1"/>
  <c r="AJ14" i="3" s="1"/>
  <c r="AI15" i="3"/>
  <c r="AI13" i="3" s="1"/>
  <c r="AI14" i="3" s="1"/>
  <c r="AN6" i="3"/>
  <c r="AM6" i="3"/>
  <c r="AL6" i="3"/>
  <c r="AK6" i="3"/>
  <c r="AJ6" i="3"/>
  <c r="AI6" i="3"/>
  <c r="AH25" i="3"/>
  <c r="AG25" i="3"/>
  <c r="AF25" i="3"/>
  <c r="AE25" i="3"/>
  <c r="AD25" i="3"/>
  <c r="AC25" i="3"/>
  <c r="AB25" i="3"/>
  <c r="AA25" i="3"/>
  <c r="AH15" i="3"/>
  <c r="AH13" i="3" s="1"/>
  <c r="AH14" i="3" s="1"/>
  <c r="AG15" i="3"/>
  <c r="AG13" i="3" s="1"/>
  <c r="AG14" i="3" s="1"/>
  <c r="AF15" i="3"/>
  <c r="AF13" i="3" s="1"/>
  <c r="AF14" i="3" s="1"/>
  <c r="AE15" i="3"/>
  <c r="AE13" i="3" s="1"/>
  <c r="AE14" i="3" s="1"/>
  <c r="AD15" i="3"/>
  <c r="AD13" i="3" s="1"/>
  <c r="AD14" i="3" s="1"/>
  <c r="AC15" i="3"/>
  <c r="AC13" i="3" s="1"/>
  <c r="AC14" i="3" s="1"/>
  <c r="AB15" i="3"/>
  <c r="AB13" i="3" s="1"/>
  <c r="AB14" i="3" s="1"/>
  <c r="AA15" i="3"/>
  <c r="AA13" i="3" s="1"/>
  <c r="AA14" i="3" s="1"/>
  <c r="AH6" i="3"/>
  <c r="AG6" i="3"/>
  <c r="AF6" i="3"/>
  <c r="AE6" i="3"/>
  <c r="AD6" i="3"/>
  <c r="AC6" i="3"/>
  <c r="AB6" i="3"/>
  <c r="AA6" i="3"/>
  <c r="AC31" i="1"/>
  <c r="AC38" i="1" s="1"/>
  <c r="AC4" i="2"/>
  <c r="AC20" i="2" s="1"/>
  <c r="AC24" i="2"/>
  <c r="AC50" i="1"/>
  <c r="AC26" i="1"/>
  <c r="AB43" i="1"/>
  <c r="AB41" i="1" s="1"/>
  <c r="AB33" i="1"/>
  <c r="AB36" i="1"/>
  <c r="AB22" i="1"/>
  <c r="AB11" i="1"/>
  <c r="AB14" i="1"/>
  <c r="AB25" i="1"/>
  <c r="AB7" i="1"/>
  <c r="AB5" i="1"/>
  <c r="AB6" i="1"/>
  <c r="AB12" i="2"/>
  <c r="AB7" i="2"/>
  <c r="AB28" i="2"/>
  <c r="AB29" i="2" s="1"/>
  <c r="AB26" i="2"/>
  <c r="AB10" i="2"/>
  <c r="AB6" i="2"/>
  <c r="Q8" i="5"/>
  <c r="R8" i="5"/>
  <c r="S8" i="5"/>
  <c r="T8" i="5"/>
  <c r="U8" i="5"/>
  <c r="V8" i="5"/>
  <c r="W8" i="5"/>
  <c r="X8" i="5"/>
  <c r="Y8" i="5"/>
  <c r="Z8" i="5"/>
  <c r="AA8" i="5"/>
  <c r="AB8" i="5"/>
  <c r="AC8" i="5"/>
  <c r="AC12" i="5"/>
  <c r="AC13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C6" i="5"/>
  <c r="AC4" i="5"/>
  <c r="AC3" i="5"/>
  <c r="W45" i="3"/>
  <c r="X45" i="3"/>
  <c r="Y45" i="3"/>
  <c r="Z45" i="3"/>
  <c r="W46" i="3"/>
  <c r="X46" i="3"/>
  <c r="Y46" i="3"/>
  <c r="Z46" i="3"/>
  <c r="W47" i="3"/>
  <c r="X47" i="3"/>
  <c r="Y47" i="3"/>
  <c r="Z47" i="3"/>
  <c r="W49" i="3"/>
  <c r="X49" i="3"/>
  <c r="Y49" i="3"/>
  <c r="Z49" i="3"/>
  <c r="W39" i="3"/>
  <c r="X39" i="3"/>
  <c r="Y39" i="3"/>
  <c r="Z39" i="3"/>
  <c r="W40" i="3"/>
  <c r="X40" i="3"/>
  <c r="Y40" i="3"/>
  <c r="Z40" i="3"/>
  <c r="W42" i="3"/>
  <c r="X42" i="3"/>
  <c r="Y42" i="3"/>
  <c r="Z42" i="3"/>
  <c r="W31" i="3"/>
  <c r="X31" i="3"/>
  <c r="Y31" i="3"/>
  <c r="Z31" i="3"/>
  <c r="W32" i="3"/>
  <c r="X32" i="3"/>
  <c r="Y32" i="3"/>
  <c r="Z32" i="3"/>
  <c r="W26" i="3"/>
  <c r="X26" i="3"/>
  <c r="Y26" i="3"/>
  <c r="Z26" i="3"/>
  <c r="W27" i="3"/>
  <c r="X27" i="3"/>
  <c r="Y27" i="3"/>
  <c r="Z27" i="3"/>
  <c r="W28" i="3"/>
  <c r="X28" i="3"/>
  <c r="Y28" i="3"/>
  <c r="Z28" i="3"/>
  <c r="W29" i="3"/>
  <c r="X29" i="3"/>
  <c r="Y29" i="3"/>
  <c r="Z29" i="3"/>
  <c r="W21" i="3"/>
  <c r="X21" i="3"/>
  <c r="Y21" i="3"/>
  <c r="Z21" i="3"/>
  <c r="W20" i="3"/>
  <c r="X20" i="3"/>
  <c r="Y20" i="3"/>
  <c r="Z20" i="3"/>
  <c r="W16" i="3"/>
  <c r="X16" i="3"/>
  <c r="Y16" i="3"/>
  <c r="Z16" i="3"/>
  <c r="W10" i="3"/>
  <c r="X10" i="3"/>
  <c r="Y10" i="3"/>
  <c r="Z10" i="3"/>
  <c r="W9" i="3"/>
  <c r="X9" i="3"/>
  <c r="Y9" i="3"/>
  <c r="Z9" i="3"/>
  <c r="W8" i="3"/>
  <c r="X8" i="3"/>
  <c r="Y8" i="3"/>
  <c r="Z8" i="3"/>
  <c r="W7" i="3"/>
  <c r="X7" i="3"/>
  <c r="Y7" i="3"/>
  <c r="Z7" i="3"/>
  <c r="W6" i="3"/>
  <c r="X6" i="3"/>
  <c r="Y6" i="3"/>
  <c r="Z6" i="3"/>
  <c r="AC5" i="5"/>
  <c r="Y44" i="1"/>
  <c r="Z44" i="1"/>
  <c r="AA44" i="1"/>
  <c r="AB44" i="1"/>
  <c r="Y41" i="1"/>
  <c r="Z41" i="1"/>
  <c r="AA41" i="1"/>
  <c r="X41" i="1"/>
  <c r="W18" i="3" s="1"/>
  <c r="W15" i="3" s="1"/>
  <c r="X44" i="1"/>
  <c r="X50" i="1"/>
  <c r="Y31" i="1"/>
  <c r="Z31" i="1"/>
  <c r="AA31" i="1"/>
  <c r="AB31" i="1"/>
  <c r="Y30" i="1"/>
  <c r="Z30" i="1"/>
  <c r="AA30" i="1"/>
  <c r="AB30" i="1"/>
  <c r="Y20" i="1"/>
  <c r="Z20" i="1"/>
  <c r="AA20" i="1"/>
  <c r="AB20" i="1"/>
  <c r="Y16" i="1"/>
  <c r="X34" i="3" s="1"/>
  <c r="Z16" i="1"/>
  <c r="Y34" i="3" s="1"/>
  <c r="AA16" i="1"/>
  <c r="Z34" i="3" s="1"/>
  <c r="AB16" i="1"/>
  <c r="Y13" i="1"/>
  <c r="Z13" i="1"/>
  <c r="AA13" i="1"/>
  <c r="AB13" i="1"/>
  <c r="Y8" i="1"/>
  <c r="Z8" i="1"/>
  <c r="AA8" i="1"/>
  <c r="AB8" i="1"/>
  <c r="Y4" i="1"/>
  <c r="Y26" i="1" s="1"/>
  <c r="Z4" i="1"/>
  <c r="Z26" i="1" s="1"/>
  <c r="AA4" i="1"/>
  <c r="AA26" i="1" s="1"/>
  <c r="AB4" i="1"/>
  <c r="AB26" i="1" s="1"/>
  <c r="Y24" i="2"/>
  <c r="Z24" i="2"/>
  <c r="AA24" i="2"/>
  <c r="AB24" i="2"/>
  <c r="Y21" i="2"/>
  <c r="Z21" i="2"/>
  <c r="AA21" i="2"/>
  <c r="AB21" i="2"/>
  <c r="Y13" i="2"/>
  <c r="Z13" i="2"/>
  <c r="AA13" i="2"/>
  <c r="AB13" i="2"/>
  <c r="Y8" i="2"/>
  <c r="X41" i="3" s="1"/>
  <c r="Z8" i="2"/>
  <c r="Y41" i="3" s="1"/>
  <c r="AA8" i="2"/>
  <c r="Z41" i="3" s="1"/>
  <c r="AB8" i="2"/>
  <c r="Y5" i="2"/>
  <c r="Y4" i="2" s="1"/>
  <c r="Y20" i="2" s="1"/>
  <c r="Y30" i="2" s="1"/>
  <c r="Z5" i="2"/>
  <c r="Z4" i="2" s="1"/>
  <c r="Z20" i="2" s="1"/>
  <c r="Z30" i="2" s="1"/>
  <c r="AA5" i="2"/>
  <c r="AA4" i="2" s="1"/>
  <c r="AA20" i="2" s="1"/>
  <c r="AA30" i="2" s="1"/>
  <c r="AB5" i="2"/>
  <c r="AB4" i="2" s="1"/>
  <c r="X5" i="2"/>
  <c r="X8" i="2"/>
  <c r="W41" i="3" s="1"/>
  <c r="X13" i="2"/>
  <c r="X21" i="2"/>
  <c r="X24" i="2"/>
  <c r="X31" i="2"/>
  <c r="X4" i="1"/>
  <c r="X8" i="1"/>
  <c r="X13" i="1"/>
  <c r="X16" i="1"/>
  <c r="X20" i="1"/>
  <c r="X26" i="1"/>
  <c r="X30" i="1"/>
  <c r="X31" i="1"/>
  <c r="X38" i="1"/>
  <c r="X51" i="1" s="1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D31" i="2"/>
  <c r="E31" i="2"/>
  <c r="F31" i="2"/>
  <c r="G31" i="2"/>
  <c r="C31" i="2"/>
  <c r="T7" i="3"/>
  <c r="U7" i="3"/>
  <c r="V7" i="3"/>
  <c r="T8" i="3"/>
  <c r="U8" i="3"/>
  <c r="V8" i="3"/>
  <c r="T9" i="3"/>
  <c r="U9" i="3"/>
  <c r="V9" i="3"/>
  <c r="T10" i="3"/>
  <c r="U10" i="3"/>
  <c r="V10" i="3"/>
  <c r="T16" i="3"/>
  <c r="U16" i="3"/>
  <c r="V16" i="3"/>
  <c r="T20" i="3"/>
  <c r="U20" i="3"/>
  <c r="V20" i="3"/>
  <c r="T21" i="3"/>
  <c r="U21" i="3"/>
  <c r="V21" i="3"/>
  <c r="T26" i="3"/>
  <c r="U26" i="3"/>
  <c r="V26" i="3"/>
  <c r="T27" i="3"/>
  <c r="U27" i="3"/>
  <c r="V27" i="3"/>
  <c r="T28" i="3"/>
  <c r="U28" i="3"/>
  <c r="V28" i="3"/>
  <c r="T29" i="3"/>
  <c r="U29" i="3"/>
  <c r="V29" i="3"/>
  <c r="T31" i="3"/>
  <c r="U31" i="3"/>
  <c r="V31" i="3"/>
  <c r="T32" i="3"/>
  <c r="U32" i="3"/>
  <c r="V32" i="3"/>
  <c r="T39" i="3"/>
  <c r="U39" i="3"/>
  <c r="V39" i="3"/>
  <c r="T40" i="3"/>
  <c r="U40" i="3"/>
  <c r="V40" i="3"/>
  <c r="T42" i="3"/>
  <c r="U42" i="3"/>
  <c r="V42" i="3"/>
  <c r="T45" i="3"/>
  <c r="U45" i="3"/>
  <c r="V45" i="3"/>
  <c r="T46" i="3"/>
  <c r="U46" i="3"/>
  <c r="V46" i="3"/>
  <c r="T47" i="3"/>
  <c r="U47" i="3"/>
  <c r="V47" i="3"/>
  <c r="T49" i="3"/>
  <c r="U49" i="3"/>
  <c r="V49" i="3"/>
  <c r="O7" i="3"/>
  <c r="P7" i="3"/>
  <c r="Q7" i="3"/>
  <c r="R7" i="3"/>
  <c r="S7" i="3"/>
  <c r="O8" i="3"/>
  <c r="P8" i="3"/>
  <c r="Q8" i="3"/>
  <c r="R8" i="3"/>
  <c r="S8" i="3"/>
  <c r="O9" i="3"/>
  <c r="P9" i="3"/>
  <c r="Q9" i="3"/>
  <c r="R9" i="3"/>
  <c r="S9" i="3"/>
  <c r="O10" i="3"/>
  <c r="P10" i="3"/>
  <c r="Q10" i="3"/>
  <c r="R10" i="3"/>
  <c r="S10" i="3"/>
  <c r="O16" i="3"/>
  <c r="P16" i="3"/>
  <c r="Q16" i="3"/>
  <c r="R16" i="3"/>
  <c r="S16" i="3"/>
  <c r="O20" i="3"/>
  <c r="P20" i="3"/>
  <c r="Q20" i="3"/>
  <c r="R20" i="3"/>
  <c r="S20" i="3"/>
  <c r="O21" i="3"/>
  <c r="P21" i="3"/>
  <c r="Q21" i="3"/>
  <c r="R21" i="3"/>
  <c r="S21" i="3"/>
  <c r="O26" i="3"/>
  <c r="P26" i="3"/>
  <c r="Q26" i="3"/>
  <c r="R26" i="3"/>
  <c r="S26" i="3"/>
  <c r="O27" i="3"/>
  <c r="P27" i="3"/>
  <c r="Q27" i="3"/>
  <c r="R27" i="3"/>
  <c r="S27" i="3"/>
  <c r="O28" i="3"/>
  <c r="P28" i="3"/>
  <c r="Q28" i="3"/>
  <c r="R28" i="3"/>
  <c r="S28" i="3"/>
  <c r="O29" i="3"/>
  <c r="P29" i="3"/>
  <c r="Q29" i="3"/>
  <c r="R29" i="3"/>
  <c r="S29" i="3"/>
  <c r="O31" i="3"/>
  <c r="P31" i="3"/>
  <c r="Q31" i="3"/>
  <c r="R31" i="3"/>
  <c r="S31" i="3"/>
  <c r="O32" i="3"/>
  <c r="P32" i="3"/>
  <c r="Q32" i="3"/>
  <c r="R32" i="3"/>
  <c r="S32" i="3"/>
  <c r="O39" i="3"/>
  <c r="P39" i="3"/>
  <c r="Q39" i="3"/>
  <c r="R39" i="3"/>
  <c r="S39" i="3"/>
  <c r="O40" i="3"/>
  <c r="P40" i="3"/>
  <c r="Q40" i="3"/>
  <c r="R40" i="3"/>
  <c r="S40" i="3"/>
  <c r="O42" i="3"/>
  <c r="P42" i="3"/>
  <c r="Q42" i="3"/>
  <c r="R42" i="3"/>
  <c r="S42" i="3"/>
  <c r="O45" i="3"/>
  <c r="P45" i="3"/>
  <c r="Q45" i="3"/>
  <c r="R45" i="3"/>
  <c r="S45" i="3"/>
  <c r="O46" i="3"/>
  <c r="P46" i="3"/>
  <c r="Q46" i="3"/>
  <c r="R46" i="3"/>
  <c r="S46" i="3"/>
  <c r="O47" i="3"/>
  <c r="P47" i="3"/>
  <c r="Q47" i="3"/>
  <c r="R47" i="3"/>
  <c r="S47" i="3"/>
  <c r="O49" i="3"/>
  <c r="P49" i="3"/>
  <c r="Q49" i="3"/>
  <c r="R49" i="3"/>
  <c r="S49" i="3"/>
  <c r="O43" i="1"/>
  <c r="O36" i="1"/>
  <c r="O33" i="1"/>
  <c r="O14" i="1"/>
  <c r="O7" i="1"/>
  <c r="O6" i="1"/>
  <c r="C36" i="1"/>
  <c r="C33" i="1"/>
  <c r="C14" i="1"/>
  <c r="C7" i="1"/>
  <c r="C6" i="1"/>
  <c r="O29" i="2"/>
  <c r="O7" i="2"/>
  <c r="C29" i="2"/>
  <c r="C7" i="2"/>
  <c r="C5" i="2" s="1"/>
  <c r="Y11" i="5" l="1"/>
  <c r="Y18" i="5"/>
  <c r="Y10" i="5"/>
  <c r="W5" i="3"/>
  <c r="Y9" i="5"/>
  <c r="W35" i="3"/>
  <c r="W34" i="3"/>
  <c r="AA34" i="2"/>
  <c r="AA36" i="2" s="1"/>
  <c r="AA38" i="2" s="1"/>
  <c r="Z48" i="3"/>
  <c r="Z34" i="2"/>
  <c r="Z36" i="2" s="1"/>
  <c r="Z38" i="2" s="1"/>
  <c r="Y48" i="3"/>
  <c r="Y34" i="2"/>
  <c r="Y36" i="2" s="1"/>
  <c r="Y38" i="2" s="1"/>
  <c r="X48" i="3"/>
  <c r="AB15" i="5"/>
  <c r="AB16" i="5"/>
  <c r="AA15" i="5"/>
  <c r="AA16" i="5"/>
  <c r="Z15" i="5"/>
  <c r="Z16" i="5"/>
  <c r="AB10" i="5"/>
  <c r="Z5" i="3"/>
  <c r="AA10" i="5"/>
  <c r="Y5" i="3"/>
  <c r="Z10" i="5"/>
  <c r="X5" i="3"/>
  <c r="AB9" i="5"/>
  <c r="Z35" i="3"/>
  <c r="AA9" i="5"/>
  <c r="Y35" i="3"/>
  <c r="Z9" i="5"/>
  <c r="X35" i="3"/>
  <c r="AA38" i="1"/>
  <c r="AB11" i="5"/>
  <c r="AB18" i="5"/>
  <c r="Z38" i="1"/>
  <c r="AA11" i="5"/>
  <c r="AA18" i="5"/>
  <c r="Y38" i="1"/>
  <c r="Z11" i="5"/>
  <c r="Z18" i="5"/>
  <c r="Y6" i="5"/>
  <c r="W13" i="3"/>
  <c r="AA50" i="1"/>
  <c r="Z18" i="3"/>
  <c r="Z15" i="3" s="1"/>
  <c r="Z50" i="1"/>
  <c r="Y18" i="3"/>
  <c r="Y15" i="3" s="1"/>
  <c r="Y50" i="1"/>
  <c r="X18" i="3"/>
  <c r="X15" i="3" s="1"/>
  <c r="AB13" i="5"/>
  <c r="AA13" i="5"/>
  <c r="Z13" i="5"/>
  <c r="Y13" i="5"/>
  <c r="AC30" i="2"/>
  <c r="AC34" i="2" s="1"/>
  <c r="AC36" i="2" s="1"/>
  <c r="AC38" i="2" s="1"/>
  <c r="AC51" i="1"/>
  <c r="AB50" i="1"/>
  <c r="AB38" i="1"/>
  <c r="AC11" i="5"/>
  <c r="AC18" i="5"/>
  <c r="AC16" i="5"/>
  <c r="AB20" i="2"/>
  <c r="AC9" i="5"/>
  <c r="AC10" i="5"/>
  <c r="Z25" i="3"/>
  <c r="Y25" i="3"/>
  <c r="X25" i="3"/>
  <c r="W25" i="3"/>
  <c r="X4" i="2"/>
  <c r="R25" i="3"/>
  <c r="S6" i="3"/>
  <c r="Q6" i="3"/>
  <c r="P6" i="3"/>
  <c r="O6" i="3"/>
  <c r="V25" i="3"/>
  <c r="T25" i="3"/>
  <c r="V6" i="3"/>
  <c r="U6" i="3"/>
  <c r="U25" i="3"/>
  <c r="T6" i="3"/>
  <c r="R6" i="3"/>
  <c r="S25" i="3"/>
  <c r="Q25" i="3"/>
  <c r="P25" i="3"/>
  <c r="O25" i="3"/>
  <c r="P5" i="2"/>
  <c r="E5" i="2"/>
  <c r="F5" i="2"/>
  <c r="G5" i="2"/>
  <c r="H5" i="2"/>
  <c r="I5" i="2"/>
  <c r="J5" i="2"/>
  <c r="K5" i="2"/>
  <c r="L5" i="2"/>
  <c r="M5" i="2"/>
  <c r="N5" i="2"/>
  <c r="O5" i="2"/>
  <c r="D5" i="2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20" i="2" l="1"/>
  <c r="Y16" i="5"/>
  <c r="Z6" i="5"/>
  <c r="X13" i="3"/>
  <c r="AA6" i="5"/>
  <c r="Y13" i="3"/>
  <c r="AB6" i="5"/>
  <c r="Z13" i="3"/>
  <c r="W14" i="3"/>
  <c r="Y12" i="5"/>
  <c r="Y5" i="5"/>
  <c r="Y4" i="5"/>
  <c r="Y3" i="5"/>
  <c r="Y51" i="1"/>
  <c r="Z51" i="1"/>
  <c r="AA51" i="1"/>
  <c r="AA53" i="1" s="1"/>
  <c r="Z14" i="5"/>
  <c r="AA14" i="5"/>
  <c r="AB14" i="5"/>
  <c r="AB51" i="1"/>
  <c r="AC15" i="5"/>
  <c r="AB30" i="2"/>
  <c r="AB34" i="2" s="1"/>
  <c r="AB36" i="2" s="1"/>
  <c r="AB38" i="2" s="1"/>
  <c r="AC14" i="5" s="1"/>
  <c r="Q5" i="2"/>
  <c r="R5" i="2"/>
  <c r="S5" i="2"/>
  <c r="T5" i="2"/>
  <c r="U5" i="2"/>
  <c r="V5" i="2"/>
  <c r="W5" i="2"/>
  <c r="P4" i="1"/>
  <c r="Q4" i="1"/>
  <c r="R4" i="1"/>
  <c r="S4" i="1"/>
  <c r="T4" i="1"/>
  <c r="U4" i="1"/>
  <c r="V4" i="1"/>
  <c r="W4" i="1"/>
  <c r="P8" i="1"/>
  <c r="Q8" i="1"/>
  <c r="R8" i="1"/>
  <c r="S8" i="1"/>
  <c r="T8" i="1"/>
  <c r="U8" i="1"/>
  <c r="V8" i="1"/>
  <c r="W8" i="1"/>
  <c r="P13" i="1"/>
  <c r="Q13" i="1"/>
  <c r="R13" i="1"/>
  <c r="S13" i="1"/>
  <c r="T13" i="1"/>
  <c r="U13" i="1"/>
  <c r="V13" i="1"/>
  <c r="W13" i="1"/>
  <c r="P16" i="1"/>
  <c r="Q16" i="1"/>
  <c r="R16" i="1"/>
  <c r="S16" i="1"/>
  <c r="T16" i="1"/>
  <c r="U16" i="1"/>
  <c r="V16" i="1"/>
  <c r="W16" i="1"/>
  <c r="P20" i="1"/>
  <c r="Q20" i="1"/>
  <c r="R20" i="1"/>
  <c r="S20" i="1"/>
  <c r="T20" i="1"/>
  <c r="U20" i="1"/>
  <c r="V20" i="1"/>
  <c r="W20" i="1"/>
  <c r="P30" i="1"/>
  <c r="Q30" i="1"/>
  <c r="R30" i="1"/>
  <c r="S30" i="1"/>
  <c r="T30" i="1"/>
  <c r="U30" i="1"/>
  <c r="V30" i="1"/>
  <c r="W30" i="1"/>
  <c r="Q31" i="1"/>
  <c r="R31" i="1"/>
  <c r="S31" i="1"/>
  <c r="U31" i="1"/>
  <c r="V31" i="1"/>
  <c r="W31" i="1"/>
  <c r="P31" i="1"/>
  <c r="T31" i="1"/>
  <c r="P41" i="1"/>
  <c r="U41" i="1"/>
  <c r="T18" i="3" s="1"/>
  <c r="T15" i="3" s="1"/>
  <c r="V41" i="1"/>
  <c r="U18" i="3" s="1"/>
  <c r="U15" i="3" s="1"/>
  <c r="W41" i="1"/>
  <c r="V18" i="3" s="1"/>
  <c r="V15" i="3" s="1"/>
  <c r="Q41" i="1"/>
  <c r="P18" i="3" s="1"/>
  <c r="P15" i="3" s="1"/>
  <c r="R41" i="1"/>
  <c r="Q18" i="3" s="1"/>
  <c r="Q15" i="3" s="1"/>
  <c r="S41" i="1"/>
  <c r="R18" i="3" s="1"/>
  <c r="R15" i="3" s="1"/>
  <c r="T41" i="1"/>
  <c r="S18" i="3" s="1"/>
  <c r="S15" i="3" s="1"/>
  <c r="V8" i="2"/>
  <c r="W8" i="2"/>
  <c r="V13" i="2"/>
  <c r="W13" i="2"/>
  <c r="V21" i="2"/>
  <c r="W21" i="2"/>
  <c r="V24" i="2"/>
  <c r="W24" i="2"/>
  <c r="Q8" i="2"/>
  <c r="P41" i="3" s="1"/>
  <c r="R8" i="2"/>
  <c r="Q41" i="3" s="1"/>
  <c r="S8" i="2"/>
  <c r="R41" i="3" s="1"/>
  <c r="T8" i="2"/>
  <c r="S41" i="3" s="1"/>
  <c r="U8" i="2"/>
  <c r="Q13" i="2"/>
  <c r="R13" i="2"/>
  <c r="S13" i="2"/>
  <c r="T13" i="2"/>
  <c r="U13" i="2"/>
  <c r="Q21" i="2"/>
  <c r="R21" i="2"/>
  <c r="S21" i="2"/>
  <c r="T21" i="2"/>
  <c r="U21" i="2"/>
  <c r="Q24" i="2"/>
  <c r="R24" i="2"/>
  <c r="S24" i="2"/>
  <c r="T24" i="2"/>
  <c r="U24" i="2"/>
  <c r="P8" i="2"/>
  <c r="P13" i="2"/>
  <c r="P21" i="2"/>
  <c r="P24" i="2"/>
  <c r="S13" i="3" l="1"/>
  <c r="R13" i="3"/>
  <c r="Q13" i="3"/>
  <c r="P13" i="3"/>
  <c r="V13" i="3"/>
  <c r="U13" i="3"/>
  <c r="T13" i="3"/>
  <c r="X11" i="5"/>
  <c r="X18" i="5"/>
  <c r="W11" i="5"/>
  <c r="W18" i="5"/>
  <c r="V11" i="5"/>
  <c r="V18" i="5"/>
  <c r="U11" i="5"/>
  <c r="U18" i="5"/>
  <c r="T11" i="5"/>
  <c r="T18" i="5"/>
  <c r="S11" i="5"/>
  <c r="S18" i="5"/>
  <c r="R11" i="5"/>
  <c r="R18" i="5"/>
  <c r="Q11" i="5"/>
  <c r="Q18" i="5"/>
  <c r="V35" i="3"/>
  <c r="U35" i="3"/>
  <c r="T35" i="3"/>
  <c r="S35" i="3"/>
  <c r="R35" i="3"/>
  <c r="Q35" i="3"/>
  <c r="P35" i="3"/>
  <c r="O35" i="3"/>
  <c r="Z14" i="3"/>
  <c r="AB12" i="5"/>
  <c r="AB5" i="5"/>
  <c r="AB4" i="5"/>
  <c r="AB3" i="5"/>
  <c r="Y14" i="3"/>
  <c r="AA12" i="5"/>
  <c r="AA5" i="5"/>
  <c r="AA4" i="5"/>
  <c r="AA3" i="5"/>
  <c r="X14" i="3"/>
  <c r="Z12" i="5"/>
  <c r="Z5" i="5"/>
  <c r="Z4" i="5"/>
  <c r="Z3" i="5"/>
  <c r="X30" i="2"/>
  <c r="Y15" i="5"/>
  <c r="T34" i="3"/>
  <c r="S34" i="3"/>
  <c r="R34" i="3"/>
  <c r="Q34" i="3"/>
  <c r="P34" i="3"/>
  <c r="O34" i="3"/>
  <c r="W4" i="2"/>
  <c r="V41" i="3"/>
  <c r="V4" i="2"/>
  <c r="U41" i="3"/>
  <c r="U4" i="2"/>
  <c r="T41" i="3"/>
  <c r="P4" i="2"/>
  <c r="O41" i="3"/>
  <c r="V50" i="1"/>
  <c r="V34" i="3"/>
  <c r="U34" i="3"/>
  <c r="P50" i="1"/>
  <c r="O18" i="3"/>
  <c r="O15" i="3" s="1"/>
  <c r="P38" i="1"/>
  <c r="T4" i="2"/>
  <c r="S4" i="2"/>
  <c r="R4" i="2"/>
  <c r="Q4" i="2"/>
  <c r="W50" i="1"/>
  <c r="S38" i="1"/>
  <c r="P26" i="1"/>
  <c r="U50" i="1"/>
  <c r="T50" i="1"/>
  <c r="R38" i="1"/>
  <c r="Q38" i="1"/>
  <c r="V38" i="1"/>
  <c r="U38" i="1"/>
  <c r="W38" i="1"/>
  <c r="R26" i="1"/>
  <c r="U26" i="1"/>
  <c r="Q26" i="1"/>
  <c r="T26" i="1"/>
  <c r="S26" i="1"/>
  <c r="W26" i="1"/>
  <c r="V26" i="1"/>
  <c r="T38" i="1"/>
  <c r="S50" i="1"/>
  <c r="Q50" i="1"/>
  <c r="R50" i="1"/>
  <c r="U5" i="3" l="1"/>
  <c r="W10" i="5"/>
  <c r="W9" i="5"/>
  <c r="V5" i="3"/>
  <c r="X10" i="5"/>
  <c r="X9" i="5"/>
  <c r="R5" i="3"/>
  <c r="T10" i="5"/>
  <c r="T9" i="5"/>
  <c r="S5" i="3"/>
  <c r="U10" i="5"/>
  <c r="U9" i="5"/>
  <c r="P5" i="3"/>
  <c r="R10" i="5"/>
  <c r="R9" i="5"/>
  <c r="T5" i="3"/>
  <c r="V10" i="5"/>
  <c r="V9" i="5"/>
  <c r="Q5" i="3"/>
  <c r="S10" i="5"/>
  <c r="S9" i="5"/>
  <c r="O5" i="3"/>
  <c r="Q13" i="5" s="1"/>
  <c r="Q10" i="5"/>
  <c r="Q9" i="5"/>
  <c r="Q20" i="2"/>
  <c r="R16" i="5"/>
  <c r="R20" i="2"/>
  <c r="S16" i="5"/>
  <c r="S20" i="2"/>
  <c r="T16" i="5"/>
  <c r="T20" i="2"/>
  <c r="U16" i="5"/>
  <c r="O13" i="3"/>
  <c r="Q6" i="5"/>
  <c r="P20" i="2"/>
  <c r="Q16" i="5"/>
  <c r="U20" i="2"/>
  <c r="V16" i="5"/>
  <c r="V20" i="2"/>
  <c r="W16" i="5"/>
  <c r="W20" i="2"/>
  <c r="X16" i="5"/>
  <c r="X34" i="2"/>
  <c r="X36" i="2" s="1"/>
  <c r="X38" i="2" s="1"/>
  <c r="Y14" i="5" s="1"/>
  <c r="W48" i="3"/>
  <c r="T14" i="3"/>
  <c r="V12" i="5"/>
  <c r="V5" i="5"/>
  <c r="V4" i="5"/>
  <c r="V3" i="5"/>
  <c r="U14" i="3"/>
  <c r="W12" i="5"/>
  <c r="W5" i="5"/>
  <c r="W4" i="5"/>
  <c r="W3" i="5"/>
  <c r="V14" i="3"/>
  <c r="X12" i="5"/>
  <c r="X5" i="5"/>
  <c r="X4" i="5"/>
  <c r="X3" i="5"/>
  <c r="P14" i="3"/>
  <c r="R12" i="5"/>
  <c r="R5" i="5"/>
  <c r="R4" i="5"/>
  <c r="R3" i="5"/>
  <c r="Q14" i="3"/>
  <c r="S12" i="5"/>
  <c r="S5" i="5"/>
  <c r="S4" i="5"/>
  <c r="S3" i="5"/>
  <c r="R14" i="3"/>
  <c r="T12" i="5"/>
  <c r="T5" i="5"/>
  <c r="T4" i="5"/>
  <c r="T3" i="5"/>
  <c r="S14" i="3"/>
  <c r="U12" i="5"/>
  <c r="U5" i="5"/>
  <c r="U4" i="5"/>
  <c r="U3" i="5"/>
  <c r="P51" i="1"/>
  <c r="V51" i="1"/>
  <c r="Q51" i="1"/>
  <c r="W51" i="1"/>
  <c r="U51" i="1"/>
  <c r="S51" i="1"/>
  <c r="T51" i="1"/>
  <c r="R51" i="1"/>
  <c r="C16" i="3"/>
  <c r="D20" i="3"/>
  <c r="E20" i="3"/>
  <c r="F20" i="3"/>
  <c r="G20" i="3"/>
  <c r="H20" i="3"/>
  <c r="I20" i="3"/>
  <c r="J20" i="3"/>
  <c r="K20" i="3"/>
  <c r="L20" i="3"/>
  <c r="M20" i="3"/>
  <c r="N20" i="3"/>
  <c r="C20" i="3"/>
  <c r="D10" i="3"/>
  <c r="E10" i="3"/>
  <c r="F10" i="3"/>
  <c r="G10" i="3"/>
  <c r="H10" i="3"/>
  <c r="I10" i="3"/>
  <c r="J10" i="3"/>
  <c r="K10" i="3"/>
  <c r="L10" i="3"/>
  <c r="M10" i="3"/>
  <c r="N10" i="3"/>
  <c r="C10" i="3"/>
  <c r="D16" i="3"/>
  <c r="E16" i="3"/>
  <c r="F16" i="3"/>
  <c r="G16" i="3"/>
  <c r="H16" i="3"/>
  <c r="I16" i="3"/>
  <c r="J16" i="3"/>
  <c r="K16" i="3"/>
  <c r="L16" i="3"/>
  <c r="M16" i="3"/>
  <c r="D21" i="3"/>
  <c r="E21" i="3"/>
  <c r="F21" i="3"/>
  <c r="G21" i="3"/>
  <c r="H21" i="3"/>
  <c r="I21" i="3"/>
  <c r="J21" i="3"/>
  <c r="K21" i="3"/>
  <c r="L21" i="3"/>
  <c r="M21" i="3"/>
  <c r="N21" i="3"/>
  <c r="C21" i="3"/>
  <c r="D16" i="1"/>
  <c r="E16" i="1"/>
  <c r="F16" i="1"/>
  <c r="G16" i="1"/>
  <c r="H16" i="1"/>
  <c r="I16" i="1"/>
  <c r="J16" i="1"/>
  <c r="K16" i="1"/>
  <c r="L16" i="1"/>
  <c r="M16" i="1"/>
  <c r="N16" i="1"/>
  <c r="O16" i="1"/>
  <c r="O41" i="1"/>
  <c r="N16" i="3"/>
  <c r="O31" i="1"/>
  <c r="O8" i="1"/>
  <c r="D24" i="2"/>
  <c r="E24" i="2"/>
  <c r="F24" i="2"/>
  <c r="G24" i="2"/>
  <c r="H24" i="2"/>
  <c r="I24" i="2"/>
  <c r="J24" i="2"/>
  <c r="K24" i="2"/>
  <c r="L24" i="2"/>
  <c r="M24" i="2"/>
  <c r="N24" i="2"/>
  <c r="O24" i="2"/>
  <c r="D21" i="2"/>
  <c r="E21" i="2"/>
  <c r="F21" i="2"/>
  <c r="G21" i="2"/>
  <c r="H21" i="2"/>
  <c r="I21" i="2"/>
  <c r="J21" i="2"/>
  <c r="K21" i="2"/>
  <c r="L21" i="2"/>
  <c r="M21" i="2"/>
  <c r="N21" i="2"/>
  <c r="O21" i="2"/>
  <c r="D13" i="2"/>
  <c r="E13" i="2"/>
  <c r="F13" i="2"/>
  <c r="G13" i="2"/>
  <c r="H13" i="2"/>
  <c r="I13" i="2"/>
  <c r="J13" i="2"/>
  <c r="K13" i="2"/>
  <c r="L13" i="2"/>
  <c r="M13" i="2"/>
  <c r="N13" i="2"/>
  <c r="O13" i="2"/>
  <c r="D8" i="2"/>
  <c r="E8" i="2"/>
  <c r="D41" i="3" s="1"/>
  <c r="F8" i="2"/>
  <c r="E41" i="3" s="1"/>
  <c r="G8" i="2"/>
  <c r="F41" i="3" s="1"/>
  <c r="H8" i="2"/>
  <c r="G41" i="3" s="1"/>
  <c r="I8" i="2"/>
  <c r="H41" i="3" s="1"/>
  <c r="J8" i="2"/>
  <c r="I41" i="3" s="1"/>
  <c r="K8" i="2"/>
  <c r="J41" i="3" s="1"/>
  <c r="L8" i="2"/>
  <c r="K41" i="3" s="1"/>
  <c r="M8" i="2"/>
  <c r="L41" i="3" s="1"/>
  <c r="N8" i="2"/>
  <c r="N4" i="2" s="1"/>
  <c r="O8" i="2"/>
  <c r="N41" i="3" s="1"/>
  <c r="D4" i="2"/>
  <c r="E4" i="2"/>
  <c r="J4" i="2"/>
  <c r="K16" i="5" s="1"/>
  <c r="L4" i="2"/>
  <c r="D44" i="1"/>
  <c r="E44" i="1"/>
  <c r="F44" i="1"/>
  <c r="G44" i="1"/>
  <c r="D41" i="1"/>
  <c r="E41" i="1"/>
  <c r="D18" i="3" s="1"/>
  <c r="F41" i="1"/>
  <c r="E18" i="3" s="1"/>
  <c r="G41" i="1"/>
  <c r="F18" i="3" s="1"/>
  <c r="H41" i="1"/>
  <c r="I41" i="1"/>
  <c r="H18" i="3" s="1"/>
  <c r="J41" i="1"/>
  <c r="I18" i="3" s="1"/>
  <c r="K41" i="1"/>
  <c r="J18" i="3" s="1"/>
  <c r="L41" i="1"/>
  <c r="M41" i="1"/>
  <c r="M50" i="1" s="1"/>
  <c r="N41" i="1"/>
  <c r="M18" i="3" s="1"/>
  <c r="D30" i="1"/>
  <c r="E30" i="1"/>
  <c r="F11" i="5" s="1"/>
  <c r="F30" i="1"/>
  <c r="G18" i="5" s="1"/>
  <c r="G30" i="1"/>
  <c r="H11" i="5" s="1"/>
  <c r="H30" i="1"/>
  <c r="I11" i="5" s="1"/>
  <c r="I30" i="1"/>
  <c r="J11" i="5" s="1"/>
  <c r="J30" i="1"/>
  <c r="K11" i="5" s="1"/>
  <c r="K30" i="1"/>
  <c r="L11" i="5" s="1"/>
  <c r="L30" i="1"/>
  <c r="M18" i="5" s="1"/>
  <c r="M30" i="1"/>
  <c r="N30" i="1"/>
  <c r="O11" i="5" s="1"/>
  <c r="O30" i="1"/>
  <c r="D31" i="1"/>
  <c r="E31" i="1"/>
  <c r="F31" i="1"/>
  <c r="G31" i="1"/>
  <c r="H31" i="1"/>
  <c r="I31" i="1"/>
  <c r="J31" i="1"/>
  <c r="K31" i="1"/>
  <c r="L31" i="1"/>
  <c r="M31" i="1"/>
  <c r="N31" i="1"/>
  <c r="D20" i="1"/>
  <c r="E20" i="1"/>
  <c r="D34" i="3" s="1"/>
  <c r="F20" i="1"/>
  <c r="G20" i="1"/>
  <c r="H20" i="1"/>
  <c r="I20" i="1"/>
  <c r="H35" i="3" s="1"/>
  <c r="J20" i="1"/>
  <c r="I34" i="3" s="1"/>
  <c r="K20" i="1"/>
  <c r="L20" i="1"/>
  <c r="M20" i="1"/>
  <c r="L35" i="3" s="1"/>
  <c r="N20" i="1"/>
  <c r="M34" i="3" s="1"/>
  <c r="O20" i="1"/>
  <c r="D13" i="1"/>
  <c r="E13" i="1"/>
  <c r="F13" i="1"/>
  <c r="G13" i="1"/>
  <c r="H13" i="1"/>
  <c r="I13" i="1"/>
  <c r="J13" i="1"/>
  <c r="K13" i="1"/>
  <c r="L13" i="1"/>
  <c r="M13" i="1"/>
  <c r="N13" i="1"/>
  <c r="O13" i="1"/>
  <c r="J8" i="1"/>
  <c r="K8" i="1"/>
  <c r="L8" i="1"/>
  <c r="M8" i="1"/>
  <c r="N8" i="1"/>
  <c r="D8" i="1"/>
  <c r="E8" i="1"/>
  <c r="F8" i="1"/>
  <c r="G8" i="1"/>
  <c r="H8" i="1"/>
  <c r="I8" i="1"/>
  <c r="D4" i="1"/>
  <c r="E4" i="1"/>
  <c r="F4" i="1"/>
  <c r="G4" i="1"/>
  <c r="H4" i="1"/>
  <c r="I4" i="1"/>
  <c r="J4" i="1"/>
  <c r="K4" i="1"/>
  <c r="L4" i="1"/>
  <c r="M4" i="1"/>
  <c r="N4" i="1"/>
  <c r="O4" i="1"/>
  <c r="M11" i="5"/>
  <c r="N11" i="5"/>
  <c r="F17" i="5"/>
  <c r="G17" i="5"/>
  <c r="H17" i="5"/>
  <c r="I17" i="5"/>
  <c r="J17" i="5"/>
  <c r="K17" i="5"/>
  <c r="L17" i="5"/>
  <c r="M17" i="5"/>
  <c r="N17" i="5"/>
  <c r="O17" i="5"/>
  <c r="P17" i="5"/>
  <c r="I18" i="5"/>
  <c r="J18" i="5"/>
  <c r="N18" i="5"/>
  <c r="E17" i="5"/>
  <c r="D45" i="3"/>
  <c r="E45" i="3"/>
  <c r="F45" i="3"/>
  <c r="G45" i="3"/>
  <c r="H45" i="3"/>
  <c r="I45" i="3"/>
  <c r="J45" i="3"/>
  <c r="K45" i="3"/>
  <c r="L45" i="3"/>
  <c r="M45" i="3"/>
  <c r="N45" i="3"/>
  <c r="D46" i="3"/>
  <c r="E46" i="3"/>
  <c r="F46" i="3"/>
  <c r="G46" i="3"/>
  <c r="H46" i="3"/>
  <c r="I46" i="3"/>
  <c r="J46" i="3"/>
  <c r="K46" i="3"/>
  <c r="L46" i="3"/>
  <c r="M46" i="3"/>
  <c r="N46" i="3"/>
  <c r="D47" i="3"/>
  <c r="E47" i="3"/>
  <c r="F47" i="3"/>
  <c r="G47" i="3"/>
  <c r="H47" i="3"/>
  <c r="I47" i="3"/>
  <c r="J47" i="3"/>
  <c r="K47" i="3"/>
  <c r="L47" i="3"/>
  <c r="M47" i="3"/>
  <c r="N47" i="3"/>
  <c r="I49" i="3"/>
  <c r="J49" i="3"/>
  <c r="K49" i="3"/>
  <c r="L49" i="3"/>
  <c r="M49" i="3"/>
  <c r="N49" i="3"/>
  <c r="D39" i="3"/>
  <c r="E39" i="3"/>
  <c r="F39" i="3"/>
  <c r="G39" i="3"/>
  <c r="H39" i="3"/>
  <c r="I39" i="3"/>
  <c r="J39" i="3"/>
  <c r="K39" i="3"/>
  <c r="L39" i="3"/>
  <c r="M39" i="3"/>
  <c r="N39" i="3"/>
  <c r="D40" i="3"/>
  <c r="E40" i="3"/>
  <c r="F40" i="3"/>
  <c r="G40" i="3"/>
  <c r="H40" i="3"/>
  <c r="I40" i="3"/>
  <c r="J40" i="3"/>
  <c r="K40" i="3"/>
  <c r="L40" i="3"/>
  <c r="M40" i="3"/>
  <c r="N40" i="3"/>
  <c r="D42" i="3"/>
  <c r="E42" i="3"/>
  <c r="F42" i="3"/>
  <c r="G42" i="3"/>
  <c r="H42" i="3"/>
  <c r="I42" i="3"/>
  <c r="J42" i="3"/>
  <c r="K42" i="3"/>
  <c r="L42" i="3"/>
  <c r="M42" i="3"/>
  <c r="N42" i="3"/>
  <c r="D31" i="3"/>
  <c r="E31" i="3"/>
  <c r="F31" i="3"/>
  <c r="G31" i="3"/>
  <c r="H31" i="3"/>
  <c r="I31" i="3"/>
  <c r="J31" i="3"/>
  <c r="K31" i="3"/>
  <c r="L31" i="3"/>
  <c r="M31" i="3"/>
  <c r="N31" i="3"/>
  <c r="D32" i="3"/>
  <c r="E32" i="3"/>
  <c r="F32" i="3"/>
  <c r="G32" i="3"/>
  <c r="H32" i="3"/>
  <c r="I32" i="3"/>
  <c r="J32" i="3"/>
  <c r="K32" i="3"/>
  <c r="L32" i="3"/>
  <c r="M32" i="3"/>
  <c r="N32" i="3"/>
  <c r="E35" i="3"/>
  <c r="D26" i="3"/>
  <c r="E26" i="3"/>
  <c r="F26" i="3"/>
  <c r="G26" i="3"/>
  <c r="H26" i="3"/>
  <c r="I26" i="3"/>
  <c r="J26" i="3"/>
  <c r="K26" i="3"/>
  <c r="L26" i="3"/>
  <c r="M26" i="3"/>
  <c r="N26" i="3"/>
  <c r="D27" i="3"/>
  <c r="E27" i="3"/>
  <c r="F27" i="3"/>
  <c r="G27" i="3"/>
  <c r="H27" i="3"/>
  <c r="I27" i="3"/>
  <c r="J27" i="3"/>
  <c r="K27" i="3"/>
  <c r="L27" i="3"/>
  <c r="M27" i="3"/>
  <c r="N27" i="3"/>
  <c r="D28" i="3"/>
  <c r="E28" i="3"/>
  <c r="F28" i="3"/>
  <c r="G28" i="3"/>
  <c r="H28" i="3"/>
  <c r="I28" i="3"/>
  <c r="J28" i="3"/>
  <c r="K28" i="3"/>
  <c r="L28" i="3"/>
  <c r="M28" i="3"/>
  <c r="N28" i="3"/>
  <c r="D29" i="3"/>
  <c r="E29" i="3"/>
  <c r="F29" i="3"/>
  <c r="G29" i="3"/>
  <c r="H29" i="3"/>
  <c r="I29" i="3"/>
  <c r="J29" i="3"/>
  <c r="K29" i="3"/>
  <c r="L29" i="3"/>
  <c r="M29" i="3"/>
  <c r="N29" i="3"/>
  <c r="D7" i="3"/>
  <c r="E7" i="3"/>
  <c r="F7" i="3"/>
  <c r="G7" i="3"/>
  <c r="H7" i="3"/>
  <c r="I7" i="3"/>
  <c r="J7" i="3"/>
  <c r="K7" i="3"/>
  <c r="L7" i="3"/>
  <c r="M7" i="3"/>
  <c r="N7" i="3"/>
  <c r="D8" i="3"/>
  <c r="E8" i="3"/>
  <c r="F8" i="3"/>
  <c r="G8" i="3"/>
  <c r="H8" i="3"/>
  <c r="I8" i="3"/>
  <c r="J8" i="3"/>
  <c r="K8" i="3"/>
  <c r="L8" i="3"/>
  <c r="M8" i="3"/>
  <c r="N8" i="3"/>
  <c r="D9" i="3"/>
  <c r="E9" i="3"/>
  <c r="F9" i="3"/>
  <c r="G9" i="3"/>
  <c r="H9" i="3"/>
  <c r="I9" i="3"/>
  <c r="J9" i="3"/>
  <c r="K9" i="3"/>
  <c r="L9" i="3"/>
  <c r="M9" i="3"/>
  <c r="N9" i="3"/>
  <c r="C47" i="3"/>
  <c r="C46" i="3"/>
  <c r="C45" i="3"/>
  <c r="C42" i="3"/>
  <c r="C41" i="3"/>
  <c r="C40" i="3"/>
  <c r="C39" i="3"/>
  <c r="C34" i="3"/>
  <c r="C32" i="3"/>
  <c r="C31" i="3"/>
  <c r="C29" i="3"/>
  <c r="C28" i="3"/>
  <c r="C27" i="3"/>
  <c r="C26" i="3"/>
  <c r="C9" i="3"/>
  <c r="C8" i="3"/>
  <c r="C7" i="3"/>
  <c r="C44" i="1"/>
  <c r="C41" i="1"/>
  <c r="C31" i="1"/>
  <c r="C30" i="1"/>
  <c r="C20" i="1"/>
  <c r="C16" i="1"/>
  <c r="C13" i="1"/>
  <c r="C8" i="1"/>
  <c r="C4" i="1"/>
  <c r="D18" i="5"/>
  <c r="D17" i="5"/>
  <c r="D16" i="5"/>
  <c r="D15" i="5"/>
  <c r="D14" i="5"/>
  <c r="D13" i="5"/>
  <c r="D12" i="5"/>
  <c r="D11" i="5"/>
  <c r="D10" i="5"/>
  <c r="D9" i="5"/>
  <c r="P8" i="5"/>
  <c r="O8" i="5"/>
  <c r="N8" i="5"/>
  <c r="M8" i="5"/>
  <c r="L8" i="5"/>
  <c r="K8" i="5"/>
  <c r="J8" i="5"/>
  <c r="I8" i="5"/>
  <c r="H8" i="5"/>
  <c r="G8" i="5"/>
  <c r="F8" i="5"/>
  <c r="E8" i="5"/>
  <c r="D8" i="5"/>
  <c r="D6" i="5"/>
  <c r="D5" i="5"/>
  <c r="D4" i="5"/>
  <c r="D3" i="5"/>
  <c r="B48" i="3"/>
  <c r="B47" i="3"/>
  <c r="B46" i="3"/>
  <c r="B45" i="3"/>
  <c r="B42" i="3"/>
  <c r="B41" i="3"/>
  <c r="B40" i="3"/>
  <c r="B39" i="3"/>
  <c r="B35" i="3"/>
  <c r="B34" i="3"/>
  <c r="B32" i="3"/>
  <c r="B31" i="3"/>
  <c r="B29" i="3"/>
  <c r="B28" i="3"/>
  <c r="B27" i="3"/>
  <c r="B26" i="3"/>
  <c r="B21" i="3"/>
  <c r="B20" i="3"/>
  <c r="B19" i="3"/>
  <c r="B18" i="3"/>
  <c r="B16" i="3"/>
  <c r="B10" i="3"/>
  <c r="B9" i="3"/>
  <c r="B8" i="3"/>
  <c r="B7" i="3"/>
  <c r="B6" i="3" s="1"/>
  <c r="B5" i="3"/>
  <c r="C24" i="2"/>
  <c r="C21" i="2"/>
  <c r="C13" i="2"/>
  <c r="C8" i="2"/>
  <c r="C4" i="2" s="1"/>
  <c r="W30" i="2" l="1"/>
  <c r="X15" i="5"/>
  <c r="V30" i="2"/>
  <c r="W15" i="5"/>
  <c r="U30" i="2"/>
  <c r="V15" i="5"/>
  <c r="P30" i="2"/>
  <c r="Q15" i="5"/>
  <c r="O14" i="3"/>
  <c r="Q12" i="5"/>
  <c r="Q5" i="5"/>
  <c r="Q4" i="5"/>
  <c r="Q3" i="5"/>
  <c r="T30" i="2"/>
  <c r="U15" i="5"/>
  <c r="S30" i="2"/>
  <c r="T15" i="5"/>
  <c r="R30" i="2"/>
  <c r="S15" i="5"/>
  <c r="Q30" i="2"/>
  <c r="R15" i="5"/>
  <c r="S13" i="5"/>
  <c r="S6" i="5"/>
  <c r="V13" i="5"/>
  <c r="V6" i="5"/>
  <c r="R13" i="5"/>
  <c r="R6" i="5"/>
  <c r="U13" i="5"/>
  <c r="U6" i="5"/>
  <c r="T13" i="5"/>
  <c r="T6" i="5"/>
  <c r="X13" i="5"/>
  <c r="X6" i="5"/>
  <c r="W13" i="5"/>
  <c r="W6" i="5"/>
  <c r="H25" i="3"/>
  <c r="M16" i="5"/>
  <c r="K4" i="2"/>
  <c r="K20" i="2" s="1"/>
  <c r="K30" i="2" s="1"/>
  <c r="I4" i="2"/>
  <c r="I20" i="2" s="1"/>
  <c r="J15" i="5" s="1"/>
  <c r="D35" i="3"/>
  <c r="G34" i="3"/>
  <c r="I30" i="2"/>
  <c r="I34" i="2" s="1"/>
  <c r="I36" i="2" s="1"/>
  <c r="I38" i="2" s="1"/>
  <c r="E20" i="2"/>
  <c r="E30" i="2" s="1"/>
  <c r="D48" i="3" s="1"/>
  <c r="D44" i="3" s="1"/>
  <c r="L20" i="2"/>
  <c r="D20" i="2"/>
  <c r="D30" i="2" s="1"/>
  <c r="D34" i="2" s="1"/>
  <c r="D36" i="2" s="1"/>
  <c r="D38" i="2" s="1"/>
  <c r="H4" i="2"/>
  <c r="F4" i="2"/>
  <c r="G16" i="5" s="1"/>
  <c r="M41" i="3"/>
  <c r="M4" i="2"/>
  <c r="M20" i="2" s="1"/>
  <c r="M30" i="2" s="1"/>
  <c r="L48" i="3" s="1"/>
  <c r="G4" i="2"/>
  <c r="G20" i="2" s="1"/>
  <c r="H15" i="5" s="1"/>
  <c r="C38" i="3"/>
  <c r="I50" i="1"/>
  <c r="F18" i="5"/>
  <c r="M35" i="3"/>
  <c r="L34" i="3"/>
  <c r="H34" i="3"/>
  <c r="I26" i="1"/>
  <c r="J10" i="5" s="1"/>
  <c r="H30" i="3"/>
  <c r="M25" i="3"/>
  <c r="L25" i="3"/>
  <c r="E26" i="1"/>
  <c r="F10" i="5" s="1"/>
  <c r="D25" i="3"/>
  <c r="B15" i="3"/>
  <c r="B13" i="3" s="1"/>
  <c r="B14" i="3" s="1"/>
  <c r="D38" i="3"/>
  <c r="E16" i="5"/>
  <c r="N16" i="5"/>
  <c r="O18" i="5"/>
  <c r="M38" i="1"/>
  <c r="M51" i="1" s="1"/>
  <c r="I38" i="1"/>
  <c r="E38" i="1"/>
  <c r="E50" i="1"/>
  <c r="L18" i="3"/>
  <c r="L15" i="3" s="1"/>
  <c r="L13" i="3" s="1"/>
  <c r="N3" i="5" s="1"/>
  <c r="J38" i="1"/>
  <c r="I35" i="3"/>
  <c r="M26" i="1"/>
  <c r="N9" i="5" s="1"/>
  <c r="N26" i="1"/>
  <c r="M5" i="3" s="1"/>
  <c r="O13" i="5" s="1"/>
  <c r="J26" i="1"/>
  <c r="K10" i="5" s="1"/>
  <c r="N38" i="1"/>
  <c r="F38" i="1"/>
  <c r="D30" i="3"/>
  <c r="K18" i="5"/>
  <c r="G11" i="5"/>
  <c r="P11" i="5"/>
  <c r="H38" i="1"/>
  <c r="E34" i="3"/>
  <c r="C35" i="3"/>
  <c r="C18" i="3"/>
  <c r="C15" i="3" s="1"/>
  <c r="C13" i="3" s="1"/>
  <c r="E3" i="5" s="1"/>
  <c r="D50" i="1"/>
  <c r="J16" i="5"/>
  <c r="H38" i="3"/>
  <c r="H26" i="1"/>
  <c r="I9" i="5" s="1"/>
  <c r="E18" i="5"/>
  <c r="E11" i="5"/>
  <c r="O50" i="1"/>
  <c r="N18" i="3"/>
  <c r="N15" i="3" s="1"/>
  <c r="K34" i="3"/>
  <c r="K35" i="3"/>
  <c r="K18" i="3"/>
  <c r="K15" i="3" s="1"/>
  <c r="L50" i="1"/>
  <c r="H50" i="1"/>
  <c r="G18" i="3"/>
  <c r="G15" i="3" s="1"/>
  <c r="G13" i="3" s="1"/>
  <c r="I3" i="5" s="1"/>
  <c r="F16" i="5"/>
  <c r="G35" i="3"/>
  <c r="L26" i="1"/>
  <c r="D26" i="1"/>
  <c r="D38" i="1"/>
  <c r="F26" i="1"/>
  <c r="G9" i="5" s="1"/>
  <c r="L38" i="1"/>
  <c r="N20" i="2"/>
  <c r="N30" i="2" s="1"/>
  <c r="J20" i="2"/>
  <c r="G38" i="1"/>
  <c r="C20" i="2"/>
  <c r="C30" i="2" s="1"/>
  <c r="C34" i="2" s="1"/>
  <c r="C36" i="2" s="1"/>
  <c r="C38" i="2" s="1"/>
  <c r="C38" i="1"/>
  <c r="E38" i="3"/>
  <c r="G38" i="3"/>
  <c r="K50" i="1"/>
  <c r="G50" i="1"/>
  <c r="K38" i="1"/>
  <c r="C26" i="1"/>
  <c r="N50" i="1"/>
  <c r="J50" i="1"/>
  <c r="F50" i="1"/>
  <c r="K26" i="1"/>
  <c r="L10" i="5" s="1"/>
  <c r="G26" i="1"/>
  <c r="H10" i="5" s="1"/>
  <c r="B44" i="3"/>
  <c r="B30" i="3"/>
  <c r="B38" i="3"/>
  <c r="B25" i="3"/>
  <c r="N34" i="3"/>
  <c r="J34" i="3"/>
  <c r="F34" i="3"/>
  <c r="O38" i="1"/>
  <c r="O26" i="1"/>
  <c r="P10" i="5" s="1"/>
  <c r="O16" i="5"/>
  <c r="L16" i="5"/>
  <c r="F38" i="3"/>
  <c r="O4" i="2"/>
  <c r="P18" i="5"/>
  <c r="L18" i="5"/>
  <c r="H18" i="5"/>
  <c r="N35" i="3"/>
  <c r="J35" i="3"/>
  <c r="F35" i="3"/>
  <c r="C30" i="3"/>
  <c r="M15" i="3"/>
  <c r="E15" i="3"/>
  <c r="J15" i="3"/>
  <c r="C50" i="1"/>
  <c r="I25" i="3"/>
  <c r="E25" i="3"/>
  <c r="C6" i="3"/>
  <c r="C25" i="3"/>
  <c r="I15" i="3"/>
  <c r="I13" i="3" s="1"/>
  <c r="K3" i="5" s="1"/>
  <c r="N25" i="3"/>
  <c r="N6" i="3"/>
  <c r="F25" i="3"/>
  <c r="E30" i="3"/>
  <c r="J25" i="3"/>
  <c r="F6" i="3"/>
  <c r="F30" i="3"/>
  <c r="M6" i="3"/>
  <c r="I6" i="3"/>
  <c r="E6" i="3"/>
  <c r="H15" i="3"/>
  <c r="H13" i="3" s="1"/>
  <c r="J3" i="5" s="1"/>
  <c r="L6" i="3"/>
  <c r="H6" i="3"/>
  <c r="D6" i="3"/>
  <c r="J6" i="3"/>
  <c r="K6" i="3"/>
  <c r="G6" i="3"/>
  <c r="D15" i="3"/>
  <c r="D13" i="3" s="1"/>
  <c r="F3" i="5" s="1"/>
  <c r="F15" i="3"/>
  <c r="F13" i="3" s="1"/>
  <c r="H3" i="5" s="1"/>
  <c r="K25" i="3"/>
  <c r="G25" i="3"/>
  <c r="G30" i="3"/>
  <c r="Q34" i="2" l="1"/>
  <c r="Q36" i="2" s="1"/>
  <c r="Q38" i="2" s="1"/>
  <c r="R14" i="5" s="1"/>
  <c r="P48" i="3"/>
  <c r="R34" i="2"/>
  <c r="R36" i="2" s="1"/>
  <c r="R38" i="2" s="1"/>
  <c r="S14" i="5" s="1"/>
  <c r="Q48" i="3"/>
  <c r="S34" i="2"/>
  <c r="S36" i="2" s="1"/>
  <c r="S38" i="2" s="1"/>
  <c r="T14" i="5" s="1"/>
  <c r="R48" i="3"/>
  <c r="T34" i="2"/>
  <c r="T36" i="2" s="1"/>
  <c r="T38" i="2" s="1"/>
  <c r="U14" i="5" s="1"/>
  <c r="S48" i="3"/>
  <c r="P34" i="2"/>
  <c r="P36" i="2" s="1"/>
  <c r="P38" i="2" s="1"/>
  <c r="Q14" i="5" s="1"/>
  <c r="O48" i="3"/>
  <c r="U34" i="2"/>
  <c r="U36" i="2" s="1"/>
  <c r="U38" i="2" s="1"/>
  <c r="V14" i="5" s="1"/>
  <c r="T48" i="3"/>
  <c r="V34" i="2"/>
  <c r="V36" i="2" s="1"/>
  <c r="V38" i="2" s="1"/>
  <c r="W14" i="5" s="1"/>
  <c r="U48" i="3"/>
  <c r="W34" i="2"/>
  <c r="W36" i="2" s="1"/>
  <c r="W38" i="2" s="1"/>
  <c r="X14" i="5" s="1"/>
  <c r="V48" i="3"/>
  <c r="M34" i="2"/>
  <c r="M36" i="2" s="1"/>
  <c r="M38" i="2" s="1"/>
  <c r="L15" i="5"/>
  <c r="H16" i="5"/>
  <c r="N15" i="5"/>
  <c r="F20" i="2"/>
  <c r="F30" i="2" s="1"/>
  <c r="H48" i="3"/>
  <c r="H44" i="3" s="1"/>
  <c r="H49" i="3" s="1"/>
  <c r="E34" i="2"/>
  <c r="E36" i="2" s="1"/>
  <c r="E38" i="2" s="1"/>
  <c r="C48" i="3"/>
  <c r="C44" i="3" s="1"/>
  <c r="C49" i="3" s="1"/>
  <c r="E15" i="5"/>
  <c r="L30" i="2"/>
  <c r="M15" i="5"/>
  <c r="G30" i="2"/>
  <c r="G34" i="2" s="1"/>
  <c r="G36" i="2" s="1"/>
  <c r="G38" i="2" s="1"/>
  <c r="F15" i="5"/>
  <c r="D49" i="3"/>
  <c r="H20" i="2"/>
  <c r="I16" i="5"/>
  <c r="O15" i="5"/>
  <c r="I51" i="1"/>
  <c r="E51" i="1"/>
  <c r="O51" i="1"/>
  <c r="H51" i="1"/>
  <c r="C51" i="1"/>
  <c r="J51" i="1"/>
  <c r="F51" i="1"/>
  <c r="N51" i="1"/>
  <c r="F9" i="5"/>
  <c r="D5" i="3"/>
  <c r="F13" i="5" s="1"/>
  <c r="H5" i="3"/>
  <c r="J14" i="5" s="1"/>
  <c r="J9" i="5"/>
  <c r="H9" i="5"/>
  <c r="F5" i="3"/>
  <c r="H13" i="5" s="1"/>
  <c r="K9" i="5"/>
  <c r="I5" i="3"/>
  <c r="K13" i="5" s="1"/>
  <c r="O10" i="5"/>
  <c r="O9" i="5"/>
  <c r="N10" i="5"/>
  <c r="L5" i="3"/>
  <c r="N6" i="5" s="1"/>
  <c r="B49" i="3"/>
  <c r="P9" i="5"/>
  <c r="L9" i="5"/>
  <c r="J5" i="3"/>
  <c r="J30" i="2"/>
  <c r="K15" i="5"/>
  <c r="C5" i="3"/>
  <c r="E6" i="5" s="1"/>
  <c r="E10" i="5"/>
  <c r="N34" i="2"/>
  <c r="N36" i="2" s="1"/>
  <c r="N38" i="2" s="1"/>
  <c r="O14" i="5" s="1"/>
  <c r="M48" i="3"/>
  <c r="M10" i="5"/>
  <c r="K5" i="3"/>
  <c r="E9" i="5"/>
  <c r="E13" i="3"/>
  <c r="G3" i="5" s="1"/>
  <c r="G51" i="1"/>
  <c r="L51" i="1"/>
  <c r="J48" i="3"/>
  <c r="K34" i="2"/>
  <c r="K36" i="2" s="1"/>
  <c r="K38" i="2" s="1"/>
  <c r="G5" i="3"/>
  <c r="I6" i="5" s="1"/>
  <c r="I10" i="5"/>
  <c r="N13" i="3"/>
  <c r="P3" i="5" s="1"/>
  <c r="K13" i="3"/>
  <c r="M3" i="5" s="1"/>
  <c r="G10" i="5"/>
  <c r="E5" i="3"/>
  <c r="G6" i="5" s="1"/>
  <c r="J13" i="3"/>
  <c r="L3" i="5" s="1"/>
  <c r="M13" i="3"/>
  <c r="O3" i="5" s="1"/>
  <c r="K51" i="1"/>
  <c r="D51" i="1"/>
  <c r="M9" i="5"/>
  <c r="P16" i="5"/>
  <c r="O20" i="2"/>
  <c r="N5" i="3"/>
  <c r="P13" i="5" s="1"/>
  <c r="O6" i="5"/>
  <c r="C14" i="3"/>
  <c r="E5" i="5"/>
  <c r="E12" i="5"/>
  <c r="I14" i="3"/>
  <c r="K12" i="5"/>
  <c r="K5" i="5"/>
  <c r="M4" i="5" l="1"/>
  <c r="P5" i="5"/>
  <c r="G15" i="5"/>
  <c r="F48" i="3"/>
  <c r="F44" i="3" s="1"/>
  <c r="F49" i="3" s="1"/>
  <c r="L34" i="2"/>
  <c r="L36" i="2" s="1"/>
  <c r="L38" i="2" s="1"/>
  <c r="M14" i="5" s="1"/>
  <c r="K48" i="3"/>
  <c r="H30" i="2"/>
  <c r="I15" i="5"/>
  <c r="J6" i="5"/>
  <c r="F6" i="5"/>
  <c r="H6" i="5"/>
  <c r="H14" i="5"/>
  <c r="J13" i="5"/>
  <c r="F14" i="5"/>
  <c r="L4" i="5"/>
  <c r="L5" i="5"/>
  <c r="K6" i="5"/>
  <c r="N14" i="5"/>
  <c r="K4" i="5"/>
  <c r="N13" i="5"/>
  <c r="L13" i="5"/>
  <c r="L6" i="5"/>
  <c r="L14" i="5"/>
  <c r="O5" i="5"/>
  <c r="L12" i="5"/>
  <c r="P12" i="5"/>
  <c r="G4" i="5"/>
  <c r="P6" i="5"/>
  <c r="M13" i="5"/>
  <c r="E14" i="5"/>
  <c r="E13" i="5"/>
  <c r="M12" i="5"/>
  <c r="P4" i="5"/>
  <c r="F34" i="2"/>
  <c r="F36" i="2" s="1"/>
  <c r="F38" i="2" s="1"/>
  <c r="G14" i="5" s="1"/>
  <c r="E48" i="3"/>
  <c r="E44" i="3" s="1"/>
  <c r="E49" i="3" s="1"/>
  <c r="M14" i="3"/>
  <c r="M6" i="5"/>
  <c r="I13" i="5"/>
  <c r="E14" i="3"/>
  <c r="K14" i="3"/>
  <c r="O4" i="5"/>
  <c r="G12" i="5"/>
  <c r="G13" i="5"/>
  <c r="J34" i="2"/>
  <c r="J36" i="2" s="1"/>
  <c r="J38" i="2" s="1"/>
  <c r="K14" i="5" s="1"/>
  <c r="I48" i="3"/>
  <c r="E4" i="5"/>
  <c r="O12" i="5"/>
  <c r="M5" i="5"/>
  <c r="G5" i="5"/>
  <c r="J14" i="3"/>
  <c r="N14" i="3"/>
  <c r="O30" i="2"/>
  <c r="P15" i="5"/>
  <c r="H14" i="3"/>
  <c r="J12" i="5"/>
  <c r="J4" i="5"/>
  <c r="J5" i="5"/>
  <c r="F14" i="3"/>
  <c r="H12" i="5"/>
  <c r="H4" i="5"/>
  <c r="H5" i="5"/>
  <c r="L14" i="3"/>
  <c r="N12" i="5"/>
  <c r="N4" i="5"/>
  <c r="N5" i="5"/>
  <c r="D14" i="3"/>
  <c r="F12" i="5"/>
  <c r="F4" i="5"/>
  <c r="F5" i="5"/>
  <c r="G14" i="3"/>
  <c r="I5" i="5"/>
  <c r="I12" i="5"/>
  <c r="I4" i="5"/>
  <c r="G48" i="3" l="1"/>
  <c r="G44" i="3" s="1"/>
  <c r="G49" i="3" s="1"/>
  <c r="H34" i="2"/>
  <c r="H36" i="2" s="1"/>
  <c r="H38" i="2" s="1"/>
  <c r="I14" i="5" s="1"/>
  <c r="O34" i="2"/>
  <c r="O36" i="2" s="1"/>
  <c r="O38" i="2" s="1"/>
  <c r="P14" i="5" s="1"/>
  <c r="N48" i="3"/>
</calcChain>
</file>

<file path=xl/sharedStrings.xml><?xml version="1.0" encoding="utf-8"?>
<sst xmlns="http://schemas.openxmlformats.org/spreadsheetml/2006/main" count="245" uniqueCount="218">
  <si>
    <t>FORM 6 SASRA2/006</t>
  </si>
  <si>
    <t xml:space="preserve"> STATEMENT OF FINANCIAL POSITION</t>
  </si>
  <si>
    <t>FINANCIAL YEAR  2020</t>
  </si>
  <si>
    <t>Audited 2019</t>
  </si>
  <si>
    <t>Aud-20</t>
  </si>
  <si>
    <t>Audited 2021</t>
  </si>
  <si>
    <t>Audited 2022</t>
  </si>
  <si>
    <t>Cash &amp; Cash Equivalent</t>
  </si>
  <si>
    <t>Cash in hand(both local and foreign notes and coins)</t>
  </si>
  <si>
    <t>Cash at bank:(placement with financial institutions)</t>
  </si>
  <si>
    <t>Prepayments &amp; Sundry Receivables</t>
  </si>
  <si>
    <t>Financial Investments</t>
  </si>
  <si>
    <t xml:space="preserve">Government Securities - Treasury Bills/bonds,  </t>
  </si>
  <si>
    <t>Other Securities - Commercial papers/Bonds</t>
  </si>
  <si>
    <t>3.3a</t>
  </si>
  <si>
    <t>Balances with other SACCO Societies</t>
  </si>
  <si>
    <t>3.3b</t>
  </si>
  <si>
    <t xml:space="preserve">Investments in companies - shares/stocks </t>
  </si>
  <si>
    <t>Net Loan Portfolio</t>
  </si>
  <si>
    <t>Gross Loan Portfolio</t>
  </si>
  <si>
    <t>Allowance for Loan Loss</t>
  </si>
  <si>
    <t>Accounts Receivables</t>
  </si>
  <si>
    <t>Tax Recoverable</t>
  </si>
  <si>
    <t>Deferred Tax Assets</t>
  </si>
  <si>
    <t>Retirement Benefit Assets</t>
  </si>
  <si>
    <t>Property &amp; Equipment &amp; Other assets</t>
  </si>
  <si>
    <t>Investment Properties</t>
  </si>
  <si>
    <t>Property &amp; Equipment</t>
  </si>
  <si>
    <t>Prepaid Lease rentals</t>
  </si>
  <si>
    <t>Intangible Assets</t>
  </si>
  <si>
    <t>Other Assets</t>
  </si>
  <si>
    <t>Total Assets</t>
  </si>
  <si>
    <t>Savings Deposits - Withdrawable deposits - FOSA)</t>
  </si>
  <si>
    <t>Short Term Deposits (e.g Fixed deposits, special savings)</t>
  </si>
  <si>
    <t>Non withdrawable deposits (BOSA member deposits)</t>
  </si>
  <si>
    <t>Total Deposit liabilities</t>
  </si>
  <si>
    <t>Accounts Payable &amp; Other Liabilities</t>
  </si>
  <si>
    <t>Tax Payable</t>
  </si>
  <si>
    <t>Dividends Payable</t>
  </si>
  <si>
    <t>Deferred Tax Liability</t>
  </si>
  <si>
    <t>Retirement Benefits Liability</t>
  </si>
  <si>
    <t>Other Liabilities</t>
  </si>
  <si>
    <t>External Borrowings</t>
  </si>
  <si>
    <t>Total Liabilities</t>
  </si>
  <si>
    <t>Share Capital (Members share capital per Bylaws)</t>
  </si>
  <si>
    <t>Capital Grants</t>
  </si>
  <si>
    <t>Retained Earnings</t>
  </si>
  <si>
    <t>Prior Years' Retained Earnings</t>
  </si>
  <si>
    <t>Current Year's Surplus</t>
  </si>
  <si>
    <t>Other Equity Accounts</t>
  </si>
  <si>
    <t>Statutory Reserve</t>
  </si>
  <si>
    <t>Other Reserves (provide notes on these reserves)</t>
  </si>
  <si>
    <t>Revaluation Reserves (Not part of core capital)</t>
  </si>
  <si>
    <t>Proposed Dividends</t>
  </si>
  <si>
    <t>Adjustment to Equity</t>
  </si>
  <si>
    <t>Total Equity</t>
  </si>
  <si>
    <t>Total Liabilities and  Equity</t>
  </si>
  <si>
    <t>FORM  7 SASRA/007</t>
  </si>
  <si>
    <t>STATEMENT OF COMPREHENSIVE INCOME</t>
  </si>
  <si>
    <t xml:space="preserve">Financial Income </t>
  </si>
  <si>
    <t>Financial Income from Loans Portfolio</t>
  </si>
  <si>
    <t>Interest on Loan Portfolio</t>
  </si>
  <si>
    <t>Fees &amp; Commission on Loan Portfolio</t>
  </si>
  <si>
    <t>Financial Income from Investments in:</t>
  </si>
  <si>
    <t>Government Securities</t>
  </si>
  <si>
    <t>Deposit with Banks and Other Financial Inst.</t>
  </si>
  <si>
    <t>Other Investments - dividend &amp; Interest incomes from investments</t>
  </si>
  <si>
    <t>Other Operating Income- Salary processing fees, transaction fees, membership fees</t>
  </si>
  <si>
    <t>Financial Expense</t>
  </si>
  <si>
    <t>Interest Expense on Deposits</t>
  </si>
  <si>
    <t>Cost of External Borrowings</t>
  </si>
  <si>
    <t>Dividend Expenses (on member shares)</t>
  </si>
  <si>
    <t>Other Financial Expense</t>
  </si>
  <si>
    <t>Fees &amp; Commission Expense</t>
  </si>
  <si>
    <t>Other Expense</t>
  </si>
  <si>
    <t>Net Financial Income/(Loss)</t>
  </si>
  <si>
    <t>Provision for Loan Losses</t>
  </si>
  <si>
    <t>Value of Loans Recovered</t>
  </si>
  <si>
    <t>Operating Expenses</t>
  </si>
  <si>
    <t>Personnel Expenses</t>
  </si>
  <si>
    <t>Governance Expenses</t>
  </si>
  <si>
    <t>Marketing Expenses</t>
  </si>
  <si>
    <t>Depreciation and Amortization Charges</t>
  </si>
  <si>
    <t>Administrative Expenses</t>
  </si>
  <si>
    <t>Net Operating Income</t>
  </si>
  <si>
    <t>Net Non- Operating Income/ (Expense)</t>
  </si>
  <si>
    <t>Non- Operating Income</t>
  </si>
  <si>
    <t>Non- Operating Expense</t>
  </si>
  <si>
    <t>Net Income (Before Taxes and Donations)</t>
  </si>
  <si>
    <r>
      <t xml:space="preserve">Taxes </t>
    </r>
    <r>
      <rPr>
        <i/>
        <sz val="10"/>
        <rFont val="Cambria"/>
        <family val="1"/>
      </rPr>
      <t>(Incomes taxes &amp; Other payable to KRA)</t>
    </r>
  </si>
  <si>
    <t>Net Income (After Taxes before Donations)</t>
  </si>
  <si>
    <t>Donations</t>
  </si>
  <si>
    <t>Net Income/(After Taxes and Donations)</t>
  </si>
  <si>
    <t>KENYA ACHIEVAS SACCO SOCIETY LIMITED</t>
  </si>
  <si>
    <t>PERFORMANCE AND COMPLIANCE REPORT AS AT :  31st December , 2020</t>
  </si>
  <si>
    <t>Prudential Standard</t>
  </si>
  <si>
    <t>Audited</t>
  </si>
  <si>
    <t>Returns</t>
  </si>
  <si>
    <t>audited 2020</t>
  </si>
  <si>
    <t xml:space="preserve"> 30th September  , 2020</t>
  </si>
  <si>
    <t xml:space="preserve"> 31st December  , 2020</t>
  </si>
  <si>
    <t>A. CAPITAL  ADEQUACY</t>
  </si>
  <si>
    <t xml:space="preserve">Core Capital </t>
  </si>
  <si>
    <r>
      <rPr>
        <sz val="11"/>
        <color theme="1"/>
        <rFont val="Calibri"/>
        <family val="2"/>
      </rPr>
      <t>≥</t>
    </r>
    <r>
      <rPr>
        <sz val="11"/>
        <color theme="1"/>
        <rFont val="Cambria"/>
        <family val="1"/>
      </rPr>
      <t>10M</t>
    </r>
  </si>
  <si>
    <t>Core Capital/Total Assets</t>
  </si>
  <si>
    <r>
      <rPr>
        <sz val="11"/>
        <color theme="1"/>
        <rFont val="Calibri"/>
        <family val="2"/>
      </rPr>
      <t>≥</t>
    </r>
    <r>
      <rPr>
        <sz val="11"/>
        <color theme="1"/>
        <rFont val="Cambria"/>
        <family val="1"/>
      </rPr>
      <t>10%</t>
    </r>
  </si>
  <si>
    <t>Institutional Capital/Total Assets</t>
  </si>
  <si>
    <r>
      <rPr>
        <sz val="11"/>
        <color theme="1"/>
        <rFont val="Calibri"/>
        <family val="2"/>
      </rPr>
      <t>≥</t>
    </r>
    <r>
      <rPr>
        <sz val="11"/>
        <color theme="1"/>
        <rFont val="Cambria"/>
        <family val="1"/>
      </rPr>
      <t>8%</t>
    </r>
  </si>
  <si>
    <t>B. ASSET QUALITY</t>
  </si>
  <si>
    <t>NPL  (Substandard+Doubtful+Loss)</t>
  </si>
  <si>
    <t>&lt;5%</t>
  </si>
  <si>
    <t>Non-Earning Assets</t>
  </si>
  <si>
    <t>&lt;10%</t>
  </si>
  <si>
    <t>Equity investments/Deposits</t>
  </si>
  <si>
    <t>Equity investments/Core capital</t>
  </si>
  <si>
    <t>&lt;40%</t>
  </si>
  <si>
    <t>C. EARNINGS RATING</t>
  </si>
  <si>
    <t xml:space="preserve">Yield on Gross Loans </t>
  </si>
  <si>
    <t>Total Expense/Total Income</t>
  </si>
  <si>
    <t>Net Income/Average Assets (ROA)</t>
  </si>
  <si>
    <t>Operating Expenses/Financial Income (OPEX)</t>
  </si>
  <si>
    <t>D. LIQUIDITY</t>
  </si>
  <si>
    <t>Liquid Assets/Short-term Liabilities</t>
  </si>
  <si>
    <t>&gt;15%</t>
  </si>
  <si>
    <t>External Borrowing/Total Assets</t>
  </si>
  <si>
    <t>&lt;25%</t>
  </si>
  <si>
    <t>Liquid Assets/Total Assets</t>
  </si>
  <si>
    <t>E. STRUCTURE/SENSITIVITY TO RISK</t>
  </si>
  <si>
    <t>Gross loans /Total Assets</t>
  </si>
  <si>
    <t>70-80</t>
  </si>
  <si>
    <t>Gross loans/Deposits</t>
  </si>
  <si>
    <t>&gt;100%</t>
  </si>
  <si>
    <t>Financial Investments/Total Assets</t>
  </si>
  <si>
    <t>Dividends+Interest on Deposits/Total Income</t>
  </si>
  <si>
    <t>F. KEY FINANCIAL STATISTICS</t>
  </si>
  <si>
    <t>Average Assets</t>
  </si>
  <si>
    <t>Total Deposits</t>
  </si>
  <si>
    <t>Gross Loans</t>
  </si>
  <si>
    <t>Core Capital</t>
  </si>
  <si>
    <t>Institutional Capital</t>
  </si>
  <si>
    <t>Non-performing Loans</t>
  </si>
  <si>
    <t>Property and Equipment</t>
  </si>
  <si>
    <t>Equity Investments</t>
  </si>
  <si>
    <t>Liquid Assets</t>
  </si>
  <si>
    <t>Short-term Liabilities)</t>
  </si>
  <si>
    <t>External Borrowing</t>
  </si>
  <si>
    <t>Average Gross Loans</t>
  </si>
  <si>
    <t>Total Income</t>
  </si>
  <si>
    <t>Net Financial Income/Loss</t>
  </si>
  <si>
    <t>Dividends+Interest on Deposits</t>
  </si>
  <si>
    <t>Interest on Loan portfolio+Fees&amp;Commission on Loan</t>
  </si>
  <si>
    <t>Total Expenses</t>
  </si>
  <si>
    <t>Net Income</t>
  </si>
  <si>
    <t>G. AREAS OF IMPROVEMENT/REGULATORY CONCERNS</t>
  </si>
  <si>
    <t>Prepared by:</t>
  </si>
  <si>
    <t>Checked by:</t>
  </si>
  <si>
    <t>Approved by:</t>
  </si>
  <si>
    <t>DISCLAIMER: This report is prepared based on information submitted by the Sacco as at the stated date and may change upon verification by the Authority.</t>
  </si>
  <si>
    <t>BORESHA SACCO FINANCIALS</t>
  </si>
  <si>
    <t>Year/month</t>
  </si>
  <si>
    <t>Membership</t>
  </si>
  <si>
    <t>Deposits-Members(BOSA)</t>
  </si>
  <si>
    <t>Deposits-Customers(FOSA)</t>
  </si>
  <si>
    <t>Deposits-Term</t>
  </si>
  <si>
    <t>Share capital and Reserves</t>
  </si>
  <si>
    <t>Total Capital</t>
  </si>
  <si>
    <t>Members Share Capital</t>
  </si>
  <si>
    <t>Entrance Fees</t>
  </si>
  <si>
    <t>Appropriation Account</t>
  </si>
  <si>
    <t>Statutory Reserves</t>
  </si>
  <si>
    <t>Capital Reserves</t>
  </si>
  <si>
    <t>Supplementary Capital &amp; reserves</t>
  </si>
  <si>
    <t>Benevolent  Fund</t>
  </si>
  <si>
    <t>Investments</t>
  </si>
  <si>
    <t>Govt bills</t>
  </si>
  <si>
    <t xml:space="preserve"> Investments in naccos</t>
  </si>
  <si>
    <t>Equity Investments (at cost)</t>
  </si>
  <si>
    <t>Deposits in KUSCCO CFP</t>
  </si>
  <si>
    <t>Net Loans &amp; Advances</t>
  </si>
  <si>
    <t>Gross Loans &amp; advances</t>
  </si>
  <si>
    <t>Allowance for loan losses</t>
  </si>
  <si>
    <t>Turnover</t>
  </si>
  <si>
    <t>Loan Interest</t>
  </si>
  <si>
    <t>Yield on loans</t>
  </si>
  <si>
    <t>Income from investments</t>
  </si>
  <si>
    <t>Fees &amp; Commissions</t>
  </si>
  <si>
    <t>Finanacial and Operating costs</t>
  </si>
  <si>
    <t>Interest expense on deposits</t>
  </si>
  <si>
    <t>Dividend expense on share capital</t>
  </si>
  <si>
    <t>Interest expense on borrowed funds</t>
  </si>
  <si>
    <t>Operating expenses</t>
  </si>
  <si>
    <t>Net Surplus</t>
  </si>
  <si>
    <t>NYALA SACCO CAELS 2020</t>
  </si>
  <si>
    <t>Regulatory Stds</t>
  </si>
  <si>
    <t>CAPITAL ADEQUACY</t>
  </si>
  <si>
    <t>10 M</t>
  </si>
  <si>
    <t>CCA</t>
  </si>
  <si>
    <t>CCD</t>
  </si>
  <si>
    <t>ICA</t>
  </si>
  <si>
    <t>ASSET QUALITY</t>
  </si>
  <si>
    <t>A/LNPL30</t>
  </si>
  <si>
    <t>NPL30</t>
  </si>
  <si>
    <t>Non-earning Asset ratio</t>
  </si>
  <si>
    <t>Max 10%</t>
  </si>
  <si>
    <t>Land and Building ratio</t>
  </si>
  <si>
    <t>Max 5%</t>
  </si>
  <si>
    <t>EARNINGS</t>
  </si>
  <si>
    <t>Non-Government Investment to Deposit ratio</t>
  </si>
  <si>
    <t>Non-Government Investment to Core Capital ratio</t>
  </si>
  <si>
    <t>Max 40%</t>
  </si>
  <si>
    <t>Gross loans/TA</t>
  </si>
  <si>
    <t>ROA</t>
  </si>
  <si>
    <t>Cost Income ratio</t>
  </si>
  <si>
    <t>Operating Expense  ratio</t>
  </si>
  <si>
    <t>LIQUIDITY</t>
  </si>
  <si>
    <t>MIN LIQ ratio</t>
  </si>
  <si>
    <t>Min 15%</t>
  </si>
  <si>
    <t>Technical LIQ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</si>
</sst>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0.0"/>
    <numFmt numFmtId="165" formatCode="_(* #,##0_);_(* \(#,##0\);_(* &quot;-&quot;??_);_(@_)"/>
    <numFmt numFmtId="166" formatCode="[$-10409]#,##0.00;\-\ #,##0.00"/>
    <numFmt numFmtId="167" formatCode="_(* #,##0.00_);_(* \(#,##0.00\);_(* \-??_);_(@_)"/>
    <numFmt numFmtId="168" formatCode="_(* #,##0_);_(* \(#,##0\);_(* \-??_);_(@_)"/>
    <numFmt numFmtId="169" formatCode="[$-10409]0.00;\-\ 0.00"/>
    <numFmt numFmtId="170" formatCode="0.0%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mbria"/>
      <family val="1"/>
    </font>
    <font>
      <b/>
      <sz val="10"/>
      <name val="Cambria"/>
      <family val="1"/>
    </font>
    <font>
      <sz val="10"/>
      <color indexed="8"/>
      <name val="Cambria"/>
      <family val="1"/>
    </font>
    <font>
      <sz val="10"/>
      <name val="Arial"/>
      <family val="2"/>
    </font>
    <font>
      <b/>
      <sz val="10"/>
      <color theme="1"/>
      <name val="Cambria"/>
      <family val="1"/>
    </font>
    <font>
      <b/>
      <sz val="9"/>
      <color indexed="8"/>
      <name val="Cambria"/>
      <family val="1"/>
    </font>
    <font>
      <sz val="9"/>
      <color indexed="8"/>
      <name val="Cambria"/>
      <family val="1"/>
    </font>
    <font>
      <i/>
      <sz val="10"/>
      <name val="Cambria"/>
      <family val="1"/>
    </font>
    <font>
      <sz val="10"/>
      <color theme="1"/>
      <name val="Cambria"/>
      <family val="1"/>
    </font>
    <font>
      <sz val="11"/>
      <color theme="1"/>
      <name val="Cambria"/>
      <family val="1"/>
    </font>
    <font>
      <sz val="10"/>
      <color rgb="FF000000"/>
      <name val="Cambria"/>
      <family val="1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mbria"/>
      <family val="1"/>
    </font>
    <font>
      <b/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9"/>
      <color indexed="8"/>
      <name val="Arial"/>
      <family val="2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16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indexed="52"/>
        <bgColor indexed="51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13"/>
        <bgColor indexed="0"/>
      </patternFill>
    </fill>
    <fill>
      <patternFill patternType="solid">
        <fgColor indexed="52"/>
        <bgColor indexed="64"/>
      </patternFill>
    </fill>
    <fill>
      <patternFill patternType="solid">
        <fgColor indexed="9"/>
        <bgColor indexed="0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rgb="FFDAA520"/>
        <bgColor rgb="FF000000"/>
      </patternFill>
    </fill>
  </fills>
  <borders count="34">
    <border>
      <left/>
      <right/>
      <top/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5" fillId="0" borderId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</cellStyleXfs>
  <cellXfs count="209">
    <xf numFmtId="0" fontId="0" fillId="0" borderId="0" xfId="0"/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16" fontId="3" fillId="0" borderId="0" xfId="0" applyNumberFormat="1" applyFont="1"/>
    <xf numFmtId="164" fontId="2" fillId="0" borderId="1" xfId="0" applyNumberFormat="1" applyFont="1" applyBorder="1" applyAlignment="1">
      <alignment horizontal="right"/>
    </xf>
    <xf numFmtId="0" fontId="2" fillId="0" borderId="2" xfId="0" applyFont="1" applyBorder="1"/>
    <xf numFmtId="165" fontId="3" fillId="2" borderId="3" xfId="1" applyNumberFormat="1" applyFont="1" applyFill="1" applyBorder="1"/>
    <xf numFmtId="166" fontId="4" fillId="0" borderId="3" xfId="0" applyNumberFormat="1" applyFont="1" applyBorder="1" applyAlignment="1" applyProtection="1">
      <alignment vertical="top" wrapText="1" readingOrder="1"/>
      <protection locked="0"/>
    </xf>
    <xf numFmtId="43" fontId="0" fillId="0" borderId="3" xfId="1" applyFont="1" applyBorder="1"/>
    <xf numFmtId="0" fontId="3" fillId="0" borderId="2" xfId="0" applyFont="1" applyBorder="1"/>
    <xf numFmtId="168" fontId="2" fillId="3" borderId="3" xfId="3" applyNumberFormat="1" applyFont="1" applyFill="1" applyBorder="1" applyAlignment="1" applyProtection="1"/>
    <xf numFmtId="0" fontId="2" fillId="0" borderId="1" xfId="0" applyFont="1" applyBorder="1" applyAlignment="1">
      <alignment horizontal="right"/>
    </xf>
    <xf numFmtId="168" fontId="3" fillId="3" borderId="3" xfId="3" applyNumberFormat="1" applyFont="1" applyFill="1" applyBorder="1" applyAlignment="1" applyProtection="1"/>
    <xf numFmtId="168" fontId="3" fillId="2" borderId="3" xfId="3" applyNumberFormat="1" applyFont="1" applyFill="1" applyBorder="1" applyAlignment="1" applyProtection="1"/>
    <xf numFmtId="165" fontId="2" fillId="2" borderId="3" xfId="1" applyNumberFormat="1" applyFont="1" applyFill="1" applyBorder="1"/>
    <xf numFmtId="169" fontId="4" fillId="0" borderId="3" xfId="0" applyNumberFormat="1" applyFont="1" applyBorder="1" applyAlignment="1" applyProtection="1">
      <alignment vertical="top" wrapText="1" readingOrder="1"/>
      <protection locked="0"/>
    </xf>
    <xf numFmtId="0" fontId="3" fillId="0" borderId="3" xfId="0" applyFont="1" applyBorder="1"/>
    <xf numFmtId="0" fontId="3" fillId="0" borderId="5" xfId="0" applyFont="1" applyBorder="1"/>
    <xf numFmtId="0" fontId="3" fillId="0" borderId="6" xfId="0" applyFont="1" applyBorder="1"/>
    <xf numFmtId="17" fontId="6" fillId="4" borderId="3" xfId="0" applyNumberFormat="1" applyFont="1" applyFill="1" applyBorder="1"/>
    <xf numFmtId="0" fontId="7" fillId="5" borderId="7" xfId="0" applyFont="1" applyFill="1" applyBorder="1" applyAlignment="1" applyProtection="1">
      <alignment vertical="top"/>
      <protection locked="0"/>
    </xf>
    <xf numFmtId="16" fontId="7" fillId="5" borderId="8" xfId="0" applyNumberFormat="1" applyFont="1" applyFill="1" applyBorder="1" applyAlignment="1" applyProtection="1">
      <alignment vertical="top"/>
      <protection locked="0"/>
    </xf>
    <xf numFmtId="0" fontId="2" fillId="0" borderId="3" xfId="0" applyFont="1" applyBorder="1"/>
    <xf numFmtId="43" fontId="3" fillId="6" borderId="5" xfId="1" applyFont="1" applyFill="1" applyBorder="1" applyAlignment="1" applyProtection="1"/>
    <xf numFmtId="43" fontId="0" fillId="0" borderId="3" xfId="1" applyFont="1" applyBorder="1" applyAlignment="1"/>
    <xf numFmtId="0" fontId="2" fillId="0" borderId="5" xfId="0" applyFont="1" applyBorder="1"/>
    <xf numFmtId="166" fontId="8" fillId="0" borderId="9" xfId="0" applyNumberFormat="1" applyFont="1" applyBorder="1" applyAlignment="1" applyProtection="1">
      <alignment vertical="top"/>
      <protection locked="0"/>
    </xf>
    <xf numFmtId="43" fontId="8" fillId="0" borderId="3" xfId="1" applyFont="1" applyBorder="1" applyAlignment="1" applyProtection="1">
      <alignment vertical="top"/>
      <protection locked="0"/>
    </xf>
    <xf numFmtId="43" fontId="3" fillId="8" borderId="5" xfId="1" applyFont="1" applyFill="1" applyBorder="1" applyAlignment="1"/>
    <xf numFmtId="43" fontId="3" fillId="2" borderId="5" xfId="1" applyFont="1" applyFill="1" applyBorder="1" applyAlignment="1" applyProtection="1"/>
    <xf numFmtId="43" fontId="2" fillId="8" borderId="5" xfId="1" applyFont="1" applyFill="1" applyBorder="1" applyAlignment="1"/>
    <xf numFmtId="0" fontId="6" fillId="0" borderId="0" xfId="4" applyFont="1"/>
    <xf numFmtId="0" fontId="10" fillId="0" borderId="0" xfId="0" applyFont="1"/>
    <xf numFmtId="0" fontId="6" fillId="0" borderId="10" xfId="4" applyFont="1" applyBorder="1"/>
    <xf numFmtId="43" fontId="6" fillId="0" borderId="11" xfId="5" applyFont="1" applyFill="1" applyBorder="1"/>
    <xf numFmtId="0" fontId="6" fillId="0" borderId="0" xfId="0" applyFont="1"/>
    <xf numFmtId="16" fontId="6" fillId="0" borderId="0" xfId="0" applyNumberFormat="1" applyFont="1"/>
    <xf numFmtId="3" fontId="2" fillId="0" borderId="12" xfId="4" applyNumberFormat="1" applyFont="1" applyBorder="1"/>
    <xf numFmtId="0" fontId="2" fillId="0" borderId="12" xfId="4" applyFont="1" applyBorder="1"/>
    <xf numFmtId="43" fontId="10" fillId="9" borderId="3" xfId="1" applyFont="1" applyFill="1" applyBorder="1"/>
    <xf numFmtId="0" fontId="3" fillId="0" borderId="12" xfId="4" applyFont="1" applyBorder="1"/>
    <xf numFmtId="43" fontId="6" fillId="9" borderId="3" xfId="1" applyFont="1" applyFill="1" applyBorder="1"/>
    <xf numFmtId="0" fontId="10" fillId="0" borderId="12" xfId="4" applyFont="1" applyBorder="1"/>
    <xf numFmtId="0" fontId="6" fillId="0" borderId="12" xfId="4" applyFont="1" applyBorder="1"/>
    <xf numFmtId="9" fontId="2" fillId="0" borderId="12" xfId="6" applyFont="1" applyFill="1" applyBorder="1"/>
    <xf numFmtId="43" fontId="3" fillId="9" borderId="3" xfId="1" applyFont="1" applyFill="1" applyBorder="1"/>
    <xf numFmtId="43" fontId="2" fillId="9" borderId="3" xfId="1" applyFont="1" applyFill="1" applyBorder="1"/>
    <xf numFmtId="0" fontId="2" fillId="0" borderId="13" xfId="4" applyFont="1" applyBorder="1"/>
    <xf numFmtId="0" fontId="2" fillId="0" borderId="0" xfId="4" applyFont="1"/>
    <xf numFmtId="0" fontId="6" fillId="0" borderId="3" xfId="0" applyFont="1" applyBorder="1" applyAlignment="1">
      <alignment horizontal="center"/>
    </xf>
    <xf numFmtId="0" fontId="11" fillId="0" borderId="0" xfId="0" applyFont="1"/>
    <xf numFmtId="0" fontId="6" fillId="4" borderId="10" xfId="0" applyFont="1" applyFill="1" applyBorder="1"/>
    <xf numFmtId="0" fontId="10" fillId="0" borderId="15" xfId="0" applyFont="1" applyBorder="1" applyAlignment="1">
      <alignment horizontal="left" vertical="top"/>
    </xf>
    <xf numFmtId="0" fontId="10" fillId="0" borderId="15" xfId="0" applyFont="1" applyBorder="1" applyAlignment="1">
      <alignment horizontal="center" vertical="center" wrapText="1"/>
    </xf>
    <xf numFmtId="165" fontId="10" fillId="0" borderId="15" xfId="1" applyNumberFormat="1" applyFont="1" applyBorder="1"/>
    <xf numFmtId="0" fontId="10" fillId="0" borderId="3" xfId="0" applyFont="1" applyBorder="1" applyAlignment="1">
      <alignment horizontal="left" vertical="top"/>
    </xf>
    <xf numFmtId="9" fontId="10" fillId="0" borderId="3" xfId="0" applyNumberFormat="1" applyFont="1" applyBorder="1" applyAlignment="1">
      <alignment horizontal="center" vertical="center" wrapText="1"/>
    </xf>
    <xf numFmtId="9" fontId="10" fillId="0" borderId="3" xfId="2" applyFont="1" applyBorder="1"/>
    <xf numFmtId="0" fontId="10" fillId="0" borderId="18" xfId="0" applyFont="1" applyBorder="1" applyAlignment="1">
      <alignment horizontal="left" vertical="top"/>
    </xf>
    <xf numFmtId="9" fontId="10" fillId="0" borderId="18" xfId="0" applyNumberFormat="1" applyFont="1" applyBorder="1" applyAlignment="1">
      <alignment horizontal="center" vertical="center" wrapText="1"/>
    </xf>
    <xf numFmtId="0" fontId="10" fillId="0" borderId="18" xfId="2" applyNumberFormat="1" applyFont="1" applyBorder="1"/>
    <xf numFmtId="9" fontId="10" fillId="0" borderId="18" xfId="2" applyFont="1" applyBorder="1"/>
    <xf numFmtId="0" fontId="10" fillId="0" borderId="15" xfId="0" applyFont="1" applyBorder="1" applyAlignment="1">
      <alignment horizontal="left" vertical="top" wrapText="1"/>
    </xf>
    <xf numFmtId="0" fontId="10" fillId="0" borderId="15" xfId="0" applyFont="1" applyBorder="1"/>
    <xf numFmtId="0" fontId="10" fillId="0" borderId="3" xfId="0" applyFont="1" applyBorder="1" applyAlignment="1">
      <alignment horizontal="left" vertical="top" wrapText="1"/>
    </xf>
    <xf numFmtId="170" fontId="10" fillId="0" borderId="3" xfId="2" applyNumberFormat="1" applyFont="1" applyBorder="1"/>
    <xf numFmtId="0" fontId="10" fillId="0" borderId="3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9" fontId="10" fillId="0" borderId="15" xfId="2" applyFont="1" applyBorder="1" applyAlignment="1"/>
    <xf numFmtId="0" fontId="12" fillId="0" borderId="3" xfId="0" applyFont="1" applyBorder="1" applyAlignment="1">
      <alignment vertical="top"/>
    </xf>
    <xf numFmtId="0" fontId="12" fillId="0" borderId="3" xfId="0" applyFont="1" applyBorder="1" applyAlignment="1">
      <alignment horizontal="center" vertical="center"/>
    </xf>
    <xf numFmtId="0" fontId="10" fillId="0" borderId="3" xfId="2" applyNumberFormat="1" applyFont="1" applyBorder="1" applyAlignment="1"/>
    <xf numFmtId="9" fontId="10" fillId="0" borderId="3" xfId="2" applyFont="1" applyBorder="1" applyAlignment="1"/>
    <xf numFmtId="0" fontId="12" fillId="0" borderId="3" xfId="0" applyFont="1" applyBorder="1" applyAlignment="1">
      <alignment horizontal="left" vertical="top"/>
    </xf>
    <xf numFmtId="0" fontId="12" fillId="0" borderId="3" xfId="0" applyFont="1" applyBorder="1" applyAlignment="1">
      <alignment horizontal="left" vertical="top" wrapText="1"/>
    </xf>
    <xf numFmtId="9" fontId="10" fillId="0" borderId="15" xfId="2" applyFont="1" applyBorder="1"/>
    <xf numFmtId="0" fontId="14" fillId="0" borderId="3" xfId="0" applyFont="1" applyBorder="1" applyAlignment="1" applyProtection="1">
      <alignment horizontal="right"/>
      <protection locked="0"/>
    </xf>
    <xf numFmtId="17" fontId="14" fillId="0" borderId="0" xfId="0" applyNumberFormat="1" applyFont="1" applyProtection="1">
      <protection locked="0"/>
    </xf>
    <xf numFmtId="17" fontId="14" fillId="0" borderId="19" xfId="0" applyNumberFormat="1" applyFont="1" applyBorder="1" applyAlignment="1" applyProtection="1">
      <alignment horizontal="right" wrapText="1"/>
      <protection locked="0"/>
    </xf>
    <xf numFmtId="0" fontId="0" fillId="0" borderId="3" xfId="0" applyBorder="1" applyAlignment="1" applyProtection="1">
      <alignment horizontal="center"/>
      <protection locked="0"/>
    </xf>
    <xf numFmtId="170" fontId="5" fillId="0" borderId="0" xfId="6" applyNumberFormat="1" applyFont="1" applyProtection="1">
      <protection locked="0"/>
    </xf>
    <xf numFmtId="170" fontId="1" fillId="0" borderId="0" xfId="6" applyNumberFormat="1" applyFont="1" applyProtection="1">
      <protection locked="0"/>
    </xf>
    <xf numFmtId="0" fontId="11" fillId="9" borderId="12" xfId="0" applyFont="1" applyFill="1" applyBorder="1" applyAlignment="1" applyProtection="1">
      <alignment horizontal="left"/>
      <protection locked="0"/>
    </xf>
    <xf numFmtId="0" fontId="0" fillId="0" borderId="12" xfId="0" applyBorder="1" applyAlignment="1" applyProtection="1">
      <alignment horizontal="left"/>
      <protection locked="0"/>
    </xf>
    <xf numFmtId="0" fontId="0" fillId="0" borderId="3" xfId="0" applyBorder="1" applyProtection="1">
      <protection locked="0"/>
    </xf>
    <xf numFmtId="0" fontId="0" fillId="0" borderId="5" xfId="0" applyBorder="1" applyProtection="1">
      <protection locked="0"/>
    </xf>
    <xf numFmtId="0" fontId="0" fillId="0" borderId="3" xfId="0" applyBorder="1" applyAlignment="1" applyProtection="1">
      <alignment horizontal="left"/>
      <protection locked="0"/>
    </xf>
    <xf numFmtId="0" fontId="0" fillId="0" borderId="5" xfId="0" applyBorder="1" applyAlignment="1" applyProtection="1">
      <alignment horizontal="left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8" xfId="0" applyBorder="1" applyAlignment="1" applyProtection="1">
      <alignment horizontal="center"/>
      <protection locked="0"/>
    </xf>
    <xf numFmtId="0" fontId="0" fillId="0" borderId="18" xfId="0" applyBorder="1" applyProtection="1">
      <protection locked="0"/>
    </xf>
    <xf numFmtId="0" fontId="0" fillId="0" borderId="25" xfId="0" applyBorder="1" applyProtection="1">
      <protection locked="0"/>
    </xf>
    <xf numFmtId="0" fontId="0" fillId="9" borderId="0" xfId="0" applyFill="1" applyProtection="1">
      <protection locked="0"/>
    </xf>
    <xf numFmtId="165" fontId="11" fillId="0" borderId="3" xfId="7" applyNumberFormat="1" applyFont="1" applyBorder="1" applyAlignment="1" applyProtection="1">
      <alignment horizontal="right"/>
    </xf>
    <xf numFmtId="0" fontId="11" fillId="0" borderId="12" xfId="0" applyFont="1" applyBorder="1"/>
    <xf numFmtId="0" fontId="11" fillId="0" borderId="3" xfId="0" applyFont="1" applyBorder="1" applyAlignment="1">
      <alignment horizontal="center"/>
    </xf>
    <xf numFmtId="9" fontId="11" fillId="0" borderId="3" xfId="0" applyNumberFormat="1" applyFont="1" applyBorder="1" applyAlignment="1">
      <alignment horizontal="center"/>
    </xf>
    <xf numFmtId="170" fontId="0" fillId="9" borderId="3" xfId="2" applyNumberFormat="1" applyFont="1" applyFill="1" applyBorder="1" applyAlignment="1" applyProtection="1">
      <alignment horizontal="right"/>
    </xf>
    <xf numFmtId="0" fontId="11" fillId="9" borderId="12" xfId="0" applyFont="1" applyFill="1" applyBorder="1"/>
    <xf numFmtId="0" fontId="11" fillId="9" borderId="3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11" fillId="9" borderId="12" xfId="0" applyFont="1" applyFill="1" applyBorder="1" applyAlignment="1">
      <alignment horizontal="left"/>
    </xf>
    <xf numFmtId="9" fontId="11" fillId="9" borderId="3" xfId="0" applyNumberFormat="1" applyFont="1" applyFill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0" fillId="0" borderId="12" xfId="0" applyBorder="1"/>
    <xf numFmtId="43" fontId="18" fillId="0" borderId="3" xfId="1" applyFont="1" applyBorder="1" applyAlignment="1" applyProtection="1">
      <alignment horizontal="center"/>
    </xf>
    <xf numFmtId="0" fontId="14" fillId="9" borderId="12" xfId="0" applyFont="1" applyFill="1" applyBorder="1"/>
    <xf numFmtId="0" fontId="14" fillId="9" borderId="21" xfId="0" applyFont="1" applyFill="1" applyBorder="1"/>
    <xf numFmtId="0" fontId="14" fillId="9" borderId="13" xfId="0" applyFont="1" applyFill="1" applyBorder="1"/>
    <xf numFmtId="170" fontId="11" fillId="0" borderId="3" xfId="2" applyNumberFormat="1" applyFont="1" applyBorder="1" applyAlignment="1" applyProtection="1">
      <alignment horizontal="right"/>
    </xf>
    <xf numFmtId="170" fontId="11" fillId="9" borderId="3" xfId="2" applyNumberFormat="1" applyFont="1" applyFill="1" applyBorder="1" applyAlignment="1" applyProtection="1">
      <alignment horizontal="right"/>
    </xf>
    <xf numFmtId="170" fontId="11" fillId="0" borderId="3" xfId="2" applyNumberFormat="1" applyFont="1" applyFill="1" applyBorder="1" applyAlignment="1" applyProtection="1">
      <alignment horizontal="right"/>
    </xf>
    <xf numFmtId="0" fontId="14" fillId="0" borderId="5" xfId="0" applyFont="1" applyBorder="1" applyAlignment="1">
      <alignment horizontal="right"/>
    </xf>
    <xf numFmtId="43" fontId="18" fillId="0" borderId="3" xfId="1" applyFont="1" applyBorder="1" applyProtection="1">
      <protection locked="0"/>
    </xf>
    <xf numFmtId="43" fontId="19" fillId="0" borderId="3" xfId="1" applyFont="1" applyBorder="1" applyProtection="1">
      <protection locked="0"/>
    </xf>
    <xf numFmtId="43" fontId="2" fillId="0" borderId="3" xfId="1" applyFont="1" applyBorder="1" applyProtection="1">
      <protection locked="0"/>
    </xf>
    <xf numFmtId="0" fontId="18" fillId="0" borderId="12" xfId="0" applyFont="1" applyBorder="1"/>
    <xf numFmtId="0" fontId="20" fillId="9" borderId="4" xfId="0" applyFont="1" applyFill="1" applyBorder="1"/>
    <xf numFmtId="43" fontId="18" fillId="0" borderId="3" xfId="1" applyFont="1" applyBorder="1" applyAlignment="1"/>
    <xf numFmtId="165" fontId="3" fillId="9" borderId="3" xfId="1" applyNumberFormat="1" applyFont="1" applyFill="1" applyBorder="1"/>
    <xf numFmtId="0" fontId="2" fillId="9" borderId="1" xfId="0" applyFont="1" applyFill="1" applyBorder="1" applyAlignment="1">
      <alignment horizontal="right"/>
    </xf>
    <xf numFmtId="0" fontId="2" fillId="9" borderId="2" xfId="0" applyFont="1" applyFill="1" applyBorder="1"/>
    <xf numFmtId="166" fontId="4" fillId="9" borderId="3" xfId="0" applyNumberFormat="1" applyFont="1" applyFill="1" applyBorder="1" applyAlignment="1" applyProtection="1">
      <alignment vertical="top" wrapText="1" readingOrder="1"/>
      <protection locked="0"/>
    </xf>
    <xf numFmtId="0" fontId="0" fillId="9" borderId="0" xfId="0" applyFill="1"/>
    <xf numFmtId="43" fontId="0" fillId="9" borderId="0" xfId="1" applyFont="1" applyFill="1"/>
    <xf numFmtId="166" fontId="21" fillId="0" borderId="7" xfId="0" applyNumberFormat="1" applyFont="1" applyBorder="1" applyAlignment="1" applyProtection="1">
      <alignment vertical="top" wrapText="1" readingOrder="1"/>
      <protection locked="0"/>
    </xf>
    <xf numFmtId="169" fontId="21" fillId="0" borderId="7" xfId="0" applyNumberFormat="1" applyFont="1" applyBorder="1" applyAlignment="1" applyProtection="1">
      <alignment vertical="top" wrapText="1" readingOrder="1"/>
      <protection locked="0"/>
    </xf>
    <xf numFmtId="166" fontId="22" fillId="0" borderId="7" xfId="0" applyNumberFormat="1" applyFont="1" applyBorder="1" applyAlignment="1" applyProtection="1">
      <alignment vertical="top" wrapText="1" readingOrder="1"/>
      <protection locked="0"/>
    </xf>
    <xf numFmtId="43" fontId="0" fillId="12" borderId="3" xfId="1" applyFont="1" applyFill="1" applyBorder="1" applyAlignment="1"/>
    <xf numFmtId="166" fontId="8" fillId="13" borderId="9" xfId="0" applyNumberFormat="1" applyFont="1" applyFill="1" applyBorder="1" applyAlignment="1" applyProtection="1">
      <alignment vertical="top"/>
      <protection locked="0"/>
    </xf>
    <xf numFmtId="166" fontId="22" fillId="7" borderId="7" xfId="0" applyNumberFormat="1" applyFont="1" applyFill="1" applyBorder="1" applyAlignment="1" applyProtection="1">
      <alignment vertical="top" wrapText="1" readingOrder="1"/>
      <protection locked="0"/>
    </xf>
    <xf numFmtId="0" fontId="14" fillId="0" borderId="0" xfId="0" applyFont="1"/>
    <xf numFmtId="165" fontId="0" fillId="0" borderId="0" xfId="1" applyNumberFormat="1" applyFont="1"/>
    <xf numFmtId="165" fontId="0" fillId="9" borderId="0" xfId="1" applyNumberFormat="1" applyFont="1" applyFill="1"/>
    <xf numFmtId="0" fontId="0" fillId="12" borderId="0" xfId="0" applyFill="1"/>
    <xf numFmtId="0" fontId="2" fillId="9" borderId="3" xfId="0" applyFont="1" applyFill="1" applyBorder="1"/>
    <xf numFmtId="0" fontId="3" fillId="9" borderId="5" xfId="0" applyFont="1" applyFill="1" applyBorder="1"/>
    <xf numFmtId="0" fontId="23" fillId="0" borderId="29" xfId="0" applyFont="1" applyBorder="1" applyAlignment="1">
      <alignment wrapText="1" readingOrder="1"/>
    </xf>
    <xf numFmtId="4" fontId="23" fillId="0" borderId="29" xfId="0" applyNumberFormat="1" applyFont="1" applyBorder="1" applyAlignment="1">
      <alignment wrapText="1" readingOrder="1"/>
    </xf>
    <xf numFmtId="0" fontId="23" fillId="0" borderId="30" xfId="0" applyFont="1" applyBorder="1" applyAlignment="1">
      <alignment wrapText="1" readingOrder="1"/>
    </xf>
    <xf numFmtId="4" fontId="23" fillId="0" borderId="30" xfId="0" applyNumberFormat="1" applyFont="1" applyBorder="1" applyAlignment="1">
      <alignment wrapText="1" readingOrder="1"/>
    </xf>
    <xf numFmtId="0" fontId="24" fillId="0" borderId="29" xfId="0" applyFont="1" applyBorder="1" applyAlignment="1">
      <alignment wrapText="1" readingOrder="1"/>
    </xf>
    <xf numFmtId="4" fontId="24" fillId="0" borderId="29" xfId="0" applyNumberFormat="1" applyFont="1" applyBorder="1" applyAlignment="1">
      <alignment wrapText="1" readingOrder="1"/>
    </xf>
    <xf numFmtId="0" fontId="24" fillId="0" borderId="30" xfId="0" applyFont="1" applyBorder="1" applyAlignment="1">
      <alignment wrapText="1" readingOrder="1"/>
    </xf>
    <xf numFmtId="4" fontId="24" fillId="0" borderId="30" xfId="0" applyNumberFormat="1" applyFont="1" applyBorder="1" applyAlignment="1">
      <alignment wrapText="1" readingOrder="1"/>
    </xf>
    <xf numFmtId="4" fontId="24" fillId="0" borderId="31" xfId="0" applyNumberFormat="1" applyFont="1" applyBorder="1" applyAlignment="1">
      <alignment wrapText="1" readingOrder="1"/>
    </xf>
    <xf numFmtId="4" fontId="24" fillId="0" borderId="32" xfId="0" applyNumberFormat="1" applyFont="1" applyBorder="1" applyAlignment="1">
      <alignment wrapText="1" readingOrder="1"/>
    </xf>
    <xf numFmtId="43" fontId="24" fillId="0" borderId="30" xfId="0" applyNumberFormat="1" applyFont="1" applyBorder="1" applyAlignment="1">
      <alignment wrapText="1" readingOrder="1"/>
    </xf>
    <xf numFmtId="43" fontId="0" fillId="0" borderId="0" xfId="0" applyNumberFormat="1"/>
    <xf numFmtId="0" fontId="24" fillId="0" borderId="32" xfId="0" applyFont="1" applyBorder="1" applyAlignment="1">
      <alignment wrapText="1" readingOrder="1"/>
    </xf>
    <xf numFmtId="0" fontId="23" fillId="0" borderId="31" xfId="0" applyFont="1" applyBorder="1" applyAlignment="1">
      <alignment wrapText="1" readingOrder="1"/>
    </xf>
    <xf numFmtId="4" fontId="23" fillId="0" borderId="31" xfId="0" applyNumberFormat="1" applyFont="1" applyBorder="1" applyAlignment="1">
      <alignment wrapText="1" readingOrder="1"/>
    </xf>
    <xf numFmtId="0" fontId="23" fillId="0" borderId="32" xfId="0" applyFont="1" applyBorder="1" applyAlignment="1">
      <alignment wrapText="1" readingOrder="1"/>
    </xf>
    <xf numFmtId="4" fontId="23" fillId="0" borderId="32" xfId="0" applyNumberFormat="1" applyFont="1" applyBorder="1" applyAlignment="1">
      <alignment wrapText="1" readingOrder="1"/>
    </xf>
    <xf numFmtId="4" fontId="23" fillId="0" borderId="33" xfId="0" applyNumberFormat="1" applyFont="1" applyBorder="1" applyAlignment="1">
      <alignment wrapText="1" readingOrder="1"/>
    </xf>
    <xf numFmtId="0" fontId="23" fillId="0" borderId="33" xfId="0" applyFont="1" applyBorder="1" applyAlignment="1">
      <alignment wrapText="1" readingOrder="1"/>
    </xf>
    <xf numFmtId="165" fontId="0" fillId="0" borderId="0" xfId="0" applyNumberFormat="1"/>
    <xf numFmtId="43" fontId="7" fillId="5" borderId="8" xfId="0" applyNumberFormat="1" applyFont="1" applyFill="1" applyBorder="1" applyAlignment="1" applyProtection="1">
      <alignment vertical="top"/>
      <protection locked="0"/>
    </xf>
    <xf numFmtId="43" fontId="3" fillId="0" borderId="0" xfId="0" applyNumberFormat="1" applyFont="1"/>
    <xf numFmtId="43" fontId="3" fillId="2" borderId="3" xfId="1" applyFont="1" applyFill="1" applyBorder="1"/>
    <xf numFmtId="43" fontId="23" fillId="0" borderId="31" xfId="0" applyNumberFormat="1" applyFont="1" applyBorder="1" applyAlignment="1">
      <alignment wrapText="1" readingOrder="1"/>
    </xf>
    <xf numFmtId="43" fontId="2" fillId="3" borderId="3" xfId="3" applyNumberFormat="1" applyFont="1" applyFill="1" applyBorder="1" applyAlignment="1" applyProtection="1"/>
    <xf numFmtId="43" fontId="23" fillId="0" borderId="33" xfId="0" applyNumberFormat="1" applyFont="1" applyBorder="1" applyAlignment="1">
      <alignment wrapText="1" readingOrder="1"/>
    </xf>
    <xf numFmtId="43" fontId="3" fillId="3" borderId="3" xfId="3" applyNumberFormat="1" applyFont="1" applyFill="1" applyBorder="1" applyAlignment="1" applyProtection="1"/>
    <xf numFmtId="43" fontId="3" fillId="2" borderId="3" xfId="3" applyNumberFormat="1" applyFont="1" applyFill="1" applyBorder="1" applyAlignment="1" applyProtection="1"/>
    <xf numFmtId="43" fontId="2" fillId="2" borderId="3" xfId="1" applyFont="1" applyFill="1" applyBorder="1"/>
    <xf numFmtId="43" fontId="0" fillId="9" borderId="0" xfId="0" applyNumberFormat="1" applyFill="1"/>
    <xf numFmtId="17" fontId="14" fillId="0" borderId="0" xfId="0" applyNumberFormat="1" applyFont="1"/>
    <xf numFmtId="17" fontId="14" fillId="14" borderId="0" xfId="0" applyNumberFormat="1" applyFont="1" applyFill="1"/>
    <xf numFmtId="0" fontId="24" fillId="0" borderId="31" xfId="0" applyFont="1" applyBorder="1" applyAlignment="1">
      <alignment wrapText="1" readingOrder="1"/>
    </xf>
    <xf numFmtId="4" fontId="24" fillId="15" borderId="30" xfId="0" applyNumberFormat="1" applyFont="1" applyFill="1" applyBorder="1" applyAlignment="1">
      <alignment wrapText="1" readingOrder="1"/>
    </xf>
    <xf numFmtId="4" fontId="24" fillId="15" borderId="32" xfId="0" applyNumberFormat="1" applyFont="1" applyFill="1" applyBorder="1" applyAlignment="1">
      <alignment wrapText="1" readingOrder="1"/>
    </xf>
    <xf numFmtId="4" fontId="24" fillId="15" borderId="29" xfId="0" applyNumberFormat="1" applyFont="1" applyFill="1" applyBorder="1" applyAlignment="1">
      <alignment wrapText="1" readingOrder="1"/>
    </xf>
    <xf numFmtId="0" fontId="14" fillId="0" borderId="10" xfId="0" applyFont="1" applyBorder="1" applyAlignment="1">
      <alignment horizontal="center"/>
    </xf>
    <xf numFmtId="0" fontId="14" fillId="0" borderId="28" xfId="0" applyFont="1" applyBorder="1" applyAlignment="1">
      <alignment horizontal="center"/>
    </xf>
    <xf numFmtId="0" fontId="14" fillId="0" borderId="11" xfId="0" applyFont="1" applyBorder="1" applyAlignment="1" applyProtection="1">
      <alignment horizontal="center"/>
      <protection locked="0"/>
    </xf>
    <xf numFmtId="0" fontId="14" fillId="0" borderId="15" xfId="0" applyFont="1" applyBorder="1" applyAlignment="1" applyProtection="1">
      <alignment horizontal="center"/>
      <protection locked="0"/>
    </xf>
    <xf numFmtId="0" fontId="14" fillId="0" borderId="24" xfId="0" applyFont="1" applyBorder="1" applyAlignment="1" applyProtection="1">
      <alignment horizontal="center"/>
      <protection locked="0"/>
    </xf>
    <xf numFmtId="0" fontId="14" fillId="0" borderId="12" xfId="0" applyFont="1" applyBorder="1" applyAlignment="1" applyProtection="1">
      <alignment horizontal="center"/>
      <protection locked="0"/>
    </xf>
    <xf numFmtId="0" fontId="14" fillId="0" borderId="3" xfId="0" applyFont="1" applyBorder="1" applyAlignment="1" applyProtection="1">
      <alignment horizontal="center"/>
      <protection locked="0"/>
    </xf>
    <xf numFmtId="0" fontId="14" fillId="0" borderId="5" xfId="0" applyFont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14" fillId="0" borderId="6" xfId="0" applyFont="1" applyBorder="1" applyAlignment="1" applyProtection="1">
      <alignment horizontal="center"/>
      <protection locked="0"/>
    </xf>
    <xf numFmtId="0" fontId="14" fillId="0" borderId="20" xfId="0" applyFont="1" applyBorder="1" applyAlignment="1" applyProtection="1">
      <alignment horizontal="center"/>
      <protection locked="0"/>
    </xf>
    <xf numFmtId="17" fontId="14" fillId="0" borderId="26" xfId="0" applyNumberFormat="1" applyFont="1" applyBorder="1" applyAlignment="1" applyProtection="1">
      <alignment horizontal="center" wrapText="1"/>
      <protection locked="0"/>
    </xf>
    <xf numFmtId="17" fontId="14" fillId="0" borderId="27" xfId="0" applyNumberFormat="1" applyFont="1" applyBorder="1" applyAlignment="1" applyProtection="1">
      <alignment horizontal="center" wrapText="1"/>
      <protection locked="0"/>
    </xf>
    <xf numFmtId="0" fontId="15" fillId="10" borderId="12" xfId="0" applyFont="1" applyFill="1" applyBorder="1" applyAlignment="1">
      <alignment horizontal="left"/>
    </xf>
    <xf numFmtId="0" fontId="15" fillId="10" borderId="3" xfId="0" applyFont="1" applyFill="1" applyBorder="1" applyAlignment="1">
      <alignment horizontal="left"/>
    </xf>
    <xf numFmtId="0" fontId="15" fillId="10" borderId="5" xfId="0" applyFont="1" applyFill="1" applyBorder="1" applyAlignment="1">
      <alignment horizontal="left"/>
    </xf>
    <xf numFmtId="0" fontId="17" fillId="11" borderId="22" xfId="0" applyFont="1" applyFill="1" applyBorder="1" applyAlignment="1">
      <alignment horizontal="left"/>
    </xf>
    <xf numFmtId="0" fontId="17" fillId="11" borderId="23" xfId="0" applyFont="1" applyFill="1" applyBorder="1" applyAlignment="1">
      <alignment horizontal="left"/>
    </xf>
    <xf numFmtId="0" fontId="6" fillId="0" borderId="14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43" fontId="10" fillId="9" borderId="0" xfId="1" applyFont="1" applyFill="1" applyBorder="1"/>
    <xf numFmtId="43" fontId="6" fillId="9" borderId="0" xfId="1" applyFont="1" applyFill="1" applyBorder="1"/>
    <xf numFmtId="0" fontId="10" fillId="0" borderId="0" xfId="0" applyFont="1" applyBorder="1"/>
    <xf numFmtId="43" fontId="3" fillId="9" borderId="0" xfId="1" applyFont="1" applyFill="1" applyBorder="1"/>
    <xf numFmtId="43" fontId="2" fillId="9" borderId="0" xfId="1" applyFont="1" applyFill="1" applyBorder="1"/>
    <xf numFmtId="43" fontId="10" fillId="9" borderId="5" xfId="1" applyFont="1" applyFill="1" applyBorder="1"/>
    <xf numFmtId="43" fontId="6" fillId="9" borderId="5" xfId="1" applyFont="1" applyFill="1" applyBorder="1"/>
    <xf numFmtId="43" fontId="3" fillId="9" borderId="5" xfId="1" applyFont="1" applyFill="1" applyBorder="1"/>
    <xf numFmtId="43" fontId="2" fillId="9" borderId="5" xfId="1" applyFont="1" applyFill="1" applyBorder="1"/>
  </cellXfs>
  <cellStyles count="9">
    <cellStyle name="Comma" xfId="1" builtinId="3"/>
    <cellStyle name="Comma 10" xfId="3" xr:uid="{00000000-0005-0000-0000-000001000000}"/>
    <cellStyle name="Comma 10 10 2" xfId="7" xr:uid="{00000000-0005-0000-0000-000002000000}"/>
    <cellStyle name="Comma 369" xfId="5" xr:uid="{00000000-0005-0000-0000-000003000000}"/>
    <cellStyle name="Normal" xfId="0" builtinId="0"/>
    <cellStyle name="Normal 385" xfId="4" xr:uid="{00000000-0005-0000-0000-000005000000}"/>
    <cellStyle name="Normal 7" xfId="8" xr:uid="{00000000-0005-0000-0000-000006000000}"/>
    <cellStyle name="Percent" xfId="2" builtinId="5"/>
    <cellStyle name="Percent 2 2" xfId="6" xr:uid="{00000000-0005-0000-0000-000008000000}"/>
  </cellStyles>
  <dxfs count="2">
    <dxf>
      <font>
        <color rgb="FFFF0000"/>
      </font>
      <fill>
        <patternFill>
          <bgColor rgb="FFF0BCBC"/>
        </patternFill>
      </fill>
    </dxf>
    <dxf>
      <fill>
        <patternFill>
          <bgColor rgb="FFF2CA6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AccS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Lemison/Downloads/AccN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Sheet"/>
      <sheetName val="Income Statement"/>
      <sheetName val="Financials"/>
      <sheetName val="FORM 4"/>
      <sheetName val="CAEL"/>
    </sheetNames>
    <sheetDataSet>
      <sheetData sheetId="0">
        <row r="16">
          <cell r="C16">
            <v>0</v>
          </cell>
        </row>
        <row r="20">
          <cell r="C20">
            <v>0</v>
          </cell>
        </row>
        <row r="26">
          <cell r="C26">
            <v>0</v>
          </cell>
        </row>
        <row r="30">
          <cell r="C30">
            <v>0</v>
          </cell>
        </row>
        <row r="41">
          <cell r="C41">
            <v>0</v>
          </cell>
        </row>
      </sheetData>
      <sheetData sheetId="1">
        <row r="4">
          <cell r="C4">
            <v>0</v>
          </cell>
        </row>
        <row r="8">
          <cell r="C8">
            <v>0</v>
          </cell>
        </row>
        <row r="20">
          <cell r="C20">
            <v>0</v>
          </cell>
        </row>
        <row r="24">
          <cell r="C24">
            <v>0</v>
          </cell>
        </row>
        <row r="30">
          <cell r="C30">
            <v>0</v>
          </cell>
        </row>
        <row r="38">
          <cell r="C38">
            <v>0</v>
          </cell>
        </row>
      </sheetData>
      <sheetData sheetId="2">
        <row r="5">
          <cell r="B5">
            <v>0</v>
          </cell>
        </row>
        <row r="13">
          <cell r="B13">
            <v>0</v>
          </cell>
        </row>
        <row r="31">
          <cell r="B31">
            <v>0</v>
          </cell>
        </row>
      </sheetData>
      <sheetData sheetId="3">
        <row r="22">
          <cell r="F22">
            <v>0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Sheet"/>
      <sheetName val="Income Statement"/>
      <sheetName val="Financials"/>
      <sheetName val="FORM 4"/>
      <sheetName val="CAEL"/>
    </sheetNames>
    <sheetDataSet>
      <sheetData sheetId="0"/>
      <sheetData sheetId="1"/>
      <sheetData sheetId="2">
        <row r="5">
          <cell r="B5">
            <v>0</v>
          </cell>
        </row>
        <row r="6">
          <cell r="B6">
            <v>0</v>
          </cell>
        </row>
        <row r="13">
          <cell r="B13">
            <v>0</v>
          </cell>
        </row>
        <row r="14">
          <cell r="B14">
            <v>0</v>
          </cell>
        </row>
        <row r="15">
          <cell r="B15">
            <v>0</v>
          </cell>
        </row>
        <row r="16">
          <cell r="B16">
            <v>0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3"/>
  <sheetViews>
    <sheetView workbookViewId="0">
      <pane xSplit="2" topLeftCell="AH13" activePane="topRight" state="frozen"/>
      <selection pane="topRight" activeCell="AH13" sqref="AH13:AI13"/>
    </sheetView>
  </sheetViews>
  <sheetFormatPr defaultRowHeight="14.45"/>
  <cols>
    <col min="2" max="2" width="47.28515625" bestFit="1" customWidth="1"/>
    <col min="3" max="3" width="17.140625" customWidth="1"/>
    <col min="4" max="7" width="14.28515625" customWidth="1"/>
    <col min="8" max="15" width="15.28515625" customWidth="1"/>
    <col min="16" max="23" width="15.28515625" bestFit="1" customWidth="1"/>
    <col min="24" max="24" width="18.85546875" customWidth="1"/>
    <col min="25" max="27" width="13.7109375" customWidth="1"/>
    <col min="28" max="28" width="16.5703125" style="153" customWidth="1"/>
    <col min="29" max="29" width="15.140625" bestFit="1" customWidth="1"/>
    <col min="30" max="32" width="14.28515625" bestFit="1" customWidth="1"/>
    <col min="33" max="33" width="14.5703125" customWidth="1"/>
    <col min="34" max="34" width="16.28515625" customWidth="1"/>
    <col min="35" max="35" width="14.28515625" bestFit="1" customWidth="1"/>
  </cols>
  <sheetData>
    <row r="1" spans="1:35">
      <c r="A1" s="1"/>
      <c r="B1" s="2" t="s">
        <v>0</v>
      </c>
      <c r="C1" s="3"/>
      <c r="D1" s="3"/>
      <c r="E1" s="3"/>
      <c r="F1" s="3"/>
      <c r="G1" s="3"/>
    </row>
    <row r="2" spans="1:35">
      <c r="A2" s="1"/>
      <c r="B2" s="4" t="s">
        <v>1</v>
      </c>
      <c r="C2" s="3"/>
      <c r="D2" s="3"/>
      <c r="E2" s="3"/>
      <c r="F2" s="3"/>
      <c r="G2" s="3"/>
    </row>
    <row r="3" spans="1:35" ht="15">
      <c r="A3" s="5"/>
      <c r="B3" s="4" t="s">
        <v>2</v>
      </c>
      <c r="C3" s="136" t="s">
        <v>3</v>
      </c>
      <c r="D3" s="6">
        <v>44216</v>
      </c>
      <c r="E3" s="6">
        <v>44247</v>
      </c>
      <c r="F3" s="6">
        <v>44275</v>
      </c>
      <c r="G3" s="6">
        <v>44306</v>
      </c>
      <c r="H3" s="6">
        <v>44336</v>
      </c>
      <c r="I3" s="6">
        <v>44367</v>
      </c>
      <c r="J3" s="6">
        <v>44428</v>
      </c>
      <c r="K3" s="6">
        <v>44459</v>
      </c>
      <c r="L3" s="6">
        <v>44489</v>
      </c>
      <c r="M3" s="6">
        <v>44520</v>
      </c>
      <c r="N3" s="6">
        <v>44550</v>
      </c>
      <c r="O3" s="6" t="s">
        <v>4</v>
      </c>
      <c r="P3" s="6">
        <v>44197</v>
      </c>
      <c r="Q3" s="6">
        <v>44229</v>
      </c>
      <c r="R3" s="6">
        <v>44258</v>
      </c>
      <c r="S3" s="6">
        <v>44290</v>
      </c>
      <c r="T3" s="6">
        <v>44321</v>
      </c>
      <c r="U3" s="6">
        <v>44353</v>
      </c>
      <c r="V3" s="6">
        <v>44384</v>
      </c>
      <c r="W3" s="6">
        <v>44416</v>
      </c>
      <c r="X3" s="6">
        <v>44448</v>
      </c>
      <c r="Y3" s="6">
        <v>44479</v>
      </c>
      <c r="Z3" s="6">
        <v>44511</v>
      </c>
      <c r="AA3" s="6">
        <v>44542</v>
      </c>
      <c r="AB3" s="163" t="s">
        <v>5</v>
      </c>
      <c r="AC3" s="163" t="s">
        <v>6</v>
      </c>
      <c r="AD3" s="172">
        <v>44927</v>
      </c>
      <c r="AE3" s="172">
        <v>44958</v>
      </c>
      <c r="AF3" s="172">
        <v>44986</v>
      </c>
      <c r="AG3" s="172">
        <v>45017</v>
      </c>
      <c r="AH3" s="172">
        <v>45047</v>
      </c>
      <c r="AI3" s="172">
        <v>45078</v>
      </c>
    </row>
    <row r="4" spans="1:35" ht="15">
      <c r="A4" s="7">
        <v>1</v>
      </c>
      <c r="B4" s="8" t="s">
        <v>7</v>
      </c>
      <c r="C4" s="9">
        <f t="shared" ref="C4:O4" si="0">C5+C6</f>
        <v>5913431</v>
      </c>
      <c r="D4" s="9">
        <f t="shared" si="0"/>
        <v>9406573.4400000013</v>
      </c>
      <c r="E4" s="9">
        <f t="shared" si="0"/>
        <v>8277490.8799999999</v>
      </c>
      <c r="F4" s="9">
        <f t="shared" si="0"/>
        <v>9373390.2599999998</v>
      </c>
      <c r="G4" s="9">
        <f t="shared" si="0"/>
        <v>8126.11</v>
      </c>
      <c r="H4" s="9">
        <f t="shared" si="0"/>
        <v>7859723.2999999998</v>
      </c>
      <c r="I4" s="9">
        <f t="shared" si="0"/>
        <v>9595878</v>
      </c>
      <c r="J4" s="9">
        <f t="shared" si="0"/>
        <v>6578642.2199999997</v>
      </c>
      <c r="K4" s="9">
        <f t="shared" si="0"/>
        <v>7359736.1299999999</v>
      </c>
      <c r="L4" s="9">
        <f t="shared" si="0"/>
        <v>9316707.0800000001</v>
      </c>
      <c r="M4" s="9">
        <f t="shared" si="0"/>
        <v>8230626.75</v>
      </c>
      <c r="N4" s="9">
        <f t="shared" si="0"/>
        <v>8428596.6699999999</v>
      </c>
      <c r="O4" s="9">
        <f t="shared" si="0"/>
        <v>8460800</v>
      </c>
      <c r="P4" s="9">
        <f t="shared" ref="P4:W4" si="1">P5+P6</f>
        <v>7776564.8799999999</v>
      </c>
      <c r="Q4" s="9">
        <f t="shared" si="1"/>
        <v>7674221.79</v>
      </c>
      <c r="R4" s="9">
        <f t="shared" si="1"/>
        <v>10578634.49</v>
      </c>
      <c r="S4" s="9">
        <f t="shared" si="1"/>
        <v>9314637.3000000007</v>
      </c>
      <c r="T4" s="9">
        <f t="shared" si="1"/>
        <v>5125558.5999999996</v>
      </c>
      <c r="U4" s="9">
        <f t="shared" si="1"/>
        <v>4904662.25</v>
      </c>
      <c r="V4" s="9">
        <f t="shared" si="1"/>
        <v>7490681.6500000004</v>
      </c>
      <c r="W4" s="9">
        <f t="shared" si="1"/>
        <v>8008754.54</v>
      </c>
      <c r="X4" s="9">
        <f t="shared" ref="X4:AB4" si="2">X5+X6</f>
        <v>7366613.2999999998</v>
      </c>
      <c r="Y4" s="9">
        <f t="shared" si="2"/>
        <v>8735044.5</v>
      </c>
      <c r="Z4" s="9">
        <f t="shared" si="2"/>
        <v>8197435.7999999998</v>
      </c>
      <c r="AA4" s="9">
        <f t="shared" si="2"/>
        <v>7954587.8399999999</v>
      </c>
      <c r="AB4" s="164">
        <f t="shared" si="2"/>
        <v>7528330</v>
      </c>
      <c r="AC4" s="164">
        <f t="shared" ref="AC4:AI4" si="3">AC5+AC6</f>
        <v>3906758</v>
      </c>
      <c r="AD4" s="164">
        <f t="shared" si="3"/>
        <v>3470568.24</v>
      </c>
      <c r="AE4" s="164">
        <f t="shared" si="3"/>
        <v>4475433.8100000005</v>
      </c>
      <c r="AF4" s="164">
        <f t="shared" si="3"/>
        <v>5687763.2300000004</v>
      </c>
      <c r="AG4" s="164">
        <f t="shared" si="3"/>
        <v>3377637.47</v>
      </c>
      <c r="AH4" s="164">
        <f t="shared" si="3"/>
        <v>4043878.3</v>
      </c>
      <c r="AI4" s="164">
        <f t="shared" si="3"/>
        <v>4254981.43</v>
      </c>
    </row>
    <row r="5" spans="1:35" ht="14.25">
      <c r="A5" s="7">
        <v>1.1000000000000001</v>
      </c>
      <c r="B5" s="8" t="s">
        <v>8</v>
      </c>
      <c r="C5" s="138">
        <v>1181486</v>
      </c>
      <c r="D5" s="130">
        <v>1535873</v>
      </c>
      <c r="E5" s="130">
        <v>1627931</v>
      </c>
      <c r="F5" s="130">
        <v>1432331</v>
      </c>
      <c r="G5" s="130">
        <v>1362.78</v>
      </c>
      <c r="H5" s="130">
        <v>1020140</v>
      </c>
      <c r="I5" s="130">
        <v>1339502</v>
      </c>
      <c r="J5" s="130">
        <v>983329</v>
      </c>
      <c r="K5" s="130">
        <v>745868</v>
      </c>
      <c r="L5" s="130">
        <v>1175304</v>
      </c>
      <c r="M5" s="130">
        <v>999453</v>
      </c>
      <c r="N5" s="130">
        <v>889413</v>
      </c>
      <c r="O5" s="137">
        <v>889413</v>
      </c>
      <c r="P5" s="130">
        <v>808744</v>
      </c>
      <c r="Q5" s="130">
        <v>1463195</v>
      </c>
      <c r="R5" s="130">
        <v>996536</v>
      </c>
      <c r="S5" s="130">
        <v>995865</v>
      </c>
      <c r="T5" s="130">
        <v>1005286</v>
      </c>
      <c r="U5" s="130">
        <v>745462</v>
      </c>
      <c r="V5" s="130">
        <v>789695</v>
      </c>
      <c r="W5" s="130">
        <v>812263</v>
      </c>
      <c r="X5" s="143">
        <v>997919</v>
      </c>
      <c r="Y5" s="143">
        <v>741860</v>
      </c>
      <c r="Z5" s="156">
        <v>1131988</v>
      </c>
      <c r="AA5" s="159">
        <v>936573</v>
      </c>
      <c r="AB5" s="165">
        <f>1246202+652830+633783</f>
        <v>2532815</v>
      </c>
      <c r="AC5" s="165">
        <v>826316</v>
      </c>
      <c r="AD5" s="143">
        <v>855522</v>
      </c>
      <c r="AE5" s="156">
        <v>1037821</v>
      </c>
      <c r="AF5" s="156">
        <v>1756212</v>
      </c>
      <c r="AG5" s="143">
        <v>963293</v>
      </c>
      <c r="AH5" s="143">
        <v>1412183</v>
      </c>
      <c r="AI5" s="143">
        <v>1406003</v>
      </c>
    </row>
    <row r="6" spans="1:35" ht="14.25">
      <c r="A6" s="7">
        <v>1.2</v>
      </c>
      <c r="B6" s="8" t="s">
        <v>9</v>
      </c>
      <c r="C6" s="137">
        <f>3779296+730618+222031</f>
        <v>4731945</v>
      </c>
      <c r="D6" s="130">
        <v>7870700.4400000004</v>
      </c>
      <c r="E6" s="130">
        <v>6649559.8799999999</v>
      </c>
      <c r="F6" s="130">
        <v>7941059.2599999998</v>
      </c>
      <c r="G6" s="130">
        <v>6763.33</v>
      </c>
      <c r="H6" s="130">
        <v>6839583.2999999998</v>
      </c>
      <c r="I6" s="130">
        <v>8256376</v>
      </c>
      <c r="J6" s="130">
        <v>5595313.2199999997</v>
      </c>
      <c r="K6" s="130">
        <v>6613868.1299999999</v>
      </c>
      <c r="L6" s="130">
        <v>8141403.0800000001</v>
      </c>
      <c r="M6" s="130">
        <v>7231173.75</v>
      </c>
      <c r="N6" s="130">
        <v>7539183.6699999999</v>
      </c>
      <c r="O6" s="137">
        <f>7022807+407426+141154</f>
        <v>7571387</v>
      </c>
      <c r="P6" s="130">
        <v>6967820.8799999999</v>
      </c>
      <c r="Q6" s="130">
        <v>6211026.79</v>
      </c>
      <c r="R6" s="130">
        <v>9582098.4900000002</v>
      </c>
      <c r="S6" s="130">
        <v>8318772.2999999998</v>
      </c>
      <c r="T6" s="130">
        <v>4120272.6</v>
      </c>
      <c r="U6" s="130">
        <v>4159200.25</v>
      </c>
      <c r="V6" s="130">
        <v>6700986.6500000004</v>
      </c>
      <c r="W6" s="130">
        <v>7196491.54</v>
      </c>
      <c r="X6" s="145">
        <v>6368694.2999999998</v>
      </c>
      <c r="Y6" s="145">
        <v>7993184.5</v>
      </c>
      <c r="Z6" s="158">
        <v>7065447.7999999998</v>
      </c>
      <c r="AA6" s="159">
        <v>7018014.8399999999</v>
      </c>
      <c r="AB6" s="165">
        <f>172243+3492748+119643+34314+9510+816860+73173+337+276687</f>
        <v>4995515</v>
      </c>
      <c r="AC6" s="165">
        <f>1965432+27660+138132+4047+29475+36380+62210+817106</f>
        <v>3080442</v>
      </c>
      <c r="AD6" s="145">
        <v>2615046.2400000002</v>
      </c>
      <c r="AE6" s="158">
        <v>3437612.81</v>
      </c>
      <c r="AF6" s="158">
        <v>3931551.23</v>
      </c>
      <c r="AG6" s="145">
        <v>2414344.4700000002</v>
      </c>
      <c r="AH6" s="145">
        <v>2631695.2999999998</v>
      </c>
      <c r="AI6" s="145">
        <v>2848978.43</v>
      </c>
    </row>
    <row r="7" spans="1:35" ht="14.25">
      <c r="A7" s="7">
        <v>2</v>
      </c>
      <c r="B7" s="12" t="s">
        <v>10</v>
      </c>
      <c r="C7" s="137">
        <f>50000+502558</f>
        <v>552558</v>
      </c>
      <c r="D7" s="130">
        <v>0</v>
      </c>
      <c r="E7" s="130">
        <v>0</v>
      </c>
      <c r="F7" s="130">
        <v>0</v>
      </c>
      <c r="G7" s="130">
        <v>0</v>
      </c>
      <c r="H7" s="130">
        <v>0</v>
      </c>
      <c r="I7" s="130">
        <v>0</v>
      </c>
      <c r="J7" s="130">
        <v>0</v>
      </c>
      <c r="K7" s="130">
        <v>0</v>
      </c>
      <c r="L7" s="130">
        <v>0</v>
      </c>
      <c r="M7" s="130">
        <v>0</v>
      </c>
      <c r="N7" s="130">
        <v>0</v>
      </c>
      <c r="O7" s="137">
        <f>50000+502558</f>
        <v>552558</v>
      </c>
      <c r="P7" s="130">
        <v>0</v>
      </c>
      <c r="Q7" s="130">
        <v>0</v>
      </c>
      <c r="R7" s="130">
        <v>0</v>
      </c>
      <c r="S7" s="130">
        <v>0</v>
      </c>
      <c r="T7" s="130">
        <v>0</v>
      </c>
      <c r="U7" s="130">
        <v>0</v>
      </c>
      <c r="V7" s="130">
        <v>0</v>
      </c>
      <c r="W7" s="130">
        <v>0</v>
      </c>
      <c r="X7" s="144">
        <v>0</v>
      </c>
      <c r="Y7" s="144">
        <v>0</v>
      </c>
      <c r="Z7" s="157">
        <v>0</v>
      </c>
      <c r="AA7" s="160">
        <v>0</v>
      </c>
      <c r="AB7" s="165">
        <f>50000+502558</f>
        <v>552558</v>
      </c>
      <c r="AC7" s="165">
        <f>50000+502558</f>
        <v>552558</v>
      </c>
      <c r="AD7" s="144">
        <v>0</v>
      </c>
      <c r="AE7" s="157">
        <v>0</v>
      </c>
      <c r="AF7" s="157">
        <v>0</v>
      </c>
      <c r="AG7" s="144">
        <v>0</v>
      </c>
      <c r="AH7" s="144">
        <v>0</v>
      </c>
      <c r="AI7" s="144">
        <v>0</v>
      </c>
    </row>
    <row r="8" spans="1:35" ht="15">
      <c r="A8" s="7">
        <v>3</v>
      </c>
      <c r="B8" s="12" t="s">
        <v>11</v>
      </c>
      <c r="C8" s="13">
        <f t="shared" ref="C8:O8" si="4">SUM(C9:C12)</f>
        <v>914790</v>
      </c>
      <c r="D8" s="13">
        <f t="shared" si="4"/>
        <v>830000</v>
      </c>
      <c r="E8" s="13">
        <f t="shared" si="4"/>
        <v>830000</v>
      </c>
      <c r="F8" s="13">
        <f t="shared" si="4"/>
        <v>830000</v>
      </c>
      <c r="G8" s="13">
        <f t="shared" si="4"/>
        <v>830</v>
      </c>
      <c r="H8" s="13">
        <f t="shared" si="4"/>
        <v>830000</v>
      </c>
      <c r="I8" s="13">
        <f t="shared" si="4"/>
        <v>830000</v>
      </c>
      <c r="J8" s="13">
        <f t="shared" si="4"/>
        <v>830000</v>
      </c>
      <c r="K8" s="13">
        <f t="shared" si="4"/>
        <v>830000</v>
      </c>
      <c r="L8" s="13">
        <f t="shared" si="4"/>
        <v>830000</v>
      </c>
      <c r="M8" s="13">
        <f t="shared" si="4"/>
        <v>830000</v>
      </c>
      <c r="N8" s="13">
        <f t="shared" si="4"/>
        <v>830000</v>
      </c>
      <c r="O8" s="13">
        <f t="shared" si="4"/>
        <v>1121325</v>
      </c>
      <c r="P8" s="13">
        <f t="shared" ref="P8:W8" si="5">SUM(P9:P12)</f>
        <v>940000</v>
      </c>
      <c r="Q8" s="13">
        <f t="shared" si="5"/>
        <v>940000</v>
      </c>
      <c r="R8" s="13">
        <f t="shared" si="5"/>
        <v>0</v>
      </c>
      <c r="S8" s="13">
        <f t="shared" si="5"/>
        <v>12790</v>
      </c>
      <c r="T8" s="13">
        <f t="shared" si="5"/>
        <v>12790</v>
      </c>
      <c r="U8" s="13">
        <f t="shared" si="5"/>
        <v>12790</v>
      </c>
      <c r="V8" s="13">
        <f t="shared" si="5"/>
        <v>12790</v>
      </c>
      <c r="W8" s="13">
        <f t="shared" si="5"/>
        <v>0</v>
      </c>
      <c r="X8" s="13">
        <f t="shared" ref="X8:AB8" si="6">SUM(X9:X12)</f>
        <v>0</v>
      </c>
      <c r="Y8" s="13">
        <f t="shared" si="6"/>
        <v>0</v>
      </c>
      <c r="Z8" s="13">
        <f t="shared" si="6"/>
        <v>0</v>
      </c>
      <c r="AA8" s="13">
        <f t="shared" si="6"/>
        <v>0</v>
      </c>
      <c r="AB8" s="166">
        <f t="shared" si="6"/>
        <v>1811583</v>
      </c>
      <c r="AC8" s="166">
        <f t="shared" ref="AC8:AI8" si="7">SUM(AC9:AC12)</f>
        <v>1825751</v>
      </c>
      <c r="AD8" s="166">
        <f t="shared" si="7"/>
        <v>0</v>
      </c>
      <c r="AE8" s="166">
        <f t="shared" si="7"/>
        <v>0</v>
      </c>
      <c r="AF8" s="166">
        <f t="shared" si="7"/>
        <v>0</v>
      </c>
      <c r="AG8" s="166">
        <f t="shared" si="7"/>
        <v>0</v>
      </c>
      <c r="AH8" s="166">
        <f t="shared" si="7"/>
        <v>0</v>
      </c>
      <c r="AI8" s="166">
        <f t="shared" si="7"/>
        <v>0</v>
      </c>
    </row>
    <row r="9" spans="1:35" ht="15">
      <c r="A9" s="7">
        <v>3.1</v>
      </c>
      <c r="B9" s="8" t="s">
        <v>12</v>
      </c>
      <c r="C9" s="10"/>
      <c r="D9" s="130">
        <v>0</v>
      </c>
      <c r="E9" s="130">
        <v>0</v>
      </c>
      <c r="F9" s="130">
        <v>0</v>
      </c>
      <c r="G9" s="130">
        <v>0</v>
      </c>
      <c r="H9" s="130">
        <v>0</v>
      </c>
      <c r="I9" s="130">
        <v>0</v>
      </c>
      <c r="J9" s="130">
        <v>0</v>
      </c>
      <c r="K9" s="130">
        <v>0</v>
      </c>
      <c r="L9" s="130">
        <v>0</v>
      </c>
      <c r="M9" s="130">
        <v>0</v>
      </c>
      <c r="N9" s="130">
        <v>0</v>
      </c>
      <c r="O9" s="11"/>
      <c r="P9" s="130">
        <v>0</v>
      </c>
      <c r="Q9" s="130">
        <v>0</v>
      </c>
      <c r="R9" s="130">
        <v>0</v>
      </c>
      <c r="S9" s="130">
        <v>0</v>
      </c>
      <c r="T9" s="130">
        <v>0</v>
      </c>
      <c r="U9" s="130">
        <v>0</v>
      </c>
      <c r="V9" s="130">
        <v>0</v>
      </c>
      <c r="W9" s="130">
        <v>0</v>
      </c>
      <c r="X9" s="142">
        <v>0</v>
      </c>
      <c r="Y9" s="142">
        <v>0</v>
      </c>
      <c r="Z9" s="155">
        <v>0</v>
      </c>
      <c r="AA9" s="155">
        <v>0</v>
      </c>
      <c r="AB9" s="167"/>
      <c r="AC9" s="167"/>
      <c r="AD9" s="142">
        <v>0</v>
      </c>
      <c r="AE9" s="155">
        <v>0</v>
      </c>
      <c r="AF9" s="155">
        <v>0</v>
      </c>
      <c r="AG9" s="142">
        <v>0</v>
      </c>
      <c r="AH9" s="142">
        <v>0</v>
      </c>
      <c r="AI9" s="142">
        <v>0</v>
      </c>
    </row>
    <row r="10" spans="1:35" ht="15">
      <c r="A10" s="7">
        <v>3.2</v>
      </c>
      <c r="B10" s="8" t="s">
        <v>13</v>
      </c>
      <c r="C10" s="10"/>
      <c r="D10" s="130">
        <v>0</v>
      </c>
      <c r="E10" s="130">
        <v>0</v>
      </c>
      <c r="F10" s="130">
        <v>0</v>
      </c>
      <c r="G10" s="130">
        <v>0</v>
      </c>
      <c r="H10" s="130">
        <v>0</v>
      </c>
      <c r="I10" s="130">
        <v>0</v>
      </c>
      <c r="J10" s="130">
        <v>0</v>
      </c>
      <c r="K10" s="130">
        <v>0</v>
      </c>
      <c r="L10" s="130">
        <v>0</v>
      </c>
      <c r="M10" s="130">
        <v>0</v>
      </c>
      <c r="N10" s="130">
        <v>0</v>
      </c>
      <c r="O10" s="11"/>
      <c r="P10" s="130">
        <v>0</v>
      </c>
      <c r="Q10" s="130">
        <v>0</v>
      </c>
      <c r="R10" s="130">
        <v>0</v>
      </c>
      <c r="S10" s="130">
        <v>0</v>
      </c>
      <c r="T10" s="130">
        <v>0</v>
      </c>
      <c r="U10" s="130">
        <v>0</v>
      </c>
      <c r="V10" s="130">
        <v>0</v>
      </c>
      <c r="W10" s="130">
        <v>0</v>
      </c>
      <c r="X10" s="144">
        <v>0</v>
      </c>
      <c r="Y10" s="144">
        <v>0</v>
      </c>
      <c r="Z10" s="157">
        <v>0</v>
      </c>
      <c r="AA10" s="157">
        <v>0</v>
      </c>
      <c r="AB10" s="167"/>
      <c r="AC10" s="167"/>
      <c r="AD10" s="144">
        <v>0</v>
      </c>
      <c r="AE10" s="157">
        <v>0</v>
      </c>
      <c r="AF10" s="157">
        <v>0</v>
      </c>
      <c r="AG10" s="144">
        <v>0</v>
      </c>
      <c r="AH10" s="144">
        <v>0</v>
      </c>
      <c r="AI10" s="144">
        <v>0</v>
      </c>
    </row>
    <row r="11" spans="1:35" ht="14.25">
      <c r="A11" s="7" t="s">
        <v>14</v>
      </c>
      <c r="B11" s="8" t="s">
        <v>15</v>
      </c>
      <c r="C11" s="137">
        <v>914790</v>
      </c>
      <c r="D11" s="130">
        <v>0</v>
      </c>
      <c r="E11" s="130">
        <v>0</v>
      </c>
      <c r="F11" s="130">
        <v>0</v>
      </c>
      <c r="G11" s="130">
        <v>0</v>
      </c>
      <c r="H11" s="130">
        <v>0</v>
      </c>
      <c r="I11" s="130">
        <v>0</v>
      </c>
      <c r="J11" s="130">
        <v>0</v>
      </c>
      <c r="K11" s="130">
        <v>0</v>
      </c>
      <c r="L11" s="130">
        <v>0</v>
      </c>
      <c r="M11" s="130">
        <v>0</v>
      </c>
      <c r="N11" s="130">
        <v>0</v>
      </c>
      <c r="O11" s="137">
        <v>1121325</v>
      </c>
      <c r="P11" s="130">
        <v>0</v>
      </c>
      <c r="Q11" s="130">
        <v>0</v>
      </c>
      <c r="R11" s="130">
        <v>0</v>
      </c>
      <c r="S11" s="130">
        <v>0</v>
      </c>
      <c r="T11" s="130">
        <v>0</v>
      </c>
      <c r="U11" s="130">
        <v>0</v>
      </c>
      <c r="V11" s="130">
        <v>0</v>
      </c>
      <c r="W11" s="130">
        <v>0</v>
      </c>
      <c r="X11" s="144">
        <v>0</v>
      </c>
      <c r="Y11" s="144">
        <v>0</v>
      </c>
      <c r="Z11" s="157">
        <v>0</v>
      </c>
      <c r="AA11" s="157">
        <v>0</v>
      </c>
      <c r="AB11" s="167">
        <f>800000+997415</f>
        <v>1797415</v>
      </c>
      <c r="AC11" s="167">
        <v>1811583</v>
      </c>
      <c r="AD11" s="144">
        <v>0</v>
      </c>
      <c r="AE11" s="157">
        <v>0</v>
      </c>
      <c r="AF11" s="157">
        <v>0</v>
      </c>
      <c r="AG11" s="144">
        <v>0</v>
      </c>
      <c r="AH11" s="144">
        <v>0</v>
      </c>
      <c r="AI11" s="144">
        <v>0</v>
      </c>
    </row>
    <row r="12" spans="1:35" ht="14.25">
      <c r="A12" s="7" t="s">
        <v>16</v>
      </c>
      <c r="B12" s="8" t="s">
        <v>17</v>
      </c>
      <c r="C12" s="10"/>
      <c r="D12" s="130">
        <v>830000</v>
      </c>
      <c r="E12" s="130">
        <v>830000</v>
      </c>
      <c r="F12" s="130">
        <v>830000</v>
      </c>
      <c r="G12" s="130">
        <v>830</v>
      </c>
      <c r="H12" s="130">
        <v>830000</v>
      </c>
      <c r="I12" s="130">
        <v>830000</v>
      </c>
      <c r="J12" s="130">
        <v>830000</v>
      </c>
      <c r="K12" s="130">
        <v>830000</v>
      </c>
      <c r="L12" s="130">
        <v>830000</v>
      </c>
      <c r="M12" s="130">
        <v>830000</v>
      </c>
      <c r="N12" s="130">
        <v>830000</v>
      </c>
      <c r="O12" s="11"/>
      <c r="P12" s="130">
        <v>940000</v>
      </c>
      <c r="Q12" s="130">
        <v>940000</v>
      </c>
      <c r="R12" s="130">
        <v>0</v>
      </c>
      <c r="S12" s="130">
        <v>12790</v>
      </c>
      <c r="T12" s="130">
        <v>12790</v>
      </c>
      <c r="U12" s="130">
        <v>12790</v>
      </c>
      <c r="V12" s="130">
        <v>12790</v>
      </c>
      <c r="W12" s="130">
        <v>0</v>
      </c>
      <c r="X12" s="144">
        <v>0</v>
      </c>
      <c r="Y12" s="145">
        <v>0</v>
      </c>
      <c r="Z12" s="157">
        <v>0</v>
      </c>
      <c r="AA12" s="157">
        <v>0</v>
      </c>
      <c r="AB12" s="167">
        <v>14168</v>
      </c>
      <c r="AC12" s="167">
        <v>14168</v>
      </c>
      <c r="AD12" s="144">
        <v>0</v>
      </c>
      <c r="AE12" s="157">
        <v>0</v>
      </c>
      <c r="AF12" s="157">
        <v>0</v>
      </c>
      <c r="AG12" s="144">
        <v>0</v>
      </c>
      <c r="AH12" s="144">
        <v>0</v>
      </c>
      <c r="AI12" s="144">
        <v>0</v>
      </c>
    </row>
    <row r="13" spans="1:35" ht="15">
      <c r="A13" s="7">
        <v>4</v>
      </c>
      <c r="B13" s="12" t="s">
        <v>18</v>
      </c>
      <c r="C13" s="13">
        <f t="shared" ref="C13:O13" si="8">C14-C15</f>
        <v>34556455</v>
      </c>
      <c r="D13" s="13">
        <f t="shared" si="8"/>
        <v>33360262.02</v>
      </c>
      <c r="E13" s="13">
        <f t="shared" si="8"/>
        <v>31943513</v>
      </c>
      <c r="F13" s="13">
        <f t="shared" si="8"/>
        <v>30943014.719999999</v>
      </c>
      <c r="G13" s="13">
        <f t="shared" si="8"/>
        <v>30037.26</v>
      </c>
      <c r="H13" s="13">
        <f t="shared" si="8"/>
        <v>31338994.719999999</v>
      </c>
      <c r="I13" s="13">
        <f t="shared" si="8"/>
        <v>30894867.649999999</v>
      </c>
      <c r="J13" s="13">
        <f t="shared" si="8"/>
        <v>28324892.379999999</v>
      </c>
      <c r="K13" s="13">
        <f t="shared" si="8"/>
        <v>27774881.16</v>
      </c>
      <c r="L13" s="13">
        <f t="shared" si="8"/>
        <v>27621935.369999997</v>
      </c>
      <c r="M13" s="13">
        <f t="shared" si="8"/>
        <v>27720865.379999999</v>
      </c>
      <c r="N13" s="13">
        <f t="shared" si="8"/>
        <v>27225641.579999998</v>
      </c>
      <c r="O13" s="13">
        <f t="shared" si="8"/>
        <v>34818647</v>
      </c>
      <c r="P13" s="13">
        <f t="shared" ref="P13:W13" si="9">P14-P15</f>
        <v>25834698.920000002</v>
      </c>
      <c r="Q13" s="13">
        <f t="shared" si="9"/>
        <v>26032558.920000002</v>
      </c>
      <c r="R13" s="13">
        <f t="shared" si="9"/>
        <v>34446087.479999997</v>
      </c>
      <c r="S13" s="13">
        <f t="shared" si="9"/>
        <v>34504863.770000003</v>
      </c>
      <c r="T13" s="13">
        <f t="shared" si="9"/>
        <v>35602986.770000003</v>
      </c>
      <c r="U13" s="13">
        <f t="shared" si="9"/>
        <v>35564284.359999999</v>
      </c>
      <c r="V13" s="13">
        <f t="shared" si="9"/>
        <v>36172703.859999999</v>
      </c>
      <c r="W13" s="13">
        <f t="shared" si="9"/>
        <v>35678053.859999999</v>
      </c>
      <c r="X13" s="13">
        <f t="shared" ref="X13:AB13" si="10">X14-X15</f>
        <v>35677929.210000001</v>
      </c>
      <c r="Y13" s="13">
        <f t="shared" si="10"/>
        <v>35564159.710000001</v>
      </c>
      <c r="Z13" s="13">
        <f t="shared" si="10"/>
        <v>35465229.710000001</v>
      </c>
      <c r="AA13" s="13">
        <f t="shared" si="10"/>
        <v>36751319.710000001</v>
      </c>
      <c r="AB13" s="166">
        <f t="shared" si="10"/>
        <v>37148812</v>
      </c>
      <c r="AC13" s="166">
        <f t="shared" ref="AC13:AI13" si="11">AC14-AC15</f>
        <v>43353686</v>
      </c>
      <c r="AD13" s="166">
        <f t="shared" si="11"/>
        <v>42680403.350000001</v>
      </c>
      <c r="AE13" s="166">
        <f t="shared" si="11"/>
        <v>43442407.689999998</v>
      </c>
      <c r="AF13" s="166">
        <f t="shared" si="11"/>
        <v>41276580.879999995</v>
      </c>
      <c r="AG13" s="166">
        <f t="shared" si="11"/>
        <v>40560569.099999994</v>
      </c>
      <c r="AH13" s="166">
        <f t="shared" si="11"/>
        <v>40027681.369999997</v>
      </c>
      <c r="AI13" s="166">
        <f t="shared" si="11"/>
        <v>39250917.219999999</v>
      </c>
    </row>
    <row r="14" spans="1:35" ht="14.25">
      <c r="A14" s="14">
        <v>4.0999999999999996</v>
      </c>
      <c r="B14" s="8" t="s">
        <v>19</v>
      </c>
      <c r="C14" s="137">
        <f>33461992+36452329-34743360</f>
        <v>35170961</v>
      </c>
      <c r="D14" s="130">
        <v>33720055</v>
      </c>
      <c r="E14" s="130">
        <v>32289005</v>
      </c>
      <c r="F14" s="130">
        <v>31278268.719999999</v>
      </c>
      <c r="G14" s="130">
        <v>30378.5</v>
      </c>
      <c r="H14" s="130">
        <v>31678268.719999999</v>
      </c>
      <c r="I14" s="130">
        <v>31212424.649999999</v>
      </c>
      <c r="J14" s="130">
        <v>28631246.719999999</v>
      </c>
      <c r="K14" s="130">
        <v>28075286.719999999</v>
      </c>
      <c r="L14" s="130">
        <v>27920686.719999999</v>
      </c>
      <c r="M14" s="130">
        <v>28020686.719999999</v>
      </c>
      <c r="N14" s="130">
        <v>27520106.719999999</v>
      </c>
      <c r="O14" s="137">
        <f>34556455+16049999-15122495</f>
        <v>35483959</v>
      </c>
      <c r="P14" s="130">
        <v>26114120</v>
      </c>
      <c r="Q14" s="130">
        <v>26314120</v>
      </c>
      <c r="R14" s="130">
        <v>34818647</v>
      </c>
      <c r="S14" s="130">
        <v>34878059</v>
      </c>
      <c r="T14" s="130">
        <v>35988059</v>
      </c>
      <c r="U14" s="130">
        <v>35948938</v>
      </c>
      <c r="V14" s="130">
        <v>36563938</v>
      </c>
      <c r="W14" s="130">
        <v>36063938</v>
      </c>
      <c r="X14" s="143">
        <v>36063812</v>
      </c>
      <c r="Y14" s="143">
        <v>35948812</v>
      </c>
      <c r="Z14" s="156">
        <v>35848812</v>
      </c>
      <c r="AA14" s="159">
        <v>37148812</v>
      </c>
      <c r="AB14" s="165">
        <f>34818647+22108610-18838885</f>
        <v>38088372</v>
      </c>
      <c r="AC14" s="165">
        <v>44270076</v>
      </c>
      <c r="AD14" s="143">
        <v>43142023</v>
      </c>
      <c r="AE14" s="156">
        <v>43912268.969999999</v>
      </c>
      <c r="AF14" s="156">
        <v>41723017.159999996</v>
      </c>
      <c r="AG14" s="143">
        <v>40999261.189999998</v>
      </c>
      <c r="AH14" s="143">
        <v>40460609.899999999</v>
      </c>
      <c r="AI14" s="143">
        <v>39675444.479999997</v>
      </c>
    </row>
    <row r="15" spans="1:35" ht="14.25">
      <c r="A15" s="14">
        <v>4.2</v>
      </c>
      <c r="B15" s="8" t="s">
        <v>20</v>
      </c>
      <c r="C15" s="137">
        <v>614506</v>
      </c>
      <c r="D15" s="130">
        <v>359792.98</v>
      </c>
      <c r="E15" s="130">
        <v>345492</v>
      </c>
      <c r="F15" s="130">
        <v>335254</v>
      </c>
      <c r="G15" s="130">
        <v>341.24</v>
      </c>
      <c r="H15" s="130">
        <v>339274</v>
      </c>
      <c r="I15" s="130">
        <v>317557</v>
      </c>
      <c r="J15" s="130">
        <v>306354.34000000003</v>
      </c>
      <c r="K15" s="130">
        <v>300405.56</v>
      </c>
      <c r="L15" s="130">
        <v>298751.34999999998</v>
      </c>
      <c r="M15" s="130">
        <v>299821.34000000003</v>
      </c>
      <c r="N15" s="130">
        <v>294465.14</v>
      </c>
      <c r="O15" s="137">
        <v>665312</v>
      </c>
      <c r="P15" s="130">
        <v>279421.08</v>
      </c>
      <c r="Q15" s="130">
        <v>281561.08</v>
      </c>
      <c r="R15" s="130">
        <v>372559.52</v>
      </c>
      <c r="S15" s="130">
        <v>373195.23</v>
      </c>
      <c r="T15" s="130">
        <v>385072.23</v>
      </c>
      <c r="U15" s="130">
        <v>384653.64</v>
      </c>
      <c r="V15" s="130">
        <v>391234.14</v>
      </c>
      <c r="W15" s="130">
        <v>385884.14</v>
      </c>
      <c r="X15" s="145">
        <v>385882.79</v>
      </c>
      <c r="Y15" s="145">
        <v>384652.29</v>
      </c>
      <c r="Z15" s="158">
        <v>383582.29</v>
      </c>
      <c r="AA15" s="159">
        <v>397492.29</v>
      </c>
      <c r="AB15" s="165">
        <v>939560</v>
      </c>
      <c r="AC15" s="165">
        <v>916390</v>
      </c>
      <c r="AD15" s="145">
        <v>461619.65</v>
      </c>
      <c r="AE15" s="158">
        <v>469861.28</v>
      </c>
      <c r="AF15" s="158">
        <v>446436.28</v>
      </c>
      <c r="AG15" s="145">
        <v>438692.09</v>
      </c>
      <c r="AH15" s="145">
        <v>432928.53</v>
      </c>
      <c r="AI15" s="145">
        <v>424527.26</v>
      </c>
    </row>
    <row r="16" spans="1:35" ht="15">
      <c r="A16" s="7">
        <v>5</v>
      </c>
      <c r="B16" s="12" t="s">
        <v>21</v>
      </c>
      <c r="C16" s="13">
        <f t="shared" ref="C16:O16" si="12">SUM(C17:C19)</f>
        <v>0</v>
      </c>
      <c r="D16" s="13">
        <f t="shared" si="12"/>
        <v>0</v>
      </c>
      <c r="E16" s="13">
        <f t="shared" si="12"/>
        <v>0</v>
      </c>
      <c r="F16" s="13">
        <f t="shared" si="12"/>
        <v>0</v>
      </c>
      <c r="G16" s="13">
        <f t="shared" si="12"/>
        <v>0</v>
      </c>
      <c r="H16" s="13">
        <f t="shared" si="12"/>
        <v>0</v>
      </c>
      <c r="I16" s="13">
        <f t="shared" si="12"/>
        <v>0</v>
      </c>
      <c r="J16" s="13">
        <f t="shared" si="12"/>
        <v>0</v>
      </c>
      <c r="K16" s="13">
        <f t="shared" si="12"/>
        <v>0</v>
      </c>
      <c r="L16" s="13">
        <f t="shared" si="12"/>
        <v>0</v>
      </c>
      <c r="M16" s="13">
        <f t="shared" si="12"/>
        <v>0</v>
      </c>
      <c r="N16" s="13">
        <f t="shared" si="12"/>
        <v>0</v>
      </c>
      <c r="O16" s="13">
        <f t="shared" si="12"/>
        <v>0</v>
      </c>
      <c r="P16" s="13">
        <f t="shared" ref="P16:W16" si="13">SUM(P17:P19)</f>
        <v>0</v>
      </c>
      <c r="Q16" s="13">
        <f t="shared" si="13"/>
        <v>0</v>
      </c>
      <c r="R16" s="13">
        <f t="shared" si="13"/>
        <v>0</v>
      </c>
      <c r="S16" s="13">
        <f t="shared" si="13"/>
        <v>0</v>
      </c>
      <c r="T16" s="13">
        <f t="shared" si="13"/>
        <v>0</v>
      </c>
      <c r="U16" s="13">
        <f t="shared" si="13"/>
        <v>0</v>
      </c>
      <c r="V16" s="13">
        <f t="shared" si="13"/>
        <v>0</v>
      </c>
      <c r="W16" s="13">
        <f t="shared" si="13"/>
        <v>0</v>
      </c>
      <c r="X16" s="13">
        <f t="shared" ref="X16:AB16" si="14">SUM(X17:X19)</f>
        <v>0</v>
      </c>
      <c r="Y16" s="13">
        <f t="shared" si="14"/>
        <v>0</v>
      </c>
      <c r="Z16" s="13">
        <f t="shared" si="14"/>
        <v>0</v>
      </c>
      <c r="AA16" s="13">
        <f t="shared" si="14"/>
        <v>0</v>
      </c>
      <c r="AB16" s="166">
        <f t="shared" si="14"/>
        <v>0</v>
      </c>
      <c r="AC16" s="166">
        <f t="shared" ref="AC16:AI16" si="15">SUM(AC17:AC19)</f>
        <v>0</v>
      </c>
      <c r="AD16" s="166">
        <f t="shared" si="15"/>
        <v>0</v>
      </c>
      <c r="AE16" s="166">
        <f t="shared" si="15"/>
        <v>0</v>
      </c>
      <c r="AF16" s="166">
        <f t="shared" si="15"/>
        <v>0</v>
      </c>
      <c r="AG16" s="166">
        <f t="shared" si="15"/>
        <v>0</v>
      </c>
      <c r="AH16" s="166">
        <f t="shared" si="15"/>
        <v>0</v>
      </c>
      <c r="AI16" s="166">
        <f t="shared" si="15"/>
        <v>0</v>
      </c>
    </row>
    <row r="17" spans="1:35" ht="15">
      <c r="A17" s="14">
        <v>5.0999999999999996</v>
      </c>
      <c r="B17" s="8" t="s">
        <v>22</v>
      </c>
      <c r="C17" s="10"/>
      <c r="D17" s="130">
        <v>0</v>
      </c>
      <c r="E17" s="130">
        <v>0</v>
      </c>
      <c r="F17" s="130">
        <v>0</v>
      </c>
      <c r="G17" s="130">
        <v>0</v>
      </c>
      <c r="H17" s="130">
        <v>0</v>
      </c>
      <c r="I17" s="130">
        <v>0</v>
      </c>
      <c r="J17" s="130">
        <v>0</v>
      </c>
      <c r="K17" s="130">
        <v>0</v>
      </c>
      <c r="L17" s="130">
        <v>0</v>
      </c>
      <c r="M17" s="130">
        <v>0</v>
      </c>
      <c r="N17" s="130">
        <v>0</v>
      </c>
      <c r="O17" s="11"/>
      <c r="P17" s="130">
        <v>0</v>
      </c>
      <c r="Q17" s="130">
        <v>0</v>
      </c>
      <c r="R17" s="130">
        <v>0</v>
      </c>
      <c r="S17" s="130">
        <v>0</v>
      </c>
      <c r="T17" s="130">
        <v>0</v>
      </c>
      <c r="U17" s="130">
        <v>0</v>
      </c>
      <c r="V17" s="130">
        <v>0</v>
      </c>
      <c r="W17" s="130">
        <v>0</v>
      </c>
      <c r="X17" s="142">
        <v>0</v>
      </c>
      <c r="Y17" s="142">
        <v>0</v>
      </c>
      <c r="Z17" s="155">
        <v>0</v>
      </c>
      <c r="AA17" s="160">
        <v>0</v>
      </c>
      <c r="AB17" s="165"/>
      <c r="AC17" s="165"/>
      <c r="AD17" s="142">
        <v>0</v>
      </c>
      <c r="AE17" s="155">
        <v>0</v>
      </c>
      <c r="AF17" s="155">
        <v>0</v>
      </c>
      <c r="AG17" s="142">
        <v>0</v>
      </c>
      <c r="AH17" s="142">
        <v>0</v>
      </c>
      <c r="AI17" s="142">
        <v>0</v>
      </c>
    </row>
    <row r="18" spans="1:35" ht="15">
      <c r="A18" s="14">
        <v>5.2</v>
      </c>
      <c r="B18" s="8" t="s">
        <v>23</v>
      </c>
      <c r="C18" s="10"/>
      <c r="D18" s="130">
        <v>0</v>
      </c>
      <c r="E18" s="130">
        <v>0</v>
      </c>
      <c r="F18" s="130">
        <v>0</v>
      </c>
      <c r="G18" s="130">
        <v>0</v>
      </c>
      <c r="H18" s="130">
        <v>0</v>
      </c>
      <c r="I18" s="130">
        <v>0</v>
      </c>
      <c r="J18" s="130">
        <v>0</v>
      </c>
      <c r="K18" s="130">
        <v>0</v>
      </c>
      <c r="L18" s="130">
        <v>0</v>
      </c>
      <c r="M18" s="130">
        <v>0</v>
      </c>
      <c r="N18" s="130">
        <v>0</v>
      </c>
      <c r="O18" s="11"/>
      <c r="P18" s="130">
        <v>0</v>
      </c>
      <c r="Q18" s="130">
        <v>0</v>
      </c>
      <c r="R18" s="130">
        <v>0</v>
      </c>
      <c r="S18" s="130">
        <v>0</v>
      </c>
      <c r="T18" s="130">
        <v>0</v>
      </c>
      <c r="U18" s="130">
        <v>0</v>
      </c>
      <c r="V18" s="130">
        <v>0</v>
      </c>
      <c r="W18" s="130">
        <v>0</v>
      </c>
      <c r="X18" s="144">
        <v>0</v>
      </c>
      <c r="Y18" s="144">
        <v>0</v>
      </c>
      <c r="Z18" s="157">
        <v>0</v>
      </c>
      <c r="AA18" s="160">
        <v>0</v>
      </c>
      <c r="AB18" s="165"/>
      <c r="AC18" s="165"/>
      <c r="AD18" s="144">
        <v>0</v>
      </c>
      <c r="AE18" s="157">
        <v>0</v>
      </c>
      <c r="AF18" s="157">
        <v>0</v>
      </c>
      <c r="AG18" s="144">
        <v>0</v>
      </c>
      <c r="AH18" s="144">
        <v>0</v>
      </c>
      <c r="AI18" s="144">
        <v>0</v>
      </c>
    </row>
    <row r="19" spans="1:35" ht="15">
      <c r="A19" s="14">
        <v>5.3</v>
      </c>
      <c r="B19" s="8" t="s">
        <v>24</v>
      </c>
      <c r="C19" s="10"/>
      <c r="D19" s="130">
        <v>0</v>
      </c>
      <c r="E19" s="130">
        <v>0</v>
      </c>
      <c r="F19" s="130">
        <v>0</v>
      </c>
      <c r="G19" s="130">
        <v>0</v>
      </c>
      <c r="H19" s="130">
        <v>0</v>
      </c>
      <c r="I19" s="130">
        <v>0</v>
      </c>
      <c r="J19" s="130">
        <v>0</v>
      </c>
      <c r="K19" s="130">
        <v>0</v>
      </c>
      <c r="L19" s="130">
        <v>0</v>
      </c>
      <c r="M19" s="130">
        <v>0</v>
      </c>
      <c r="N19" s="130">
        <v>0</v>
      </c>
      <c r="O19" s="11"/>
      <c r="P19" s="130">
        <v>0</v>
      </c>
      <c r="Q19" s="130">
        <v>0</v>
      </c>
      <c r="R19" s="130">
        <v>0</v>
      </c>
      <c r="S19" s="130">
        <v>0</v>
      </c>
      <c r="T19" s="130">
        <v>0</v>
      </c>
      <c r="U19" s="130">
        <v>0</v>
      </c>
      <c r="V19" s="130">
        <v>0</v>
      </c>
      <c r="W19" s="130">
        <v>0</v>
      </c>
      <c r="X19" s="144">
        <v>0</v>
      </c>
      <c r="Y19" s="144">
        <v>0</v>
      </c>
      <c r="Z19" s="157">
        <v>0</v>
      </c>
      <c r="AA19" s="160">
        <v>0</v>
      </c>
      <c r="AB19" s="165"/>
      <c r="AC19" s="165"/>
      <c r="AD19" s="144">
        <v>0</v>
      </c>
      <c r="AE19" s="157">
        <v>0</v>
      </c>
      <c r="AF19" s="157">
        <v>0</v>
      </c>
      <c r="AG19" s="144">
        <v>0</v>
      </c>
      <c r="AH19" s="144">
        <v>0</v>
      </c>
      <c r="AI19" s="144">
        <v>0</v>
      </c>
    </row>
    <row r="20" spans="1:35" ht="15">
      <c r="A20" s="7">
        <v>6</v>
      </c>
      <c r="B20" s="12" t="s">
        <v>25</v>
      </c>
      <c r="C20" s="13">
        <f t="shared" ref="C20:O20" si="16">SUM(C21:C25)</f>
        <v>3684210</v>
      </c>
      <c r="D20" s="13">
        <f t="shared" si="16"/>
        <v>5311543</v>
      </c>
      <c r="E20" s="13">
        <f t="shared" si="16"/>
        <v>5311543</v>
      </c>
      <c r="F20" s="13">
        <f t="shared" si="16"/>
        <v>5311543</v>
      </c>
      <c r="G20" s="13">
        <f t="shared" si="16"/>
        <v>5311.54</v>
      </c>
      <c r="H20" s="13">
        <f t="shared" si="16"/>
        <v>5311543</v>
      </c>
      <c r="I20" s="13">
        <f t="shared" si="16"/>
        <v>5311543</v>
      </c>
      <c r="J20" s="13">
        <f t="shared" si="16"/>
        <v>5311543</v>
      </c>
      <c r="K20" s="13">
        <f t="shared" si="16"/>
        <v>5311543</v>
      </c>
      <c r="L20" s="13">
        <f t="shared" si="16"/>
        <v>5311543</v>
      </c>
      <c r="M20" s="13">
        <f t="shared" si="16"/>
        <v>5311543</v>
      </c>
      <c r="N20" s="13">
        <f t="shared" si="16"/>
        <v>5311543</v>
      </c>
      <c r="O20" s="13">
        <f t="shared" si="16"/>
        <v>4840498</v>
      </c>
      <c r="P20" s="13">
        <f t="shared" ref="P20:W20" si="17">SUM(P21:P25)</f>
        <v>5548463</v>
      </c>
      <c r="Q20" s="13">
        <f t="shared" si="17"/>
        <v>5548463</v>
      </c>
      <c r="R20" s="13">
        <f t="shared" si="17"/>
        <v>4852838</v>
      </c>
      <c r="S20" s="13">
        <f t="shared" si="17"/>
        <v>5961373</v>
      </c>
      <c r="T20" s="13">
        <f t="shared" si="17"/>
        <v>5961373</v>
      </c>
      <c r="U20" s="13">
        <f t="shared" si="17"/>
        <v>5961373</v>
      </c>
      <c r="V20" s="13">
        <f t="shared" si="17"/>
        <v>5861373</v>
      </c>
      <c r="W20" s="13">
        <f t="shared" si="17"/>
        <v>5434155</v>
      </c>
      <c r="X20" s="13">
        <f t="shared" ref="X20:AB20" si="18">SUM(X21:X25)</f>
        <v>5434155</v>
      </c>
      <c r="Y20" s="13">
        <f t="shared" si="18"/>
        <v>5429812</v>
      </c>
      <c r="Z20" s="13">
        <f t="shared" si="18"/>
        <v>5429812</v>
      </c>
      <c r="AA20" s="13">
        <f t="shared" si="18"/>
        <v>5429812</v>
      </c>
      <c r="AB20" s="166">
        <f t="shared" si="18"/>
        <v>9618952</v>
      </c>
      <c r="AC20" s="166">
        <f t="shared" ref="AC20:AI20" si="19">SUM(AC21:AC25)</f>
        <v>10940832</v>
      </c>
      <c r="AD20" s="166">
        <f t="shared" si="19"/>
        <v>3266522</v>
      </c>
      <c r="AE20" s="166">
        <f t="shared" si="19"/>
        <v>3666552</v>
      </c>
      <c r="AF20" s="166">
        <f t="shared" si="19"/>
        <v>3666552</v>
      </c>
      <c r="AG20" s="166">
        <f t="shared" si="19"/>
        <v>3666552</v>
      </c>
      <c r="AH20" s="166">
        <f t="shared" si="19"/>
        <v>3666552</v>
      </c>
      <c r="AI20" s="166">
        <f t="shared" si="19"/>
        <v>4056552</v>
      </c>
    </row>
    <row r="21" spans="1:35" ht="15">
      <c r="A21" s="14">
        <v>6.1</v>
      </c>
      <c r="B21" s="8" t="s">
        <v>26</v>
      </c>
      <c r="C21" s="137"/>
      <c r="D21" s="130">
        <v>12790</v>
      </c>
      <c r="E21" s="130">
        <v>12790</v>
      </c>
      <c r="F21" s="130">
        <v>12790</v>
      </c>
      <c r="G21" s="130">
        <v>12.79</v>
      </c>
      <c r="H21" s="130">
        <v>12790</v>
      </c>
      <c r="I21" s="130">
        <v>12790</v>
      </c>
      <c r="J21" s="130">
        <v>12790</v>
      </c>
      <c r="K21" s="130">
        <v>12790</v>
      </c>
      <c r="L21" s="130">
        <v>12790</v>
      </c>
      <c r="M21" s="130">
        <v>12790</v>
      </c>
      <c r="N21" s="130">
        <v>12790</v>
      </c>
      <c r="O21" s="11"/>
      <c r="P21" s="130">
        <v>12790</v>
      </c>
      <c r="Q21" s="130">
        <v>12790</v>
      </c>
      <c r="R21" s="130">
        <v>12790</v>
      </c>
      <c r="S21" s="130">
        <v>1121325</v>
      </c>
      <c r="T21" s="130">
        <v>1121325</v>
      </c>
      <c r="U21" s="130">
        <v>1121325</v>
      </c>
      <c r="V21" s="130">
        <v>1021325</v>
      </c>
      <c r="W21" s="130">
        <v>1021325</v>
      </c>
      <c r="X21" s="143">
        <v>1021325</v>
      </c>
      <c r="Y21" s="143">
        <v>1021325</v>
      </c>
      <c r="Z21" s="156">
        <v>1021325</v>
      </c>
      <c r="AA21" s="159">
        <v>1021325</v>
      </c>
      <c r="AB21" s="165"/>
      <c r="AC21" s="165"/>
      <c r="AD21" s="142"/>
      <c r="AE21" s="155">
        <v>0</v>
      </c>
      <c r="AF21" s="155">
        <v>0</v>
      </c>
      <c r="AG21" s="142">
        <v>0</v>
      </c>
      <c r="AH21" s="142">
        <v>0</v>
      </c>
      <c r="AI21" s="142">
        <v>0</v>
      </c>
    </row>
    <row r="22" spans="1:35" ht="14.25">
      <c r="A22" s="14">
        <v>6.2</v>
      </c>
      <c r="B22" s="8" t="s">
        <v>27</v>
      </c>
      <c r="C22" s="137">
        <v>3252299</v>
      </c>
      <c r="D22" s="130">
        <v>3121603</v>
      </c>
      <c r="E22" s="130">
        <v>3121603</v>
      </c>
      <c r="F22" s="130">
        <v>3121603</v>
      </c>
      <c r="G22" s="130">
        <v>3121.6</v>
      </c>
      <c r="H22" s="130">
        <v>3121603</v>
      </c>
      <c r="I22" s="130">
        <v>3121603</v>
      </c>
      <c r="J22" s="130">
        <v>3121603</v>
      </c>
      <c r="K22" s="130">
        <v>3121603</v>
      </c>
      <c r="L22" s="130">
        <v>3121603</v>
      </c>
      <c r="M22" s="130">
        <v>3121603</v>
      </c>
      <c r="N22" s="130">
        <v>3121603</v>
      </c>
      <c r="O22" s="137">
        <v>2908487</v>
      </c>
      <c r="P22" s="130">
        <v>2497283</v>
      </c>
      <c r="Q22" s="130">
        <v>2497283</v>
      </c>
      <c r="R22" s="130">
        <v>2908487</v>
      </c>
      <c r="S22" s="130">
        <v>2908487</v>
      </c>
      <c r="T22" s="130">
        <v>2908487</v>
      </c>
      <c r="U22" s="130">
        <v>2908487</v>
      </c>
      <c r="V22" s="130">
        <v>2908487</v>
      </c>
      <c r="W22" s="130">
        <v>2908487</v>
      </c>
      <c r="X22" s="145">
        <v>2908487</v>
      </c>
      <c r="Y22" s="145">
        <v>2908487</v>
      </c>
      <c r="Z22" s="158">
        <v>2908487</v>
      </c>
      <c r="AA22" s="159">
        <v>2908487</v>
      </c>
      <c r="AB22" s="165">
        <f>5972801+362793+616097+1074326+945</f>
        <v>8026962</v>
      </c>
      <c r="AC22" s="165">
        <f>2818976+661225+1286323+1756454+709+892871</f>
        <v>7416558</v>
      </c>
      <c r="AD22" s="145">
        <v>1766522</v>
      </c>
      <c r="AE22" s="158">
        <v>1966552</v>
      </c>
      <c r="AF22" s="158">
        <v>1966552</v>
      </c>
      <c r="AG22" s="145">
        <v>1966552</v>
      </c>
      <c r="AH22" s="145">
        <v>1966552</v>
      </c>
      <c r="AI22" s="145">
        <v>1966552</v>
      </c>
    </row>
    <row r="23" spans="1:35" ht="15">
      <c r="A23" s="14">
        <v>6.3</v>
      </c>
      <c r="B23" s="8" t="s">
        <v>28</v>
      </c>
      <c r="C23" s="137"/>
      <c r="D23" s="130">
        <v>0</v>
      </c>
      <c r="E23" s="130">
        <v>0</v>
      </c>
      <c r="F23" s="130">
        <v>0</v>
      </c>
      <c r="G23" s="130">
        <v>0</v>
      </c>
      <c r="H23" s="130">
        <v>0</v>
      </c>
      <c r="I23" s="130">
        <v>0</v>
      </c>
      <c r="J23" s="130">
        <v>0</v>
      </c>
      <c r="K23" s="130">
        <v>0</v>
      </c>
      <c r="L23" s="130">
        <v>0</v>
      </c>
      <c r="M23" s="130">
        <v>0</v>
      </c>
      <c r="N23" s="130">
        <v>0</v>
      </c>
      <c r="O23" s="137"/>
      <c r="P23" s="130">
        <v>0</v>
      </c>
      <c r="Q23" s="130">
        <v>0</v>
      </c>
      <c r="R23" s="130">
        <v>0</v>
      </c>
      <c r="S23" s="130">
        <v>0</v>
      </c>
      <c r="T23" s="130">
        <v>0</v>
      </c>
      <c r="U23" s="130">
        <v>0</v>
      </c>
      <c r="V23" s="130">
        <v>0</v>
      </c>
      <c r="W23" s="130">
        <v>0</v>
      </c>
      <c r="X23" s="144">
        <v>0</v>
      </c>
      <c r="Y23" s="144">
        <v>0</v>
      </c>
      <c r="Z23" s="157">
        <v>0</v>
      </c>
      <c r="AA23" s="160">
        <v>0</v>
      </c>
      <c r="AB23" s="165"/>
      <c r="AC23" s="165"/>
      <c r="AD23" s="144">
        <v>0</v>
      </c>
      <c r="AE23" s="157">
        <v>0</v>
      </c>
      <c r="AF23" s="157">
        <v>0</v>
      </c>
      <c r="AG23" s="144">
        <v>0</v>
      </c>
      <c r="AH23" s="144">
        <v>0</v>
      </c>
      <c r="AI23" s="144">
        <v>0</v>
      </c>
    </row>
    <row r="24" spans="1:35" ht="14.25">
      <c r="A24" s="14">
        <v>6.4</v>
      </c>
      <c r="B24" s="8" t="s">
        <v>29</v>
      </c>
      <c r="C24" s="137">
        <v>431561</v>
      </c>
      <c r="D24" s="130">
        <v>399162</v>
      </c>
      <c r="E24" s="130">
        <v>399162</v>
      </c>
      <c r="F24" s="130">
        <v>399162</v>
      </c>
      <c r="G24" s="130">
        <v>399.16</v>
      </c>
      <c r="H24" s="130">
        <v>399162</v>
      </c>
      <c r="I24" s="130">
        <v>399162</v>
      </c>
      <c r="J24" s="130">
        <v>399162</v>
      </c>
      <c r="K24" s="130">
        <v>399162</v>
      </c>
      <c r="L24" s="130">
        <v>399162</v>
      </c>
      <c r="M24" s="130">
        <v>399162</v>
      </c>
      <c r="N24" s="130">
        <v>399162</v>
      </c>
      <c r="O24" s="137">
        <v>1931561</v>
      </c>
      <c r="P24" s="130">
        <v>1500000</v>
      </c>
      <c r="Q24" s="130">
        <v>1500000</v>
      </c>
      <c r="R24" s="130">
        <v>1931561</v>
      </c>
      <c r="S24" s="130">
        <v>1931561</v>
      </c>
      <c r="T24" s="130">
        <v>1931561</v>
      </c>
      <c r="U24" s="130">
        <v>1931561</v>
      </c>
      <c r="V24" s="130">
        <v>1931561</v>
      </c>
      <c r="W24" s="130">
        <v>1504343</v>
      </c>
      <c r="X24" s="145">
        <v>1504343</v>
      </c>
      <c r="Y24" s="145">
        <v>1500000</v>
      </c>
      <c r="Z24" s="158">
        <v>1500000</v>
      </c>
      <c r="AA24" s="159">
        <v>1500000</v>
      </c>
      <c r="AB24" s="165">
        <v>1563747</v>
      </c>
      <c r="AC24" s="165">
        <v>3506594</v>
      </c>
      <c r="AD24" s="145">
        <v>1500000</v>
      </c>
      <c r="AE24" s="158">
        <v>1700000</v>
      </c>
      <c r="AF24" s="158">
        <v>1700000</v>
      </c>
      <c r="AG24" s="145">
        <v>1700000</v>
      </c>
      <c r="AH24" s="145">
        <v>1700000</v>
      </c>
      <c r="AI24" s="145">
        <v>2090000</v>
      </c>
    </row>
    <row r="25" spans="1:35" ht="14.25">
      <c r="A25" s="14">
        <v>6.5</v>
      </c>
      <c r="B25" s="8" t="s">
        <v>30</v>
      </c>
      <c r="C25" s="137">
        <v>350</v>
      </c>
      <c r="D25" s="130">
        <v>1777988</v>
      </c>
      <c r="E25" s="130">
        <v>1777988</v>
      </c>
      <c r="F25" s="130">
        <v>1777988</v>
      </c>
      <c r="G25" s="130">
        <v>1777.99</v>
      </c>
      <c r="H25" s="130">
        <v>1777988</v>
      </c>
      <c r="I25" s="130">
        <v>1777988</v>
      </c>
      <c r="J25" s="130">
        <v>1777988</v>
      </c>
      <c r="K25" s="130">
        <v>1777988</v>
      </c>
      <c r="L25" s="130">
        <v>1777988</v>
      </c>
      <c r="M25" s="130">
        <v>1777988</v>
      </c>
      <c r="N25" s="130">
        <v>1777988</v>
      </c>
      <c r="O25" s="137">
        <v>450</v>
      </c>
      <c r="P25" s="130">
        <v>1538390</v>
      </c>
      <c r="Q25" s="130">
        <v>1538390</v>
      </c>
      <c r="R25" s="130">
        <v>0</v>
      </c>
      <c r="S25" s="130">
        <v>0</v>
      </c>
      <c r="T25" s="130">
        <v>0</v>
      </c>
      <c r="U25" s="130">
        <v>0</v>
      </c>
      <c r="V25" s="130">
        <v>0</v>
      </c>
      <c r="W25" s="130">
        <v>0</v>
      </c>
      <c r="X25" s="144">
        <v>0</v>
      </c>
      <c r="Y25" s="144">
        <v>0</v>
      </c>
      <c r="Z25" s="157">
        <v>0</v>
      </c>
      <c r="AA25" s="160">
        <v>0</v>
      </c>
      <c r="AB25" s="165">
        <f>28243</f>
        <v>28243</v>
      </c>
      <c r="AC25" s="165">
        <v>17680</v>
      </c>
      <c r="AD25" s="144">
        <v>0</v>
      </c>
      <c r="AE25" s="157">
        <v>0</v>
      </c>
      <c r="AF25" s="157">
        <v>0</v>
      </c>
      <c r="AG25" s="144">
        <v>0</v>
      </c>
      <c r="AH25" s="144">
        <v>0</v>
      </c>
      <c r="AI25" s="144">
        <v>0</v>
      </c>
    </row>
    <row r="26" spans="1:35" ht="15">
      <c r="A26" s="14"/>
      <c r="B26" s="12" t="s">
        <v>31</v>
      </c>
      <c r="C26" s="15">
        <f t="shared" ref="C26:O26" si="20">C4+C7+C8+C13+C16+C20</f>
        <v>45621444</v>
      </c>
      <c r="D26" s="15">
        <f t="shared" si="20"/>
        <v>48908378.460000001</v>
      </c>
      <c r="E26" s="15">
        <f t="shared" si="20"/>
        <v>46362546.879999995</v>
      </c>
      <c r="F26" s="15">
        <f t="shared" si="20"/>
        <v>46457947.979999997</v>
      </c>
      <c r="G26" s="15">
        <f t="shared" si="20"/>
        <v>44304.909999999996</v>
      </c>
      <c r="H26" s="15">
        <f t="shared" si="20"/>
        <v>45340261.019999996</v>
      </c>
      <c r="I26" s="15">
        <f t="shared" si="20"/>
        <v>46632288.649999999</v>
      </c>
      <c r="J26" s="15">
        <f t="shared" si="20"/>
        <v>41045077.600000001</v>
      </c>
      <c r="K26" s="15">
        <f t="shared" si="20"/>
        <v>41276160.289999999</v>
      </c>
      <c r="L26" s="15">
        <f t="shared" si="20"/>
        <v>43080185.449999996</v>
      </c>
      <c r="M26" s="15">
        <f t="shared" si="20"/>
        <v>42093035.129999995</v>
      </c>
      <c r="N26" s="15">
        <f t="shared" si="20"/>
        <v>41795781.25</v>
      </c>
      <c r="O26" s="15">
        <f t="shared" si="20"/>
        <v>49793828</v>
      </c>
      <c r="P26" s="15">
        <f t="shared" ref="P26:W26" si="21">P4+P7+P8+P13+P16+P20</f>
        <v>40099726.799999997</v>
      </c>
      <c r="Q26" s="15">
        <f t="shared" si="21"/>
        <v>40195243.710000001</v>
      </c>
      <c r="R26" s="15">
        <f t="shared" si="21"/>
        <v>49877559.969999999</v>
      </c>
      <c r="S26" s="15">
        <f t="shared" si="21"/>
        <v>49793664.070000008</v>
      </c>
      <c r="T26" s="15">
        <f t="shared" si="21"/>
        <v>46702708.370000005</v>
      </c>
      <c r="U26" s="15">
        <f t="shared" si="21"/>
        <v>46443109.609999999</v>
      </c>
      <c r="V26" s="15">
        <f t="shared" si="21"/>
        <v>49537548.509999998</v>
      </c>
      <c r="W26" s="15">
        <f t="shared" si="21"/>
        <v>49120963.399999999</v>
      </c>
      <c r="X26" s="15">
        <f t="shared" ref="X26:AB26" si="22">X4+X7+X8+X13+X16+X20</f>
        <v>48478697.509999998</v>
      </c>
      <c r="Y26" s="15">
        <f t="shared" si="22"/>
        <v>49729016.210000001</v>
      </c>
      <c r="Z26" s="15">
        <f t="shared" si="22"/>
        <v>49092477.509999998</v>
      </c>
      <c r="AA26" s="15">
        <f t="shared" si="22"/>
        <v>50135719.549999997</v>
      </c>
      <c r="AB26" s="168">
        <f t="shared" si="22"/>
        <v>56660235</v>
      </c>
      <c r="AC26" s="168">
        <f t="shared" ref="AC26:AI26" si="23">AC4+AC7+AC8+AC13+AC16+AC20</f>
        <v>60579585</v>
      </c>
      <c r="AD26" s="168">
        <f t="shared" si="23"/>
        <v>49417493.590000004</v>
      </c>
      <c r="AE26" s="168">
        <f t="shared" si="23"/>
        <v>51584393.5</v>
      </c>
      <c r="AF26" s="168">
        <f t="shared" si="23"/>
        <v>50630896.109999999</v>
      </c>
      <c r="AG26" s="168">
        <f t="shared" si="23"/>
        <v>47604758.569999993</v>
      </c>
      <c r="AH26" s="168">
        <f t="shared" si="23"/>
        <v>47738111.669999994</v>
      </c>
      <c r="AI26" s="168">
        <f t="shared" si="23"/>
        <v>47562450.649999999</v>
      </c>
    </row>
    <row r="27" spans="1:35" ht="14.25">
      <c r="A27" s="14">
        <v>7</v>
      </c>
      <c r="B27" s="8" t="s">
        <v>32</v>
      </c>
      <c r="C27" s="137">
        <v>1971265</v>
      </c>
      <c r="D27" s="130">
        <v>7372722.46</v>
      </c>
      <c r="E27" s="130">
        <v>6326562.8799999999</v>
      </c>
      <c r="F27" s="130">
        <v>6172650.9800000004</v>
      </c>
      <c r="G27" s="130">
        <v>4172.6499999999996</v>
      </c>
      <c r="H27" s="130">
        <v>3910168.35</v>
      </c>
      <c r="I27" s="130">
        <v>4070168.35</v>
      </c>
      <c r="J27" s="130">
        <v>3070168.35</v>
      </c>
      <c r="K27" s="130">
        <v>3250228.35</v>
      </c>
      <c r="L27" s="130">
        <v>3990624.35</v>
      </c>
      <c r="M27" s="130">
        <v>4118624.35</v>
      </c>
      <c r="N27" s="130">
        <v>3948624.99</v>
      </c>
      <c r="O27" s="137">
        <v>3948625</v>
      </c>
      <c r="P27" s="130">
        <v>4008624.99</v>
      </c>
      <c r="Q27" s="130">
        <v>3041804.88</v>
      </c>
      <c r="R27" s="130">
        <v>6477107.8799999999</v>
      </c>
      <c r="S27" s="130">
        <v>6077107.8799999999</v>
      </c>
      <c r="T27" s="130">
        <v>4977107.88</v>
      </c>
      <c r="U27" s="130">
        <v>4077107.88</v>
      </c>
      <c r="V27" s="130">
        <v>6700986.6500000004</v>
      </c>
      <c r="W27" s="130">
        <v>5700986.6500000004</v>
      </c>
      <c r="X27" s="143">
        <v>5607807.8799999999</v>
      </c>
      <c r="Y27" s="143">
        <v>8207818.7300000004</v>
      </c>
      <c r="Z27" s="156">
        <v>7307818.7300000004</v>
      </c>
      <c r="AA27" s="159">
        <v>7807818.7300000004</v>
      </c>
      <c r="AB27" s="165">
        <v>7807819</v>
      </c>
      <c r="AC27" s="165">
        <v>10150000</v>
      </c>
      <c r="AD27" s="143">
        <v>10810000</v>
      </c>
      <c r="AE27" s="156">
        <v>12860000</v>
      </c>
      <c r="AF27" s="156">
        <v>11975502.609999999</v>
      </c>
      <c r="AG27" s="143">
        <v>9267177.0700000003</v>
      </c>
      <c r="AH27" s="143">
        <v>9379478.6500000004</v>
      </c>
      <c r="AI27" s="143">
        <v>13080785.390000001</v>
      </c>
    </row>
    <row r="28" spans="1:35" ht="14.25">
      <c r="A28" s="14">
        <v>8</v>
      </c>
      <c r="B28" s="8" t="s">
        <v>33</v>
      </c>
      <c r="C28" s="137">
        <v>462570</v>
      </c>
      <c r="D28" s="130">
        <v>1000000</v>
      </c>
      <c r="E28" s="130">
        <v>800000</v>
      </c>
      <c r="F28" s="130">
        <v>1000000</v>
      </c>
      <c r="G28" s="130">
        <v>800</v>
      </c>
      <c r="H28" s="130">
        <v>800000</v>
      </c>
      <c r="I28" s="130">
        <v>800000</v>
      </c>
      <c r="J28" s="130">
        <v>600000</v>
      </c>
      <c r="K28" s="130">
        <v>680000</v>
      </c>
      <c r="L28" s="130">
        <v>600000</v>
      </c>
      <c r="M28" s="130">
        <v>600000</v>
      </c>
      <c r="N28" s="130">
        <v>600000</v>
      </c>
      <c r="O28" s="137">
        <v>600000</v>
      </c>
      <c r="P28" s="130">
        <v>600000</v>
      </c>
      <c r="Q28" s="130">
        <v>600000</v>
      </c>
      <c r="R28" s="130">
        <v>600000</v>
      </c>
      <c r="S28" s="130">
        <v>600000</v>
      </c>
      <c r="T28" s="130">
        <v>600000</v>
      </c>
      <c r="U28" s="130">
        <v>800000</v>
      </c>
      <c r="V28" s="130">
        <v>600000</v>
      </c>
      <c r="W28" s="130">
        <v>800000</v>
      </c>
      <c r="X28" s="145">
        <v>800000</v>
      </c>
      <c r="Y28" s="145">
        <v>800000</v>
      </c>
      <c r="Z28" s="158">
        <v>800000</v>
      </c>
      <c r="AA28" s="159">
        <v>800000</v>
      </c>
      <c r="AB28" s="165">
        <v>800000</v>
      </c>
      <c r="AC28" s="165">
        <v>1270000</v>
      </c>
      <c r="AD28" s="145">
        <v>1250000</v>
      </c>
      <c r="AE28" s="158">
        <v>1330000</v>
      </c>
      <c r="AF28" s="158">
        <v>1304000</v>
      </c>
      <c r="AG28" s="145">
        <v>951188</v>
      </c>
      <c r="AH28" s="145">
        <v>966509.2</v>
      </c>
      <c r="AI28" s="145">
        <v>971466.05</v>
      </c>
    </row>
    <row r="29" spans="1:35" ht="14.25">
      <c r="A29" s="14">
        <v>9</v>
      </c>
      <c r="B29" s="8" t="s">
        <v>34</v>
      </c>
      <c r="C29" s="137">
        <v>16751811</v>
      </c>
      <c r="D29" s="130">
        <v>17196600</v>
      </c>
      <c r="E29" s="130">
        <v>17866325</v>
      </c>
      <c r="F29" s="130">
        <v>17896600</v>
      </c>
      <c r="G29" s="130">
        <v>18041.330000000002</v>
      </c>
      <c r="H29" s="130">
        <v>19185646</v>
      </c>
      <c r="I29" s="130">
        <v>17866325</v>
      </c>
      <c r="J29" s="130">
        <v>19040852</v>
      </c>
      <c r="K29" s="130">
        <v>19052852</v>
      </c>
      <c r="L29" s="130">
        <v>19052852</v>
      </c>
      <c r="M29" s="130">
        <v>19121352</v>
      </c>
      <c r="N29" s="130">
        <v>19121352</v>
      </c>
      <c r="O29" s="137">
        <v>19121352</v>
      </c>
      <c r="P29" s="130">
        <v>19716252</v>
      </c>
      <c r="Q29" s="130">
        <v>20116252</v>
      </c>
      <c r="R29" s="130">
        <v>23669977</v>
      </c>
      <c r="S29" s="130">
        <v>23949977</v>
      </c>
      <c r="T29" s="130">
        <v>22949977</v>
      </c>
      <c r="U29" s="130">
        <v>22949977</v>
      </c>
      <c r="V29" s="130">
        <v>23959977</v>
      </c>
      <c r="W29" s="130">
        <v>23959977</v>
      </c>
      <c r="X29" s="145">
        <v>23685977</v>
      </c>
      <c r="Y29" s="145">
        <v>21996252</v>
      </c>
      <c r="Z29" s="158">
        <v>21996252</v>
      </c>
      <c r="AA29" s="159">
        <v>21903252</v>
      </c>
      <c r="AB29" s="165">
        <v>21903252</v>
      </c>
      <c r="AC29" s="165">
        <v>17259000</v>
      </c>
      <c r="AD29" s="145">
        <v>19020000</v>
      </c>
      <c r="AE29" s="158">
        <v>19055000</v>
      </c>
      <c r="AF29" s="158">
        <v>19010000</v>
      </c>
      <c r="AG29" s="145">
        <v>19045000</v>
      </c>
      <c r="AH29" s="145">
        <v>19050730.32</v>
      </c>
      <c r="AI29" s="145">
        <v>19320630.309999999</v>
      </c>
    </row>
    <row r="30" spans="1:35" ht="15">
      <c r="A30" s="14"/>
      <c r="B30" s="12" t="s">
        <v>35</v>
      </c>
      <c r="C30" s="13">
        <f t="shared" ref="C30:O30" si="24">SUM(C27:C29)</f>
        <v>19185646</v>
      </c>
      <c r="D30" s="13">
        <f t="shared" si="24"/>
        <v>25569322.460000001</v>
      </c>
      <c r="E30" s="13">
        <f t="shared" si="24"/>
        <v>24992887.879999999</v>
      </c>
      <c r="F30" s="13">
        <f t="shared" si="24"/>
        <v>25069250.98</v>
      </c>
      <c r="G30" s="13">
        <f t="shared" si="24"/>
        <v>23013.980000000003</v>
      </c>
      <c r="H30" s="13">
        <f t="shared" si="24"/>
        <v>23895814.350000001</v>
      </c>
      <c r="I30" s="13">
        <f t="shared" si="24"/>
        <v>22736493.350000001</v>
      </c>
      <c r="J30" s="13">
        <f t="shared" si="24"/>
        <v>22711020.350000001</v>
      </c>
      <c r="K30" s="13">
        <f t="shared" si="24"/>
        <v>22983080.350000001</v>
      </c>
      <c r="L30" s="13">
        <f t="shared" si="24"/>
        <v>23643476.350000001</v>
      </c>
      <c r="M30" s="13">
        <f t="shared" si="24"/>
        <v>23839976.350000001</v>
      </c>
      <c r="N30" s="13">
        <f t="shared" si="24"/>
        <v>23669976.990000002</v>
      </c>
      <c r="O30" s="13">
        <f t="shared" si="24"/>
        <v>23669977</v>
      </c>
      <c r="P30" s="13">
        <f t="shared" ref="P30:W30" si="25">SUM(P27:P29)</f>
        <v>24324876.990000002</v>
      </c>
      <c r="Q30" s="13">
        <f t="shared" si="25"/>
        <v>23758056.879999999</v>
      </c>
      <c r="R30" s="13">
        <f t="shared" si="25"/>
        <v>30747084.879999999</v>
      </c>
      <c r="S30" s="13">
        <f t="shared" si="25"/>
        <v>30627084.879999999</v>
      </c>
      <c r="T30" s="13">
        <f t="shared" si="25"/>
        <v>28527084.879999999</v>
      </c>
      <c r="U30" s="13">
        <f t="shared" si="25"/>
        <v>27827084.879999999</v>
      </c>
      <c r="V30" s="13">
        <f t="shared" si="25"/>
        <v>31260963.649999999</v>
      </c>
      <c r="W30" s="13">
        <f t="shared" si="25"/>
        <v>30460963.649999999</v>
      </c>
      <c r="X30" s="13">
        <f t="shared" ref="X30:AB30" si="26">SUM(X27:X29)</f>
        <v>30093784.879999999</v>
      </c>
      <c r="Y30" s="13">
        <f t="shared" si="26"/>
        <v>31004070.73</v>
      </c>
      <c r="Z30" s="13">
        <f t="shared" si="26"/>
        <v>30104070.73</v>
      </c>
      <c r="AA30" s="13">
        <f t="shared" si="26"/>
        <v>30511070.73</v>
      </c>
      <c r="AB30" s="166">
        <f t="shared" si="26"/>
        <v>30511071</v>
      </c>
      <c r="AC30" s="166">
        <f t="shared" ref="AC30:AI30" si="27">SUM(AC27:AC29)</f>
        <v>28679000</v>
      </c>
      <c r="AD30" s="166">
        <f t="shared" si="27"/>
        <v>31080000</v>
      </c>
      <c r="AE30" s="166">
        <f t="shared" si="27"/>
        <v>33245000</v>
      </c>
      <c r="AF30" s="166">
        <f t="shared" si="27"/>
        <v>32289502.609999999</v>
      </c>
      <c r="AG30" s="166">
        <f t="shared" si="27"/>
        <v>29263365.07</v>
      </c>
      <c r="AH30" s="166">
        <f t="shared" si="27"/>
        <v>29396718.170000002</v>
      </c>
      <c r="AI30" s="166">
        <f t="shared" si="27"/>
        <v>33372881.75</v>
      </c>
    </row>
    <row r="31" spans="1:35" ht="15">
      <c r="A31" s="14">
        <v>10</v>
      </c>
      <c r="B31" s="12" t="s">
        <v>36</v>
      </c>
      <c r="C31" s="16">
        <f t="shared" ref="C31" si="28">SUM(C32:C37)</f>
        <v>4651478</v>
      </c>
      <c r="D31" s="16">
        <f t="shared" ref="D31:O31" si="29">SUM(D32:D37)</f>
        <v>4632781</v>
      </c>
      <c r="E31" s="16">
        <f t="shared" si="29"/>
        <v>2415998</v>
      </c>
      <c r="F31" s="16">
        <f t="shared" si="29"/>
        <v>2246430</v>
      </c>
      <c r="G31" s="16">
        <f t="shared" si="29"/>
        <v>2046.43</v>
      </c>
      <c r="H31" s="16">
        <f t="shared" si="29"/>
        <v>1899331.3</v>
      </c>
      <c r="I31" s="16">
        <f t="shared" si="29"/>
        <v>1799331.3</v>
      </c>
      <c r="J31" s="16">
        <f t="shared" si="29"/>
        <v>998032</v>
      </c>
      <c r="K31" s="16">
        <f t="shared" si="29"/>
        <v>918755.33</v>
      </c>
      <c r="L31" s="16">
        <f t="shared" si="29"/>
        <v>814756.33</v>
      </c>
      <c r="M31" s="16">
        <f t="shared" si="29"/>
        <v>0</v>
      </c>
      <c r="N31" s="16">
        <f t="shared" si="29"/>
        <v>0</v>
      </c>
      <c r="O31" s="16">
        <f t="shared" si="29"/>
        <v>2981744</v>
      </c>
      <c r="P31" s="16">
        <f t="shared" ref="P31:W31" si="30">SUM(P32:P37)</f>
        <v>0</v>
      </c>
      <c r="Q31" s="16">
        <f t="shared" si="30"/>
        <v>0</v>
      </c>
      <c r="R31" s="16">
        <f t="shared" si="30"/>
        <v>352000</v>
      </c>
      <c r="S31" s="16">
        <f t="shared" si="30"/>
        <v>296226</v>
      </c>
      <c r="T31" s="16">
        <f t="shared" si="30"/>
        <v>296226</v>
      </c>
      <c r="U31" s="16">
        <f t="shared" si="30"/>
        <v>296226</v>
      </c>
      <c r="V31" s="16">
        <f t="shared" si="30"/>
        <v>20226</v>
      </c>
      <c r="W31" s="16">
        <f t="shared" si="30"/>
        <v>20226</v>
      </c>
      <c r="X31" s="16">
        <f t="shared" ref="X31:AB31" si="31">SUM(X32:X37)</f>
        <v>20226</v>
      </c>
      <c r="Y31" s="16">
        <f t="shared" si="31"/>
        <v>20226</v>
      </c>
      <c r="Z31" s="16">
        <f t="shared" si="31"/>
        <v>0</v>
      </c>
      <c r="AA31" s="16">
        <f t="shared" si="31"/>
        <v>0</v>
      </c>
      <c r="AB31" s="169">
        <f t="shared" si="31"/>
        <v>3557639</v>
      </c>
      <c r="AC31" s="169">
        <f t="shared" ref="AC31:AI31" si="32">SUM(AC32:AC37)</f>
        <v>8193613</v>
      </c>
      <c r="AD31" s="169">
        <f t="shared" si="32"/>
        <v>0</v>
      </c>
      <c r="AE31" s="169">
        <f t="shared" si="32"/>
        <v>0</v>
      </c>
      <c r="AF31" s="169">
        <f t="shared" si="32"/>
        <v>0</v>
      </c>
      <c r="AG31" s="169">
        <f t="shared" si="32"/>
        <v>0</v>
      </c>
      <c r="AH31" s="169">
        <f t="shared" si="32"/>
        <v>0</v>
      </c>
      <c r="AI31" s="169">
        <f t="shared" si="32"/>
        <v>228356</v>
      </c>
    </row>
    <row r="32" spans="1:35" s="128" customFormat="1" ht="14.25">
      <c r="A32" s="125">
        <v>10.1</v>
      </c>
      <c r="B32" s="126" t="s">
        <v>37</v>
      </c>
      <c r="C32" s="137">
        <v>120447</v>
      </c>
      <c r="D32" s="130">
        <v>0</v>
      </c>
      <c r="E32" s="130">
        <v>0</v>
      </c>
      <c r="F32" s="130">
        <v>0</v>
      </c>
      <c r="G32" s="130">
        <v>0</v>
      </c>
      <c r="H32" s="130">
        <v>0</v>
      </c>
      <c r="I32" s="130">
        <v>0</v>
      </c>
      <c r="J32" s="130">
        <v>0</v>
      </c>
      <c r="K32" s="130">
        <v>0</v>
      </c>
      <c r="L32" s="130">
        <v>0</v>
      </c>
      <c r="M32" s="130">
        <v>0</v>
      </c>
      <c r="N32" s="130">
        <v>0</v>
      </c>
      <c r="O32" s="137">
        <v>120000</v>
      </c>
      <c r="P32" s="130">
        <v>0</v>
      </c>
      <c r="Q32" s="130">
        <v>0</v>
      </c>
      <c r="R32" s="130">
        <v>0</v>
      </c>
      <c r="S32" s="130">
        <v>20226</v>
      </c>
      <c r="T32" s="130">
        <v>20226</v>
      </c>
      <c r="U32" s="130">
        <v>20226</v>
      </c>
      <c r="V32" s="130">
        <v>20226</v>
      </c>
      <c r="W32" s="130">
        <v>20226</v>
      </c>
      <c r="X32" s="143">
        <v>20226</v>
      </c>
      <c r="Y32" s="143">
        <v>20226</v>
      </c>
      <c r="Z32" s="155">
        <v>0</v>
      </c>
      <c r="AA32" s="160">
        <v>0</v>
      </c>
      <c r="AB32" s="165">
        <v>244821</v>
      </c>
      <c r="AC32" s="165">
        <v>288356</v>
      </c>
      <c r="AD32" s="142">
        <v>0</v>
      </c>
      <c r="AE32" s="155">
        <v>0</v>
      </c>
      <c r="AF32" s="155">
        <v>0</v>
      </c>
      <c r="AG32" s="142">
        <v>0</v>
      </c>
      <c r="AH32" s="142">
        <v>0</v>
      </c>
      <c r="AI32" s="143">
        <v>228356</v>
      </c>
    </row>
    <row r="33" spans="1:35" ht="14.25">
      <c r="A33" s="14">
        <v>10.199999999999999</v>
      </c>
      <c r="B33" s="8" t="s">
        <v>38</v>
      </c>
      <c r="C33" s="137">
        <f>469475+80000</f>
        <v>549475</v>
      </c>
      <c r="D33" s="130">
        <v>0</v>
      </c>
      <c r="E33" s="130">
        <v>0</v>
      </c>
      <c r="F33" s="130">
        <v>0</v>
      </c>
      <c r="G33" s="130">
        <v>0</v>
      </c>
      <c r="H33" s="130">
        <v>0</v>
      </c>
      <c r="I33" s="130">
        <v>0</v>
      </c>
      <c r="J33" s="130">
        <v>0</v>
      </c>
      <c r="K33" s="130">
        <v>0</v>
      </c>
      <c r="L33" s="130">
        <v>0</v>
      </c>
      <c r="M33" s="130">
        <v>0</v>
      </c>
      <c r="N33" s="130">
        <v>0</v>
      </c>
      <c r="O33" s="137">
        <f>468758+80000</f>
        <v>548758</v>
      </c>
      <c r="P33" s="130">
        <v>0</v>
      </c>
      <c r="Q33" s="130">
        <v>0</v>
      </c>
      <c r="R33" s="130">
        <v>0</v>
      </c>
      <c r="S33" s="130">
        <v>0</v>
      </c>
      <c r="T33" s="130">
        <v>0</v>
      </c>
      <c r="U33" s="130">
        <v>0</v>
      </c>
      <c r="V33" s="130">
        <v>0</v>
      </c>
      <c r="W33" s="130">
        <v>0</v>
      </c>
      <c r="X33" s="144">
        <v>0</v>
      </c>
      <c r="Y33" s="144">
        <v>0</v>
      </c>
      <c r="Z33" s="157">
        <v>0</v>
      </c>
      <c r="AA33" s="160">
        <v>0</v>
      </c>
      <c r="AB33" s="165">
        <f>468758+80000</f>
        <v>548758</v>
      </c>
      <c r="AC33" s="165">
        <f>120400+1720740</f>
        <v>1841140</v>
      </c>
      <c r="AD33" s="144">
        <v>0</v>
      </c>
      <c r="AE33" s="157">
        <v>0</v>
      </c>
      <c r="AF33" s="157">
        <v>0</v>
      </c>
      <c r="AG33" s="144">
        <v>0</v>
      </c>
      <c r="AH33" s="144">
        <v>0</v>
      </c>
      <c r="AI33" s="144">
        <v>0</v>
      </c>
    </row>
    <row r="34" spans="1:35" ht="15">
      <c r="A34" s="14">
        <v>10.3</v>
      </c>
      <c r="B34" s="8" t="s">
        <v>39</v>
      </c>
      <c r="C34" s="137"/>
      <c r="D34" s="130">
        <v>0</v>
      </c>
      <c r="E34" s="130">
        <v>0</v>
      </c>
      <c r="F34" s="130">
        <v>0</v>
      </c>
      <c r="G34" s="130">
        <v>0</v>
      </c>
      <c r="H34" s="130">
        <v>0</v>
      </c>
      <c r="I34" s="130">
        <v>0</v>
      </c>
      <c r="J34" s="130">
        <v>0</v>
      </c>
      <c r="K34" s="130">
        <v>0</v>
      </c>
      <c r="L34" s="130">
        <v>0</v>
      </c>
      <c r="M34" s="130">
        <v>0</v>
      </c>
      <c r="N34" s="130">
        <v>0</v>
      </c>
      <c r="O34" s="137"/>
      <c r="P34" s="130">
        <v>0</v>
      </c>
      <c r="Q34" s="130">
        <v>0</v>
      </c>
      <c r="R34" s="130">
        <v>0</v>
      </c>
      <c r="S34" s="130">
        <v>0</v>
      </c>
      <c r="T34" s="130">
        <v>0</v>
      </c>
      <c r="U34" s="130">
        <v>0</v>
      </c>
      <c r="V34" s="130">
        <v>0</v>
      </c>
      <c r="W34" s="130">
        <v>0</v>
      </c>
      <c r="X34" s="144">
        <v>0</v>
      </c>
      <c r="Y34" s="144">
        <v>0</v>
      </c>
      <c r="Z34" s="157">
        <v>0</v>
      </c>
      <c r="AA34" s="160">
        <v>0</v>
      </c>
      <c r="AB34" s="165"/>
      <c r="AC34" s="165"/>
      <c r="AD34" s="144">
        <v>0</v>
      </c>
      <c r="AE34" s="157">
        <v>0</v>
      </c>
      <c r="AF34" s="157">
        <v>0</v>
      </c>
      <c r="AG34" s="144">
        <v>0</v>
      </c>
      <c r="AH34" s="144">
        <v>0</v>
      </c>
      <c r="AI34" s="144">
        <v>0</v>
      </c>
    </row>
    <row r="35" spans="1:35" ht="15">
      <c r="A35" s="14">
        <v>10.4</v>
      </c>
      <c r="B35" s="8" t="s">
        <v>40</v>
      </c>
      <c r="C35" s="137"/>
      <c r="D35" s="130">
        <v>0</v>
      </c>
      <c r="E35" s="130">
        <v>0</v>
      </c>
      <c r="F35" s="130">
        <v>0</v>
      </c>
      <c r="G35" s="130">
        <v>0</v>
      </c>
      <c r="H35" s="130">
        <v>0</v>
      </c>
      <c r="I35" s="130">
        <v>0</v>
      </c>
      <c r="J35" s="130">
        <v>0</v>
      </c>
      <c r="K35" s="130">
        <v>0</v>
      </c>
      <c r="L35" s="130">
        <v>0</v>
      </c>
      <c r="M35" s="130">
        <v>0</v>
      </c>
      <c r="N35" s="130">
        <v>0</v>
      </c>
      <c r="O35" s="137"/>
      <c r="P35" s="130">
        <v>0</v>
      </c>
      <c r="Q35" s="130">
        <v>0</v>
      </c>
      <c r="R35" s="130">
        <v>0</v>
      </c>
      <c r="S35" s="130">
        <v>0</v>
      </c>
      <c r="T35" s="130">
        <v>0</v>
      </c>
      <c r="U35" s="130">
        <v>0</v>
      </c>
      <c r="V35" s="130">
        <v>0</v>
      </c>
      <c r="W35" s="130">
        <v>0</v>
      </c>
      <c r="X35" s="144">
        <v>0</v>
      </c>
      <c r="Y35" s="144">
        <v>0</v>
      </c>
      <c r="Z35" s="157">
        <v>0</v>
      </c>
      <c r="AA35" s="160">
        <v>0</v>
      </c>
      <c r="AB35" s="165"/>
      <c r="AC35" s="165"/>
      <c r="AD35" s="144">
        <v>0</v>
      </c>
      <c r="AE35" s="157">
        <v>0</v>
      </c>
      <c r="AF35" s="157">
        <v>0</v>
      </c>
      <c r="AG35" s="144">
        <v>0</v>
      </c>
      <c r="AH35" s="144">
        <v>0</v>
      </c>
      <c r="AI35" s="144">
        <v>0</v>
      </c>
    </row>
    <row r="36" spans="1:35" ht="14.25">
      <c r="A36" s="14">
        <v>10.5</v>
      </c>
      <c r="B36" s="8" t="s">
        <v>41</v>
      </c>
      <c r="C36" s="137">
        <f>210200+1854693</f>
        <v>2064893</v>
      </c>
      <c r="D36" s="130">
        <v>1986251</v>
      </c>
      <c r="E36" s="130">
        <v>0</v>
      </c>
      <c r="F36" s="130">
        <v>0</v>
      </c>
      <c r="G36" s="130">
        <v>0</v>
      </c>
      <c r="H36" s="130">
        <v>0</v>
      </c>
      <c r="I36" s="130">
        <v>0</v>
      </c>
      <c r="J36" s="130">
        <v>0</v>
      </c>
      <c r="K36" s="130">
        <v>0</v>
      </c>
      <c r="L36" s="130">
        <v>0</v>
      </c>
      <c r="M36" s="130">
        <v>0</v>
      </c>
      <c r="N36" s="130">
        <v>0</v>
      </c>
      <c r="O36" s="137">
        <f>223778+2089208</f>
        <v>2312986</v>
      </c>
      <c r="P36" s="130">
        <v>0</v>
      </c>
      <c r="Q36" s="130">
        <v>0</v>
      </c>
      <c r="R36" s="130">
        <v>352000</v>
      </c>
      <c r="S36" s="130">
        <v>276000</v>
      </c>
      <c r="T36" s="130">
        <v>276000</v>
      </c>
      <c r="U36" s="130">
        <v>276000</v>
      </c>
      <c r="V36" s="130">
        <v>0</v>
      </c>
      <c r="W36" s="130">
        <v>0</v>
      </c>
      <c r="X36" s="144">
        <v>0</v>
      </c>
      <c r="Y36" s="144">
        <v>0</v>
      </c>
      <c r="Z36" s="157">
        <v>0</v>
      </c>
      <c r="AA36" s="160">
        <v>0</v>
      </c>
      <c r="AB36" s="165">
        <f>75000+300000+2389060</f>
        <v>2764060</v>
      </c>
      <c r="AC36" s="165">
        <f>608778+108000+69000+2728339</f>
        <v>3514117</v>
      </c>
      <c r="AD36" s="144">
        <v>0</v>
      </c>
      <c r="AE36" s="157">
        <v>0</v>
      </c>
      <c r="AF36" s="157">
        <v>0</v>
      </c>
      <c r="AG36" s="144">
        <v>0</v>
      </c>
      <c r="AH36" s="144">
        <v>0</v>
      </c>
      <c r="AI36" s="144">
        <v>0</v>
      </c>
    </row>
    <row r="37" spans="1:35" ht="15">
      <c r="A37" s="14">
        <v>10.6</v>
      </c>
      <c r="B37" s="8" t="s">
        <v>42</v>
      </c>
      <c r="C37" s="137">
        <v>1916663</v>
      </c>
      <c r="D37" s="130">
        <v>2646530</v>
      </c>
      <c r="E37" s="130">
        <v>2415998</v>
      </c>
      <c r="F37" s="130">
        <v>2246430</v>
      </c>
      <c r="G37" s="130">
        <v>2046.43</v>
      </c>
      <c r="H37" s="130">
        <v>1899331.3</v>
      </c>
      <c r="I37" s="130">
        <v>1799331.3</v>
      </c>
      <c r="J37" s="130">
        <v>998032</v>
      </c>
      <c r="K37" s="130">
        <v>918755.33</v>
      </c>
      <c r="L37" s="130">
        <v>814756.33</v>
      </c>
      <c r="M37" s="130">
        <v>0</v>
      </c>
      <c r="N37" s="130">
        <v>0</v>
      </c>
      <c r="O37" s="11"/>
      <c r="P37" s="130">
        <v>0</v>
      </c>
      <c r="Q37" s="130">
        <v>0</v>
      </c>
      <c r="R37" s="130">
        <v>0</v>
      </c>
      <c r="S37" s="130">
        <v>0</v>
      </c>
      <c r="T37" s="130">
        <v>0</v>
      </c>
      <c r="U37" s="130">
        <v>0</v>
      </c>
      <c r="V37" s="130">
        <v>0</v>
      </c>
      <c r="W37" s="130">
        <v>0</v>
      </c>
      <c r="X37" s="144">
        <v>0</v>
      </c>
      <c r="Y37" s="144">
        <v>0</v>
      </c>
      <c r="Z37" s="157">
        <v>0</v>
      </c>
      <c r="AA37" s="160">
        <v>0</v>
      </c>
      <c r="AB37" s="165"/>
      <c r="AC37" s="165">
        <v>2550000</v>
      </c>
      <c r="AD37" s="144">
        <v>0</v>
      </c>
      <c r="AE37" s="157">
        <v>0</v>
      </c>
      <c r="AF37" s="157">
        <v>0</v>
      </c>
      <c r="AG37" s="144">
        <v>0</v>
      </c>
      <c r="AH37" s="144">
        <v>0</v>
      </c>
      <c r="AI37" s="144">
        <v>0</v>
      </c>
    </row>
    <row r="38" spans="1:35" ht="15">
      <c r="A38" s="14"/>
      <c r="B38" s="12" t="s">
        <v>43</v>
      </c>
      <c r="C38" s="13">
        <f t="shared" ref="C38:O38" si="33">C30+C31</f>
        <v>23837124</v>
      </c>
      <c r="D38" s="13">
        <f t="shared" si="33"/>
        <v>30202103.460000001</v>
      </c>
      <c r="E38" s="13">
        <f t="shared" si="33"/>
        <v>27408885.879999999</v>
      </c>
      <c r="F38" s="13">
        <f t="shared" si="33"/>
        <v>27315680.98</v>
      </c>
      <c r="G38" s="13">
        <f t="shared" si="33"/>
        <v>25060.410000000003</v>
      </c>
      <c r="H38" s="13">
        <f t="shared" si="33"/>
        <v>25795145.650000002</v>
      </c>
      <c r="I38" s="13">
        <f t="shared" si="33"/>
        <v>24535824.650000002</v>
      </c>
      <c r="J38" s="13">
        <f t="shared" si="33"/>
        <v>23709052.350000001</v>
      </c>
      <c r="K38" s="13">
        <f t="shared" si="33"/>
        <v>23901835.68</v>
      </c>
      <c r="L38" s="13">
        <f t="shared" si="33"/>
        <v>24458232.68</v>
      </c>
      <c r="M38" s="13">
        <f t="shared" si="33"/>
        <v>23839976.350000001</v>
      </c>
      <c r="N38" s="13">
        <f t="shared" si="33"/>
        <v>23669976.990000002</v>
      </c>
      <c r="O38" s="13">
        <f t="shared" si="33"/>
        <v>26651721</v>
      </c>
      <c r="P38" s="13">
        <f t="shared" ref="P38:W38" si="34">P30+P31</f>
        <v>24324876.990000002</v>
      </c>
      <c r="Q38" s="13">
        <f t="shared" si="34"/>
        <v>23758056.879999999</v>
      </c>
      <c r="R38" s="13">
        <f t="shared" si="34"/>
        <v>31099084.879999999</v>
      </c>
      <c r="S38" s="13">
        <f t="shared" si="34"/>
        <v>30923310.879999999</v>
      </c>
      <c r="T38" s="13">
        <f t="shared" si="34"/>
        <v>28823310.879999999</v>
      </c>
      <c r="U38" s="13">
        <f t="shared" si="34"/>
        <v>28123310.879999999</v>
      </c>
      <c r="V38" s="13">
        <f t="shared" si="34"/>
        <v>31281189.649999999</v>
      </c>
      <c r="W38" s="13">
        <f t="shared" si="34"/>
        <v>30481189.649999999</v>
      </c>
      <c r="X38" s="13">
        <f t="shared" ref="X38:AB38" si="35">X30+X31</f>
        <v>30114010.879999999</v>
      </c>
      <c r="Y38" s="13">
        <f t="shared" si="35"/>
        <v>31024296.73</v>
      </c>
      <c r="Z38" s="13">
        <f t="shared" si="35"/>
        <v>30104070.73</v>
      </c>
      <c r="AA38" s="13">
        <f t="shared" si="35"/>
        <v>30511070.73</v>
      </c>
      <c r="AB38" s="166">
        <f t="shared" si="35"/>
        <v>34068710</v>
      </c>
      <c r="AC38" s="166">
        <f t="shared" ref="AC38:AI38" si="36">AC30+AC31</f>
        <v>36872613</v>
      </c>
      <c r="AD38" s="166">
        <f t="shared" si="36"/>
        <v>31080000</v>
      </c>
      <c r="AE38" s="166">
        <f t="shared" si="36"/>
        <v>33245000</v>
      </c>
      <c r="AF38" s="166">
        <f t="shared" si="36"/>
        <v>32289502.609999999</v>
      </c>
      <c r="AG38" s="166">
        <f t="shared" si="36"/>
        <v>29263365.07</v>
      </c>
      <c r="AH38" s="166">
        <f t="shared" si="36"/>
        <v>29396718.170000002</v>
      </c>
      <c r="AI38" s="166">
        <f t="shared" si="36"/>
        <v>33601237.75</v>
      </c>
    </row>
    <row r="39" spans="1:35" s="128" customFormat="1" ht="14.25">
      <c r="A39" s="125">
        <v>11</v>
      </c>
      <c r="B39" s="126" t="s">
        <v>44</v>
      </c>
      <c r="C39" s="137">
        <v>11986229</v>
      </c>
      <c r="D39" s="130">
        <v>11903229</v>
      </c>
      <c r="E39" s="130">
        <v>11903229</v>
      </c>
      <c r="F39" s="130">
        <v>11903229</v>
      </c>
      <c r="G39" s="130">
        <v>11903.23</v>
      </c>
      <c r="H39" s="130">
        <v>11903229</v>
      </c>
      <c r="I39" s="130">
        <v>11903229</v>
      </c>
      <c r="J39" s="130">
        <v>11903229</v>
      </c>
      <c r="K39" s="130">
        <v>11903229</v>
      </c>
      <c r="L39" s="130">
        <v>11903229</v>
      </c>
      <c r="M39" s="130">
        <v>11903229</v>
      </c>
      <c r="N39" s="130">
        <v>11903229</v>
      </c>
      <c r="O39" s="137">
        <v>11986229</v>
      </c>
      <c r="P39" s="130">
        <v>11903229</v>
      </c>
      <c r="Q39" s="130">
        <v>11903229</v>
      </c>
      <c r="R39" s="130">
        <v>11986229</v>
      </c>
      <c r="S39" s="130">
        <v>11986229</v>
      </c>
      <c r="T39" s="130">
        <v>11986229</v>
      </c>
      <c r="U39" s="130">
        <v>11986229</v>
      </c>
      <c r="V39" s="130">
        <v>11986229</v>
      </c>
      <c r="W39" s="130">
        <v>12186229</v>
      </c>
      <c r="X39" s="143">
        <v>12186229</v>
      </c>
      <c r="Y39" s="143">
        <v>12236229</v>
      </c>
      <c r="Z39" s="156">
        <v>12236229</v>
      </c>
      <c r="AA39" s="159">
        <v>12236229</v>
      </c>
      <c r="AB39" s="165">
        <v>11986229</v>
      </c>
      <c r="AC39" s="165">
        <v>13324579</v>
      </c>
      <c r="AD39" s="143">
        <v>13324578</v>
      </c>
      <c r="AE39" s="156">
        <v>13326478</v>
      </c>
      <c r="AF39" s="156">
        <v>13328478</v>
      </c>
      <c r="AG39" s="143">
        <v>13328478</v>
      </c>
      <c r="AH39" s="143">
        <v>13328478</v>
      </c>
      <c r="AI39" s="143">
        <v>13328478</v>
      </c>
    </row>
    <row r="40" spans="1:35" ht="15">
      <c r="A40" s="14">
        <v>12</v>
      </c>
      <c r="B40" s="8" t="s">
        <v>45</v>
      </c>
      <c r="C40" s="10"/>
      <c r="D40" s="130">
        <v>0</v>
      </c>
      <c r="E40" s="130">
        <v>0</v>
      </c>
      <c r="F40" s="130">
        <v>0</v>
      </c>
      <c r="G40" s="130">
        <v>0</v>
      </c>
      <c r="H40" s="130">
        <v>0</v>
      </c>
      <c r="I40" s="130">
        <v>0</v>
      </c>
      <c r="J40" s="130">
        <v>0</v>
      </c>
      <c r="K40" s="130">
        <v>0</v>
      </c>
      <c r="L40" s="130">
        <v>0</v>
      </c>
      <c r="M40" s="130">
        <v>0</v>
      </c>
      <c r="N40" s="130">
        <v>0</v>
      </c>
      <c r="O40" s="11"/>
      <c r="P40" s="130">
        <v>0</v>
      </c>
      <c r="Q40" s="130">
        <v>0</v>
      </c>
      <c r="R40" s="130">
        <v>353000</v>
      </c>
      <c r="S40" s="130">
        <v>353000</v>
      </c>
      <c r="T40" s="130">
        <v>353000</v>
      </c>
      <c r="U40" s="130">
        <v>353000</v>
      </c>
      <c r="V40" s="130">
        <v>353000</v>
      </c>
      <c r="W40" s="130">
        <v>353000</v>
      </c>
      <c r="X40" s="145">
        <v>353000</v>
      </c>
      <c r="Y40" s="145">
        <v>353000</v>
      </c>
      <c r="Z40" s="158">
        <v>353000</v>
      </c>
      <c r="AA40" s="159">
        <v>353000</v>
      </c>
      <c r="AB40" s="165"/>
      <c r="AC40" s="165">
        <v>353000</v>
      </c>
      <c r="AD40" s="145">
        <v>353000</v>
      </c>
      <c r="AE40" s="158">
        <v>353000</v>
      </c>
      <c r="AF40" s="158">
        <v>353000</v>
      </c>
      <c r="AG40" s="145">
        <v>353000</v>
      </c>
      <c r="AH40" s="145">
        <v>353000</v>
      </c>
      <c r="AI40" s="145">
        <v>353000</v>
      </c>
    </row>
    <row r="41" spans="1:35" ht="15">
      <c r="A41" s="14">
        <v>13</v>
      </c>
      <c r="B41" s="12" t="s">
        <v>46</v>
      </c>
      <c r="C41" s="9">
        <f t="shared" ref="C41:O41" si="37">SUM(C42+C43)</f>
        <v>5742437</v>
      </c>
      <c r="D41" s="9">
        <f t="shared" si="37"/>
        <v>4226429</v>
      </c>
      <c r="E41" s="9">
        <f t="shared" si="37"/>
        <v>4473815</v>
      </c>
      <c r="F41" s="9">
        <f t="shared" si="37"/>
        <v>4662421</v>
      </c>
      <c r="G41" s="9">
        <f t="shared" si="37"/>
        <v>4764.6400000000003</v>
      </c>
      <c r="H41" s="9">
        <f t="shared" si="37"/>
        <v>7042856</v>
      </c>
      <c r="I41" s="9">
        <f t="shared" si="37"/>
        <v>7142856</v>
      </c>
      <c r="J41" s="9">
        <f t="shared" si="37"/>
        <v>2735417</v>
      </c>
      <c r="K41" s="9">
        <f t="shared" si="37"/>
        <v>3017995.6100000003</v>
      </c>
      <c r="L41" s="9">
        <f t="shared" si="37"/>
        <v>3352980.8200000003</v>
      </c>
      <c r="M41" s="9">
        <f t="shared" si="37"/>
        <v>3652788.83</v>
      </c>
      <c r="N41" s="9">
        <f t="shared" si="37"/>
        <v>3806608.83</v>
      </c>
      <c r="O41" s="9">
        <f t="shared" si="37"/>
        <v>6532126</v>
      </c>
      <c r="P41" s="9">
        <f t="shared" ref="P41:W41" si="38">SUM(P42+P43)</f>
        <v>1800588.92</v>
      </c>
      <c r="Q41" s="9">
        <f t="shared" si="38"/>
        <v>1958523.92</v>
      </c>
      <c r="R41" s="9">
        <f t="shared" si="38"/>
        <v>2139265.92</v>
      </c>
      <c r="S41" s="9">
        <f t="shared" si="38"/>
        <v>2258728.37</v>
      </c>
      <c r="T41" s="9">
        <f t="shared" si="38"/>
        <v>2394363.4500000002</v>
      </c>
      <c r="U41" s="9">
        <f t="shared" si="38"/>
        <v>2643591.4900000002</v>
      </c>
      <c r="V41" s="9">
        <f t="shared" si="38"/>
        <v>2938329.66</v>
      </c>
      <c r="W41" s="9">
        <f t="shared" si="38"/>
        <v>3166453.74</v>
      </c>
      <c r="X41" s="9">
        <f t="shared" ref="X41:AI41" si="39">SUM(X42+X43)</f>
        <v>2891364.8899999997</v>
      </c>
      <c r="Y41" s="9">
        <f t="shared" si="39"/>
        <v>3174719.63</v>
      </c>
      <c r="Z41" s="9">
        <f t="shared" si="39"/>
        <v>3436019.6799999997</v>
      </c>
      <c r="AA41" s="9">
        <f t="shared" si="39"/>
        <v>4102188.68</v>
      </c>
      <c r="AB41" s="9">
        <f t="shared" si="39"/>
        <v>7374555</v>
      </c>
      <c r="AC41" s="9">
        <f t="shared" si="39"/>
        <v>6242062</v>
      </c>
      <c r="AD41" s="9">
        <f t="shared" si="39"/>
        <v>1658968.5</v>
      </c>
      <c r="AE41" s="9">
        <f t="shared" si="39"/>
        <v>1658968.5</v>
      </c>
      <c r="AF41" s="9">
        <f t="shared" si="39"/>
        <v>1658968.5</v>
      </c>
      <c r="AG41" s="9">
        <f t="shared" si="39"/>
        <v>1658968.5</v>
      </c>
      <c r="AH41" s="9">
        <f t="shared" si="39"/>
        <v>1658968.5</v>
      </c>
      <c r="AI41" s="9">
        <f t="shared" si="39"/>
        <v>-198470.10000000009</v>
      </c>
    </row>
    <row r="42" spans="1:35" ht="14.25">
      <c r="A42" s="14">
        <v>13.1</v>
      </c>
      <c r="B42" s="8" t="s">
        <v>47</v>
      </c>
      <c r="C42" s="10"/>
      <c r="D42" s="130">
        <v>4163844</v>
      </c>
      <c r="E42" s="130">
        <v>4163844</v>
      </c>
      <c r="F42" s="130">
        <v>4163844</v>
      </c>
      <c r="G42" s="130">
        <v>4163.84</v>
      </c>
      <c r="H42" s="130">
        <v>6387461</v>
      </c>
      <c r="I42" s="130">
        <v>6387461</v>
      </c>
      <c r="J42" s="130">
        <v>1770357</v>
      </c>
      <c r="K42" s="130">
        <v>1770357</v>
      </c>
      <c r="L42" s="130">
        <v>1770357</v>
      </c>
      <c r="M42" s="130">
        <v>1770357</v>
      </c>
      <c r="N42" s="130">
        <v>1770357</v>
      </c>
      <c r="O42" s="137">
        <v>5742437</v>
      </c>
      <c r="P42" s="130">
        <v>1770357</v>
      </c>
      <c r="Q42" s="130">
        <v>1770357</v>
      </c>
      <c r="R42" s="130">
        <v>1770357</v>
      </c>
      <c r="S42" s="130">
        <v>1770357</v>
      </c>
      <c r="T42" s="130">
        <v>1770357</v>
      </c>
      <c r="U42" s="130">
        <v>1770357</v>
      </c>
      <c r="V42" s="130">
        <v>1770357</v>
      </c>
      <c r="W42" s="130">
        <v>1770357</v>
      </c>
      <c r="X42" s="143">
        <v>1770357</v>
      </c>
      <c r="Y42" s="143">
        <v>1770357</v>
      </c>
      <c r="Z42" s="156">
        <v>1770357</v>
      </c>
      <c r="AA42" s="159">
        <v>1770357</v>
      </c>
      <c r="AB42" s="165">
        <v>6532126</v>
      </c>
      <c r="AC42" s="165">
        <v>5869390</v>
      </c>
      <c r="AD42" s="143">
        <v>1770357</v>
      </c>
      <c r="AE42" s="156">
        <v>1770357</v>
      </c>
      <c r="AF42" s="156">
        <v>1770357</v>
      </c>
      <c r="AG42" s="143">
        <v>1770357</v>
      </c>
      <c r="AH42" s="143">
        <v>1770357</v>
      </c>
      <c r="AI42" s="143">
        <v>980098</v>
      </c>
    </row>
    <row r="43" spans="1:35" s="128" customFormat="1" ht="14.25">
      <c r="A43" s="125">
        <v>13.2</v>
      </c>
      <c r="B43" s="126" t="s">
        <v>48</v>
      </c>
      <c r="C43" s="137">
        <v>5742437</v>
      </c>
      <c r="D43" s="130">
        <v>62585</v>
      </c>
      <c r="E43" s="130">
        <v>309971</v>
      </c>
      <c r="F43" s="130">
        <v>498577</v>
      </c>
      <c r="G43" s="130">
        <v>600.79999999999995</v>
      </c>
      <c r="H43" s="130">
        <v>655395</v>
      </c>
      <c r="I43" s="130">
        <v>755395</v>
      </c>
      <c r="J43" s="130">
        <v>965060</v>
      </c>
      <c r="K43" s="130">
        <v>1247638.6100000001</v>
      </c>
      <c r="L43" s="130">
        <v>1582623.82</v>
      </c>
      <c r="M43" s="130">
        <v>1882431.83</v>
      </c>
      <c r="N43" s="130">
        <v>2036251.83</v>
      </c>
      <c r="O43" s="137">
        <f>6532126-O42</f>
        <v>789689</v>
      </c>
      <c r="P43" s="130">
        <v>30231.919999999998</v>
      </c>
      <c r="Q43" s="130">
        <v>188166.92</v>
      </c>
      <c r="R43" s="130">
        <v>368908.92</v>
      </c>
      <c r="S43" s="130">
        <v>488371.37</v>
      </c>
      <c r="T43" s="130">
        <v>624006.44999999995</v>
      </c>
      <c r="U43" s="130">
        <v>873234.49</v>
      </c>
      <c r="V43" s="130">
        <v>1167972.6599999999</v>
      </c>
      <c r="W43" s="130">
        <v>1396096.74</v>
      </c>
      <c r="X43" s="145">
        <v>1121007.8899999999</v>
      </c>
      <c r="Y43" s="145">
        <v>1404362.63</v>
      </c>
      <c r="Z43" s="158">
        <v>1665662.68</v>
      </c>
      <c r="AA43" s="159">
        <v>2331831.6800000002</v>
      </c>
      <c r="AB43" s="165">
        <f>1098490+299852+244821-170734-80000-550000</f>
        <v>842429</v>
      </c>
      <c r="AC43" s="165">
        <f>6242062-AC42</f>
        <v>372672</v>
      </c>
      <c r="AD43" s="145">
        <v>-111388.5</v>
      </c>
      <c r="AE43" s="158">
        <v>-111388.5</v>
      </c>
      <c r="AF43" s="158">
        <v>-111388.5</v>
      </c>
      <c r="AG43" s="145">
        <v>-111388.5</v>
      </c>
      <c r="AH43" s="145">
        <v>-111388.5</v>
      </c>
      <c r="AI43" s="145">
        <v>-1178568.1000000001</v>
      </c>
    </row>
    <row r="44" spans="1:35" ht="15">
      <c r="A44" s="14">
        <v>14</v>
      </c>
      <c r="B44" s="12" t="s">
        <v>49</v>
      </c>
      <c r="C44" s="17">
        <f t="shared" ref="C44:O44" si="40">SUM(C45:C49)</f>
        <v>4055654</v>
      </c>
      <c r="D44" s="17">
        <f t="shared" si="40"/>
        <v>2576617</v>
      </c>
      <c r="E44" s="17">
        <f t="shared" si="40"/>
        <v>2576617</v>
      </c>
      <c r="F44" s="17">
        <f t="shared" si="40"/>
        <v>2576617</v>
      </c>
      <c r="G44" s="17">
        <f t="shared" si="40"/>
        <v>2576.62</v>
      </c>
      <c r="H44" s="17">
        <f t="shared" si="40"/>
        <v>3050379</v>
      </c>
      <c r="I44" s="17">
        <f t="shared" si="40"/>
        <v>3050379</v>
      </c>
      <c r="J44" s="17">
        <f t="shared" si="40"/>
        <v>2697379</v>
      </c>
      <c r="K44" s="17">
        <f t="shared" si="40"/>
        <v>2697379</v>
      </c>
      <c r="L44" s="17">
        <f t="shared" si="40"/>
        <v>2697379</v>
      </c>
      <c r="M44" s="17">
        <f t="shared" si="40"/>
        <v>2697379</v>
      </c>
      <c r="N44" s="17">
        <f t="shared" si="40"/>
        <v>2697379</v>
      </c>
      <c r="O44" s="17">
        <f t="shared" si="40"/>
        <v>4623753</v>
      </c>
      <c r="P44" s="17">
        <f t="shared" ref="P44:W44" si="41">SUM(P45:P49)</f>
        <v>2697379</v>
      </c>
      <c r="Q44" s="17">
        <f t="shared" si="41"/>
        <v>2697379</v>
      </c>
      <c r="R44" s="17">
        <f t="shared" si="41"/>
        <v>4270753</v>
      </c>
      <c r="S44" s="17">
        <f t="shared" si="41"/>
        <v>4270753</v>
      </c>
      <c r="T44" s="17">
        <f t="shared" si="41"/>
        <v>2934091</v>
      </c>
      <c r="U44" s="17">
        <f t="shared" si="41"/>
        <v>2934091</v>
      </c>
      <c r="V44" s="17">
        <f t="shared" si="41"/>
        <v>2934091</v>
      </c>
      <c r="W44" s="17">
        <f t="shared" si="41"/>
        <v>2934091</v>
      </c>
      <c r="X44" s="17">
        <f t="shared" ref="X44:AB44" si="42">SUM(X45:X49)</f>
        <v>2934091</v>
      </c>
      <c r="Y44" s="17">
        <f t="shared" si="42"/>
        <v>2934091</v>
      </c>
      <c r="Z44" s="17">
        <f t="shared" si="42"/>
        <v>2934091</v>
      </c>
      <c r="AA44" s="17">
        <f t="shared" si="42"/>
        <v>2934091</v>
      </c>
      <c r="AB44" s="170">
        <f t="shared" si="42"/>
        <v>4007825</v>
      </c>
      <c r="AC44" s="170">
        <f t="shared" ref="AC44:AI44" si="43">SUM(AC45:AC49)</f>
        <v>3484384</v>
      </c>
      <c r="AD44" s="170">
        <f t="shared" si="43"/>
        <v>3000947</v>
      </c>
      <c r="AE44" s="170">
        <f t="shared" si="43"/>
        <v>3000947</v>
      </c>
      <c r="AF44" s="170">
        <f t="shared" si="43"/>
        <v>3000947</v>
      </c>
      <c r="AG44" s="170">
        <f t="shared" si="43"/>
        <v>3000947</v>
      </c>
      <c r="AH44" s="170">
        <f t="shared" si="43"/>
        <v>3000947</v>
      </c>
      <c r="AI44" s="170">
        <f t="shared" si="43"/>
        <v>478205</v>
      </c>
    </row>
    <row r="45" spans="1:35" s="128" customFormat="1" ht="14.25">
      <c r="A45" s="125"/>
      <c r="B45" s="126" t="s">
        <v>50</v>
      </c>
      <c r="C45" s="137">
        <v>2552633</v>
      </c>
      <c r="D45" s="130">
        <v>2223617</v>
      </c>
      <c r="E45" s="130">
        <v>2223617</v>
      </c>
      <c r="F45" s="130">
        <v>2223617</v>
      </c>
      <c r="G45" s="130">
        <v>2223.62</v>
      </c>
      <c r="H45" s="130">
        <v>2697379</v>
      </c>
      <c r="I45" s="130">
        <v>2697379</v>
      </c>
      <c r="J45" s="130">
        <v>2697379</v>
      </c>
      <c r="K45" s="130">
        <v>2697379</v>
      </c>
      <c r="L45" s="130">
        <v>2697379</v>
      </c>
      <c r="M45" s="130">
        <v>2697379</v>
      </c>
      <c r="N45" s="130">
        <v>2697379</v>
      </c>
      <c r="O45" s="137">
        <v>2934091</v>
      </c>
      <c r="P45" s="130">
        <v>2697379</v>
      </c>
      <c r="Q45" s="130">
        <v>2697379</v>
      </c>
      <c r="R45" s="130">
        <v>2934091</v>
      </c>
      <c r="S45" s="130">
        <v>2934091</v>
      </c>
      <c r="T45" s="130">
        <v>2934091</v>
      </c>
      <c r="U45" s="130">
        <v>2934091</v>
      </c>
      <c r="V45" s="130">
        <v>2934091</v>
      </c>
      <c r="W45" s="130">
        <v>2934091</v>
      </c>
      <c r="X45" s="143">
        <v>2934091</v>
      </c>
      <c r="Y45" s="143">
        <v>2934091</v>
      </c>
      <c r="Z45" s="156">
        <v>2934091</v>
      </c>
      <c r="AA45" s="159">
        <v>2934091</v>
      </c>
      <c r="AB45" s="165">
        <v>3104825</v>
      </c>
      <c r="AC45" s="165">
        <v>3404384</v>
      </c>
      <c r="AD45" s="143">
        <v>3000947</v>
      </c>
      <c r="AE45" s="156">
        <v>3000947</v>
      </c>
      <c r="AF45" s="156">
        <v>3000947</v>
      </c>
      <c r="AG45" s="143">
        <v>3000947</v>
      </c>
      <c r="AH45" s="143">
        <v>3000947</v>
      </c>
      <c r="AI45" s="143">
        <v>478205</v>
      </c>
    </row>
    <row r="46" spans="1:35" ht="14.25">
      <c r="A46" s="14"/>
      <c r="B46" s="8" t="s">
        <v>51</v>
      </c>
      <c r="C46" s="137">
        <v>353000</v>
      </c>
      <c r="D46" s="130">
        <v>353000</v>
      </c>
      <c r="E46" s="130">
        <v>353000</v>
      </c>
      <c r="F46" s="130">
        <v>353000</v>
      </c>
      <c r="G46" s="130">
        <v>353</v>
      </c>
      <c r="H46" s="130">
        <v>353000</v>
      </c>
      <c r="I46" s="130">
        <v>353000</v>
      </c>
      <c r="J46" s="130">
        <v>0</v>
      </c>
      <c r="K46" s="130">
        <v>0</v>
      </c>
      <c r="L46" s="130">
        <v>0</v>
      </c>
      <c r="M46" s="130">
        <v>0</v>
      </c>
      <c r="N46" s="130">
        <v>0</v>
      </c>
      <c r="O46" s="137">
        <v>353000</v>
      </c>
      <c r="P46" s="130">
        <v>0</v>
      </c>
      <c r="Q46" s="130">
        <v>0</v>
      </c>
      <c r="R46" s="130">
        <v>0</v>
      </c>
      <c r="S46" s="130">
        <v>0</v>
      </c>
      <c r="T46" s="130">
        <v>0</v>
      </c>
      <c r="U46" s="130">
        <v>0</v>
      </c>
      <c r="V46" s="130">
        <v>0</v>
      </c>
      <c r="W46" s="130">
        <v>0</v>
      </c>
      <c r="X46" s="144">
        <v>0</v>
      </c>
      <c r="Y46" s="144">
        <v>0</v>
      </c>
      <c r="Z46" s="157">
        <v>0</v>
      </c>
      <c r="AA46" s="160">
        <v>0</v>
      </c>
      <c r="AB46" s="165">
        <v>353000</v>
      </c>
      <c r="AC46" s="165"/>
      <c r="AD46" s="144">
        <v>0</v>
      </c>
      <c r="AE46" s="157">
        <v>0</v>
      </c>
      <c r="AF46" s="157">
        <v>0</v>
      </c>
      <c r="AG46" s="144">
        <v>0</v>
      </c>
      <c r="AH46" s="144">
        <v>0</v>
      </c>
      <c r="AI46" s="144">
        <v>0</v>
      </c>
    </row>
    <row r="47" spans="1:35" s="128" customFormat="1" ht="15">
      <c r="A47" s="125"/>
      <c r="B47" s="126" t="s">
        <v>52</v>
      </c>
      <c r="C47" s="127"/>
      <c r="D47" s="130">
        <v>0</v>
      </c>
      <c r="E47" s="130">
        <v>0</v>
      </c>
      <c r="F47" s="130">
        <v>0</v>
      </c>
      <c r="G47" s="130">
        <v>0</v>
      </c>
      <c r="H47" s="130">
        <v>0</v>
      </c>
      <c r="I47" s="130">
        <v>0</v>
      </c>
      <c r="J47" s="130">
        <v>0</v>
      </c>
      <c r="K47" s="130">
        <v>0</v>
      </c>
      <c r="L47" s="130">
        <v>0</v>
      </c>
      <c r="M47" s="130">
        <v>0</v>
      </c>
      <c r="N47" s="130">
        <v>0</v>
      </c>
      <c r="O47" s="137"/>
      <c r="P47" s="130">
        <v>0</v>
      </c>
      <c r="Q47" s="130">
        <v>0</v>
      </c>
      <c r="R47" s="130">
        <v>0</v>
      </c>
      <c r="S47" s="130">
        <v>0</v>
      </c>
      <c r="T47" s="130">
        <v>0</v>
      </c>
      <c r="U47" s="130">
        <v>0</v>
      </c>
      <c r="V47" s="130">
        <v>0</v>
      </c>
      <c r="W47" s="130">
        <v>0</v>
      </c>
      <c r="X47" s="144">
        <v>0</v>
      </c>
      <c r="Y47" s="144">
        <v>0</v>
      </c>
      <c r="Z47" s="157">
        <v>0</v>
      </c>
      <c r="AA47" s="160">
        <v>0</v>
      </c>
      <c r="AB47" s="165"/>
      <c r="AC47" s="165"/>
      <c r="AD47" s="144">
        <v>0</v>
      </c>
      <c r="AE47" s="157">
        <v>0</v>
      </c>
      <c r="AF47" s="157">
        <v>0</v>
      </c>
      <c r="AG47" s="144">
        <v>0</v>
      </c>
      <c r="AH47" s="144">
        <v>0</v>
      </c>
      <c r="AI47" s="144">
        <v>0</v>
      </c>
    </row>
    <row r="48" spans="1:35" s="128" customFormat="1" ht="14.25">
      <c r="A48" s="125"/>
      <c r="B48" s="126" t="s">
        <v>53</v>
      </c>
      <c r="C48" s="137">
        <v>1150021</v>
      </c>
      <c r="D48" s="131">
        <v>0</v>
      </c>
      <c r="E48" s="131">
        <v>0</v>
      </c>
      <c r="F48" s="131">
        <v>0</v>
      </c>
      <c r="G48" s="131">
        <v>0</v>
      </c>
      <c r="H48" s="131">
        <v>0</v>
      </c>
      <c r="I48" s="131">
        <v>0</v>
      </c>
      <c r="J48" s="131">
        <v>0</v>
      </c>
      <c r="K48" s="131">
        <v>0</v>
      </c>
      <c r="L48" s="131">
        <v>0</v>
      </c>
      <c r="M48" s="131">
        <v>0</v>
      </c>
      <c r="N48" s="131">
        <v>0</v>
      </c>
      <c r="O48" s="137">
        <v>1336662</v>
      </c>
      <c r="P48" s="131">
        <v>0</v>
      </c>
      <c r="Q48" s="131">
        <v>0</v>
      </c>
      <c r="R48" s="131">
        <v>1336662</v>
      </c>
      <c r="S48" s="131">
        <v>1336662</v>
      </c>
      <c r="T48" s="131">
        <v>0</v>
      </c>
      <c r="U48" s="131">
        <v>0</v>
      </c>
      <c r="V48" s="131">
        <v>0</v>
      </c>
      <c r="W48" s="131">
        <v>0</v>
      </c>
      <c r="X48" s="144">
        <v>0</v>
      </c>
      <c r="Y48" s="144">
        <v>0</v>
      </c>
      <c r="Z48" s="157">
        <v>0</v>
      </c>
      <c r="AA48" s="160">
        <v>0</v>
      </c>
      <c r="AB48" s="165">
        <v>550000</v>
      </c>
      <c r="AC48" s="165">
        <v>80000</v>
      </c>
      <c r="AD48" s="144">
        <v>0</v>
      </c>
      <c r="AE48" s="157">
        <v>0</v>
      </c>
      <c r="AF48" s="157">
        <v>0</v>
      </c>
      <c r="AG48" s="144">
        <v>0</v>
      </c>
      <c r="AH48" s="144">
        <v>0</v>
      </c>
      <c r="AI48" s="144">
        <v>0</v>
      </c>
    </row>
    <row r="49" spans="1:35" ht="15">
      <c r="A49" s="14"/>
      <c r="B49" s="8" t="s">
        <v>54</v>
      </c>
      <c r="C49" s="18"/>
      <c r="D49" s="131">
        <v>0</v>
      </c>
      <c r="E49" s="131">
        <v>0</v>
      </c>
      <c r="F49" s="131">
        <v>0</v>
      </c>
      <c r="G49" s="131">
        <v>0</v>
      </c>
      <c r="H49" s="131">
        <v>0</v>
      </c>
      <c r="I49" s="131">
        <v>0</v>
      </c>
      <c r="J49" s="131">
        <v>0</v>
      </c>
      <c r="K49" s="131">
        <v>0</v>
      </c>
      <c r="L49" s="131">
        <v>0</v>
      </c>
      <c r="M49" s="131">
        <v>0</v>
      </c>
      <c r="N49" s="131">
        <v>0</v>
      </c>
      <c r="O49" s="137"/>
      <c r="P49" s="131">
        <v>0</v>
      </c>
      <c r="Q49" s="131">
        <v>0</v>
      </c>
      <c r="R49" s="131">
        <v>0</v>
      </c>
      <c r="S49" s="131">
        <v>0</v>
      </c>
      <c r="T49" s="131">
        <v>0</v>
      </c>
      <c r="U49" s="131">
        <v>0</v>
      </c>
      <c r="V49" s="131">
        <v>0</v>
      </c>
      <c r="W49" s="131">
        <v>0</v>
      </c>
      <c r="X49" s="144">
        <v>0</v>
      </c>
      <c r="Y49" s="144">
        <v>0</v>
      </c>
      <c r="Z49" s="157">
        <v>0</v>
      </c>
      <c r="AA49" s="160">
        <v>0</v>
      </c>
      <c r="AB49" s="165"/>
      <c r="AC49" s="165"/>
      <c r="AD49" s="144">
        <v>0</v>
      </c>
      <c r="AE49" s="157">
        <v>0</v>
      </c>
      <c r="AF49" s="157">
        <v>0</v>
      </c>
      <c r="AG49" s="144">
        <v>0</v>
      </c>
      <c r="AH49" s="144">
        <v>0</v>
      </c>
      <c r="AI49" s="144">
        <v>0</v>
      </c>
    </row>
    <row r="50" spans="1:35" ht="15">
      <c r="A50" s="14"/>
      <c r="B50" s="12" t="s">
        <v>55</v>
      </c>
      <c r="C50" s="9">
        <f t="shared" ref="C50" si="44">SUM(C39+C40+C41+C44)</f>
        <v>21784320</v>
      </c>
      <c r="D50" s="9">
        <f t="shared" ref="D50:O50" si="45">SUM(D39+D40+D41+D44)</f>
        <v>18706275</v>
      </c>
      <c r="E50" s="9">
        <f t="shared" si="45"/>
        <v>18953661</v>
      </c>
      <c r="F50" s="9">
        <f t="shared" si="45"/>
        <v>19142267</v>
      </c>
      <c r="G50" s="9">
        <f t="shared" si="45"/>
        <v>19244.489999999998</v>
      </c>
      <c r="H50" s="9">
        <f t="shared" si="45"/>
        <v>21996464</v>
      </c>
      <c r="I50" s="9">
        <f t="shared" si="45"/>
        <v>22096464</v>
      </c>
      <c r="J50" s="9">
        <f t="shared" si="45"/>
        <v>17336025</v>
      </c>
      <c r="K50" s="9">
        <f t="shared" si="45"/>
        <v>17618603.609999999</v>
      </c>
      <c r="L50" s="9">
        <f t="shared" si="45"/>
        <v>17953588.82</v>
      </c>
      <c r="M50" s="9">
        <f t="shared" si="45"/>
        <v>18253396.829999998</v>
      </c>
      <c r="N50" s="9">
        <f t="shared" si="45"/>
        <v>18407216.829999998</v>
      </c>
      <c r="O50" s="9">
        <f t="shared" si="45"/>
        <v>23142108</v>
      </c>
      <c r="P50" s="9">
        <f t="shared" ref="P50:W50" si="46">SUM(P39+P40+P41+P44)</f>
        <v>16401196.92</v>
      </c>
      <c r="Q50" s="9">
        <f t="shared" si="46"/>
        <v>16559131.92</v>
      </c>
      <c r="R50" s="9">
        <f t="shared" si="46"/>
        <v>18749247.920000002</v>
      </c>
      <c r="S50" s="9">
        <f t="shared" si="46"/>
        <v>18868710.370000001</v>
      </c>
      <c r="T50" s="9">
        <f t="shared" si="46"/>
        <v>17667683.449999999</v>
      </c>
      <c r="U50" s="9">
        <f t="shared" si="46"/>
        <v>17916911.490000002</v>
      </c>
      <c r="V50" s="9">
        <f t="shared" si="46"/>
        <v>18211649.66</v>
      </c>
      <c r="W50" s="9">
        <f t="shared" si="46"/>
        <v>18639773.740000002</v>
      </c>
      <c r="X50" s="9">
        <f t="shared" ref="X50:AB50" si="47">SUM(X39+X40+X41+X44)</f>
        <v>18364684.890000001</v>
      </c>
      <c r="Y50" s="9">
        <f t="shared" si="47"/>
        <v>18698039.629999999</v>
      </c>
      <c r="Z50" s="9">
        <f t="shared" si="47"/>
        <v>18959339.68</v>
      </c>
      <c r="AA50" s="9">
        <f t="shared" si="47"/>
        <v>19625508.68</v>
      </c>
      <c r="AB50" s="164">
        <f t="shared" si="47"/>
        <v>23368609</v>
      </c>
      <c r="AC50" s="164">
        <f t="shared" ref="AC50:AI50" si="48">SUM(AC39+AC40+AC41+AC44)</f>
        <v>23404025</v>
      </c>
      <c r="AD50" s="164">
        <f t="shared" si="48"/>
        <v>18337493.5</v>
      </c>
      <c r="AE50" s="164">
        <f t="shared" si="48"/>
        <v>18339393.5</v>
      </c>
      <c r="AF50" s="164">
        <f t="shared" si="48"/>
        <v>18341393.5</v>
      </c>
      <c r="AG50" s="164">
        <f t="shared" si="48"/>
        <v>18341393.5</v>
      </c>
      <c r="AH50" s="164">
        <f t="shared" si="48"/>
        <v>18341393.5</v>
      </c>
      <c r="AI50" s="164">
        <f t="shared" si="48"/>
        <v>13961212.9</v>
      </c>
    </row>
    <row r="51" spans="1:35" ht="15">
      <c r="A51" s="14"/>
      <c r="B51" s="12" t="s">
        <v>56</v>
      </c>
      <c r="C51" s="9">
        <f t="shared" ref="C51" si="49">SUM(C38+C50)</f>
        <v>45621444</v>
      </c>
      <c r="D51" s="9">
        <f t="shared" ref="D51:O51" si="50">SUM(D38+D50)</f>
        <v>48908378.460000001</v>
      </c>
      <c r="E51" s="9">
        <f t="shared" si="50"/>
        <v>46362546.879999995</v>
      </c>
      <c r="F51" s="9">
        <f t="shared" si="50"/>
        <v>46457947.980000004</v>
      </c>
      <c r="G51" s="9">
        <f t="shared" si="50"/>
        <v>44304.9</v>
      </c>
      <c r="H51" s="9">
        <f t="shared" si="50"/>
        <v>47791609.650000006</v>
      </c>
      <c r="I51" s="9">
        <f t="shared" si="50"/>
        <v>46632288.650000006</v>
      </c>
      <c r="J51" s="9">
        <f t="shared" si="50"/>
        <v>41045077.350000001</v>
      </c>
      <c r="K51" s="9">
        <f t="shared" si="50"/>
        <v>41520439.289999999</v>
      </c>
      <c r="L51" s="9">
        <f t="shared" si="50"/>
        <v>42411821.5</v>
      </c>
      <c r="M51" s="9">
        <f t="shared" si="50"/>
        <v>42093373.18</v>
      </c>
      <c r="N51" s="9">
        <f t="shared" si="50"/>
        <v>42077193.82</v>
      </c>
      <c r="O51" s="9">
        <f t="shared" si="50"/>
        <v>49793829</v>
      </c>
      <c r="P51" s="9">
        <f t="shared" ref="P51:W51" si="51">SUM(P38+P50)</f>
        <v>40726073.910000004</v>
      </c>
      <c r="Q51" s="9">
        <f t="shared" si="51"/>
        <v>40317188.799999997</v>
      </c>
      <c r="R51" s="9">
        <f t="shared" si="51"/>
        <v>49848332.799999997</v>
      </c>
      <c r="S51" s="9">
        <f t="shared" si="51"/>
        <v>49792021.25</v>
      </c>
      <c r="T51" s="9">
        <f t="shared" si="51"/>
        <v>46490994.329999998</v>
      </c>
      <c r="U51" s="9">
        <f t="shared" si="51"/>
        <v>46040222.370000005</v>
      </c>
      <c r="V51" s="9">
        <f t="shared" si="51"/>
        <v>49492839.310000002</v>
      </c>
      <c r="W51" s="9">
        <f t="shared" si="51"/>
        <v>49120963.390000001</v>
      </c>
      <c r="X51" s="9">
        <f t="shared" ref="X51:AB51" si="52">SUM(X38+X50)</f>
        <v>48478695.769999996</v>
      </c>
      <c r="Y51" s="9">
        <f t="shared" si="52"/>
        <v>49722336.359999999</v>
      </c>
      <c r="Z51" s="9">
        <f t="shared" si="52"/>
        <v>49063410.409999996</v>
      </c>
      <c r="AA51" s="9">
        <f t="shared" si="52"/>
        <v>50136579.409999996</v>
      </c>
      <c r="AB51" s="164">
        <f t="shared" si="52"/>
        <v>57437319</v>
      </c>
      <c r="AC51" s="164">
        <f t="shared" ref="AC51:AI51" si="53">SUM(AC38+AC50)</f>
        <v>60276638</v>
      </c>
      <c r="AD51" s="164">
        <f t="shared" si="53"/>
        <v>49417493.5</v>
      </c>
      <c r="AE51" s="164">
        <f t="shared" si="53"/>
        <v>51584393.5</v>
      </c>
      <c r="AF51" s="164">
        <f t="shared" si="53"/>
        <v>50630896.109999999</v>
      </c>
      <c r="AG51" s="164">
        <f t="shared" si="53"/>
        <v>47604758.57</v>
      </c>
      <c r="AH51" s="164">
        <f t="shared" si="53"/>
        <v>47738111.670000002</v>
      </c>
      <c r="AI51" s="164">
        <f t="shared" si="53"/>
        <v>47562450.649999999</v>
      </c>
    </row>
    <row r="52" spans="1:35" s="128" customFormat="1">
      <c r="D52" s="124"/>
      <c r="E52" s="124"/>
      <c r="F52" s="124"/>
      <c r="G52" s="124"/>
      <c r="O52" s="129"/>
      <c r="P52" s="129"/>
      <c r="Q52" s="129"/>
      <c r="R52" s="129"/>
      <c r="S52" s="129"/>
      <c r="T52" s="129"/>
      <c r="U52" s="129"/>
      <c r="V52" s="129"/>
      <c r="W52" s="129"/>
      <c r="AB52" s="171"/>
    </row>
    <row r="53" spans="1:35">
      <c r="AA53" s="161">
        <f>AA51-AA26</f>
        <v>859.85999999940395</v>
      </c>
      <c r="AB53" s="161">
        <f t="shared" ref="AB53:AI53" si="54">AB51-AB26</f>
        <v>777084</v>
      </c>
      <c r="AC53" s="161">
        <f t="shared" si="54"/>
        <v>-302947</v>
      </c>
      <c r="AD53" s="161">
        <f t="shared" si="54"/>
        <v>-9.0000003576278687E-2</v>
      </c>
      <c r="AE53" s="161">
        <f t="shared" si="54"/>
        <v>0</v>
      </c>
      <c r="AF53" s="161">
        <f t="shared" si="54"/>
        <v>0</v>
      </c>
      <c r="AG53" s="161">
        <f t="shared" si="54"/>
        <v>0</v>
      </c>
      <c r="AH53" s="161">
        <f t="shared" si="54"/>
        <v>0</v>
      </c>
      <c r="AI53" s="161">
        <f t="shared" si="54"/>
        <v>0</v>
      </c>
    </row>
  </sheetData>
  <conditionalFormatting sqref="C5">
    <cfRule type="notContainsBlanks" dxfId="1" priority="2">
      <formula>LEN(TRIM(C5))&gt;0</formula>
    </cfRule>
  </conditionalFormatting>
  <conditionalFormatting sqref="C5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38"/>
  <sheetViews>
    <sheetView workbookViewId="0">
      <pane xSplit="2" topLeftCell="AE1" activePane="topRight" state="frozen"/>
      <selection pane="topRight" activeCell="AK10" sqref="AK10"/>
    </sheetView>
  </sheetViews>
  <sheetFormatPr defaultRowHeight="14.45"/>
  <cols>
    <col min="1" max="1" width="9" customWidth="1"/>
    <col min="2" max="2" width="51.5703125" customWidth="1"/>
    <col min="3" max="3" width="16.42578125" customWidth="1"/>
    <col min="4" max="4" width="14.140625" customWidth="1"/>
    <col min="5" max="12" width="15.28515625" customWidth="1"/>
    <col min="13" max="15" width="16.42578125" customWidth="1"/>
    <col min="16" max="16" width="16.42578125" bestFit="1" customWidth="1"/>
    <col min="17" max="23" width="15.28515625" bestFit="1" customWidth="1"/>
    <col min="24" max="24" width="19" customWidth="1"/>
    <col min="25" max="27" width="13.5703125" bestFit="1" customWidth="1"/>
    <col min="28" max="28" width="17.7109375" style="153" customWidth="1"/>
    <col min="29" max="29" width="16.7109375" customWidth="1"/>
    <col min="30" max="30" width="12.7109375" bestFit="1" customWidth="1"/>
    <col min="31" max="32" width="13.5703125" bestFit="1" customWidth="1"/>
    <col min="33" max="33" width="13.42578125" customWidth="1"/>
    <col min="34" max="34" width="14.5703125" customWidth="1"/>
    <col min="35" max="35" width="17.7109375" customWidth="1"/>
  </cols>
  <sheetData>
    <row r="1" spans="1:35">
      <c r="A1" s="19" t="s">
        <v>57</v>
      </c>
      <c r="B1" s="19"/>
      <c r="C1" s="3"/>
      <c r="D1" s="3"/>
      <c r="E1" s="3"/>
      <c r="F1" s="3"/>
      <c r="G1" s="3"/>
    </row>
    <row r="2" spans="1:35">
      <c r="A2" s="20" t="s">
        <v>58</v>
      </c>
      <c r="B2" s="21"/>
      <c r="C2" s="3"/>
      <c r="D2" s="3"/>
      <c r="E2" s="3"/>
      <c r="F2" s="3"/>
      <c r="G2" s="3"/>
    </row>
    <row r="3" spans="1:35" ht="15">
      <c r="A3" s="22" t="s">
        <v>2</v>
      </c>
      <c r="B3" s="22"/>
      <c r="C3" s="23" t="s">
        <v>3</v>
      </c>
      <c r="D3" s="24">
        <v>44216</v>
      </c>
      <c r="E3" s="24">
        <v>44247</v>
      </c>
      <c r="F3" s="24">
        <v>44275</v>
      </c>
      <c r="G3" s="24">
        <v>44306</v>
      </c>
      <c r="H3" s="24">
        <v>44336</v>
      </c>
      <c r="I3" s="24">
        <v>44367</v>
      </c>
      <c r="J3" s="24">
        <v>44428</v>
      </c>
      <c r="K3" s="24">
        <v>44459</v>
      </c>
      <c r="L3" s="24">
        <v>44489</v>
      </c>
      <c r="M3" s="24">
        <v>44520</v>
      </c>
      <c r="N3" s="24">
        <v>44550</v>
      </c>
      <c r="O3" s="24" t="s">
        <v>4</v>
      </c>
      <c r="P3" s="24">
        <v>44197</v>
      </c>
      <c r="Q3" s="24">
        <v>44229</v>
      </c>
      <c r="R3" s="24">
        <v>44258</v>
      </c>
      <c r="S3" s="24">
        <v>44290</v>
      </c>
      <c r="T3" s="24">
        <v>44321</v>
      </c>
      <c r="U3" s="24">
        <v>44353</v>
      </c>
      <c r="V3" s="24">
        <v>44384</v>
      </c>
      <c r="W3" s="24">
        <v>44416</v>
      </c>
      <c r="X3" s="24">
        <v>44448</v>
      </c>
      <c r="Y3" s="24">
        <v>44479</v>
      </c>
      <c r="Z3" s="24">
        <v>44511</v>
      </c>
      <c r="AA3" s="24">
        <v>44542</v>
      </c>
      <c r="AB3" s="162" t="s">
        <v>5</v>
      </c>
      <c r="AC3" s="162" t="s">
        <v>6</v>
      </c>
      <c r="AD3" s="173">
        <v>44927</v>
      </c>
      <c r="AE3" s="173">
        <v>44958</v>
      </c>
      <c r="AF3" s="173">
        <v>44986</v>
      </c>
      <c r="AG3" s="173">
        <v>45017</v>
      </c>
      <c r="AH3" s="173">
        <v>45047</v>
      </c>
      <c r="AI3" s="173">
        <v>45078</v>
      </c>
    </row>
    <row r="4" spans="1:35" ht="15">
      <c r="A4" s="25">
        <v>1</v>
      </c>
      <c r="B4" s="20" t="s">
        <v>59</v>
      </c>
      <c r="C4" s="26">
        <f t="shared" ref="C4:O4" si="0">C5+C8</f>
        <v>9358783</v>
      </c>
      <c r="D4" s="26">
        <f t="shared" si="0"/>
        <v>794544</v>
      </c>
      <c r="E4" s="26">
        <f t="shared" si="0"/>
        <v>1218213</v>
      </c>
      <c r="F4" s="26">
        <f t="shared" si="0"/>
        <v>1599578</v>
      </c>
      <c r="G4" s="26">
        <f t="shared" si="0"/>
        <v>1828.1399999999999</v>
      </c>
      <c r="H4" s="26">
        <f t="shared" si="0"/>
        <v>2095852</v>
      </c>
      <c r="I4" s="26">
        <f t="shared" si="0"/>
        <v>2508852</v>
      </c>
      <c r="J4" s="26">
        <f t="shared" si="0"/>
        <v>3060732</v>
      </c>
      <c r="K4" s="26">
        <f t="shared" si="0"/>
        <v>3347527</v>
      </c>
      <c r="L4" s="26">
        <f t="shared" si="0"/>
        <v>3935607</v>
      </c>
      <c r="M4" s="26">
        <f t="shared" si="0"/>
        <v>4454996</v>
      </c>
      <c r="N4" s="26">
        <f t="shared" si="0"/>
        <v>4825927</v>
      </c>
      <c r="O4" s="26">
        <f t="shared" si="0"/>
        <v>8326323</v>
      </c>
      <c r="P4" s="26">
        <f t="shared" ref="P4:U4" si="1">P5+P8</f>
        <v>556592</v>
      </c>
      <c r="Q4" s="26">
        <f t="shared" si="1"/>
        <v>1000167</v>
      </c>
      <c r="R4" s="26">
        <f t="shared" si="1"/>
        <v>1464409</v>
      </c>
      <c r="S4" s="26">
        <f t="shared" si="1"/>
        <v>1999939.89</v>
      </c>
      <c r="T4" s="26">
        <f t="shared" si="1"/>
        <v>2567011.6799999997</v>
      </c>
      <c r="U4" s="26">
        <f t="shared" si="1"/>
        <v>3067239.72</v>
      </c>
      <c r="V4" s="26">
        <f t="shared" ref="V4:W4" si="2">V5+V8</f>
        <v>3618148.54</v>
      </c>
      <c r="W4" s="26">
        <f t="shared" si="2"/>
        <v>4190060.27</v>
      </c>
      <c r="X4" s="26">
        <f t="shared" ref="X4:AB4" si="3">X5+X8</f>
        <v>4190632.07</v>
      </c>
      <c r="Y4" s="26">
        <f t="shared" si="3"/>
        <v>4749066.8699999992</v>
      </c>
      <c r="Z4" s="26">
        <f t="shared" si="3"/>
        <v>5338669.57</v>
      </c>
      <c r="AA4" s="26">
        <f t="shared" si="3"/>
        <v>5968025.5700000003</v>
      </c>
      <c r="AB4" s="26">
        <f t="shared" si="3"/>
        <v>9386418</v>
      </c>
      <c r="AC4" s="26">
        <f t="shared" ref="AC4:AI4" si="4">AC5+AC8</f>
        <v>10177438</v>
      </c>
      <c r="AD4" s="26">
        <f t="shared" si="4"/>
        <v>666154.29</v>
      </c>
      <c r="AE4" s="26">
        <f t="shared" si="4"/>
        <v>1396777.41</v>
      </c>
      <c r="AF4" s="26">
        <f t="shared" si="4"/>
        <v>2041712.74</v>
      </c>
      <c r="AG4" s="26">
        <f t="shared" si="4"/>
        <v>2847226.6799999997</v>
      </c>
      <c r="AH4" s="26">
        <f t="shared" si="4"/>
        <v>3423946.43</v>
      </c>
      <c r="AI4" s="26">
        <f t="shared" si="4"/>
        <v>4123779.0599999996</v>
      </c>
    </row>
    <row r="5" spans="1:35">
      <c r="A5" s="19">
        <v>2</v>
      </c>
      <c r="B5" s="20" t="s">
        <v>60</v>
      </c>
      <c r="C5" s="133">
        <f>SUM(C6:C7)</f>
        <v>8185722</v>
      </c>
      <c r="D5" s="133">
        <f>SUM(D6:D7)</f>
        <v>523021</v>
      </c>
      <c r="E5" s="133">
        <f t="shared" ref="E5:O5" si="5">SUM(E6:E7)</f>
        <v>845052</v>
      </c>
      <c r="F5" s="133">
        <f t="shared" si="5"/>
        <v>1142961</v>
      </c>
      <c r="G5" s="133">
        <f t="shared" si="5"/>
        <v>1371.53</v>
      </c>
      <c r="H5" s="133">
        <f t="shared" si="5"/>
        <v>1469179</v>
      </c>
      <c r="I5" s="133">
        <f t="shared" si="5"/>
        <v>1772179</v>
      </c>
      <c r="J5" s="133">
        <f t="shared" si="5"/>
        <v>2284074</v>
      </c>
      <c r="K5" s="133">
        <f t="shared" si="5"/>
        <v>2446774</v>
      </c>
      <c r="L5" s="133">
        <f t="shared" si="5"/>
        <v>2693674</v>
      </c>
      <c r="M5" s="133">
        <f t="shared" si="5"/>
        <v>3066463</v>
      </c>
      <c r="N5" s="133">
        <f t="shared" si="5"/>
        <v>3339443</v>
      </c>
      <c r="O5" s="133">
        <f t="shared" si="5"/>
        <v>7231812</v>
      </c>
      <c r="P5" s="133">
        <f>SUM(P6:P7)</f>
        <v>341702</v>
      </c>
      <c r="Q5" s="133">
        <f t="shared" ref="Q5:W5" si="6">SUM(Q6:Q7)</f>
        <v>783957</v>
      </c>
      <c r="R5" s="133">
        <f t="shared" si="6"/>
        <v>1154874</v>
      </c>
      <c r="S5" s="133">
        <f t="shared" si="6"/>
        <v>1501489.89</v>
      </c>
      <c r="T5" s="133">
        <f t="shared" si="6"/>
        <v>1980121.68</v>
      </c>
      <c r="U5" s="133">
        <f t="shared" si="6"/>
        <v>2394269.7200000002</v>
      </c>
      <c r="V5" s="133">
        <f t="shared" si="6"/>
        <v>2791647.54</v>
      </c>
      <c r="W5" s="133">
        <f t="shared" si="6"/>
        <v>3269678.27</v>
      </c>
      <c r="X5" s="133">
        <f t="shared" ref="X5:AB5" si="7">SUM(X6:X7)</f>
        <v>3270250.07</v>
      </c>
      <c r="Y5" s="133">
        <f t="shared" si="7"/>
        <v>3714142.3699999996</v>
      </c>
      <c r="Z5" s="133">
        <f t="shared" si="7"/>
        <v>4167655.07</v>
      </c>
      <c r="AA5" s="133">
        <f t="shared" si="7"/>
        <v>4561305.07</v>
      </c>
      <c r="AB5" s="133">
        <f t="shared" si="7"/>
        <v>7952026</v>
      </c>
      <c r="AC5" s="133">
        <f t="shared" ref="AC5:AI5" si="8">SUM(AC6:AC7)</f>
        <v>8958663</v>
      </c>
      <c r="AD5" s="133">
        <f t="shared" si="8"/>
        <v>527158.57000000007</v>
      </c>
      <c r="AE5" s="133">
        <f t="shared" si="8"/>
        <v>1085103.69</v>
      </c>
      <c r="AF5" s="133">
        <f t="shared" si="8"/>
        <v>1571749.22</v>
      </c>
      <c r="AG5" s="133">
        <f t="shared" si="8"/>
        <v>2193353.4</v>
      </c>
      <c r="AH5" s="133">
        <f t="shared" si="8"/>
        <v>2591451.2000000002</v>
      </c>
      <c r="AI5" s="133">
        <f t="shared" si="8"/>
        <v>3055241.0599999996</v>
      </c>
    </row>
    <row r="6" spans="1:35" ht="14.25">
      <c r="A6" s="25">
        <v>2.1</v>
      </c>
      <c r="B6" s="28" t="s">
        <v>61</v>
      </c>
      <c r="C6" s="137">
        <v>5708221</v>
      </c>
      <c r="D6" s="132">
        <v>495800</v>
      </c>
      <c r="E6" s="132">
        <v>805788</v>
      </c>
      <c r="F6" s="132">
        <v>1084733</v>
      </c>
      <c r="G6" s="132">
        <v>1294.73</v>
      </c>
      <c r="H6" s="132">
        <v>1391535</v>
      </c>
      <c r="I6" s="132">
        <v>1691535</v>
      </c>
      <c r="J6" s="132">
        <v>2171667</v>
      </c>
      <c r="K6" s="132">
        <v>2321667</v>
      </c>
      <c r="L6" s="132">
        <v>2561667</v>
      </c>
      <c r="M6" s="132">
        <v>2841667</v>
      </c>
      <c r="N6" s="132">
        <v>3081667</v>
      </c>
      <c r="O6" s="137">
        <v>4343844</v>
      </c>
      <c r="P6" s="132">
        <v>311643</v>
      </c>
      <c r="Q6" s="132">
        <v>691958</v>
      </c>
      <c r="R6" s="132">
        <v>1052954</v>
      </c>
      <c r="S6" s="132">
        <v>1373679.89</v>
      </c>
      <c r="T6" s="132">
        <v>1789343.68</v>
      </c>
      <c r="U6" s="132">
        <v>2174997.2200000002</v>
      </c>
      <c r="V6" s="132">
        <v>2544983.04</v>
      </c>
      <c r="W6" s="132">
        <v>2987009.77</v>
      </c>
      <c r="X6" s="147">
        <v>2987009.77</v>
      </c>
      <c r="Y6" s="147">
        <v>3398058.07</v>
      </c>
      <c r="Z6" s="150">
        <v>3819253.77</v>
      </c>
      <c r="AA6" s="150">
        <v>4154721.77</v>
      </c>
      <c r="AB6" s="153">
        <f>1813304+4154722</f>
        <v>5968026</v>
      </c>
      <c r="AC6" s="153">
        <f>2243600+4296386</f>
        <v>6539986</v>
      </c>
      <c r="AD6" s="147">
        <v>409253.57</v>
      </c>
      <c r="AE6" s="150">
        <v>847486.69</v>
      </c>
      <c r="AF6" s="150">
        <v>1230257.22</v>
      </c>
      <c r="AG6" s="147">
        <v>1702036.4</v>
      </c>
      <c r="AH6" s="147">
        <v>1857489.1</v>
      </c>
      <c r="AI6" s="147">
        <v>2239980.7799999998</v>
      </c>
    </row>
    <row r="7" spans="1:35" ht="14.25">
      <c r="A7" s="25">
        <v>2.2000000000000002</v>
      </c>
      <c r="B7" s="28" t="s">
        <v>62</v>
      </c>
      <c r="C7" s="137">
        <f>1778141+699360</f>
        <v>2477501</v>
      </c>
      <c r="D7" s="132">
        <v>27221</v>
      </c>
      <c r="E7" s="132">
        <v>39264</v>
      </c>
      <c r="F7" s="132">
        <v>58228</v>
      </c>
      <c r="G7" s="132">
        <v>76.8</v>
      </c>
      <c r="H7" s="132">
        <v>77644</v>
      </c>
      <c r="I7" s="132">
        <v>80644</v>
      </c>
      <c r="J7" s="132">
        <v>112407</v>
      </c>
      <c r="K7" s="132">
        <v>125107</v>
      </c>
      <c r="L7" s="132">
        <v>132007</v>
      </c>
      <c r="M7" s="132">
        <v>224796</v>
      </c>
      <c r="N7" s="132">
        <v>257776</v>
      </c>
      <c r="O7" s="137">
        <f>408484+2479484</f>
        <v>2887968</v>
      </c>
      <c r="P7" s="132">
        <v>30059</v>
      </c>
      <c r="Q7" s="132">
        <v>91999</v>
      </c>
      <c r="R7" s="132">
        <v>101920</v>
      </c>
      <c r="S7" s="132">
        <v>127810</v>
      </c>
      <c r="T7" s="132">
        <v>190778</v>
      </c>
      <c r="U7" s="132">
        <v>219272.5</v>
      </c>
      <c r="V7" s="132">
        <v>246664.5</v>
      </c>
      <c r="W7" s="132">
        <v>282668.5</v>
      </c>
      <c r="X7" s="149">
        <v>283240.3</v>
      </c>
      <c r="Y7" s="149">
        <v>316084.3</v>
      </c>
      <c r="Z7" s="151">
        <v>348401.3</v>
      </c>
      <c r="AA7" s="151">
        <v>406583.3</v>
      </c>
      <c r="AB7" s="153">
        <f>464602+1519398</f>
        <v>1984000</v>
      </c>
      <c r="AC7" s="153">
        <v>2418677</v>
      </c>
      <c r="AD7" s="149">
        <v>117905</v>
      </c>
      <c r="AE7" s="151">
        <v>237617</v>
      </c>
      <c r="AF7" s="151">
        <v>341492</v>
      </c>
      <c r="AG7" s="149">
        <v>491317</v>
      </c>
      <c r="AH7" s="149">
        <v>733962.1</v>
      </c>
      <c r="AI7" s="149">
        <v>815260.28</v>
      </c>
    </row>
    <row r="8" spans="1:35" ht="15">
      <c r="A8" s="25">
        <v>3</v>
      </c>
      <c r="B8" s="20" t="s">
        <v>63</v>
      </c>
      <c r="C8" s="31">
        <f t="shared" ref="C8:O8" si="9">C9+C10+C11+C12</f>
        <v>1173061</v>
      </c>
      <c r="D8" s="31">
        <f t="shared" si="9"/>
        <v>271523</v>
      </c>
      <c r="E8" s="31">
        <f t="shared" si="9"/>
        <v>373161</v>
      </c>
      <c r="F8" s="31">
        <f t="shared" si="9"/>
        <v>456617</v>
      </c>
      <c r="G8" s="31">
        <f t="shared" si="9"/>
        <v>456.60999999999996</v>
      </c>
      <c r="H8" s="31">
        <f t="shared" si="9"/>
        <v>626673</v>
      </c>
      <c r="I8" s="31">
        <f t="shared" si="9"/>
        <v>736673</v>
      </c>
      <c r="J8" s="31">
        <f t="shared" si="9"/>
        <v>776658</v>
      </c>
      <c r="K8" s="31">
        <f t="shared" si="9"/>
        <v>900753</v>
      </c>
      <c r="L8" s="31">
        <f t="shared" si="9"/>
        <v>1241933</v>
      </c>
      <c r="M8" s="31">
        <f t="shared" si="9"/>
        <v>1388533</v>
      </c>
      <c r="N8" s="31">
        <f t="shared" si="9"/>
        <v>1486484</v>
      </c>
      <c r="O8" s="31">
        <f t="shared" si="9"/>
        <v>1094511</v>
      </c>
      <c r="P8" s="31">
        <f t="shared" ref="P8:U8" si="10">P9+P10+P11+P12</f>
        <v>214890</v>
      </c>
      <c r="Q8" s="31">
        <f t="shared" si="10"/>
        <v>216210</v>
      </c>
      <c r="R8" s="31">
        <f t="shared" si="10"/>
        <v>309535</v>
      </c>
      <c r="S8" s="31">
        <f t="shared" si="10"/>
        <v>498450</v>
      </c>
      <c r="T8" s="31">
        <f t="shared" si="10"/>
        <v>586890</v>
      </c>
      <c r="U8" s="31">
        <f t="shared" si="10"/>
        <v>672970</v>
      </c>
      <c r="V8" s="31">
        <f t="shared" ref="V8:W8" si="11">V9+V10+V11+V12</f>
        <v>826501</v>
      </c>
      <c r="W8" s="31">
        <f t="shared" si="11"/>
        <v>920382</v>
      </c>
      <c r="X8" s="31">
        <f t="shared" ref="X8:AB8" si="12">X9+X10+X11+X12</f>
        <v>920382</v>
      </c>
      <c r="Y8" s="31">
        <f t="shared" si="12"/>
        <v>1034924.5</v>
      </c>
      <c r="Z8" s="31">
        <f t="shared" si="12"/>
        <v>1171014.5</v>
      </c>
      <c r="AA8" s="31">
        <f t="shared" si="12"/>
        <v>1406720.5</v>
      </c>
      <c r="AB8" s="31">
        <f t="shared" si="12"/>
        <v>1434392</v>
      </c>
      <c r="AC8" s="31">
        <f t="shared" ref="AC8:AI8" si="13">AC9+AC10+AC11+AC12</f>
        <v>1218775</v>
      </c>
      <c r="AD8" s="31">
        <f t="shared" si="13"/>
        <v>138995.72</v>
      </c>
      <c r="AE8" s="31">
        <f t="shared" si="13"/>
        <v>311673.71999999997</v>
      </c>
      <c r="AF8" s="31">
        <f t="shared" si="13"/>
        <v>469963.52000000002</v>
      </c>
      <c r="AG8" s="31">
        <f t="shared" si="13"/>
        <v>653873.28</v>
      </c>
      <c r="AH8" s="31">
        <f t="shared" si="13"/>
        <v>832495.23</v>
      </c>
      <c r="AI8" s="31">
        <f t="shared" si="13"/>
        <v>1068538</v>
      </c>
    </row>
    <row r="9" spans="1:35" ht="14.25">
      <c r="A9" s="25">
        <v>3.1</v>
      </c>
      <c r="B9" s="28" t="s">
        <v>64</v>
      </c>
      <c r="C9" s="29"/>
      <c r="D9" s="132">
        <v>0</v>
      </c>
      <c r="E9" s="132">
        <v>0</v>
      </c>
      <c r="F9" s="132">
        <v>0</v>
      </c>
      <c r="G9" s="132">
        <v>0</v>
      </c>
      <c r="H9" s="132">
        <v>0</v>
      </c>
      <c r="I9" s="132">
        <v>0</v>
      </c>
      <c r="J9" s="132">
        <v>0</v>
      </c>
      <c r="K9" s="132">
        <v>0</v>
      </c>
      <c r="L9" s="132">
        <v>0</v>
      </c>
      <c r="M9" s="132">
        <v>0</v>
      </c>
      <c r="N9" s="132">
        <v>0</v>
      </c>
      <c r="O9" s="27"/>
      <c r="P9" s="132">
        <v>0</v>
      </c>
      <c r="Q9" s="132">
        <v>0</v>
      </c>
      <c r="R9" s="132">
        <v>0</v>
      </c>
      <c r="S9" s="132">
        <v>0</v>
      </c>
      <c r="T9" s="132">
        <v>0</v>
      </c>
      <c r="U9" s="132">
        <v>0</v>
      </c>
      <c r="V9" s="132">
        <v>0</v>
      </c>
      <c r="W9" s="132">
        <v>0</v>
      </c>
      <c r="X9" s="146">
        <v>0</v>
      </c>
      <c r="AC9" s="153"/>
      <c r="AD9" s="146">
        <v>0</v>
      </c>
      <c r="AE9" s="174">
        <v>0</v>
      </c>
      <c r="AF9" s="174">
        <v>0</v>
      </c>
      <c r="AG9" s="146">
        <v>0</v>
      </c>
      <c r="AH9" s="146">
        <v>0</v>
      </c>
      <c r="AI9" s="146">
        <v>0</v>
      </c>
    </row>
    <row r="10" spans="1:35" ht="14.25">
      <c r="A10" s="25">
        <v>3.2</v>
      </c>
      <c r="B10" s="28" t="s">
        <v>65</v>
      </c>
      <c r="C10" s="29"/>
      <c r="D10" s="132">
        <v>0</v>
      </c>
      <c r="E10" s="132">
        <v>0</v>
      </c>
      <c r="F10" s="132">
        <v>0</v>
      </c>
      <c r="G10" s="132">
        <v>0</v>
      </c>
      <c r="H10" s="132">
        <v>0</v>
      </c>
      <c r="I10" s="132">
        <v>0</v>
      </c>
      <c r="J10" s="132">
        <v>0</v>
      </c>
      <c r="K10" s="132">
        <v>0</v>
      </c>
      <c r="L10" s="132">
        <v>0</v>
      </c>
      <c r="M10" s="132">
        <v>0</v>
      </c>
      <c r="N10" s="132">
        <v>0</v>
      </c>
      <c r="O10" s="27"/>
      <c r="P10" s="132">
        <v>0</v>
      </c>
      <c r="Q10" s="132">
        <v>0</v>
      </c>
      <c r="R10" s="132">
        <v>0</v>
      </c>
      <c r="S10" s="132">
        <v>0</v>
      </c>
      <c r="T10" s="132">
        <v>0</v>
      </c>
      <c r="U10" s="132">
        <v>0</v>
      </c>
      <c r="V10" s="132">
        <v>0</v>
      </c>
      <c r="W10" s="132">
        <v>0</v>
      </c>
      <c r="X10" s="148">
        <v>0</v>
      </c>
      <c r="AB10" s="153">
        <f>5126</f>
        <v>5126</v>
      </c>
      <c r="AC10" s="153">
        <v>0</v>
      </c>
      <c r="AD10" s="148">
        <v>0</v>
      </c>
      <c r="AE10" s="154">
        <v>0</v>
      </c>
      <c r="AF10" s="154">
        <v>0</v>
      </c>
      <c r="AG10" s="148">
        <v>0</v>
      </c>
      <c r="AH10" s="148">
        <v>0</v>
      </c>
      <c r="AI10" s="148">
        <v>0</v>
      </c>
    </row>
    <row r="11" spans="1:35" ht="14.25">
      <c r="A11" s="25">
        <v>3.3</v>
      </c>
      <c r="B11" s="28" t="s">
        <v>66</v>
      </c>
      <c r="C11" s="29"/>
      <c r="D11" s="132">
        <v>120773</v>
      </c>
      <c r="E11" s="132">
        <v>120773</v>
      </c>
      <c r="F11" s="132">
        <v>120773</v>
      </c>
      <c r="G11" s="132">
        <v>120.77</v>
      </c>
      <c r="H11" s="132">
        <v>120773</v>
      </c>
      <c r="I11" s="132">
        <v>120773</v>
      </c>
      <c r="J11" s="132">
        <v>120773</v>
      </c>
      <c r="K11" s="132">
        <v>120773</v>
      </c>
      <c r="L11" s="132">
        <v>120773</v>
      </c>
      <c r="M11" s="132">
        <v>120773</v>
      </c>
      <c r="N11" s="132">
        <v>120773</v>
      </c>
      <c r="O11" s="27"/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48">
        <v>0</v>
      </c>
      <c r="AA11" s="148"/>
      <c r="AC11" s="153">
        <v>6630</v>
      </c>
      <c r="AD11" s="148">
        <v>0</v>
      </c>
      <c r="AE11" s="154">
        <v>0</v>
      </c>
      <c r="AF11" s="154">
        <v>0</v>
      </c>
      <c r="AG11" s="148">
        <v>0</v>
      </c>
      <c r="AH11" s="148">
        <v>0</v>
      </c>
      <c r="AI11" s="148">
        <v>0</v>
      </c>
    </row>
    <row r="12" spans="1:35" ht="14.25">
      <c r="A12" s="25">
        <v>3.4</v>
      </c>
      <c r="B12" s="28" t="s">
        <v>67</v>
      </c>
      <c r="C12" s="137">
        <v>1173061</v>
      </c>
      <c r="D12" s="135">
        <v>150750</v>
      </c>
      <c r="E12" s="135">
        <v>252388</v>
      </c>
      <c r="F12" s="135">
        <v>335844</v>
      </c>
      <c r="G12" s="135">
        <v>335.84</v>
      </c>
      <c r="H12" s="135">
        <v>505900</v>
      </c>
      <c r="I12" s="135">
        <v>615900</v>
      </c>
      <c r="J12" s="135">
        <v>655885</v>
      </c>
      <c r="K12" s="135">
        <v>779980</v>
      </c>
      <c r="L12" s="135">
        <v>1121160</v>
      </c>
      <c r="M12" s="135">
        <v>1267760</v>
      </c>
      <c r="N12" s="135">
        <v>1365711</v>
      </c>
      <c r="O12" s="137">
        <v>1094511</v>
      </c>
      <c r="P12" s="135">
        <v>214890</v>
      </c>
      <c r="Q12" s="135">
        <v>216210</v>
      </c>
      <c r="R12" s="135">
        <v>309535</v>
      </c>
      <c r="S12" s="135">
        <v>498450</v>
      </c>
      <c r="T12" s="135">
        <v>586890</v>
      </c>
      <c r="U12" s="135">
        <v>672970</v>
      </c>
      <c r="V12" s="135">
        <v>826501</v>
      </c>
      <c r="W12" s="135">
        <v>920382</v>
      </c>
      <c r="X12" s="152">
        <v>920382</v>
      </c>
      <c r="Y12" s="153">
        <v>1034924.5</v>
      </c>
      <c r="Z12" s="153">
        <v>1171014.5</v>
      </c>
      <c r="AA12" s="152">
        <v>1406720.5</v>
      </c>
      <c r="AB12" s="153">
        <f>1429266</f>
        <v>1429266</v>
      </c>
      <c r="AC12" s="153">
        <v>1212145</v>
      </c>
      <c r="AD12" s="175">
        <v>138995.72</v>
      </c>
      <c r="AE12" s="176">
        <v>311673.71999999997</v>
      </c>
      <c r="AF12" s="176">
        <v>469963.52000000002</v>
      </c>
      <c r="AG12" s="175">
        <v>653873.28</v>
      </c>
      <c r="AH12" s="177">
        <v>832495.23</v>
      </c>
      <c r="AI12" s="177">
        <v>1068538</v>
      </c>
    </row>
    <row r="13" spans="1:35" ht="15">
      <c r="A13" s="25">
        <v>4</v>
      </c>
      <c r="B13" s="20" t="s">
        <v>68</v>
      </c>
      <c r="C13" s="31">
        <f t="shared" ref="C13:O13" si="14">C14+C15+C16+C17+C18+C19</f>
        <v>0</v>
      </c>
      <c r="D13" s="31">
        <f t="shared" si="14"/>
        <v>28800</v>
      </c>
      <c r="E13" s="31">
        <f t="shared" si="14"/>
        <v>52458</v>
      </c>
      <c r="F13" s="31">
        <f t="shared" si="14"/>
        <v>74791</v>
      </c>
      <c r="G13" s="31">
        <f t="shared" si="14"/>
        <v>93.03</v>
      </c>
      <c r="H13" s="31">
        <f t="shared" si="14"/>
        <v>110960</v>
      </c>
      <c r="I13" s="31">
        <f t="shared" si="14"/>
        <v>133152</v>
      </c>
      <c r="J13" s="31">
        <f t="shared" si="14"/>
        <v>161806.82999999999</v>
      </c>
      <c r="K13" s="31">
        <f t="shared" si="14"/>
        <v>172473.83</v>
      </c>
      <c r="L13" s="31">
        <f t="shared" si="14"/>
        <v>180711.83</v>
      </c>
      <c r="M13" s="31">
        <f t="shared" si="14"/>
        <v>180711.83</v>
      </c>
      <c r="N13" s="31">
        <f t="shared" si="14"/>
        <v>180711.83</v>
      </c>
      <c r="O13" s="31">
        <f t="shared" si="14"/>
        <v>425004</v>
      </c>
      <c r="P13" s="31">
        <f t="shared" ref="P13:U13" si="15">P14+P15+P16+P17+P18+P19</f>
        <v>0</v>
      </c>
      <c r="Q13" s="31">
        <f t="shared" si="15"/>
        <v>0</v>
      </c>
      <c r="R13" s="31">
        <f t="shared" si="15"/>
        <v>6000</v>
      </c>
      <c r="S13" s="31">
        <f t="shared" si="15"/>
        <v>6000</v>
      </c>
      <c r="T13" s="31">
        <f t="shared" si="15"/>
        <v>6000</v>
      </c>
      <c r="U13" s="31">
        <f t="shared" si="15"/>
        <v>6000</v>
      </c>
      <c r="V13" s="31">
        <f t="shared" ref="V13:W13" si="16">V14+V15+V16+V17+V18+V19</f>
        <v>6000</v>
      </c>
      <c r="W13" s="31">
        <f t="shared" si="16"/>
        <v>6000</v>
      </c>
      <c r="X13" s="31">
        <f t="shared" ref="X13:AB13" si="17">X14+X15+X16+X17+X18+X19</f>
        <v>6000</v>
      </c>
      <c r="Y13" s="31">
        <f t="shared" si="17"/>
        <v>6000</v>
      </c>
      <c r="Z13" s="31">
        <f t="shared" si="17"/>
        <v>6000</v>
      </c>
      <c r="AA13" s="31">
        <f t="shared" si="17"/>
        <v>6000</v>
      </c>
      <c r="AB13" s="31">
        <f t="shared" si="17"/>
        <v>468758</v>
      </c>
      <c r="AC13" s="31">
        <f t="shared" ref="AC13:AI13" si="18">AC14+AC15+AC16+AC17+AC18+AC19</f>
        <v>2400720</v>
      </c>
      <c r="AD13" s="31">
        <f t="shared" si="18"/>
        <v>0</v>
      </c>
      <c r="AE13" s="31">
        <f t="shared" si="18"/>
        <v>0</v>
      </c>
      <c r="AF13" s="31">
        <f t="shared" si="18"/>
        <v>0</v>
      </c>
      <c r="AG13" s="31">
        <f t="shared" si="18"/>
        <v>0</v>
      </c>
      <c r="AH13" s="31">
        <f t="shared" si="18"/>
        <v>1875997</v>
      </c>
      <c r="AI13" s="31">
        <f t="shared" si="18"/>
        <v>1879372</v>
      </c>
    </row>
    <row r="14" spans="1:35" ht="14.25">
      <c r="A14" s="25">
        <v>4.2</v>
      </c>
      <c r="B14" s="28" t="s">
        <v>69</v>
      </c>
      <c r="C14" s="29"/>
      <c r="D14" s="132">
        <v>0</v>
      </c>
      <c r="E14" s="132">
        <v>0</v>
      </c>
      <c r="F14" s="132">
        <v>0</v>
      </c>
      <c r="G14" s="132">
        <v>0</v>
      </c>
      <c r="H14" s="132">
        <v>0</v>
      </c>
      <c r="I14" s="132">
        <v>0</v>
      </c>
      <c r="J14" s="132">
        <v>0</v>
      </c>
      <c r="K14" s="132">
        <v>0</v>
      </c>
      <c r="L14" s="132">
        <v>0</v>
      </c>
      <c r="M14" s="132">
        <v>0</v>
      </c>
      <c r="N14" s="132">
        <v>0</v>
      </c>
      <c r="O14" s="137">
        <v>425004</v>
      </c>
      <c r="P14" s="132">
        <v>0</v>
      </c>
      <c r="Q14" s="132">
        <v>0</v>
      </c>
      <c r="R14" s="132">
        <v>6000</v>
      </c>
      <c r="S14" s="132">
        <v>6000</v>
      </c>
      <c r="T14" s="132">
        <v>6000</v>
      </c>
      <c r="U14" s="132">
        <v>6000</v>
      </c>
      <c r="V14" s="132">
        <v>6000</v>
      </c>
      <c r="W14" s="132">
        <v>6000</v>
      </c>
      <c r="X14" s="147">
        <v>6000</v>
      </c>
      <c r="Y14" s="147">
        <v>6000</v>
      </c>
      <c r="Z14" s="150">
        <v>6000</v>
      </c>
      <c r="AA14" s="150">
        <v>6000</v>
      </c>
      <c r="AB14" s="153">
        <v>468758</v>
      </c>
      <c r="AC14" s="153">
        <v>1841140</v>
      </c>
      <c r="AD14" s="146">
        <v>0</v>
      </c>
      <c r="AE14" s="174">
        <v>0</v>
      </c>
      <c r="AF14" s="174">
        <v>0</v>
      </c>
      <c r="AG14" s="146">
        <v>0</v>
      </c>
      <c r="AH14" s="147">
        <v>755364</v>
      </c>
      <c r="AI14" s="147">
        <v>755364</v>
      </c>
    </row>
    <row r="15" spans="1:35" ht="14.25">
      <c r="A15" s="25">
        <v>4.3</v>
      </c>
      <c r="B15" s="28" t="s">
        <v>70</v>
      </c>
      <c r="C15" s="29"/>
      <c r="D15" s="132">
        <v>28800</v>
      </c>
      <c r="E15" s="132">
        <v>52458</v>
      </c>
      <c r="F15" s="132">
        <v>74791</v>
      </c>
      <c r="G15" s="132">
        <v>93.03</v>
      </c>
      <c r="H15" s="132">
        <v>110960</v>
      </c>
      <c r="I15" s="132">
        <v>133152</v>
      </c>
      <c r="J15" s="132">
        <v>161806.82999999999</v>
      </c>
      <c r="K15" s="132">
        <v>172473.83</v>
      </c>
      <c r="L15" s="132">
        <v>180711.83</v>
      </c>
      <c r="M15" s="132">
        <v>180711.83</v>
      </c>
      <c r="N15" s="132">
        <v>180711.83</v>
      </c>
      <c r="O15" s="27"/>
      <c r="P15" s="132">
        <v>0</v>
      </c>
      <c r="Q15" s="132">
        <v>0</v>
      </c>
      <c r="R15" s="132">
        <v>0</v>
      </c>
      <c r="S15" s="132">
        <v>0</v>
      </c>
      <c r="T15" s="132">
        <v>0</v>
      </c>
      <c r="U15" s="132">
        <v>0</v>
      </c>
      <c r="V15" s="132">
        <v>0</v>
      </c>
      <c r="W15" s="132">
        <v>0</v>
      </c>
      <c r="X15" s="148">
        <v>0</v>
      </c>
      <c r="Y15" s="148">
        <v>0</v>
      </c>
      <c r="Z15" s="154">
        <v>0</v>
      </c>
      <c r="AA15" s="154">
        <v>0</v>
      </c>
      <c r="AC15" s="153"/>
      <c r="AD15" s="148">
        <v>0</v>
      </c>
      <c r="AE15" s="154">
        <v>0</v>
      </c>
      <c r="AF15" s="154">
        <v>0</v>
      </c>
      <c r="AG15" s="148">
        <v>0</v>
      </c>
      <c r="AH15" s="148">
        <v>0</v>
      </c>
      <c r="AI15" s="148">
        <v>0</v>
      </c>
    </row>
    <row r="16" spans="1:35" ht="14.25">
      <c r="A16" s="25">
        <v>4.4000000000000004</v>
      </c>
      <c r="B16" s="28" t="s">
        <v>71</v>
      </c>
      <c r="C16" s="29"/>
      <c r="D16" s="132">
        <v>0</v>
      </c>
      <c r="E16" s="132">
        <v>0</v>
      </c>
      <c r="F16" s="132">
        <v>0</v>
      </c>
      <c r="G16" s="132">
        <v>0</v>
      </c>
      <c r="H16" s="132">
        <v>0</v>
      </c>
      <c r="I16" s="132">
        <v>0</v>
      </c>
      <c r="J16" s="132">
        <v>0</v>
      </c>
      <c r="K16" s="132">
        <v>0</v>
      </c>
      <c r="L16" s="132">
        <v>0</v>
      </c>
      <c r="M16" s="132">
        <v>0</v>
      </c>
      <c r="N16" s="132">
        <v>0</v>
      </c>
      <c r="O16" s="27"/>
      <c r="P16" s="132">
        <v>0</v>
      </c>
      <c r="Q16" s="132">
        <v>0</v>
      </c>
      <c r="R16" s="132">
        <v>0</v>
      </c>
      <c r="S16" s="132">
        <v>0</v>
      </c>
      <c r="T16" s="132">
        <v>0</v>
      </c>
      <c r="U16" s="132">
        <v>0</v>
      </c>
      <c r="V16" s="132">
        <v>0</v>
      </c>
      <c r="W16" s="132">
        <v>0</v>
      </c>
      <c r="X16" s="148">
        <v>0</v>
      </c>
      <c r="Y16" s="148">
        <v>0</v>
      </c>
      <c r="Z16" s="154">
        <v>0</v>
      </c>
      <c r="AA16" s="154">
        <v>0</v>
      </c>
      <c r="AC16" s="153"/>
      <c r="AD16" s="148">
        <v>0</v>
      </c>
      <c r="AE16" s="154">
        <v>0</v>
      </c>
      <c r="AF16" s="154">
        <v>0</v>
      </c>
      <c r="AG16" s="148">
        <v>0</v>
      </c>
      <c r="AH16" s="149">
        <v>1120633</v>
      </c>
      <c r="AI16" s="149">
        <v>1120633</v>
      </c>
    </row>
    <row r="17" spans="1:35" ht="14.25">
      <c r="A17" s="25">
        <v>4.5</v>
      </c>
      <c r="B17" s="28" t="s">
        <v>72</v>
      </c>
      <c r="C17" s="29"/>
      <c r="D17" s="132">
        <v>0</v>
      </c>
      <c r="E17" s="132">
        <v>0</v>
      </c>
      <c r="F17" s="132">
        <v>0</v>
      </c>
      <c r="G17" s="132">
        <v>0</v>
      </c>
      <c r="H17" s="132">
        <v>0</v>
      </c>
      <c r="I17" s="132">
        <v>0</v>
      </c>
      <c r="J17" s="132">
        <v>0</v>
      </c>
      <c r="K17" s="132">
        <v>0</v>
      </c>
      <c r="L17" s="132">
        <v>0</v>
      </c>
      <c r="M17" s="132">
        <v>0</v>
      </c>
      <c r="N17" s="132">
        <v>0</v>
      </c>
      <c r="O17" s="123"/>
      <c r="P17" s="132">
        <v>0</v>
      </c>
      <c r="Q17" s="132">
        <v>0</v>
      </c>
      <c r="R17" s="132">
        <v>0</v>
      </c>
      <c r="S17" s="132">
        <v>0</v>
      </c>
      <c r="T17" s="132">
        <v>0</v>
      </c>
      <c r="U17" s="132">
        <v>0</v>
      </c>
      <c r="V17" s="132">
        <v>0</v>
      </c>
      <c r="W17" s="132">
        <v>0</v>
      </c>
      <c r="X17" s="148">
        <v>0</v>
      </c>
      <c r="Y17" s="148">
        <v>0</v>
      </c>
      <c r="Z17" s="154">
        <v>0</v>
      </c>
      <c r="AA17" s="154">
        <v>0</v>
      </c>
      <c r="AC17" s="153">
        <v>0</v>
      </c>
      <c r="AD17" s="148">
        <v>0</v>
      </c>
      <c r="AE17" s="154">
        <v>0</v>
      </c>
      <c r="AF17" s="154">
        <v>0</v>
      </c>
      <c r="AG17" s="148">
        <v>0</v>
      </c>
      <c r="AH17" s="148">
        <v>0</v>
      </c>
      <c r="AI17" s="148">
        <v>0</v>
      </c>
    </row>
    <row r="18" spans="1:35" ht="14.25">
      <c r="A18" s="25">
        <v>4.5999999999999996</v>
      </c>
      <c r="B18" s="28" t="s">
        <v>73</v>
      </c>
      <c r="C18" s="29"/>
      <c r="D18" s="132">
        <v>0</v>
      </c>
      <c r="E18" s="132">
        <v>0</v>
      </c>
      <c r="F18" s="132">
        <v>0</v>
      </c>
      <c r="G18" s="132">
        <v>0</v>
      </c>
      <c r="H18" s="132">
        <v>0</v>
      </c>
      <c r="I18" s="132">
        <v>0</v>
      </c>
      <c r="J18" s="132">
        <v>0</v>
      </c>
      <c r="K18" s="132">
        <v>0</v>
      </c>
      <c r="L18" s="132">
        <v>0</v>
      </c>
      <c r="M18" s="132">
        <v>0</v>
      </c>
      <c r="N18" s="132">
        <v>0</v>
      </c>
      <c r="O18" s="27"/>
      <c r="P18" s="132">
        <v>0</v>
      </c>
      <c r="Q18" s="132">
        <v>0</v>
      </c>
      <c r="R18" s="132">
        <v>0</v>
      </c>
      <c r="S18" s="132">
        <v>0</v>
      </c>
      <c r="T18" s="132">
        <v>0</v>
      </c>
      <c r="U18" s="132">
        <v>0</v>
      </c>
      <c r="V18" s="132">
        <v>0</v>
      </c>
      <c r="W18" s="132">
        <v>0</v>
      </c>
      <c r="X18" s="148">
        <v>0</v>
      </c>
      <c r="Y18" s="148">
        <v>0</v>
      </c>
      <c r="Z18" s="154">
        <v>0</v>
      </c>
      <c r="AA18" s="154">
        <v>0</v>
      </c>
      <c r="AC18" s="153"/>
      <c r="AD18" s="148">
        <v>0</v>
      </c>
      <c r="AE18" s="154">
        <v>0</v>
      </c>
      <c r="AF18" s="154">
        <v>0</v>
      </c>
      <c r="AG18" s="148">
        <v>0</v>
      </c>
      <c r="AH18" s="148">
        <v>0</v>
      </c>
      <c r="AI18" s="149">
        <v>3375</v>
      </c>
    </row>
    <row r="19" spans="1:35" ht="14.25">
      <c r="A19" s="25">
        <v>4.7</v>
      </c>
      <c r="B19" s="28" t="s">
        <v>74</v>
      </c>
      <c r="C19" s="29"/>
      <c r="D19" s="132">
        <v>0</v>
      </c>
      <c r="E19" s="132">
        <v>0</v>
      </c>
      <c r="F19" s="132">
        <v>0</v>
      </c>
      <c r="G19" s="132">
        <v>0</v>
      </c>
      <c r="H19" s="132">
        <v>0</v>
      </c>
      <c r="I19" s="132">
        <v>0</v>
      </c>
      <c r="J19" s="132">
        <v>0</v>
      </c>
      <c r="K19" s="132">
        <v>0</v>
      </c>
      <c r="L19" s="132">
        <v>0</v>
      </c>
      <c r="M19" s="132">
        <v>0</v>
      </c>
      <c r="N19" s="132">
        <v>0</v>
      </c>
      <c r="O19" s="27"/>
      <c r="P19" s="132">
        <v>0</v>
      </c>
      <c r="Q19" s="132">
        <v>0</v>
      </c>
      <c r="R19" s="132">
        <v>0</v>
      </c>
      <c r="S19" s="132">
        <v>0</v>
      </c>
      <c r="T19" s="132">
        <v>0</v>
      </c>
      <c r="U19" s="132">
        <v>0</v>
      </c>
      <c r="V19" s="132">
        <v>0</v>
      </c>
      <c r="W19" s="132">
        <v>0</v>
      </c>
      <c r="X19" s="148">
        <v>0</v>
      </c>
      <c r="Y19" s="148">
        <v>0</v>
      </c>
      <c r="Z19" s="154">
        <v>0</v>
      </c>
      <c r="AA19" s="154">
        <v>0</v>
      </c>
      <c r="AC19" s="153">
        <v>559580</v>
      </c>
      <c r="AD19" s="148">
        <v>0</v>
      </c>
      <c r="AE19" s="154">
        <v>0</v>
      </c>
      <c r="AF19" s="154">
        <v>0</v>
      </c>
      <c r="AG19" s="148">
        <v>0</v>
      </c>
      <c r="AH19" s="148">
        <v>0</v>
      </c>
      <c r="AI19" s="148">
        <v>0</v>
      </c>
    </row>
    <row r="20" spans="1:35" ht="15">
      <c r="A20" s="25">
        <v>5</v>
      </c>
      <c r="B20" s="20" t="s">
        <v>75</v>
      </c>
      <c r="C20" s="31">
        <f t="shared" ref="C20" si="19">C4-C13</f>
        <v>9358783</v>
      </c>
      <c r="D20" s="31">
        <f t="shared" ref="D20:O20" si="20">D4-D13</f>
        <v>765744</v>
      </c>
      <c r="E20" s="31">
        <f t="shared" si="20"/>
        <v>1165755</v>
      </c>
      <c r="F20" s="31">
        <f t="shared" si="20"/>
        <v>1524787</v>
      </c>
      <c r="G20" s="31">
        <f t="shared" si="20"/>
        <v>1735.11</v>
      </c>
      <c r="H20" s="31">
        <f t="shared" si="20"/>
        <v>1984892</v>
      </c>
      <c r="I20" s="31">
        <f t="shared" si="20"/>
        <v>2375700</v>
      </c>
      <c r="J20" s="31">
        <f t="shared" si="20"/>
        <v>2898925.17</v>
      </c>
      <c r="K20" s="31">
        <f t="shared" si="20"/>
        <v>3175053.17</v>
      </c>
      <c r="L20" s="31">
        <f t="shared" si="20"/>
        <v>3754895.17</v>
      </c>
      <c r="M20" s="31">
        <f t="shared" si="20"/>
        <v>4274284.17</v>
      </c>
      <c r="N20" s="31">
        <f t="shared" si="20"/>
        <v>4645215.17</v>
      </c>
      <c r="O20" s="31">
        <f t="shared" si="20"/>
        <v>7901319</v>
      </c>
      <c r="P20" s="31">
        <f t="shared" ref="P20:U20" si="21">P4-P13</f>
        <v>556592</v>
      </c>
      <c r="Q20" s="31">
        <f t="shared" si="21"/>
        <v>1000167</v>
      </c>
      <c r="R20" s="31">
        <f t="shared" si="21"/>
        <v>1458409</v>
      </c>
      <c r="S20" s="31">
        <f t="shared" si="21"/>
        <v>1993939.89</v>
      </c>
      <c r="T20" s="31">
        <f t="shared" si="21"/>
        <v>2561011.6799999997</v>
      </c>
      <c r="U20" s="31">
        <f t="shared" si="21"/>
        <v>3061239.72</v>
      </c>
      <c r="V20" s="31">
        <f t="shared" ref="V20:W20" si="22">V4-V13</f>
        <v>3612148.54</v>
      </c>
      <c r="W20" s="31">
        <f t="shared" si="22"/>
        <v>4184060.27</v>
      </c>
      <c r="X20" s="31">
        <f t="shared" ref="X20:AB20" si="23">X4-X13</f>
        <v>4184632.07</v>
      </c>
      <c r="Y20" s="31">
        <f t="shared" si="23"/>
        <v>4743066.8699999992</v>
      </c>
      <c r="Z20" s="31">
        <f t="shared" si="23"/>
        <v>5332669.57</v>
      </c>
      <c r="AA20" s="31">
        <f t="shared" si="23"/>
        <v>5962025.5700000003</v>
      </c>
      <c r="AB20" s="31">
        <f t="shared" si="23"/>
        <v>8917660</v>
      </c>
      <c r="AC20" s="31">
        <f t="shared" ref="AC20:AI20" si="24">AC4-AC13</f>
        <v>7776718</v>
      </c>
      <c r="AD20" s="31">
        <f t="shared" si="24"/>
        <v>666154.29</v>
      </c>
      <c r="AE20" s="31">
        <f t="shared" si="24"/>
        <v>1396777.41</v>
      </c>
      <c r="AF20" s="31">
        <f t="shared" si="24"/>
        <v>2041712.74</v>
      </c>
      <c r="AG20" s="31">
        <f t="shared" si="24"/>
        <v>2847226.6799999997</v>
      </c>
      <c r="AH20" s="31">
        <f t="shared" si="24"/>
        <v>1547949.4300000002</v>
      </c>
      <c r="AI20" s="31">
        <f t="shared" si="24"/>
        <v>2244407.0599999996</v>
      </c>
    </row>
    <row r="21" spans="1:35" ht="15">
      <c r="A21" s="25">
        <v>6</v>
      </c>
      <c r="B21" s="20" t="s">
        <v>20</v>
      </c>
      <c r="C21" s="31">
        <f t="shared" ref="C21" si="25">C22-C23</f>
        <v>15867</v>
      </c>
      <c r="D21" s="31">
        <f t="shared" ref="D21:O21" si="26">D22-D23</f>
        <v>359793</v>
      </c>
      <c r="E21" s="31">
        <f t="shared" si="26"/>
        <v>345492</v>
      </c>
      <c r="F21" s="31">
        <f t="shared" si="26"/>
        <v>345492</v>
      </c>
      <c r="G21" s="31">
        <f t="shared" si="26"/>
        <v>341.2</v>
      </c>
      <c r="H21" s="31">
        <f t="shared" si="26"/>
        <v>339274</v>
      </c>
      <c r="I21" s="31">
        <f t="shared" si="26"/>
        <v>317557</v>
      </c>
      <c r="J21" s="31">
        <f t="shared" si="26"/>
        <v>306354.3</v>
      </c>
      <c r="K21" s="31">
        <f t="shared" si="26"/>
        <v>300405.59999999998</v>
      </c>
      <c r="L21" s="31">
        <f t="shared" si="26"/>
        <v>298751.40000000002</v>
      </c>
      <c r="M21" s="31">
        <f t="shared" si="26"/>
        <v>299821.3</v>
      </c>
      <c r="N21" s="31">
        <f t="shared" si="26"/>
        <v>299821.3</v>
      </c>
      <c r="O21" s="31">
        <f t="shared" si="26"/>
        <v>50806</v>
      </c>
      <c r="P21" s="31">
        <f t="shared" ref="P21:U21" si="27">P22-P23</f>
        <v>279421.09999999998</v>
      </c>
      <c r="Q21" s="31">
        <f t="shared" si="27"/>
        <v>281561.09999999998</v>
      </c>
      <c r="R21" s="31">
        <f t="shared" si="27"/>
        <v>281561.09999999998</v>
      </c>
      <c r="S21" s="31">
        <f t="shared" si="27"/>
        <v>373629.5</v>
      </c>
      <c r="T21" s="31">
        <f t="shared" si="27"/>
        <v>385072.2</v>
      </c>
      <c r="U21" s="31">
        <f t="shared" si="27"/>
        <v>385072.2</v>
      </c>
      <c r="V21" s="31">
        <f t="shared" ref="V21:W21" si="28">V22-V23</f>
        <v>385072.2</v>
      </c>
      <c r="W21" s="31">
        <f t="shared" si="28"/>
        <v>385072.2</v>
      </c>
      <c r="X21" s="31">
        <f t="shared" ref="X21:AB21" si="29">X22-X23</f>
        <v>385072.2</v>
      </c>
      <c r="Y21" s="31">
        <f t="shared" si="29"/>
        <v>384652.3</v>
      </c>
      <c r="Z21" s="31">
        <f t="shared" si="29"/>
        <v>384652.3</v>
      </c>
      <c r="AA21" s="31">
        <f t="shared" si="29"/>
        <v>384652.3</v>
      </c>
      <c r="AB21" s="31">
        <f t="shared" si="29"/>
        <v>274248</v>
      </c>
      <c r="AC21" s="31">
        <f t="shared" ref="AC21:AI21" si="30">AC22-AC23</f>
        <v>-288709</v>
      </c>
      <c r="AD21" s="31">
        <f t="shared" si="30"/>
        <v>461619.6</v>
      </c>
      <c r="AE21" s="31">
        <f t="shared" si="30"/>
        <v>469861.3</v>
      </c>
      <c r="AF21" s="31">
        <f t="shared" si="30"/>
        <v>469861.3</v>
      </c>
      <c r="AG21" s="31">
        <f t="shared" si="30"/>
        <v>438692.1</v>
      </c>
      <c r="AH21" s="31">
        <f t="shared" si="30"/>
        <v>432928.5</v>
      </c>
      <c r="AI21" s="31">
        <f t="shared" si="30"/>
        <v>424527.3</v>
      </c>
    </row>
    <row r="22" spans="1:35" ht="14.25">
      <c r="A22" s="25">
        <v>6.1</v>
      </c>
      <c r="B22" s="28" t="s">
        <v>76</v>
      </c>
      <c r="C22" s="137">
        <v>15867</v>
      </c>
      <c r="D22" s="132">
        <v>359793</v>
      </c>
      <c r="E22" s="132">
        <v>345492</v>
      </c>
      <c r="F22" s="132">
        <v>345492</v>
      </c>
      <c r="G22" s="132">
        <v>341.2</v>
      </c>
      <c r="H22" s="132">
        <v>339274</v>
      </c>
      <c r="I22" s="132">
        <v>317557</v>
      </c>
      <c r="J22" s="132">
        <v>306354.3</v>
      </c>
      <c r="K22" s="132">
        <v>300405.59999999998</v>
      </c>
      <c r="L22" s="132">
        <v>298751.40000000002</v>
      </c>
      <c r="M22" s="132">
        <v>299821.3</v>
      </c>
      <c r="N22" s="132">
        <v>299821.3</v>
      </c>
      <c r="O22" s="137">
        <v>50806</v>
      </c>
      <c r="P22" s="132">
        <v>279421.09999999998</v>
      </c>
      <c r="Q22" s="132">
        <v>281561.09999999998</v>
      </c>
      <c r="R22" s="132">
        <v>281561.09999999998</v>
      </c>
      <c r="S22" s="132">
        <v>373629.5</v>
      </c>
      <c r="T22" s="132">
        <v>385072.2</v>
      </c>
      <c r="U22" s="132">
        <v>385072.2</v>
      </c>
      <c r="V22" s="132">
        <v>385072.2</v>
      </c>
      <c r="W22" s="132">
        <v>385072.2</v>
      </c>
      <c r="X22" s="147">
        <v>385072.2</v>
      </c>
      <c r="Y22" s="147">
        <v>384652.3</v>
      </c>
      <c r="Z22" s="150">
        <v>384652.3</v>
      </c>
      <c r="AA22" s="150">
        <v>384652.3</v>
      </c>
      <c r="AB22" s="153">
        <v>274248</v>
      </c>
      <c r="AC22" s="153">
        <v>0</v>
      </c>
      <c r="AD22" s="147">
        <v>461619.6</v>
      </c>
      <c r="AE22" s="150">
        <v>469861.3</v>
      </c>
      <c r="AF22" s="150">
        <v>469861.3</v>
      </c>
      <c r="AG22" s="147">
        <v>438692.1</v>
      </c>
      <c r="AH22" s="147">
        <v>432928.5</v>
      </c>
      <c r="AI22" s="147">
        <v>424527.3</v>
      </c>
    </row>
    <row r="23" spans="1:35" ht="14.25">
      <c r="A23" s="25">
        <v>6.2</v>
      </c>
      <c r="B23" s="28" t="s">
        <v>77</v>
      </c>
      <c r="C23" s="138"/>
      <c r="D23" s="132">
        <v>0</v>
      </c>
      <c r="E23" s="132">
        <v>0</v>
      </c>
      <c r="F23" s="132">
        <v>0</v>
      </c>
      <c r="G23" s="132">
        <v>0</v>
      </c>
      <c r="H23" s="132">
        <v>0</v>
      </c>
      <c r="I23" s="132">
        <v>0</v>
      </c>
      <c r="J23" s="132">
        <v>0</v>
      </c>
      <c r="K23" s="132">
        <v>0</v>
      </c>
      <c r="L23" s="132">
        <v>0</v>
      </c>
      <c r="M23" s="132">
        <v>0</v>
      </c>
      <c r="N23" s="132">
        <v>0</v>
      </c>
      <c r="O23" s="27"/>
      <c r="P23" s="132">
        <v>0</v>
      </c>
      <c r="Q23" s="132">
        <v>0</v>
      </c>
      <c r="R23" s="132">
        <v>0</v>
      </c>
      <c r="S23" s="132">
        <v>0</v>
      </c>
      <c r="T23" s="132">
        <v>0</v>
      </c>
      <c r="U23" s="132">
        <v>0</v>
      </c>
      <c r="V23" s="132">
        <v>0</v>
      </c>
      <c r="W23" s="132">
        <v>0</v>
      </c>
      <c r="X23" s="148">
        <v>0</v>
      </c>
      <c r="Y23" s="148">
        <v>0</v>
      </c>
      <c r="Z23" s="154">
        <v>0</v>
      </c>
      <c r="AA23" s="154">
        <v>0</v>
      </c>
      <c r="AC23" s="153">
        <f>1205099-916390</f>
        <v>288709</v>
      </c>
      <c r="AD23" s="148">
        <v>0</v>
      </c>
      <c r="AE23" s="154">
        <v>0</v>
      </c>
      <c r="AF23" s="154">
        <v>0</v>
      </c>
      <c r="AG23" s="148">
        <v>0</v>
      </c>
      <c r="AH23" s="148">
        <v>0</v>
      </c>
      <c r="AI23" s="148">
        <v>0</v>
      </c>
    </row>
    <row r="24" spans="1:35" ht="15">
      <c r="A24" s="25">
        <v>7</v>
      </c>
      <c r="B24" s="20" t="s">
        <v>78</v>
      </c>
      <c r="C24" s="31">
        <f t="shared" ref="C24:O24" si="31">C25+C26+C27+C28+C29</f>
        <v>6458194</v>
      </c>
      <c r="D24" s="31">
        <f t="shared" si="31"/>
        <v>343366</v>
      </c>
      <c r="E24" s="31">
        <f t="shared" si="31"/>
        <v>510292</v>
      </c>
      <c r="F24" s="31">
        <f t="shared" si="31"/>
        <v>680718</v>
      </c>
      <c r="G24" s="31">
        <f t="shared" si="31"/>
        <v>788.8</v>
      </c>
      <c r="H24" s="31">
        <f t="shared" si="31"/>
        <v>897312</v>
      </c>
      <c r="I24" s="31">
        <f t="shared" si="31"/>
        <v>1049512</v>
      </c>
      <c r="J24" s="31">
        <f t="shared" si="31"/>
        <v>1408986</v>
      </c>
      <c r="K24" s="31">
        <f t="shared" si="31"/>
        <v>1627009</v>
      </c>
      <c r="L24" s="31">
        <f t="shared" si="31"/>
        <v>1873520</v>
      </c>
      <c r="M24" s="31">
        <f t="shared" si="31"/>
        <v>2092031</v>
      </c>
      <c r="N24" s="31">
        <f t="shared" si="31"/>
        <v>2309142</v>
      </c>
      <c r="O24" s="31">
        <f t="shared" si="31"/>
        <v>6423710</v>
      </c>
      <c r="P24" s="31">
        <f t="shared" ref="P24:U24" si="32">P25+P26+P27+P28+P29</f>
        <v>246939</v>
      </c>
      <c r="Q24" s="31">
        <f t="shared" si="32"/>
        <v>530439</v>
      </c>
      <c r="R24" s="31">
        <f t="shared" si="32"/>
        <v>807939</v>
      </c>
      <c r="S24" s="31">
        <f t="shared" si="32"/>
        <v>1131939</v>
      </c>
      <c r="T24" s="31">
        <f t="shared" si="32"/>
        <v>1551933</v>
      </c>
      <c r="U24" s="31">
        <f t="shared" si="32"/>
        <v>1802933</v>
      </c>
      <c r="V24" s="31">
        <f t="shared" ref="V24:W24" si="33">V25+V26+V27+V28+V29</f>
        <v>2059103.7</v>
      </c>
      <c r="W24" s="31">
        <f t="shared" si="33"/>
        <v>2402891.2999999998</v>
      </c>
      <c r="X24" s="31">
        <f t="shared" ref="X24:AB24" si="34">X25+X26+X27+X28+X29</f>
        <v>2678552</v>
      </c>
      <c r="Y24" s="31">
        <f t="shared" si="34"/>
        <v>2954052</v>
      </c>
      <c r="Z24" s="31">
        <f t="shared" si="34"/>
        <v>3282354.6</v>
      </c>
      <c r="AA24" s="31">
        <f t="shared" si="34"/>
        <v>3245541.6</v>
      </c>
      <c r="AB24" s="31">
        <f t="shared" si="34"/>
        <v>7544922</v>
      </c>
      <c r="AC24" s="31">
        <f t="shared" ref="AC24:AI24" si="35">AC25+AC26+AC27+AC28+AC29</f>
        <v>6649335</v>
      </c>
      <c r="AD24" s="31">
        <f t="shared" si="35"/>
        <v>311343</v>
      </c>
      <c r="AE24" s="31">
        <f t="shared" si="35"/>
        <v>295559</v>
      </c>
      <c r="AF24" s="31">
        <f t="shared" si="35"/>
        <v>313228</v>
      </c>
      <c r="AG24" s="31">
        <f t="shared" si="35"/>
        <v>1291751</v>
      </c>
      <c r="AH24" s="31">
        <f t="shared" si="35"/>
        <v>2351182.7000000002</v>
      </c>
      <c r="AI24" s="31">
        <f t="shared" si="35"/>
        <v>2990046.7</v>
      </c>
    </row>
    <row r="25" spans="1:35" ht="14.25">
      <c r="A25" s="25">
        <v>7.1</v>
      </c>
      <c r="B25" s="28" t="s">
        <v>79</v>
      </c>
      <c r="C25" s="137">
        <v>2547911</v>
      </c>
      <c r="D25" s="132">
        <v>164926</v>
      </c>
      <c r="E25" s="132">
        <v>329852</v>
      </c>
      <c r="F25" s="132">
        <v>476778</v>
      </c>
      <c r="G25" s="132">
        <v>578.9</v>
      </c>
      <c r="H25" s="132">
        <v>674752</v>
      </c>
      <c r="I25" s="132">
        <v>775952</v>
      </c>
      <c r="J25" s="132">
        <v>1102426</v>
      </c>
      <c r="K25" s="132">
        <v>1266949</v>
      </c>
      <c r="L25" s="132">
        <v>1452460</v>
      </c>
      <c r="M25" s="132">
        <v>1637971</v>
      </c>
      <c r="N25" s="132">
        <v>1823482</v>
      </c>
      <c r="O25" s="137">
        <v>2393386</v>
      </c>
      <c r="P25" s="132">
        <v>220439</v>
      </c>
      <c r="Q25" s="132">
        <v>475439</v>
      </c>
      <c r="R25" s="132">
        <v>730439</v>
      </c>
      <c r="S25" s="132">
        <v>985439</v>
      </c>
      <c r="T25" s="132">
        <v>1240439</v>
      </c>
      <c r="U25" s="132">
        <v>1471439</v>
      </c>
      <c r="V25" s="132">
        <v>1687609.7</v>
      </c>
      <c r="W25" s="132">
        <v>1903780.3</v>
      </c>
      <c r="X25" s="147">
        <v>2122201</v>
      </c>
      <c r="Y25" s="147">
        <v>2353201</v>
      </c>
      <c r="Z25" s="150">
        <v>2600791.6</v>
      </c>
      <c r="AA25" s="150">
        <v>2852791.6</v>
      </c>
      <c r="AB25" s="153">
        <v>3178894</v>
      </c>
      <c r="AC25" s="153">
        <f>2627254+2984776</f>
        <v>5612030</v>
      </c>
      <c r="AD25" s="147">
        <v>237000</v>
      </c>
      <c r="AE25" s="150">
        <v>263211</v>
      </c>
      <c r="AF25" s="150">
        <v>239020</v>
      </c>
      <c r="AG25" s="147">
        <v>1022703</v>
      </c>
      <c r="AH25" s="147">
        <v>1435828.7</v>
      </c>
      <c r="AI25" s="147">
        <v>1679188.7</v>
      </c>
    </row>
    <row r="26" spans="1:35" ht="14.25">
      <c r="A26" s="25">
        <v>7.2</v>
      </c>
      <c r="B26" s="28" t="s">
        <v>80</v>
      </c>
      <c r="C26" s="137">
        <v>86705</v>
      </c>
      <c r="D26" s="132">
        <v>25500</v>
      </c>
      <c r="E26" s="132">
        <v>25500</v>
      </c>
      <c r="F26" s="132">
        <v>45500</v>
      </c>
      <c r="G26" s="132">
        <v>45.5</v>
      </c>
      <c r="H26" s="132">
        <v>61000</v>
      </c>
      <c r="I26" s="132">
        <v>89000</v>
      </c>
      <c r="J26" s="132">
        <v>119000</v>
      </c>
      <c r="K26" s="132">
        <v>143000</v>
      </c>
      <c r="L26" s="132">
        <v>166000</v>
      </c>
      <c r="M26" s="132">
        <v>196000</v>
      </c>
      <c r="N26" s="132">
        <v>215600</v>
      </c>
      <c r="O26" s="137">
        <v>215600</v>
      </c>
      <c r="P26" s="132">
        <v>20000</v>
      </c>
      <c r="Q26" s="132">
        <v>45000</v>
      </c>
      <c r="R26" s="132">
        <v>61000</v>
      </c>
      <c r="S26" s="132">
        <v>124000</v>
      </c>
      <c r="T26" s="132">
        <v>139000</v>
      </c>
      <c r="U26" s="132">
        <v>159000</v>
      </c>
      <c r="V26" s="132">
        <v>174000</v>
      </c>
      <c r="W26" s="132">
        <v>199250</v>
      </c>
      <c r="X26" s="149">
        <v>215750</v>
      </c>
      <c r="Y26" s="149">
        <v>249250</v>
      </c>
      <c r="Z26" s="151">
        <v>270250</v>
      </c>
      <c r="AA26" s="151">
        <v>290250</v>
      </c>
      <c r="AB26" s="153">
        <f>321270</f>
        <v>321270</v>
      </c>
      <c r="AC26" s="153">
        <v>269017</v>
      </c>
      <c r="AD26" s="149">
        <v>24750</v>
      </c>
      <c r="AE26" s="154">
        <v>0</v>
      </c>
      <c r="AF26" s="154">
        <v>0</v>
      </c>
      <c r="AG26" s="148">
        <v>0</v>
      </c>
      <c r="AH26" s="149">
        <v>263350</v>
      </c>
      <c r="AI26" s="149">
        <v>333970</v>
      </c>
    </row>
    <row r="27" spans="1:35" ht="14.25">
      <c r="A27" s="25">
        <v>7.3</v>
      </c>
      <c r="B27" s="28" t="s">
        <v>81</v>
      </c>
      <c r="C27" s="137">
        <v>148426</v>
      </c>
      <c r="D27" s="132">
        <v>2100</v>
      </c>
      <c r="E27" s="132">
        <v>4100</v>
      </c>
      <c r="F27" s="132">
        <v>7600</v>
      </c>
      <c r="G27" s="132">
        <v>13.6</v>
      </c>
      <c r="H27" s="132">
        <v>10600</v>
      </c>
      <c r="I27" s="132">
        <v>13600</v>
      </c>
      <c r="J27" s="132">
        <v>16600</v>
      </c>
      <c r="K27" s="132">
        <v>19600</v>
      </c>
      <c r="L27" s="132">
        <v>22600</v>
      </c>
      <c r="M27" s="132">
        <v>25600</v>
      </c>
      <c r="N27" s="132">
        <v>25600</v>
      </c>
      <c r="O27" s="137">
        <v>61600</v>
      </c>
      <c r="P27" s="132">
        <v>3000</v>
      </c>
      <c r="Q27" s="132">
        <v>3000</v>
      </c>
      <c r="R27" s="132">
        <v>6000</v>
      </c>
      <c r="S27" s="132">
        <v>9000</v>
      </c>
      <c r="T27" s="132">
        <v>40600</v>
      </c>
      <c r="U27" s="132">
        <v>40600</v>
      </c>
      <c r="V27" s="132">
        <v>55600</v>
      </c>
      <c r="W27" s="132">
        <v>60600</v>
      </c>
      <c r="X27" s="149">
        <v>60600</v>
      </c>
      <c r="Y27" s="149">
        <v>60600</v>
      </c>
      <c r="Z27" s="151">
        <v>97500</v>
      </c>
      <c r="AA27" s="151">
        <v>102500</v>
      </c>
      <c r="AC27" s="153">
        <v>116000</v>
      </c>
      <c r="AD27" s="149">
        <v>4000</v>
      </c>
      <c r="AE27" s="151">
        <v>10000</v>
      </c>
      <c r="AF27" s="151">
        <v>13950</v>
      </c>
      <c r="AG27" s="149">
        <v>32500</v>
      </c>
      <c r="AH27" s="149">
        <v>50508</v>
      </c>
      <c r="AI27" s="149">
        <v>64558</v>
      </c>
    </row>
    <row r="28" spans="1:35" ht="14.25">
      <c r="A28" s="25">
        <v>7.4</v>
      </c>
      <c r="B28" s="28" t="s">
        <v>82</v>
      </c>
      <c r="C28" s="137">
        <v>665723</v>
      </c>
      <c r="D28" s="132">
        <v>0</v>
      </c>
      <c r="E28" s="132">
        <v>0</v>
      </c>
      <c r="F28" s="132">
        <v>0</v>
      </c>
      <c r="G28" s="132">
        <v>0</v>
      </c>
      <c r="H28" s="132">
        <v>0</v>
      </c>
      <c r="I28" s="132">
        <v>0</v>
      </c>
      <c r="J28" s="132">
        <v>0</v>
      </c>
      <c r="K28" s="132">
        <v>0</v>
      </c>
      <c r="L28" s="132">
        <v>0</v>
      </c>
      <c r="M28" s="132">
        <v>0</v>
      </c>
      <c r="N28" s="132">
        <v>0</v>
      </c>
      <c r="O28" s="137">
        <v>459812</v>
      </c>
      <c r="P28" s="132">
        <v>0</v>
      </c>
      <c r="Q28" s="132">
        <v>0</v>
      </c>
      <c r="R28" s="132">
        <v>0</v>
      </c>
      <c r="S28" s="132">
        <v>0</v>
      </c>
      <c r="T28" s="132">
        <v>0</v>
      </c>
      <c r="U28" s="132">
        <v>0</v>
      </c>
      <c r="V28" s="132">
        <v>0</v>
      </c>
      <c r="W28" s="132">
        <v>0</v>
      </c>
      <c r="X28" s="148">
        <v>0</v>
      </c>
      <c r="Y28" s="148">
        <v>0</v>
      </c>
      <c r="Z28" s="154">
        <v>0</v>
      </c>
      <c r="AA28" s="154">
        <v>0</v>
      </c>
      <c r="AB28" s="153">
        <f>1692350</f>
        <v>1692350</v>
      </c>
      <c r="AC28" s="153"/>
      <c r="AD28" s="148">
        <v>0</v>
      </c>
      <c r="AE28" s="154">
        <v>0</v>
      </c>
      <c r="AF28" s="154">
        <v>0</v>
      </c>
      <c r="AG28" s="148">
        <v>0</v>
      </c>
      <c r="AH28" s="148">
        <v>0</v>
      </c>
      <c r="AI28" s="148">
        <v>0</v>
      </c>
    </row>
    <row r="29" spans="1:35" ht="14.25">
      <c r="A29" s="25">
        <v>7.5</v>
      </c>
      <c r="B29" s="28" t="s">
        <v>83</v>
      </c>
      <c r="C29" s="137">
        <f>563035+3112117-665723</f>
        <v>3009429</v>
      </c>
      <c r="D29" s="132">
        <v>150840</v>
      </c>
      <c r="E29" s="132">
        <v>150840</v>
      </c>
      <c r="F29" s="132">
        <v>150840</v>
      </c>
      <c r="G29" s="132">
        <v>150.80000000000001</v>
      </c>
      <c r="H29" s="132">
        <v>150960</v>
      </c>
      <c r="I29" s="132">
        <v>170960</v>
      </c>
      <c r="J29" s="132">
        <v>170960</v>
      </c>
      <c r="K29" s="132">
        <v>197460</v>
      </c>
      <c r="L29" s="132">
        <v>232460</v>
      </c>
      <c r="M29" s="132">
        <v>232460</v>
      </c>
      <c r="N29" s="132">
        <v>244460</v>
      </c>
      <c r="O29" s="137">
        <f>3196540+96772</f>
        <v>3293312</v>
      </c>
      <c r="P29" s="132">
        <v>3500</v>
      </c>
      <c r="Q29" s="132">
        <v>7000</v>
      </c>
      <c r="R29" s="132">
        <v>10500</v>
      </c>
      <c r="S29" s="132">
        <v>13500</v>
      </c>
      <c r="T29" s="132">
        <v>131894</v>
      </c>
      <c r="U29" s="132">
        <v>131894</v>
      </c>
      <c r="V29" s="132">
        <v>141894</v>
      </c>
      <c r="W29" s="132">
        <v>239261</v>
      </c>
      <c r="X29" s="149">
        <v>280001</v>
      </c>
      <c r="Y29" s="149">
        <v>291001</v>
      </c>
      <c r="Z29" s="151">
        <v>313813</v>
      </c>
      <c r="AA29" s="154">
        <v>0</v>
      </c>
      <c r="AB29" s="153">
        <f>3619000-AB28+425758</f>
        <v>2352408</v>
      </c>
      <c r="AC29" s="153">
        <v>652288</v>
      </c>
      <c r="AD29" s="149">
        <v>45593</v>
      </c>
      <c r="AE29" s="151">
        <v>22348</v>
      </c>
      <c r="AF29" s="151">
        <v>60258</v>
      </c>
      <c r="AG29" s="149">
        <v>236548</v>
      </c>
      <c r="AH29" s="149">
        <v>601496</v>
      </c>
      <c r="AI29" s="149">
        <v>912330</v>
      </c>
    </row>
    <row r="30" spans="1:35" ht="15">
      <c r="A30" s="25">
        <v>8</v>
      </c>
      <c r="B30" s="20" t="s">
        <v>84</v>
      </c>
      <c r="C30" s="32">
        <f t="shared" ref="C30:O30" si="36">C20-C21-C24</f>
        <v>2884722</v>
      </c>
      <c r="D30" s="32">
        <f t="shared" si="36"/>
        <v>62585</v>
      </c>
      <c r="E30" s="32">
        <f t="shared" si="36"/>
        <v>309971</v>
      </c>
      <c r="F30" s="32">
        <f t="shared" si="36"/>
        <v>498577</v>
      </c>
      <c r="G30" s="32">
        <f t="shared" si="36"/>
        <v>605.1099999999999</v>
      </c>
      <c r="H30" s="32">
        <f t="shared" si="36"/>
        <v>748306</v>
      </c>
      <c r="I30" s="32">
        <f t="shared" si="36"/>
        <v>1008631</v>
      </c>
      <c r="J30" s="32">
        <f t="shared" si="36"/>
        <v>1183584.8700000001</v>
      </c>
      <c r="K30" s="32">
        <f t="shared" si="36"/>
        <v>1247638.5699999998</v>
      </c>
      <c r="L30" s="32">
        <f t="shared" si="36"/>
        <v>1582623.77</v>
      </c>
      <c r="M30" s="32">
        <f t="shared" si="36"/>
        <v>1882431.87</v>
      </c>
      <c r="N30" s="32">
        <f t="shared" si="36"/>
        <v>2036251.87</v>
      </c>
      <c r="O30" s="32">
        <f t="shared" si="36"/>
        <v>1426803</v>
      </c>
      <c r="P30" s="32">
        <f t="shared" ref="P30:U30" si="37">P20-P21-P24</f>
        <v>30231.900000000023</v>
      </c>
      <c r="Q30" s="32">
        <f t="shared" si="37"/>
        <v>188166.90000000002</v>
      </c>
      <c r="R30" s="32">
        <f t="shared" si="37"/>
        <v>368908.89999999991</v>
      </c>
      <c r="S30" s="32">
        <f t="shared" si="37"/>
        <v>488371.3899999999</v>
      </c>
      <c r="T30" s="32">
        <f t="shared" si="37"/>
        <v>624006.47999999952</v>
      </c>
      <c r="U30" s="32">
        <f t="shared" si="37"/>
        <v>873234.52</v>
      </c>
      <c r="V30" s="32">
        <f t="shared" ref="V30:W30" si="38">V20-V21-V24</f>
        <v>1167972.6399999999</v>
      </c>
      <c r="W30" s="32">
        <f t="shared" si="38"/>
        <v>1396096.77</v>
      </c>
      <c r="X30" s="32">
        <f t="shared" ref="X30:AC30" si="39">X20-X21-X24</f>
        <v>1121007.8699999996</v>
      </c>
      <c r="Y30" s="32">
        <f t="shared" si="39"/>
        <v>1404362.5699999994</v>
      </c>
      <c r="Z30" s="32">
        <f t="shared" si="39"/>
        <v>1665662.6700000004</v>
      </c>
      <c r="AA30" s="32">
        <f t="shared" si="39"/>
        <v>2331831.6700000004</v>
      </c>
      <c r="AB30" s="32">
        <f t="shared" si="39"/>
        <v>1098490</v>
      </c>
      <c r="AC30" s="32">
        <f t="shared" ref="AC30:AI30" si="40">AC20-AC21-AC24</f>
        <v>1416092</v>
      </c>
      <c r="AD30" s="32">
        <f t="shared" si="40"/>
        <v>-106808.30999999994</v>
      </c>
      <c r="AE30" s="32">
        <f t="shared" si="40"/>
        <v>631357.10999999987</v>
      </c>
      <c r="AF30" s="32">
        <f t="shared" si="40"/>
        <v>1258623.44</v>
      </c>
      <c r="AG30" s="32">
        <f t="shared" si="40"/>
        <v>1116783.5799999996</v>
      </c>
      <c r="AH30" s="32">
        <f t="shared" si="40"/>
        <v>-1236161.77</v>
      </c>
      <c r="AI30" s="32">
        <f t="shared" si="40"/>
        <v>-1170166.9400000006</v>
      </c>
    </row>
    <row r="31" spans="1:35" s="139" customFormat="1" ht="15">
      <c r="A31" s="140">
        <v>9</v>
      </c>
      <c r="B31" s="141" t="s">
        <v>85</v>
      </c>
      <c r="C31" s="134">
        <f>C32-C33</f>
        <v>0</v>
      </c>
      <c r="D31" s="134">
        <f t="shared" ref="D31:H31" si="41">D32-D33</f>
        <v>0</v>
      </c>
      <c r="E31" s="134">
        <f t="shared" si="41"/>
        <v>0</v>
      </c>
      <c r="F31" s="134">
        <f t="shared" si="41"/>
        <v>0</v>
      </c>
      <c r="G31" s="134">
        <f t="shared" si="41"/>
        <v>0</v>
      </c>
      <c r="H31" s="134">
        <f t="shared" si="41"/>
        <v>0</v>
      </c>
      <c r="I31" s="134">
        <f t="shared" ref="I31" si="42">I32-I33</f>
        <v>0</v>
      </c>
      <c r="J31" s="134">
        <f t="shared" ref="J31" si="43">J32-J33</f>
        <v>0</v>
      </c>
      <c r="K31" s="134">
        <f t="shared" ref="K31" si="44">K32-K33</f>
        <v>0</v>
      </c>
      <c r="L31" s="134">
        <f t="shared" ref="L31:M31" si="45">L32-L33</f>
        <v>0</v>
      </c>
      <c r="M31" s="134">
        <f t="shared" si="45"/>
        <v>0</v>
      </c>
      <c r="N31" s="134">
        <f t="shared" ref="N31" si="46">N32-N33</f>
        <v>0</v>
      </c>
      <c r="O31" s="134">
        <f t="shared" ref="O31" si="47">O32-O33</f>
        <v>0</v>
      </c>
      <c r="P31" s="134">
        <f t="shared" ref="P31" si="48">P32-P33</f>
        <v>0</v>
      </c>
      <c r="Q31" s="134">
        <f t="shared" ref="Q31:R31" si="49">Q32-Q33</f>
        <v>0</v>
      </c>
      <c r="R31" s="134">
        <f t="shared" si="49"/>
        <v>0</v>
      </c>
      <c r="S31" s="134">
        <f t="shared" ref="S31" si="50">S32-S33</f>
        <v>0</v>
      </c>
      <c r="T31" s="134">
        <f t="shared" ref="T31" si="51">T32-T33</f>
        <v>0</v>
      </c>
      <c r="U31" s="134">
        <f t="shared" ref="U31" si="52">U32-U33</f>
        <v>0</v>
      </c>
      <c r="V31" s="134">
        <f t="shared" ref="V31:W31" si="53">V32-V33</f>
        <v>0</v>
      </c>
      <c r="W31" s="134">
        <f t="shared" si="53"/>
        <v>0</v>
      </c>
      <c r="X31" s="134">
        <f t="shared" ref="X31:AI31" si="54">X32-X33</f>
        <v>0</v>
      </c>
      <c r="Y31" s="134">
        <f t="shared" si="54"/>
        <v>0</v>
      </c>
      <c r="Z31" s="134">
        <f t="shared" si="54"/>
        <v>0</v>
      </c>
      <c r="AA31" s="134">
        <f t="shared" si="54"/>
        <v>0</v>
      </c>
      <c r="AB31" s="134">
        <f t="shared" si="54"/>
        <v>0</v>
      </c>
      <c r="AC31" s="134">
        <f t="shared" si="54"/>
        <v>0</v>
      </c>
      <c r="AD31" s="134">
        <f t="shared" si="54"/>
        <v>0</v>
      </c>
      <c r="AE31" s="134">
        <f t="shared" si="54"/>
        <v>0</v>
      </c>
      <c r="AF31" s="134">
        <f t="shared" si="54"/>
        <v>0</v>
      </c>
      <c r="AG31" s="134">
        <f t="shared" si="54"/>
        <v>0</v>
      </c>
      <c r="AH31" s="134">
        <f t="shared" si="54"/>
        <v>0</v>
      </c>
      <c r="AI31" s="134">
        <f t="shared" si="54"/>
        <v>0</v>
      </c>
    </row>
    <row r="32" spans="1:35" ht="14.25">
      <c r="A32" s="25">
        <v>9.1</v>
      </c>
      <c r="B32" s="28" t="s">
        <v>86</v>
      </c>
      <c r="C32" s="29"/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27"/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46">
        <v>0</v>
      </c>
      <c r="AC32" s="153"/>
      <c r="AD32" s="146">
        <v>0</v>
      </c>
      <c r="AE32" s="174">
        <v>0</v>
      </c>
      <c r="AF32" s="174">
        <v>0</v>
      </c>
      <c r="AG32" s="146">
        <v>0</v>
      </c>
      <c r="AH32" s="146">
        <v>0</v>
      </c>
      <c r="AI32" s="146">
        <v>0</v>
      </c>
    </row>
    <row r="33" spans="1:35" ht="14.25">
      <c r="A33" s="25">
        <v>9.1999999999999993</v>
      </c>
      <c r="B33" s="28" t="s">
        <v>87</v>
      </c>
      <c r="C33" s="29"/>
      <c r="D33" s="132">
        <v>0</v>
      </c>
      <c r="E33" s="132">
        <v>0</v>
      </c>
      <c r="F33" s="132">
        <v>0</v>
      </c>
      <c r="G33" s="132">
        <v>0</v>
      </c>
      <c r="H33" s="132">
        <v>0</v>
      </c>
      <c r="I33" s="132">
        <v>0</v>
      </c>
      <c r="J33" s="132">
        <v>0</v>
      </c>
      <c r="K33" s="132">
        <v>0</v>
      </c>
      <c r="L33" s="132">
        <v>0</v>
      </c>
      <c r="M33" s="132">
        <v>0</v>
      </c>
      <c r="N33" s="132">
        <v>0</v>
      </c>
      <c r="O33" s="27"/>
      <c r="P33" s="132">
        <v>0</v>
      </c>
      <c r="Q33" s="132">
        <v>0</v>
      </c>
      <c r="R33" s="132">
        <v>0</v>
      </c>
      <c r="S33" s="132">
        <v>0</v>
      </c>
      <c r="T33" s="132">
        <v>0</v>
      </c>
      <c r="U33" s="132">
        <v>0</v>
      </c>
      <c r="V33" s="132">
        <v>0</v>
      </c>
      <c r="W33" s="132">
        <v>0</v>
      </c>
      <c r="X33" s="148">
        <v>0</v>
      </c>
      <c r="AC33" s="153"/>
      <c r="AD33" s="148">
        <v>0</v>
      </c>
      <c r="AE33" s="154">
        <v>0</v>
      </c>
      <c r="AF33" s="154">
        <v>0</v>
      </c>
      <c r="AG33" s="148">
        <v>0</v>
      </c>
      <c r="AH33" s="148">
        <v>0</v>
      </c>
      <c r="AI33" s="148">
        <v>0</v>
      </c>
    </row>
    <row r="34" spans="1:35" ht="15">
      <c r="A34" s="25">
        <v>10</v>
      </c>
      <c r="B34" s="28" t="s">
        <v>88</v>
      </c>
      <c r="C34" s="33">
        <f t="shared" ref="C34:O34" si="55">C30+C31</f>
        <v>2884722</v>
      </c>
      <c r="D34" s="33">
        <f t="shared" si="55"/>
        <v>62585</v>
      </c>
      <c r="E34" s="33">
        <f t="shared" si="55"/>
        <v>309971</v>
      </c>
      <c r="F34" s="33">
        <f t="shared" si="55"/>
        <v>498577</v>
      </c>
      <c r="G34" s="33">
        <f t="shared" si="55"/>
        <v>605.1099999999999</v>
      </c>
      <c r="H34" s="33">
        <f t="shared" si="55"/>
        <v>748306</v>
      </c>
      <c r="I34" s="33">
        <f t="shared" si="55"/>
        <v>1008631</v>
      </c>
      <c r="J34" s="33">
        <f t="shared" si="55"/>
        <v>1183584.8700000001</v>
      </c>
      <c r="K34" s="33">
        <f t="shared" si="55"/>
        <v>1247638.5699999998</v>
      </c>
      <c r="L34" s="33">
        <f t="shared" si="55"/>
        <v>1582623.77</v>
      </c>
      <c r="M34" s="33">
        <f t="shared" si="55"/>
        <v>1882431.87</v>
      </c>
      <c r="N34" s="33">
        <f t="shared" si="55"/>
        <v>2036251.87</v>
      </c>
      <c r="O34" s="33">
        <f t="shared" si="55"/>
        <v>1426803</v>
      </c>
      <c r="P34" s="33">
        <f t="shared" ref="P34:U34" si="56">P30+P31</f>
        <v>30231.900000000023</v>
      </c>
      <c r="Q34" s="33">
        <f t="shared" si="56"/>
        <v>188166.90000000002</v>
      </c>
      <c r="R34" s="33">
        <f t="shared" si="56"/>
        <v>368908.89999999991</v>
      </c>
      <c r="S34" s="33">
        <f t="shared" si="56"/>
        <v>488371.3899999999</v>
      </c>
      <c r="T34" s="33">
        <f t="shared" si="56"/>
        <v>624006.47999999952</v>
      </c>
      <c r="U34" s="33">
        <f t="shared" si="56"/>
        <v>873234.52</v>
      </c>
      <c r="V34" s="33">
        <f t="shared" ref="V34:W34" si="57">V30+V31</f>
        <v>1167972.6399999999</v>
      </c>
      <c r="W34" s="33">
        <f t="shared" si="57"/>
        <v>1396096.77</v>
      </c>
      <c r="X34" s="33">
        <f t="shared" ref="X34:AC34" si="58">X30+X31</f>
        <v>1121007.8699999996</v>
      </c>
      <c r="Y34" s="33">
        <f t="shared" si="58"/>
        <v>1404362.5699999994</v>
      </c>
      <c r="Z34" s="33">
        <f t="shared" si="58"/>
        <v>1665662.6700000004</v>
      </c>
      <c r="AA34" s="33">
        <f t="shared" si="58"/>
        <v>2331831.6700000004</v>
      </c>
      <c r="AB34" s="33">
        <f t="shared" si="58"/>
        <v>1098490</v>
      </c>
      <c r="AC34" s="33">
        <f t="shared" ref="AC34:AI34" si="59">AC30+AC31</f>
        <v>1416092</v>
      </c>
      <c r="AD34" s="33">
        <f t="shared" si="59"/>
        <v>-106808.30999999994</v>
      </c>
      <c r="AE34" s="33">
        <f t="shared" si="59"/>
        <v>631357.10999999987</v>
      </c>
      <c r="AF34" s="33">
        <f t="shared" si="59"/>
        <v>1258623.44</v>
      </c>
      <c r="AG34" s="33">
        <f t="shared" si="59"/>
        <v>1116783.5799999996</v>
      </c>
      <c r="AH34" s="33">
        <f t="shared" si="59"/>
        <v>-1236161.77</v>
      </c>
      <c r="AI34" s="33">
        <f t="shared" si="59"/>
        <v>-1170166.9400000006</v>
      </c>
    </row>
    <row r="35" spans="1:35" ht="14.25">
      <c r="A35" s="25">
        <v>11</v>
      </c>
      <c r="B35" s="28" t="s">
        <v>89</v>
      </c>
      <c r="C35" s="137">
        <v>120900</v>
      </c>
      <c r="D35" s="30">
        <v>0</v>
      </c>
      <c r="E35" s="30">
        <v>0</v>
      </c>
      <c r="F35" s="30">
        <v>0</v>
      </c>
      <c r="G35" s="30">
        <v>0</v>
      </c>
      <c r="H35" s="27">
        <v>0</v>
      </c>
      <c r="I35" s="27">
        <v>0</v>
      </c>
      <c r="J35" s="132">
        <v>0</v>
      </c>
      <c r="K35" s="132">
        <v>0</v>
      </c>
      <c r="L35" s="132">
        <v>0</v>
      </c>
      <c r="M35" s="132">
        <v>0</v>
      </c>
      <c r="N35" s="132">
        <v>0</v>
      </c>
      <c r="O35" s="137">
        <v>120000</v>
      </c>
      <c r="P35" s="132">
        <v>0</v>
      </c>
      <c r="Q35" s="132">
        <v>0</v>
      </c>
      <c r="R35" s="132">
        <v>0</v>
      </c>
      <c r="S35" s="132">
        <v>0</v>
      </c>
      <c r="T35" s="132">
        <v>0</v>
      </c>
      <c r="U35" s="132">
        <v>0</v>
      </c>
      <c r="V35" s="132">
        <v>0</v>
      </c>
      <c r="W35" s="132">
        <v>0</v>
      </c>
      <c r="X35" s="146">
        <v>0</v>
      </c>
      <c r="AB35" s="153">
        <v>244821</v>
      </c>
      <c r="AC35" s="153">
        <v>244821</v>
      </c>
      <c r="AD35" s="146">
        <v>0</v>
      </c>
      <c r="AE35" s="174">
        <v>0</v>
      </c>
      <c r="AF35" s="174">
        <v>0</v>
      </c>
      <c r="AG35">
        <v>0</v>
      </c>
      <c r="AH35">
        <v>0</v>
      </c>
      <c r="AI35" s="146">
        <v>0</v>
      </c>
    </row>
    <row r="36" spans="1:35" ht="15">
      <c r="A36" s="25">
        <v>12</v>
      </c>
      <c r="B36" s="20" t="s">
        <v>90</v>
      </c>
      <c r="C36" s="31">
        <f t="shared" ref="C36:O36" si="60">C34-C35</f>
        <v>2763822</v>
      </c>
      <c r="D36" s="31">
        <f t="shared" si="60"/>
        <v>62585</v>
      </c>
      <c r="E36" s="31">
        <f t="shared" si="60"/>
        <v>309971</v>
      </c>
      <c r="F36" s="31">
        <f t="shared" si="60"/>
        <v>498577</v>
      </c>
      <c r="G36" s="31">
        <f t="shared" si="60"/>
        <v>605.1099999999999</v>
      </c>
      <c r="H36" s="31">
        <f t="shared" si="60"/>
        <v>748306</v>
      </c>
      <c r="I36" s="31">
        <f t="shared" si="60"/>
        <v>1008631</v>
      </c>
      <c r="J36" s="31">
        <f t="shared" si="60"/>
        <v>1183584.8700000001</v>
      </c>
      <c r="K36" s="31">
        <f t="shared" si="60"/>
        <v>1247638.5699999998</v>
      </c>
      <c r="L36" s="31">
        <f t="shared" si="60"/>
        <v>1582623.77</v>
      </c>
      <c r="M36" s="31">
        <f t="shared" si="60"/>
        <v>1882431.87</v>
      </c>
      <c r="N36" s="31">
        <f t="shared" si="60"/>
        <v>2036251.87</v>
      </c>
      <c r="O36" s="31">
        <f t="shared" si="60"/>
        <v>1306803</v>
      </c>
      <c r="P36" s="31">
        <f t="shared" ref="P36:U36" si="61">P34-P35</f>
        <v>30231.900000000023</v>
      </c>
      <c r="Q36" s="31">
        <f t="shared" si="61"/>
        <v>188166.90000000002</v>
      </c>
      <c r="R36" s="31">
        <f t="shared" si="61"/>
        <v>368908.89999999991</v>
      </c>
      <c r="S36" s="31">
        <f t="shared" si="61"/>
        <v>488371.3899999999</v>
      </c>
      <c r="T36" s="31">
        <f t="shared" si="61"/>
        <v>624006.47999999952</v>
      </c>
      <c r="U36" s="31">
        <f t="shared" si="61"/>
        <v>873234.52</v>
      </c>
      <c r="V36" s="31">
        <f t="shared" ref="V36:W36" si="62">V34-V35</f>
        <v>1167972.6399999999</v>
      </c>
      <c r="W36" s="31">
        <f t="shared" si="62"/>
        <v>1396096.77</v>
      </c>
      <c r="X36" s="31">
        <f t="shared" ref="X36:AC36" si="63">X34-X35</f>
        <v>1121007.8699999996</v>
      </c>
      <c r="Y36" s="31">
        <f t="shared" si="63"/>
        <v>1404362.5699999994</v>
      </c>
      <c r="Z36" s="31">
        <f t="shared" si="63"/>
        <v>1665662.6700000004</v>
      </c>
      <c r="AA36" s="31">
        <f t="shared" si="63"/>
        <v>2331831.6700000004</v>
      </c>
      <c r="AB36" s="31">
        <f t="shared" si="63"/>
        <v>853669</v>
      </c>
      <c r="AC36" s="31">
        <f t="shared" ref="AC36:AI36" si="64">AC34-AC35</f>
        <v>1171271</v>
      </c>
      <c r="AD36" s="31">
        <f t="shared" si="64"/>
        <v>-106808.30999999994</v>
      </c>
      <c r="AE36" s="31">
        <f t="shared" si="64"/>
        <v>631357.10999999987</v>
      </c>
      <c r="AF36" s="31">
        <f t="shared" si="64"/>
        <v>1258623.44</v>
      </c>
      <c r="AG36" s="31">
        <f t="shared" si="64"/>
        <v>1116783.5799999996</v>
      </c>
      <c r="AH36" s="31">
        <f t="shared" si="64"/>
        <v>-1236161.77</v>
      </c>
      <c r="AI36" s="31">
        <f t="shared" si="64"/>
        <v>-1170166.9400000006</v>
      </c>
    </row>
    <row r="37" spans="1:35" ht="14.25">
      <c r="A37" s="25">
        <v>13</v>
      </c>
      <c r="B37" s="28" t="s">
        <v>91</v>
      </c>
      <c r="C37" s="29"/>
      <c r="D37" s="30">
        <v>0</v>
      </c>
      <c r="E37" s="30">
        <v>0</v>
      </c>
      <c r="F37" s="30">
        <v>0</v>
      </c>
      <c r="G37" s="30">
        <v>0</v>
      </c>
      <c r="H37" s="27">
        <v>0</v>
      </c>
      <c r="I37" s="27">
        <v>0</v>
      </c>
      <c r="J37" s="132">
        <v>0</v>
      </c>
      <c r="K37" s="132">
        <v>0</v>
      </c>
      <c r="L37" s="132">
        <v>0</v>
      </c>
      <c r="M37" s="132">
        <v>0</v>
      </c>
      <c r="N37" s="132">
        <v>0</v>
      </c>
      <c r="O37" s="27"/>
      <c r="P37" s="132">
        <v>0</v>
      </c>
      <c r="Q37" s="132">
        <v>0</v>
      </c>
      <c r="R37" s="132">
        <v>0</v>
      </c>
      <c r="S37" s="132">
        <v>0</v>
      </c>
      <c r="T37" s="132">
        <v>0</v>
      </c>
      <c r="U37" s="132">
        <v>0</v>
      </c>
      <c r="V37" s="132">
        <v>0</v>
      </c>
      <c r="W37" s="132">
        <v>0</v>
      </c>
      <c r="X37" s="146">
        <v>0</v>
      </c>
      <c r="AC37" s="153"/>
      <c r="AD37" s="146">
        <v>0</v>
      </c>
      <c r="AE37" s="174">
        <v>0</v>
      </c>
      <c r="AF37" s="174">
        <v>0</v>
      </c>
      <c r="AG37">
        <v>0</v>
      </c>
      <c r="AH37">
        <v>0</v>
      </c>
      <c r="AI37" s="146">
        <v>0</v>
      </c>
    </row>
    <row r="38" spans="1:35" ht="15">
      <c r="A38" s="25">
        <v>14</v>
      </c>
      <c r="B38" s="20" t="s">
        <v>92</v>
      </c>
      <c r="C38" s="31">
        <f t="shared" ref="C38:O38" si="65">C36-C37</f>
        <v>2763822</v>
      </c>
      <c r="D38" s="31">
        <f t="shared" si="65"/>
        <v>62585</v>
      </c>
      <c r="E38" s="31">
        <f t="shared" si="65"/>
        <v>309971</v>
      </c>
      <c r="F38" s="31">
        <f t="shared" si="65"/>
        <v>498577</v>
      </c>
      <c r="G38" s="31">
        <f t="shared" si="65"/>
        <v>605.1099999999999</v>
      </c>
      <c r="H38" s="31">
        <f t="shared" si="65"/>
        <v>748306</v>
      </c>
      <c r="I38" s="31">
        <f t="shared" si="65"/>
        <v>1008631</v>
      </c>
      <c r="J38" s="31">
        <f t="shared" si="65"/>
        <v>1183584.8700000001</v>
      </c>
      <c r="K38" s="31">
        <f t="shared" si="65"/>
        <v>1247638.5699999998</v>
      </c>
      <c r="L38" s="31">
        <f t="shared" si="65"/>
        <v>1582623.77</v>
      </c>
      <c r="M38" s="31">
        <f t="shared" si="65"/>
        <v>1882431.87</v>
      </c>
      <c r="N38" s="31">
        <f t="shared" si="65"/>
        <v>2036251.87</v>
      </c>
      <c r="O38" s="31">
        <f t="shared" si="65"/>
        <v>1306803</v>
      </c>
      <c r="P38" s="31">
        <f t="shared" ref="P38:U38" si="66">P36-P37</f>
        <v>30231.900000000023</v>
      </c>
      <c r="Q38" s="31">
        <f t="shared" si="66"/>
        <v>188166.90000000002</v>
      </c>
      <c r="R38" s="31">
        <f t="shared" si="66"/>
        <v>368908.89999999991</v>
      </c>
      <c r="S38" s="31">
        <f t="shared" si="66"/>
        <v>488371.3899999999</v>
      </c>
      <c r="T38" s="31">
        <f t="shared" si="66"/>
        <v>624006.47999999952</v>
      </c>
      <c r="U38" s="31">
        <f t="shared" si="66"/>
        <v>873234.52</v>
      </c>
      <c r="V38" s="31">
        <f t="shared" ref="V38:W38" si="67">V36-V37</f>
        <v>1167972.6399999999</v>
      </c>
      <c r="W38" s="31">
        <f t="shared" si="67"/>
        <v>1396096.77</v>
      </c>
      <c r="X38" s="31">
        <f t="shared" ref="X38:AC38" si="68">X36-X37</f>
        <v>1121007.8699999996</v>
      </c>
      <c r="Y38" s="31">
        <f t="shared" si="68"/>
        <v>1404362.5699999994</v>
      </c>
      <c r="Z38" s="31">
        <f t="shared" si="68"/>
        <v>1665662.6700000004</v>
      </c>
      <c r="AA38" s="31">
        <f t="shared" si="68"/>
        <v>2331831.6700000004</v>
      </c>
      <c r="AB38" s="31">
        <f t="shared" si="68"/>
        <v>853669</v>
      </c>
      <c r="AC38" s="31">
        <f t="shared" ref="AC38:AI38" si="69">AC36-AC37</f>
        <v>1171271</v>
      </c>
      <c r="AD38" s="31">
        <f t="shared" si="69"/>
        <v>-106808.30999999994</v>
      </c>
      <c r="AE38" s="31">
        <f t="shared" si="69"/>
        <v>631357.10999999987</v>
      </c>
      <c r="AF38" s="31">
        <f t="shared" si="69"/>
        <v>1258623.44</v>
      </c>
      <c r="AG38" s="31">
        <f t="shared" si="69"/>
        <v>1116783.5799999996</v>
      </c>
      <c r="AH38" s="31">
        <f t="shared" si="69"/>
        <v>-1236161.77</v>
      </c>
      <c r="AI38" s="31">
        <f t="shared" si="69"/>
        <v>-1170166.9400000006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64"/>
  <sheetViews>
    <sheetView topLeftCell="E12" workbookViewId="0">
      <selection activeCell="F12" sqref="F12"/>
    </sheetView>
  </sheetViews>
  <sheetFormatPr defaultRowHeight="14.45"/>
  <cols>
    <col min="1" max="1" width="64.5703125" customWidth="1"/>
    <col min="2" max="2" width="18.85546875" bestFit="1" customWidth="1"/>
    <col min="3" max="3" width="16.7109375" bestFit="1" customWidth="1"/>
    <col min="4" max="4" width="21.85546875" bestFit="1" customWidth="1"/>
    <col min="5" max="6" width="16.7109375" bestFit="1" customWidth="1"/>
  </cols>
  <sheetData>
    <row r="1" spans="1:6">
      <c r="A1" s="180" t="s">
        <v>93</v>
      </c>
      <c r="B1" s="181"/>
      <c r="C1" s="181"/>
      <c r="D1" s="181"/>
      <c r="E1" s="181"/>
      <c r="F1" s="182"/>
    </row>
    <row r="2" spans="1:6">
      <c r="A2" s="183" t="s">
        <v>94</v>
      </c>
      <c r="B2" s="184"/>
      <c r="C2" s="184"/>
      <c r="D2" s="184"/>
      <c r="E2" s="184"/>
      <c r="F2" s="185"/>
    </row>
    <row r="3" spans="1:6">
      <c r="A3" s="108"/>
      <c r="B3" s="178" t="s">
        <v>95</v>
      </c>
      <c r="C3" s="117" t="s">
        <v>96</v>
      </c>
      <c r="D3" s="188" t="s">
        <v>97</v>
      </c>
      <c r="E3" s="189"/>
      <c r="F3" s="190" t="s">
        <v>98</v>
      </c>
    </row>
    <row r="4" spans="1:6" ht="28.9">
      <c r="A4" s="109"/>
      <c r="B4" s="179"/>
      <c r="C4" s="80">
        <v>2019</v>
      </c>
      <c r="D4" s="81" t="s">
        <v>99</v>
      </c>
      <c r="E4" s="82" t="s">
        <v>100</v>
      </c>
      <c r="F4" s="191"/>
    </row>
    <row r="5" spans="1:6">
      <c r="A5" s="192" t="s">
        <v>101</v>
      </c>
      <c r="B5" s="193"/>
      <c r="C5" s="193"/>
      <c r="D5" s="193"/>
      <c r="E5" s="193"/>
      <c r="F5" s="194"/>
    </row>
    <row r="6" spans="1:6">
      <c r="A6" s="98" t="s">
        <v>102</v>
      </c>
      <c r="B6" s="99" t="s">
        <v>103</v>
      </c>
      <c r="C6" s="97">
        <v>105761017</v>
      </c>
      <c r="D6" s="97">
        <v>130907778.785</v>
      </c>
      <c r="E6" s="97">
        <v>131804080.295</v>
      </c>
      <c r="F6" s="97">
        <v>151314319</v>
      </c>
    </row>
    <row r="7" spans="1:6">
      <c r="A7" s="98" t="s">
        <v>104</v>
      </c>
      <c r="B7" s="100" t="s">
        <v>105</v>
      </c>
      <c r="C7" s="114">
        <v>0.25651420556853727</v>
      </c>
      <c r="D7" s="114">
        <v>0.3311835575893079</v>
      </c>
      <c r="E7" s="114">
        <v>0.33539735209320065</v>
      </c>
      <c r="F7" s="114">
        <v>0.38281096379380047</v>
      </c>
    </row>
    <row r="8" spans="1:6">
      <c r="A8" s="98" t="s">
        <v>106</v>
      </c>
      <c r="B8" s="100" t="s">
        <v>107</v>
      </c>
      <c r="C8" s="116">
        <v>7.5663262294189432E-2</v>
      </c>
      <c r="D8" s="116">
        <v>7.892281603153159E-2</v>
      </c>
      <c r="E8" s="116">
        <v>7.9383461858048468E-2</v>
      </c>
      <c r="F8" s="114">
        <v>8.2144728803263206E-2</v>
      </c>
    </row>
    <row r="9" spans="1:6">
      <c r="A9" s="192" t="s">
        <v>108</v>
      </c>
      <c r="B9" s="193"/>
      <c r="C9" s="193"/>
      <c r="D9" s="193"/>
      <c r="E9" s="193"/>
      <c r="F9" s="194"/>
    </row>
    <row r="10" spans="1:6">
      <c r="A10" s="98" t="s">
        <v>109</v>
      </c>
      <c r="B10" s="99" t="s">
        <v>110</v>
      </c>
      <c r="C10" s="116">
        <v>0</v>
      </c>
      <c r="D10" s="116">
        <v>0.35335718145587069</v>
      </c>
      <c r="E10" s="116">
        <v>0.17684351531900533</v>
      </c>
      <c r="F10" s="116">
        <v>0.17709617409355341</v>
      </c>
    </row>
    <row r="11" spans="1:6">
      <c r="A11" s="98" t="s">
        <v>111</v>
      </c>
      <c r="B11" s="99" t="s">
        <v>112</v>
      </c>
      <c r="C11" s="114">
        <v>0.39367662294890632</v>
      </c>
      <c r="D11" s="114">
        <v>0.40733915200130599</v>
      </c>
      <c r="E11" s="114">
        <v>0.38470900347575127</v>
      </c>
      <c r="F11" s="114">
        <v>0.38827796106719964</v>
      </c>
    </row>
    <row r="12" spans="1:6">
      <c r="A12" s="98" t="s">
        <v>113</v>
      </c>
      <c r="B12" s="99" t="s">
        <v>110</v>
      </c>
      <c r="C12" s="101">
        <v>0.10766462415295863</v>
      </c>
      <c r="D12" s="101">
        <v>0.11804502355847001</v>
      </c>
      <c r="E12" s="101">
        <v>0.11696391913467429</v>
      </c>
      <c r="F12" s="101">
        <v>0.11696391657177527</v>
      </c>
    </row>
    <row r="13" spans="1:6">
      <c r="A13" s="102" t="s">
        <v>114</v>
      </c>
      <c r="B13" s="99" t="s">
        <v>115</v>
      </c>
      <c r="C13" s="115">
        <v>0.19758719793702437</v>
      </c>
      <c r="D13" s="115">
        <v>0.15963163300112823</v>
      </c>
      <c r="E13" s="115">
        <v>0.1585460970041967</v>
      </c>
      <c r="F13" s="115">
        <v>0.13810340051161979</v>
      </c>
    </row>
    <row r="14" spans="1:6">
      <c r="A14" s="192" t="s">
        <v>116</v>
      </c>
      <c r="B14" s="193"/>
      <c r="C14" s="193"/>
      <c r="D14" s="193"/>
      <c r="E14" s="193"/>
      <c r="F14" s="194"/>
    </row>
    <row r="15" spans="1:6">
      <c r="A15" s="98" t="s">
        <v>117</v>
      </c>
      <c r="B15" s="99"/>
      <c r="C15" s="116">
        <v>0.21113871483914851</v>
      </c>
      <c r="D15" s="116">
        <v>9.5884023521107642E-2</v>
      </c>
      <c r="E15" s="116">
        <v>0.15807556163137784</v>
      </c>
      <c r="F15" s="116">
        <v>0.71974145331489214</v>
      </c>
    </row>
    <row r="16" spans="1:6">
      <c r="A16" s="98" t="s">
        <v>118</v>
      </c>
      <c r="B16" s="99"/>
      <c r="C16" s="116">
        <v>0.94538921146195243</v>
      </c>
      <c r="D16" s="116">
        <v>0.93145746782367878</v>
      </c>
      <c r="E16" s="116">
        <v>0.91913046311183344</v>
      </c>
      <c r="F16" s="116">
        <v>0.94963974933861806</v>
      </c>
    </row>
    <row r="17" spans="1:8">
      <c r="A17" s="98" t="s">
        <v>119</v>
      </c>
      <c r="B17" s="99"/>
      <c r="C17" s="115">
        <v>1.1817920907791087E-3</v>
      </c>
      <c r="D17" s="115">
        <v>1.10323461832497E-2</v>
      </c>
      <c r="E17" s="115">
        <v>1.3320391190628399E-2</v>
      </c>
      <c r="F17" s="115">
        <v>3.2121204218350614E-3</v>
      </c>
    </row>
    <row r="18" spans="1:8">
      <c r="A18" s="102" t="s">
        <v>120</v>
      </c>
      <c r="B18" s="103"/>
      <c r="C18" s="115">
        <v>0.76738298314190045</v>
      </c>
      <c r="D18" s="115">
        <v>0.82018258551363044</v>
      </c>
      <c r="E18" s="115">
        <v>0.7228640413885693</v>
      </c>
      <c r="F18" s="115">
        <v>0.73421839817940371</v>
      </c>
    </row>
    <row r="19" spans="1:8">
      <c r="A19" s="192" t="s">
        <v>121</v>
      </c>
      <c r="B19" s="193"/>
      <c r="C19" s="193"/>
      <c r="D19" s="193"/>
      <c r="E19" s="193"/>
      <c r="F19" s="194"/>
    </row>
    <row r="20" spans="1:8">
      <c r="A20" s="98" t="s">
        <v>122</v>
      </c>
      <c r="B20" s="104" t="s">
        <v>123</v>
      </c>
      <c r="C20" s="114">
        <v>0.82348453180143166</v>
      </c>
      <c r="D20" s="114">
        <v>0.99869763245836374</v>
      </c>
      <c r="E20" s="114">
        <v>1.3905577499913888</v>
      </c>
      <c r="F20" s="114">
        <v>1.3905577547756549</v>
      </c>
      <c r="H20" s="84"/>
    </row>
    <row r="21" spans="1:8">
      <c r="A21" s="98" t="s">
        <v>124</v>
      </c>
      <c r="B21" s="99" t="s">
        <v>125</v>
      </c>
      <c r="C21" s="114">
        <v>0.15037564119915101</v>
      </c>
      <c r="D21" s="114">
        <v>0.14243550667012403</v>
      </c>
      <c r="E21" s="114">
        <v>0.1171405914314979</v>
      </c>
      <c r="F21" s="114">
        <v>0.11646112413770819</v>
      </c>
      <c r="H21" s="85"/>
    </row>
    <row r="22" spans="1:8">
      <c r="A22" s="98" t="s">
        <v>126</v>
      </c>
      <c r="B22" s="99"/>
      <c r="C22" s="114">
        <v>0.17216880674580229</v>
      </c>
      <c r="D22" s="114">
        <v>0.17398863070781087</v>
      </c>
      <c r="E22" s="114">
        <v>0.25781697324238784</v>
      </c>
      <c r="F22" s="114">
        <v>0.25632152100442601</v>
      </c>
    </row>
    <row r="23" spans="1:8">
      <c r="A23" s="192" t="s">
        <v>127</v>
      </c>
      <c r="B23" s="193"/>
      <c r="C23" s="193"/>
      <c r="D23" s="193"/>
      <c r="E23" s="193"/>
      <c r="F23" s="194"/>
    </row>
    <row r="24" spans="1:8">
      <c r="A24" s="105" t="s">
        <v>128</v>
      </c>
      <c r="B24" s="103" t="s">
        <v>129</v>
      </c>
      <c r="C24" s="115">
        <v>0.44059964152168213</v>
      </c>
      <c r="D24" s="115">
        <v>0.42539494177048331</v>
      </c>
      <c r="E24" s="115">
        <v>0.37304616721081446</v>
      </c>
      <c r="F24" s="115">
        <v>0.37035320196153509</v>
      </c>
    </row>
    <row r="25" spans="1:8">
      <c r="A25" s="105" t="s">
        <v>130</v>
      </c>
      <c r="B25" s="106" t="s">
        <v>131</v>
      </c>
      <c r="C25" s="115">
        <v>0.93593770758500583</v>
      </c>
      <c r="D25" s="115">
        <v>0.94984399466499625</v>
      </c>
      <c r="E25" s="115">
        <v>0.82053915391450061</v>
      </c>
      <c r="F25" s="115">
        <v>0.81936850454807642</v>
      </c>
    </row>
    <row r="26" spans="1:8">
      <c r="A26" s="105" t="s">
        <v>132</v>
      </c>
      <c r="B26" s="106"/>
      <c r="C26" s="115">
        <v>0.10766462415295863</v>
      </c>
      <c r="D26" s="115">
        <v>0.29809867737994145</v>
      </c>
      <c r="E26" s="115">
        <v>0.11696391633609569</v>
      </c>
      <c r="F26" s="115">
        <v>0.11696391657177527</v>
      </c>
    </row>
    <row r="27" spans="1:8">
      <c r="A27" s="105" t="s">
        <v>133</v>
      </c>
      <c r="B27" s="107"/>
      <c r="C27" s="115">
        <v>3.8593323402518878E-2</v>
      </c>
      <c r="D27" s="115">
        <v>1.6222683656831289E-2</v>
      </c>
      <c r="E27" s="115">
        <v>1.442527535455638E-2</v>
      </c>
      <c r="F27" s="115">
        <v>0</v>
      </c>
    </row>
    <row r="28" spans="1:8">
      <c r="A28" s="192" t="s">
        <v>134</v>
      </c>
      <c r="B28" s="193"/>
      <c r="C28" s="193">
        <v>2015</v>
      </c>
      <c r="D28" s="193">
        <v>2016</v>
      </c>
      <c r="E28" s="193">
        <v>2017</v>
      </c>
      <c r="F28" s="194"/>
    </row>
    <row r="29" spans="1:8">
      <c r="A29" s="121" t="s">
        <v>31</v>
      </c>
      <c r="B29" s="110"/>
      <c r="C29" s="118">
        <v>412300818.83999997</v>
      </c>
      <c r="D29" s="118">
        <v>395272578.56</v>
      </c>
      <c r="E29" s="118">
        <v>392978893.45999998</v>
      </c>
      <c r="F29" s="118">
        <v>395271644</v>
      </c>
    </row>
    <row r="30" spans="1:8">
      <c r="A30" s="121" t="s">
        <v>135</v>
      </c>
      <c r="B30" s="110"/>
      <c r="C30" s="118">
        <v>398952576.92000002</v>
      </c>
      <c r="D30" s="118">
        <v>412879665.33499998</v>
      </c>
      <c r="E30" s="118">
        <v>402960106.29000002</v>
      </c>
      <c r="F30" s="118">
        <v>403786231.41999996</v>
      </c>
    </row>
    <row r="31" spans="1:8">
      <c r="A31" s="121" t="s">
        <v>136</v>
      </c>
      <c r="B31" s="110"/>
      <c r="C31" s="119">
        <v>194093679</v>
      </c>
      <c r="D31" s="119">
        <v>177025865.81</v>
      </c>
      <c r="E31" s="119">
        <v>178662126.36000001</v>
      </c>
      <c r="F31" s="119">
        <v>178662126</v>
      </c>
    </row>
    <row r="32" spans="1:8">
      <c r="A32" s="121" t="s">
        <v>137</v>
      </c>
      <c r="B32" s="110"/>
      <c r="C32" s="120">
        <v>181659592.97999999</v>
      </c>
      <c r="D32" s="120">
        <v>168146955.53999999</v>
      </c>
      <c r="E32" s="120">
        <v>146599270</v>
      </c>
      <c r="F32" s="120">
        <v>146390119</v>
      </c>
    </row>
    <row r="33" spans="1:6">
      <c r="A33" s="121" t="s">
        <v>138</v>
      </c>
      <c r="B33" s="110"/>
      <c r="C33" s="118">
        <v>105761017</v>
      </c>
      <c r="D33" s="118">
        <v>130907778.785</v>
      </c>
      <c r="E33" s="118">
        <v>131804080.295</v>
      </c>
      <c r="F33" s="118">
        <v>151314319</v>
      </c>
    </row>
    <row r="34" spans="1:6">
      <c r="A34" s="121" t="s">
        <v>139</v>
      </c>
      <c r="B34" s="110"/>
      <c r="C34" s="118">
        <v>31196025</v>
      </c>
      <c r="D34" s="118">
        <v>31196025</v>
      </c>
      <c r="E34" s="118">
        <v>31196025</v>
      </c>
      <c r="F34" s="118">
        <v>32469482</v>
      </c>
    </row>
    <row r="35" spans="1:6">
      <c r="A35" s="121" t="s">
        <v>140</v>
      </c>
      <c r="B35" s="110"/>
      <c r="C35" s="119">
        <v>0</v>
      </c>
      <c r="D35" s="119">
        <v>59415934.280000001</v>
      </c>
      <c r="E35" s="119">
        <v>25925130.25</v>
      </c>
      <c r="F35" s="119">
        <v>25925130</v>
      </c>
    </row>
    <row r="36" spans="1:6">
      <c r="A36" s="121" t="s">
        <v>111</v>
      </c>
      <c r="B36" s="110"/>
      <c r="C36" s="120">
        <v>162313194</v>
      </c>
      <c r="D36" s="120">
        <v>161009996.96000001</v>
      </c>
      <c r="E36" s="120">
        <v>151182518.49000001</v>
      </c>
      <c r="F36" s="120">
        <v>153475268</v>
      </c>
    </row>
    <row r="37" spans="1:6">
      <c r="A37" s="121" t="s">
        <v>141</v>
      </c>
      <c r="B37" s="110"/>
      <c r="C37" s="118">
        <v>70993240</v>
      </c>
      <c r="D37" s="118">
        <v>66863240.100000001</v>
      </c>
      <c r="E37" s="118">
        <v>65630883.859999999</v>
      </c>
      <c r="F37" s="118">
        <v>65630483</v>
      </c>
    </row>
    <row r="38" spans="1:6">
      <c r="A38" s="121" t="s">
        <v>142</v>
      </c>
      <c r="B38" s="110"/>
      <c r="C38" s="118">
        <v>20897023</v>
      </c>
      <c r="D38" s="118">
        <v>20897022.5</v>
      </c>
      <c r="E38" s="118">
        <v>20897022.5</v>
      </c>
      <c r="F38" s="118">
        <v>20897022</v>
      </c>
    </row>
    <row r="39" spans="1:6">
      <c r="A39" s="121" t="s">
        <v>11</v>
      </c>
      <c r="B39" s="110"/>
      <c r="C39" s="118">
        <v>20897023</v>
      </c>
      <c r="D39" s="118">
        <v>52771176.460000001</v>
      </c>
      <c r="E39" s="118">
        <v>20897022</v>
      </c>
      <c r="F39" s="118">
        <v>20897022</v>
      </c>
    </row>
    <row r="40" spans="1:6">
      <c r="A40" s="121" t="s">
        <v>143</v>
      </c>
      <c r="B40" s="110"/>
      <c r="C40" s="118">
        <v>70985340</v>
      </c>
      <c r="D40" s="118">
        <v>68772934.700000003</v>
      </c>
      <c r="E40" s="118">
        <v>101316628.86</v>
      </c>
      <c r="F40" s="118">
        <v>101316629</v>
      </c>
    </row>
    <row r="41" spans="1:6">
      <c r="A41" s="121" t="s">
        <v>144</v>
      </c>
      <c r="B41" s="110"/>
      <c r="C41" s="118">
        <v>86201182</v>
      </c>
      <c r="D41" s="118">
        <v>68862619.140000001</v>
      </c>
      <c r="E41" s="118">
        <v>72860425.150000006</v>
      </c>
      <c r="F41" s="118">
        <v>72860425</v>
      </c>
    </row>
    <row r="42" spans="1:6">
      <c r="A42" s="121" t="s">
        <v>145</v>
      </c>
      <c r="B42" s="110"/>
      <c r="C42" s="118">
        <v>62000000</v>
      </c>
      <c r="D42" s="118">
        <v>56300850</v>
      </c>
      <c r="E42" s="118">
        <v>46033780</v>
      </c>
      <c r="F42" s="118">
        <v>46033780</v>
      </c>
    </row>
    <row r="43" spans="1:6">
      <c r="A43" s="121" t="s">
        <v>146</v>
      </c>
      <c r="B43" s="110"/>
      <c r="C43" s="118">
        <v>179303965.99000001</v>
      </c>
      <c r="D43" s="118">
        <v>190910777.84999999</v>
      </c>
      <c r="E43" s="118">
        <v>164129431.49000001</v>
      </c>
      <c r="F43" s="118">
        <v>164024855.99000001</v>
      </c>
    </row>
    <row r="44" spans="1:6">
      <c r="A44" s="121" t="s">
        <v>147</v>
      </c>
      <c r="B44" s="110"/>
      <c r="C44" s="118">
        <v>118207156</v>
      </c>
      <c r="D44" s="118">
        <v>66455546</v>
      </c>
      <c r="E44" s="118">
        <v>109185756.34</v>
      </c>
      <c r="F44" s="118">
        <v>109323741</v>
      </c>
    </row>
    <row r="45" spans="1:6">
      <c r="A45" s="121" t="s">
        <v>148</v>
      </c>
      <c r="B45" s="110"/>
      <c r="C45" s="118">
        <v>100585269</v>
      </c>
      <c r="D45" s="118">
        <v>59060712.939999998</v>
      </c>
      <c r="E45" s="118">
        <v>87756258.640000001</v>
      </c>
      <c r="F45" s="118">
        <v>85274585</v>
      </c>
    </row>
    <row r="46" spans="1:6">
      <c r="A46" s="121" t="s">
        <v>149</v>
      </c>
      <c r="B46" s="110"/>
      <c r="C46" s="118">
        <v>4562007</v>
      </c>
      <c r="D46" s="118">
        <v>1078087.3</v>
      </c>
      <c r="E46" s="118">
        <v>1575034.6</v>
      </c>
      <c r="F46" s="118">
        <v>0</v>
      </c>
    </row>
    <row r="47" spans="1:6">
      <c r="A47" s="121" t="s">
        <v>78</v>
      </c>
      <c r="B47" s="110"/>
      <c r="C47" s="118">
        <v>90710160</v>
      </c>
      <c r="D47" s="118">
        <v>54505681.539999999</v>
      </c>
      <c r="E47" s="118">
        <v>78926457.090000004</v>
      </c>
      <c r="F47" s="118">
        <v>80267502</v>
      </c>
    </row>
    <row r="48" spans="1:6">
      <c r="A48" s="121" t="s">
        <v>150</v>
      </c>
      <c r="B48" s="110"/>
      <c r="C48" s="118">
        <v>38355373</v>
      </c>
      <c r="D48" s="118">
        <v>16122606.640000001</v>
      </c>
      <c r="E48" s="118">
        <v>23173761.940000001</v>
      </c>
      <c r="F48" s="118">
        <v>105363037</v>
      </c>
    </row>
    <row r="49" spans="1:6">
      <c r="A49" s="121" t="s">
        <v>151</v>
      </c>
      <c r="B49" s="110"/>
      <c r="C49" s="118">
        <v>111751770</v>
      </c>
      <c r="D49" s="118">
        <v>61900514.600000001</v>
      </c>
      <c r="E49" s="118">
        <v>100355954.79000001</v>
      </c>
      <c r="F49" s="118">
        <v>103818170</v>
      </c>
    </row>
    <row r="50" spans="1:6">
      <c r="A50" s="121" t="s">
        <v>152</v>
      </c>
      <c r="B50" s="110"/>
      <c r="C50" s="118">
        <v>471479</v>
      </c>
      <c r="D50" s="118">
        <v>4555031.4000000004</v>
      </c>
      <c r="E50" s="118">
        <v>5367586.25</v>
      </c>
      <c r="F50" s="118">
        <v>1297010</v>
      </c>
    </row>
    <row r="51" spans="1:6">
      <c r="A51" s="195" t="s">
        <v>153</v>
      </c>
      <c r="B51" s="196"/>
      <c r="C51" s="196"/>
      <c r="D51" s="196"/>
      <c r="E51" s="196"/>
      <c r="F51" s="196"/>
    </row>
    <row r="52" spans="1:6">
      <c r="A52" s="87">
        <v>1</v>
      </c>
      <c r="B52" s="83"/>
      <c r="C52" s="88"/>
      <c r="D52" s="88"/>
      <c r="E52" s="88"/>
      <c r="F52" s="89"/>
    </row>
    <row r="53" spans="1:6">
      <c r="A53" s="87">
        <v>2</v>
      </c>
      <c r="B53" s="83"/>
      <c r="C53" s="88"/>
      <c r="D53" s="88"/>
      <c r="E53" s="88"/>
      <c r="F53" s="89"/>
    </row>
    <row r="54" spans="1:6">
      <c r="A54" s="87">
        <v>3</v>
      </c>
      <c r="B54" s="83"/>
      <c r="C54" s="88"/>
      <c r="D54" s="88"/>
      <c r="E54" s="88"/>
      <c r="F54" s="89"/>
    </row>
    <row r="55" spans="1:6">
      <c r="A55" s="86">
        <v>4</v>
      </c>
      <c r="B55" s="88"/>
      <c r="C55" s="88"/>
      <c r="D55" s="88"/>
      <c r="E55" s="89"/>
      <c r="F55" s="89"/>
    </row>
    <row r="56" spans="1:6">
      <c r="A56" s="111" t="s">
        <v>154</v>
      </c>
      <c r="B56" s="83"/>
      <c r="C56" s="186"/>
      <c r="D56" s="187"/>
      <c r="E56" s="187"/>
      <c r="F56" s="187"/>
    </row>
    <row r="57" spans="1:6">
      <c r="A57" s="111"/>
      <c r="B57" s="83"/>
      <c r="C57" s="90"/>
      <c r="D57" s="90"/>
      <c r="E57" s="91"/>
      <c r="F57" s="91"/>
    </row>
    <row r="58" spans="1:6">
      <c r="A58" s="112" t="s">
        <v>155</v>
      </c>
      <c r="B58" s="92"/>
      <c r="C58" s="186"/>
      <c r="D58" s="187"/>
      <c r="E58" s="187"/>
      <c r="F58" s="187"/>
    </row>
    <row r="59" spans="1:6">
      <c r="A59" s="109"/>
      <c r="B59" s="83"/>
      <c r="C59" s="88"/>
      <c r="D59" s="88"/>
      <c r="E59" s="88"/>
      <c r="F59" s="89"/>
    </row>
    <row r="60" spans="1:6">
      <c r="A60" s="111" t="s">
        <v>156</v>
      </c>
      <c r="B60" s="83"/>
      <c r="C60" s="186"/>
      <c r="D60" s="187"/>
      <c r="E60" s="187"/>
      <c r="F60" s="187"/>
    </row>
    <row r="61" spans="1:6" ht="15" thickBot="1">
      <c r="A61" s="113"/>
      <c r="B61" s="93"/>
      <c r="C61" s="94"/>
      <c r="D61" s="94"/>
      <c r="E61" s="94"/>
      <c r="F61" s="95"/>
    </row>
    <row r="62" spans="1:6">
      <c r="A62" s="122" t="s">
        <v>157</v>
      </c>
    </row>
    <row r="63" spans="1:6">
      <c r="A63" s="96"/>
    </row>
    <row r="64" spans="1:6">
      <c r="A64" s="96"/>
    </row>
  </sheetData>
  <mergeCells count="15">
    <mergeCell ref="C58:F58"/>
    <mergeCell ref="C60:F60"/>
    <mergeCell ref="A9:F9"/>
    <mergeCell ref="A5:F5"/>
    <mergeCell ref="A28:F28"/>
    <mergeCell ref="A19:F19"/>
    <mergeCell ref="A23:F23"/>
    <mergeCell ref="A51:F51"/>
    <mergeCell ref="A14:F14"/>
    <mergeCell ref="B3:B4"/>
    <mergeCell ref="A1:F1"/>
    <mergeCell ref="A2:F2"/>
    <mergeCell ref="C56:F56"/>
    <mergeCell ref="D3:E3"/>
    <mergeCell ref="F3:F4"/>
  </mergeCells>
  <pageMargins left="0.7" right="0.7" top="0.75" bottom="0.75" header="0.3" footer="0.3"/>
  <pageSetup paperSize="9" scale="5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49"/>
  <sheetViews>
    <sheetView tabSelected="1" topLeftCell="AF36" workbookViewId="0">
      <selection activeCell="AP39" sqref="AP39:AR40"/>
    </sheetView>
  </sheetViews>
  <sheetFormatPr defaultColWidth="9.140625" defaultRowHeight="13.15"/>
  <cols>
    <col min="1" max="1" width="29.85546875" style="35" bestFit="1" customWidth="1"/>
    <col min="2" max="6" width="18.140625" style="35" bestFit="1" customWidth="1"/>
    <col min="7" max="14" width="16.42578125" style="35" bestFit="1" customWidth="1"/>
    <col min="15" max="22" width="15.28515625" style="35" bestFit="1" customWidth="1"/>
    <col min="23" max="26" width="13.5703125" style="35" bestFit="1" customWidth="1"/>
    <col min="27" max="27" width="14.42578125" style="35" customWidth="1"/>
    <col min="28" max="28" width="14.85546875" style="35" customWidth="1"/>
    <col min="29" max="29" width="14.28515625" style="35" customWidth="1"/>
    <col min="30" max="30" width="13.28515625" style="35" customWidth="1"/>
    <col min="31" max="31" width="13.85546875" style="35" customWidth="1"/>
    <col min="32" max="32" width="12.85546875" style="35" customWidth="1"/>
    <col min="33" max="34" width="14.28515625" style="35" bestFit="1" customWidth="1"/>
    <col min="35" max="35" width="9.140625" style="35"/>
    <col min="36" max="36" width="9.5703125" style="35" bestFit="1" customWidth="1"/>
    <col min="37" max="39" width="9.140625" style="35"/>
    <col min="40" max="40" width="12" style="35" bestFit="1" customWidth="1"/>
    <col min="41" max="16384" width="9.140625" style="35"/>
  </cols>
  <sheetData>
    <row r="1" spans="1:46">
      <c r="A1" s="34" t="s">
        <v>158</v>
      </c>
    </row>
    <row r="2" spans="1:46" ht="13.9" thickBot="1">
      <c r="A2" s="36"/>
    </row>
    <row r="3" spans="1:46" ht="12.75">
      <c r="A3" s="37" t="s">
        <v>159</v>
      </c>
      <c r="B3" s="38"/>
      <c r="C3" s="39">
        <v>44216</v>
      </c>
      <c r="D3" s="39">
        <v>44247</v>
      </c>
      <c r="E3" s="39">
        <v>44275</v>
      </c>
      <c r="F3" s="39">
        <v>44306</v>
      </c>
      <c r="G3" s="39">
        <v>44336</v>
      </c>
      <c r="H3" s="39">
        <v>44397</v>
      </c>
      <c r="I3" s="39">
        <v>44428</v>
      </c>
      <c r="J3" s="39">
        <v>44459</v>
      </c>
      <c r="K3" s="39">
        <v>44489</v>
      </c>
      <c r="L3" s="39">
        <v>44520</v>
      </c>
      <c r="M3" s="39">
        <v>44550</v>
      </c>
      <c r="N3" s="39" t="s">
        <v>4</v>
      </c>
      <c r="O3" s="39">
        <v>44197</v>
      </c>
      <c r="P3" s="39">
        <v>44229</v>
      </c>
      <c r="Q3" s="39">
        <v>44258</v>
      </c>
      <c r="R3" s="39">
        <v>44290</v>
      </c>
      <c r="S3" s="39">
        <v>44321</v>
      </c>
      <c r="T3" s="39">
        <v>44353</v>
      </c>
      <c r="U3" s="39">
        <v>44384</v>
      </c>
      <c r="V3" s="39">
        <v>44416</v>
      </c>
      <c r="W3" s="39">
        <v>44448</v>
      </c>
      <c r="X3" s="39">
        <v>44479</v>
      </c>
      <c r="Y3" s="39">
        <v>44511</v>
      </c>
      <c r="Z3" s="39">
        <v>44542</v>
      </c>
      <c r="AA3" s="39" t="s">
        <v>5</v>
      </c>
      <c r="AB3" s="39" t="s">
        <v>6</v>
      </c>
      <c r="AC3" s="39">
        <v>44927</v>
      </c>
      <c r="AD3" s="39">
        <v>44958</v>
      </c>
      <c r="AE3" s="39">
        <v>44986</v>
      </c>
      <c r="AF3" s="39">
        <v>45017</v>
      </c>
      <c r="AG3" s="39">
        <v>45047</v>
      </c>
      <c r="AH3" s="39">
        <v>45078</v>
      </c>
      <c r="AI3" s="39">
        <v>45109</v>
      </c>
      <c r="AJ3" s="39">
        <v>45141</v>
      </c>
      <c r="AK3" s="39">
        <v>45173</v>
      </c>
      <c r="AL3" s="39">
        <v>45204</v>
      </c>
      <c r="AM3" s="39">
        <v>45236</v>
      </c>
      <c r="AN3" s="39">
        <v>45268</v>
      </c>
      <c r="AO3" s="39"/>
      <c r="AP3" s="39"/>
      <c r="AQ3" s="39"/>
      <c r="AR3" s="39"/>
      <c r="AS3" s="39"/>
      <c r="AT3" s="39"/>
    </row>
    <row r="4" spans="1:46">
      <c r="A4" s="40" t="s">
        <v>160</v>
      </c>
    </row>
    <row r="5" spans="1:46">
      <c r="A5" s="41" t="s">
        <v>31</v>
      </c>
      <c r="B5" s="42">
        <f>'[1]Balance Sheet'!C26</f>
        <v>0</v>
      </c>
      <c r="C5" s="42">
        <f>'Balance Sheet'!D26</f>
        <v>48908378.460000001</v>
      </c>
      <c r="D5" s="42">
        <f>'Balance Sheet'!E26</f>
        <v>46362546.879999995</v>
      </c>
      <c r="E5" s="42">
        <f>'Balance Sheet'!F26</f>
        <v>46457947.979999997</v>
      </c>
      <c r="F5" s="42">
        <f>'Balance Sheet'!G26</f>
        <v>44304.909999999996</v>
      </c>
      <c r="G5" s="42">
        <f>'Balance Sheet'!H26</f>
        <v>45340261.019999996</v>
      </c>
      <c r="H5" s="42">
        <f>'Balance Sheet'!I26</f>
        <v>46632288.649999999</v>
      </c>
      <c r="I5" s="42">
        <f>'Balance Sheet'!J26</f>
        <v>41045077.600000001</v>
      </c>
      <c r="J5" s="42">
        <f>'Balance Sheet'!K26</f>
        <v>41276160.289999999</v>
      </c>
      <c r="K5" s="42">
        <f>'Balance Sheet'!L26</f>
        <v>43080185.449999996</v>
      </c>
      <c r="L5" s="42">
        <f>'Balance Sheet'!M26</f>
        <v>42093035.129999995</v>
      </c>
      <c r="M5" s="42">
        <f>'Balance Sheet'!N26</f>
        <v>41795781.25</v>
      </c>
      <c r="N5" s="42">
        <f>'Balance Sheet'!O26</f>
        <v>49793828</v>
      </c>
      <c r="O5" s="42">
        <f>'Balance Sheet'!P26</f>
        <v>40099726.799999997</v>
      </c>
      <c r="P5" s="42">
        <f>'Balance Sheet'!Q26</f>
        <v>40195243.710000001</v>
      </c>
      <c r="Q5" s="42">
        <f>'Balance Sheet'!R26</f>
        <v>49877559.969999999</v>
      </c>
      <c r="R5" s="42">
        <f>'Balance Sheet'!S26</f>
        <v>49793664.070000008</v>
      </c>
      <c r="S5" s="42">
        <f>'Balance Sheet'!T26</f>
        <v>46702708.370000005</v>
      </c>
      <c r="T5" s="42">
        <f>'Balance Sheet'!U26</f>
        <v>46443109.609999999</v>
      </c>
      <c r="U5" s="42">
        <f>'Balance Sheet'!V26</f>
        <v>49537548.509999998</v>
      </c>
      <c r="V5" s="42">
        <f>'Balance Sheet'!W26</f>
        <v>49120963.399999999</v>
      </c>
      <c r="W5" s="42">
        <f>'Balance Sheet'!X26</f>
        <v>48478697.509999998</v>
      </c>
      <c r="X5" s="42">
        <f>'Balance Sheet'!Y26</f>
        <v>49729016.210000001</v>
      </c>
      <c r="Y5" s="42">
        <f>'Balance Sheet'!Z26</f>
        <v>49092477.509999998</v>
      </c>
      <c r="Z5" s="42">
        <f>'Balance Sheet'!AA26</f>
        <v>50135719.549999997</v>
      </c>
      <c r="AA5" s="42">
        <f>'Balance Sheet'!AB26</f>
        <v>56660235</v>
      </c>
      <c r="AB5" s="42">
        <f>'Balance Sheet'!AC26</f>
        <v>60579585</v>
      </c>
      <c r="AC5" s="42">
        <f>'Balance Sheet'!AD26</f>
        <v>49417493.590000004</v>
      </c>
      <c r="AD5" s="42">
        <f>'Balance Sheet'!AE26</f>
        <v>51584393.5</v>
      </c>
      <c r="AE5" s="42">
        <f>'Balance Sheet'!AF26</f>
        <v>50630896.109999999</v>
      </c>
      <c r="AF5" s="42">
        <f>'Balance Sheet'!AG26</f>
        <v>47604758.569999993</v>
      </c>
      <c r="AG5" s="42">
        <f>'Balance Sheet'!AH26</f>
        <v>47738111.669999994</v>
      </c>
      <c r="AH5" s="42">
        <f>'Balance Sheet'!AI26</f>
        <v>47562450.649999999</v>
      </c>
      <c r="AI5" s="42">
        <f>'Balance Sheet'!AJ26</f>
        <v>0</v>
      </c>
      <c r="AJ5" s="42">
        <f>'Balance Sheet'!AK26</f>
        <v>0</v>
      </c>
      <c r="AK5" s="42">
        <f>'Balance Sheet'!AL26</f>
        <v>0</v>
      </c>
      <c r="AL5" s="42">
        <f>'Balance Sheet'!AM26</f>
        <v>0</v>
      </c>
      <c r="AM5" s="42">
        <f>'Balance Sheet'!AN26</f>
        <v>0</v>
      </c>
      <c r="AN5" s="205">
        <f>'Balance Sheet'!AO26</f>
        <v>0</v>
      </c>
      <c r="AO5" s="200"/>
      <c r="AP5" s="200"/>
      <c r="AQ5" s="200"/>
      <c r="AR5" s="200"/>
      <c r="AS5" s="200"/>
      <c r="AT5" s="200"/>
    </row>
    <row r="6" spans="1:46" ht="12.75">
      <c r="A6" s="43" t="s">
        <v>136</v>
      </c>
      <c r="B6" s="44">
        <f t="shared" ref="B6:C6" si="0">B7+B8</f>
        <v>0</v>
      </c>
      <c r="C6" s="44">
        <f t="shared" si="0"/>
        <v>24569322.460000001</v>
      </c>
      <c r="D6" s="44">
        <f t="shared" ref="D6:N6" si="1">D7+D8</f>
        <v>24192887.879999999</v>
      </c>
      <c r="E6" s="44">
        <f t="shared" si="1"/>
        <v>24069250.98</v>
      </c>
      <c r="F6" s="44">
        <f t="shared" si="1"/>
        <v>22213.980000000003</v>
      </c>
      <c r="G6" s="44">
        <f t="shared" si="1"/>
        <v>23095814.350000001</v>
      </c>
      <c r="H6" s="44">
        <f t="shared" si="1"/>
        <v>21936493.350000001</v>
      </c>
      <c r="I6" s="44">
        <f t="shared" si="1"/>
        <v>22111020.350000001</v>
      </c>
      <c r="J6" s="44">
        <f t="shared" si="1"/>
        <v>22303080.350000001</v>
      </c>
      <c r="K6" s="44">
        <f t="shared" si="1"/>
        <v>23043476.350000001</v>
      </c>
      <c r="L6" s="44">
        <f t="shared" si="1"/>
        <v>23239976.350000001</v>
      </c>
      <c r="M6" s="44">
        <f t="shared" si="1"/>
        <v>23069976.990000002</v>
      </c>
      <c r="N6" s="44">
        <f t="shared" si="1"/>
        <v>23069977</v>
      </c>
      <c r="O6" s="44">
        <f t="shared" ref="O6:S6" si="2">O7+O8</f>
        <v>23724876.990000002</v>
      </c>
      <c r="P6" s="44">
        <f t="shared" si="2"/>
        <v>23158056.879999999</v>
      </c>
      <c r="Q6" s="44">
        <f t="shared" si="2"/>
        <v>30147084.879999999</v>
      </c>
      <c r="R6" s="44">
        <f t="shared" si="2"/>
        <v>30027084.879999999</v>
      </c>
      <c r="S6" s="44">
        <f t="shared" si="2"/>
        <v>27927084.879999999</v>
      </c>
      <c r="T6" s="44">
        <f t="shared" ref="T6:AA6" si="3">T7+T8</f>
        <v>27027084.879999999</v>
      </c>
      <c r="U6" s="44">
        <f t="shared" si="3"/>
        <v>30660963.649999999</v>
      </c>
      <c r="V6" s="44">
        <f t="shared" si="3"/>
        <v>29660963.649999999</v>
      </c>
      <c r="W6" s="44">
        <f t="shared" si="3"/>
        <v>29293784.879999999</v>
      </c>
      <c r="X6" s="44">
        <f t="shared" si="3"/>
        <v>30204070.73</v>
      </c>
      <c r="Y6" s="44">
        <f t="shared" si="3"/>
        <v>29304070.73</v>
      </c>
      <c r="Z6" s="44">
        <f t="shared" si="3"/>
        <v>29711070.73</v>
      </c>
      <c r="AA6" s="44">
        <f t="shared" ref="AA6:AL6" si="4">AA7+AA8</f>
        <v>29711071</v>
      </c>
      <c r="AB6" s="44">
        <f t="shared" si="4"/>
        <v>27409000</v>
      </c>
      <c r="AC6" s="44">
        <f t="shared" si="4"/>
        <v>29830000</v>
      </c>
      <c r="AD6" s="44">
        <f t="shared" si="4"/>
        <v>31915000</v>
      </c>
      <c r="AE6" s="44">
        <f t="shared" si="4"/>
        <v>30985502.609999999</v>
      </c>
      <c r="AF6" s="44">
        <f t="shared" si="4"/>
        <v>28312177.07</v>
      </c>
      <c r="AG6" s="44">
        <f t="shared" si="4"/>
        <v>28430208.969999999</v>
      </c>
      <c r="AH6" s="44">
        <f t="shared" si="4"/>
        <v>32401415.699999999</v>
      </c>
      <c r="AI6" s="44">
        <f t="shared" ref="AI6:AS6" si="5">AI7+AI8</f>
        <v>0</v>
      </c>
      <c r="AJ6" s="44">
        <f t="shared" si="5"/>
        <v>0</v>
      </c>
      <c r="AK6" s="44">
        <f t="shared" si="5"/>
        <v>0</v>
      </c>
      <c r="AL6" s="44">
        <f t="shared" si="5"/>
        <v>0</v>
      </c>
      <c r="AM6" s="44">
        <f t="shared" si="5"/>
        <v>0</v>
      </c>
      <c r="AN6" s="206">
        <f t="shared" si="5"/>
        <v>0</v>
      </c>
      <c r="AO6" s="201"/>
      <c r="AP6" s="201"/>
      <c r="AQ6" s="201"/>
      <c r="AR6" s="201"/>
      <c r="AS6" s="201"/>
      <c r="AT6" s="201"/>
    </row>
    <row r="7" spans="1:46">
      <c r="A7" s="45" t="s">
        <v>161</v>
      </c>
      <c r="B7" s="42">
        <f>'[1]Balance Sheet'!C29</f>
        <v>0</v>
      </c>
      <c r="C7" s="42">
        <f>'Balance Sheet'!D29</f>
        <v>17196600</v>
      </c>
      <c r="D7" s="42">
        <f>'Balance Sheet'!E29</f>
        <v>17866325</v>
      </c>
      <c r="E7" s="42">
        <f>'Balance Sheet'!F29</f>
        <v>17896600</v>
      </c>
      <c r="F7" s="42">
        <f>'Balance Sheet'!G29</f>
        <v>18041.330000000002</v>
      </c>
      <c r="G7" s="42">
        <f>'Balance Sheet'!H29</f>
        <v>19185646</v>
      </c>
      <c r="H7" s="42">
        <f>'Balance Sheet'!I29</f>
        <v>17866325</v>
      </c>
      <c r="I7" s="42">
        <f>'Balance Sheet'!J29</f>
        <v>19040852</v>
      </c>
      <c r="J7" s="42">
        <f>'Balance Sheet'!K29</f>
        <v>19052852</v>
      </c>
      <c r="K7" s="42">
        <f>'Balance Sheet'!L29</f>
        <v>19052852</v>
      </c>
      <c r="L7" s="42">
        <f>'Balance Sheet'!M29</f>
        <v>19121352</v>
      </c>
      <c r="M7" s="42">
        <f>'Balance Sheet'!N29</f>
        <v>19121352</v>
      </c>
      <c r="N7" s="42">
        <f>'Balance Sheet'!O29</f>
        <v>19121352</v>
      </c>
      <c r="O7" s="42">
        <f>'Balance Sheet'!P29</f>
        <v>19716252</v>
      </c>
      <c r="P7" s="42">
        <f>'Balance Sheet'!Q29</f>
        <v>20116252</v>
      </c>
      <c r="Q7" s="42">
        <f>'Balance Sheet'!R29</f>
        <v>23669977</v>
      </c>
      <c r="R7" s="42">
        <f>'Balance Sheet'!S29</f>
        <v>23949977</v>
      </c>
      <c r="S7" s="42">
        <f>'Balance Sheet'!T29</f>
        <v>22949977</v>
      </c>
      <c r="T7" s="42">
        <f>'Balance Sheet'!U29</f>
        <v>22949977</v>
      </c>
      <c r="U7" s="42">
        <f>'Balance Sheet'!V29</f>
        <v>23959977</v>
      </c>
      <c r="V7" s="42">
        <f>'Balance Sheet'!W29</f>
        <v>23959977</v>
      </c>
      <c r="W7" s="42">
        <f>'Balance Sheet'!X29</f>
        <v>23685977</v>
      </c>
      <c r="X7" s="42">
        <f>'Balance Sheet'!Y29</f>
        <v>21996252</v>
      </c>
      <c r="Y7" s="42">
        <f>'Balance Sheet'!Z29</f>
        <v>21996252</v>
      </c>
      <c r="Z7" s="42">
        <f>'Balance Sheet'!AA29</f>
        <v>21903252</v>
      </c>
      <c r="AA7" s="42">
        <f>'Balance Sheet'!AB29</f>
        <v>21903252</v>
      </c>
      <c r="AB7" s="42">
        <f>'Balance Sheet'!AC29</f>
        <v>17259000</v>
      </c>
      <c r="AC7" s="42">
        <f>'Balance Sheet'!AD29</f>
        <v>19020000</v>
      </c>
      <c r="AD7" s="42">
        <f>'Balance Sheet'!AE29</f>
        <v>19055000</v>
      </c>
      <c r="AE7" s="42">
        <f>'Balance Sheet'!AF29</f>
        <v>19010000</v>
      </c>
      <c r="AF7" s="42">
        <f>'Balance Sheet'!AG29</f>
        <v>19045000</v>
      </c>
      <c r="AG7" s="42">
        <f>'Balance Sheet'!AH29</f>
        <v>19050730.32</v>
      </c>
      <c r="AH7" s="42">
        <f>'Balance Sheet'!AI29</f>
        <v>19320630.309999999</v>
      </c>
      <c r="AI7" s="42">
        <f>'Balance Sheet'!AJ29</f>
        <v>0</v>
      </c>
      <c r="AJ7" s="42">
        <f>'Balance Sheet'!AK29</f>
        <v>0</v>
      </c>
      <c r="AK7" s="42">
        <f>'Balance Sheet'!AL29</f>
        <v>0</v>
      </c>
      <c r="AL7" s="42">
        <f>'Balance Sheet'!AM29</f>
        <v>0</v>
      </c>
      <c r="AM7" s="42">
        <f>'Balance Sheet'!AN29</f>
        <v>0</v>
      </c>
      <c r="AN7" s="205">
        <f>'Balance Sheet'!AO29</f>
        <v>0</v>
      </c>
      <c r="AO7" s="200"/>
      <c r="AP7" s="200"/>
      <c r="AQ7" s="200"/>
      <c r="AR7" s="200"/>
      <c r="AS7" s="200"/>
      <c r="AT7" s="200"/>
    </row>
    <row r="8" spans="1:46">
      <c r="A8" s="45" t="s">
        <v>162</v>
      </c>
      <c r="B8" s="42">
        <f>'[1]Balance Sheet'!C27</f>
        <v>0</v>
      </c>
      <c r="C8" s="42">
        <f>'Balance Sheet'!D27</f>
        <v>7372722.46</v>
      </c>
      <c r="D8" s="42">
        <f>'Balance Sheet'!E27</f>
        <v>6326562.8799999999</v>
      </c>
      <c r="E8" s="42">
        <f>'Balance Sheet'!F27</f>
        <v>6172650.9800000004</v>
      </c>
      <c r="F8" s="42">
        <f>'Balance Sheet'!G27</f>
        <v>4172.6499999999996</v>
      </c>
      <c r="G8" s="42">
        <f>'Balance Sheet'!H27</f>
        <v>3910168.35</v>
      </c>
      <c r="H8" s="42">
        <f>'Balance Sheet'!I27</f>
        <v>4070168.35</v>
      </c>
      <c r="I8" s="42">
        <f>'Balance Sheet'!J27</f>
        <v>3070168.35</v>
      </c>
      <c r="J8" s="42">
        <f>'Balance Sheet'!K27</f>
        <v>3250228.35</v>
      </c>
      <c r="K8" s="42">
        <f>'Balance Sheet'!L27</f>
        <v>3990624.35</v>
      </c>
      <c r="L8" s="42">
        <f>'Balance Sheet'!M27</f>
        <v>4118624.35</v>
      </c>
      <c r="M8" s="42">
        <f>'Balance Sheet'!N27</f>
        <v>3948624.99</v>
      </c>
      <c r="N8" s="42">
        <f>'Balance Sheet'!O27</f>
        <v>3948625</v>
      </c>
      <c r="O8" s="42">
        <f>'Balance Sheet'!P27</f>
        <v>4008624.99</v>
      </c>
      <c r="P8" s="42">
        <f>'Balance Sheet'!Q27</f>
        <v>3041804.88</v>
      </c>
      <c r="Q8" s="42">
        <f>'Balance Sheet'!R27</f>
        <v>6477107.8799999999</v>
      </c>
      <c r="R8" s="42">
        <f>'Balance Sheet'!S27</f>
        <v>6077107.8799999999</v>
      </c>
      <c r="S8" s="42">
        <f>'Balance Sheet'!T27</f>
        <v>4977107.88</v>
      </c>
      <c r="T8" s="42">
        <f>'Balance Sheet'!U27</f>
        <v>4077107.88</v>
      </c>
      <c r="U8" s="42">
        <f>'Balance Sheet'!V27</f>
        <v>6700986.6500000004</v>
      </c>
      <c r="V8" s="42">
        <f>'Balance Sheet'!W27</f>
        <v>5700986.6500000004</v>
      </c>
      <c r="W8" s="42">
        <f>'Balance Sheet'!X27</f>
        <v>5607807.8799999999</v>
      </c>
      <c r="X8" s="42">
        <f>'Balance Sheet'!Y27</f>
        <v>8207818.7300000004</v>
      </c>
      <c r="Y8" s="42">
        <f>'Balance Sheet'!Z27</f>
        <v>7307818.7300000004</v>
      </c>
      <c r="Z8" s="42">
        <f>'Balance Sheet'!AA27</f>
        <v>7807818.7300000004</v>
      </c>
      <c r="AA8" s="42">
        <f>'Balance Sheet'!AB27</f>
        <v>7807819</v>
      </c>
      <c r="AB8" s="42">
        <f>'Balance Sheet'!AC27</f>
        <v>10150000</v>
      </c>
      <c r="AC8" s="42">
        <f>'Balance Sheet'!AD27</f>
        <v>10810000</v>
      </c>
      <c r="AD8" s="42">
        <f>'Balance Sheet'!AE27</f>
        <v>12860000</v>
      </c>
      <c r="AE8" s="42">
        <f>'Balance Sheet'!AF27</f>
        <v>11975502.609999999</v>
      </c>
      <c r="AF8" s="42">
        <f>'Balance Sheet'!AG27</f>
        <v>9267177.0700000003</v>
      </c>
      <c r="AG8" s="42">
        <f>'Balance Sheet'!AH27</f>
        <v>9379478.6500000004</v>
      </c>
      <c r="AH8" s="42">
        <f>'Balance Sheet'!AI27</f>
        <v>13080785.390000001</v>
      </c>
      <c r="AI8" s="42">
        <f>'Balance Sheet'!AJ27</f>
        <v>0</v>
      </c>
      <c r="AJ8" s="42">
        <f>'Balance Sheet'!AK27</f>
        <v>0</v>
      </c>
      <c r="AK8" s="42">
        <f>'Balance Sheet'!AL27</f>
        <v>0</v>
      </c>
      <c r="AL8" s="42">
        <f>'Balance Sheet'!AM27</f>
        <v>0</v>
      </c>
      <c r="AM8" s="42">
        <f>'Balance Sheet'!AN27</f>
        <v>0</v>
      </c>
      <c r="AN8" s="205">
        <f>'Balance Sheet'!AO27</f>
        <v>0</v>
      </c>
      <c r="AO8" s="200"/>
      <c r="AP8" s="200"/>
      <c r="AQ8" s="200"/>
      <c r="AR8" s="200"/>
      <c r="AS8" s="200"/>
      <c r="AT8" s="200"/>
    </row>
    <row r="9" spans="1:46">
      <c r="A9" s="45" t="s">
        <v>163</v>
      </c>
      <c r="B9" s="42">
        <f>'[1]Balance Sheet'!C28</f>
        <v>0</v>
      </c>
      <c r="C9" s="42">
        <f>'Balance Sheet'!D28</f>
        <v>1000000</v>
      </c>
      <c r="D9" s="42">
        <f>'Balance Sheet'!E28</f>
        <v>800000</v>
      </c>
      <c r="E9" s="42">
        <f>'Balance Sheet'!F28</f>
        <v>1000000</v>
      </c>
      <c r="F9" s="42">
        <f>'Balance Sheet'!G28</f>
        <v>800</v>
      </c>
      <c r="G9" s="42">
        <f>'Balance Sheet'!H28</f>
        <v>800000</v>
      </c>
      <c r="H9" s="42">
        <f>'Balance Sheet'!I28</f>
        <v>800000</v>
      </c>
      <c r="I9" s="42">
        <f>'Balance Sheet'!J28</f>
        <v>600000</v>
      </c>
      <c r="J9" s="42">
        <f>'Balance Sheet'!K28</f>
        <v>680000</v>
      </c>
      <c r="K9" s="42">
        <f>'Balance Sheet'!L28</f>
        <v>600000</v>
      </c>
      <c r="L9" s="42">
        <f>'Balance Sheet'!M28</f>
        <v>600000</v>
      </c>
      <c r="M9" s="42">
        <f>'Balance Sheet'!N28</f>
        <v>600000</v>
      </c>
      <c r="N9" s="42">
        <f>'Balance Sheet'!O28</f>
        <v>600000</v>
      </c>
      <c r="O9" s="42">
        <f>'Balance Sheet'!P28</f>
        <v>600000</v>
      </c>
      <c r="P9" s="42">
        <f>'Balance Sheet'!Q28</f>
        <v>600000</v>
      </c>
      <c r="Q9" s="42">
        <f>'Balance Sheet'!R28</f>
        <v>600000</v>
      </c>
      <c r="R9" s="42">
        <f>'Balance Sheet'!S28</f>
        <v>600000</v>
      </c>
      <c r="S9" s="42">
        <f>'Balance Sheet'!T28</f>
        <v>600000</v>
      </c>
      <c r="T9" s="42">
        <f>'Balance Sheet'!U28</f>
        <v>800000</v>
      </c>
      <c r="U9" s="42">
        <f>'Balance Sheet'!V28</f>
        <v>600000</v>
      </c>
      <c r="V9" s="42">
        <f>'Balance Sheet'!W28</f>
        <v>800000</v>
      </c>
      <c r="W9" s="42">
        <f>'Balance Sheet'!X28</f>
        <v>800000</v>
      </c>
      <c r="X9" s="42">
        <f>'Balance Sheet'!Y28</f>
        <v>800000</v>
      </c>
      <c r="Y9" s="42">
        <f>'Balance Sheet'!Z28</f>
        <v>800000</v>
      </c>
      <c r="Z9" s="42">
        <f>'Balance Sheet'!AA28</f>
        <v>800000</v>
      </c>
      <c r="AA9" s="42">
        <f>'Balance Sheet'!AB28</f>
        <v>800000</v>
      </c>
      <c r="AB9" s="42">
        <f>'Balance Sheet'!AC28</f>
        <v>1270000</v>
      </c>
      <c r="AC9" s="42">
        <f>'Balance Sheet'!AD28</f>
        <v>1250000</v>
      </c>
      <c r="AD9" s="42">
        <f>'Balance Sheet'!AE28</f>
        <v>1330000</v>
      </c>
      <c r="AE9" s="42">
        <f>'Balance Sheet'!AF28</f>
        <v>1304000</v>
      </c>
      <c r="AF9" s="42">
        <f>'Balance Sheet'!AG28</f>
        <v>951188</v>
      </c>
      <c r="AG9" s="42">
        <f>'Balance Sheet'!AH28</f>
        <v>966509.2</v>
      </c>
      <c r="AH9" s="42">
        <f>'Balance Sheet'!AI28</f>
        <v>971466.05</v>
      </c>
      <c r="AI9" s="42">
        <f>'Balance Sheet'!AJ28</f>
        <v>0</v>
      </c>
      <c r="AJ9" s="42">
        <f>'Balance Sheet'!AK28</f>
        <v>0</v>
      </c>
      <c r="AK9" s="42">
        <f>'Balance Sheet'!AL28</f>
        <v>0</v>
      </c>
      <c r="AL9" s="42">
        <f>'Balance Sheet'!AM28</f>
        <v>0</v>
      </c>
      <c r="AM9" s="42">
        <f>'Balance Sheet'!AN28</f>
        <v>0</v>
      </c>
      <c r="AN9" s="205">
        <f>'Balance Sheet'!AO28</f>
        <v>0</v>
      </c>
      <c r="AO9" s="200"/>
      <c r="AP9" s="200"/>
      <c r="AQ9" s="200"/>
      <c r="AR9" s="200"/>
      <c r="AS9" s="200"/>
      <c r="AT9" s="200"/>
    </row>
    <row r="10" spans="1:46">
      <c r="A10" s="41" t="s">
        <v>145</v>
      </c>
      <c r="B10" s="42">
        <f>'[1]Balance Sheet'!C37</f>
        <v>0</v>
      </c>
      <c r="C10" s="42">
        <f>'Balance Sheet'!D37</f>
        <v>2646530</v>
      </c>
      <c r="D10" s="42">
        <f>'Balance Sheet'!E37</f>
        <v>2415998</v>
      </c>
      <c r="E10" s="42">
        <f>'Balance Sheet'!F37</f>
        <v>2246430</v>
      </c>
      <c r="F10" s="42">
        <f>'Balance Sheet'!G37</f>
        <v>2046.43</v>
      </c>
      <c r="G10" s="42">
        <f>'Balance Sheet'!H37</f>
        <v>1899331.3</v>
      </c>
      <c r="H10" s="42">
        <f>'Balance Sheet'!I37</f>
        <v>1799331.3</v>
      </c>
      <c r="I10" s="42">
        <f>'Balance Sheet'!J37</f>
        <v>998032</v>
      </c>
      <c r="J10" s="42">
        <f>'Balance Sheet'!K37</f>
        <v>918755.33</v>
      </c>
      <c r="K10" s="42">
        <f>'Balance Sheet'!L37</f>
        <v>814756.33</v>
      </c>
      <c r="L10" s="42">
        <f>'Balance Sheet'!M37</f>
        <v>0</v>
      </c>
      <c r="M10" s="42">
        <f>'Balance Sheet'!N37</f>
        <v>0</v>
      </c>
      <c r="N10" s="42">
        <f>'Balance Sheet'!O37</f>
        <v>0</v>
      </c>
      <c r="O10" s="42">
        <f>'Balance Sheet'!P37</f>
        <v>0</v>
      </c>
      <c r="P10" s="42">
        <f>'Balance Sheet'!Q37</f>
        <v>0</v>
      </c>
      <c r="Q10" s="42">
        <f>'Balance Sheet'!R37</f>
        <v>0</v>
      </c>
      <c r="R10" s="42">
        <f>'Balance Sheet'!S37</f>
        <v>0</v>
      </c>
      <c r="S10" s="42">
        <f>'Balance Sheet'!T37</f>
        <v>0</v>
      </c>
      <c r="T10" s="42">
        <f>'Balance Sheet'!U37</f>
        <v>0</v>
      </c>
      <c r="U10" s="42">
        <f>'Balance Sheet'!V37</f>
        <v>0</v>
      </c>
      <c r="V10" s="42">
        <f>'Balance Sheet'!W37</f>
        <v>0</v>
      </c>
      <c r="W10" s="42">
        <f>'Balance Sheet'!X37</f>
        <v>0</v>
      </c>
      <c r="X10" s="42">
        <f>'Balance Sheet'!Y37</f>
        <v>0</v>
      </c>
      <c r="Y10" s="42">
        <f>'Balance Sheet'!Z37</f>
        <v>0</v>
      </c>
      <c r="Z10" s="42">
        <f>'Balance Sheet'!AA37</f>
        <v>0</v>
      </c>
      <c r="AA10" s="42">
        <f>'Balance Sheet'!AB37</f>
        <v>0</v>
      </c>
      <c r="AB10" s="42">
        <f>'Balance Sheet'!AC37</f>
        <v>2550000</v>
      </c>
      <c r="AC10" s="42">
        <f>'Balance Sheet'!AD37</f>
        <v>0</v>
      </c>
      <c r="AD10" s="42">
        <f>'Balance Sheet'!AE37</f>
        <v>0</v>
      </c>
      <c r="AE10" s="42">
        <f>'Balance Sheet'!AF37</f>
        <v>0</v>
      </c>
      <c r="AF10" s="42">
        <f>'Balance Sheet'!AG37</f>
        <v>0</v>
      </c>
      <c r="AG10" s="42">
        <f>'Balance Sheet'!AH37</f>
        <v>0</v>
      </c>
      <c r="AH10" s="42">
        <f>'Balance Sheet'!AI37</f>
        <v>0</v>
      </c>
      <c r="AI10" s="42">
        <f>'Balance Sheet'!AJ37</f>
        <v>0</v>
      </c>
      <c r="AJ10" s="42">
        <f>'Balance Sheet'!AK37</f>
        <v>0</v>
      </c>
      <c r="AK10" s="42">
        <f>'Balance Sheet'!AL37</f>
        <v>0</v>
      </c>
      <c r="AL10" s="42">
        <f>'Balance Sheet'!AM37</f>
        <v>0</v>
      </c>
      <c r="AM10" s="42">
        <f>'Balance Sheet'!AN37</f>
        <v>0</v>
      </c>
      <c r="AN10" s="205">
        <f>'Balance Sheet'!AO37</f>
        <v>0</v>
      </c>
      <c r="AO10" s="200"/>
      <c r="AP10" s="200"/>
      <c r="AQ10" s="200"/>
      <c r="AR10" s="200"/>
      <c r="AS10" s="200"/>
      <c r="AT10" s="200"/>
    </row>
    <row r="11" spans="1:46">
      <c r="A11" s="41"/>
      <c r="B11" s="42"/>
      <c r="C11" s="42"/>
      <c r="D11" s="42"/>
      <c r="E11" s="42"/>
      <c r="F11" s="42"/>
      <c r="G11" s="42"/>
      <c r="H11" s="42"/>
      <c r="AO11" s="202"/>
      <c r="AP11" s="202"/>
      <c r="AQ11" s="202"/>
      <c r="AR11" s="202"/>
      <c r="AS11" s="202"/>
      <c r="AT11" s="202"/>
    </row>
    <row r="12" spans="1:46">
      <c r="A12" s="46" t="s">
        <v>164</v>
      </c>
      <c r="B12" s="44"/>
      <c r="C12" s="44"/>
      <c r="D12" s="44"/>
      <c r="E12" s="44"/>
      <c r="F12" s="44"/>
      <c r="G12" s="44"/>
      <c r="H12" s="44"/>
      <c r="AO12" s="202"/>
      <c r="AP12" s="202"/>
      <c r="AQ12" s="202"/>
      <c r="AR12" s="202"/>
      <c r="AS12" s="202"/>
      <c r="AT12" s="202"/>
    </row>
    <row r="13" spans="1:46" ht="12.75">
      <c r="A13" s="46" t="s">
        <v>138</v>
      </c>
      <c r="B13" s="44">
        <f t="shared" ref="B13:N13" si="6">B15-B28</f>
        <v>0</v>
      </c>
      <c r="C13" s="44">
        <f>C15-C28</f>
        <v>18706275</v>
      </c>
      <c r="D13" s="44">
        <f t="shared" si="6"/>
        <v>18953661</v>
      </c>
      <c r="E13" s="44">
        <f t="shared" si="6"/>
        <v>19142267</v>
      </c>
      <c r="F13" s="44">
        <f t="shared" si="6"/>
        <v>19244.489999999998</v>
      </c>
      <c r="G13" s="44">
        <f t="shared" si="6"/>
        <v>21996464</v>
      </c>
      <c r="H13" s="44">
        <f t="shared" si="6"/>
        <v>22096464</v>
      </c>
      <c r="I13" s="44">
        <f t="shared" si="6"/>
        <v>17336025</v>
      </c>
      <c r="J13" s="44">
        <f t="shared" si="6"/>
        <v>17618603.609999999</v>
      </c>
      <c r="K13" s="44">
        <f t="shared" si="6"/>
        <v>17953588.82</v>
      </c>
      <c r="L13" s="44">
        <f t="shared" si="6"/>
        <v>18253396.829999998</v>
      </c>
      <c r="M13" s="44">
        <f t="shared" si="6"/>
        <v>18407216.829999998</v>
      </c>
      <c r="N13" s="44">
        <f t="shared" si="6"/>
        <v>21805446</v>
      </c>
      <c r="O13" s="44">
        <f t="shared" ref="O13:S13" si="7">O15-O28</f>
        <v>16401196.92</v>
      </c>
      <c r="P13" s="44">
        <f t="shared" si="7"/>
        <v>16559131.92</v>
      </c>
      <c r="Q13" s="44">
        <f t="shared" si="7"/>
        <v>17059585.920000002</v>
      </c>
      <c r="R13" s="44">
        <f t="shared" si="7"/>
        <v>17179048.370000001</v>
      </c>
      <c r="S13" s="44">
        <f t="shared" si="7"/>
        <v>17314683.449999999</v>
      </c>
      <c r="T13" s="44">
        <f t="shared" ref="T13:Z13" si="8">T15-T28</f>
        <v>17563911.490000002</v>
      </c>
      <c r="U13" s="44">
        <f t="shared" si="8"/>
        <v>17858649.66</v>
      </c>
      <c r="V13" s="44">
        <f t="shared" si="8"/>
        <v>18286773.740000002</v>
      </c>
      <c r="W13" s="44">
        <f t="shared" si="8"/>
        <v>18011684.890000001</v>
      </c>
      <c r="X13" s="44">
        <f t="shared" si="8"/>
        <v>18345039.629999999</v>
      </c>
      <c r="Y13" s="44">
        <f t="shared" si="8"/>
        <v>18606339.68</v>
      </c>
      <c r="Z13" s="44">
        <f t="shared" si="8"/>
        <v>19272508.68</v>
      </c>
      <c r="AA13" s="44">
        <f t="shared" ref="AA13:AL13" si="9">AA15-AA28</f>
        <v>22818609</v>
      </c>
      <c r="AB13" s="44">
        <f t="shared" si="9"/>
        <v>22971025</v>
      </c>
      <c r="AC13" s="44">
        <f t="shared" si="9"/>
        <v>17984493.5</v>
      </c>
      <c r="AD13" s="44">
        <f t="shared" si="9"/>
        <v>17986393.5</v>
      </c>
      <c r="AE13" s="44">
        <f t="shared" si="9"/>
        <v>17988393.5</v>
      </c>
      <c r="AF13" s="44">
        <f t="shared" si="9"/>
        <v>17988393.5</v>
      </c>
      <c r="AG13" s="44">
        <f t="shared" si="9"/>
        <v>17988393.5</v>
      </c>
      <c r="AH13" s="44">
        <f t="shared" si="9"/>
        <v>13608212.9</v>
      </c>
      <c r="AI13" s="44">
        <f t="shared" ref="AI13:AS13" si="10">AI15-AI28</f>
        <v>0</v>
      </c>
      <c r="AJ13" s="44">
        <f t="shared" si="10"/>
        <v>0</v>
      </c>
      <c r="AK13" s="44">
        <f t="shared" si="10"/>
        <v>0</v>
      </c>
      <c r="AL13" s="44">
        <f t="shared" si="10"/>
        <v>0</v>
      </c>
      <c r="AM13" s="44">
        <f t="shared" si="10"/>
        <v>0</v>
      </c>
      <c r="AN13" s="206">
        <f t="shared" si="10"/>
        <v>0</v>
      </c>
      <c r="AO13" s="201"/>
      <c r="AP13" s="201"/>
      <c r="AQ13" s="201"/>
      <c r="AR13" s="201"/>
      <c r="AS13" s="201"/>
      <c r="AT13" s="201"/>
    </row>
    <row r="14" spans="1:46" ht="12.75">
      <c r="A14" s="46" t="s">
        <v>139</v>
      </c>
      <c r="B14" s="44">
        <f t="shared" ref="B14:N14" si="11">B13-B16</f>
        <v>0</v>
      </c>
      <c r="C14" s="44">
        <f t="shared" si="11"/>
        <v>6803046</v>
      </c>
      <c r="D14" s="44">
        <f t="shared" si="11"/>
        <v>7050432</v>
      </c>
      <c r="E14" s="44">
        <f t="shared" si="11"/>
        <v>7239038</v>
      </c>
      <c r="F14" s="44">
        <f t="shared" si="11"/>
        <v>7341.2599999999984</v>
      </c>
      <c r="G14" s="44">
        <f t="shared" si="11"/>
        <v>10093235</v>
      </c>
      <c r="H14" s="44">
        <f t="shared" si="11"/>
        <v>10193235</v>
      </c>
      <c r="I14" s="44">
        <f t="shared" si="11"/>
        <v>5432796</v>
      </c>
      <c r="J14" s="44">
        <f t="shared" si="11"/>
        <v>5715374.6099999994</v>
      </c>
      <c r="K14" s="44">
        <f t="shared" si="11"/>
        <v>6050359.8200000003</v>
      </c>
      <c r="L14" s="44">
        <f t="shared" si="11"/>
        <v>6350167.8299999982</v>
      </c>
      <c r="M14" s="44">
        <f t="shared" si="11"/>
        <v>6503987.8299999982</v>
      </c>
      <c r="N14" s="44">
        <f t="shared" si="11"/>
        <v>9819217</v>
      </c>
      <c r="O14" s="44">
        <f t="shared" ref="O14:S14" si="12">O13-O16</f>
        <v>4497967.92</v>
      </c>
      <c r="P14" s="44">
        <f t="shared" si="12"/>
        <v>4655902.92</v>
      </c>
      <c r="Q14" s="44">
        <f t="shared" si="12"/>
        <v>5073356.9200000018</v>
      </c>
      <c r="R14" s="44">
        <f t="shared" si="12"/>
        <v>5192819.370000001</v>
      </c>
      <c r="S14" s="44">
        <f t="shared" si="12"/>
        <v>5328454.4499999993</v>
      </c>
      <c r="T14" s="44">
        <f t="shared" ref="T14:Z14" si="13">T13-T16</f>
        <v>5577682.4900000021</v>
      </c>
      <c r="U14" s="44">
        <f t="shared" si="13"/>
        <v>5872420.6600000001</v>
      </c>
      <c r="V14" s="44">
        <f t="shared" si="13"/>
        <v>6100544.7400000021</v>
      </c>
      <c r="W14" s="44">
        <f t="shared" si="13"/>
        <v>5825455.8900000006</v>
      </c>
      <c r="X14" s="44">
        <f t="shared" si="13"/>
        <v>6108810.629999999</v>
      </c>
      <c r="Y14" s="44">
        <f t="shared" si="13"/>
        <v>6370110.6799999997</v>
      </c>
      <c r="Z14" s="44">
        <f t="shared" si="13"/>
        <v>7036279.6799999997</v>
      </c>
      <c r="AA14" s="44">
        <f t="shared" ref="AA14:AL14" si="14">AA13-AA16</f>
        <v>10832380</v>
      </c>
      <c r="AB14" s="44">
        <f t="shared" si="14"/>
        <v>9646446</v>
      </c>
      <c r="AC14" s="44">
        <f t="shared" si="14"/>
        <v>4659915.5</v>
      </c>
      <c r="AD14" s="44">
        <f t="shared" si="14"/>
        <v>4659915.5</v>
      </c>
      <c r="AE14" s="44">
        <f t="shared" si="14"/>
        <v>4659915.5</v>
      </c>
      <c r="AF14" s="44">
        <f t="shared" si="14"/>
        <v>4659915.5</v>
      </c>
      <c r="AG14" s="44">
        <f t="shared" si="14"/>
        <v>4659915.5</v>
      </c>
      <c r="AH14" s="44">
        <f t="shared" si="14"/>
        <v>279734.90000000037</v>
      </c>
      <c r="AI14" s="44">
        <f t="shared" ref="AI14:AS14" si="15">AI13-AI16</f>
        <v>0</v>
      </c>
      <c r="AJ14" s="44">
        <f t="shared" si="15"/>
        <v>0</v>
      </c>
      <c r="AK14" s="44">
        <f t="shared" si="15"/>
        <v>0</v>
      </c>
      <c r="AL14" s="44">
        <f t="shared" si="15"/>
        <v>0</v>
      </c>
      <c r="AM14" s="44">
        <f t="shared" si="15"/>
        <v>0</v>
      </c>
      <c r="AN14" s="206">
        <f t="shared" si="15"/>
        <v>0</v>
      </c>
      <c r="AO14" s="201"/>
      <c r="AP14" s="201"/>
      <c r="AQ14" s="201"/>
      <c r="AR14" s="201"/>
      <c r="AS14" s="201"/>
      <c r="AT14" s="201"/>
    </row>
    <row r="15" spans="1:46" ht="12.75">
      <c r="A15" s="46" t="s">
        <v>165</v>
      </c>
      <c r="B15" s="44">
        <f t="shared" ref="B15:N15" si="16">B16+B17+B18+B19+B20+B21</f>
        <v>0</v>
      </c>
      <c r="C15" s="44">
        <f t="shared" si="16"/>
        <v>18706275</v>
      </c>
      <c r="D15" s="44">
        <f t="shared" si="16"/>
        <v>18953661</v>
      </c>
      <c r="E15" s="44">
        <f t="shared" si="16"/>
        <v>19142267</v>
      </c>
      <c r="F15" s="44">
        <f t="shared" si="16"/>
        <v>19244.489999999998</v>
      </c>
      <c r="G15" s="44">
        <f t="shared" si="16"/>
        <v>21996464</v>
      </c>
      <c r="H15" s="44">
        <f t="shared" si="16"/>
        <v>22096464</v>
      </c>
      <c r="I15" s="44">
        <f t="shared" si="16"/>
        <v>17336025</v>
      </c>
      <c r="J15" s="44">
        <f t="shared" si="16"/>
        <v>17618603.609999999</v>
      </c>
      <c r="K15" s="44">
        <f t="shared" si="16"/>
        <v>17953588.82</v>
      </c>
      <c r="L15" s="44">
        <f t="shared" si="16"/>
        <v>18253396.829999998</v>
      </c>
      <c r="M15" s="44">
        <f t="shared" si="16"/>
        <v>18407216.829999998</v>
      </c>
      <c r="N15" s="44">
        <f t="shared" si="16"/>
        <v>21805446</v>
      </c>
      <c r="O15" s="44">
        <f t="shared" ref="O15:S15" si="17">O16+O17+O18+O19+O20+O21</f>
        <v>16401196.92</v>
      </c>
      <c r="P15" s="44">
        <f t="shared" si="17"/>
        <v>16559131.92</v>
      </c>
      <c r="Q15" s="44">
        <f t="shared" si="17"/>
        <v>17059585.920000002</v>
      </c>
      <c r="R15" s="44">
        <f t="shared" si="17"/>
        <v>17179048.370000001</v>
      </c>
      <c r="S15" s="44">
        <f t="shared" si="17"/>
        <v>17314683.449999999</v>
      </c>
      <c r="T15" s="44">
        <f t="shared" ref="T15:Z15" si="18">T16+T17+T18+T19+T20+T21</f>
        <v>17563911.490000002</v>
      </c>
      <c r="U15" s="44">
        <f t="shared" si="18"/>
        <v>17858649.66</v>
      </c>
      <c r="V15" s="44">
        <f t="shared" si="18"/>
        <v>18286773.740000002</v>
      </c>
      <c r="W15" s="44">
        <f t="shared" si="18"/>
        <v>18011684.890000001</v>
      </c>
      <c r="X15" s="44">
        <f t="shared" si="18"/>
        <v>18345039.629999999</v>
      </c>
      <c r="Y15" s="44">
        <f t="shared" si="18"/>
        <v>18606339.68</v>
      </c>
      <c r="Z15" s="44">
        <f t="shared" si="18"/>
        <v>19272508.68</v>
      </c>
      <c r="AA15" s="44">
        <f t="shared" ref="AA15:AL15" si="19">AA16+AA17+AA18+AA19+AA20+AA21</f>
        <v>22818609</v>
      </c>
      <c r="AB15" s="44">
        <f t="shared" si="19"/>
        <v>22971025</v>
      </c>
      <c r="AC15" s="44">
        <f t="shared" si="19"/>
        <v>17984493.5</v>
      </c>
      <c r="AD15" s="44">
        <f t="shared" si="19"/>
        <v>17986393.5</v>
      </c>
      <c r="AE15" s="44">
        <f t="shared" si="19"/>
        <v>17988393.5</v>
      </c>
      <c r="AF15" s="44">
        <f t="shared" si="19"/>
        <v>17988393.5</v>
      </c>
      <c r="AG15" s="44">
        <f t="shared" si="19"/>
        <v>17988393.5</v>
      </c>
      <c r="AH15" s="44">
        <f t="shared" si="19"/>
        <v>13608212.9</v>
      </c>
      <c r="AI15" s="44">
        <f t="shared" ref="AI15:AS15" si="20">AI16+AI17+AI18+AI19+AI20+AI21</f>
        <v>0</v>
      </c>
      <c r="AJ15" s="44">
        <f t="shared" si="20"/>
        <v>0</v>
      </c>
      <c r="AK15" s="44">
        <f t="shared" si="20"/>
        <v>0</v>
      </c>
      <c r="AL15" s="44">
        <f t="shared" si="20"/>
        <v>0</v>
      </c>
      <c r="AM15" s="44">
        <f t="shared" si="20"/>
        <v>0</v>
      </c>
      <c r="AN15" s="206">
        <f t="shared" si="20"/>
        <v>0</v>
      </c>
      <c r="AO15" s="201"/>
      <c r="AP15" s="201"/>
      <c r="AQ15" s="201"/>
      <c r="AR15" s="201"/>
      <c r="AS15" s="201"/>
      <c r="AT15" s="201"/>
    </row>
    <row r="16" spans="1:46">
      <c r="A16" s="47" t="s">
        <v>166</v>
      </c>
      <c r="B16" s="42">
        <f>'[1]Balance Sheet'!C39</f>
        <v>0</v>
      </c>
      <c r="C16" s="42">
        <f>'Balance Sheet'!D39</f>
        <v>11903229</v>
      </c>
      <c r="D16" s="42">
        <f>'Balance Sheet'!E39</f>
        <v>11903229</v>
      </c>
      <c r="E16" s="42">
        <f>'Balance Sheet'!F39</f>
        <v>11903229</v>
      </c>
      <c r="F16" s="42">
        <f>'Balance Sheet'!G39</f>
        <v>11903.23</v>
      </c>
      <c r="G16" s="42">
        <f>'Balance Sheet'!H39</f>
        <v>11903229</v>
      </c>
      <c r="H16" s="42">
        <f>'Balance Sheet'!I39</f>
        <v>11903229</v>
      </c>
      <c r="I16" s="42">
        <f>'Balance Sheet'!J39</f>
        <v>11903229</v>
      </c>
      <c r="J16" s="42">
        <f>'Balance Sheet'!K39</f>
        <v>11903229</v>
      </c>
      <c r="K16" s="42">
        <f>'Balance Sheet'!L39</f>
        <v>11903229</v>
      </c>
      <c r="L16" s="42">
        <f>'Balance Sheet'!M39</f>
        <v>11903229</v>
      </c>
      <c r="M16" s="42">
        <f>'Balance Sheet'!N39</f>
        <v>11903229</v>
      </c>
      <c r="N16" s="42">
        <f>'Balance Sheet'!O39</f>
        <v>11986229</v>
      </c>
      <c r="O16" s="42">
        <f>'Balance Sheet'!P39</f>
        <v>11903229</v>
      </c>
      <c r="P16" s="42">
        <f>'Balance Sheet'!Q39</f>
        <v>11903229</v>
      </c>
      <c r="Q16" s="42">
        <f>'Balance Sheet'!R39</f>
        <v>11986229</v>
      </c>
      <c r="R16" s="42">
        <f>'Balance Sheet'!S39</f>
        <v>11986229</v>
      </c>
      <c r="S16" s="42">
        <f>'Balance Sheet'!T39</f>
        <v>11986229</v>
      </c>
      <c r="T16" s="42">
        <f>'Balance Sheet'!U39</f>
        <v>11986229</v>
      </c>
      <c r="U16" s="42">
        <f>'Balance Sheet'!V39</f>
        <v>11986229</v>
      </c>
      <c r="V16" s="42">
        <f>'Balance Sheet'!W39</f>
        <v>12186229</v>
      </c>
      <c r="W16" s="42">
        <f>'Balance Sheet'!X39</f>
        <v>12186229</v>
      </c>
      <c r="X16" s="42">
        <f>'Balance Sheet'!Y39</f>
        <v>12236229</v>
      </c>
      <c r="Y16" s="42">
        <f>'Balance Sheet'!Z39</f>
        <v>12236229</v>
      </c>
      <c r="Z16" s="42">
        <f>'Balance Sheet'!AA39</f>
        <v>12236229</v>
      </c>
      <c r="AA16" s="42">
        <f>'Balance Sheet'!AB39</f>
        <v>11986229</v>
      </c>
      <c r="AB16" s="42">
        <f>'Balance Sheet'!AC39</f>
        <v>13324579</v>
      </c>
      <c r="AC16" s="42">
        <f>'Balance Sheet'!AD39</f>
        <v>13324578</v>
      </c>
      <c r="AD16" s="42">
        <f>'Balance Sheet'!AE39</f>
        <v>13326478</v>
      </c>
      <c r="AE16" s="42">
        <f>'Balance Sheet'!AF39</f>
        <v>13328478</v>
      </c>
      <c r="AF16" s="42">
        <f>'Balance Sheet'!AG39</f>
        <v>13328478</v>
      </c>
      <c r="AG16" s="42">
        <f>'Balance Sheet'!AH39</f>
        <v>13328478</v>
      </c>
      <c r="AH16" s="42">
        <f>'Balance Sheet'!AI39</f>
        <v>13328478</v>
      </c>
      <c r="AI16" s="42">
        <f>'Balance Sheet'!AJ39</f>
        <v>0</v>
      </c>
      <c r="AJ16" s="42">
        <f>'Balance Sheet'!AK39</f>
        <v>0</v>
      </c>
      <c r="AK16" s="42">
        <f>'Balance Sheet'!AL39</f>
        <v>0</v>
      </c>
      <c r="AL16" s="42">
        <f>'Balance Sheet'!AM39</f>
        <v>0</v>
      </c>
      <c r="AM16" s="42">
        <f>'Balance Sheet'!AN39</f>
        <v>0</v>
      </c>
      <c r="AN16" s="205">
        <f>'Balance Sheet'!AO39</f>
        <v>0</v>
      </c>
      <c r="AO16" s="200"/>
      <c r="AP16" s="200"/>
      <c r="AQ16" s="200"/>
      <c r="AR16" s="200"/>
      <c r="AS16" s="200"/>
      <c r="AT16" s="200"/>
    </row>
    <row r="17" spans="1:46">
      <c r="A17" s="41" t="s">
        <v>167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AO17" s="202"/>
      <c r="AP17" s="202"/>
      <c r="AQ17" s="202"/>
      <c r="AR17" s="202"/>
      <c r="AS17" s="202"/>
      <c r="AT17" s="202"/>
    </row>
    <row r="18" spans="1:46">
      <c r="A18" s="41" t="s">
        <v>46</v>
      </c>
      <c r="B18" s="42">
        <f>'[1]Balance Sheet'!C41</f>
        <v>0</v>
      </c>
      <c r="C18" s="42">
        <f>'Balance Sheet'!D41</f>
        <v>4226429</v>
      </c>
      <c r="D18" s="42">
        <f>'Balance Sheet'!E41</f>
        <v>4473815</v>
      </c>
      <c r="E18" s="42">
        <f>'Balance Sheet'!F41</f>
        <v>4662421</v>
      </c>
      <c r="F18" s="42">
        <f>'Balance Sheet'!G41</f>
        <v>4764.6400000000003</v>
      </c>
      <c r="G18" s="42">
        <f>'Balance Sheet'!H41</f>
        <v>7042856</v>
      </c>
      <c r="H18" s="42">
        <f>'Balance Sheet'!I41</f>
        <v>7142856</v>
      </c>
      <c r="I18" s="42">
        <f>'Balance Sheet'!J41</f>
        <v>2735417</v>
      </c>
      <c r="J18" s="42">
        <f>'Balance Sheet'!K41</f>
        <v>3017995.6100000003</v>
      </c>
      <c r="K18" s="42">
        <f>'Balance Sheet'!L41</f>
        <v>3352980.8200000003</v>
      </c>
      <c r="L18" s="42">
        <f>'Balance Sheet'!M41</f>
        <v>3652788.83</v>
      </c>
      <c r="M18" s="42">
        <f>'Balance Sheet'!N41</f>
        <v>3806608.83</v>
      </c>
      <c r="N18" s="42">
        <f>'Balance Sheet'!O41</f>
        <v>6532126</v>
      </c>
      <c r="O18" s="42">
        <f>'Balance Sheet'!P41</f>
        <v>1800588.92</v>
      </c>
      <c r="P18" s="42">
        <f>'Balance Sheet'!Q41</f>
        <v>1958523.92</v>
      </c>
      <c r="Q18" s="42">
        <f>'Balance Sheet'!R41</f>
        <v>2139265.92</v>
      </c>
      <c r="R18" s="42">
        <f>'Balance Sheet'!S41</f>
        <v>2258728.37</v>
      </c>
      <c r="S18" s="42">
        <f>'Balance Sheet'!T41</f>
        <v>2394363.4500000002</v>
      </c>
      <c r="T18" s="42">
        <f>'Balance Sheet'!U41</f>
        <v>2643591.4900000002</v>
      </c>
      <c r="U18" s="42">
        <f>'Balance Sheet'!V41</f>
        <v>2938329.66</v>
      </c>
      <c r="V18" s="42">
        <f>'Balance Sheet'!W41</f>
        <v>3166453.74</v>
      </c>
      <c r="W18" s="42">
        <f>'Balance Sheet'!X41</f>
        <v>2891364.8899999997</v>
      </c>
      <c r="X18" s="42">
        <f>'Balance Sheet'!Y41</f>
        <v>3174719.63</v>
      </c>
      <c r="Y18" s="42">
        <f>'Balance Sheet'!Z41</f>
        <v>3436019.6799999997</v>
      </c>
      <c r="Z18" s="42">
        <f>'Balance Sheet'!AA41</f>
        <v>4102188.68</v>
      </c>
      <c r="AA18" s="42">
        <f>'Balance Sheet'!AB41</f>
        <v>7374555</v>
      </c>
      <c r="AB18" s="42">
        <f>'Balance Sheet'!AC41</f>
        <v>6242062</v>
      </c>
      <c r="AC18" s="42">
        <f>'Balance Sheet'!AD41</f>
        <v>1658968.5</v>
      </c>
      <c r="AD18" s="42">
        <f>'Balance Sheet'!AE41</f>
        <v>1658968.5</v>
      </c>
      <c r="AE18" s="42">
        <f>'Balance Sheet'!AF41</f>
        <v>1658968.5</v>
      </c>
      <c r="AF18" s="42">
        <f>'Balance Sheet'!AG41</f>
        <v>1658968.5</v>
      </c>
      <c r="AG18" s="42">
        <f>'Balance Sheet'!AH41</f>
        <v>1658968.5</v>
      </c>
      <c r="AH18" s="42">
        <f>'Balance Sheet'!AI41</f>
        <v>-198470.10000000009</v>
      </c>
      <c r="AI18" s="42">
        <f>'Balance Sheet'!AJ41</f>
        <v>0</v>
      </c>
      <c r="AJ18" s="42">
        <f>'Balance Sheet'!AK41</f>
        <v>0</v>
      </c>
      <c r="AK18" s="42">
        <f>'Balance Sheet'!AL41</f>
        <v>0</v>
      </c>
      <c r="AL18" s="42">
        <f>'Balance Sheet'!AM41</f>
        <v>0</v>
      </c>
      <c r="AM18" s="42">
        <f>'Balance Sheet'!AN41</f>
        <v>0</v>
      </c>
      <c r="AN18" s="205">
        <f>'Balance Sheet'!AO41</f>
        <v>0</v>
      </c>
      <c r="AO18" s="200"/>
      <c r="AP18" s="200"/>
      <c r="AQ18" s="200"/>
      <c r="AR18" s="200"/>
      <c r="AS18" s="200"/>
      <c r="AT18" s="200"/>
    </row>
    <row r="19" spans="1:46">
      <c r="A19" s="41" t="s">
        <v>168</v>
      </c>
      <c r="B19" s="42">
        <f>'[1]Balance Sheet'!C42</f>
        <v>0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AO19" s="202"/>
      <c r="AP19" s="202"/>
      <c r="AQ19" s="202"/>
      <c r="AR19" s="202"/>
      <c r="AS19" s="202"/>
      <c r="AT19" s="202"/>
    </row>
    <row r="20" spans="1:46">
      <c r="A20" s="41" t="s">
        <v>169</v>
      </c>
      <c r="B20" s="42">
        <f>'[1]Balance Sheet'!C45</f>
        <v>0</v>
      </c>
      <c r="C20" s="42">
        <f>'Balance Sheet'!D45</f>
        <v>2223617</v>
      </c>
      <c r="D20" s="42">
        <f>'Balance Sheet'!E45</f>
        <v>2223617</v>
      </c>
      <c r="E20" s="42">
        <f>'Balance Sheet'!F45</f>
        <v>2223617</v>
      </c>
      <c r="F20" s="42">
        <f>'Balance Sheet'!G45</f>
        <v>2223.62</v>
      </c>
      <c r="G20" s="42">
        <f>'Balance Sheet'!H45</f>
        <v>2697379</v>
      </c>
      <c r="H20" s="42">
        <f>'Balance Sheet'!I45</f>
        <v>2697379</v>
      </c>
      <c r="I20" s="42">
        <f>'Balance Sheet'!J45</f>
        <v>2697379</v>
      </c>
      <c r="J20" s="42">
        <f>'Balance Sheet'!K45</f>
        <v>2697379</v>
      </c>
      <c r="K20" s="42">
        <f>'Balance Sheet'!L45</f>
        <v>2697379</v>
      </c>
      <c r="L20" s="42">
        <f>'Balance Sheet'!M45</f>
        <v>2697379</v>
      </c>
      <c r="M20" s="42">
        <f>'Balance Sheet'!N45</f>
        <v>2697379</v>
      </c>
      <c r="N20" s="42">
        <f>'Balance Sheet'!O45</f>
        <v>2934091</v>
      </c>
      <c r="O20" s="42">
        <f>'Balance Sheet'!P45</f>
        <v>2697379</v>
      </c>
      <c r="P20" s="42">
        <f>'Balance Sheet'!Q45</f>
        <v>2697379</v>
      </c>
      <c r="Q20" s="42">
        <f>'Balance Sheet'!R45</f>
        <v>2934091</v>
      </c>
      <c r="R20" s="42">
        <f>'Balance Sheet'!S45</f>
        <v>2934091</v>
      </c>
      <c r="S20" s="42">
        <f>'Balance Sheet'!T45</f>
        <v>2934091</v>
      </c>
      <c r="T20" s="42">
        <f>'Balance Sheet'!U45</f>
        <v>2934091</v>
      </c>
      <c r="U20" s="42">
        <f>'Balance Sheet'!V45</f>
        <v>2934091</v>
      </c>
      <c r="V20" s="42">
        <f>'Balance Sheet'!W45</f>
        <v>2934091</v>
      </c>
      <c r="W20" s="42">
        <f>'Balance Sheet'!X45</f>
        <v>2934091</v>
      </c>
      <c r="X20" s="42">
        <f>'Balance Sheet'!Y45</f>
        <v>2934091</v>
      </c>
      <c r="Y20" s="42">
        <f>'Balance Sheet'!Z45</f>
        <v>2934091</v>
      </c>
      <c r="Z20" s="42">
        <f>'Balance Sheet'!AA45</f>
        <v>2934091</v>
      </c>
      <c r="AA20" s="42">
        <f>'Balance Sheet'!AB45</f>
        <v>3104825</v>
      </c>
      <c r="AB20" s="42">
        <f>'Balance Sheet'!AC45</f>
        <v>3404384</v>
      </c>
      <c r="AC20" s="42">
        <f>'Balance Sheet'!AD45</f>
        <v>3000947</v>
      </c>
      <c r="AD20" s="42">
        <f>'Balance Sheet'!AE45</f>
        <v>3000947</v>
      </c>
      <c r="AE20" s="42">
        <f>'Balance Sheet'!AF45</f>
        <v>3000947</v>
      </c>
      <c r="AF20" s="42">
        <f>'Balance Sheet'!AG45</f>
        <v>3000947</v>
      </c>
      <c r="AG20" s="42">
        <f>'Balance Sheet'!AH45</f>
        <v>3000947</v>
      </c>
      <c r="AH20" s="42">
        <f>'Balance Sheet'!AI45</f>
        <v>478205</v>
      </c>
      <c r="AI20" s="42">
        <f>'Balance Sheet'!AJ45</f>
        <v>0</v>
      </c>
      <c r="AJ20" s="42">
        <f>'Balance Sheet'!AK45</f>
        <v>0</v>
      </c>
      <c r="AK20" s="42">
        <f>'Balance Sheet'!AL45</f>
        <v>0</v>
      </c>
      <c r="AL20" s="42">
        <f>'Balance Sheet'!AM45</f>
        <v>0</v>
      </c>
      <c r="AM20" s="42">
        <f>'Balance Sheet'!AN45</f>
        <v>0</v>
      </c>
      <c r="AN20" s="205">
        <f>'Balance Sheet'!AO45</f>
        <v>0</v>
      </c>
      <c r="AO20" s="200"/>
      <c r="AP20" s="200"/>
      <c r="AQ20" s="200"/>
      <c r="AR20" s="200"/>
      <c r="AS20" s="200"/>
      <c r="AT20" s="200"/>
    </row>
    <row r="21" spans="1:46">
      <c r="A21" s="41" t="s">
        <v>170</v>
      </c>
      <c r="B21" s="42">
        <f>'[1]Balance Sheet'!C46</f>
        <v>0</v>
      </c>
      <c r="C21" s="42">
        <f>'Balance Sheet'!D46</f>
        <v>353000</v>
      </c>
      <c r="D21" s="42">
        <f>'Balance Sheet'!E46</f>
        <v>353000</v>
      </c>
      <c r="E21" s="42">
        <f>'Balance Sheet'!F46</f>
        <v>353000</v>
      </c>
      <c r="F21" s="42">
        <f>'Balance Sheet'!G46</f>
        <v>353</v>
      </c>
      <c r="G21" s="42">
        <f>'Balance Sheet'!H46</f>
        <v>353000</v>
      </c>
      <c r="H21" s="42">
        <f>'Balance Sheet'!I46</f>
        <v>353000</v>
      </c>
      <c r="I21" s="42">
        <f>'Balance Sheet'!J46</f>
        <v>0</v>
      </c>
      <c r="J21" s="42">
        <f>'Balance Sheet'!K46</f>
        <v>0</v>
      </c>
      <c r="K21" s="42">
        <f>'Balance Sheet'!L46</f>
        <v>0</v>
      </c>
      <c r="L21" s="42">
        <f>'Balance Sheet'!M46</f>
        <v>0</v>
      </c>
      <c r="M21" s="42">
        <f>'Balance Sheet'!N46</f>
        <v>0</v>
      </c>
      <c r="N21" s="42">
        <f>'Balance Sheet'!O46</f>
        <v>353000</v>
      </c>
      <c r="O21" s="42">
        <f>'Balance Sheet'!P46</f>
        <v>0</v>
      </c>
      <c r="P21" s="42">
        <f>'Balance Sheet'!Q46</f>
        <v>0</v>
      </c>
      <c r="Q21" s="42">
        <f>'Balance Sheet'!R46</f>
        <v>0</v>
      </c>
      <c r="R21" s="42">
        <f>'Balance Sheet'!S46</f>
        <v>0</v>
      </c>
      <c r="S21" s="42">
        <f>'Balance Sheet'!T46</f>
        <v>0</v>
      </c>
      <c r="T21" s="42">
        <f>'Balance Sheet'!U46</f>
        <v>0</v>
      </c>
      <c r="U21" s="42">
        <f>'Balance Sheet'!V46</f>
        <v>0</v>
      </c>
      <c r="V21" s="42">
        <f>'Balance Sheet'!W46</f>
        <v>0</v>
      </c>
      <c r="W21" s="42">
        <f>'Balance Sheet'!X46</f>
        <v>0</v>
      </c>
      <c r="X21" s="42">
        <f>'Balance Sheet'!Y46</f>
        <v>0</v>
      </c>
      <c r="Y21" s="42">
        <f>'Balance Sheet'!Z46</f>
        <v>0</v>
      </c>
      <c r="Z21" s="42">
        <f>'Balance Sheet'!AA46</f>
        <v>0</v>
      </c>
      <c r="AA21" s="42">
        <f>'Balance Sheet'!AB46</f>
        <v>353000</v>
      </c>
      <c r="AB21" s="42">
        <f>'Balance Sheet'!AC46</f>
        <v>0</v>
      </c>
      <c r="AC21" s="42">
        <f>'Balance Sheet'!AD46</f>
        <v>0</v>
      </c>
      <c r="AD21" s="42">
        <f>'Balance Sheet'!AE46</f>
        <v>0</v>
      </c>
      <c r="AE21" s="42">
        <f>'Balance Sheet'!AF46</f>
        <v>0</v>
      </c>
      <c r="AF21" s="42">
        <f>'Balance Sheet'!AG46</f>
        <v>0</v>
      </c>
      <c r="AG21" s="42">
        <f>'Balance Sheet'!AH46</f>
        <v>0</v>
      </c>
      <c r="AH21" s="42">
        <f>'Balance Sheet'!AI46</f>
        <v>0</v>
      </c>
      <c r="AI21" s="42">
        <f>'Balance Sheet'!AJ46</f>
        <v>0</v>
      </c>
      <c r="AJ21" s="42">
        <f>'Balance Sheet'!AK46</f>
        <v>0</v>
      </c>
      <c r="AK21" s="42">
        <f>'Balance Sheet'!AL46</f>
        <v>0</v>
      </c>
      <c r="AL21" s="42">
        <f>'Balance Sheet'!AM46</f>
        <v>0</v>
      </c>
      <c r="AM21" s="42">
        <f>'Balance Sheet'!AN46</f>
        <v>0</v>
      </c>
      <c r="AN21" s="205">
        <f>'Balance Sheet'!AO46</f>
        <v>0</v>
      </c>
      <c r="AO21" s="200"/>
      <c r="AP21" s="200"/>
      <c r="AQ21" s="200"/>
      <c r="AR21" s="200"/>
      <c r="AS21" s="200"/>
      <c r="AT21" s="200"/>
    </row>
    <row r="22" spans="1:46">
      <c r="A22" s="43" t="s">
        <v>171</v>
      </c>
      <c r="B22" s="42"/>
      <c r="C22" s="42"/>
      <c r="D22" s="42"/>
      <c r="E22" s="42"/>
      <c r="F22" s="42"/>
      <c r="G22" s="42"/>
      <c r="H22" s="42"/>
      <c r="AO22" s="202"/>
      <c r="AP22" s="202"/>
      <c r="AQ22" s="202"/>
      <c r="AR22" s="202"/>
      <c r="AS22" s="202"/>
      <c r="AT22" s="202"/>
    </row>
    <row r="23" spans="1:46">
      <c r="A23" s="41" t="s">
        <v>53</v>
      </c>
      <c r="B23" s="42"/>
      <c r="C23" s="42"/>
      <c r="D23" s="42"/>
      <c r="E23" s="42"/>
      <c r="F23" s="42"/>
      <c r="G23" s="42"/>
      <c r="H23" s="42"/>
      <c r="AO23" s="202"/>
      <c r="AP23" s="202"/>
      <c r="AQ23" s="202"/>
      <c r="AR23" s="202"/>
      <c r="AS23" s="202"/>
      <c r="AT23" s="202"/>
    </row>
    <row r="24" spans="1:46">
      <c r="A24" s="41" t="s">
        <v>172</v>
      </c>
      <c r="B24" s="42"/>
      <c r="C24" s="42"/>
      <c r="D24" s="42"/>
      <c r="E24" s="42"/>
      <c r="F24" s="42"/>
      <c r="G24" s="42"/>
      <c r="H24" s="42"/>
      <c r="AO24" s="202"/>
      <c r="AP24" s="202"/>
      <c r="AQ24" s="202"/>
      <c r="AR24" s="202"/>
      <c r="AS24" s="202"/>
      <c r="AT24" s="202"/>
    </row>
    <row r="25" spans="1:46" ht="12.75">
      <c r="A25" s="43" t="s">
        <v>173</v>
      </c>
      <c r="B25" s="48">
        <f t="shared" ref="B25:N25" si="21">B26+B27+B29</f>
        <v>0</v>
      </c>
      <c r="C25" s="48">
        <f t="shared" si="21"/>
        <v>830000</v>
      </c>
      <c r="D25" s="48">
        <f t="shared" si="21"/>
        <v>830000</v>
      </c>
      <c r="E25" s="48">
        <f t="shared" si="21"/>
        <v>830000</v>
      </c>
      <c r="F25" s="48">
        <f t="shared" si="21"/>
        <v>830</v>
      </c>
      <c r="G25" s="48">
        <f t="shared" si="21"/>
        <v>830000</v>
      </c>
      <c r="H25" s="48">
        <f t="shared" si="21"/>
        <v>830000</v>
      </c>
      <c r="I25" s="48">
        <f t="shared" si="21"/>
        <v>830000</v>
      </c>
      <c r="J25" s="48">
        <f t="shared" si="21"/>
        <v>830000</v>
      </c>
      <c r="K25" s="48">
        <f t="shared" si="21"/>
        <v>830000</v>
      </c>
      <c r="L25" s="48">
        <f t="shared" si="21"/>
        <v>830000</v>
      </c>
      <c r="M25" s="48">
        <f t="shared" si="21"/>
        <v>830000</v>
      </c>
      <c r="N25" s="48">
        <f t="shared" si="21"/>
        <v>1121325</v>
      </c>
      <c r="O25" s="48">
        <f t="shared" ref="O25:S25" si="22">O26+O27+O29</f>
        <v>940000</v>
      </c>
      <c r="P25" s="48">
        <f t="shared" si="22"/>
        <v>940000</v>
      </c>
      <c r="Q25" s="48">
        <f t="shared" si="22"/>
        <v>0</v>
      </c>
      <c r="R25" s="48">
        <f t="shared" si="22"/>
        <v>12790</v>
      </c>
      <c r="S25" s="48">
        <f t="shared" si="22"/>
        <v>12790</v>
      </c>
      <c r="T25" s="48">
        <f t="shared" ref="T25:V25" si="23">T26+T27+T29</f>
        <v>12790</v>
      </c>
      <c r="U25" s="48">
        <f t="shared" si="23"/>
        <v>12790</v>
      </c>
      <c r="V25" s="48">
        <f t="shared" si="23"/>
        <v>0</v>
      </c>
      <c r="W25" s="48">
        <f t="shared" ref="W25:Z25" si="24">W26+W27+W29</f>
        <v>0</v>
      </c>
      <c r="X25" s="48">
        <f t="shared" si="24"/>
        <v>0</v>
      </c>
      <c r="Y25" s="48">
        <f t="shared" si="24"/>
        <v>0</v>
      </c>
      <c r="Z25" s="48">
        <f t="shared" si="24"/>
        <v>0</v>
      </c>
      <c r="AA25" s="48">
        <f t="shared" ref="AA25:AL25" si="25">AA26+AA27+AA29</f>
        <v>1811583</v>
      </c>
      <c r="AB25" s="48">
        <f t="shared" si="25"/>
        <v>1825751</v>
      </c>
      <c r="AC25" s="48">
        <f t="shared" si="25"/>
        <v>0</v>
      </c>
      <c r="AD25" s="48">
        <f t="shared" si="25"/>
        <v>0</v>
      </c>
      <c r="AE25" s="48">
        <f t="shared" si="25"/>
        <v>0</v>
      </c>
      <c r="AF25" s="48">
        <f t="shared" si="25"/>
        <v>0</v>
      </c>
      <c r="AG25" s="48">
        <f t="shared" si="25"/>
        <v>0</v>
      </c>
      <c r="AH25" s="48">
        <f t="shared" si="25"/>
        <v>0</v>
      </c>
      <c r="AI25" s="48">
        <f t="shared" ref="AI25:AS25" si="26">AI26+AI27+AI29</f>
        <v>0</v>
      </c>
      <c r="AJ25" s="48">
        <f t="shared" si="26"/>
        <v>0</v>
      </c>
      <c r="AK25" s="48">
        <f t="shared" si="26"/>
        <v>0</v>
      </c>
      <c r="AL25" s="48">
        <f t="shared" si="26"/>
        <v>0</v>
      </c>
      <c r="AM25" s="48">
        <f t="shared" si="26"/>
        <v>0</v>
      </c>
      <c r="AN25" s="207">
        <f t="shared" si="26"/>
        <v>0</v>
      </c>
      <c r="AO25" s="203"/>
      <c r="AP25" s="203"/>
      <c r="AQ25" s="203"/>
      <c r="AR25" s="203"/>
      <c r="AS25" s="203"/>
      <c r="AT25" s="203"/>
    </row>
    <row r="26" spans="1:46">
      <c r="A26" s="41" t="s">
        <v>174</v>
      </c>
      <c r="B26" s="42">
        <f>'[1]Balance Sheet'!C9</f>
        <v>0</v>
      </c>
      <c r="C26" s="42">
        <f>'Balance Sheet'!D9</f>
        <v>0</v>
      </c>
      <c r="D26" s="42">
        <f>'Balance Sheet'!E9</f>
        <v>0</v>
      </c>
      <c r="E26" s="42">
        <f>'Balance Sheet'!F9</f>
        <v>0</v>
      </c>
      <c r="F26" s="42">
        <f>'Balance Sheet'!G9</f>
        <v>0</v>
      </c>
      <c r="G26" s="42">
        <f>'Balance Sheet'!H9</f>
        <v>0</v>
      </c>
      <c r="H26" s="42">
        <f>'Balance Sheet'!I9</f>
        <v>0</v>
      </c>
      <c r="I26" s="42">
        <f>'Balance Sheet'!J9</f>
        <v>0</v>
      </c>
      <c r="J26" s="42">
        <f>'Balance Sheet'!K9</f>
        <v>0</v>
      </c>
      <c r="K26" s="42">
        <f>'Balance Sheet'!L9</f>
        <v>0</v>
      </c>
      <c r="L26" s="42">
        <f>'Balance Sheet'!M9</f>
        <v>0</v>
      </c>
      <c r="M26" s="42">
        <f>'Balance Sheet'!N9</f>
        <v>0</v>
      </c>
      <c r="N26" s="42">
        <f>'Balance Sheet'!O9</f>
        <v>0</v>
      </c>
      <c r="O26" s="42">
        <f>'Balance Sheet'!P9</f>
        <v>0</v>
      </c>
      <c r="P26" s="42">
        <f>'Balance Sheet'!Q9</f>
        <v>0</v>
      </c>
      <c r="Q26" s="42">
        <f>'Balance Sheet'!R9</f>
        <v>0</v>
      </c>
      <c r="R26" s="42">
        <f>'Balance Sheet'!S9</f>
        <v>0</v>
      </c>
      <c r="S26" s="42">
        <f>'Balance Sheet'!T9</f>
        <v>0</v>
      </c>
      <c r="T26" s="42">
        <f>'Balance Sheet'!U9</f>
        <v>0</v>
      </c>
      <c r="U26" s="42">
        <f>'Balance Sheet'!V9</f>
        <v>0</v>
      </c>
      <c r="V26" s="42">
        <f>'Balance Sheet'!W9</f>
        <v>0</v>
      </c>
      <c r="W26" s="42">
        <f>'Balance Sheet'!X9</f>
        <v>0</v>
      </c>
      <c r="X26" s="42">
        <f>'Balance Sheet'!Y9</f>
        <v>0</v>
      </c>
      <c r="Y26" s="42">
        <f>'Balance Sheet'!Z9</f>
        <v>0</v>
      </c>
      <c r="Z26" s="42">
        <f>'Balance Sheet'!AA9</f>
        <v>0</v>
      </c>
      <c r="AA26" s="42">
        <f>'Balance Sheet'!AB9</f>
        <v>0</v>
      </c>
      <c r="AB26" s="42">
        <f>'Balance Sheet'!AC9</f>
        <v>0</v>
      </c>
      <c r="AC26" s="42">
        <f>'Balance Sheet'!AD9</f>
        <v>0</v>
      </c>
      <c r="AD26" s="42">
        <f>'Balance Sheet'!AE9</f>
        <v>0</v>
      </c>
      <c r="AE26" s="42">
        <f>'Balance Sheet'!AF9</f>
        <v>0</v>
      </c>
      <c r="AF26" s="42">
        <f>'Balance Sheet'!AG9</f>
        <v>0</v>
      </c>
      <c r="AG26" s="42">
        <f>'Balance Sheet'!AH9</f>
        <v>0</v>
      </c>
      <c r="AH26" s="42">
        <f>'Balance Sheet'!AI9</f>
        <v>0</v>
      </c>
      <c r="AI26" s="42">
        <f>'Balance Sheet'!AJ9</f>
        <v>0</v>
      </c>
      <c r="AJ26" s="42">
        <f>'Balance Sheet'!AK9</f>
        <v>0</v>
      </c>
      <c r="AK26" s="42">
        <f>'Balance Sheet'!AL9</f>
        <v>0</v>
      </c>
      <c r="AL26" s="42">
        <f>'Balance Sheet'!AM9</f>
        <v>0</v>
      </c>
      <c r="AM26" s="42">
        <f>'Balance Sheet'!AN9</f>
        <v>0</v>
      </c>
      <c r="AN26" s="205">
        <f>'Balance Sheet'!AO9</f>
        <v>0</v>
      </c>
      <c r="AO26" s="200"/>
      <c r="AP26" s="200"/>
      <c r="AQ26" s="200"/>
      <c r="AR26" s="200"/>
      <c r="AS26" s="200"/>
      <c r="AT26" s="200"/>
    </row>
    <row r="27" spans="1:46">
      <c r="A27" s="41" t="s">
        <v>175</v>
      </c>
      <c r="B27" s="42">
        <f>'[1]Balance Sheet'!C12</f>
        <v>0</v>
      </c>
      <c r="C27" s="42">
        <f>'Balance Sheet'!D12</f>
        <v>830000</v>
      </c>
      <c r="D27" s="42">
        <f>'Balance Sheet'!E12</f>
        <v>830000</v>
      </c>
      <c r="E27" s="42">
        <f>'Balance Sheet'!F12</f>
        <v>830000</v>
      </c>
      <c r="F27" s="42">
        <f>'Balance Sheet'!G12</f>
        <v>830</v>
      </c>
      <c r="G27" s="42">
        <f>'Balance Sheet'!H12</f>
        <v>830000</v>
      </c>
      <c r="H27" s="42">
        <f>'Balance Sheet'!I12</f>
        <v>830000</v>
      </c>
      <c r="I27" s="42">
        <f>'Balance Sheet'!J12</f>
        <v>830000</v>
      </c>
      <c r="J27" s="42">
        <f>'Balance Sheet'!K12</f>
        <v>830000</v>
      </c>
      <c r="K27" s="42">
        <f>'Balance Sheet'!L12</f>
        <v>830000</v>
      </c>
      <c r="L27" s="42">
        <f>'Balance Sheet'!M12</f>
        <v>830000</v>
      </c>
      <c r="M27" s="42">
        <f>'Balance Sheet'!N12</f>
        <v>830000</v>
      </c>
      <c r="N27" s="42">
        <f>'Balance Sheet'!O12</f>
        <v>0</v>
      </c>
      <c r="O27" s="42">
        <f>'Balance Sheet'!P12</f>
        <v>940000</v>
      </c>
      <c r="P27" s="42">
        <f>'Balance Sheet'!Q12</f>
        <v>940000</v>
      </c>
      <c r="Q27" s="42">
        <f>'Balance Sheet'!R12</f>
        <v>0</v>
      </c>
      <c r="R27" s="42">
        <f>'Balance Sheet'!S12</f>
        <v>12790</v>
      </c>
      <c r="S27" s="42">
        <f>'Balance Sheet'!T12</f>
        <v>12790</v>
      </c>
      <c r="T27" s="42">
        <f>'Balance Sheet'!U12</f>
        <v>12790</v>
      </c>
      <c r="U27" s="42">
        <f>'Balance Sheet'!V12</f>
        <v>12790</v>
      </c>
      <c r="V27" s="42">
        <f>'Balance Sheet'!W12</f>
        <v>0</v>
      </c>
      <c r="W27" s="42">
        <f>'Balance Sheet'!X12</f>
        <v>0</v>
      </c>
      <c r="X27" s="42">
        <f>'Balance Sheet'!Y12</f>
        <v>0</v>
      </c>
      <c r="Y27" s="42">
        <f>'Balance Sheet'!Z12</f>
        <v>0</v>
      </c>
      <c r="Z27" s="42">
        <f>'Balance Sheet'!AA12</f>
        <v>0</v>
      </c>
      <c r="AA27" s="42">
        <f>'Balance Sheet'!AB12</f>
        <v>14168</v>
      </c>
      <c r="AB27" s="42">
        <f>'Balance Sheet'!AC12</f>
        <v>14168</v>
      </c>
      <c r="AC27" s="42">
        <f>'Balance Sheet'!AD12</f>
        <v>0</v>
      </c>
      <c r="AD27" s="42">
        <f>'Balance Sheet'!AE12</f>
        <v>0</v>
      </c>
      <c r="AE27" s="42">
        <f>'Balance Sheet'!AF12</f>
        <v>0</v>
      </c>
      <c r="AF27" s="42">
        <f>'Balance Sheet'!AG12</f>
        <v>0</v>
      </c>
      <c r="AG27" s="42">
        <f>'Balance Sheet'!AH12</f>
        <v>0</v>
      </c>
      <c r="AH27" s="42">
        <f>'Balance Sheet'!AI12</f>
        <v>0</v>
      </c>
      <c r="AI27" s="42">
        <f>'Balance Sheet'!AJ12</f>
        <v>0</v>
      </c>
      <c r="AJ27" s="42">
        <f>'Balance Sheet'!AK12</f>
        <v>0</v>
      </c>
      <c r="AK27" s="42">
        <f>'Balance Sheet'!AL12</f>
        <v>0</v>
      </c>
      <c r="AL27" s="42">
        <f>'Balance Sheet'!AM12</f>
        <v>0</v>
      </c>
      <c r="AM27" s="42">
        <f>'Balance Sheet'!AN12</f>
        <v>0</v>
      </c>
      <c r="AN27" s="205">
        <f>'Balance Sheet'!AO12</f>
        <v>0</v>
      </c>
      <c r="AO27" s="200"/>
      <c r="AP27" s="200"/>
      <c r="AQ27" s="200"/>
      <c r="AR27" s="200"/>
      <c r="AS27" s="200"/>
      <c r="AT27" s="200"/>
    </row>
    <row r="28" spans="1:46">
      <c r="A28" s="41" t="s">
        <v>176</v>
      </c>
      <c r="B28" s="42">
        <f>'[1]Balance Sheet'!C10</f>
        <v>0</v>
      </c>
      <c r="C28" s="42">
        <f>'Balance Sheet'!D10</f>
        <v>0</v>
      </c>
      <c r="D28" s="42">
        <f>'Balance Sheet'!E10</f>
        <v>0</v>
      </c>
      <c r="E28" s="42">
        <f>'Balance Sheet'!F10</f>
        <v>0</v>
      </c>
      <c r="F28" s="42">
        <f>'Balance Sheet'!G10</f>
        <v>0</v>
      </c>
      <c r="G28" s="42">
        <f>'Balance Sheet'!H10</f>
        <v>0</v>
      </c>
      <c r="H28" s="42">
        <f>'Balance Sheet'!I10</f>
        <v>0</v>
      </c>
      <c r="I28" s="42">
        <f>'Balance Sheet'!J10</f>
        <v>0</v>
      </c>
      <c r="J28" s="42">
        <f>'Balance Sheet'!K10</f>
        <v>0</v>
      </c>
      <c r="K28" s="42">
        <f>'Balance Sheet'!L10</f>
        <v>0</v>
      </c>
      <c r="L28" s="42">
        <f>'Balance Sheet'!M10</f>
        <v>0</v>
      </c>
      <c r="M28" s="42">
        <f>'Balance Sheet'!N10</f>
        <v>0</v>
      </c>
      <c r="N28" s="42">
        <f>'Balance Sheet'!O10</f>
        <v>0</v>
      </c>
      <c r="O28" s="42">
        <f>'Balance Sheet'!P10</f>
        <v>0</v>
      </c>
      <c r="P28" s="42">
        <f>'Balance Sheet'!Q10</f>
        <v>0</v>
      </c>
      <c r="Q28" s="42">
        <f>'Balance Sheet'!R10</f>
        <v>0</v>
      </c>
      <c r="R28" s="42">
        <f>'Balance Sheet'!S10</f>
        <v>0</v>
      </c>
      <c r="S28" s="42">
        <f>'Balance Sheet'!T10</f>
        <v>0</v>
      </c>
      <c r="T28" s="42">
        <f>'Balance Sheet'!U10</f>
        <v>0</v>
      </c>
      <c r="U28" s="42">
        <f>'Balance Sheet'!V10</f>
        <v>0</v>
      </c>
      <c r="V28" s="42">
        <f>'Balance Sheet'!W10</f>
        <v>0</v>
      </c>
      <c r="W28" s="42">
        <f>'Balance Sheet'!X10</f>
        <v>0</v>
      </c>
      <c r="X28" s="42">
        <f>'Balance Sheet'!Y10</f>
        <v>0</v>
      </c>
      <c r="Y28" s="42">
        <f>'Balance Sheet'!Z10</f>
        <v>0</v>
      </c>
      <c r="Z28" s="42">
        <f>'Balance Sheet'!AA10</f>
        <v>0</v>
      </c>
      <c r="AA28" s="42">
        <f>'Balance Sheet'!AB10</f>
        <v>0</v>
      </c>
      <c r="AB28" s="42">
        <f>'Balance Sheet'!AC10</f>
        <v>0</v>
      </c>
      <c r="AC28" s="42">
        <f>'Balance Sheet'!AD10</f>
        <v>0</v>
      </c>
      <c r="AD28" s="42">
        <f>'Balance Sheet'!AE10</f>
        <v>0</v>
      </c>
      <c r="AE28" s="42">
        <f>'Balance Sheet'!AF10</f>
        <v>0</v>
      </c>
      <c r="AF28" s="42">
        <f>'Balance Sheet'!AG10</f>
        <v>0</v>
      </c>
      <c r="AG28" s="42">
        <f>'Balance Sheet'!AH10</f>
        <v>0</v>
      </c>
      <c r="AH28" s="42">
        <f>'Balance Sheet'!AI10</f>
        <v>0</v>
      </c>
      <c r="AI28" s="42">
        <f>'Balance Sheet'!AJ10</f>
        <v>0</v>
      </c>
      <c r="AJ28" s="42">
        <f>'Balance Sheet'!AK10</f>
        <v>0</v>
      </c>
      <c r="AK28" s="42">
        <f>'Balance Sheet'!AL10</f>
        <v>0</v>
      </c>
      <c r="AL28" s="42">
        <f>'Balance Sheet'!AM10</f>
        <v>0</v>
      </c>
      <c r="AM28" s="42">
        <f>'Balance Sheet'!AN10</f>
        <v>0</v>
      </c>
      <c r="AN28" s="205">
        <f>'Balance Sheet'!AO10</f>
        <v>0</v>
      </c>
      <c r="AO28" s="200"/>
      <c r="AP28" s="200"/>
      <c r="AQ28" s="200"/>
      <c r="AR28" s="200"/>
      <c r="AS28" s="200"/>
      <c r="AT28" s="200"/>
    </row>
    <row r="29" spans="1:46">
      <c r="A29" s="41" t="s">
        <v>177</v>
      </c>
      <c r="B29" s="42">
        <f>'[1]Balance Sheet'!C11</f>
        <v>0</v>
      </c>
      <c r="C29" s="42">
        <f>'Balance Sheet'!D11</f>
        <v>0</v>
      </c>
      <c r="D29" s="42">
        <f>'Balance Sheet'!E11</f>
        <v>0</v>
      </c>
      <c r="E29" s="42">
        <f>'Balance Sheet'!F11</f>
        <v>0</v>
      </c>
      <c r="F29" s="42">
        <f>'Balance Sheet'!G11</f>
        <v>0</v>
      </c>
      <c r="G29" s="42">
        <f>'Balance Sheet'!H11</f>
        <v>0</v>
      </c>
      <c r="H29" s="42">
        <f>'Balance Sheet'!I11</f>
        <v>0</v>
      </c>
      <c r="I29" s="42">
        <f>'Balance Sheet'!J11</f>
        <v>0</v>
      </c>
      <c r="J29" s="42">
        <f>'Balance Sheet'!K11</f>
        <v>0</v>
      </c>
      <c r="K29" s="42">
        <f>'Balance Sheet'!L11</f>
        <v>0</v>
      </c>
      <c r="L29" s="42">
        <f>'Balance Sheet'!M11</f>
        <v>0</v>
      </c>
      <c r="M29" s="42">
        <f>'Balance Sheet'!N11</f>
        <v>0</v>
      </c>
      <c r="N29" s="42">
        <f>'Balance Sheet'!O11</f>
        <v>1121325</v>
      </c>
      <c r="O29" s="42">
        <f>'Balance Sheet'!P11</f>
        <v>0</v>
      </c>
      <c r="P29" s="42">
        <f>'Balance Sheet'!Q11</f>
        <v>0</v>
      </c>
      <c r="Q29" s="42">
        <f>'Balance Sheet'!R11</f>
        <v>0</v>
      </c>
      <c r="R29" s="42">
        <f>'Balance Sheet'!S11</f>
        <v>0</v>
      </c>
      <c r="S29" s="42">
        <f>'Balance Sheet'!T11</f>
        <v>0</v>
      </c>
      <c r="T29" s="42">
        <f>'Balance Sheet'!U11</f>
        <v>0</v>
      </c>
      <c r="U29" s="42">
        <f>'Balance Sheet'!V11</f>
        <v>0</v>
      </c>
      <c r="V29" s="42">
        <f>'Balance Sheet'!W11</f>
        <v>0</v>
      </c>
      <c r="W29" s="42">
        <f>'Balance Sheet'!X11</f>
        <v>0</v>
      </c>
      <c r="X29" s="42">
        <f>'Balance Sheet'!Y11</f>
        <v>0</v>
      </c>
      <c r="Y29" s="42">
        <f>'Balance Sheet'!Z11</f>
        <v>0</v>
      </c>
      <c r="Z29" s="42">
        <f>'Balance Sheet'!AA11</f>
        <v>0</v>
      </c>
      <c r="AA29" s="42">
        <f>'Balance Sheet'!AB11</f>
        <v>1797415</v>
      </c>
      <c r="AB29" s="42">
        <f>'Balance Sheet'!AC11</f>
        <v>1811583</v>
      </c>
      <c r="AC29" s="42">
        <f>'Balance Sheet'!AD11</f>
        <v>0</v>
      </c>
      <c r="AD29" s="42">
        <f>'Balance Sheet'!AE11</f>
        <v>0</v>
      </c>
      <c r="AE29" s="42">
        <f>'Balance Sheet'!AF11</f>
        <v>0</v>
      </c>
      <c r="AF29" s="42">
        <f>'Balance Sheet'!AG11</f>
        <v>0</v>
      </c>
      <c r="AG29" s="42">
        <f>'Balance Sheet'!AH11</f>
        <v>0</v>
      </c>
      <c r="AH29" s="42">
        <f>'Balance Sheet'!AI11</f>
        <v>0</v>
      </c>
      <c r="AI29" s="42">
        <f>'Balance Sheet'!AJ11</f>
        <v>0</v>
      </c>
      <c r="AJ29" s="42">
        <f>'Balance Sheet'!AK11</f>
        <v>0</v>
      </c>
      <c r="AK29" s="42">
        <f>'Balance Sheet'!AL11</f>
        <v>0</v>
      </c>
      <c r="AL29" s="42">
        <f>'Balance Sheet'!AM11</f>
        <v>0</v>
      </c>
      <c r="AM29" s="42">
        <f>'Balance Sheet'!AN11</f>
        <v>0</v>
      </c>
      <c r="AN29" s="205">
        <f>'Balance Sheet'!AO11</f>
        <v>0</v>
      </c>
      <c r="AO29" s="200"/>
      <c r="AP29" s="200"/>
      <c r="AQ29" s="200"/>
      <c r="AR29" s="200"/>
      <c r="AS29" s="200"/>
      <c r="AT29" s="200"/>
    </row>
    <row r="30" spans="1:46">
      <c r="A30" s="43" t="s">
        <v>178</v>
      </c>
      <c r="B30" s="48">
        <f t="shared" ref="B30:H30" si="27">B31-B32</f>
        <v>0</v>
      </c>
      <c r="C30" s="48">
        <f t="shared" si="27"/>
        <v>33360262.02</v>
      </c>
      <c r="D30" s="48">
        <f t="shared" si="27"/>
        <v>31943513</v>
      </c>
      <c r="E30" s="48">
        <f t="shared" si="27"/>
        <v>30943014.719999999</v>
      </c>
      <c r="F30" s="48">
        <f t="shared" si="27"/>
        <v>30037.26</v>
      </c>
      <c r="G30" s="48">
        <f t="shared" si="27"/>
        <v>31338994.719999999</v>
      </c>
      <c r="H30" s="48">
        <f t="shared" si="27"/>
        <v>30894867.649999999</v>
      </c>
      <c r="AO30" s="202"/>
      <c r="AP30" s="202"/>
      <c r="AQ30" s="202"/>
      <c r="AR30" s="202"/>
      <c r="AS30" s="202"/>
      <c r="AT30" s="202"/>
    </row>
    <row r="31" spans="1:46">
      <c r="A31" s="41" t="s">
        <v>179</v>
      </c>
      <c r="B31" s="42">
        <f>'[1]Balance Sheet'!C14</f>
        <v>0</v>
      </c>
      <c r="C31" s="42">
        <f>'Balance Sheet'!D14</f>
        <v>33720055</v>
      </c>
      <c r="D31" s="42">
        <f>'Balance Sheet'!E14</f>
        <v>32289005</v>
      </c>
      <c r="E31" s="42">
        <f>'Balance Sheet'!F14</f>
        <v>31278268.719999999</v>
      </c>
      <c r="F31" s="42">
        <f>'Balance Sheet'!G14</f>
        <v>30378.5</v>
      </c>
      <c r="G31" s="42">
        <f>'Balance Sheet'!H14</f>
        <v>31678268.719999999</v>
      </c>
      <c r="H31" s="42">
        <f>'Balance Sheet'!I14</f>
        <v>31212424.649999999</v>
      </c>
      <c r="I31" s="42">
        <f>'Balance Sheet'!J14</f>
        <v>28631246.719999999</v>
      </c>
      <c r="J31" s="42">
        <f>'Balance Sheet'!K14</f>
        <v>28075286.719999999</v>
      </c>
      <c r="K31" s="42">
        <f>'Balance Sheet'!L14</f>
        <v>27920686.719999999</v>
      </c>
      <c r="L31" s="42">
        <f>'Balance Sheet'!M14</f>
        <v>28020686.719999999</v>
      </c>
      <c r="M31" s="42">
        <f>'Balance Sheet'!N14</f>
        <v>27520106.719999999</v>
      </c>
      <c r="N31" s="42">
        <f>'Balance Sheet'!O14</f>
        <v>35483959</v>
      </c>
      <c r="O31" s="42">
        <f>'Balance Sheet'!P14</f>
        <v>26114120</v>
      </c>
      <c r="P31" s="42">
        <f>'Balance Sheet'!Q14</f>
        <v>26314120</v>
      </c>
      <c r="Q31" s="42">
        <f>'Balance Sheet'!R14</f>
        <v>34818647</v>
      </c>
      <c r="R31" s="42">
        <f>'Balance Sheet'!S14</f>
        <v>34878059</v>
      </c>
      <c r="S31" s="42">
        <f>'Balance Sheet'!T14</f>
        <v>35988059</v>
      </c>
      <c r="T31" s="42">
        <f>'Balance Sheet'!U14</f>
        <v>35948938</v>
      </c>
      <c r="U31" s="42">
        <f>'Balance Sheet'!V14</f>
        <v>36563938</v>
      </c>
      <c r="V31" s="42">
        <f>'Balance Sheet'!W14</f>
        <v>36063938</v>
      </c>
      <c r="W31" s="42">
        <f>'Balance Sheet'!X14</f>
        <v>36063812</v>
      </c>
      <c r="X31" s="42">
        <f>'Balance Sheet'!Y14</f>
        <v>35948812</v>
      </c>
      <c r="Y31" s="42">
        <f>'Balance Sheet'!Z14</f>
        <v>35848812</v>
      </c>
      <c r="Z31" s="42">
        <f>'Balance Sheet'!AA14</f>
        <v>37148812</v>
      </c>
      <c r="AA31" s="42">
        <f>'Balance Sheet'!AB14</f>
        <v>38088372</v>
      </c>
      <c r="AB31" s="42">
        <f>'Balance Sheet'!AC14</f>
        <v>44270076</v>
      </c>
      <c r="AC31" s="42">
        <f>'Balance Sheet'!AD14</f>
        <v>43142023</v>
      </c>
      <c r="AD31" s="42">
        <f>'Balance Sheet'!AE14</f>
        <v>43912268.969999999</v>
      </c>
      <c r="AE31" s="42">
        <f>'Balance Sheet'!AF14</f>
        <v>41723017.159999996</v>
      </c>
      <c r="AF31" s="42">
        <f>'Balance Sheet'!AG14</f>
        <v>40999261.189999998</v>
      </c>
      <c r="AG31" s="42">
        <f>'Balance Sheet'!AH14</f>
        <v>40460609.899999999</v>
      </c>
      <c r="AH31" s="42">
        <f>'Balance Sheet'!AI14</f>
        <v>39675444.479999997</v>
      </c>
      <c r="AI31" s="42">
        <f>'Balance Sheet'!AJ14</f>
        <v>0</v>
      </c>
      <c r="AJ31" s="42">
        <f>'Balance Sheet'!AK14</f>
        <v>0</v>
      </c>
      <c r="AK31" s="42">
        <f>'Balance Sheet'!AL14</f>
        <v>0</v>
      </c>
      <c r="AL31" s="42">
        <f>'Balance Sheet'!AM14</f>
        <v>0</v>
      </c>
      <c r="AM31" s="42">
        <f>'Balance Sheet'!AN14</f>
        <v>0</v>
      </c>
      <c r="AN31" s="205">
        <f>'Balance Sheet'!AO14</f>
        <v>0</v>
      </c>
      <c r="AO31" s="200"/>
      <c r="AP31" s="200"/>
      <c r="AQ31" s="200"/>
      <c r="AR31" s="200"/>
      <c r="AS31" s="200"/>
      <c r="AT31" s="200"/>
    </row>
    <row r="32" spans="1:46">
      <c r="A32" s="41" t="s">
        <v>180</v>
      </c>
      <c r="B32" s="42">
        <f>'[1]Balance Sheet'!C15</f>
        <v>0</v>
      </c>
      <c r="C32" s="42">
        <f>'Balance Sheet'!D15</f>
        <v>359792.98</v>
      </c>
      <c r="D32" s="42">
        <f>'Balance Sheet'!E15</f>
        <v>345492</v>
      </c>
      <c r="E32" s="42">
        <f>'Balance Sheet'!F15</f>
        <v>335254</v>
      </c>
      <c r="F32" s="42">
        <f>'Balance Sheet'!G15</f>
        <v>341.24</v>
      </c>
      <c r="G32" s="42">
        <f>'Balance Sheet'!H15</f>
        <v>339274</v>
      </c>
      <c r="H32" s="42">
        <f>'Balance Sheet'!I15</f>
        <v>317557</v>
      </c>
      <c r="I32" s="42">
        <f>'Balance Sheet'!J15</f>
        <v>306354.34000000003</v>
      </c>
      <c r="J32" s="42">
        <f>'Balance Sheet'!K15</f>
        <v>300405.56</v>
      </c>
      <c r="K32" s="42">
        <f>'Balance Sheet'!L15</f>
        <v>298751.34999999998</v>
      </c>
      <c r="L32" s="42">
        <f>'Balance Sheet'!M15</f>
        <v>299821.34000000003</v>
      </c>
      <c r="M32" s="42">
        <f>'Balance Sheet'!N15</f>
        <v>294465.14</v>
      </c>
      <c r="N32" s="42">
        <f>'Balance Sheet'!O15</f>
        <v>665312</v>
      </c>
      <c r="O32" s="42">
        <f>'Balance Sheet'!P15</f>
        <v>279421.08</v>
      </c>
      <c r="P32" s="42">
        <f>'Balance Sheet'!Q15</f>
        <v>281561.08</v>
      </c>
      <c r="Q32" s="42">
        <f>'Balance Sheet'!R15</f>
        <v>372559.52</v>
      </c>
      <c r="R32" s="42">
        <f>'Balance Sheet'!S15</f>
        <v>373195.23</v>
      </c>
      <c r="S32" s="42">
        <f>'Balance Sheet'!T15</f>
        <v>385072.23</v>
      </c>
      <c r="T32" s="42">
        <f>'Balance Sheet'!U15</f>
        <v>384653.64</v>
      </c>
      <c r="U32" s="42">
        <f>'Balance Sheet'!V15</f>
        <v>391234.14</v>
      </c>
      <c r="V32" s="42">
        <f>'Balance Sheet'!W15</f>
        <v>385884.14</v>
      </c>
      <c r="W32" s="42">
        <f>'Balance Sheet'!X15</f>
        <v>385882.79</v>
      </c>
      <c r="X32" s="42">
        <f>'Balance Sheet'!Y15</f>
        <v>384652.29</v>
      </c>
      <c r="Y32" s="42">
        <f>'Balance Sheet'!Z15</f>
        <v>383582.29</v>
      </c>
      <c r="Z32" s="42">
        <f>'Balance Sheet'!AA15</f>
        <v>397492.29</v>
      </c>
      <c r="AA32" s="42">
        <f>'Balance Sheet'!AB15</f>
        <v>939560</v>
      </c>
      <c r="AB32" s="42">
        <f>'Balance Sheet'!AC15</f>
        <v>916390</v>
      </c>
      <c r="AC32" s="42">
        <f>'Balance Sheet'!AD15</f>
        <v>461619.65</v>
      </c>
      <c r="AD32" s="42">
        <f>'Balance Sheet'!AE15</f>
        <v>469861.28</v>
      </c>
      <c r="AE32" s="42">
        <f>'Balance Sheet'!AF15</f>
        <v>446436.28</v>
      </c>
      <c r="AF32" s="42">
        <f>'Balance Sheet'!AG15</f>
        <v>438692.09</v>
      </c>
      <c r="AG32" s="42">
        <f>'Balance Sheet'!AH15</f>
        <v>432928.53</v>
      </c>
      <c r="AH32" s="42">
        <f>'Balance Sheet'!AI15</f>
        <v>424527.26</v>
      </c>
      <c r="AI32" s="42">
        <f>'Balance Sheet'!AJ15</f>
        <v>0</v>
      </c>
      <c r="AJ32" s="42">
        <f>'Balance Sheet'!AK15</f>
        <v>0</v>
      </c>
      <c r="AK32" s="42">
        <f>'Balance Sheet'!AL15</f>
        <v>0</v>
      </c>
      <c r="AL32" s="42">
        <f>'Balance Sheet'!AM15</f>
        <v>0</v>
      </c>
      <c r="AM32" s="42">
        <f>'Balance Sheet'!AN15</f>
        <v>0</v>
      </c>
      <c r="AN32" s="205">
        <f>'Balance Sheet'!AO15</f>
        <v>0</v>
      </c>
      <c r="AO32" s="200"/>
      <c r="AP32" s="200"/>
      <c r="AQ32" s="200"/>
      <c r="AR32" s="200"/>
      <c r="AS32" s="200"/>
      <c r="AT32" s="200"/>
    </row>
    <row r="33" spans="1:46">
      <c r="A33" s="41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205"/>
      <c r="AO33" s="200"/>
      <c r="AP33" s="200"/>
      <c r="AQ33" s="200"/>
      <c r="AR33" s="200"/>
      <c r="AS33" s="200"/>
      <c r="AT33" s="200"/>
    </row>
    <row r="34" spans="1:46">
      <c r="A34" s="41" t="s">
        <v>111</v>
      </c>
      <c r="B34" s="42">
        <f>'[1]Balance Sheet'!C7+'[1]Balance Sheet'!C16+'[1]Balance Sheet'!C20</f>
        <v>0</v>
      </c>
      <c r="C34" s="42">
        <f>'Balance Sheet'!D7+'Balance Sheet'!D16+'Balance Sheet'!D20</f>
        <v>5311543</v>
      </c>
      <c r="D34" s="42">
        <f>'Balance Sheet'!E7+'Balance Sheet'!E16+'Balance Sheet'!E20</f>
        <v>5311543</v>
      </c>
      <c r="E34" s="42">
        <f>'Balance Sheet'!F7+'Balance Sheet'!F16+'Balance Sheet'!F20</f>
        <v>5311543</v>
      </c>
      <c r="F34" s="42">
        <f>'Balance Sheet'!G7+'Balance Sheet'!G16+'Balance Sheet'!G20</f>
        <v>5311.54</v>
      </c>
      <c r="G34" s="42">
        <f>'Balance Sheet'!H7+'Balance Sheet'!H16+'Balance Sheet'!H20</f>
        <v>5311543</v>
      </c>
      <c r="H34" s="42">
        <f>'Balance Sheet'!I7+'Balance Sheet'!I16+'Balance Sheet'!I20</f>
        <v>5311543</v>
      </c>
      <c r="I34" s="42">
        <f>'Balance Sheet'!J7+'Balance Sheet'!J16+'Balance Sheet'!J20</f>
        <v>5311543</v>
      </c>
      <c r="J34" s="42">
        <f>'Balance Sheet'!K7+'Balance Sheet'!K16+'Balance Sheet'!K20</f>
        <v>5311543</v>
      </c>
      <c r="K34" s="42">
        <f>'Balance Sheet'!L7+'Balance Sheet'!L16+'Balance Sheet'!L20</f>
        <v>5311543</v>
      </c>
      <c r="L34" s="42">
        <f>'Balance Sheet'!M7+'Balance Sheet'!M16+'Balance Sheet'!M20</f>
        <v>5311543</v>
      </c>
      <c r="M34" s="42">
        <f>'Balance Sheet'!N7+'Balance Sheet'!N16+'Balance Sheet'!N20</f>
        <v>5311543</v>
      </c>
      <c r="N34" s="42">
        <f>'Balance Sheet'!O7+'Balance Sheet'!O16+'Balance Sheet'!O20</f>
        <v>5393056</v>
      </c>
      <c r="O34" s="42">
        <f>'Balance Sheet'!P7+'Balance Sheet'!P16+'Balance Sheet'!P20</f>
        <v>5548463</v>
      </c>
      <c r="P34" s="42">
        <f>'Balance Sheet'!Q7+'Balance Sheet'!Q16+'Balance Sheet'!Q20</f>
        <v>5548463</v>
      </c>
      <c r="Q34" s="42">
        <f>'Balance Sheet'!R7+'Balance Sheet'!R16+'Balance Sheet'!R20</f>
        <v>4852838</v>
      </c>
      <c r="R34" s="42">
        <f>'Balance Sheet'!S7+'Balance Sheet'!S16+'Balance Sheet'!S20</f>
        <v>5961373</v>
      </c>
      <c r="S34" s="42">
        <f>'Balance Sheet'!T7+'Balance Sheet'!T16+'Balance Sheet'!T20</f>
        <v>5961373</v>
      </c>
      <c r="T34" s="42">
        <f>'Balance Sheet'!U7+'Balance Sheet'!U16+'Balance Sheet'!U20</f>
        <v>5961373</v>
      </c>
      <c r="U34" s="42">
        <f>'Balance Sheet'!V7+'Balance Sheet'!V16+'Balance Sheet'!V20</f>
        <v>5861373</v>
      </c>
      <c r="V34" s="42">
        <f>'Balance Sheet'!W7+'Balance Sheet'!W16+'Balance Sheet'!W20</f>
        <v>5434155</v>
      </c>
      <c r="W34" s="42">
        <f>'Balance Sheet'!X7+'Balance Sheet'!X16+'Balance Sheet'!X20</f>
        <v>5434155</v>
      </c>
      <c r="X34" s="42">
        <f>'Balance Sheet'!Y7+'Balance Sheet'!Y16+'Balance Sheet'!Y20</f>
        <v>5429812</v>
      </c>
      <c r="Y34" s="42">
        <f>'Balance Sheet'!Z7+'Balance Sheet'!Z16+'Balance Sheet'!Z20</f>
        <v>5429812</v>
      </c>
      <c r="Z34" s="42">
        <f>'Balance Sheet'!AA7+'Balance Sheet'!AA16+'Balance Sheet'!AA20</f>
        <v>5429812</v>
      </c>
      <c r="AA34" s="42">
        <f>'Balance Sheet'!AB7+'Balance Sheet'!AB16+'Balance Sheet'!AB20</f>
        <v>10171510</v>
      </c>
      <c r="AB34" s="42">
        <f>'Balance Sheet'!AC7+'Balance Sheet'!AC16+'Balance Sheet'!AC20</f>
        <v>11493390</v>
      </c>
      <c r="AC34" s="42">
        <f>'Balance Sheet'!AD7+'Balance Sheet'!AD16+'Balance Sheet'!AD20</f>
        <v>3266522</v>
      </c>
      <c r="AD34" s="42">
        <f>'Balance Sheet'!AE7+'Balance Sheet'!AE16+'Balance Sheet'!AE20</f>
        <v>3666552</v>
      </c>
      <c r="AE34" s="42">
        <f>'Balance Sheet'!AF7+'Balance Sheet'!AF16+'Balance Sheet'!AF20</f>
        <v>3666552</v>
      </c>
      <c r="AF34" s="42">
        <f>'Balance Sheet'!AG7+'Balance Sheet'!AG16+'Balance Sheet'!AG20</f>
        <v>3666552</v>
      </c>
      <c r="AG34" s="42">
        <f>'Balance Sheet'!AH7+'Balance Sheet'!AH16+'Balance Sheet'!AH20</f>
        <v>3666552</v>
      </c>
      <c r="AH34" s="42">
        <f>'Balance Sheet'!AI7+'Balance Sheet'!AI16+'Balance Sheet'!AI20</f>
        <v>4056552</v>
      </c>
      <c r="AI34" s="42">
        <f>'Balance Sheet'!AJ7+'Balance Sheet'!AJ16+'Balance Sheet'!AJ20</f>
        <v>0</v>
      </c>
      <c r="AJ34" s="42">
        <f>'Balance Sheet'!AK7+'Balance Sheet'!AK16+'Balance Sheet'!AK20</f>
        <v>0</v>
      </c>
      <c r="AK34" s="42">
        <f>'Balance Sheet'!AL7+'Balance Sheet'!AL16+'Balance Sheet'!AL20</f>
        <v>0</v>
      </c>
      <c r="AL34" s="42">
        <f>'Balance Sheet'!AM7+'Balance Sheet'!AM16+'Balance Sheet'!AM20</f>
        <v>0</v>
      </c>
      <c r="AM34" s="42">
        <f>'Balance Sheet'!AN7+'Balance Sheet'!AN16+'Balance Sheet'!AN20</f>
        <v>0</v>
      </c>
      <c r="AN34" s="205">
        <f>'Balance Sheet'!AO7+'Balance Sheet'!AO16+'Balance Sheet'!AO20</f>
        <v>0</v>
      </c>
      <c r="AO34" s="200"/>
      <c r="AP34" s="200"/>
      <c r="AQ34" s="200"/>
      <c r="AR34" s="200"/>
      <c r="AS34" s="200"/>
      <c r="AT34" s="200"/>
    </row>
    <row r="35" spans="1:46">
      <c r="A35" s="41" t="s">
        <v>141</v>
      </c>
      <c r="B35" s="42">
        <f>'[1]Balance Sheet'!C20</f>
        <v>0</v>
      </c>
      <c r="C35" s="42">
        <f>'Balance Sheet'!D20</f>
        <v>5311543</v>
      </c>
      <c r="D35" s="42">
        <f>'Balance Sheet'!E20</f>
        <v>5311543</v>
      </c>
      <c r="E35" s="42">
        <f>'Balance Sheet'!F20</f>
        <v>5311543</v>
      </c>
      <c r="F35" s="42">
        <f>'Balance Sheet'!G20</f>
        <v>5311.54</v>
      </c>
      <c r="G35" s="42">
        <f>'Balance Sheet'!H20</f>
        <v>5311543</v>
      </c>
      <c r="H35" s="42">
        <f>'Balance Sheet'!I20</f>
        <v>5311543</v>
      </c>
      <c r="I35" s="42">
        <f>'Balance Sheet'!J20</f>
        <v>5311543</v>
      </c>
      <c r="J35" s="42">
        <f>'Balance Sheet'!K20</f>
        <v>5311543</v>
      </c>
      <c r="K35" s="42">
        <f>'Balance Sheet'!L20</f>
        <v>5311543</v>
      </c>
      <c r="L35" s="42">
        <f>'Balance Sheet'!M20</f>
        <v>5311543</v>
      </c>
      <c r="M35" s="42">
        <f>'Balance Sheet'!N20</f>
        <v>5311543</v>
      </c>
      <c r="N35" s="42">
        <f>'Balance Sheet'!O20</f>
        <v>4840498</v>
      </c>
      <c r="O35" s="42">
        <f>'Balance Sheet'!P20</f>
        <v>5548463</v>
      </c>
      <c r="P35" s="42">
        <f>'Balance Sheet'!Q20</f>
        <v>5548463</v>
      </c>
      <c r="Q35" s="42">
        <f>'Balance Sheet'!R20</f>
        <v>4852838</v>
      </c>
      <c r="R35" s="42">
        <f>'Balance Sheet'!S20</f>
        <v>5961373</v>
      </c>
      <c r="S35" s="42">
        <f>'Balance Sheet'!T20</f>
        <v>5961373</v>
      </c>
      <c r="T35" s="42">
        <f>'Balance Sheet'!U20</f>
        <v>5961373</v>
      </c>
      <c r="U35" s="42">
        <f>'Balance Sheet'!V20</f>
        <v>5861373</v>
      </c>
      <c r="V35" s="42">
        <f>'Balance Sheet'!W20</f>
        <v>5434155</v>
      </c>
      <c r="W35" s="42">
        <f>'Balance Sheet'!X20</f>
        <v>5434155</v>
      </c>
      <c r="X35" s="42">
        <f>'Balance Sheet'!Y20</f>
        <v>5429812</v>
      </c>
      <c r="Y35" s="42">
        <f>'Balance Sheet'!Z20</f>
        <v>5429812</v>
      </c>
      <c r="Z35" s="42">
        <f>'Balance Sheet'!AA20</f>
        <v>5429812</v>
      </c>
      <c r="AA35" s="42">
        <f>'Balance Sheet'!AB20</f>
        <v>9618952</v>
      </c>
      <c r="AB35" s="42">
        <f>'Balance Sheet'!AC20</f>
        <v>10940832</v>
      </c>
      <c r="AC35" s="42">
        <f>'Balance Sheet'!AD20</f>
        <v>3266522</v>
      </c>
      <c r="AD35" s="42">
        <f>'Balance Sheet'!AE20</f>
        <v>3666552</v>
      </c>
      <c r="AE35" s="42">
        <f>'Balance Sheet'!AF20</f>
        <v>3666552</v>
      </c>
      <c r="AF35" s="42">
        <f>'Balance Sheet'!AG20</f>
        <v>3666552</v>
      </c>
      <c r="AG35" s="42">
        <f>'Balance Sheet'!AH20</f>
        <v>3666552</v>
      </c>
      <c r="AH35" s="42">
        <f>'Balance Sheet'!AI20</f>
        <v>4056552</v>
      </c>
      <c r="AI35" s="42">
        <f>'Balance Sheet'!AJ20</f>
        <v>0</v>
      </c>
      <c r="AJ35" s="42">
        <f>'Balance Sheet'!AK20</f>
        <v>0</v>
      </c>
      <c r="AK35" s="42">
        <f>'Balance Sheet'!AL20</f>
        <v>0</v>
      </c>
      <c r="AL35" s="42">
        <f>'Balance Sheet'!AM20</f>
        <v>0</v>
      </c>
      <c r="AM35" s="42">
        <f>'Balance Sheet'!AN20</f>
        <v>0</v>
      </c>
      <c r="AN35" s="205">
        <f>'Balance Sheet'!AO20</f>
        <v>0</v>
      </c>
      <c r="AO35" s="200"/>
      <c r="AP35" s="200"/>
      <c r="AQ35" s="200"/>
      <c r="AR35" s="200"/>
      <c r="AS35" s="200"/>
      <c r="AT35" s="200"/>
    </row>
    <row r="36" spans="1:46">
      <c r="A36" s="41"/>
      <c r="B36" s="42"/>
      <c r="C36" s="42"/>
      <c r="D36" s="42"/>
      <c r="E36" s="42"/>
      <c r="F36" s="42"/>
      <c r="G36" s="42"/>
      <c r="H36" s="42"/>
      <c r="AO36" s="202"/>
      <c r="AP36" s="202"/>
      <c r="AQ36" s="202"/>
      <c r="AR36" s="202"/>
      <c r="AS36" s="202"/>
      <c r="AT36" s="202"/>
    </row>
    <row r="37" spans="1:46">
      <c r="A37" s="41"/>
      <c r="B37" s="42"/>
      <c r="C37" s="42"/>
      <c r="D37" s="42"/>
      <c r="E37" s="42"/>
      <c r="F37" s="42"/>
      <c r="G37" s="42"/>
      <c r="H37" s="42"/>
      <c r="AO37" s="202"/>
      <c r="AP37" s="202"/>
      <c r="AQ37" s="202"/>
      <c r="AR37" s="202"/>
      <c r="AS37" s="202"/>
      <c r="AT37" s="202"/>
    </row>
    <row r="38" spans="1:46">
      <c r="A38" s="43" t="s">
        <v>181</v>
      </c>
      <c r="B38" s="48">
        <f t="shared" ref="B38:H38" si="28">B39+B41+B42</f>
        <v>0</v>
      </c>
      <c r="C38" s="48">
        <f t="shared" si="28"/>
        <v>794544</v>
      </c>
      <c r="D38" s="48">
        <f t="shared" si="28"/>
        <v>1218213</v>
      </c>
      <c r="E38" s="48">
        <f t="shared" si="28"/>
        <v>1599578</v>
      </c>
      <c r="F38" s="48">
        <f t="shared" si="28"/>
        <v>1828.1399999999999</v>
      </c>
      <c r="G38" s="48">
        <f t="shared" si="28"/>
        <v>2095852</v>
      </c>
      <c r="H38" s="48">
        <f t="shared" si="28"/>
        <v>2508852</v>
      </c>
      <c r="AO38" s="202"/>
      <c r="AP38" s="202"/>
      <c r="AQ38" s="202"/>
      <c r="AR38" s="202"/>
      <c r="AS38" s="202"/>
      <c r="AT38" s="202"/>
    </row>
    <row r="39" spans="1:46" ht="12.75">
      <c r="A39" s="41" t="s">
        <v>182</v>
      </c>
      <c r="B39" s="49">
        <f>'[1]Income Statement'!C6</f>
        <v>0</v>
      </c>
      <c r="C39" s="49">
        <f>'Income Statement'!D6</f>
        <v>495800</v>
      </c>
      <c r="D39" s="49">
        <f>'Income Statement'!E6</f>
        <v>805788</v>
      </c>
      <c r="E39" s="49">
        <f>'Income Statement'!F6</f>
        <v>1084733</v>
      </c>
      <c r="F39" s="49">
        <f>'Income Statement'!G6</f>
        <v>1294.73</v>
      </c>
      <c r="G39" s="49">
        <f>'Income Statement'!H6</f>
        <v>1391535</v>
      </c>
      <c r="H39" s="49">
        <f>'Income Statement'!I6</f>
        <v>1691535</v>
      </c>
      <c r="I39" s="49">
        <f>'Income Statement'!J6</f>
        <v>2171667</v>
      </c>
      <c r="J39" s="49">
        <f>'Income Statement'!K6</f>
        <v>2321667</v>
      </c>
      <c r="K39" s="49">
        <f>'Income Statement'!L6</f>
        <v>2561667</v>
      </c>
      <c r="L39" s="49">
        <f>'Income Statement'!M6</f>
        <v>2841667</v>
      </c>
      <c r="M39" s="49">
        <f>'Income Statement'!N6</f>
        <v>3081667</v>
      </c>
      <c r="N39" s="49">
        <f>'Income Statement'!O6</f>
        <v>4343844</v>
      </c>
      <c r="O39" s="49">
        <f>'Income Statement'!P6</f>
        <v>311643</v>
      </c>
      <c r="P39" s="49">
        <f>'Income Statement'!Q6</f>
        <v>691958</v>
      </c>
      <c r="Q39" s="49">
        <f>'Income Statement'!R6</f>
        <v>1052954</v>
      </c>
      <c r="R39" s="49">
        <f>'Income Statement'!S6</f>
        <v>1373679.89</v>
      </c>
      <c r="S39" s="49">
        <f>'Income Statement'!T6</f>
        <v>1789343.68</v>
      </c>
      <c r="T39" s="49">
        <f>'Income Statement'!U6</f>
        <v>2174997.2200000002</v>
      </c>
      <c r="U39" s="49">
        <f>'Income Statement'!V6</f>
        <v>2544983.04</v>
      </c>
      <c r="V39" s="49">
        <f>'Income Statement'!W6</f>
        <v>2987009.77</v>
      </c>
      <c r="W39" s="49">
        <f>'Income Statement'!X6</f>
        <v>2987009.77</v>
      </c>
      <c r="X39" s="49">
        <f>'Income Statement'!Y6</f>
        <v>3398058.07</v>
      </c>
      <c r="Y39" s="49">
        <f>'Income Statement'!Z6</f>
        <v>3819253.77</v>
      </c>
      <c r="Z39" s="49">
        <f>'Income Statement'!AA6</f>
        <v>4154721.77</v>
      </c>
      <c r="AA39" s="49">
        <f>'Income Statement'!AB6</f>
        <v>5968026</v>
      </c>
      <c r="AB39" s="49">
        <f>'Income Statement'!AC6</f>
        <v>6539986</v>
      </c>
      <c r="AC39" s="49">
        <f>'Income Statement'!AD6</f>
        <v>409253.57</v>
      </c>
      <c r="AD39" s="49">
        <f>'Income Statement'!AE6</f>
        <v>847486.69</v>
      </c>
      <c r="AE39" s="49">
        <f>'Income Statement'!AF6</f>
        <v>1230257.22</v>
      </c>
      <c r="AF39" s="49">
        <f>'Income Statement'!AG6</f>
        <v>1702036.4</v>
      </c>
      <c r="AG39" s="49">
        <f>'Income Statement'!AH6</f>
        <v>1857489.1</v>
      </c>
      <c r="AH39" s="49">
        <f>'Income Statement'!AI6</f>
        <v>2239980.7799999998</v>
      </c>
      <c r="AI39" s="49">
        <f>'Income Statement'!AJ6</f>
        <v>0</v>
      </c>
      <c r="AJ39" s="49">
        <f>'Income Statement'!AK6</f>
        <v>0</v>
      </c>
      <c r="AK39" s="49">
        <f>'Income Statement'!AL6</f>
        <v>0</v>
      </c>
      <c r="AL39" s="49">
        <f>'Income Statement'!AM6</f>
        <v>0</v>
      </c>
      <c r="AM39" s="49">
        <f>'Income Statement'!AN6</f>
        <v>0</v>
      </c>
      <c r="AN39" s="208">
        <f>'Income Statement'!AO6</f>
        <v>0</v>
      </c>
      <c r="AO39" s="204"/>
      <c r="AP39" s="204"/>
      <c r="AQ39" s="204"/>
      <c r="AR39" s="204"/>
      <c r="AS39" s="204"/>
      <c r="AT39" s="204"/>
    </row>
    <row r="40" spans="1:46" ht="12.75">
      <c r="A40" s="41" t="s">
        <v>183</v>
      </c>
      <c r="B40" s="49" t="e">
        <f>'[1]Income Statement'!C6/'[1]Income Statement'!C14</f>
        <v>#DIV/0!</v>
      </c>
      <c r="C40" s="49" t="e">
        <f>'Income Statement'!D6/'Income Statement'!D14</f>
        <v>#DIV/0!</v>
      </c>
      <c r="D40" s="49" t="e">
        <f>'Income Statement'!E6/'Income Statement'!E14</f>
        <v>#DIV/0!</v>
      </c>
      <c r="E40" s="49" t="e">
        <f>'Income Statement'!F6/'Income Statement'!F14</f>
        <v>#DIV/0!</v>
      </c>
      <c r="F40" s="49" t="e">
        <f>'Income Statement'!G6/'Income Statement'!G14</f>
        <v>#DIV/0!</v>
      </c>
      <c r="G40" s="49" t="e">
        <f>'Income Statement'!H6/'Income Statement'!H14</f>
        <v>#DIV/0!</v>
      </c>
      <c r="H40" s="49" t="e">
        <f>'Income Statement'!I6/'Income Statement'!I14</f>
        <v>#DIV/0!</v>
      </c>
      <c r="I40" s="49" t="e">
        <f>'Income Statement'!J6/'Income Statement'!J14</f>
        <v>#DIV/0!</v>
      </c>
      <c r="J40" s="49" t="e">
        <f>'Income Statement'!K6/'Income Statement'!K14</f>
        <v>#DIV/0!</v>
      </c>
      <c r="K40" s="49" t="e">
        <f>'Income Statement'!L6/'Income Statement'!L14</f>
        <v>#DIV/0!</v>
      </c>
      <c r="L40" s="49" t="e">
        <f>'Income Statement'!M6/'Income Statement'!M14</f>
        <v>#DIV/0!</v>
      </c>
      <c r="M40" s="49" t="e">
        <f>'Income Statement'!N6/'Income Statement'!N14</f>
        <v>#DIV/0!</v>
      </c>
      <c r="N40" s="49">
        <f>'Income Statement'!O6/'Income Statement'!O14</f>
        <v>10.220713216816783</v>
      </c>
      <c r="O40" s="49" t="e">
        <f>'Income Statement'!P6/'Income Statement'!P14</f>
        <v>#DIV/0!</v>
      </c>
      <c r="P40" s="49" t="e">
        <f>'Income Statement'!Q6/'Income Statement'!Q14</f>
        <v>#DIV/0!</v>
      </c>
      <c r="Q40" s="49">
        <f>'Income Statement'!R6/'Income Statement'!R14</f>
        <v>175.49233333333333</v>
      </c>
      <c r="R40" s="49">
        <f>'Income Statement'!S6/'Income Statement'!S14</f>
        <v>228.94664833333331</v>
      </c>
      <c r="S40" s="49">
        <f>'Income Statement'!T6/'Income Statement'!T14</f>
        <v>298.22394666666668</v>
      </c>
      <c r="T40" s="49">
        <f>'Income Statement'!U6/'Income Statement'!U14</f>
        <v>362.4995366666667</v>
      </c>
      <c r="U40" s="49">
        <f>'Income Statement'!V6/'Income Statement'!V14</f>
        <v>424.16383999999999</v>
      </c>
      <c r="V40" s="49">
        <f>'Income Statement'!W6/'Income Statement'!W14</f>
        <v>497.83496166666669</v>
      </c>
      <c r="W40" s="49">
        <f>'Income Statement'!X6/'Income Statement'!X14</f>
        <v>497.83496166666669</v>
      </c>
      <c r="X40" s="49">
        <f>'Income Statement'!Y6/'Income Statement'!Y14</f>
        <v>566.3430116666666</v>
      </c>
      <c r="Y40" s="49">
        <f>'Income Statement'!Z6/'Income Statement'!Z14</f>
        <v>636.54229499999997</v>
      </c>
      <c r="Z40" s="49">
        <f>'Income Statement'!AA6/'Income Statement'!AA14</f>
        <v>692.45362833333331</v>
      </c>
      <c r="AA40" s="49">
        <f>'Income Statement'!AB6/'Income Statement'!AB14</f>
        <v>12.731571514512819</v>
      </c>
      <c r="AB40" s="49">
        <f>'Income Statement'!AC6/'Income Statement'!AC14</f>
        <v>3.5521394353498374</v>
      </c>
      <c r="AC40" s="49" t="e">
        <f>'Income Statement'!AD6/'Income Statement'!AD14</f>
        <v>#DIV/0!</v>
      </c>
      <c r="AD40" s="49" t="e">
        <f>'Income Statement'!AE6/'Income Statement'!AE14</f>
        <v>#DIV/0!</v>
      </c>
      <c r="AE40" s="49" t="e">
        <f>'Income Statement'!AF6/'Income Statement'!AF14</f>
        <v>#DIV/0!</v>
      </c>
      <c r="AF40" s="49" t="e">
        <f>'Income Statement'!AG6/'Income Statement'!AG14</f>
        <v>#DIV/0!</v>
      </c>
      <c r="AG40" s="49">
        <f>'Income Statement'!AH6/'Income Statement'!AH14</f>
        <v>2.4590649011602355</v>
      </c>
      <c r="AH40" s="49">
        <f>'Income Statement'!AI6/'Income Statement'!AI14</f>
        <v>2.9654322684162864</v>
      </c>
      <c r="AI40" s="49" t="e">
        <f>'Income Statement'!AJ6/'Income Statement'!AJ14</f>
        <v>#DIV/0!</v>
      </c>
      <c r="AJ40" s="49" t="e">
        <f>'Income Statement'!AK6/'Income Statement'!AK14</f>
        <v>#DIV/0!</v>
      </c>
      <c r="AK40" s="49" t="e">
        <f>'Income Statement'!AL6/'Income Statement'!AL14</f>
        <v>#DIV/0!</v>
      </c>
      <c r="AL40" s="49" t="e">
        <f>'Income Statement'!AM6/'Income Statement'!AM14</f>
        <v>#DIV/0!</v>
      </c>
      <c r="AM40" s="49" t="e">
        <f>'Income Statement'!AN6/'Income Statement'!AN14</f>
        <v>#DIV/0!</v>
      </c>
      <c r="AN40" s="208" t="e">
        <f>'Income Statement'!AO6/'Income Statement'!AO14</f>
        <v>#DIV/0!</v>
      </c>
      <c r="AO40" s="204"/>
      <c r="AP40" s="204"/>
      <c r="AQ40" s="204"/>
      <c r="AR40" s="204"/>
      <c r="AS40" s="204"/>
      <c r="AT40" s="204"/>
    </row>
    <row r="41" spans="1:46">
      <c r="A41" s="41" t="s">
        <v>184</v>
      </c>
      <c r="B41" s="42">
        <f>'[1]Income Statement'!C8</f>
        <v>0</v>
      </c>
      <c r="C41" s="42">
        <f>'Income Statement'!D8</f>
        <v>271523</v>
      </c>
      <c r="D41" s="42">
        <f>'Income Statement'!E8</f>
        <v>373161</v>
      </c>
      <c r="E41" s="42">
        <f>'Income Statement'!F8</f>
        <v>456617</v>
      </c>
      <c r="F41" s="42">
        <f>'Income Statement'!G8</f>
        <v>456.60999999999996</v>
      </c>
      <c r="G41" s="42">
        <f>'Income Statement'!H8</f>
        <v>626673</v>
      </c>
      <c r="H41" s="42">
        <f>'Income Statement'!I8</f>
        <v>736673</v>
      </c>
      <c r="I41" s="42">
        <f>'Income Statement'!J8</f>
        <v>776658</v>
      </c>
      <c r="J41" s="42">
        <f>'Income Statement'!K8</f>
        <v>900753</v>
      </c>
      <c r="K41" s="42">
        <f>'Income Statement'!L8</f>
        <v>1241933</v>
      </c>
      <c r="L41" s="42">
        <f>'Income Statement'!M8</f>
        <v>1388533</v>
      </c>
      <c r="M41" s="42">
        <f>'Income Statement'!N8</f>
        <v>1486484</v>
      </c>
      <c r="N41" s="42">
        <f>'Income Statement'!O8</f>
        <v>1094511</v>
      </c>
      <c r="O41" s="42">
        <f>'Income Statement'!P8</f>
        <v>214890</v>
      </c>
      <c r="P41" s="42">
        <f>'Income Statement'!Q8</f>
        <v>216210</v>
      </c>
      <c r="Q41" s="42">
        <f>'Income Statement'!R8</f>
        <v>309535</v>
      </c>
      <c r="R41" s="42">
        <f>'Income Statement'!S8</f>
        <v>498450</v>
      </c>
      <c r="S41" s="42">
        <f>'Income Statement'!T8</f>
        <v>586890</v>
      </c>
      <c r="T41" s="42">
        <f>'Income Statement'!U8</f>
        <v>672970</v>
      </c>
      <c r="U41" s="42">
        <f>'Income Statement'!V8</f>
        <v>826501</v>
      </c>
      <c r="V41" s="42">
        <f>'Income Statement'!W8</f>
        <v>920382</v>
      </c>
      <c r="W41" s="42">
        <f>'Income Statement'!X8</f>
        <v>920382</v>
      </c>
      <c r="X41" s="42">
        <f>'Income Statement'!Y8</f>
        <v>1034924.5</v>
      </c>
      <c r="Y41" s="42">
        <f>'Income Statement'!Z8</f>
        <v>1171014.5</v>
      </c>
      <c r="Z41" s="42">
        <f>'Income Statement'!AA8</f>
        <v>1406720.5</v>
      </c>
      <c r="AA41" s="42">
        <f>'Income Statement'!AB8</f>
        <v>1434392</v>
      </c>
      <c r="AB41" s="42">
        <f>'Income Statement'!AC8</f>
        <v>1218775</v>
      </c>
      <c r="AC41" s="42">
        <f>'Income Statement'!AD8</f>
        <v>138995.72</v>
      </c>
      <c r="AD41" s="42">
        <f>'Income Statement'!AE8</f>
        <v>311673.71999999997</v>
      </c>
      <c r="AE41" s="42">
        <f>'Income Statement'!AF8</f>
        <v>469963.52000000002</v>
      </c>
      <c r="AF41" s="42">
        <f>'Income Statement'!AG8</f>
        <v>653873.28</v>
      </c>
      <c r="AG41" s="42">
        <f>'Income Statement'!AH8</f>
        <v>832495.23</v>
      </c>
      <c r="AH41" s="42">
        <f>'Income Statement'!AI8</f>
        <v>1068538</v>
      </c>
      <c r="AI41" s="42">
        <f>'Income Statement'!AJ8</f>
        <v>0</v>
      </c>
      <c r="AJ41" s="42">
        <f>'Income Statement'!AK8</f>
        <v>0</v>
      </c>
      <c r="AK41" s="42">
        <f>'Income Statement'!AL8</f>
        <v>0</v>
      </c>
      <c r="AL41" s="42">
        <f>'Income Statement'!AM8</f>
        <v>0</v>
      </c>
      <c r="AM41" s="42">
        <f>'Income Statement'!AN8</f>
        <v>0</v>
      </c>
      <c r="AN41" s="205">
        <f>'Income Statement'!AO8</f>
        <v>0</v>
      </c>
      <c r="AO41" s="200"/>
      <c r="AP41" s="200"/>
      <c r="AQ41" s="200"/>
      <c r="AR41" s="200"/>
      <c r="AS41" s="200"/>
      <c r="AT41" s="200"/>
    </row>
    <row r="42" spans="1:46">
      <c r="A42" s="41" t="s">
        <v>185</v>
      </c>
      <c r="B42" s="42">
        <f>'[1]Income Statement'!C7</f>
        <v>0</v>
      </c>
      <c r="C42" s="42">
        <f>'Income Statement'!D7</f>
        <v>27221</v>
      </c>
      <c r="D42" s="42">
        <f>'Income Statement'!E7</f>
        <v>39264</v>
      </c>
      <c r="E42" s="42">
        <f>'Income Statement'!F7</f>
        <v>58228</v>
      </c>
      <c r="F42" s="42">
        <f>'Income Statement'!G7</f>
        <v>76.8</v>
      </c>
      <c r="G42" s="42">
        <f>'Income Statement'!H7</f>
        <v>77644</v>
      </c>
      <c r="H42" s="42">
        <f>'Income Statement'!I7</f>
        <v>80644</v>
      </c>
      <c r="I42" s="42">
        <f>'Income Statement'!J7</f>
        <v>112407</v>
      </c>
      <c r="J42" s="42">
        <f>'Income Statement'!K7</f>
        <v>125107</v>
      </c>
      <c r="K42" s="42">
        <f>'Income Statement'!L7</f>
        <v>132007</v>
      </c>
      <c r="L42" s="42">
        <f>'Income Statement'!M7</f>
        <v>224796</v>
      </c>
      <c r="M42" s="42">
        <f>'Income Statement'!N7</f>
        <v>257776</v>
      </c>
      <c r="N42" s="42">
        <f>'Income Statement'!O7</f>
        <v>2887968</v>
      </c>
      <c r="O42" s="42">
        <f>'Income Statement'!P7</f>
        <v>30059</v>
      </c>
      <c r="P42" s="42">
        <f>'Income Statement'!Q7</f>
        <v>91999</v>
      </c>
      <c r="Q42" s="42">
        <f>'Income Statement'!R7</f>
        <v>101920</v>
      </c>
      <c r="R42" s="42">
        <f>'Income Statement'!S7</f>
        <v>127810</v>
      </c>
      <c r="S42" s="42">
        <f>'Income Statement'!T7</f>
        <v>190778</v>
      </c>
      <c r="T42" s="42">
        <f>'Income Statement'!U7</f>
        <v>219272.5</v>
      </c>
      <c r="U42" s="42">
        <f>'Income Statement'!V7</f>
        <v>246664.5</v>
      </c>
      <c r="V42" s="42">
        <f>'Income Statement'!W7</f>
        <v>282668.5</v>
      </c>
      <c r="W42" s="42">
        <f>'Income Statement'!X7</f>
        <v>283240.3</v>
      </c>
      <c r="X42" s="42">
        <f>'Income Statement'!Y7</f>
        <v>316084.3</v>
      </c>
      <c r="Y42" s="42">
        <f>'Income Statement'!Z7</f>
        <v>348401.3</v>
      </c>
      <c r="Z42" s="42">
        <f>'Income Statement'!AA7</f>
        <v>406583.3</v>
      </c>
      <c r="AA42" s="42">
        <f>'Income Statement'!AB7</f>
        <v>1984000</v>
      </c>
      <c r="AB42" s="42">
        <f>'Income Statement'!AC7</f>
        <v>2418677</v>
      </c>
      <c r="AC42" s="42">
        <f>'Income Statement'!AD7</f>
        <v>117905</v>
      </c>
      <c r="AD42" s="42">
        <f>'Income Statement'!AE7</f>
        <v>237617</v>
      </c>
      <c r="AE42" s="42">
        <f>'Income Statement'!AF7</f>
        <v>341492</v>
      </c>
      <c r="AF42" s="42">
        <f>'Income Statement'!AG7</f>
        <v>491317</v>
      </c>
      <c r="AG42" s="42">
        <f>'Income Statement'!AH7</f>
        <v>733962.1</v>
      </c>
      <c r="AH42" s="42">
        <f>'Income Statement'!AI7</f>
        <v>0</v>
      </c>
      <c r="AI42" s="42">
        <f>'Income Statement'!AJ7</f>
        <v>0</v>
      </c>
      <c r="AJ42" s="42">
        <f>'Income Statement'!AK7</f>
        <v>0</v>
      </c>
      <c r="AK42" s="42">
        <f>'Income Statement'!AL7</f>
        <v>0</v>
      </c>
      <c r="AL42" s="42">
        <f>'Income Statement'!AM7</f>
        <v>0</v>
      </c>
      <c r="AM42" s="42">
        <f>'Income Statement'!AN7</f>
        <v>0</v>
      </c>
      <c r="AN42" s="205">
        <f>'Income Statement'!AO7</f>
        <v>0</v>
      </c>
      <c r="AO42" s="200"/>
      <c r="AP42" s="200"/>
      <c r="AQ42" s="200"/>
      <c r="AR42" s="200"/>
      <c r="AS42" s="200"/>
      <c r="AT42" s="200"/>
    </row>
    <row r="43" spans="1:46">
      <c r="A43" s="41"/>
      <c r="B43" s="42"/>
      <c r="C43" s="42"/>
      <c r="D43" s="42"/>
      <c r="E43" s="42"/>
      <c r="F43" s="42"/>
      <c r="G43" s="42"/>
      <c r="H43" s="42"/>
      <c r="AO43" s="202"/>
      <c r="AP43" s="202"/>
      <c r="AQ43" s="202"/>
      <c r="AR43" s="202"/>
      <c r="AS43" s="202"/>
      <c r="AT43" s="202"/>
    </row>
    <row r="44" spans="1:46">
      <c r="A44" s="43" t="s">
        <v>186</v>
      </c>
      <c r="B44" s="48">
        <f t="shared" ref="B44:H44" si="29">B45+B46+B47+B48</f>
        <v>0</v>
      </c>
      <c r="C44" s="48">
        <f t="shared" si="29"/>
        <v>91385</v>
      </c>
      <c r="D44" s="48">
        <f t="shared" si="29"/>
        <v>362429</v>
      </c>
      <c r="E44" s="48">
        <f t="shared" si="29"/>
        <v>573368</v>
      </c>
      <c r="F44" s="48">
        <f t="shared" si="29"/>
        <v>698.13999999999987</v>
      </c>
      <c r="G44" s="48">
        <f t="shared" si="29"/>
        <v>859266</v>
      </c>
      <c r="H44" s="48">
        <f t="shared" si="29"/>
        <v>1141783</v>
      </c>
      <c r="AO44" s="202"/>
      <c r="AP44" s="202"/>
      <c r="AQ44" s="202"/>
      <c r="AR44" s="202"/>
      <c r="AS44" s="202"/>
      <c r="AT44" s="202"/>
    </row>
    <row r="45" spans="1:46">
      <c r="A45" s="41" t="s">
        <v>187</v>
      </c>
      <c r="B45" s="42">
        <f>'[1]Income Statement'!C14</f>
        <v>0</v>
      </c>
      <c r="C45" s="42">
        <f>'Income Statement'!D14</f>
        <v>0</v>
      </c>
      <c r="D45" s="42">
        <f>'Income Statement'!E14</f>
        <v>0</v>
      </c>
      <c r="E45" s="42">
        <f>'Income Statement'!F14</f>
        <v>0</v>
      </c>
      <c r="F45" s="42">
        <f>'Income Statement'!G14</f>
        <v>0</v>
      </c>
      <c r="G45" s="42">
        <f>'Income Statement'!H14</f>
        <v>0</v>
      </c>
      <c r="H45" s="42">
        <f>'Income Statement'!I14</f>
        <v>0</v>
      </c>
      <c r="I45" s="42">
        <f>'Income Statement'!J14</f>
        <v>0</v>
      </c>
      <c r="J45" s="42">
        <f>'Income Statement'!K14</f>
        <v>0</v>
      </c>
      <c r="K45" s="42">
        <f>'Income Statement'!L14</f>
        <v>0</v>
      </c>
      <c r="L45" s="42">
        <f>'Income Statement'!M14</f>
        <v>0</v>
      </c>
      <c r="M45" s="42">
        <f>'Income Statement'!N14</f>
        <v>0</v>
      </c>
      <c r="N45" s="42">
        <f>'Income Statement'!O14</f>
        <v>425004</v>
      </c>
      <c r="O45" s="42">
        <f>'Income Statement'!P14</f>
        <v>0</v>
      </c>
      <c r="P45" s="42">
        <f>'Income Statement'!Q14</f>
        <v>0</v>
      </c>
      <c r="Q45" s="42">
        <f>'Income Statement'!R14</f>
        <v>6000</v>
      </c>
      <c r="R45" s="42">
        <f>'Income Statement'!S14</f>
        <v>6000</v>
      </c>
      <c r="S45" s="42">
        <f>'Income Statement'!T14</f>
        <v>6000</v>
      </c>
      <c r="T45" s="42">
        <f>'Income Statement'!U14</f>
        <v>6000</v>
      </c>
      <c r="U45" s="42">
        <f>'Income Statement'!V14</f>
        <v>6000</v>
      </c>
      <c r="V45" s="42">
        <f>'Income Statement'!W14</f>
        <v>6000</v>
      </c>
      <c r="W45" s="42">
        <f>'Income Statement'!X14</f>
        <v>6000</v>
      </c>
      <c r="X45" s="42">
        <f>'Income Statement'!Y14</f>
        <v>6000</v>
      </c>
      <c r="Y45" s="42">
        <f>'Income Statement'!Z14</f>
        <v>6000</v>
      </c>
      <c r="Z45" s="42">
        <f>'Income Statement'!AA14</f>
        <v>6000</v>
      </c>
      <c r="AA45" s="42">
        <f>'Income Statement'!AB14</f>
        <v>468758</v>
      </c>
      <c r="AB45" s="42">
        <f>'Income Statement'!AC14</f>
        <v>1841140</v>
      </c>
      <c r="AC45" s="42">
        <f>'Income Statement'!AD14</f>
        <v>0</v>
      </c>
      <c r="AD45" s="42">
        <f>'Income Statement'!AE14</f>
        <v>0</v>
      </c>
      <c r="AE45" s="42">
        <f>'Income Statement'!AF14</f>
        <v>0</v>
      </c>
      <c r="AF45" s="42">
        <f>'Income Statement'!AG14</f>
        <v>0</v>
      </c>
      <c r="AG45" s="42">
        <f>'Income Statement'!AH14</f>
        <v>755364</v>
      </c>
      <c r="AH45" s="42">
        <f>'Income Statement'!AI14</f>
        <v>755364</v>
      </c>
      <c r="AI45" s="42">
        <f>'Income Statement'!AJ14</f>
        <v>0</v>
      </c>
      <c r="AJ45" s="42">
        <f>'Income Statement'!AK14</f>
        <v>0</v>
      </c>
      <c r="AK45" s="42">
        <f>'Income Statement'!AL14</f>
        <v>0</v>
      </c>
      <c r="AL45" s="42">
        <f>'Income Statement'!AM14</f>
        <v>0</v>
      </c>
      <c r="AM45" s="42">
        <f>'Income Statement'!AN14</f>
        <v>0</v>
      </c>
      <c r="AN45" s="205">
        <f>'Income Statement'!AO14</f>
        <v>0</v>
      </c>
      <c r="AO45" s="200"/>
      <c r="AP45" s="200"/>
      <c r="AQ45" s="200"/>
      <c r="AR45" s="200"/>
      <c r="AS45" s="200"/>
      <c r="AT45" s="200"/>
    </row>
    <row r="46" spans="1:46">
      <c r="A46" s="41" t="s">
        <v>188</v>
      </c>
      <c r="B46" s="42">
        <f>'[1]Income Statement'!C16</f>
        <v>0</v>
      </c>
      <c r="C46" s="42">
        <f>'Income Statement'!D16</f>
        <v>0</v>
      </c>
      <c r="D46" s="42">
        <f>'Income Statement'!E16</f>
        <v>0</v>
      </c>
      <c r="E46" s="42">
        <f>'Income Statement'!F16</f>
        <v>0</v>
      </c>
      <c r="F46" s="42">
        <f>'Income Statement'!G16</f>
        <v>0</v>
      </c>
      <c r="G46" s="42">
        <f>'Income Statement'!H16</f>
        <v>0</v>
      </c>
      <c r="H46" s="42">
        <f>'Income Statement'!I16</f>
        <v>0</v>
      </c>
      <c r="I46" s="42">
        <f>'Income Statement'!J16</f>
        <v>0</v>
      </c>
      <c r="J46" s="42">
        <f>'Income Statement'!K16</f>
        <v>0</v>
      </c>
      <c r="K46" s="42">
        <f>'Income Statement'!L16</f>
        <v>0</v>
      </c>
      <c r="L46" s="42">
        <f>'Income Statement'!M16</f>
        <v>0</v>
      </c>
      <c r="M46" s="42">
        <f>'Income Statement'!N16</f>
        <v>0</v>
      </c>
      <c r="N46" s="42">
        <f>'Income Statement'!O16</f>
        <v>0</v>
      </c>
      <c r="O46" s="42">
        <f>'Income Statement'!P16</f>
        <v>0</v>
      </c>
      <c r="P46" s="42">
        <f>'Income Statement'!Q16</f>
        <v>0</v>
      </c>
      <c r="Q46" s="42">
        <f>'Income Statement'!R16</f>
        <v>0</v>
      </c>
      <c r="R46" s="42">
        <f>'Income Statement'!S16</f>
        <v>0</v>
      </c>
      <c r="S46" s="42">
        <f>'Income Statement'!T16</f>
        <v>0</v>
      </c>
      <c r="T46" s="42">
        <f>'Income Statement'!U16</f>
        <v>0</v>
      </c>
      <c r="U46" s="42">
        <f>'Income Statement'!V16</f>
        <v>0</v>
      </c>
      <c r="V46" s="42">
        <f>'Income Statement'!W16</f>
        <v>0</v>
      </c>
      <c r="W46" s="42">
        <f>'Income Statement'!X16</f>
        <v>0</v>
      </c>
      <c r="X46" s="42">
        <f>'Income Statement'!Y16</f>
        <v>0</v>
      </c>
      <c r="Y46" s="42">
        <f>'Income Statement'!Z16</f>
        <v>0</v>
      </c>
      <c r="Z46" s="42">
        <f>'Income Statement'!AA16</f>
        <v>0</v>
      </c>
      <c r="AA46" s="42">
        <f>'Income Statement'!AB16</f>
        <v>0</v>
      </c>
      <c r="AB46" s="42">
        <f>'Income Statement'!AC16</f>
        <v>0</v>
      </c>
      <c r="AC46" s="42">
        <f>'Income Statement'!AD16</f>
        <v>0</v>
      </c>
      <c r="AD46" s="42">
        <f>'Income Statement'!AE16</f>
        <v>0</v>
      </c>
      <c r="AE46" s="42">
        <f>'Income Statement'!AF16</f>
        <v>0</v>
      </c>
      <c r="AF46" s="42">
        <f>'Income Statement'!AG16</f>
        <v>0</v>
      </c>
      <c r="AG46" s="42">
        <f>'Income Statement'!AH16</f>
        <v>1120633</v>
      </c>
      <c r="AH46" s="42">
        <f>'Income Statement'!AI16</f>
        <v>1120633</v>
      </c>
      <c r="AI46" s="42">
        <f>'Income Statement'!AJ16</f>
        <v>0</v>
      </c>
      <c r="AJ46" s="42">
        <f>'Income Statement'!AK16</f>
        <v>0</v>
      </c>
      <c r="AK46" s="42">
        <f>'Income Statement'!AL16</f>
        <v>0</v>
      </c>
      <c r="AL46" s="42">
        <f>'Income Statement'!AM16</f>
        <v>0</v>
      </c>
      <c r="AM46" s="42">
        <f>'Income Statement'!AN16</f>
        <v>0</v>
      </c>
      <c r="AN46" s="205">
        <f>'Income Statement'!AO16</f>
        <v>0</v>
      </c>
      <c r="AO46" s="200"/>
      <c r="AP46" s="200"/>
      <c r="AQ46" s="200"/>
      <c r="AR46" s="200"/>
      <c r="AS46" s="200"/>
      <c r="AT46" s="200"/>
    </row>
    <row r="47" spans="1:46">
      <c r="A47" s="41" t="s">
        <v>189</v>
      </c>
      <c r="B47" s="42">
        <f>'[1]Income Statement'!C15</f>
        <v>0</v>
      </c>
      <c r="C47" s="42">
        <f>'Income Statement'!D15</f>
        <v>28800</v>
      </c>
      <c r="D47" s="42">
        <f>'Income Statement'!E15</f>
        <v>52458</v>
      </c>
      <c r="E47" s="42">
        <f>'Income Statement'!F15</f>
        <v>74791</v>
      </c>
      <c r="F47" s="42">
        <f>'Income Statement'!G15</f>
        <v>93.03</v>
      </c>
      <c r="G47" s="42">
        <f>'Income Statement'!H15</f>
        <v>110960</v>
      </c>
      <c r="H47" s="42">
        <f>'Income Statement'!I15</f>
        <v>133152</v>
      </c>
      <c r="I47" s="42">
        <f>'Income Statement'!J15</f>
        <v>161806.82999999999</v>
      </c>
      <c r="J47" s="42">
        <f>'Income Statement'!K15</f>
        <v>172473.83</v>
      </c>
      <c r="K47" s="42">
        <f>'Income Statement'!L15</f>
        <v>180711.83</v>
      </c>
      <c r="L47" s="42">
        <f>'Income Statement'!M15</f>
        <v>180711.83</v>
      </c>
      <c r="M47" s="42">
        <f>'Income Statement'!N15</f>
        <v>180711.83</v>
      </c>
      <c r="N47" s="42">
        <f>'Income Statement'!O15</f>
        <v>0</v>
      </c>
      <c r="O47" s="42">
        <f>'Income Statement'!P15</f>
        <v>0</v>
      </c>
      <c r="P47" s="42">
        <f>'Income Statement'!Q15</f>
        <v>0</v>
      </c>
      <c r="Q47" s="42">
        <f>'Income Statement'!R15</f>
        <v>0</v>
      </c>
      <c r="R47" s="42">
        <f>'Income Statement'!S15</f>
        <v>0</v>
      </c>
      <c r="S47" s="42">
        <f>'Income Statement'!T15</f>
        <v>0</v>
      </c>
      <c r="T47" s="42">
        <f>'Income Statement'!U15</f>
        <v>0</v>
      </c>
      <c r="U47" s="42">
        <f>'Income Statement'!V15</f>
        <v>0</v>
      </c>
      <c r="V47" s="42">
        <f>'Income Statement'!W15</f>
        <v>0</v>
      </c>
      <c r="W47" s="42">
        <f>'Income Statement'!X15</f>
        <v>0</v>
      </c>
      <c r="X47" s="42">
        <f>'Income Statement'!Y15</f>
        <v>0</v>
      </c>
      <c r="Y47" s="42">
        <f>'Income Statement'!Z15</f>
        <v>0</v>
      </c>
      <c r="Z47" s="42">
        <f>'Income Statement'!AA15</f>
        <v>0</v>
      </c>
      <c r="AA47" s="42">
        <f>'Income Statement'!AB15</f>
        <v>0</v>
      </c>
      <c r="AB47" s="42">
        <f>'Income Statement'!AC15</f>
        <v>0</v>
      </c>
      <c r="AC47" s="42">
        <f>'Income Statement'!AD15</f>
        <v>0</v>
      </c>
      <c r="AD47" s="42">
        <f>'Income Statement'!AE15</f>
        <v>0</v>
      </c>
      <c r="AE47" s="42">
        <f>'Income Statement'!AF15</f>
        <v>0</v>
      </c>
      <c r="AF47" s="42">
        <f>'Income Statement'!AG15</f>
        <v>0</v>
      </c>
      <c r="AG47" s="42">
        <f>'Income Statement'!AH15</f>
        <v>0</v>
      </c>
      <c r="AH47" s="42">
        <f>'Income Statement'!AI15</f>
        <v>0</v>
      </c>
      <c r="AI47" s="42">
        <f>'Income Statement'!AJ15</f>
        <v>0</v>
      </c>
      <c r="AJ47" s="42">
        <f>'Income Statement'!AK15</f>
        <v>0</v>
      </c>
      <c r="AK47" s="42">
        <f>'Income Statement'!AL15</f>
        <v>0</v>
      </c>
      <c r="AL47" s="42">
        <f>'Income Statement'!AM15</f>
        <v>0</v>
      </c>
      <c r="AM47" s="42">
        <f>'Income Statement'!AN15</f>
        <v>0</v>
      </c>
      <c r="AN47" s="205">
        <f>'Income Statement'!AO15</f>
        <v>0</v>
      </c>
      <c r="AO47" s="200"/>
      <c r="AP47" s="200"/>
      <c r="AQ47" s="200"/>
      <c r="AR47" s="200"/>
      <c r="AS47" s="200"/>
      <c r="AT47" s="200"/>
    </row>
    <row r="48" spans="1:46" ht="13.9" thickBot="1">
      <c r="A48" s="50" t="s">
        <v>190</v>
      </c>
      <c r="B48" s="42">
        <f>'[1]Income Statement'!C30</f>
        <v>0</v>
      </c>
      <c r="C48" s="42">
        <f>'Income Statement'!D30</f>
        <v>62585</v>
      </c>
      <c r="D48" s="42">
        <f>'Income Statement'!E30</f>
        <v>309971</v>
      </c>
      <c r="E48" s="42">
        <f>'Income Statement'!F30</f>
        <v>498577</v>
      </c>
      <c r="F48" s="42">
        <f>'Income Statement'!G30</f>
        <v>605.1099999999999</v>
      </c>
      <c r="G48" s="42">
        <f>'Income Statement'!H30</f>
        <v>748306</v>
      </c>
      <c r="H48" s="42">
        <f>'Income Statement'!I30</f>
        <v>1008631</v>
      </c>
      <c r="I48" s="42">
        <f>'Income Statement'!J30</f>
        <v>1183584.8700000001</v>
      </c>
      <c r="J48" s="42">
        <f>'Income Statement'!K30</f>
        <v>1247638.5699999998</v>
      </c>
      <c r="K48" s="42">
        <f>'Income Statement'!L30</f>
        <v>1582623.77</v>
      </c>
      <c r="L48" s="42">
        <f>'Income Statement'!M30</f>
        <v>1882431.87</v>
      </c>
      <c r="M48" s="42">
        <f>'Income Statement'!N30</f>
        <v>2036251.87</v>
      </c>
      <c r="N48" s="42">
        <f>'Income Statement'!O30</f>
        <v>1426803</v>
      </c>
      <c r="O48" s="42">
        <f>'Income Statement'!P30</f>
        <v>30231.900000000023</v>
      </c>
      <c r="P48" s="42">
        <f>'Income Statement'!Q30</f>
        <v>188166.90000000002</v>
      </c>
      <c r="Q48" s="42">
        <f>'Income Statement'!R30</f>
        <v>368908.89999999991</v>
      </c>
      <c r="R48" s="42">
        <f>'Income Statement'!S30</f>
        <v>488371.3899999999</v>
      </c>
      <c r="S48" s="42">
        <f>'Income Statement'!T30</f>
        <v>624006.47999999952</v>
      </c>
      <c r="T48" s="42">
        <f>'Income Statement'!U30</f>
        <v>873234.52</v>
      </c>
      <c r="U48" s="42">
        <f>'Income Statement'!V30</f>
        <v>1167972.6399999999</v>
      </c>
      <c r="V48" s="42">
        <f>'Income Statement'!W30</f>
        <v>1396096.77</v>
      </c>
      <c r="W48" s="42">
        <f>'Income Statement'!X30</f>
        <v>1121007.8699999996</v>
      </c>
      <c r="X48" s="42">
        <f>'Income Statement'!Y30</f>
        <v>1404362.5699999994</v>
      </c>
      <c r="Y48" s="42">
        <f>'Income Statement'!Z30</f>
        <v>1665662.6700000004</v>
      </c>
      <c r="Z48" s="42">
        <f>'Income Statement'!AA30</f>
        <v>2331831.6700000004</v>
      </c>
      <c r="AA48" s="42">
        <f>'Income Statement'!AB30</f>
        <v>1098490</v>
      </c>
      <c r="AB48" s="42">
        <f>'Income Statement'!AC30</f>
        <v>1416092</v>
      </c>
      <c r="AC48" s="42">
        <f>'Income Statement'!AD30</f>
        <v>-106808.30999999994</v>
      </c>
      <c r="AD48" s="42">
        <f>'Income Statement'!AE30</f>
        <v>631357.10999999987</v>
      </c>
      <c r="AE48" s="42">
        <f>'Income Statement'!AF30</f>
        <v>1258623.44</v>
      </c>
      <c r="AF48" s="42">
        <f>'Income Statement'!AG30</f>
        <v>1116783.5799999996</v>
      </c>
      <c r="AG48" s="42">
        <f>'Income Statement'!AH30</f>
        <v>-1236161.77</v>
      </c>
      <c r="AH48" s="42">
        <f>'Income Statement'!AI30</f>
        <v>-1170166.9400000006</v>
      </c>
      <c r="AI48" s="42">
        <f>'Income Statement'!AJ30</f>
        <v>0</v>
      </c>
      <c r="AJ48" s="42">
        <f>'Income Statement'!AK30</f>
        <v>0</v>
      </c>
      <c r="AK48" s="42">
        <f>'Income Statement'!AL30</f>
        <v>0</v>
      </c>
      <c r="AL48" s="42">
        <f>'Income Statement'!AM30</f>
        <v>0</v>
      </c>
      <c r="AM48" s="42">
        <f>'Income Statement'!AN30</f>
        <v>0</v>
      </c>
      <c r="AN48" s="205">
        <f>'Income Statement'!AO30</f>
        <v>0</v>
      </c>
      <c r="AO48" s="200"/>
      <c r="AP48" s="200"/>
      <c r="AQ48" s="200"/>
      <c r="AR48" s="200"/>
      <c r="AS48" s="200"/>
      <c r="AT48" s="200"/>
    </row>
    <row r="49" spans="1:46" ht="12.75">
      <c r="A49" s="51" t="s">
        <v>191</v>
      </c>
      <c r="B49" s="49">
        <f t="shared" ref="B49:C49" si="30">B38-B44</f>
        <v>0</v>
      </c>
      <c r="C49" s="49">
        <f t="shared" si="30"/>
        <v>703159</v>
      </c>
      <c r="D49" s="49">
        <f t="shared" ref="D49:N49" si="31">D38-D44</f>
        <v>855784</v>
      </c>
      <c r="E49" s="49">
        <f t="shared" si="31"/>
        <v>1026210</v>
      </c>
      <c r="F49" s="49">
        <f t="shared" si="31"/>
        <v>1130</v>
      </c>
      <c r="G49" s="49">
        <f t="shared" si="31"/>
        <v>1236586</v>
      </c>
      <c r="H49" s="49">
        <f t="shared" si="31"/>
        <v>1367069</v>
      </c>
      <c r="I49" s="49">
        <f t="shared" si="31"/>
        <v>0</v>
      </c>
      <c r="J49" s="49">
        <f t="shared" si="31"/>
        <v>0</v>
      </c>
      <c r="K49" s="49">
        <f t="shared" si="31"/>
        <v>0</v>
      </c>
      <c r="L49" s="49">
        <f t="shared" si="31"/>
        <v>0</v>
      </c>
      <c r="M49" s="49">
        <f t="shared" si="31"/>
        <v>0</v>
      </c>
      <c r="N49" s="49">
        <f t="shared" si="31"/>
        <v>0</v>
      </c>
      <c r="O49" s="49">
        <f t="shared" ref="O49:S49" si="32">O38-O44</f>
        <v>0</v>
      </c>
      <c r="P49" s="49">
        <f t="shared" si="32"/>
        <v>0</v>
      </c>
      <c r="Q49" s="49">
        <f t="shared" si="32"/>
        <v>0</v>
      </c>
      <c r="R49" s="49">
        <f t="shared" si="32"/>
        <v>0</v>
      </c>
      <c r="S49" s="49">
        <f t="shared" si="32"/>
        <v>0</v>
      </c>
      <c r="T49" s="49">
        <f t="shared" ref="T49:V49" si="33">T38-T44</f>
        <v>0</v>
      </c>
      <c r="U49" s="49">
        <f t="shared" si="33"/>
        <v>0</v>
      </c>
      <c r="V49" s="49">
        <f t="shared" si="33"/>
        <v>0</v>
      </c>
      <c r="W49" s="49">
        <f t="shared" ref="W49:Z49" si="34">W38-W44</f>
        <v>0</v>
      </c>
      <c r="X49" s="49">
        <f t="shared" si="34"/>
        <v>0</v>
      </c>
      <c r="Y49" s="49">
        <f t="shared" si="34"/>
        <v>0</v>
      </c>
      <c r="Z49" s="49">
        <f t="shared" si="34"/>
        <v>0</v>
      </c>
      <c r="AA49" s="49">
        <f t="shared" ref="AA49:AL49" si="35">AA38-AA44</f>
        <v>0</v>
      </c>
      <c r="AB49" s="49">
        <f t="shared" si="35"/>
        <v>0</v>
      </c>
      <c r="AC49" s="49">
        <f t="shared" si="35"/>
        <v>0</v>
      </c>
      <c r="AD49" s="49">
        <f t="shared" si="35"/>
        <v>0</v>
      </c>
      <c r="AE49" s="49">
        <f t="shared" si="35"/>
        <v>0</v>
      </c>
      <c r="AF49" s="49">
        <f t="shared" si="35"/>
        <v>0</v>
      </c>
      <c r="AG49" s="49">
        <f t="shared" si="35"/>
        <v>0</v>
      </c>
      <c r="AH49" s="49">
        <f t="shared" si="35"/>
        <v>0</v>
      </c>
      <c r="AI49" s="49">
        <f t="shared" ref="AI49:AS49" si="36">AI38-AI44</f>
        <v>0</v>
      </c>
      <c r="AJ49" s="49">
        <f t="shared" si="36"/>
        <v>0</v>
      </c>
      <c r="AK49" s="49">
        <f t="shared" si="36"/>
        <v>0</v>
      </c>
      <c r="AL49" s="49">
        <f t="shared" si="36"/>
        <v>0</v>
      </c>
      <c r="AM49" s="49">
        <f t="shared" si="36"/>
        <v>0</v>
      </c>
      <c r="AN49" s="208">
        <f t="shared" si="36"/>
        <v>0</v>
      </c>
      <c r="AO49" s="204"/>
      <c r="AP49" s="204"/>
      <c r="AQ49" s="204"/>
      <c r="AR49" s="204"/>
      <c r="AS49" s="204"/>
      <c r="AT49" s="20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18"/>
  <sheetViews>
    <sheetView topLeftCell="V1" workbookViewId="0">
      <selection activeCell="AF10" sqref="AF10"/>
    </sheetView>
  </sheetViews>
  <sheetFormatPr defaultRowHeight="14.45"/>
  <cols>
    <col min="4" max="4" width="7.5703125" bestFit="1" customWidth="1"/>
    <col min="5" max="16" width="12.28515625" bestFit="1" customWidth="1"/>
    <col min="17" max="18" width="11" bestFit="1" customWidth="1"/>
    <col min="19" max="21" width="12.140625" bestFit="1" customWidth="1"/>
    <col min="22" max="28" width="11" bestFit="1" customWidth="1"/>
  </cols>
  <sheetData>
    <row r="1" spans="1:33">
      <c r="A1" s="52" t="s">
        <v>192</v>
      </c>
      <c r="B1" s="52"/>
      <c r="C1" s="52"/>
      <c r="D1" s="35"/>
      <c r="E1" s="35"/>
      <c r="F1" s="35"/>
      <c r="G1" s="35"/>
      <c r="H1" s="35"/>
      <c r="I1" s="53"/>
    </row>
    <row r="2" spans="1:33" ht="15">
      <c r="A2" s="54"/>
      <c r="B2" s="54"/>
      <c r="C2" s="54" t="s">
        <v>193</v>
      </c>
      <c r="D2" s="38"/>
      <c r="E2" s="39">
        <v>44216</v>
      </c>
      <c r="F2" s="39">
        <v>44247</v>
      </c>
      <c r="G2" s="39">
        <v>44275</v>
      </c>
      <c r="H2" s="39">
        <v>44306</v>
      </c>
      <c r="I2" s="39">
        <v>44336</v>
      </c>
      <c r="J2" s="39">
        <v>44367</v>
      </c>
      <c r="K2" s="39">
        <v>44428</v>
      </c>
      <c r="L2" s="39">
        <v>44459</v>
      </c>
      <c r="M2" s="39">
        <v>44489</v>
      </c>
      <c r="N2" s="39">
        <v>44520</v>
      </c>
      <c r="O2" s="39">
        <v>44550</v>
      </c>
      <c r="P2" s="39" t="s">
        <v>4</v>
      </c>
      <c r="Q2" s="39">
        <v>44197</v>
      </c>
      <c r="R2" s="39">
        <v>44229</v>
      </c>
      <c r="S2" s="39">
        <v>44258</v>
      </c>
      <c r="T2" s="39">
        <v>44290</v>
      </c>
      <c r="U2" s="39">
        <v>44321</v>
      </c>
      <c r="V2" s="39">
        <v>44353</v>
      </c>
      <c r="W2" s="39">
        <v>44384</v>
      </c>
      <c r="X2" s="39">
        <v>44416</v>
      </c>
      <c r="Y2" s="39">
        <v>44448</v>
      </c>
      <c r="Z2" s="39">
        <v>44479</v>
      </c>
      <c r="AA2" s="39">
        <v>44511</v>
      </c>
      <c r="AB2" s="39">
        <v>44542</v>
      </c>
      <c r="AC2" t="s">
        <v>5</v>
      </c>
    </row>
    <row r="3" spans="1:33" ht="15">
      <c r="A3" s="197" t="s">
        <v>194</v>
      </c>
      <c r="B3" s="55" t="s">
        <v>138</v>
      </c>
      <c r="C3" s="56" t="s">
        <v>195</v>
      </c>
      <c r="D3" s="57">
        <f>[2]Financials!B14</f>
        <v>0</v>
      </c>
      <c r="E3" s="57">
        <f>Financials!C13</f>
        <v>18706275</v>
      </c>
      <c r="F3" s="57">
        <f>Financials!D13</f>
        <v>18953661</v>
      </c>
      <c r="G3" s="57">
        <f>Financials!E13</f>
        <v>19142267</v>
      </c>
      <c r="H3" s="57">
        <f>Financials!F13</f>
        <v>19244.489999999998</v>
      </c>
      <c r="I3" s="57">
        <f>Financials!G13</f>
        <v>21996464</v>
      </c>
      <c r="J3" s="57">
        <f>Financials!H13</f>
        <v>22096464</v>
      </c>
      <c r="K3" s="57">
        <f>Financials!I13</f>
        <v>17336025</v>
      </c>
      <c r="L3" s="57">
        <f>Financials!J13</f>
        <v>17618603.609999999</v>
      </c>
      <c r="M3" s="57">
        <f>Financials!K13</f>
        <v>17953588.82</v>
      </c>
      <c r="N3" s="57">
        <f>Financials!L13</f>
        <v>18253396.829999998</v>
      </c>
      <c r="O3" s="57">
        <f>Financials!M13</f>
        <v>18407216.829999998</v>
      </c>
      <c r="P3" s="57">
        <f>Financials!N13</f>
        <v>21805446</v>
      </c>
      <c r="Q3" s="57">
        <f>Financials!O13</f>
        <v>16401196.92</v>
      </c>
      <c r="R3" s="57">
        <f>Financials!P13</f>
        <v>16559131.92</v>
      </c>
      <c r="S3" s="57">
        <f>Financials!Q13</f>
        <v>17059585.920000002</v>
      </c>
      <c r="T3" s="57">
        <f>Financials!R13</f>
        <v>17179048.370000001</v>
      </c>
      <c r="U3" s="57">
        <f>Financials!S13</f>
        <v>17314683.449999999</v>
      </c>
      <c r="V3" s="57">
        <f>Financials!T13</f>
        <v>17563911.490000002</v>
      </c>
      <c r="W3" s="57">
        <f>Financials!U13</f>
        <v>17858649.66</v>
      </c>
      <c r="X3" s="57">
        <f>Financials!V13</f>
        <v>18286773.740000002</v>
      </c>
      <c r="Y3" s="57">
        <f>Financials!W13</f>
        <v>18011684.890000001</v>
      </c>
      <c r="Z3" s="57">
        <f>Financials!X13</f>
        <v>18345039.629999999</v>
      </c>
      <c r="AA3" s="57">
        <f>Financials!Y13</f>
        <v>18606339.68</v>
      </c>
      <c r="AB3" s="57">
        <f>Financials!Z13</f>
        <v>19272508.68</v>
      </c>
      <c r="AC3" s="57">
        <f>Financials!AA13</f>
        <v>22818609</v>
      </c>
      <c r="AD3" s="57">
        <f>Financials!AB13</f>
        <v>22971025</v>
      </c>
      <c r="AE3" s="57">
        <f>Financials!AC13</f>
        <v>17984493.5</v>
      </c>
      <c r="AF3" s="57">
        <f>Financials!AD13</f>
        <v>17986393.5</v>
      </c>
      <c r="AG3" s="57">
        <f>Financials!AE13</f>
        <v>17988393.5</v>
      </c>
    </row>
    <row r="4" spans="1:33" ht="15">
      <c r="A4" s="198"/>
      <c r="B4" s="58" t="s">
        <v>196</v>
      </c>
      <c r="C4" s="59">
        <v>0.1</v>
      </c>
      <c r="D4" s="60" t="e">
        <f>[2]Financials!B13/[2]Financials!B5</f>
        <v>#DIV/0!</v>
      </c>
      <c r="E4" s="60">
        <f>Financials!C13/Financials!C5</f>
        <v>0.38247587814220901</v>
      </c>
      <c r="F4" s="60">
        <f>Financials!D13/Financials!D5</f>
        <v>0.40881405952648997</v>
      </c>
      <c r="G4" s="60">
        <f>Financials!E13/Financials!E5</f>
        <v>0.41203427685270744</v>
      </c>
      <c r="H4" s="60">
        <f>Financials!F13/Financials!F5</f>
        <v>0.43436472390983299</v>
      </c>
      <c r="I4" s="60">
        <f>Financials!G13/Financials!G5</f>
        <v>0.48514197989061336</v>
      </c>
      <c r="J4" s="60">
        <f>Financials!H13/Financials!H5</f>
        <v>0.47384472518270881</v>
      </c>
      <c r="K4" s="60">
        <f>Financials!I13/Financials!I5</f>
        <v>0.42236550674714768</v>
      </c>
      <c r="L4" s="60">
        <f>Financials!J13/Financials!J5</f>
        <v>0.42684696168961406</v>
      </c>
      <c r="M4" s="60">
        <f>Financials!K13/Financials!K5</f>
        <v>0.41674817859912444</v>
      </c>
      <c r="N4" s="60">
        <f>Financials!L13/Financials!L5</f>
        <v>0.4336441117545044</v>
      </c>
      <c r="O4" s="60">
        <f>Financials!M13/Financials!M5</f>
        <v>0.44040848811744604</v>
      </c>
      <c r="P4" s="60">
        <f>Financials!N13/Financials!N5</f>
        <v>0.43791463472139558</v>
      </c>
      <c r="Q4" s="60">
        <f>Financials!O13/Financials!O5</f>
        <v>0.40901019106195008</v>
      </c>
      <c r="R4" s="60">
        <f>Financials!P13/Financials!P5</f>
        <v>0.41196744668276075</v>
      </c>
      <c r="S4" s="60">
        <f>Financials!Q13/Financials!Q5</f>
        <v>0.34202927990585108</v>
      </c>
      <c r="T4" s="60">
        <f>Financials!R13/Financials!R5</f>
        <v>0.34500470473210548</v>
      </c>
      <c r="U4" s="60">
        <f>Financials!S13/Financials!S5</f>
        <v>0.37074259832695861</v>
      </c>
      <c r="V4" s="60">
        <f>Financials!T13/Financials!T5</f>
        <v>0.37818121218606321</v>
      </c>
      <c r="W4" s="60">
        <f>Financials!U13/Financials!U5</f>
        <v>0.3605073362965252</v>
      </c>
      <c r="X4" s="60">
        <f>Financials!V13/Financials!V5</f>
        <v>0.37228043739875027</v>
      </c>
      <c r="Y4" s="60">
        <f>Financials!W13/Financials!W5</f>
        <v>0.37153813561687832</v>
      </c>
      <c r="Z4" s="60">
        <f>Financials!X13/Financials!X5</f>
        <v>0.36890011160749642</v>
      </c>
      <c r="AA4" s="60">
        <f>Financials!Y13/Financials!Y5</f>
        <v>0.37900592155305141</v>
      </c>
      <c r="AB4" s="60">
        <f>Financials!Z13/Financials!Z5</f>
        <v>0.38440674339538827</v>
      </c>
      <c r="AC4" s="60">
        <f>Financials!AA13/Financials!AA5</f>
        <v>0.40272704481370403</v>
      </c>
    </row>
    <row r="5" spans="1:33" ht="15">
      <c r="A5" s="198"/>
      <c r="B5" s="58" t="s">
        <v>197</v>
      </c>
      <c r="C5" s="59">
        <v>0.08</v>
      </c>
      <c r="D5" s="60" t="e">
        <f>[2]Financials!B13/[2]Financials!B6</f>
        <v>#DIV/0!</v>
      </c>
      <c r="E5" s="60">
        <f>Financials!C13/Financials!C6</f>
        <v>0.76136714923476967</v>
      </c>
      <c r="F5" s="60">
        <f>Financials!D13/Financials!D6</f>
        <v>0.7834393766470843</v>
      </c>
      <c r="G5" s="60">
        <f>Financials!E13/Financials!E6</f>
        <v>0.79529965497912636</v>
      </c>
      <c r="H5" s="60">
        <f>Financials!F13/Financials!F6</f>
        <v>0.86632336933768717</v>
      </c>
      <c r="I5" s="60">
        <f>Financials!G13/Financials!G6</f>
        <v>0.95240045086351321</v>
      </c>
      <c r="J5" s="60">
        <f>Financials!H13/Financials!H6</f>
        <v>1.0072924440313975</v>
      </c>
      <c r="K5" s="60">
        <f>Financials!I13/Financials!I6</f>
        <v>0.78404454998387263</v>
      </c>
      <c r="L5" s="60">
        <f>Financials!J13/Financials!J6</f>
        <v>0.789962791395315</v>
      </c>
      <c r="M5" s="60">
        <f>Financials!K13/Financials!K6</f>
        <v>0.77911807000422484</v>
      </c>
      <c r="N5" s="60">
        <f>Financials!L13/Financials!L6</f>
        <v>0.78543095548373898</v>
      </c>
      <c r="O5" s="60">
        <f>Financials!M13/Financials!M6</f>
        <v>0.7978862240729091</v>
      </c>
      <c r="P5" s="60">
        <f>Financials!N13/Financials!N6</f>
        <v>0.94518715818398957</v>
      </c>
      <c r="Q5" s="60">
        <f>Financials!O13/Financials!O6</f>
        <v>0.69130798557619833</v>
      </c>
      <c r="R5" s="60">
        <f>Financials!P13/Financials!P6</f>
        <v>0.71504841730918145</v>
      </c>
      <c r="S5" s="60">
        <f>Financials!Q13/Financials!Q6</f>
        <v>0.5658784584945914</v>
      </c>
      <c r="T5" s="60">
        <f>Financials!R13/Financials!R6</f>
        <v>0.57211842037461214</v>
      </c>
      <c r="U5" s="60">
        <f>Financials!S13/Financials!S6</f>
        <v>0.61999609069115269</v>
      </c>
      <c r="V5" s="60">
        <f>Financials!T13/Financials!T6</f>
        <v>0.6498633340585418</v>
      </c>
      <c r="W5" s="60">
        <f>Financials!U13/Financials!U6</f>
        <v>0.5824555895848369</v>
      </c>
      <c r="X5" s="60">
        <f>Financials!V13/Financials!V6</f>
        <v>0.61652662252596779</v>
      </c>
      <c r="Y5" s="60">
        <f>Financials!W13/Financials!W6</f>
        <v>0.61486369766773552</v>
      </c>
      <c r="Z5" s="60">
        <f>Financials!X13/Financials!X6</f>
        <v>0.60736977455753693</v>
      </c>
      <c r="AA5" s="60">
        <f>Financials!Y13/Financials!Y6</f>
        <v>0.63494044398929828</v>
      </c>
      <c r="AB5" s="60">
        <f>Financials!Z13/Financials!Z6</f>
        <v>0.64866422537037927</v>
      </c>
      <c r="AC5" s="60">
        <f>Financials!AA13/Financials!AA6</f>
        <v>0.76801704657499559</v>
      </c>
    </row>
    <row r="6" spans="1:33" ht="15">
      <c r="A6" s="199"/>
      <c r="B6" s="61" t="s">
        <v>198</v>
      </c>
      <c r="C6" s="62">
        <v>0.08</v>
      </c>
      <c r="D6" s="63" t="e">
        <f>([2]Financials!B15-[2]Financials!B16)/[2]Financials!B5</f>
        <v>#DIV/0!</v>
      </c>
      <c r="E6" s="64">
        <f>(Financials!C15-Financials!C16)/Financials!C5</f>
        <v>0.13909776226917664</v>
      </c>
      <c r="F6" s="64">
        <f>(Financials!D15-Financials!D16)/Financials!D5</f>
        <v>0.15207171465900279</v>
      </c>
      <c r="G6" s="64">
        <f>(Financials!E15-Financials!E16)/Financials!E5</f>
        <v>0.15581915075363173</v>
      </c>
      <c r="H6" s="64">
        <f>(Financials!F15-Financials!F16)/Financials!F5</f>
        <v>0.16569856478661166</v>
      </c>
      <c r="I6" s="64">
        <f>(Financials!G15-Financials!G16)/Financials!G5</f>
        <v>0.22261087106551466</v>
      </c>
      <c r="J6" s="64">
        <f>(Financials!H15-Financials!H16)/Financials!H5</f>
        <v>0.21858749152342966</v>
      </c>
      <c r="K6" s="64">
        <f>(Financials!I15-Financials!I16)/Financials!I5</f>
        <v>0.13236169396351682</v>
      </c>
      <c r="L6" s="64">
        <f>(Financials!J15-Financials!J16)/Financials!J5</f>
        <v>0.13846672194905366</v>
      </c>
      <c r="M6" s="64">
        <f>(Financials!K15-Financials!K16)/Financials!K5</f>
        <v>0.14044414518647344</v>
      </c>
      <c r="N6" s="64">
        <f>(Financials!L15-Financials!L16)/Financials!L5</f>
        <v>0.15086029815593388</v>
      </c>
      <c r="O6" s="64">
        <f>(Financials!M15-Financials!M16)/Financials!M5</f>
        <v>0.15561350058506199</v>
      </c>
      <c r="P6" s="64">
        <f>(Financials!N15-Financials!N16)/Financials!N5</f>
        <v>0.19719747194371157</v>
      </c>
      <c r="Q6" s="64">
        <f>(Financials!O15-Financials!O16)/Financials!O5</f>
        <v>0.1121695402672918</v>
      </c>
      <c r="R6" s="64">
        <f>(Financials!P15-Financials!P16)/Financials!P5</f>
        <v>0.11583218535982351</v>
      </c>
      <c r="S6" s="64">
        <f>(Financials!Q15-Financials!Q16)/Financials!Q5</f>
        <v>0.10171622114336565</v>
      </c>
      <c r="T6" s="64">
        <f>(Financials!R15-Financials!R16)/Financials!R5</f>
        <v>0.1042867494687663</v>
      </c>
      <c r="U6" s="64">
        <f>(Financials!S15-Financials!S16)/Financials!S5</f>
        <v>0.11409305018855802</v>
      </c>
      <c r="V6" s="64">
        <f>(Financials!T15-Financials!T16)/Financials!T5</f>
        <v>0.1200970937742513</v>
      </c>
      <c r="W6" s="64">
        <f>(Financials!U15-Financials!U16)/Financials!U5</f>
        <v>0.11854483793873151</v>
      </c>
      <c r="X6" s="64">
        <f>(Financials!V15-Financials!V16)/Financials!V5</f>
        <v>0.12419432188905323</v>
      </c>
      <c r="Y6" s="64">
        <f>(Financials!W15-Financials!W16)/Financials!W5</f>
        <v>0.12016527236108908</v>
      </c>
      <c r="Z6" s="64">
        <f>(Financials!X15-Financials!X16)/Financials!X5</f>
        <v>0.12284197628610194</v>
      </c>
      <c r="AA6" s="64">
        <f>(Financials!Y15-Financials!Y16)/Financials!Y5</f>
        <v>0.1297573681976516</v>
      </c>
      <c r="AB6" s="64">
        <f>(Financials!Z15-Financials!Z16)/Financials!Z5</f>
        <v>0.14034464336315683</v>
      </c>
      <c r="AC6" s="64">
        <f>(Financials!AA15-Financials!AA16)/Financials!AA5</f>
        <v>0.19118134614161061</v>
      </c>
    </row>
    <row r="7" spans="1:33" ht="15">
      <c r="A7" s="197" t="s">
        <v>199</v>
      </c>
      <c r="B7" s="55" t="s">
        <v>200</v>
      </c>
      <c r="C7" s="65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</row>
    <row r="8" spans="1:33" ht="15">
      <c r="A8" s="198"/>
      <c r="B8" s="58" t="s">
        <v>201</v>
      </c>
      <c r="C8" s="67"/>
      <c r="D8" s="68">
        <f t="shared" ref="D8:O8" si="0">6.5%</f>
        <v>6.5000000000000002E-2</v>
      </c>
      <c r="E8" s="68">
        <f t="shared" si="0"/>
        <v>6.5000000000000002E-2</v>
      </c>
      <c r="F8" s="68">
        <f t="shared" si="0"/>
        <v>6.5000000000000002E-2</v>
      </c>
      <c r="G8" s="68">
        <f t="shared" si="0"/>
        <v>6.5000000000000002E-2</v>
      </c>
      <c r="H8" s="68">
        <f t="shared" si="0"/>
        <v>6.5000000000000002E-2</v>
      </c>
      <c r="I8" s="68">
        <f t="shared" si="0"/>
        <v>6.5000000000000002E-2</v>
      </c>
      <c r="J8" s="68">
        <f t="shared" si="0"/>
        <v>6.5000000000000002E-2</v>
      </c>
      <c r="K8" s="68">
        <f t="shared" si="0"/>
        <v>6.5000000000000002E-2</v>
      </c>
      <c r="L8" s="68">
        <f t="shared" si="0"/>
        <v>6.5000000000000002E-2</v>
      </c>
      <c r="M8" s="68">
        <f t="shared" si="0"/>
        <v>6.5000000000000002E-2</v>
      </c>
      <c r="N8" s="68">
        <f t="shared" si="0"/>
        <v>6.5000000000000002E-2</v>
      </c>
      <c r="O8" s="68">
        <f t="shared" si="0"/>
        <v>6.5000000000000002E-2</v>
      </c>
      <c r="P8" s="68">
        <f>'[1]FORM 4'!F22</f>
        <v>0</v>
      </c>
      <c r="Q8" s="68">
        <f>'[1]FORM 4'!G22</f>
        <v>0</v>
      </c>
      <c r="R8" s="68">
        <f>'[1]FORM 4'!H22</f>
        <v>0</v>
      </c>
      <c r="S8" s="68">
        <f>'[1]FORM 4'!I22</f>
        <v>0</v>
      </c>
      <c r="T8" s="68">
        <f>'[1]FORM 4'!J22</f>
        <v>0</v>
      </c>
      <c r="U8" s="68">
        <f>'[1]FORM 4'!K22</f>
        <v>0</v>
      </c>
      <c r="V8" s="68">
        <f>'[1]FORM 4'!L22</f>
        <v>0</v>
      </c>
      <c r="W8" s="68">
        <f>'[1]FORM 4'!M22</f>
        <v>0</v>
      </c>
      <c r="X8" s="68">
        <f>'[1]FORM 4'!N22</f>
        <v>0</v>
      </c>
      <c r="Y8" s="68">
        <f>'[1]FORM 4'!O22</f>
        <v>0</v>
      </c>
      <c r="Z8" s="68">
        <f>'[1]FORM 4'!P22</f>
        <v>0</v>
      </c>
      <c r="AA8" s="68">
        <f>'[1]FORM 4'!Q22</f>
        <v>0</v>
      </c>
      <c r="AB8" s="68">
        <f>'[1]FORM 4'!R22</f>
        <v>0</v>
      </c>
      <c r="AC8" s="68">
        <f>'[1]FORM 4'!S22</f>
        <v>0</v>
      </c>
    </row>
    <row r="9" spans="1:33" ht="15">
      <c r="A9" s="198"/>
      <c r="B9" s="58" t="s">
        <v>202</v>
      </c>
      <c r="C9" s="69" t="s">
        <v>203</v>
      </c>
      <c r="D9" s="60" t="e">
        <f>('[1]Balance Sheet'!C7+'[1]Balance Sheet'!C20)/'[1]Balance Sheet'!C26</f>
        <v>#DIV/0!</v>
      </c>
      <c r="E9" s="60">
        <f>('Balance Sheet'!D7+'Balance Sheet'!D20)/'Balance Sheet'!D26</f>
        <v>0.10860190354386981</v>
      </c>
      <c r="F9" s="60">
        <f>('Balance Sheet'!E7+'Balance Sheet'!E20)/'Balance Sheet'!E26</f>
        <v>0.11456538429063974</v>
      </c>
      <c r="G9" s="60">
        <f>('Balance Sheet'!F7+'Balance Sheet'!F20)/'Balance Sheet'!F26</f>
        <v>0.11433012500437176</v>
      </c>
      <c r="H9" s="60">
        <f>('Balance Sheet'!G7+'Balance Sheet'!G20)/'Balance Sheet'!G26</f>
        <v>0.11988603520467597</v>
      </c>
      <c r="I9" s="60">
        <f>('Balance Sheet'!H7+'Balance Sheet'!H20)/'Balance Sheet'!H26</f>
        <v>0.11714848747026468</v>
      </c>
      <c r="J9" s="60">
        <f>('Balance Sheet'!I7+'Balance Sheet'!I20)/'Balance Sheet'!I26</f>
        <v>0.11390268746760299</v>
      </c>
      <c r="K9" s="60">
        <f>('Balance Sheet'!J7+'Balance Sheet'!J20)/'Balance Sheet'!J26</f>
        <v>0.12940755166217544</v>
      </c>
      <c r="L9" s="60">
        <f>('Balance Sheet'!K7+'Balance Sheet'!K20)/'Balance Sheet'!K26</f>
        <v>0.12868306942026367</v>
      </c>
      <c r="M9" s="60">
        <f>('Balance Sheet'!L7+'Balance Sheet'!L20)/'Balance Sheet'!L26</f>
        <v>0.12329433925405724</v>
      </c>
      <c r="N9" s="60">
        <f>('Balance Sheet'!M7+'Balance Sheet'!M20)/'Balance Sheet'!M26</f>
        <v>0.12618579258055038</v>
      </c>
      <c r="O9" s="60">
        <f>('Balance Sheet'!N7+'Balance Sheet'!N20)/'Balance Sheet'!N26</f>
        <v>0.12708323283226103</v>
      </c>
      <c r="P9" s="60">
        <f>('Balance Sheet'!O7+'Balance Sheet'!O20)/'Balance Sheet'!O26</f>
        <v>0.10830772038655072</v>
      </c>
      <c r="Q9" s="60">
        <f>('Balance Sheet'!P7+'Balance Sheet'!P20)/'Balance Sheet'!P26</f>
        <v>0.1383666035350645</v>
      </c>
      <c r="R9" s="60">
        <f>('Balance Sheet'!Q7+'Balance Sheet'!Q20)/'Balance Sheet'!Q26</f>
        <v>0.1380377996966746</v>
      </c>
      <c r="S9" s="60">
        <f>('Balance Sheet'!R7+'Balance Sheet'!R20)/'Balance Sheet'!R26</f>
        <v>9.7295016093787476E-2</v>
      </c>
      <c r="T9" s="60">
        <f>('Balance Sheet'!S7+'Balance Sheet'!S20)/'Balance Sheet'!S26</f>
        <v>0.11972151701106978</v>
      </c>
      <c r="U9" s="60">
        <f>('Balance Sheet'!T7+'Balance Sheet'!T20)/'Balance Sheet'!T26</f>
        <v>0.12764512397806363</v>
      </c>
      <c r="V9" s="60">
        <f>('Balance Sheet'!U7+'Balance Sheet'!U20)/'Balance Sheet'!U26</f>
        <v>0.12835861013743174</v>
      </c>
      <c r="W9" s="60">
        <f>('Balance Sheet'!V7+'Balance Sheet'!V20)/'Balance Sheet'!V26</f>
        <v>0.11832182205820665</v>
      </c>
      <c r="X9" s="60">
        <f>('Balance Sheet'!W7+'Balance Sheet'!W20)/'Balance Sheet'!W26</f>
        <v>0.11062802159942979</v>
      </c>
      <c r="Y9" s="60">
        <f>('Balance Sheet'!X7+'Balance Sheet'!X20)/'Balance Sheet'!X26</f>
        <v>0.11209366750992152</v>
      </c>
      <c r="Z9" s="60">
        <f>('Balance Sheet'!Y7+'Balance Sheet'!Y20)/'Balance Sheet'!Y26</f>
        <v>0.10918800358065639</v>
      </c>
      <c r="AA9" s="60">
        <f>('Balance Sheet'!Z7+'Balance Sheet'!Z20)/'Balance Sheet'!Z26</f>
        <v>0.11060374777162067</v>
      </c>
      <c r="AB9" s="60">
        <f>('Balance Sheet'!AA7+'Balance Sheet'!AA20)/'Balance Sheet'!AA26</f>
        <v>0.1083022653057744</v>
      </c>
      <c r="AC9" s="60">
        <f>('Balance Sheet'!AB7+'Balance Sheet'!AB20)/'Balance Sheet'!AB26</f>
        <v>0.17951761054291426</v>
      </c>
    </row>
    <row r="10" spans="1:33" ht="15">
      <c r="A10" s="199"/>
      <c r="B10" s="61" t="s">
        <v>204</v>
      </c>
      <c r="C10" s="70" t="s">
        <v>205</v>
      </c>
      <c r="D10" s="64" t="e">
        <f>('[1]Balance Sheet'!C22+'[1]Balance Sheet'!C23)/'[1]Balance Sheet'!C26</f>
        <v>#DIV/0!</v>
      </c>
      <c r="E10" s="64">
        <f>('Balance Sheet'!D22+'Balance Sheet'!D23)/'Balance Sheet'!D26</f>
        <v>6.3825526388142692E-2</v>
      </c>
      <c r="F10" s="64">
        <f>('Balance Sheet'!E22+'Balance Sheet'!E23)/'Balance Sheet'!E26</f>
        <v>6.7330274328535777E-2</v>
      </c>
      <c r="G10" s="64">
        <f>('Balance Sheet'!F22+'Balance Sheet'!F23)/'Balance Sheet'!F26</f>
        <v>6.7192012039443513E-2</v>
      </c>
      <c r="H10" s="64">
        <f>('Balance Sheet'!G22+'Balance Sheet'!G23)/'Balance Sheet'!G26</f>
        <v>7.0457202147572368E-2</v>
      </c>
      <c r="I10" s="64">
        <f>('Balance Sheet'!H22+'Balance Sheet'!H23)/'Balance Sheet'!H26</f>
        <v>6.8848368531072929E-2</v>
      </c>
      <c r="J10" s="64">
        <f>('Balance Sheet'!I22+'Balance Sheet'!I23)/'Balance Sheet'!I26</f>
        <v>6.6940806260427879E-2</v>
      </c>
      <c r="K10" s="64">
        <f>('Balance Sheet'!J22+'Balance Sheet'!J23)/'Balance Sheet'!J26</f>
        <v>7.6053041741599728E-2</v>
      </c>
      <c r="L10" s="64">
        <f>('Balance Sheet'!K22+'Balance Sheet'!K23)/'Balance Sheet'!K26</f>
        <v>7.5627262276047338E-2</v>
      </c>
      <c r="M10" s="64">
        <f>('Balance Sheet'!L22+'Balance Sheet'!L23)/'Balance Sheet'!L26</f>
        <v>7.2460296245080352E-2</v>
      </c>
      <c r="N10" s="64">
        <f>('Balance Sheet'!M22+'Balance Sheet'!M23)/'Balance Sheet'!M26</f>
        <v>7.4159608361793139E-2</v>
      </c>
      <c r="O10" s="64">
        <f>('Balance Sheet'!N22+'Balance Sheet'!N23)/'Balance Sheet'!N26</f>
        <v>7.4687035548593794E-2</v>
      </c>
      <c r="P10" s="64">
        <f>('Balance Sheet'!O22+'Balance Sheet'!O23)/'Balance Sheet'!O26</f>
        <v>5.8410592573842686E-2</v>
      </c>
      <c r="Q10" s="64">
        <f>('Balance Sheet'!P22+'Balance Sheet'!P23)/'Balance Sheet'!P26</f>
        <v>6.2276808329776459E-2</v>
      </c>
      <c r="R10" s="64">
        <f>('Balance Sheet'!Q22+'Balance Sheet'!Q23)/'Balance Sheet'!Q26</f>
        <v>6.2128818474577671E-2</v>
      </c>
      <c r="S10" s="64">
        <f>('Balance Sheet'!R22+'Balance Sheet'!R23)/'Balance Sheet'!R26</f>
        <v>5.8312535772587437E-2</v>
      </c>
      <c r="T10" s="64">
        <f>('Balance Sheet'!S22+'Balance Sheet'!S23)/'Balance Sheet'!S26</f>
        <v>5.841078487237341E-2</v>
      </c>
      <c r="U10" s="64">
        <f>('Balance Sheet'!T22+'Balance Sheet'!T23)/'Balance Sheet'!T26</f>
        <v>6.2276623808573343E-2</v>
      </c>
      <c r="V10" s="64">
        <f>('Balance Sheet'!U22+'Balance Sheet'!U23)/'Balance Sheet'!U26</f>
        <v>6.2624725700402992E-2</v>
      </c>
      <c r="W10" s="64">
        <f>('Balance Sheet'!V22+'Balance Sheet'!V23)/'Balance Sheet'!V26</f>
        <v>5.8712776216870571E-2</v>
      </c>
      <c r="X10" s="64">
        <f>('Balance Sheet'!W22+'Balance Sheet'!W23)/'Balance Sheet'!W26</f>
        <v>5.921070758152109E-2</v>
      </c>
      <c r="Y10" s="64">
        <f>('Balance Sheet'!X22+'Balance Sheet'!X23)/'Balance Sheet'!X26</f>
        <v>5.9995155591794698E-2</v>
      </c>
      <c r="Z10" s="64">
        <f>('Balance Sheet'!Y22+'Balance Sheet'!Y23)/'Balance Sheet'!Y26</f>
        <v>5.8486719055888599E-2</v>
      </c>
      <c r="AA10" s="64">
        <f>('Balance Sheet'!Z22+'Balance Sheet'!Z23)/'Balance Sheet'!Z26</f>
        <v>5.9245064570382491E-2</v>
      </c>
      <c r="AB10" s="64">
        <f>('Balance Sheet'!AA22+'Balance Sheet'!AA23)/'Balance Sheet'!AA26</f>
        <v>5.8012272010963893E-2</v>
      </c>
      <c r="AC10" s="64">
        <f>('Balance Sheet'!AB22+'Balance Sheet'!AB23)/'Balance Sheet'!AB26</f>
        <v>0.14166834994595415</v>
      </c>
    </row>
    <row r="11" spans="1:33" ht="15">
      <c r="A11" s="197" t="s">
        <v>206</v>
      </c>
      <c r="B11" s="55" t="s">
        <v>207</v>
      </c>
      <c r="C11" s="71" t="s">
        <v>205</v>
      </c>
      <c r="D11" s="72" t="e">
        <f>'[1]Balance Sheet'!C12/'[1]Balance Sheet'!C30</f>
        <v>#DIV/0!</v>
      </c>
      <c r="E11" s="72">
        <f>'Balance Sheet'!D12/'Balance Sheet'!D30</f>
        <v>3.2460774089670581E-2</v>
      </c>
      <c r="F11" s="72">
        <f>'Balance Sheet'!E12/'Balance Sheet'!E30</f>
        <v>3.3209447583053775E-2</v>
      </c>
      <c r="G11" s="72">
        <f>'Balance Sheet'!F12/'Balance Sheet'!F30</f>
        <v>3.3108288742338801E-2</v>
      </c>
      <c r="H11" s="72">
        <f>'Balance Sheet'!G12/'Balance Sheet'!G30</f>
        <v>3.606503525248566E-2</v>
      </c>
      <c r="I11" s="72">
        <f>'Balance Sheet'!H12/'Balance Sheet'!H30</f>
        <v>3.473411652112203E-2</v>
      </c>
      <c r="J11" s="72">
        <f>'Balance Sheet'!I12/'Balance Sheet'!I30</f>
        <v>3.6505189574451237E-2</v>
      </c>
      <c r="K11" s="72">
        <f>'Balance Sheet'!J12/'Balance Sheet'!J30</f>
        <v>3.654613430875641E-2</v>
      </c>
      <c r="L11" s="72">
        <f>'Balance Sheet'!K12/'Balance Sheet'!K30</f>
        <v>3.6113522963861541E-2</v>
      </c>
      <c r="M11" s="72">
        <f>'Balance Sheet'!L12/'Balance Sheet'!L30</f>
        <v>3.5104820784951953E-2</v>
      </c>
      <c r="N11" s="72">
        <f>'Balance Sheet'!M12/'Balance Sheet'!M30</f>
        <v>3.4815470779609226E-2</v>
      </c>
      <c r="O11" s="72">
        <f>'Balance Sheet'!N12/'Balance Sheet'!N30</f>
        <v>3.5065517822457329E-2</v>
      </c>
      <c r="P11" s="72">
        <f>'Balance Sheet'!O12/'Balance Sheet'!O30</f>
        <v>0</v>
      </c>
      <c r="Q11" s="72">
        <f>'Balance Sheet'!P12/'Balance Sheet'!P30</f>
        <v>3.8643566435564526E-2</v>
      </c>
      <c r="R11" s="72">
        <f>'Balance Sheet'!Q12/'Balance Sheet'!Q30</f>
        <v>3.9565525276240521E-2</v>
      </c>
      <c r="S11" s="72">
        <f>'Balance Sheet'!R12/'Balance Sheet'!R30</f>
        <v>0</v>
      </c>
      <c r="T11" s="72">
        <f>'Balance Sheet'!S12/'Balance Sheet'!S30</f>
        <v>4.1760422352021121E-4</v>
      </c>
      <c r="U11" s="72">
        <f>'Balance Sheet'!T12/'Balance Sheet'!T30</f>
        <v>4.4834584584444928E-4</v>
      </c>
      <c r="V11" s="72">
        <f>'Balance Sheet'!U12/'Balance Sheet'!U30</f>
        <v>4.5962414155686438E-4</v>
      </c>
      <c r="W11" s="72">
        <f>'Balance Sheet'!V12/'Balance Sheet'!V30</f>
        <v>4.0913645987365461E-4</v>
      </c>
      <c r="X11" s="72">
        <f>'Balance Sheet'!W12/'Balance Sheet'!W30</f>
        <v>0</v>
      </c>
      <c r="Y11" s="72">
        <f>'Balance Sheet'!X12/'Balance Sheet'!X30</f>
        <v>0</v>
      </c>
      <c r="Z11" s="72">
        <f>'Balance Sheet'!Y12/'Balance Sheet'!Y30</f>
        <v>0</v>
      </c>
      <c r="AA11" s="72">
        <f>'Balance Sheet'!Z12/'Balance Sheet'!Z30</f>
        <v>0</v>
      </c>
      <c r="AB11" s="72">
        <f>'Balance Sheet'!AA12/'Balance Sheet'!AA30</f>
        <v>0</v>
      </c>
      <c r="AC11" s="72">
        <f>'Balance Sheet'!AB12/'Balance Sheet'!AB30</f>
        <v>4.6435603653506623E-4</v>
      </c>
    </row>
    <row r="12" spans="1:33" ht="15">
      <c r="A12" s="198"/>
      <c r="B12" s="73" t="s">
        <v>208</v>
      </c>
      <c r="C12" s="74" t="s">
        <v>209</v>
      </c>
      <c r="D12" s="75" t="e">
        <f>'[1]Balance Sheet'!C12/[1]Financials!B13</f>
        <v>#DIV/0!</v>
      </c>
      <c r="E12" s="76">
        <f>'Balance Sheet'!D12/Financials!C13</f>
        <v>4.4370137828081753E-2</v>
      </c>
      <c r="F12" s="76">
        <f>'Balance Sheet'!E12/Financials!D13</f>
        <v>4.3791012195480337E-2</v>
      </c>
      <c r="G12" s="76">
        <f>'Balance Sheet'!F12/Financials!E13</f>
        <v>4.3359545658829227E-2</v>
      </c>
      <c r="H12" s="76">
        <f>'Balance Sheet'!G12/Financials!F13</f>
        <v>4.3129228158293627E-2</v>
      </c>
      <c r="I12" s="76">
        <f>'Balance Sheet'!H12/Financials!G13</f>
        <v>3.7733337503700594E-2</v>
      </c>
      <c r="J12" s="76">
        <f>'Balance Sheet'!I12/Financials!H13</f>
        <v>3.7562571097348424E-2</v>
      </c>
      <c r="K12" s="76">
        <f>'Balance Sheet'!J12/Financials!I13</f>
        <v>4.787718061089552E-2</v>
      </c>
      <c r="L12" s="76">
        <f>'Balance Sheet'!K12/Financials!J13</f>
        <v>4.7109295286540592E-2</v>
      </c>
      <c r="M12" s="76">
        <f>'Balance Sheet'!L12/Financials!K13</f>
        <v>4.623031129438554E-2</v>
      </c>
      <c r="N12" s="76">
        <f>'Balance Sheet'!M12/Financials!L13</f>
        <v>4.5470988645569269E-2</v>
      </c>
      <c r="O12" s="76">
        <f>'Balance Sheet'!N12/Financials!M13</f>
        <v>4.5091010100303149E-2</v>
      </c>
      <c r="P12" s="76">
        <f>'Balance Sheet'!O12/Financials!N13</f>
        <v>0</v>
      </c>
      <c r="Q12" s="76">
        <f>'Balance Sheet'!P12/Financials!O13</f>
        <v>5.7312890308251964E-2</v>
      </c>
      <c r="R12" s="76">
        <f>'Balance Sheet'!Q12/Financials!P13</f>
        <v>5.676626072799594E-2</v>
      </c>
      <c r="S12" s="76">
        <f>'Balance Sheet'!R12/Financials!Q13</f>
        <v>0</v>
      </c>
      <c r="T12" s="76">
        <f>'Balance Sheet'!S12/Financials!R13</f>
        <v>7.4451155410536858E-4</v>
      </c>
      <c r="U12" s="76">
        <f>'Balance Sheet'!T12/Financials!S13</f>
        <v>7.3867940103750497E-4</v>
      </c>
      <c r="V12" s="76">
        <f>'Balance Sheet'!U12/Financials!T13</f>
        <v>7.2819770284551799E-4</v>
      </c>
      <c r="W12" s="76">
        <f>'Balance Sheet'!V12/Financials!U13</f>
        <v>7.1617956808051302E-4</v>
      </c>
      <c r="X12" s="76">
        <f>'Balance Sheet'!W12/Financials!V13</f>
        <v>0</v>
      </c>
      <c r="Y12" s="76">
        <f>'Balance Sheet'!X12/Financials!W13</f>
        <v>0</v>
      </c>
      <c r="Z12" s="76">
        <f>'Balance Sheet'!Y12/Financials!X13</f>
        <v>0</v>
      </c>
      <c r="AA12" s="76">
        <f>'Balance Sheet'!Z12/Financials!Y13</f>
        <v>0</v>
      </c>
      <c r="AB12" s="76">
        <f>'Balance Sheet'!AA12/Financials!Z13</f>
        <v>0</v>
      </c>
      <c r="AC12" s="76">
        <f>'Balance Sheet'!AB12/Financials!AA13</f>
        <v>6.2089674265420822E-4</v>
      </c>
    </row>
    <row r="13" spans="1:33" ht="15">
      <c r="A13" s="198"/>
      <c r="B13" s="77" t="s">
        <v>210</v>
      </c>
      <c r="C13" s="78"/>
      <c r="D13" s="60" t="e">
        <f>[1]Financials!B31/[1]Financials!B5</f>
        <v>#DIV/0!</v>
      </c>
      <c r="E13" s="60">
        <f>Financials!C31/Financials!C5</f>
        <v>0.68945354685144877</v>
      </c>
      <c r="F13" s="60">
        <f>Financials!D31/Financials!D5</f>
        <v>0.6964458851575499</v>
      </c>
      <c r="G13" s="60">
        <f>Financials!E31/Financials!E5</f>
        <v>0.67325979902222965</v>
      </c>
      <c r="H13" s="60">
        <f>Financials!F31/Financials!F5</f>
        <v>0.6856689247309159</v>
      </c>
      <c r="I13" s="60">
        <f>Financials!G31/Financials!G5</f>
        <v>0.69867856971591824</v>
      </c>
      <c r="J13" s="60">
        <f>Financials!H31/Financials!H5</f>
        <v>0.66933074814890092</v>
      </c>
      <c r="K13" s="60">
        <f>Financials!I31/Financials!I5</f>
        <v>0.69755616005949517</v>
      </c>
      <c r="L13" s="60">
        <f>Financials!J31/Financials!J5</f>
        <v>0.68018164777797452</v>
      </c>
      <c r="M13" s="60">
        <f>Financials!K31/Financials!K5</f>
        <v>0.64810971513587112</v>
      </c>
      <c r="N13" s="60">
        <f>Financials!L31/Financials!L5</f>
        <v>0.66568463484424445</v>
      </c>
      <c r="O13" s="60">
        <f>Financials!M31/Financials!M5</f>
        <v>0.65844221347100673</v>
      </c>
      <c r="P13" s="60">
        <f>Financials!N31/Financials!N5</f>
        <v>0.71261761598244666</v>
      </c>
      <c r="Q13" s="60">
        <f>Financials!O31/Financials!O5</f>
        <v>0.65122937446047646</v>
      </c>
      <c r="R13" s="60">
        <f>Financials!P31/Financials!P5</f>
        <v>0.65465755575089157</v>
      </c>
      <c r="S13" s="60">
        <f>Financials!Q31/Financials!Q5</f>
        <v>0.69808240461126148</v>
      </c>
      <c r="T13" s="60">
        <f>Financials!R31/Financials!R5</f>
        <v>0.70045174725379467</v>
      </c>
      <c r="U13" s="60">
        <f>Financials!S31/Financials!S5</f>
        <v>0.77057755869073585</v>
      </c>
      <c r="V13" s="60">
        <f>Financials!T31/Financials!T5</f>
        <v>0.77404244250388388</v>
      </c>
      <c r="W13" s="60">
        <f>Financials!U31/Financials!U5</f>
        <v>0.73810551994955798</v>
      </c>
      <c r="X13" s="60">
        <f>Financials!V31/Financials!V5</f>
        <v>0.734186292445559</v>
      </c>
      <c r="Y13" s="60">
        <f>Financials!W31/Financials!W5</f>
        <v>0.74391049785446273</v>
      </c>
      <c r="Z13" s="60">
        <f>Financials!X31/Financials!X5</f>
        <v>0.72289409161428486</v>
      </c>
      <c r="AA13" s="60">
        <f>Financials!Y31/Financials!Y5</f>
        <v>0.73023024744876031</v>
      </c>
      <c r="AB13" s="60">
        <f>Financials!Z31/Financials!Z5</f>
        <v>0.74096497135045114</v>
      </c>
      <c r="AC13" s="60">
        <f>Financials!AA31/Financials!AA5</f>
        <v>0.67222403860485225</v>
      </c>
    </row>
    <row r="14" spans="1:33" ht="15">
      <c r="A14" s="198"/>
      <c r="B14" s="58" t="s">
        <v>211</v>
      </c>
      <c r="C14" s="67"/>
      <c r="D14" s="60" t="e">
        <f>'[1]Income Statement'!C38/[1]Financials!B5</f>
        <v>#DIV/0!</v>
      </c>
      <c r="E14" s="60">
        <f>'Income Statement'!D38/Financials!C5</f>
        <v>1.2796375993365944E-3</v>
      </c>
      <c r="F14" s="60">
        <f>'Income Statement'!E38/Financials!D5</f>
        <v>6.6858061271374237E-3</v>
      </c>
      <c r="G14" s="60">
        <f>'Income Statement'!F38/Financials!E5</f>
        <v>1.0731791258077862E-2</v>
      </c>
      <c r="H14" s="60">
        <f>'Income Statement'!G38/Financials!F5</f>
        <v>1.3657854174627596E-2</v>
      </c>
      <c r="I14" s="60">
        <f>'Income Statement'!H38/Financials!G5</f>
        <v>1.6504227879718548E-2</v>
      </c>
      <c r="J14" s="60">
        <f>'Income Statement'!I38/Financials!H5</f>
        <v>2.1629455237985623E-2</v>
      </c>
      <c r="K14" s="60">
        <f>'Income Statement'!J38/Financials!I5</f>
        <v>2.8836219571430413E-2</v>
      </c>
      <c r="L14" s="60">
        <f>'Income Statement'!K38/Financials!J5</f>
        <v>3.0226614133540566E-2</v>
      </c>
      <c r="M14" s="60">
        <f>'Income Statement'!L38/Financials!K5</f>
        <v>3.6736698170365005E-2</v>
      </c>
      <c r="N14" s="60">
        <f>'Income Statement'!M38/Financials!L5</f>
        <v>4.472074451714645E-2</v>
      </c>
      <c r="O14" s="60">
        <f>'Income Statement'!N38/Financials!M5</f>
        <v>4.8719076641257908E-2</v>
      </c>
      <c r="P14" s="60">
        <f>'Income Statement'!O38/Financials!N5</f>
        <v>2.6244276700317155E-2</v>
      </c>
      <c r="Q14" s="60">
        <f>'Income Statement'!P38/Financials!O5</f>
        <v>7.5391785462239173E-4</v>
      </c>
      <c r="R14" s="60">
        <f>'Income Statement'!Q38/Financials!P5</f>
        <v>4.6813225305357906E-3</v>
      </c>
      <c r="S14" s="60">
        <f>'Income Statement'!R38/Financials!Q5</f>
        <v>7.3962900394864669E-3</v>
      </c>
      <c r="T14" s="60">
        <f>'Income Statement'!S38/Financials!R5</f>
        <v>9.8079022526530012E-3</v>
      </c>
      <c r="U14" s="60">
        <f>'Income Statement'!T38/Financials!S5</f>
        <v>1.3361248239745275E-2</v>
      </c>
      <c r="V14" s="60">
        <f>'Income Statement'!U38/Financials!T5</f>
        <v>1.8802240576328198E-2</v>
      </c>
      <c r="W14" s="60">
        <f>'Income Statement'!V38/Financials!U5</f>
        <v>2.3577522003621652E-2</v>
      </c>
      <c r="X14" s="60">
        <f>'Income Statement'!W38/Financials!V5</f>
        <v>2.8421608074568016E-2</v>
      </c>
      <c r="Y14" s="60">
        <f>'Income Statement'!X38/Financials!W5</f>
        <v>2.312372088315208E-2</v>
      </c>
      <c r="Z14" s="60">
        <f>'Income Statement'!Y38/Financials!X5</f>
        <v>2.8240304695945226E-2</v>
      </c>
      <c r="AA14" s="60">
        <f>'Income Statement'!Z38/Financials!Y5</f>
        <v>3.3929081490350732E-2</v>
      </c>
      <c r="AB14" s="60">
        <f>'Income Statement'!AA38/Financials!Z5</f>
        <v>4.651038602676244E-2</v>
      </c>
      <c r="AC14" s="60">
        <f>'Income Statement'!AB38/Financials!AA5</f>
        <v>1.5066457101704574E-2</v>
      </c>
    </row>
    <row r="15" spans="1:33" ht="15">
      <c r="A15" s="198"/>
      <c r="B15" s="58" t="s">
        <v>212</v>
      </c>
      <c r="C15" s="67"/>
      <c r="D15" s="60" t="e">
        <f>'[1]Income Statement'!C24/('[1]Income Statement'!C20-'[1]Income Statement'!C22)</f>
        <v>#DIV/0!</v>
      </c>
      <c r="E15" s="60">
        <f>'Income Statement'!D24/('Income Statement'!D20-'Income Statement'!D22)</f>
        <v>0.84583114710888752</v>
      </c>
      <c r="F15" s="60">
        <f>'Income Statement'!E24/('Income Statement'!E20-'Income Statement'!E22)</f>
        <v>0.62210778738038897</v>
      </c>
      <c r="G15" s="60">
        <f>'Income Statement'!F24/('Income Statement'!F20-'Income Statement'!F22)</f>
        <v>0.57722452821389048</v>
      </c>
      <c r="H15" s="60">
        <f>'Income Statement'!G24/('Income Statement'!G20-'Income Statement'!G22)</f>
        <v>0.56589019377147742</v>
      </c>
      <c r="I15" s="60">
        <f>'Income Statement'!H24/('Income Statement'!H20-'Income Statement'!H22)</f>
        <v>0.54527356895707269</v>
      </c>
      <c r="J15" s="60">
        <f>'Income Statement'!I24/('Income Statement'!I20-'Income Statement'!I22)</f>
        <v>0.50993152565200761</v>
      </c>
      <c r="K15" s="60">
        <f>'Income Statement'!J24/('Income Statement'!J20-'Income Statement'!J22)</f>
        <v>0.54347058215615918</v>
      </c>
      <c r="L15" s="60">
        <f>'Income Statement'!K24/('Income Statement'!K20-'Income Statement'!K22)</f>
        <v>0.56598555488316782</v>
      </c>
      <c r="M15" s="60">
        <f>'Income Statement'!L24/('Income Statement'!L20-'Income Statement'!L22)</f>
        <v>0.54208393072722205</v>
      </c>
      <c r="N15" s="60">
        <f>'Income Statement'!M24/('Income Statement'!M20-'Income Statement'!M22)</f>
        <v>0.52636823350170081</v>
      </c>
      <c r="O15" s="60">
        <f>'Income Statement'!N24/('Income Statement'!N20-'Income Statement'!N22)</f>
        <v>0.53139993038191491</v>
      </c>
      <c r="P15" s="60">
        <f>'Income Statement'!O24/('Income Statement'!O20-'Income Statement'!O22)</f>
        <v>0.81825353324043915</v>
      </c>
      <c r="Q15" s="60">
        <f>'Income Statement'!P24/('Income Statement'!P20-'Income Statement'!P22)</f>
        <v>0.89092686136964583</v>
      </c>
      <c r="R15" s="60">
        <f>'Income Statement'!Q24/('Income Statement'!Q20-'Income Statement'!Q22)</f>
        <v>0.73815007641879926</v>
      </c>
      <c r="S15" s="60">
        <f>'Income Statement'!R24/('Income Statement'!R20-'Income Statement'!R22)</f>
        <v>0.68652797018204315</v>
      </c>
      <c r="T15" s="60">
        <f>'Income Statement'!S24/('Income Statement'!S20-'Income Statement'!S22)</f>
        <v>0.6985939280436263</v>
      </c>
      <c r="U15" s="60">
        <f>'Income Statement'!T24/('Income Statement'!T20-'Income Statement'!T22)</f>
        <v>0.7132243402284334</v>
      </c>
      <c r="V15" s="60">
        <f>'Income Statement'!U24/('Income Statement'!U20-'Income Statement'!U22)</f>
        <v>0.67369960457482869</v>
      </c>
      <c r="W15" s="60">
        <f>'Income Statement'!V24/('Income Statement'!V20-'Income Statement'!V22)</f>
        <v>0.6380709605400906</v>
      </c>
      <c r="X15" s="60">
        <f>'Income Statement'!W24/('Income Statement'!W20-'Income Statement'!W22)</f>
        <v>0.63250825107223885</v>
      </c>
      <c r="Y15" s="60">
        <f>'Income Statement'!X24/('Income Statement'!X20-'Income Statement'!X22)</f>
        <v>0.70496375676270107</v>
      </c>
      <c r="Z15" s="60">
        <f>'Income Statement'!Y24/('Income Statement'!Y20-'Income Statement'!Y22)</f>
        <v>0.67778132450580542</v>
      </c>
      <c r="AA15" s="60">
        <f>'Income Statement'!Z24/('Income Statement'!Z20-'Income Statement'!Z22)</f>
        <v>0.66336765231217554</v>
      </c>
      <c r="AB15" s="60">
        <f>'Income Statement'!AA24/('Income Statement'!AA20-'Income Statement'!AA22)</f>
        <v>0.58191220900658847</v>
      </c>
      <c r="AC15" s="60">
        <f>'Income Statement'!AB24/('Income Statement'!AB20-'Income Statement'!AB22)</f>
        <v>0.87291014242986453</v>
      </c>
    </row>
    <row r="16" spans="1:33" ht="15">
      <c r="A16" s="199"/>
      <c r="B16" s="61" t="s">
        <v>213</v>
      </c>
      <c r="C16" s="61"/>
      <c r="D16" s="64" t="e">
        <f>'[1]Income Statement'!C24/'[1]Income Statement'!C4</f>
        <v>#DIV/0!</v>
      </c>
      <c r="E16" s="64">
        <f>'Income Statement'!D24/'Income Statement'!D4</f>
        <v>0.43215479570671983</v>
      </c>
      <c r="F16" s="64">
        <f>'Income Statement'!E24/'Income Statement'!E4</f>
        <v>0.41888569568704326</v>
      </c>
      <c r="G16" s="64">
        <f>'Income Statement'!F24/'Income Statement'!F4</f>
        <v>0.42556099171156392</v>
      </c>
      <c r="H16" s="64">
        <f>'Income Statement'!G24/'Income Statement'!G4</f>
        <v>0.43147680155786755</v>
      </c>
      <c r="I16" s="64">
        <f>'Income Statement'!H24/'Income Statement'!H4</f>
        <v>0.42813710128386928</v>
      </c>
      <c r="J16" s="64">
        <f>'Income Statement'!I24/'Income Statement'!I4</f>
        <v>0.41832359979783584</v>
      </c>
      <c r="K16" s="64">
        <f>'Income Statement'!J24/'Income Statement'!J4</f>
        <v>0.46034281995287402</v>
      </c>
      <c r="L16" s="64">
        <f>'Income Statement'!K24/'Income Statement'!K4</f>
        <v>0.48603312236167179</v>
      </c>
      <c r="M16" s="64">
        <f>'Income Statement'!L24/'Income Statement'!L4</f>
        <v>0.47604346673842179</v>
      </c>
      <c r="N16" s="64">
        <f>'Income Statement'!M24/'Income Statement'!M4</f>
        <v>0.4695921163565579</v>
      </c>
      <c r="O16" s="64">
        <f>'Income Statement'!N24/'Income Statement'!N4</f>
        <v>0.47848672389781277</v>
      </c>
      <c r="P16" s="64">
        <f>'Income Statement'!O24/'Income Statement'!O4</f>
        <v>0.77149421179072686</v>
      </c>
      <c r="Q16" s="64">
        <f>'Income Statement'!P24/'Income Statement'!P4</f>
        <v>0.44366250323396672</v>
      </c>
      <c r="R16" s="64">
        <f>'Income Statement'!Q24/'Income Statement'!Q4</f>
        <v>0.53035043147794314</v>
      </c>
      <c r="S16" s="64">
        <f>'Income Statement'!R24/'Income Statement'!R4</f>
        <v>0.55171676765166011</v>
      </c>
      <c r="T16" s="64">
        <f>'Income Statement'!S24/'Income Statement'!S4</f>
        <v>0.56598651072457984</v>
      </c>
      <c r="U16" s="64">
        <f>'Income Statement'!T24/'Income Statement'!T4</f>
        <v>0.60456795428371413</v>
      </c>
      <c r="V16" s="64">
        <f>'Income Statement'!U24/'Income Statement'!U4</f>
        <v>0.5878030948295101</v>
      </c>
      <c r="W16" s="64">
        <f>'Income Statement'!V24/'Income Statement'!V4</f>
        <v>0.56910424689197525</v>
      </c>
      <c r="X16" s="64">
        <f>'Income Statement'!W24/'Income Statement'!W4</f>
        <v>0.57347416150651209</v>
      </c>
      <c r="Y16" s="64">
        <f>'Income Statement'!X24/'Income Statement'!X4</f>
        <v>0.63917613268301077</v>
      </c>
      <c r="Z16" s="64">
        <f>'Income Statement'!Y24/'Income Statement'!Y4</f>
        <v>0.62202788060552205</v>
      </c>
      <c r="AA16" s="64">
        <f>'Income Statement'!Z24/'Income Statement'!Z4</f>
        <v>0.61482632647744107</v>
      </c>
      <c r="AB16" s="64">
        <f>'Income Statement'!AA24/'Income Statement'!AA4</f>
        <v>0.54382166462467085</v>
      </c>
      <c r="AC16" s="64">
        <f>'Income Statement'!AB24/'Income Statement'!AB4</f>
        <v>0.80381270043588515</v>
      </c>
    </row>
    <row r="17" spans="1:29" ht="15">
      <c r="A17" s="197" t="s">
        <v>214</v>
      </c>
      <c r="B17" s="55" t="s">
        <v>215</v>
      </c>
      <c r="C17" s="56" t="s">
        <v>216</v>
      </c>
      <c r="D17" s="79" t="e">
        <f>'[1]Balance Sheet'!C5/'[1]Balance Sheet'!C28</f>
        <v>#DIV/0!</v>
      </c>
      <c r="E17" s="79">
        <f>'Balance Sheet'!D5/'Balance Sheet'!D28</f>
        <v>1.535873</v>
      </c>
      <c r="F17" s="79">
        <f>'Balance Sheet'!E5/'Balance Sheet'!E28</f>
        <v>2.0349137499999999</v>
      </c>
      <c r="G17" s="79">
        <f>'Balance Sheet'!F5/'Balance Sheet'!F28</f>
        <v>1.432331</v>
      </c>
      <c r="H17" s="79">
        <f>'Balance Sheet'!G5/'Balance Sheet'!G28</f>
        <v>1.7034750000000001</v>
      </c>
      <c r="I17" s="79">
        <f>'Balance Sheet'!H5/'Balance Sheet'!H28</f>
        <v>1.2751749999999999</v>
      </c>
      <c r="J17" s="79">
        <f>'Balance Sheet'!I5/'Balance Sheet'!I28</f>
        <v>1.6743775000000001</v>
      </c>
      <c r="K17" s="79">
        <f>'Balance Sheet'!J5/'Balance Sheet'!J28</f>
        <v>1.6388816666666666</v>
      </c>
      <c r="L17" s="79">
        <f>'Balance Sheet'!K5/'Balance Sheet'!K28</f>
        <v>1.0968647058823529</v>
      </c>
      <c r="M17" s="79">
        <f>'Balance Sheet'!L5/'Balance Sheet'!L28</f>
        <v>1.9588399999999999</v>
      </c>
      <c r="N17" s="79">
        <f>'Balance Sheet'!M5/'Balance Sheet'!M28</f>
        <v>1.6657550000000001</v>
      </c>
      <c r="O17" s="79">
        <f>'Balance Sheet'!N5/'Balance Sheet'!N28</f>
        <v>1.4823550000000001</v>
      </c>
      <c r="P17" s="79">
        <f>'Balance Sheet'!O5/'Balance Sheet'!O28</f>
        <v>1.4823550000000001</v>
      </c>
      <c r="Q17" s="79">
        <f>'Balance Sheet'!P5/'Balance Sheet'!P28</f>
        <v>1.3479066666666666</v>
      </c>
      <c r="R17" s="79">
        <f>'Balance Sheet'!Q5/'Balance Sheet'!Q28</f>
        <v>2.4386583333333332</v>
      </c>
      <c r="S17" s="79">
        <f>'Balance Sheet'!R5/'Balance Sheet'!R28</f>
        <v>1.6608933333333333</v>
      </c>
      <c r="T17" s="79">
        <f>'Balance Sheet'!S5/'Balance Sheet'!S28</f>
        <v>1.659775</v>
      </c>
      <c r="U17" s="79">
        <f>'Balance Sheet'!T5/'Balance Sheet'!T28</f>
        <v>1.6754766666666667</v>
      </c>
      <c r="V17" s="79">
        <f>'Balance Sheet'!U5/'Balance Sheet'!U28</f>
        <v>0.93182750000000003</v>
      </c>
      <c r="W17" s="79">
        <f>'Balance Sheet'!V5/'Balance Sheet'!V28</f>
        <v>1.3161583333333333</v>
      </c>
      <c r="X17" s="79">
        <f>'Balance Sheet'!W5/'Balance Sheet'!W28</f>
        <v>1.0153287499999999</v>
      </c>
      <c r="Y17" s="79">
        <f>'Balance Sheet'!X5/'Balance Sheet'!X28</f>
        <v>1.2473987499999999</v>
      </c>
      <c r="Z17" s="79">
        <f>'Balance Sheet'!Y5/'Balance Sheet'!Y28</f>
        <v>0.92732499999999995</v>
      </c>
      <c r="AA17" s="79">
        <f>'Balance Sheet'!Z5/'Balance Sheet'!Z28</f>
        <v>1.4149849999999999</v>
      </c>
      <c r="AB17" s="79">
        <f>'Balance Sheet'!AA5/'Balance Sheet'!AA28</f>
        <v>1.1707162499999999</v>
      </c>
      <c r="AC17" s="79">
        <f>'Balance Sheet'!AB5/'Balance Sheet'!AB28</f>
        <v>3.1660187500000001</v>
      </c>
    </row>
    <row r="18" spans="1:29" ht="15">
      <c r="A18" s="199"/>
      <c r="B18" s="61" t="s">
        <v>217</v>
      </c>
      <c r="C18" s="61"/>
      <c r="D18" s="64" t="e">
        <f>'[1]Balance Sheet'!C5/'[1]Balance Sheet'!C30</f>
        <v>#DIV/0!</v>
      </c>
      <c r="E18" s="64">
        <f>'Balance Sheet'!D5/'Balance Sheet'!D30</f>
        <v>6.0067019859547738E-2</v>
      </c>
      <c r="F18" s="64">
        <f>'Balance Sheet'!E5/'Balance Sheet'!E30</f>
        <v>6.5135770136540136E-2</v>
      </c>
      <c r="G18" s="64">
        <f>'Balance Sheet'!F5/'Balance Sheet'!F30</f>
        <v>5.7134973882654073E-2</v>
      </c>
      <c r="H18" s="64">
        <f>'Balance Sheet'!G5/'Balance Sheet'!G30</f>
        <v>5.9215311736605304E-2</v>
      </c>
      <c r="I18" s="64">
        <f>'Balance Sheet'!H5/'Balance Sheet'!H30</f>
        <v>4.269115858778004E-2</v>
      </c>
      <c r="J18" s="64">
        <f>'Balance Sheet'!I5/'Balance Sheet'!I30</f>
        <v>5.8914186078742874E-2</v>
      </c>
      <c r="K18" s="64">
        <f>'Balance Sheet'!J5/'Balance Sheet'!J30</f>
        <v>4.3297438197223044E-2</v>
      </c>
      <c r="L18" s="64">
        <f>'Balance Sheet'!K5/'Balance Sheet'!K30</f>
        <v>3.2452917043384918E-2</v>
      </c>
      <c r="M18" s="64">
        <f>'Balance Sheet'!L5/'Balance Sheet'!L30</f>
        <v>4.9709441310647196E-2</v>
      </c>
      <c r="N18" s="64">
        <f>'Balance Sheet'!M5/'Balance Sheet'!M30</f>
        <v>4.1923405683244312E-2</v>
      </c>
      <c r="O18" s="64">
        <f>'Balance Sheet'!N5/'Balance Sheet'!N30</f>
        <v>3.7575575184367764E-2</v>
      </c>
      <c r="P18" s="64">
        <f>'Balance Sheet'!O5/'Balance Sheet'!O30</f>
        <v>3.7575575168492983E-2</v>
      </c>
      <c r="Q18" s="64">
        <f>'Balance Sheet'!P5/'Balance Sheet'!P30</f>
        <v>3.3247609035493828E-2</v>
      </c>
      <c r="R18" s="64">
        <f>'Balance Sheet'!Q5/'Balance Sheet'!Q30</f>
        <v>6.1587317826136967E-2</v>
      </c>
      <c r="S18" s="64">
        <f>'Balance Sheet'!R5/'Balance Sheet'!R30</f>
        <v>3.2410747356677545E-2</v>
      </c>
      <c r="T18" s="64">
        <f>'Balance Sheet'!S5/'Balance Sheet'!S30</f>
        <v>3.2515827213131752E-2</v>
      </c>
      <c r="U18" s="64">
        <f>'Balance Sheet'!T5/'Balance Sheet'!T30</f>
        <v>3.5239703048130025E-2</v>
      </c>
      <c r="V18" s="64">
        <f>'Balance Sheet'!U5/'Balance Sheet'!U30</f>
        <v>2.6789079891576483E-2</v>
      </c>
      <c r="W18" s="64">
        <f>'Balance Sheet'!V5/'Balance Sheet'!V30</f>
        <v>2.5261377379196693E-2</v>
      </c>
      <c r="X18" s="64">
        <f>'Balance Sheet'!W5/'Balance Sheet'!W30</f>
        <v>2.6665702678779175E-2</v>
      </c>
      <c r="Y18" s="64">
        <f>'Balance Sheet'!X5/'Balance Sheet'!X30</f>
        <v>3.316030216801364E-2</v>
      </c>
      <c r="Z18" s="64">
        <f>'Balance Sheet'!Y5/'Balance Sheet'!Y30</f>
        <v>2.3927825686520746E-2</v>
      </c>
      <c r="AA18" s="64">
        <f>'Balance Sheet'!Z5/'Balance Sheet'!Z30</f>
        <v>3.7602489382670939E-2</v>
      </c>
      <c r="AB18" s="64">
        <f>'Balance Sheet'!AA5/'Balance Sheet'!AA30</f>
        <v>3.0696169540818996E-2</v>
      </c>
      <c r="AC18" s="64">
        <f>'Balance Sheet'!AB5/'Balance Sheet'!AB30</f>
        <v>8.3012982402354871E-2</v>
      </c>
    </row>
  </sheetData>
  <mergeCells count="4">
    <mergeCell ref="A3:A6"/>
    <mergeCell ref="A7:A10"/>
    <mergeCell ref="A11:A16"/>
    <mergeCell ref="A17:A1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FB27488935CD4FBFBB981DE553EA38" ma:contentTypeVersion="17" ma:contentTypeDescription="Create a new document." ma:contentTypeScope="" ma:versionID="332fa557c6615f9869f6fecf8fd32bdc">
  <xsd:schema xmlns:xsd="http://www.w3.org/2001/XMLSchema" xmlns:xs="http://www.w3.org/2001/XMLSchema" xmlns:p="http://schemas.microsoft.com/office/2006/metadata/properties" xmlns:ns2="6e3db4b3-2b3b-4352-9127-36718d9c05b9" xmlns:ns3="df647032-17c5-4266-af02-4596a72daf50" targetNamespace="http://schemas.microsoft.com/office/2006/metadata/properties" ma:root="true" ma:fieldsID="0ef70def4206780f33c1bc13f4ed6917" ns2:_="" ns3:_="">
    <xsd:import namespace="6e3db4b3-2b3b-4352-9127-36718d9c05b9"/>
    <xsd:import namespace="df647032-17c5-4266-af02-4596a72daf5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db4b3-2b3b-4352-9127-36718d9c05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2a9480d-a1a4-4d65-9325-9590a28e6ac7}" ma:internalName="TaxCatchAll" ma:showField="CatchAllData" ma:web="6e3db4b3-2b3b-4352-9127-36718d9c0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47032-17c5-4266-af02-4596a72daf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4" nillable="true" ma:displayName="Sign-off status" ma:internalName="Sign_x002d_off_x0020_status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3e1d0d5-9008-431c-be16-ab01e5c392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f647032-17c5-4266-af02-4596a72daf50" xsi:nil="true"/>
    <lcf76f155ced4ddcb4097134ff3c332f xmlns="df647032-17c5-4266-af02-4596a72daf50">
      <Terms xmlns="http://schemas.microsoft.com/office/infopath/2007/PartnerControls"/>
    </lcf76f155ced4ddcb4097134ff3c332f>
    <TaxCatchAll xmlns="6e3db4b3-2b3b-4352-9127-36718d9c05b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3CB2AF-49B2-4559-B918-4F7DEEE6203E}"/>
</file>

<file path=customXml/itemProps2.xml><?xml version="1.0" encoding="utf-8"?>
<ds:datastoreItem xmlns:ds="http://schemas.openxmlformats.org/officeDocument/2006/customXml" ds:itemID="{34E67F22-A92B-44AF-B2AF-CD605318425C}"/>
</file>

<file path=customXml/itemProps3.xml><?xml version="1.0" encoding="utf-8"?>
<ds:datastoreItem xmlns:ds="http://schemas.openxmlformats.org/officeDocument/2006/customXml" ds:itemID="{D709EA4A-B902-408F-ADD5-D8AA39E1C1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Enock Langat</cp:lastModifiedBy>
  <cp:revision/>
  <dcterms:created xsi:type="dcterms:W3CDTF">2021-02-26T12:11:36Z</dcterms:created>
  <dcterms:modified xsi:type="dcterms:W3CDTF">2023-10-18T05:51:57Z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0x010100F4FB27488935CD4FBFBB981DE553EA38</vt:lpwstr>
  </property>
  <property fmtid="{D5CDD505-2E9C-101B-9397-08002B2CF9AE}" pid="3" name="MSIP_Label_6294dde6-398b-42fd-9ab1-a1959fc6b9e2_Enabled">
    <vt:lpwstr>true</vt:lpwstr>
  </property>
  <property fmtid="{D5CDD505-2E9C-101B-9397-08002B2CF9AE}" pid="4" name="MSIP_Label_6294dde6-398b-42fd-9ab1-a1959fc6b9e2_SetDate">
    <vt:lpwstr>2021-10-26T08:51:13Z</vt:lpwstr>
  </property>
  <property fmtid="{D5CDD505-2E9C-101B-9397-08002B2CF9AE}" pid="5" name="MSIP_Label_6294dde6-398b-42fd-9ab1-a1959fc6b9e2_Method">
    <vt:lpwstr>Privileged</vt:lpwstr>
  </property>
  <property fmtid="{D5CDD505-2E9C-101B-9397-08002B2CF9AE}" pid="6" name="MSIP_Label_6294dde6-398b-42fd-9ab1-a1959fc6b9e2_Name">
    <vt:lpwstr>Public</vt:lpwstr>
  </property>
  <property fmtid="{D5CDD505-2E9C-101B-9397-08002B2CF9AE}" pid="7" name="MSIP_Label_6294dde6-398b-42fd-9ab1-a1959fc6b9e2_SiteId">
    <vt:lpwstr>d6c8161d-ccd5-4325-b291-dd442c369fe4</vt:lpwstr>
  </property>
  <property fmtid="{D5CDD505-2E9C-101B-9397-08002B2CF9AE}" pid="8" name="MSIP_Label_6294dde6-398b-42fd-9ab1-a1959fc6b9e2_ActionId">
    <vt:lpwstr>332879d0-554d-4530-97b9-df3a16cb57b8</vt:lpwstr>
  </property>
  <property fmtid="{D5CDD505-2E9C-101B-9397-08002B2CF9AE}" pid="9" name="MSIP_Label_6294dde6-398b-42fd-9ab1-a1959fc6b9e2_ContentBits">
    <vt:lpwstr>0</vt:lpwstr>
  </property>
  <property fmtid="{D5CDD505-2E9C-101B-9397-08002B2CF9AE}" pid="10" name="MediaServiceImageTags">
    <vt:lpwstr/>
  </property>
</Properties>
</file>
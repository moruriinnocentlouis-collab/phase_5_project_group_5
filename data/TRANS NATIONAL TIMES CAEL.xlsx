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2/TRANS NATIONAL TIMES -2660/Returns/"/>
    </mc:Choice>
  </mc:AlternateContent>
  <xr:revisionPtr revIDLastSave="375" documentId="8_{DA9FAA33-2FAD-4B79-9F50-529A4D79AA74}" xr6:coauthVersionLast="47" xr6:coauthVersionMax="47" xr10:uidLastSave="{02B22310-2DA0-4643-A070-26EBE2317AC7}"/>
  <bookViews>
    <workbookView xWindow="28680" yWindow="-120" windowWidth="29040" windowHeight="15720" activeTab="1" xr2:uid="{00000000-000D-0000-FFFF-FFFF00000000}"/>
  </bookViews>
  <sheets>
    <sheet name="sofp" sheetId="1" r:id="rId1"/>
    <sheet name="soci" sheetId="2" r:id="rId2"/>
    <sheet name="financials" sheetId="3" r:id="rId3"/>
    <sheet name="caels" sheetId="4" r:id="rId4"/>
    <sheet name="FORM 4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N42" i="1" l="1"/>
  <c r="AN40" i="1"/>
  <c r="AN12" i="3" s="1"/>
  <c r="AN5" i="1"/>
  <c r="AN3" i="1" s="1"/>
  <c r="AN33" i="3" s="1"/>
  <c r="AN28" i="2"/>
  <c r="AN27" i="2"/>
  <c r="AN23" i="2" s="1"/>
  <c r="AN49" i="3" s="1"/>
  <c r="AN14" i="2"/>
  <c r="AN48" i="3" s="1"/>
  <c r="AN13" i="2"/>
  <c r="AB23" i="2"/>
  <c r="AB49" i="3" s="1"/>
  <c r="AD23" i="2"/>
  <c r="AD49" i="3" s="1"/>
  <c r="AE23" i="2"/>
  <c r="AF38" i="4" s="1"/>
  <c r="AF23" i="2"/>
  <c r="AF49" i="3" s="1"/>
  <c r="AG23" i="2"/>
  <c r="AH23" i="2"/>
  <c r="AI23" i="2"/>
  <c r="AJ23" i="2"/>
  <c r="AJ49" i="3" s="1"/>
  <c r="AK23" i="2"/>
  <c r="AL38" i="4" s="1"/>
  <c r="AL23" i="2"/>
  <c r="AM23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B7" i="2"/>
  <c r="AB41" i="3" s="1"/>
  <c r="AC7" i="2"/>
  <c r="AC41" i="3" s="1"/>
  <c r="AD7" i="2"/>
  <c r="AE7" i="2"/>
  <c r="AE3" i="2" s="1"/>
  <c r="AF7" i="2"/>
  <c r="AF41" i="3" s="1"/>
  <c r="AG7" i="2"/>
  <c r="AG41" i="3" s="1"/>
  <c r="AH7" i="2"/>
  <c r="AH3" i="2" s="1"/>
  <c r="AI7" i="2"/>
  <c r="AJ7" i="2"/>
  <c r="AJ41" i="3" s="1"/>
  <c r="AK7" i="2"/>
  <c r="AK41" i="3" s="1"/>
  <c r="AL7" i="2"/>
  <c r="AL41" i="3" s="1"/>
  <c r="AM7" i="2"/>
  <c r="AN7" i="2"/>
  <c r="AN41" i="3" s="1"/>
  <c r="AF3" i="2"/>
  <c r="AF19" i="2" s="1"/>
  <c r="AB4" i="2"/>
  <c r="AC4" i="2"/>
  <c r="AD4" i="2"/>
  <c r="AD3" i="2" s="1"/>
  <c r="AD19" i="2" s="1"/>
  <c r="AE4" i="2"/>
  <c r="AF4" i="2"/>
  <c r="AG4" i="2"/>
  <c r="AH4" i="2"/>
  <c r="AI4" i="2"/>
  <c r="AJ4" i="2"/>
  <c r="AK4" i="2"/>
  <c r="AL4" i="2"/>
  <c r="AL3" i="2" s="1"/>
  <c r="AL19" i="2" s="1"/>
  <c r="AM4" i="2"/>
  <c r="AN4" i="2"/>
  <c r="AL46" i="1"/>
  <c r="AM46" i="1"/>
  <c r="AL29" i="1"/>
  <c r="AL4" i="3" s="1"/>
  <c r="AM29" i="1"/>
  <c r="AM36" i="1" s="1"/>
  <c r="AN29" i="1"/>
  <c r="AN4" i="3" s="1"/>
  <c r="AL19" i="1"/>
  <c r="AL35" i="3" s="1"/>
  <c r="AM19" i="1"/>
  <c r="AM35" i="3" s="1"/>
  <c r="AN19" i="1"/>
  <c r="AL15" i="1"/>
  <c r="AM15" i="1"/>
  <c r="AN15" i="1"/>
  <c r="AL12" i="1"/>
  <c r="AM12" i="1"/>
  <c r="AN12" i="1"/>
  <c r="AL7" i="1"/>
  <c r="AM7" i="1"/>
  <c r="AN7" i="1"/>
  <c r="AL3" i="1"/>
  <c r="AM3" i="1"/>
  <c r="AN38" i="4"/>
  <c r="AF32" i="4"/>
  <c r="AH32" i="4"/>
  <c r="AD38" i="4"/>
  <c r="AB38" i="4"/>
  <c r="AM4" i="3"/>
  <c r="Y5" i="3"/>
  <c r="Z5" i="3"/>
  <c r="AA5" i="3"/>
  <c r="AB5" i="3"/>
  <c r="AC5" i="3"/>
  <c r="AB32" i="4" s="1"/>
  <c r="AD5" i="3"/>
  <c r="AE5" i="3"/>
  <c r="AF5" i="3"/>
  <c r="AG5" i="3"/>
  <c r="AH5" i="3"/>
  <c r="AI5" i="3"/>
  <c r="AJ5" i="3"/>
  <c r="AI32" i="4" s="1"/>
  <c r="AK5" i="3"/>
  <c r="AJ32" i="4" s="1"/>
  <c r="AL5" i="3"/>
  <c r="AM5" i="3"/>
  <c r="AN32" i="4" s="1"/>
  <c r="AN5" i="3"/>
  <c r="Y6" i="3"/>
  <c r="Z6" i="3"/>
  <c r="AA6" i="3"/>
  <c r="AB6" i="3"/>
  <c r="AC6" i="3"/>
  <c r="AD6" i="3"/>
  <c r="AE6" i="3"/>
  <c r="AF6" i="3"/>
  <c r="AG6" i="3"/>
  <c r="AF33" i="4" s="1"/>
  <c r="AH6" i="3"/>
  <c r="AG33" i="4" s="1"/>
  <c r="AI6" i="3"/>
  <c r="AH33" i="4" s="1"/>
  <c r="AJ6" i="3"/>
  <c r="AK6" i="3"/>
  <c r="AL6" i="3"/>
  <c r="AM6" i="3"/>
  <c r="AN33" i="4" s="1"/>
  <c r="AN6" i="3"/>
  <c r="AO33" i="4" s="1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Y12" i="3"/>
  <c r="Z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Y19" i="3"/>
  <c r="Y14" i="3" s="1"/>
  <c r="Z19" i="3"/>
  <c r="Z14" i="3" s="1"/>
  <c r="AB19" i="3"/>
  <c r="AC19" i="3"/>
  <c r="AD19" i="3"/>
  <c r="AE19" i="3"/>
  <c r="AF19" i="3"/>
  <c r="AG19" i="3"/>
  <c r="AG14" i="3" s="1"/>
  <c r="AH19" i="3"/>
  <c r="AH14" i="3" s="1"/>
  <c r="AI19" i="3"/>
  <c r="AJ19" i="3"/>
  <c r="AK19" i="3"/>
  <c r="AL19" i="3"/>
  <c r="AM19" i="3"/>
  <c r="AN19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Y23" i="3"/>
  <c r="Z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Y24" i="3"/>
  <c r="Z24" i="3"/>
  <c r="AA24" i="3"/>
  <c r="AB24" i="3"/>
  <c r="AC24" i="3"/>
  <c r="AD24" i="3"/>
  <c r="AE24" i="3"/>
  <c r="AE22" i="3" s="1"/>
  <c r="AF24" i="3"/>
  <c r="AF22" i="3" s="1"/>
  <c r="AG24" i="3"/>
  <c r="AH24" i="3"/>
  <c r="AI24" i="3"/>
  <c r="AJ24" i="3"/>
  <c r="AK24" i="3"/>
  <c r="AL24" i="3"/>
  <c r="AM24" i="3"/>
  <c r="AM22" i="3" s="1"/>
  <c r="AN24" i="3"/>
  <c r="AN22" i="3" s="1"/>
  <c r="Y27" i="3"/>
  <c r="Z27" i="3"/>
  <c r="AA27" i="3"/>
  <c r="AB27" i="3"/>
  <c r="AC27" i="3"/>
  <c r="AD27" i="3"/>
  <c r="AC34" i="4" s="1"/>
  <c r="AE27" i="3"/>
  <c r="AF27" i="3"/>
  <c r="AG27" i="3"/>
  <c r="AH27" i="3"/>
  <c r="AI27" i="3"/>
  <c r="AJ27" i="3"/>
  <c r="AK27" i="3"/>
  <c r="AL27" i="3"/>
  <c r="AM27" i="3"/>
  <c r="AN46" i="4" s="1"/>
  <c r="AN27" i="3"/>
  <c r="AO34" i="4" s="1"/>
  <c r="Y28" i="3"/>
  <c r="Z28" i="3"/>
  <c r="Z26" i="3" s="1"/>
  <c r="AA28" i="3"/>
  <c r="AB28" i="3"/>
  <c r="AC28" i="3"/>
  <c r="AD28" i="3"/>
  <c r="AE28" i="3"/>
  <c r="AF28" i="3"/>
  <c r="AG28" i="3"/>
  <c r="AH28" i="3"/>
  <c r="AH26" i="3" s="1"/>
  <c r="AI28" i="3"/>
  <c r="AJ28" i="3"/>
  <c r="AK28" i="3"/>
  <c r="AL28" i="3"/>
  <c r="AM28" i="3"/>
  <c r="AN28" i="3"/>
  <c r="AC33" i="3"/>
  <c r="AI33" i="3"/>
  <c r="AJ15" i="4" s="1"/>
  <c r="AL33" i="3"/>
  <c r="AM33" i="3"/>
  <c r="AN15" i="4" s="1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A41" i="3"/>
  <c r="AD41" i="3"/>
  <c r="AE41" i="3"/>
  <c r="AM41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Z43" i="3"/>
  <c r="AD43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Y47" i="3"/>
  <c r="Z47" i="3"/>
  <c r="AA47" i="3"/>
  <c r="AB47" i="3"/>
  <c r="AC47" i="3"/>
  <c r="AD47" i="3"/>
  <c r="AE47" i="3"/>
  <c r="AF47" i="3"/>
  <c r="AG47" i="3"/>
  <c r="AH47" i="3"/>
  <c r="AI41" i="4" s="1"/>
  <c r="AI47" i="3"/>
  <c r="AJ47" i="3"/>
  <c r="AK47" i="3"/>
  <c r="AL47" i="3"/>
  <c r="AM47" i="3"/>
  <c r="AN47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C49" i="3"/>
  <c r="AE49" i="3"/>
  <c r="AG49" i="3"/>
  <c r="AM49" i="3"/>
  <c r="AB46" i="1"/>
  <c r="AC46" i="1"/>
  <c r="AD46" i="1"/>
  <c r="AE46" i="1"/>
  <c r="AF46" i="1"/>
  <c r="AG46" i="1"/>
  <c r="AH46" i="1"/>
  <c r="AI46" i="1"/>
  <c r="AJ46" i="1"/>
  <c r="AK46" i="1"/>
  <c r="AB29" i="1"/>
  <c r="AB36" i="1" s="1"/>
  <c r="AC29" i="1"/>
  <c r="AC36" i="1" s="1"/>
  <c r="AD29" i="1"/>
  <c r="AD36" i="1" s="1"/>
  <c r="AE29" i="1"/>
  <c r="AE36" i="1" s="1"/>
  <c r="AE47" i="1" s="1"/>
  <c r="AF29" i="1"/>
  <c r="AF36" i="1" s="1"/>
  <c r="AG29" i="1"/>
  <c r="AG36" i="1" s="1"/>
  <c r="AG47" i="1" s="1"/>
  <c r="AH29" i="1"/>
  <c r="AH36" i="1" s="1"/>
  <c r="AH47" i="1" s="1"/>
  <c r="AI29" i="1"/>
  <c r="AJ29" i="1"/>
  <c r="AJ4" i="3" s="1"/>
  <c r="AK29" i="1"/>
  <c r="AK36" i="1" s="1"/>
  <c r="AB19" i="1"/>
  <c r="AB35" i="3" s="1"/>
  <c r="AC19" i="1"/>
  <c r="AD12" i="4" s="1"/>
  <c r="AD19" i="1"/>
  <c r="AE19" i="1"/>
  <c r="AE35" i="3" s="1"/>
  <c r="AF19" i="1"/>
  <c r="AF35" i="3" s="1"/>
  <c r="AG19" i="1"/>
  <c r="AG35" i="3" s="1"/>
  <c r="AH19" i="1"/>
  <c r="AH35" i="3" s="1"/>
  <c r="AI19" i="1"/>
  <c r="AI35" i="3" s="1"/>
  <c r="AJ19" i="1"/>
  <c r="AK19" i="1"/>
  <c r="AB15" i="1"/>
  <c r="AC15" i="1"/>
  <c r="AD15" i="1"/>
  <c r="AE15" i="1"/>
  <c r="AF15" i="1"/>
  <c r="AG15" i="1"/>
  <c r="AH15" i="1"/>
  <c r="AI15" i="1"/>
  <c r="AJ15" i="1"/>
  <c r="AK15" i="1"/>
  <c r="AB12" i="1"/>
  <c r="AC12" i="1"/>
  <c r="AD12" i="1"/>
  <c r="AE12" i="1"/>
  <c r="AF12" i="1"/>
  <c r="AG12" i="1"/>
  <c r="AH12" i="1"/>
  <c r="AI12" i="1"/>
  <c r="AJ12" i="1"/>
  <c r="AK12" i="1"/>
  <c r="AB7" i="1"/>
  <c r="AC7" i="1"/>
  <c r="AD7" i="1"/>
  <c r="AE7" i="1"/>
  <c r="AF7" i="1"/>
  <c r="AG7" i="1"/>
  <c r="AH7" i="1"/>
  <c r="AI7" i="1"/>
  <c r="AJ7" i="1"/>
  <c r="AK7" i="1"/>
  <c r="AB3" i="1"/>
  <c r="AB33" i="3" s="1"/>
  <c r="AC3" i="1"/>
  <c r="AD3" i="1"/>
  <c r="AE3" i="1"/>
  <c r="AF3" i="1"/>
  <c r="AF33" i="3" s="1"/>
  <c r="AG3" i="1"/>
  <c r="AG25" i="1" s="1"/>
  <c r="AG3" i="3" s="1"/>
  <c r="AH3" i="1"/>
  <c r="AH33" i="3" s="1"/>
  <c r="AI3" i="1"/>
  <c r="AJ3" i="1"/>
  <c r="AJ33" i="3" s="1"/>
  <c r="AK3" i="1"/>
  <c r="AK33" i="3" s="1"/>
  <c r="AA26" i="2"/>
  <c r="N4" i="2"/>
  <c r="AA4" i="2"/>
  <c r="AA29" i="1"/>
  <c r="AA36" i="1" s="1"/>
  <c r="O46" i="1"/>
  <c r="P46" i="1"/>
  <c r="Q46" i="1"/>
  <c r="R46" i="1"/>
  <c r="S46" i="1"/>
  <c r="T46" i="1"/>
  <c r="U46" i="1"/>
  <c r="V46" i="1"/>
  <c r="W46" i="1"/>
  <c r="X46" i="1"/>
  <c r="Y46" i="1"/>
  <c r="Z46" i="1"/>
  <c r="O29" i="1"/>
  <c r="O36" i="1" s="1"/>
  <c r="P29" i="1"/>
  <c r="P36" i="1" s="1"/>
  <c r="Q29" i="1"/>
  <c r="Q36" i="1" s="1"/>
  <c r="R29" i="1"/>
  <c r="R36" i="1" s="1"/>
  <c r="R47" i="1" s="1"/>
  <c r="S29" i="1"/>
  <c r="S36" i="1" s="1"/>
  <c r="T29" i="1"/>
  <c r="T36" i="1" s="1"/>
  <c r="U29" i="1"/>
  <c r="U36" i="1" s="1"/>
  <c r="V29" i="1"/>
  <c r="V36" i="1" s="1"/>
  <c r="W29" i="1"/>
  <c r="W36" i="1" s="1"/>
  <c r="X29" i="1"/>
  <c r="X36" i="1" s="1"/>
  <c r="Y29" i="1"/>
  <c r="Y36" i="1" s="1"/>
  <c r="Z29" i="1"/>
  <c r="Z36" i="1" s="1"/>
  <c r="Z47" i="1" s="1"/>
  <c r="O19" i="1"/>
  <c r="P19" i="1"/>
  <c r="Q19" i="1"/>
  <c r="R19" i="1"/>
  <c r="S19" i="1"/>
  <c r="T19" i="1"/>
  <c r="U19" i="1"/>
  <c r="V19" i="1"/>
  <c r="W19" i="1"/>
  <c r="X19" i="1"/>
  <c r="Y19" i="1"/>
  <c r="Y35" i="3" s="1"/>
  <c r="Z19" i="1"/>
  <c r="Z35" i="3" s="1"/>
  <c r="AA19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O7" i="1"/>
  <c r="P7" i="1"/>
  <c r="Q7" i="1"/>
  <c r="R7" i="1"/>
  <c r="S7" i="1"/>
  <c r="T7" i="1"/>
  <c r="U7" i="1"/>
  <c r="V7" i="1"/>
  <c r="W7" i="1"/>
  <c r="X7" i="1"/>
  <c r="Y7" i="1"/>
  <c r="Z7" i="1"/>
  <c r="O3" i="1"/>
  <c r="P3" i="1"/>
  <c r="Q3" i="1"/>
  <c r="R3" i="1"/>
  <c r="S3" i="1"/>
  <c r="T3" i="1"/>
  <c r="U3" i="1"/>
  <c r="V3" i="1"/>
  <c r="W3" i="1"/>
  <c r="X3" i="1"/>
  <c r="Y3" i="1"/>
  <c r="Y33" i="3" s="1"/>
  <c r="Z3" i="1"/>
  <c r="Z33" i="3" s="1"/>
  <c r="AA42" i="1"/>
  <c r="AA46" i="1" s="1"/>
  <c r="AA10" i="1"/>
  <c r="AA7" i="1" s="1"/>
  <c r="N12" i="1"/>
  <c r="AA5" i="1"/>
  <c r="AA3" i="1" s="1"/>
  <c r="AA33" i="3" s="1"/>
  <c r="AA7" i="2"/>
  <c r="AA23" i="2"/>
  <c r="AA49" i="3" s="1"/>
  <c r="AA12" i="2"/>
  <c r="AA39" i="3" l="1"/>
  <c r="AL43" i="3"/>
  <c r="AK3" i="2"/>
  <c r="AK19" i="2" s="1"/>
  <c r="AC3" i="2"/>
  <c r="AC19" i="2" s="1"/>
  <c r="AC29" i="2" s="1"/>
  <c r="AC30" i="2" s="1"/>
  <c r="AC33" i="2" s="1"/>
  <c r="AC35" i="2" s="1"/>
  <c r="AC37" i="2" s="1"/>
  <c r="AA43" i="3"/>
  <c r="AG41" i="4"/>
  <c r="Y43" i="3"/>
  <c r="AC40" i="4"/>
  <c r="AC38" i="4"/>
  <c r="AK38" i="4"/>
  <c r="AK29" i="2"/>
  <c r="AK30" i="2" s="1"/>
  <c r="AK33" i="2" s="1"/>
  <c r="AK35" i="2" s="1"/>
  <c r="AK37" i="2" s="1"/>
  <c r="AL49" i="3"/>
  <c r="AJ38" i="4"/>
  <c r="AD29" i="2"/>
  <c r="AD30" i="2" s="1"/>
  <c r="AD33" i="2" s="1"/>
  <c r="AD35" i="2" s="1"/>
  <c r="AD37" i="2" s="1"/>
  <c r="AL12" i="4"/>
  <c r="AK49" i="3"/>
  <c r="AI38" i="4"/>
  <c r="AF29" i="2"/>
  <c r="AF30" i="2" s="1"/>
  <c r="AF33" i="2" s="1"/>
  <c r="AF35" i="2" s="1"/>
  <c r="AF37" i="2" s="1"/>
  <c r="AL29" i="2"/>
  <c r="AL30" i="2" s="1"/>
  <c r="AL33" i="2" s="1"/>
  <c r="AL35" i="2" s="1"/>
  <c r="AL37" i="2" s="1"/>
  <c r="AE38" i="4"/>
  <c r="AN41" i="4"/>
  <c r="AF41" i="4"/>
  <c r="AH19" i="2"/>
  <c r="AH29" i="2" s="1"/>
  <c r="AH30" i="2" s="1"/>
  <c r="AH33" i="2" s="1"/>
  <c r="AH35" i="2" s="1"/>
  <c r="AH37" i="2" s="1"/>
  <c r="AF42" i="4"/>
  <c r="AE19" i="2"/>
  <c r="AE29" i="2" s="1"/>
  <c r="AE30" i="2" s="1"/>
  <c r="AE33" i="2" s="1"/>
  <c r="AE35" i="2" s="1"/>
  <c r="AE37" i="2" s="1"/>
  <c r="AB3" i="2"/>
  <c r="AB19" i="2" s="1"/>
  <c r="AB29" i="2" s="1"/>
  <c r="AB30" i="2" s="1"/>
  <c r="AB33" i="2" s="1"/>
  <c r="AB35" i="2" s="1"/>
  <c r="AB37" i="2" s="1"/>
  <c r="AG3" i="2"/>
  <c r="AG19" i="2" s="1"/>
  <c r="AG29" i="2" s="1"/>
  <c r="AG30" i="2" s="1"/>
  <c r="AG33" i="2" s="1"/>
  <c r="AG35" i="2" s="1"/>
  <c r="AG37" i="2" s="1"/>
  <c r="AJ3" i="2"/>
  <c r="AJ19" i="2" s="1"/>
  <c r="AJ29" i="2" s="1"/>
  <c r="AJ30" i="2" s="1"/>
  <c r="AJ33" i="2" s="1"/>
  <c r="AJ35" i="2" s="1"/>
  <c r="AJ37" i="2" s="1"/>
  <c r="AG39" i="3"/>
  <c r="AM3" i="2"/>
  <c r="AM19" i="2" s="1"/>
  <c r="AM29" i="2" s="1"/>
  <c r="AM30" i="2" s="1"/>
  <c r="AM33" i="2" s="1"/>
  <c r="AM35" i="2" s="1"/>
  <c r="AM37" i="2" s="1"/>
  <c r="AI43" i="3"/>
  <c r="AH43" i="3"/>
  <c r="AI3" i="2"/>
  <c r="AI19" i="2" s="1"/>
  <c r="AI29" i="2" s="1"/>
  <c r="AI30" i="2" s="1"/>
  <c r="AI33" i="2" s="1"/>
  <c r="AI35" i="2" s="1"/>
  <c r="AI37" i="2" s="1"/>
  <c r="AD6" i="4"/>
  <c r="AF14" i="3"/>
  <c r="AF11" i="3" s="1"/>
  <c r="AJ40" i="4"/>
  <c r="AD14" i="3"/>
  <c r="AC41" i="4"/>
  <c r="AI12" i="4"/>
  <c r="AD40" i="4"/>
  <c r="AG42" i="4"/>
  <c r="AB40" i="4"/>
  <c r="AC25" i="1"/>
  <c r="AG43" i="3"/>
  <c r="AC14" i="3"/>
  <c r="AC11" i="3" s="1"/>
  <c r="AB41" i="4"/>
  <c r="AH27" i="4"/>
  <c r="AM46" i="4"/>
  <c r="AH20" i="4"/>
  <c r="AD41" i="4"/>
  <c r="U47" i="1"/>
  <c r="AO46" i="4"/>
  <c r="AC35" i="3"/>
  <c r="AB14" i="3"/>
  <c r="AB11" i="3" s="1"/>
  <c r="AH6" i="4"/>
  <c r="AG46" i="4"/>
  <c r="AC47" i="1"/>
  <c r="AH41" i="4"/>
  <c r="AE4" i="3"/>
  <c r="AF22" i="4" s="1"/>
  <c r="AE46" i="4"/>
  <c r="AE25" i="1"/>
  <c r="AF13" i="4" s="1"/>
  <c r="AE14" i="3"/>
  <c r="AE11" i="3" s="1"/>
  <c r="AB47" i="1"/>
  <c r="AC4" i="3"/>
  <c r="AJ14" i="3"/>
  <c r="AJ11" i="3" s="1"/>
  <c r="AI14" i="3"/>
  <c r="AL41" i="4"/>
  <c r="AL14" i="3"/>
  <c r="AL11" i="3" s="1"/>
  <c r="AK41" i="4"/>
  <c r="AK14" i="3"/>
  <c r="AJ41" i="4"/>
  <c r="AK4" i="3"/>
  <c r="AK33" i="4"/>
  <c r="AL40" i="4"/>
  <c r="AM47" i="1"/>
  <c r="AN12" i="4"/>
  <c r="AK35" i="3"/>
  <c r="AI46" i="4"/>
  <c r="AH46" i="4"/>
  <c r="AK34" i="4"/>
  <c r="AM25" i="1"/>
  <c r="AI25" i="1"/>
  <c r="AJ17" i="4" s="1"/>
  <c r="AN46" i="1"/>
  <c r="AN16" i="3"/>
  <c r="AN14" i="3"/>
  <c r="AN11" i="3" s="1"/>
  <c r="AO5" i="4" s="1"/>
  <c r="AN36" i="1"/>
  <c r="AN35" i="3"/>
  <c r="AO38" i="4"/>
  <c r="AM38" i="4"/>
  <c r="AO42" i="4"/>
  <c r="AN12" i="2"/>
  <c r="AO41" i="4"/>
  <c r="AK26" i="3"/>
  <c r="AL42" i="4"/>
  <c r="AL46" i="4"/>
  <c r="AL15" i="4"/>
  <c r="AG40" i="4"/>
  <c r="AE32" i="4"/>
  <c r="AG15" i="4"/>
  <c r="AK47" i="1"/>
  <c r="AG6" i="4"/>
  <c r="AI4" i="3"/>
  <c r="AJ31" i="4" s="1"/>
  <c r="AI36" i="1"/>
  <c r="AI47" i="1" s="1"/>
  <c r="AO32" i="4"/>
  <c r="AO40" i="4"/>
  <c r="AM32" i="4"/>
  <c r="AD15" i="4"/>
  <c r="AG3" i="4"/>
  <c r="AG23" i="4" s="1"/>
  <c r="AM40" i="4"/>
  <c r="AE40" i="4"/>
  <c r="AJ6" i="4"/>
  <c r="AI3" i="3"/>
  <c r="AJ16" i="4" s="1"/>
  <c r="AC26" i="3"/>
  <c r="AD42" i="4"/>
  <c r="AD46" i="4"/>
  <c r="AB34" i="4"/>
  <c r="AI15" i="4"/>
  <c r="AH28" i="4"/>
  <c r="AH24" i="4"/>
  <c r="AH21" i="4"/>
  <c r="AD25" i="1"/>
  <c r="AD33" i="3"/>
  <c r="AD35" i="3"/>
  <c r="AE12" i="4"/>
  <c r="AM41" i="4"/>
  <c r="AE41" i="4"/>
  <c r="AD31" i="4"/>
  <c r="AJ34" i="4"/>
  <c r="AA35" i="3"/>
  <c r="AB12" i="4"/>
  <c r="AM33" i="4"/>
  <c r="AB15" i="4"/>
  <c r="AK15" i="4"/>
  <c r="AC15" i="4"/>
  <c r="AJ25" i="1"/>
  <c r="AK6" i="4"/>
  <c r="AM3" i="3"/>
  <c r="AN28" i="4" s="1"/>
  <c r="AE33" i="4"/>
  <c r="AK12" i="4"/>
  <c r="AC12" i="4"/>
  <c r="AJ36" i="1"/>
  <c r="AJ47" i="1" s="1"/>
  <c r="AJ35" i="3"/>
  <c r="AD4" i="3"/>
  <c r="AF46" i="4"/>
  <c r="AM42" i="4"/>
  <c r="AE42" i="4"/>
  <c r="AK40" i="4"/>
  <c r="AI34" i="4"/>
  <c r="AL33" i="4"/>
  <c r="AD33" i="4"/>
  <c r="AG32" i="4"/>
  <c r="AD17" i="4"/>
  <c r="AJ12" i="4"/>
  <c r="AN34" i="4"/>
  <c r="AC33" i="4"/>
  <c r="T47" i="1"/>
  <c r="AK25" i="1"/>
  <c r="AJ13" i="4" s="1"/>
  <c r="AF47" i="1"/>
  <c r="AK22" i="3"/>
  <c r="AC22" i="3"/>
  <c r="AB4" i="3"/>
  <c r="AB46" i="4"/>
  <c r="AK42" i="4"/>
  <c r="AC42" i="4"/>
  <c r="AI40" i="4"/>
  <c r="AG34" i="4"/>
  <c r="AJ33" i="4"/>
  <c r="AH12" i="4"/>
  <c r="AN40" i="4"/>
  <c r="AN25" i="1"/>
  <c r="AO17" i="4" s="1"/>
  <c r="AL36" i="1"/>
  <c r="AL47" i="1" s="1"/>
  <c r="T25" i="1"/>
  <c r="S47" i="1"/>
  <c r="AH25" i="1"/>
  <c r="AI6" i="4" s="1"/>
  <c r="AG33" i="3"/>
  <c r="AJ22" i="3"/>
  <c r="AB22" i="3"/>
  <c r="AA4" i="3"/>
  <c r="AB33" i="4"/>
  <c r="AK46" i="4"/>
  <c r="AC46" i="4"/>
  <c r="AJ42" i="4"/>
  <c r="AH40" i="4"/>
  <c r="AF34" i="4"/>
  <c r="AI33" i="4"/>
  <c r="AL32" i="4"/>
  <c r="AD32" i="4"/>
  <c r="AG12" i="4"/>
  <c r="AD47" i="1"/>
  <c r="AL26" i="3"/>
  <c r="AI22" i="3"/>
  <c r="AA23" i="3"/>
  <c r="AA22" i="3" s="1"/>
  <c r="AB22" i="4" s="1"/>
  <c r="AA19" i="3"/>
  <c r="AA14" i="3" s="1"/>
  <c r="AA12" i="3"/>
  <c r="AH4" i="3"/>
  <c r="AI31" i="4" s="1"/>
  <c r="Z4" i="3"/>
  <c r="AJ46" i="4"/>
  <c r="AI42" i="4"/>
  <c r="AM34" i="4"/>
  <c r="AE34" i="4"/>
  <c r="AK32" i="4"/>
  <c r="AC32" i="4"/>
  <c r="AH17" i="4"/>
  <c r="AF12" i="4"/>
  <c r="AO12" i="4"/>
  <c r="AL25" i="1"/>
  <c r="AB25" i="1"/>
  <c r="AF25" i="1"/>
  <c r="AE33" i="3"/>
  <c r="AM26" i="3"/>
  <c r="AN45" i="4" s="1"/>
  <c r="AE26" i="3"/>
  <c r="AD26" i="3"/>
  <c r="AG4" i="3"/>
  <c r="Y4" i="3"/>
  <c r="AB42" i="4"/>
  <c r="AH42" i="4"/>
  <c r="AF40" i="4"/>
  <c r="AL34" i="4"/>
  <c r="AD34" i="4"/>
  <c r="AH34" i="4"/>
  <c r="AF4" i="3"/>
  <c r="AG22" i="4" s="1"/>
  <c r="AN42" i="4"/>
  <c r="AI11" i="4"/>
  <c r="AG38" i="4"/>
  <c r="AH38" i="4"/>
  <c r="AI49" i="3"/>
  <c r="AH49" i="3"/>
  <c r="AN3" i="2"/>
  <c r="AN19" i="2" s="1"/>
  <c r="AN29" i="2" s="1"/>
  <c r="AN30" i="2" s="1"/>
  <c r="AN33" i="2" s="1"/>
  <c r="AN35" i="2" s="1"/>
  <c r="AN37" i="2" s="1"/>
  <c r="AF39" i="3"/>
  <c r="AI41" i="3"/>
  <c r="AI39" i="3" s="1"/>
  <c r="AH41" i="3"/>
  <c r="AH39" i="3" s="1"/>
  <c r="AK31" i="4"/>
  <c r="AM31" i="4"/>
  <c r="AL31" i="4"/>
  <c r="AO22" i="4"/>
  <c r="AN22" i="4"/>
  <c r="AO31" i="4"/>
  <c r="AN31" i="4"/>
  <c r="AN26" i="4"/>
  <c r="AN21" i="4"/>
  <c r="AM12" i="4"/>
  <c r="AM15" i="4"/>
  <c r="AO15" i="4"/>
  <c r="AE39" i="3"/>
  <c r="Y22" i="3"/>
  <c r="AL39" i="3"/>
  <c r="AD39" i="3"/>
  <c r="AD11" i="3"/>
  <c r="Z22" i="3"/>
  <c r="AG22" i="3"/>
  <c r="AK39" i="3"/>
  <c r="AC39" i="3"/>
  <c r="AG26" i="3"/>
  <c r="Y26" i="3"/>
  <c r="AK11" i="3"/>
  <c r="AJ39" i="3"/>
  <c r="AB39" i="3"/>
  <c r="AN26" i="3"/>
  <c r="AO45" i="4" s="1"/>
  <c r="AF26" i="3"/>
  <c r="AG45" i="4" s="1"/>
  <c r="AL22" i="3"/>
  <c r="AM22" i="4" s="1"/>
  <c r="AD22" i="3"/>
  <c r="AH22" i="3"/>
  <c r="AI11" i="3"/>
  <c r="AA11" i="3"/>
  <c r="AJ26" i="3"/>
  <c r="AM39" i="3"/>
  <c r="AH11" i="3"/>
  <c r="Z11" i="3"/>
  <c r="AN39" i="3"/>
  <c r="AB26" i="3"/>
  <c r="AC45" i="4" s="1"/>
  <c r="AM14" i="3"/>
  <c r="AM11" i="3" s="1"/>
  <c r="AN5" i="4" s="1"/>
  <c r="AC43" i="3"/>
  <c r="AG11" i="3"/>
  <c r="Y11" i="3"/>
  <c r="AN43" i="3"/>
  <c r="AF43" i="3"/>
  <c r="AM43" i="3"/>
  <c r="AE43" i="3"/>
  <c r="AI26" i="3"/>
  <c r="AA26" i="3"/>
  <c r="AB45" i="4" s="1"/>
  <c r="AK43" i="3"/>
  <c r="AJ43" i="3"/>
  <c r="AB43" i="3"/>
  <c r="AA25" i="1"/>
  <c r="Z25" i="1"/>
  <c r="Z3" i="3" s="1"/>
  <c r="Y25" i="1"/>
  <c r="Z17" i="4" s="1"/>
  <c r="S25" i="1"/>
  <c r="R25" i="1"/>
  <c r="S17" i="4" s="1"/>
  <c r="Q25" i="1"/>
  <c r="X25" i="1"/>
  <c r="W25" i="1"/>
  <c r="X17" i="4" s="1"/>
  <c r="V25" i="1"/>
  <c r="U25" i="1"/>
  <c r="P25" i="1"/>
  <c r="Q17" i="4" s="1"/>
  <c r="O25" i="1"/>
  <c r="Y47" i="1"/>
  <c r="X47" i="1"/>
  <c r="W47" i="1"/>
  <c r="Q47" i="1"/>
  <c r="P47" i="1"/>
  <c r="O47" i="1"/>
  <c r="V47" i="1"/>
  <c r="AA3" i="2"/>
  <c r="AA19" i="2" s="1"/>
  <c r="AA29" i="2" s="1"/>
  <c r="AA30" i="2" s="1"/>
  <c r="AA33" i="2" s="1"/>
  <c r="AA35" i="2" s="1"/>
  <c r="AA37" i="2" s="1"/>
  <c r="AA47" i="1"/>
  <c r="R17" i="4"/>
  <c r="Y17" i="4"/>
  <c r="Q38" i="4"/>
  <c r="R38" i="4"/>
  <c r="S38" i="4"/>
  <c r="T38" i="4"/>
  <c r="U38" i="4"/>
  <c r="Q3" i="3"/>
  <c r="V5" i="3"/>
  <c r="W5" i="3"/>
  <c r="X5" i="3"/>
  <c r="V6" i="3"/>
  <c r="W6" i="3"/>
  <c r="X6" i="3"/>
  <c r="V7" i="3"/>
  <c r="W7" i="3"/>
  <c r="X7" i="3"/>
  <c r="V8" i="3"/>
  <c r="W8" i="3"/>
  <c r="X8" i="3"/>
  <c r="V12" i="3"/>
  <c r="W12" i="3"/>
  <c r="X12" i="3"/>
  <c r="Y6" i="4" s="1"/>
  <c r="V15" i="3"/>
  <c r="W15" i="3"/>
  <c r="X15" i="3"/>
  <c r="V16" i="3"/>
  <c r="W16" i="3"/>
  <c r="X16" i="3"/>
  <c r="V17" i="3"/>
  <c r="W17" i="3"/>
  <c r="X17" i="3"/>
  <c r="V19" i="3"/>
  <c r="W19" i="3"/>
  <c r="X19" i="3"/>
  <c r="V20" i="3"/>
  <c r="W20" i="3"/>
  <c r="X20" i="3"/>
  <c r="V23" i="3"/>
  <c r="W23" i="3"/>
  <c r="X23" i="3"/>
  <c r="V24" i="3"/>
  <c r="W24" i="3"/>
  <c r="X24" i="3"/>
  <c r="V27" i="3"/>
  <c r="W27" i="3"/>
  <c r="X27" i="3"/>
  <c r="V28" i="3"/>
  <c r="W28" i="3"/>
  <c r="X28" i="3"/>
  <c r="V36" i="3"/>
  <c r="W36" i="3"/>
  <c r="X36" i="3"/>
  <c r="V40" i="3"/>
  <c r="W40" i="3"/>
  <c r="X40" i="3"/>
  <c r="V42" i="3"/>
  <c r="W42" i="3"/>
  <c r="X42" i="3"/>
  <c r="V46" i="3"/>
  <c r="W46" i="3"/>
  <c r="X46" i="3"/>
  <c r="V47" i="3"/>
  <c r="W47" i="3"/>
  <c r="X47" i="3"/>
  <c r="AA41" i="4"/>
  <c r="V48" i="3"/>
  <c r="W48" i="3"/>
  <c r="X48" i="3"/>
  <c r="Z42" i="4"/>
  <c r="AA42" i="4"/>
  <c r="V49" i="3"/>
  <c r="W23" i="2"/>
  <c r="X23" i="2"/>
  <c r="Y23" i="2"/>
  <c r="Y49" i="3" s="1"/>
  <c r="Z23" i="2"/>
  <c r="Z49" i="3" s="1"/>
  <c r="V12" i="2"/>
  <c r="W12" i="2"/>
  <c r="X12" i="2"/>
  <c r="Y12" i="2"/>
  <c r="Z12" i="2"/>
  <c r="V7" i="2"/>
  <c r="V41" i="3" s="1"/>
  <c r="W7" i="2"/>
  <c r="W41" i="3" s="1"/>
  <c r="X7" i="2"/>
  <c r="X41" i="3" s="1"/>
  <c r="Y7" i="2"/>
  <c r="Y41" i="3" s="1"/>
  <c r="Y39" i="3" s="1"/>
  <c r="Z7" i="2"/>
  <c r="Z41" i="3" s="1"/>
  <c r="Z39" i="3" s="1"/>
  <c r="V4" i="2"/>
  <c r="W4" i="2"/>
  <c r="X4" i="2"/>
  <c r="Y4" i="2"/>
  <c r="Z4" i="2"/>
  <c r="AH11" i="4" l="1"/>
  <c r="AC44" i="4"/>
  <c r="AN11" i="4"/>
  <c r="V43" i="3"/>
  <c r="X6" i="4"/>
  <c r="AA48" i="1"/>
  <c r="AK45" i="4"/>
  <c r="AE45" i="4"/>
  <c r="AD11" i="4"/>
  <c r="AC3" i="3"/>
  <c r="AG5" i="4"/>
  <c r="AF17" i="4"/>
  <c r="AE3" i="3"/>
  <c r="W6" i="4"/>
  <c r="AF45" i="4"/>
  <c r="AD13" i="4"/>
  <c r="AF11" i="4"/>
  <c r="AD20" i="4"/>
  <c r="AB6" i="4"/>
  <c r="AF6" i="4"/>
  <c r="AI45" i="4"/>
  <c r="AN6" i="4"/>
  <c r="AJ11" i="4"/>
  <c r="AH13" i="4"/>
  <c r="AN16" i="4"/>
  <c r="AN13" i="4"/>
  <c r="AN17" i="4"/>
  <c r="AJ45" i="4"/>
  <c r="AN24" i="4"/>
  <c r="AN30" i="4"/>
  <c r="AN18" i="4"/>
  <c r="AN20" i="4"/>
  <c r="AN27" i="4"/>
  <c r="AN43" i="4"/>
  <c r="AN47" i="1"/>
  <c r="AN48" i="1" s="1"/>
  <c r="AM35" i="4"/>
  <c r="AO3" i="4"/>
  <c r="AO23" i="4" s="1"/>
  <c r="AO35" i="4"/>
  <c r="AO11" i="4"/>
  <c r="AC11" i="4"/>
  <c r="AC13" i="4"/>
  <c r="AC17" i="4"/>
  <c r="AB3" i="3"/>
  <c r="AC26" i="4" s="1"/>
  <c r="AE18" i="4"/>
  <c r="AE15" i="4"/>
  <c r="Y3" i="3"/>
  <c r="Z28" i="4" s="1"/>
  <c r="Z6" i="4"/>
  <c r="AC5" i="4"/>
  <c r="AC3" i="4"/>
  <c r="AC23" i="4" s="1"/>
  <c r="AC31" i="4"/>
  <c r="AJ18" i="4"/>
  <c r="AJ21" i="4"/>
  <c r="X13" i="4"/>
  <c r="AB11" i="4"/>
  <c r="AA3" i="3"/>
  <c r="AB20" i="4" s="1"/>
  <c r="AB13" i="4"/>
  <c r="AB17" i="4"/>
  <c r="AA3" i="4"/>
  <c r="AA5" i="4"/>
  <c r="AA4" i="4"/>
  <c r="AI35" i="4"/>
  <c r="AK5" i="4"/>
  <c r="AK3" i="4"/>
  <c r="AJ35" i="4"/>
  <c r="AL5" i="4"/>
  <c r="AL3" i="4"/>
  <c r="AL23" i="4" s="1"/>
  <c r="AM3" i="4"/>
  <c r="AM23" i="4" s="1"/>
  <c r="AK35" i="4"/>
  <c r="AJ22" i="4"/>
  <c r="AH16" i="4"/>
  <c r="AH18" i="4"/>
  <c r="AH15" i="4"/>
  <c r="AJ4" i="4"/>
  <c r="AH35" i="4"/>
  <c r="AJ5" i="4"/>
  <c r="AJ3" i="4"/>
  <c r="AJ23" i="4" s="1"/>
  <c r="AM6" i="4"/>
  <c r="AL3" i="3"/>
  <c r="AM17" i="4"/>
  <c r="AE11" i="4"/>
  <c r="AE13" i="4"/>
  <c r="AD3" i="3"/>
  <c r="AE16" i="4" s="1"/>
  <c r="AE17" i="4"/>
  <c r="AH3" i="3"/>
  <c r="AI17" i="4"/>
  <c r="AJ26" i="4"/>
  <c r="AH31" i="4"/>
  <c r="AE3" i="4"/>
  <c r="AE23" i="4" s="1"/>
  <c r="AC35" i="4"/>
  <c r="AE5" i="4"/>
  <c r="AJ20" i="4"/>
  <c r="AI5" i="4"/>
  <c r="AI3" i="4"/>
  <c r="AI23" i="4" s="1"/>
  <c r="AI4" i="4"/>
  <c r="AG35" i="4"/>
  <c r="AE22" i="4"/>
  <c r="AE31" i="4"/>
  <c r="AF18" i="4"/>
  <c r="AF15" i="4"/>
  <c r="AF16" i="4"/>
  <c r="AM45" i="4"/>
  <c r="AD22" i="4"/>
  <c r="AD23" i="4"/>
  <c r="AF3" i="4"/>
  <c r="AF23" i="4" s="1"/>
  <c r="AF4" i="4"/>
  <c r="AD35" i="4"/>
  <c r="AF5" i="4"/>
  <c r="AK17" i="4"/>
  <c r="AK11" i="4"/>
  <c r="AJ3" i="3"/>
  <c r="AK20" i="4" s="1"/>
  <c r="AK13" i="4"/>
  <c r="AB31" i="4"/>
  <c r="AE6" i="4"/>
  <c r="AL13" i="4"/>
  <c r="AK3" i="3"/>
  <c r="AL11" i="4"/>
  <c r="AL17" i="4"/>
  <c r="AL6" i="4"/>
  <c r="AC6" i="4"/>
  <c r="AJ24" i="4"/>
  <c r="AJ28" i="4"/>
  <c r="AH30" i="4"/>
  <c r="AN35" i="4"/>
  <c r="AN3" i="4"/>
  <c r="AN23" i="4" s="1"/>
  <c r="AL35" i="4"/>
  <c r="AH22" i="4"/>
  <c r="AH26" i="4"/>
  <c r="AF31" i="4"/>
  <c r="AI22" i="4"/>
  <c r="AD5" i="4"/>
  <c r="AB35" i="4"/>
  <c r="AD3" i="4"/>
  <c r="AI13" i="4"/>
  <c r="AA6" i="4"/>
  <c r="AA17" i="4"/>
  <c r="Z3" i="4"/>
  <c r="Z5" i="4"/>
  <c r="AH45" i="4"/>
  <c r="AM13" i="4"/>
  <c r="AM11" i="4"/>
  <c r="AC22" i="4"/>
  <c r="AO6" i="4"/>
  <c r="AN3" i="3"/>
  <c r="AO13" i="4"/>
  <c r="AL22" i="4"/>
  <c r="AD45" i="4"/>
  <c r="AE35" i="4"/>
  <c r="AB5" i="4"/>
  <c r="AB3" i="4"/>
  <c r="AB23" i="4" s="1"/>
  <c r="AB4" i="4"/>
  <c r="AG31" i="4"/>
  <c r="AN4" i="4"/>
  <c r="AH5" i="4"/>
  <c r="AH3" i="4"/>
  <c r="AH23" i="4" s="1"/>
  <c r="AH4" i="4"/>
  <c r="AF35" i="4"/>
  <c r="AM5" i="4"/>
  <c r="AF3" i="3"/>
  <c r="AG26" i="4" s="1"/>
  <c r="AG17" i="4"/>
  <c r="AG11" i="4"/>
  <c r="AG13" i="4"/>
  <c r="AH43" i="4"/>
  <c r="AK23" i="4"/>
  <c r="AK22" i="4"/>
  <c r="AJ27" i="4"/>
  <c r="AE20" i="4"/>
  <c r="AL45" i="4"/>
  <c r="AJ44" i="4"/>
  <c r="AH36" i="4"/>
  <c r="AH44" i="4"/>
  <c r="AJ36" i="4"/>
  <c r="AL44" i="4"/>
  <c r="AO44" i="4"/>
  <c r="AM36" i="4"/>
  <c r="AO36" i="4"/>
  <c r="AE36" i="4"/>
  <c r="AG44" i="4"/>
  <c r="AI44" i="4"/>
  <c r="AG36" i="4"/>
  <c r="AI36" i="4"/>
  <c r="AK44" i="4"/>
  <c r="AE44" i="4"/>
  <c r="AC36" i="4"/>
  <c r="AF44" i="4"/>
  <c r="AD36" i="4"/>
  <c r="AN36" i="4"/>
  <c r="AL36" i="4"/>
  <c r="AN44" i="4"/>
  <c r="AK36" i="4"/>
  <c r="AM44" i="4"/>
  <c r="AB44" i="4"/>
  <c r="AD44" i="4"/>
  <c r="AB36" i="4"/>
  <c r="AF36" i="4"/>
  <c r="X41" i="4"/>
  <c r="W41" i="4"/>
  <c r="Y42" i="4"/>
  <c r="X42" i="4"/>
  <c r="AA40" i="4"/>
  <c r="Z40" i="4"/>
  <c r="W14" i="3"/>
  <c r="W11" i="3" s="1"/>
  <c r="W42" i="4"/>
  <c r="Y40" i="4"/>
  <c r="V14" i="3"/>
  <c r="X14" i="3"/>
  <c r="X11" i="3" s="1"/>
  <c r="Z41" i="4"/>
  <c r="W40" i="4"/>
  <c r="X40" i="4"/>
  <c r="Z13" i="4"/>
  <c r="Y41" i="4"/>
  <c r="AA13" i="4"/>
  <c r="W3" i="3"/>
  <c r="X24" i="4" s="1"/>
  <c r="P3" i="3"/>
  <c r="X3" i="3"/>
  <c r="Y27" i="4" s="1"/>
  <c r="T17" i="4"/>
  <c r="Y13" i="4"/>
  <c r="T3" i="3"/>
  <c r="S3" i="3"/>
  <c r="R30" i="4" s="1"/>
  <c r="R3" i="3"/>
  <c r="O3" i="3"/>
  <c r="U17" i="4"/>
  <c r="V3" i="3"/>
  <c r="W17" i="4"/>
  <c r="W13" i="4"/>
  <c r="AA21" i="4"/>
  <c r="U3" i="3"/>
  <c r="V17" i="4"/>
  <c r="Z3" i="2"/>
  <c r="Z19" i="2" s="1"/>
  <c r="Z29" i="2" s="1"/>
  <c r="Z30" i="2" s="1"/>
  <c r="Z33" i="2" s="1"/>
  <c r="Y38" i="4"/>
  <c r="AA38" i="4"/>
  <c r="X38" i="4"/>
  <c r="Z38" i="4"/>
  <c r="W38" i="4"/>
  <c r="X49" i="3"/>
  <c r="V38" i="4"/>
  <c r="W49" i="3"/>
  <c r="AA46" i="4"/>
  <c r="Z46" i="4"/>
  <c r="X43" i="3"/>
  <c r="Y46" i="4"/>
  <c r="X39" i="3"/>
  <c r="W43" i="3"/>
  <c r="X46" i="4"/>
  <c r="W39" i="3"/>
  <c r="W46" i="4"/>
  <c r="V39" i="3"/>
  <c r="AA24" i="4"/>
  <c r="Y34" i="4"/>
  <c r="AA34" i="4"/>
  <c r="AA45" i="4"/>
  <c r="X34" i="4"/>
  <c r="Z34" i="4"/>
  <c r="Z45" i="4"/>
  <c r="W34" i="4"/>
  <c r="X26" i="3"/>
  <c r="W26" i="3"/>
  <c r="X45" i="4" s="1"/>
  <c r="V26" i="3"/>
  <c r="X22" i="3"/>
  <c r="W22" i="3"/>
  <c r="V22" i="3"/>
  <c r="V11" i="3"/>
  <c r="AA28" i="4"/>
  <c r="Y33" i="4"/>
  <c r="AA33" i="4"/>
  <c r="X33" i="4"/>
  <c r="Z33" i="4"/>
  <c r="W33" i="4"/>
  <c r="AA27" i="4"/>
  <c r="Y32" i="4"/>
  <c r="AA32" i="4"/>
  <c r="X32" i="4"/>
  <c r="Z32" i="4"/>
  <c r="W32" i="4"/>
  <c r="X3" i="2"/>
  <c r="X19" i="2" s="1"/>
  <c r="X29" i="2" s="1"/>
  <c r="X30" i="2" s="1"/>
  <c r="X33" i="2" s="1"/>
  <c r="W3" i="2"/>
  <c r="W19" i="2" s="1"/>
  <c r="W29" i="2" s="1"/>
  <c r="W30" i="2" s="1"/>
  <c r="W33" i="2" s="1"/>
  <c r="V3" i="2"/>
  <c r="V19" i="2" s="1"/>
  <c r="V29" i="2" s="1"/>
  <c r="V30" i="2" s="1"/>
  <c r="V33" i="2" s="1"/>
  <c r="Y3" i="2"/>
  <c r="Y19" i="2" s="1"/>
  <c r="Y29" i="2" s="1"/>
  <c r="Y30" i="2" s="1"/>
  <c r="Y33" i="2" s="1"/>
  <c r="V33" i="3"/>
  <c r="W33" i="3"/>
  <c r="X33" i="3"/>
  <c r="Y28" i="4" l="1"/>
  <c r="AE4" i="4"/>
  <c r="AD28" i="4"/>
  <c r="AD24" i="4"/>
  <c r="AD21" i="4"/>
  <c r="AD43" i="4"/>
  <c r="AD18" i="4"/>
  <c r="AD27" i="4"/>
  <c r="AD26" i="4"/>
  <c r="AD16" i="4"/>
  <c r="Z21" i="4"/>
  <c r="AD4" i="4"/>
  <c r="AE26" i="4"/>
  <c r="Z4" i="4"/>
  <c r="AD30" i="4"/>
  <c r="AF20" i="4"/>
  <c r="AF28" i="4"/>
  <c r="AF21" i="4"/>
  <c r="AF26" i="4"/>
  <c r="AF27" i="4"/>
  <c r="AF24" i="4"/>
  <c r="AF43" i="4"/>
  <c r="AF30" i="4"/>
  <c r="AI43" i="4"/>
  <c r="AJ30" i="4"/>
  <c r="AL18" i="4"/>
  <c r="AL30" i="4"/>
  <c r="AL24" i="4"/>
  <c r="AL21" i="4"/>
  <c r="AL16" i="4"/>
  <c r="AL20" i="4"/>
  <c r="AL43" i="4"/>
  <c r="AL28" i="4"/>
  <c r="AL26" i="4"/>
  <c r="AL27" i="4"/>
  <c r="X4" i="4"/>
  <c r="X3" i="4"/>
  <c r="AM28" i="4"/>
  <c r="AM27" i="4"/>
  <c r="AM26" i="4"/>
  <c r="AK30" i="4"/>
  <c r="AM18" i="4"/>
  <c r="AM16" i="4"/>
  <c r="AM21" i="4"/>
  <c r="AM20" i="4"/>
  <c r="AM24" i="4"/>
  <c r="AM43" i="4"/>
  <c r="AA30" i="4"/>
  <c r="W4" i="4"/>
  <c r="W3" i="4"/>
  <c r="AL4" i="4"/>
  <c r="AO28" i="4"/>
  <c r="AM30" i="4"/>
  <c r="AO26" i="4"/>
  <c r="AO16" i="4"/>
  <c r="AO27" i="4"/>
  <c r="AO18" i="4"/>
  <c r="AO20" i="4"/>
  <c r="AO30" i="4"/>
  <c r="AO21" i="4"/>
  <c r="AO24" i="4"/>
  <c r="AO4" i="4"/>
  <c r="AO43" i="4"/>
  <c r="Z30" i="4"/>
  <c r="AG30" i="4"/>
  <c r="AI24" i="4"/>
  <c r="AI16" i="4"/>
  <c r="AI18" i="4"/>
  <c r="AI21" i="4"/>
  <c r="AI27" i="4"/>
  <c r="AI28" i="4"/>
  <c r="AI20" i="4"/>
  <c r="AE30" i="4"/>
  <c r="AG18" i="4"/>
  <c r="AG4" i="4"/>
  <c r="AG27" i="4"/>
  <c r="AG16" i="4"/>
  <c r="AG43" i="4"/>
  <c r="AG21" i="4"/>
  <c r="AG24" i="4"/>
  <c r="AG20" i="4"/>
  <c r="AG28" i="4"/>
  <c r="AB43" i="4"/>
  <c r="AB28" i="4"/>
  <c r="AB24" i="4"/>
  <c r="AB18" i="4"/>
  <c r="AB27" i="4"/>
  <c r="AB21" i="4"/>
  <c r="AB16" i="4"/>
  <c r="AB30" i="4"/>
  <c r="AC27" i="4"/>
  <c r="AC28" i="4"/>
  <c r="AC16" i="4"/>
  <c r="AC43" i="4"/>
  <c r="AC21" i="4"/>
  <c r="AC18" i="4"/>
  <c r="AC24" i="4"/>
  <c r="AC20" i="4"/>
  <c r="Z24" i="4"/>
  <c r="X21" i="4"/>
  <c r="Y4" i="4"/>
  <c r="Y3" i="4"/>
  <c r="Y23" i="4" s="1"/>
  <c r="AJ43" i="4"/>
  <c r="AI26" i="4"/>
  <c r="AI30" i="4"/>
  <c r="AK27" i="4"/>
  <c r="AK28" i="4"/>
  <c r="AK21" i="4"/>
  <c r="AK18" i="4"/>
  <c r="AK16" i="4"/>
  <c r="AK24" i="4"/>
  <c r="AK26" i="4"/>
  <c r="AK43" i="4"/>
  <c r="AC30" i="4"/>
  <c r="AE27" i="4"/>
  <c r="AE43" i="4"/>
  <c r="AE24" i="4"/>
  <c r="AE28" i="4"/>
  <c r="AE21" i="4"/>
  <c r="AM4" i="4"/>
  <c r="AC4" i="4"/>
  <c r="Z27" i="4"/>
  <c r="AB26" i="4"/>
  <c r="AK4" i="4"/>
  <c r="W30" i="4"/>
  <c r="W45" i="4"/>
  <c r="Y45" i="4"/>
  <c r="Q30" i="4"/>
  <c r="X30" i="4"/>
  <c r="W21" i="4"/>
  <c r="X27" i="4"/>
  <c r="X28" i="4"/>
  <c r="V30" i="4"/>
  <c r="T30" i="4"/>
  <c r="Y21" i="4"/>
  <c r="Y30" i="4"/>
  <c r="W27" i="4"/>
  <c r="Y24" i="4"/>
  <c r="S30" i="4"/>
  <c r="W28" i="4"/>
  <c r="W43" i="4"/>
  <c r="U30" i="4"/>
  <c r="W24" i="4"/>
  <c r="AA15" i="4"/>
  <c r="AA16" i="4"/>
  <c r="AA18" i="4"/>
  <c r="Z15" i="4"/>
  <c r="Z16" i="4"/>
  <c r="Z18" i="4"/>
  <c r="Y15" i="4"/>
  <c r="Y16" i="4"/>
  <c r="Y18" i="4"/>
  <c r="X15" i="4"/>
  <c r="X16" i="4"/>
  <c r="X18" i="4"/>
  <c r="W15" i="4"/>
  <c r="W16" i="4"/>
  <c r="W18" i="4"/>
  <c r="AA20" i="4"/>
  <c r="AA12" i="4"/>
  <c r="Z20" i="4"/>
  <c r="Z12" i="4"/>
  <c r="X35" i="3"/>
  <c r="Y20" i="4" s="1"/>
  <c r="Y12" i="4"/>
  <c r="W35" i="3"/>
  <c r="X20" i="4" s="1"/>
  <c r="X12" i="4"/>
  <c r="W12" i="4"/>
  <c r="V35" i="3"/>
  <c r="W20" i="4" s="1"/>
  <c r="AA22" i="4"/>
  <c r="X48" i="1"/>
  <c r="X4" i="3"/>
  <c r="Y22" i="4" s="1"/>
  <c r="W48" i="1"/>
  <c r="W4" i="3"/>
  <c r="X5" i="4" s="1"/>
  <c r="V4" i="3"/>
  <c r="W22" i="4" s="1"/>
  <c r="Z11" i="4"/>
  <c r="Y35" i="2"/>
  <c r="Y37" i="2" s="1"/>
  <c r="V35" i="2"/>
  <c r="V37" i="2" s="1"/>
  <c r="W11" i="4"/>
  <c r="W35" i="2"/>
  <c r="W37" i="2" s="1"/>
  <c r="X11" i="4"/>
  <c r="X35" i="2"/>
  <c r="X37" i="2" s="1"/>
  <c r="Y11" i="4"/>
  <c r="Y35" i="4"/>
  <c r="AA35" i="4"/>
  <c r="W35" i="4"/>
  <c r="X35" i="4"/>
  <c r="Z35" i="4"/>
  <c r="W23" i="4"/>
  <c r="X22" i="4"/>
  <c r="X23" i="4"/>
  <c r="Z22" i="4"/>
  <c r="Z23" i="4"/>
  <c r="AA23" i="4"/>
  <c r="W44" i="4"/>
  <c r="W36" i="4"/>
  <c r="X36" i="4"/>
  <c r="Z36" i="4"/>
  <c r="Y36" i="4"/>
  <c r="AA36" i="4"/>
  <c r="X43" i="4"/>
  <c r="X44" i="4"/>
  <c r="Y43" i="4"/>
  <c r="Y44" i="4"/>
  <c r="Z43" i="4"/>
  <c r="Z44" i="4"/>
  <c r="AA43" i="4"/>
  <c r="AA44" i="4"/>
  <c r="AA11" i="4"/>
  <c r="Z35" i="2"/>
  <c r="Z37" i="2" s="1"/>
  <c r="V48" i="1"/>
  <c r="Y48" i="1"/>
  <c r="P17" i="4"/>
  <c r="P38" i="4"/>
  <c r="P30" i="4"/>
  <c r="O5" i="3"/>
  <c r="P5" i="3"/>
  <c r="Q27" i="4" s="1"/>
  <c r="Q5" i="3"/>
  <c r="R27" i="4" s="1"/>
  <c r="R5" i="3"/>
  <c r="S5" i="3"/>
  <c r="T5" i="3"/>
  <c r="U5" i="3"/>
  <c r="O6" i="3"/>
  <c r="P6" i="3"/>
  <c r="Q28" i="4" s="1"/>
  <c r="Q6" i="3"/>
  <c r="R28" i="4" s="1"/>
  <c r="R6" i="3"/>
  <c r="S6" i="3"/>
  <c r="T6" i="3"/>
  <c r="U6" i="3"/>
  <c r="O7" i="3"/>
  <c r="P7" i="3"/>
  <c r="Q7" i="3"/>
  <c r="R7" i="3"/>
  <c r="S7" i="3"/>
  <c r="T7" i="3"/>
  <c r="U7" i="3"/>
  <c r="O8" i="3"/>
  <c r="P8" i="3"/>
  <c r="Q8" i="3"/>
  <c r="R8" i="3"/>
  <c r="S8" i="3"/>
  <c r="T8" i="3"/>
  <c r="U8" i="3"/>
  <c r="O12" i="3"/>
  <c r="P6" i="4" s="1"/>
  <c r="P12" i="3"/>
  <c r="Q6" i="4" s="1"/>
  <c r="Q12" i="3"/>
  <c r="R6" i="4" s="1"/>
  <c r="R12" i="3"/>
  <c r="S6" i="4" s="1"/>
  <c r="S12" i="3"/>
  <c r="T6" i="4" s="1"/>
  <c r="T12" i="3"/>
  <c r="U6" i="4" s="1"/>
  <c r="U12" i="3"/>
  <c r="V6" i="4" s="1"/>
  <c r="O15" i="3"/>
  <c r="P15" i="3"/>
  <c r="Q15" i="3"/>
  <c r="R15" i="3"/>
  <c r="S15" i="3"/>
  <c r="T15" i="3"/>
  <c r="U15" i="3"/>
  <c r="O16" i="3"/>
  <c r="P16" i="3"/>
  <c r="Q16" i="3"/>
  <c r="R16" i="3"/>
  <c r="S16" i="3"/>
  <c r="T16" i="3"/>
  <c r="U16" i="3"/>
  <c r="O17" i="3"/>
  <c r="P17" i="3"/>
  <c r="Q17" i="3"/>
  <c r="R17" i="3"/>
  <c r="S17" i="3"/>
  <c r="T17" i="3"/>
  <c r="U17" i="3"/>
  <c r="O19" i="3"/>
  <c r="P19" i="3"/>
  <c r="Q19" i="3"/>
  <c r="R19" i="3"/>
  <c r="S19" i="3"/>
  <c r="T19" i="3"/>
  <c r="U19" i="3"/>
  <c r="O20" i="3"/>
  <c r="P20" i="3"/>
  <c r="Q20" i="3"/>
  <c r="R20" i="3"/>
  <c r="S20" i="3"/>
  <c r="T20" i="3"/>
  <c r="U20" i="3"/>
  <c r="O23" i="3"/>
  <c r="P23" i="3"/>
  <c r="Q23" i="3"/>
  <c r="R23" i="3"/>
  <c r="S23" i="3"/>
  <c r="T23" i="3"/>
  <c r="U23" i="3"/>
  <c r="O24" i="3"/>
  <c r="P24" i="3"/>
  <c r="Q24" i="3"/>
  <c r="R24" i="3"/>
  <c r="S24" i="3"/>
  <c r="T24" i="3"/>
  <c r="U24" i="3"/>
  <c r="O27" i="3"/>
  <c r="P27" i="3"/>
  <c r="Q27" i="3"/>
  <c r="R27" i="3"/>
  <c r="S27" i="3"/>
  <c r="T27" i="3"/>
  <c r="U27" i="3"/>
  <c r="O28" i="3"/>
  <c r="P28" i="3"/>
  <c r="Q28" i="3"/>
  <c r="R28" i="3"/>
  <c r="S28" i="3"/>
  <c r="T28" i="3"/>
  <c r="U28" i="3"/>
  <c r="O36" i="3"/>
  <c r="P36" i="3"/>
  <c r="Q21" i="4" s="1"/>
  <c r="Q36" i="3"/>
  <c r="R21" i="4" s="1"/>
  <c r="R36" i="3"/>
  <c r="S21" i="4" s="1"/>
  <c r="S36" i="3"/>
  <c r="T21" i="4" s="1"/>
  <c r="T36" i="3"/>
  <c r="U21" i="4" s="1"/>
  <c r="U36" i="3"/>
  <c r="V21" i="4" s="1"/>
  <c r="O40" i="3"/>
  <c r="P40" i="3"/>
  <c r="Q40" i="3"/>
  <c r="R40" i="3"/>
  <c r="S40" i="3"/>
  <c r="T40" i="3"/>
  <c r="U40" i="3"/>
  <c r="O42" i="3"/>
  <c r="P42" i="3"/>
  <c r="Q42" i="3"/>
  <c r="R42" i="3"/>
  <c r="S42" i="3"/>
  <c r="T42" i="3"/>
  <c r="U42" i="3"/>
  <c r="O46" i="3"/>
  <c r="P46" i="3"/>
  <c r="Q46" i="3"/>
  <c r="R46" i="3"/>
  <c r="S46" i="3"/>
  <c r="T46" i="3"/>
  <c r="U46" i="3"/>
  <c r="O47" i="3"/>
  <c r="P47" i="3"/>
  <c r="Q47" i="3"/>
  <c r="R47" i="3"/>
  <c r="S47" i="3"/>
  <c r="T47" i="3"/>
  <c r="U41" i="4" s="1"/>
  <c r="U47" i="3"/>
  <c r="V41" i="4" s="1"/>
  <c r="O48" i="3"/>
  <c r="P48" i="3"/>
  <c r="Q48" i="3"/>
  <c r="R48" i="3"/>
  <c r="S48" i="3"/>
  <c r="T48" i="3"/>
  <c r="U48" i="3"/>
  <c r="V42" i="4" s="1"/>
  <c r="O49" i="3"/>
  <c r="P49" i="3"/>
  <c r="Q49" i="3"/>
  <c r="R49" i="3"/>
  <c r="S49" i="3"/>
  <c r="T49" i="3"/>
  <c r="U49" i="3"/>
  <c r="U4" i="3"/>
  <c r="U33" i="3"/>
  <c r="P4" i="3"/>
  <c r="Q26" i="4" s="1"/>
  <c r="R48" i="1"/>
  <c r="T4" i="3"/>
  <c r="P12" i="4"/>
  <c r="O33" i="3"/>
  <c r="P33" i="3"/>
  <c r="Q33" i="3"/>
  <c r="R33" i="3"/>
  <c r="S33" i="3"/>
  <c r="T33" i="3"/>
  <c r="O12" i="2"/>
  <c r="P13" i="4" s="1"/>
  <c r="P12" i="2"/>
  <c r="Q13" i="4" s="1"/>
  <c r="Q12" i="2"/>
  <c r="R13" i="4" s="1"/>
  <c r="R12" i="2"/>
  <c r="S13" i="4" s="1"/>
  <c r="S12" i="2"/>
  <c r="T13" i="4" s="1"/>
  <c r="T12" i="2"/>
  <c r="U13" i="4" s="1"/>
  <c r="U12" i="2"/>
  <c r="V13" i="4" s="1"/>
  <c r="O7" i="2"/>
  <c r="O41" i="3" s="1"/>
  <c r="P7" i="2"/>
  <c r="P41" i="3" s="1"/>
  <c r="Q7" i="2"/>
  <c r="Q41" i="3" s="1"/>
  <c r="R7" i="2"/>
  <c r="S7" i="2"/>
  <c r="S41" i="3" s="1"/>
  <c r="T7" i="2"/>
  <c r="T41" i="3" s="1"/>
  <c r="U7" i="2"/>
  <c r="U41" i="3" s="1"/>
  <c r="O4" i="2"/>
  <c r="P4" i="2"/>
  <c r="Q4" i="2"/>
  <c r="R4" i="2"/>
  <c r="S4" i="2"/>
  <c r="T4" i="2"/>
  <c r="U4" i="2"/>
  <c r="Y5" i="4" l="1"/>
  <c r="V40" i="4"/>
  <c r="S41" i="4"/>
  <c r="W5" i="4"/>
  <c r="R42" i="4"/>
  <c r="U42" i="4"/>
  <c r="T41" i="4"/>
  <c r="S42" i="4"/>
  <c r="T42" i="4"/>
  <c r="Q40" i="4"/>
  <c r="U40" i="4"/>
  <c r="T40" i="4"/>
  <c r="S40" i="4"/>
  <c r="R40" i="4"/>
  <c r="R41" i="4"/>
  <c r="Q41" i="4"/>
  <c r="Q42" i="4"/>
  <c r="R3" i="2"/>
  <c r="R19" i="2" s="1"/>
  <c r="R29" i="2" s="1"/>
  <c r="R30" i="2" s="1"/>
  <c r="R33" i="2" s="1"/>
  <c r="S11" i="4" s="1"/>
  <c r="U15" i="4"/>
  <c r="U16" i="4"/>
  <c r="U18" i="4"/>
  <c r="T15" i="4"/>
  <c r="T16" i="4"/>
  <c r="T18" i="4"/>
  <c r="S15" i="4"/>
  <c r="S16" i="4"/>
  <c r="S18" i="4"/>
  <c r="R15" i="4"/>
  <c r="R16" i="4"/>
  <c r="R18" i="4"/>
  <c r="Q15" i="4"/>
  <c r="Q16" i="4"/>
  <c r="Q18" i="4"/>
  <c r="U12" i="4"/>
  <c r="T35" i="3"/>
  <c r="U20" i="4" s="1"/>
  <c r="T12" i="4"/>
  <c r="S35" i="3"/>
  <c r="T20" i="4" s="1"/>
  <c r="S12" i="4"/>
  <c r="R35" i="3"/>
  <c r="S20" i="4" s="1"/>
  <c r="R12" i="4"/>
  <c r="Q35" i="3"/>
  <c r="R20" i="4" s="1"/>
  <c r="Q12" i="4"/>
  <c r="P35" i="3"/>
  <c r="Q20" i="4" s="1"/>
  <c r="U26" i="4"/>
  <c r="V15" i="4"/>
  <c r="V16" i="4"/>
  <c r="V18" i="4"/>
  <c r="V12" i="4"/>
  <c r="U35" i="3"/>
  <c r="V20" i="4" s="1"/>
  <c r="V26" i="4"/>
  <c r="V43" i="4"/>
  <c r="U43" i="4"/>
  <c r="T43" i="4"/>
  <c r="S43" i="4"/>
  <c r="R43" i="4"/>
  <c r="Q43" i="4"/>
  <c r="U43" i="3"/>
  <c r="V46" i="4"/>
  <c r="U39" i="3"/>
  <c r="U46" i="4"/>
  <c r="T39" i="3"/>
  <c r="T46" i="4"/>
  <c r="S39" i="3"/>
  <c r="R43" i="3"/>
  <c r="S46" i="4"/>
  <c r="R46" i="4"/>
  <c r="Q39" i="3"/>
  <c r="Q46" i="4"/>
  <c r="P39" i="3"/>
  <c r="V24" i="4"/>
  <c r="T34" i="4"/>
  <c r="U26" i="3"/>
  <c r="V45" i="4" s="1"/>
  <c r="V34" i="4"/>
  <c r="U24" i="4"/>
  <c r="S34" i="4"/>
  <c r="T26" i="3"/>
  <c r="U45" i="4" s="1"/>
  <c r="U34" i="4"/>
  <c r="T24" i="4"/>
  <c r="R34" i="4"/>
  <c r="S26" i="3"/>
  <c r="T45" i="4" s="1"/>
  <c r="S24" i="4"/>
  <c r="Q34" i="4"/>
  <c r="R26" i="3"/>
  <c r="R24" i="4"/>
  <c r="Q26" i="3"/>
  <c r="Q24" i="4"/>
  <c r="P26" i="3"/>
  <c r="U22" i="3"/>
  <c r="T22" i="3"/>
  <c r="S22" i="3"/>
  <c r="R22" i="3"/>
  <c r="Q22" i="3"/>
  <c r="P22" i="3"/>
  <c r="V28" i="4"/>
  <c r="T33" i="4"/>
  <c r="V33" i="4"/>
  <c r="U28" i="4"/>
  <c r="S33" i="4"/>
  <c r="U33" i="4"/>
  <c r="T28" i="4"/>
  <c r="R33" i="4"/>
  <c r="S28" i="4"/>
  <c r="Q33" i="4"/>
  <c r="V27" i="4"/>
  <c r="T32" i="4"/>
  <c r="V32" i="4"/>
  <c r="U27" i="4"/>
  <c r="S32" i="4"/>
  <c r="U32" i="4"/>
  <c r="T27" i="4"/>
  <c r="R32" i="4"/>
  <c r="S27" i="4"/>
  <c r="Q32" i="4"/>
  <c r="W26" i="4"/>
  <c r="U31" i="4"/>
  <c r="X26" i="4"/>
  <c r="V31" i="4"/>
  <c r="Y26" i="4"/>
  <c r="W31" i="4"/>
  <c r="Z26" i="4"/>
  <c r="X31" i="4"/>
  <c r="Z31" i="4"/>
  <c r="AA26" i="4"/>
  <c r="Y31" i="4"/>
  <c r="AA31" i="4"/>
  <c r="S43" i="3"/>
  <c r="P41" i="4"/>
  <c r="P40" i="4"/>
  <c r="R41" i="3"/>
  <c r="R39" i="3" s="1"/>
  <c r="O3" i="2"/>
  <c r="O19" i="2" s="1"/>
  <c r="O29" i="2" s="1"/>
  <c r="O30" i="2" s="1"/>
  <c r="O33" i="2" s="1"/>
  <c r="O35" i="2" s="1"/>
  <c r="O37" i="2" s="1"/>
  <c r="P43" i="3"/>
  <c r="P46" i="4"/>
  <c r="O39" i="3"/>
  <c r="P43" i="4"/>
  <c r="P27" i="4"/>
  <c r="P21" i="4"/>
  <c r="P28" i="4"/>
  <c r="P24" i="4"/>
  <c r="O14" i="3"/>
  <c r="O11" i="3" s="1"/>
  <c r="T14" i="3"/>
  <c r="T11" i="3" s="1"/>
  <c r="Q14" i="3"/>
  <c r="Q11" i="3" s="1"/>
  <c r="P32" i="4"/>
  <c r="R4" i="3"/>
  <c r="P33" i="4"/>
  <c r="S4" i="3"/>
  <c r="Q4" i="3"/>
  <c r="R26" i="4" s="1"/>
  <c r="P48" i="1"/>
  <c r="O35" i="3"/>
  <c r="P20" i="4" s="1"/>
  <c r="P34" i="4"/>
  <c r="O26" i="3"/>
  <c r="P14" i="3"/>
  <c r="P11" i="3" s="1"/>
  <c r="Q4" i="4" s="1"/>
  <c r="S48" i="1"/>
  <c r="U14" i="3"/>
  <c r="U11" i="3" s="1"/>
  <c r="Q48" i="1"/>
  <c r="S14" i="3"/>
  <c r="S11" i="3" s="1"/>
  <c r="R14" i="3"/>
  <c r="R11" i="3" s="1"/>
  <c r="O4" i="3"/>
  <c r="T48" i="1"/>
  <c r="U48" i="1"/>
  <c r="P42" i="4"/>
  <c r="T43" i="3"/>
  <c r="O22" i="3"/>
  <c r="P16" i="4"/>
  <c r="P18" i="4"/>
  <c r="P15" i="4"/>
  <c r="O43" i="3"/>
  <c r="Q43" i="3"/>
  <c r="U3" i="2"/>
  <c r="U19" i="2" s="1"/>
  <c r="U29" i="2" s="1"/>
  <c r="U30" i="2" s="1"/>
  <c r="U33" i="2" s="1"/>
  <c r="V11" i="4" s="1"/>
  <c r="O48" i="1"/>
  <c r="S3" i="2"/>
  <c r="S19" i="2" s="1"/>
  <c r="S29" i="2" s="1"/>
  <c r="S30" i="2" s="1"/>
  <c r="S33" i="2" s="1"/>
  <c r="T11" i="4" s="1"/>
  <c r="T3" i="2"/>
  <c r="T19" i="2" s="1"/>
  <c r="T29" i="2" s="1"/>
  <c r="T30" i="2" s="1"/>
  <c r="T33" i="2" s="1"/>
  <c r="U11" i="4" s="1"/>
  <c r="Q3" i="2"/>
  <c r="Q19" i="2" s="1"/>
  <c r="Q29" i="2" s="1"/>
  <c r="Q30" i="2" s="1"/>
  <c r="Q33" i="2" s="1"/>
  <c r="R11" i="4" s="1"/>
  <c r="P3" i="2"/>
  <c r="P19" i="2" s="1"/>
  <c r="P29" i="2" s="1"/>
  <c r="P30" i="2" s="1"/>
  <c r="P33" i="2" s="1"/>
  <c r="Q11" i="4" s="1"/>
  <c r="N28" i="2"/>
  <c r="B42" i="1"/>
  <c r="N42" i="1"/>
  <c r="N40" i="1"/>
  <c r="N10" i="1"/>
  <c r="B10" i="1"/>
  <c r="B5" i="1"/>
  <c r="N5" i="1"/>
  <c r="Q45" i="4" l="1"/>
  <c r="P45" i="4"/>
  <c r="R45" i="4"/>
  <c r="Q35" i="4"/>
  <c r="R35" i="4"/>
  <c r="S45" i="4"/>
  <c r="R44" i="4"/>
  <c r="V3" i="4"/>
  <c r="V23" i="4" s="1"/>
  <c r="T35" i="4"/>
  <c r="V35" i="4"/>
  <c r="T26" i="4"/>
  <c r="R31" i="4"/>
  <c r="T31" i="4"/>
  <c r="S26" i="4"/>
  <c r="Q31" i="4"/>
  <c r="S31" i="4"/>
  <c r="S35" i="4"/>
  <c r="U35" i="4"/>
  <c r="Q36" i="4"/>
  <c r="S44" i="4"/>
  <c r="Q22" i="4"/>
  <c r="R22" i="4"/>
  <c r="S22" i="4"/>
  <c r="T22" i="4"/>
  <c r="U22" i="4"/>
  <c r="V22" i="4"/>
  <c r="Q44" i="4"/>
  <c r="R36" i="4"/>
  <c r="T44" i="4"/>
  <c r="S36" i="4"/>
  <c r="U36" i="4"/>
  <c r="U44" i="4"/>
  <c r="T36" i="4"/>
  <c r="V36" i="4"/>
  <c r="V44" i="4"/>
  <c r="P11" i="4"/>
  <c r="P36" i="4"/>
  <c r="U35" i="2"/>
  <c r="U37" i="2" s="1"/>
  <c r="R35" i="2"/>
  <c r="R37" i="2" s="1"/>
  <c r="S35" i="2"/>
  <c r="S37" i="2" s="1"/>
  <c r="P44" i="4"/>
  <c r="Q35" i="2"/>
  <c r="Q37" i="2" s="1"/>
  <c r="P35" i="2"/>
  <c r="P37" i="2" s="1"/>
  <c r="T35" i="2"/>
  <c r="T37" i="2" s="1"/>
  <c r="U5" i="4"/>
  <c r="U4" i="4"/>
  <c r="V5" i="4"/>
  <c r="V4" i="4"/>
  <c r="T5" i="4"/>
  <c r="Q3" i="4"/>
  <c r="Q23" i="4" s="1"/>
  <c r="U3" i="4"/>
  <c r="U23" i="4" s="1"/>
  <c r="Q5" i="4"/>
  <c r="S5" i="4"/>
  <c r="S4" i="4"/>
  <c r="S3" i="4"/>
  <c r="S23" i="4" s="1"/>
  <c r="T3" i="4"/>
  <c r="T23" i="4" s="1"/>
  <c r="T4" i="4"/>
  <c r="P26" i="4"/>
  <c r="P31" i="4"/>
  <c r="P22" i="4"/>
  <c r="R5" i="4"/>
  <c r="R4" i="4"/>
  <c r="R3" i="4"/>
  <c r="R23" i="4" s="1"/>
  <c r="P35" i="4"/>
  <c r="P3" i="4"/>
  <c r="P23" i="4" s="1"/>
  <c r="P5" i="4"/>
  <c r="P4" i="4"/>
  <c r="N12" i="3"/>
  <c r="B23" i="2" l="1"/>
  <c r="B46" i="1"/>
  <c r="B3" i="1"/>
  <c r="B29" i="1"/>
  <c r="B4" i="3" s="1"/>
  <c r="B19" i="1"/>
  <c r="B35" i="3" s="1"/>
  <c r="B15" i="1"/>
  <c r="B12" i="1"/>
  <c r="B7" i="1"/>
  <c r="B12" i="2"/>
  <c r="B7" i="2"/>
  <c r="B41" i="3" s="1"/>
  <c r="B4" i="2"/>
  <c r="B5" i="3"/>
  <c r="B6" i="3"/>
  <c r="B7" i="3"/>
  <c r="B8" i="3"/>
  <c r="B15" i="3"/>
  <c r="B17" i="3"/>
  <c r="B19" i="3"/>
  <c r="B20" i="3"/>
  <c r="B23" i="3"/>
  <c r="B24" i="3"/>
  <c r="B27" i="3"/>
  <c r="B28" i="3"/>
  <c r="B36" i="3"/>
  <c r="B40" i="3"/>
  <c r="B42" i="3"/>
  <c r="B46" i="3"/>
  <c r="B47" i="3"/>
  <c r="B48" i="3"/>
  <c r="B3" i="2" l="1"/>
  <c r="B19" i="2" s="1"/>
  <c r="B43" i="3"/>
  <c r="B16" i="3"/>
  <c r="B14" i="3" s="1"/>
  <c r="B11" i="3" s="1"/>
  <c r="B36" i="1"/>
  <c r="B47" i="1" s="1"/>
  <c r="B22" i="3"/>
  <c r="C22" i="4" s="1"/>
  <c r="B33" i="3"/>
  <c r="C15" i="4" s="1"/>
  <c r="B25" i="1"/>
  <c r="B49" i="3"/>
  <c r="C12" i="4"/>
  <c r="B39" i="3"/>
  <c r="B26" i="3"/>
  <c r="N42" i="3"/>
  <c r="N16" i="3"/>
  <c r="N8" i="3"/>
  <c r="N23" i="3"/>
  <c r="C7" i="1"/>
  <c r="D7" i="1"/>
  <c r="E7" i="1"/>
  <c r="F7" i="1"/>
  <c r="G7" i="1"/>
  <c r="H7" i="1"/>
  <c r="I7" i="1"/>
  <c r="J7" i="1"/>
  <c r="K7" i="1"/>
  <c r="L7" i="1"/>
  <c r="M7" i="1"/>
  <c r="D5" i="3"/>
  <c r="E5" i="3"/>
  <c r="F5" i="3"/>
  <c r="G5" i="3"/>
  <c r="H5" i="3"/>
  <c r="I5" i="3"/>
  <c r="J5" i="3"/>
  <c r="K5" i="3"/>
  <c r="L5" i="3"/>
  <c r="M5" i="3"/>
  <c r="N5" i="3"/>
  <c r="O32" i="4" s="1"/>
  <c r="D6" i="3"/>
  <c r="E6" i="3"/>
  <c r="F6" i="3"/>
  <c r="G6" i="3"/>
  <c r="H6" i="3"/>
  <c r="I6" i="3"/>
  <c r="J6" i="3"/>
  <c r="K6" i="3"/>
  <c r="L6" i="3"/>
  <c r="M6" i="3"/>
  <c r="N33" i="4" s="1"/>
  <c r="N6" i="3"/>
  <c r="D7" i="3"/>
  <c r="E7" i="3"/>
  <c r="F7" i="3"/>
  <c r="G7" i="3"/>
  <c r="H7" i="3"/>
  <c r="I7" i="3"/>
  <c r="J7" i="3"/>
  <c r="K7" i="3"/>
  <c r="L7" i="3"/>
  <c r="M7" i="3"/>
  <c r="N7" i="3"/>
  <c r="D8" i="3"/>
  <c r="E8" i="3"/>
  <c r="F8" i="3"/>
  <c r="G8" i="3"/>
  <c r="H8" i="3"/>
  <c r="I8" i="3"/>
  <c r="J8" i="3"/>
  <c r="K8" i="3"/>
  <c r="L8" i="3"/>
  <c r="M8" i="3"/>
  <c r="D15" i="3"/>
  <c r="E15" i="3"/>
  <c r="F15" i="3"/>
  <c r="G15" i="3"/>
  <c r="H15" i="3"/>
  <c r="I15" i="3"/>
  <c r="J15" i="3"/>
  <c r="K15" i="3"/>
  <c r="L15" i="3"/>
  <c r="M15" i="3"/>
  <c r="N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N17" i="3"/>
  <c r="D19" i="3"/>
  <c r="E19" i="3"/>
  <c r="F19" i="3"/>
  <c r="G19" i="3"/>
  <c r="H19" i="3"/>
  <c r="I19" i="3"/>
  <c r="J19" i="3"/>
  <c r="K19" i="3"/>
  <c r="L19" i="3"/>
  <c r="M19" i="3"/>
  <c r="N19" i="3"/>
  <c r="D20" i="3"/>
  <c r="E20" i="3"/>
  <c r="F20" i="3"/>
  <c r="G20" i="3"/>
  <c r="H20" i="3"/>
  <c r="I20" i="3"/>
  <c r="J20" i="3"/>
  <c r="K20" i="3"/>
  <c r="L20" i="3"/>
  <c r="M20" i="3"/>
  <c r="N20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7" i="3"/>
  <c r="E27" i="3"/>
  <c r="F27" i="3"/>
  <c r="G27" i="3"/>
  <c r="H27" i="3"/>
  <c r="I27" i="3"/>
  <c r="J27" i="3"/>
  <c r="K27" i="3"/>
  <c r="L27" i="3"/>
  <c r="M27" i="3"/>
  <c r="N27" i="3"/>
  <c r="D28" i="3"/>
  <c r="E28" i="3"/>
  <c r="F28" i="3"/>
  <c r="G28" i="3"/>
  <c r="H28" i="3"/>
  <c r="I28" i="3"/>
  <c r="J28" i="3"/>
  <c r="K28" i="3"/>
  <c r="L28" i="3"/>
  <c r="M28" i="3"/>
  <c r="N28" i="3"/>
  <c r="D36" i="3"/>
  <c r="E36" i="3"/>
  <c r="F36" i="3"/>
  <c r="G36" i="3"/>
  <c r="H36" i="3"/>
  <c r="I36" i="3"/>
  <c r="J36" i="3"/>
  <c r="K36" i="3"/>
  <c r="L36" i="3"/>
  <c r="M36" i="3"/>
  <c r="N36" i="3"/>
  <c r="D40" i="3"/>
  <c r="E40" i="3"/>
  <c r="F40" i="3"/>
  <c r="G40" i="3"/>
  <c r="H40" i="3"/>
  <c r="I40" i="3"/>
  <c r="J40" i="3"/>
  <c r="K40" i="3"/>
  <c r="L40" i="3"/>
  <c r="M40" i="3"/>
  <c r="N40" i="3"/>
  <c r="D42" i="3"/>
  <c r="E42" i="3"/>
  <c r="F42" i="3"/>
  <c r="G42" i="3"/>
  <c r="H42" i="3"/>
  <c r="I42" i="3"/>
  <c r="J42" i="3"/>
  <c r="K42" i="3"/>
  <c r="L42" i="3"/>
  <c r="M42" i="3"/>
  <c r="D46" i="3"/>
  <c r="E46" i="3"/>
  <c r="F46" i="3"/>
  <c r="G46" i="3"/>
  <c r="H46" i="3"/>
  <c r="I46" i="3"/>
  <c r="J46" i="3"/>
  <c r="K46" i="3"/>
  <c r="L46" i="3"/>
  <c r="M46" i="3"/>
  <c r="N46" i="3"/>
  <c r="D47" i="3"/>
  <c r="E47" i="3"/>
  <c r="F47" i="3"/>
  <c r="G47" i="3"/>
  <c r="H47" i="3"/>
  <c r="I47" i="3"/>
  <c r="J47" i="3"/>
  <c r="K47" i="3"/>
  <c r="L47" i="3"/>
  <c r="M47" i="3"/>
  <c r="N47" i="3"/>
  <c r="D48" i="3"/>
  <c r="E48" i="3"/>
  <c r="F48" i="3"/>
  <c r="G48" i="3"/>
  <c r="H48" i="3"/>
  <c r="I48" i="3"/>
  <c r="J48" i="3"/>
  <c r="K48" i="3"/>
  <c r="L48" i="3"/>
  <c r="M48" i="3"/>
  <c r="N48" i="3"/>
  <c r="I23" i="2"/>
  <c r="I49" i="3" s="1"/>
  <c r="I12" i="2"/>
  <c r="I7" i="2"/>
  <c r="I41" i="3" s="1"/>
  <c r="J7" i="2"/>
  <c r="I4" i="2"/>
  <c r="J4" i="2"/>
  <c r="K4" i="2"/>
  <c r="L4" i="2"/>
  <c r="M4" i="2"/>
  <c r="I46" i="1"/>
  <c r="J46" i="1"/>
  <c r="K46" i="1"/>
  <c r="L46" i="1"/>
  <c r="M46" i="1"/>
  <c r="I29" i="1"/>
  <c r="I4" i="3" s="1"/>
  <c r="J29" i="1"/>
  <c r="J36" i="1" s="1"/>
  <c r="K29" i="1"/>
  <c r="K36" i="1" s="1"/>
  <c r="L29" i="1"/>
  <c r="L4" i="3" s="1"/>
  <c r="I19" i="1"/>
  <c r="I35" i="3" s="1"/>
  <c r="J19" i="1"/>
  <c r="J35" i="3" s="1"/>
  <c r="K19" i="1"/>
  <c r="K35" i="3" s="1"/>
  <c r="L19" i="1"/>
  <c r="L35" i="3" s="1"/>
  <c r="M19" i="1"/>
  <c r="M35" i="3" s="1"/>
  <c r="I15" i="1"/>
  <c r="J15" i="1"/>
  <c r="K15" i="1"/>
  <c r="L15" i="1"/>
  <c r="M15" i="1"/>
  <c r="N15" i="1"/>
  <c r="I12" i="1"/>
  <c r="J12" i="1"/>
  <c r="K12" i="1"/>
  <c r="L12" i="1"/>
  <c r="M12" i="1"/>
  <c r="I3" i="1"/>
  <c r="I33" i="3" s="1"/>
  <c r="J3" i="1"/>
  <c r="J33" i="3" s="1"/>
  <c r="K3" i="1"/>
  <c r="K33" i="3" s="1"/>
  <c r="L3" i="1"/>
  <c r="L33" i="3" s="1"/>
  <c r="M3" i="1"/>
  <c r="M33" i="3" s="1"/>
  <c r="I39" i="3" l="1"/>
  <c r="N26" i="3"/>
  <c r="N34" i="4"/>
  <c r="M26" i="3"/>
  <c r="N45" i="4" s="1"/>
  <c r="L26" i="3"/>
  <c r="K26" i="3"/>
  <c r="J26" i="3"/>
  <c r="I26" i="3"/>
  <c r="H26" i="3"/>
  <c r="G26" i="3"/>
  <c r="M22" i="3"/>
  <c r="L22" i="3"/>
  <c r="M22" i="4" s="1"/>
  <c r="K22" i="3"/>
  <c r="J22" i="3"/>
  <c r="I22" i="3"/>
  <c r="H22" i="3"/>
  <c r="G22" i="3"/>
  <c r="B29" i="2"/>
  <c r="B30" i="2" s="1"/>
  <c r="B33" i="2" s="1"/>
  <c r="B35" i="2" s="1"/>
  <c r="B37" i="2" s="1"/>
  <c r="L32" i="4"/>
  <c r="L43" i="3"/>
  <c r="J3" i="2"/>
  <c r="F43" i="3"/>
  <c r="I3" i="2"/>
  <c r="B12" i="3"/>
  <c r="C6" i="4" s="1"/>
  <c r="C3" i="4"/>
  <c r="C23" i="4" s="1"/>
  <c r="D14" i="3"/>
  <c r="C5" i="4"/>
  <c r="C17" i="4"/>
  <c r="B3" i="3"/>
  <c r="H43" i="3"/>
  <c r="N42" i="4"/>
  <c r="N41" i="4"/>
  <c r="J42" i="4"/>
  <c r="L42" i="4"/>
  <c r="M33" i="4"/>
  <c r="K33" i="4"/>
  <c r="K14" i="3"/>
  <c r="F14" i="3"/>
  <c r="E14" i="3"/>
  <c r="M41" i="4"/>
  <c r="E26" i="3"/>
  <c r="J33" i="4"/>
  <c r="J32" i="4"/>
  <c r="L14" i="3"/>
  <c r="K41" i="4"/>
  <c r="J40" i="4"/>
  <c r="J14" i="3"/>
  <c r="J41" i="4"/>
  <c r="K42" i="4"/>
  <c r="N46" i="1"/>
  <c r="N14" i="3"/>
  <c r="O41" i="4"/>
  <c r="O40" i="4"/>
  <c r="M40" i="4"/>
  <c r="M42" i="4"/>
  <c r="N7" i="1"/>
  <c r="N24" i="3"/>
  <c r="N22" i="3" s="1"/>
  <c r="J12" i="4"/>
  <c r="L41" i="4"/>
  <c r="J41" i="3"/>
  <c r="J39" i="3" s="1"/>
  <c r="K43" i="3"/>
  <c r="G43" i="3"/>
  <c r="M14" i="3"/>
  <c r="I14" i="3"/>
  <c r="H14" i="3"/>
  <c r="G14" i="3"/>
  <c r="J15" i="4"/>
  <c r="K15" i="4"/>
  <c r="L33" i="4"/>
  <c r="K4" i="3"/>
  <c r="J4" i="3"/>
  <c r="N40" i="4"/>
  <c r="N32" i="4"/>
  <c r="M32" i="4"/>
  <c r="K47" i="1"/>
  <c r="L15" i="4"/>
  <c r="L40" i="4"/>
  <c r="I36" i="1"/>
  <c r="I47" i="1" s="1"/>
  <c r="K40" i="4"/>
  <c r="K32" i="4"/>
  <c r="O33" i="4"/>
  <c r="J47" i="1"/>
  <c r="I25" i="1"/>
  <c r="I3" i="3" s="1"/>
  <c r="D26" i="3"/>
  <c r="J43" i="3"/>
  <c r="O45" i="4"/>
  <c r="O46" i="4"/>
  <c r="I43" i="3"/>
  <c r="N46" i="4"/>
  <c r="M46" i="4"/>
  <c r="L46" i="4"/>
  <c r="O34" i="4"/>
  <c r="K46" i="4"/>
  <c r="J46" i="4"/>
  <c r="M34" i="4"/>
  <c r="E43" i="3"/>
  <c r="L34" i="4"/>
  <c r="M25" i="1"/>
  <c r="M3" i="3" s="1"/>
  <c r="D43" i="3"/>
  <c r="K34" i="4"/>
  <c r="L25" i="1"/>
  <c r="L3" i="3" s="1"/>
  <c r="N43" i="3"/>
  <c r="J34" i="4"/>
  <c r="M43" i="3"/>
  <c r="F26" i="3"/>
  <c r="O42" i="4"/>
  <c r="D22" i="3"/>
  <c r="K25" i="1"/>
  <c r="K3" i="3" s="1"/>
  <c r="F22" i="3"/>
  <c r="J25" i="1"/>
  <c r="J3" i="3" s="1"/>
  <c r="E22" i="3"/>
  <c r="N15" i="4"/>
  <c r="M15" i="4"/>
  <c r="N3" i="1"/>
  <c r="N33" i="3" s="1"/>
  <c r="N29" i="1"/>
  <c r="N19" i="1"/>
  <c r="N35" i="3" s="1"/>
  <c r="N23" i="2"/>
  <c r="N12" i="2"/>
  <c r="N7" i="2"/>
  <c r="N41" i="3" s="1"/>
  <c r="K23" i="2"/>
  <c r="L23" i="2"/>
  <c r="M23" i="2"/>
  <c r="K12" i="2"/>
  <c r="L12" i="2"/>
  <c r="M12" i="2"/>
  <c r="K7" i="2"/>
  <c r="L7" i="2"/>
  <c r="M7" i="2"/>
  <c r="M41" i="3" s="1"/>
  <c r="M39" i="3" s="1"/>
  <c r="M29" i="1"/>
  <c r="N39" i="3" l="1"/>
  <c r="O36" i="4" s="1"/>
  <c r="N11" i="3"/>
  <c r="L11" i="3"/>
  <c r="M3" i="4" s="1"/>
  <c r="M23" i="4" s="1"/>
  <c r="I11" i="3"/>
  <c r="J3" i="4" s="1"/>
  <c r="J23" i="4" s="1"/>
  <c r="M11" i="3"/>
  <c r="M12" i="3" s="1"/>
  <c r="N6" i="4" s="1"/>
  <c r="E11" i="3"/>
  <c r="E12" i="3" s="1"/>
  <c r="F11" i="3"/>
  <c r="F12" i="3" s="1"/>
  <c r="G11" i="3"/>
  <c r="G12" i="3" s="1"/>
  <c r="H11" i="3"/>
  <c r="H12" i="3" s="1"/>
  <c r="J11" i="3"/>
  <c r="J12" i="3" s="1"/>
  <c r="K6" i="4" s="1"/>
  <c r="K11" i="3"/>
  <c r="L5" i="4" s="1"/>
  <c r="D11" i="3"/>
  <c r="D12" i="3" s="1"/>
  <c r="J48" i="1"/>
  <c r="M21" i="4"/>
  <c r="J17" i="4"/>
  <c r="I48" i="1"/>
  <c r="L26" i="4"/>
  <c r="K48" i="1"/>
  <c r="N18" i="4"/>
  <c r="L45" i="4"/>
  <c r="C11" i="4"/>
  <c r="K22" i="4"/>
  <c r="L22" i="4"/>
  <c r="C21" i="4"/>
  <c r="C4" i="4"/>
  <c r="C28" i="4"/>
  <c r="C27" i="4"/>
  <c r="C26" i="4"/>
  <c r="C18" i="4"/>
  <c r="C24" i="4"/>
  <c r="C16" i="4"/>
  <c r="C20" i="4"/>
  <c r="N3" i="2"/>
  <c r="N19" i="2" s="1"/>
  <c r="N29" i="2" s="1"/>
  <c r="N30" i="2" s="1"/>
  <c r="N33" i="2" s="1"/>
  <c r="N35" i="2" s="1"/>
  <c r="N37" i="2" s="1"/>
  <c r="M45" i="4"/>
  <c r="N38" i="4"/>
  <c r="N12" i="4"/>
  <c r="M49" i="3"/>
  <c r="N44" i="4" s="1"/>
  <c r="L38" i="4"/>
  <c r="M12" i="4"/>
  <c r="L49" i="3"/>
  <c r="J38" i="4"/>
  <c r="L12" i="4"/>
  <c r="K49" i="3"/>
  <c r="O38" i="4"/>
  <c r="M38" i="4"/>
  <c r="N49" i="3"/>
  <c r="L3" i="2"/>
  <c r="L19" i="2" s="1"/>
  <c r="L41" i="3"/>
  <c r="K41" i="3"/>
  <c r="K3" i="2"/>
  <c r="K19" i="2" s="1"/>
  <c r="M3" i="2"/>
  <c r="M19" i="2" s="1"/>
  <c r="N36" i="4"/>
  <c r="J13" i="4"/>
  <c r="M36" i="1"/>
  <c r="M47" i="1" s="1"/>
  <c r="M48" i="1" s="1"/>
  <c r="M4" i="3"/>
  <c r="J31" i="4"/>
  <c r="N36" i="1"/>
  <c r="N4" i="3"/>
  <c r="K31" i="4"/>
  <c r="J18" i="4"/>
  <c r="O12" i="4"/>
  <c r="M17" i="4"/>
  <c r="J45" i="4"/>
  <c r="N13" i="4"/>
  <c r="K45" i="4"/>
  <c r="K16" i="4"/>
  <c r="K17" i="4"/>
  <c r="N17" i="4"/>
  <c r="L13" i="4"/>
  <c r="L17" i="4"/>
  <c r="J22" i="4"/>
  <c r="O15" i="4"/>
  <c r="I19" i="2"/>
  <c r="L36" i="1"/>
  <c r="L47" i="1" s="1"/>
  <c r="L48" i="1" s="1"/>
  <c r="N25" i="1"/>
  <c r="N3" i="3" s="1"/>
  <c r="O44" i="4" l="1"/>
  <c r="K39" i="3"/>
  <c r="J36" i="4" s="1"/>
  <c r="L39" i="3"/>
  <c r="M36" i="4" s="1"/>
  <c r="K5" i="4"/>
  <c r="K3" i="4"/>
  <c r="K23" i="4" s="1"/>
  <c r="M5" i="4"/>
  <c r="J35" i="4"/>
  <c r="K35" i="4"/>
  <c r="L3" i="4"/>
  <c r="L23" i="4" s="1"/>
  <c r="O6" i="4"/>
  <c r="M16" i="4"/>
  <c r="N3" i="4"/>
  <c r="N23" i="4" s="1"/>
  <c r="I12" i="3"/>
  <c r="J6" i="4" s="1"/>
  <c r="N35" i="4"/>
  <c r="L12" i="3"/>
  <c r="M6" i="4" s="1"/>
  <c r="L35" i="4"/>
  <c r="K12" i="3"/>
  <c r="L6" i="4" s="1"/>
  <c r="J5" i="4"/>
  <c r="L27" i="4"/>
  <c r="L4" i="4"/>
  <c r="L18" i="4"/>
  <c r="M24" i="4"/>
  <c r="I29" i="2"/>
  <c r="I30" i="2" s="1"/>
  <c r="I33" i="2" s="1"/>
  <c r="I35" i="2" s="1"/>
  <c r="I37" i="2" s="1"/>
  <c r="M29" i="2"/>
  <c r="M30" i="2" s="1"/>
  <c r="M33" i="2" s="1"/>
  <c r="M35" i="2" s="1"/>
  <c r="M37" i="2" s="1"/>
  <c r="K29" i="2"/>
  <c r="K30" i="2" s="1"/>
  <c r="K33" i="2" s="1"/>
  <c r="K35" i="2" s="1"/>
  <c r="K37" i="2" s="1"/>
  <c r="L29" i="2"/>
  <c r="L30" i="2" s="1"/>
  <c r="L33" i="2" s="1"/>
  <c r="L35" i="2" s="1"/>
  <c r="L37" i="2" s="1"/>
  <c r="L20" i="4"/>
  <c r="L16" i="4"/>
  <c r="L28" i="4"/>
  <c r="L21" i="4"/>
  <c r="L24" i="4"/>
  <c r="M20" i="4"/>
  <c r="M4" i="4"/>
  <c r="M18" i="4"/>
  <c r="M27" i="4"/>
  <c r="M26" i="4"/>
  <c r="M28" i="4"/>
  <c r="N27" i="4"/>
  <c r="L30" i="4"/>
  <c r="N20" i="4"/>
  <c r="N26" i="4"/>
  <c r="N16" i="4"/>
  <c r="N30" i="4"/>
  <c r="L43" i="4"/>
  <c r="N4" i="4"/>
  <c r="N24" i="4"/>
  <c r="N28" i="4"/>
  <c r="N21" i="4"/>
  <c r="K27" i="4"/>
  <c r="N43" i="4"/>
  <c r="N47" i="1"/>
  <c r="N48" i="1" s="1"/>
  <c r="O35" i="4"/>
  <c r="M35" i="4"/>
  <c r="O3" i="4"/>
  <c r="O23" i="4" s="1"/>
  <c r="K20" i="4"/>
  <c r="L44" i="4"/>
  <c r="K36" i="4"/>
  <c r="M44" i="4"/>
  <c r="J26" i="4"/>
  <c r="O31" i="4"/>
  <c r="O5" i="4"/>
  <c r="O22" i="4"/>
  <c r="M31" i="4"/>
  <c r="N5" i="4"/>
  <c r="L31" i="4"/>
  <c r="N31" i="4"/>
  <c r="N22" i="4"/>
  <c r="J4" i="4"/>
  <c r="J43" i="4"/>
  <c r="J28" i="4"/>
  <c r="J20" i="4"/>
  <c r="J16" i="4"/>
  <c r="J30" i="4"/>
  <c r="K26" i="4"/>
  <c r="J21" i="4"/>
  <c r="J27" i="4"/>
  <c r="J24" i="4"/>
  <c r="K4" i="4"/>
  <c r="K21" i="4"/>
  <c r="K24" i="4"/>
  <c r="K30" i="4"/>
  <c r="K28" i="4"/>
  <c r="K18" i="4"/>
  <c r="O17" i="4"/>
  <c r="O11" i="4"/>
  <c r="O13" i="4"/>
  <c r="M13" i="4"/>
  <c r="C5" i="3"/>
  <c r="C6" i="3"/>
  <c r="C33" i="4" s="1"/>
  <c r="F33" i="4"/>
  <c r="G33" i="4"/>
  <c r="C7" i="3"/>
  <c r="C8" i="3"/>
  <c r="C15" i="3"/>
  <c r="C41" i="4" s="1"/>
  <c r="C16" i="3"/>
  <c r="C17" i="3"/>
  <c r="C19" i="3"/>
  <c r="C20" i="3"/>
  <c r="C23" i="3"/>
  <c r="C24" i="3"/>
  <c r="C27" i="3"/>
  <c r="C28" i="3"/>
  <c r="C36" i="3"/>
  <c r="C40" i="3"/>
  <c r="C42" i="3"/>
  <c r="C46" i="3"/>
  <c r="C47" i="3"/>
  <c r="C48" i="3"/>
  <c r="C23" i="2"/>
  <c r="D23" i="2"/>
  <c r="D49" i="3" s="1"/>
  <c r="E23" i="2"/>
  <c r="E49" i="3" s="1"/>
  <c r="F23" i="2"/>
  <c r="F49" i="3" s="1"/>
  <c r="G23" i="2"/>
  <c r="G49" i="3" s="1"/>
  <c r="H23" i="2"/>
  <c r="H49" i="3" s="1"/>
  <c r="J23" i="2"/>
  <c r="C12" i="2"/>
  <c r="D12" i="2"/>
  <c r="E12" i="2"/>
  <c r="F12" i="2"/>
  <c r="G12" i="2"/>
  <c r="H12" i="2"/>
  <c r="J12" i="2"/>
  <c r="C7" i="2"/>
  <c r="C41" i="3" s="1"/>
  <c r="D7" i="2"/>
  <c r="D41" i="3" s="1"/>
  <c r="D39" i="3" s="1"/>
  <c r="E7" i="2"/>
  <c r="E41" i="3" s="1"/>
  <c r="E39" i="3" s="1"/>
  <c r="F7" i="2"/>
  <c r="F41" i="3" s="1"/>
  <c r="F39" i="3" s="1"/>
  <c r="G7" i="2"/>
  <c r="G41" i="3" s="1"/>
  <c r="G39" i="3" s="1"/>
  <c r="H7" i="2"/>
  <c r="H41" i="3" s="1"/>
  <c r="H39" i="3" s="1"/>
  <c r="C4" i="2"/>
  <c r="D4" i="2"/>
  <c r="E4" i="2"/>
  <c r="F4" i="2"/>
  <c r="G4" i="2"/>
  <c r="H4" i="2"/>
  <c r="C46" i="1"/>
  <c r="D46" i="1"/>
  <c r="E46" i="1"/>
  <c r="F46" i="1"/>
  <c r="G46" i="1"/>
  <c r="H46" i="1"/>
  <c r="C29" i="1"/>
  <c r="C36" i="1" s="1"/>
  <c r="D29" i="1"/>
  <c r="E29" i="1"/>
  <c r="F29" i="1"/>
  <c r="G29" i="1"/>
  <c r="H29" i="1"/>
  <c r="C19" i="1"/>
  <c r="C35" i="3" s="1"/>
  <c r="D19" i="1"/>
  <c r="E19" i="1"/>
  <c r="F19" i="1"/>
  <c r="G19" i="1"/>
  <c r="G35" i="3" s="1"/>
  <c r="H19" i="1"/>
  <c r="H35" i="3" s="1"/>
  <c r="C15" i="1"/>
  <c r="D15" i="1"/>
  <c r="E15" i="1"/>
  <c r="F15" i="1"/>
  <c r="G15" i="1"/>
  <c r="H15" i="1"/>
  <c r="C12" i="1"/>
  <c r="D12" i="1"/>
  <c r="E12" i="1"/>
  <c r="F12" i="1"/>
  <c r="G12" i="1"/>
  <c r="H12" i="1"/>
  <c r="C3" i="1"/>
  <c r="C33" i="3" s="1"/>
  <c r="D3" i="1"/>
  <c r="D33" i="3" s="1"/>
  <c r="E3" i="1"/>
  <c r="E33" i="3" s="1"/>
  <c r="F3" i="1"/>
  <c r="F33" i="3" s="1"/>
  <c r="G3" i="1"/>
  <c r="G33" i="3" s="1"/>
  <c r="H3" i="1"/>
  <c r="H33" i="3" s="1"/>
  <c r="J44" i="4" l="1"/>
  <c r="L36" i="4"/>
  <c r="N11" i="4"/>
  <c r="M11" i="4"/>
  <c r="L11" i="4"/>
  <c r="K13" i="4"/>
  <c r="C40" i="4"/>
  <c r="C32" i="4"/>
  <c r="C34" i="4"/>
  <c r="C46" i="4"/>
  <c r="C42" i="4"/>
  <c r="C49" i="3"/>
  <c r="C38" i="4"/>
  <c r="J49" i="3"/>
  <c r="K12" i="4"/>
  <c r="K38" i="4"/>
  <c r="H36" i="1"/>
  <c r="H47" i="1" s="1"/>
  <c r="H4" i="3"/>
  <c r="F36" i="1"/>
  <c r="F47" i="1" s="1"/>
  <c r="F4" i="3"/>
  <c r="G36" i="1"/>
  <c r="G47" i="1" s="1"/>
  <c r="G4" i="3"/>
  <c r="E36" i="1"/>
  <c r="E47" i="1" s="1"/>
  <c r="E4" i="3"/>
  <c r="D36" i="1"/>
  <c r="D47" i="1" s="1"/>
  <c r="D4" i="3"/>
  <c r="G12" i="4"/>
  <c r="F35" i="3"/>
  <c r="F12" i="4"/>
  <c r="E35" i="3"/>
  <c r="E12" i="4"/>
  <c r="D35" i="3"/>
  <c r="O30" i="4"/>
  <c r="O28" i="4"/>
  <c r="O21" i="4"/>
  <c r="O26" i="4"/>
  <c r="O43" i="4"/>
  <c r="M30" i="4"/>
  <c r="O20" i="4"/>
  <c r="O24" i="4"/>
  <c r="O4" i="4"/>
  <c r="O27" i="4"/>
  <c r="M43" i="4"/>
  <c r="O16" i="4"/>
  <c r="O18" i="4"/>
  <c r="F38" i="4"/>
  <c r="I12" i="4"/>
  <c r="H12" i="4"/>
  <c r="H38" i="4"/>
  <c r="I38" i="4"/>
  <c r="G38" i="4"/>
  <c r="I41" i="4"/>
  <c r="H41" i="4"/>
  <c r="G41" i="4"/>
  <c r="F41" i="4"/>
  <c r="F32" i="4"/>
  <c r="G40" i="4"/>
  <c r="H32" i="4"/>
  <c r="I40" i="4"/>
  <c r="I32" i="4"/>
  <c r="H33" i="4"/>
  <c r="I33" i="4"/>
  <c r="G32" i="4"/>
  <c r="H40" i="4"/>
  <c r="F40" i="4"/>
  <c r="G46" i="4"/>
  <c r="F34" i="4"/>
  <c r="G42" i="4"/>
  <c r="F42" i="4"/>
  <c r="F46" i="4"/>
  <c r="I46" i="4"/>
  <c r="H34" i="4"/>
  <c r="I42" i="4"/>
  <c r="I34" i="4"/>
  <c r="H46" i="4"/>
  <c r="G34" i="4"/>
  <c r="H42" i="4"/>
  <c r="D32" i="4"/>
  <c r="H25" i="1"/>
  <c r="G25" i="1"/>
  <c r="F25" i="1"/>
  <c r="G6" i="4" s="1"/>
  <c r="E25" i="1"/>
  <c r="F6" i="4" s="1"/>
  <c r="D25" i="1"/>
  <c r="E6" i="4" s="1"/>
  <c r="I45" i="4"/>
  <c r="H45" i="4"/>
  <c r="C43" i="3"/>
  <c r="E42" i="4"/>
  <c r="D38" i="4"/>
  <c r="D40" i="4"/>
  <c r="E32" i="4"/>
  <c r="C4" i="3"/>
  <c r="C31" i="4" s="1"/>
  <c r="C14" i="3"/>
  <c r="C11" i="3" s="1"/>
  <c r="C26" i="3"/>
  <c r="C45" i="4" s="1"/>
  <c r="D41" i="4"/>
  <c r="D33" i="4"/>
  <c r="D42" i="4"/>
  <c r="D3" i="2"/>
  <c r="D19" i="2" s="1"/>
  <c r="E40" i="4"/>
  <c r="C3" i="2"/>
  <c r="C19" i="2" s="1"/>
  <c r="C39" i="3"/>
  <c r="E41" i="4"/>
  <c r="E15" i="4"/>
  <c r="I15" i="4"/>
  <c r="H15" i="4"/>
  <c r="G15" i="4"/>
  <c r="F15" i="4"/>
  <c r="E33" i="4"/>
  <c r="D15" i="4"/>
  <c r="E38" i="4"/>
  <c r="E34" i="4"/>
  <c r="D12" i="4"/>
  <c r="J19" i="2"/>
  <c r="D34" i="4"/>
  <c r="H3" i="2"/>
  <c r="H19" i="2" s="1"/>
  <c r="E46" i="4"/>
  <c r="C47" i="1"/>
  <c r="C22" i="3"/>
  <c r="G35" i="4"/>
  <c r="D46" i="4"/>
  <c r="C25" i="1"/>
  <c r="F3" i="2"/>
  <c r="F19" i="2" s="1"/>
  <c r="G3" i="2"/>
  <c r="G19" i="2" s="1"/>
  <c r="E3" i="2"/>
  <c r="E19" i="2" s="1"/>
  <c r="H6" i="4" l="1"/>
  <c r="G3" i="3"/>
  <c r="I6" i="4"/>
  <c r="H3" i="3"/>
  <c r="F29" i="2"/>
  <c r="F30" i="2" s="1"/>
  <c r="F33" i="2" s="1"/>
  <c r="G11" i="4" s="1"/>
  <c r="J29" i="2"/>
  <c r="J30" i="2" s="1"/>
  <c r="J33" i="2" s="1"/>
  <c r="J35" i="2" s="1"/>
  <c r="J37" i="2" s="1"/>
  <c r="C29" i="2"/>
  <c r="C30" i="2" s="1"/>
  <c r="C33" i="2" s="1"/>
  <c r="C35" i="2" s="1"/>
  <c r="C37" i="2" s="1"/>
  <c r="D29" i="2"/>
  <c r="D30" i="2" s="1"/>
  <c r="D33" i="2" s="1"/>
  <c r="D35" i="2" s="1"/>
  <c r="D37" i="2" s="1"/>
  <c r="G29" i="2"/>
  <c r="G30" i="2" s="1"/>
  <c r="G33" i="2" s="1"/>
  <c r="H11" i="4" s="1"/>
  <c r="H29" i="2"/>
  <c r="H30" i="2" s="1"/>
  <c r="H33" i="2" s="1"/>
  <c r="I11" i="4" s="1"/>
  <c r="E29" i="2"/>
  <c r="E30" i="2" s="1"/>
  <c r="E33" i="2" s="1"/>
  <c r="F11" i="4" s="1"/>
  <c r="F3" i="3"/>
  <c r="F48" i="1"/>
  <c r="C13" i="4"/>
  <c r="C48" i="1"/>
  <c r="G48" i="1"/>
  <c r="D3" i="3"/>
  <c r="D48" i="1"/>
  <c r="E3" i="3"/>
  <c r="E48" i="1"/>
  <c r="H48" i="1"/>
  <c r="J11" i="4"/>
  <c r="C12" i="3"/>
  <c r="D6" i="4" s="1"/>
  <c r="C35" i="4"/>
  <c r="C44" i="4"/>
  <c r="C36" i="4"/>
  <c r="K44" i="4"/>
  <c r="K43" i="4"/>
  <c r="F31" i="4"/>
  <c r="G45" i="4"/>
  <c r="F45" i="4"/>
  <c r="F44" i="4"/>
  <c r="G44" i="4"/>
  <c r="F36" i="4"/>
  <c r="H44" i="4"/>
  <c r="G36" i="4"/>
  <c r="I44" i="4"/>
  <c r="H36" i="4"/>
  <c r="I36" i="4"/>
  <c r="H35" i="4"/>
  <c r="I35" i="4"/>
  <c r="F35" i="4"/>
  <c r="G31" i="4"/>
  <c r="H31" i="4"/>
  <c r="I31" i="4"/>
  <c r="I13" i="4"/>
  <c r="I17" i="4"/>
  <c r="E13" i="4"/>
  <c r="F13" i="4"/>
  <c r="F17" i="4"/>
  <c r="G17" i="4"/>
  <c r="G13" i="4"/>
  <c r="H13" i="4"/>
  <c r="H17" i="4"/>
  <c r="E36" i="4"/>
  <c r="H22" i="4"/>
  <c r="D5" i="4"/>
  <c r="D44" i="4"/>
  <c r="D35" i="4"/>
  <c r="F22" i="4"/>
  <c r="E5" i="4"/>
  <c r="D45" i="4"/>
  <c r="E31" i="4"/>
  <c r="E45" i="4"/>
  <c r="E3" i="4"/>
  <c r="E23" i="4" s="1"/>
  <c r="G22" i="4"/>
  <c r="D3" i="4"/>
  <c r="D23" i="4" s="1"/>
  <c r="D31" i="4"/>
  <c r="D36" i="4"/>
  <c r="C3" i="3"/>
  <c r="D17" i="4"/>
  <c r="E17" i="4"/>
  <c r="I22" i="4"/>
  <c r="G5" i="4"/>
  <c r="G3" i="4"/>
  <c r="G23" i="4" s="1"/>
  <c r="D13" i="4"/>
  <c r="E44" i="4"/>
  <c r="I5" i="4"/>
  <c r="I3" i="4"/>
  <c r="I23" i="4" s="1"/>
  <c r="E35" i="4"/>
  <c r="F3" i="4"/>
  <c r="F23" i="4" s="1"/>
  <c r="F5" i="4"/>
  <c r="E22" i="4"/>
  <c r="H3" i="4"/>
  <c r="H23" i="4" s="1"/>
  <c r="H5" i="4"/>
  <c r="D22" i="4"/>
  <c r="D11" i="4" l="1"/>
  <c r="E11" i="4"/>
  <c r="E35" i="2"/>
  <c r="E37" i="2" s="1"/>
  <c r="F35" i="2"/>
  <c r="F37" i="2" s="1"/>
  <c r="H35" i="2"/>
  <c r="H37" i="2" s="1"/>
  <c r="G35" i="2"/>
  <c r="G37" i="2" s="1"/>
  <c r="K11" i="4"/>
  <c r="C30" i="4"/>
  <c r="C43" i="4"/>
  <c r="F4" i="4"/>
  <c r="F26" i="4"/>
  <c r="F28" i="4"/>
  <c r="F43" i="4"/>
  <c r="F27" i="4"/>
  <c r="G30" i="4"/>
  <c r="H28" i="4"/>
  <c r="H43" i="4"/>
  <c r="H27" i="4"/>
  <c r="H26" i="4"/>
  <c r="H30" i="4"/>
  <c r="I28" i="4"/>
  <c r="I43" i="4"/>
  <c r="I27" i="4"/>
  <c r="I26" i="4"/>
  <c r="I30" i="4"/>
  <c r="G4" i="4"/>
  <c r="F30" i="4"/>
  <c r="G28" i="4"/>
  <c r="G27" i="4"/>
  <c r="G26" i="4"/>
  <c r="G43" i="4"/>
  <c r="I4" i="4"/>
  <c r="H4" i="4"/>
  <c r="E43" i="4"/>
  <c r="G18" i="4"/>
  <c r="G16" i="4"/>
  <c r="G20" i="4"/>
  <c r="G21" i="4"/>
  <c r="G24" i="4"/>
  <c r="E30" i="4"/>
  <c r="F18" i="4"/>
  <c r="F24" i="4"/>
  <c r="F16" i="4"/>
  <c r="F20" i="4"/>
  <c r="F21" i="4"/>
  <c r="D27" i="4"/>
  <c r="D26" i="4"/>
  <c r="D21" i="4"/>
  <c r="D4" i="4"/>
  <c r="D16" i="4"/>
  <c r="D28" i="4"/>
  <c r="D20" i="4"/>
  <c r="D18" i="4"/>
  <c r="D24" i="4"/>
  <c r="D43" i="4"/>
  <c r="H24" i="4"/>
  <c r="H21" i="4"/>
  <c r="H18" i="4"/>
  <c r="H16" i="4"/>
  <c r="H20" i="4"/>
  <c r="E27" i="4"/>
  <c r="D30" i="4"/>
  <c r="E28" i="4"/>
  <c r="E21" i="4"/>
  <c r="E4" i="4"/>
  <c r="E24" i="4"/>
  <c r="E26" i="4"/>
  <c r="E20" i="4"/>
  <c r="E16" i="4"/>
  <c r="E18" i="4"/>
  <c r="I21" i="4"/>
  <c r="I24" i="4"/>
  <c r="I18" i="4"/>
  <c r="I16" i="4"/>
  <c r="I20" i="4"/>
</calcChain>
</file>

<file path=xl/sharedStrings.xml><?xml version="1.0" encoding="utf-8"?>
<sst xmlns="http://schemas.openxmlformats.org/spreadsheetml/2006/main" count="195" uniqueCount="175">
  <si>
    <t>TRANS-NATIONAL TIMES SACCO</t>
  </si>
  <si>
    <t>Audited 2019</t>
  </si>
  <si>
    <t>AUDITED 2020</t>
  </si>
  <si>
    <t>AUDITED 2021</t>
  </si>
  <si>
    <t>22-Mrch</t>
  </si>
  <si>
    <t>22-Aprl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</si>
  <si>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</si>
  <si>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</si>
  <si>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</si>
  <si>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</si>
  <si>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</si>
  <si>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</si>
  <si>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</si>
  <si>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</si>
  <si>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</si>
  <si>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</si>
  <si>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</si>
  <si>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</si>
  <si>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</si>
  <si>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</si>
  <si>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</si>
  <si>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</si>
  <si>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</si>
  <si>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</si>
  <si>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</si>
  <si>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</si>
  <si>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</si>
  <si>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</si>
  <si>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</si>
  <si>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</si>
  <si>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</si>
  <si>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</si>
  <si>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</si>
  <si>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</si>
  <si>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</si>
  <si>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</si>
  <si>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</si>
  <si>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</si>
  <si>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</si>
  <si>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</si>
  <si>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</si>
  <si>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</si>
  <si>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</si>
  <si>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</si>
  <si>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</si>
  <si>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</si>
  <si>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</si>
  <si>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</si>
  <si>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</si>
  <si>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</si>
  <si>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</si>
  <si>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</si>
  <si>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</si>
  <si>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</si>
  <si>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</si>
  <si>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</si>
  <si>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</si>
  <si>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</si>
  <si>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</si>
  <si>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</si>
  <si>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</si>
  <si>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</si>
  <si>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</si>
  <si>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</si>
  <si>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</si>
  <si>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</si>
  <si>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</si>
  <si>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</si>
  <si>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</si>
  <si>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</si>
  <si>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</si>
  <si>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</si>
  <si>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</si>
  <si>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</si>
  <si>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</si>
  <si>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</si>
  <si>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</si>
  <si>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</si>
  <si>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</si>
  <si>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</si>
  <si>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</si>
  <si>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</si>
  <si>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</si>
  <si>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</si>
  <si>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</si>
  <si>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</si>
  <si>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Membership</t>
  </si>
  <si>
    <t>Total Deposits</t>
  </si>
  <si>
    <t>Deposits-Members(BOSA)</t>
  </si>
  <si>
    <t>Deposits-Customers(FOSA)</t>
  </si>
  <si>
    <t>External Borrowing</t>
  </si>
  <si>
    <t>Short term liabilities</t>
  </si>
  <si>
    <t>Share Capital and Reserves</t>
  </si>
  <si>
    <t>Core Capital</t>
  </si>
  <si>
    <t>Institutional Capital</t>
  </si>
  <si>
    <t>Total Capital</t>
  </si>
  <si>
    <t>Members Share Capital</t>
  </si>
  <si>
    <t>Retained Earnings</t>
  </si>
  <si>
    <t>Supplementary Capital &amp; Reserves</t>
  </si>
  <si>
    <t>Capital Reserves</t>
  </si>
  <si>
    <t>Investments</t>
  </si>
  <si>
    <t>Investment in Coop Bank, Kuscco</t>
  </si>
  <si>
    <t>Equity investments (at Cost)</t>
  </si>
  <si>
    <t>Net Loans &amp; Advances</t>
  </si>
  <si>
    <t>Gross Loans &amp; Advances</t>
  </si>
  <si>
    <t>Allowance for loan loss</t>
  </si>
  <si>
    <t>Non-Performing loans</t>
  </si>
  <si>
    <t>Renegotiated loans</t>
  </si>
  <si>
    <t>Required Loan loss provision</t>
  </si>
  <si>
    <t>Cash and cash equivalents</t>
  </si>
  <si>
    <t>Non-Earning Assets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</si>
  <si>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</si>
  <si>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</si>
  <si>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</si>
  <si>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</si>
  <si>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</si>
  <si>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</si>
  <si>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</si>
  <si>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</si>
  <si>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</si>
  <si>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</si>
  <si>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Operating expense</t>
  </si>
  <si>
    <t>TRANS-NATIONAL TIMES  SACCO SOCIETY</t>
  </si>
  <si>
    <t>CAPITAL ADEQUACY</t>
  </si>
  <si>
    <t>&gt; Kshs. 10 Million</t>
  </si>
  <si>
    <t>Core Capital to Total Assets</t>
  </si>
  <si>
    <t>Min. 10%</t>
  </si>
  <si>
    <t>Core Capital to Total Deposits</t>
  </si>
  <si>
    <t>Min. 8%</t>
  </si>
  <si>
    <t>Institutional Capital to Total Assets</t>
  </si>
  <si>
    <t>Min 8%</t>
  </si>
  <si>
    <t>ASSET QUALITY</t>
  </si>
  <si>
    <t>A/LNPL30</t>
  </si>
  <si>
    <t>NPL30</t>
  </si>
  <si>
    <t>EARNINGS</t>
  </si>
  <si>
    <t>ROA</t>
  </si>
  <si>
    <t>Cost Income Ratio</t>
  </si>
  <si>
    <t>Operating Expense Ratio</t>
  </si>
  <si>
    <t>LIQUIDITY</t>
  </si>
  <si>
    <t>Min Liquidity Ratio</t>
  </si>
  <si>
    <t>Min 15%</t>
  </si>
  <si>
    <t>T/LIQ Ratio</t>
  </si>
  <si>
    <t>External Borrowing to TA Ratio</t>
  </si>
  <si>
    <t>Max 25%</t>
  </si>
  <si>
    <t>Liquid Assets to TA Ratio</t>
  </si>
  <si>
    <t>STRUCTURE</t>
  </si>
  <si>
    <t>Non-Earning to TA Ratio</t>
  </si>
  <si>
    <t>Max 10%</t>
  </si>
  <si>
    <t>LB Ratio</t>
  </si>
  <si>
    <t>Max 5%</t>
  </si>
  <si>
    <t>Investments to Deposit Ratio</t>
  </si>
  <si>
    <t>Investments to Core Capital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</si>
  <si>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</si>
  <si>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</si>
  <si>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</si>
  <si>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</si>
  <si>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</si>
  <si>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</si>
  <si>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</si>
  <si>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</si>
  <si>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</si>
  <si>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</si>
  <si>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Expenses</t>
  </si>
  <si>
    <t>EFFICIENCY RATIOS</t>
  </si>
  <si>
    <t>Financial Cost: Interest on Deposits/Avg Deposits</t>
  </si>
  <si>
    <t>Financial Cost: Share Capital/Avg Deposits</t>
  </si>
  <si>
    <t>Financial Cost: External Loans/Avg Deposits</t>
  </si>
  <si>
    <t>OpEx/Average Total Assets</t>
  </si>
  <si>
    <t>OpEx/Turnover</t>
  </si>
  <si>
    <t>Average yield on Net loans</t>
  </si>
  <si>
    <t>Average yield on Gross loans</t>
  </si>
  <si>
    <t>Audited 2021</t>
  </si>
  <si>
    <t>Audited 2022</t>
  </si>
  <si>
    <t>Audited 2020</t>
  </si>
  <si>
    <t>AUDITED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</si>
</sst>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%"/>
    <numFmt numFmtId="165" formatCode="#,##0%"/>
    <numFmt numFmtId="166" formatCode="_(* #,##0_);_(* \(#,##0\);_(* &quot;-&quot;??_);_(@_)"/>
    <numFmt numFmtId="167" formatCode="#,##0.00_);\-#,##0.00"/>
    <numFmt numFmtId="168" formatCode="_(* #,##0.0_);_(* \(#,##0.0\);_(* \-??_);_(@_)"/>
    <numFmt numFmtId="169" formatCode="[$-10409]#,##0.00;\-\ #,##0.00"/>
    <numFmt numFmtId="170" formatCode="[$-10409]0.00;\-\ 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  <font>
      <sz val="11"/>
      <color indexed="8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0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B9E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6" fillId="0" borderId="0"/>
    <xf numFmtId="0" fontId="5" fillId="0" borderId="0"/>
    <xf numFmtId="0" fontId="12" fillId="0" borderId="0"/>
  </cellStyleXfs>
  <cellXfs count="69">
    <xf numFmtId="0" fontId="0" fillId="0" borderId="0" xfId="0"/>
    <xf numFmtId="4" fontId="0" fillId="0" borderId="0" xfId="0" applyNumberFormat="1"/>
    <xf numFmtId="9" fontId="0" fillId="0" borderId="0" xfId="2" applyFont="1"/>
    <xf numFmtId="17" fontId="0" fillId="0" borderId="0" xfId="0" applyNumberFormat="1"/>
    <xf numFmtId="168" fontId="3" fillId="0" borderId="1" xfId="1" applyNumberFormat="1" applyFont="1" applyBorder="1" applyAlignment="1" applyProtection="1">
      <alignment horizontal="right" vertical="center"/>
      <protection locked="0"/>
    </xf>
    <xf numFmtId="168" fontId="3" fillId="0" borderId="1" xfId="1" applyNumberFormat="1" applyFont="1" applyFill="1" applyBorder="1" applyAlignment="1" applyProtection="1">
      <protection locked="0"/>
    </xf>
    <xf numFmtId="0" fontId="1" fillId="0" borderId="0" xfId="0" applyFont="1"/>
    <xf numFmtId="166" fontId="0" fillId="0" borderId="1" xfId="1" applyNumberFormat="1" applyFont="1" applyBorder="1"/>
    <xf numFmtId="3" fontId="0" fillId="0" borderId="1" xfId="0" applyNumberFormat="1" applyBorder="1"/>
    <xf numFmtId="166" fontId="0" fillId="0" borderId="0" xfId="0" applyNumberFormat="1"/>
    <xf numFmtId="43" fontId="3" fillId="0" borderId="2" xfId="1" applyFont="1" applyFill="1" applyBorder="1" applyAlignment="1" applyProtection="1">
      <protection locked="0"/>
    </xf>
    <xf numFmtId="165" fontId="7" fillId="0" borderId="1" xfId="0" applyNumberFormat="1" applyFont="1" applyBorder="1"/>
    <xf numFmtId="0" fontId="7" fillId="0" borderId="0" xfId="0" applyFont="1"/>
    <xf numFmtId="4" fontId="7" fillId="0" borderId="0" xfId="0" applyNumberFormat="1" applyFont="1"/>
    <xf numFmtId="0" fontId="7" fillId="0" borderId="1" xfId="0" applyFont="1" applyBorder="1"/>
    <xf numFmtId="4" fontId="7" fillId="0" borderId="1" xfId="0" applyNumberFormat="1" applyFont="1" applyBorder="1"/>
    <xf numFmtId="3" fontId="7" fillId="0" borderId="1" xfId="0" applyNumberFormat="1" applyFont="1" applyBorder="1"/>
    <xf numFmtId="165" fontId="9" fillId="3" borderId="1" xfId="0" applyNumberFormat="1" applyFont="1" applyFill="1" applyBorder="1"/>
    <xf numFmtId="164" fontId="9" fillId="3" borderId="1" xfId="0" applyNumberFormat="1" applyFont="1" applyFill="1" applyBorder="1"/>
    <xf numFmtId="166" fontId="0" fillId="0" borderId="0" xfId="1" applyNumberFormat="1" applyFont="1"/>
    <xf numFmtId="0" fontId="1" fillId="0" borderId="0" xfId="0" applyFont="1" applyAlignment="1">
      <alignment horizontal="center" vertical="top"/>
    </xf>
    <xf numFmtId="0" fontId="8" fillId="2" borderId="0" xfId="0" applyFont="1" applyFill="1" applyAlignment="1">
      <alignment horizontal="center"/>
    </xf>
    <xf numFmtId="166" fontId="0" fillId="0" borderId="0" xfId="1" applyNumberFormat="1" applyFont="1" applyFill="1" applyBorder="1"/>
    <xf numFmtId="17" fontId="0" fillId="4" borderId="0" xfId="0" applyNumberFormat="1" applyFill="1"/>
    <xf numFmtId="17" fontId="1" fillId="4" borderId="0" xfId="0" applyNumberFormat="1" applyFont="1" applyFill="1"/>
    <xf numFmtId="17" fontId="7" fillId="4" borderId="0" xfId="0" applyNumberFormat="1" applyFont="1" applyFill="1"/>
    <xf numFmtId="166" fontId="0" fillId="5" borderId="1" xfId="1" applyNumberFormat="1" applyFont="1" applyFill="1" applyBorder="1"/>
    <xf numFmtId="3" fontId="0" fillId="7" borderId="1" xfId="0" applyNumberFormat="1" applyFill="1" applyBorder="1"/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 vertical="top"/>
    </xf>
    <xf numFmtId="166" fontId="0" fillId="0" borderId="3" xfId="1" applyNumberFormat="1" applyFont="1" applyBorder="1"/>
    <xf numFmtId="0" fontId="1" fillId="8" borderId="0" xfId="0" applyFont="1" applyFill="1"/>
    <xf numFmtId="16" fontId="1" fillId="8" borderId="0" xfId="0" applyNumberFormat="1" applyFont="1" applyFill="1"/>
    <xf numFmtId="4" fontId="8" fillId="0" borderId="0" xfId="0" applyNumberFormat="1" applyFont="1"/>
    <xf numFmtId="17" fontId="8" fillId="0" borderId="0" xfId="0" applyNumberFormat="1" applyFont="1"/>
    <xf numFmtId="17" fontId="8" fillId="4" borderId="0" xfId="0" applyNumberFormat="1" applyFont="1" applyFill="1"/>
    <xf numFmtId="0" fontId="8" fillId="0" borderId="0" xfId="0" applyFont="1"/>
    <xf numFmtId="0" fontId="0" fillId="5" borderId="0" xfId="0" applyFill="1"/>
    <xf numFmtId="4" fontId="0" fillId="9" borderId="0" xfId="0" applyNumberFormat="1" applyFill="1"/>
    <xf numFmtId="0" fontId="0" fillId="0" borderId="1" xfId="0" applyBorder="1"/>
    <xf numFmtId="0" fontId="1" fillId="10" borderId="0" xfId="0" applyFont="1" applyFill="1"/>
    <xf numFmtId="166" fontId="0" fillId="0" borderId="4" xfId="1" applyNumberFormat="1" applyFont="1" applyBorder="1"/>
    <xf numFmtId="169" fontId="11" fillId="0" borderId="3" xfId="6" applyNumberFormat="1" applyFont="1" applyBorder="1" applyAlignment="1" applyProtection="1">
      <alignment vertical="top" wrapText="1" readingOrder="1"/>
      <protection locked="0"/>
    </xf>
    <xf numFmtId="0" fontId="0" fillId="0" borderId="3" xfId="0" applyBorder="1"/>
    <xf numFmtId="4" fontId="0" fillId="0" borderId="3" xfId="0" applyNumberFormat="1" applyBorder="1"/>
    <xf numFmtId="4" fontId="14" fillId="0" borderId="3" xfId="0" applyNumberFormat="1" applyFont="1" applyBorder="1" applyAlignment="1">
      <alignment wrapText="1" readingOrder="1"/>
    </xf>
    <xf numFmtId="169" fontId="11" fillId="0" borderId="3" xfId="0" applyNumberFormat="1" applyFont="1" applyBorder="1" applyAlignment="1" applyProtection="1">
      <alignment vertical="top" wrapText="1" readingOrder="1"/>
      <protection locked="0"/>
    </xf>
    <xf numFmtId="0" fontId="14" fillId="0" borderId="3" xfId="0" applyFont="1" applyBorder="1" applyAlignment="1">
      <alignment wrapText="1" readingOrder="1"/>
    </xf>
    <xf numFmtId="43" fontId="0" fillId="0" borderId="3" xfId="1" applyFont="1" applyBorder="1"/>
    <xf numFmtId="3" fontId="0" fillId="0" borderId="3" xfId="0" applyNumberFormat="1" applyBorder="1"/>
    <xf numFmtId="3" fontId="14" fillId="0" borderId="3" xfId="0" applyNumberFormat="1" applyFont="1" applyBorder="1" applyAlignment="1">
      <alignment wrapText="1" readingOrder="1"/>
    </xf>
    <xf numFmtId="43" fontId="11" fillId="0" borderId="3" xfId="1" applyFont="1" applyBorder="1" applyAlignment="1" applyProtection="1">
      <alignment vertical="top" wrapText="1" readingOrder="1"/>
      <protection locked="0"/>
    </xf>
    <xf numFmtId="170" fontId="11" fillId="0" borderId="3" xfId="6" applyNumberFormat="1" applyFont="1" applyBorder="1" applyAlignment="1" applyProtection="1">
      <alignment vertical="top" wrapText="1" readingOrder="1"/>
      <protection locked="0"/>
    </xf>
    <xf numFmtId="170" fontId="11" fillId="0" borderId="3" xfId="0" applyNumberFormat="1" applyFont="1" applyBorder="1" applyAlignment="1" applyProtection="1">
      <alignment vertical="top" wrapText="1" readingOrder="1"/>
      <protection locked="0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" fontId="1" fillId="0" borderId="1" xfId="0" applyNumberFormat="1" applyFont="1" applyBorder="1"/>
    <xf numFmtId="0" fontId="1" fillId="0" borderId="1" xfId="0" applyFont="1" applyBorder="1"/>
    <xf numFmtId="17" fontId="10" fillId="4" borderId="1" xfId="0" applyNumberFormat="1" applyFont="1" applyFill="1" applyBorder="1"/>
    <xf numFmtId="17" fontId="1" fillId="4" borderId="1" xfId="0" applyNumberFormat="1" applyFont="1" applyFill="1" applyBorder="1"/>
    <xf numFmtId="167" fontId="4" fillId="0" borderId="1" xfId="0" applyNumberFormat="1" applyFont="1" applyBorder="1" applyAlignment="1" applyProtection="1">
      <alignment horizontal="right" vertical="center"/>
      <protection locked="0"/>
    </xf>
    <xf numFmtId="169" fontId="13" fillId="0" borderId="1" xfId="6" applyNumberFormat="1" applyFont="1" applyBorder="1" applyAlignment="1" applyProtection="1">
      <alignment vertical="top" wrapText="1" readingOrder="1"/>
      <protection locked="0"/>
    </xf>
    <xf numFmtId="169" fontId="13" fillId="0" borderId="1" xfId="0" applyNumberFormat="1" applyFont="1" applyBorder="1" applyAlignment="1" applyProtection="1">
      <alignment vertical="top" wrapText="1" readingOrder="1"/>
      <protection locked="0"/>
    </xf>
    <xf numFmtId="43" fontId="0" fillId="0" borderId="1" xfId="1" applyFont="1" applyBorder="1"/>
    <xf numFmtId="169" fontId="13" fillId="6" borderId="1" xfId="6" applyNumberFormat="1" applyFont="1" applyFill="1" applyBorder="1" applyAlignment="1" applyProtection="1">
      <alignment vertical="top" wrapText="1" readingOrder="1"/>
      <protection locked="0"/>
    </xf>
    <xf numFmtId="169" fontId="13" fillId="6" borderId="1" xfId="0" applyNumberFormat="1" applyFont="1" applyFill="1" applyBorder="1" applyAlignment="1" applyProtection="1">
      <alignment vertical="top" wrapText="1" readingOrder="1"/>
      <protection locked="0"/>
    </xf>
    <xf numFmtId="4" fontId="0" fillId="0" borderId="1" xfId="0" applyNumberFormat="1" applyBorder="1"/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</cellXfs>
  <cellStyles count="7">
    <cellStyle name="Comma" xfId="1" builtinId="3"/>
    <cellStyle name="Normal" xfId="0" builtinId="0"/>
    <cellStyle name="Normal 19" xfId="5" xr:uid="{00000000-0005-0000-0000-000002000000}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Percent" xfId="2" builtinId="5"/>
  </cellStyles>
  <dxfs count="50"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8"/>
  <sheetViews>
    <sheetView zoomScale="90" zoomScaleNormal="90" workbookViewId="0">
      <pane xSplit="1" ySplit="2" topLeftCell="I9" activePane="bottomRight" state="frozen"/>
      <selection pane="topRight" activeCell="B1" sqref="B1"/>
      <selection pane="bottomLeft" activeCell="A2" sqref="A2"/>
      <selection pane="bottomRight" activeCell="AN41" sqref="AN41:AN44"/>
    </sheetView>
  </sheetViews>
  <sheetFormatPr defaultRowHeight="14.4" x14ac:dyDescent="0.3"/>
  <cols>
    <col min="1" max="1" width="38.6640625" customWidth="1"/>
    <col min="2" max="2" width="20.5546875" customWidth="1"/>
    <col min="3" max="10" width="18.44140625" hidden="1" customWidth="1"/>
    <col min="11" max="13" width="15" hidden="1" customWidth="1"/>
    <col min="14" max="14" width="18.88671875" bestFit="1" customWidth="1"/>
    <col min="15" max="15" width="0.109375" customWidth="1"/>
    <col min="16" max="17" width="15.109375" hidden="1" customWidth="1"/>
    <col min="18" max="18" width="0.109375" customWidth="1"/>
    <col min="19" max="20" width="15.109375" hidden="1" customWidth="1"/>
    <col min="21" max="21" width="16.109375" hidden="1" customWidth="1"/>
    <col min="22" max="23" width="15.109375" hidden="1" customWidth="1"/>
    <col min="24" max="24" width="17.6640625" hidden="1" customWidth="1"/>
    <col min="25" max="25" width="0" hidden="1" customWidth="1"/>
    <col min="26" max="26" width="12.5546875" hidden="1" customWidth="1"/>
    <col min="27" max="27" width="16.44140625" bestFit="1" customWidth="1"/>
    <col min="28" max="28" width="15.5546875" hidden="1" customWidth="1"/>
    <col min="29" max="29" width="15.6640625" hidden="1" customWidth="1"/>
    <col min="30" max="30" width="17.6640625" bestFit="1" customWidth="1"/>
    <col min="31" max="31" width="16.109375" hidden="1" customWidth="1"/>
    <col min="32" max="32" width="16.44140625" hidden="1" customWidth="1"/>
    <col min="33" max="33" width="17.5546875" customWidth="1"/>
    <col min="34" max="34" width="16.33203125" hidden="1" customWidth="1"/>
    <col min="35" max="35" width="15.44140625" hidden="1" customWidth="1"/>
    <col min="36" max="36" width="15.44140625" bestFit="1" customWidth="1"/>
    <col min="37" max="38" width="15.44140625" hidden="1" customWidth="1"/>
    <col min="39" max="39" width="15.6640625" bestFit="1" customWidth="1"/>
    <col min="40" max="40" width="17.77734375" bestFit="1" customWidth="1"/>
    <col min="41" max="41" width="13.88671875" bestFit="1" customWidth="1"/>
  </cols>
  <sheetData>
    <row r="1" spans="1:41" x14ac:dyDescent="0.3">
      <c r="A1" t="s">
        <v>0</v>
      </c>
    </row>
    <row r="2" spans="1:41" x14ac:dyDescent="0.3">
      <c r="A2" s="29"/>
      <c r="B2" s="20" t="s">
        <v>1</v>
      </c>
      <c r="C2" s="3">
        <v>43831</v>
      </c>
      <c r="D2" s="3">
        <v>43862</v>
      </c>
      <c r="E2" s="3">
        <v>43891</v>
      </c>
      <c r="F2" s="3">
        <v>43922</v>
      </c>
      <c r="G2" s="3">
        <v>43952</v>
      </c>
      <c r="H2" s="3">
        <v>43983</v>
      </c>
      <c r="I2" s="3">
        <v>44044</v>
      </c>
      <c r="J2" s="3">
        <v>44075</v>
      </c>
      <c r="K2" s="3">
        <v>44105</v>
      </c>
      <c r="L2" s="3">
        <v>44136</v>
      </c>
      <c r="M2" s="3">
        <v>44166</v>
      </c>
      <c r="N2" s="40" t="s">
        <v>2</v>
      </c>
      <c r="O2" s="23">
        <v>44197</v>
      </c>
      <c r="P2" s="23">
        <v>44228</v>
      </c>
      <c r="Q2" s="23">
        <v>44256</v>
      </c>
      <c r="R2" s="23">
        <v>44287</v>
      </c>
      <c r="S2" s="23">
        <v>44317</v>
      </c>
      <c r="T2" s="23">
        <v>44348</v>
      </c>
      <c r="U2" s="23">
        <v>44378</v>
      </c>
      <c r="V2" s="23">
        <v>44409</v>
      </c>
      <c r="W2" s="23">
        <v>44440</v>
      </c>
      <c r="X2" s="23">
        <v>44470</v>
      </c>
      <c r="Y2" s="23">
        <v>44501</v>
      </c>
      <c r="Z2" s="23">
        <v>44531</v>
      </c>
      <c r="AA2" s="31" t="s">
        <v>3</v>
      </c>
      <c r="AB2" s="32">
        <v>44583</v>
      </c>
      <c r="AC2" s="32">
        <v>44614</v>
      </c>
      <c r="AD2" s="32" t="s">
        <v>4</v>
      </c>
      <c r="AE2" s="32" t="s">
        <v>5</v>
      </c>
      <c r="AF2" s="32">
        <v>44703</v>
      </c>
      <c r="AG2" s="32">
        <v>44734</v>
      </c>
      <c r="AH2" s="32">
        <v>44764</v>
      </c>
      <c r="AI2" s="24">
        <v>44774</v>
      </c>
      <c r="AJ2" s="24">
        <v>44805</v>
      </c>
      <c r="AK2" s="24">
        <v>44835</v>
      </c>
      <c r="AL2" s="24">
        <v>44866</v>
      </c>
      <c r="AM2" s="24">
        <v>44896</v>
      </c>
      <c r="AN2" s="24" t="s">
        <v>174</v>
      </c>
    </row>
    <row r="3" spans="1:41" x14ac:dyDescent="0.3">
      <c r="A3" s="37" t="s">
        <v>6</v>
      </c>
      <c r="B3" s="30">
        <f t="shared" ref="B3:AN3" si="0">SUM(B4:B5)</f>
        <v>126161088</v>
      </c>
      <c r="C3" s="30">
        <f t="shared" si="0"/>
        <v>117461076.44</v>
      </c>
      <c r="D3" s="30">
        <f t="shared" si="0"/>
        <v>102664580.19</v>
      </c>
      <c r="E3" s="30">
        <f t="shared" si="0"/>
        <v>181210469.41</v>
      </c>
      <c r="F3" s="30">
        <f t="shared" si="0"/>
        <v>170318621.12</v>
      </c>
      <c r="G3" s="30">
        <f t="shared" si="0"/>
        <v>148382927.25999999</v>
      </c>
      <c r="H3" s="30">
        <f t="shared" si="0"/>
        <v>131511153.52000001</v>
      </c>
      <c r="I3" s="30">
        <f t="shared" si="0"/>
        <v>148648609.34</v>
      </c>
      <c r="J3" s="30">
        <f t="shared" si="0"/>
        <v>374373511.38999999</v>
      </c>
      <c r="K3" s="30">
        <f t="shared" si="0"/>
        <v>218319138.44999999</v>
      </c>
      <c r="L3" s="30">
        <f t="shared" si="0"/>
        <v>189539381.01999998</v>
      </c>
      <c r="M3" s="41">
        <f t="shared" si="0"/>
        <v>142635758.63</v>
      </c>
      <c r="N3" s="30">
        <f t="shared" si="0"/>
        <v>154677987</v>
      </c>
      <c r="O3" s="30">
        <f t="shared" si="0"/>
        <v>126419012.84999999</v>
      </c>
      <c r="P3" s="30">
        <f t="shared" si="0"/>
        <v>89143406.549999997</v>
      </c>
      <c r="Q3" s="30">
        <f t="shared" si="0"/>
        <v>131948373.89</v>
      </c>
      <c r="R3" s="30">
        <f t="shared" si="0"/>
        <v>166245410.09</v>
      </c>
      <c r="S3" s="30">
        <f t="shared" si="0"/>
        <v>127724646.66</v>
      </c>
      <c r="T3" s="30">
        <f t="shared" si="0"/>
        <v>126867436.33</v>
      </c>
      <c r="U3" s="30">
        <f t="shared" si="0"/>
        <v>127042141.25</v>
      </c>
      <c r="V3" s="30">
        <f t="shared" si="0"/>
        <v>138892135.18000001</v>
      </c>
      <c r="W3" s="30">
        <f t="shared" si="0"/>
        <v>130728954.73</v>
      </c>
      <c r="X3" s="30">
        <f t="shared" si="0"/>
        <v>112055795.04000001</v>
      </c>
      <c r="Y3" s="30">
        <f t="shared" si="0"/>
        <v>0</v>
      </c>
      <c r="Z3" s="30">
        <f t="shared" si="0"/>
        <v>0</v>
      </c>
      <c r="AA3" s="30">
        <f t="shared" si="0"/>
        <v>165807842</v>
      </c>
      <c r="AB3" s="30">
        <f t="shared" si="0"/>
        <v>159091458.30000001</v>
      </c>
      <c r="AC3" s="30">
        <f t="shared" si="0"/>
        <v>114153738.98</v>
      </c>
      <c r="AD3" s="30">
        <f t="shared" si="0"/>
        <v>168541438.95999998</v>
      </c>
      <c r="AE3" s="30">
        <f t="shared" si="0"/>
        <v>150089373.23000002</v>
      </c>
      <c r="AF3" s="30">
        <f t="shared" si="0"/>
        <v>159366642.38999999</v>
      </c>
      <c r="AG3" s="30">
        <f t="shared" si="0"/>
        <v>131966987.70999999</v>
      </c>
      <c r="AH3" s="30">
        <f t="shared" si="0"/>
        <v>151481961.56</v>
      </c>
      <c r="AI3" s="30">
        <f t="shared" si="0"/>
        <v>125268904.43000001</v>
      </c>
      <c r="AJ3" s="30">
        <f t="shared" si="0"/>
        <v>116695102.88</v>
      </c>
      <c r="AK3" s="30">
        <f t="shared" si="0"/>
        <v>128669688.20999999</v>
      </c>
      <c r="AL3" s="30">
        <f t="shared" si="0"/>
        <v>109777882.81999999</v>
      </c>
      <c r="AM3" s="30">
        <f t="shared" si="0"/>
        <v>116923458.91999999</v>
      </c>
      <c r="AN3" s="30">
        <f t="shared" si="0"/>
        <v>150386392</v>
      </c>
    </row>
    <row r="4" spans="1:41" x14ac:dyDescent="0.3">
      <c r="A4" s="38" t="s">
        <v>7</v>
      </c>
      <c r="B4" s="19">
        <v>12288424</v>
      </c>
      <c r="C4" s="10">
        <v>7830148.5</v>
      </c>
      <c r="D4" s="10">
        <v>8392768.5</v>
      </c>
      <c r="E4" s="10">
        <v>4791553.82</v>
      </c>
      <c r="F4" s="10">
        <v>9428812.3200000003</v>
      </c>
      <c r="G4" s="10">
        <v>11985500.82</v>
      </c>
      <c r="H4" s="10">
        <v>14752658.82</v>
      </c>
      <c r="I4" s="10">
        <v>15369652.5</v>
      </c>
      <c r="J4" s="10">
        <v>19989118.5</v>
      </c>
      <c r="K4">
        <v>20143334.5</v>
      </c>
      <c r="L4">
        <v>3101637.6</v>
      </c>
      <c r="M4" s="19">
        <v>7133780.5</v>
      </c>
      <c r="N4" s="30">
        <v>7133781</v>
      </c>
      <c r="O4" s="42">
        <v>4119245.5</v>
      </c>
      <c r="P4" s="42">
        <v>5593030.5</v>
      </c>
      <c r="Q4" s="42">
        <v>6141837.5</v>
      </c>
      <c r="R4" s="42">
        <v>8780073.5</v>
      </c>
      <c r="S4" s="42">
        <v>10159656.5</v>
      </c>
      <c r="T4" s="42">
        <v>14999424.5</v>
      </c>
      <c r="U4" s="42">
        <v>18411837.5</v>
      </c>
      <c r="V4" s="42">
        <v>11785613.5</v>
      </c>
      <c r="W4" s="42">
        <v>16597533.5</v>
      </c>
      <c r="X4" s="42">
        <v>15306003.5</v>
      </c>
      <c r="Y4" s="43"/>
      <c r="Z4" s="43"/>
      <c r="AA4" s="44">
        <v>10038378</v>
      </c>
      <c r="AB4" s="45">
        <v>24014387.5</v>
      </c>
      <c r="AC4" s="45">
        <v>31587817.5</v>
      </c>
      <c r="AD4" s="45">
        <v>37510451.5</v>
      </c>
      <c r="AE4" s="45">
        <v>23259438.5</v>
      </c>
      <c r="AF4" s="45">
        <v>10914362.5</v>
      </c>
      <c r="AG4" s="45">
        <v>13784309.5</v>
      </c>
      <c r="AH4" s="45">
        <v>17729876.5</v>
      </c>
      <c r="AI4" s="46">
        <v>8852330.5</v>
      </c>
      <c r="AJ4" s="46">
        <v>14239776.5</v>
      </c>
      <c r="AK4" s="46">
        <v>14941163.5</v>
      </c>
      <c r="AL4" s="46">
        <v>6909526.5999999996</v>
      </c>
      <c r="AM4" s="46">
        <v>4786482.5999999996</v>
      </c>
      <c r="AN4" s="30">
        <v>4786483</v>
      </c>
    </row>
    <row r="5" spans="1:41" x14ac:dyDescent="0.3">
      <c r="A5" t="s">
        <v>8</v>
      </c>
      <c r="B5" s="19">
        <f>49850364+64022300</f>
        <v>113872664</v>
      </c>
      <c r="C5" s="10">
        <v>109630927.94</v>
      </c>
      <c r="D5" s="10">
        <v>94271811.689999998</v>
      </c>
      <c r="E5" s="10">
        <v>176418915.59</v>
      </c>
      <c r="F5" s="10">
        <v>160889808.80000001</v>
      </c>
      <c r="G5" s="10">
        <v>136397426.44</v>
      </c>
      <c r="H5" s="10">
        <v>116758494.7</v>
      </c>
      <c r="I5" s="10">
        <v>133278956.84</v>
      </c>
      <c r="J5" s="10">
        <v>354384392.88999999</v>
      </c>
      <c r="K5">
        <v>198175803.94999999</v>
      </c>
      <c r="L5">
        <v>186437743.41999999</v>
      </c>
      <c r="M5" s="19">
        <v>135501978.13</v>
      </c>
      <c r="N5" s="30">
        <f>76274817+71269389</f>
        <v>147544206</v>
      </c>
      <c r="O5" s="42">
        <v>122299767.34999999</v>
      </c>
      <c r="P5" s="42">
        <v>83550376.049999997</v>
      </c>
      <c r="Q5" s="42">
        <v>125806536.39</v>
      </c>
      <c r="R5" s="42">
        <v>157465336.59</v>
      </c>
      <c r="S5" s="42">
        <v>117564990.16</v>
      </c>
      <c r="T5" s="42">
        <v>111868011.83</v>
      </c>
      <c r="U5" s="42">
        <v>108630303.75</v>
      </c>
      <c r="V5" s="42">
        <v>127106521.68000001</v>
      </c>
      <c r="W5" s="42">
        <v>114131421.23</v>
      </c>
      <c r="X5" s="42">
        <v>96749791.540000007</v>
      </c>
      <c r="Y5" s="43"/>
      <c r="Z5" s="43"/>
      <c r="AA5" s="44">
        <f>89424927+66344537</f>
        <v>155769464</v>
      </c>
      <c r="AB5" s="45">
        <v>135077070.80000001</v>
      </c>
      <c r="AC5" s="45">
        <v>82565921.480000004</v>
      </c>
      <c r="AD5" s="45">
        <v>131030987.45999999</v>
      </c>
      <c r="AE5" s="45">
        <v>126829934.73</v>
      </c>
      <c r="AF5" s="45">
        <v>148452279.88999999</v>
      </c>
      <c r="AG5" s="45">
        <v>118182678.20999999</v>
      </c>
      <c r="AH5" s="45">
        <v>133752085.06</v>
      </c>
      <c r="AI5" s="46">
        <v>116416573.93000001</v>
      </c>
      <c r="AJ5" s="46">
        <v>102455326.38</v>
      </c>
      <c r="AK5" s="46">
        <v>113728524.70999999</v>
      </c>
      <c r="AL5" s="46">
        <v>102868356.22</v>
      </c>
      <c r="AM5" s="46">
        <v>112136976.31999999</v>
      </c>
      <c r="AN5" s="30">
        <f>27382778+118217131</f>
        <v>145599909</v>
      </c>
    </row>
    <row r="6" spans="1:41" x14ac:dyDescent="0.3">
      <c r="A6" t="s">
        <v>9</v>
      </c>
      <c r="B6" s="19">
        <v>353238578</v>
      </c>
      <c r="C6" s="9"/>
      <c r="M6" s="19"/>
      <c r="N6" s="30">
        <v>443341212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  <c r="X6" s="42">
        <v>0</v>
      </c>
      <c r="Y6" s="43"/>
      <c r="Z6" s="43"/>
      <c r="AA6" s="42">
        <v>394493297</v>
      </c>
      <c r="AB6" s="47">
        <v>0</v>
      </c>
      <c r="AC6" s="47">
        <v>0</v>
      </c>
      <c r="AD6" s="47">
        <v>0</v>
      </c>
      <c r="AE6" s="47">
        <v>0</v>
      </c>
      <c r="AF6" s="47">
        <v>0</v>
      </c>
      <c r="AG6" s="47">
        <v>0</v>
      </c>
      <c r="AH6" s="47">
        <v>0</v>
      </c>
      <c r="AI6" s="43"/>
      <c r="AJ6" s="43"/>
      <c r="AK6" s="43"/>
      <c r="AL6" s="43"/>
      <c r="AM6" s="43"/>
      <c r="AN6" s="30"/>
      <c r="AO6" s="9"/>
    </row>
    <row r="7" spans="1:41" x14ac:dyDescent="0.3">
      <c r="A7" s="1" t="s">
        <v>10</v>
      </c>
      <c r="B7" s="30">
        <f t="shared" ref="B7:L7" si="1">B8+B9+B10+B11</f>
        <v>218554560</v>
      </c>
      <c r="C7" s="30">
        <f t="shared" si="1"/>
        <v>218554560.30000001</v>
      </c>
      <c r="D7" s="30">
        <f t="shared" si="1"/>
        <v>222086616.19999999</v>
      </c>
      <c r="E7" s="30">
        <f t="shared" si="1"/>
        <v>222086616.19999999</v>
      </c>
      <c r="F7" s="30">
        <f t="shared" si="1"/>
        <v>226486616.19999999</v>
      </c>
      <c r="G7" s="30">
        <f t="shared" si="1"/>
        <v>229222465.59999999</v>
      </c>
      <c r="H7" s="30">
        <f t="shared" si="1"/>
        <v>230302465.59999999</v>
      </c>
      <c r="I7" s="30">
        <f t="shared" si="1"/>
        <v>234802465.59999999</v>
      </c>
      <c r="J7" s="30">
        <f t="shared" si="1"/>
        <v>237002465.59999999</v>
      </c>
      <c r="K7" s="30">
        <f t="shared" si="1"/>
        <v>237202465.59999999</v>
      </c>
      <c r="L7" s="30">
        <f t="shared" si="1"/>
        <v>237402465.59999999</v>
      </c>
      <c r="M7" s="41">
        <f>M8+M9+M10+M11</f>
        <v>285174657.94999999</v>
      </c>
      <c r="N7" s="30">
        <f>N8+N9+N10+N11</f>
        <v>285174658</v>
      </c>
      <c r="O7" s="30">
        <f t="shared" ref="O7:AN7" si="2">O8+O9+O10+O11</f>
        <v>288174657.94999999</v>
      </c>
      <c r="P7" s="30">
        <f t="shared" si="2"/>
        <v>291174657.94999999</v>
      </c>
      <c r="Q7" s="30">
        <f t="shared" si="2"/>
        <v>291174657.94999999</v>
      </c>
      <c r="R7" s="30">
        <f t="shared" si="2"/>
        <v>291174657.94999999</v>
      </c>
      <c r="S7" s="30">
        <f t="shared" si="2"/>
        <v>323672011.85000002</v>
      </c>
      <c r="T7" s="30">
        <f t="shared" si="2"/>
        <v>324831455.85000002</v>
      </c>
      <c r="U7" s="30">
        <f t="shared" si="2"/>
        <v>328571455.85000002</v>
      </c>
      <c r="V7" s="30">
        <f t="shared" si="2"/>
        <v>330431248.01999998</v>
      </c>
      <c r="W7" s="30">
        <f t="shared" si="2"/>
        <v>336171248.01999998</v>
      </c>
      <c r="X7" s="30">
        <f t="shared" si="2"/>
        <v>342911248.01999998</v>
      </c>
      <c r="Y7" s="30">
        <f t="shared" si="2"/>
        <v>0</v>
      </c>
      <c r="Z7" s="30">
        <f t="shared" si="2"/>
        <v>0</v>
      </c>
      <c r="AA7" s="30">
        <f t="shared" si="2"/>
        <v>437931242</v>
      </c>
      <c r="AB7" s="30">
        <f t="shared" si="2"/>
        <v>359515204.76999998</v>
      </c>
      <c r="AC7" s="30">
        <f t="shared" si="2"/>
        <v>340255204.76999998</v>
      </c>
      <c r="AD7" s="30">
        <f t="shared" si="2"/>
        <v>383455204.76999998</v>
      </c>
      <c r="AE7" s="30">
        <f t="shared" si="2"/>
        <v>383655264.80000001</v>
      </c>
      <c r="AF7" s="30">
        <f t="shared" si="2"/>
        <v>391045264.80000001</v>
      </c>
      <c r="AG7" s="30">
        <f t="shared" si="2"/>
        <v>455435264.80000001</v>
      </c>
      <c r="AH7" s="30">
        <f t="shared" si="2"/>
        <v>458635264.80000001</v>
      </c>
      <c r="AI7" s="30">
        <f t="shared" si="2"/>
        <v>462718695.47000003</v>
      </c>
      <c r="AJ7" s="30">
        <f t="shared" si="2"/>
        <v>462718695.47000003</v>
      </c>
      <c r="AK7" s="30">
        <f t="shared" si="2"/>
        <v>464658695.47000003</v>
      </c>
      <c r="AL7" s="30">
        <f t="shared" si="2"/>
        <v>465858695.47000003</v>
      </c>
      <c r="AM7" s="30">
        <f t="shared" si="2"/>
        <v>468614494.19</v>
      </c>
      <c r="AN7" s="30">
        <f t="shared" si="2"/>
        <v>488614494</v>
      </c>
    </row>
    <row r="8" spans="1:41" x14ac:dyDescent="0.3">
      <c r="A8" t="s">
        <v>11</v>
      </c>
      <c r="B8" s="19"/>
      <c r="C8" s="9"/>
      <c r="M8" s="19"/>
      <c r="N8" s="30"/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3"/>
      <c r="Z8" s="43"/>
      <c r="AA8" s="43"/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0</v>
      </c>
      <c r="AH8" s="47">
        <v>0</v>
      </c>
      <c r="AI8" s="46">
        <v>0</v>
      </c>
      <c r="AJ8" s="46">
        <v>0</v>
      </c>
      <c r="AK8" s="46">
        <v>0</v>
      </c>
      <c r="AL8" s="46">
        <v>0</v>
      </c>
      <c r="AM8" s="46">
        <v>0</v>
      </c>
      <c r="AN8" s="43"/>
    </row>
    <row r="9" spans="1:41" x14ac:dyDescent="0.3">
      <c r="A9" t="s">
        <v>12</v>
      </c>
      <c r="B9" s="19"/>
      <c r="C9" s="10"/>
      <c r="D9" s="10"/>
      <c r="E9" s="10"/>
      <c r="F9" s="10"/>
      <c r="G9" s="10"/>
      <c r="H9" s="10"/>
      <c r="I9" s="10"/>
      <c r="J9" s="10"/>
      <c r="M9" s="19"/>
      <c r="N9" s="30"/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3"/>
      <c r="Z9" s="43"/>
      <c r="AA9" s="43"/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6">
        <v>0</v>
      </c>
      <c r="AJ9" s="46">
        <v>0</v>
      </c>
      <c r="AK9" s="46">
        <v>0</v>
      </c>
      <c r="AL9" s="46">
        <v>0</v>
      </c>
      <c r="AM9" s="46">
        <v>0</v>
      </c>
      <c r="AN9" s="43"/>
    </row>
    <row r="10" spans="1:41" x14ac:dyDescent="0.3">
      <c r="A10" t="s">
        <v>13</v>
      </c>
      <c r="B10" s="19">
        <f>218554560-24000</f>
        <v>218530560</v>
      </c>
      <c r="C10" s="9">
        <v>218554560.30000001</v>
      </c>
      <c r="D10">
        <v>222086616.19999999</v>
      </c>
      <c r="E10">
        <v>222086616.19999999</v>
      </c>
      <c r="F10">
        <v>226486616.19999999</v>
      </c>
      <c r="G10">
        <v>229222465.59999999</v>
      </c>
      <c r="H10">
        <v>230302465.59999999</v>
      </c>
      <c r="I10">
        <v>234802465.59999999</v>
      </c>
      <c r="J10">
        <v>237002465.59999999</v>
      </c>
      <c r="K10">
        <v>237202465.59999999</v>
      </c>
      <c r="L10">
        <v>237402465.59999999</v>
      </c>
      <c r="M10" s="19">
        <v>285174657.94999999</v>
      </c>
      <c r="N10" s="30">
        <f>1007862+8658965+41347233+119631235+114505363</f>
        <v>285150658</v>
      </c>
      <c r="O10" s="42">
        <v>288174657.94999999</v>
      </c>
      <c r="P10" s="42">
        <v>291174657.94999999</v>
      </c>
      <c r="Q10" s="42">
        <v>291174657.94999999</v>
      </c>
      <c r="R10" s="42">
        <v>291174657.94999999</v>
      </c>
      <c r="S10" s="42">
        <v>323672011.85000002</v>
      </c>
      <c r="T10" s="42">
        <v>324831455.85000002</v>
      </c>
      <c r="U10" s="42">
        <v>328571455.85000002</v>
      </c>
      <c r="V10" s="42">
        <v>330431248.01999998</v>
      </c>
      <c r="W10" s="42">
        <v>336171248.01999998</v>
      </c>
      <c r="X10" s="42">
        <v>342911248.01999998</v>
      </c>
      <c r="Y10" s="43"/>
      <c r="Z10" s="43"/>
      <c r="AA10" s="44">
        <f>437931242-AA11</f>
        <v>437907242</v>
      </c>
      <c r="AB10" s="45">
        <v>359515204.76999998</v>
      </c>
      <c r="AC10" s="45">
        <v>340255204.76999998</v>
      </c>
      <c r="AD10" s="45">
        <v>383455204.76999998</v>
      </c>
      <c r="AE10" s="45">
        <v>383655264.80000001</v>
      </c>
      <c r="AF10" s="45">
        <v>391045264.80000001</v>
      </c>
      <c r="AG10" s="45">
        <v>455435264.80000001</v>
      </c>
      <c r="AH10" s="45">
        <v>458635264.80000001</v>
      </c>
      <c r="AI10" s="46">
        <v>462718695.47000003</v>
      </c>
      <c r="AJ10" s="46">
        <v>462718695.47000003</v>
      </c>
      <c r="AK10" s="46">
        <v>464658695.47000003</v>
      </c>
      <c r="AL10" s="46">
        <v>465858695.47000003</v>
      </c>
      <c r="AM10" s="46">
        <v>468614494.19</v>
      </c>
      <c r="AN10" s="30">
        <v>488614494</v>
      </c>
    </row>
    <row r="11" spans="1:41" x14ac:dyDescent="0.3">
      <c r="A11" t="s">
        <v>14</v>
      </c>
      <c r="B11" s="19">
        <v>24000</v>
      </c>
      <c r="C11" s="9"/>
      <c r="D11" s="2"/>
      <c r="M11" s="19"/>
      <c r="N11" s="30">
        <v>24000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3"/>
      <c r="Z11" s="43"/>
      <c r="AA11" s="42">
        <v>24000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6">
        <v>0</v>
      </c>
      <c r="AJ11" s="46">
        <v>0</v>
      </c>
      <c r="AK11" s="46">
        <v>0</v>
      </c>
      <c r="AL11" s="46">
        <v>0</v>
      </c>
      <c r="AM11" s="46">
        <v>0</v>
      </c>
      <c r="AN11" s="43"/>
    </row>
    <row r="12" spans="1:41" x14ac:dyDescent="0.3">
      <c r="A12" s="1" t="s">
        <v>15</v>
      </c>
      <c r="B12" s="30">
        <f t="shared" ref="B12:M12" si="3">B13-B14</f>
        <v>854944397</v>
      </c>
      <c r="C12" s="30">
        <f t="shared" si="3"/>
        <v>861827248.30000007</v>
      </c>
      <c r="D12" s="30">
        <f t="shared" si="3"/>
        <v>874748371.32000005</v>
      </c>
      <c r="E12" s="30">
        <f t="shared" si="3"/>
        <v>837309510.91000009</v>
      </c>
      <c r="F12" s="30">
        <f t="shared" si="3"/>
        <v>811893918.78000009</v>
      </c>
      <c r="G12" s="30">
        <f t="shared" si="3"/>
        <v>793881071.00999999</v>
      </c>
      <c r="H12" s="30">
        <f t="shared" si="3"/>
        <v>833028914.55000007</v>
      </c>
      <c r="I12" s="30">
        <f t="shared" si="3"/>
        <v>854974478.04000008</v>
      </c>
      <c r="J12" s="30">
        <f t="shared" si="3"/>
        <v>851484793.38</v>
      </c>
      <c r="K12" s="30">
        <f t="shared" si="3"/>
        <v>896127393.91000009</v>
      </c>
      <c r="L12" s="30">
        <f t="shared" si="3"/>
        <v>919549631.38</v>
      </c>
      <c r="M12" s="41">
        <f t="shared" si="3"/>
        <v>961608096.0200001</v>
      </c>
      <c r="N12" s="30">
        <f>N13-N14</f>
        <v>971785108</v>
      </c>
      <c r="O12" s="30">
        <f t="shared" ref="O12:AN12" si="4">O13-O14</f>
        <v>955887819.14999998</v>
      </c>
      <c r="P12" s="30">
        <f t="shared" si="4"/>
        <v>973906450.43000007</v>
      </c>
      <c r="Q12" s="30">
        <f t="shared" si="4"/>
        <v>951715324.43000007</v>
      </c>
      <c r="R12" s="30">
        <f t="shared" si="4"/>
        <v>963599579.81000006</v>
      </c>
      <c r="S12" s="30">
        <f t="shared" si="4"/>
        <v>944631561.82000005</v>
      </c>
      <c r="T12" s="30">
        <f t="shared" si="4"/>
        <v>949306697.36000001</v>
      </c>
      <c r="U12" s="30">
        <f t="shared" si="4"/>
        <v>984476500.57000005</v>
      </c>
      <c r="V12" s="30">
        <f t="shared" si="4"/>
        <v>972690697.69000006</v>
      </c>
      <c r="W12" s="30">
        <f t="shared" si="4"/>
        <v>972267836.84000003</v>
      </c>
      <c r="X12" s="30">
        <f t="shared" si="4"/>
        <v>988728518.75</v>
      </c>
      <c r="Y12" s="30">
        <f t="shared" si="4"/>
        <v>0</v>
      </c>
      <c r="Z12" s="30">
        <f t="shared" si="4"/>
        <v>0</v>
      </c>
      <c r="AA12" s="30">
        <f t="shared" si="4"/>
        <v>997591840</v>
      </c>
      <c r="AB12" s="30">
        <f t="shared" si="4"/>
        <v>979281332.66999996</v>
      </c>
      <c r="AC12" s="30">
        <f t="shared" si="4"/>
        <v>986360486.81000006</v>
      </c>
      <c r="AD12" s="30">
        <f t="shared" si="4"/>
        <v>979057106.88</v>
      </c>
      <c r="AE12" s="30">
        <f t="shared" si="4"/>
        <v>976598069.62</v>
      </c>
      <c r="AF12" s="30">
        <f t="shared" si="4"/>
        <v>974270734.87</v>
      </c>
      <c r="AG12" s="30">
        <f t="shared" si="4"/>
        <v>998175079.41999996</v>
      </c>
      <c r="AH12" s="30">
        <f t="shared" si="4"/>
        <v>998045183.87</v>
      </c>
      <c r="AI12" s="30">
        <f t="shared" si="4"/>
        <v>995549301.59000003</v>
      </c>
      <c r="AJ12" s="30">
        <f t="shared" si="4"/>
        <v>988500963.91999996</v>
      </c>
      <c r="AK12" s="30">
        <f t="shared" si="4"/>
        <v>979273827.31000006</v>
      </c>
      <c r="AL12" s="30">
        <f t="shared" si="4"/>
        <v>970893301.20000005</v>
      </c>
      <c r="AM12" s="30">
        <f t="shared" si="4"/>
        <v>974723492.94000006</v>
      </c>
      <c r="AN12" s="30">
        <f t="shared" si="4"/>
        <v>1027056145</v>
      </c>
    </row>
    <row r="13" spans="1:41" x14ac:dyDescent="0.3">
      <c r="A13" t="s">
        <v>16</v>
      </c>
      <c r="B13" s="19">
        <v>905898148</v>
      </c>
      <c r="C13" s="10">
        <v>908749605.85000002</v>
      </c>
      <c r="D13" s="10">
        <v>921670728.87</v>
      </c>
      <c r="E13" s="10">
        <v>885731868.46000004</v>
      </c>
      <c r="F13" s="10">
        <v>860316276.33000004</v>
      </c>
      <c r="G13" s="10">
        <v>843303428.55999994</v>
      </c>
      <c r="H13" s="10">
        <v>882951272.10000002</v>
      </c>
      <c r="I13" s="10">
        <v>905896835.59000003</v>
      </c>
      <c r="J13" s="10">
        <v>902907150.92999995</v>
      </c>
      <c r="K13">
        <v>948049751.46000004</v>
      </c>
      <c r="L13">
        <v>971971988.92999995</v>
      </c>
      <c r="M13" s="19">
        <v>1014530453.5700001</v>
      </c>
      <c r="N13" s="30">
        <v>1014523454</v>
      </c>
      <c r="O13" s="42">
        <v>1004626164.79</v>
      </c>
      <c r="P13" s="42">
        <v>1022644796.0700001</v>
      </c>
      <c r="Q13" s="42">
        <v>994453670.07000005</v>
      </c>
      <c r="R13" s="42">
        <v>1008337925.45</v>
      </c>
      <c r="S13" s="42">
        <v>989369907.46000004</v>
      </c>
      <c r="T13" s="42">
        <v>995045043</v>
      </c>
      <c r="U13" s="42">
        <v>1030214846.21</v>
      </c>
      <c r="V13" s="42">
        <v>1019429043.33</v>
      </c>
      <c r="W13" s="42">
        <v>1019006182.48</v>
      </c>
      <c r="X13" s="42">
        <v>1035466864.39</v>
      </c>
      <c r="Y13" s="43"/>
      <c r="Z13" s="43"/>
      <c r="AA13" s="44">
        <v>1040330186</v>
      </c>
      <c r="AB13" s="45">
        <v>1028019678.3099999</v>
      </c>
      <c r="AC13" s="45">
        <v>1035098832.45</v>
      </c>
      <c r="AD13" s="45">
        <v>1027795452.52</v>
      </c>
      <c r="AE13" s="45">
        <v>1025336415.26</v>
      </c>
      <c r="AF13" s="45">
        <v>1023009080.51</v>
      </c>
      <c r="AG13" s="45">
        <v>1040913425.0599999</v>
      </c>
      <c r="AH13" s="45">
        <v>1040783529.51</v>
      </c>
      <c r="AI13" s="46">
        <v>1038287647.23</v>
      </c>
      <c r="AJ13" s="46">
        <v>1031239309.5599999</v>
      </c>
      <c r="AK13" s="46">
        <v>1022012172.95</v>
      </c>
      <c r="AL13" s="46">
        <v>1013631646.84</v>
      </c>
      <c r="AM13" s="46">
        <v>1017461838.58</v>
      </c>
      <c r="AN13" s="30">
        <v>1066045543</v>
      </c>
    </row>
    <row r="14" spans="1:41" x14ac:dyDescent="0.3">
      <c r="A14" t="s">
        <v>17</v>
      </c>
      <c r="B14" s="19">
        <v>50953751</v>
      </c>
      <c r="C14" s="10">
        <v>46922357.549999997</v>
      </c>
      <c r="D14" s="10">
        <v>46922357.549999997</v>
      </c>
      <c r="E14" s="10">
        <v>48422357.549999997</v>
      </c>
      <c r="F14" s="10">
        <v>48422357.549999997</v>
      </c>
      <c r="G14" s="10">
        <v>49422357.549999997</v>
      </c>
      <c r="H14" s="10">
        <v>49922357.549999997</v>
      </c>
      <c r="I14" s="10">
        <v>50922357.549999997</v>
      </c>
      <c r="J14" s="10">
        <v>51422357.549999997</v>
      </c>
      <c r="K14">
        <v>51922357.549999997</v>
      </c>
      <c r="L14">
        <v>52422357.549999997</v>
      </c>
      <c r="M14" s="19">
        <v>52922357.549999997</v>
      </c>
      <c r="N14" s="30">
        <v>42738346</v>
      </c>
      <c r="O14" s="42">
        <v>48738345.640000001</v>
      </c>
      <c r="P14" s="42">
        <v>48738345.640000001</v>
      </c>
      <c r="Q14" s="42">
        <v>42738345.640000001</v>
      </c>
      <c r="R14" s="42">
        <v>44738345.640000001</v>
      </c>
      <c r="S14" s="42">
        <v>44738345.640000001</v>
      </c>
      <c r="T14" s="42">
        <v>45738345.640000001</v>
      </c>
      <c r="U14" s="42">
        <v>45738345.640000001</v>
      </c>
      <c r="V14" s="42">
        <v>46738345.640000001</v>
      </c>
      <c r="W14" s="42">
        <v>46738345.640000001</v>
      </c>
      <c r="X14" s="42">
        <v>46738345.640000001</v>
      </c>
      <c r="Y14" s="43"/>
      <c r="Z14" s="43"/>
      <c r="AA14" s="44">
        <v>42738346</v>
      </c>
      <c r="AB14" s="45">
        <v>48738345.640000001</v>
      </c>
      <c r="AC14" s="45">
        <v>48738345.640000001</v>
      </c>
      <c r="AD14" s="45">
        <v>48738345.640000001</v>
      </c>
      <c r="AE14" s="45">
        <v>48738345.640000001</v>
      </c>
      <c r="AF14" s="45">
        <v>48738345.640000001</v>
      </c>
      <c r="AG14" s="45">
        <v>42738345.640000001</v>
      </c>
      <c r="AH14" s="45">
        <v>42738345.640000001</v>
      </c>
      <c r="AI14" s="46">
        <v>42738345.640000001</v>
      </c>
      <c r="AJ14" s="46">
        <v>42738345.640000001</v>
      </c>
      <c r="AK14" s="46">
        <v>42738345.640000001</v>
      </c>
      <c r="AL14" s="46">
        <v>42738345.640000001</v>
      </c>
      <c r="AM14" s="46">
        <v>42738345.640000001</v>
      </c>
      <c r="AN14" s="30">
        <v>38989398</v>
      </c>
    </row>
    <row r="15" spans="1:41" x14ac:dyDescent="0.3">
      <c r="A15" s="1" t="s">
        <v>18</v>
      </c>
      <c r="B15" s="30">
        <f t="shared" ref="B15:AN15" si="5">SUM(B16:B18)</f>
        <v>298746</v>
      </c>
      <c r="C15" s="30">
        <f t="shared" si="5"/>
        <v>0</v>
      </c>
      <c r="D15" s="30">
        <f t="shared" si="5"/>
        <v>0</v>
      </c>
      <c r="E15" s="30">
        <f t="shared" si="5"/>
        <v>0</v>
      </c>
      <c r="F15" s="30">
        <f t="shared" si="5"/>
        <v>0</v>
      </c>
      <c r="G15" s="30">
        <f t="shared" si="5"/>
        <v>0</v>
      </c>
      <c r="H15" s="30">
        <f t="shared" si="5"/>
        <v>0</v>
      </c>
      <c r="I15" s="30">
        <f t="shared" si="5"/>
        <v>0</v>
      </c>
      <c r="J15" s="30">
        <f t="shared" si="5"/>
        <v>0</v>
      </c>
      <c r="K15" s="30">
        <f t="shared" si="5"/>
        <v>0</v>
      </c>
      <c r="L15" s="30">
        <f t="shared" si="5"/>
        <v>0</v>
      </c>
      <c r="M15" s="41">
        <f t="shared" si="5"/>
        <v>0</v>
      </c>
      <c r="N15" s="30">
        <f t="shared" si="5"/>
        <v>0</v>
      </c>
      <c r="O15" s="30">
        <f t="shared" si="5"/>
        <v>0</v>
      </c>
      <c r="P15" s="30">
        <f t="shared" si="5"/>
        <v>0</v>
      </c>
      <c r="Q15" s="30">
        <f t="shared" si="5"/>
        <v>0</v>
      </c>
      <c r="R15" s="30">
        <f t="shared" si="5"/>
        <v>0</v>
      </c>
      <c r="S15" s="30">
        <f t="shared" si="5"/>
        <v>0</v>
      </c>
      <c r="T15" s="30">
        <f t="shared" si="5"/>
        <v>0</v>
      </c>
      <c r="U15" s="30">
        <f t="shared" si="5"/>
        <v>0</v>
      </c>
      <c r="V15" s="30">
        <f t="shared" si="5"/>
        <v>0</v>
      </c>
      <c r="W15" s="30">
        <f t="shared" si="5"/>
        <v>0</v>
      </c>
      <c r="X15" s="30">
        <f t="shared" si="5"/>
        <v>0</v>
      </c>
      <c r="Y15" s="30">
        <f t="shared" si="5"/>
        <v>0</v>
      </c>
      <c r="Z15" s="30">
        <f t="shared" si="5"/>
        <v>0</v>
      </c>
      <c r="AA15" s="30">
        <f t="shared" si="5"/>
        <v>0</v>
      </c>
      <c r="AB15" s="30">
        <f t="shared" si="5"/>
        <v>1076758023.95</v>
      </c>
      <c r="AC15" s="30">
        <f t="shared" si="5"/>
        <v>1083837178.0900002</v>
      </c>
      <c r="AD15" s="30">
        <f t="shared" si="5"/>
        <v>1076533798.1600001</v>
      </c>
      <c r="AE15" s="30">
        <f t="shared" si="5"/>
        <v>1074074760.9000001</v>
      </c>
      <c r="AF15" s="30">
        <f t="shared" si="5"/>
        <v>1071747426.15</v>
      </c>
      <c r="AG15" s="30">
        <f t="shared" si="5"/>
        <v>1083651770.7</v>
      </c>
      <c r="AH15" s="30">
        <f t="shared" si="5"/>
        <v>1083521875.1500001</v>
      </c>
      <c r="AI15" s="30">
        <f t="shared" si="5"/>
        <v>0</v>
      </c>
      <c r="AJ15" s="30">
        <f t="shared" si="5"/>
        <v>0</v>
      </c>
      <c r="AK15" s="30">
        <f t="shared" si="5"/>
        <v>0</v>
      </c>
      <c r="AL15" s="30">
        <f t="shared" si="5"/>
        <v>0</v>
      </c>
      <c r="AM15" s="30">
        <f t="shared" si="5"/>
        <v>0</v>
      </c>
      <c r="AN15" s="30">
        <f t="shared" si="5"/>
        <v>0</v>
      </c>
    </row>
    <row r="16" spans="1:41" x14ac:dyDescent="0.3">
      <c r="A16" t="s">
        <v>19</v>
      </c>
      <c r="B16" s="22">
        <v>298746</v>
      </c>
      <c r="C16" s="9"/>
      <c r="M16" s="19"/>
      <c r="N16" s="30"/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3"/>
      <c r="Z16" s="43"/>
      <c r="AA16" s="43"/>
      <c r="AB16" s="45">
        <v>1028019678.3099999</v>
      </c>
      <c r="AC16" s="45">
        <v>1035098832.45</v>
      </c>
      <c r="AD16" s="45">
        <v>1027795452.52</v>
      </c>
      <c r="AE16" s="45">
        <v>1025336415.26</v>
      </c>
      <c r="AF16" s="45">
        <v>1023009080.51</v>
      </c>
      <c r="AG16" s="45">
        <v>1040913425.0599999</v>
      </c>
      <c r="AH16" s="45">
        <v>1040783529.51</v>
      </c>
      <c r="AI16" s="43"/>
      <c r="AJ16" s="43"/>
      <c r="AK16" s="43"/>
      <c r="AL16" s="43"/>
      <c r="AM16" s="43"/>
      <c r="AN16" s="43"/>
    </row>
    <row r="17" spans="1:41" x14ac:dyDescent="0.3">
      <c r="A17" t="s">
        <v>20</v>
      </c>
      <c r="B17" s="19"/>
      <c r="C17" s="9"/>
      <c r="M17" s="19"/>
      <c r="N17" s="30"/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3"/>
      <c r="Z17" s="43"/>
      <c r="AA17" s="43"/>
      <c r="AB17" s="45">
        <v>48738345.640000001</v>
      </c>
      <c r="AC17" s="45">
        <v>48738345.640000001</v>
      </c>
      <c r="AD17" s="45">
        <v>48738345.640000001</v>
      </c>
      <c r="AE17" s="45">
        <v>48738345.640000001</v>
      </c>
      <c r="AF17" s="45">
        <v>48738345.640000001</v>
      </c>
      <c r="AG17" s="45">
        <v>42738345.640000001</v>
      </c>
      <c r="AH17" s="45">
        <v>42738345.640000001</v>
      </c>
      <c r="AI17" s="43"/>
      <c r="AJ17" s="43"/>
      <c r="AK17" s="43"/>
      <c r="AL17" s="43"/>
      <c r="AM17" s="43"/>
      <c r="AN17" s="43"/>
    </row>
    <row r="18" spans="1:41" x14ac:dyDescent="0.3">
      <c r="A18" t="s">
        <v>21</v>
      </c>
      <c r="B18" s="19"/>
      <c r="C18" s="9"/>
      <c r="M18" s="19"/>
      <c r="N18" s="30"/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3"/>
      <c r="Z18" s="43"/>
      <c r="AA18" s="43"/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3"/>
      <c r="AJ18" s="43"/>
      <c r="AK18" s="43"/>
      <c r="AL18" s="43"/>
      <c r="AM18" s="43"/>
      <c r="AN18" s="43"/>
    </row>
    <row r="19" spans="1:41" x14ac:dyDescent="0.3">
      <c r="A19" s="1" t="s">
        <v>22</v>
      </c>
      <c r="B19" s="30">
        <f t="shared" ref="B19:AN19" si="6">SUM(B20:B24)</f>
        <v>49545258</v>
      </c>
      <c r="C19" s="30">
        <f t="shared" si="6"/>
        <v>411355679.63</v>
      </c>
      <c r="D19" s="30">
        <f t="shared" si="6"/>
        <v>421105298.51999998</v>
      </c>
      <c r="E19" s="30">
        <f t="shared" si="6"/>
        <v>426588262.25</v>
      </c>
      <c r="F19" s="30">
        <f t="shared" si="6"/>
        <v>430759398</v>
      </c>
      <c r="G19" s="30">
        <f t="shared" si="6"/>
        <v>430139634.72000003</v>
      </c>
      <c r="H19" s="30">
        <f t="shared" si="6"/>
        <v>440386898.71000004</v>
      </c>
      <c r="I19" s="30">
        <f t="shared" si="6"/>
        <v>433865274.89999998</v>
      </c>
      <c r="J19" s="30">
        <f t="shared" si="6"/>
        <v>435743802.04000002</v>
      </c>
      <c r="K19" s="30">
        <f t="shared" si="6"/>
        <v>447349282.03999996</v>
      </c>
      <c r="L19" s="30">
        <f t="shared" si="6"/>
        <v>452084836.40999997</v>
      </c>
      <c r="M19" s="41">
        <f t="shared" si="6"/>
        <v>454030586</v>
      </c>
      <c r="N19" s="30">
        <f t="shared" si="6"/>
        <v>67826986</v>
      </c>
      <c r="O19" s="30">
        <f t="shared" si="6"/>
        <v>540247329.52999997</v>
      </c>
      <c r="P19" s="30">
        <f t="shared" si="6"/>
        <v>543825715.49000001</v>
      </c>
      <c r="Q19" s="30">
        <f t="shared" si="6"/>
        <v>547952592.38</v>
      </c>
      <c r="R19" s="30">
        <f t="shared" si="6"/>
        <v>524242410.45999998</v>
      </c>
      <c r="S19" s="30">
        <f t="shared" si="6"/>
        <v>525805622.65999997</v>
      </c>
      <c r="T19" s="30">
        <f t="shared" si="6"/>
        <v>510410082.19999999</v>
      </c>
      <c r="U19" s="30">
        <f t="shared" si="6"/>
        <v>506686391.13</v>
      </c>
      <c r="V19" s="30">
        <f t="shared" si="6"/>
        <v>513599757.11000001</v>
      </c>
      <c r="W19" s="30">
        <f t="shared" si="6"/>
        <v>529429751.38</v>
      </c>
      <c r="X19" s="30">
        <f t="shared" si="6"/>
        <v>534393220.21000004</v>
      </c>
      <c r="Y19" s="30">
        <f t="shared" si="6"/>
        <v>0</v>
      </c>
      <c r="Z19" s="30">
        <f t="shared" si="6"/>
        <v>0</v>
      </c>
      <c r="AA19" s="30">
        <f t="shared" si="6"/>
        <v>75135016</v>
      </c>
      <c r="AB19" s="30">
        <f t="shared" si="6"/>
        <v>560967118.51999998</v>
      </c>
      <c r="AC19" s="30">
        <f t="shared" si="6"/>
        <v>579871453.87</v>
      </c>
      <c r="AD19" s="30">
        <f t="shared" si="6"/>
        <v>567681077.54999995</v>
      </c>
      <c r="AE19" s="30">
        <f t="shared" si="6"/>
        <v>569318783.14999998</v>
      </c>
      <c r="AF19" s="30">
        <f t="shared" si="6"/>
        <v>576724556.36000001</v>
      </c>
      <c r="AG19" s="30">
        <f t="shared" si="6"/>
        <v>579244322.79999995</v>
      </c>
      <c r="AH19" s="30">
        <f t="shared" si="6"/>
        <v>583642698</v>
      </c>
      <c r="AI19" s="30">
        <f t="shared" si="6"/>
        <v>586027772.11000001</v>
      </c>
      <c r="AJ19" s="30">
        <f t="shared" si="6"/>
        <v>587356132.45000005</v>
      </c>
      <c r="AK19" s="30">
        <f t="shared" si="6"/>
        <v>591240886.85000002</v>
      </c>
      <c r="AL19" s="30">
        <f t="shared" si="6"/>
        <v>631405774.63</v>
      </c>
      <c r="AM19" s="30">
        <f t="shared" si="6"/>
        <v>567063405.30999994</v>
      </c>
      <c r="AN19" s="30">
        <f t="shared" si="6"/>
        <v>543719646</v>
      </c>
    </row>
    <row r="20" spans="1:41" x14ac:dyDescent="0.3">
      <c r="A20" t="s">
        <v>23</v>
      </c>
      <c r="B20" s="19"/>
      <c r="C20" s="9"/>
      <c r="M20" s="19"/>
      <c r="N20" s="30"/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3"/>
      <c r="Z20" s="43"/>
      <c r="AA20" s="43"/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6">
        <v>0</v>
      </c>
      <c r="AJ20" s="46">
        <v>0</v>
      </c>
      <c r="AK20" s="46">
        <v>0</v>
      </c>
      <c r="AL20" s="46">
        <v>0</v>
      </c>
      <c r="AM20" s="46">
        <v>0</v>
      </c>
      <c r="AN20" s="43"/>
    </row>
    <row r="21" spans="1:41" x14ac:dyDescent="0.3">
      <c r="A21" t="s">
        <v>24</v>
      </c>
      <c r="B21" s="19">
        <v>45628545</v>
      </c>
      <c r="C21" s="10">
        <v>51693625.710000001</v>
      </c>
      <c r="D21" s="10">
        <v>54745070.710000001</v>
      </c>
      <c r="E21" s="10">
        <v>54289591.210000001</v>
      </c>
      <c r="F21" s="10">
        <v>55428321.210000001</v>
      </c>
      <c r="G21" s="10">
        <v>55467768.210000001</v>
      </c>
      <c r="H21" s="10">
        <v>55324241.710000001</v>
      </c>
      <c r="I21" s="10">
        <v>54805888.710000001</v>
      </c>
      <c r="J21" s="10">
        <v>54797492.210000001</v>
      </c>
      <c r="K21">
        <v>55013765.710000001</v>
      </c>
      <c r="L21">
        <v>59869475.210000001</v>
      </c>
      <c r="M21" s="19">
        <v>60793690.810000002</v>
      </c>
      <c r="N21" s="30">
        <v>60793690</v>
      </c>
      <c r="O21" s="42">
        <v>61218440.810000002</v>
      </c>
      <c r="P21" s="42">
        <v>62714698.810000002</v>
      </c>
      <c r="Q21" s="42">
        <v>62842968.810000002</v>
      </c>
      <c r="R21" s="42">
        <v>61477874.810000002</v>
      </c>
      <c r="S21" s="42">
        <v>61601874.810000002</v>
      </c>
      <c r="T21" s="42">
        <v>61523553.810000002</v>
      </c>
      <c r="U21" s="42">
        <v>63950453.810000002</v>
      </c>
      <c r="V21" s="42">
        <v>63808150.810000002</v>
      </c>
      <c r="W21" s="42">
        <v>64810750.810000002</v>
      </c>
      <c r="X21" s="42">
        <v>65423750.810000002</v>
      </c>
      <c r="Y21" s="43"/>
      <c r="Z21" s="43"/>
      <c r="AA21" s="42">
        <v>68828038</v>
      </c>
      <c r="AB21" s="45">
        <v>71462050.659999996</v>
      </c>
      <c r="AC21" s="45">
        <v>73342610.659999996</v>
      </c>
      <c r="AD21" s="45">
        <v>76311758.659999996</v>
      </c>
      <c r="AE21" s="45">
        <v>81680208.659999996</v>
      </c>
      <c r="AF21" s="45">
        <v>89972378.659999996</v>
      </c>
      <c r="AG21" s="45">
        <v>93115773.659999996</v>
      </c>
      <c r="AH21" s="45">
        <v>95079233.659999996</v>
      </c>
      <c r="AI21" s="46">
        <v>97272793.659999996</v>
      </c>
      <c r="AJ21" s="46">
        <v>98892488.659999996</v>
      </c>
      <c r="AK21" s="46">
        <v>102385948.66</v>
      </c>
      <c r="AL21" s="46">
        <v>104509818.66</v>
      </c>
      <c r="AM21" s="46">
        <v>107210068.66</v>
      </c>
      <c r="AN21" s="48">
        <v>112903194</v>
      </c>
    </row>
    <row r="22" spans="1:41" x14ac:dyDescent="0.3">
      <c r="A22" t="s">
        <v>25</v>
      </c>
      <c r="B22" s="19">
        <v>3916713</v>
      </c>
      <c r="C22" s="10">
        <v>3916713.29</v>
      </c>
      <c r="D22" s="10">
        <v>3916713.29</v>
      </c>
      <c r="E22" s="10">
        <v>3905159</v>
      </c>
      <c r="F22" s="10">
        <v>3905159</v>
      </c>
      <c r="G22" s="10">
        <v>3897456.14</v>
      </c>
      <c r="H22" s="10">
        <v>3893604.71</v>
      </c>
      <c r="I22" s="10">
        <v>3885901.85</v>
      </c>
      <c r="J22" s="10">
        <v>3882050.42</v>
      </c>
      <c r="K22">
        <v>3878198.99</v>
      </c>
      <c r="L22">
        <v>3874347.56</v>
      </c>
      <c r="M22" s="19">
        <v>3870496.13</v>
      </c>
      <c r="N22" s="30">
        <v>3870496</v>
      </c>
      <c r="O22" s="42">
        <v>3870496.13</v>
      </c>
      <c r="P22" s="42">
        <v>3870496.13</v>
      </c>
      <c r="Q22" s="42">
        <v>3870496.13</v>
      </c>
      <c r="R22" s="42">
        <v>3855090.41</v>
      </c>
      <c r="S22" s="42">
        <v>3855090.41</v>
      </c>
      <c r="T22" s="42">
        <v>3847387.55</v>
      </c>
      <c r="U22" s="42">
        <v>3847387.55</v>
      </c>
      <c r="V22" s="42">
        <v>3831981.83</v>
      </c>
      <c r="W22" s="42">
        <v>3831981.83</v>
      </c>
      <c r="X22" s="42">
        <v>3831981.83</v>
      </c>
      <c r="Y22" s="43"/>
      <c r="Z22" s="43"/>
      <c r="AA22" s="42">
        <v>3816576</v>
      </c>
      <c r="AB22" s="45">
        <v>3816576.11</v>
      </c>
      <c r="AC22" s="45">
        <v>3816576.11</v>
      </c>
      <c r="AD22" s="45">
        <v>3816576.11</v>
      </c>
      <c r="AE22" s="45">
        <v>3816576.11</v>
      </c>
      <c r="AF22" s="45">
        <v>3816576.11</v>
      </c>
      <c r="AG22" s="45">
        <v>3816576.11</v>
      </c>
      <c r="AH22" s="45">
        <v>3816576.11</v>
      </c>
      <c r="AI22" s="46">
        <v>3816576.11</v>
      </c>
      <c r="AJ22" s="46">
        <v>3816576.11</v>
      </c>
      <c r="AK22" s="46">
        <v>3943576.11</v>
      </c>
      <c r="AL22" s="46">
        <v>3943576.11</v>
      </c>
      <c r="AM22" s="46">
        <v>3943576.11</v>
      </c>
      <c r="AN22" s="30">
        <v>3943576</v>
      </c>
    </row>
    <row r="23" spans="1:41" x14ac:dyDescent="0.3">
      <c r="A23" t="s">
        <v>26</v>
      </c>
      <c r="B23" s="19"/>
      <c r="C23" s="10">
        <v>0</v>
      </c>
      <c r="D23" s="10">
        <v>0</v>
      </c>
      <c r="E23" s="10">
        <v>31800</v>
      </c>
      <c r="F23" s="10">
        <v>45800</v>
      </c>
      <c r="G23" s="10">
        <v>45800</v>
      </c>
      <c r="H23" s="10">
        <v>485800</v>
      </c>
      <c r="I23" s="10">
        <v>2485800</v>
      </c>
      <c r="J23" s="10">
        <v>2485800</v>
      </c>
      <c r="K23">
        <v>2485800</v>
      </c>
      <c r="L23">
        <v>3162800</v>
      </c>
      <c r="M23" s="19">
        <v>3162800</v>
      </c>
      <c r="N23" s="30">
        <v>3162800</v>
      </c>
      <c r="O23" s="42">
        <v>3162800</v>
      </c>
      <c r="P23" s="42">
        <v>3162800</v>
      </c>
      <c r="Q23" s="42">
        <v>3562800</v>
      </c>
      <c r="R23" s="42">
        <v>2605333.92</v>
      </c>
      <c r="S23" s="42">
        <v>2605333.92</v>
      </c>
      <c r="T23" s="42">
        <v>2126600.88</v>
      </c>
      <c r="U23" s="42">
        <v>2126600.88</v>
      </c>
      <c r="V23" s="42">
        <v>1947867.84</v>
      </c>
      <c r="W23" s="42">
        <v>1947867.84</v>
      </c>
      <c r="X23" s="42">
        <v>1947867.84</v>
      </c>
      <c r="Y23" s="43"/>
      <c r="Z23" s="43"/>
      <c r="AA23" s="42">
        <v>2490402</v>
      </c>
      <c r="AB23" s="45">
        <v>2490401.7599999998</v>
      </c>
      <c r="AC23" s="45">
        <v>2490401.7599999998</v>
      </c>
      <c r="AD23" s="45">
        <v>3148271.76</v>
      </c>
      <c r="AE23" s="45">
        <v>3148271.76</v>
      </c>
      <c r="AF23" s="45">
        <v>4148271.76</v>
      </c>
      <c r="AG23" s="45">
        <v>4148271.76</v>
      </c>
      <c r="AH23" s="45">
        <v>4148271.76</v>
      </c>
      <c r="AI23" s="46">
        <v>4148271.76</v>
      </c>
      <c r="AJ23" s="46">
        <v>4148271.76</v>
      </c>
      <c r="AK23" s="46">
        <v>4148271.76</v>
      </c>
      <c r="AL23" s="46">
        <v>4236921.76</v>
      </c>
      <c r="AM23" s="46">
        <v>4389721.76</v>
      </c>
      <c r="AN23" s="30">
        <v>4389722</v>
      </c>
    </row>
    <row r="24" spans="1:41" x14ac:dyDescent="0.3">
      <c r="A24" t="s">
        <v>27</v>
      </c>
      <c r="B24" s="19"/>
      <c r="C24" s="10">
        <v>355745340.63</v>
      </c>
      <c r="D24" s="10">
        <v>362443514.51999998</v>
      </c>
      <c r="E24" s="10">
        <v>368361712.04000002</v>
      </c>
      <c r="F24" s="10">
        <v>371380117.79000002</v>
      </c>
      <c r="G24" s="10">
        <v>370728610.37</v>
      </c>
      <c r="H24" s="10">
        <v>380683252.29000002</v>
      </c>
      <c r="I24" s="10">
        <v>372687684.33999997</v>
      </c>
      <c r="J24" s="10">
        <v>374578459.41000003</v>
      </c>
      <c r="K24">
        <v>385971517.33999997</v>
      </c>
      <c r="L24">
        <v>385178213.63999999</v>
      </c>
      <c r="M24" s="19">
        <v>386203599.06</v>
      </c>
      <c r="N24" s="30"/>
      <c r="O24" s="42">
        <v>471995592.58999997</v>
      </c>
      <c r="P24" s="42">
        <v>474077720.55000001</v>
      </c>
      <c r="Q24" s="42">
        <v>477676327.44</v>
      </c>
      <c r="R24" s="42">
        <v>456304111.31999999</v>
      </c>
      <c r="S24" s="42">
        <v>457743323.51999998</v>
      </c>
      <c r="T24" s="42">
        <v>442912539.95999998</v>
      </c>
      <c r="U24" s="42">
        <v>436761948.88999999</v>
      </c>
      <c r="V24" s="42">
        <v>444011756.63</v>
      </c>
      <c r="W24" s="42">
        <v>458839150.89999998</v>
      </c>
      <c r="X24" s="42">
        <v>463189619.73000002</v>
      </c>
      <c r="Y24" s="43"/>
      <c r="Z24" s="43"/>
      <c r="AA24" s="43"/>
      <c r="AB24" s="45">
        <v>483198089.99000001</v>
      </c>
      <c r="AC24" s="45">
        <v>500221865.33999997</v>
      </c>
      <c r="AD24" s="45">
        <v>484404471.01999998</v>
      </c>
      <c r="AE24" s="45">
        <v>480673726.62</v>
      </c>
      <c r="AF24" s="45">
        <v>478787329.82999998</v>
      </c>
      <c r="AG24" s="45">
        <v>478163701.26999998</v>
      </c>
      <c r="AH24" s="45">
        <v>480598616.47000003</v>
      </c>
      <c r="AI24" s="46">
        <v>480790130.57999998</v>
      </c>
      <c r="AJ24" s="46">
        <v>480498795.92000002</v>
      </c>
      <c r="AK24" s="46">
        <v>480763090.31999999</v>
      </c>
      <c r="AL24" s="46">
        <v>518715458.10000002</v>
      </c>
      <c r="AM24" s="46">
        <v>451520038.77999997</v>
      </c>
      <c r="AN24" s="30">
        <v>422483154</v>
      </c>
      <c r="AO24" s="9"/>
    </row>
    <row r="25" spans="1:41" x14ac:dyDescent="0.3">
      <c r="A25" s="1" t="s">
        <v>28</v>
      </c>
      <c r="B25" s="30">
        <f t="shared" ref="B25:Z25" si="7">B19+B15+B12+B7+B6+B3</f>
        <v>1602742627</v>
      </c>
      <c r="C25" s="30">
        <f t="shared" si="7"/>
        <v>1609198564.6700001</v>
      </c>
      <c r="D25" s="30">
        <f t="shared" si="7"/>
        <v>1620604866.2300003</v>
      </c>
      <c r="E25" s="30">
        <f t="shared" si="7"/>
        <v>1667194858.7700002</v>
      </c>
      <c r="F25" s="30">
        <f t="shared" si="7"/>
        <v>1639458554.1000004</v>
      </c>
      <c r="G25" s="30">
        <f t="shared" si="7"/>
        <v>1601626098.5899999</v>
      </c>
      <c r="H25" s="30">
        <f t="shared" si="7"/>
        <v>1635229432.3800001</v>
      </c>
      <c r="I25" s="30">
        <f t="shared" si="7"/>
        <v>1672290827.8799999</v>
      </c>
      <c r="J25" s="30">
        <f t="shared" si="7"/>
        <v>1898604572.4099998</v>
      </c>
      <c r="K25" s="30">
        <f t="shared" si="7"/>
        <v>1798998280</v>
      </c>
      <c r="L25" s="30">
        <f t="shared" si="7"/>
        <v>1798576314.4099998</v>
      </c>
      <c r="M25" s="41">
        <f t="shared" si="7"/>
        <v>1843449098.5999999</v>
      </c>
      <c r="N25" s="30">
        <f t="shared" si="7"/>
        <v>1922805951</v>
      </c>
      <c r="O25" s="30">
        <f t="shared" si="7"/>
        <v>1910728819.4799998</v>
      </c>
      <c r="P25" s="30">
        <f t="shared" si="7"/>
        <v>1898050230.4200001</v>
      </c>
      <c r="Q25" s="30">
        <f t="shared" si="7"/>
        <v>1922790948.6500001</v>
      </c>
      <c r="R25" s="30">
        <f t="shared" si="7"/>
        <v>1945262058.3099999</v>
      </c>
      <c r="S25" s="30">
        <f t="shared" si="7"/>
        <v>1921833842.99</v>
      </c>
      <c r="T25" s="30">
        <f t="shared" si="7"/>
        <v>1911415671.7399998</v>
      </c>
      <c r="U25" s="30">
        <f t="shared" si="7"/>
        <v>1946776488.8000002</v>
      </c>
      <c r="V25" s="30">
        <f t="shared" si="7"/>
        <v>1955613838.0000002</v>
      </c>
      <c r="W25" s="30">
        <f t="shared" si="7"/>
        <v>1968597790.97</v>
      </c>
      <c r="X25" s="30">
        <f t="shared" si="7"/>
        <v>1978088782.02</v>
      </c>
      <c r="Y25" s="30">
        <f t="shared" si="7"/>
        <v>0</v>
      </c>
      <c r="Z25" s="30">
        <f t="shared" si="7"/>
        <v>0</v>
      </c>
      <c r="AA25" s="30">
        <f>AA19+AA15+AA12+AA7+AA6+AA3</f>
        <v>2070959237</v>
      </c>
      <c r="AB25" s="30">
        <f t="shared" ref="AB25:AN25" si="8">AB19+AB15+AB12+AB7+AB6+AB3</f>
        <v>3135613138.21</v>
      </c>
      <c r="AC25" s="30">
        <f t="shared" si="8"/>
        <v>3104478062.52</v>
      </c>
      <c r="AD25" s="30">
        <f t="shared" si="8"/>
        <v>3175268626.3200002</v>
      </c>
      <c r="AE25" s="30">
        <f t="shared" si="8"/>
        <v>3153736251.7000003</v>
      </c>
      <c r="AF25" s="30">
        <f t="shared" si="8"/>
        <v>3173154624.5700002</v>
      </c>
      <c r="AG25" s="30">
        <f t="shared" si="8"/>
        <v>3248473425.4300003</v>
      </c>
      <c r="AH25" s="30">
        <f t="shared" si="8"/>
        <v>3275326983.3800001</v>
      </c>
      <c r="AI25" s="30">
        <f t="shared" si="8"/>
        <v>2169564673.5999999</v>
      </c>
      <c r="AJ25" s="30">
        <f t="shared" si="8"/>
        <v>2155270894.7199998</v>
      </c>
      <c r="AK25" s="30">
        <f t="shared" si="8"/>
        <v>2163843097.8400002</v>
      </c>
      <c r="AL25" s="30">
        <f t="shared" si="8"/>
        <v>2177935654.1199999</v>
      </c>
      <c r="AM25" s="30">
        <f t="shared" si="8"/>
        <v>2127324851.3600001</v>
      </c>
      <c r="AN25" s="30">
        <f t="shared" si="8"/>
        <v>2209776677</v>
      </c>
    </row>
    <row r="26" spans="1:41" x14ac:dyDescent="0.3">
      <c r="A26" t="s">
        <v>29</v>
      </c>
      <c r="B26" s="19">
        <v>142712717</v>
      </c>
      <c r="C26" s="10">
        <v>133589964.64</v>
      </c>
      <c r="D26" s="10">
        <v>101132469.27</v>
      </c>
      <c r="E26" s="10">
        <v>118561034.64</v>
      </c>
      <c r="F26" s="10">
        <v>161908426.41</v>
      </c>
      <c r="G26" s="10">
        <v>123172748.66</v>
      </c>
      <c r="H26" s="10">
        <v>120067301.63</v>
      </c>
      <c r="I26" s="10">
        <v>130126417.81999999</v>
      </c>
      <c r="J26" s="10">
        <v>134807543.86000001</v>
      </c>
      <c r="K26">
        <v>143629609.22</v>
      </c>
      <c r="L26">
        <v>136570871.16999999</v>
      </c>
      <c r="M26" s="19">
        <v>165158841.56</v>
      </c>
      <c r="N26" s="30">
        <v>165118842</v>
      </c>
      <c r="O26" s="42">
        <v>130607038.65000001</v>
      </c>
      <c r="P26" s="42">
        <v>129504363.84999999</v>
      </c>
      <c r="Q26" s="42">
        <v>130312370.23</v>
      </c>
      <c r="R26" s="42">
        <v>139816428.03</v>
      </c>
      <c r="S26" s="42">
        <v>138404294.69</v>
      </c>
      <c r="T26" s="42">
        <v>129443949.45999999</v>
      </c>
      <c r="U26" s="42">
        <v>160636840.37</v>
      </c>
      <c r="V26" s="42">
        <v>155397651.25</v>
      </c>
      <c r="W26" s="42">
        <v>154142171.66</v>
      </c>
      <c r="X26" s="42">
        <v>153964918.09</v>
      </c>
      <c r="Y26" s="43"/>
      <c r="Z26" s="43"/>
      <c r="AA26" s="49">
        <v>141490550</v>
      </c>
      <c r="AB26" s="45">
        <v>137645942.31999999</v>
      </c>
      <c r="AC26" s="45">
        <v>115824495.66</v>
      </c>
      <c r="AD26" s="45">
        <v>141451352.02000001</v>
      </c>
      <c r="AE26" s="45">
        <v>126012868.45</v>
      </c>
      <c r="AF26" s="45">
        <v>145308162.34999999</v>
      </c>
      <c r="AG26" s="45">
        <v>140382211.56</v>
      </c>
      <c r="AH26" s="45">
        <v>149755877.31</v>
      </c>
      <c r="AI26" s="46">
        <v>135058515.22999999</v>
      </c>
      <c r="AJ26" s="46">
        <v>130202260.52</v>
      </c>
      <c r="AK26" s="46">
        <v>127116034.69</v>
      </c>
      <c r="AL26" s="46">
        <v>130712421.64</v>
      </c>
      <c r="AM26" s="46">
        <v>124628442.64</v>
      </c>
      <c r="AN26" s="50">
        <v>106571848</v>
      </c>
    </row>
    <row r="27" spans="1:41" x14ac:dyDescent="0.3">
      <c r="A27" t="s">
        <v>30</v>
      </c>
      <c r="B27" s="19">
        <v>95822078</v>
      </c>
      <c r="C27" s="10">
        <v>99391726.870000005</v>
      </c>
      <c r="D27" s="10">
        <v>108253198.22</v>
      </c>
      <c r="E27" s="10">
        <v>109770234.22</v>
      </c>
      <c r="F27" s="10">
        <v>109105483.22</v>
      </c>
      <c r="G27" s="10">
        <v>115051476</v>
      </c>
      <c r="H27" s="10">
        <v>121278693.91</v>
      </c>
      <c r="I27" s="10">
        <v>123969096.06</v>
      </c>
      <c r="J27" s="10">
        <v>122670342.15000001</v>
      </c>
      <c r="K27">
        <v>122424909.68000001</v>
      </c>
      <c r="L27">
        <v>125250818.14</v>
      </c>
      <c r="M27" s="19">
        <v>125860189.59999999</v>
      </c>
      <c r="N27" s="30">
        <v>125860190</v>
      </c>
      <c r="O27" s="42">
        <v>126964934.18000001</v>
      </c>
      <c r="P27" s="42">
        <v>125760787.3</v>
      </c>
      <c r="Q27" s="42">
        <v>128861552.45999999</v>
      </c>
      <c r="R27" s="42">
        <v>126253283</v>
      </c>
      <c r="S27" s="42">
        <v>134453258</v>
      </c>
      <c r="T27" s="42">
        <v>135872308</v>
      </c>
      <c r="U27" s="42">
        <v>153917147</v>
      </c>
      <c r="V27" s="42">
        <v>150522311</v>
      </c>
      <c r="W27" s="42">
        <v>154057538</v>
      </c>
      <c r="X27" s="42">
        <v>157025462.65000001</v>
      </c>
      <c r="Y27" s="43"/>
      <c r="Z27" s="43"/>
      <c r="AA27" s="49">
        <v>165342484</v>
      </c>
      <c r="AB27" s="45">
        <v>168958398.78999999</v>
      </c>
      <c r="AC27" s="45">
        <v>169092442.78999999</v>
      </c>
      <c r="AD27" s="45">
        <v>174921389.40000001</v>
      </c>
      <c r="AE27" s="45">
        <v>177963853.61000001</v>
      </c>
      <c r="AF27" s="45">
        <v>184381486.61000001</v>
      </c>
      <c r="AG27" s="45">
        <v>185121959.09999999</v>
      </c>
      <c r="AH27" s="45">
        <v>201089712.50999999</v>
      </c>
      <c r="AI27" s="46">
        <v>200875171.50999999</v>
      </c>
      <c r="AJ27" s="46">
        <v>203666979.91</v>
      </c>
      <c r="AK27" s="46">
        <v>209079243.91</v>
      </c>
      <c r="AL27" s="46">
        <v>217233408.91</v>
      </c>
      <c r="AM27" s="46">
        <v>204226310.41</v>
      </c>
      <c r="AN27" s="50">
        <v>212226310</v>
      </c>
    </row>
    <row r="28" spans="1:41" x14ac:dyDescent="0.3">
      <c r="A28" t="s">
        <v>31</v>
      </c>
      <c r="B28" s="19">
        <v>785401586</v>
      </c>
      <c r="C28" s="10">
        <v>790604462.38999999</v>
      </c>
      <c r="D28" s="10">
        <v>797227851.75999999</v>
      </c>
      <c r="E28" s="10">
        <v>806127528.88</v>
      </c>
      <c r="F28" s="10">
        <v>822750538.59000003</v>
      </c>
      <c r="G28" s="10">
        <v>828206343.23000002</v>
      </c>
      <c r="H28" s="10">
        <v>835424533.90999997</v>
      </c>
      <c r="I28" s="10">
        <v>842175509.23000002</v>
      </c>
      <c r="J28" s="10">
        <v>836811956.26999998</v>
      </c>
      <c r="K28">
        <v>843847230.85000002</v>
      </c>
      <c r="L28">
        <v>850541797.25999999</v>
      </c>
      <c r="M28" s="19">
        <v>857528635.71000004</v>
      </c>
      <c r="N28" s="30">
        <v>857529636</v>
      </c>
      <c r="O28" s="42">
        <v>861017248.76999998</v>
      </c>
      <c r="P28" s="42">
        <v>867579103.87</v>
      </c>
      <c r="Q28" s="42">
        <v>871954065.29999995</v>
      </c>
      <c r="R28" s="42">
        <v>880250662.46000004</v>
      </c>
      <c r="S28" s="42">
        <v>896978795.38</v>
      </c>
      <c r="T28" s="42">
        <v>905471786.58000004</v>
      </c>
      <c r="U28" s="42">
        <v>909836074.24000001</v>
      </c>
      <c r="V28" s="42">
        <v>908146308.84000003</v>
      </c>
      <c r="W28" s="42">
        <v>918568549.71000004</v>
      </c>
      <c r="X28" s="42">
        <v>923961845.77999997</v>
      </c>
      <c r="Y28" s="43"/>
      <c r="Z28" s="43"/>
      <c r="AA28" s="49">
        <v>935167554</v>
      </c>
      <c r="AB28" s="45">
        <v>943646273.76999998</v>
      </c>
      <c r="AC28" s="45">
        <v>949581967.88</v>
      </c>
      <c r="AD28" s="45">
        <v>963186037.49000001</v>
      </c>
      <c r="AE28" s="45">
        <v>977902567.5</v>
      </c>
      <c r="AF28" s="45">
        <v>996178270.13</v>
      </c>
      <c r="AG28" s="45">
        <v>1008707251.12</v>
      </c>
      <c r="AH28" s="45">
        <v>1017166031.0700001</v>
      </c>
      <c r="AI28" s="46">
        <v>1019872348.6</v>
      </c>
      <c r="AJ28" s="46">
        <v>1017247529.0599999</v>
      </c>
      <c r="AK28" s="46">
        <v>1019017044.26</v>
      </c>
      <c r="AL28" s="46">
        <v>1021758028.0700001</v>
      </c>
      <c r="AM28" s="46">
        <v>1024356381.29</v>
      </c>
      <c r="AN28" s="50">
        <v>1013699515</v>
      </c>
    </row>
    <row r="29" spans="1:41" x14ac:dyDescent="0.3">
      <c r="A29" s="1" t="s">
        <v>32</v>
      </c>
      <c r="B29" s="30">
        <f t="shared" ref="B29:Z29" si="9">SUM(B26:B28)</f>
        <v>1023936381</v>
      </c>
      <c r="C29" s="30">
        <f t="shared" si="9"/>
        <v>1023586153.9</v>
      </c>
      <c r="D29" s="30">
        <f t="shared" si="9"/>
        <v>1006613519.25</v>
      </c>
      <c r="E29" s="30">
        <f t="shared" si="9"/>
        <v>1034458797.74</v>
      </c>
      <c r="F29" s="30">
        <f t="shared" si="9"/>
        <v>1093764448.22</v>
      </c>
      <c r="G29" s="30">
        <f t="shared" si="9"/>
        <v>1066430567.89</v>
      </c>
      <c r="H29" s="30">
        <f t="shared" si="9"/>
        <v>1076770529.45</v>
      </c>
      <c r="I29" s="30">
        <f t="shared" si="9"/>
        <v>1096271023.1100001</v>
      </c>
      <c r="J29" s="30">
        <f t="shared" si="9"/>
        <v>1094289842.28</v>
      </c>
      <c r="K29" s="30">
        <f t="shared" si="9"/>
        <v>1109901749.75</v>
      </c>
      <c r="L29" s="30">
        <f t="shared" si="9"/>
        <v>1112363486.5699999</v>
      </c>
      <c r="M29" s="41">
        <f t="shared" si="9"/>
        <v>1148547666.8699999</v>
      </c>
      <c r="N29" s="30">
        <f t="shared" si="9"/>
        <v>1148508668</v>
      </c>
      <c r="O29" s="30">
        <f t="shared" si="9"/>
        <v>1118589221.5999999</v>
      </c>
      <c r="P29" s="30">
        <f t="shared" si="9"/>
        <v>1122844255.02</v>
      </c>
      <c r="Q29" s="30">
        <f t="shared" si="9"/>
        <v>1131127987.99</v>
      </c>
      <c r="R29" s="30">
        <f t="shared" si="9"/>
        <v>1146320373.49</v>
      </c>
      <c r="S29" s="30">
        <f t="shared" si="9"/>
        <v>1169836348.0699999</v>
      </c>
      <c r="T29" s="30">
        <f t="shared" si="9"/>
        <v>1170788044.04</v>
      </c>
      <c r="U29" s="30">
        <f t="shared" si="9"/>
        <v>1224390061.6100001</v>
      </c>
      <c r="V29" s="30">
        <f t="shared" si="9"/>
        <v>1214066271.0900002</v>
      </c>
      <c r="W29" s="30">
        <f t="shared" si="9"/>
        <v>1226768259.3699999</v>
      </c>
      <c r="X29" s="30">
        <f t="shared" si="9"/>
        <v>1234952226.52</v>
      </c>
      <c r="Y29" s="30">
        <f t="shared" si="9"/>
        <v>0</v>
      </c>
      <c r="Z29" s="30">
        <f t="shared" si="9"/>
        <v>0</v>
      </c>
      <c r="AA29" s="30">
        <f>SUM(AA26:AA28)</f>
        <v>1242000588</v>
      </c>
      <c r="AB29" s="30">
        <f t="shared" ref="AB29:AN29" si="10">SUM(AB26:AB28)</f>
        <v>1250250614.8800001</v>
      </c>
      <c r="AC29" s="30">
        <f t="shared" si="10"/>
        <v>1234498906.3299999</v>
      </c>
      <c r="AD29" s="30">
        <f t="shared" si="10"/>
        <v>1279558778.9100001</v>
      </c>
      <c r="AE29" s="30">
        <f t="shared" si="10"/>
        <v>1281879289.5599999</v>
      </c>
      <c r="AF29" s="30">
        <f t="shared" si="10"/>
        <v>1325867919.0900002</v>
      </c>
      <c r="AG29" s="30">
        <f t="shared" si="10"/>
        <v>1334211421.78</v>
      </c>
      <c r="AH29" s="30">
        <f t="shared" si="10"/>
        <v>1368011620.8900001</v>
      </c>
      <c r="AI29" s="30">
        <f t="shared" si="10"/>
        <v>1355806035.3400002</v>
      </c>
      <c r="AJ29" s="30">
        <f t="shared" si="10"/>
        <v>1351116769.49</v>
      </c>
      <c r="AK29" s="30">
        <f t="shared" si="10"/>
        <v>1355212322.8600001</v>
      </c>
      <c r="AL29" s="30">
        <f t="shared" si="10"/>
        <v>1369703858.6200001</v>
      </c>
      <c r="AM29" s="30">
        <f t="shared" si="10"/>
        <v>1353211134.3399999</v>
      </c>
      <c r="AN29" s="30">
        <f t="shared" si="10"/>
        <v>1332497673</v>
      </c>
    </row>
    <row r="30" spans="1:41" x14ac:dyDescent="0.3">
      <c r="A30" t="s">
        <v>33</v>
      </c>
      <c r="B30" s="19"/>
      <c r="C30" s="9">
        <v>2463815</v>
      </c>
      <c r="D30">
        <v>1509690.29</v>
      </c>
      <c r="E30">
        <v>1820917.12</v>
      </c>
      <c r="F30">
        <v>1491240.29</v>
      </c>
      <c r="G30">
        <v>1888908.14</v>
      </c>
      <c r="H30">
        <v>1747554.34</v>
      </c>
      <c r="I30">
        <v>1806250.97</v>
      </c>
      <c r="J30">
        <v>1741919.71</v>
      </c>
      <c r="K30">
        <v>1763163.46</v>
      </c>
      <c r="L30">
        <v>716644.92</v>
      </c>
      <c r="M30" s="19">
        <v>326624.09999999998</v>
      </c>
      <c r="N30" s="30"/>
      <c r="O30" s="42">
        <v>642502.38</v>
      </c>
      <c r="P30" s="42">
        <v>215202.67</v>
      </c>
      <c r="Q30" s="42">
        <v>727315.09</v>
      </c>
      <c r="R30" s="42">
        <v>686131.88</v>
      </c>
      <c r="S30" s="42">
        <v>5272807.1399999997</v>
      </c>
      <c r="T30" s="42">
        <v>5222782.7</v>
      </c>
      <c r="U30" s="42">
        <v>4088084.15</v>
      </c>
      <c r="V30" s="42">
        <v>3706637.12</v>
      </c>
      <c r="W30" s="42">
        <v>3496526.9</v>
      </c>
      <c r="X30" s="42">
        <v>3120087.34</v>
      </c>
      <c r="Y30" s="43"/>
      <c r="Z30" s="43"/>
      <c r="AA30" s="49">
        <v>-678121</v>
      </c>
      <c r="AB30" s="45">
        <v>1183908.3799999999</v>
      </c>
      <c r="AC30" s="45">
        <v>-19462.97</v>
      </c>
      <c r="AD30" s="45">
        <v>519912.79</v>
      </c>
      <c r="AE30" s="45">
        <v>-3515386.99</v>
      </c>
      <c r="AF30" s="45">
        <v>2335029.2200000002</v>
      </c>
      <c r="AG30" s="45">
        <v>2349022.44</v>
      </c>
      <c r="AH30" s="45">
        <v>2958692.86</v>
      </c>
      <c r="AI30" s="51">
        <v>3318660.94</v>
      </c>
      <c r="AJ30" s="51">
        <v>2913511.99</v>
      </c>
      <c r="AK30" s="51">
        <v>-2415960.71</v>
      </c>
      <c r="AL30" s="51">
        <v>-2097787.56</v>
      </c>
      <c r="AM30" s="51">
        <v>-4244436.84</v>
      </c>
      <c r="AN30" s="43"/>
    </row>
    <row r="31" spans="1:41" x14ac:dyDescent="0.3">
      <c r="A31" t="s">
        <v>34</v>
      </c>
      <c r="B31" s="19">
        <v>84014461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>
        <v>0</v>
      </c>
      <c r="L31">
        <v>0</v>
      </c>
      <c r="M31" s="19">
        <v>0</v>
      </c>
      <c r="N31" s="30">
        <v>77330992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3"/>
      <c r="Z31" s="43"/>
      <c r="AA31" s="42">
        <v>122958829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43"/>
    </row>
    <row r="32" spans="1:41" x14ac:dyDescent="0.3">
      <c r="A32" t="s">
        <v>35</v>
      </c>
      <c r="B32" s="19">
        <v>5817765</v>
      </c>
      <c r="C32" s="10">
        <v>5817765</v>
      </c>
      <c r="D32" s="10">
        <v>5817765</v>
      </c>
      <c r="E32" s="10">
        <v>5817765</v>
      </c>
      <c r="F32" s="10">
        <v>5817765</v>
      </c>
      <c r="G32" s="10">
        <v>5817765</v>
      </c>
      <c r="H32" s="10">
        <v>5817765</v>
      </c>
      <c r="I32" s="10">
        <v>5817765</v>
      </c>
      <c r="J32" s="10">
        <v>5817765</v>
      </c>
      <c r="K32">
        <v>5817765</v>
      </c>
      <c r="L32">
        <v>5817765</v>
      </c>
      <c r="M32" s="19">
        <v>5817765</v>
      </c>
      <c r="N32" s="30">
        <v>5817765</v>
      </c>
      <c r="O32" s="42">
        <v>5817765</v>
      </c>
      <c r="P32" s="42">
        <v>5817765</v>
      </c>
      <c r="Q32" s="42">
        <v>5817765</v>
      </c>
      <c r="R32" s="42">
        <v>5817765</v>
      </c>
      <c r="S32" s="42">
        <v>5817765</v>
      </c>
      <c r="T32" s="42">
        <v>5817765</v>
      </c>
      <c r="U32" s="42">
        <v>5817765</v>
      </c>
      <c r="V32" s="42">
        <v>5817765</v>
      </c>
      <c r="W32" s="42">
        <v>5817765</v>
      </c>
      <c r="X32" s="42">
        <v>5817765</v>
      </c>
      <c r="Y32" s="43"/>
      <c r="Z32" s="43"/>
      <c r="AA32" s="49">
        <v>5817765</v>
      </c>
      <c r="AB32" s="45">
        <v>5817765</v>
      </c>
      <c r="AC32" s="45">
        <v>5817765</v>
      </c>
      <c r="AD32" s="45">
        <v>5817765</v>
      </c>
      <c r="AE32" s="45">
        <v>5817765</v>
      </c>
      <c r="AF32" s="45">
        <v>5817765</v>
      </c>
      <c r="AG32" s="45">
        <v>5817765</v>
      </c>
      <c r="AH32" s="45">
        <v>5817765</v>
      </c>
      <c r="AI32" s="51">
        <v>5817765</v>
      </c>
      <c r="AJ32" s="51">
        <v>5817765</v>
      </c>
      <c r="AK32" s="51">
        <v>5817765</v>
      </c>
      <c r="AL32" s="51">
        <v>5817765</v>
      </c>
      <c r="AM32" s="51">
        <v>5817765</v>
      </c>
      <c r="AN32" s="43">
        <v>5817765</v>
      </c>
    </row>
    <row r="33" spans="1:40" x14ac:dyDescent="0.3">
      <c r="A33" t="s">
        <v>36</v>
      </c>
      <c r="B33" s="19"/>
      <c r="C33" s="10">
        <v>12811165.59</v>
      </c>
      <c r="D33" s="10">
        <v>12811165.59</v>
      </c>
      <c r="E33" s="10">
        <v>13336717.59</v>
      </c>
      <c r="F33" s="10">
        <v>13336717.59</v>
      </c>
      <c r="G33" s="10">
        <v>13687085.59</v>
      </c>
      <c r="H33" s="10">
        <v>13862269.59</v>
      </c>
      <c r="I33" s="10">
        <v>14212637.59</v>
      </c>
      <c r="J33" s="10">
        <v>14212637.59</v>
      </c>
      <c r="K33">
        <v>14387821.59</v>
      </c>
      <c r="L33">
        <v>14563005.59</v>
      </c>
      <c r="M33" s="19">
        <v>14738189.59</v>
      </c>
      <c r="N33" s="30"/>
      <c r="O33" s="42">
        <v>14738189.59</v>
      </c>
      <c r="P33" s="42">
        <v>14738189.59</v>
      </c>
      <c r="Q33" s="42">
        <v>14738189.59</v>
      </c>
      <c r="R33" s="42">
        <v>15438925.59</v>
      </c>
      <c r="S33" s="42">
        <v>15438925.59</v>
      </c>
      <c r="T33" s="42">
        <v>15789293.59</v>
      </c>
      <c r="U33" s="42">
        <v>15789293.59</v>
      </c>
      <c r="V33" s="42">
        <v>16139661.59</v>
      </c>
      <c r="W33" s="42">
        <v>10239661.59</v>
      </c>
      <c r="X33" s="42">
        <v>9788717.75</v>
      </c>
      <c r="Y33" s="43"/>
      <c r="Z33" s="43"/>
      <c r="AA33" s="42">
        <v>2119096</v>
      </c>
      <c r="AB33" s="45">
        <v>139464.01999999999</v>
      </c>
      <c r="AC33" s="45">
        <v>-70535.98</v>
      </c>
      <c r="AD33" s="45">
        <v>-870535.98</v>
      </c>
      <c r="AE33" s="45">
        <v>-1170535.98</v>
      </c>
      <c r="AF33" s="45">
        <v>-2020535.98</v>
      </c>
      <c r="AG33" s="45">
        <v>-2652535.98</v>
      </c>
      <c r="AH33" s="45">
        <v>-2076615.98</v>
      </c>
      <c r="AI33" s="51">
        <v>-3376615.98</v>
      </c>
      <c r="AJ33" s="51">
        <v>-4776615.9800000004</v>
      </c>
      <c r="AK33" s="51">
        <v>-3751416.38</v>
      </c>
      <c r="AL33" s="51">
        <v>-3533467.88</v>
      </c>
      <c r="AM33" s="51">
        <v>-3783467.88</v>
      </c>
      <c r="AN33" s="43"/>
    </row>
    <row r="34" spans="1:40" x14ac:dyDescent="0.3">
      <c r="A34" t="s">
        <v>37</v>
      </c>
      <c r="B34" s="19">
        <v>12811166</v>
      </c>
      <c r="C34" s="10">
        <v>88213931.670000002</v>
      </c>
      <c r="D34" s="10">
        <v>86332728.150000006</v>
      </c>
      <c r="E34" s="10">
        <v>85162658.030000001</v>
      </c>
      <c r="F34" s="10">
        <v>17652305.48</v>
      </c>
      <c r="G34" s="10">
        <v>13897489.689999999</v>
      </c>
      <c r="H34" s="10">
        <v>7825791.3799999999</v>
      </c>
      <c r="I34" s="10">
        <v>6715539.1500000004</v>
      </c>
      <c r="J34" s="10">
        <v>9129413.7100000009</v>
      </c>
      <c r="K34">
        <v>12791619.050000001</v>
      </c>
      <c r="L34">
        <v>6511614.5300000003</v>
      </c>
      <c r="M34" s="19">
        <v>30517876.449999999</v>
      </c>
      <c r="N34" s="30">
        <v>14738190</v>
      </c>
      <c r="O34" s="42">
        <v>105622272.09</v>
      </c>
      <c r="P34" s="42">
        <v>88833553.579999998</v>
      </c>
      <c r="Q34" s="42">
        <v>82665726.769999996</v>
      </c>
      <c r="R34" s="42">
        <v>81584680.170000002</v>
      </c>
      <c r="S34" s="42">
        <v>33141037.68</v>
      </c>
      <c r="T34" s="42">
        <v>29328113.370000001</v>
      </c>
      <c r="U34" s="42">
        <v>18841637.809999999</v>
      </c>
      <c r="V34" s="42">
        <v>25687257.789999999</v>
      </c>
      <c r="W34" s="42">
        <v>23231859.43</v>
      </c>
      <c r="X34" s="42">
        <v>22966868.629999999</v>
      </c>
      <c r="Y34" s="43"/>
      <c r="Z34" s="43"/>
      <c r="AA34" s="43"/>
      <c r="AB34" s="45">
        <v>20814806.620000001</v>
      </c>
      <c r="AC34" s="45">
        <v>132104884.95999999</v>
      </c>
      <c r="AD34" s="45">
        <v>134062090.7</v>
      </c>
      <c r="AE34" s="45">
        <v>109485560.12</v>
      </c>
      <c r="AF34" s="45">
        <v>8773753.6199999992</v>
      </c>
      <c r="AG34" s="45">
        <v>-28610347.489999998</v>
      </c>
      <c r="AH34" s="45">
        <v>-53203830.490000002</v>
      </c>
      <c r="AI34" s="51">
        <v>-28769850.789999999</v>
      </c>
      <c r="AJ34" s="51">
        <v>-36897809.479999997</v>
      </c>
      <c r="AK34" s="51">
        <v>-40330364.020000003</v>
      </c>
      <c r="AL34" s="51">
        <v>-49538597.579999998</v>
      </c>
      <c r="AM34" s="51">
        <v>-102145908.36</v>
      </c>
      <c r="AN34" s="30">
        <v>60292558</v>
      </c>
    </row>
    <row r="35" spans="1:40" x14ac:dyDescent="0.3">
      <c r="A35" t="s">
        <v>38</v>
      </c>
      <c r="B35" s="19">
        <v>137071101</v>
      </c>
      <c r="C35" s="10">
        <v>133117439.54000001</v>
      </c>
      <c r="D35" s="10">
        <v>171076312.94999999</v>
      </c>
      <c r="E35" s="10">
        <v>171076312.94999999</v>
      </c>
      <c r="F35" s="10">
        <v>137537405.09999999</v>
      </c>
      <c r="G35" s="10">
        <v>129926126.58</v>
      </c>
      <c r="H35" s="10">
        <v>145255835.97999999</v>
      </c>
      <c r="I35" s="10">
        <v>159033639.78999999</v>
      </c>
      <c r="J35" s="10">
        <v>381432117.06</v>
      </c>
      <c r="K35">
        <v>256248783.66999999</v>
      </c>
      <c r="L35">
        <v>256248783.66999999</v>
      </c>
      <c r="M35" s="19">
        <v>258197740.66999999</v>
      </c>
      <c r="N35" s="30">
        <v>289699512</v>
      </c>
      <c r="O35" s="42">
        <v>277866179</v>
      </c>
      <c r="P35" s="42">
        <v>271068866.00999999</v>
      </c>
      <c r="Q35" s="42">
        <v>271068866.00999999</v>
      </c>
      <c r="R35" s="42">
        <v>281972833.29000002</v>
      </c>
      <c r="S35" s="42">
        <v>283846383.92000002</v>
      </c>
      <c r="T35" s="42">
        <v>268744324.38999999</v>
      </c>
      <c r="U35" s="42">
        <v>256910991.38999999</v>
      </c>
      <c r="V35" s="42">
        <v>266042572.63999999</v>
      </c>
      <c r="W35" s="42">
        <v>253687318.00999999</v>
      </c>
      <c r="X35" s="42">
        <v>251552007.46000001</v>
      </c>
      <c r="Y35" s="43"/>
      <c r="Z35" s="43"/>
      <c r="AA35" s="42">
        <v>261813600</v>
      </c>
      <c r="AB35" s="45">
        <v>322165509.56999999</v>
      </c>
      <c r="AC35" s="45">
        <v>321348535.00999999</v>
      </c>
      <c r="AD35" s="45">
        <v>308515202.00999999</v>
      </c>
      <c r="AE35" s="45">
        <v>317522652.00999999</v>
      </c>
      <c r="AF35" s="45">
        <v>391292097.00999999</v>
      </c>
      <c r="AG35" s="45">
        <v>376894875.00999999</v>
      </c>
      <c r="AH35" s="45">
        <v>391872546.00999999</v>
      </c>
      <c r="AI35" s="51">
        <v>357987882.00999999</v>
      </c>
      <c r="AJ35" s="51">
        <v>357987882.00999999</v>
      </c>
      <c r="AK35" s="51">
        <v>352696215.00999999</v>
      </c>
      <c r="AL35" s="51">
        <v>347404548.00999999</v>
      </c>
      <c r="AM35" s="51">
        <v>342112881.00999999</v>
      </c>
      <c r="AN35" s="30">
        <v>342112881</v>
      </c>
    </row>
    <row r="36" spans="1:40" x14ac:dyDescent="0.3">
      <c r="A36" s="1" t="s">
        <v>39</v>
      </c>
      <c r="B36" s="30">
        <f t="shared" ref="B36:Z36" si="11">SUM(B29:B35)</f>
        <v>1263650874</v>
      </c>
      <c r="C36" s="30">
        <f t="shared" si="11"/>
        <v>1266010270.7</v>
      </c>
      <c r="D36" s="30">
        <f t="shared" si="11"/>
        <v>1284161181.23</v>
      </c>
      <c r="E36" s="30">
        <f t="shared" si="11"/>
        <v>1311673168.4300001</v>
      </c>
      <c r="F36" s="30">
        <f t="shared" si="11"/>
        <v>1269599881.6799998</v>
      </c>
      <c r="G36" s="30">
        <f t="shared" si="11"/>
        <v>1231647942.8899999</v>
      </c>
      <c r="H36" s="30">
        <f t="shared" si="11"/>
        <v>1251279745.74</v>
      </c>
      <c r="I36" s="30">
        <f t="shared" si="11"/>
        <v>1283856855.6100001</v>
      </c>
      <c r="J36" s="30">
        <f t="shared" si="11"/>
        <v>1506623695.3499999</v>
      </c>
      <c r="K36" s="30">
        <f t="shared" si="11"/>
        <v>1400910902.52</v>
      </c>
      <c r="L36" s="30">
        <f t="shared" si="11"/>
        <v>1396221300.28</v>
      </c>
      <c r="M36" s="41">
        <f t="shared" si="11"/>
        <v>1458145862.6799998</v>
      </c>
      <c r="N36" s="30">
        <f t="shared" si="11"/>
        <v>1536095127</v>
      </c>
      <c r="O36" s="30">
        <f t="shared" si="11"/>
        <v>1523276129.6599998</v>
      </c>
      <c r="P36" s="30">
        <f t="shared" si="11"/>
        <v>1503517831.8699999</v>
      </c>
      <c r="Q36" s="30">
        <f t="shared" si="11"/>
        <v>1506145850.4499998</v>
      </c>
      <c r="R36" s="30">
        <f t="shared" si="11"/>
        <v>1531820709.4200001</v>
      </c>
      <c r="S36" s="30">
        <f t="shared" si="11"/>
        <v>1513353267.4000001</v>
      </c>
      <c r="T36" s="30">
        <f t="shared" si="11"/>
        <v>1495690323.0899997</v>
      </c>
      <c r="U36" s="30">
        <f t="shared" si="11"/>
        <v>1525837833.5500002</v>
      </c>
      <c r="V36" s="30">
        <f t="shared" si="11"/>
        <v>1531460165.23</v>
      </c>
      <c r="W36" s="30">
        <f t="shared" si="11"/>
        <v>1523241390.3</v>
      </c>
      <c r="X36" s="30">
        <f t="shared" si="11"/>
        <v>1528197672.7</v>
      </c>
      <c r="Y36" s="30">
        <f t="shared" si="11"/>
        <v>0</v>
      </c>
      <c r="Z36" s="30">
        <f t="shared" si="11"/>
        <v>0</v>
      </c>
      <c r="AA36" s="30">
        <f>SUM(AA29:AA35)</f>
        <v>1634031757</v>
      </c>
      <c r="AB36" s="30">
        <f t="shared" ref="AB36:AN36" si="12">SUM(AB29:AB35)</f>
        <v>1600372068.47</v>
      </c>
      <c r="AC36" s="30">
        <f t="shared" si="12"/>
        <v>1693680092.3499999</v>
      </c>
      <c r="AD36" s="30">
        <f t="shared" si="12"/>
        <v>1727603213.4300001</v>
      </c>
      <c r="AE36" s="30">
        <f t="shared" si="12"/>
        <v>1710019343.72</v>
      </c>
      <c r="AF36" s="30">
        <f t="shared" si="12"/>
        <v>1732066027.96</v>
      </c>
      <c r="AG36" s="30">
        <f t="shared" si="12"/>
        <v>1688010200.76</v>
      </c>
      <c r="AH36" s="30">
        <f t="shared" si="12"/>
        <v>1713380178.29</v>
      </c>
      <c r="AI36" s="30">
        <f t="shared" si="12"/>
        <v>1690783876.5200002</v>
      </c>
      <c r="AJ36" s="30">
        <f t="shared" si="12"/>
        <v>1676161503.03</v>
      </c>
      <c r="AK36" s="30">
        <f t="shared" si="12"/>
        <v>1667228561.76</v>
      </c>
      <c r="AL36" s="30">
        <f t="shared" si="12"/>
        <v>1667756318.6100001</v>
      </c>
      <c r="AM36" s="30">
        <f t="shared" si="12"/>
        <v>1590967967.27</v>
      </c>
      <c r="AN36" s="30">
        <f t="shared" si="12"/>
        <v>1740720877</v>
      </c>
    </row>
    <row r="37" spans="1:40" x14ac:dyDescent="0.3">
      <c r="A37" t="s">
        <v>40</v>
      </c>
      <c r="B37" s="19">
        <v>94040516</v>
      </c>
      <c r="C37" s="10">
        <v>96375373.780000001</v>
      </c>
      <c r="D37" s="10">
        <v>99026286.010000005</v>
      </c>
      <c r="E37" s="10">
        <v>101597991.92</v>
      </c>
      <c r="F37" s="10">
        <v>103695875.73</v>
      </c>
      <c r="G37" s="10">
        <v>105917674.16</v>
      </c>
      <c r="H37" s="10">
        <v>108155390.77</v>
      </c>
      <c r="I37" s="10">
        <v>112665956.8</v>
      </c>
      <c r="J37" s="10">
        <v>114807179.84</v>
      </c>
      <c r="K37">
        <v>117098997.15000001</v>
      </c>
      <c r="L37">
        <v>119163003.15000001</v>
      </c>
      <c r="M37" s="19">
        <v>121120367.02</v>
      </c>
      <c r="N37" s="30">
        <v>121120367</v>
      </c>
      <c r="O37" s="42">
        <v>123703635.61</v>
      </c>
      <c r="P37" s="42">
        <v>125701053.03</v>
      </c>
      <c r="Q37" s="42">
        <v>128213246.70999999</v>
      </c>
      <c r="R37" s="42">
        <v>130367205.69</v>
      </c>
      <c r="S37" s="42">
        <v>132149840.92</v>
      </c>
      <c r="T37" s="42">
        <v>134717710.68000001</v>
      </c>
      <c r="U37" s="42">
        <v>137055123.61000001</v>
      </c>
      <c r="V37" s="42">
        <v>139139919.81</v>
      </c>
      <c r="W37" s="42">
        <v>141327055.02000001</v>
      </c>
      <c r="X37" s="42">
        <v>143678081.25</v>
      </c>
      <c r="Y37" s="43"/>
      <c r="Z37" s="43"/>
      <c r="AA37" s="42">
        <v>148054368</v>
      </c>
      <c r="AB37" s="45">
        <v>148560411.84</v>
      </c>
      <c r="AC37" s="45">
        <v>148699275.88999999</v>
      </c>
      <c r="AD37" s="45">
        <v>149293122.47999999</v>
      </c>
      <c r="AE37" s="45">
        <v>149224166.03999999</v>
      </c>
      <c r="AF37" s="45">
        <v>150578456.52000001</v>
      </c>
      <c r="AG37" s="45">
        <v>151394440.78</v>
      </c>
      <c r="AH37" s="45">
        <v>151356027.78</v>
      </c>
      <c r="AI37" s="46">
        <v>152012691.44999999</v>
      </c>
      <c r="AJ37" s="46">
        <v>152394997.88</v>
      </c>
      <c r="AK37" s="46">
        <v>152732609.69</v>
      </c>
      <c r="AL37" s="46">
        <v>153109303.25999999</v>
      </c>
      <c r="AM37" s="46">
        <v>153370471.43000001</v>
      </c>
      <c r="AN37" s="45">
        <v>153370471</v>
      </c>
    </row>
    <row r="38" spans="1:40" x14ac:dyDescent="0.3">
      <c r="A38" t="s">
        <v>41</v>
      </c>
      <c r="B38" s="19"/>
      <c r="C38" s="9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9">
        <v>0</v>
      </c>
      <c r="N38" s="30"/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3"/>
      <c r="Z38" s="43"/>
      <c r="AA38" s="43"/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6">
        <v>0</v>
      </c>
      <c r="AJ38" s="46">
        <v>0</v>
      </c>
      <c r="AK38" s="46">
        <v>0</v>
      </c>
      <c r="AL38" s="46">
        <v>0</v>
      </c>
      <c r="AM38" s="46">
        <v>0</v>
      </c>
      <c r="AN38" s="43"/>
    </row>
    <row r="39" spans="1:40" x14ac:dyDescent="0.3">
      <c r="A39" t="s">
        <v>42</v>
      </c>
      <c r="B39" s="19">
        <v>76444433</v>
      </c>
      <c r="C39" s="10">
        <v>75728251.829999998</v>
      </c>
      <c r="D39" s="10">
        <v>75728251.829999998</v>
      </c>
      <c r="E39" s="10">
        <v>75728215.469999999</v>
      </c>
      <c r="F39" s="10">
        <v>75728251.829999998</v>
      </c>
      <c r="G39" s="10">
        <v>75728251.829999998</v>
      </c>
      <c r="H39" s="10">
        <v>75728696.120000005</v>
      </c>
      <c r="I39" s="10">
        <v>75728696.120000005</v>
      </c>
      <c r="J39" s="10">
        <v>75728696.120000005</v>
      </c>
      <c r="K39">
        <v>75728696.120000005</v>
      </c>
      <c r="L39">
        <v>75728696.120000005</v>
      </c>
      <c r="M39" s="19">
        <v>75728696.120000005</v>
      </c>
      <c r="N39" s="30">
        <v>74728696</v>
      </c>
      <c r="O39" s="42">
        <v>96421478.980000004</v>
      </c>
      <c r="P39" s="42">
        <v>96421478.980000004</v>
      </c>
      <c r="Q39" s="42">
        <v>109221478.98</v>
      </c>
      <c r="R39" s="42">
        <v>109221478.98</v>
      </c>
      <c r="S39" s="42">
        <v>109221478.98</v>
      </c>
      <c r="T39" s="42">
        <v>109221478.98</v>
      </c>
      <c r="U39" s="42">
        <v>109221478.98</v>
      </c>
      <c r="V39" s="42">
        <v>109221478.98</v>
      </c>
      <c r="W39" s="42">
        <v>109221478.98</v>
      </c>
      <c r="X39" s="42">
        <v>109221478.98</v>
      </c>
      <c r="Y39" s="43"/>
      <c r="Z39" s="43"/>
      <c r="AA39" s="43"/>
      <c r="AB39" s="45">
        <v>142426324.34</v>
      </c>
      <c r="AC39" s="45">
        <v>8104132.9400000004</v>
      </c>
      <c r="AD39" s="45">
        <v>48104132.939999998</v>
      </c>
      <c r="AE39" s="45">
        <v>48104132.939999998</v>
      </c>
      <c r="AF39" s="45">
        <v>45504132.939999998</v>
      </c>
      <c r="AG39" s="45">
        <v>137422054.94</v>
      </c>
      <c r="AH39" s="45">
        <v>137422054.94</v>
      </c>
      <c r="AI39" s="46">
        <v>137422054.94</v>
      </c>
      <c r="AJ39" s="46">
        <v>137422054.94</v>
      </c>
      <c r="AK39" s="46">
        <v>137422054.94</v>
      </c>
      <c r="AL39" s="46">
        <v>137422054.94</v>
      </c>
      <c r="AM39" s="46">
        <v>137422054.94</v>
      </c>
      <c r="AN39" s="45">
        <v>126395535</v>
      </c>
    </row>
    <row r="40" spans="1:40" x14ac:dyDescent="0.3">
      <c r="A40" t="s">
        <v>43</v>
      </c>
      <c r="B40" s="19"/>
      <c r="C40" s="10">
        <v>4874335.42</v>
      </c>
      <c r="D40" s="10">
        <v>-4521185.78</v>
      </c>
      <c r="E40" s="10">
        <v>11985150.01</v>
      </c>
      <c r="F40" s="10">
        <v>24224211.920000002</v>
      </c>
      <c r="G40" s="10">
        <v>22121896.77</v>
      </c>
      <c r="H40" s="10">
        <v>33855266.810000002</v>
      </c>
      <c r="I40" s="10">
        <v>33828986.409999996</v>
      </c>
      <c r="J40" s="10">
        <v>35234668.159999996</v>
      </c>
      <c r="K40">
        <v>39049351.270000003</v>
      </c>
      <c r="L40">
        <v>41252981.920000002</v>
      </c>
      <c r="M40" s="19">
        <v>22243839.84</v>
      </c>
      <c r="N40" s="30">
        <f>92322924-N39</f>
        <v>17594228</v>
      </c>
      <c r="O40" s="42">
        <v>1117242.29</v>
      </c>
      <c r="P40" s="42">
        <v>6199533.5999999996</v>
      </c>
      <c r="Q40" s="42">
        <v>13000039.57</v>
      </c>
      <c r="R40" s="42">
        <v>7642331.2800000003</v>
      </c>
      <c r="S40" s="42">
        <v>898922.75</v>
      </c>
      <c r="T40" s="42">
        <v>5575826.0499999998</v>
      </c>
      <c r="U40" s="42">
        <v>8451719.7200000007</v>
      </c>
      <c r="V40" s="42">
        <v>9581941.0399999991</v>
      </c>
      <c r="W40" s="42">
        <v>28597533.73</v>
      </c>
      <c r="X40" s="42">
        <v>30781216.149999999</v>
      </c>
      <c r="Y40" s="43"/>
      <c r="Z40" s="43"/>
      <c r="AA40" s="43"/>
      <c r="AB40" s="45">
        <v>1285976.67</v>
      </c>
      <c r="AC40" s="45">
        <v>3947050.31</v>
      </c>
      <c r="AD40" s="45">
        <v>7524026.3700000001</v>
      </c>
      <c r="AE40" s="45">
        <v>6103515.1600000001</v>
      </c>
      <c r="AF40" s="45">
        <v>7048248.0599999996</v>
      </c>
      <c r="AG40" s="45">
        <v>21784625.030000001</v>
      </c>
      <c r="AH40" s="45">
        <v>23436514</v>
      </c>
      <c r="AI40" s="46">
        <v>23135717.75</v>
      </c>
      <c r="AJ40" s="46">
        <v>23082005.93</v>
      </c>
      <c r="AK40" s="46">
        <v>40249538.509999998</v>
      </c>
      <c r="AL40" s="46">
        <v>53437644.369999997</v>
      </c>
      <c r="AM40" s="46">
        <v>79367888.150000006</v>
      </c>
      <c r="AN40" s="48">
        <f>-20359837+29691591-2000000-5938318+3748948-16871187</f>
        <v>-11728803</v>
      </c>
    </row>
    <row r="41" spans="1:40" x14ac:dyDescent="0.3">
      <c r="A41" t="s">
        <v>44</v>
      </c>
      <c r="B41" s="19">
        <v>36256597</v>
      </c>
      <c r="C41" s="10">
        <v>34616257.600000001</v>
      </c>
      <c r="D41" s="10">
        <v>34616257.600000001</v>
      </c>
      <c r="E41" s="10">
        <v>34616257.600000001</v>
      </c>
      <c r="F41" s="10">
        <v>34616257.600000001</v>
      </c>
      <c r="G41" s="10">
        <v>34616257.600000001</v>
      </c>
      <c r="H41" s="10">
        <v>34616257.600000001</v>
      </c>
      <c r="I41" s="10">
        <v>34616257.600000001</v>
      </c>
      <c r="J41" s="10">
        <v>34616257.600000001</v>
      </c>
      <c r="K41">
        <v>34616257.600000001</v>
      </c>
      <c r="L41">
        <v>34616257.600000001</v>
      </c>
      <c r="M41" s="19">
        <v>34616257.600000001</v>
      </c>
      <c r="N41" s="30">
        <v>39514815</v>
      </c>
      <c r="O41" s="42">
        <v>34616257.600000001</v>
      </c>
      <c r="P41" s="42">
        <v>34616257.600000001</v>
      </c>
      <c r="Q41" s="42">
        <v>34616257.600000001</v>
      </c>
      <c r="R41" s="42">
        <v>34616257.600000001</v>
      </c>
      <c r="S41" s="42">
        <v>34616257.600000001</v>
      </c>
      <c r="T41" s="42">
        <v>34616257.600000001</v>
      </c>
      <c r="U41" s="42">
        <v>34616257.600000001</v>
      </c>
      <c r="V41" s="42">
        <v>34616257.600000001</v>
      </c>
      <c r="W41" s="42">
        <v>34616257.600000001</v>
      </c>
      <c r="X41" s="42">
        <v>34616257.600000001</v>
      </c>
      <c r="Y41" s="43"/>
      <c r="Z41" s="43"/>
      <c r="AA41" s="42">
        <v>37272789</v>
      </c>
      <c r="AB41" s="45">
        <v>34616257.600000001</v>
      </c>
      <c r="AC41" s="45">
        <v>34616257.600000001</v>
      </c>
      <c r="AD41" s="45">
        <v>34616257.600000001</v>
      </c>
      <c r="AE41" s="45">
        <v>34616257.600000001</v>
      </c>
      <c r="AF41" s="45">
        <v>34616257.600000001</v>
      </c>
      <c r="AG41" s="45">
        <v>34616257.600000001</v>
      </c>
      <c r="AH41" s="45">
        <v>34616257.600000001</v>
      </c>
      <c r="AI41" s="46">
        <v>34616257.600000001</v>
      </c>
      <c r="AJ41" s="46">
        <v>34616257.600000001</v>
      </c>
      <c r="AK41" s="46">
        <v>34616257.600000001</v>
      </c>
      <c r="AL41" s="46">
        <v>34616257.600000001</v>
      </c>
      <c r="AM41" s="46">
        <v>34616257.600000001</v>
      </c>
      <c r="AN41" s="30">
        <v>48394692</v>
      </c>
    </row>
    <row r="42" spans="1:40" x14ac:dyDescent="0.3">
      <c r="A42" t="s">
        <v>45</v>
      </c>
      <c r="B42" s="19">
        <f>31056538+158643</f>
        <v>31215181</v>
      </c>
      <c r="C42" s="10">
        <v>21056538.34</v>
      </c>
      <c r="D42" s="10">
        <v>21056538.34</v>
      </c>
      <c r="E42" s="10">
        <v>21056538.34</v>
      </c>
      <c r="F42" s="10">
        <v>21056538.34</v>
      </c>
      <c r="G42" s="10">
        <v>21056538.34</v>
      </c>
      <c r="H42" s="10">
        <v>21056538.34</v>
      </c>
      <c r="I42" s="10">
        <v>21056538.34</v>
      </c>
      <c r="J42" s="10">
        <v>21056538.34</v>
      </c>
      <c r="K42">
        <v>21056538.34</v>
      </c>
      <c r="L42">
        <v>21056538.34</v>
      </c>
      <c r="M42" s="19">
        <v>21056538.34</v>
      </c>
      <c r="N42" s="30">
        <f>23056538+158643</f>
        <v>23215181</v>
      </c>
      <c r="O42" s="42">
        <v>21056538.34</v>
      </c>
      <c r="P42" s="42">
        <v>21056538.34</v>
      </c>
      <c r="Q42" s="42">
        <v>21056538.34</v>
      </c>
      <c r="R42" s="42">
        <v>21056538.34</v>
      </c>
      <c r="S42" s="42">
        <v>21056538.34</v>
      </c>
      <c r="T42" s="42">
        <v>21056538.34</v>
      </c>
      <c r="U42" s="42">
        <v>21056538.34</v>
      </c>
      <c r="V42" s="42">
        <v>21056538.34</v>
      </c>
      <c r="W42" s="42">
        <v>21056538.34</v>
      </c>
      <c r="X42" s="42">
        <v>21056538.34</v>
      </c>
      <c r="Y42" s="43"/>
      <c r="Z42" s="43"/>
      <c r="AA42" s="43">
        <f>23056538+117847605+158643</f>
        <v>141062786</v>
      </c>
      <c r="AB42" s="45">
        <v>21056538.34</v>
      </c>
      <c r="AC42" s="45">
        <v>21056538.34</v>
      </c>
      <c r="AD42" s="45">
        <v>21056538.34</v>
      </c>
      <c r="AE42" s="45">
        <v>21056538.34</v>
      </c>
      <c r="AF42" s="45">
        <v>21056538.34</v>
      </c>
      <c r="AG42" s="45">
        <v>21056538.34</v>
      </c>
      <c r="AH42" s="45">
        <v>21056538.34</v>
      </c>
      <c r="AI42" s="46">
        <v>21056538.34</v>
      </c>
      <c r="AJ42" s="46">
        <v>21056538.34</v>
      </c>
      <c r="AK42" s="46">
        <v>21056538.34</v>
      </c>
      <c r="AL42" s="46">
        <v>21056538.34</v>
      </c>
      <c r="AM42" s="46">
        <v>21042674.969999999</v>
      </c>
      <c r="AN42" s="43">
        <f>158643+25056538</f>
        <v>25215181</v>
      </c>
    </row>
    <row r="43" spans="1:40" x14ac:dyDescent="0.3">
      <c r="A43" t="s">
        <v>46</v>
      </c>
      <c r="B43" s="19">
        <v>110537537</v>
      </c>
      <c r="C43" s="10">
        <v>110537537</v>
      </c>
      <c r="D43" s="10">
        <v>110537537</v>
      </c>
      <c r="E43" s="10">
        <v>110537537</v>
      </c>
      <c r="F43" s="10">
        <v>110537537</v>
      </c>
      <c r="G43" s="10">
        <v>110537537</v>
      </c>
      <c r="H43" s="10">
        <v>110537537</v>
      </c>
      <c r="I43" s="10">
        <v>110537537</v>
      </c>
      <c r="J43" s="10">
        <v>110537537</v>
      </c>
      <c r="K43">
        <v>110537537</v>
      </c>
      <c r="L43">
        <v>110537537</v>
      </c>
      <c r="M43" s="19">
        <v>110537537</v>
      </c>
      <c r="N43" s="30">
        <v>110537537</v>
      </c>
      <c r="O43" s="42">
        <v>110537537</v>
      </c>
      <c r="P43" s="42">
        <v>110537537</v>
      </c>
      <c r="Q43" s="42">
        <v>110537537</v>
      </c>
      <c r="R43" s="42">
        <v>110537537</v>
      </c>
      <c r="S43" s="42">
        <v>110537537</v>
      </c>
      <c r="T43" s="42">
        <v>110537537</v>
      </c>
      <c r="U43" s="42">
        <v>110537537</v>
      </c>
      <c r="V43" s="42">
        <v>110537537</v>
      </c>
      <c r="W43" s="42">
        <v>110537537</v>
      </c>
      <c r="X43" s="42">
        <v>110537537</v>
      </c>
      <c r="Y43" s="43"/>
      <c r="Z43" s="43"/>
      <c r="AA43" s="42">
        <v>110537537</v>
      </c>
      <c r="AB43" s="45">
        <v>110537537</v>
      </c>
      <c r="AC43" s="45">
        <v>110537537</v>
      </c>
      <c r="AD43" s="45">
        <v>110537537</v>
      </c>
      <c r="AE43" s="45">
        <v>110537537</v>
      </c>
      <c r="AF43" s="45">
        <v>110537537</v>
      </c>
      <c r="AG43" s="45">
        <v>110537537</v>
      </c>
      <c r="AH43" s="45">
        <v>110537537</v>
      </c>
      <c r="AI43" s="46">
        <v>110537537</v>
      </c>
      <c r="AJ43" s="46">
        <v>110537537</v>
      </c>
      <c r="AK43" s="46">
        <v>110537537</v>
      </c>
      <c r="AL43" s="46">
        <v>110537537</v>
      </c>
      <c r="AM43" s="46">
        <v>110537537</v>
      </c>
      <c r="AN43" s="43">
        <v>110537537</v>
      </c>
    </row>
    <row r="44" spans="1:40" x14ac:dyDescent="0.3">
      <c r="A44" t="s">
        <v>47</v>
      </c>
      <c r="B44" s="19"/>
      <c r="C44" s="9"/>
      <c r="M44" s="19"/>
      <c r="N44" s="30"/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43"/>
      <c r="Z44" s="43"/>
      <c r="AA44" s="43"/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53">
        <v>0</v>
      </c>
      <c r="AJ44" s="53">
        <v>0</v>
      </c>
      <c r="AK44" s="53">
        <v>0</v>
      </c>
      <c r="AL44" s="53">
        <v>0</v>
      </c>
      <c r="AM44" s="53">
        <v>0</v>
      </c>
      <c r="AN44" s="43">
        <v>16871187</v>
      </c>
    </row>
    <row r="45" spans="1:40" x14ac:dyDescent="0.3">
      <c r="A45" t="s">
        <v>48</v>
      </c>
      <c r="B45" s="19"/>
      <c r="C45" s="9"/>
      <c r="M45" s="19"/>
      <c r="N45" s="30"/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43"/>
      <c r="Z45" s="43"/>
      <c r="AA45" s="43"/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53">
        <v>0</v>
      </c>
      <c r="AJ45" s="53">
        <v>0</v>
      </c>
      <c r="AK45" s="53">
        <v>0</v>
      </c>
      <c r="AL45" s="53">
        <v>0</v>
      </c>
      <c r="AM45" s="53">
        <v>0</v>
      </c>
      <c r="AN45" s="43"/>
    </row>
    <row r="46" spans="1:40" x14ac:dyDescent="0.3">
      <c r="A46" t="s">
        <v>49</v>
      </c>
      <c r="B46" s="30">
        <f t="shared" ref="B46" si="13">SUM(B37:B45)</f>
        <v>348494264</v>
      </c>
      <c r="C46" s="30">
        <f t="shared" ref="C46:H46" si="14">SUM(C37:C45)</f>
        <v>343188293.97000003</v>
      </c>
      <c r="D46" s="30">
        <f t="shared" si="14"/>
        <v>336443685</v>
      </c>
      <c r="E46" s="30">
        <f t="shared" si="14"/>
        <v>355521690.33999997</v>
      </c>
      <c r="F46" s="30">
        <f t="shared" si="14"/>
        <v>369858672.42000002</v>
      </c>
      <c r="G46" s="30">
        <f t="shared" si="14"/>
        <v>369978155.70000005</v>
      </c>
      <c r="H46" s="30">
        <f t="shared" si="14"/>
        <v>383949686.63999999</v>
      </c>
      <c r="I46" s="30">
        <f t="shared" ref="I46:AK46" si="15">SUM(I37:I45)</f>
        <v>388433972.26999998</v>
      </c>
      <c r="J46" s="30">
        <f t="shared" si="15"/>
        <v>391980877.06</v>
      </c>
      <c r="K46" s="30">
        <f t="shared" si="15"/>
        <v>398087377.48000002</v>
      </c>
      <c r="L46" s="30">
        <f t="shared" si="15"/>
        <v>402355014.13</v>
      </c>
      <c r="M46" s="41">
        <f t="shared" si="15"/>
        <v>385303235.91999996</v>
      </c>
      <c r="N46" s="30">
        <f t="shared" si="15"/>
        <v>386710824</v>
      </c>
      <c r="O46" s="30">
        <f t="shared" si="15"/>
        <v>387452689.81999999</v>
      </c>
      <c r="P46" s="30">
        <f t="shared" si="15"/>
        <v>394532398.54999995</v>
      </c>
      <c r="Q46" s="30">
        <f t="shared" si="15"/>
        <v>416645098.19999999</v>
      </c>
      <c r="R46" s="30">
        <f t="shared" si="15"/>
        <v>413441348.88999999</v>
      </c>
      <c r="S46" s="30">
        <f t="shared" si="15"/>
        <v>408480575.58999997</v>
      </c>
      <c r="T46" s="30">
        <f t="shared" si="15"/>
        <v>415725348.65000004</v>
      </c>
      <c r="U46" s="30">
        <f t="shared" si="15"/>
        <v>420938655.25</v>
      </c>
      <c r="V46" s="30">
        <f t="shared" si="15"/>
        <v>424153672.76999998</v>
      </c>
      <c r="W46" s="30">
        <f t="shared" si="15"/>
        <v>445356400.67000002</v>
      </c>
      <c r="X46" s="30">
        <f t="shared" si="15"/>
        <v>449891109.31999999</v>
      </c>
      <c r="Y46" s="30">
        <f t="shared" si="15"/>
        <v>0</v>
      </c>
      <c r="Z46" s="30">
        <f t="shared" si="15"/>
        <v>0</v>
      </c>
      <c r="AA46" s="30">
        <f t="shared" si="15"/>
        <v>436927480</v>
      </c>
      <c r="AB46" s="30">
        <f t="shared" si="15"/>
        <v>458483045.79000002</v>
      </c>
      <c r="AC46" s="30">
        <f t="shared" si="15"/>
        <v>326960792.07999998</v>
      </c>
      <c r="AD46" s="30">
        <f t="shared" si="15"/>
        <v>371131614.73000002</v>
      </c>
      <c r="AE46" s="30">
        <f t="shared" si="15"/>
        <v>369642147.07999998</v>
      </c>
      <c r="AF46" s="30">
        <f t="shared" si="15"/>
        <v>369341170.46000004</v>
      </c>
      <c r="AG46" s="30">
        <f t="shared" si="15"/>
        <v>476811453.69</v>
      </c>
      <c r="AH46" s="30">
        <f t="shared" si="15"/>
        <v>478424929.66000003</v>
      </c>
      <c r="AI46" s="30">
        <f t="shared" si="15"/>
        <v>478780797.07999998</v>
      </c>
      <c r="AJ46" s="30">
        <f t="shared" si="15"/>
        <v>479109391.69</v>
      </c>
      <c r="AK46" s="30">
        <f t="shared" si="15"/>
        <v>496614536.07999998</v>
      </c>
      <c r="AL46" s="30">
        <f t="shared" ref="AL46:AN46" si="16">SUM(AL37:AL45)</f>
        <v>510179335.50999999</v>
      </c>
      <c r="AM46" s="30">
        <f t="shared" si="16"/>
        <v>536356884.09000003</v>
      </c>
      <c r="AN46" s="30">
        <f t="shared" si="16"/>
        <v>469055800</v>
      </c>
    </row>
    <row r="47" spans="1:40" x14ac:dyDescent="0.3">
      <c r="A47" t="s">
        <v>50</v>
      </c>
      <c r="B47" s="30">
        <f t="shared" ref="B47" si="17">B46+B36</f>
        <v>1612145138</v>
      </c>
      <c r="C47" s="30">
        <f t="shared" ref="C47:H47" si="18">C46+C36</f>
        <v>1609198564.6700001</v>
      </c>
      <c r="D47" s="30">
        <f t="shared" si="18"/>
        <v>1620604866.23</v>
      </c>
      <c r="E47" s="30">
        <f t="shared" si="18"/>
        <v>1667194858.77</v>
      </c>
      <c r="F47" s="30">
        <f t="shared" si="18"/>
        <v>1639458554.0999999</v>
      </c>
      <c r="G47" s="30">
        <f t="shared" si="18"/>
        <v>1601626098.5899999</v>
      </c>
      <c r="H47" s="30">
        <f t="shared" si="18"/>
        <v>1635229432.3800001</v>
      </c>
      <c r="I47" s="30">
        <f t="shared" ref="I47:AK47" si="19">I46+I36</f>
        <v>1672290827.8800001</v>
      </c>
      <c r="J47" s="30">
        <f t="shared" si="19"/>
        <v>1898604572.4099998</v>
      </c>
      <c r="K47" s="30">
        <f t="shared" si="19"/>
        <v>1798998280</v>
      </c>
      <c r="L47" s="30">
        <f t="shared" si="19"/>
        <v>1798576314.4099998</v>
      </c>
      <c r="M47" s="30">
        <f t="shared" si="19"/>
        <v>1843449098.5999999</v>
      </c>
      <c r="N47" s="30">
        <f t="shared" si="19"/>
        <v>1922805951</v>
      </c>
      <c r="O47" s="30">
        <f t="shared" si="19"/>
        <v>1910728819.4799998</v>
      </c>
      <c r="P47" s="30">
        <f t="shared" si="19"/>
        <v>1898050230.4199998</v>
      </c>
      <c r="Q47" s="30">
        <f t="shared" si="19"/>
        <v>1922790948.6499999</v>
      </c>
      <c r="R47" s="30">
        <f t="shared" si="19"/>
        <v>1945262058.3099999</v>
      </c>
      <c r="S47" s="30">
        <f t="shared" si="19"/>
        <v>1921833842.99</v>
      </c>
      <c r="T47" s="30">
        <f t="shared" si="19"/>
        <v>1911415671.7399998</v>
      </c>
      <c r="U47" s="30">
        <f t="shared" si="19"/>
        <v>1946776488.8000002</v>
      </c>
      <c r="V47" s="30">
        <f t="shared" si="19"/>
        <v>1955613838</v>
      </c>
      <c r="W47" s="30">
        <f t="shared" si="19"/>
        <v>1968597790.97</v>
      </c>
      <c r="X47" s="30">
        <f t="shared" si="19"/>
        <v>1978088782.02</v>
      </c>
      <c r="Y47" s="30">
        <f t="shared" si="19"/>
        <v>0</v>
      </c>
      <c r="Z47" s="30">
        <f t="shared" si="19"/>
        <v>0</v>
      </c>
      <c r="AA47" s="30">
        <f t="shared" si="19"/>
        <v>2070959237</v>
      </c>
      <c r="AB47" s="30">
        <f t="shared" si="19"/>
        <v>2058855114.26</v>
      </c>
      <c r="AC47" s="30">
        <f t="shared" si="19"/>
        <v>2020640884.4299998</v>
      </c>
      <c r="AD47" s="30">
        <f t="shared" si="19"/>
        <v>2098734828.1600001</v>
      </c>
      <c r="AE47" s="30">
        <f t="shared" si="19"/>
        <v>2079661490.8</v>
      </c>
      <c r="AF47" s="30">
        <f t="shared" si="19"/>
        <v>2101407198.4200001</v>
      </c>
      <c r="AG47" s="30">
        <f t="shared" si="19"/>
        <v>2164821654.4499998</v>
      </c>
      <c r="AH47" s="30">
        <f t="shared" si="19"/>
        <v>2191805107.9499998</v>
      </c>
      <c r="AI47" s="30">
        <f t="shared" si="19"/>
        <v>2169564673.6000004</v>
      </c>
      <c r="AJ47" s="30">
        <f t="shared" si="19"/>
        <v>2155270894.7199998</v>
      </c>
      <c r="AK47" s="30">
        <f t="shared" si="19"/>
        <v>2163843097.8400002</v>
      </c>
      <c r="AL47" s="30">
        <f t="shared" ref="AL47:AN47" si="20">AL46+AL36</f>
        <v>2177935654.1199999</v>
      </c>
      <c r="AM47" s="30">
        <f t="shared" si="20"/>
        <v>2127324851.3600001</v>
      </c>
      <c r="AN47" s="30">
        <f t="shared" si="20"/>
        <v>2209776677</v>
      </c>
    </row>
    <row r="48" spans="1:40" x14ac:dyDescent="0.3">
      <c r="B48" s="9"/>
      <c r="C48" s="9">
        <f t="shared" ref="C48:M48" si="21">C47-C25</f>
        <v>0</v>
      </c>
      <c r="D48" s="9">
        <f t="shared" si="21"/>
        <v>0</v>
      </c>
      <c r="E48" s="9">
        <f t="shared" si="21"/>
        <v>0</v>
      </c>
      <c r="F48" s="9">
        <f t="shared" si="21"/>
        <v>0</v>
      </c>
      <c r="G48" s="9">
        <f t="shared" si="21"/>
        <v>0</v>
      </c>
      <c r="H48" s="9">
        <f t="shared" si="21"/>
        <v>0</v>
      </c>
      <c r="I48" s="9">
        <f t="shared" si="21"/>
        <v>0</v>
      </c>
      <c r="J48" s="9">
        <f t="shared" si="21"/>
        <v>0</v>
      </c>
      <c r="K48" s="9">
        <f t="shared" si="21"/>
        <v>0</v>
      </c>
      <c r="L48" s="9">
        <f t="shared" si="21"/>
        <v>0</v>
      </c>
      <c r="M48" s="9">
        <f t="shared" si="21"/>
        <v>0</v>
      </c>
      <c r="N48" s="9">
        <f>N47-N25</f>
        <v>0</v>
      </c>
      <c r="O48" s="9">
        <f t="shared" ref="O48:Y48" si="22">O47-O25</f>
        <v>0</v>
      </c>
      <c r="P48" s="9">
        <f t="shared" si="22"/>
        <v>0</v>
      </c>
      <c r="Q48" s="9">
        <f t="shared" si="22"/>
        <v>0</v>
      </c>
      <c r="R48" s="9">
        <f t="shared" si="22"/>
        <v>0</v>
      </c>
      <c r="S48" s="9">
        <f t="shared" si="22"/>
        <v>0</v>
      </c>
      <c r="T48" s="9">
        <f t="shared" si="22"/>
        <v>0</v>
      </c>
      <c r="U48" s="9">
        <f t="shared" si="22"/>
        <v>0</v>
      </c>
      <c r="V48" s="9">
        <f t="shared" si="22"/>
        <v>0</v>
      </c>
      <c r="W48" s="9">
        <f t="shared" si="22"/>
        <v>0</v>
      </c>
      <c r="X48" s="9">
        <f t="shared" si="22"/>
        <v>0</v>
      </c>
      <c r="Y48" s="9">
        <f t="shared" si="22"/>
        <v>0</v>
      </c>
      <c r="Z48" s="9"/>
      <c r="AA48" s="9">
        <f>AA47-AA25</f>
        <v>0</v>
      </c>
      <c r="AN48" s="9">
        <f>AN47-AN25</f>
        <v>0</v>
      </c>
    </row>
  </sheetData>
  <conditionalFormatting sqref="B16 B3:AN3 B7:AN7 B12:AN12 B15:AN15 A19:AN19 B25:AN25 B29:AN29 B36:AN36 B46:AN47">
    <cfRule type="notContainsBlanks" dxfId="49" priority="144">
      <formula>LEN(TRIM(A3))&gt;0</formula>
    </cfRule>
  </conditionalFormatting>
  <conditionalFormatting sqref="B16 B3:AN3 B7:AN7 B12:AN12 B15:AN15 A19:AN19 B25:AN25 B29:AN29 B36:AN36 B46:AN47">
    <cfRule type="cellIs" dxfId="48" priority="140" operator="lessThan">
      <formula>0</formula>
    </cfRule>
  </conditionalFormatting>
  <conditionalFormatting sqref="A25">
    <cfRule type="notContainsBlanks" dxfId="47" priority="20">
      <formula>LEN(TRIM(A25))&gt;0</formula>
    </cfRule>
  </conditionalFormatting>
  <conditionalFormatting sqref="A25">
    <cfRule type="cellIs" dxfId="46" priority="19" operator="lessThan">
      <formula>0</formula>
    </cfRule>
  </conditionalFormatting>
  <conditionalFormatting sqref="A4:B4">
    <cfRule type="notContainsBlanks" dxfId="45" priority="18">
      <formula>LEN(TRIM(A4))&gt;0</formula>
    </cfRule>
  </conditionalFormatting>
  <conditionalFormatting sqref="A4:B4">
    <cfRule type="cellIs" dxfId="44" priority="17" operator="lessThan">
      <formula>0</formula>
    </cfRule>
  </conditionalFormatting>
  <conditionalFormatting sqref="A7">
    <cfRule type="notContainsBlanks" dxfId="43" priority="16">
      <formula>LEN(TRIM(A7))&gt;0</formula>
    </cfRule>
  </conditionalFormatting>
  <conditionalFormatting sqref="A7">
    <cfRule type="cellIs" dxfId="42" priority="15" operator="lessThan">
      <formula>0</formula>
    </cfRule>
  </conditionalFormatting>
  <conditionalFormatting sqref="A12">
    <cfRule type="notContainsBlanks" dxfId="41" priority="14">
      <formula>LEN(TRIM(A12))&gt;0</formula>
    </cfRule>
  </conditionalFormatting>
  <conditionalFormatting sqref="A12">
    <cfRule type="cellIs" dxfId="40" priority="13" operator="lessThan">
      <formula>0</formula>
    </cfRule>
  </conditionalFormatting>
  <conditionalFormatting sqref="A15">
    <cfRule type="notContainsBlanks" dxfId="39" priority="12">
      <formula>LEN(TRIM(A15))&gt;0</formula>
    </cfRule>
  </conditionalFormatting>
  <conditionalFormatting sqref="A15">
    <cfRule type="cellIs" dxfId="38" priority="11" operator="lessThan">
      <formula>0</formula>
    </cfRule>
  </conditionalFormatting>
  <conditionalFormatting sqref="A29">
    <cfRule type="notContainsBlanks" dxfId="37" priority="8">
      <formula>LEN(TRIM(A29))&gt;0</formula>
    </cfRule>
  </conditionalFormatting>
  <conditionalFormatting sqref="A29">
    <cfRule type="cellIs" dxfId="36" priority="7" operator="lessThan">
      <formula>0</formula>
    </cfRule>
  </conditionalFormatting>
  <conditionalFormatting sqref="A36">
    <cfRule type="notContainsBlanks" dxfId="35" priority="6">
      <formula>LEN(TRIM(A36))&gt;0</formula>
    </cfRule>
  </conditionalFormatting>
  <conditionalFormatting sqref="A36">
    <cfRule type="cellIs" dxfId="34" priority="5" operator="lessThan">
      <formula>0</formula>
    </cfRule>
  </conditionalFormatting>
  <printOptions horizontalCentered="1" verticalCentere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N37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N34" sqref="AN34"/>
    </sheetView>
  </sheetViews>
  <sheetFormatPr defaultRowHeight="14.4" x14ac:dyDescent="0.3"/>
  <cols>
    <col min="1" max="1" width="38.6640625" customWidth="1"/>
    <col min="2" max="2" width="22.88671875" customWidth="1"/>
    <col min="3" max="3" width="14.6640625" hidden="1" customWidth="1"/>
    <col min="4" max="10" width="15.88671875" hidden="1" customWidth="1"/>
    <col min="11" max="12" width="15" hidden="1" customWidth="1"/>
    <col min="13" max="13" width="16.109375" hidden="1" customWidth="1"/>
    <col min="14" max="14" width="16.33203125" customWidth="1"/>
    <col min="15" max="15" width="11" hidden="1" customWidth="1"/>
    <col min="16" max="18" width="11.33203125" hidden="1" customWidth="1"/>
    <col min="19" max="24" width="12.109375" hidden="1" customWidth="1"/>
    <col min="25" max="25" width="7.44140625" hidden="1" customWidth="1"/>
    <col min="26" max="26" width="7.21875" hidden="1" customWidth="1"/>
    <col min="27" max="27" width="13.44140625" bestFit="1" customWidth="1"/>
    <col min="28" max="28" width="13.21875" hidden="1" customWidth="1"/>
    <col min="29" max="29" width="13.5546875" hidden="1" customWidth="1"/>
    <col min="30" max="30" width="15.109375" customWidth="1"/>
    <col min="31" max="31" width="12" hidden="1" customWidth="1"/>
    <col min="32" max="32" width="14.21875" hidden="1" customWidth="1"/>
    <col min="33" max="33" width="13.33203125" bestFit="1" customWidth="1"/>
    <col min="34" max="35" width="13.33203125" hidden="1" customWidth="1"/>
    <col min="36" max="36" width="13.33203125" bestFit="1" customWidth="1"/>
    <col min="37" max="38" width="13.33203125" hidden="1" customWidth="1"/>
    <col min="39" max="39" width="13.33203125" bestFit="1" customWidth="1"/>
    <col min="40" max="40" width="16.109375" bestFit="1" customWidth="1"/>
  </cols>
  <sheetData>
    <row r="2" spans="1:40" s="6" customFormat="1" x14ac:dyDescent="0.3">
      <c r="A2" s="54"/>
      <c r="B2" s="55" t="s">
        <v>1</v>
      </c>
      <c r="C2" s="56">
        <v>43831</v>
      </c>
      <c r="D2" s="56">
        <v>43862</v>
      </c>
      <c r="E2" s="56">
        <v>43891</v>
      </c>
      <c r="F2" s="56">
        <v>43922</v>
      </c>
      <c r="G2" s="56">
        <v>43952</v>
      </c>
      <c r="H2" s="56">
        <v>43983</v>
      </c>
      <c r="I2" s="56">
        <v>44044</v>
      </c>
      <c r="J2" s="56">
        <v>44075</v>
      </c>
      <c r="K2" s="56">
        <v>44105</v>
      </c>
      <c r="L2" s="56">
        <v>44136</v>
      </c>
      <c r="M2" s="56">
        <v>44166</v>
      </c>
      <c r="N2" s="57" t="s">
        <v>2</v>
      </c>
      <c r="O2" s="58">
        <v>44197</v>
      </c>
      <c r="P2" s="58">
        <v>44228</v>
      </c>
      <c r="Q2" s="58">
        <v>44256</v>
      </c>
      <c r="R2" s="58">
        <v>44287</v>
      </c>
      <c r="S2" s="58">
        <v>44317</v>
      </c>
      <c r="T2" s="58">
        <v>44348</v>
      </c>
      <c r="U2" s="58">
        <v>44378</v>
      </c>
      <c r="V2" s="58">
        <v>44409</v>
      </c>
      <c r="W2" s="58">
        <v>44440</v>
      </c>
      <c r="X2" s="58">
        <v>44470</v>
      </c>
      <c r="Y2" s="58">
        <v>44501</v>
      </c>
      <c r="Z2" s="58">
        <v>44531</v>
      </c>
      <c r="AA2" s="57" t="s">
        <v>3</v>
      </c>
      <c r="AB2" s="59">
        <v>44562</v>
      </c>
      <c r="AC2" s="59">
        <v>44593</v>
      </c>
      <c r="AD2" s="59">
        <v>44621</v>
      </c>
      <c r="AE2" s="59">
        <v>44652</v>
      </c>
      <c r="AF2" s="59">
        <v>44682</v>
      </c>
      <c r="AG2" s="59">
        <v>44713</v>
      </c>
      <c r="AH2" s="59">
        <v>44743</v>
      </c>
      <c r="AI2" s="59">
        <v>44774</v>
      </c>
      <c r="AJ2" s="59">
        <v>44805</v>
      </c>
      <c r="AK2" s="59">
        <v>44835</v>
      </c>
      <c r="AL2" s="59">
        <v>44866</v>
      </c>
      <c r="AM2" s="59">
        <v>44896</v>
      </c>
      <c r="AN2" s="59" t="s">
        <v>172</v>
      </c>
    </row>
    <row r="3" spans="1:40" x14ac:dyDescent="0.3">
      <c r="A3" s="1" t="s">
        <v>51</v>
      </c>
      <c r="B3" s="7">
        <f t="shared" ref="B3" si="0">B7+B4</f>
        <v>256532840</v>
      </c>
      <c r="C3" s="7">
        <f t="shared" ref="C3:H3" si="1">C7+C4</f>
        <v>16521722.09</v>
      </c>
      <c r="D3" s="7">
        <f t="shared" si="1"/>
        <v>19232979.859999999</v>
      </c>
      <c r="E3" s="7">
        <f t="shared" si="1"/>
        <v>50088741.539999999</v>
      </c>
      <c r="F3" s="7">
        <f t="shared" si="1"/>
        <v>78736160.13000001</v>
      </c>
      <c r="G3" s="7">
        <f t="shared" si="1"/>
        <v>94240709.729999989</v>
      </c>
      <c r="H3" s="7">
        <f t="shared" si="1"/>
        <v>115276389.66</v>
      </c>
      <c r="I3" s="7">
        <f t="shared" ref="I3:Z3" si="2">I7+I4</f>
        <v>151037014.61000001</v>
      </c>
      <c r="J3" s="7">
        <f t="shared" si="2"/>
        <v>167699232.90000001</v>
      </c>
      <c r="K3" s="7">
        <f t="shared" si="2"/>
        <v>186885996.45000002</v>
      </c>
      <c r="L3" s="7">
        <f t="shared" si="2"/>
        <v>205365712.84999999</v>
      </c>
      <c r="M3" s="7">
        <f t="shared" si="2"/>
        <v>227054751.5</v>
      </c>
      <c r="N3" s="7">
        <f t="shared" si="2"/>
        <v>258552359</v>
      </c>
      <c r="O3" s="7">
        <f t="shared" si="2"/>
        <v>18636886.280000001</v>
      </c>
      <c r="P3" s="7">
        <f t="shared" si="2"/>
        <v>37034422.57</v>
      </c>
      <c r="Q3" s="7">
        <f t="shared" si="2"/>
        <v>59480641.589999996</v>
      </c>
      <c r="R3" s="7">
        <f t="shared" si="2"/>
        <v>78432940.859999999</v>
      </c>
      <c r="S3" s="7">
        <f t="shared" si="2"/>
        <v>101011715.66</v>
      </c>
      <c r="T3" s="7">
        <f t="shared" si="2"/>
        <v>122699246.22</v>
      </c>
      <c r="U3" s="7">
        <f t="shared" si="2"/>
        <v>147849170.06</v>
      </c>
      <c r="V3" s="7">
        <f t="shared" si="2"/>
        <v>168732230.37</v>
      </c>
      <c r="W3" s="7">
        <f t="shared" si="2"/>
        <v>200521041.53999999</v>
      </c>
      <c r="X3" s="7">
        <f t="shared" si="2"/>
        <v>222340950.27999997</v>
      </c>
      <c r="Y3" s="7">
        <f t="shared" si="2"/>
        <v>0</v>
      </c>
      <c r="Z3" s="7">
        <f t="shared" si="2"/>
        <v>0</v>
      </c>
      <c r="AA3" s="7">
        <f>AA7+AA4</f>
        <v>322630753</v>
      </c>
      <c r="AB3" s="7">
        <f t="shared" ref="AB3:AN3" si="3">AB7+AB4</f>
        <v>20731293.870000001</v>
      </c>
      <c r="AC3" s="7">
        <f t="shared" si="3"/>
        <v>38924698.789999999</v>
      </c>
      <c r="AD3" s="7">
        <f t="shared" si="3"/>
        <v>62098883.969999999</v>
      </c>
      <c r="AE3" s="7">
        <f t="shared" si="3"/>
        <v>81714329.329999998</v>
      </c>
      <c r="AF3" s="7">
        <f t="shared" si="3"/>
        <v>105787314.39</v>
      </c>
      <c r="AG3" s="7">
        <f t="shared" si="3"/>
        <v>141094769.03</v>
      </c>
      <c r="AH3" s="7">
        <f t="shared" si="3"/>
        <v>162145374.33000001</v>
      </c>
      <c r="AI3" s="7">
        <f t="shared" si="3"/>
        <v>184931085.14000002</v>
      </c>
      <c r="AJ3" s="7">
        <f t="shared" si="3"/>
        <v>205223187.09999999</v>
      </c>
      <c r="AK3" s="7">
        <f t="shared" si="3"/>
        <v>226333290.19999999</v>
      </c>
      <c r="AL3" s="7">
        <f t="shared" si="3"/>
        <v>248082542.23000002</v>
      </c>
      <c r="AM3" s="7">
        <f t="shared" si="3"/>
        <v>290193312.79000002</v>
      </c>
      <c r="AN3" s="7">
        <f t="shared" si="3"/>
        <v>354693313</v>
      </c>
    </row>
    <row r="4" spans="1:40" x14ac:dyDescent="0.3">
      <c r="A4" s="1" t="s">
        <v>52</v>
      </c>
      <c r="B4" s="7">
        <f t="shared" ref="B4" si="4">B5+B6</f>
        <v>233834351</v>
      </c>
      <c r="C4" s="7">
        <f t="shared" ref="C4:H4" si="5">C5+C6</f>
        <v>16521722.09</v>
      </c>
      <c r="D4" s="7">
        <f t="shared" si="5"/>
        <v>18732731.800000001</v>
      </c>
      <c r="E4" s="7">
        <f t="shared" si="5"/>
        <v>49588493.479999997</v>
      </c>
      <c r="F4" s="7">
        <f t="shared" si="5"/>
        <v>66811704.770000003</v>
      </c>
      <c r="G4" s="7">
        <f t="shared" si="5"/>
        <v>81786938.519999996</v>
      </c>
      <c r="H4" s="7">
        <f t="shared" si="5"/>
        <v>101835274.45</v>
      </c>
      <c r="I4" s="7">
        <f t="shared" ref="I4:Z4" si="6">I5+I6</f>
        <v>137588860.65000001</v>
      </c>
      <c r="J4" s="7">
        <f t="shared" si="6"/>
        <v>154250863.03</v>
      </c>
      <c r="K4" s="7">
        <f t="shared" si="6"/>
        <v>173437416.46000001</v>
      </c>
      <c r="L4" s="7">
        <f t="shared" si="6"/>
        <v>191917132.85999998</v>
      </c>
      <c r="M4" s="7">
        <f t="shared" si="6"/>
        <v>212413047.63</v>
      </c>
      <c r="N4" s="7">
        <f>N5+N6</f>
        <v>237688031</v>
      </c>
      <c r="O4" s="7">
        <f t="shared" si="6"/>
        <v>17209890.93</v>
      </c>
      <c r="P4" s="7">
        <f t="shared" si="6"/>
        <v>34552866.200000003</v>
      </c>
      <c r="Q4" s="7">
        <f t="shared" si="6"/>
        <v>53569204.619999997</v>
      </c>
      <c r="R4" s="7">
        <f t="shared" si="6"/>
        <v>72779242.379999995</v>
      </c>
      <c r="S4" s="7">
        <f t="shared" si="6"/>
        <v>90502137.689999998</v>
      </c>
      <c r="T4" s="7">
        <f t="shared" si="6"/>
        <v>110731899.47</v>
      </c>
      <c r="U4" s="7">
        <f t="shared" si="6"/>
        <v>133838020.19</v>
      </c>
      <c r="V4" s="7">
        <f t="shared" si="6"/>
        <v>152353369.5</v>
      </c>
      <c r="W4" s="7">
        <f t="shared" si="6"/>
        <v>171477422.78999999</v>
      </c>
      <c r="X4" s="7">
        <f t="shared" si="6"/>
        <v>191879839.85999998</v>
      </c>
      <c r="Y4" s="7">
        <f t="shared" si="6"/>
        <v>0</v>
      </c>
      <c r="Z4" s="7">
        <f t="shared" si="6"/>
        <v>0</v>
      </c>
      <c r="AA4" s="7">
        <f>AA5+AA6</f>
        <v>305143705</v>
      </c>
      <c r="AB4" s="7">
        <f t="shared" ref="AB4:AN4" si="7">AB5+AB6</f>
        <v>18510115.120000001</v>
      </c>
      <c r="AC4" s="7">
        <f t="shared" si="7"/>
        <v>35858028.659999996</v>
      </c>
      <c r="AD4" s="7">
        <f t="shared" si="7"/>
        <v>56937570.200000003</v>
      </c>
      <c r="AE4" s="7">
        <f t="shared" si="7"/>
        <v>75235566.829999998</v>
      </c>
      <c r="AF4" s="7">
        <f t="shared" si="7"/>
        <v>95004718.510000005</v>
      </c>
      <c r="AG4" s="7">
        <f t="shared" si="7"/>
        <v>116485410.25</v>
      </c>
      <c r="AH4" s="7">
        <f t="shared" si="7"/>
        <v>135967176.29000002</v>
      </c>
      <c r="AI4" s="7">
        <f t="shared" si="7"/>
        <v>155658858.29000002</v>
      </c>
      <c r="AJ4" s="7">
        <f t="shared" si="7"/>
        <v>174489643.53</v>
      </c>
      <c r="AK4" s="7">
        <f t="shared" si="7"/>
        <v>193073019.97</v>
      </c>
      <c r="AL4" s="7">
        <f t="shared" si="7"/>
        <v>210272261.89000002</v>
      </c>
      <c r="AM4" s="7">
        <f t="shared" si="7"/>
        <v>230761699.89000002</v>
      </c>
      <c r="AN4" s="7">
        <f t="shared" si="7"/>
        <v>316481623</v>
      </c>
    </row>
    <row r="5" spans="1:40" x14ac:dyDescent="0.3">
      <c r="A5" t="s">
        <v>53</v>
      </c>
      <c r="B5" s="7">
        <v>176875846</v>
      </c>
      <c r="C5" s="60">
        <v>13021469.890000001</v>
      </c>
      <c r="D5" s="60">
        <v>13138376.9</v>
      </c>
      <c r="E5" s="60">
        <v>41284261.079999998</v>
      </c>
      <c r="F5" s="60">
        <v>57630156.270000003</v>
      </c>
      <c r="G5" s="60">
        <v>71135397.819999993</v>
      </c>
      <c r="H5" s="60">
        <v>85709724.450000003</v>
      </c>
      <c r="I5" s="60">
        <v>114477141.65000001</v>
      </c>
      <c r="J5" s="60">
        <v>128653740.13</v>
      </c>
      <c r="K5" s="7">
        <v>143288065.66</v>
      </c>
      <c r="L5" s="7">
        <v>158420198.16</v>
      </c>
      <c r="M5" s="7">
        <v>173786980.93000001</v>
      </c>
      <c r="N5" s="7">
        <v>184786981</v>
      </c>
      <c r="O5" s="61">
        <v>15277940.130000001</v>
      </c>
      <c r="P5" s="61">
        <v>30405575.5</v>
      </c>
      <c r="Q5" s="61">
        <v>46168620.119999997</v>
      </c>
      <c r="R5" s="61">
        <v>61940773.079999998</v>
      </c>
      <c r="S5" s="61">
        <v>77623182.489999995</v>
      </c>
      <c r="T5" s="61">
        <v>93410912.870000005</v>
      </c>
      <c r="U5" s="61">
        <v>109241276.79000001</v>
      </c>
      <c r="V5" s="61">
        <v>126609754.40000001</v>
      </c>
      <c r="W5" s="61">
        <v>145675427.69</v>
      </c>
      <c r="X5" s="61">
        <v>166021459.75999999</v>
      </c>
      <c r="Y5" s="39"/>
      <c r="Z5" s="39"/>
      <c r="AA5" s="61">
        <v>217212003</v>
      </c>
      <c r="AB5" s="62">
        <v>18467275.120000001</v>
      </c>
      <c r="AC5" s="62">
        <v>35781410.659999996</v>
      </c>
      <c r="AD5" s="62">
        <v>56795977.200000003</v>
      </c>
      <c r="AE5" s="62">
        <v>75114250.829999998</v>
      </c>
      <c r="AF5" s="62">
        <v>94824392.510000005</v>
      </c>
      <c r="AG5" s="62">
        <v>116251767.45</v>
      </c>
      <c r="AH5" s="62">
        <v>135683763.52000001</v>
      </c>
      <c r="AI5" s="62">
        <v>155321265.49000001</v>
      </c>
      <c r="AJ5" s="62">
        <v>174101125.72999999</v>
      </c>
      <c r="AK5" s="62">
        <v>192646072.16999999</v>
      </c>
      <c r="AL5" s="62">
        <v>209803314.09</v>
      </c>
      <c r="AM5" s="62">
        <v>230177103.09</v>
      </c>
      <c r="AN5" s="63">
        <v>228517048</v>
      </c>
    </row>
    <row r="6" spans="1:40" x14ac:dyDescent="0.3">
      <c r="A6" t="s">
        <v>54</v>
      </c>
      <c r="B6" s="7">
        <v>56958505</v>
      </c>
      <c r="C6" s="4">
        <v>3500252.2</v>
      </c>
      <c r="D6" s="4">
        <v>5594354.9000000004</v>
      </c>
      <c r="E6" s="4">
        <v>8304232.4000000004</v>
      </c>
      <c r="F6" s="4">
        <v>9181548.5</v>
      </c>
      <c r="G6" s="4">
        <v>10651540.699999999</v>
      </c>
      <c r="H6" s="4">
        <v>16125550</v>
      </c>
      <c r="I6" s="4">
        <v>23111719</v>
      </c>
      <c r="J6" s="4">
        <v>25597122.899999999</v>
      </c>
      <c r="K6" s="7">
        <v>30149350.800000001</v>
      </c>
      <c r="L6" s="7">
        <v>33496934.699999999</v>
      </c>
      <c r="M6" s="7">
        <v>38626066.700000003</v>
      </c>
      <c r="N6" s="7">
        <v>52901050</v>
      </c>
      <c r="O6" s="61">
        <v>1931950.8</v>
      </c>
      <c r="P6" s="61">
        <v>4147290.7</v>
      </c>
      <c r="Q6" s="61">
        <v>7400584.5</v>
      </c>
      <c r="R6" s="61">
        <v>10838469.300000001</v>
      </c>
      <c r="S6" s="61">
        <v>12878955.199999999</v>
      </c>
      <c r="T6" s="61">
        <v>17320986.600000001</v>
      </c>
      <c r="U6" s="61">
        <v>24596743.399999999</v>
      </c>
      <c r="V6" s="61">
        <v>25743615.100000001</v>
      </c>
      <c r="W6" s="61">
        <v>25801995.100000001</v>
      </c>
      <c r="X6" s="61">
        <v>25858380.100000001</v>
      </c>
      <c r="Y6" s="39"/>
      <c r="Z6" s="39"/>
      <c r="AA6" s="61">
        <v>87931702</v>
      </c>
      <c r="AB6" s="62">
        <v>42840</v>
      </c>
      <c r="AC6" s="62">
        <v>76618</v>
      </c>
      <c r="AD6" s="62">
        <v>141593</v>
      </c>
      <c r="AE6" s="62">
        <v>121316</v>
      </c>
      <c r="AF6" s="62">
        <v>180326</v>
      </c>
      <c r="AG6" s="62">
        <v>233642.8</v>
      </c>
      <c r="AH6" s="62">
        <v>283412.77</v>
      </c>
      <c r="AI6" s="62">
        <v>337592.8</v>
      </c>
      <c r="AJ6" s="62">
        <v>388517.8</v>
      </c>
      <c r="AK6" s="62">
        <v>426947.8</v>
      </c>
      <c r="AL6" s="62">
        <v>468947.8</v>
      </c>
      <c r="AM6" s="62">
        <v>584596.80000000005</v>
      </c>
      <c r="AN6" s="63">
        <v>87964575</v>
      </c>
    </row>
    <row r="7" spans="1:40" x14ac:dyDescent="0.3">
      <c r="A7" s="1" t="s">
        <v>55</v>
      </c>
      <c r="B7" s="7">
        <f t="shared" ref="B7:AN7" si="8">SUM(B8:B11)</f>
        <v>22698489</v>
      </c>
      <c r="C7" s="7">
        <f t="shared" si="8"/>
        <v>0</v>
      </c>
      <c r="D7" s="7">
        <f t="shared" si="8"/>
        <v>500248.06</v>
      </c>
      <c r="E7" s="7">
        <f t="shared" si="8"/>
        <v>500248.06</v>
      </c>
      <c r="F7" s="7">
        <f t="shared" si="8"/>
        <v>11924455.360000001</v>
      </c>
      <c r="G7" s="7">
        <f t="shared" si="8"/>
        <v>12453771.210000001</v>
      </c>
      <c r="H7" s="7">
        <f t="shared" si="8"/>
        <v>13441115.210000001</v>
      </c>
      <c r="I7" s="7">
        <f t="shared" si="8"/>
        <v>13448153.960000001</v>
      </c>
      <c r="J7" s="7">
        <f t="shared" si="8"/>
        <v>13448369.870000001</v>
      </c>
      <c r="K7" s="7">
        <f t="shared" si="8"/>
        <v>13448579.99</v>
      </c>
      <c r="L7" s="7">
        <f t="shared" si="8"/>
        <v>13448579.99</v>
      </c>
      <c r="M7" s="7">
        <f t="shared" si="8"/>
        <v>14641703.869999999</v>
      </c>
      <c r="N7" s="7">
        <f t="shared" si="8"/>
        <v>20864328</v>
      </c>
      <c r="O7" s="7">
        <f t="shared" si="8"/>
        <v>1426995.35</v>
      </c>
      <c r="P7" s="7">
        <f t="shared" si="8"/>
        <v>2481556.37</v>
      </c>
      <c r="Q7" s="7">
        <f t="shared" si="8"/>
        <v>5911436.9699999997</v>
      </c>
      <c r="R7" s="7">
        <f t="shared" si="8"/>
        <v>5653698.4800000004</v>
      </c>
      <c r="S7" s="7">
        <f t="shared" si="8"/>
        <v>10509577.969999999</v>
      </c>
      <c r="T7" s="7">
        <f t="shared" si="8"/>
        <v>11967346.75</v>
      </c>
      <c r="U7" s="7">
        <f t="shared" si="8"/>
        <v>14011149.869999999</v>
      </c>
      <c r="V7" s="7">
        <f t="shared" si="8"/>
        <v>16378860.869999999</v>
      </c>
      <c r="W7" s="7">
        <f t="shared" si="8"/>
        <v>29043618.75</v>
      </c>
      <c r="X7" s="7">
        <f t="shared" si="8"/>
        <v>30461110.420000002</v>
      </c>
      <c r="Y7" s="7">
        <f t="shared" si="8"/>
        <v>0</v>
      </c>
      <c r="Z7" s="7">
        <f t="shared" si="8"/>
        <v>0</v>
      </c>
      <c r="AA7" s="7">
        <f t="shared" si="8"/>
        <v>17487048</v>
      </c>
      <c r="AB7" s="7">
        <f t="shared" si="8"/>
        <v>2221178.75</v>
      </c>
      <c r="AC7" s="7">
        <f t="shared" si="8"/>
        <v>3066670.13</v>
      </c>
      <c r="AD7" s="7">
        <f t="shared" si="8"/>
        <v>5161313.7699999996</v>
      </c>
      <c r="AE7" s="7">
        <f t="shared" si="8"/>
        <v>6478762.5</v>
      </c>
      <c r="AF7" s="7">
        <f t="shared" si="8"/>
        <v>10782595.880000001</v>
      </c>
      <c r="AG7" s="7">
        <f t="shared" si="8"/>
        <v>24609358.780000001</v>
      </c>
      <c r="AH7" s="7">
        <f t="shared" si="8"/>
        <v>26178198.039999999</v>
      </c>
      <c r="AI7" s="7">
        <f t="shared" si="8"/>
        <v>29272226.850000001</v>
      </c>
      <c r="AJ7" s="7">
        <f t="shared" si="8"/>
        <v>30733543.57</v>
      </c>
      <c r="AK7" s="7">
        <f t="shared" si="8"/>
        <v>33260270.23</v>
      </c>
      <c r="AL7" s="7">
        <f t="shared" si="8"/>
        <v>37810280.340000004</v>
      </c>
      <c r="AM7" s="7">
        <f t="shared" si="8"/>
        <v>59431612.900000006</v>
      </c>
      <c r="AN7" s="7">
        <f t="shared" si="8"/>
        <v>38211690</v>
      </c>
    </row>
    <row r="8" spans="1:40" x14ac:dyDescent="0.3">
      <c r="A8" t="s">
        <v>56</v>
      </c>
      <c r="B8" s="7"/>
      <c r="C8" s="39"/>
      <c r="D8" s="39"/>
      <c r="E8" s="39"/>
      <c r="F8" s="39"/>
      <c r="G8" s="39"/>
      <c r="H8" s="39"/>
      <c r="I8" s="39"/>
      <c r="J8" s="39"/>
      <c r="K8" s="7"/>
      <c r="L8" s="7"/>
      <c r="M8" s="7"/>
      <c r="N8" s="7"/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39"/>
      <c r="Z8" s="39"/>
      <c r="AA8" s="39"/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39"/>
    </row>
    <row r="9" spans="1:40" x14ac:dyDescent="0.3">
      <c r="A9" t="s">
        <v>57</v>
      </c>
      <c r="B9" s="7"/>
      <c r="C9" s="39">
        <v>0</v>
      </c>
      <c r="D9" s="39">
        <v>500248.06</v>
      </c>
      <c r="E9" s="39">
        <v>500248.06</v>
      </c>
      <c r="F9" s="39">
        <v>500248.06</v>
      </c>
      <c r="G9" s="39">
        <v>1029563.91</v>
      </c>
      <c r="H9" s="39">
        <v>1029563.91</v>
      </c>
      <c r="I9" s="39">
        <v>1036602.66</v>
      </c>
      <c r="J9" s="39">
        <v>1036818.57</v>
      </c>
      <c r="K9" s="7">
        <v>1037028.69</v>
      </c>
      <c r="L9" s="7">
        <v>1037028.69</v>
      </c>
      <c r="M9" s="7">
        <v>2207259.77</v>
      </c>
      <c r="N9" s="7"/>
      <c r="O9" s="61">
        <v>0</v>
      </c>
      <c r="P9" s="61">
        <v>0</v>
      </c>
      <c r="Q9" s="61">
        <v>630.95000000000005</v>
      </c>
      <c r="R9" s="61">
        <v>630.95000000000005</v>
      </c>
      <c r="S9" s="61">
        <v>1272655.6100000001</v>
      </c>
      <c r="T9" s="61">
        <v>1272655.6100000001</v>
      </c>
      <c r="U9" s="61">
        <v>1272655.6100000001</v>
      </c>
      <c r="V9" s="61">
        <v>1973003.78</v>
      </c>
      <c r="W9" s="61">
        <v>2090600.83</v>
      </c>
      <c r="X9" s="61">
        <v>2090600.83</v>
      </c>
      <c r="Y9" s="39"/>
      <c r="Z9" s="39"/>
      <c r="AA9" s="39"/>
      <c r="AB9" s="62">
        <v>844023.3</v>
      </c>
      <c r="AC9" s="62">
        <v>846751.13</v>
      </c>
      <c r="AD9" s="62">
        <v>846751.13</v>
      </c>
      <c r="AE9" s="62">
        <v>846751.13</v>
      </c>
      <c r="AF9" s="62">
        <v>846751.13</v>
      </c>
      <c r="AG9" s="62">
        <v>846751.13</v>
      </c>
      <c r="AH9" s="62">
        <v>846751.13</v>
      </c>
      <c r="AI9" s="62">
        <v>2690181.8</v>
      </c>
      <c r="AJ9" s="62">
        <v>2690181.8</v>
      </c>
      <c r="AK9" s="62">
        <v>2690181.8</v>
      </c>
      <c r="AL9" s="62">
        <v>2690181.8</v>
      </c>
      <c r="AM9" s="62">
        <v>9714279.9100000001</v>
      </c>
      <c r="AN9" s="63">
        <v>9714280</v>
      </c>
    </row>
    <row r="10" spans="1:40" x14ac:dyDescent="0.3">
      <c r="A10" t="s">
        <v>58</v>
      </c>
      <c r="B10" s="7">
        <v>1908295</v>
      </c>
      <c r="C10" s="39">
        <v>0</v>
      </c>
      <c r="D10" s="39">
        <v>0</v>
      </c>
      <c r="E10" s="39">
        <v>0</v>
      </c>
      <c r="F10" s="39">
        <v>11424207.300000001</v>
      </c>
      <c r="G10" s="39">
        <v>11424207.300000001</v>
      </c>
      <c r="H10" s="39">
        <v>12411551.300000001</v>
      </c>
      <c r="I10" s="39">
        <v>12411551.300000001</v>
      </c>
      <c r="J10" s="39">
        <v>12411551.300000001</v>
      </c>
      <c r="K10" s="7">
        <v>12411551.300000001</v>
      </c>
      <c r="L10" s="7">
        <v>12411551.300000001</v>
      </c>
      <c r="M10" s="7">
        <v>12434444.1</v>
      </c>
      <c r="N10" s="7">
        <v>2207260</v>
      </c>
      <c r="O10" s="61">
        <v>0</v>
      </c>
      <c r="P10" s="61">
        <v>0</v>
      </c>
      <c r="Q10" s="61">
        <v>1224844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11078589.300000001</v>
      </c>
      <c r="X10" s="61">
        <v>11078589.300000001</v>
      </c>
      <c r="Y10" s="39"/>
      <c r="Z10" s="39"/>
      <c r="AA10" s="61">
        <v>2980594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12320733.699999999</v>
      </c>
      <c r="AH10" s="62">
        <v>12320733.699999999</v>
      </c>
      <c r="AI10" s="62">
        <v>12320733.699999999</v>
      </c>
      <c r="AJ10" s="62">
        <v>12320733.699999999</v>
      </c>
      <c r="AK10" s="62">
        <v>12320733.699999999</v>
      </c>
      <c r="AL10" s="62">
        <v>12320733.699999999</v>
      </c>
      <c r="AM10" s="62">
        <v>25562639.649999999</v>
      </c>
      <c r="AN10" s="39"/>
    </row>
    <row r="11" spans="1:40" x14ac:dyDescent="0.3">
      <c r="A11" t="s">
        <v>59</v>
      </c>
      <c r="B11" s="7">
        <v>20790194</v>
      </c>
      <c r="C11" s="39"/>
      <c r="D11" s="39"/>
      <c r="E11" s="39"/>
      <c r="F11" s="39"/>
      <c r="G11" s="39"/>
      <c r="H11" s="39"/>
      <c r="I11" s="39"/>
      <c r="J11" s="39"/>
      <c r="K11" s="7"/>
      <c r="L11" s="7"/>
      <c r="M11" s="7"/>
      <c r="N11" s="7">
        <v>18657068</v>
      </c>
      <c r="O11" s="64">
        <v>1426995.35</v>
      </c>
      <c r="P11" s="64">
        <v>2481556.37</v>
      </c>
      <c r="Q11" s="64">
        <v>4685962.0199999996</v>
      </c>
      <c r="R11" s="64">
        <v>5653067.5300000003</v>
      </c>
      <c r="S11" s="64">
        <v>9236922.3599999994</v>
      </c>
      <c r="T11" s="64">
        <v>10694691.140000001</v>
      </c>
      <c r="U11" s="64">
        <v>12738494.26</v>
      </c>
      <c r="V11" s="64">
        <v>14405857.09</v>
      </c>
      <c r="W11" s="64">
        <v>15874428.619999999</v>
      </c>
      <c r="X11" s="64">
        <v>17291920.289999999</v>
      </c>
      <c r="Y11" s="39"/>
      <c r="Z11" s="39"/>
      <c r="AA11" s="64">
        <v>14506454</v>
      </c>
      <c r="AB11" s="65">
        <v>1377155.45</v>
      </c>
      <c r="AC11" s="65">
        <v>2219919</v>
      </c>
      <c r="AD11" s="65">
        <v>4314562.6399999997</v>
      </c>
      <c r="AE11" s="65">
        <v>5632011.3700000001</v>
      </c>
      <c r="AF11" s="65">
        <v>9935844.75</v>
      </c>
      <c r="AG11" s="65">
        <v>11441873.949999999</v>
      </c>
      <c r="AH11" s="65">
        <v>13010713.210000001</v>
      </c>
      <c r="AI11" s="65">
        <v>14261311.35</v>
      </c>
      <c r="AJ11" s="65">
        <v>15722628.07</v>
      </c>
      <c r="AK11" s="65">
        <v>18249354.73</v>
      </c>
      <c r="AL11" s="65">
        <v>22799364.84</v>
      </c>
      <c r="AM11" s="65">
        <v>24154693.34</v>
      </c>
      <c r="AN11" s="63">
        <v>28497410</v>
      </c>
    </row>
    <row r="12" spans="1:40" x14ac:dyDescent="0.3">
      <c r="A12" s="1" t="s">
        <v>60</v>
      </c>
      <c r="B12" s="7">
        <f t="shared" ref="B12:AN12" si="9">SUM(B13:B18)</f>
        <v>101755189</v>
      </c>
      <c r="C12" s="7">
        <f t="shared" si="9"/>
        <v>2688407.77</v>
      </c>
      <c r="D12" s="7">
        <f t="shared" si="9"/>
        <v>5882553.4299999997</v>
      </c>
      <c r="E12" s="7">
        <f t="shared" si="9"/>
        <v>6998482.4400000004</v>
      </c>
      <c r="F12" s="7">
        <f t="shared" si="9"/>
        <v>8955781.9800000004</v>
      </c>
      <c r="G12" s="7">
        <f t="shared" si="9"/>
        <v>13593452.26</v>
      </c>
      <c r="H12" s="7">
        <f t="shared" si="9"/>
        <v>15855270.559999999</v>
      </c>
      <c r="I12" s="7">
        <f t="shared" si="9"/>
        <v>33456692.329999998</v>
      </c>
      <c r="J12" s="7">
        <f t="shared" si="9"/>
        <v>39178518.030000001</v>
      </c>
      <c r="K12" s="7">
        <f t="shared" si="9"/>
        <v>43715428.990000002</v>
      </c>
      <c r="L12" s="7">
        <f t="shared" si="9"/>
        <v>46950567.57</v>
      </c>
      <c r="M12" s="7">
        <f t="shared" si="9"/>
        <v>78364299.179999992</v>
      </c>
      <c r="N12" s="7">
        <f t="shared" si="9"/>
        <v>0</v>
      </c>
      <c r="O12" s="7">
        <f t="shared" si="9"/>
        <v>1982363.97</v>
      </c>
      <c r="P12" s="7">
        <f t="shared" si="9"/>
        <v>8456897.7699999996</v>
      </c>
      <c r="Q12" s="7">
        <f t="shared" si="9"/>
        <v>10237855.199999999</v>
      </c>
      <c r="R12" s="7">
        <f t="shared" si="9"/>
        <v>12595157.82</v>
      </c>
      <c r="S12" s="7">
        <f t="shared" si="9"/>
        <v>28305948.739999998</v>
      </c>
      <c r="T12" s="7">
        <f t="shared" si="9"/>
        <v>30654974.43</v>
      </c>
      <c r="U12" s="7">
        <f t="shared" si="9"/>
        <v>32616351.979999997</v>
      </c>
      <c r="V12" s="7">
        <f t="shared" si="9"/>
        <v>36564421.789999999</v>
      </c>
      <c r="W12" s="7">
        <f t="shared" si="9"/>
        <v>38338296.340000004</v>
      </c>
      <c r="X12" s="7">
        <f t="shared" si="9"/>
        <v>44338693.060000002</v>
      </c>
      <c r="Y12" s="7">
        <f t="shared" si="9"/>
        <v>0</v>
      </c>
      <c r="Z12" s="7">
        <f t="shared" si="9"/>
        <v>0</v>
      </c>
      <c r="AA12" s="7">
        <f t="shared" si="9"/>
        <v>175744738</v>
      </c>
      <c r="AB12" s="7">
        <f t="shared" si="9"/>
        <v>3002536.21</v>
      </c>
      <c r="AC12" s="7">
        <f t="shared" si="9"/>
        <v>6210175.6699999999</v>
      </c>
      <c r="AD12" s="7">
        <f t="shared" si="9"/>
        <v>9043337.1600000001</v>
      </c>
      <c r="AE12" s="7">
        <f t="shared" si="9"/>
        <v>11881696.020000001</v>
      </c>
      <c r="AF12" s="7">
        <f t="shared" si="9"/>
        <v>15266676.029999999</v>
      </c>
      <c r="AG12" s="7">
        <f t="shared" si="9"/>
        <v>18001579.220000003</v>
      </c>
      <c r="AH12" s="7">
        <f t="shared" si="9"/>
        <v>21852705.82</v>
      </c>
      <c r="AI12" s="7">
        <f t="shared" si="9"/>
        <v>30080089.670000002</v>
      </c>
      <c r="AJ12" s="7">
        <f t="shared" si="9"/>
        <v>33649414.960000001</v>
      </c>
      <c r="AK12" s="7">
        <f t="shared" si="9"/>
        <v>37898468.100000001</v>
      </c>
      <c r="AL12" s="7">
        <f t="shared" si="9"/>
        <v>41672115.519999996</v>
      </c>
      <c r="AM12" s="7">
        <f t="shared" si="9"/>
        <v>46702682.729999997</v>
      </c>
      <c r="AN12" s="7">
        <f t="shared" si="9"/>
        <v>144784771</v>
      </c>
    </row>
    <row r="13" spans="1:40" x14ac:dyDescent="0.3">
      <c r="A13" t="s">
        <v>61</v>
      </c>
      <c r="B13" s="7">
        <v>94088686</v>
      </c>
      <c r="C13" s="60">
        <v>2178181.77</v>
      </c>
      <c r="D13" s="60">
        <v>3769858.47</v>
      </c>
      <c r="E13" s="60">
        <v>4884587.4800000004</v>
      </c>
      <c r="F13" s="60">
        <v>6671582.5999999996</v>
      </c>
      <c r="G13" s="60">
        <v>9038281.1699999999</v>
      </c>
      <c r="H13" s="60">
        <v>10426467.869999999</v>
      </c>
      <c r="I13" s="60">
        <v>14501671.76</v>
      </c>
      <c r="J13" s="60">
        <v>16244062.75</v>
      </c>
      <c r="K13" s="7">
        <v>18234358.940000001</v>
      </c>
      <c r="L13" s="7">
        <v>21375176.710000001</v>
      </c>
      <c r="M13" s="7">
        <v>49398692.659999996</v>
      </c>
      <c r="N13" s="7"/>
      <c r="O13" s="61">
        <v>1771463.97</v>
      </c>
      <c r="P13" s="61">
        <v>4489755.17</v>
      </c>
      <c r="Q13" s="61">
        <v>6138432.1399999997</v>
      </c>
      <c r="R13" s="61">
        <v>8085970.9199999999</v>
      </c>
      <c r="S13" s="61">
        <v>10257559.59</v>
      </c>
      <c r="T13" s="61">
        <v>12461772.880000001</v>
      </c>
      <c r="U13" s="61">
        <v>14261396.17</v>
      </c>
      <c r="V13" s="61">
        <v>16929300.059999999</v>
      </c>
      <c r="W13" s="61">
        <v>18765100.600000001</v>
      </c>
      <c r="X13" s="61">
        <v>21070514.059999999</v>
      </c>
      <c r="Y13" s="39"/>
      <c r="Z13" s="39"/>
      <c r="AA13" s="61">
        <v>155744738</v>
      </c>
      <c r="AB13" s="62">
        <v>2952714.6</v>
      </c>
      <c r="AC13" s="62">
        <v>5736443.1500000004</v>
      </c>
      <c r="AD13" s="62">
        <v>8447156.8300000001</v>
      </c>
      <c r="AE13" s="62">
        <v>11284315.720000001</v>
      </c>
      <c r="AF13" s="62">
        <v>14212254.619999999</v>
      </c>
      <c r="AG13" s="62">
        <v>16936377.350000001</v>
      </c>
      <c r="AH13" s="62">
        <v>20785703.949999999</v>
      </c>
      <c r="AI13" s="62">
        <v>23609103.670000002</v>
      </c>
      <c r="AJ13" s="62">
        <v>26479358.190000001</v>
      </c>
      <c r="AK13" s="62">
        <v>30504972.289999999</v>
      </c>
      <c r="AL13" s="62">
        <v>33970806.5</v>
      </c>
      <c r="AM13" s="62">
        <v>38811487.689999998</v>
      </c>
      <c r="AN13" s="63">
        <f>99669373</f>
        <v>99669373</v>
      </c>
    </row>
    <row r="14" spans="1:40" x14ac:dyDescent="0.3">
      <c r="A14" t="s">
        <v>62</v>
      </c>
      <c r="B14" s="7">
        <v>7666503</v>
      </c>
      <c r="C14" s="60">
        <v>510226</v>
      </c>
      <c r="D14" s="60">
        <v>2112694.96</v>
      </c>
      <c r="E14" s="60">
        <v>2113894.96</v>
      </c>
      <c r="F14" s="60">
        <v>2284199.38</v>
      </c>
      <c r="G14" s="60">
        <v>4555171.09</v>
      </c>
      <c r="H14" s="60">
        <v>5428802.6900000004</v>
      </c>
      <c r="I14" s="60">
        <v>18955020.57</v>
      </c>
      <c r="J14" s="60">
        <v>22934455.280000001</v>
      </c>
      <c r="K14" s="7">
        <v>25481070.050000001</v>
      </c>
      <c r="L14" s="7">
        <v>25575390.859999999</v>
      </c>
      <c r="M14" s="7">
        <v>28965606.52</v>
      </c>
      <c r="N14" s="7"/>
      <c r="O14" s="61">
        <v>210900</v>
      </c>
      <c r="P14" s="61">
        <v>3967142.6</v>
      </c>
      <c r="Q14" s="61">
        <v>4099423.06</v>
      </c>
      <c r="R14" s="61">
        <v>4509186.9000000004</v>
      </c>
      <c r="S14" s="61">
        <v>18048389.149999999</v>
      </c>
      <c r="T14" s="61">
        <v>18193201.550000001</v>
      </c>
      <c r="U14" s="61">
        <v>18354955.809999999</v>
      </c>
      <c r="V14" s="61">
        <v>19635121.73</v>
      </c>
      <c r="W14" s="61">
        <v>19573195.739999998</v>
      </c>
      <c r="X14" s="61">
        <v>23268179</v>
      </c>
      <c r="Y14" s="39"/>
      <c r="Z14" s="39"/>
      <c r="AA14" s="39"/>
      <c r="AB14" s="62">
        <v>49821.61</v>
      </c>
      <c r="AC14" s="62">
        <v>473732.52</v>
      </c>
      <c r="AD14" s="62">
        <v>596180.32999999996</v>
      </c>
      <c r="AE14" s="62">
        <v>597380.30000000005</v>
      </c>
      <c r="AF14" s="62">
        <v>1054421.4099999999</v>
      </c>
      <c r="AG14" s="62">
        <v>1065201.8700000001</v>
      </c>
      <c r="AH14" s="62">
        <v>1067001.8700000001</v>
      </c>
      <c r="AI14" s="62">
        <v>6470986</v>
      </c>
      <c r="AJ14" s="62">
        <v>7170056.7699999996</v>
      </c>
      <c r="AK14" s="62">
        <v>7393495.8099999996</v>
      </c>
      <c r="AL14" s="62">
        <v>7701309.0199999996</v>
      </c>
      <c r="AM14" s="62">
        <v>7891195.04</v>
      </c>
      <c r="AN14" s="63">
        <f>1185665+22284140</f>
        <v>23469805</v>
      </c>
    </row>
    <row r="15" spans="1:40" x14ac:dyDescent="0.3">
      <c r="A15" t="s">
        <v>63</v>
      </c>
      <c r="B15" s="7"/>
      <c r="C15" s="5"/>
      <c r="D15" s="5"/>
      <c r="E15" s="5"/>
      <c r="F15" s="5"/>
      <c r="G15" s="5"/>
      <c r="H15" s="5"/>
      <c r="I15" s="5"/>
      <c r="J15" s="60"/>
      <c r="K15" s="7"/>
      <c r="L15" s="7"/>
      <c r="M15" s="7"/>
      <c r="N15" s="7"/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39"/>
      <c r="Z15" s="39"/>
      <c r="AA15" s="39"/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62">
        <v>0</v>
      </c>
      <c r="AN15" s="63">
        <v>21645593</v>
      </c>
    </row>
    <row r="16" spans="1:40" x14ac:dyDescent="0.3">
      <c r="A16" t="s">
        <v>64</v>
      </c>
      <c r="B16" s="7"/>
      <c r="C16" s="60"/>
      <c r="D16" s="60"/>
      <c r="E16" s="60"/>
      <c r="F16" s="60"/>
      <c r="G16" s="60"/>
      <c r="H16" s="60"/>
      <c r="I16" s="60"/>
      <c r="J16" s="60"/>
      <c r="K16" s="7"/>
      <c r="L16" s="7"/>
      <c r="M16" s="7"/>
      <c r="N16" s="7"/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39"/>
      <c r="Z16" s="39"/>
      <c r="AA16" s="39"/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39"/>
    </row>
    <row r="17" spans="1:40" x14ac:dyDescent="0.3">
      <c r="A17" t="s">
        <v>65</v>
      </c>
      <c r="B17" s="7"/>
      <c r="C17" s="39"/>
      <c r="D17" s="39"/>
      <c r="E17" s="39"/>
      <c r="F17" s="39"/>
      <c r="G17" s="39"/>
      <c r="H17" s="39"/>
      <c r="I17" s="39"/>
      <c r="J17" s="39"/>
      <c r="K17" s="7"/>
      <c r="L17" s="7"/>
      <c r="M17" s="7"/>
      <c r="N17" s="7"/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39"/>
      <c r="Z17" s="39"/>
      <c r="AA17" s="39"/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62">
        <v>0</v>
      </c>
      <c r="AN17" s="39"/>
    </row>
    <row r="18" spans="1:40" x14ac:dyDescent="0.3">
      <c r="A18" t="s">
        <v>66</v>
      </c>
      <c r="B18" s="7"/>
      <c r="C18" s="39"/>
      <c r="D18" s="39"/>
      <c r="E18" s="39"/>
      <c r="F18" s="39"/>
      <c r="G18" s="39"/>
      <c r="H18" s="39"/>
      <c r="I18" s="39"/>
      <c r="J18" s="39"/>
      <c r="K18" s="7"/>
      <c r="L18" s="7"/>
      <c r="M18" s="7"/>
      <c r="N18" s="7"/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39"/>
      <c r="Z18" s="39"/>
      <c r="AA18" s="61">
        <v>20000000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39"/>
    </row>
    <row r="19" spans="1:40" x14ac:dyDescent="0.3">
      <c r="A19" s="1" t="s">
        <v>67</v>
      </c>
      <c r="B19" s="7">
        <f t="shared" ref="B19:AN19" si="10">B3-B12</f>
        <v>154777651</v>
      </c>
      <c r="C19" s="7">
        <f t="shared" si="10"/>
        <v>13833314.32</v>
      </c>
      <c r="D19" s="7">
        <f t="shared" si="10"/>
        <v>13350426.43</v>
      </c>
      <c r="E19" s="7">
        <f t="shared" si="10"/>
        <v>43090259.100000001</v>
      </c>
      <c r="F19" s="7">
        <f t="shared" si="10"/>
        <v>69780378.150000006</v>
      </c>
      <c r="G19" s="7">
        <f t="shared" si="10"/>
        <v>80647257.469999984</v>
      </c>
      <c r="H19" s="7">
        <f t="shared" si="10"/>
        <v>99421119.099999994</v>
      </c>
      <c r="I19" s="7">
        <f t="shared" si="10"/>
        <v>117580322.28000002</v>
      </c>
      <c r="J19" s="7">
        <f t="shared" si="10"/>
        <v>128520714.87</v>
      </c>
      <c r="K19" s="7">
        <f t="shared" si="10"/>
        <v>143170567.46000001</v>
      </c>
      <c r="L19" s="7">
        <f t="shared" si="10"/>
        <v>158415145.28</v>
      </c>
      <c r="M19" s="7">
        <f t="shared" si="10"/>
        <v>148690452.31999999</v>
      </c>
      <c r="N19" s="7">
        <f t="shared" si="10"/>
        <v>258552359</v>
      </c>
      <c r="O19" s="7">
        <f t="shared" si="10"/>
        <v>16654522.310000001</v>
      </c>
      <c r="P19" s="7">
        <f t="shared" si="10"/>
        <v>28577524.800000001</v>
      </c>
      <c r="Q19" s="7">
        <f t="shared" si="10"/>
        <v>49242786.390000001</v>
      </c>
      <c r="R19" s="7">
        <f t="shared" si="10"/>
        <v>65837783.039999999</v>
      </c>
      <c r="S19" s="7">
        <f t="shared" si="10"/>
        <v>72705766.920000002</v>
      </c>
      <c r="T19" s="7">
        <f t="shared" si="10"/>
        <v>92044271.789999992</v>
      </c>
      <c r="U19" s="7">
        <f t="shared" si="10"/>
        <v>115232818.08000001</v>
      </c>
      <c r="V19" s="7">
        <f t="shared" si="10"/>
        <v>132167808.58000001</v>
      </c>
      <c r="W19" s="7">
        <f t="shared" si="10"/>
        <v>162182745.19999999</v>
      </c>
      <c r="X19" s="7">
        <f t="shared" si="10"/>
        <v>178002257.21999997</v>
      </c>
      <c r="Y19" s="7">
        <f t="shared" si="10"/>
        <v>0</v>
      </c>
      <c r="Z19" s="7">
        <f t="shared" si="10"/>
        <v>0</v>
      </c>
      <c r="AA19" s="7">
        <f t="shared" si="10"/>
        <v>146886015</v>
      </c>
      <c r="AB19" s="7">
        <f t="shared" si="10"/>
        <v>17728757.66</v>
      </c>
      <c r="AC19" s="7">
        <f t="shared" si="10"/>
        <v>32714523.119999997</v>
      </c>
      <c r="AD19" s="7">
        <f t="shared" si="10"/>
        <v>53055546.810000002</v>
      </c>
      <c r="AE19" s="7">
        <f t="shared" si="10"/>
        <v>69832633.310000002</v>
      </c>
      <c r="AF19" s="7">
        <f t="shared" si="10"/>
        <v>90520638.359999999</v>
      </c>
      <c r="AG19" s="7">
        <f t="shared" si="10"/>
        <v>123093189.81</v>
      </c>
      <c r="AH19" s="7">
        <f t="shared" si="10"/>
        <v>140292668.51000002</v>
      </c>
      <c r="AI19" s="7">
        <f t="shared" si="10"/>
        <v>154850995.47000003</v>
      </c>
      <c r="AJ19" s="7">
        <f t="shared" si="10"/>
        <v>171573772.13999999</v>
      </c>
      <c r="AK19" s="7">
        <f t="shared" si="10"/>
        <v>188434822.09999999</v>
      </c>
      <c r="AL19" s="7">
        <f t="shared" si="10"/>
        <v>206410426.71000004</v>
      </c>
      <c r="AM19" s="7">
        <f t="shared" si="10"/>
        <v>243490630.06000003</v>
      </c>
      <c r="AN19" s="7">
        <f t="shared" si="10"/>
        <v>209908542</v>
      </c>
    </row>
    <row r="20" spans="1:40" x14ac:dyDescent="0.3">
      <c r="A20" t="s">
        <v>68</v>
      </c>
      <c r="B20" s="7"/>
      <c r="C20" s="39"/>
      <c r="D20" s="39"/>
      <c r="E20" s="39"/>
      <c r="F20" s="39"/>
      <c r="G20" s="39"/>
      <c r="H20" s="39"/>
      <c r="I20" s="39"/>
      <c r="J20" s="39"/>
      <c r="K20" s="7"/>
      <c r="L20" s="7"/>
      <c r="M20" s="7"/>
      <c r="N20" s="7"/>
      <c r="O20" s="61">
        <v>0</v>
      </c>
      <c r="P20" s="61">
        <v>0</v>
      </c>
      <c r="Q20" s="61">
        <v>0</v>
      </c>
      <c r="R20" s="61">
        <v>2000000</v>
      </c>
      <c r="S20" s="61">
        <v>2000000</v>
      </c>
      <c r="T20" s="61">
        <v>3000000</v>
      </c>
      <c r="U20" s="61">
        <v>3000000</v>
      </c>
      <c r="V20" s="61">
        <v>4000000</v>
      </c>
      <c r="W20" s="61">
        <v>4000000</v>
      </c>
      <c r="X20" s="61">
        <v>4000000</v>
      </c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spans="1:40" x14ac:dyDescent="0.3">
      <c r="A21" t="s">
        <v>69</v>
      </c>
      <c r="B21" s="7"/>
      <c r="C21" s="5">
        <v>0</v>
      </c>
      <c r="D21" s="5">
        <v>0</v>
      </c>
      <c r="E21" s="5">
        <v>1500000</v>
      </c>
      <c r="F21" s="5">
        <v>1500000</v>
      </c>
      <c r="G21" s="5">
        <v>2500000</v>
      </c>
      <c r="H21" s="5">
        <v>3000000</v>
      </c>
      <c r="I21" s="5">
        <v>4000000</v>
      </c>
      <c r="J21" s="5">
        <v>4500000</v>
      </c>
      <c r="K21" s="7">
        <v>5000000</v>
      </c>
      <c r="L21" s="7">
        <v>5500000</v>
      </c>
      <c r="M21" s="7">
        <v>6000000</v>
      </c>
      <c r="N21" s="7"/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1:40" x14ac:dyDescent="0.3">
      <c r="A22" t="s">
        <v>70</v>
      </c>
      <c r="B22" s="7"/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7">
        <v>0</v>
      </c>
      <c r="L22" s="7">
        <v>0</v>
      </c>
      <c r="M22" s="7">
        <v>0</v>
      </c>
      <c r="N22" s="7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</row>
    <row r="23" spans="1:40" x14ac:dyDescent="0.3">
      <c r="A23" s="1" t="s">
        <v>71</v>
      </c>
      <c r="B23" s="7">
        <f t="shared" ref="B23:AN23" si="11">SUM(B24:B28)</f>
        <v>131684611</v>
      </c>
      <c r="C23" s="7">
        <f t="shared" si="11"/>
        <v>10713803.300000001</v>
      </c>
      <c r="D23" s="7">
        <f t="shared" si="11"/>
        <v>20884863.899999999</v>
      </c>
      <c r="E23" s="7">
        <f t="shared" si="11"/>
        <v>35154364.579999998</v>
      </c>
      <c r="F23" s="7">
        <f t="shared" si="11"/>
        <v>52089969.969999999</v>
      </c>
      <c r="G23" s="7">
        <f t="shared" si="11"/>
        <v>65679526.849999994</v>
      </c>
      <c r="H23" s="7">
        <f t="shared" si="11"/>
        <v>73177337.200000003</v>
      </c>
      <c r="I23" s="7">
        <f t="shared" si="11"/>
        <v>94148542.849999994</v>
      </c>
      <c r="J23" s="7">
        <f t="shared" si="11"/>
        <v>104778590.88</v>
      </c>
      <c r="K23" s="7">
        <f t="shared" si="11"/>
        <v>116612940.05</v>
      </c>
      <c r="L23" s="7">
        <f t="shared" si="11"/>
        <v>127503796.91999999</v>
      </c>
      <c r="M23" s="7">
        <f t="shared" si="11"/>
        <v>137676993.09</v>
      </c>
      <c r="N23" s="7">
        <f t="shared" si="11"/>
        <v>132194359</v>
      </c>
      <c r="O23" s="26"/>
      <c r="P23" s="26"/>
      <c r="Q23" s="26"/>
      <c r="R23" s="26"/>
      <c r="S23" s="26"/>
      <c r="T23" s="26"/>
      <c r="U23" s="26"/>
      <c r="V23" s="26"/>
      <c r="W23" s="7">
        <f t="shared" si="11"/>
        <v>129585211.5</v>
      </c>
      <c r="X23" s="7">
        <f t="shared" si="11"/>
        <v>143221041.09999999</v>
      </c>
      <c r="Y23" s="7">
        <f t="shared" si="11"/>
        <v>0</v>
      </c>
      <c r="Z23" s="7">
        <f t="shared" si="11"/>
        <v>0</v>
      </c>
      <c r="AA23" s="7">
        <f t="shared" si="11"/>
        <v>130007972</v>
      </c>
      <c r="AB23" s="7">
        <f t="shared" si="11"/>
        <v>16442781</v>
      </c>
      <c r="AC23" s="7">
        <v>0</v>
      </c>
      <c r="AD23" s="7">
        <f t="shared" si="11"/>
        <v>45531520.399999999</v>
      </c>
      <c r="AE23" s="7">
        <f t="shared" si="11"/>
        <v>63729118.099999994</v>
      </c>
      <c r="AF23" s="7">
        <f t="shared" si="11"/>
        <v>83472390.300000012</v>
      </c>
      <c r="AG23" s="7">
        <f t="shared" si="11"/>
        <v>101308564.80000001</v>
      </c>
      <c r="AH23" s="7">
        <f t="shared" si="11"/>
        <v>116856154.5</v>
      </c>
      <c r="AI23" s="7">
        <f t="shared" si="11"/>
        <v>131715277.7</v>
      </c>
      <c r="AJ23" s="7">
        <f t="shared" si="11"/>
        <v>147621297.19999999</v>
      </c>
      <c r="AK23" s="7">
        <f t="shared" si="11"/>
        <v>147314814.5</v>
      </c>
      <c r="AL23" s="7">
        <f t="shared" si="11"/>
        <v>152102313.30000001</v>
      </c>
      <c r="AM23" s="7">
        <f t="shared" si="11"/>
        <v>162400397.90000001</v>
      </c>
      <c r="AN23" s="7">
        <f t="shared" si="11"/>
        <v>178494606</v>
      </c>
    </row>
    <row r="24" spans="1:40" x14ac:dyDescent="0.3">
      <c r="A24" t="s">
        <v>72</v>
      </c>
      <c r="B24" s="7">
        <v>40327405</v>
      </c>
      <c r="C24" s="5">
        <v>5889327.2999999998</v>
      </c>
      <c r="D24" s="5">
        <v>6356284.2999999998</v>
      </c>
      <c r="E24" s="5">
        <v>12907465.199999999</v>
      </c>
      <c r="F24" s="5">
        <v>13589965.199999999</v>
      </c>
      <c r="G24" s="5">
        <v>19914668.100000001</v>
      </c>
      <c r="H24" s="5">
        <v>23035276</v>
      </c>
      <c r="I24" s="5">
        <v>29314222.300000001</v>
      </c>
      <c r="J24" s="5">
        <v>32221231.600000001</v>
      </c>
      <c r="K24" s="7">
        <v>36018304.399999999</v>
      </c>
      <c r="L24" s="7">
        <v>39375460.100000001</v>
      </c>
      <c r="M24" s="7">
        <v>39880468.100000001</v>
      </c>
      <c r="N24" s="7">
        <v>40880468</v>
      </c>
      <c r="O24" s="61">
        <v>5815004.2000000002</v>
      </c>
      <c r="P24" s="61">
        <v>6171338.2000000002</v>
      </c>
      <c r="Q24" s="61">
        <v>12541620.5</v>
      </c>
      <c r="R24" s="61">
        <v>16389910.9</v>
      </c>
      <c r="S24" s="61">
        <v>19904474.699999999</v>
      </c>
      <c r="T24" s="61">
        <v>26249221.600000001</v>
      </c>
      <c r="U24" s="61">
        <v>33457916.800000001</v>
      </c>
      <c r="V24" s="61">
        <v>37784508.799999997</v>
      </c>
      <c r="W24" s="61">
        <v>38490198.799999997</v>
      </c>
      <c r="X24" s="61">
        <v>42482699.200000003</v>
      </c>
      <c r="Y24" s="39"/>
      <c r="Z24" s="39"/>
      <c r="AA24" s="66">
        <v>52446080</v>
      </c>
      <c r="AB24" s="62">
        <v>2672570.1</v>
      </c>
      <c r="AC24" s="62">
        <v>6728014</v>
      </c>
      <c r="AD24" s="62">
        <v>12155228.4</v>
      </c>
      <c r="AE24" s="62">
        <v>17029662.399999999</v>
      </c>
      <c r="AF24" s="62">
        <v>22329584.699999999</v>
      </c>
      <c r="AG24" s="62">
        <v>27191188.199999999</v>
      </c>
      <c r="AH24" s="62">
        <v>32531458.100000001</v>
      </c>
      <c r="AI24" s="62">
        <v>36874385.700000003</v>
      </c>
      <c r="AJ24" s="62">
        <v>41819298.5</v>
      </c>
      <c r="AK24" s="62">
        <v>49553164</v>
      </c>
      <c r="AL24" s="62">
        <v>53740232.899999999</v>
      </c>
      <c r="AM24" s="62">
        <v>54086276.899999999</v>
      </c>
      <c r="AN24" s="7">
        <v>54086277</v>
      </c>
    </row>
    <row r="25" spans="1:40" x14ac:dyDescent="0.3">
      <c r="A25" t="s">
        <v>73</v>
      </c>
      <c r="B25" s="7">
        <v>23705306</v>
      </c>
      <c r="C25" s="60">
        <v>1871302</v>
      </c>
      <c r="D25" s="60">
        <v>7334202</v>
      </c>
      <c r="E25" s="60">
        <v>8040547</v>
      </c>
      <c r="F25" s="60">
        <v>8957397</v>
      </c>
      <c r="G25" s="60">
        <v>8660397</v>
      </c>
      <c r="H25" s="60">
        <v>9048970</v>
      </c>
      <c r="I25" s="60">
        <v>9921306</v>
      </c>
      <c r="J25" s="60">
        <v>10359179</v>
      </c>
      <c r="K25" s="7">
        <v>12233179</v>
      </c>
      <c r="L25" s="7">
        <v>13509982</v>
      </c>
      <c r="M25" s="7">
        <v>16984122</v>
      </c>
      <c r="N25" s="7">
        <v>18184122</v>
      </c>
      <c r="O25" s="61">
        <v>2890805</v>
      </c>
      <c r="P25" s="61">
        <v>4029405</v>
      </c>
      <c r="Q25" s="61">
        <v>5316878</v>
      </c>
      <c r="R25" s="61">
        <v>9350888</v>
      </c>
      <c r="S25" s="61">
        <v>10127054</v>
      </c>
      <c r="T25" s="61">
        <v>11951404</v>
      </c>
      <c r="U25" s="61">
        <v>14196818</v>
      </c>
      <c r="V25" s="61">
        <v>15701143</v>
      </c>
      <c r="W25" s="61">
        <v>19298303</v>
      </c>
      <c r="X25" s="61">
        <v>19967703</v>
      </c>
      <c r="Y25" s="39"/>
      <c r="Z25" s="39"/>
      <c r="AA25" s="61">
        <v>19367933</v>
      </c>
      <c r="AB25" s="62">
        <v>3591100</v>
      </c>
      <c r="AC25" s="62">
        <v>6001770</v>
      </c>
      <c r="AD25" s="62">
        <v>8612440</v>
      </c>
      <c r="AE25" s="62">
        <v>15681160</v>
      </c>
      <c r="AF25" s="62">
        <v>18480060</v>
      </c>
      <c r="AG25" s="62">
        <v>22371190</v>
      </c>
      <c r="AH25" s="62">
        <v>23674550</v>
      </c>
      <c r="AI25" s="62">
        <v>24637950</v>
      </c>
      <c r="AJ25" s="62">
        <v>28534410</v>
      </c>
      <c r="AK25" s="62">
        <v>26257310</v>
      </c>
      <c r="AL25" s="62">
        <v>24781060</v>
      </c>
      <c r="AM25" s="62">
        <v>28084460</v>
      </c>
      <c r="AN25" s="63">
        <v>26084460</v>
      </c>
    </row>
    <row r="26" spans="1:40" x14ac:dyDescent="0.3">
      <c r="A26" t="s">
        <v>74</v>
      </c>
      <c r="B26" s="7">
        <v>11075110</v>
      </c>
      <c r="C26" s="60">
        <v>878234</v>
      </c>
      <c r="D26" s="60">
        <v>2844964</v>
      </c>
      <c r="E26" s="60">
        <v>5530744.9900000002</v>
      </c>
      <c r="F26" s="60">
        <v>7134162.5800000001</v>
      </c>
      <c r="G26" s="60">
        <v>7781663.6500000004</v>
      </c>
      <c r="H26" s="60">
        <v>8246128.1699999999</v>
      </c>
      <c r="I26" s="60">
        <v>9316638.3300000001</v>
      </c>
      <c r="J26" s="60">
        <v>10097098.33</v>
      </c>
      <c r="K26" s="7">
        <v>10665691.33</v>
      </c>
      <c r="L26" s="7">
        <v>12635857.33</v>
      </c>
      <c r="M26" s="7">
        <v>13615687.33</v>
      </c>
      <c r="N26" s="7">
        <v>12003487</v>
      </c>
      <c r="O26" s="61">
        <v>1942117</v>
      </c>
      <c r="P26" s="61">
        <v>2707533</v>
      </c>
      <c r="Q26" s="61">
        <v>3565433</v>
      </c>
      <c r="R26" s="61">
        <v>4434563</v>
      </c>
      <c r="S26" s="61">
        <v>5325633</v>
      </c>
      <c r="T26" s="61">
        <v>7125777</v>
      </c>
      <c r="U26" s="61">
        <v>7638075</v>
      </c>
      <c r="V26" s="61">
        <v>8623117</v>
      </c>
      <c r="W26" s="61">
        <v>9283563</v>
      </c>
      <c r="X26" s="61">
        <v>10792305</v>
      </c>
      <c r="Y26" s="39"/>
      <c r="Z26" s="39"/>
      <c r="AA26" s="66">
        <f>21081792-AA27</f>
        <v>14983074</v>
      </c>
      <c r="AB26" s="62">
        <v>3754908</v>
      </c>
      <c r="AC26" s="62">
        <v>5868620</v>
      </c>
      <c r="AD26" s="62">
        <v>7286250</v>
      </c>
      <c r="AE26" s="62">
        <v>9093478</v>
      </c>
      <c r="AF26" s="62">
        <v>11477758</v>
      </c>
      <c r="AG26" s="62">
        <v>12831658</v>
      </c>
      <c r="AH26" s="62">
        <v>14473046</v>
      </c>
      <c r="AI26" s="62">
        <v>16655682</v>
      </c>
      <c r="AJ26" s="62">
        <v>18184570</v>
      </c>
      <c r="AK26" s="62">
        <v>18071240</v>
      </c>
      <c r="AL26" s="62">
        <v>21038934</v>
      </c>
      <c r="AM26" s="62">
        <v>23797460</v>
      </c>
      <c r="AN26" s="63">
        <v>11423660</v>
      </c>
    </row>
    <row r="27" spans="1:40" x14ac:dyDescent="0.3">
      <c r="A27" t="s">
        <v>75</v>
      </c>
      <c r="B27" s="7">
        <v>8790687</v>
      </c>
      <c r="C27" s="60">
        <v>0</v>
      </c>
      <c r="D27" s="60">
        <v>0</v>
      </c>
      <c r="E27" s="60">
        <v>1536233.79</v>
      </c>
      <c r="F27" s="60">
        <v>1536233.79</v>
      </c>
      <c r="G27" s="60">
        <v>2560389.65</v>
      </c>
      <c r="H27" s="60">
        <v>3072467.58</v>
      </c>
      <c r="I27" s="60">
        <v>4096623.44</v>
      </c>
      <c r="J27" s="60">
        <v>4608701.37</v>
      </c>
      <c r="K27" s="7">
        <v>5120779.3</v>
      </c>
      <c r="L27" s="7">
        <v>5632857.2300000004</v>
      </c>
      <c r="M27" s="7">
        <v>6144935.1600000001</v>
      </c>
      <c r="N27" s="7">
        <v>6144935</v>
      </c>
      <c r="O27" s="61">
        <v>0</v>
      </c>
      <c r="P27" s="61">
        <v>0</v>
      </c>
      <c r="Q27" s="61">
        <v>0</v>
      </c>
      <c r="R27" s="61">
        <v>3005777.8</v>
      </c>
      <c r="S27" s="61">
        <v>3005777.8</v>
      </c>
      <c r="T27" s="61">
        <v>4508666.7</v>
      </c>
      <c r="U27" s="61">
        <v>4508666.7</v>
      </c>
      <c r="V27" s="61">
        <v>6019258.5</v>
      </c>
      <c r="W27" s="61">
        <v>6019258.5</v>
      </c>
      <c r="X27" s="61">
        <v>6019258.5</v>
      </c>
      <c r="Y27" s="39"/>
      <c r="Z27" s="39"/>
      <c r="AA27" s="66">
        <v>6098718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3">
        <f>14556874+2388929</f>
        <v>16945803</v>
      </c>
    </row>
    <row r="28" spans="1:40" x14ac:dyDescent="0.3">
      <c r="A28" t="s">
        <v>76</v>
      </c>
      <c r="B28" s="7">
        <v>47786103</v>
      </c>
      <c r="C28" s="60">
        <v>2074940</v>
      </c>
      <c r="D28" s="60">
        <v>4349413.5999999996</v>
      </c>
      <c r="E28" s="60">
        <v>7139373.5999999996</v>
      </c>
      <c r="F28" s="60">
        <v>20872211.399999999</v>
      </c>
      <c r="G28" s="60">
        <v>26762408.449999999</v>
      </c>
      <c r="H28" s="60">
        <v>29774495.449999999</v>
      </c>
      <c r="I28" s="60">
        <v>41499752.780000001</v>
      </c>
      <c r="J28" s="60">
        <v>47492380.579999998</v>
      </c>
      <c r="K28" s="7">
        <v>52574986.020000003</v>
      </c>
      <c r="L28" s="7">
        <v>56349640.259999998</v>
      </c>
      <c r="M28" s="7">
        <v>61051780.5</v>
      </c>
      <c r="N28" s="7">
        <f>39981347+15000000</f>
        <v>54981347</v>
      </c>
      <c r="O28" s="61">
        <v>4889353.84</v>
      </c>
      <c r="P28" s="61">
        <v>9469715.0399999991</v>
      </c>
      <c r="Q28" s="61">
        <v>14818815.32</v>
      </c>
      <c r="R28" s="61">
        <v>23014312.050000001</v>
      </c>
      <c r="S28" s="61">
        <v>31443904.649999999</v>
      </c>
      <c r="T28" s="61">
        <v>33633376.43</v>
      </c>
      <c r="U28" s="61">
        <v>43979621.869999997</v>
      </c>
      <c r="V28" s="61">
        <v>50457840.299999997</v>
      </c>
      <c r="W28" s="61">
        <v>56493888.200000003</v>
      </c>
      <c r="X28" s="61">
        <v>63959075.399999999</v>
      </c>
      <c r="Y28" s="39"/>
      <c r="Z28" s="39"/>
      <c r="AA28" s="66">
        <v>37112167</v>
      </c>
      <c r="AB28" s="62">
        <v>6424202.9000000004</v>
      </c>
      <c r="AC28" s="62">
        <v>10169068.800000001</v>
      </c>
      <c r="AD28" s="62">
        <v>17477602</v>
      </c>
      <c r="AE28" s="62">
        <v>21924817.699999999</v>
      </c>
      <c r="AF28" s="62">
        <v>31184987.600000001</v>
      </c>
      <c r="AG28" s="62">
        <v>38914528.600000001</v>
      </c>
      <c r="AH28" s="62">
        <v>46177100.399999999</v>
      </c>
      <c r="AI28" s="62">
        <v>53547260</v>
      </c>
      <c r="AJ28" s="62">
        <v>59083018.700000003</v>
      </c>
      <c r="AK28" s="62">
        <v>53433100.5</v>
      </c>
      <c r="AL28" s="62">
        <v>52542086.399999999</v>
      </c>
      <c r="AM28" s="62">
        <v>56432201</v>
      </c>
      <c r="AN28" s="63">
        <f>40764184+1955189+165500+11309608+5173695+2009890-AN26+20000000</f>
        <v>69954406</v>
      </c>
    </row>
    <row r="29" spans="1:40" x14ac:dyDescent="0.3">
      <c r="A29" s="1" t="s">
        <v>77</v>
      </c>
      <c r="B29" s="7">
        <f>B19-B21-B23</f>
        <v>23093040</v>
      </c>
      <c r="C29" s="7">
        <f t="shared" ref="C29:M29" si="12">C19-C21-C23</f>
        <v>3119511.0199999996</v>
      </c>
      <c r="D29" s="7">
        <f t="shared" si="12"/>
        <v>-7534437.4699999988</v>
      </c>
      <c r="E29" s="7">
        <f t="shared" si="12"/>
        <v>6435894.5200000033</v>
      </c>
      <c r="F29" s="7">
        <f t="shared" si="12"/>
        <v>16190408.180000007</v>
      </c>
      <c r="G29" s="7">
        <f t="shared" si="12"/>
        <v>12467730.61999999</v>
      </c>
      <c r="H29" s="7">
        <f t="shared" si="12"/>
        <v>23243781.899999991</v>
      </c>
      <c r="I29" s="7">
        <f t="shared" si="12"/>
        <v>19431779.430000022</v>
      </c>
      <c r="J29" s="7">
        <f t="shared" si="12"/>
        <v>19242123.99000001</v>
      </c>
      <c r="K29" s="7">
        <f t="shared" si="12"/>
        <v>21557627.410000011</v>
      </c>
      <c r="L29" s="7">
        <f t="shared" si="12"/>
        <v>25411348.360000014</v>
      </c>
      <c r="M29" s="7">
        <f t="shared" si="12"/>
        <v>5013459.2299999893</v>
      </c>
      <c r="N29" s="7">
        <f t="shared" ref="N29:AA29" si="13">N19-N21-N23</f>
        <v>126358000</v>
      </c>
      <c r="O29" s="7">
        <f t="shared" si="13"/>
        <v>16654522.310000001</v>
      </c>
      <c r="P29" s="7">
        <f t="shared" si="13"/>
        <v>28577524.800000001</v>
      </c>
      <c r="Q29" s="7">
        <f t="shared" si="13"/>
        <v>49242786.390000001</v>
      </c>
      <c r="R29" s="7">
        <f t="shared" si="13"/>
        <v>65837783.039999999</v>
      </c>
      <c r="S29" s="7">
        <f t="shared" si="13"/>
        <v>72705766.920000002</v>
      </c>
      <c r="T29" s="7">
        <f t="shared" si="13"/>
        <v>92044271.789999992</v>
      </c>
      <c r="U29" s="7">
        <f t="shared" si="13"/>
        <v>115232818.08000001</v>
      </c>
      <c r="V29" s="7">
        <f t="shared" si="13"/>
        <v>132167808.58000001</v>
      </c>
      <c r="W29" s="7">
        <f t="shared" si="13"/>
        <v>32597533.699999988</v>
      </c>
      <c r="X29" s="7">
        <f t="shared" si="13"/>
        <v>34781216.119999975</v>
      </c>
      <c r="Y29" s="7">
        <f t="shared" si="13"/>
        <v>0</v>
      </c>
      <c r="Z29" s="7">
        <f t="shared" si="13"/>
        <v>0</v>
      </c>
      <c r="AA29" s="7">
        <f t="shared" si="13"/>
        <v>16878043</v>
      </c>
      <c r="AB29" s="7">
        <f t="shared" ref="AB29:AN29" si="14">AB19-AB21-AB23</f>
        <v>1285976.6600000001</v>
      </c>
      <c r="AC29" s="7">
        <f t="shared" si="14"/>
        <v>32714523.119999997</v>
      </c>
      <c r="AD29" s="7">
        <f t="shared" si="14"/>
        <v>7524026.4100000039</v>
      </c>
      <c r="AE29" s="7">
        <f t="shared" si="14"/>
        <v>6103515.2100000083</v>
      </c>
      <c r="AF29" s="7">
        <f t="shared" si="14"/>
        <v>7048248.0599999875</v>
      </c>
      <c r="AG29" s="7">
        <f t="shared" si="14"/>
        <v>21784625.00999999</v>
      </c>
      <c r="AH29" s="7">
        <f t="shared" si="14"/>
        <v>23436514.01000002</v>
      </c>
      <c r="AI29" s="7">
        <f t="shared" si="14"/>
        <v>23135717.770000026</v>
      </c>
      <c r="AJ29" s="7">
        <f t="shared" si="14"/>
        <v>23952474.939999998</v>
      </c>
      <c r="AK29" s="7">
        <f t="shared" si="14"/>
        <v>41120007.599999994</v>
      </c>
      <c r="AL29" s="7">
        <f t="shared" si="14"/>
        <v>54308113.410000026</v>
      </c>
      <c r="AM29" s="7">
        <f t="shared" si="14"/>
        <v>81090232.160000026</v>
      </c>
      <c r="AN29" s="7">
        <f t="shared" si="14"/>
        <v>31413936</v>
      </c>
    </row>
    <row r="30" spans="1:40" x14ac:dyDescent="0.3">
      <c r="A30" s="1" t="s">
        <v>78</v>
      </c>
      <c r="B30" s="7">
        <f t="shared" ref="B30:M30" si="15">B29</f>
        <v>23093040</v>
      </c>
      <c r="C30" s="7">
        <f t="shared" si="15"/>
        <v>3119511.0199999996</v>
      </c>
      <c r="D30" s="7">
        <f t="shared" si="15"/>
        <v>-7534437.4699999988</v>
      </c>
      <c r="E30" s="7">
        <f t="shared" si="15"/>
        <v>6435894.5200000033</v>
      </c>
      <c r="F30" s="7">
        <f t="shared" si="15"/>
        <v>16190408.180000007</v>
      </c>
      <c r="G30" s="7">
        <f t="shared" si="15"/>
        <v>12467730.61999999</v>
      </c>
      <c r="H30" s="7">
        <f t="shared" si="15"/>
        <v>23243781.899999991</v>
      </c>
      <c r="I30" s="7">
        <f t="shared" si="15"/>
        <v>19431779.430000022</v>
      </c>
      <c r="J30" s="7">
        <f t="shared" si="15"/>
        <v>19242123.99000001</v>
      </c>
      <c r="K30" s="7">
        <f t="shared" si="15"/>
        <v>21557627.410000011</v>
      </c>
      <c r="L30" s="7">
        <f t="shared" si="15"/>
        <v>25411348.360000014</v>
      </c>
      <c r="M30" s="7">
        <f t="shared" si="15"/>
        <v>5013459.2299999893</v>
      </c>
      <c r="N30" s="7">
        <f t="shared" ref="N30:AA30" si="16">N29</f>
        <v>126358000</v>
      </c>
      <c r="O30" s="7">
        <f t="shared" si="16"/>
        <v>16654522.310000001</v>
      </c>
      <c r="P30" s="7">
        <f t="shared" si="16"/>
        <v>28577524.800000001</v>
      </c>
      <c r="Q30" s="7">
        <f t="shared" si="16"/>
        <v>49242786.390000001</v>
      </c>
      <c r="R30" s="7">
        <f t="shared" si="16"/>
        <v>65837783.039999999</v>
      </c>
      <c r="S30" s="7">
        <f t="shared" si="16"/>
        <v>72705766.920000002</v>
      </c>
      <c r="T30" s="7">
        <f t="shared" si="16"/>
        <v>92044271.789999992</v>
      </c>
      <c r="U30" s="7">
        <f t="shared" si="16"/>
        <v>115232818.08000001</v>
      </c>
      <c r="V30" s="7">
        <f t="shared" si="16"/>
        <v>132167808.58000001</v>
      </c>
      <c r="W30" s="7">
        <f t="shared" si="16"/>
        <v>32597533.699999988</v>
      </c>
      <c r="X30" s="7">
        <f t="shared" si="16"/>
        <v>34781216.119999975</v>
      </c>
      <c r="Y30" s="7">
        <f t="shared" si="16"/>
        <v>0</v>
      </c>
      <c r="Z30" s="7">
        <f t="shared" si="16"/>
        <v>0</v>
      </c>
      <c r="AA30" s="7">
        <f t="shared" si="16"/>
        <v>16878043</v>
      </c>
      <c r="AB30" s="7">
        <f t="shared" ref="AB30:AN30" si="17">AB29</f>
        <v>1285976.6600000001</v>
      </c>
      <c r="AC30" s="7">
        <f t="shared" si="17"/>
        <v>32714523.119999997</v>
      </c>
      <c r="AD30" s="7">
        <f t="shared" si="17"/>
        <v>7524026.4100000039</v>
      </c>
      <c r="AE30" s="7">
        <f t="shared" si="17"/>
        <v>6103515.2100000083</v>
      </c>
      <c r="AF30" s="7">
        <f t="shared" si="17"/>
        <v>7048248.0599999875</v>
      </c>
      <c r="AG30" s="7">
        <f t="shared" si="17"/>
        <v>21784625.00999999</v>
      </c>
      <c r="AH30" s="7">
        <f t="shared" si="17"/>
        <v>23436514.01000002</v>
      </c>
      <c r="AI30" s="7">
        <f t="shared" si="17"/>
        <v>23135717.770000026</v>
      </c>
      <c r="AJ30" s="7">
        <f t="shared" si="17"/>
        <v>23952474.939999998</v>
      </c>
      <c r="AK30" s="7">
        <f t="shared" si="17"/>
        <v>41120007.599999994</v>
      </c>
      <c r="AL30" s="7">
        <f t="shared" si="17"/>
        <v>54308113.410000026</v>
      </c>
      <c r="AM30" s="7">
        <f t="shared" si="17"/>
        <v>81090232.160000026</v>
      </c>
      <c r="AN30" s="7">
        <f t="shared" si="17"/>
        <v>31413936</v>
      </c>
    </row>
    <row r="31" spans="1:40" x14ac:dyDescent="0.3">
      <c r="A31" t="s">
        <v>79</v>
      </c>
      <c r="B31" s="7"/>
      <c r="C31" s="39"/>
      <c r="D31" s="39"/>
      <c r="E31" s="39"/>
      <c r="F31" s="39"/>
      <c r="G31" s="39"/>
      <c r="H31" s="39"/>
      <c r="I31" s="39"/>
      <c r="J31" s="39"/>
      <c r="K31" s="7"/>
      <c r="L31" s="7"/>
      <c r="M31" s="7"/>
      <c r="N31" s="7"/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61">
        <v>0</v>
      </c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</row>
    <row r="32" spans="1:40" x14ac:dyDescent="0.3">
      <c r="A32" t="s">
        <v>80</v>
      </c>
      <c r="B32" s="7"/>
      <c r="C32" s="39"/>
      <c r="D32" s="39"/>
      <c r="E32" s="39"/>
      <c r="F32" s="39"/>
      <c r="G32" s="39"/>
      <c r="H32" s="39"/>
      <c r="I32" s="39"/>
      <c r="J32" s="39"/>
      <c r="K32" s="7"/>
      <c r="L32" s="7"/>
      <c r="M32" s="7"/>
      <c r="N32" s="7"/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61">
        <v>0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</row>
    <row r="33" spans="1:40" x14ac:dyDescent="0.3">
      <c r="A33" s="1" t="s">
        <v>81</v>
      </c>
      <c r="B33" s="7">
        <f t="shared" ref="B33:AN33" si="18">B30</f>
        <v>23093040</v>
      </c>
      <c r="C33" s="7">
        <f t="shared" si="18"/>
        <v>3119511.0199999996</v>
      </c>
      <c r="D33" s="7">
        <f t="shared" si="18"/>
        <v>-7534437.4699999988</v>
      </c>
      <c r="E33" s="7">
        <f t="shared" si="18"/>
        <v>6435894.5200000033</v>
      </c>
      <c r="F33" s="7">
        <f t="shared" si="18"/>
        <v>16190408.180000007</v>
      </c>
      <c r="G33" s="7">
        <f t="shared" si="18"/>
        <v>12467730.61999999</v>
      </c>
      <c r="H33" s="7">
        <f t="shared" si="18"/>
        <v>23243781.899999991</v>
      </c>
      <c r="I33" s="7">
        <f t="shared" si="18"/>
        <v>19431779.430000022</v>
      </c>
      <c r="J33" s="7">
        <f t="shared" si="18"/>
        <v>19242123.99000001</v>
      </c>
      <c r="K33" s="7">
        <f t="shared" si="18"/>
        <v>21557627.410000011</v>
      </c>
      <c r="L33" s="7">
        <f t="shared" si="18"/>
        <v>25411348.360000014</v>
      </c>
      <c r="M33" s="7">
        <f t="shared" si="18"/>
        <v>5013459.2299999893</v>
      </c>
      <c r="N33" s="7">
        <f t="shared" si="18"/>
        <v>126358000</v>
      </c>
      <c r="O33" s="7">
        <f t="shared" si="18"/>
        <v>16654522.310000001</v>
      </c>
      <c r="P33" s="7">
        <f t="shared" si="18"/>
        <v>28577524.800000001</v>
      </c>
      <c r="Q33" s="7">
        <f t="shared" si="18"/>
        <v>49242786.390000001</v>
      </c>
      <c r="R33" s="7">
        <f t="shared" si="18"/>
        <v>65837783.039999999</v>
      </c>
      <c r="S33" s="7">
        <f t="shared" si="18"/>
        <v>72705766.920000002</v>
      </c>
      <c r="T33" s="7">
        <f t="shared" si="18"/>
        <v>92044271.789999992</v>
      </c>
      <c r="U33" s="7">
        <f t="shared" si="18"/>
        <v>115232818.08000001</v>
      </c>
      <c r="V33" s="7">
        <f t="shared" si="18"/>
        <v>132167808.58000001</v>
      </c>
      <c r="W33" s="7">
        <f t="shared" si="18"/>
        <v>32597533.699999988</v>
      </c>
      <c r="X33" s="7">
        <f t="shared" si="18"/>
        <v>34781216.119999975</v>
      </c>
      <c r="Y33" s="7">
        <f t="shared" si="18"/>
        <v>0</v>
      </c>
      <c r="Z33" s="7">
        <f t="shared" si="18"/>
        <v>0</v>
      </c>
      <c r="AA33" s="7">
        <f t="shared" si="18"/>
        <v>16878043</v>
      </c>
      <c r="AB33" s="7">
        <f t="shared" si="18"/>
        <v>1285976.6600000001</v>
      </c>
      <c r="AC33" s="7">
        <f t="shared" si="18"/>
        <v>32714523.119999997</v>
      </c>
      <c r="AD33" s="7">
        <f t="shared" si="18"/>
        <v>7524026.4100000039</v>
      </c>
      <c r="AE33" s="7">
        <f t="shared" si="18"/>
        <v>6103515.2100000083</v>
      </c>
      <c r="AF33" s="7">
        <f t="shared" si="18"/>
        <v>7048248.0599999875</v>
      </c>
      <c r="AG33" s="7">
        <f t="shared" si="18"/>
        <v>21784625.00999999</v>
      </c>
      <c r="AH33" s="7">
        <f t="shared" si="18"/>
        <v>23436514.01000002</v>
      </c>
      <c r="AI33" s="7">
        <f t="shared" si="18"/>
        <v>23135717.770000026</v>
      </c>
      <c r="AJ33" s="7">
        <f t="shared" si="18"/>
        <v>23952474.939999998</v>
      </c>
      <c r="AK33" s="7">
        <f t="shared" si="18"/>
        <v>41120007.599999994</v>
      </c>
      <c r="AL33" s="7">
        <f t="shared" si="18"/>
        <v>54308113.410000026</v>
      </c>
      <c r="AM33" s="7">
        <f t="shared" si="18"/>
        <v>81090232.160000026</v>
      </c>
      <c r="AN33" s="7">
        <f t="shared" si="18"/>
        <v>31413936</v>
      </c>
    </row>
    <row r="34" spans="1:40" x14ac:dyDescent="0.3">
      <c r="A34" t="s">
        <v>82</v>
      </c>
      <c r="B34" s="7">
        <v>5613801</v>
      </c>
      <c r="C34" s="39"/>
      <c r="D34" s="39"/>
      <c r="E34" s="39"/>
      <c r="F34" s="39"/>
      <c r="G34" s="39"/>
      <c r="H34" s="39"/>
      <c r="I34" s="39"/>
      <c r="J34" s="39"/>
      <c r="K34" s="7"/>
      <c r="L34" s="7">
        <v>3267225.9</v>
      </c>
      <c r="M34" s="7">
        <v>3267225.9</v>
      </c>
      <c r="N34" s="7"/>
      <c r="O34" s="61">
        <v>0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0</v>
      </c>
      <c r="V34" s="61">
        <v>0</v>
      </c>
      <c r="W34" s="61">
        <v>0</v>
      </c>
      <c r="X34" s="61">
        <v>0</v>
      </c>
      <c r="Y34" s="39"/>
      <c r="Z34" s="39"/>
      <c r="AA34" s="61">
        <v>3595387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0</v>
      </c>
      <c r="AI34" s="62">
        <v>0</v>
      </c>
      <c r="AJ34" s="62">
        <v>870469</v>
      </c>
      <c r="AK34" s="62">
        <v>870469</v>
      </c>
      <c r="AL34" s="62">
        <v>870469</v>
      </c>
      <c r="AM34" s="62">
        <v>1722344</v>
      </c>
      <c r="AN34" s="7">
        <v>1722344</v>
      </c>
    </row>
    <row r="35" spans="1:40" x14ac:dyDescent="0.3">
      <c r="A35" s="1" t="s">
        <v>83</v>
      </c>
      <c r="B35" s="7">
        <f t="shared" ref="B35:AN35" si="19">B33-B34</f>
        <v>17479239</v>
      </c>
      <c r="C35" s="7">
        <f t="shared" si="19"/>
        <v>3119511.0199999996</v>
      </c>
      <c r="D35" s="7">
        <f t="shared" si="19"/>
        <v>-7534437.4699999988</v>
      </c>
      <c r="E35" s="7">
        <f t="shared" si="19"/>
        <v>6435894.5200000033</v>
      </c>
      <c r="F35" s="7">
        <f t="shared" si="19"/>
        <v>16190408.180000007</v>
      </c>
      <c r="G35" s="7">
        <f t="shared" si="19"/>
        <v>12467730.61999999</v>
      </c>
      <c r="H35" s="7">
        <f t="shared" si="19"/>
        <v>23243781.899999991</v>
      </c>
      <c r="I35" s="7">
        <f t="shared" si="19"/>
        <v>19431779.430000022</v>
      </c>
      <c r="J35" s="7">
        <f t="shared" si="19"/>
        <v>19242123.99000001</v>
      </c>
      <c r="K35" s="7">
        <f t="shared" si="19"/>
        <v>21557627.410000011</v>
      </c>
      <c r="L35" s="7">
        <f t="shared" si="19"/>
        <v>22144122.460000016</v>
      </c>
      <c r="M35" s="7">
        <f t="shared" si="19"/>
        <v>1746233.3299999894</v>
      </c>
      <c r="N35" s="7">
        <f t="shared" si="19"/>
        <v>126358000</v>
      </c>
      <c r="O35" s="7">
        <f t="shared" si="19"/>
        <v>16654522.310000001</v>
      </c>
      <c r="P35" s="7">
        <f t="shared" si="19"/>
        <v>28577524.800000001</v>
      </c>
      <c r="Q35" s="7">
        <f t="shared" si="19"/>
        <v>49242786.390000001</v>
      </c>
      <c r="R35" s="7">
        <f t="shared" si="19"/>
        <v>65837783.039999999</v>
      </c>
      <c r="S35" s="7">
        <f t="shared" si="19"/>
        <v>72705766.920000002</v>
      </c>
      <c r="T35" s="7">
        <f t="shared" si="19"/>
        <v>92044271.789999992</v>
      </c>
      <c r="U35" s="7">
        <f t="shared" si="19"/>
        <v>115232818.08000001</v>
      </c>
      <c r="V35" s="7">
        <f t="shared" si="19"/>
        <v>132167808.58000001</v>
      </c>
      <c r="W35" s="7">
        <f t="shared" si="19"/>
        <v>32597533.699999988</v>
      </c>
      <c r="X35" s="7">
        <f t="shared" si="19"/>
        <v>34781216.119999975</v>
      </c>
      <c r="Y35" s="7">
        <f t="shared" si="19"/>
        <v>0</v>
      </c>
      <c r="Z35" s="7">
        <f t="shared" si="19"/>
        <v>0</v>
      </c>
      <c r="AA35" s="7">
        <f t="shared" si="19"/>
        <v>13282656</v>
      </c>
      <c r="AB35" s="7">
        <f t="shared" si="19"/>
        <v>1285976.6600000001</v>
      </c>
      <c r="AC35" s="7">
        <f t="shared" si="19"/>
        <v>32714523.119999997</v>
      </c>
      <c r="AD35" s="7">
        <f t="shared" si="19"/>
        <v>7524026.4100000039</v>
      </c>
      <c r="AE35" s="7">
        <f t="shared" si="19"/>
        <v>6103515.2100000083</v>
      </c>
      <c r="AF35" s="7">
        <f t="shared" si="19"/>
        <v>7048248.0599999875</v>
      </c>
      <c r="AG35" s="7">
        <f t="shared" si="19"/>
        <v>21784625.00999999</v>
      </c>
      <c r="AH35" s="7">
        <f t="shared" si="19"/>
        <v>23436514.01000002</v>
      </c>
      <c r="AI35" s="7">
        <f t="shared" si="19"/>
        <v>23135717.770000026</v>
      </c>
      <c r="AJ35" s="7">
        <f t="shared" si="19"/>
        <v>23082005.939999998</v>
      </c>
      <c r="AK35" s="7">
        <f t="shared" si="19"/>
        <v>40249538.599999994</v>
      </c>
      <c r="AL35" s="7">
        <f t="shared" si="19"/>
        <v>53437644.410000026</v>
      </c>
      <c r="AM35" s="7">
        <f t="shared" si="19"/>
        <v>79367888.160000026</v>
      </c>
      <c r="AN35" s="7">
        <f t="shared" si="19"/>
        <v>29691592</v>
      </c>
    </row>
    <row r="36" spans="1:40" x14ac:dyDescent="0.3">
      <c r="A36" t="s">
        <v>84</v>
      </c>
      <c r="B36" s="7"/>
      <c r="C36" s="5"/>
      <c r="D36" s="5"/>
      <c r="E36" s="5"/>
      <c r="F36" s="5"/>
      <c r="G36" s="5"/>
      <c r="H36" s="5"/>
      <c r="I36" s="5"/>
      <c r="J36" s="5"/>
      <c r="K36" s="7"/>
      <c r="L36" s="7"/>
      <c r="M36" s="7"/>
      <c r="N36" s="7"/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61">
        <v>0</v>
      </c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</row>
    <row r="37" spans="1:40" x14ac:dyDescent="0.3">
      <c r="A37" s="1" t="s">
        <v>85</v>
      </c>
      <c r="B37" s="7">
        <f t="shared" ref="B37:AN37" si="20">B35-B36</f>
        <v>17479239</v>
      </c>
      <c r="C37" s="7">
        <f t="shared" si="20"/>
        <v>3119511.0199999996</v>
      </c>
      <c r="D37" s="7">
        <f t="shared" si="20"/>
        <v>-7534437.4699999988</v>
      </c>
      <c r="E37" s="7">
        <f t="shared" si="20"/>
        <v>6435894.5200000033</v>
      </c>
      <c r="F37" s="7">
        <f t="shared" si="20"/>
        <v>16190408.180000007</v>
      </c>
      <c r="G37" s="7">
        <f t="shared" si="20"/>
        <v>12467730.61999999</v>
      </c>
      <c r="H37" s="7">
        <f t="shared" si="20"/>
        <v>23243781.899999991</v>
      </c>
      <c r="I37" s="7">
        <f t="shared" si="20"/>
        <v>19431779.430000022</v>
      </c>
      <c r="J37" s="7">
        <f t="shared" si="20"/>
        <v>19242123.99000001</v>
      </c>
      <c r="K37" s="7">
        <f t="shared" si="20"/>
        <v>21557627.410000011</v>
      </c>
      <c r="L37" s="7">
        <f t="shared" si="20"/>
        <v>22144122.460000016</v>
      </c>
      <c r="M37" s="7">
        <f t="shared" si="20"/>
        <v>1746233.3299999894</v>
      </c>
      <c r="N37" s="7">
        <f t="shared" si="20"/>
        <v>126358000</v>
      </c>
      <c r="O37" s="7">
        <f t="shared" si="20"/>
        <v>16654522.310000001</v>
      </c>
      <c r="P37" s="7">
        <f t="shared" si="20"/>
        <v>28577524.800000001</v>
      </c>
      <c r="Q37" s="7">
        <f t="shared" si="20"/>
        <v>49242786.390000001</v>
      </c>
      <c r="R37" s="7">
        <f t="shared" si="20"/>
        <v>65837783.039999999</v>
      </c>
      <c r="S37" s="7">
        <f t="shared" si="20"/>
        <v>72705766.920000002</v>
      </c>
      <c r="T37" s="7">
        <f t="shared" si="20"/>
        <v>92044271.789999992</v>
      </c>
      <c r="U37" s="7">
        <f t="shared" si="20"/>
        <v>115232818.08000001</v>
      </c>
      <c r="V37" s="7">
        <f t="shared" si="20"/>
        <v>132167808.58000001</v>
      </c>
      <c r="W37" s="7">
        <f t="shared" si="20"/>
        <v>32597533.699999988</v>
      </c>
      <c r="X37" s="7">
        <f t="shared" si="20"/>
        <v>34781216.119999975</v>
      </c>
      <c r="Y37" s="7">
        <f t="shared" si="20"/>
        <v>0</v>
      </c>
      <c r="Z37" s="7">
        <f t="shared" si="20"/>
        <v>0</v>
      </c>
      <c r="AA37" s="7">
        <f t="shared" si="20"/>
        <v>13282656</v>
      </c>
      <c r="AB37" s="7">
        <f t="shared" si="20"/>
        <v>1285976.6600000001</v>
      </c>
      <c r="AC37" s="7">
        <f t="shared" si="20"/>
        <v>32714523.119999997</v>
      </c>
      <c r="AD37" s="7">
        <f t="shared" si="20"/>
        <v>7524026.4100000039</v>
      </c>
      <c r="AE37" s="7">
        <f t="shared" si="20"/>
        <v>6103515.2100000083</v>
      </c>
      <c r="AF37" s="7">
        <f t="shared" si="20"/>
        <v>7048248.0599999875</v>
      </c>
      <c r="AG37" s="7">
        <f t="shared" si="20"/>
        <v>21784625.00999999</v>
      </c>
      <c r="AH37" s="7">
        <f t="shared" si="20"/>
        <v>23436514.01000002</v>
      </c>
      <c r="AI37" s="7">
        <f t="shared" si="20"/>
        <v>23135717.770000026</v>
      </c>
      <c r="AJ37" s="7">
        <f t="shared" si="20"/>
        <v>23082005.939999998</v>
      </c>
      <c r="AK37" s="7">
        <f t="shared" si="20"/>
        <v>40249538.599999994</v>
      </c>
      <c r="AL37" s="7">
        <f t="shared" si="20"/>
        <v>53437644.410000026</v>
      </c>
      <c r="AM37" s="7">
        <f t="shared" si="20"/>
        <v>79367888.160000026</v>
      </c>
      <c r="AN37" s="7">
        <f t="shared" si="20"/>
        <v>29691592</v>
      </c>
    </row>
  </sheetData>
  <conditionalFormatting sqref="B3:AN4 B7:AN7 B12:AN12 B19:AN19 B23:AN23 B29:AN30 B33:AN33 B35:AN35 B37:AN37">
    <cfRule type="notContainsBlanks" dxfId="33" priority="129">
      <formula>LEN(TRIM(B3))&gt;0</formula>
    </cfRule>
  </conditionalFormatting>
  <conditionalFormatting sqref="B3:AN4 B7:AN7 B12:AN12 B19:AN19 B23:AN23 B29:AN30 B33:AN33 B35:AN35 B37:AN37">
    <cfRule type="cellIs" dxfId="32" priority="124" operator="lessThan">
      <formula>0</formula>
    </cfRule>
  </conditionalFormatting>
  <conditionalFormatting sqref="A7">
    <cfRule type="cellIs" dxfId="31" priority="21" operator="lessThan">
      <formula>0</formula>
    </cfRule>
  </conditionalFormatting>
  <conditionalFormatting sqref="A7">
    <cfRule type="notContainsBlanks" dxfId="30" priority="22">
      <formula>LEN(TRIM(A7))&gt;0</formula>
    </cfRule>
  </conditionalFormatting>
  <conditionalFormatting sqref="A3">
    <cfRule type="cellIs" dxfId="29" priority="19" operator="lessThan">
      <formula>0</formula>
    </cfRule>
  </conditionalFormatting>
  <conditionalFormatting sqref="A3">
    <cfRule type="notContainsBlanks" dxfId="28" priority="20">
      <formula>LEN(TRIM(A3))&gt;0</formula>
    </cfRule>
  </conditionalFormatting>
  <conditionalFormatting sqref="A4">
    <cfRule type="cellIs" dxfId="27" priority="17" operator="lessThan">
      <formula>0</formula>
    </cfRule>
  </conditionalFormatting>
  <conditionalFormatting sqref="A4">
    <cfRule type="notContainsBlanks" dxfId="26" priority="18">
      <formula>LEN(TRIM(A4))&gt;0</formula>
    </cfRule>
  </conditionalFormatting>
  <conditionalFormatting sqref="A12">
    <cfRule type="cellIs" dxfId="25" priority="15" operator="lessThan">
      <formula>0</formula>
    </cfRule>
  </conditionalFormatting>
  <conditionalFormatting sqref="A12">
    <cfRule type="notContainsBlanks" dxfId="24" priority="16">
      <formula>LEN(TRIM(A12))&gt;0</formula>
    </cfRule>
  </conditionalFormatting>
  <conditionalFormatting sqref="A19">
    <cfRule type="cellIs" dxfId="23" priority="13" operator="lessThan">
      <formula>0</formula>
    </cfRule>
  </conditionalFormatting>
  <conditionalFormatting sqref="A19">
    <cfRule type="notContainsBlanks" dxfId="22" priority="14">
      <formula>LEN(TRIM(A19))&gt;0</formula>
    </cfRule>
  </conditionalFormatting>
  <conditionalFormatting sqref="A23">
    <cfRule type="cellIs" dxfId="21" priority="11" operator="lessThan">
      <formula>0</formula>
    </cfRule>
  </conditionalFormatting>
  <conditionalFormatting sqref="A23">
    <cfRule type="notContainsBlanks" dxfId="20" priority="12">
      <formula>LEN(TRIM(A23))&gt;0</formula>
    </cfRule>
  </conditionalFormatting>
  <conditionalFormatting sqref="A29">
    <cfRule type="cellIs" dxfId="19" priority="9" operator="lessThan">
      <formula>0</formula>
    </cfRule>
  </conditionalFormatting>
  <conditionalFormatting sqref="A29">
    <cfRule type="notContainsBlanks" dxfId="18" priority="10">
      <formula>LEN(TRIM(A29))&gt;0</formula>
    </cfRule>
  </conditionalFormatting>
  <conditionalFormatting sqref="A30">
    <cfRule type="cellIs" dxfId="17" priority="7" operator="lessThan">
      <formula>0</formula>
    </cfRule>
  </conditionalFormatting>
  <conditionalFormatting sqref="A30">
    <cfRule type="notContainsBlanks" dxfId="16" priority="8">
      <formula>LEN(TRIM(A30))&gt;0</formula>
    </cfRule>
  </conditionalFormatting>
  <conditionalFormatting sqref="A33">
    <cfRule type="cellIs" dxfId="15" priority="5" operator="lessThan">
      <formula>0</formula>
    </cfRule>
  </conditionalFormatting>
  <conditionalFormatting sqref="A33">
    <cfRule type="notContainsBlanks" dxfId="14" priority="6">
      <formula>LEN(TRIM(A33))&gt;0</formula>
    </cfRule>
  </conditionalFormatting>
  <conditionalFormatting sqref="A35">
    <cfRule type="cellIs" dxfId="13" priority="3" operator="lessThan">
      <formula>0</formula>
    </cfRule>
  </conditionalFormatting>
  <conditionalFormatting sqref="A35">
    <cfRule type="notContainsBlanks" dxfId="12" priority="4">
      <formula>LEN(TRIM(A35))&gt;0</formula>
    </cfRule>
  </conditionalFormatting>
  <conditionalFormatting sqref="A37">
    <cfRule type="cellIs" dxfId="11" priority="1" operator="lessThan">
      <formula>0</formula>
    </cfRule>
  </conditionalFormatting>
  <conditionalFormatting sqref="A37">
    <cfRule type="notContainsBlanks" dxfId="10" priority="2">
      <formula>LEN(TRIM(A37))&gt;0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M2" sqref="AM2"/>
    </sheetView>
  </sheetViews>
  <sheetFormatPr defaultRowHeight="14.4" x14ac:dyDescent="0.3"/>
  <cols>
    <col min="1" max="1" width="34.33203125" customWidth="1"/>
    <col min="2" max="2" width="19.109375" customWidth="1"/>
    <col min="3" max="13" width="13.5546875" hidden="1" customWidth="1"/>
    <col min="14" max="14" width="13.5546875" bestFit="1" customWidth="1"/>
    <col min="15" max="15" width="13.6640625" hidden="1" customWidth="1"/>
    <col min="16" max="23" width="12.5546875" hidden="1" customWidth="1"/>
    <col min="24" max="24" width="13.6640625" hidden="1" customWidth="1"/>
    <col min="25" max="26" width="9" hidden="1" customWidth="1"/>
    <col min="27" max="27" width="13.6640625" bestFit="1" customWidth="1"/>
    <col min="28" max="29" width="13.6640625" hidden="1" customWidth="1"/>
    <col min="30" max="30" width="13.6640625" bestFit="1" customWidth="1"/>
    <col min="31" max="32" width="13.6640625" hidden="1" customWidth="1"/>
    <col min="33" max="33" width="13.6640625" bestFit="1" customWidth="1"/>
    <col min="34" max="35" width="13.6640625" hidden="1" customWidth="1"/>
    <col min="36" max="36" width="13.6640625" bestFit="1" customWidth="1"/>
    <col min="37" max="37" width="13.6640625" hidden="1" customWidth="1"/>
    <col min="38" max="38" width="14.77734375" hidden="1" customWidth="1"/>
    <col min="39" max="40" width="13.6640625" bestFit="1" customWidth="1"/>
  </cols>
  <sheetData>
    <row r="1" spans="1:40" x14ac:dyDescent="0.3">
      <c r="B1" t="s">
        <v>1</v>
      </c>
      <c r="C1" s="3">
        <v>43831</v>
      </c>
      <c r="D1" s="3">
        <v>43862</v>
      </c>
      <c r="E1" s="3">
        <v>43891</v>
      </c>
      <c r="F1" s="3">
        <v>43922</v>
      </c>
      <c r="G1" s="3">
        <v>43952</v>
      </c>
      <c r="H1" s="3">
        <v>43983</v>
      </c>
      <c r="I1" s="3">
        <v>44044</v>
      </c>
      <c r="J1" s="3">
        <v>44075</v>
      </c>
      <c r="K1" s="3">
        <v>44105</v>
      </c>
      <c r="L1" s="3">
        <v>44136</v>
      </c>
      <c r="M1" s="3">
        <v>44166</v>
      </c>
      <c r="N1" s="3" t="s">
        <v>2</v>
      </c>
      <c r="O1" s="24">
        <v>44197</v>
      </c>
      <c r="P1" s="24">
        <v>44228</v>
      </c>
      <c r="Q1" s="24">
        <v>44256</v>
      </c>
      <c r="R1" s="24">
        <v>44287</v>
      </c>
      <c r="S1" s="24">
        <v>44317</v>
      </c>
      <c r="T1" s="24">
        <v>44348</v>
      </c>
      <c r="U1" s="24">
        <v>44378</v>
      </c>
      <c r="V1" s="24">
        <v>44409</v>
      </c>
      <c r="W1" s="24">
        <v>44440</v>
      </c>
      <c r="X1" s="24">
        <v>44470</v>
      </c>
      <c r="Y1" s="24">
        <v>44501</v>
      </c>
      <c r="Z1" s="24">
        <v>44531</v>
      </c>
      <c r="AA1" s="24" t="s">
        <v>171</v>
      </c>
      <c r="AB1" s="24">
        <v>44562</v>
      </c>
      <c r="AC1" s="24">
        <v>44593</v>
      </c>
      <c r="AD1" s="24">
        <v>44621</v>
      </c>
      <c r="AE1" s="24">
        <v>44652</v>
      </c>
      <c r="AF1" s="24">
        <v>44682</v>
      </c>
      <c r="AG1" s="24">
        <v>44713</v>
      </c>
      <c r="AH1" s="24">
        <v>44743</v>
      </c>
      <c r="AI1" s="24">
        <v>44774</v>
      </c>
      <c r="AJ1" s="24">
        <v>44805</v>
      </c>
      <c r="AK1" s="24">
        <v>44835</v>
      </c>
      <c r="AL1" s="24">
        <v>44866</v>
      </c>
      <c r="AM1" s="24">
        <v>44896</v>
      </c>
      <c r="AN1" s="24" t="s">
        <v>172</v>
      </c>
    </row>
    <row r="2" spans="1:40" x14ac:dyDescent="0.3">
      <c r="A2" t="s">
        <v>86</v>
      </c>
    </row>
    <row r="3" spans="1:40" x14ac:dyDescent="0.3">
      <c r="A3" s="28" t="s">
        <v>28</v>
      </c>
      <c r="B3" s="8">
        <f>sofp!B25</f>
        <v>1602742627</v>
      </c>
      <c r="C3" s="8">
        <f>sofp!C25</f>
        <v>1609198564.6700001</v>
      </c>
      <c r="D3" s="8">
        <f>sofp!D25</f>
        <v>1620604866.2300003</v>
      </c>
      <c r="E3" s="8">
        <f>sofp!E25</f>
        <v>1667194858.7700002</v>
      </c>
      <c r="F3" s="27">
        <f>sofp!F25</f>
        <v>1639458554.1000004</v>
      </c>
      <c r="G3" s="27">
        <f>sofp!G25</f>
        <v>1601626098.5899999</v>
      </c>
      <c r="H3" s="27">
        <f>sofp!H25</f>
        <v>1635229432.3800001</v>
      </c>
      <c r="I3" s="27">
        <f>sofp!I25</f>
        <v>1672290827.8799999</v>
      </c>
      <c r="J3" s="27">
        <f>sofp!J25</f>
        <v>1898604572.4099998</v>
      </c>
      <c r="K3" s="27">
        <f>sofp!K25</f>
        <v>1798998280</v>
      </c>
      <c r="L3" s="27">
        <f>sofp!L25</f>
        <v>1798576314.4099998</v>
      </c>
      <c r="M3" s="27">
        <f>sofp!M25</f>
        <v>1843449098.5999999</v>
      </c>
      <c r="N3" s="27">
        <f>sofp!N25</f>
        <v>1922805951</v>
      </c>
      <c r="O3" s="27">
        <f>sofp!O25</f>
        <v>1910728819.4799998</v>
      </c>
      <c r="P3" s="27">
        <f>sofp!P25</f>
        <v>1898050230.4200001</v>
      </c>
      <c r="Q3" s="27">
        <f>sofp!Q25</f>
        <v>1922790948.6500001</v>
      </c>
      <c r="R3" s="27">
        <f>sofp!R25</f>
        <v>1945262058.3099999</v>
      </c>
      <c r="S3" s="27">
        <f>sofp!S25</f>
        <v>1921833842.99</v>
      </c>
      <c r="T3" s="27">
        <f>sofp!T25</f>
        <v>1911415671.7399998</v>
      </c>
      <c r="U3" s="27">
        <f>sofp!U25</f>
        <v>1946776488.8000002</v>
      </c>
      <c r="V3" s="27">
        <f>sofp!V25</f>
        <v>1955613838.0000002</v>
      </c>
      <c r="W3" s="27">
        <f>sofp!W25</f>
        <v>1968597790.97</v>
      </c>
      <c r="X3" s="27">
        <f>sofp!X25</f>
        <v>1978088782.02</v>
      </c>
      <c r="Y3" s="27">
        <f>sofp!Y25</f>
        <v>0</v>
      </c>
      <c r="Z3" s="27">
        <f>sofp!Z25</f>
        <v>0</v>
      </c>
      <c r="AA3" s="27">
        <f>sofp!AA25</f>
        <v>2070959237</v>
      </c>
      <c r="AB3" s="27">
        <f>sofp!AB25</f>
        <v>3135613138.21</v>
      </c>
      <c r="AC3" s="27">
        <f>sofp!AC25</f>
        <v>3104478062.52</v>
      </c>
      <c r="AD3" s="27">
        <f>sofp!AD25</f>
        <v>3175268626.3200002</v>
      </c>
      <c r="AE3" s="27">
        <f>sofp!AE25</f>
        <v>3153736251.7000003</v>
      </c>
      <c r="AF3" s="27">
        <f>sofp!AF25</f>
        <v>3173154624.5700002</v>
      </c>
      <c r="AG3" s="27">
        <f>sofp!AG25</f>
        <v>3248473425.4300003</v>
      </c>
      <c r="AH3" s="27">
        <f>sofp!AH25</f>
        <v>3275326983.3800001</v>
      </c>
      <c r="AI3" s="27">
        <f>sofp!AI25</f>
        <v>2169564673.5999999</v>
      </c>
      <c r="AJ3" s="27">
        <f>sofp!AJ25</f>
        <v>2155270894.7199998</v>
      </c>
      <c r="AK3" s="27">
        <f>sofp!AK25</f>
        <v>2163843097.8400002</v>
      </c>
      <c r="AL3" s="27">
        <f>sofp!AL25</f>
        <v>2177935654.1199999</v>
      </c>
      <c r="AM3" s="27">
        <f>sofp!AM25</f>
        <v>2127324851.3600001</v>
      </c>
      <c r="AN3" s="27">
        <f>sofp!AN25</f>
        <v>2209776677</v>
      </c>
    </row>
    <row r="4" spans="1:40" x14ac:dyDescent="0.3">
      <c r="A4" t="s">
        <v>87</v>
      </c>
      <c r="B4" s="8">
        <f>sofp!B29</f>
        <v>1023936381</v>
      </c>
      <c r="C4" s="8">
        <f>sofp!C29</f>
        <v>1023586153.9</v>
      </c>
      <c r="D4" s="8">
        <f>sofp!D29</f>
        <v>1006613519.25</v>
      </c>
      <c r="E4" s="8">
        <f>sofp!E29</f>
        <v>1034458797.74</v>
      </c>
      <c r="F4" s="8">
        <f>sofp!F29</f>
        <v>1093764448.22</v>
      </c>
      <c r="G4" s="8">
        <f>sofp!G29</f>
        <v>1066430567.89</v>
      </c>
      <c r="H4" s="8">
        <f>sofp!H29</f>
        <v>1076770529.45</v>
      </c>
      <c r="I4" s="8">
        <f>sofp!I29</f>
        <v>1096271023.1100001</v>
      </c>
      <c r="J4" s="8">
        <f>sofp!J29</f>
        <v>1094289842.28</v>
      </c>
      <c r="K4" s="8">
        <f>sofp!K29</f>
        <v>1109901749.75</v>
      </c>
      <c r="L4" s="8">
        <f>sofp!L29</f>
        <v>1112363486.5699999</v>
      </c>
      <c r="M4" s="8">
        <f>sofp!M29</f>
        <v>1148547666.8699999</v>
      </c>
      <c r="N4" s="8">
        <f>sofp!N29</f>
        <v>1148508668</v>
      </c>
      <c r="O4" s="8">
        <f>sofp!O29</f>
        <v>1118589221.5999999</v>
      </c>
      <c r="P4" s="8">
        <f>sofp!P29</f>
        <v>1122844255.02</v>
      </c>
      <c r="Q4" s="8">
        <f>sofp!Q29</f>
        <v>1131127987.99</v>
      </c>
      <c r="R4" s="8">
        <f>sofp!R29</f>
        <v>1146320373.49</v>
      </c>
      <c r="S4" s="8">
        <f>sofp!S29</f>
        <v>1169836348.0699999</v>
      </c>
      <c r="T4" s="8">
        <f>sofp!T29</f>
        <v>1170788044.04</v>
      </c>
      <c r="U4" s="8">
        <f>sofp!U29</f>
        <v>1224390061.6100001</v>
      </c>
      <c r="V4" s="8">
        <f>sofp!V29</f>
        <v>1214066271.0900002</v>
      </c>
      <c r="W4" s="8">
        <f>sofp!W29</f>
        <v>1226768259.3699999</v>
      </c>
      <c r="X4" s="8">
        <f>sofp!X29</f>
        <v>1234952226.52</v>
      </c>
      <c r="Y4" s="8">
        <f>sofp!Y29</f>
        <v>0</v>
      </c>
      <c r="Z4" s="8">
        <f>sofp!Z29</f>
        <v>0</v>
      </c>
      <c r="AA4" s="8">
        <f>sofp!AA29</f>
        <v>1242000588</v>
      </c>
      <c r="AB4" s="8">
        <f>sofp!AB29</f>
        <v>1250250614.8800001</v>
      </c>
      <c r="AC4" s="8">
        <f>sofp!AC29</f>
        <v>1234498906.3299999</v>
      </c>
      <c r="AD4" s="8">
        <f>sofp!AD29</f>
        <v>1279558778.9100001</v>
      </c>
      <c r="AE4" s="8">
        <f>sofp!AE29</f>
        <v>1281879289.5599999</v>
      </c>
      <c r="AF4" s="8">
        <f>sofp!AF29</f>
        <v>1325867919.0900002</v>
      </c>
      <c r="AG4" s="8">
        <f>sofp!AG29</f>
        <v>1334211421.78</v>
      </c>
      <c r="AH4" s="8">
        <f>sofp!AH29</f>
        <v>1368011620.8900001</v>
      </c>
      <c r="AI4" s="8">
        <f>sofp!AI29</f>
        <v>1355806035.3400002</v>
      </c>
      <c r="AJ4" s="8">
        <f>sofp!AJ29</f>
        <v>1351116769.49</v>
      </c>
      <c r="AK4" s="8">
        <f>sofp!AK29</f>
        <v>1355212322.8600001</v>
      </c>
      <c r="AL4" s="8">
        <f>sofp!AL29</f>
        <v>1369703858.6200001</v>
      </c>
      <c r="AM4" s="8">
        <f>sofp!AM29</f>
        <v>1353211134.3399999</v>
      </c>
      <c r="AN4" s="8">
        <f>sofp!AN29</f>
        <v>1332497673</v>
      </c>
    </row>
    <row r="5" spans="1:40" x14ac:dyDescent="0.3">
      <c r="A5" t="s">
        <v>88</v>
      </c>
      <c r="B5" s="8">
        <f>sofp!B28</f>
        <v>785401586</v>
      </c>
      <c r="C5" s="8">
        <f>sofp!C28</f>
        <v>790604462.38999999</v>
      </c>
      <c r="D5" s="8">
        <f>sofp!D28</f>
        <v>797227851.75999999</v>
      </c>
      <c r="E5" s="8">
        <f>sofp!E28</f>
        <v>806127528.88</v>
      </c>
      <c r="F5" s="8">
        <f>sofp!F28</f>
        <v>822750538.59000003</v>
      </c>
      <c r="G5" s="8">
        <f>sofp!G28</f>
        <v>828206343.23000002</v>
      </c>
      <c r="H5" s="8">
        <f>sofp!H28</f>
        <v>835424533.90999997</v>
      </c>
      <c r="I5" s="8">
        <f>sofp!I28</f>
        <v>842175509.23000002</v>
      </c>
      <c r="J5" s="8">
        <f>sofp!J28</f>
        <v>836811956.26999998</v>
      </c>
      <c r="K5" s="8">
        <f>sofp!K28</f>
        <v>843847230.85000002</v>
      </c>
      <c r="L5" s="8">
        <f>sofp!L28</f>
        <v>850541797.25999999</v>
      </c>
      <c r="M5" s="8">
        <f>sofp!M28</f>
        <v>857528635.71000004</v>
      </c>
      <c r="N5" s="8">
        <f>sofp!N28</f>
        <v>857529636</v>
      </c>
      <c r="O5" s="8">
        <f>sofp!O28</f>
        <v>861017248.76999998</v>
      </c>
      <c r="P5" s="8">
        <f>sofp!P28</f>
        <v>867579103.87</v>
      </c>
      <c r="Q5" s="8">
        <f>sofp!Q28</f>
        <v>871954065.29999995</v>
      </c>
      <c r="R5" s="8">
        <f>sofp!R28</f>
        <v>880250662.46000004</v>
      </c>
      <c r="S5" s="8">
        <f>sofp!S28</f>
        <v>896978795.38</v>
      </c>
      <c r="T5" s="8">
        <f>sofp!T28</f>
        <v>905471786.58000004</v>
      </c>
      <c r="U5" s="8">
        <f>sofp!U28</f>
        <v>909836074.24000001</v>
      </c>
      <c r="V5" s="8">
        <f>sofp!V28</f>
        <v>908146308.84000003</v>
      </c>
      <c r="W5" s="8">
        <f>sofp!W28</f>
        <v>918568549.71000004</v>
      </c>
      <c r="X5" s="8">
        <f>sofp!X28</f>
        <v>923961845.77999997</v>
      </c>
      <c r="Y5" s="8">
        <f>sofp!Y28</f>
        <v>0</v>
      </c>
      <c r="Z5" s="8">
        <f>sofp!Z28</f>
        <v>0</v>
      </c>
      <c r="AA5" s="8">
        <f>sofp!AA28</f>
        <v>935167554</v>
      </c>
      <c r="AB5" s="8">
        <f>sofp!AB28</f>
        <v>943646273.76999998</v>
      </c>
      <c r="AC5" s="8">
        <f>sofp!AC28</f>
        <v>949581967.88</v>
      </c>
      <c r="AD5" s="8">
        <f>sofp!AD28</f>
        <v>963186037.49000001</v>
      </c>
      <c r="AE5" s="8">
        <f>sofp!AE28</f>
        <v>977902567.5</v>
      </c>
      <c r="AF5" s="8">
        <f>sofp!AF28</f>
        <v>996178270.13</v>
      </c>
      <c r="AG5" s="8">
        <f>sofp!AG28</f>
        <v>1008707251.12</v>
      </c>
      <c r="AH5" s="8">
        <f>sofp!AH28</f>
        <v>1017166031.0700001</v>
      </c>
      <c r="AI5" s="8">
        <f>sofp!AI28</f>
        <v>1019872348.6</v>
      </c>
      <c r="AJ5" s="8">
        <f>sofp!AJ28</f>
        <v>1017247529.0599999</v>
      </c>
      <c r="AK5" s="8">
        <f>sofp!AK28</f>
        <v>1019017044.26</v>
      </c>
      <c r="AL5" s="8">
        <f>sofp!AL28</f>
        <v>1021758028.0700001</v>
      </c>
      <c r="AM5" s="8">
        <f>sofp!AM28</f>
        <v>1024356381.29</v>
      </c>
      <c r="AN5" s="8">
        <f>sofp!AN28</f>
        <v>1013699515</v>
      </c>
    </row>
    <row r="6" spans="1:40" x14ac:dyDescent="0.3">
      <c r="A6" t="s">
        <v>89</v>
      </c>
      <c r="B6" s="8">
        <f>sofp!B26 + sofp!B28</f>
        <v>928114303</v>
      </c>
      <c r="C6" s="8">
        <f>sofp!C26 + sofp!C28</f>
        <v>924194427.02999997</v>
      </c>
      <c r="D6" s="8">
        <f>sofp!D26 + sofp!D28</f>
        <v>898360321.02999997</v>
      </c>
      <c r="E6" s="8">
        <f>sofp!E26 + sofp!E28</f>
        <v>924688563.51999998</v>
      </c>
      <c r="F6" s="8">
        <f>sofp!F26 + sofp!F28</f>
        <v>984658965</v>
      </c>
      <c r="G6" s="8">
        <f>sofp!G26 + sofp!G28</f>
        <v>951379091.88999999</v>
      </c>
      <c r="H6" s="8">
        <f>sofp!H26 + sofp!H28</f>
        <v>955491835.53999996</v>
      </c>
      <c r="I6" s="8">
        <f>sofp!I26 + sofp!I28</f>
        <v>972301927.04999995</v>
      </c>
      <c r="J6" s="8">
        <f>sofp!J26 + sofp!J28</f>
        <v>971619500.13</v>
      </c>
      <c r="K6" s="8">
        <f>sofp!K26 + sofp!K28</f>
        <v>987476840.07000005</v>
      </c>
      <c r="L6" s="8">
        <f>sofp!L26 + sofp!L28</f>
        <v>987112668.42999995</v>
      </c>
      <c r="M6" s="8">
        <f>sofp!M26 + sofp!M28</f>
        <v>1022687477.27</v>
      </c>
      <c r="N6" s="8">
        <f>sofp!N26 + sofp!N28</f>
        <v>1022648478</v>
      </c>
      <c r="O6" s="8">
        <f>sofp!O26 + sofp!O28</f>
        <v>991624287.41999996</v>
      </c>
      <c r="P6" s="8">
        <f>sofp!P26 + sofp!P28</f>
        <v>997083467.72000003</v>
      </c>
      <c r="Q6" s="8">
        <f>sofp!Q26 + sofp!Q28</f>
        <v>1002266435.53</v>
      </c>
      <c r="R6" s="8">
        <f>sofp!R26 + sofp!R28</f>
        <v>1020067090.49</v>
      </c>
      <c r="S6" s="8">
        <f>sofp!S26 + sofp!S28</f>
        <v>1035383090.0699999</v>
      </c>
      <c r="T6" s="8">
        <f>sofp!T26 + sofp!T28</f>
        <v>1034915736.0400001</v>
      </c>
      <c r="U6" s="8">
        <f>sofp!U26 + sofp!U28</f>
        <v>1070472914.61</v>
      </c>
      <c r="V6" s="8">
        <f>sofp!V26 + sofp!V28</f>
        <v>1063543960.09</v>
      </c>
      <c r="W6" s="8">
        <f>sofp!W26 + sofp!W28</f>
        <v>1072710721.37</v>
      </c>
      <c r="X6" s="8">
        <f>sofp!X26 + sofp!X28</f>
        <v>1077926763.8699999</v>
      </c>
      <c r="Y6" s="8">
        <f>sofp!Y26 + sofp!Y28</f>
        <v>0</v>
      </c>
      <c r="Z6" s="8">
        <f>sofp!Z26 + sofp!Z28</f>
        <v>0</v>
      </c>
      <c r="AA6" s="8">
        <f>sofp!AA26 + sofp!AA28</f>
        <v>1076658104</v>
      </c>
      <c r="AB6" s="8">
        <f>sofp!AB26 + sofp!AB28</f>
        <v>1081292216.0899999</v>
      </c>
      <c r="AC6" s="8">
        <f>sofp!AC26 + sofp!AC28</f>
        <v>1065406463.54</v>
      </c>
      <c r="AD6" s="8">
        <f>sofp!AD26 + sofp!AD28</f>
        <v>1104637389.51</v>
      </c>
      <c r="AE6" s="8">
        <f>sofp!AE26 + sofp!AE28</f>
        <v>1103915435.95</v>
      </c>
      <c r="AF6" s="8">
        <f>sofp!AF26 + sofp!AF28</f>
        <v>1141486432.48</v>
      </c>
      <c r="AG6" s="8">
        <f>sofp!AG26 + sofp!AG28</f>
        <v>1149089462.6800001</v>
      </c>
      <c r="AH6" s="8">
        <f>sofp!AH26 + sofp!AH28</f>
        <v>1166921908.3800001</v>
      </c>
      <c r="AI6" s="8">
        <f>sofp!AI26 + sofp!AI28</f>
        <v>1154930863.8299999</v>
      </c>
      <c r="AJ6" s="8">
        <f>sofp!AJ26 + sofp!AJ28</f>
        <v>1147449789.5799999</v>
      </c>
      <c r="AK6" s="8">
        <f>sofp!AK26 + sofp!AK28</f>
        <v>1146133078.95</v>
      </c>
      <c r="AL6" s="8">
        <f>sofp!AL26 + sofp!AL28</f>
        <v>1152470449.71</v>
      </c>
      <c r="AM6" s="8">
        <f>sofp!AM26 + sofp!AM28</f>
        <v>1148984823.9300001</v>
      </c>
      <c r="AN6" s="8">
        <f>sofp!AN26 + sofp!AN28</f>
        <v>1120271363</v>
      </c>
    </row>
    <row r="7" spans="1:40" x14ac:dyDescent="0.3">
      <c r="A7" t="s">
        <v>90</v>
      </c>
      <c r="B7" s="8">
        <f>sofp!B35</f>
        <v>137071101</v>
      </c>
      <c r="C7" s="8">
        <f>sofp!C35</f>
        <v>133117439.54000001</v>
      </c>
      <c r="D7" s="8">
        <f>sofp!D35</f>
        <v>171076312.94999999</v>
      </c>
      <c r="E7" s="8">
        <f>sofp!E35</f>
        <v>171076312.94999999</v>
      </c>
      <c r="F7" s="8">
        <f>sofp!F35</f>
        <v>137537405.09999999</v>
      </c>
      <c r="G7" s="8">
        <f>sofp!G35</f>
        <v>129926126.58</v>
      </c>
      <c r="H7" s="8">
        <f>sofp!H35</f>
        <v>145255835.97999999</v>
      </c>
      <c r="I7" s="8">
        <f>sofp!I35</f>
        <v>159033639.78999999</v>
      </c>
      <c r="J7" s="8">
        <f>sofp!J35</f>
        <v>381432117.06</v>
      </c>
      <c r="K7" s="8">
        <f>sofp!K35</f>
        <v>256248783.66999999</v>
      </c>
      <c r="L7" s="8">
        <f>sofp!L35</f>
        <v>256248783.66999999</v>
      </c>
      <c r="M7" s="8">
        <f>sofp!M35</f>
        <v>258197740.66999999</v>
      </c>
      <c r="N7" s="8">
        <f>sofp!N35</f>
        <v>289699512</v>
      </c>
      <c r="O7" s="8">
        <f>sofp!O35</f>
        <v>277866179</v>
      </c>
      <c r="P7" s="8">
        <f>sofp!P35</f>
        <v>271068866.00999999</v>
      </c>
      <c r="Q7" s="8">
        <f>sofp!Q35</f>
        <v>271068866.00999999</v>
      </c>
      <c r="R7" s="8">
        <f>sofp!R35</f>
        <v>281972833.29000002</v>
      </c>
      <c r="S7" s="8">
        <f>sofp!S35</f>
        <v>283846383.92000002</v>
      </c>
      <c r="T7" s="8">
        <f>sofp!T35</f>
        <v>268744324.38999999</v>
      </c>
      <c r="U7" s="8">
        <f>sofp!U35</f>
        <v>256910991.38999999</v>
      </c>
      <c r="V7" s="8">
        <f>sofp!V35</f>
        <v>266042572.63999999</v>
      </c>
      <c r="W7" s="8">
        <f>sofp!W35</f>
        <v>253687318.00999999</v>
      </c>
      <c r="X7" s="8">
        <f>sofp!X35</f>
        <v>251552007.46000001</v>
      </c>
      <c r="Y7" s="8">
        <f>sofp!Y35</f>
        <v>0</v>
      </c>
      <c r="Z7" s="8">
        <f>sofp!Z35</f>
        <v>0</v>
      </c>
      <c r="AA7" s="8">
        <f>sofp!AA35</f>
        <v>261813600</v>
      </c>
      <c r="AB7" s="8">
        <f>sofp!AB35</f>
        <v>322165509.56999999</v>
      </c>
      <c r="AC7" s="8">
        <f>sofp!AC35</f>
        <v>321348535.00999999</v>
      </c>
      <c r="AD7" s="8">
        <f>sofp!AD35</f>
        <v>308515202.00999999</v>
      </c>
      <c r="AE7" s="8">
        <f>sofp!AE35</f>
        <v>317522652.00999999</v>
      </c>
      <c r="AF7" s="8">
        <f>sofp!AF35</f>
        <v>391292097.00999999</v>
      </c>
      <c r="AG7" s="8">
        <f>sofp!AG35</f>
        <v>376894875.00999999</v>
      </c>
      <c r="AH7" s="8">
        <f>sofp!AH35</f>
        <v>391872546.00999999</v>
      </c>
      <c r="AI7" s="8">
        <f>sofp!AI35</f>
        <v>357987882.00999999</v>
      </c>
      <c r="AJ7" s="8">
        <f>sofp!AJ35</f>
        <v>357987882.00999999</v>
      </c>
      <c r="AK7" s="8">
        <f>sofp!AK35</f>
        <v>352696215.00999999</v>
      </c>
      <c r="AL7" s="8">
        <f>sofp!AL35</f>
        <v>347404548.00999999</v>
      </c>
      <c r="AM7" s="8">
        <f>sofp!AM35</f>
        <v>342112881.00999999</v>
      </c>
      <c r="AN7" s="8">
        <f>sofp!AN35</f>
        <v>342112881</v>
      </c>
    </row>
    <row r="8" spans="1:40" x14ac:dyDescent="0.3">
      <c r="A8" t="s">
        <v>91</v>
      </c>
      <c r="B8" s="8">
        <f>SUM(sofp!B30:B34)</f>
        <v>102643392</v>
      </c>
      <c r="C8" s="8">
        <f>SUM(sofp!C30:C34)</f>
        <v>109306677.26000001</v>
      </c>
      <c r="D8" s="8">
        <f>SUM(sofp!D30:D34)</f>
        <v>106471349.03</v>
      </c>
      <c r="E8" s="8">
        <f>SUM(sofp!E30:E34)</f>
        <v>106138057.74000001</v>
      </c>
      <c r="F8" s="8">
        <f>SUM(sofp!F30:F34)</f>
        <v>38298028.359999999</v>
      </c>
      <c r="G8" s="8">
        <f>SUM(sofp!G30:G34)</f>
        <v>35291248.420000002</v>
      </c>
      <c r="H8" s="8">
        <f>SUM(sofp!H30:H34)</f>
        <v>29253380.309999999</v>
      </c>
      <c r="I8" s="8">
        <f>SUM(sofp!I30:I34)</f>
        <v>28552192.710000001</v>
      </c>
      <c r="J8" s="8">
        <f>SUM(sofp!J30:J34)</f>
        <v>30901736.010000002</v>
      </c>
      <c r="K8" s="8">
        <f>SUM(sofp!K30:K34)</f>
        <v>34760369.100000001</v>
      </c>
      <c r="L8" s="8">
        <f>SUM(sofp!L30:L34)</f>
        <v>27609030.039999999</v>
      </c>
      <c r="M8" s="8">
        <f>SUM(sofp!M30:M34)</f>
        <v>51400455.140000001</v>
      </c>
      <c r="N8" s="8">
        <f>SUM(sofp!N30:N34)</f>
        <v>97886947</v>
      </c>
      <c r="O8" s="8">
        <f>SUM(sofp!O30:O34)</f>
        <v>126820729.06</v>
      </c>
      <c r="P8" s="8">
        <f>SUM(sofp!P30:P34)</f>
        <v>109604710.84</v>
      </c>
      <c r="Q8" s="8">
        <f>SUM(sofp!Q30:Q34)</f>
        <v>103948996.44999999</v>
      </c>
      <c r="R8" s="8">
        <f>SUM(sofp!R30:R34)</f>
        <v>103527502.64</v>
      </c>
      <c r="S8" s="8">
        <f>SUM(sofp!S30:S34)</f>
        <v>59670535.409999996</v>
      </c>
      <c r="T8" s="8">
        <f>SUM(sofp!T30:T34)</f>
        <v>56157954.659999996</v>
      </c>
      <c r="U8" s="8">
        <f>SUM(sofp!U30:U34)</f>
        <v>44536780.549999997</v>
      </c>
      <c r="V8" s="8">
        <f>SUM(sofp!V30:V34)</f>
        <v>51351321.5</v>
      </c>
      <c r="W8" s="8">
        <f>SUM(sofp!W30:W34)</f>
        <v>42785812.920000002</v>
      </c>
      <c r="X8" s="8">
        <f>SUM(sofp!X30:X34)</f>
        <v>41693438.719999999</v>
      </c>
      <c r="Y8" s="8">
        <f>SUM(sofp!Y30:Y34)</f>
        <v>0</v>
      </c>
      <c r="Z8" s="8">
        <f>SUM(sofp!Z30:Z34)</f>
        <v>0</v>
      </c>
      <c r="AA8" s="8">
        <f>SUM(sofp!AA30:AA34)</f>
        <v>130217569</v>
      </c>
      <c r="AB8" s="8">
        <f>SUM(sofp!AB30:AB34)</f>
        <v>27955944.02</v>
      </c>
      <c r="AC8" s="8">
        <f>SUM(sofp!AC30:AC34)</f>
        <v>137832651.00999999</v>
      </c>
      <c r="AD8" s="8">
        <f>SUM(sofp!AD30:AD34)</f>
        <v>139529232.50999999</v>
      </c>
      <c r="AE8" s="8">
        <f>SUM(sofp!AE30:AE34)</f>
        <v>110617402.15000001</v>
      </c>
      <c r="AF8" s="8">
        <f>SUM(sofp!AF30:AF34)</f>
        <v>14906011.859999999</v>
      </c>
      <c r="AG8" s="8">
        <f>SUM(sofp!AG30:AG34)</f>
        <v>-23096096.030000001</v>
      </c>
      <c r="AH8" s="8">
        <f>SUM(sofp!AH30:AH34)</f>
        <v>-46503988.609999999</v>
      </c>
      <c r="AI8" s="8">
        <f>SUM(sofp!AI30:AI34)</f>
        <v>-23010040.829999998</v>
      </c>
      <c r="AJ8" s="8">
        <f>SUM(sofp!AJ30:AJ34)</f>
        <v>-32943148.469999999</v>
      </c>
      <c r="AK8" s="8">
        <f>SUM(sofp!AK30:AK34)</f>
        <v>-40679976.109999999</v>
      </c>
      <c r="AL8" s="8">
        <f>SUM(sofp!AL30:AL34)</f>
        <v>-49352088.019999996</v>
      </c>
      <c r="AM8" s="8">
        <f>SUM(sofp!AM30:AM34)</f>
        <v>-104356048.08</v>
      </c>
      <c r="AN8" s="8">
        <f>SUM(sofp!AN30:AN34)</f>
        <v>66110323</v>
      </c>
    </row>
    <row r="9" spans="1:40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x14ac:dyDescent="0.3">
      <c r="A10" s="28" t="s">
        <v>92</v>
      </c>
      <c r="B10" s="8"/>
      <c r="C10" s="8"/>
      <c r="D10" s="8"/>
      <c r="E10" s="8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</row>
    <row r="11" spans="1:40" x14ac:dyDescent="0.3">
      <c r="A11" t="s">
        <v>93</v>
      </c>
      <c r="B11" s="8">
        <f t="shared" ref="B11:M11" si="0">B14</f>
        <v>237956727</v>
      </c>
      <c r="C11" s="8">
        <f t="shared" si="0"/>
        <v>232650756.97</v>
      </c>
      <c r="D11" s="8">
        <f t="shared" si="0"/>
        <v>225906148</v>
      </c>
      <c r="E11" s="8">
        <f t="shared" si="0"/>
        <v>244984153.34</v>
      </c>
      <c r="F11" s="8">
        <f t="shared" si="0"/>
        <v>259321135.42000002</v>
      </c>
      <c r="G11" s="8">
        <f t="shared" si="0"/>
        <v>259440618.69999999</v>
      </c>
      <c r="H11" s="8">
        <f t="shared" si="0"/>
        <v>273412149.63999999</v>
      </c>
      <c r="I11" s="8">
        <f t="shared" si="0"/>
        <v>277896435.26999998</v>
      </c>
      <c r="J11" s="8">
        <f t="shared" si="0"/>
        <v>281443340.06</v>
      </c>
      <c r="K11" s="8">
        <f t="shared" si="0"/>
        <v>287549840.48000002</v>
      </c>
      <c r="L11" s="8">
        <f t="shared" si="0"/>
        <v>291817477.13</v>
      </c>
      <c r="M11" s="8">
        <f t="shared" si="0"/>
        <v>274765698.92000002</v>
      </c>
      <c r="N11" s="8">
        <f>N14-N24</f>
        <v>276149287</v>
      </c>
      <c r="O11" s="8">
        <f t="shared" ref="O11:U11" si="1">O14-O24</f>
        <v>276915152.81999999</v>
      </c>
      <c r="P11" s="8">
        <f t="shared" si="1"/>
        <v>283994861.55000001</v>
      </c>
      <c r="Q11" s="8">
        <f t="shared" si="1"/>
        <v>306107561.19999999</v>
      </c>
      <c r="R11" s="8">
        <f t="shared" si="1"/>
        <v>302903811.88999999</v>
      </c>
      <c r="S11" s="8">
        <f t="shared" si="1"/>
        <v>297943038.58999997</v>
      </c>
      <c r="T11" s="8">
        <f t="shared" si="1"/>
        <v>305187811.64999998</v>
      </c>
      <c r="U11" s="8">
        <f t="shared" si="1"/>
        <v>310401118.25</v>
      </c>
      <c r="V11" s="8">
        <f t="shared" ref="V11:X11" si="2">V14-V24</f>
        <v>313616135.76999998</v>
      </c>
      <c r="W11" s="8">
        <f t="shared" si="2"/>
        <v>334818863.67000002</v>
      </c>
      <c r="X11" s="8">
        <f t="shared" si="2"/>
        <v>339353572.31999999</v>
      </c>
      <c r="Y11" s="8">
        <f t="shared" ref="Y11:AN11" si="3">Y14-Y24</f>
        <v>0</v>
      </c>
      <c r="Z11" s="8">
        <f t="shared" si="3"/>
        <v>0</v>
      </c>
      <c r="AA11" s="8">
        <f t="shared" si="3"/>
        <v>326365943</v>
      </c>
      <c r="AB11" s="8">
        <f t="shared" si="3"/>
        <v>347945508.79000002</v>
      </c>
      <c r="AC11" s="8">
        <f t="shared" si="3"/>
        <v>216423255.07999998</v>
      </c>
      <c r="AD11" s="8">
        <f t="shared" si="3"/>
        <v>260594077.72999999</v>
      </c>
      <c r="AE11" s="8">
        <f t="shared" si="3"/>
        <v>259104610.07999998</v>
      </c>
      <c r="AF11" s="8">
        <f t="shared" si="3"/>
        <v>258803633.46000001</v>
      </c>
      <c r="AG11" s="8">
        <f t="shared" si="3"/>
        <v>366273916.69</v>
      </c>
      <c r="AH11" s="8">
        <f t="shared" si="3"/>
        <v>367887392.66000003</v>
      </c>
      <c r="AI11" s="8">
        <f t="shared" si="3"/>
        <v>368243260.07999998</v>
      </c>
      <c r="AJ11" s="8">
        <f t="shared" si="3"/>
        <v>368571854.69</v>
      </c>
      <c r="AK11" s="8">
        <f t="shared" si="3"/>
        <v>386076999.07999998</v>
      </c>
      <c r="AL11" s="8">
        <f t="shared" si="3"/>
        <v>399641798.50999999</v>
      </c>
      <c r="AM11" s="8">
        <f t="shared" si="3"/>
        <v>425819347.09000003</v>
      </c>
      <c r="AN11" s="8">
        <f t="shared" si="3"/>
        <v>341647076</v>
      </c>
    </row>
    <row r="12" spans="1:40" x14ac:dyDescent="0.3">
      <c r="A12" t="s">
        <v>94</v>
      </c>
      <c r="B12" s="8">
        <f t="shared" ref="B12:C12" si="4">B11 - B15</f>
        <v>143916211</v>
      </c>
      <c r="C12" s="8">
        <f t="shared" si="4"/>
        <v>136275383.19</v>
      </c>
      <c r="D12" s="8">
        <f t="shared" ref="D12:M12" si="5">D11 - D15</f>
        <v>126879861.98999999</v>
      </c>
      <c r="E12" s="8">
        <f t="shared" si="5"/>
        <v>143386161.42000002</v>
      </c>
      <c r="F12" s="8">
        <f t="shared" si="5"/>
        <v>155625259.69</v>
      </c>
      <c r="G12" s="8">
        <f t="shared" si="5"/>
        <v>153522944.53999999</v>
      </c>
      <c r="H12" s="8">
        <f t="shared" si="5"/>
        <v>165256758.87</v>
      </c>
      <c r="I12" s="8">
        <f t="shared" si="5"/>
        <v>165230478.46999997</v>
      </c>
      <c r="J12" s="8">
        <f t="shared" si="5"/>
        <v>166636160.22</v>
      </c>
      <c r="K12" s="8">
        <f t="shared" si="5"/>
        <v>170450843.33000001</v>
      </c>
      <c r="L12" s="8">
        <f t="shared" si="5"/>
        <v>172654473.97999999</v>
      </c>
      <c r="M12" s="8">
        <f t="shared" si="5"/>
        <v>153645331.90000004</v>
      </c>
      <c r="N12" s="8">
        <f>sofp!N39+sofp!N40+sofp!N41+sofp!N42</f>
        <v>155052920</v>
      </c>
      <c r="O12" s="8">
        <f>sofp!O39+sofp!O40+sofp!O41+sofp!O42</f>
        <v>153211517.21000001</v>
      </c>
      <c r="P12" s="8">
        <f>sofp!P39+sofp!P40+sofp!P41+sofp!P42</f>
        <v>158293808.52000001</v>
      </c>
      <c r="Q12" s="8">
        <f>sofp!Q39+sofp!Q40+sofp!Q41+sofp!Q42</f>
        <v>177894314.49000001</v>
      </c>
      <c r="R12" s="8">
        <f>sofp!R39+sofp!R40+sofp!R41+sofp!R42</f>
        <v>172536606.20000002</v>
      </c>
      <c r="S12" s="8">
        <f>sofp!S39+sofp!S40+sofp!S41+sofp!S42</f>
        <v>165793197.67000002</v>
      </c>
      <c r="T12" s="8">
        <f>sofp!T39+sofp!T40+sofp!T41+sofp!T42</f>
        <v>170470100.97</v>
      </c>
      <c r="U12" s="8">
        <f>sofp!U39+sofp!U40+sofp!U41+sofp!U42</f>
        <v>173345994.64000002</v>
      </c>
      <c r="V12" s="8">
        <f>sofp!V39+sofp!V40+sofp!V41+sofp!V42</f>
        <v>174476215.96000001</v>
      </c>
      <c r="W12" s="8">
        <f>sofp!W39+sofp!W40+sofp!W41+sofp!W42</f>
        <v>193491808.65000001</v>
      </c>
      <c r="X12" s="8">
        <f>sofp!X39+sofp!X40+sofp!X41+sofp!X42</f>
        <v>195675491.06999999</v>
      </c>
      <c r="Y12" s="8">
        <f>sofp!Y39+sofp!Y40+sofp!Y41+sofp!Y42</f>
        <v>0</v>
      </c>
      <c r="Z12" s="8">
        <f>sofp!Z39+sofp!Z40+sofp!Z41+sofp!Z42</f>
        <v>0</v>
      </c>
      <c r="AA12" s="8">
        <f>sofp!AA39+sofp!AA40+sofp!AA41+sofp!AA42</f>
        <v>178335575</v>
      </c>
      <c r="AB12" s="8">
        <f>sofp!AB39+sofp!AB40+sofp!AB41+sofp!AB42</f>
        <v>199385096.94999999</v>
      </c>
      <c r="AC12" s="8">
        <f>sofp!AC39+sofp!AC40+sofp!AC41+sofp!AC42</f>
        <v>67723979.189999998</v>
      </c>
      <c r="AD12" s="8">
        <f>sofp!AD39+sofp!AD40+sofp!AD41+sofp!AD42</f>
        <v>111300955.25</v>
      </c>
      <c r="AE12" s="8">
        <f>sofp!AE39+sofp!AE40+sofp!AE41+sofp!AE42</f>
        <v>109880444.03999999</v>
      </c>
      <c r="AF12" s="8">
        <f>sofp!AF39+sofp!AF40+sofp!AF41+sofp!AF42</f>
        <v>108225176.94</v>
      </c>
      <c r="AG12" s="8">
        <f>sofp!AG39+sofp!AG40+sofp!AG41+sofp!AG42</f>
        <v>214879475.91</v>
      </c>
      <c r="AH12" s="8">
        <f>sofp!AH39+sofp!AH40+sofp!AH41+sofp!AH42</f>
        <v>216531364.88</v>
      </c>
      <c r="AI12" s="8">
        <f>sofp!AI39+sofp!AI40+sofp!AI41+sofp!AI42</f>
        <v>216230568.63</v>
      </c>
      <c r="AJ12" s="8">
        <f>sofp!AJ39+sofp!AJ40+sofp!AJ41+sofp!AJ42</f>
        <v>216176856.81</v>
      </c>
      <c r="AK12" s="8">
        <f>sofp!AK39+sofp!AK40+sofp!AK41+sofp!AK42</f>
        <v>233344389.38999999</v>
      </c>
      <c r="AL12" s="8">
        <f>sofp!AL39+sofp!AL40+sofp!AL41+sofp!AL42</f>
        <v>246532495.25</v>
      </c>
      <c r="AM12" s="8">
        <f>sofp!AM39+sofp!AM40+sofp!AM41+sofp!AM42</f>
        <v>272448875.65999997</v>
      </c>
      <c r="AN12" s="8">
        <f>sofp!AN39+sofp!AN40+sofp!AN41+sofp!AN42</f>
        <v>188276605</v>
      </c>
    </row>
    <row r="13" spans="1:40" x14ac:dyDescent="0.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 spans="1:40" x14ac:dyDescent="0.3">
      <c r="A14" t="s">
        <v>95</v>
      </c>
      <c r="B14" s="8">
        <f t="shared" ref="B14:C14" si="6">SUM(B15:B17) + B19</f>
        <v>237956727</v>
      </c>
      <c r="C14" s="8">
        <f t="shared" si="6"/>
        <v>232650756.97</v>
      </c>
      <c r="D14" s="8">
        <f t="shared" ref="D14:N14" si="7">SUM(D15:D17) + D19</f>
        <v>225906148</v>
      </c>
      <c r="E14" s="8">
        <f t="shared" si="7"/>
        <v>244984153.34</v>
      </c>
      <c r="F14" s="8">
        <f t="shared" si="7"/>
        <v>259321135.42000002</v>
      </c>
      <c r="G14" s="8">
        <f t="shared" si="7"/>
        <v>259440618.69999999</v>
      </c>
      <c r="H14" s="8">
        <f t="shared" si="7"/>
        <v>273412149.63999999</v>
      </c>
      <c r="I14" s="8">
        <f t="shared" si="7"/>
        <v>277896435.26999998</v>
      </c>
      <c r="J14" s="8">
        <f t="shared" si="7"/>
        <v>281443340.06</v>
      </c>
      <c r="K14" s="8">
        <f t="shared" si="7"/>
        <v>287549840.48000002</v>
      </c>
      <c r="L14" s="8">
        <f t="shared" si="7"/>
        <v>291817477.13</v>
      </c>
      <c r="M14" s="8">
        <f t="shared" si="7"/>
        <v>274765698.92000002</v>
      </c>
      <c r="N14" s="8">
        <f t="shared" si="7"/>
        <v>276173287</v>
      </c>
      <c r="O14" s="8">
        <f t="shared" ref="O14:U14" si="8">SUM(O15:O17) + O19</f>
        <v>276915152.81999999</v>
      </c>
      <c r="P14" s="8">
        <f t="shared" si="8"/>
        <v>283994861.55000001</v>
      </c>
      <c r="Q14" s="8">
        <f t="shared" si="8"/>
        <v>306107561.19999999</v>
      </c>
      <c r="R14" s="8">
        <f t="shared" si="8"/>
        <v>302903811.88999999</v>
      </c>
      <c r="S14" s="8">
        <f t="shared" si="8"/>
        <v>297943038.58999997</v>
      </c>
      <c r="T14" s="8">
        <f t="shared" si="8"/>
        <v>305187811.64999998</v>
      </c>
      <c r="U14" s="8">
        <f t="shared" si="8"/>
        <v>310401118.25</v>
      </c>
      <c r="V14" s="8">
        <f t="shared" ref="V14:X14" si="9">SUM(V15:V17) + V19</f>
        <v>313616135.76999998</v>
      </c>
      <c r="W14" s="8">
        <f t="shared" si="9"/>
        <v>334818863.67000002</v>
      </c>
      <c r="X14" s="8">
        <f t="shared" si="9"/>
        <v>339353572.31999999</v>
      </c>
      <c r="Y14" s="8">
        <f t="shared" ref="Y14:AN14" si="10">SUM(Y15:Y17) + Y19</f>
        <v>0</v>
      </c>
      <c r="Z14" s="8">
        <f t="shared" si="10"/>
        <v>0</v>
      </c>
      <c r="AA14" s="8">
        <f t="shared" si="10"/>
        <v>326389943</v>
      </c>
      <c r="AB14" s="8">
        <f t="shared" si="10"/>
        <v>347945508.79000002</v>
      </c>
      <c r="AC14" s="8">
        <f t="shared" si="10"/>
        <v>216423255.07999998</v>
      </c>
      <c r="AD14" s="8">
        <f t="shared" si="10"/>
        <v>260594077.72999999</v>
      </c>
      <c r="AE14" s="8">
        <f t="shared" si="10"/>
        <v>259104610.07999998</v>
      </c>
      <c r="AF14" s="8">
        <f t="shared" si="10"/>
        <v>258803633.46000001</v>
      </c>
      <c r="AG14" s="8">
        <f t="shared" si="10"/>
        <v>366273916.69</v>
      </c>
      <c r="AH14" s="8">
        <f t="shared" si="10"/>
        <v>367887392.66000003</v>
      </c>
      <c r="AI14" s="8">
        <f t="shared" si="10"/>
        <v>368243260.07999998</v>
      </c>
      <c r="AJ14" s="8">
        <f t="shared" si="10"/>
        <v>368571854.69</v>
      </c>
      <c r="AK14" s="8">
        <f t="shared" si="10"/>
        <v>386076999.07999998</v>
      </c>
      <c r="AL14" s="8">
        <f t="shared" si="10"/>
        <v>399641798.50999999</v>
      </c>
      <c r="AM14" s="8">
        <f t="shared" si="10"/>
        <v>425819347.09000003</v>
      </c>
      <c r="AN14" s="8">
        <f t="shared" si="10"/>
        <v>341647076</v>
      </c>
    </row>
    <row r="15" spans="1:40" x14ac:dyDescent="0.3">
      <c r="A15" t="s">
        <v>96</v>
      </c>
      <c r="B15" s="8">
        <f>sofp!B37</f>
        <v>94040516</v>
      </c>
      <c r="C15" s="8">
        <f>sofp!C37</f>
        <v>96375373.780000001</v>
      </c>
      <c r="D15" s="8">
        <f>sofp!D37</f>
        <v>99026286.010000005</v>
      </c>
      <c r="E15" s="8">
        <f>sofp!E37</f>
        <v>101597991.92</v>
      </c>
      <c r="F15" s="8">
        <f>sofp!F37</f>
        <v>103695875.73</v>
      </c>
      <c r="G15" s="8">
        <f>sofp!G37</f>
        <v>105917674.16</v>
      </c>
      <c r="H15" s="8">
        <f>sofp!H37</f>
        <v>108155390.77</v>
      </c>
      <c r="I15" s="8">
        <f>sofp!I37</f>
        <v>112665956.8</v>
      </c>
      <c r="J15" s="8">
        <f>sofp!J37</f>
        <v>114807179.84</v>
      </c>
      <c r="K15" s="8">
        <f>sofp!K37</f>
        <v>117098997.15000001</v>
      </c>
      <c r="L15" s="8">
        <f>sofp!L37</f>
        <v>119163003.15000001</v>
      </c>
      <c r="M15" s="8">
        <f>sofp!M37</f>
        <v>121120367.02</v>
      </c>
      <c r="N15" s="8">
        <f>sofp!N37</f>
        <v>121120367</v>
      </c>
      <c r="O15" s="8">
        <f>sofp!O37</f>
        <v>123703635.61</v>
      </c>
      <c r="P15" s="8">
        <f>sofp!P37</f>
        <v>125701053.03</v>
      </c>
      <c r="Q15" s="8">
        <f>sofp!Q37</f>
        <v>128213246.70999999</v>
      </c>
      <c r="R15" s="8">
        <f>sofp!R37</f>
        <v>130367205.69</v>
      </c>
      <c r="S15" s="8">
        <f>sofp!S37</f>
        <v>132149840.92</v>
      </c>
      <c r="T15" s="8">
        <f>sofp!T37</f>
        <v>134717710.68000001</v>
      </c>
      <c r="U15" s="8">
        <f>sofp!U37</f>
        <v>137055123.61000001</v>
      </c>
      <c r="V15" s="8">
        <f>sofp!V37</f>
        <v>139139919.81</v>
      </c>
      <c r="W15" s="8">
        <f>sofp!W37</f>
        <v>141327055.02000001</v>
      </c>
      <c r="X15" s="8">
        <f>sofp!X37</f>
        <v>143678081.25</v>
      </c>
      <c r="Y15" s="8">
        <f>sofp!Y37</f>
        <v>0</v>
      </c>
      <c r="Z15" s="8">
        <f>sofp!Z37</f>
        <v>0</v>
      </c>
      <c r="AA15" s="8">
        <f>sofp!AA37</f>
        <v>148054368</v>
      </c>
      <c r="AB15" s="8">
        <f>sofp!AB37</f>
        <v>148560411.84</v>
      </c>
      <c r="AC15" s="8">
        <f>sofp!AC37</f>
        <v>148699275.88999999</v>
      </c>
      <c r="AD15" s="8">
        <f>sofp!AD37</f>
        <v>149293122.47999999</v>
      </c>
      <c r="AE15" s="8">
        <f>sofp!AE37</f>
        <v>149224166.03999999</v>
      </c>
      <c r="AF15" s="8">
        <f>sofp!AF37</f>
        <v>150578456.52000001</v>
      </c>
      <c r="AG15" s="8">
        <f>sofp!AG37</f>
        <v>151394440.78</v>
      </c>
      <c r="AH15" s="8">
        <f>sofp!AH37</f>
        <v>151356027.78</v>
      </c>
      <c r="AI15" s="8">
        <f>sofp!AI37</f>
        <v>152012691.44999999</v>
      </c>
      <c r="AJ15" s="8">
        <f>sofp!AJ37</f>
        <v>152394997.88</v>
      </c>
      <c r="AK15" s="8">
        <f>sofp!AK37</f>
        <v>152732609.69</v>
      </c>
      <c r="AL15" s="8">
        <f>sofp!AL37</f>
        <v>153109303.25999999</v>
      </c>
      <c r="AM15" s="8">
        <f>sofp!AM37</f>
        <v>153370471.43000001</v>
      </c>
      <c r="AN15" s="8">
        <f>sofp!AN37</f>
        <v>153370471</v>
      </c>
    </row>
    <row r="16" spans="1:40" x14ac:dyDescent="0.3">
      <c r="A16" t="s">
        <v>97</v>
      </c>
      <c r="B16" s="8">
        <f>sofp!B39 + sofp!B40</f>
        <v>76444433</v>
      </c>
      <c r="C16" s="8">
        <f>sofp!C39 + sofp!C40</f>
        <v>80602587.25</v>
      </c>
      <c r="D16" s="8">
        <f>sofp!D39 + sofp!D40</f>
        <v>71207066.049999997</v>
      </c>
      <c r="E16" s="8">
        <f>sofp!E39 + sofp!E40</f>
        <v>87713365.480000004</v>
      </c>
      <c r="F16" s="8">
        <f>sofp!F39 + sofp!F40</f>
        <v>99952463.75</v>
      </c>
      <c r="G16" s="8">
        <f>sofp!G39 + sofp!G40</f>
        <v>97850148.599999994</v>
      </c>
      <c r="H16" s="8">
        <f>sofp!H39 + sofp!H40</f>
        <v>109583962.93000001</v>
      </c>
      <c r="I16" s="8">
        <f>sofp!I39 + sofp!I40</f>
        <v>109557682.53</v>
      </c>
      <c r="J16" s="8">
        <f>sofp!J39 + sofp!J40</f>
        <v>110963364.28</v>
      </c>
      <c r="K16" s="8">
        <f>sofp!K39 + sofp!K40</f>
        <v>114778047.39000002</v>
      </c>
      <c r="L16" s="8">
        <f>sofp!L39 + sofp!L40</f>
        <v>116981678.04000001</v>
      </c>
      <c r="M16" s="8">
        <f>sofp!M39 + sofp!M40</f>
        <v>97972535.960000008</v>
      </c>
      <c r="N16" s="8">
        <f>sofp!N39 + sofp!N40</f>
        <v>92322924</v>
      </c>
      <c r="O16" s="8">
        <f>sofp!O39 + sofp!O40</f>
        <v>97538721.270000011</v>
      </c>
      <c r="P16" s="8">
        <f>sofp!P39 + sofp!P40</f>
        <v>102621012.58</v>
      </c>
      <c r="Q16" s="8">
        <f>sofp!Q39 + sofp!Q40</f>
        <v>122221518.55000001</v>
      </c>
      <c r="R16" s="8">
        <f>sofp!R39 + sofp!R40</f>
        <v>116863810.26000001</v>
      </c>
      <c r="S16" s="8">
        <f>sofp!S39 + sofp!S40</f>
        <v>110120401.73</v>
      </c>
      <c r="T16" s="8">
        <f>sofp!T39 + sofp!T40</f>
        <v>114797305.03</v>
      </c>
      <c r="U16" s="8">
        <f>sofp!U39 + sofp!U40</f>
        <v>117673198.7</v>
      </c>
      <c r="V16" s="8">
        <f>sofp!V39 + sofp!V40</f>
        <v>118803420.02000001</v>
      </c>
      <c r="W16" s="8">
        <f>sofp!W39 + sofp!W40</f>
        <v>137819012.71000001</v>
      </c>
      <c r="X16" s="8">
        <f>sofp!X39 + sofp!X40</f>
        <v>140002695.13</v>
      </c>
      <c r="Y16" s="8">
        <f>sofp!Y39 + sofp!Y40</f>
        <v>0</v>
      </c>
      <c r="Z16" s="8">
        <f>sofp!Z39 + sofp!Z40</f>
        <v>0</v>
      </c>
      <c r="AA16" s="8">
        <f>sofp!AA39 + sofp!AA40</f>
        <v>0</v>
      </c>
      <c r="AB16" s="8">
        <f>sofp!AB39 + sofp!AB40</f>
        <v>143712301.00999999</v>
      </c>
      <c r="AC16" s="8">
        <f>sofp!AC39 + sofp!AC40</f>
        <v>12051183.25</v>
      </c>
      <c r="AD16" s="8">
        <f>sofp!AD39 + sofp!AD40</f>
        <v>55628159.309999995</v>
      </c>
      <c r="AE16" s="8">
        <f>sofp!AE39 + sofp!AE40</f>
        <v>54207648.099999994</v>
      </c>
      <c r="AF16" s="8">
        <f>sofp!AF39 + sofp!AF40</f>
        <v>52552381</v>
      </c>
      <c r="AG16" s="8">
        <f>sofp!AG39 + sofp!AG40</f>
        <v>159206679.97</v>
      </c>
      <c r="AH16" s="8">
        <f>sofp!AH39 + sofp!AH40</f>
        <v>160858568.94</v>
      </c>
      <c r="AI16" s="8">
        <f>sofp!AI39 + sofp!AI40</f>
        <v>160557772.69</v>
      </c>
      <c r="AJ16" s="8">
        <f>sofp!AJ39 + sofp!AJ40</f>
        <v>160504060.87</v>
      </c>
      <c r="AK16" s="8">
        <f>sofp!AK39 + sofp!AK40</f>
        <v>177671593.44999999</v>
      </c>
      <c r="AL16" s="8">
        <f>sofp!AL39 + sofp!AL40</f>
        <v>190859699.31</v>
      </c>
      <c r="AM16" s="8">
        <f>sofp!AM39 + sofp!AM40</f>
        <v>216789943.09</v>
      </c>
      <c r="AN16" s="8">
        <f>sofp!AN39 + sofp!AN40</f>
        <v>114666732</v>
      </c>
    </row>
    <row r="17" spans="1:40" x14ac:dyDescent="0.3">
      <c r="A17" t="s">
        <v>44</v>
      </c>
      <c r="B17" s="8">
        <f>sofp!B41</f>
        <v>36256597</v>
      </c>
      <c r="C17" s="8">
        <f>sofp!C41</f>
        <v>34616257.600000001</v>
      </c>
      <c r="D17" s="8">
        <f>sofp!D41</f>
        <v>34616257.600000001</v>
      </c>
      <c r="E17" s="8">
        <f>sofp!E41</f>
        <v>34616257.600000001</v>
      </c>
      <c r="F17" s="8">
        <f>sofp!F41</f>
        <v>34616257.600000001</v>
      </c>
      <c r="G17" s="8">
        <f>sofp!G41</f>
        <v>34616257.600000001</v>
      </c>
      <c r="H17" s="8">
        <f>sofp!H41</f>
        <v>34616257.600000001</v>
      </c>
      <c r="I17" s="8">
        <f>sofp!I41</f>
        <v>34616257.600000001</v>
      </c>
      <c r="J17" s="8">
        <f>sofp!J41</f>
        <v>34616257.600000001</v>
      </c>
      <c r="K17" s="8">
        <f>sofp!K41</f>
        <v>34616257.600000001</v>
      </c>
      <c r="L17" s="8">
        <f>sofp!L41</f>
        <v>34616257.600000001</v>
      </c>
      <c r="M17" s="8">
        <f>sofp!M41</f>
        <v>34616257.600000001</v>
      </c>
      <c r="N17" s="8">
        <f>sofp!N41</f>
        <v>39514815</v>
      </c>
      <c r="O17" s="8">
        <f>sofp!O41</f>
        <v>34616257.600000001</v>
      </c>
      <c r="P17" s="8">
        <f>sofp!P41</f>
        <v>34616257.600000001</v>
      </c>
      <c r="Q17" s="8">
        <f>sofp!Q41</f>
        <v>34616257.600000001</v>
      </c>
      <c r="R17" s="8">
        <f>sofp!R41</f>
        <v>34616257.600000001</v>
      </c>
      <c r="S17" s="8">
        <f>sofp!S41</f>
        <v>34616257.600000001</v>
      </c>
      <c r="T17" s="8">
        <f>sofp!T41</f>
        <v>34616257.600000001</v>
      </c>
      <c r="U17" s="8">
        <f>sofp!U41</f>
        <v>34616257.600000001</v>
      </c>
      <c r="V17" s="8">
        <f>sofp!V41</f>
        <v>34616257.600000001</v>
      </c>
      <c r="W17" s="8">
        <f>sofp!W41</f>
        <v>34616257.600000001</v>
      </c>
      <c r="X17" s="8">
        <f>sofp!X41</f>
        <v>34616257.600000001</v>
      </c>
      <c r="Y17" s="8">
        <f>sofp!Y41</f>
        <v>0</v>
      </c>
      <c r="Z17" s="8">
        <f>sofp!Z41</f>
        <v>0</v>
      </c>
      <c r="AA17" s="8">
        <f>sofp!AA41</f>
        <v>37272789</v>
      </c>
      <c r="AB17" s="8">
        <f>sofp!AB41</f>
        <v>34616257.600000001</v>
      </c>
      <c r="AC17" s="8">
        <f>sofp!AC41</f>
        <v>34616257.600000001</v>
      </c>
      <c r="AD17" s="8">
        <f>sofp!AD41</f>
        <v>34616257.600000001</v>
      </c>
      <c r="AE17" s="8">
        <f>sofp!AE41</f>
        <v>34616257.600000001</v>
      </c>
      <c r="AF17" s="8">
        <f>sofp!AF41</f>
        <v>34616257.600000001</v>
      </c>
      <c r="AG17" s="8">
        <f>sofp!AG41</f>
        <v>34616257.600000001</v>
      </c>
      <c r="AH17" s="8">
        <f>sofp!AH41</f>
        <v>34616257.600000001</v>
      </c>
      <c r="AI17" s="8">
        <f>sofp!AI41</f>
        <v>34616257.600000001</v>
      </c>
      <c r="AJ17" s="8">
        <f>sofp!AJ41</f>
        <v>34616257.600000001</v>
      </c>
      <c r="AK17" s="8">
        <f>sofp!AK41</f>
        <v>34616257.600000001</v>
      </c>
      <c r="AL17" s="8">
        <f>sofp!AL41</f>
        <v>34616257.600000001</v>
      </c>
      <c r="AM17" s="8">
        <f>sofp!AM41</f>
        <v>34616257.600000001</v>
      </c>
      <c r="AN17" s="8">
        <f>sofp!AN41</f>
        <v>48394692</v>
      </c>
    </row>
    <row r="18" spans="1:40" x14ac:dyDescent="0.3">
      <c r="A18" t="s">
        <v>98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x14ac:dyDescent="0.3">
      <c r="A19" t="s">
        <v>99</v>
      </c>
      <c r="B19" s="8">
        <f>sofp!B42</f>
        <v>31215181</v>
      </c>
      <c r="C19" s="8">
        <f>sofp!C42</f>
        <v>21056538.34</v>
      </c>
      <c r="D19" s="8">
        <f>sofp!D42</f>
        <v>21056538.34</v>
      </c>
      <c r="E19" s="8">
        <f>sofp!E42</f>
        <v>21056538.34</v>
      </c>
      <c r="F19" s="8">
        <f>sofp!F42</f>
        <v>21056538.34</v>
      </c>
      <c r="G19" s="8">
        <f>sofp!G42</f>
        <v>21056538.34</v>
      </c>
      <c r="H19" s="8">
        <f>sofp!H42</f>
        <v>21056538.34</v>
      </c>
      <c r="I19" s="8">
        <f>sofp!I42</f>
        <v>21056538.34</v>
      </c>
      <c r="J19" s="8">
        <f>sofp!J42</f>
        <v>21056538.34</v>
      </c>
      <c r="K19" s="8">
        <f>sofp!K42</f>
        <v>21056538.34</v>
      </c>
      <c r="L19" s="8">
        <f>sofp!L42</f>
        <v>21056538.34</v>
      </c>
      <c r="M19" s="8">
        <f>sofp!M42</f>
        <v>21056538.34</v>
      </c>
      <c r="N19" s="8">
        <f>sofp!N42</f>
        <v>23215181</v>
      </c>
      <c r="O19" s="8">
        <f>sofp!O42</f>
        <v>21056538.34</v>
      </c>
      <c r="P19" s="8">
        <f>sofp!P42</f>
        <v>21056538.34</v>
      </c>
      <c r="Q19" s="8">
        <f>sofp!Q42</f>
        <v>21056538.34</v>
      </c>
      <c r="R19" s="8">
        <f>sofp!R42</f>
        <v>21056538.34</v>
      </c>
      <c r="S19" s="8">
        <f>sofp!S42</f>
        <v>21056538.34</v>
      </c>
      <c r="T19" s="8">
        <f>sofp!T42</f>
        <v>21056538.34</v>
      </c>
      <c r="U19" s="8">
        <f>sofp!U42</f>
        <v>21056538.34</v>
      </c>
      <c r="V19" s="8">
        <f>sofp!V42</f>
        <v>21056538.34</v>
      </c>
      <c r="W19" s="8">
        <f>sofp!W42</f>
        <v>21056538.34</v>
      </c>
      <c r="X19" s="8">
        <f>sofp!X42</f>
        <v>21056538.34</v>
      </c>
      <c r="Y19" s="8">
        <f>sofp!Y42</f>
        <v>0</v>
      </c>
      <c r="Z19" s="8">
        <f>sofp!Z42</f>
        <v>0</v>
      </c>
      <c r="AA19" s="8">
        <f>sofp!AA42</f>
        <v>141062786</v>
      </c>
      <c r="AB19" s="8">
        <f>sofp!AB42</f>
        <v>21056538.34</v>
      </c>
      <c r="AC19" s="8">
        <f>sofp!AC42</f>
        <v>21056538.34</v>
      </c>
      <c r="AD19" s="8">
        <f>sofp!AD42</f>
        <v>21056538.34</v>
      </c>
      <c r="AE19" s="8">
        <f>sofp!AE42</f>
        <v>21056538.34</v>
      </c>
      <c r="AF19" s="8">
        <f>sofp!AF42</f>
        <v>21056538.34</v>
      </c>
      <c r="AG19" s="8">
        <f>sofp!AG42</f>
        <v>21056538.34</v>
      </c>
      <c r="AH19" s="8">
        <f>sofp!AH42</f>
        <v>21056538.34</v>
      </c>
      <c r="AI19" s="8">
        <f>sofp!AI42</f>
        <v>21056538.34</v>
      </c>
      <c r="AJ19" s="8">
        <f>sofp!AJ42</f>
        <v>21056538.34</v>
      </c>
      <c r="AK19" s="8">
        <f>sofp!AK42</f>
        <v>21056538.34</v>
      </c>
      <c r="AL19" s="8">
        <f>sofp!AL42</f>
        <v>21056538.34</v>
      </c>
      <c r="AM19" s="8">
        <f>sofp!AM42</f>
        <v>21042674.969999999</v>
      </c>
      <c r="AN19" s="8">
        <f>sofp!AN42</f>
        <v>25215181</v>
      </c>
    </row>
    <row r="20" spans="1:40" x14ac:dyDescent="0.3">
      <c r="A20" t="s">
        <v>47</v>
      </c>
      <c r="B20" s="8">
        <f>sofp!B44</f>
        <v>0</v>
      </c>
      <c r="C20" s="8">
        <f>sofp!C44</f>
        <v>0</v>
      </c>
      <c r="D20" s="8">
        <f>sofp!D44</f>
        <v>0</v>
      </c>
      <c r="E20" s="8">
        <f>sofp!E44</f>
        <v>0</v>
      </c>
      <c r="F20" s="8">
        <f>sofp!F44</f>
        <v>0</v>
      </c>
      <c r="G20" s="8">
        <f>sofp!G44</f>
        <v>0</v>
      </c>
      <c r="H20" s="8">
        <f>sofp!H44</f>
        <v>0</v>
      </c>
      <c r="I20" s="8">
        <f>sofp!I44</f>
        <v>0</v>
      </c>
      <c r="J20" s="8">
        <f>sofp!J44</f>
        <v>0</v>
      </c>
      <c r="K20" s="8">
        <f>sofp!K44</f>
        <v>0</v>
      </c>
      <c r="L20" s="8">
        <f>sofp!L44</f>
        <v>0</v>
      </c>
      <c r="M20" s="8">
        <f>sofp!M44</f>
        <v>0</v>
      </c>
      <c r="N20" s="8">
        <f>sofp!N44</f>
        <v>0</v>
      </c>
      <c r="O20" s="8">
        <f>sofp!O44</f>
        <v>0</v>
      </c>
      <c r="P20" s="8">
        <f>sofp!P44</f>
        <v>0</v>
      </c>
      <c r="Q20" s="8">
        <f>sofp!Q44</f>
        <v>0</v>
      </c>
      <c r="R20" s="8">
        <f>sofp!R44</f>
        <v>0</v>
      </c>
      <c r="S20" s="8">
        <f>sofp!S44</f>
        <v>0</v>
      </c>
      <c r="T20" s="8">
        <f>sofp!T44</f>
        <v>0</v>
      </c>
      <c r="U20" s="8">
        <f>sofp!U44</f>
        <v>0</v>
      </c>
      <c r="V20" s="8">
        <f>sofp!V44</f>
        <v>0</v>
      </c>
      <c r="W20" s="8">
        <f>sofp!W44</f>
        <v>0</v>
      </c>
      <c r="X20" s="8">
        <f>sofp!X44</f>
        <v>0</v>
      </c>
      <c r="Y20" s="8">
        <f>sofp!Y44</f>
        <v>0</v>
      </c>
      <c r="Z20" s="8">
        <f>sofp!Z44</f>
        <v>0</v>
      </c>
      <c r="AA20" s="8">
        <f>sofp!AA44</f>
        <v>0</v>
      </c>
      <c r="AB20" s="8">
        <f>sofp!AB44</f>
        <v>0</v>
      </c>
      <c r="AC20" s="8">
        <f>sofp!AC44</f>
        <v>0</v>
      </c>
      <c r="AD20" s="8">
        <f>sofp!AD44</f>
        <v>0</v>
      </c>
      <c r="AE20" s="8">
        <f>sofp!AE44</f>
        <v>0</v>
      </c>
      <c r="AF20" s="8">
        <f>sofp!AF44</f>
        <v>0</v>
      </c>
      <c r="AG20" s="8">
        <f>sofp!AG44</f>
        <v>0</v>
      </c>
      <c r="AH20" s="8">
        <f>sofp!AH44</f>
        <v>0</v>
      </c>
      <c r="AI20" s="8">
        <f>sofp!AI44</f>
        <v>0</v>
      </c>
      <c r="AJ20" s="8">
        <f>sofp!AJ44</f>
        <v>0</v>
      </c>
      <c r="AK20" s="8">
        <f>sofp!AK44</f>
        <v>0</v>
      </c>
      <c r="AL20" s="8">
        <f>sofp!AL44</f>
        <v>0</v>
      </c>
      <c r="AM20" s="8">
        <f>sofp!AM44</f>
        <v>0</v>
      </c>
      <c r="AN20" s="8">
        <f>sofp!AN44</f>
        <v>16871187</v>
      </c>
    </row>
    <row r="21" spans="1:40" x14ac:dyDescent="0.3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x14ac:dyDescent="0.3">
      <c r="A22" s="28" t="s">
        <v>100</v>
      </c>
      <c r="B22" s="8">
        <f t="shared" ref="B22:C22" si="11">SUM(B23:B24)</f>
        <v>218554560</v>
      </c>
      <c r="C22" s="8">
        <f t="shared" si="11"/>
        <v>218554560.30000001</v>
      </c>
      <c r="D22" s="8">
        <f t="shared" ref="D22:N22" si="12">SUM(D23:D24)</f>
        <v>222086616.19999999</v>
      </c>
      <c r="E22" s="8">
        <f t="shared" si="12"/>
        <v>222086616.19999999</v>
      </c>
      <c r="F22" s="27">
        <f t="shared" si="12"/>
        <v>226486616.19999999</v>
      </c>
      <c r="G22" s="27">
        <f t="shared" si="12"/>
        <v>229222465.59999999</v>
      </c>
      <c r="H22" s="27">
        <f t="shared" si="12"/>
        <v>230302465.59999999</v>
      </c>
      <c r="I22" s="27">
        <f t="shared" si="12"/>
        <v>234802465.59999999</v>
      </c>
      <c r="J22" s="27">
        <f t="shared" si="12"/>
        <v>237002465.59999999</v>
      </c>
      <c r="K22" s="27">
        <f t="shared" si="12"/>
        <v>237202465.59999999</v>
      </c>
      <c r="L22" s="27">
        <f t="shared" si="12"/>
        <v>237402465.59999999</v>
      </c>
      <c r="M22" s="27">
        <f t="shared" si="12"/>
        <v>285174657.94999999</v>
      </c>
      <c r="N22" s="27">
        <f t="shared" si="12"/>
        <v>285174658</v>
      </c>
      <c r="O22" s="27">
        <f t="shared" ref="O22:X22" si="13">SUM(O23:O24)</f>
        <v>288174657.94999999</v>
      </c>
      <c r="P22" s="27">
        <f t="shared" si="13"/>
        <v>291174657.94999999</v>
      </c>
      <c r="Q22" s="27">
        <f t="shared" si="13"/>
        <v>291174657.94999999</v>
      </c>
      <c r="R22" s="27">
        <f t="shared" si="13"/>
        <v>291174657.94999999</v>
      </c>
      <c r="S22" s="27">
        <f t="shared" si="13"/>
        <v>323672011.85000002</v>
      </c>
      <c r="T22" s="27">
        <f t="shared" si="13"/>
        <v>324831455.85000002</v>
      </c>
      <c r="U22" s="27">
        <f t="shared" si="13"/>
        <v>328571455.85000002</v>
      </c>
      <c r="V22" s="27">
        <f t="shared" si="13"/>
        <v>330431248.01999998</v>
      </c>
      <c r="W22" s="27">
        <f t="shared" si="13"/>
        <v>336171248.01999998</v>
      </c>
      <c r="X22" s="27">
        <f t="shared" si="13"/>
        <v>342911248.01999998</v>
      </c>
      <c r="Y22" s="27">
        <f t="shared" ref="Y22:AN22" si="14">SUM(Y23:Y24)</f>
        <v>0</v>
      </c>
      <c r="Z22" s="27">
        <f t="shared" si="14"/>
        <v>0</v>
      </c>
      <c r="AA22" s="27">
        <f t="shared" si="14"/>
        <v>437931242</v>
      </c>
      <c r="AB22" s="27">
        <f t="shared" si="14"/>
        <v>359515204.76999998</v>
      </c>
      <c r="AC22" s="27">
        <f t="shared" si="14"/>
        <v>340255204.76999998</v>
      </c>
      <c r="AD22" s="27">
        <f t="shared" si="14"/>
        <v>383455204.76999998</v>
      </c>
      <c r="AE22" s="27">
        <f t="shared" si="14"/>
        <v>383655264.80000001</v>
      </c>
      <c r="AF22" s="27">
        <f t="shared" si="14"/>
        <v>391045264.80000001</v>
      </c>
      <c r="AG22" s="27">
        <f t="shared" si="14"/>
        <v>455435264.80000001</v>
      </c>
      <c r="AH22" s="27">
        <f t="shared" si="14"/>
        <v>458635264.80000001</v>
      </c>
      <c r="AI22" s="27">
        <f t="shared" si="14"/>
        <v>462718695.47000003</v>
      </c>
      <c r="AJ22" s="27">
        <f t="shared" si="14"/>
        <v>462718695.47000003</v>
      </c>
      <c r="AK22" s="27">
        <f t="shared" si="14"/>
        <v>464658695.47000003</v>
      </c>
      <c r="AL22" s="27">
        <f t="shared" si="14"/>
        <v>465858695.47000003</v>
      </c>
      <c r="AM22" s="27">
        <f t="shared" si="14"/>
        <v>468614494.19</v>
      </c>
      <c r="AN22" s="27">
        <f t="shared" si="14"/>
        <v>488614494</v>
      </c>
    </row>
    <row r="23" spans="1:40" x14ac:dyDescent="0.3">
      <c r="A23" t="s">
        <v>101</v>
      </c>
      <c r="B23" s="8">
        <f>sofp!B10</f>
        <v>218530560</v>
      </c>
      <c r="C23" s="8">
        <f>sofp!C10</f>
        <v>218554560.30000001</v>
      </c>
      <c r="D23" s="8">
        <f>sofp!D10</f>
        <v>222086616.19999999</v>
      </c>
      <c r="E23" s="8">
        <f>sofp!E10</f>
        <v>222086616.19999999</v>
      </c>
      <c r="F23" s="8">
        <f>sofp!F10</f>
        <v>226486616.19999999</v>
      </c>
      <c r="G23" s="8">
        <f>sofp!G10</f>
        <v>229222465.59999999</v>
      </c>
      <c r="H23" s="8">
        <f>sofp!H10</f>
        <v>230302465.59999999</v>
      </c>
      <c r="I23" s="8">
        <f>sofp!I10</f>
        <v>234802465.59999999</v>
      </c>
      <c r="J23" s="8">
        <f>sofp!J10</f>
        <v>237002465.59999999</v>
      </c>
      <c r="K23" s="8">
        <f>sofp!K10</f>
        <v>237202465.59999999</v>
      </c>
      <c r="L23" s="8">
        <f>sofp!L10</f>
        <v>237402465.59999999</v>
      </c>
      <c r="M23" s="8">
        <f>sofp!M10</f>
        <v>285174657.94999999</v>
      </c>
      <c r="N23" s="8">
        <f>sofp!N10</f>
        <v>285150658</v>
      </c>
      <c r="O23" s="8">
        <f>sofp!O10</f>
        <v>288174657.94999999</v>
      </c>
      <c r="P23" s="8">
        <f>sofp!P10</f>
        <v>291174657.94999999</v>
      </c>
      <c r="Q23" s="8">
        <f>sofp!Q10</f>
        <v>291174657.94999999</v>
      </c>
      <c r="R23" s="8">
        <f>sofp!R10</f>
        <v>291174657.94999999</v>
      </c>
      <c r="S23" s="8">
        <f>sofp!S10</f>
        <v>323672011.85000002</v>
      </c>
      <c r="T23" s="8">
        <f>sofp!T10</f>
        <v>324831455.85000002</v>
      </c>
      <c r="U23" s="8">
        <f>sofp!U10</f>
        <v>328571455.85000002</v>
      </c>
      <c r="V23" s="8">
        <f>sofp!V10</f>
        <v>330431248.01999998</v>
      </c>
      <c r="W23" s="8">
        <f>sofp!W10</f>
        <v>336171248.01999998</v>
      </c>
      <c r="X23" s="8">
        <f>sofp!X10</f>
        <v>342911248.01999998</v>
      </c>
      <c r="Y23" s="8">
        <f>sofp!Y10</f>
        <v>0</v>
      </c>
      <c r="Z23" s="8">
        <f>sofp!Z10</f>
        <v>0</v>
      </c>
      <c r="AA23" s="8">
        <f>sofp!AA10</f>
        <v>437907242</v>
      </c>
      <c r="AB23" s="8">
        <f>sofp!AB10</f>
        <v>359515204.76999998</v>
      </c>
      <c r="AC23" s="8">
        <f>sofp!AC10</f>
        <v>340255204.76999998</v>
      </c>
      <c r="AD23" s="8">
        <f>sofp!AD10</f>
        <v>383455204.76999998</v>
      </c>
      <c r="AE23" s="8">
        <f>sofp!AE10</f>
        <v>383655264.80000001</v>
      </c>
      <c r="AF23" s="8">
        <f>sofp!AF10</f>
        <v>391045264.80000001</v>
      </c>
      <c r="AG23" s="8">
        <f>sofp!AG10</f>
        <v>455435264.80000001</v>
      </c>
      <c r="AH23" s="8">
        <f>sofp!AH10</f>
        <v>458635264.80000001</v>
      </c>
      <c r="AI23" s="8">
        <f>sofp!AI10</f>
        <v>462718695.47000003</v>
      </c>
      <c r="AJ23" s="8">
        <f>sofp!AJ10</f>
        <v>462718695.47000003</v>
      </c>
      <c r="AK23" s="8">
        <f>sofp!AK10</f>
        <v>464658695.47000003</v>
      </c>
      <c r="AL23" s="8">
        <f>sofp!AL10</f>
        <v>465858695.47000003</v>
      </c>
      <c r="AM23" s="8">
        <f>sofp!AM10</f>
        <v>468614494.19</v>
      </c>
      <c r="AN23" s="8">
        <f>sofp!AN10</f>
        <v>488614494</v>
      </c>
    </row>
    <row r="24" spans="1:40" x14ac:dyDescent="0.3">
      <c r="A24" t="s">
        <v>102</v>
      </c>
      <c r="B24" s="8">
        <f>sofp!B9 + sofp!B11</f>
        <v>24000</v>
      </c>
      <c r="C24" s="8">
        <f>sofp!C9 + sofp!C11</f>
        <v>0</v>
      </c>
      <c r="D24" s="8">
        <f>sofp!D9 + sofp!D11</f>
        <v>0</v>
      </c>
      <c r="E24" s="8">
        <f>sofp!E9 + sofp!E11</f>
        <v>0</v>
      </c>
      <c r="F24" s="8">
        <f>sofp!F9 + sofp!F11</f>
        <v>0</v>
      </c>
      <c r="G24" s="8">
        <f>sofp!G9 + sofp!G11</f>
        <v>0</v>
      </c>
      <c r="H24" s="8">
        <f>sofp!H9 + sofp!H11</f>
        <v>0</v>
      </c>
      <c r="I24" s="8">
        <f>sofp!I9 + sofp!I11</f>
        <v>0</v>
      </c>
      <c r="J24" s="8">
        <f>sofp!J9 + sofp!J11</f>
        <v>0</v>
      </c>
      <c r="K24" s="8">
        <f>sofp!K9 + sofp!K11</f>
        <v>0</v>
      </c>
      <c r="L24" s="8">
        <f>sofp!L9 + sofp!L11</f>
        <v>0</v>
      </c>
      <c r="M24" s="8">
        <f>sofp!M9 + sofp!M11</f>
        <v>0</v>
      </c>
      <c r="N24" s="8">
        <f>sofp!N9 + sofp!N11</f>
        <v>24000</v>
      </c>
      <c r="O24" s="8">
        <f>sofp!O9 + sofp!O11</f>
        <v>0</v>
      </c>
      <c r="P24" s="8">
        <f>sofp!P9 + sofp!P11</f>
        <v>0</v>
      </c>
      <c r="Q24" s="8">
        <f>sofp!Q9 + sofp!Q11</f>
        <v>0</v>
      </c>
      <c r="R24" s="8">
        <f>sofp!R9 + sofp!R11</f>
        <v>0</v>
      </c>
      <c r="S24" s="8">
        <f>sofp!S9 + sofp!S11</f>
        <v>0</v>
      </c>
      <c r="T24" s="8">
        <f>sofp!T9 + sofp!T11</f>
        <v>0</v>
      </c>
      <c r="U24" s="8">
        <f>sofp!U9 + sofp!U11</f>
        <v>0</v>
      </c>
      <c r="V24" s="8">
        <f>sofp!V9 + sofp!V11</f>
        <v>0</v>
      </c>
      <c r="W24" s="8">
        <f>sofp!W9 + sofp!W11</f>
        <v>0</v>
      </c>
      <c r="X24" s="8">
        <f>sofp!X9 + sofp!X11</f>
        <v>0</v>
      </c>
      <c r="Y24" s="8">
        <f>sofp!Y9 + sofp!Y11</f>
        <v>0</v>
      </c>
      <c r="Z24" s="8">
        <f>sofp!Z9 + sofp!Z11</f>
        <v>0</v>
      </c>
      <c r="AA24" s="8">
        <f>sofp!AA9 + sofp!AA11</f>
        <v>24000</v>
      </c>
      <c r="AB24" s="8">
        <f>sofp!AB9 + sofp!AB11</f>
        <v>0</v>
      </c>
      <c r="AC24" s="8">
        <f>sofp!AC9 + sofp!AC11</f>
        <v>0</v>
      </c>
      <c r="AD24" s="8">
        <f>sofp!AD9 + sofp!AD11</f>
        <v>0</v>
      </c>
      <c r="AE24" s="8">
        <f>sofp!AE9 + sofp!AE11</f>
        <v>0</v>
      </c>
      <c r="AF24" s="8">
        <f>sofp!AF9 + sofp!AF11</f>
        <v>0</v>
      </c>
      <c r="AG24" s="8">
        <f>sofp!AG9 + sofp!AG11</f>
        <v>0</v>
      </c>
      <c r="AH24" s="8">
        <f>sofp!AH9 + sofp!AH11</f>
        <v>0</v>
      </c>
      <c r="AI24" s="8">
        <f>sofp!AI9 + sofp!AI11</f>
        <v>0</v>
      </c>
      <c r="AJ24" s="8">
        <f>sofp!AJ9 + sofp!AJ11</f>
        <v>0</v>
      </c>
      <c r="AK24" s="8">
        <f>sofp!AK9 + sofp!AK11</f>
        <v>0</v>
      </c>
      <c r="AL24" s="8">
        <f>sofp!AL9 + sofp!AL11</f>
        <v>0</v>
      </c>
      <c r="AM24" s="8">
        <f>sofp!AM9 + sofp!AM11</f>
        <v>0</v>
      </c>
      <c r="AN24" s="8">
        <f>sofp!AN9 + sofp!AN11</f>
        <v>0</v>
      </c>
    </row>
    <row r="25" spans="1:40" x14ac:dyDescent="0.3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x14ac:dyDescent="0.3">
      <c r="A26" s="28" t="s">
        <v>103</v>
      </c>
      <c r="B26" s="8">
        <f t="shared" ref="B26:C26" si="15">B27 - B28</f>
        <v>854944397</v>
      </c>
      <c r="C26" s="8">
        <f t="shared" si="15"/>
        <v>861827248.30000007</v>
      </c>
      <c r="D26" s="8">
        <f t="shared" ref="D26:N26" si="16">D27 - D28</f>
        <v>874748371.32000005</v>
      </c>
      <c r="E26" s="8">
        <f t="shared" si="16"/>
        <v>837309510.91000009</v>
      </c>
      <c r="F26" s="27">
        <f t="shared" si="16"/>
        <v>811893918.78000009</v>
      </c>
      <c r="G26" s="27">
        <f t="shared" si="16"/>
        <v>793881071.00999999</v>
      </c>
      <c r="H26" s="27">
        <f t="shared" si="16"/>
        <v>833028914.55000007</v>
      </c>
      <c r="I26" s="27">
        <f t="shared" si="16"/>
        <v>854974478.04000008</v>
      </c>
      <c r="J26" s="27">
        <f t="shared" si="16"/>
        <v>851484793.38</v>
      </c>
      <c r="K26" s="27">
        <f t="shared" si="16"/>
        <v>896127393.91000009</v>
      </c>
      <c r="L26" s="27">
        <f t="shared" si="16"/>
        <v>919549631.38</v>
      </c>
      <c r="M26" s="27">
        <f t="shared" si="16"/>
        <v>961608096.0200001</v>
      </c>
      <c r="N26" s="27">
        <f t="shared" si="16"/>
        <v>971785108</v>
      </c>
      <c r="O26" s="27">
        <f t="shared" ref="O26:X26" si="17">O27 - O28</f>
        <v>955887819.14999998</v>
      </c>
      <c r="P26" s="27">
        <f t="shared" si="17"/>
        <v>973906450.43000007</v>
      </c>
      <c r="Q26" s="27">
        <f t="shared" si="17"/>
        <v>951715324.43000007</v>
      </c>
      <c r="R26" s="27">
        <f t="shared" si="17"/>
        <v>963599579.81000006</v>
      </c>
      <c r="S26" s="27">
        <f t="shared" si="17"/>
        <v>944631561.82000005</v>
      </c>
      <c r="T26" s="27">
        <f t="shared" si="17"/>
        <v>949306697.36000001</v>
      </c>
      <c r="U26" s="27">
        <f t="shared" si="17"/>
        <v>984476500.57000005</v>
      </c>
      <c r="V26" s="27">
        <f t="shared" si="17"/>
        <v>972690697.69000006</v>
      </c>
      <c r="W26" s="27">
        <f t="shared" si="17"/>
        <v>972267836.84000003</v>
      </c>
      <c r="X26" s="27">
        <f t="shared" si="17"/>
        <v>988728518.75</v>
      </c>
      <c r="Y26" s="27">
        <f t="shared" ref="Y26:AN26" si="18">Y27 - Y28</f>
        <v>0</v>
      </c>
      <c r="Z26" s="27">
        <f t="shared" si="18"/>
        <v>0</v>
      </c>
      <c r="AA26" s="27">
        <f t="shared" si="18"/>
        <v>997591840</v>
      </c>
      <c r="AB26" s="27">
        <f t="shared" si="18"/>
        <v>979281332.66999996</v>
      </c>
      <c r="AC26" s="27">
        <f t="shared" si="18"/>
        <v>986360486.81000006</v>
      </c>
      <c r="AD26" s="27">
        <f t="shared" si="18"/>
        <v>979057106.88</v>
      </c>
      <c r="AE26" s="27">
        <f t="shared" si="18"/>
        <v>976598069.62</v>
      </c>
      <c r="AF26" s="27">
        <f t="shared" si="18"/>
        <v>974270734.87</v>
      </c>
      <c r="AG26" s="27">
        <f t="shared" si="18"/>
        <v>998175079.41999996</v>
      </c>
      <c r="AH26" s="27">
        <f t="shared" si="18"/>
        <v>998045183.87</v>
      </c>
      <c r="AI26" s="27">
        <f t="shared" si="18"/>
        <v>995549301.59000003</v>
      </c>
      <c r="AJ26" s="27">
        <f t="shared" si="18"/>
        <v>988500963.91999996</v>
      </c>
      <c r="AK26" s="27">
        <f t="shared" si="18"/>
        <v>979273827.31000006</v>
      </c>
      <c r="AL26" s="27">
        <f t="shared" si="18"/>
        <v>970893301.20000005</v>
      </c>
      <c r="AM26" s="27">
        <f t="shared" si="18"/>
        <v>974723492.94000006</v>
      </c>
      <c r="AN26" s="27">
        <f t="shared" si="18"/>
        <v>1027056145</v>
      </c>
    </row>
    <row r="27" spans="1:40" x14ac:dyDescent="0.3">
      <c r="A27" t="s">
        <v>104</v>
      </c>
      <c r="B27" s="8">
        <f>sofp!B13</f>
        <v>905898148</v>
      </c>
      <c r="C27" s="8">
        <f>sofp!C13</f>
        <v>908749605.85000002</v>
      </c>
      <c r="D27" s="8">
        <f>sofp!D13</f>
        <v>921670728.87</v>
      </c>
      <c r="E27" s="8">
        <f>sofp!E13</f>
        <v>885731868.46000004</v>
      </c>
      <c r="F27" s="8">
        <f>sofp!F13</f>
        <v>860316276.33000004</v>
      </c>
      <c r="G27" s="8">
        <f>sofp!G13</f>
        <v>843303428.55999994</v>
      </c>
      <c r="H27" s="8">
        <f>sofp!H13</f>
        <v>882951272.10000002</v>
      </c>
      <c r="I27" s="8">
        <f>sofp!I13</f>
        <v>905896835.59000003</v>
      </c>
      <c r="J27" s="8">
        <f>sofp!J13</f>
        <v>902907150.92999995</v>
      </c>
      <c r="K27" s="8">
        <f>sofp!K13</f>
        <v>948049751.46000004</v>
      </c>
      <c r="L27" s="8">
        <f>sofp!L13</f>
        <v>971971988.92999995</v>
      </c>
      <c r="M27" s="8">
        <f>sofp!M13</f>
        <v>1014530453.5700001</v>
      </c>
      <c r="N27" s="8">
        <f>sofp!N13</f>
        <v>1014523454</v>
      </c>
      <c r="O27" s="8">
        <f>sofp!O13</f>
        <v>1004626164.79</v>
      </c>
      <c r="P27" s="8">
        <f>sofp!P13</f>
        <v>1022644796.0700001</v>
      </c>
      <c r="Q27" s="8">
        <f>sofp!Q13</f>
        <v>994453670.07000005</v>
      </c>
      <c r="R27" s="8">
        <f>sofp!R13</f>
        <v>1008337925.45</v>
      </c>
      <c r="S27" s="8">
        <f>sofp!S13</f>
        <v>989369907.46000004</v>
      </c>
      <c r="T27" s="8">
        <f>sofp!T13</f>
        <v>995045043</v>
      </c>
      <c r="U27" s="8">
        <f>sofp!U13</f>
        <v>1030214846.21</v>
      </c>
      <c r="V27" s="8">
        <f>sofp!V13</f>
        <v>1019429043.33</v>
      </c>
      <c r="W27" s="8">
        <f>sofp!W13</f>
        <v>1019006182.48</v>
      </c>
      <c r="X27" s="8">
        <f>sofp!X13</f>
        <v>1035466864.39</v>
      </c>
      <c r="Y27" s="8">
        <f>sofp!Y13</f>
        <v>0</v>
      </c>
      <c r="Z27" s="8">
        <f>sofp!Z13</f>
        <v>0</v>
      </c>
      <c r="AA27" s="8">
        <f>sofp!AA13</f>
        <v>1040330186</v>
      </c>
      <c r="AB27" s="8">
        <f>sofp!AB13</f>
        <v>1028019678.3099999</v>
      </c>
      <c r="AC27" s="8">
        <f>sofp!AC13</f>
        <v>1035098832.45</v>
      </c>
      <c r="AD27" s="8">
        <f>sofp!AD13</f>
        <v>1027795452.52</v>
      </c>
      <c r="AE27" s="8">
        <f>sofp!AE13</f>
        <v>1025336415.26</v>
      </c>
      <c r="AF27" s="8">
        <f>sofp!AF13</f>
        <v>1023009080.51</v>
      </c>
      <c r="AG27" s="8">
        <f>sofp!AG13</f>
        <v>1040913425.0599999</v>
      </c>
      <c r="AH27" s="8">
        <f>sofp!AH13</f>
        <v>1040783529.51</v>
      </c>
      <c r="AI27" s="8">
        <f>sofp!AI13</f>
        <v>1038287647.23</v>
      </c>
      <c r="AJ27" s="8">
        <f>sofp!AJ13</f>
        <v>1031239309.5599999</v>
      </c>
      <c r="AK27" s="8">
        <f>sofp!AK13</f>
        <v>1022012172.95</v>
      </c>
      <c r="AL27" s="8">
        <f>sofp!AL13</f>
        <v>1013631646.84</v>
      </c>
      <c r="AM27" s="8">
        <f>sofp!AM13</f>
        <v>1017461838.58</v>
      </c>
      <c r="AN27" s="8">
        <f>sofp!AN13</f>
        <v>1066045543</v>
      </c>
    </row>
    <row r="28" spans="1:40" x14ac:dyDescent="0.3">
      <c r="A28" t="s">
        <v>105</v>
      </c>
      <c r="B28" s="8">
        <f>sofp!B14</f>
        <v>50953751</v>
      </c>
      <c r="C28" s="8">
        <f>sofp!C14</f>
        <v>46922357.549999997</v>
      </c>
      <c r="D28" s="8">
        <f>sofp!D14</f>
        <v>46922357.549999997</v>
      </c>
      <c r="E28" s="8">
        <f>sofp!E14</f>
        <v>48422357.549999997</v>
      </c>
      <c r="F28" s="8">
        <f>sofp!F14</f>
        <v>48422357.549999997</v>
      </c>
      <c r="G28" s="8">
        <f>sofp!G14</f>
        <v>49422357.549999997</v>
      </c>
      <c r="H28" s="8">
        <f>sofp!H14</f>
        <v>49922357.549999997</v>
      </c>
      <c r="I28" s="8">
        <f>sofp!I14</f>
        <v>50922357.549999997</v>
      </c>
      <c r="J28" s="8">
        <f>sofp!J14</f>
        <v>51422357.549999997</v>
      </c>
      <c r="K28" s="8">
        <f>sofp!K14</f>
        <v>51922357.549999997</v>
      </c>
      <c r="L28" s="8">
        <f>sofp!L14</f>
        <v>52422357.549999997</v>
      </c>
      <c r="M28" s="8">
        <f>sofp!M14</f>
        <v>52922357.549999997</v>
      </c>
      <c r="N28" s="8">
        <f>sofp!N14</f>
        <v>42738346</v>
      </c>
      <c r="O28" s="8">
        <f>sofp!O14</f>
        <v>48738345.640000001</v>
      </c>
      <c r="P28" s="8">
        <f>sofp!P14</f>
        <v>48738345.640000001</v>
      </c>
      <c r="Q28" s="8">
        <f>sofp!Q14</f>
        <v>42738345.640000001</v>
      </c>
      <c r="R28" s="8">
        <f>sofp!R14</f>
        <v>44738345.640000001</v>
      </c>
      <c r="S28" s="8">
        <f>sofp!S14</f>
        <v>44738345.640000001</v>
      </c>
      <c r="T28" s="8">
        <f>sofp!T14</f>
        <v>45738345.640000001</v>
      </c>
      <c r="U28" s="8">
        <f>sofp!U14</f>
        <v>45738345.640000001</v>
      </c>
      <c r="V28" s="8">
        <f>sofp!V14</f>
        <v>46738345.640000001</v>
      </c>
      <c r="W28" s="8">
        <f>sofp!W14</f>
        <v>46738345.640000001</v>
      </c>
      <c r="X28" s="8">
        <f>sofp!X14</f>
        <v>46738345.640000001</v>
      </c>
      <c r="Y28" s="8">
        <f>sofp!Y14</f>
        <v>0</v>
      </c>
      <c r="Z28" s="8">
        <f>sofp!Z14</f>
        <v>0</v>
      </c>
      <c r="AA28" s="8">
        <f>sofp!AA14</f>
        <v>42738346</v>
      </c>
      <c r="AB28" s="8">
        <f>sofp!AB14</f>
        <v>48738345.640000001</v>
      </c>
      <c r="AC28" s="8">
        <f>sofp!AC14</f>
        <v>48738345.640000001</v>
      </c>
      <c r="AD28" s="8">
        <f>sofp!AD14</f>
        <v>48738345.640000001</v>
      </c>
      <c r="AE28" s="8">
        <f>sofp!AE14</f>
        <v>48738345.640000001</v>
      </c>
      <c r="AF28" s="8">
        <f>sofp!AF14</f>
        <v>48738345.640000001</v>
      </c>
      <c r="AG28" s="8">
        <f>sofp!AG14</f>
        <v>42738345.640000001</v>
      </c>
      <c r="AH28" s="8">
        <f>sofp!AH14</f>
        <v>42738345.640000001</v>
      </c>
      <c r="AI28" s="8">
        <f>sofp!AI14</f>
        <v>42738345.640000001</v>
      </c>
      <c r="AJ28" s="8">
        <f>sofp!AJ14</f>
        <v>42738345.640000001</v>
      </c>
      <c r="AK28" s="8">
        <f>sofp!AK14</f>
        <v>42738345.640000001</v>
      </c>
      <c r="AL28" s="8">
        <f>sofp!AL14</f>
        <v>42738345.640000001</v>
      </c>
      <c r="AM28" s="8">
        <f>sofp!AM14</f>
        <v>42738345.640000001</v>
      </c>
      <c r="AN28" s="8">
        <f>sofp!AN14</f>
        <v>38989398</v>
      </c>
    </row>
    <row r="29" spans="1:40" x14ac:dyDescent="0.3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x14ac:dyDescent="0.3">
      <c r="A30" s="28" t="s">
        <v>106</v>
      </c>
      <c r="B30" s="8"/>
      <c r="C30" s="8"/>
      <c r="D30" s="8"/>
      <c r="E30" s="8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spans="1:40" x14ac:dyDescent="0.3">
      <c r="A31" t="s">
        <v>107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x14ac:dyDescent="0.3">
      <c r="A32" t="s">
        <v>108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x14ac:dyDescent="0.3">
      <c r="A33" t="s">
        <v>109</v>
      </c>
      <c r="B33" s="8">
        <f>sofp!B3</f>
        <v>126161088</v>
      </c>
      <c r="C33" s="8">
        <f>sofp!C3</f>
        <v>117461076.44</v>
      </c>
      <c r="D33" s="8">
        <f>sofp!D3</f>
        <v>102664580.19</v>
      </c>
      <c r="E33" s="8">
        <f>sofp!E3</f>
        <v>181210469.41</v>
      </c>
      <c r="F33" s="8">
        <f>sofp!F3</f>
        <v>170318621.12</v>
      </c>
      <c r="G33" s="8">
        <f>sofp!G3</f>
        <v>148382927.25999999</v>
      </c>
      <c r="H33" s="8">
        <f>sofp!H3</f>
        <v>131511153.52000001</v>
      </c>
      <c r="I33" s="8">
        <f>sofp!I3</f>
        <v>148648609.34</v>
      </c>
      <c r="J33" s="8">
        <f>sofp!J3</f>
        <v>374373511.38999999</v>
      </c>
      <c r="K33" s="8">
        <f>sofp!K3</f>
        <v>218319138.44999999</v>
      </c>
      <c r="L33" s="8">
        <f>sofp!L3</f>
        <v>189539381.01999998</v>
      </c>
      <c r="M33" s="8">
        <f>sofp!M3</f>
        <v>142635758.63</v>
      </c>
      <c r="N33" s="8">
        <f>sofp!N3</f>
        <v>154677987</v>
      </c>
      <c r="O33" s="8">
        <f>sofp!O3</f>
        <v>126419012.84999999</v>
      </c>
      <c r="P33" s="8">
        <f>sofp!P3</f>
        <v>89143406.549999997</v>
      </c>
      <c r="Q33" s="8">
        <f>sofp!Q3</f>
        <v>131948373.89</v>
      </c>
      <c r="R33" s="8">
        <f>sofp!R3</f>
        <v>166245410.09</v>
      </c>
      <c r="S33" s="8">
        <f>sofp!S3</f>
        <v>127724646.66</v>
      </c>
      <c r="T33" s="8">
        <f>sofp!T3</f>
        <v>126867436.33</v>
      </c>
      <c r="U33" s="8">
        <f>sofp!U3</f>
        <v>127042141.25</v>
      </c>
      <c r="V33" s="8">
        <f>sofp!V3</f>
        <v>138892135.18000001</v>
      </c>
      <c r="W33" s="8">
        <f>sofp!W3</f>
        <v>130728954.73</v>
      </c>
      <c r="X33" s="8">
        <f>sofp!X3</f>
        <v>112055795.04000001</v>
      </c>
      <c r="Y33" s="8">
        <f>sofp!Y3</f>
        <v>0</v>
      </c>
      <c r="Z33" s="8">
        <f>sofp!Z3</f>
        <v>0</v>
      </c>
      <c r="AA33" s="8">
        <f>sofp!AA3</f>
        <v>165807842</v>
      </c>
      <c r="AB33" s="8">
        <f>sofp!AB3</f>
        <v>159091458.30000001</v>
      </c>
      <c r="AC33" s="8">
        <f>sofp!AC3</f>
        <v>114153738.98</v>
      </c>
      <c r="AD33" s="8">
        <f>sofp!AD3</f>
        <v>168541438.95999998</v>
      </c>
      <c r="AE33" s="8">
        <f>sofp!AE3</f>
        <v>150089373.23000002</v>
      </c>
      <c r="AF33" s="8">
        <f>sofp!AF3</f>
        <v>159366642.38999999</v>
      </c>
      <c r="AG33" s="8">
        <f>sofp!AG3</f>
        <v>131966987.70999999</v>
      </c>
      <c r="AH33" s="8">
        <f>sofp!AH3</f>
        <v>151481961.56</v>
      </c>
      <c r="AI33" s="8">
        <f>sofp!AI3</f>
        <v>125268904.43000001</v>
      </c>
      <c r="AJ33" s="8">
        <f>sofp!AJ3</f>
        <v>116695102.88</v>
      </c>
      <c r="AK33" s="8">
        <f>sofp!AK3</f>
        <v>128669688.20999999</v>
      </c>
      <c r="AL33" s="8">
        <f>sofp!AL3</f>
        <v>109777882.81999999</v>
      </c>
      <c r="AM33" s="8">
        <f>sofp!AM3</f>
        <v>116923458.91999999</v>
      </c>
      <c r="AN33" s="8">
        <f>sofp!AN3</f>
        <v>150386392</v>
      </c>
    </row>
    <row r="34" spans="1:40" x14ac:dyDescent="0.3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0" x14ac:dyDescent="0.3">
      <c r="A35" s="28" t="s">
        <v>110</v>
      </c>
      <c r="B35" s="8">
        <f>sofp!B19 + sofp!B6</f>
        <v>402783836</v>
      </c>
      <c r="C35" s="8">
        <f>sofp!C19 + sofp!C6</f>
        <v>411355679.63</v>
      </c>
      <c r="D35" s="8">
        <f>sofp!D19 + sofp!D6</f>
        <v>421105298.51999998</v>
      </c>
      <c r="E35" s="8">
        <f>sofp!E19 + sofp!E6</f>
        <v>426588262.25</v>
      </c>
      <c r="F35" s="27">
        <f>sofp!F19 + sofp!F6</f>
        <v>430759398</v>
      </c>
      <c r="G35" s="27">
        <f>sofp!G19 + sofp!G6</f>
        <v>430139634.72000003</v>
      </c>
      <c r="H35" s="27">
        <f>sofp!H19 + sofp!H6</f>
        <v>440386898.71000004</v>
      </c>
      <c r="I35" s="27">
        <f>sofp!I19 + sofp!I6</f>
        <v>433865274.89999998</v>
      </c>
      <c r="J35" s="27">
        <f>sofp!J19 + sofp!J6</f>
        <v>435743802.04000002</v>
      </c>
      <c r="K35" s="27">
        <f>sofp!K19 + sofp!K6</f>
        <v>447349282.03999996</v>
      </c>
      <c r="L35" s="27">
        <f>sofp!L19 + sofp!L6</f>
        <v>452084836.40999997</v>
      </c>
      <c r="M35" s="27">
        <f>sofp!M19 + sofp!M6</f>
        <v>454030586</v>
      </c>
      <c r="N35" s="27">
        <f>sofp!N19 + sofp!N6</f>
        <v>511168198</v>
      </c>
      <c r="O35" s="27">
        <f>sofp!O19 + sofp!O6</f>
        <v>540247329.52999997</v>
      </c>
      <c r="P35" s="27">
        <f>sofp!P19 + sofp!P6</f>
        <v>543825715.49000001</v>
      </c>
      <c r="Q35" s="27">
        <f>sofp!Q19 + sofp!Q6</f>
        <v>547952592.38</v>
      </c>
      <c r="R35" s="27">
        <f>sofp!R19 + sofp!R6</f>
        <v>524242410.45999998</v>
      </c>
      <c r="S35" s="27">
        <f>sofp!S19 + sofp!S6</f>
        <v>525805622.65999997</v>
      </c>
      <c r="T35" s="27">
        <f>sofp!T19 + sofp!T6</f>
        <v>510410082.19999999</v>
      </c>
      <c r="U35" s="27">
        <f>sofp!U19 + sofp!U6</f>
        <v>506686391.13</v>
      </c>
      <c r="V35" s="27">
        <f>sofp!V19 + sofp!V6</f>
        <v>513599757.11000001</v>
      </c>
      <c r="W35" s="27">
        <f>sofp!W19 + sofp!W6</f>
        <v>529429751.38</v>
      </c>
      <c r="X35" s="27">
        <f>sofp!X19 + sofp!X6</f>
        <v>534393220.21000004</v>
      </c>
      <c r="Y35" s="27">
        <f>sofp!Y19 + sofp!Y6</f>
        <v>0</v>
      </c>
      <c r="Z35" s="27">
        <f>sofp!Z19 + sofp!Z6</f>
        <v>0</v>
      </c>
      <c r="AA35" s="27">
        <f>sofp!AA19 + sofp!AA6</f>
        <v>469628313</v>
      </c>
      <c r="AB35" s="27">
        <f>sofp!AB19 + sofp!AB6</f>
        <v>560967118.51999998</v>
      </c>
      <c r="AC35" s="27">
        <f>sofp!AC19 + sofp!AC6</f>
        <v>579871453.87</v>
      </c>
      <c r="AD35" s="27">
        <f>sofp!AD19 + sofp!AD6</f>
        <v>567681077.54999995</v>
      </c>
      <c r="AE35" s="27">
        <f>sofp!AE19 + sofp!AE6</f>
        <v>569318783.14999998</v>
      </c>
      <c r="AF35" s="27">
        <f>sofp!AF19 + sofp!AF6</f>
        <v>576724556.36000001</v>
      </c>
      <c r="AG35" s="27">
        <f>sofp!AG19 + sofp!AG6</f>
        <v>579244322.79999995</v>
      </c>
      <c r="AH35" s="27">
        <f>sofp!AH19 + sofp!AH6</f>
        <v>583642698</v>
      </c>
      <c r="AI35" s="27">
        <f>sofp!AI19 + sofp!AI6</f>
        <v>586027772.11000001</v>
      </c>
      <c r="AJ35" s="27">
        <f>sofp!AJ19 + sofp!AJ6</f>
        <v>587356132.45000005</v>
      </c>
      <c r="AK35" s="27">
        <f>sofp!AK19 + sofp!AK6</f>
        <v>591240886.85000002</v>
      </c>
      <c r="AL35" s="27">
        <f>sofp!AL19 + sofp!AL6</f>
        <v>631405774.63</v>
      </c>
      <c r="AM35" s="27">
        <f>sofp!AM19 + sofp!AM6</f>
        <v>567063405.30999994</v>
      </c>
      <c r="AN35" s="27">
        <f>sofp!AN19 + sofp!AN6</f>
        <v>543719646</v>
      </c>
    </row>
    <row r="36" spans="1:40" x14ac:dyDescent="0.3">
      <c r="A36" t="s">
        <v>24</v>
      </c>
      <c r="B36" s="8">
        <f>sofp!B21</f>
        <v>45628545</v>
      </c>
      <c r="C36" s="8">
        <f>sofp!C21</f>
        <v>51693625.710000001</v>
      </c>
      <c r="D36" s="8">
        <f>sofp!D21</f>
        <v>54745070.710000001</v>
      </c>
      <c r="E36" s="8">
        <f>sofp!E21</f>
        <v>54289591.210000001</v>
      </c>
      <c r="F36" s="8">
        <f>sofp!F21</f>
        <v>55428321.210000001</v>
      </c>
      <c r="G36" s="8">
        <f>sofp!G21</f>
        <v>55467768.210000001</v>
      </c>
      <c r="H36" s="8">
        <f>sofp!H21</f>
        <v>55324241.710000001</v>
      </c>
      <c r="I36" s="8">
        <f>sofp!I21</f>
        <v>54805888.710000001</v>
      </c>
      <c r="J36" s="8">
        <f>sofp!J21</f>
        <v>54797492.210000001</v>
      </c>
      <c r="K36" s="8">
        <f>sofp!K21</f>
        <v>55013765.710000001</v>
      </c>
      <c r="L36" s="8">
        <f>sofp!L21</f>
        <v>59869475.210000001</v>
      </c>
      <c r="M36" s="8">
        <f>sofp!M21</f>
        <v>60793690.810000002</v>
      </c>
      <c r="N36" s="8">
        <f>sofp!N21</f>
        <v>60793690</v>
      </c>
      <c r="O36" s="8">
        <f>sofp!O21</f>
        <v>61218440.810000002</v>
      </c>
      <c r="P36" s="8">
        <f>sofp!P21</f>
        <v>62714698.810000002</v>
      </c>
      <c r="Q36" s="8">
        <f>sofp!Q21</f>
        <v>62842968.810000002</v>
      </c>
      <c r="R36" s="8">
        <f>sofp!R21</f>
        <v>61477874.810000002</v>
      </c>
      <c r="S36" s="8">
        <f>sofp!S21</f>
        <v>61601874.810000002</v>
      </c>
      <c r="T36" s="8">
        <f>sofp!T21</f>
        <v>61523553.810000002</v>
      </c>
      <c r="U36" s="8">
        <f>sofp!U21</f>
        <v>63950453.810000002</v>
      </c>
      <c r="V36" s="8">
        <f>sofp!V21</f>
        <v>63808150.810000002</v>
      </c>
      <c r="W36" s="8">
        <f>sofp!W21</f>
        <v>64810750.810000002</v>
      </c>
      <c r="X36" s="8">
        <f>sofp!X21</f>
        <v>65423750.810000002</v>
      </c>
      <c r="Y36" s="8">
        <f>sofp!Y21</f>
        <v>0</v>
      </c>
      <c r="Z36" s="8">
        <f>sofp!Z21</f>
        <v>0</v>
      </c>
      <c r="AA36" s="8">
        <f>sofp!AA21</f>
        <v>68828038</v>
      </c>
      <c r="AB36" s="8">
        <f>sofp!AB21</f>
        <v>71462050.659999996</v>
      </c>
      <c r="AC36" s="8">
        <f>sofp!AC21</f>
        <v>73342610.659999996</v>
      </c>
      <c r="AD36" s="8">
        <f>sofp!AD21</f>
        <v>76311758.659999996</v>
      </c>
      <c r="AE36" s="8">
        <f>sofp!AE21</f>
        <v>81680208.659999996</v>
      </c>
      <c r="AF36" s="8">
        <f>sofp!AF21</f>
        <v>89972378.659999996</v>
      </c>
      <c r="AG36" s="8">
        <f>sofp!AG21</f>
        <v>93115773.659999996</v>
      </c>
      <c r="AH36" s="8">
        <f>sofp!AH21</f>
        <v>95079233.659999996</v>
      </c>
      <c r="AI36" s="8">
        <f>sofp!AI21</f>
        <v>97272793.659999996</v>
      </c>
      <c r="AJ36" s="8">
        <f>sofp!AJ21</f>
        <v>98892488.659999996</v>
      </c>
      <c r="AK36" s="8">
        <f>sofp!AK21</f>
        <v>102385948.66</v>
      </c>
      <c r="AL36" s="8">
        <f>sofp!AL21</f>
        <v>104509818.66</v>
      </c>
      <c r="AM36" s="8">
        <f>sofp!AM21</f>
        <v>107210068.66</v>
      </c>
      <c r="AN36" s="8">
        <f>sofp!AN21</f>
        <v>112903194</v>
      </c>
    </row>
    <row r="37" spans="1:40" x14ac:dyDescent="0.3">
      <c r="A37" t="s">
        <v>111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0" x14ac:dyDescent="0.3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 spans="1:40" x14ac:dyDescent="0.3">
      <c r="A39" s="28" t="s">
        <v>112</v>
      </c>
      <c r="B39" s="8">
        <f t="shared" ref="B39:C39" si="19">SUM(B40:B42)</f>
        <v>256532840</v>
      </c>
      <c r="C39" s="8">
        <f t="shared" si="19"/>
        <v>16521722.09</v>
      </c>
      <c r="D39" s="8">
        <f t="shared" ref="D39:N39" si="20">SUM(D40:D42)</f>
        <v>19232979.859999999</v>
      </c>
      <c r="E39" s="8">
        <f t="shared" si="20"/>
        <v>50088741.539999999</v>
      </c>
      <c r="F39" s="27">
        <f t="shared" si="20"/>
        <v>78736160.13000001</v>
      </c>
      <c r="G39" s="27">
        <f t="shared" si="20"/>
        <v>94240709.730000004</v>
      </c>
      <c r="H39" s="27">
        <f t="shared" si="20"/>
        <v>115276389.66</v>
      </c>
      <c r="I39" s="27">
        <f t="shared" si="20"/>
        <v>151037014.61000001</v>
      </c>
      <c r="J39" s="27">
        <f t="shared" si="20"/>
        <v>167699232.90000001</v>
      </c>
      <c r="K39" s="27">
        <f t="shared" si="20"/>
        <v>186885996.45000002</v>
      </c>
      <c r="L39" s="27">
        <f t="shared" si="20"/>
        <v>205365712.84999999</v>
      </c>
      <c r="M39" s="27">
        <f t="shared" si="20"/>
        <v>227054751.5</v>
      </c>
      <c r="N39" s="27">
        <f t="shared" si="20"/>
        <v>258552359</v>
      </c>
      <c r="O39" s="27">
        <f t="shared" ref="O39:X39" si="21">SUM(O40:O42)</f>
        <v>18636886.280000001</v>
      </c>
      <c r="P39" s="27">
        <f t="shared" si="21"/>
        <v>37034422.57</v>
      </c>
      <c r="Q39" s="27">
        <f t="shared" si="21"/>
        <v>59480641.589999996</v>
      </c>
      <c r="R39" s="27">
        <f t="shared" si="21"/>
        <v>78432940.859999999</v>
      </c>
      <c r="S39" s="27">
        <f t="shared" si="21"/>
        <v>101011715.66</v>
      </c>
      <c r="T39" s="27">
        <f t="shared" si="21"/>
        <v>122699246.22</v>
      </c>
      <c r="U39" s="27">
        <f t="shared" si="21"/>
        <v>147849170.06</v>
      </c>
      <c r="V39" s="27">
        <f t="shared" si="21"/>
        <v>168732230.37</v>
      </c>
      <c r="W39" s="27">
        <f t="shared" si="21"/>
        <v>200521041.53999999</v>
      </c>
      <c r="X39" s="27">
        <f t="shared" si="21"/>
        <v>222340950.28</v>
      </c>
      <c r="Y39" s="27">
        <f t="shared" ref="Y39:AN39" si="22">SUM(Y40:Y42)</f>
        <v>0</v>
      </c>
      <c r="Z39" s="27">
        <f t="shared" si="22"/>
        <v>0</v>
      </c>
      <c r="AA39" s="27">
        <f t="shared" si="22"/>
        <v>322630753</v>
      </c>
      <c r="AB39" s="27">
        <f t="shared" si="22"/>
        <v>20731293.870000001</v>
      </c>
      <c r="AC39" s="27">
        <f t="shared" si="22"/>
        <v>38924698.789999999</v>
      </c>
      <c r="AD39" s="27">
        <f t="shared" si="22"/>
        <v>62098883.969999999</v>
      </c>
      <c r="AE39" s="27">
        <f t="shared" si="22"/>
        <v>81714329.329999998</v>
      </c>
      <c r="AF39" s="27">
        <f t="shared" si="22"/>
        <v>105787314.39</v>
      </c>
      <c r="AG39" s="27">
        <f t="shared" si="22"/>
        <v>141094769.03000003</v>
      </c>
      <c r="AH39" s="27">
        <f t="shared" si="22"/>
        <v>162145374.33000001</v>
      </c>
      <c r="AI39" s="27">
        <f t="shared" si="22"/>
        <v>184931085.14000002</v>
      </c>
      <c r="AJ39" s="27">
        <f t="shared" si="22"/>
        <v>205223187.09999999</v>
      </c>
      <c r="AK39" s="27">
        <f t="shared" si="22"/>
        <v>226333290.19999999</v>
      </c>
      <c r="AL39" s="27">
        <f t="shared" si="22"/>
        <v>248082542.23000002</v>
      </c>
      <c r="AM39" s="27">
        <f t="shared" si="22"/>
        <v>290193312.79000002</v>
      </c>
      <c r="AN39" s="27">
        <f t="shared" si="22"/>
        <v>354693313</v>
      </c>
    </row>
    <row r="40" spans="1:40" x14ac:dyDescent="0.3">
      <c r="A40" t="s">
        <v>113</v>
      </c>
      <c r="B40" s="8">
        <f>soci!B5</f>
        <v>176875846</v>
      </c>
      <c r="C40" s="8">
        <f>soci!C5</f>
        <v>13021469.890000001</v>
      </c>
      <c r="D40" s="8">
        <f>soci!D5</f>
        <v>13138376.9</v>
      </c>
      <c r="E40" s="8">
        <f>soci!E5</f>
        <v>41284261.079999998</v>
      </c>
      <c r="F40" s="8">
        <f>soci!F5</f>
        <v>57630156.270000003</v>
      </c>
      <c r="G40" s="8">
        <f>soci!G5</f>
        <v>71135397.819999993</v>
      </c>
      <c r="H40" s="8">
        <f>soci!H5</f>
        <v>85709724.450000003</v>
      </c>
      <c r="I40" s="8">
        <f>soci!I5</f>
        <v>114477141.65000001</v>
      </c>
      <c r="J40" s="8">
        <f>soci!J5</f>
        <v>128653740.13</v>
      </c>
      <c r="K40" s="8">
        <f>soci!K5</f>
        <v>143288065.66</v>
      </c>
      <c r="L40" s="8">
        <f>soci!L5</f>
        <v>158420198.16</v>
      </c>
      <c r="M40" s="8">
        <f>soci!M5</f>
        <v>173786980.93000001</v>
      </c>
      <c r="N40" s="8">
        <f>soci!N5</f>
        <v>184786981</v>
      </c>
      <c r="O40" s="8">
        <f>soci!O5</f>
        <v>15277940.130000001</v>
      </c>
      <c r="P40" s="8">
        <f>soci!P5</f>
        <v>30405575.5</v>
      </c>
      <c r="Q40" s="8">
        <f>soci!Q5</f>
        <v>46168620.119999997</v>
      </c>
      <c r="R40" s="8">
        <f>soci!R5</f>
        <v>61940773.079999998</v>
      </c>
      <c r="S40" s="8">
        <f>soci!S5</f>
        <v>77623182.489999995</v>
      </c>
      <c r="T40" s="8">
        <f>soci!T5</f>
        <v>93410912.870000005</v>
      </c>
      <c r="U40" s="8">
        <f>soci!U5</f>
        <v>109241276.79000001</v>
      </c>
      <c r="V40" s="8">
        <f>soci!V5</f>
        <v>126609754.40000001</v>
      </c>
      <c r="W40" s="8">
        <f>soci!W5</f>
        <v>145675427.69</v>
      </c>
      <c r="X40" s="8">
        <f>soci!X5</f>
        <v>166021459.75999999</v>
      </c>
      <c r="Y40" s="8">
        <f>soci!Y5</f>
        <v>0</v>
      </c>
      <c r="Z40" s="8">
        <f>soci!Z5</f>
        <v>0</v>
      </c>
      <c r="AA40" s="8">
        <f>soci!AA5</f>
        <v>217212003</v>
      </c>
      <c r="AB40" s="8">
        <f>soci!AB5</f>
        <v>18467275.120000001</v>
      </c>
      <c r="AC40" s="8">
        <f>soci!AC5</f>
        <v>35781410.659999996</v>
      </c>
      <c r="AD40" s="8">
        <f>soci!AD5</f>
        <v>56795977.200000003</v>
      </c>
      <c r="AE40" s="8">
        <f>soci!AE5</f>
        <v>75114250.829999998</v>
      </c>
      <c r="AF40" s="8">
        <f>soci!AF5</f>
        <v>94824392.510000005</v>
      </c>
      <c r="AG40" s="8">
        <f>soci!AG5</f>
        <v>116251767.45</v>
      </c>
      <c r="AH40" s="8">
        <f>soci!AH5</f>
        <v>135683763.52000001</v>
      </c>
      <c r="AI40" s="8">
        <f>soci!AI5</f>
        <v>155321265.49000001</v>
      </c>
      <c r="AJ40" s="8">
        <f>soci!AJ5</f>
        <v>174101125.72999999</v>
      </c>
      <c r="AK40" s="8">
        <f>soci!AK5</f>
        <v>192646072.16999999</v>
      </c>
      <c r="AL40" s="8">
        <f>soci!AL5</f>
        <v>209803314.09</v>
      </c>
      <c r="AM40" s="8">
        <f>soci!AM5</f>
        <v>230177103.09</v>
      </c>
      <c r="AN40" s="8">
        <f>soci!AN5</f>
        <v>228517048</v>
      </c>
    </row>
    <row r="41" spans="1:40" x14ac:dyDescent="0.3">
      <c r="A41" t="s">
        <v>114</v>
      </c>
      <c r="B41" s="8">
        <f>soci!B7</f>
        <v>22698489</v>
      </c>
      <c r="C41" s="8">
        <f>soci!C7</f>
        <v>0</v>
      </c>
      <c r="D41" s="8">
        <f>soci!D7</f>
        <v>500248.06</v>
      </c>
      <c r="E41" s="8">
        <f>soci!E7</f>
        <v>500248.06</v>
      </c>
      <c r="F41" s="8">
        <f>soci!F7</f>
        <v>11924455.360000001</v>
      </c>
      <c r="G41" s="8">
        <f>soci!G7</f>
        <v>12453771.210000001</v>
      </c>
      <c r="H41" s="8">
        <f>soci!H7</f>
        <v>13441115.210000001</v>
      </c>
      <c r="I41" s="8">
        <f>soci!I7</f>
        <v>13448153.960000001</v>
      </c>
      <c r="J41" s="8">
        <f>soci!J7</f>
        <v>13448369.870000001</v>
      </c>
      <c r="K41" s="8">
        <f>soci!K7</f>
        <v>13448579.99</v>
      </c>
      <c r="L41" s="8">
        <f>soci!L7</f>
        <v>13448579.99</v>
      </c>
      <c r="M41" s="8">
        <f>soci!M7</f>
        <v>14641703.869999999</v>
      </c>
      <c r="N41" s="8">
        <f>soci!N7</f>
        <v>20864328</v>
      </c>
      <c r="O41" s="8">
        <f>soci!O7</f>
        <v>1426995.35</v>
      </c>
      <c r="P41" s="8">
        <f>soci!P7</f>
        <v>2481556.37</v>
      </c>
      <c r="Q41" s="8">
        <f>soci!Q7</f>
        <v>5911436.9699999997</v>
      </c>
      <c r="R41" s="8">
        <f>soci!R7</f>
        <v>5653698.4800000004</v>
      </c>
      <c r="S41" s="8">
        <f>soci!S7</f>
        <v>10509577.969999999</v>
      </c>
      <c r="T41" s="8">
        <f>soci!T7</f>
        <v>11967346.75</v>
      </c>
      <c r="U41" s="8">
        <f>soci!U7</f>
        <v>14011149.869999999</v>
      </c>
      <c r="V41" s="8">
        <f>soci!V7</f>
        <v>16378860.869999999</v>
      </c>
      <c r="W41" s="8">
        <f>soci!W7</f>
        <v>29043618.75</v>
      </c>
      <c r="X41" s="8">
        <f>soci!X7</f>
        <v>30461110.420000002</v>
      </c>
      <c r="Y41" s="8">
        <f>soci!Y7</f>
        <v>0</v>
      </c>
      <c r="Z41" s="8">
        <f>soci!Z7</f>
        <v>0</v>
      </c>
      <c r="AA41" s="8">
        <f>soci!AA7</f>
        <v>17487048</v>
      </c>
      <c r="AB41" s="8">
        <f>soci!AB7</f>
        <v>2221178.75</v>
      </c>
      <c r="AC41" s="8">
        <f>soci!AC7</f>
        <v>3066670.13</v>
      </c>
      <c r="AD41" s="8">
        <f>soci!AD7</f>
        <v>5161313.7699999996</v>
      </c>
      <c r="AE41" s="8">
        <f>soci!AE7</f>
        <v>6478762.5</v>
      </c>
      <c r="AF41" s="8">
        <f>soci!AF7</f>
        <v>10782595.880000001</v>
      </c>
      <c r="AG41" s="8">
        <f>soci!AG7</f>
        <v>24609358.780000001</v>
      </c>
      <c r="AH41" s="8">
        <f>soci!AH7</f>
        <v>26178198.039999999</v>
      </c>
      <c r="AI41" s="8">
        <f>soci!AI7</f>
        <v>29272226.850000001</v>
      </c>
      <c r="AJ41" s="8">
        <f>soci!AJ7</f>
        <v>30733543.57</v>
      </c>
      <c r="AK41" s="8">
        <f>soci!AK7</f>
        <v>33260270.23</v>
      </c>
      <c r="AL41" s="8">
        <f>soci!AL7</f>
        <v>37810280.340000004</v>
      </c>
      <c r="AM41" s="8">
        <f>soci!AM7</f>
        <v>59431612.900000006</v>
      </c>
      <c r="AN41" s="8">
        <f>soci!AN7</f>
        <v>38211690</v>
      </c>
    </row>
    <row r="42" spans="1:40" x14ac:dyDescent="0.3">
      <c r="A42" t="s">
        <v>115</v>
      </c>
      <c r="B42" s="8">
        <f>soci!B6</f>
        <v>56958505</v>
      </c>
      <c r="C42" s="8">
        <f>soci!C6</f>
        <v>3500252.2</v>
      </c>
      <c r="D42" s="8">
        <f>soci!D6</f>
        <v>5594354.9000000004</v>
      </c>
      <c r="E42" s="8">
        <f>soci!E6</f>
        <v>8304232.4000000004</v>
      </c>
      <c r="F42" s="8">
        <f>soci!F6</f>
        <v>9181548.5</v>
      </c>
      <c r="G42" s="8">
        <f>soci!G6</f>
        <v>10651540.699999999</v>
      </c>
      <c r="H42" s="8">
        <f>soci!H6</f>
        <v>16125550</v>
      </c>
      <c r="I42" s="8">
        <f>soci!I6</f>
        <v>23111719</v>
      </c>
      <c r="J42" s="8">
        <f>soci!J6</f>
        <v>25597122.899999999</v>
      </c>
      <c r="K42" s="8">
        <f>soci!K6</f>
        <v>30149350.800000001</v>
      </c>
      <c r="L42" s="8">
        <f>soci!L6</f>
        <v>33496934.699999999</v>
      </c>
      <c r="M42" s="8">
        <f>soci!M6</f>
        <v>38626066.700000003</v>
      </c>
      <c r="N42" s="8">
        <f>soci!N6</f>
        <v>52901050</v>
      </c>
      <c r="O42" s="8">
        <f>soci!O6</f>
        <v>1931950.8</v>
      </c>
      <c r="P42" s="8">
        <f>soci!P6</f>
        <v>4147290.7</v>
      </c>
      <c r="Q42" s="8">
        <f>soci!Q6</f>
        <v>7400584.5</v>
      </c>
      <c r="R42" s="8">
        <f>soci!R6</f>
        <v>10838469.300000001</v>
      </c>
      <c r="S42" s="8">
        <f>soci!S6</f>
        <v>12878955.199999999</v>
      </c>
      <c r="T42" s="8">
        <f>soci!T6</f>
        <v>17320986.600000001</v>
      </c>
      <c r="U42" s="8">
        <f>soci!U6</f>
        <v>24596743.399999999</v>
      </c>
      <c r="V42" s="8">
        <f>soci!V6</f>
        <v>25743615.100000001</v>
      </c>
      <c r="W42" s="8">
        <f>soci!W6</f>
        <v>25801995.100000001</v>
      </c>
      <c r="X42" s="8">
        <f>soci!X6</f>
        <v>25858380.100000001</v>
      </c>
      <c r="Y42" s="8">
        <f>soci!Y6</f>
        <v>0</v>
      </c>
      <c r="Z42" s="8">
        <f>soci!Z6</f>
        <v>0</v>
      </c>
      <c r="AA42" s="8">
        <f>soci!AA6</f>
        <v>87931702</v>
      </c>
      <c r="AB42" s="8">
        <f>soci!AB6</f>
        <v>42840</v>
      </c>
      <c r="AC42" s="8">
        <f>soci!AC6</f>
        <v>76618</v>
      </c>
      <c r="AD42" s="8">
        <f>soci!AD6</f>
        <v>141593</v>
      </c>
      <c r="AE42" s="8">
        <f>soci!AE6</f>
        <v>121316</v>
      </c>
      <c r="AF42" s="8">
        <f>soci!AF6</f>
        <v>180326</v>
      </c>
      <c r="AG42" s="8">
        <f>soci!AG6</f>
        <v>233642.8</v>
      </c>
      <c r="AH42" s="8">
        <f>soci!AH6</f>
        <v>283412.77</v>
      </c>
      <c r="AI42" s="8">
        <f>soci!AI6</f>
        <v>337592.8</v>
      </c>
      <c r="AJ42" s="8">
        <f>soci!AJ6</f>
        <v>388517.8</v>
      </c>
      <c r="AK42" s="8">
        <f>soci!AK6</f>
        <v>426947.8</v>
      </c>
      <c r="AL42" s="8">
        <f>soci!AL6</f>
        <v>468947.8</v>
      </c>
      <c r="AM42" s="8">
        <f>soci!AM6</f>
        <v>584596.80000000005</v>
      </c>
      <c r="AN42" s="8">
        <f>soci!AN6</f>
        <v>87964575</v>
      </c>
    </row>
    <row r="43" spans="1:40" x14ac:dyDescent="0.3">
      <c r="A43" t="s">
        <v>116</v>
      </c>
      <c r="B43" s="8">
        <f t="shared" ref="B43:C43" si="23">B40/B27</f>
        <v>0.19524915288821187</v>
      </c>
      <c r="C43" s="8">
        <f t="shared" si="23"/>
        <v>1.4328996465225813E-2</v>
      </c>
      <c r="D43" s="8">
        <f t="shared" ref="D43:N43" si="24">D40/D27</f>
        <v>1.4254957316598415E-2</v>
      </c>
      <c r="E43" s="8">
        <f t="shared" si="24"/>
        <v>4.6610337225169413E-2</v>
      </c>
      <c r="F43" s="8">
        <f t="shared" si="24"/>
        <v>6.6987174200449778E-2</v>
      </c>
      <c r="G43" s="8">
        <f t="shared" si="24"/>
        <v>8.4353265278985887E-2</v>
      </c>
      <c r="H43" s="8">
        <f t="shared" si="24"/>
        <v>9.7071862466599199E-2</v>
      </c>
      <c r="I43" s="8">
        <f t="shared" si="24"/>
        <v>0.12636885035087067</v>
      </c>
      <c r="J43" s="8">
        <f t="shared" si="24"/>
        <v>0.14248833891445631</v>
      </c>
      <c r="K43" s="8">
        <f t="shared" si="24"/>
        <v>0.15113981670195667</v>
      </c>
      <c r="L43" s="8">
        <f t="shared" si="24"/>
        <v>0.16298843995946594</v>
      </c>
      <c r="M43" s="8">
        <f t="shared" si="24"/>
        <v>0.17129794410652371</v>
      </c>
      <c r="N43" s="8">
        <f t="shared" si="24"/>
        <v>0.18214165505137744</v>
      </c>
      <c r="O43" s="8">
        <f t="shared" ref="O43:U43" si="25">O40/O27</f>
        <v>1.5207587324976346E-2</v>
      </c>
      <c r="P43" s="8">
        <f t="shared" si="25"/>
        <v>2.973229377086542E-2</v>
      </c>
      <c r="Q43" s="8">
        <f t="shared" si="25"/>
        <v>4.642611466932408E-2</v>
      </c>
      <c r="R43" s="8">
        <f t="shared" si="25"/>
        <v>6.142858610852818E-2</v>
      </c>
      <c r="S43" s="8">
        <f t="shared" si="25"/>
        <v>7.8457189676691561E-2</v>
      </c>
      <c r="T43" s="8">
        <f t="shared" si="25"/>
        <v>9.387606473408662E-2</v>
      </c>
      <c r="U43" s="8">
        <f t="shared" si="25"/>
        <v>0.1060373738467094</v>
      </c>
      <c r="V43" s="8">
        <f t="shared" ref="V43:X43" si="26">V40/V27</f>
        <v>0.12419673073706522</v>
      </c>
      <c r="W43" s="8">
        <f t="shared" si="26"/>
        <v>0.14295833547885187</v>
      </c>
      <c r="X43" s="8">
        <f t="shared" si="26"/>
        <v>0.16033488416628791</v>
      </c>
      <c r="Y43" s="8" t="e">
        <f t="shared" ref="Y43:AN43" si="27">Y40/Y27</f>
        <v>#DIV/0!</v>
      </c>
      <c r="Z43" s="8" t="e">
        <f t="shared" si="27"/>
        <v>#DIV/0!</v>
      </c>
      <c r="AA43" s="8">
        <f t="shared" si="27"/>
        <v>0.20879140673132404</v>
      </c>
      <c r="AB43" s="8">
        <f t="shared" si="27"/>
        <v>1.7963931537146299E-2</v>
      </c>
      <c r="AC43" s="8">
        <f t="shared" si="27"/>
        <v>3.4568110346823715E-2</v>
      </c>
      <c r="AD43" s="8">
        <f t="shared" si="27"/>
        <v>5.5260000480392091E-2</v>
      </c>
      <c r="AE43" s="8">
        <f t="shared" si="27"/>
        <v>7.3258151872966373E-2</v>
      </c>
      <c r="AF43" s="8">
        <f t="shared" si="27"/>
        <v>9.2691643032852919E-2</v>
      </c>
      <c r="AG43" s="8">
        <f t="shared" si="27"/>
        <v>0.11168245566945115</v>
      </c>
      <c r="AH43" s="8">
        <f t="shared" si="27"/>
        <v>0.13036693959202045</v>
      </c>
      <c r="AI43" s="8">
        <f t="shared" si="27"/>
        <v>0.14959367561039033</v>
      </c>
      <c r="AJ43" s="8">
        <f t="shared" si="27"/>
        <v>0.16882708418503162</v>
      </c>
      <c r="AK43" s="8">
        <f t="shared" si="27"/>
        <v>0.18849684697388122</v>
      </c>
      <c r="AL43" s="8">
        <f t="shared" si="27"/>
        <v>0.20698181113825967</v>
      </c>
      <c r="AM43" s="8">
        <f t="shared" si="27"/>
        <v>0.22622676778840375</v>
      </c>
      <c r="AN43" s="8">
        <f t="shared" si="27"/>
        <v>0.2143595548056243</v>
      </c>
    </row>
    <row r="44" spans="1:40" x14ac:dyDescent="0.3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x14ac:dyDescent="0.3">
      <c r="A45" s="28" t="s">
        <v>117</v>
      </c>
      <c r="B45" s="8"/>
      <c r="C45" s="8"/>
      <c r="D45" s="8"/>
      <c r="E45" s="8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spans="1:40" x14ac:dyDescent="0.3">
      <c r="A46" t="s">
        <v>118</v>
      </c>
      <c r="B46" s="8">
        <f>soci!B13 + soci!B16</f>
        <v>94088686</v>
      </c>
      <c r="C46" s="8">
        <f>soci!C13 + soci!C16</f>
        <v>2178181.77</v>
      </c>
      <c r="D46" s="8">
        <f>soci!D13 + soci!D16</f>
        <v>3769858.47</v>
      </c>
      <c r="E46" s="8">
        <f>soci!E13 + soci!E16</f>
        <v>4884587.4800000004</v>
      </c>
      <c r="F46" s="8">
        <f>soci!F13 + soci!F16</f>
        <v>6671582.5999999996</v>
      </c>
      <c r="G46" s="8">
        <f>soci!G13 + soci!G16</f>
        <v>9038281.1699999999</v>
      </c>
      <c r="H46" s="8">
        <f>soci!H13 + soci!H16</f>
        <v>10426467.869999999</v>
      </c>
      <c r="I46" s="8">
        <f>soci!I13 + soci!I16</f>
        <v>14501671.76</v>
      </c>
      <c r="J46" s="8">
        <f>soci!J13 + soci!J16</f>
        <v>16244062.75</v>
      </c>
      <c r="K46" s="8">
        <f>soci!K13 + soci!K16</f>
        <v>18234358.940000001</v>
      </c>
      <c r="L46" s="8">
        <f>soci!L13 + soci!L16</f>
        <v>21375176.710000001</v>
      </c>
      <c r="M46" s="8">
        <f>soci!M13 + soci!M16</f>
        <v>49398692.659999996</v>
      </c>
      <c r="N46" s="8">
        <f>soci!N13 + soci!N16</f>
        <v>0</v>
      </c>
      <c r="O46" s="8">
        <f>soci!O13 + soci!O16</f>
        <v>1771463.97</v>
      </c>
      <c r="P46" s="8">
        <f>soci!P13 + soci!P16</f>
        <v>4489755.17</v>
      </c>
      <c r="Q46" s="8">
        <f>soci!Q13 + soci!Q16</f>
        <v>6138432.1399999997</v>
      </c>
      <c r="R46" s="8">
        <f>soci!R13 + soci!R16</f>
        <v>8085970.9199999999</v>
      </c>
      <c r="S46" s="8">
        <f>soci!S13 + soci!S16</f>
        <v>10257559.59</v>
      </c>
      <c r="T46" s="8">
        <f>soci!T13 + soci!T16</f>
        <v>12461772.880000001</v>
      </c>
      <c r="U46" s="8">
        <f>soci!U13 + soci!U16</f>
        <v>14261396.17</v>
      </c>
      <c r="V46" s="8">
        <f>soci!V13 + soci!V16</f>
        <v>16929300.059999999</v>
      </c>
      <c r="W46" s="8">
        <f>soci!W13 + soci!W16</f>
        <v>18765100.600000001</v>
      </c>
      <c r="X46" s="8">
        <f>soci!X13 + soci!X16</f>
        <v>21070514.059999999</v>
      </c>
      <c r="Y46" s="8">
        <f>soci!Y13 + soci!Y16</f>
        <v>0</v>
      </c>
      <c r="Z46" s="8">
        <f>soci!Z13 + soci!Z16</f>
        <v>0</v>
      </c>
      <c r="AA46" s="8">
        <f>soci!AA13 + soci!AA16</f>
        <v>155744738</v>
      </c>
      <c r="AB46" s="8">
        <f>soci!AB13 + soci!AB16</f>
        <v>2952714.6</v>
      </c>
      <c r="AC46" s="8">
        <f>soci!AC13 + soci!AC16</f>
        <v>5736443.1500000004</v>
      </c>
      <c r="AD46" s="8">
        <f>soci!AD13 + soci!AD16</f>
        <v>8447156.8300000001</v>
      </c>
      <c r="AE46" s="8">
        <f>soci!AE13 + soci!AE16</f>
        <v>11284315.720000001</v>
      </c>
      <c r="AF46" s="8">
        <f>soci!AF13 + soci!AF16</f>
        <v>14212254.619999999</v>
      </c>
      <c r="AG46" s="8">
        <f>soci!AG13 + soci!AG16</f>
        <v>16936377.350000001</v>
      </c>
      <c r="AH46" s="8">
        <f>soci!AH13 + soci!AH16</f>
        <v>20785703.949999999</v>
      </c>
      <c r="AI46" s="8">
        <f>soci!AI13 + soci!AI16</f>
        <v>23609103.670000002</v>
      </c>
      <c r="AJ46" s="8">
        <f>soci!AJ13 + soci!AJ16</f>
        <v>26479358.190000001</v>
      </c>
      <c r="AK46" s="8">
        <f>soci!AK13 + soci!AK16</f>
        <v>30504972.289999999</v>
      </c>
      <c r="AL46" s="8">
        <f>soci!AL13 + soci!AL16</f>
        <v>33970806.5</v>
      </c>
      <c r="AM46" s="8">
        <f>soci!AM13 + soci!AM16</f>
        <v>38811487.689999998</v>
      </c>
      <c r="AN46" s="8">
        <f>soci!AN13 + soci!AN16</f>
        <v>99669373</v>
      </c>
    </row>
    <row r="47" spans="1:40" x14ac:dyDescent="0.3">
      <c r="A47" t="s">
        <v>119</v>
      </c>
      <c r="B47" s="8">
        <f>soci!B15</f>
        <v>0</v>
      </c>
      <c r="C47" s="8">
        <f>soci!C15</f>
        <v>0</v>
      </c>
      <c r="D47" s="8">
        <f>soci!D15</f>
        <v>0</v>
      </c>
      <c r="E47" s="8">
        <f>soci!E15</f>
        <v>0</v>
      </c>
      <c r="F47" s="8">
        <f>soci!F15</f>
        <v>0</v>
      </c>
      <c r="G47" s="8">
        <f>soci!G15</f>
        <v>0</v>
      </c>
      <c r="H47" s="8">
        <f>soci!H15</f>
        <v>0</v>
      </c>
      <c r="I47" s="8">
        <f>soci!I15</f>
        <v>0</v>
      </c>
      <c r="J47" s="8">
        <f>soci!J15</f>
        <v>0</v>
      </c>
      <c r="K47" s="8">
        <f>soci!K15</f>
        <v>0</v>
      </c>
      <c r="L47" s="8">
        <f>soci!L15</f>
        <v>0</v>
      </c>
      <c r="M47" s="8">
        <f>soci!M15</f>
        <v>0</v>
      </c>
      <c r="N47" s="8">
        <f>soci!N15</f>
        <v>0</v>
      </c>
      <c r="O47" s="8">
        <f>soci!O15</f>
        <v>0</v>
      </c>
      <c r="P47" s="8">
        <f>soci!P15</f>
        <v>0</v>
      </c>
      <c r="Q47" s="8">
        <f>soci!Q15</f>
        <v>0</v>
      </c>
      <c r="R47" s="8">
        <f>soci!R15</f>
        <v>0</v>
      </c>
      <c r="S47" s="8">
        <f>soci!S15</f>
        <v>0</v>
      </c>
      <c r="T47" s="8">
        <f>soci!T15</f>
        <v>0</v>
      </c>
      <c r="U47" s="8">
        <f>soci!U15</f>
        <v>0</v>
      </c>
      <c r="V47" s="8">
        <f>soci!V15</f>
        <v>0</v>
      </c>
      <c r="W47" s="8">
        <f>soci!W15</f>
        <v>0</v>
      </c>
      <c r="X47" s="8">
        <f>soci!X15</f>
        <v>0</v>
      </c>
      <c r="Y47" s="8">
        <f>soci!Y15</f>
        <v>0</v>
      </c>
      <c r="Z47" s="8">
        <f>soci!Z15</f>
        <v>0</v>
      </c>
      <c r="AA47" s="8">
        <f>soci!AA15</f>
        <v>0</v>
      </c>
      <c r="AB47" s="8">
        <f>soci!AB15</f>
        <v>0</v>
      </c>
      <c r="AC47" s="8">
        <f>soci!AC15</f>
        <v>0</v>
      </c>
      <c r="AD47" s="8">
        <f>soci!AD15</f>
        <v>0</v>
      </c>
      <c r="AE47" s="8">
        <f>soci!AE15</f>
        <v>0</v>
      </c>
      <c r="AF47" s="8">
        <f>soci!AF15</f>
        <v>0</v>
      </c>
      <c r="AG47" s="8">
        <f>soci!AG15</f>
        <v>0</v>
      </c>
      <c r="AH47" s="8">
        <f>soci!AH15</f>
        <v>0</v>
      </c>
      <c r="AI47" s="8">
        <f>soci!AI15</f>
        <v>0</v>
      </c>
      <c r="AJ47" s="8">
        <f>soci!AJ15</f>
        <v>0</v>
      </c>
      <c r="AK47" s="8">
        <f>soci!AK15</f>
        <v>0</v>
      </c>
      <c r="AL47" s="8">
        <f>soci!AL15</f>
        <v>0</v>
      </c>
      <c r="AM47" s="8">
        <f>soci!AM15</f>
        <v>0</v>
      </c>
      <c r="AN47" s="8">
        <f>soci!AN15</f>
        <v>21645593</v>
      </c>
    </row>
    <row r="48" spans="1:40" x14ac:dyDescent="0.3">
      <c r="A48" t="s">
        <v>120</v>
      </c>
      <c r="B48" s="8">
        <f>soci!B14</f>
        <v>7666503</v>
      </c>
      <c r="C48" s="8">
        <f>soci!C14</f>
        <v>510226</v>
      </c>
      <c r="D48" s="8">
        <f>soci!D14</f>
        <v>2112694.96</v>
      </c>
      <c r="E48" s="8">
        <f>soci!E14</f>
        <v>2113894.96</v>
      </c>
      <c r="F48" s="8">
        <f>soci!F14</f>
        <v>2284199.38</v>
      </c>
      <c r="G48" s="8">
        <f>soci!G14</f>
        <v>4555171.09</v>
      </c>
      <c r="H48" s="8">
        <f>soci!H14</f>
        <v>5428802.6900000004</v>
      </c>
      <c r="I48" s="8">
        <f>soci!I14</f>
        <v>18955020.57</v>
      </c>
      <c r="J48" s="8">
        <f>soci!J14</f>
        <v>22934455.280000001</v>
      </c>
      <c r="K48" s="8">
        <f>soci!K14</f>
        <v>25481070.050000001</v>
      </c>
      <c r="L48" s="8">
        <f>soci!L14</f>
        <v>25575390.859999999</v>
      </c>
      <c r="M48" s="8">
        <f>soci!M14</f>
        <v>28965606.52</v>
      </c>
      <c r="N48" s="8">
        <f>soci!N14</f>
        <v>0</v>
      </c>
      <c r="O48" s="8">
        <f>soci!O14</f>
        <v>210900</v>
      </c>
      <c r="P48" s="8">
        <f>soci!P14</f>
        <v>3967142.6</v>
      </c>
      <c r="Q48" s="8">
        <f>soci!Q14</f>
        <v>4099423.06</v>
      </c>
      <c r="R48" s="8">
        <f>soci!R14</f>
        <v>4509186.9000000004</v>
      </c>
      <c r="S48" s="8">
        <f>soci!S14</f>
        <v>18048389.149999999</v>
      </c>
      <c r="T48" s="8">
        <f>soci!T14</f>
        <v>18193201.550000001</v>
      </c>
      <c r="U48" s="8">
        <f>soci!U14</f>
        <v>18354955.809999999</v>
      </c>
      <c r="V48" s="8">
        <f>soci!V14</f>
        <v>19635121.73</v>
      </c>
      <c r="W48" s="8">
        <f>soci!W14</f>
        <v>19573195.739999998</v>
      </c>
      <c r="X48" s="8">
        <f>soci!X14</f>
        <v>23268179</v>
      </c>
      <c r="Y48" s="8">
        <f>soci!Y14</f>
        <v>0</v>
      </c>
      <c r="Z48" s="8">
        <f>soci!Z14</f>
        <v>0</v>
      </c>
      <c r="AA48" s="8">
        <f>soci!AA14</f>
        <v>0</v>
      </c>
      <c r="AB48" s="8">
        <f>soci!AB14</f>
        <v>49821.61</v>
      </c>
      <c r="AC48" s="8">
        <f>soci!AC14</f>
        <v>473732.52</v>
      </c>
      <c r="AD48" s="8">
        <f>soci!AD14</f>
        <v>596180.32999999996</v>
      </c>
      <c r="AE48" s="8">
        <f>soci!AE14</f>
        <v>597380.30000000005</v>
      </c>
      <c r="AF48" s="8">
        <f>soci!AF14</f>
        <v>1054421.4099999999</v>
      </c>
      <c r="AG48" s="8">
        <f>soci!AG14</f>
        <v>1065201.8700000001</v>
      </c>
      <c r="AH48" s="8">
        <f>soci!AH14</f>
        <v>1067001.8700000001</v>
      </c>
      <c r="AI48" s="8">
        <f>soci!AI14</f>
        <v>6470986</v>
      </c>
      <c r="AJ48" s="8">
        <f>soci!AJ14</f>
        <v>7170056.7699999996</v>
      </c>
      <c r="AK48" s="8">
        <f>soci!AK14</f>
        <v>7393495.8099999996</v>
      </c>
      <c r="AL48" s="8">
        <f>soci!AL14</f>
        <v>7701309.0199999996</v>
      </c>
      <c r="AM48" s="8">
        <f>soci!AM14</f>
        <v>7891195.04</v>
      </c>
      <c r="AN48" s="8">
        <f>soci!AN14</f>
        <v>23469805</v>
      </c>
    </row>
    <row r="49" spans="1:40" x14ac:dyDescent="0.3">
      <c r="A49" t="s">
        <v>121</v>
      </c>
      <c r="B49" s="8">
        <f>soci!B23</f>
        <v>131684611</v>
      </c>
      <c r="C49" s="8">
        <f>soci!C23</f>
        <v>10713803.300000001</v>
      </c>
      <c r="D49" s="8">
        <f>soci!D23</f>
        <v>20884863.899999999</v>
      </c>
      <c r="E49" s="8">
        <f>soci!E23</f>
        <v>35154364.579999998</v>
      </c>
      <c r="F49" s="8">
        <f>soci!F23</f>
        <v>52089969.969999999</v>
      </c>
      <c r="G49" s="8">
        <f>soci!G23</f>
        <v>65679526.849999994</v>
      </c>
      <c r="H49" s="8">
        <f>soci!H23</f>
        <v>73177337.200000003</v>
      </c>
      <c r="I49" s="8">
        <f>soci!I23</f>
        <v>94148542.849999994</v>
      </c>
      <c r="J49" s="8">
        <f>soci!J23</f>
        <v>104778590.88</v>
      </c>
      <c r="K49" s="8">
        <f>soci!K23</f>
        <v>116612940.05</v>
      </c>
      <c r="L49" s="8">
        <f>soci!L23</f>
        <v>127503796.91999999</v>
      </c>
      <c r="M49" s="8">
        <f>soci!M23</f>
        <v>137676993.09</v>
      </c>
      <c r="N49" s="8">
        <f>soci!N23</f>
        <v>132194359</v>
      </c>
      <c r="O49" s="8">
        <f>soci!O23</f>
        <v>0</v>
      </c>
      <c r="P49" s="8">
        <f>soci!P23</f>
        <v>0</v>
      </c>
      <c r="Q49" s="8">
        <f>soci!Q23</f>
        <v>0</v>
      </c>
      <c r="R49" s="8">
        <f>soci!R23</f>
        <v>0</v>
      </c>
      <c r="S49" s="8">
        <f>soci!S23</f>
        <v>0</v>
      </c>
      <c r="T49" s="8">
        <f>soci!T23</f>
        <v>0</v>
      </c>
      <c r="U49" s="8">
        <f>soci!U23</f>
        <v>0</v>
      </c>
      <c r="V49" s="8">
        <f>soci!V23</f>
        <v>0</v>
      </c>
      <c r="W49" s="8">
        <f>soci!W23</f>
        <v>129585211.5</v>
      </c>
      <c r="X49" s="8">
        <f>soci!X23</f>
        <v>143221041.09999999</v>
      </c>
      <c r="Y49" s="8">
        <f>soci!Y23</f>
        <v>0</v>
      </c>
      <c r="Z49" s="8">
        <f>soci!Z23</f>
        <v>0</v>
      </c>
      <c r="AA49" s="8">
        <f>soci!AA23</f>
        <v>130007972</v>
      </c>
      <c r="AB49" s="8">
        <f>soci!AB23</f>
        <v>16442781</v>
      </c>
      <c r="AC49" s="8">
        <f>soci!AC23</f>
        <v>0</v>
      </c>
      <c r="AD49" s="8">
        <f>soci!AD23</f>
        <v>45531520.399999999</v>
      </c>
      <c r="AE49" s="8">
        <f>soci!AE23</f>
        <v>63729118.099999994</v>
      </c>
      <c r="AF49" s="8">
        <f>soci!AF23</f>
        <v>83472390.300000012</v>
      </c>
      <c r="AG49" s="8">
        <f>soci!AG23</f>
        <v>101308564.80000001</v>
      </c>
      <c r="AH49" s="8">
        <f>soci!AH23</f>
        <v>116856154.5</v>
      </c>
      <c r="AI49" s="8">
        <f>soci!AI23</f>
        <v>131715277.7</v>
      </c>
      <c r="AJ49" s="8">
        <f>soci!AJ23</f>
        <v>147621297.19999999</v>
      </c>
      <c r="AK49" s="8">
        <f>soci!AK23</f>
        <v>147314814.5</v>
      </c>
      <c r="AL49" s="8">
        <f>soci!AL23</f>
        <v>152102313.30000001</v>
      </c>
      <c r="AM49" s="8">
        <f>soci!AM23</f>
        <v>162400397.90000001</v>
      </c>
      <c r="AN49" s="8">
        <f>soci!AN23</f>
        <v>178494606</v>
      </c>
    </row>
  </sheetData>
  <conditionalFormatting sqref="B3:AN46">
    <cfRule type="cellIs" dxfId="9" priority="3" operator="lessThan">
      <formula>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4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4" sqref="O14"/>
    </sheetView>
  </sheetViews>
  <sheetFormatPr defaultColWidth="9.109375" defaultRowHeight="15.6" x14ac:dyDescent="0.3"/>
  <cols>
    <col min="1" max="1" width="44" style="12" customWidth="1"/>
    <col min="2" max="3" width="18.6640625" style="13" customWidth="1"/>
    <col min="4" max="9" width="15.6640625" style="12" hidden="1" customWidth="1"/>
    <col min="10" max="14" width="12.44140625" style="12" hidden="1" customWidth="1"/>
    <col min="15" max="15" width="14.6640625" style="12" bestFit="1" customWidth="1"/>
    <col min="16" max="22" width="13.5546875" style="12" hidden="1" customWidth="1"/>
    <col min="23" max="27" width="0" style="12" hidden="1" customWidth="1"/>
    <col min="28" max="28" width="13.5546875" style="12" bestFit="1" customWidth="1"/>
    <col min="29" max="30" width="12.109375" style="12" hidden="1" customWidth="1"/>
    <col min="31" max="31" width="12.109375" style="12" bestFit="1" customWidth="1"/>
    <col min="32" max="33" width="12.109375" style="12" hidden="1" customWidth="1"/>
    <col min="34" max="34" width="12.109375" style="12" bestFit="1" customWidth="1"/>
    <col min="35" max="35" width="12.109375" style="12" hidden="1" customWidth="1"/>
    <col min="36" max="36" width="0" style="12" hidden="1" customWidth="1"/>
    <col min="37" max="37" width="12.109375" style="12" bestFit="1" customWidth="1"/>
    <col min="38" max="39" width="0" style="12" hidden="1" customWidth="1"/>
    <col min="40" max="40" width="12.109375" style="12" bestFit="1" customWidth="1"/>
    <col min="41" max="41" width="13.5546875" style="12" bestFit="1" customWidth="1"/>
    <col min="42" max="16384" width="9.109375" style="12"/>
  </cols>
  <sheetData>
    <row r="1" spans="1:41" x14ac:dyDescent="0.3">
      <c r="A1" s="36" t="s">
        <v>122</v>
      </c>
      <c r="C1" s="33" t="s">
        <v>1</v>
      </c>
      <c r="D1" s="34">
        <v>43831</v>
      </c>
      <c r="E1" s="34">
        <v>43862</v>
      </c>
      <c r="F1" s="34">
        <v>43891</v>
      </c>
      <c r="G1" s="34">
        <v>43922</v>
      </c>
      <c r="H1" s="34">
        <v>43952</v>
      </c>
      <c r="I1" s="34">
        <v>43983</v>
      </c>
      <c r="J1" s="34">
        <v>44044</v>
      </c>
      <c r="K1" s="34">
        <v>44075</v>
      </c>
      <c r="L1" s="34">
        <v>44105</v>
      </c>
      <c r="M1" s="34">
        <v>44136</v>
      </c>
      <c r="N1" s="34">
        <v>44166</v>
      </c>
      <c r="O1" s="34" t="s">
        <v>173</v>
      </c>
      <c r="P1" s="35">
        <v>44197</v>
      </c>
      <c r="Q1" s="35">
        <v>44228</v>
      </c>
      <c r="R1" s="35">
        <v>44256</v>
      </c>
      <c r="S1" s="35">
        <v>44287</v>
      </c>
      <c r="T1" s="35">
        <v>44317</v>
      </c>
      <c r="U1" s="35">
        <v>44348</v>
      </c>
      <c r="V1" s="35">
        <v>44378</v>
      </c>
      <c r="W1" s="35">
        <v>44409</v>
      </c>
      <c r="X1" s="35">
        <v>44440</v>
      </c>
      <c r="Y1" s="35">
        <v>44470</v>
      </c>
      <c r="Z1" s="35">
        <v>44501</v>
      </c>
      <c r="AA1" s="35">
        <v>44531</v>
      </c>
      <c r="AB1" s="36" t="s">
        <v>171</v>
      </c>
      <c r="AC1" s="25">
        <v>44562</v>
      </c>
      <c r="AD1" s="25">
        <v>44593</v>
      </c>
      <c r="AE1" s="35">
        <v>44621</v>
      </c>
      <c r="AF1" s="35">
        <v>44652</v>
      </c>
      <c r="AG1" s="35">
        <v>44682</v>
      </c>
      <c r="AH1" s="35">
        <v>44713</v>
      </c>
      <c r="AI1" s="35">
        <v>44743</v>
      </c>
      <c r="AJ1" s="24">
        <v>44774</v>
      </c>
      <c r="AK1" s="24">
        <v>44805</v>
      </c>
      <c r="AL1" s="24">
        <v>44835</v>
      </c>
      <c r="AM1" s="24">
        <v>44866</v>
      </c>
      <c r="AN1" s="24">
        <v>44896</v>
      </c>
      <c r="AO1" s="36" t="s">
        <v>172</v>
      </c>
    </row>
    <row r="2" spans="1:41" x14ac:dyDescent="0.3">
      <c r="A2" s="67" t="s">
        <v>123</v>
      </c>
      <c r="B2" s="67"/>
      <c r="C2" s="21"/>
    </row>
    <row r="3" spans="1:41" x14ac:dyDescent="0.3">
      <c r="A3" s="14" t="s">
        <v>93</v>
      </c>
      <c r="B3" s="15" t="s">
        <v>124</v>
      </c>
      <c r="C3" s="16">
        <f>financials!B11</f>
        <v>237956727</v>
      </c>
      <c r="D3" s="16">
        <f>financials!C11</f>
        <v>232650756.97</v>
      </c>
      <c r="E3" s="16">
        <f>financials!D11</f>
        <v>225906148</v>
      </c>
      <c r="F3" s="16">
        <f>financials!E11</f>
        <v>244984153.34</v>
      </c>
      <c r="G3" s="16">
        <f>financials!F11</f>
        <v>259321135.42000002</v>
      </c>
      <c r="H3" s="16">
        <f>financials!G11</f>
        <v>259440618.69999999</v>
      </c>
      <c r="I3" s="16">
        <f>financials!H11</f>
        <v>273412149.63999999</v>
      </c>
      <c r="J3" s="16">
        <f>financials!I11</f>
        <v>277896435.26999998</v>
      </c>
      <c r="K3" s="16">
        <f>financials!J11</f>
        <v>281443340.06</v>
      </c>
      <c r="L3" s="16">
        <f>financials!K11</f>
        <v>287549840.48000002</v>
      </c>
      <c r="M3" s="16">
        <f>financials!L11</f>
        <v>291817477.13</v>
      </c>
      <c r="N3" s="16">
        <f>financials!M11</f>
        <v>274765698.92000002</v>
      </c>
      <c r="O3" s="16">
        <f>financials!N11</f>
        <v>276149287</v>
      </c>
      <c r="P3" s="16">
        <f>financials!O11</f>
        <v>276915152.81999999</v>
      </c>
      <c r="Q3" s="16">
        <f>financials!P11</f>
        <v>283994861.55000001</v>
      </c>
      <c r="R3" s="16">
        <f>financials!Q11</f>
        <v>306107561.19999999</v>
      </c>
      <c r="S3" s="16">
        <f>financials!R11</f>
        <v>302903811.88999999</v>
      </c>
      <c r="T3" s="16">
        <f>financials!S11</f>
        <v>297943038.58999997</v>
      </c>
      <c r="U3" s="16">
        <f>financials!T11</f>
        <v>305187811.64999998</v>
      </c>
      <c r="V3" s="16">
        <f>financials!U11</f>
        <v>310401118.25</v>
      </c>
      <c r="W3" s="16">
        <f>financials!V11</f>
        <v>313616135.76999998</v>
      </c>
      <c r="X3" s="16">
        <f>financials!W11</f>
        <v>334818863.67000002</v>
      </c>
      <c r="Y3" s="16">
        <f>financials!X11</f>
        <v>339353572.31999999</v>
      </c>
      <c r="Z3" s="16">
        <f>financials!Y11</f>
        <v>0</v>
      </c>
      <c r="AA3" s="16">
        <f>financials!Z11</f>
        <v>0</v>
      </c>
      <c r="AB3" s="16">
        <f>financials!AA11</f>
        <v>326365943</v>
      </c>
      <c r="AC3" s="16">
        <f>financials!AB11</f>
        <v>347945508.79000002</v>
      </c>
      <c r="AD3" s="16">
        <f>financials!AC11</f>
        <v>216423255.07999998</v>
      </c>
      <c r="AE3" s="16">
        <f>financials!AD11</f>
        <v>260594077.72999999</v>
      </c>
      <c r="AF3" s="16">
        <f>financials!AE11</f>
        <v>259104610.07999998</v>
      </c>
      <c r="AG3" s="16">
        <f>financials!AF11</f>
        <v>258803633.46000001</v>
      </c>
      <c r="AH3" s="16">
        <f>financials!AG11</f>
        <v>366273916.69</v>
      </c>
      <c r="AI3" s="16">
        <f>financials!AH11</f>
        <v>367887392.66000003</v>
      </c>
      <c r="AJ3" s="16">
        <f>financials!AI11</f>
        <v>368243260.07999998</v>
      </c>
      <c r="AK3" s="16">
        <f>financials!AJ11</f>
        <v>368571854.69</v>
      </c>
      <c r="AL3" s="16">
        <f>financials!AK11</f>
        <v>386076999.07999998</v>
      </c>
      <c r="AM3" s="16">
        <f>financials!AL11</f>
        <v>399641798.50999999</v>
      </c>
      <c r="AN3" s="16">
        <f>financials!AM11</f>
        <v>425819347.09000003</v>
      </c>
      <c r="AO3" s="16">
        <f>financials!AN11</f>
        <v>341647076</v>
      </c>
    </row>
    <row r="4" spans="1:41" x14ac:dyDescent="0.3">
      <c r="A4" s="14" t="s">
        <v>125</v>
      </c>
      <c r="B4" s="15" t="s">
        <v>126</v>
      </c>
      <c r="C4" s="11">
        <f>financials!B11 /financials!B3</f>
        <v>0.14846845837338549</v>
      </c>
      <c r="D4" s="11">
        <f>financials!C11 /financials!C3</f>
        <v>0.1445755434275508</v>
      </c>
      <c r="E4" s="11">
        <f>financials!D11 /financials!D3</f>
        <v>0.13939619256205468</v>
      </c>
      <c r="F4" s="11">
        <f>financials!E11 /financials!E3</f>
        <v>0.14694392323206959</v>
      </c>
      <c r="G4" s="11">
        <f>financials!F11 /financials!F3</f>
        <v>0.15817486497080577</v>
      </c>
      <c r="H4" s="11">
        <f>financials!G11 /financials!G3</f>
        <v>0.16198575867888262</v>
      </c>
      <c r="I4" s="11">
        <f>financials!H11 /financials!H3</f>
        <v>0.16720109375848341</v>
      </c>
      <c r="J4" s="11">
        <f>financials!I11 /financials!I3</f>
        <v>0.16617709709159587</v>
      </c>
      <c r="K4" s="11">
        <f>financials!J11 /financials!J3</f>
        <v>0.14823694420094491</v>
      </c>
      <c r="L4" s="11">
        <f>financials!K11 /financials!K3</f>
        <v>0.1598388634812925</v>
      </c>
      <c r="M4" s="11">
        <f>financials!L11 /financials!L3</f>
        <v>0.16224914939221083</v>
      </c>
      <c r="N4" s="11">
        <f>financials!M11 /financials!M3</f>
        <v>0.14904978885973566</v>
      </c>
      <c r="O4" s="11">
        <f>financials!N11 /financials!N3</f>
        <v>0.1436178657843149</v>
      </c>
      <c r="P4" s="11">
        <f>financials!O11 /financials!O3</f>
        <v>0.14492645423925818</v>
      </c>
      <c r="Q4" s="11">
        <f>financials!P11 /financials!P3</f>
        <v>0.14962452362873332</v>
      </c>
      <c r="R4" s="11">
        <f>financials!Q11 /financials!Q3</f>
        <v>0.15919960587234896</v>
      </c>
      <c r="S4" s="11">
        <f>financials!R11 /financials!R3</f>
        <v>0.15571362768117528</v>
      </c>
      <c r="T4" s="11">
        <f>financials!S11 /financials!S3</f>
        <v>0.15503059209658754</v>
      </c>
      <c r="U4" s="11">
        <f>financials!T11 /financials!T3</f>
        <v>0.15966585194531832</v>
      </c>
      <c r="V4" s="11">
        <f>financials!U11 /financials!U3</f>
        <v>0.15944363414894761</v>
      </c>
      <c r="W4" s="11">
        <f>financials!V11 /financials!V3</f>
        <v>0.16036710810490795</v>
      </c>
      <c r="X4" s="11">
        <f>financials!W11 /financials!W3</f>
        <v>0.17007987370798711</v>
      </c>
      <c r="Y4" s="11">
        <f>financials!X11 /financials!X3</f>
        <v>0.17155628979072229</v>
      </c>
      <c r="Z4" s="11" t="e">
        <f>financials!Y11 /financials!Y3</f>
        <v>#DIV/0!</v>
      </c>
      <c r="AA4" s="11" t="e">
        <f>financials!Z11 /financials!Z3</f>
        <v>#DIV/0!</v>
      </c>
      <c r="AB4" s="11">
        <f>financials!AA11 /financials!AA3</f>
        <v>0.15759167885543465</v>
      </c>
      <c r="AC4" s="11">
        <f>financials!AB11 /financials!AB3</f>
        <v>0.11096570063124198</v>
      </c>
      <c r="AD4" s="11">
        <f>financials!AC11 /financials!AC3</f>
        <v>6.9713249931720442E-2</v>
      </c>
      <c r="AE4" s="11">
        <f>financials!AD11 /financials!AD3</f>
        <v>8.2069931208313962E-2</v>
      </c>
      <c r="AF4" s="11">
        <f>financials!AE11 /financials!AE3</f>
        <v>8.2157983230313369E-2</v>
      </c>
      <c r="AG4" s="11">
        <f>financials!AF11 /financials!AF3</f>
        <v>8.1560359982479874E-2</v>
      </c>
      <c r="AH4" s="11">
        <f>financials!AG11 /financials!AG3</f>
        <v>0.11275262830309789</v>
      </c>
      <c r="AI4" s="11">
        <f>financials!AH11 /financials!AH3</f>
        <v>0.11232081392995934</v>
      </c>
      <c r="AJ4" s="11">
        <f>financials!AI11 /financials!AI3</f>
        <v>0.16973140490390035</v>
      </c>
      <c r="AK4" s="11">
        <f>financials!AJ11 /financials!AJ3</f>
        <v>0.171009526270192</v>
      </c>
      <c r="AL4" s="11">
        <f>financials!AK11 /financials!AK3</f>
        <v>0.17842190104513181</v>
      </c>
      <c r="AM4" s="11">
        <f>financials!AL11 /financials!AL3</f>
        <v>0.18349568673160649</v>
      </c>
      <c r="AN4" s="11">
        <f>financials!AM11 /financials!AM3</f>
        <v>0.20016658331132337</v>
      </c>
      <c r="AO4" s="11">
        <f>financials!AN11 /financials!AN3</f>
        <v>0.15460706032241284</v>
      </c>
    </row>
    <row r="5" spans="1:41" x14ac:dyDescent="0.3">
      <c r="A5" s="14" t="s">
        <v>127</v>
      </c>
      <c r="B5" s="15" t="s">
        <v>128</v>
      </c>
      <c r="C5" s="11">
        <f>financials!B11 /financials!B4</f>
        <v>0.23239405437240734</v>
      </c>
      <c r="D5" s="11">
        <f>financials!C11 /financials!C4</f>
        <v>0.22728986327488854</v>
      </c>
      <c r="E5" s="11">
        <f>financials!D11 /financials!D4</f>
        <v>0.22442192925077784</v>
      </c>
      <c r="F5" s="11">
        <f>financials!E11 /financials!E4</f>
        <v>0.23682350024497942</v>
      </c>
      <c r="G5" s="11">
        <f>financials!F11 /financials!F4</f>
        <v>0.23709047760879506</v>
      </c>
      <c r="H5" s="11">
        <f>financials!G11 /financials!G4</f>
        <v>0.24327942813315975</v>
      </c>
      <c r="I5" s="11">
        <f>financials!H11 /financials!H4</f>
        <v>0.25391867827182757</v>
      </c>
      <c r="J5" s="11">
        <f>financials!I11 /financials!I4</f>
        <v>0.2534924570765707</v>
      </c>
      <c r="K5" s="11">
        <f>financials!J11 /financials!J4</f>
        <v>0.25719268258362032</v>
      </c>
      <c r="L5" s="11">
        <f>financials!K11 /financials!K4</f>
        <v>0.25907684220226629</v>
      </c>
      <c r="M5" s="11">
        <f>financials!L11 /financials!L4</f>
        <v>0.26234003601630823</v>
      </c>
      <c r="N5" s="11">
        <f>financials!M11 /financials!M4</f>
        <v>0.23922881639626351</v>
      </c>
      <c r="O5" s="11">
        <f>financials!N11 /financials!N4</f>
        <v>0.24044162198695743</v>
      </c>
      <c r="P5" s="11">
        <f>financials!O11 /financials!O4</f>
        <v>0.24755750142479294</v>
      </c>
      <c r="Q5" s="11">
        <f>financials!P11 /financials!P4</f>
        <v>0.252924535420045</v>
      </c>
      <c r="R5" s="11">
        <f>financials!Q11 /financials!Q4</f>
        <v>0.27062150742459234</v>
      </c>
      <c r="S5" s="11">
        <f>financials!R11 /financials!R4</f>
        <v>0.26424010154142341</v>
      </c>
      <c r="T5" s="11">
        <f>financials!S11 /financials!S4</f>
        <v>0.25468779379401868</v>
      </c>
      <c r="U5" s="11">
        <f>financials!T11 /financials!T4</f>
        <v>0.26066871215809345</v>
      </c>
      <c r="V5" s="11">
        <f>financials!U11 /financials!U4</f>
        <v>0.25351489527923887</v>
      </c>
      <c r="W5" s="11">
        <f>financials!V11 /financials!V4</f>
        <v>0.25831879464737328</v>
      </c>
      <c r="X5" s="11">
        <f>financials!W11 /financials!W4</f>
        <v>0.27292755670247321</v>
      </c>
      <c r="Y5" s="11">
        <f>financials!X11 /financials!X4</f>
        <v>0.2747908502309212</v>
      </c>
      <c r="Z5" s="11" t="e">
        <f>financials!Y11 /financials!Y4</f>
        <v>#DIV/0!</v>
      </c>
      <c r="AA5" s="11" t="e">
        <f>financials!Z11 /financials!Z4</f>
        <v>#DIV/0!</v>
      </c>
      <c r="AB5" s="11">
        <f>financials!AA11 /financials!AA4</f>
        <v>0.26277438686687643</v>
      </c>
      <c r="AC5" s="11">
        <f>financials!AB11 /financials!AB4</f>
        <v>0.27830061001281414</v>
      </c>
      <c r="AD5" s="11">
        <f>financials!AC11 /financials!AC4</f>
        <v>0.1753126341143528</v>
      </c>
      <c r="AE5" s="11">
        <f>financials!AD11 /financials!AD4</f>
        <v>0.20365932540589393</v>
      </c>
      <c r="AF5" s="11">
        <f>financials!AE11 /financials!AE4</f>
        <v>0.20212871226661025</v>
      </c>
      <c r="AG5" s="11">
        <f>financials!AF11 /financials!AF4</f>
        <v>0.19519563731327627</v>
      </c>
      <c r="AH5" s="11">
        <f>financials!AG11 /financials!AG4</f>
        <v>0.27452464482828826</v>
      </c>
      <c r="AI5" s="11">
        <f>financials!AH11 /financials!AH4</f>
        <v>0.26892124821327185</v>
      </c>
      <c r="AJ5" s="11">
        <f>financials!AI11 /financials!AI4</f>
        <v>0.2716046768353958</v>
      </c>
      <c r="AK5" s="11">
        <f>financials!AJ11 /financials!AJ4</f>
        <v>0.27279052633557582</v>
      </c>
      <c r="AL5" s="11">
        <f>financials!AK11 /financials!AK4</f>
        <v>0.28488303461204845</v>
      </c>
      <c r="AM5" s="11">
        <f>financials!AL11 /financials!AL4</f>
        <v>0.29177241196695314</v>
      </c>
      <c r="AN5" s="11">
        <f>financials!AM11 /financials!AM4</f>
        <v>0.31467325111663702</v>
      </c>
      <c r="AO5" s="11">
        <f>financials!AN11 /financials!AN4</f>
        <v>0.25639600197635765</v>
      </c>
    </row>
    <row r="6" spans="1:41" x14ac:dyDescent="0.3">
      <c r="A6" s="14" t="s">
        <v>129</v>
      </c>
      <c r="B6" s="15" t="s">
        <v>130</v>
      </c>
      <c r="C6" s="11">
        <f>financials!B12/sofp!B25</f>
        <v>8.9793712711928764E-2</v>
      </c>
      <c r="D6" s="11">
        <f>financials!C12/sofp!C25</f>
        <v>8.4685250274223384E-2</v>
      </c>
      <c r="E6" s="11">
        <f>financials!D12/sofp!D25</f>
        <v>7.8291670371914632E-2</v>
      </c>
      <c r="F6" s="11">
        <f>financials!E12/sofp!E25</f>
        <v>8.6004440732132217E-2</v>
      </c>
      <c r="G6" s="11">
        <f>financials!F12/sofp!F25</f>
        <v>9.4924790444264856E-2</v>
      </c>
      <c r="H6" s="11">
        <f>financials!G12/sofp!G25</f>
        <v>9.5854422374332393E-2</v>
      </c>
      <c r="I6" s="11">
        <f>financials!H12/sofp!H25</f>
        <v>0.10106028890971985</v>
      </c>
      <c r="J6" s="11">
        <f>financials!I12/sofp!I25</f>
        <v>9.8804870370225201E-2</v>
      </c>
      <c r="K6" s="11">
        <f>financials!J12/sofp!J25</f>
        <v>8.7767701943580523E-2</v>
      </c>
      <c r="L6" s="11">
        <f>financials!K12/sofp!K25</f>
        <v>9.4747641076121547E-2</v>
      </c>
      <c r="M6" s="11">
        <f>financials!L12/sofp!L25</f>
        <v>9.5995078216426472E-2</v>
      </c>
      <c r="N6" s="11">
        <f>financials!M12/sofp!M25</f>
        <v>8.3346663608279373E-2</v>
      </c>
      <c r="O6" s="11">
        <f>financials!N12/sofp!N25</f>
        <v>8.0638880860214271E-2</v>
      </c>
      <c r="P6" s="11">
        <f>financials!O12/sofp!O25</f>
        <v>8.0184857028375259E-2</v>
      </c>
      <c r="Q6" s="11">
        <f>financials!P12/sofp!P25</f>
        <v>8.3398113486687228E-2</v>
      </c>
      <c r="R6" s="11">
        <f>financials!Q12/sofp!Q25</f>
        <v>9.2518801700673906E-2</v>
      </c>
      <c r="S6" s="11">
        <f>financials!R12/sofp!R25</f>
        <v>8.8695816310680506E-2</v>
      </c>
      <c r="T6" s="11">
        <f>financials!S12/sofp!S25</f>
        <v>8.626822671207518E-2</v>
      </c>
      <c r="U6" s="11">
        <f>financials!T12/sofp!T25</f>
        <v>8.9185258596743464E-2</v>
      </c>
      <c r="V6" s="11">
        <f>financials!U12/sofp!U25</f>
        <v>8.9042576606650464E-2</v>
      </c>
      <c r="W6" s="11">
        <f>financials!V12/sofp!V25</f>
        <v>8.9218133237611089E-2</v>
      </c>
      <c r="X6" s="11">
        <f>financials!W12/sofp!W25</f>
        <v>9.8289152582386838E-2</v>
      </c>
      <c r="Y6" s="11">
        <f>financials!X12/sofp!X25</f>
        <v>9.8921490707903709E-2</v>
      </c>
      <c r="Z6" s="11" t="e">
        <f>financials!Y12/sofp!Y25</f>
        <v>#DIV/0!</v>
      </c>
      <c r="AA6" s="11" t="e">
        <f>financials!Z12/sofp!Z25</f>
        <v>#DIV/0!</v>
      </c>
      <c r="AB6" s="11">
        <f>financials!AA12/sofp!AA25</f>
        <v>8.6112547178059204E-2</v>
      </c>
      <c r="AC6" s="11">
        <f>financials!AB12/sofp!AB25</f>
        <v>6.3587275649642547E-2</v>
      </c>
      <c r="AD6" s="11">
        <f>financials!AC12/sofp!AC25</f>
        <v>2.1814932438281226E-2</v>
      </c>
      <c r="AE6" s="11">
        <f>financials!AD12/sofp!AD25</f>
        <v>3.5052453303452635E-2</v>
      </c>
      <c r="AF6" s="11">
        <f>financials!AE12/sofp!AE25</f>
        <v>3.4841354910630104E-2</v>
      </c>
      <c r="AG6" s="11">
        <f>financials!AF12/sofp!AF25</f>
        <v>3.4106493299129972E-2</v>
      </c>
      <c r="AH6" s="11">
        <f>financials!AG12/sofp!AG25</f>
        <v>6.6147832464277093E-2</v>
      </c>
      <c r="AI6" s="11">
        <f>financials!AH12/sofp!AH25</f>
        <v>6.610984673553072E-2</v>
      </c>
      <c r="AJ6" s="11">
        <f>financials!AI12/sofp!AI25</f>
        <v>9.9665417335176504E-2</v>
      </c>
      <c r="AK6" s="11">
        <f>financials!AJ12/sofp!AJ25</f>
        <v>0.10030147826873728</v>
      </c>
      <c r="AL6" s="11">
        <f>financials!AK12/sofp!AK25</f>
        <v>0.10783794334391894</v>
      </c>
      <c r="AM6" s="11">
        <f>financials!AL12/sofp!AL25</f>
        <v>0.11319549077753266</v>
      </c>
      <c r="AN6" s="11">
        <f>financials!AM12/sofp!AM25</f>
        <v>0.12807111969092225</v>
      </c>
      <c r="AO6" s="11">
        <f>financials!AN12/sofp!AN25</f>
        <v>8.520164365912529E-2</v>
      </c>
    </row>
    <row r="7" spans="1:41" hidden="1" x14ac:dyDescent="0.3">
      <c r="A7" s="68" t="s">
        <v>131</v>
      </c>
      <c r="B7" s="6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41" hidden="1" x14ac:dyDescent="0.3">
      <c r="A8" s="14" t="s">
        <v>132</v>
      </c>
      <c r="B8" s="15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hidden="1" x14ac:dyDescent="0.3">
      <c r="A9" s="14" t="s">
        <v>133</v>
      </c>
      <c r="B9" s="15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spans="1:41" x14ac:dyDescent="0.3">
      <c r="A10" s="67" t="s">
        <v>134</v>
      </c>
      <c r="B10" s="67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x14ac:dyDescent="0.3">
      <c r="A11" s="14" t="s">
        <v>135</v>
      </c>
      <c r="B11" s="15"/>
      <c r="C11" s="11">
        <f>soci!B33 /sofp!B25</f>
        <v>1.4408451869296917E-2</v>
      </c>
      <c r="D11" s="11">
        <f>soci!C33 /sofp!C25</f>
        <v>1.9385494671005506E-3</v>
      </c>
      <c r="E11" s="11">
        <f>soci!D33 /sofp!D25</f>
        <v>-4.6491514538811044E-3</v>
      </c>
      <c r="F11" s="11">
        <f>soci!E33 /sofp!E25</f>
        <v>3.8603133197928573E-3</v>
      </c>
      <c r="G11" s="11">
        <f>soci!F33 /sofp!F25</f>
        <v>9.8754604924355151E-3</v>
      </c>
      <c r="H11" s="11">
        <f>soci!G33 /sofp!G25</f>
        <v>7.784420240764073E-3</v>
      </c>
      <c r="I11" s="11">
        <f>soci!H33 /sofp!H25</f>
        <v>1.4214385724558389E-2</v>
      </c>
      <c r="J11" s="11">
        <f>soci!I33 /sofp!I25</f>
        <v>1.1619856490293689E-2</v>
      </c>
      <c r="K11" s="11">
        <f>soci!J33 /sofp!J25</f>
        <v>1.0134877093219552E-2</v>
      </c>
      <c r="L11" s="11">
        <f>soci!K33 /sofp!K25</f>
        <v>1.1983128416331788E-2</v>
      </c>
      <c r="M11" s="11">
        <f>soci!L33 /sofp!L25</f>
        <v>1.412859057266963E-2</v>
      </c>
      <c r="N11" s="11">
        <f>soci!M33 /sofp!M25</f>
        <v>2.7196081702540315E-3</v>
      </c>
      <c r="O11" s="11">
        <f>soci!N33 /sofp!N25</f>
        <v>6.5715419662750976E-2</v>
      </c>
      <c r="P11" s="11">
        <f>soci!O33 /sofp!O25</f>
        <v>8.716319207731681E-3</v>
      </c>
      <c r="Q11" s="11">
        <f>soci!P33 /sofp!P25</f>
        <v>1.5056253170747949E-2</v>
      </c>
      <c r="R11" s="11">
        <f>soci!Q33 /sofp!Q25</f>
        <v>2.5610057309960594E-2</v>
      </c>
      <c r="S11" s="11">
        <f>soci!R33 /sofp!R25</f>
        <v>3.384519980675426E-2</v>
      </c>
      <c r="T11" s="11">
        <f>soci!S33 /sofp!S25</f>
        <v>3.7831453111931861E-2</v>
      </c>
      <c r="U11" s="11">
        <f>soci!T33 /sofp!T25</f>
        <v>4.8155026220021657E-2</v>
      </c>
      <c r="V11" s="11">
        <f>soci!U33 /sofp!U25</f>
        <v>5.9191601471943973E-2</v>
      </c>
      <c r="W11" s="11">
        <f>soci!V33 /sofp!V25</f>
        <v>6.7583796970452817E-2</v>
      </c>
      <c r="X11" s="11">
        <f>soci!W33 /sofp!W25</f>
        <v>1.6558757634253969E-2</v>
      </c>
      <c r="Y11" s="11">
        <f>soci!X33 /sofp!X25</f>
        <v>1.7583243197245083E-2</v>
      </c>
      <c r="Z11" s="11" t="e">
        <f>soci!Y33 /sofp!Y25</f>
        <v>#DIV/0!</v>
      </c>
      <c r="AA11" s="11" t="e">
        <f>soci!Z33 /sofp!Z25</f>
        <v>#DIV/0!</v>
      </c>
      <c r="AB11" s="11">
        <f>soci!AA33 /sofp!AA25</f>
        <v>8.149867316775198E-3</v>
      </c>
      <c r="AC11" s="11">
        <f>soci!AB33 /sofp!AB25</f>
        <v>4.1011968100571056E-4</v>
      </c>
      <c r="AD11" s="11">
        <f>soci!AC33 /sofp!AC25</f>
        <v>1.0537849667858376E-2</v>
      </c>
      <c r="AE11" s="11">
        <f>soci!AD33 /sofp!AD25</f>
        <v>2.3695716159675053E-3</v>
      </c>
      <c r="AF11" s="11">
        <f>soci!AE33 /sofp!AE25</f>
        <v>1.9353283606737721E-3</v>
      </c>
      <c r="AG11" s="11">
        <f>soci!AF33 /sofp!AF25</f>
        <v>2.2212116628117697E-3</v>
      </c>
      <c r="AH11" s="11">
        <f>soci!AG33 /sofp!AG25</f>
        <v>6.706111504395749E-3</v>
      </c>
      <c r="AI11" s="11">
        <f>soci!AH33 /sofp!AH25</f>
        <v>7.155473065414226E-3</v>
      </c>
      <c r="AJ11" s="11">
        <f>soci!AI33 /sofp!AI25</f>
        <v>1.0663760362400486E-2</v>
      </c>
      <c r="AK11" s="11">
        <f>soci!AJ33 /sofp!AJ25</f>
        <v>1.1113440541826535E-2</v>
      </c>
      <c r="AL11" s="11">
        <f>soci!AK33 /sofp!AK25</f>
        <v>1.9003229781792853E-2</v>
      </c>
      <c r="AM11" s="11">
        <f>soci!AL33 /sofp!AL25</f>
        <v>2.4935591328084185E-2</v>
      </c>
      <c r="AN11" s="11">
        <f>soci!AM33 /sofp!AM25</f>
        <v>3.8118405897509727E-2</v>
      </c>
      <c r="AO11" s="11">
        <f>soci!AN33 /sofp!AN25</f>
        <v>1.4215887210216945E-2</v>
      </c>
    </row>
    <row r="12" spans="1:41" x14ac:dyDescent="0.3">
      <c r="A12" s="14" t="s">
        <v>136</v>
      </c>
      <c r="B12" s="15"/>
      <c r="C12" s="11">
        <f>soci!B23 /sofp!B19</f>
        <v>2.657865077622565</v>
      </c>
      <c r="D12" s="11">
        <f>soci!C23 /sofp!C19</f>
        <v>2.6045108480419406E-2</v>
      </c>
      <c r="E12" s="11">
        <f>soci!D23 /sofp!D19</f>
        <v>4.9595348178712341E-2</v>
      </c>
      <c r="F12" s="11">
        <f>soci!E23 /sofp!E19</f>
        <v>8.2408185341484974E-2</v>
      </c>
      <c r="G12" s="11">
        <f>soci!F23 /sofp!F19</f>
        <v>0.12092590483655564</v>
      </c>
      <c r="H12" s="11">
        <f>soci!G23 /sofp!G19</f>
        <v>0.15269350124583189</v>
      </c>
      <c r="I12" s="11">
        <f>soci!H23 /sofp!H19</f>
        <v>0.16616601768661637</v>
      </c>
      <c r="J12" s="11">
        <f>soci!I23 /sofp!I19</f>
        <v>0.21699948877379033</v>
      </c>
      <c r="K12" s="11">
        <f>soci!J23 /sofp!J19</f>
        <v>0.24045916520088936</v>
      </c>
      <c r="L12" s="11">
        <f>soci!K23 /sofp!K19</f>
        <v>0.26067537097236915</v>
      </c>
      <c r="M12" s="11">
        <f>soci!L23 /sofp!L19</f>
        <v>0.28203511078253818</v>
      </c>
      <c r="N12" s="11">
        <f>soci!M23 /sofp!M19</f>
        <v>0.30323285993336141</v>
      </c>
      <c r="O12" s="11">
        <f>soci!N23 /sofp!N19</f>
        <v>1.9489935613532938</v>
      </c>
      <c r="P12" s="11">
        <f>soci!O23 /sofp!O19</f>
        <v>0</v>
      </c>
      <c r="Q12" s="11">
        <f>soci!P23 /sofp!P19</f>
        <v>0</v>
      </c>
      <c r="R12" s="11">
        <f>soci!Q23 /sofp!Q19</f>
        <v>0</v>
      </c>
      <c r="S12" s="11">
        <f>soci!R23 /sofp!R19</f>
        <v>0</v>
      </c>
      <c r="T12" s="11">
        <f>soci!S23 /sofp!S19</f>
        <v>0</v>
      </c>
      <c r="U12" s="11">
        <f>soci!T23 /sofp!T19</f>
        <v>0</v>
      </c>
      <c r="V12" s="11">
        <f>soci!U23 /sofp!U19</f>
        <v>0</v>
      </c>
      <c r="W12" s="11">
        <f>soci!V23 /sofp!V19</f>
        <v>0</v>
      </c>
      <c r="X12" s="11">
        <f>soci!W23 /sofp!W19</f>
        <v>0.24476375036012998</v>
      </c>
      <c r="Y12" s="11">
        <f>soci!X23 /sofp!X19</f>
        <v>0.26800684530338642</v>
      </c>
      <c r="Z12" s="11" t="e">
        <f>soci!Y23 /sofp!Y19</f>
        <v>#DIV/0!</v>
      </c>
      <c r="AA12" s="11" t="e">
        <f>soci!Z23 /sofp!Z19</f>
        <v>#DIV/0!</v>
      </c>
      <c r="AB12" s="11">
        <f>soci!AA23 /sofp!AA19</f>
        <v>1.730324673119122</v>
      </c>
      <c r="AC12" s="11">
        <f>soci!AB23 /sofp!AB19</f>
        <v>2.9311488066147268E-2</v>
      </c>
      <c r="AD12" s="11">
        <f>soci!AC23 /sofp!AC19</f>
        <v>0</v>
      </c>
      <c r="AE12" s="11">
        <f>soci!AD23 /sofp!AD19</f>
        <v>8.0206161876145488E-2</v>
      </c>
      <c r="AF12" s="11">
        <f>soci!AE23 /sofp!AE19</f>
        <v>0.11193925088399746</v>
      </c>
      <c r="AG12" s="11">
        <f>soci!AF23 /sofp!AF19</f>
        <v>0.14473528026418092</v>
      </c>
      <c r="AH12" s="11">
        <f>soci!AG23 /sofp!AG19</f>
        <v>0.17489781222245934</v>
      </c>
      <c r="AI12" s="11">
        <f>soci!AH23 /sofp!AH19</f>
        <v>0.20021865243998993</v>
      </c>
      <c r="AJ12" s="11">
        <f>soci!AI23 /sofp!AI19</f>
        <v>0.22475944651182242</v>
      </c>
      <c r="AK12" s="11">
        <f>soci!AJ23 /sofp!AJ19</f>
        <v>0.2513318394825248</v>
      </c>
      <c r="AL12" s="11">
        <f>soci!AK23 /sofp!AK19</f>
        <v>0.24916208905114898</v>
      </c>
      <c r="AM12" s="11">
        <f>soci!AL23 /sofp!AL19</f>
        <v>0.24089471368729728</v>
      </c>
      <c r="AN12" s="11">
        <f>soci!AM23 /sofp!AM19</f>
        <v>0.28638842919376822</v>
      </c>
      <c r="AO12" s="11">
        <f>soci!AN23 /sofp!AN19</f>
        <v>0.3282842680288216</v>
      </c>
    </row>
    <row r="13" spans="1:41" x14ac:dyDescent="0.3">
      <c r="A13" s="14" t="s">
        <v>137</v>
      </c>
      <c r="B13" s="15"/>
      <c r="C13" s="11">
        <f>(soci!B12 + soci!B23) / ((sofp!B25 + sofp!C25)/2)</f>
        <v>0.14535745586215201</v>
      </c>
      <c r="D13" s="11">
        <f>(soci!C12 + soci!C23) / ((sofp!C25 + sofp!D25)/2)</f>
        <v>8.2990877660102103E-3</v>
      </c>
      <c r="E13" s="11">
        <f>(soci!D12 + soci!D23) / ((sofp!D25 + sofp!E25)/2)</f>
        <v>1.628287582510823E-2</v>
      </c>
      <c r="F13" s="11">
        <f>(soci!E12 + soci!E23) / ((sofp!E25 + sofp!F25)/2)</f>
        <v>2.5495775793093204E-2</v>
      </c>
      <c r="G13" s="11">
        <f>(soci!F12 + soci!F23) / ((sofp!F25 + sofp!G25)/2)</f>
        <v>3.7669952186737181E-2</v>
      </c>
      <c r="H13" s="11">
        <f>(soci!G12 + soci!G23) / ((sofp!G25 + sofp!H25)/2)</f>
        <v>4.8981474984917832E-2</v>
      </c>
      <c r="I13" s="11">
        <f>(soci!H12 + soci!H23) / ((sofp!H25 + sofp!I25)/2)</f>
        <v>5.3836470076831067E-2</v>
      </c>
      <c r="J13" s="11">
        <f>(soci!I12 + soci!I23) / ((sofp!I25 + sofp!K25)/2)</f>
        <v>7.3520373103081335E-2</v>
      </c>
      <c r="K13" s="11">
        <f>(soci!J12 + soci!J23) / ((sofp!J25 + sofp!L25)/2)</f>
        <v>7.787398740656136E-2</v>
      </c>
      <c r="L13" s="11">
        <f>(soci!K12 + soci!K23) / ((sofp!K25 + sofp!M25)/2)</f>
        <v>8.8033320663439926E-2</v>
      </c>
      <c r="M13" s="11">
        <f>(soci!L12 + soci!L23) / ((sofp!L25 + sofp!N25)/2)</f>
        <v>9.3757830853090085E-2</v>
      </c>
      <c r="N13" s="11">
        <f>(soci!M12 + soci!M23) / ((sofp!M25 + sofp!O25)/2)</f>
        <v>0.11509379522454281</v>
      </c>
      <c r="O13" s="11">
        <f>(soci!N12 + soci!N23) / ((sofp!N25 + sofp!P25)/2)</f>
        <v>6.9196197251722102E-2</v>
      </c>
      <c r="P13" s="11">
        <f>(soci!O12 + soci!O23) / ((sofp!O25 + sofp!Q25)/2)</f>
        <v>1.0342265541346102E-3</v>
      </c>
      <c r="Q13" s="11">
        <f>(soci!P12 + soci!P23) / ((sofp!P25 + sofp!R25)/2)</f>
        <v>4.4008382013601775E-3</v>
      </c>
      <c r="R13" s="11">
        <f>(soci!Q12 + soci!Q23) / ((sofp!Q25 + sofp!S25)/2)</f>
        <v>5.3258019988123946E-3</v>
      </c>
      <c r="S13" s="11">
        <f>(soci!R12 + soci!R23) / ((sofp!R25 + sofp!T25)/2)</f>
        <v>6.5316102104474834E-3</v>
      </c>
      <c r="T13" s="11">
        <f>(soci!S12 + soci!S23) / ((sofp!S25 + sofp!U25)/2)</f>
        <v>1.4633652041611997E-2</v>
      </c>
      <c r="U13" s="11">
        <f>(soci!T12 + soci!T23) / ((sofp!T25 + sofp!V25)/2)</f>
        <v>1.5854533487674932E-2</v>
      </c>
      <c r="V13" s="11">
        <f>(soci!U12 + soci!U23) / ((sofp!U25 + sofp!W25)/2)</f>
        <v>1.6660655993232895E-2</v>
      </c>
      <c r="W13" s="11">
        <f>(soci!V12 + soci!V23) / ((sofp!V25 + sofp!X25)/2)</f>
        <v>1.8590333495933708E-2</v>
      </c>
      <c r="X13" s="11">
        <f>(soci!W12 + soci!W23) / ((sofp!W25 + sofp!Y25)/2)</f>
        <v>0.17060215002807452</v>
      </c>
      <c r="Y13" s="11">
        <f>(soci!X12 + soci!X23) / ((sofp!X25 + sofp!Z25)/2)</f>
        <v>0.18963732655969698</v>
      </c>
      <c r="Z13" s="11">
        <f>(soci!Y12 + soci!Y23) / ((sofp!Y25 + sofp!AA25)/2)</f>
        <v>0</v>
      </c>
      <c r="AA13" s="11">
        <f>(soci!Z12 + soci!Z23) / ((sofp!Z25 + sofp!AB25)/2)</f>
        <v>0</v>
      </c>
      <c r="AB13" s="11">
        <f>(soci!AA12 + soci!AA23) / ((sofp!AA25 + sofp!AC25)/2)</f>
        <v>0.11815531415223879</v>
      </c>
      <c r="AC13" s="11">
        <f>(soci!AB12 + soci!AB23) / ((sofp!AB25 + sofp!AD25)/2)</f>
        <v>6.1624723566495723E-3</v>
      </c>
      <c r="AD13" s="11">
        <f>(soci!AC12 + soci!AC23) / ((sofp!AC25 + sofp!AE25)/2)</f>
        <v>1.9846478110821975E-3</v>
      </c>
      <c r="AE13" s="11">
        <f>(soci!AD12 + soci!AD23) / ((sofp!AD25 + sofp!AF25)/2)</f>
        <v>1.7193200706127787E-2</v>
      </c>
      <c r="AF13" s="11">
        <f>(soci!AE12 + soci!AE23) / ((sofp!AE25 + sofp!AG25)/2)</f>
        <v>2.3620224245418653E-2</v>
      </c>
      <c r="AG13" s="11">
        <f>(soci!AF12 + soci!AF23) / ((sofp!AF25 + sofp!AH25)/2)</f>
        <v>3.0623973931559238E-2</v>
      </c>
      <c r="AH13" s="11">
        <f>(soci!AG12 + soci!AG23) / ((sofp!AG25 + sofp!AI25)/2)</f>
        <v>4.4041825413283928E-2</v>
      </c>
      <c r="AI13" s="11">
        <f>(soci!AH12 + soci!AH23) / ((sofp!AH25 + sofp!AJ25)/2)</f>
        <v>5.108419493896682E-2</v>
      </c>
      <c r="AJ13" s="11">
        <f>(soci!AI12 + soci!AI23) / ((sofp!AI25 + sofp!AK25)/2)</f>
        <v>7.467350219674114E-2</v>
      </c>
      <c r="AK13" s="11">
        <f>(soci!AJ12 + soci!AJ23) / ((sofp!AJ25 + sofp!AL25)/2)</f>
        <v>8.3665853504502882E-2</v>
      </c>
      <c r="AL13" s="11">
        <f>(soci!AK12 + soci!AK23) / ((sofp!AK25 + sofp!AM25)/2)</f>
        <v>8.6323017319575757E-2</v>
      </c>
      <c r="AM13" s="11">
        <f>(soci!AL12 + soci!AL23) / ((sofp!AL25 + sofp!AN25)/2)</f>
        <v>8.8325949468313236E-2</v>
      </c>
      <c r="AN13" s="11">
        <f>(soci!AM12 + soci!AM23) / ((sofp!AM25 + sofp!AO25)/2)</f>
        <v>0.19658782296114322</v>
      </c>
      <c r="AO13" s="11">
        <f>(soci!AN12 + soci!AN23) / ((sofp!AN25 + sofp!AP25)/2)</f>
        <v>0.29259008873139625</v>
      </c>
    </row>
    <row r="14" spans="1:41" x14ac:dyDescent="0.3">
      <c r="A14" s="67" t="s">
        <v>138</v>
      </c>
      <c r="B14" s="67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  <row r="15" spans="1:41" x14ac:dyDescent="0.3">
      <c r="A15" s="14" t="s">
        <v>139</v>
      </c>
      <c r="B15" s="15" t="s">
        <v>140</v>
      </c>
      <c r="C15" s="11">
        <f>financials!B33/(financials!B8+financials!B6)</f>
        <v>0.12239645516301481</v>
      </c>
      <c r="D15" s="11">
        <f>financials!C33/(financials!C8+financials!C6)</f>
        <v>0.11365355678133893</v>
      </c>
      <c r="E15" s="11">
        <f>financials!D33/(financials!D8+financials!D6)</f>
        <v>0.10217092399552827</v>
      </c>
      <c r="F15" s="11">
        <f>financials!E33/(financials!E8+financials!E6)</f>
        <v>0.17579141406777293</v>
      </c>
      <c r="G15" s="11">
        <f>financials!F33/(financials!F8+financials!F6)</f>
        <v>0.16649636517032082</v>
      </c>
      <c r="H15" s="11">
        <f>financials!G33/(financials!G8+financials!G6)</f>
        <v>0.15038754201669816</v>
      </c>
      <c r="I15" s="11">
        <f>financials!H33/(financials!H8+financials!H6)</f>
        <v>0.13354840562133005</v>
      </c>
      <c r="J15" s="11">
        <f>financials!I33/(financials!I8+financials!I6)</f>
        <v>0.14852175397513998</v>
      </c>
      <c r="K15" s="11">
        <f>financials!J33/(financials!J8+financials!J6)</f>
        <v>0.3734320011329112</v>
      </c>
      <c r="L15" s="11">
        <f>financials!K33/(financials!K8+financials!K6)</f>
        <v>0.21356993904307497</v>
      </c>
      <c r="M15" s="11">
        <f>financials!L33/(financials!L8+financials!L6)</f>
        <v>0.18678952199976404</v>
      </c>
      <c r="N15" s="11">
        <f>financials!M33/(financials!M8+financials!M6)</f>
        <v>0.13279709633266151</v>
      </c>
      <c r="O15" s="11">
        <f>financials!N33/(financials!N8+financials!N6)</f>
        <v>0.13803935471294895</v>
      </c>
      <c r="P15" s="11">
        <f>financials!O33/(financials!O8+financials!O6)</f>
        <v>0.11303104845320808</v>
      </c>
      <c r="Q15" s="11">
        <f>financials!P33/(financials!P8+financials!P6)</f>
        <v>8.0549705216867482E-2</v>
      </c>
      <c r="R15" s="11">
        <f>financials!Q33/(financials!Q8+financials!Q6)</f>
        <v>0.11927909345273496</v>
      </c>
      <c r="S15" s="11">
        <f>financials!R33/(financials!R8+financials!R6)</f>
        <v>0.14795853513934218</v>
      </c>
      <c r="T15" s="11">
        <f>financials!S33/(financials!S8+financials!S6)</f>
        <v>0.11663780082369377</v>
      </c>
      <c r="U15" s="11">
        <f>financials!T33/(financials!T8+financials!T6)</f>
        <v>0.11627760563872241</v>
      </c>
      <c r="V15" s="11">
        <f>financials!U33/(financials!U8+financials!U6)</f>
        <v>0.11393814941830607</v>
      </c>
      <c r="W15" s="11">
        <f>financials!V33/(financials!V8+financials!V6)</f>
        <v>0.12457863753976961</v>
      </c>
      <c r="X15" s="11">
        <f>financials!W33/(financials!W8+financials!W6)</f>
        <v>0.11719351043363609</v>
      </c>
      <c r="Y15" s="11">
        <f>financials!X33/(financials!X8+financials!X6)</f>
        <v>0.10008375588506092</v>
      </c>
      <c r="Z15" s="11" t="e">
        <f>financials!Y33/(financials!Y8+financials!Y6)</f>
        <v>#DIV/0!</v>
      </c>
      <c r="AA15" s="11" t="e">
        <f>financials!Z33/(financials!Z8+financials!Z6)</f>
        <v>#DIV/0!</v>
      </c>
      <c r="AB15" s="11">
        <f>financials!AA33/(financials!AA8+financials!AA6)</f>
        <v>0.13738601722565336</v>
      </c>
      <c r="AC15" s="11">
        <f>financials!AB33/(financials!AB8+financials!AB6)</f>
        <v>0.1434227831256655</v>
      </c>
      <c r="AD15" s="11">
        <f>financials!AC33/(financials!AC8+financials!AC6)</f>
        <v>9.4872031335760248E-2</v>
      </c>
      <c r="AE15" s="11">
        <f>financials!AD33/(financials!AD8+financials!AD6)</f>
        <v>0.13546532753495671</v>
      </c>
      <c r="AF15" s="11">
        <f>financials!AE33/(financials!AE8+financials!AE6)</f>
        <v>0.12357786345637055</v>
      </c>
      <c r="AG15" s="11">
        <f>financials!AF33/(financials!AF8+financials!AF6)</f>
        <v>0.13781363166978922</v>
      </c>
      <c r="AH15" s="11">
        <f>financials!AG33/(financials!AG8+financials!AG6)</f>
        <v>0.11720050190226401</v>
      </c>
      <c r="AI15" s="11">
        <f>financials!AH33/(financials!AH8+financials!AH6)</f>
        <v>0.13520130202049632</v>
      </c>
      <c r="AJ15" s="11">
        <f>financials!AI33/(financials!AI8+financials!AI6)</f>
        <v>0.11066931704462513</v>
      </c>
      <c r="AK15" s="11">
        <f>financials!AJ33/(financials!AJ8+financials!AJ6)</f>
        <v>0.10470561464198794</v>
      </c>
      <c r="AL15" s="11">
        <f>financials!AK33/(financials!AK8+financials!AK6)</f>
        <v>0.11639542905930333</v>
      </c>
      <c r="AM15" s="11">
        <f>financials!AL33/(financials!AL8+financials!AL6)</f>
        <v>9.9515960056922648E-2</v>
      </c>
      <c r="AN15" s="11">
        <f>financials!AM33/(financials!AM8+financials!AM6)</f>
        <v>0.11192823864617456</v>
      </c>
      <c r="AO15" s="11">
        <f>financials!AN33/(financials!AN8+financials!AN6)</f>
        <v>0.1267605474483024</v>
      </c>
    </row>
    <row r="16" spans="1:41" x14ac:dyDescent="0.3">
      <c r="A16" s="14" t="s">
        <v>141</v>
      </c>
      <c r="B16" s="15"/>
      <c r="C16" s="11">
        <f>financials!B33/financials!B3</f>
        <v>7.8715750036640164E-2</v>
      </c>
      <c r="D16" s="11">
        <f>financials!C33/financials!C3</f>
        <v>7.2993525484586708E-2</v>
      </c>
      <c r="E16" s="11">
        <f>financials!D33/financials!D3</f>
        <v>6.3349544561610363E-2</v>
      </c>
      <c r="F16" s="11">
        <f>financials!E33/financials!E3</f>
        <v>0.10869183554446114</v>
      </c>
      <c r="G16" s="11">
        <f>financials!F33/financials!F3</f>
        <v>0.10388711608113714</v>
      </c>
      <c r="H16" s="11">
        <f>financials!G33/financials!G3</f>
        <v>9.2645173171584605E-2</v>
      </c>
      <c r="I16" s="11">
        <f>financials!H33/financials!H3</f>
        <v>8.0423670780308584E-2</v>
      </c>
      <c r="J16" s="11">
        <f>financials!I33/financials!I3</f>
        <v>8.8889209258203691E-2</v>
      </c>
      <c r="K16" s="11">
        <f>financials!J33/financials!J3</f>
        <v>0.19718350878866142</v>
      </c>
      <c r="L16" s="11">
        <f>financials!K33/financials!K3</f>
        <v>0.12135594618244992</v>
      </c>
      <c r="M16" s="11">
        <f>financials!L33/financials!L3</f>
        <v>0.10538300738280097</v>
      </c>
      <c r="N16" s="11">
        <f>financials!M33/financials!M3</f>
        <v>7.7374394952550718E-2</v>
      </c>
      <c r="O16" s="11">
        <f>financials!N33/financials!N3</f>
        <v>8.044388822468336E-2</v>
      </c>
      <c r="P16" s="11">
        <f>financials!O33/financials!O3</f>
        <v>6.6162718414643801E-2</v>
      </c>
      <c r="Q16" s="11">
        <f>financials!P33/financials!P3</f>
        <v>4.6965778418980177E-2</v>
      </c>
      <c r="R16" s="11">
        <f>financials!Q33/financials!Q3</f>
        <v>6.8623359176223253E-2</v>
      </c>
      <c r="S16" s="11">
        <f>financials!R33/financials!R3</f>
        <v>8.5461703928174232E-2</v>
      </c>
      <c r="T16" s="11">
        <f>financials!S33/financials!S3</f>
        <v>6.6459775971727753E-2</v>
      </c>
      <c r="U16" s="11">
        <f>financials!T33/financials!T3</f>
        <v>6.6373546165659533E-2</v>
      </c>
      <c r="V16" s="11">
        <f>financials!U33/financials!U3</f>
        <v>6.5257692385790642E-2</v>
      </c>
      <c r="W16" s="11">
        <f>financials!V33/financials!V3</f>
        <v>7.1022270594098741E-2</v>
      </c>
      <c r="X16" s="11">
        <f>financials!W33/financials!W3</f>
        <v>6.6407142855517007E-2</v>
      </c>
      <c r="Y16" s="11">
        <f>financials!X33/financials!X3</f>
        <v>5.6648516516821859E-2</v>
      </c>
      <c r="Z16" s="11" t="e">
        <f>financials!Y33/financials!Y3</f>
        <v>#DIV/0!</v>
      </c>
      <c r="AA16" s="11" t="e">
        <f>financials!Z33/financials!Z3</f>
        <v>#DIV/0!</v>
      </c>
      <c r="AB16" s="11">
        <f>financials!AA33/financials!AA3</f>
        <v>8.0063305466209905E-2</v>
      </c>
      <c r="AC16" s="11">
        <f>financials!AB33/financials!AB3</f>
        <v>5.0736953599709422E-2</v>
      </c>
      <c r="AD16" s="11">
        <f>financials!AC33/financials!AC3</f>
        <v>3.6770670199981349E-2</v>
      </c>
      <c r="AE16" s="11">
        <f>financials!AD33/financials!AD3</f>
        <v>5.3079426906734582E-2</v>
      </c>
      <c r="AF16" s="11">
        <f>financials!AE33/financials!AE3</f>
        <v>4.7590971866812055E-2</v>
      </c>
      <c r="AG16" s="11">
        <f>financials!AF33/financials!AF3</f>
        <v>5.0223408955873385E-2</v>
      </c>
      <c r="AH16" s="11">
        <f>financials!AG33/financials!AG3</f>
        <v>4.062430884517134E-2</v>
      </c>
      <c r="AI16" s="11">
        <f>financials!AH33/financials!AH3</f>
        <v>4.6249416418166885E-2</v>
      </c>
      <c r="AJ16" s="11">
        <f>financials!AI33/financials!AI3</f>
        <v>5.7739188858628922E-2</v>
      </c>
      <c r="AK16" s="11">
        <f>financials!AJ33/financials!AJ3</f>
        <v>5.4144053615664094E-2</v>
      </c>
      <c r="AL16" s="11">
        <f>financials!AK33/financials!AK3</f>
        <v>5.9463501923240715E-2</v>
      </c>
      <c r="AM16" s="11">
        <f>financials!AL33/financials!AL3</f>
        <v>5.0404557458955786E-2</v>
      </c>
      <c r="AN16" s="11">
        <f>financials!AM33/financials!AM3</f>
        <v>5.4962672412373098E-2</v>
      </c>
      <c r="AO16" s="11">
        <f>financials!AN33/financials!AN3</f>
        <v>6.8055018213046325E-2</v>
      </c>
    </row>
    <row r="17" spans="1:41" x14ac:dyDescent="0.3">
      <c r="A17" s="14" t="s">
        <v>142</v>
      </c>
      <c r="B17" s="15" t="s">
        <v>143</v>
      </c>
      <c r="C17" s="11">
        <f>sofp!B35 / sofp!B25</f>
        <v>8.5522839843954562E-2</v>
      </c>
      <c r="D17" s="11">
        <f>sofp!C35 / sofp!C25</f>
        <v>8.2722817719700442E-2</v>
      </c>
      <c r="E17" s="11">
        <f>sofp!D35 / sofp!D25</f>
        <v>0.10556324771995372</v>
      </c>
      <c r="F17" s="11">
        <f>sofp!E35 / sofp!E25</f>
        <v>0.10261326805926831</v>
      </c>
      <c r="G17" s="11">
        <f>sofp!F35 / sofp!F25</f>
        <v>8.3891968330668004E-2</v>
      </c>
      <c r="H17" s="11">
        <f>sofp!G35 / sofp!G25</f>
        <v>8.1121384506896557E-2</v>
      </c>
      <c r="I17" s="11">
        <f>sofp!H35 / sofp!H25</f>
        <v>8.8829024908502835E-2</v>
      </c>
      <c r="J17" s="11">
        <f>sofp!I35 / sofp!I25</f>
        <v>9.5099271692837342E-2</v>
      </c>
      <c r="K17" s="11">
        <f>sofp!J35 / sofp!J25</f>
        <v>0.20090129487881087</v>
      </c>
      <c r="L17" s="11">
        <f>sofp!K35 / sofp!K25</f>
        <v>0.14243970465052361</v>
      </c>
      <c r="M17" s="11">
        <f>sofp!L35 / sofp!L25</f>
        <v>0.14247312255641437</v>
      </c>
      <c r="N17" s="11">
        <f>sofp!M35 / sofp!M25</f>
        <v>0.14006231084226151</v>
      </c>
      <c r="O17" s="11">
        <f>sofp!N35 / sofp!N25</f>
        <v>0.15066497576072876</v>
      </c>
      <c r="P17" s="11">
        <f>sofp!O35 / sofp!O25</f>
        <v>0.14542418378115038</v>
      </c>
      <c r="Q17" s="11">
        <f>sofp!P35 / sofp!P25</f>
        <v>0.14281437954885837</v>
      </c>
      <c r="R17" s="11">
        <f>sofp!Q35 / sofp!Q25</f>
        <v>0.14097677451639692</v>
      </c>
      <c r="S17" s="11">
        <f>sofp!R35 / sofp!R25</f>
        <v>0.1449536488338089</v>
      </c>
      <c r="T17" s="11">
        <f>sofp!S35 / sofp!S25</f>
        <v>0.1476955903109658</v>
      </c>
      <c r="U17" s="11">
        <f>sofp!T35 / sofp!T25</f>
        <v>0.14059962380938137</v>
      </c>
      <c r="V17" s="11">
        <f>sofp!U35 / sofp!U25</f>
        <v>0.13196737934120051</v>
      </c>
      <c r="W17" s="11">
        <f>sofp!V35 / sofp!V25</f>
        <v>0.13604044288829581</v>
      </c>
      <c r="X17" s="11">
        <f>sofp!W35 / sofp!W25</f>
        <v>0.1288670134517417</v>
      </c>
      <c r="Y17" s="11">
        <f>sofp!X35 / sofp!X25</f>
        <v>0.12716921997966046</v>
      </c>
      <c r="Z17" s="11" t="e">
        <f>sofp!Y35 / sofp!Y25</f>
        <v>#DIV/0!</v>
      </c>
      <c r="AA17" s="11" t="e">
        <f>sofp!Z35 / sofp!Z25</f>
        <v>#DIV/0!</v>
      </c>
      <c r="AB17" s="11">
        <f>sofp!AA35 / sofp!AA25</f>
        <v>0.12642141637672416</v>
      </c>
      <c r="AC17" s="11">
        <f>sofp!AB35 / sofp!AB25</f>
        <v>0.10274402337589125</v>
      </c>
      <c r="AD17" s="11">
        <f>sofp!AC35 / sofp!AC25</f>
        <v>0.10351129192684697</v>
      </c>
      <c r="AE17" s="11">
        <f>sofp!AD35 / sofp!AD25</f>
        <v>9.7161921814330351E-2</v>
      </c>
      <c r="AF17" s="11">
        <f>sofp!AE35 / sofp!AE25</f>
        <v>0.10068142249969113</v>
      </c>
      <c r="AG17" s="11">
        <f>sofp!AF35 / sofp!AF25</f>
        <v>0.12331327757563175</v>
      </c>
      <c r="AH17" s="11">
        <f>sofp!AG35 / sofp!AG25</f>
        <v>0.11602215122326587</v>
      </c>
      <c r="AI17" s="11">
        <f>sofp!AH35 / sofp!AH25</f>
        <v>0.11964379373371875</v>
      </c>
      <c r="AJ17" s="11">
        <f>sofp!AI35 / sofp!AI25</f>
        <v>0.1650044759513824</v>
      </c>
      <c r="AK17" s="11">
        <f>sofp!AJ35 / sofp!AJ25</f>
        <v>0.16609878734362424</v>
      </c>
      <c r="AL17" s="11">
        <f>sofp!AK35 / sofp!AK25</f>
        <v>0.16299528157197246</v>
      </c>
      <c r="AM17" s="11">
        <f>sofp!AL35 / sofp!AL25</f>
        <v>0.1595109329115463</v>
      </c>
      <c r="AN17" s="11">
        <f>sofp!AM35 / sofp!AM25</f>
        <v>0.16081835399576469</v>
      </c>
      <c r="AO17" s="11">
        <f>sofp!AN35 / sofp!AN25</f>
        <v>0.15481785311647581</v>
      </c>
    </row>
    <row r="18" spans="1:41" x14ac:dyDescent="0.3">
      <c r="A18" s="14" t="s">
        <v>144</v>
      </c>
      <c r="B18" s="15"/>
      <c r="C18" s="11">
        <f>financials!B33 / financials!B3</f>
        <v>7.8715750036640164E-2</v>
      </c>
      <c r="D18" s="11">
        <f>financials!C33 / financials!C3</f>
        <v>7.2993525484586708E-2</v>
      </c>
      <c r="E18" s="11">
        <f>financials!D33 / financials!D3</f>
        <v>6.3349544561610363E-2</v>
      </c>
      <c r="F18" s="11">
        <f>financials!E33 / financials!E3</f>
        <v>0.10869183554446114</v>
      </c>
      <c r="G18" s="11">
        <f>financials!F33 / financials!F3</f>
        <v>0.10388711608113714</v>
      </c>
      <c r="H18" s="11">
        <f>financials!G33 / financials!G3</f>
        <v>9.2645173171584605E-2</v>
      </c>
      <c r="I18" s="11">
        <f>financials!H33 / financials!H3</f>
        <v>8.0423670780308584E-2</v>
      </c>
      <c r="J18" s="11">
        <f>financials!I33 / financials!I3</f>
        <v>8.8889209258203691E-2</v>
      </c>
      <c r="K18" s="11">
        <f>financials!J33 / financials!J3</f>
        <v>0.19718350878866142</v>
      </c>
      <c r="L18" s="11">
        <f>financials!K33 / financials!K3</f>
        <v>0.12135594618244992</v>
      </c>
      <c r="M18" s="11">
        <f>financials!L33 / financials!L3</f>
        <v>0.10538300738280097</v>
      </c>
      <c r="N18" s="11">
        <f>financials!M33 / financials!M3</f>
        <v>7.7374394952550718E-2</v>
      </c>
      <c r="O18" s="11">
        <f>financials!N33 / financials!N3</f>
        <v>8.044388822468336E-2</v>
      </c>
      <c r="P18" s="11">
        <f>financials!O33 / financials!O3</f>
        <v>6.6162718414643801E-2</v>
      </c>
      <c r="Q18" s="11">
        <f>financials!P33 / financials!P3</f>
        <v>4.6965778418980177E-2</v>
      </c>
      <c r="R18" s="11">
        <f>financials!Q33 / financials!Q3</f>
        <v>6.8623359176223253E-2</v>
      </c>
      <c r="S18" s="11">
        <f>financials!R33 / financials!R3</f>
        <v>8.5461703928174232E-2</v>
      </c>
      <c r="T18" s="11">
        <f>financials!S33 / financials!S3</f>
        <v>6.6459775971727753E-2</v>
      </c>
      <c r="U18" s="11">
        <f>financials!T33 / financials!T3</f>
        <v>6.6373546165659533E-2</v>
      </c>
      <c r="V18" s="11">
        <f>financials!U33 / financials!U3</f>
        <v>6.5257692385790642E-2</v>
      </c>
      <c r="W18" s="11">
        <f>financials!V33 / financials!V3</f>
        <v>7.1022270594098741E-2</v>
      </c>
      <c r="X18" s="11">
        <f>financials!W33 / financials!W3</f>
        <v>6.6407142855517007E-2</v>
      </c>
      <c r="Y18" s="11">
        <f>financials!X33 / financials!X3</f>
        <v>5.6648516516821859E-2</v>
      </c>
      <c r="Z18" s="11" t="e">
        <f>financials!Y33 / financials!Y3</f>
        <v>#DIV/0!</v>
      </c>
      <c r="AA18" s="11" t="e">
        <f>financials!Z33 / financials!Z3</f>
        <v>#DIV/0!</v>
      </c>
      <c r="AB18" s="11">
        <f>financials!AA33 / financials!AA3</f>
        <v>8.0063305466209905E-2</v>
      </c>
      <c r="AC18" s="11">
        <f>financials!AB33 / financials!AB3</f>
        <v>5.0736953599709422E-2</v>
      </c>
      <c r="AD18" s="11">
        <f>financials!AC33 / financials!AC3</f>
        <v>3.6770670199981349E-2</v>
      </c>
      <c r="AE18" s="11">
        <f>financials!AD33 / financials!AD3</f>
        <v>5.3079426906734582E-2</v>
      </c>
      <c r="AF18" s="11">
        <f>financials!AE33 / financials!AE3</f>
        <v>4.7590971866812055E-2</v>
      </c>
      <c r="AG18" s="11">
        <f>financials!AF33 / financials!AF3</f>
        <v>5.0223408955873385E-2</v>
      </c>
      <c r="AH18" s="11">
        <f>financials!AG33 / financials!AG3</f>
        <v>4.062430884517134E-2</v>
      </c>
      <c r="AI18" s="11">
        <f>financials!AH33 / financials!AH3</f>
        <v>4.6249416418166885E-2</v>
      </c>
      <c r="AJ18" s="11">
        <f>financials!AI33 / financials!AI3</f>
        <v>5.7739188858628922E-2</v>
      </c>
      <c r="AK18" s="11">
        <f>financials!AJ33 / financials!AJ3</f>
        <v>5.4144053615664094E-2</v>
      </c>
      <c r="AL18" s="11">
        <f>financials!AK33 / financials!AK3</f>
        <v>5.9463501923240715E-2</v>
      </c>
      <c r="AM18" s="11">
        <f>financials!AL33 / financials!AL3</f>
        <v>5.0404557458955786E-2</v>
      </c>
      <c r="AN18" s="11">
        <f>financials!AM33 / financials!AM3</f>
        <v>5.4962672412373098E-2</v>
      </c>
      <c r="AO18" s="11">
        <f>financials!AN33 / financials!AN3</f>
        <v>6.8055018213046325E-2</v>
      </c>
    </row>
    <row r="19" spans="1:41" x14ac:dyDescent="0.3">
      <c r="A19" s="67" t="s">
        <v>145</v>
      </c>
      <c r="B19" s="6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x14ac:dyDescent="0.3">
      <c r="A20" s="14" t="s">
        <v>146</v>
      </c>
      <c r="B20" s="15" t="s">
        <v>147</v>
      </c>
      <c r="C20" s="11">
        <f>financials!B35 / financials!B3</f>
        <v>0.25130911801723732</v>
      </c>
      <c r="D20" s="11">
        <f>financials!C35 / financials!C3</f>
        <v>0.25562766998512526</v>
      </c>
      <c r="E20" s="11">
        <f>financials!D35 / financials!D3</f>
        <v>0.25984452305120725</v>
      </c>
      <c r="F20" s="11">
        <f>financials!E35 / financials!E3</f>
        <v>0.25587186765002523</v>
      </c>
      <c r="G20" s="11">
        <f>financials!F35 / financials!F3</f>
        <v>0.26274491472977207</v>
      </c>
      <c r="H20" s="11">
        <f>financials!G35 / financials!G3</f>
        <v>0.26856432665443936</v>
      </c>
      <c r="I20" s="11">
        <f>financials!H35 / financials!H3</f>
        <v>0.26931199377266435</v>
      </c>
      <c r="J20" s="11">
        <f>financials!I35 / financials!I3</f>
        <v>0.25944367311397659</v>
      </c>
      <c r="K20" s="11">
        <f>financials!J35 / financials!J3</f>
        <v>0.22950740157909091</v>
      </c>
      <c r="L20" s="11">
        <f>financials!K35 / financials!K3</f>
        <v>0.24866576417182565</v>
      </c>
      <c r="M20" s="11">
        <f>financials!L35 / financials!L3</f>
        <v>0.25135704989993746</v>
      </c>
      <c r="N20" s="11">
        <f>financials!M35 / financials!M3</f>
        <v>0.24629407253219615</v>
      </c>
      <c r="O20" s="11">
        <f>financials!N35 / financials!N3</f>
        <v>0.26584492196633525</v>
      </c>
      <c r="P20" s="11">
        <f>financials!O35 / financials!O3</f>
        <v>0.28274411524133863</v>
      </c>
      <c r="Q20" s="11">
        <f>financials!P35 / financials!P3</f>
        <v>0.28651808407075846</v>
      </c>
      <c r="R20" s="11">
        <f>financials!Q35 / financials!Q3</f>
        <v>0.28497772613539701</v>
      </c>
      <c r="S20" s="11">
        <f>financials!R35 / financials!R3</f>
        <v>0.26949706247571087</v>
      </c>
      <c r="T20" s="11">
        <f>financials!S35 / financials!S3</f>
        <v>0.27359577654327732</v>
      </c>
      <c r="U20" s="11">
        <f>financials!T35 / financials!T3</f>
        <v>0.26703248788127992</v>
      </c>
      <c r="V20" s="11">
        <f>financials!U35 / financials!U3</f>
        <v>0.26026942180831619</v>
      </c>
      <c r="W20" s="11">
        <f>financials!V35 / financials!V3</f>
        <v>0.26262841217939875</v>
      </c>
      <c r="X20" s="11">
        <f>financials!W35 / financials!W3</f>
        <v>0.26893749134968326</v>
      </c>
      <c r="Y20" s="11">
        <f>financials!X35 / financials!X3</f>
        <v>0.27015633730265848</v>
      </c>
      <c r="Z20" s="11" t="e">
        <f>financials!Y35 / financials!Y3</f>
        <v>#DIV/0!</v>
      </c>
      <c r="AA20" s="11" t="e">
        <f>financials!Z35 / financials!Z3</f>
        <v>#DIV/0!</v>
      </c>
      <c r="AB20" s="11">
        <f>financials!AA35 / financials!AA3</f>
        <v>0.22676849674757746</v>
      </c>
      <c r="AC20" s="11">
        <f>financials!AB35 / financials!AB3</f>
        <v>0.17890189056939415</v>
      </c>
      <c r="AD20" s="11">
        <f>financials!AC35 / financials!AC3</f>
        <v>0.18678548928102284</v>
      </c>
      <c r="AE20" s="11">
        <f>financials!AD35 / financials!AD3</f>
        <v>0.17878206361643106</v>
      </c>
      <c r="AF20" s="11">
        <f>financials!AE35 / financials!AE3</f>
        <v>0.18052200238466756</v>
      </c>
      <c r="AG20" s="11">
        <f>financials!AF35 / financials!AF3</f>
        <v>0.18175116708602027</v>
      </c>
      <c r="AH20" s="11">
        <f>financials!AG35 / financials!AG3</f>
        <v>0.1783127786318047</v>
      </c>
      <c r="AI20" s="11">
        <f>financials!AH35 / financials!AH3</f>
        <v>0.17819371957718408</v>
      </c>
      <c r="AJ20" s="11">
        <f>financials!AI35 / financials!AI3</f>
        <v>0.27011306887551456</v>
      </c>
      <c r="AK20" s="11">
        <f>financials!AJ35 / financials!AJ3</f>
        <v>0.27252079257828327</v>
      </c>
      <c r="AL20" s="11">
        <f>financials!AK35 / financials!AK3</f>
        <v>0.27323648717422755</v>
      </c>
      <c r="AM20" s="11">
        <f>financials!AL35 / financials!AL3</f>
        <v>0.28991020622467428</v>
      </c>
      <c r="AN20" s="11">
        <f>financials!AM35 / financials!AM3</f>
        <v>0.26656173595089439</v>
      </c>
      <c r="AO20" s="11">
        <f>financials!AN35 / financials!AN3</f>
        <v>0.24605185295835214</v>
      </c>
    </row>
    <row r="21" spans="1:41" x14ac:dyDescent="0.3">
      <c r="A21" s="14" t="s">
        <v>148</v>
      </c>
      <c r="B21" s="15" t="s">
        <v>149</v>
      </c>
      <c r="C21" s="11">
        <f>financials!B36 / financials!B3</f>
        <v>2.8469040650280279E-2</v>
      </c>
      <c r="D21" s="11">
        <f>financials!C36 / financials!C3</f>
        <v>3.2123832847564628E-2</v>
      </c>
      <c r="E21" s="11">
        <f>financials!D36 / financials!D3</f>
        <v>3.3780640704450686E-2</v>
      </c>
      <c r="F21" s="11">
        <f>financials!E36 / financials!E3</f>
        <v>3.2563434876504489E-2</v>
      </c>
      <c r="G21" s="11">
        <f>financials!F36 / financials!F3</f>
        <v>3.3808918847861948E-2</v>
      </c>
      <c r="H21" s="11">
        <f>financials!G36 / financials!G3</f>
        <v>3.4632158066624508E-2</v>
      </c>
      <c r="I21" s="11">
        <f>financials!H36 / financials!H3</f>
        <v>3.3832709107662125E-2</v>
      </c>
      <c r="J21" s="11">
        <f>financials!I36 / financials!I3</f>
        <v>3.2772941043681163E-2</v>
      </c>
      <c r="K21" s="11">
        <f>financials!J36 / financials!J3</f>
        <v>2.8861982640462424E-2</v>
      </c>
      <c r="L21" s="11">
        <f>financials!K36 / financials!K3</f>
        <v>3.0580221405214464E-2</v>
      </c>
      <c r="M21" s="11">
        <f>financials!L36 / financials!L3</f>
        <v>3.328714757907808E-2</v>
      </c>
      <c r="N21" s="11">
        <f>financials!M36 / financials!M3</f>
        <v>3.2978231325274741E-2</v>
      </c>
      <c r="O21" s="11">
        <f>financials!N36 / financials!N3</f>
        <v>3.1617173833055193E-2</v>
      </c>
      <c r="P21" s="11">
        <f>financials!O36 / financials!O3</f>
        <v>3.2039314101443478E-2</v>
      </c>
      <c r="Q21" s="11">
        <f>financials!P36 / financials!P3</f>
        <v>3.3041643369007417E-2</v>
      </c>
      <c r="R21" s="11">
        <f>financials!Q36 / financials!Q3</f>
        <v>3.2683203992676546E-2</v>
      </c>
      <c r="S21" s="11">
        <f>financials!R36 / financials!R3</f>
        <v>3.160390372462752E-2</v>
      </c>
      <c r="T21" s="11">
        <f>financials!S36 / financials!S3</f>
        <v>3.2053694462035001E-2</v>
      </c>
      <c r="U21" s="11">
        <f>financials!T36 / financials!T3</f>
        <v>3.2187427737261298E-2</v>
      </c>
      <c r="V21" s="11">
        <f>financials!U36 / financials!U3</f>
        <v>3.2849407303772858E-2</v>
      </c>
      <c r="W21" s="11">
        <f>financials!V36 / financials!V3</f>
        <v>3.2628195592672007E-2</v>
      </c>
      <c r="X21" s="11">
        <f>financials!W36 / financials!W3</f>
        <v>3.2922291748618382E-2</v>
      </c>
      <c r="Y21" s="11">
        <f>financials!X36 / financials!X3</f>
        <v>3.3074223667145047E-2</v>
      </c>
      <c r="Z21" s="11" t="e">
        <f>financials!Y36 / financials!Y3</f>
        <v>#DIV/0!</v>
      </c>
      <c r="AA21" s="11" t="e">
        <f>financials!Z36 / financials!Z3</f>
        <v>#DIV/0!</v>
      </c>
      <c r="AB21" s="11">
        <f>financials!AA36 / financials!AA3</f>
        <v>3.3234858885829437E-2</v>
      </c>
      <c r="AC21" s="11">
        <f>financials!AB36 / financials!AB3</f>
        <v>2.2790455171008406E-2</v>
      </c>
      <c r="AD21" s="11">
        <f>financials!AC36 / financials!AC3</f>
        <v>2.3624779812573566E-2</v>
      </c>
      <c r="AE21" s="11">
        <f>financials!AD36 / financials!AD3</f>
        <v>2.4033166210709563E-2</v>
      </c>
      <c r="AF21" s="11">
        <f>financials!AE36 / financials!AE3</f>
        <v>2.5899505266482201E-2</v>
      </c>
      <c r="AG21" s="11">
        <f>financials!AF36 / financials!AF3</f>
        <v>2.835423712520543E-2</v>
      </c>
      <c r="AH21" s="11">
        <f>financials!AG36 / financials!AG3</f>
        <v>2.8664471419425037E-2</v>
      </c>
      <c r="AI21" s="11">
        <f>financials!AH36 / financials!AH3</f>
        <v>2.9028928758093708E-2</v>
      </c>
      <c r="AJ21" s="11">
        <f>financials!AI36 / financials!AI3</f>
        <v>4.483516663211215E-2</v>
      </c>
      <c r="AK21" s="11">
        <f>financials!AJ36 / financials!AJ3</f>
        <v>4.5884018061148425E-2</v>
      </c>
      <c r="AL21" s="11">
        <f>financials!AK36 / financials!AK3</f>
        <v>4.7316715690802209E-2</v>
      </c>
      <c r="AM21" s="11">
        <f>financials!AL36 / financials!AL3</f>
        <v>4.7985723757402482E-2</v>
      </c>
      <c r="AN21" s="11">
        <f>financials!AM36 / financials!AM3</f>
        <v>5.0396660665840733E-2</v>
      </c>
      <c r="AO21" s="11">
        <f>financials!AN36 / financials!AN3</f>
        <v>5.109258106266093E-2</v>
      </c>
    </row>
    <row r="22" spans="1:41" x14ac:dyDescent="0.3">
      <c r="A22" s="14" t="s">
        <v>150</v>
      </c>
      <c r="B22" s="15" t="s">
        <v>149</v>
      </c>
      <c r="C22" s="11">
        <f>financials!B22 / financials!B4</f>
        <v>0.2134454484238118</v>
      </c>
      <c r="D22" s="11">
        <f>financials!C22 / financials!C4</f>
        <v>0.21351848055708642</v>
      </c>
      <c r="E22" s="11">
        <f>financials!D22 / financials!D4</f>
        <v>0.22062749203435159</v>
      </c>
      <c r="F22" s="11">
        <f>financials!E22 / financials!E4</f>
        <v>0.21468870165268686</v>
      </c>
      <c r="G22" s="11">
        <f>financials!F22 / financials!F4</f>
        <v>0.20707074230524306</v>
      </c>
      <c r="H22" s="11">
        <f>financials!G22 / financials!G4</f>
        <v>0.2149436376842902</v>
      </c>
      <c r="I22" s="11">
        <f>financials!H22 / financials!H4</f>
        <v>0.21388258621605793</v>
      </c>
      <c r="J22" s="11">
        <f>financials!I22 / financials!I4</f>
        <v>0.21418286231254319</v>
      </c>
      <c r="K22" s="11">
        <f>financials!J22 / financials!J4</f>
        <v>0.21658107061123327</v>
      </c>
      <c r="L22" s="11">
        <f>financials!K22 / financials!K4</f>
        <v>0.21371483165372854</v>
      </c>
      <c r="M22" s="11">
        <f>financials!L22 / financials!L4</f>
        <v>0.21342166339173566</v>
      </c>
      <c r="N22" s="11">
        <f>financials!M22 / financials!M4</f>
        <v>0.24829153040478721</v>
      </c>
      <c r="O22" s="11">
        <f>financials!N22 / financials!N4</f>
        <v>0.24829996145923733</v>
      </c>
      <c r="P22" s="11">
        <f>financials!O22 / financials!O4</f>
        <v>0.25762331013506701</v>
      </c>
      <c r="Q22" s="11">
        <f>financials!P22 / financials!P4</f>
        <v>0.25931882952441487</v>
      </c>
      <c r="R22" s="11">
        <f>financials!Q22 / financials!Q4</f>
        <v>0.25741972707033234</v>
      </c>
      <c r="S22" s="11">
        <f>financials!R22 / financials!R4</f>
        <v>0.25400809815803216</v>
      </c>
      <c r="T22" s="11">
        <f>financials!S22 / financials!S4</f>
        <v>0.27668144555774421</v>
      </c>
      <c r="U22" s="11">
        <f>financials!T22 / financials!T4</f>
        <v>0.27744685086560567</v>
      </c>
      <c r="V22" s="11">
        <f>financials!U22 / financials!U4</f>
        <v>0.26835521305844978</v>
      </c>
      <c r="W22" s="11">
        <f>financials!V22 / financials!V4</f>
        <v>0.27216903713446855</v>
      </c>
      <c r="X22" s="11">
        <f>financials!W22 / financials!W4</f>
        <v>0.27402995264373636</v>
      </c>
      <c r="Y22" s="11">
        <f>financials!X22 / financials!X4</f>
        <v>0.27767167073846849</v>
      </c>
      <c r="Z22" s="11" t="e">
        <f>financials!Y22 / financials!Y4</f>
        <v>#DIV/0!</v>
      </c>
      <c r="AA22" s="11" t="e">
        <f>financials!Z22 / financials!Z4</f>
        <v>#DIV/0!</v>
      </c>
      <c r="AB22" s="11">
        <f>financials!AA22 / financials!AA4</f>
        <v>0.35260147719028295</v>
      </c>
      <c r="AC22" s="11">
        <f>financials!AB22 / financials!AB4</f>
        <v>0.28755451146449268</v>
      </c>
      <c r="AD22" s="11">
        <f>financials!AC22 / financials!AC4</f>
        <v>0.27562211924636953</v>
      </c>
      <c r="AE22" s="11">
        <f>financials!AD22 / financials!AD4</f>
        <v>0.29967767881413671</v>
      </c>
      <c r="AF22" s="11">
        <f>financials!AE22 / financials!AE4</f>
        <v>0.29929125770624487</v>
      </c>
      <c r="AG22" s="11">
        <f>financials!AF22 / financials!AF4</f>
        <v>0.29493530929414985</v>
      </c>
      <c r="AH22" s="11">
        <f>financials!AG22 / financials!AG4</f>
        <v>0.34135164589761502</v>
      </c>
      <c r="AI22" s="11">
        <f>financials!AH22 / financials!AH4</f>
        <v>0.33525684855046872</v>
      </c>
      <c r="AJ22" s="11">
        <f>financials!AI22 / financials!AI4</f>
        <v>0.34128679428245978</v>
      </c>
      <c r="AK22" s="11">
        <f>financials!AJ22 / financials!AJ4</f>
        <v>0.34247128443580815</v>
      </c>
      <c r="AL22" s="11">
        <f>financials!AK22 / financials!AK4</f>
        <v>0.34286782051199033</v>
      </c>
      <c r="AM22" s="11">
        <f>financials!AL22 / financials!AL4</f>
        <v>0.34011636350310098</v>
      </c>
      <c r="AN22" s="11">
        <f>financials!AM22 / financials!AM4</f>
        <v>0.34629813655690678</v>
      </c>
      <c r="AO22" s="11">
        <f>financials!AN22 / financials!AN4</f>
        <v>0.36669069214952393</v>
      </c>
    </row>
    <row r="23" spans="1:41" x14ac:dyDescent="0.3">
      <c r="A23" s="14" t="s">
        <v>151</v>
      </c>
      <c r="B23" s="15" t="s">
        <v>152</v>
      </c>
      <c r="C23" s="11">
        <f>financials!B22 / C3</f>
        <v>0.91846346499798681</v>
      </c>
      <c r="D23" s="11">
        <f>financials!C22 / D3</f>
        <v>0.93941048439478037</v>
      </c>
      <c r="E23" s="11">
        <f>financials!D22 / E3</f>
        <v>0.98309239551993066</v>
      </c>
      <c r="F23" s="11">
        <f>financials!E22 / F3</f>
        <v>0.90653461937098523</v>
      </c>
      <c r="G23" s="11">
        <f>financials!F22 / G3</f>
        <v>0.87338278784403445</v>
      </c>
      <c r="H23" s="11">
        <f>financials!G22 / H3</f>
        <v>0.88352574376588933</v>
      </c>
      <c r="I23" s="11">
        <f>financials!H22 / I3</f>
        <v>0.84232710910337294</v>
      </c>
      <c r="J23" s="11">
        <f>financials!I22 / J3</f>
        <v>0.84492795084567918</v>
      </c>
      <c r="K23" s="11">
        <f>financials!J22 / K3</f>
        <v>0.84209654969797543</v>
      </c>
      <c r="L23" s="11">
        <f>financials!K22 / L3</f>
        <v>0.82490904952005406</v>
      </c>
      <c r="M23" s="11">
        <f>financials!L22 / M3</f>
        <v>0.81353066284731468</v>
      </c>
      <c r="N23" s="11">
        <f>financials!M22 / N3</f>
        <v>1.0378830366050553</v>
      </c>
      <c r="O23" s="11">
        <f>financials!N22 / O3</f>
        <v>1.0326829415279279</v>
      </c>
      <c r="P23" s="11">
        <f>financials!O22 / P3</f>
        <v>1.040660487572953</v>
      </c>
      <c r="Q23" s="11">
        <f>financials!P22 / Q3</f>
        <v>1.0252814306597442</v>
      </c>
      <c r="R23" s="11">
        <f>financials!Q22 / R3</f>
        <v>0.95121681022363458</v>
      </c>
      <c r="S23" s="11">
        <f>financials!R22 / S3</f>
        <v>0.96127762847613329</v>
      </c>
      <c r="T23" s="11">
        <f>financials!S22 / T3</f>
        <v>1.0863553428929271</v>
      </c>
      <c r="U23" s="11">
        <f>financials!T22 / U3</f>
        <v>1.0643657559382746</v>
      </c>
      <c r="V23" s="11">
        <f>financials!U22 / V3</f>
        <v>1.0585382478724366</v>
      </c>
      <c r="W23" s="11">
        <f>financials!V22 / W3</f>
        <v>1.0536168593771971</v>
      </c>
      <c r="X23" s="11">
        <f>financials!W22 / X3</f>
        <v>1.0040391522006147</v>
      </c>
      <c r="Y23" s="11">
        <f>financials!X22 / Y3</f>
        <v>1.0104836842461327</v>
      </c>
      <c r="Z23" s="11" t="e">
        <f>financials!Y22 / Z3</f>
        <v>#DIV/0!</v>
      </c>
      <c r="AA23" s="11" t="e">
        <f>financials!Z22 / AA3</f>
        <v>#DIV/0!</v>
      </c>
      <c r="AB23" s="11">
        <f>financials!AA22 / AB3</f>
        <v>1.3418411185140111</v>
      </c>
      <c r="AC23" s="11">
        <f>financials!AB22 / AC3</f>
        <v>1.033251459460518</v>
      </c>
      <c r="AD23" s="11">
        <f>financials!AC22 / AD3</f>
        <v>1.5721748785463281</v>
      </c>
      <c r="AE23" s="11">
        <f>financials!AD22 / AE3</f>
        <v>1.4714655379363444</v>
      </c>
      <c r="AF23" s="11">
        <f>financials!AE22 / AF3</f>
        <v>1.4806964055234073</v>
      </c>
      <c r="AG23" s="11">
        <f>financials!AF22 / AG3</f>
        <v>1.5109728544844365</v>
      </c>
      <c r="AH23" s="11">
        <f>financials!AG22 / AH3</f>
        <v>1.2434280576562668</v>
      </c>
      <c r="AI23" s="11">
        <f>financials!AH22 / AI3</f>
        <v>1.2466729601246997</v>
      </c>
      <c r="AJ23" s="11">
        <f>financials!AI22 / AJ3</f>
        <v>1.2565571339159758</v>
      </c>
      <c r="AK23" s="11">
        <f>financials!AJ22 / AK3</f>
        <v>1.2554368695873033</v>
      </c>
      <c r="AL23" s="11">
        <f>financials!AK22 / AL3</f>
        <v>1.2035389224876278</v>
      </c>
      <c r="AM23" s="11">
        <f>financials!AL22 / AM3</f>
        <v>1.1656906189664822</v>
      </c>
      <c r="AN23" s="11">
        <f>financials!AM22 / AN3</f>
        <v>1.1005007109058267</v>
      </c>
      <c r="AO23" s="11">
        <f>financials!AN22 / AO3</f>
        <v>1.4301732059899146</v>
      </c>
    </row>
    <row r="24" spans="1:41" x14ac:dyDescent="0.3">
      <c r="A24" s="14" t="s">
        <v>153</v>
      </c>
      <c r="B24" s="15"/>
      <c r="C24" s="11">
        <f>financials!B27 / financials!B3</f>
        <v>0.56521747954982171</v>
      </c>
      <c r="D24" s="11">
        <f>financials!C27 / financials!C3</f>
        <v>0.56472185956514209</v>
      </c>
      <c r="E24" s="11">
        <f>financials!D27 / financials!D3</f>
        <v>0.56872020322515449</v>
      </c>
      <c r="F24" s="11">
        <f>financials!E27 / financials!E3</f>
        <v>0.53127075326603568</v>
      </c>
      <c r="G24" s="11">
        <f>financials!F27 / financials!F3</f>
        <v>0.52475634359801215</v>
      </c>
      <c r="H24" s="11">
        <f>financials!G27 / financials!G3</f>
        <v>0.52652952477635484</v>
      </c>
      <c r="I24" s="11">
        <f>financials!H27 / financials!H3</f>
        <v>0.53995558948257538</v>
      </c>
      <c r="J24" s="11">
        <f>financials!I27 / financials!I3</f>
        <v>0.54171010238597406</v>
      </c>
      <c r="K24" s="11">
        <f>financials!J27 / financials!J3</f>
        <v>0.47556356075972778</v>
      </c>
      <c r="L24" s="11">
        <f>financials!K27 / financials!K3</f>
        <v>0.52698758081080543</v>
      </c>
      <c r="M24" s="11">
        <f>financials!L27 / financials!L3</f>
        <v>0.54041186973422528</v>
      </c>
      <c r="N24" s="11">
        <f>financials!M27 / financials!M3</f>
        <v>0.55034362182307128</v>
      </c>
      <c r="O24" s="11">
        <f>financials!N27 / financials!N3</f>
        <v>0.52762654155109801</v>
      </c>
      <c r="P24" s="11">
        <f>financials!O27 / financials!O3</f>
        <v>0.52578165700321966</v>
      </c>
      <c r="Q24" s="11">
        <f>financials!P27 / financials!P3</f>
        <v>0.53878700346286912</v>
      </c>
      <c r="R24" s="11">
        <f>financials!Q27 / financials!Q3</f>
        <v>0.51719281847473342</v>
      </c>
      <c r="S24" s="11">
        <f>financials!R27 / financials!R3</f>
        <v>0.51835582827643356</v>
      </c>
      <c r="T24" s="11">
        <f>financials!S27 / financials!S3</f>
        <v>0.51480512275750789</v>
      </c>
      <c r="U24" s="11">
        <f>financials!T27 / financials!T3</f>
        <v>0.52058014261973207</v>
      </c>
      <c r="V24" s="11">
        <f>financials!U27 / financials!U3</f>
        <v>0.52919010073160888</v>
      </c>
      <c r="W24" s="11">
        <f>financials!V27 / financials!V3</f>
        <v>0.52128340653007788</v>
      </c>
      <c r="X24" s="11">
        <f>financials!W27 / financials!W3</f>
        <v>0.51763046121163148</v>
      </c>
      <c r="Y24" s="11">
        <f>financials!X27 / financials!X3</f>
        <v>0.52346834672030951</v>
      </c>
      <c r="Z24" s="11" t="e">
        <f>financials!Y27 / financials!Y3</f>
        <v>#DIV/0!</v>
      </c>
      <c r="AA24" s="11" t="e">
        <f>financials!Z27 / financials!Z3</f>
        <v>#DIV/0!</v>
      </c>
      <c r="AB24" s="11">
        <f>financials!AA27 / financials!AA3</f>
        <v>0.50234218395675745</v>
      </c>
      <c r="AC24" s="11">
        <f>financials!AB27 / financials!AB3</f>
        <v>0.32785284185180336</v>
      </c>
      <c r="AD24" s="11">
        <f>financials!AC27 / financials!AC3</f>
        <v>0.33342121013726173</v>
      </c>
      <c r="AE24" s="11">
        <f>financials!AD27 / financials!AD3</f>
        <v>0.3236877170014969</v>
      </c>
      <c r="AF24" s="11">
        <f>financials!AE27 / financials!AE3</f>
        <v>0.32511799764717142</v>
      </c>
      <c r="AG24" s="11">
        <f>financials!AF27 / financials!AF3</f>
        <v>0.32239496701130022</v>
      </c>
      <c r="AH24" s="11">
        <f>financials!AG27 / financials!AG3</f>
        <v>0.32043156545823193</v>
      </c>
      <c r="AI24" s="11">
        <f>financials!AH27 / financials!AH3</f>
        <v>0.31776477120948549</v>
      </c>
      <c r="AJ24" s="11">
        <f>financials!AI27 / financials!AI3</f>
        <v>0.47856957659028876</v>
      </c>
      <c r="AK24" s="11">
        <f>financials!AJ27 / financials!AJ3</f>
        <v>0.47847317573226567</v>
      </c>
      <c r="AL24" s="11">
        <f>financials!AK27 / financials!AK3</f>
        <v>0.47231343805389447</v>
      </c>
      <c r="AM24" s="11">
        <f>financials!AL27 / financials!AL3</f>
        <v>0.46540936364328006</v>
      </c>
      <c r="AN24" s="11">
        <f>financials!AM27 / financials!AM3</f>
        <v>0.47828230743862932</v>
      </c>
      <c r="AO24" s="11">
        <f>financials!AN27 / financials!AN3</f>
        <v>0.48242229818773674</v>
      </c>
    </row>
    <row r="25" spans="1:41" x14ac:dyDescent="0.3">
      <c r="A25" s="67" t="s">
        <v>154</v>
      </c>
      <c r="B25" s="6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41" x14ac:dyDescent="0.3">
      <c r="A26" s="14" t="s">
        <v>155</v>
      </c>
      <c r="B26" s="15"/>
      <c r="C26" s="11">
        <f>financials!B4 / financials!B3</f>
        <v>0.63886513264864953</v>
      </c>
      <c r="D26" s="11">
        <f>financials!C4 / financials!C3</f>
        <v>0.63608443132678771</v>
      </c>
      <c r="E26" s="11">
        <f>financials!D4 / financials!D3</f>
        <v>0.62113445431746528</v>
      </c>
      <c r="F26" s="11">
        <f>financials!E4 / financials!E3</f>
        <v>0.62047863949339943</v>
      </c>
      <c r="G26" s="11">
        <f>financials!F4 / financials!F3</f>
        <v>0.66714980106370214</v>
      </c>
      <c r="H26" s="11">
        <f>financials!G4 / financials!G3</f>
        <v>0.66584240156228591</v>
      </c>
      <c r="I26" s="11">
        <f>financials!H4 / financials!H3</f>
        <v>0.6584828453599999</v>
      </c>
      <c r="J26" s="11">
        <f>financials!I4 / financials!I3</f>
        <v>0.65555046098038294</v>
      </c>
      <c r="K26" s="11">
        <f>financials!J4 / financials!J3</f>
        <v>0.57636532545108099</v>
      </c>
      <c r="L26" s="11">
        <f>financials!K4 / financials!K3</f>
        <v>0.61695542574393125</v>
      </c>
      <c r="M26" s="11">
        <f>financials!L4 / financials!L3</f>
        <v>0.61846888433805303</v>
      </c>
      <c r="N26" s="11">
        <f>financials!M4 / financials!M3</f>
        <v>0.62304278851109041</v>
      </c>
      <c r="O26" s="11">
        <f>financials!N4 / financials!N3</f>
        <v>0.59730867142505528</v>
      </c>
      <c r="P26" s="11">
        <f>financials!O4 / financials!O3</f>
        <v>0.58542541997373609</v>
      </c>
      <c r="Q26" s="11">
        <f>financials!P4 / financials!P3</f>
        <v>0.59157773436350902</v>
      </c>
      <c r="R26" s="11">
        <f>financials!Q4 / financials!Q3</f>
        <v>0.58827403404627521</v>
      </c>
      <c r="S26" s="11">
        <f>financials!R4 / financials!R3</f>
        <v>0.58928840389037218</v>
      </c>
      <c r="T26" s="11">
        <f>financials!S4 / financials!S3</f>
        <v>0.60870837108891884</v>
      </c>
      <c r="U26" s="11">
        <f>financials!T4 / financials!T3</f>
        <v>0.61252403720966053</v>
      </c>
      <c r="V26" s="11">
        <f>financials!U4 / financials!U3</f>
        <v>0.62893201590117742</v>
      </c>
      <c r="W26" s="11">
        <f>financials!V4 / financials!V3</f>
        <v>0.62081084082101901</v>
      </c>
      <c r="X26" s="11">
        <f>financials!W4 / financials!W3</f>
        <v>0.62316856444582636</v>
      </c>
      <c r="Y26" s="11">
        <f>financials!X4 / financials!X3</f>
        <v>0.62431587386026322</v>
      </c>
      <c r="Z26" s="11" t="e">
        <f>financials!Y4 / financials!Y3</f>
        <v>#DIV/0!</v>
      </c>
      <c r="AA26" s="11" t="e">
        <f>financials!Z4 / financials!Z3</f>
        <v>#DIV/0!</v>
      </c>
      <c r="AB26" s="11">
        <f>financials!AA4 / financials!AA3</f>
        <v>0.59972237300004372</v>
      </c>
      <c r="AC26" s="11">
        <f>financials!AB4 / financials!AB3</f>
        <v>0.3987260416933065</v>
      </c>
      <c r="AD26" s="11">
        <f>financials!AC4 / financials!AC3</f>
        <v>0.39765103230522408</v>
      </c>
      <c r="AE26" s="11">
        <f>financials!AD4 / financials!AD3</f>
        <v>0.40297654450513487</v>
      </c>
      <c r="AF26" s="11">
        <f>financials!AE4 / financials!AE3</f>
        <v>0.40646369488539558</v>
      </c>
      <c r="AG26" s="11">
        <f>financials!AF4 / financials!AF3</f>
        <v>0.41783905165657376</v>
      </c>
      <c r="AH26" s="11">
        <f>financials!AG4 / financials!AG3</f>
        <v>0.41071951253638173</v>
      </c>
      <c r="AI26" s="11">
        <f>financials!AH4 / financials!AH3</f>
        <v>0.41767177073669437</v>
      </c>
      <c r="AJ26" s="11">
        <f>financials!AI4 / financials!AI3</f>
        <v>0.62492077412483193</v>
      </c>
      <c r="AK26" s="11">
        <f>financials!AJ4 / financials!AJ3</f>
        <v>0.62688953523196411</v>
      </c>
      <c r="AL26" s="11">
        <f>financials!AK4 / financials!AK3</f>
        <v>0.62629879412828293</v>
      </c>
      <c r="AM26" s="11">
        <f>financials!AL4 / financials!AL3</f>
        <v>0.62890005773537527</v>
      </c>
      <c r="AN26" s="11">
        <f>financials!AM4 / financials!AM3</f>
        <v>0.63610930576723679</v>
      </c>
      <c r="AO26" s="11">
        <f>financials!AN4 / financials!AN3</f>
        <v>0.60300105746839683</v>
      </c>
    </row>
    <row r="27" spans="1:41" x14ac:dyDescent="0.3">
      <c r="A27" s="14" t="s">
        <v>156</v>
      </c>
      <c r="B27" s="15"/>
      <c r="C27" s="11">
        <f>financials!B5 / financials!B3</f>
        <v>0.49003600002210462</v>
      </c>
      <c r="D27" s="11">
        <f>financials!C5 / financials!C3</f>
        <v>0.49130323612495269</v>
      </c>
      <c r="E27" s="11">
        <f>financials!D5 / financials!D3</f>
        <v>0.49193228304601144</v>
      </c>
      <c r="F27" s="11">
        <f>financials!E5 / financials!E3</f>
        <v>0.48352328142058543</v>
      </c>
      <c r="G27" s="11">
        <f>financials!F5 / financials!F3</f>
        <v>0.50184284106020505</v>
      </c>
      <c r="H27" s="11">
        <f>financials!G5 / financials!G3</f>
        <v>0.51710342629850747</v>
      </c>
      <c r="I27" s="11">
        <f>financials!H5 / financials!H3</f>
        <v>0.51089132654252589</v>
      </c>
      <c r="J27" s="11">
        <f>financials!I5 / financials!I3</f>
        <v>0.50360588911298676</v>
      </c>
      <c r="K27" s="11">
        <f>financials!J5 / financials!J3</f>
        <v>0.44075104865453368</v>
      </c>
      <c r="L27" s="11">
        <f>financials!K5 / financials!K3</f>
        <v>0.46906505705497398</v>
      </c>
      <c r="M27" s="11">
        <f>financials!L5 / financials!L3</f>
        <v>0.47289725236874891</v>
      </c>
      <c r="N27" s="11">
        <f>financials!M5 / financials!M3</f>
        <v>0.46517619410335048</v>
      </c>
      <c r="O27" s="11">
        <f>financials!N5 / financials!N3</f>
        <v>0.44597825149959713</v>
      </c>
      <c r="P27" s="11">
        <f>financials!O5 / financials!O3</f>
        <v>0.45062242218355386</v>
      </c>
      <c r="Q27" s="11">
        <f>financials!P5 / financials!P3</f>
        <v>0.45708964386997403</v>
      </c>
      <c r="R27" s="11">
        <f>financials!Q5 / financials!Q3</f>
        <v>0.4534835499991316</v>
      </c>
      <c r="S27" s="11">
        <f>financials!R5 / financials!R3</f>
        <v>0.45251006603436356</v>
      </c>
      <c r="T27" s="11">
        <f>financials!S5 / financials!S3</f>
        <v>0.46673066906995209</v>
      </c>
      <c r="U27" s="11">
        <f>financials!T5 / financials!T3</f>
        <v>0.47371788353902688</v>
      </c>
      <c r="V27" s="11">
        <f>financials!U5 / financials!U3</f>
        <v>0.46735517891980816</v>
      </c>
      <c r="W27" s="11">
        <f>financials!V5 / financials!V3</f>
        <v>0.46437915870382585</v>
      </c>
      <c r="X27" s="11">
        <f>financials!W5 / financials!W3</f>
        <v>0.46661057628099223</v>
      </c>
      <c r="Y27" s="11">
        <f>financials!X5 / financials!X3</f>
        <v>0.46709826888379674</v>
      </c>
      <c r="Z27" s="11" t="e">
        <f>financials!Y5 / financials!Y3</f>
        <v>#DIV/0!</v>
      </c>
      <c r="AA27" s="11" t="e">
        <f>financials!Z5 / financials!Z3</f>
        <v>#DIV/0!</v>
      </c>
      <c r="AB27" s="11">
        <f>financials!AA5 / financials!AA3</f>
        <v>0.45156251136776965</v>
      </c>
      <c r="AC27" s="11">
        <f>financials!AB5 / financials!AB3</f>
        <v>0.30094473781567677</v>
      </c>
      <c r="AD27" s="11">
        <f>financials!AC5 / financials!AC3</f>
        <v>0.30587491641322639</v>
      </c>
      <c r="AE27" s="11">
        <f>financials!AD5 / financials!AD3</f>
        <v>0.30334001649690068</v>
      </c>
      <c r="AF27" s="11">
        <f>financials!AE5 / financials!AE3</f>
        <v>0.31007747302041133</v>
      </c>
      <c r="AG27" s="11">
        <f>financials!AF5 / financials!AF3</f>
        <v>0.31393940352496813</v>
      </c>
      <c r="AH27" s="11">
        <f>financials!AG5 / financials!AG3</f>
        <v>0.31051731660279086</v>
      </c>
      <c r="AI27" s="11">
        <f>financials!AH5 / financials!AH3</f>
        <v>0.31055404123967106</v>
      </c>
      <c r="AJ27" s="11">
        <f>financials!AI5 / financials!AI3</f>
        <v>0.47008156106621446</v>
      </c>
      <c r="AK27" s="11">
        <f>financials!AJ5 / financials!AJ3</f>
        <v>0.47198128622813085</v>
      </c>
      <c r="AL27" s="11">
        <f>financials!AK5 / financials!AK3</f>
        <v>0.47092926713457511</v>
      </c>
      <c r="AM27" s="11">
        <f>financials!AL5 / financials!AL3</f>
        <v>0.46914059473572639</v>
      </c>
      <c r="AN27" s="11">
        <f>financials!AM5 / financials!AM3</f>
        <v>0.4815232523773359</v>
      </c>
      <c r="AO27" s="11">
        <f>financials!AN5 / financials!AN3</f>
        <v>0.45873391892985393</v>
      </c>
    </row>
    <row r="28" spans="1:41" x14ac:dyDescent="0.3">
      <c r="A28" s="14" t="s">
        <v>157</v>
      </c>
      <c r="B28" s="15"/>
      <c r="C28" s="11">
        <f>financials!B6 / financials!B3</f>
        <v>0.57907881612735068</v>
      </c>
      <c r="D28" s="11">
        <f>financials!C6 / financials!C3</f>
        <v>0.57431969386545245</v>
      </c>
      <c r="E28" s="11">
        <f>financials!D6 / financials!D3</f>
        <v>0.55433643311206893</v>
      </c>
      <c r="F28" s="11">
        <f>financials!E6 / financials!E3</f>
        <v>0.55463736506613504</v>
      </c>
      <c r="G28" s="11">
        <f>financials!F6 / financials!F3</f>
        <v>0.60060009601190545</v>
      </c>
      <c r="H28" s="11">
        <f>financials!G6 / financials!G3</f>
        <v>0.59400823496042654</v>
      </c>
      <c r="I28" s="11">
        <f>financials!H6 / financials!H3</f>
        <v>0.58431668157374483</v>
      </c>
      <c r="J28" s="11">
        <f>financials!I6 / financials!I3</f>
        <v>0.5814191591797514</v>
      </c>
      <c r="K28" s="11">
        <f>financials!J6 / financials!J3</f>
        <v>0.51175453501445622</v>
      </c>
      <c r="L28" s="11">
        <f>financials!K6 / financials!K3</f>
        <v>0.54890371549993922</v>
      </c>
      <c r="M28" s="11">
        <f>financials!L6 / financials!L3</f>
        <v>0.54883001656441233</v>
      </c>
      <c r="N28" s="11">
        <f>financials!M6 / financials!M3</f>
        <v>0.55476849241276904</v>
      </c>
      <c r="O28" s="11">
        <f>financials!N6 / financials!N3</f>
        <v>0.53185214944240622</v>
      </c>
      <c r="P28" s="11">
        <f>financials!O6 / financials!O3</f>
        <v>0.51897698789609925</v>
      </c>
      <c r="Q28" s="11">
        <f>financials!P6 / financials!P3</f>
        <v>0.5253198528362264</v>
      </c>
      <c r="R28" s="11">
        <f>financials!Q6 / financials!Q3</f>
        <v>0.52125606074529085</v>
      </c>
      <c r="S28" s="11">
        <f>financials!R6 / financials!R3</f>
        <v>0.52438543492500511</v>
      </c>
      <c r="T28" s="11">
        <f>financials!S6 / financials!S3</f>
        <v>0.5387474540770627</v>
      </c>
      <c r="U28" s="11">
        <f>financials!T6 / financials!T3</f>
        <v>0.54143939036447042</v>
      </c>
      <c r="V28" s="11">
        <f>financials!U6 / financials!U3</f>
        <v>0.54986944868532039</v>
      </c>
      <c r="W28" s="11">
        <f>financials!V6 / financials!V3</f>
        <v>0.54384149847174479</v>
      </c>
      <c r="X28" s="11">
        <f>financials!W6 / financials!W3</f>
        <v>0.54491106628817065</v>
      </c>
      <c r="Y28" s="11">
        <f>financials!X6 / financials!X3</f>
        <v>0.54493345984664765</v>
      </c>
      <c r="Z28" s="11" t="e">
        <f>financials!Y6 / financials!Y3</f>
        <v>#DIV/0!</v>
      </c>
      <c r="AA28" s="11" t="e">
        <f>financials!Z6 / financials!Z3</f>
        <v>#DIV/0!</v>
      </c>
      <c r="AB28" s="11">
        <f>financials!AA6 / financials!AA3</f>
        <v>0.51988377403297004</v>
      </c>
      <c r="AC28" s="11">
        <f>financials!AB6 / financials!AB3</f>
        <v>0.34484235408812824</v>
      </c>
      <c r="AD28" s="11">
        <f>financials!AC6 / financials!AC3</f>
        <v>0.34318376296567443</v>
      </c>
      <c r="AE28" s="11">
        <f>financials!AD6 / financials!AD3</f>
        <v>0.34788785438611136</v>
      </c>
      <c r="AF28" s="11">
        <f>financials!AE6 / financials!AE3</f>
        <v>0.35003416514457791</v>
      </c>
      <c r="AG28" s="11">
        <f>financials!AF6 / financials!AF3</f>
        <v>0.35973236968705391</v>
      </c>
      <c r="AH28" s="11">
        <f>financials!AG6 / financials!AG3</f>
        <v>0.3537321418992046</v>
      </c>
      <c r="AI28" s="11">
        <f>financials!AH6 / financials!AH3</f>
        <v>0.35627646164835292</v>
      </c>
      <c r="AJ28" s="11">
        <f>financials!AI6 / financials!AI3</f>
        <v>0.53233299651473454</v>
      </c>
      <c r="AK28" s="11">
        <f>financials!AJ6 / financials!AJ3</f>
        <v>0.53239237461566047</v>
      </c>
      <c r="AL28" s="11">
        <f>financials!AK6 / financials!AK3</f>
        <v>0.52967476250662415</v>
      </c>
      <c r="AM28" s="11">
        <f>financials!AL6 / financials!AL3</f>
        <v>0.52915725381044765</v>
      </c>
      <c r="AN28" s="11">
        <f>financials!AM6 / financials!AM3</f>
        <v>0.54010783693682385</v>
      </c>
      <c r="AO28" s="11">
        <f>financials!AN6 / financials!AN3</f>
        <v>0.50696134802222825</v>
      </c>
    </row>
    <row r="29" spans="1:41" x14ac:dyDescent="0.3">
      <c r="A29" s="67" t="s">
        <v>158</v>
      </c>
      <c r="B29" s="6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 spans="1:41" x14ac:dyDescent="0.3">
      <c r="A30" s="14" t="s">
        <v>28</v>
      </c>
      <c r="B30" s="15"/>
      <c r="C30" s="17">
        <f>(financials!C3 / financials!B3) - 1</f>
        <v>4.0280563836279093E-3</v>
      </c>
      <c r="D30" s="17">
        <f>(financials!D3 / financials!C3) - 1</f>
        <v>7.0881877540944771E-3</v>
      </c>
      <c r="E30" s="17">
        <f>(financials!E3 / financials!D3) - 1</f>
        <v>2.8748520697942759E-2</v>
      </c>
      <c r="F30" s="17">
        <f>(financials!F3 / financials!E3) - 1</f>
        <v>-1.6636510437935681E-2</v>
      </c>
      <c r="G30" s="17">
        <f>(financials!G3 / financials!F3) - 1</f>
        <v>-2.3076189035330041E-2</v>
      </c>
      <c r="H30" s="17">
        <f>(financials!H3 / financials!G3) - 1</f>
        <v>2.0980760627953732E-2</v>
      </c>
      <c r="I30" s="17">
        <f>(financials!I3 / financials!H3) - 1</f>
        <v>2.2664339796072852E-2</v>
      </c>
      <c r="J30" s="17">
        <f>(financials!K3 / financials!I3) - 1</f>
        <v>7.5768789738941411E-2</v>
      </c>
      <c r="K30" s="17">
        <f>(financials!L3 / financials!J3) - 1</f>
        <v>-5.2685145423951418E-2</v>
      </c>
      <c r="L30" s="17">
        <f>(financials!M3 / financials!K3) - 1</f>
        <v>2.4708649860410103E-2</v>
      </c>
      <c r="M30" s="17">
        <f>(financials!N3 / financials!L3) - 1</f>
        <v>6.9071095618621126E-2</v>
      </c>
      <c r="N30" s="17">
        <f>(financials!O3 / financials!M3) - 1</f>
        <v>3.6496652351885039E-2</v>
      </c>
      <c r="O30" s="17">
        <f>(financials!P3 / financials!N3) - 1</f>
        <v>-1.2874788829899897E-2</v>
      </c>
      <c r="P30" s="17">
        <f>(financials!Q3 / financials!O3) - 1</f>
        <v>6.3128420145370789E-3</v>
      </c>
      <c r="Q30" s="17">
        <f>(financials!R3 / financials!P3) - 1</f>
        <v>2.4873855882914464E-2</v>
      </c>
      <c r="R30" s="17">
        <f>(financials!S3 / financials!Q3) - 1</f>
        <v>-4.977689647811534E-4</v>
      </c>
      <c r="S30" s="17">
        <f>(financials!T3 / financials!R3) - 1</f>
        <v>-1.7399396870674155E-2</v>
      </c>
      <c r="T30" s="17">
        <f>(financials!U3 / financials!S3) - 1</f>
        <v>1.2978565187089286E-2</v>
      </c>
      <c r="U30" s="17">
        <f>(financials!V3 / financials!T3) - 1</f>
        <v>2.312326246638241E-2</v>
      </c>
      <c r="V30" s="17">
        <f>(financials!W3 / financials!U3) - 1</f>
        <v>1.1208940674771739E-2</v>
      </c>
      <c r="W30" s="17">
        <f>(financials!X3 / financials!V3) - 1</f>
        <v>1.1492526583358975E-2</v>
      </c>
      <c r="X30" s="17">
        <f>(financials!Y3 / financials!W3) - 1</f>
        <v>-1</v>
      </c>
      <c r="Y30" s="17">
        <f>(financials!Z3 / financials!X3) - 1</f>
        <v>-1</v>
      </c>
      <c r="Z30" s="17" t="e">
        <f>(financials!AA3 / financials!Y3) - 1</f>
        <v>#DIV/0!</v>
      </c>
      <c r="AA30" s="17" t="e">
        <f>(financials!AB3 / financials!Z3) - 1</f>
        <v>#DIV/0!</v>
      </c>
      <c r="AB30" s="17">
        <f>(financials!AC3 / financials!AA3) - 1</f>
        <v>0.4990531957631188</v>
      </c>
      <c r="AC30" s="17">
        <f>(financials!AD3 / financials!AB3) - 1</f>
        <v>1.264680506238669E-2</v>
      </c>
      <c r="AD30" s="17">
        <f>(financials!AE3 / financials!AC3) - 1</f>
        <v>1.5866818250284576E-2</v>
      </c>
      <c r="AE30" s="17">
        <f>(financials!AF3 / financials!AD3) - 1</f>
        <v>-6.6577099413789309E-4</v>
      </c>
      <c r="AF30" s="17">
        <f>(financials!AG3 / financials!AE3) - 1</f>
        <v>3.0039662853522664E-2</v>
      </c>
      <c r="AG30" s="17">
        <f>(financials!AH3 / financials!AF3) - 1</f>
        <v>3.2198985205092345E-2</v>
      </c>
      <c r="AH30" s="17">
        <f>(financials!AI3 / financials!AG3) - 1</f>
        <v>-0.33212792919405987</v>
      </c>
      <c r="AI30" s="17">
        <f>(financials!AJ3 / financials!AH3) - 1</f>
        <v>-0.34196771630542655</v>
      </c>
      <c r="AJ30" s="17">
        <f>(financials!AK3 / financials!AI3) - 1</f>
        <v>-2.6371999090978315E-3</v>
      </c>
      <c r="AK30" s="17">
        <f>(financials!AL3 / financials!AJ3) - 1</f>
        <v>1.0515967832871675E-2</v>
      </c>
      <c r="AL30" s="17">
        <f>(financials!AM3 / financials!AK3) - 1</f>
        <v>-1.6876568599845987E-2</v>
      </c>
      <c r="AM30" s="17">
        <f>(financials!AN3 / financials!AL3) - 1</f>
        <v>1.4619818000484397E-2</v>
      </c>
      <c r="AN30" s="17">
        <f>(financials!AO3 / financials!AM3) - 1</f>
        <v>-1</v>
      </c>
      <c r="AO30" s="17">
        <f>(financials!AP3 / financials!AN3) - 1</f>
        <v>-1</v>
      </c>
    </row>
    <row r="31" spans="1:41" x14ac:dyDescent="0.3">
      <c r="A31" s="14" t="s">
        <v>87</v>
      </c>
      <c r="B31" s="15"/>
      <c r="C31" s="17">
        <f>(financials!C4 / financials!B4) - 1</f>
        <v>-3.4203990257475336E-4</v>
      </c>
      <c r="D31" s="17">
        <f>(financials!D4 / financials!C4) - 1</f>
        <v>-1.6581539898065212E-2</v>
      </c>
      <c r="E31" s="17">
        <f>(financials!E4 / financials!D4) - 1</f>
        <v>2.766233311742794E-2</v>
      </c>
      <c r="F31" s="17">
        <f>(financials!F4 / financials!E4) - 1</f>
        <v>5.7330123354904172E-2</v>
      </c>
      <c r="G31" s="17">
        <f>(financials!G4 / financials!F4) - 1</f>
        <v>-2.4990646180247822E-2</v>
      </c>
      <c r="H31" s="17">
        <f>(financials!H4 / financials!G4) - 1</f>
        <v>9.6958600694072583E-3</v>
      </c>
      <c r="I31" s="17">
        <f>(financials!I4 / financials!H4) - 1</f>
        <v>1.811016658299569E-2</v>
      </c>
      <c r="J31" s="17">
        <f>(financials!K4 / financials!I4) - 1</f>
        <v>1.2433719721361314E-2</v>
      </c>
      <c r="K31" s="17">
        <f>(financials!L4 / financials!J4) - 1</f>
        <v>1.6516322816579221E-2</v>
      </c>
      <c r="L31" s="17">
        <f>(financials!M4 / financials!K4) - 1</f>
        <v>3.4819223529203969E-2</v>
      </c>
      <c r="M31" s="17">
        <f>(financials!N4 / financials!L4) - 1</f>
        <v>3.2494038024795779E-2</v>
      </c>
      <c r="N31" s="17">
        <f>(financials!O4 / financials!M4) - 1</f>
        <v>-2.608376311593763E-2</v>
      </c>
      <c r="O31" s="17">
        <f>(financials!P4 / financials!N4) - 1</f>
        <v>-2.2345859195552875E-2</v>
      </c>
      <c r="P31" s="17">
        <f>(financials!Q4 / financials!O4) - 1</f>
        <v>1.1209446817362467E-2</v>
      </c>
      <c r="Q31" s="17">
        <f>(financials!R4 / financials!P4) - 1</f>
        <v>2.0907724615451651E-2</v>
      </c>
      <c r="R31" s="17">
        <f>(financials!S4 / financials!Q4) - 1</f>
        <v>3.4221025817586126E-2</v>
      </c>
      <c r="S31" s="17">
        <f>(financials!T4 / financials!R4) - 1</f>
        <v>2.1344530827370312E-2</v>
      </c>
      <c r="T31" s="17">
        <f>(financials!U4 / financials!S4) - 1</f>
        <v>4.6633628395974513E-2</v>
      </c>
      <c r="U31" s="17">
        <f>(financials!V4 / financials!T4) - 1</f>
        <v>3.6965040145662487E-2</v>
      </c>
      <c r="V31" s="17">
        <f>(financials!W4 / financials!U4) - 1</f>
        <v>1.9423530413769097E-3</v>
      </c>
      <c r="W31" s="17">
        <f>(financials!X4 / financials!V4) - 1</f>
        <v>1.7203307535467838E-2</v>
      </c>
      <c r="X31" s="17">
        <f>(financials!Y4 / financials!W4) - 1</f>
        <v>-1</v>
      </c>
      <c r="Y31" s="17">
        <f>(financials!Z4 / financials!X4) - 1</f>
        <v>-1</v>
      </c>
      <c r="Z31" s="17" t="e">
        <f>(financials!AA4 / financials!Y4) - 1</f>
        <v>#DIV/0!</v>
      </c>
      <c r="AA31" s="17" t="e">
        <f>(financials!AB4 / financials!Z4) - 1</f>
        <v>#DIV/0!</v>
      </c>
      <c r="AB31" s="17">
        <f>(financials!AC4 / financials!AA4) - 1</f>
        <v>-6.0399984850892929E-3</v>
      </c>
      <c r="AC31" s="17">
        <f>(financials!AD4 / financials!AB4) - 1</f>
        <v>2.3441831326604046E-2</v>
      </c>
      <c r="AD31" s="17">
        <f>(financials!AE4 / financials!AC4) - 1</f>
        <v>3.83802553303636E-2</v>
      </c>
      <c r="AE31" s="17">
        <f>(financials!AF4 / financials!AD4) - 1</f>
        <v>3.6191491116530639E-2</v>
      </c>
      <c r="AF31" s="17">
        <f>(financials!AG4 / financials!AE4) - 1</f>
        <v>4.0824539912773572E-2</v>
      </c>
      <c r="AG31" s="17">
        <f>(financials!AH4 / financials!AF4) - 1</f>
        <v>3.1785746674468873E-2</v>
      </c>
      <c r="AH31" s="17">
        <f>(financials!AI4 / financials!AG4) - 1</f>
        <v>1.6185301075589908E-2</v>
      </c>
      <c r="AI31" s="17">
        <f>(financials!AJ4 / financials!AH4) - 1</f>
        <v>-1.2349932662858998E-2</v>
      </c>
      <c r="AJ31" s="17">
        <f>(financials!AK4 / financials!AI4) - 1</f>
        <v>-4.3790370047369631E-4</v>
      </c>
      <c r="AK31" s="17">
        <f>(financials!AL4 / financials!AJ4) - 1</f>
        <v>1.3756834012959684E-2</v>
      </c>
      <c r="AL31" s="17">
        <f>(financials!AM4 / financials!AK4) - 1</f>
        <v>-1.4766605101236285E-3</v>
      </c>
      <c r="AM31" s="17">
        <f>(financials!AN4 / financials!AL4) - 1</f>
        <v>-2.7163671465075701E-2</v>
      </c>
      <c r="AN31" s="17">
        <f>(financials!AO4 / financials!AM4) - 1</f>
        <v>-1</v>
      </c>
      <c r="AO31" s="17">
        <f>(financials!AP4 / financials!AN4) - 1</f>
        <v>-1</v>
      </c>
    </row>
    <row r="32" spans="1:41" x14ac:dyDescent="0.3">
      <c r="A32" s="14" t="s">
        <v>159</v>
      </c>
      <c r="B32" s="15"/>
      <c r="C32" s="17">
        <f>(financials!C5 / financials!B5) - 1</f>
        <v>6.6244790980087842E-3</v>
      </c>
      <c r="D32" s="17">
        <f>(financials!D5 / financials!C5) - 1</f>
        <v>8.3776271006332781E-3</v>
      </c>
      <c r="E32" s="17">
        <f>(financials!E5 / financials!D5) - 1</f>
        <v>1.1163279231091394E-2</v>
      </c>
      <c r="F32" s="17">
        <f>(financials!F5 / financials!E5) - 1</f>
        <v>2.0620818809023111E-2</v>
      </c>
      <c r="G32" s="17">
        <f>(financials!G5 / financials!F5) - 1</f>
        <v>6.6311772330771568E-3</v>
      </c>
      <c r="H32" s="17">
        <f>(financials!H5 / financials!G5) - 1</f>
        <v>8.7154496448904606E-3</v>
      </c>
      <c r="I32" s="17">
        <f>(financials!I5 / financials!H5) - 1</f>
        <v>8.0808918651260608E-3</v>
      </c>
      <c r="J32" s="17">
        <f>(financials!K5 / financials!I5) - 1</f>
        <v>1.9850038402666748E-3</v>
      </c>
      <c r="K32" s="17">
        <f>(financials!L5 / financials!J5) - 1</f>
        <v>1.6407319335157711E-2</v>
      </c>
      <c r="L32" s="17">
        <f>(financials!M5 / financials!K5) - 1</f>
        <v>1.6213130007215693E-2</v>
      </c>
      <c r="M32" s="17">
        <f>(financials!N5 / financials!L5) - 1</f>
        <v>8.2157499637420806E-3</v>
      </c>
      <c r="N32" s="17">
        <f>(financials!O5 / financials!M5) - 1</f>
        <v>4.0682175669988219E-3</v>
      </c>
      <c r="O32" s="17">
        <f>(financials!P5 / financials!N5) - 1</f>
        <v>1.1719091035589546E-2</v>
      </c>
      <c r="P32" s="17">
        <f>(financials!Q5 / financials!O5) - 1</f>
        <v>1.2702203754481944E-2</v>
      </c>
      <c r="Q32" s="17">
        <f>(financials!R5 / financials!P5) - 1</f>
        <v>1.4605652134169755E-2</v>
      </c>
      <c r="R32" s="17">
        <f>(financials!S5 / financials!Q5) - 1</f>
        <v>2.869959677450451E-2</v>
      </c>
      <c r="S32" s="17">
        <f>(financials!T5 / financials!R5) - 1</f>
        <v>2.8652206917419987E-2</v>
      </c>
      <c r="T32" s="17">
        <f>(financials!U5 / financials!S5) - 1</f>
        <v>1.4333983062055689E-2</v>
      </c>
      <c r="U32" s="17">
        <f>(financials!V5 / financials!T5) - 1</f>
        <v>2.9537334013485239E-3</v>
      </c>
      <c r="V32" s="17">
        <f>(financials!W5 / financials!U5) - 1</f>
        <v>9.597855830562052E-3</v>
      </c>
      <c r="W32" s="17">
        <f>(financials!X5 / financials!V5) - 1</f>
        <v>1.7415186062036181E-2</v>
      </c>
      <c r="X32" s="17">
        <f>(financials!Y5 / financials!W5) - 1</f>
        <v>-1</v>
      </c>
      <c r="Y32" s="17">
        <f>(financials!Z5 / financials!X5) - 1</f>
        <v>-1</v>
      </c>
      <c r="Z32" s="17" t="e">
        <f>(financials!AA5 / financials!Y5) - 1</f>
        <v>#DIV/0!</v>
      </c>
      <c r="AA32" s="17" t="e">
        <f>(financials!AB5 / financials!Z5) - 1</f>
        <v>#DIV/0!</v>
      </c>
      <c r="AB32" s="17">
        <f>(financials!AC5 / financials!AA5) - 1</f>
        <v>1.541372326097612E-2</v>
      </c>
      <c r="AC32" s="17">
        <f>(financials!AD5 / financials!AB5) - 1</f>
        <v>2.0706661238576007E-2</v>
      </c>
      <c r="AD32" s="17">
        <f>(financials!AE5 / financials!AC5) - 1</f>
        <v>2.9824281186833668E-2</v>
      </c>
      <c r="AE32" s="17">
        <f>(financials!AF5 / financials!AD5) - 1</f>
        <v>3.4253229756086911E-2</v>
      </c>
      <c r="AF32" s="17">
        <f>(financials!AG5 / financials!AE5) - 1</f>
        <v>3.1500769753322055E-2</v>
      </c>
      <c r="AG32" s="17">
        <f>(financials!AH5 / financials!AF5) - 1</f>
        <v>2.1068278208137503E-2</v>
      </c>
      <c r="AH32" s="17">
        <f>(financials!AI5 / financials!AG5) - 1</f>
        <v>1.1068719360947554E-2</v>
      </c>
      <c r="AI32" s="17">
        <f>(financials!AJ5 / financials!AH5) - 1</f>
        <v>8.0122602909016294E-5</v>
      </c>
      <c r="AJ32" s="17">
        <f>(financials!AK5 / financials!AI5) - 1</f>
        <v>-8.3863862097455222E-4</v>
      </c>
      <c r="AK32" s="17">
        <f>(financials!AL5 / financials!AJ5) - 1</f>
        <v>4.4340230682773374E-3</v>
      </c>
      <c r="AL32" s="17">
        <f>(financials!AM5 / financials!AK5) - 1</f>
        <v>5.2396935459282368E-3</v>
      </c>
      <c r="AM32" s="17">
        <f>(financials!AN5 / financials!AL5) - 1</f>
        <v>-7.8869094723158506E-3</v>
      </c>
      <c r="AN32" s="17">
        <f>(financials!AO5 / financials!AM5) - 1</f>
        <v>-1</v>
      </c>
      <c r="AO32" s="17">
        <f>(financials!AP5 / financials!AN5) - 1</f>
        <v>-1</v>
      </c>
    </row>
    <row r="33" spans="1:41" x14ac:dyDescent="0.3">
      <c r="A33" s="14" t="s">
        <v>160</v>
      </c>
      <c r="B33" s="15"/>
      <c r="C33" s="17">
        <f>(financials!C6 / financials!B6) - 1</f>
        <v>-4.2234840658413875E-3</v>
      </c>
      <c r="D33" s="17">
        <f>(financials!D6 / financials!C6) - 1</f>
        <v>-2.795310731641254E-2</v>
      </c>
      <c r="E33" s="17">
        <f>(financials!E6 / financials!D6) - 1</f>
        <v>2.930699617255339E-2</v>
      </c>
      <c r="F33" s="17">
        <f>(financials!F6 / financials!E6) - 1</f>
        <v>6.4854702270471964E-2</v>
      </c>
      <c r="G33" s="17">
        <f>(financials!G6 / financials!F6) - 1</f>
        <v>-3.3798375166370409E-2</v>
      </c>
      <c r="H33" s="17">
        <f>(financials!H6 / financials!G6) - 1</f>
        <v>4.322928352177291E-3</v>
      </c>
      <c r="I33" s="17">
        <f>(financials!I6 / financials!H6) - 1</f>
        <v>1.7593129407013297E-2</v>
      </c>
      <c r="J33" s="17">
        <f>(financials!K6 / financials!I6) - 1</f>
        <v>1.5607202452062818E-2</v>
      </c>
      <c r="K33" s="17">
        <f>(financials!L6 / financials!J6) - 1</f>
        <v>1.5945715681835226E-2</v>
      </c>
      <c r="L33" s="17">
        <f>(financials!M6 / financials!K6) - 1</f>
        <v>3.5657177739483847E-2</v>
      </c>
      <c r="M33" s="17">
        <f>(financials!N6 / financials!L6) - 1</f>
        <v>3.5999750288403964E-2</v>
      </c>
      <c r="N33" s="17">
        <f>(financials!O6 / financials!M6) - 1</f>
        <v>-3.0374078631451806E-2</v>
      </c>
      <c r="O33" s="17">
        <f>(financials!P6 / financials!N6) - 1</f>
        <v>-2.4998824943247011E-2</v>
      </c>
      <c r="P33" s="17">
        <f>(financials!Q6 / financials!O6) - 1</f>
        <v>1.0732036563655178E-2</v>
      </c>
      <c r="Q33" s="17">
        <f>(financials!R6 / financials!P6) - 1</f>
        <v>2.3050851321962051E-2</v>
      </c>
      <c r="R33" s="17">
        <f>(financials!S6 / financials!Q6) - 1</f>
        <v>3.3041767504154551E-2</v>
      </c>
      <c r="S33" s="17">
        <f>(financials!T6 / financials!R6) - 1</f>
        <v>1.455653818109881E-2</v>
      </c>
      <c r="T33" s="17">
        <f>(financials!U6 / financials!S6) - 1</f>
        <v>3.389066798225171E-2</v>
      </c>
      <c r="U33" s="17">
        <f>(financials!V6 / financials!T6) - 1</f>
        <v>2.7662371971985733E-2</v>
      </c>
      <c r="V33" s="17">
        <f>(financials!W6 / financials!U6) - 1</f>
        <v>2.0904842424858128E-3</v>
      </c>
      <c r="W33" s="17">
        <f>(financials!X6 / financials!V6) - 1</f>
        <v>1.3523469005251698E-2</v>
      </c>
      <c r="X33" s="17">
        <f>(financials!Y6 / financials!W6) - 1</f>
        <v>-1</v>
      </c>
      <c r="Y33" s="17">
        <f>(financials!Z6 / financials!X6) - 1</f>
        <v>-1</v>
      </c>
      <c r="Z33" s="17" t="e">
        <f>(financials!AA6 / financials!Y6) - 1</f>
        <v>#DIV/0!</v>
      </c>
      <c r="AA33" s="17" t="e">
        <f>(financials!AB6 / financials!Z6) - 1</f>
        <v>#DIV/0!</v>
      </c>
      <c r="AB33" s="17">
        <f>(financials!AC6 / financials!AA6) - 1</f>
        <v>-1.045052316812356E-2</v>
      </c>
      <c r="AC33" s="17">
        <f>(financials!AD6 / financials!AB6) - 1</f>
        <v>2.1590068875569246E-2</v>
      </c>
      <c r="AD33" s="17">
        <f>(financials!AE6 / financials!AC6) - 1</f>
        <v>3.6144864638841367E-2</v>
      </c>
      <c r="AE33" s="17">
        <f>(financials!AF6 / financials!AD6) - 1</f>
        <v>3.3358496932957893E-2</v>
      </c>
      <c r="AF33" s="17">
        <f>(financials!AG6 / financials!AE6) - 1</f>
        <v>4.0921636983112242E-2</v>
      </c>
      <c r="AG33" s="17">
        <f>(financials!AH6 / financials!AF6) - 1</f>
        <v>2.2282766729639469E-2</v>
      </c>
      <c r="AH33" s="17">
        <f>(financials!AI6 / financials!AG6) - 1</f>
        <v>5.0835042350627635E-3</v>
      </c>
      <c r="AI33" s="17">
        <f>(financials!AJ6 / financials!AH6) - 1</f>
        <v>-1.6686736841741823E-2</v>
      </c>
      <c r="AJ33" s="17">
        <f>(financials!AK6 / financials!AI6) - 1</f>
        <v>-7.6175857408681269E-3</v>
      </c>
      <c r="AK33" s="17">
        <f>(financials!AL6 / financials!AJ6) - 1</f>
        <v>4.3754944012301955E-3</v>
      </c>
      <c r="AL33" s="17">
        <f>(financials!AM6 / financials!AK6) - 1</f>
        <v>2.4881447297659953E-3</v>
      </c>
      <c r="AM33" s="17">
        <f>(financials!AN6 / financials!AL6) - 1</f>
        <v>-2.7939186395714022E-2</v>
      </c>
      <c r="AN33" s="17">
        <f>(financials!AO6 / financials!AM6) - 1</f>
        <v>-1</v>
      </c>
      <c r="AO33" s="17">
        <f>(financials!AP6 / financials!AN6) - 1</f>
        <v>-1</v>
      </c>
    </row>
    <row r="34" spans="1:41" x14ac:dyDescent="0.3">
      <c r="A34" s="14" t="s">
        <v>161</v>
      </c>
      <c r="B34" s="15"/>
      <c r="C34" s="17">
        <f>(financials!C27 / financials!B27) - 1</f>
        <v>3.1476583281413451E-3</v>
      </c>
      <c r="D34" s="17">
        <f>(financials!D27 / financials!C27) - 1</f>
        <v>1.4218573451720173E-2</v>
      </c>
      <c r="E34" s="17">
        <f>(financials!E27 / financials!D27) - 1</f>
        <v>-3.8993166739777263E-2</v>
      </c>
      <c r="F34" s="17">
        <f>(financials!F27 / financials!E27) - 1</f>
        <v>-2.8694453745002346E-2</v>
      </c>
      <c r="G34" s="17">
        <f>(financials!G27 / financials!F27) - 1</f>
        <v>-1.9775108571204458E-2</v>
      </c>
      <c r="H34" s="17">
        <f>(financials!H27 / financials!G27) - 1</f>
        <v>4.7014920368225743E-2</v>
      </c>
      <c r="I34" s="17">
        <f>(financials!I27 / financials!H27) - 1</f>
        <v>2.5987349715717034E-2</v>
      </c>
      <c r="J34" s="17">
        <f>(financials!K27 / financials!I27) - 1</f>
        <v>4.6531695678731833E-2</v>
      </c>
      <c r="K34" s="17">
        <f>(financials!L27 / financials!J27) - 1</f>
        <v>7.6491628102471898E-2</v>
      </c>
      <c r="L34" s="17">
        <f>(financials!M27 / financials!K27) - 1</f>
        <v>7.0123642781003248E-2</v>
      </c>
      <c r="M34" s="17">
        <f>(financials!N27 / financials!L27) - 1</f>
        <v>4.377848904559789E-2</v>
      </c>
      <c r="N34" s="17">
        <f>(financials!O27 / financials!M27) - 1</f>
        <v>-9.7624361547238303E-3</v>
      </c>
      <c r="O34" s="17">
        <f>(financials!P27 / financials!N27) - 1</f>
        <v>8.0050806494218474E-3</v>
      </c>
      <c r="P34" s="17">
        <f>(financials!Q27 / financials!O27) - 1</f>
        <v>-1.0125651786230594E-2</v>
      </c>
      <c r="Q34" s="17">
        <f>(financials!R27 / financials!P27) - 1</f>
        <v>-1.3990068374650666E-2</v>
      </c>
      <c r="R34" s="17">
        <f>(financials!S27 / financials!Q27) - 1</f>
        <v>-5.1121160924894049E-3</v>
      </c>
      <c r="S34" s="17">
        <f>(financials!T27 / financials!R27) - 1</f>
        <v>-1.3182963879958876E-2</v>
      </c>
      <c r="T34" s="17">
        <f>(financials!U27 / financials!S27) - 1</f>
        <v>4.1283789250130765E-2</v>
      </c>
      <c r="U34" s="17">
        <f>(financials!V27 / financials!T27) - 1</f>
        <v>2.4505423650454938E-2</v>
      </c>
      <c r="V34" s="17">
        <f>(financials!W27 / financials!U27) - 1</f>
        <v>-1.0879928367597214E-2</v>
      </c>
      <c r="W34" s="17">
        <f>(financials!X27 / financials!V27) - 1</f>
        <v>1.573216023707924E-2</v>
      </c>
      <c r="X34" s="17">
        <f>(financials!Y27 / financials!W27) - 1</f>
        <v>-1</v>
      </c>
      <c r="Y34" s="17">
        <f>(financials!Z27 / financials!X27) - 1</f>
        <v>-1</v>
      </c>
      <c r="Z34" s="17" t="e">
        <f>(financials!AA27 / financials!Y27) - 1</f>
        <v>#DIV/0!</v>
      </c>
      <c r="AA34" s="17" t="e">
        <f>(financials!AB27 / financials!Z27) - 1</f>
        <v>#DIV/0!</v>
      </c>
      <c r="AB34" s="17">
        <f>(financials!AC27 / financials!AA27) - 1</f>
        <v>-5.0285511469335686E-3</v>
      </c>
      <c r="AC34" s="17">
        <f>(financials!AD27 / financials!AB27) - 1</f>
        <v>-2.181142975478112E-4</v>
      </c>
      <c r="AD34" s="17">
        <f>(financials!AE27 / financials!AC27) - 1</f>
        <v>-9.4313865342627867E-3</v>
      </c>
      <c r="AE34" s="17">
        <f>(financials!AF27 / financials!AD27) - 1</f>
        <v>-4.6569305188737253E-3</v>
      </c>
      <c r="AF34" s="17">
        <f>(financials!AG27 / financials!AE27) - 1</f>
        <v>1.5192096533555688E-2</v>
      </c>
      <c r="AG34" s="17">
        <f>(financials!AH27 / financials!AF27) - 1</f>
        <v>1.7374673733236978E-2</v>
      </c>
      <c r="AH34" s="17">
        <f>(financials!AI27 / financials!AG27) - 1</f>
        <v>-2.5225708178838735E-3</v>
      </c>
      <c r="AI34" s="17">
        <f>(financials!AJ27 / financials!AH27) - 1</f>
        <v>-9.1702257764335604E-3</v>
      </c>
      <c r="AJ34" s="17">
        <f>(financials!AK27 / financials!AI27) - 1</f>
        <v>-1.567530377869808E-2</v>
      </c>
      <c r="AK34" s="17">
        <f>(financials!AL27 / financials!AJ27) - 1</f>
        <v>-1.7074274183276228E-2</v>
      </c>
      <c r="AL34" s="17">
        <f>(financials!AM27 / financials!AK27) - 1</f>
        <v>-4.4523289354427842E-3</v>
      </c>
      <c r="AM34" s="17">
        <f>(financials!AN27 / financials!AL27) - 1</f>
        <v>5.1709017100443289E-2</v>
      </c>
      <c r="AN34" s="17">
        <f>(financials!AO27 / financials!AM27) - 1</f>
        <v>-1</v>
      </c>
      <c r="AO34" s="17">
        <f>(financials!AP27 / financials!AN27) - 1</f>
        <v>-1</v>
      </c>
    </row>
    <row r="35" spans="1:41" x14ac:dyDescent="0.3">
      <c r="A35" s="14" t="s">
        <v>93</v>
      </c>
      <c r="B35" s="15"/>
      <c r="C35" s="17">
        <f>(financials!C11 / financials!B11) - 1</f>
        <v>-2.2298045938411337E-2</v>
      </c>
      <c r="D35" s="17">
        <f>(financials!D11 / financials!C11) - 1</f>
        <v>-2.8990273050646942E-2</v>
      </c>
      <c r="E35" s="17">
        <f>(financials!E11 / financials!D11) - 1</f>
        <v>8.4451023174455742E-2</v>
      </c>
      <c r="F35" s="17">
        <f>(financials!F11 / financials!E11) - 1</f>
        <v>5.8522079426510887E-2</v>
      </c>
      <c r="G35" s="17">
        <f>(financials!G11 / financials!F11) - 1</f>
        <v>4.6075411403112554E-4</v>
      </c>
      <c r="H35" s="17">
        <f>(financials!H11 / financials!G11) - 1</f>
        <v>5.3852519354942396E-2</v>
      </c>
      <c r="I35" s="17">
        <f>(financials!I11 / financials!H11) - 1</f>
        <v>1.6401193713975193E-2</v>
      </c>
      <c r="J35" s="17">
        <f>(financials!K11 / financials!I11) - 1</f>
        <v>3.473742007745062E-2</v>
      </c>
      <c r="K35" s="17">
        <f>(financials!L11 / financials!J11) - 1</f>
        <v>3.6860481643617327E-2</v>
      </c>
      <c r="L35" s="17">
        <f>(financials!M11 / financials!K11) - 1</f>
        <v>-4.445887202948795E-2</v>
      </c>
      <c r="M35" s="17">
        <f>(financials!N11 / financials!L11) - 1</f>
        <v>-5.3691746923780315E-2</v>
      </c>
      <c r="N35" s="17">
        <f>(financials!O11 / financials!M11) - 1</f>
        <v>7.8228611083868138E-3</v>
      </c>
      <c r="O35" s="17">
        <f>(financials!P11 / financials!N11) - 1</f>
        <v>2.8410627582029724E-2</v>
      </c>
      <c r="P35" s="17">
        <f>(financials!Q11 / financials!O11) - 1</f>
        <v>0.10542004683642436</v>
      </c>
      <c r="Q35" s="17">
        <f>(financials!R11 / financials!P11) - 1</f>
        <v>6.6582015733657407E-2</v>
      </c>
      <c r="R35" s="17">
        <f>(financials!S11 / financials!Q11) - 1</f>
        <v>-2.6672071013187471E-2</v>
      </c>
      <c r="S35" s="17">
        <f>(financials!T11 / financials!R11) - 1</f>
        <v>7.5403467052750361E-3</v>
      </c>
      <c r="T35" s="17">
        <f>(financials!U11 / financials!S11) - 1</f>
        <v>4.1813628937119152E-2</v>
      </c>
      <c r="U35" s="17">
        <f>(financials!V11 / financials!T11) - 1</f>
        <v>2.7616843786887113E-2</v>
      </c>
      <c r="V35" s="17">
        <f>(financials!W11 / financials!U11) - 1</f>
        <v>7.866513354611615E-2</v>
      </c>
      <c r="W35" s="17">
        <f>(financials!X11 / financials!V11) - 1</f>
        <v>8.2066684760363717E-2</v>
      </c>
      <c r="X35" s="17">
        <f>(financials!Y11 / financials!W11) - 1</f>
        <v>-1</v>
      </c>
      <c r="Y35" s="17">
        <f>(financials!Z11 / financials!X11) - 1</f>
        <v>-1</v>
      </c>
      <c r="Z35" s="17" t="e">
        <f>(financials!AA11 / financials!Y11) - 1</f>
        <v>#DIV/0!</v>
      </c>
      <c r="AA35" s="17" t="e">
        <f>(financials!AB11 / financials!Z11) - 1</f>
        <v>#DIV/0!</v>
      </c>
      <c r="AB35" s="17">
        <f>(financials!AC11 / financials!AA11) - 1</f>
        <v>-0.33686936482830265</v>
      </c>
      <c r="AC35" s="17">
        <f>(financials!AD11 / financials!AB11) - 1</f>
        <v>-0.25104916963512336</v>
      </c>
      <c r="AD35" s="17">
        <f>(financials!AE11 / financials!AC11) - 1</f>
        <v>0.19721242518149462</v>
      </c>
      <c r="AE35" s="17">
        <f>(financials!AF11 / financials!AD11) - 1</f>
        <v>-6.8706253250123694E-3</v>
      </c>
      <c r="AF35" s="17">
        <f>(financials!AG11 / financials!AE11) - 1</f>
        <v>0.41361404792030099</v>
      </c>
      <c r="AG35" s="17">
        <f>(financials!AH11 / financials!AF11) - 1</f>
        <v>0.42149237915108206</v>
      </c>
      <c r="AH35" s="17">
        <f>(financials!AI11 / financials!AG11) - 1</f>
        <v>5.3766956921117437E-3</v>
      </c>
      <c r="AI35" s="17">
        <f>(financials!AJ11 / financials!AH11) - 1</f>
        <v>1.8605204844095447E-3</v>
      </c>
      <c r="AJ35" s="17">
        <f>(financials!AK11 / financials!AI11) - 1</f>
        <v>4.8429233969212726E-2</v>
      </c>
      <c r="AK35" s="17">
        <f>(financials!AL11 / financials!AJ11) - 1</f>
        <v>8.4298199725891809E-2</v>
      </c>
      <c r="AL35" s="17">
        <f>(financials!AM11 / financials!AK11) - 1</f>
        <v>0.10293891660136145</v>
      </c>
      <c r="AM35" s="17">
        <f>(financials!AN11 / financials!AL11) - 1</f>
        <v>-0.1451167588731308</v>
      </c>
      <c r="AN35" s="17">
        <f>(financials!AO11 / financials!AM11) - 1</f>
        <v>-1</v>
      </c>
      <c r="AO35" s="17">
        <f>(financials!AP11 / financials!AN11) - 1</f>
        <v>-1</v>
      </c>
    </row>
    <row r="36" spans="1:41" x14ac:dyDescent="0.3">
      <c r="A36" s="14" t="s">
        <v>112</v>
      </c>
      <c r="B36" s="15"/>
      <c r="C36" s="17">
        <f>(financials!C39 / financials!B39) - 1</f>
        <v>-0.93559607382041221</v>
      </c>
      <c r="D36" s="17">
        <f>(financials!D39 / financials!C39) - 1</f>
        <v>0.1641026132282557</v>
      </c>
      <c r="E36" s="17">
        <f>(financials!E39 / financials!D39) - 1</f>
        <v>1.604315186965521</v>
      </c>
      <c r="F36" s="17">
        <f>(financials!F39 / financials!E39) - 1</f>
        <v>0.57193328698671109</v>
      </c>
      <c r="G36" s="17">
        <f>(financials!G39 / financials!F39) - 1</f>
        <v>0.19691777671657706</v>
      </c>
      <c r="H36" s="17">
        <f>(financials!H39 / financials!G39) - 1</f>
        <v>0.2232122401270884</v>
      </c>
      <c r="I36" s="17">
        <f>(financials!I39 / financials!H39) - 1</f>
        <v>0.31021638564040388</v>
      </c>
      <c r="J36" s="17">
        <f>(financials!K39 / financials!I39) - 1</f>
        <v>0.23735229362529053</v>
      </c>
      <c r="K36" s="17">
        <f>(financials!L39 / financials!J39) - 1</f>
        <v>0.22460734792067139</v>
      </c>
      <c r="L36" s="17">
        <f>(financials!M39 / financials!K39) - 1</f>
        <v>0.21493721205990335</v>
      </c>
      <c r="M36" s="17">
        <f>(financials!N39 / financials!L39) - 1</f>
        <v>0.25898503412226237</v>
      </c>
      <c r="N36" s="17">
        <f>(financials!O39 / financials!M39) - 1</f>
        <v>-0.91791897700057601</v>
      </c>
      <c r="O36" s="17">
        <f>(financials!P39 / financials!N39) - 1</f>
        <v>-0.85676238765239809</v>
      </c>
      <c r="P36" s="17">
        <f>(financials!Q39 / financials!O39) - 1</f>
        <v>2.1915546779845454</v>
      </c>
      <c r="Q36" s="17">
        <f>(financials!R39 / financials!P39) - 1</f>
        <v>1.1178389027600275</v>
      </c>
      <c r="R36" s="17">
        <f>(financials!S39 / financials!Q39) - 1</f>
        <v>0.69822841448607176</v>
      </c>
      <c r="S36" s="17">
        <f>(financials!T39 / financials!R39) - 1</f>
        <v>0.56438410793513127</v>
      </c>
      <c r="T36" s="17">
        <f>(financials!U39 / financials!S39) - 1</f>
        <v>0.4636833865653005</v>
      </c>
      <c r="U36" s="17">
        <f>(financials!V39 / financials!T39) - 1</f>
        <v>0.37516924975612942</v>
      </c>
      <c r="V36" s="17">
        <f>(financials!W39 / financials!U39) - 1</f>
        <v>0.35625408961460336</v>
      </c>
      <c r="W36" s="17">
        <f>(financials!X39 / financials!V39) - 1</f>
        <v>0.31771475901459678</v>
      </c>
      <c r="X36" s="17">
        <f>(financials!Y39 / financials!W39) - 1</f>
        <v>-1</v>
      </c>
      <c r="Y36" s="17">
        <f>(financials!Z39 / financials!X39) - 1</f>
        <v>-1</v>
      </c>
      <c r="Z36" s="17" t="e">
        <f>(financials!AA39 / financials!Y39) - 1</f>
        <v>#DIV/0!</v>
      </c>
      <c r="AA36" s="17" t="e">
        <f>(financials!AB39 / financials!Z39) - 1</f>
        <v>#DIV/0!</v>
      </c>
      <c r="AB36" s="17">
        <f>(financials!AC39 / financials!AA39) - 1</f>
        <v>-0.87935217449652114</v>
      </c>
      <c r="AC36" s="17">
        <f>(financials!AD39 / financials!AB39) - 1</f>
        <v>1.9954176695098864</v>
      </c>
      <c r="AD36" s="17">
        <f>(financials!AE39 / financials!AC39) - 1</f>
        <v>1.0992925281413592</v>
      </c>
      <c r="AE36" s="17">
        <f>(financials!AF39 / financials!AD39) - 1</f>
        <v>0.70353004155607546</v>
      </c>
      <c r="AF36" s="17">
        <f>(financials!AG39 / financials!AE39) - 1</f>
        <v>0.72668331474880676</v>
      </c>
      <c r="AG36" s="17">
        <f>(financials!AH39 / financials!AF39) - 1</f>
        <v>0.53274875409189426</v>
      </c>
      <c r="AH36" s="17">
        <f>(financials!AI39 / financials!AG39) - 1</f>
        <v>0.31068703972065292</v>
      </c>
      <c r="AI36" s="17">
        <f>(financials!AJ39 / financials!AH39) - 1</f>
        <v>0.26567401597487184</v>
      </c>
      <c r="AJ36" s="17">
        <f>(financials!AK39 / financials!AI39) - 1</f>
        <v>0.22387910084806406</v>
      </c>
      <c r="AK36" s="17">
        <f>(financials!AL39 / financials!AJ39) - 1</f>
        <v>0.20884265435910887</v>
      </c>
      <c r="AL36" s="17">
        <f>(financials!AM39 / financials!AK39) - 1</f>
        <v>0.28215037449228064</v>
      </c>
      <c r="AM36" s="17">
        <f>(financials!AN39 / financials!AL39) - 1</f>
        <v>0.42973910945801252</v>
      </c>
      <c r="AN36" s="17">
        <f>(financials!AO39 / financials!AM39) - 1</f>
        <v>-1</v>
      </c>
      <c r="AO36" s="17">
        <f>(financials!AP39 / financials!AN39) - 1</f>
        <v>-1</v>
      </c>
    </row>
    <row r="37" spans="1:41" x14ac:dyDescent="0.3">
      <c r="A37" s="14" t="s">
        <v>86</v>
      </c>
      <c r="B37" s="15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spans="1:41" x14ac:dyDescent="0.3">
      <c r="A38" s="14" t="s">
        <v>162</v>
      </c>
      <c r="B38" s="15"/>
      <c r="C38" s="18">
        <f>(soci!C23 / soci!B23) - 1</f>
        <v>-0.91864043020182518</v>
      </c>
      <c r="D38" s="18">
        <f>(soci!D23 / soci!C23) - 1</f>
        <v>0.94934173376134301</v>
      </c>
      <c r="E38" s="18">
        <f>(soci!E23 / soci!D23) - 1</f>
        <v>0.68324604595579874</v>
      </c>
      <c r="F38" s="18">
        <f>(soci!F23 / soci!E23) - 1</f>
        <v>0.48174972275377148</v>
      </c>
      <c r="G38" s="18">
        <f>(soci!G23 / soci!F23) - 1</f>
        <v>0.26088624907686797</v>
      </c>
      <c r="H38" s="18">
        <f>(soci!H23 / soci!G23) - 1</f>
        <v>0.11415749640102657</v>
      </c>
      <c r="I38" s="18">
        <f>(soci!I23 / soci!H23) - 1</f>
        <v>0.28658060613334246</v>
      </c>
      <c r="J38" s="18">
        <f>(soci!K23 / soci!I23) - 1</f>
        <v>0.23860589362270734</v>
      </c>
      <c r="K38" s="18">
        <f>(soci!L23 / soci!J23) - 1</f>
        <v>0.21688787613136107</v>
      </c>
      <c r="L38" s="18">
        <f>(soci!M23 / soci!K23) - 1</f>
        <v>0.18063220969275284</v>
      </c>
      <c r="M38" s="18">
        <f>(soci!N23 / soci!L23) - 1</f>
        <v>3.6787626669212203E-2</v>
      </c>
      <c r="N38" s="18">
        <f>(soci!O23 / soci!M23) - 1</f>
        <v>-1</v>
      </c>
      <c r="O38" s="18">
        <f>(soci!P23 / soci!N23) - 1</f>
        <v>-1</v>
      </c>
      <c r="P38" s="18" t="e">
        <f>(soci!Q23 / soci!O23) - 1</f>
        <v>#DIV/0!</v>
      </c>
      <c r="Q38" s="18" t="e">
        <f>(soci!R23 / soci!P23) - 1</f>
        <v>#DIV/0!</v>
      </c>
      <c r="R38" s="18" t="e">
        <f>(soci!S23 / soci!Q23) - 1</f>
        <v>#DIV/0!</v>
      </c>
      <c r="S38" s="18" t="e">
        <f>(soci!T23 / soci!R23) - 1</f>
        <v>#DIV/0!</v>
      </c>
      <c r="T38" s="18" t="e">
        <f>(soci!U23 / soci!S23) - 1</f>
        <v>#DIV/0!</v>
      </c>
      <c r="U38" s="18" t="e">
        <f>(soci!V23 / soci!T23) - 1</f>
        <v>#DIV/0!</v>
      </c>
      <c r="V38" s="18" t="e">
        <f>(soci!W23 / soci!U23) - 1</f>
        <v>#DIV/0!</v>
      </c>
      <c r="W38" s="18" t="e">
        <f>(soci!X23 / soci!V23) - 1</f>
        <v>#DIV/0!</v>
      </c>
      <c r="X38" s="18">
        <f>(soci!Y23 / soci!W23) - 1</f>
        <v>-1</v>
      </c>
      <c r="Y38" s="18">
        <f>(soci!Z23 / soci!X23) - 1</f>
        <v>-1</v>
      </c>
      <c r="Z38" s="18" t="e">
        <f>(soci!AA23 / soci!Y23) - 1</f>
        <v>#DIV/0!</v>
      </c>
      <c r="AA38" s="18" t="e">
        <f>(soci!AB23 / soci!Z23) - 1</f>
        <v>#DIV/0!</v>
      </c>
      <c r="AB38" s="18">
        <f>(soci!AC23 / soci!AA23) - 1</f>
        <v>-1</v>
      </c>
      <c r="AC38" s="18">
        <f>(soci!AD23 / soci!AB23) - 1</f>
        <v>1.7690887812712459</v>
      </c>
      <c r="AD38" s="18" t="e">
        <f>(soci!AE23 / soci!AC23) - 1</f>
        <v>#DIV/0!</v>
      </c>
      <c r="AE38" s="18">
        <f>(soci!AF23 / soci!AD23) - 1</f>
        <v>0.83328800722411223</v>
      </c>
      <c r="AF38" s="18">
        <f>(soci!AG23 / soci!AE23) - 1</f>
        <v>0.58967467023523779</v>
      </c>
      <c r="AG38" s="18">
        <f>(soci!AH23 / soci!AF23) - 1</f>
        <v>0.39993780075086671</v>
      </c>
      <c r="AH38" s="18">
        <f>(soci!AI23 / soci!AG23) - 1</f>
        <v>0.30013960774222692</v>
      </c>
      <c r="AI38" s="18">
        <f>(soci!AJ23 / soci!AH23) - 1</f>
        <v>0.26327361902021162</v>
      </c>
      <c r="AJ38" s="18">
        <f>(soci!AK23 / soci!AI23) - 1</f>
        <v>0.11843376920580262</v>
      </c>
      <c r="AK38" s="18">
        <f>(soci!AL23 / soci!AJ23) - 1</f>
        <v>3.0354807774985559E-2</v>
      </c>
      <c r="AL38" s="18">
        <f>(soci!AM23 / soci!AK23) - 1</f>
        <v>0.10240370903090668</v>
      </c>
      <c r="AM38" s="18">
        <f>(soci!AN23 / soci!AL23) - 1</f>
        <v>0.17351670811176279</v>
      </c>
      <c r="AN38" s="18" t="e">
        <f>(soci!#REF! / soci!AM23) - 1</f>
        <v>#REF!</v>
      </c>
      <c r="AO38" s="18" t="e">
        <f>(soci!#REF! / soci!AN23) - 1</f>
        <v>#REF!</v>
      </c>
    </row>
    <row r="39" spans="1:41" x14ac:dyDescent="0.3">
      <c r="A39" s="67" t="s">
        <v>163</v>
      </c>
      <c r="B39" s="6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41" x14ac:dyDescent="0.3">
      <c r="A40" s="14" t="s">
        <v>164</v>
      </c>
      <c r="B40" s="15"/>
      <c r="C40" s="11">
        <f>financials!B46 / ((financials!B5 + financials!C5) /2)</f>
        <v>0.11940142754670029</v>
      </c>
      <c r="D40" s="11">
        <f>financials!C46 / ((financials!C5 + financials!D5) /2)</f>
        <v>2.7435916886047584E-3</v>
      </c>
      <c r="E40" s="11">
        <f>financials!D46 / ((financials!D5 + financials!E5) /2)</f>
        <v>4.7024614948374234E-3</v>
      </c>
      <c r="F40" s="11">
        <f>financials!E46 / ((financials!E5 + financials!F5) /2)</f>
        <v>5.9974869544247977E-3</v>
      </c>
      <c r="G40" s="11">
        <f>financials!F46 / ((financials!F5 + financials!G5) /2)</f>
        <v>8.0820797604905428E-3</v>
      </c>
      <c r="H40" s="11">
        <f>financials!G46 / ((financials!G5 + financials!H5) /2)</f>
        <v>1.0865729043858567E-2</v>
      </c>
      <c r="I40" s="11">
        <f>financials!H46 / ((financials!H5 + financials!I5) /2)</f>
        <v>1.2430218886361682E-2</v>
      </c>
      <c r="J40" s="11">
        <f>financials!I46 / ((financials!I5 + financials!K5) /2)</f>
        <v>1.7202225587196897E-2</v>
      </c>
      <c r="K40" s="11">
        <f>financials!J46 / ((financials!J5 + financials!L5) /2)</f>
        <v>1.9253891148808461E-2</v>
      </c>
      <c r="L40" s="11">
        <f>financials!K46 / ((financials!K5 + financials!M5) /2)</f>
        <v>2.1434839059834468E-2</v>
      </c>
      <c r="M40" s="11">
        <f>financials!L46 / ((financials!L5 + financials!N5) /2)</f>
        <v>2.5028434167069527E-2</v>
      </c>
      <c r="N40" s="11">
        <f>financials!M46 / ((financials!M5 + financials!O5) /2)</f>
        <v>5.7488942374031661E-2</v>
      </c>
      <c r="O40" s="11">
        <f>financials!N46 / ((financials!N5 + financials!P5) /2)</f>
        <v>0</v>
      </c>
      <c r="P40" s="11">
        <f>financials!O46 / ((financials!O5 + financials!Q5) /2)</f>
        <v>2.0444238812465944E-3</v>
      </c>
      <c r="Q40" s="11">
        <f>financials!P46 / ((financials!P5 + financials!R5) /2)</f>
        <v>5.1375199764761405E-3</v>
      </c>
      <c r="R40" s="11">
        <f>financials!Q46 / ((financials!Q5 + financials!S5) /2)</f>
        <v>6.9402658251713524E-3</v>
      </c>
      <c r="S40" s="11">
        <f>financials!R46 / ((financials!R5 + financials!T5) /2)</f>
        <v>9.0562460301117885E-3</v>
      </c>
      <c r="T40" s="11">
        <f>financials!S46 / ((financials!S5 + financials!U5) /2)</f>
        <v>1.1354300612056971E-2</v>
      </c>
      <c r="U40" s="11">
        <f>financials!T46 / ((financials!T5 + financials!V5) /2)</f>
        <v>1.3742444356361681E-2</v>
      </c>
      <c r="V40" s="11">
        <f>financials!U46 / ((financials!U5 + financials!W5) /2)</f>
        <v>1.5599825096909178E-2</v>
      </c>
      <c r="W40" s="11">
        <f>financials!V46 / ((financials!V5 + financials!X5) /2)</f>
        <v>1.8480677592433215E-2</v>
      </c>
      <c r="X40" s="11">
        <f>financials!W46 / ((financials!W5 + financials!Y5) /2)</f>
        <v>4.0857267769344605E-2</v>
      </c>
      <c r="Y40" s="11">
        <f>financials!X46 / ((financials!X5 + financials!Z5) /2)</f>
        <v>4.5609056599544902E-2</v>
      </c>
      <c r="Z40" s="11">
        <f>financials!Y46 / ((financials!Y5 + financials!AA5) /2)</f>
        <v>0</v>
      </c>
      <c r="AA40" s="11">
        <f>financials!Z46 / ((financials!Z5 + financials!AB5) /2)</f>
        <v>0</v>
      </c>
      <c r="AB40" s="11">
        <f>financials!AA46 / ((financials!AA5 + financials!AC5) /2)</f>
        <v>0.16526836716705753</v>
      </c>
      <c r="AC40" s="11">
        <f>financials!AB46 / ((financials!AB5 + financials!AD5) /2)</f>
        <v>3.0969840216824311E-3</v>
      </c>
      <c r="AD40" s="11">
        <f>financials!AC46 / ((financials!AC5 + financials!AE5) /2)</f>
        <v>5.9522585470384286E-3</v>
      </c>
      <c r="AE40" s="11">
        <f>financials!AD46 / ((financials!AD5 + financials!AF5) /2)</f>
        <v>8.6223442951868304E-3</v>
      </c>
      <c r="AF40" s="11">
        <f>financials!AE46 / ((financials!AE5 + financials!AG5) /2)</f>
        <v>1.1360374457263742E-2</v>
      </c>
      <c r="AG40" s="11">
        <f>financials!AF46 / ((financials!AF5 + financials!AH5) /2)</f>
        <v>1.4118056818726101E-2</v>
      </c>
      <c r="AH40" s="11">
        <f>financials!AG46 / ((financials!AG5 + financials!AI5) /2)</f>
        <v>1.669776956481046E-2</v>
      </c>
      <c r="AI40" s="11">
        <f>financials!AH46 / ((financials!AH5 + financials!AJ5) /2)</f>
        <v>2.0434098904326788E-2</v>
      </c>
      <c r="AJ40" s="11">
        <f>financials!AI46 / ((financials!AI5 + financials!AK5) /2)</f>
        <v>2.3158788066362866E-2</v>
      </c>
      <c r="AK40" s="11">
        <f>financials!AJ46 / ((financials!AJ5 + financials!AL5) /2)</f>
        <v>2.5972816108722128E-2</v>
      </c>
      <c r="AL40" s="11">
        <f>financials!AK46 / ((financials!AK5 + financials!AM5) /2)</f>
        <v>2.9857462085560008E-2</v>
      </c>
      <c r="AM40" s="11">
        <f>financials!AL46 / ((financials!AL5 + financials!AN5) /2)</f>
        <v>3.3379037175851063E-2</v>
      </c>
      <c r="AN40" s="11">
        <f>financials!AM46 / ((financials!AM5 + financials!AO5) /2)</f>
        <v>7.5777314221684516E-2</v>
      </c>
      <c r="AO40" s="11">
        <f>financials!AN46 / ((financials!AN5 + financials!AP5) /2)</f>
        <v>0.19664480750984675</v>
      </c>
    </row>
    <row r="41" spans="1:41" x14ac:dyDescent="0.3">
      <c r="A41" s="14" t="s">
        <v>165</v>
      </c>
      <c r="B41" s="15"/>
      <c r="C41" s="11">
        <f>financials!B47 / ((financials!B15 + financials!C15) /2)</f>
        <v>0</v>
      </c>
      <c r="D41" s="11">
        <f>financials!C47 / ((financials!C15 + financials!D15) /2)</f>
        <v>0</v>
      </c>
      <c r="E41" s="11">
        <f>financials!D47 / ((financials!D15 + financials!E15) /2)</f>
        <v>0</v>
      </c>
      <c r="F41" s="11">
        <f>financials!E47 / ((financials!E15 + financials!F15) /2)</f>
        <v>0</v>
      </c>
      <c r="G41" s="11">
        <f>financials!F47 / ((financials!F15 + financials!G15) /2)</f>
        <v>0</v>
      </c>
      <c r="H41" s="11">
        <f>financials!G47 / ((financials!G15 + financials!H15) /2)</f>
        <v>0</v>
      </c>
      <c r="I41" s="11">
        <f>financials!H47 / ((financials!H15 + financials!I15) /2)</f>
        <v>0</v>
      </c>
      <c r="J41" s="11">
        <f>financials!I47 / ((financials!I15 + financials!K15) /2)</f>
        <v>0</v>
      </c>
      <c r="K41" s="11">
        <f>financials!J47 / ((financials!J15 + financials!L15) /2)</f>
        <v>0</v>
      </c>
      <c r="L41" s="11">
        <f>financials!K47 / ((financials!K15 + financials!M15) /2)</f>
        <v>0</v>
      </c>
      <c r="M41" s="11">
        <f>financials!L47 / ((financials!L15 + financials!N15) /2)</f>
        <v>0</v>
      </c>
      <c r="N41" s="11">
        <f>financials!M47 / ((financials!M15 + financials!O15) /2)</f>
        <v>0</v>
      </c>
      <c r="O41" s="11">
        <f>financials!N47 / ((financials!N15 + financials!P15) /2)</f>
        <v>0</v>
      </c>
      <c r="P41" s="11">
        <f>financials!O47 / ((financials!O15 + financials!Q15) /2)</f>
        <v>0</v>
      </c>
      <c r="Q41" s="11">
        <f>financials!P47 / ((financials!P15 + financials!R15) /2)</f>
        <v>0</v>
      </c>
      <c r="R41" s="11">
        <f>financials!Q47 / ((financials!Q15 + financials!S15) /2)</f>
        <v>0</v>
      </c>
      <c r="S41" s="11">
        <f>financials!R47 / ((financials!R15 + financials!T15) /2)</f>
        <v>0</v>
      </c>
      <c r="T41" s="11">
        <f>financials!S47 / ((financials!S15 + financials!U15) /2)</f>
        <v>0</v>
      </c>
      <c r="U41" s="11">
        <f>financials!T47 / ((financials!T15 + financials!V15) /2)</f>
        <v>0</v>
      </c>
      <c r="V41" s="11">
        <f>financials!U47 / ((financials!U15 + financials!W15) /2)</f>
        <v>0</v>
      </c>
      <c r="W41" s="11">
        <f>financials!V47 / ((financials!V15 + financials!X15) /2)</f>
        <v>0</v>
      </c>
      <c r="X41" s="11">
        <f>financials!W47 / ((financials!W15 + financials!Y15) /2)</f>
        <v>0</v>
      </c>
      <c r="Y41" s="11">
        <f>financials!X47 / ((financials!X15 + financials!Z15) /2)</f>
        <v>0</v>
      </c>
      <c r="Z41" s="11">
        <f>financials!Y47 / ((financials!Y15 + financials!AA15) /2)</f>
        <v>0</v>
      </c>
      <c r="AA41" s="11">
        <f>financials!Z47 / ((financials!Z15 + financials!AB15) /2)</f>
        <v>0</v>
      </c>
      <c r="AB41" s="11">
        <f>financials!AA47 / ((financials!AA15 + financials!AC15) /2)</f>
        <v>0</v>
      </c>
      <c r="AC41" s="11">
        <f>financials!AB47 / ((financials!AB15 + financials!AD15) /2)</f>
        <v>0</v>
      </c>
      <c r="AD41" s="11">
        <f>financials!AC47 / ((financials!AC15 + financials!AE15) /2)</f>
        <v>0</v>
      </c>
      <c r="AE41" s="11">
        <f>financials!AD47 / ((financials!AD15 + financials!AF15) /2)</f>
        <v>0</v>
      </c>
      <c r="AF41" s="11">
        <f>financials!AE47 / ((financials!AE15 + financials!AG15) /2)</f>
        <v>0</v>
      </c>
      <c r="AG41" s="11">
        <f>financials!AF47 / ((financials!AF15 + financials!AH15) /2)</f>
        <v>0</v>
      </c>
      <c r="AH41" s="11">
        <f>financials!AG47 / ((financials!AG15 + financials!AI15) /2)</f>
        <v>0</v>
      </c>
      <c r="AI41" s="11">
        <f>financials!AH47 / ((financials!AH15 + financials!AJ15) /2)</f>
        <v>0</v>
      </c>
      <c r="AJ41" s="11">
        <f>financials!AI47 / ((financials!AI15 + financials!AK15) /2)</f>
        <v>0</v>
      </c>
      <c r="AK41" s="11">
        <f>financials!AJ47 / ((financials!AJ15 + financials!AL15) /2)</f>
        <v>0</v>
      </c>
      <c r="AL41" s="11">
        <f>financials!AK47 / ((financials!AK15 + financials!AM15) /2)</f>
        <v>0</v>
      </c>
      <c r="AM41" s="11">
        <f>financials!AL47 / ((financials!AL15 + financials!AN15) /2)</f>
        <v>0</v>
      </c>
      <c r="AN41" s="11">
        <f>financials!AM47 / ((financials!AM15 + financials!AO15) /2)</f>
        <v>0</v>
      </c>
      <c r="AO41" s="11">
        <f>financials!AN47 / ((financials!AN15 + financials!AP15) /2)</f>
        <v>0.28226545643196205</v>
      </c>
    </row>
    <row r="42" spans="1:41" x14ac:dyDescent="0.3">
      <c r="A42" s="14" t="s">
        <v>166</v>
      </c>
      <c r="B42" s="15"/>
      <c r="C42" s="11">
        <f>financials!B48 / ((financials!B27 + financials!C27) /2)</f>
        <v>8.4495770418634309E-3</v>
      </c>
      <c r="D42" s="11">
        <f>financials!C48 / ((financials!C27 + financials!D27) /2)</f>
        <v>5.5749599184610175E-4</v>
      </c>
      <c r="E42" s="11">
        <f>financials!D48 / ((financials!D27 + financials!E27) /2)</f>
        <v>2.3378244151258782E-3</v>
      </c>
      <c r="F42" s="11">
        <f>financials!E48 / ((financials!E27 + financials!F27) /2)</f>
        <v>2.4213478492074933E-3</v>
      </c>
      <c r="G42" s="11">
        <f>financials!F48 / ((financials!F27 + financials!G27) /2)</f>
        <v>2.6815836579531546E-3</v>
      </c>
      <c r="H42" s="11">
        <f>financials!G48 / ((financials!G27 + financials!H27) /2)</f>
        <v>5.2775191149468485E-3</v>
      </c>
      <c r="I42" s="11">
        <f>financials!H48 / ((financials!H27 + financials!I27) /2)</f>
        <v>6.0696072144553366E-3</v>
      </c>
      <c r="J42" s="11">
        <f>financials!I48 / ((financials!I27 + financials!K27) /2)</f>
        <v>2.0448291986837903E-2</v>
      </c>
      <c r="K42" s="11">
        <f>financials!J48 / ((financials!J27 + financials!L27) /2)</f>
        <v>2.4464995948178879E-2</v>
      </c>
      <c r="L42" s="11">
        <f>financials!K48 / ((financials!K27 + financials!M27) /2)</f>
        <v>2.5966908241195161E-2</v>
      </c>
      <c r="M42" s="11">
        <f>financials!L48 / ((financials!L27 + financials!N27) /2)</f>
        <v>2.5749257015437538E-2</v>
      </c>
      <c r="N42" s="11">
        <f>financials!M48 / ((financials!M27 + financials!O27) /2)</f>
        <v>2.8690797193856563E-2</v>
      </c>
      <c r="O42" s="11">
        <f>financials!N48 / ((financials!N27 + financials!P27) /2)</f>
        <v>0</v>
      </c>
      <c r="P42" s="11">
        <f>financials!O48 / ((financials!O27 + financials!Q27) /2)</f>
        <v>2.1099707607702398E-4</v>
      </c>
      <c r="Q42" s="11">
        <f>financials!P48 / ((financials!P27 + financials!R27) /2)</f>
        <v>3.906623683170447E-3</v>
      </c>
      <c r="R42" s="11">
        <f>financials!Q48 / ((financials!Q27 + financials!S27) /2)</f>
        <v>4.1328504272583246E-3</v>
      </c>
      <c r="S42" s="11">
        <f>financials!R48 / ((financials!R27 + financials!T27) /2)</f>
        <v>4.5015725610253327E-3</v>
      </c>
      <c r="T42" s="11">
        <f>financials!S48 / ((financials!S27 + financials!U27) /2)</f>
        <v>1.7873366410795458E-2</v>
      </c>
      <c r="U42" s="11">
        <f>financials!T48 / ((financials!T27 + financials!V27) /2)</f>
        <v>1.8062482583873447E-2</v>
      </c>
      <c r="V42" s="11">
        <f>financials!U48 / ((financials!U27 + financials!W27) /2)</f>
        <v>1.7914081061069065E-2</v>
      </c>
      <c r="W42" s="11">
        <f>financials!V48 / ((financials!V27 + financials!X27) /2)</f>
        <v>1.9110575534491241E-2</v>
      </c>
      <c r="X42" s="11">
        <f>financials!W48 / ((financials!W27 + financials!Y27) /2)</f>
        <v>3.8416245311414798E-2</v>
      </c>
      <c r="Y42" s="11">
        <f>financials!X48 / ((financials!X27 + financials!Z27) /2)</f>
        <v>4.494239226806631E-2</v>
      </c>
      <c r="Z42" s="11">
        <f>financials!Y48 / ((financials!Y27 + financials!AA27) /2)</f>
        <v>0</v>
      </c>
      <c r="AA42" s="11">
        <f>financials!Z48 / ((financials!Z27 + financials!AB27) /2)</f>
        <v>0</v>
      </c>
      <c r="AB42" s="11">
        <f>financials!AA48 / ((financials!AA27 + financials!AC27) /2)</f>
        <v>0</v>
      </c>
      <c r="AC42" s="11">
        <f>financials!AB48 / ((financials!AB27 + financials!AD27) /2)</f>
        <v>4.8468959346442189E-5</v>
      </c>
      <c r="AD42" s="11">
        <f>financials!AC48 / ((financials!AC27 + financials!AE27) /2)</f>
        <v>4.5983732857076071E-4</v>
      </c>
      <c r="AE42" s="11">
        <f>financials!AD48 / ((financials!AD27 + financials!AF27) /2)</f>
        <v>5.8141116854190102E-4</v>
      </c>
      <c r="AF42" s="11">
        <f>financials!AE48 / ((financials!AE27 + financials!AG27) /2)</f>
        <v>5.7822659035993806E-4</v>
      </c>
      <c r="AG42" s="11">
        <f>financials!AF48 / ((financials!AF27 + financials!AH27) /2)</f>
        <v>1.0218288454766603E-3</v>
      </c>
      <c r="AH42" s="11">
        <f>financials!AG48 / ((financials!AG27 + financials!AI27) /2)</f>
        <v>1.0246261260598555E-3</v>
      </c>
      <c r="AI42" s="11">
        <f>financials!AH48 / ((financials!AH27 + financials!AJ27) /2)</f>
        <v>1.0299132324998019E-3</v>
      </c>
      <c r="AJ42" s="11">
        <f>financials!AI48 / ((financials!AI27 + financials!AK27) /2)</f>
        <v>6.2815964323431877E-3</v>
      </c>
      <c r="AK42" s="11">
        <f>financials!AJ48 / ((financials!AJ27 + financials!AL27) /2)</f>
        <v>7.0127229765372581E-3</v>
      </c>
      <c r="AL42" s="11">
        <f>financials!AK48 / ((financials!AK27 + financials!AM27) /2)</f>
        <v>7.2503947274654866E-3</v>
      </c>
      <c r="AM42" s="11">
        <f>financials!AL48 / ((financials!AL27 + financials!AN27) /2)</f>
        <v>7.4062542567892463E-3</v>
      </c>
      <c r="AN42" s="11">
        <f>financials!AM48 / ((financials!AM27 + financials!AO27) /2)</f>
        <v>1.5511530242771928E-2</v>
      </c>
      <c r="AO42" s="11">
        <f>financials!AN48 / ((financials!AN27 + financials!AP27) /2)</f>
        <v>4.4031524082831799E-2</v>
      </c>
    </row>
    <row r="43" spans="1:41" x14ac:dyDescent="0.3">
      <c r="A43" s="14" t="s">
        <v>167</v>
      </c>
      <c r="B43" s="15"/>
      <c r="C43" s="11">
        <f>financials!B49 / ((financials!B3 + financials!C3) /2)</f>
        <v>8.1996900404974468E-2</v>
      </c>
      <c r="D43" s="11">
        <f>financials!C49 / ((financials!C3 + financials!D3) /2)</f>
        <v>6.6343376798101593E-3</v>
      </c>
      <c r="E43" s="11">
        <f>financials!D49 / ((financials!D3 + financials!E3) /2)</f>
        <v>1.2704462343733541E-2</v>
      </c>
      <c r="F43" s="11">
        <f>financials!E49 / ((financials!E3 + financials!F3) /2)</f>
        <v>2.1262805737773324E-2</v>
      </c>
      <c r="G43" s="11">
        <f>financials!F49 / ((financials!F3 + financials!G3) /2)</f>
        <v>3.2143541778069218E-2</v>
      </c>
      <c r="H43" s="11">
        <f>financials!G49 / ((financials!G3 + financials!H3) /2)</f>
        <v>4.0582303548356125E-2</v>
      </c>
      <c r="I43" s="11">
        <f>financials!H49 / ((financials!H3 + financials!I3) /2)</f>
        <v>4.4249063613746462E-2</v>
      </c>
      <c r="J43" s="11">
        <f>financials!I49 / ((financials!I3 + financials!K3) /2)</f>
        <v>5.4244138084769772E-2</v>
      </c>
      <c r="K43" s="11">
        <f>financials!J49 / ((financials!J3 + financials!L3) /2)</f>
        <v>5.6680262117292088E-2</v>
      </c>
      <c r="L43" s="11">
        <f>financials!K49 / ((financials!K3 + financials!M3) /2)</f>
        <v>6.4029992985002851E-2</v>
      </c>
      <c r="M43" s="11">
        <f>financials!L49 / ((financials!L3 + financials!N3) /2)</f>
        <v>6.8524966169231941E-2</v>
      </c>
      <c r="N43" s="11">
        <f>financials!M49 / ((financials!M3 + financials!O3) /2)</f>
        <v>7.3346014011191132E-2</v>
      </c>
      <c r="O43" s="11">
        <f>financials!N49 / ((financials!N3 + financials!P3) /2)</f>
        <v>6.9196197251722102E-2</v>
      </c>
      <c r="P43" s="11">
        <f>financials!O49 / ((financials!O3 + financials!Q3) /2)</f>
        <v>0</v>
      </c>
      <c r="Q43" s="11">
        <f>financials!P49 / ((financials!P3 + financials!R3) /2)</f>
        <v>0</v>
      </c>
      <c r="R43" s="11">
        <f>financials!Q49 / ((financials!Q3 + financials!S3) /2)</f>
        <v>0</v>
      </c>
      <c r="S43" s="11">
        <f>financials!R49 / ((financials!R3 + financials!T3) /2)</f>
        <v>0</v>
      </c>
      <c r="T43" s="11">
        <f>financials!S49 / ((financials!S3 + financials!U3) /2)</f>
        <v>0</v>
      </c>
      <c r="U43" s="11">
        <f>financials!T49 / ((financials!T3 + financials!V3) /2)</f>
        <v>0</v>
      </c>
      <c r="V43" s="11">
        <f>financials!U49 / ((financials!U3 + financials!W3) /2)</f>
        <v>0</v>
      </c>
      <c r="W43" s="11">
        <f>financials!V49 / ((financials!V3 + financials!X3) /2)</f>
        <v>0</v>
      </c>
      <c r="X43" s="11">
        <f>financials!W49 / ((financials!W3 + financials!Y3) /2)</f>
        <v>0.131652297990387</v>
      </c>
      <c r="Y43" s="11">
        <f>financials!X49 / ((financials!X3 + financials!Z3) /2)</f>
        <v>0.14480749539840615</v>
      </c>
      <c r="Z43" s="11">
        <f>financials!Y49 / ((financials!Y3 + financials!AA3) /2)</f>
        <v>0</v>
      </c>
      <c r="AA43" s="11">
        <f>financials!Z49 / ((financials!Z3 + financials!AB3) /2)</f>
        <v>0</v>
      </c>
      <c r="AB43" s="11">
        <f>financials!AA49 / ((financials!AA3 + financials!AC3) /2)</f>
        <v>5.0240381430978857E-2</v>
      </c>
      <c r="AC43" s="11">
        <f>financials!AB49 / ((financials!AB3 + financials!AD3) /2)</f>
        <v>5.2109298235995605E-3</v>
      </c>
      <c r="AD43" s="11">
        <f>financials!AC49 / ((financials!AC3 + financials!AE3) /2)</f>
        <v>0</v>
      </c>
      <c r="AE43" s="11">
        <f>financials!AD49 / ((financials!AD3 + financials!AF3) /2)</f>
        <v>1.4344198110488877E-2</v>
      </c>
      <c r="AF43" s="11">
        <f>financials!AE49 / ((financials!AE3 + financials!AG3) /2)</f>
        <v>1.9908475765063865E-2</v>
      </c>
      <c r="AG43" s="11">
        <f>financials!AF49 / ((financials!AF3 + financials!AH3) /2)</f>
        <v>2.5889006242055868E-2</v>
      </c>
      <c r="AH43" s="11">
        <f>financials!AG49 / ((financials!AG3 + financials!AI3) /2)</f>
        <v>3.7396770915338315E-2</v>
      </c>
      <c r="AI43" s="11">
        <f>financials!AH49 / ((financials!AH3 + financials!AJ3) /2)</f>
        <v>4.3036202319912661E-2</v>
      </c>
      <c r="AJ43" s="11">
        <f>financials!AI49 / ((financials!AI3 + financials!AK3) /2)</f>
        <v>6.0790622367961802E-2</v>
      </c>
      <c r="AK43" s="11">
        <f>financials!AJ49 / ((financials!AJ3 + financials!AL3) /2)</f>
        <v>6.8134899888175518E-2</v>
      </c>
      <c r="AL43" s="11">
        <f>financials!AK49 / ((financials!AK3 + financials!AM3) /2)</f>
        <v>6.8659542690452754E-2</v>
      </c>
      <c r="AM43" s="11">
        <f>financials!AL49 / ((financials!AL3 + financials!AN3) /2)</f>
        <v>6.9331032584433197E-2</v>
      </c>
      <c r="AN43" s="11">
        <f>financials!AM49 / ((financials!AM3 + financials!AO3) /2)</f>
        <v>0.1526803936842813</v>
      </c>
      <c r="AO43" s="11">
        <f>financials!AN49 / ((financials!AN3 + financials!AP3) /2)</f>
        <v>0.16154990489113574</v>
      </c>
    </row>
    <row r="44" spans="1:41" x14ac:dyDescent="0.3">
      <c r="A44" s="14" t="s">
        <v>168</v>
      </c>
      <c r="B44" s="15"/>
      <c r="C44" s="11">
        <f>financials!B49 / ((financials!B39 + financials!C39) /2)</f>
        <v>0.96452965291673964</v>
      </c>
      <c r="D44" s="11">
        <f>financials!C49 / ((financials!C39 + financials!D39) /2)</f>
        <v>0.59929479009403408</v>
      </c>
      <c r="E44" s="11">
        <f>financials!D49 / ((financials!D39 + financials!E39) /2)</f>
        <v>0.60254891189127324</v>
      </c>
      <c r="F44" s="11">
        <f>financials!E49 / ((financials!E39 + financials!F39) /2)</f>
        <v>0.54576970949377468</v>
      </c>
      <c r="G44" s="11">
        <f>financials!F49 / ((financials!F39 + financials!G39) /2)</f>
        <v>0.60227670915954679</v>
      </c>
      <c r="H44" s="11">
        <f>financials!G49 / ((financials!G39 + financials!H39) /2)</f>
        <v>0.62696101694060402</v>
      </c>
      <c r="I44" s="11">
        <f>financials!H49 / ((financials!H39 + financials!I39) /2)</f>
        <v>0.54955804722326074</v>
      </c>
      <c r="J44" s="11">
        <f>financials!I49 / ((financials!I39 + financials!K39) /2)</f>
        <v>0.55721889169177297</v>
      </c>
      <c r="K44" s="11">
        <f>financials!J49 / ((financials!J39 + financials!L39) /2)</f>
        <v>0.56171769593284016</v>
      </c>
      <c r="L44" s="11">
        <f>financials!K49 / ((financials!K39 + financials!M39) /2)</f>
        <v>0.56342817481735663</v>
      </c>
      <c r="M44" s="11">
        <f>financials!L49 / ((financials!L39 + financials!N39) /2)</f>
        <v>0.54968238858013774</v>
      </c>
      <c r="N44" s="11">
        <f>financials!M49 / ((financials!M39 + financials!O39) /2)</f>
        <v>1.1207299876708079</v>
      </c>
      <c r="O44" s="11">
        <f>financials!N49 / ((financials!N39 + financials!P39) /2)</f>
        <v>0.89445379321669105</v>
      </c>
      <c r="P44" s="11">
        <f>financials!O49 / ((financials!O39 + financials!Q39) /2)</f>
        <v>0</v>
      </c>
      <c r="Q44" s="11">
        <f>financials!P49 / ((financials!P39 + financials!R39) /2)</f>
        <v>0</v>
      </c>
      <c r="R44" s="11">
        <f>financials!Q49 / ((financials!Q39 + financials!S39) /2)</f>
        <v>0</v>
      </c>
      <c r="S44" s="11">
        <f>financials!R49 / ((financials!R39 + financials!T39) /2)</f>
        <v>0</v>
      </c>
      <c r="T44" s="11">
        <f>financials!S49 / ((financials!S39 + financials!U39) /2)</f>
        <v>0</v>
      </c>
      <c r="U44" s="11">
        <f>financials!T49 / ((financials!T39 + financials!V39) /2)</f>
        <v>0</v>
      </c>
      <c r="V44" s="11">
        <f>financials!U49 / ((financials!U39 + financials!W39) /2)</f>
        <v>0</v>
      </c>
      <c r="W44" s="11">
        <f>financials!V49 / ((financials!V39 + financials!X39) /2)</f>
        <v>0</v>
      </c>
      <c r="X44" s="11">
        <f>financials!W49 / ((financials!W39 + financials!Y39) /2)</f>
        <v>1.2924849233256182</v>
      </c>
      <c r="Y44" s="11">
        <f>financials!X49 / ((financials!X39 + financials!Z39) /2)</f>
        <v>1.2883010612272534</v>
      </c>
      <c r="Z44" s="11">
        <f>financials!Y49 / ((financials!Y39 + financials!AA39) /2)</f>
        <v>0</v>
      </c>
      <c r="AA44" s="11">
        <f>financials!Z49 / ((financials!Z39 + financials!AB39) /2)</f>
        <v>0</v>
      </c>
      <c r="AB44" s="11">
        <f>financials!AA49 / ((financials!AA39 + financials!AC39) /2)</f>
        <v>0.71915924020148203</v>
      </c>
      <c r="AC44" s="11">
        <f>financials!AB49 / ((financials!AB39 + financials!AD39) /2)</f>
        <v>0.39702392120325791</v>
      </c>
      <c r="AD44" s="11">
        <f>financials!AC49 / ((financials!AC39 + financials!AE39) /2)</f>
        <v>0</v>
      </c>
      <c r="AE44" s="11">
        <f>financials!AD49 / ((financials!AD39 + financials!AF39) /2)</f>
        <v>0.54240933256903368</v>
      </c>
      <c r="AF44" s="11">
        <f>financials!AE49 / ((financials!AE39 + financials!AG39) /2)</f>
        <v>0.57205130821929684</v>
      </c>
      <c r="AG44" s="11">
        <f>financials!AF49 / ((financials!AF39 + financials!AH39) /2)</f>
        <v>0.62308478072439955</v>
      </c>
      <c r="AH44" s="11">
        <f>financials!AG49 / ((financials!AG39 + financials!AI39) /2)</f>
        <v>0.62147564988618698</v>
      </c>
      <c r="AI44" s="11">
        <f>financials!AH49 / ((financials!AH39 + financials!AJ39) /2)</f>
        <v>0.63617939458472839</v>
      </c>
      <c r="AJ44" s="11">
        <f>financials!AI49 / ((financials!AI39 + financials!AK39) /2)</f>
        <v>0.64053823086966133</v>
      </c>
      <c r="AK44" s="11">
        <f>financials!AJ49 / ((financials!AJ39 + financials!AL39) /2)</f>
        <v>0.65131008786581568</v>
      </c>
      <c r="AL44" s="11">
        <f>financials!AK49 / ((financials!AK39 + financials!AM39) /2)</f>
        <v>0.57040552663597088</v>
      </c>
      <c r="AM44" s="11">
        <f>financials!AL49 / ((financials!AL39 + financials!AN39) /2)</f>
        <v>0.50467287957963292</v>
      </c>
      <c r="AN44" s="11">
        <f>financials!AM49 / ((financials!AM39 + financials!AO39) /2)</f>
        <v>1.1192566523234941</v>
      </c>
      <c r="AO44" s="11">
        <f>financials!AN49 / ((financials!AN39 + financials!AP39) /2)</f>
        <v>1.0064729131219905</v>
      </c>
    </row>
    <row r="45" spans="1:41" x14ac:dyDescent="0.3">
      <c r="A45" s="14" t="s">
        <v>169</v>
      </c>
      <c r="B45" s="15"/>
      <c r="C45" s="11">
        <f>financials!B40 / ((financials!B26 + financials!C26) /2)</f>
        <v>0.20605634591441721</v>
      </c>
      <c r="D45" s="11">
        <f>financials!C40 / ((financials!C26 + financials!D26) /2)</f>
        <v>1.4996720837125856E-2</v>
      </c>
      <c r="E45" s="11">
        <f>financials!D40 / ((financials!D26 + financials!E26) /2)</f>
        <v>1.5348052231606705E-2</v>
      </c>
      <c r="F45" s="11">
        <f>financials!E40 / ((financials!E26 + financials!F26) /2)</f>
        <v>5.0065698793459554E-2</v>
      </c>
      <c r="G45" s="11">
        <f>financials!F40 / ((financials!F26 + financials!G26) /2)</f>
        <v>7.1778619839553928E-2</v>
      </c>
      <c r="H45" s="11">
        <f>financials!G40 / ((financials!G26 + financials!H26) /2)</f>
        <v>8.7448474041438032E-2</v>
      </c>
      <c r="I45" s="11">
        <f>financials!H40 / ((financials!H26 + financials!I26) /2)</f>
        <v>0.10155160211910555</v>
      </c>
      <c r="J45" s="11">
        <f>financials!I40 / ((financials!I26 + financials!K26) /2)</f>
        <v>0.1307486942750167</v>
      </c>
      <c r="K45" s="11">
        <f>financials!J40 / ((financials!J26 + financials!L26) /2)</f>
        <v>0.14528654929723839</v>
      </c>
      <c r="L45" s="11">
        <f>financials!K40 / ((financials!K26 + financials!M26) /2)</f>
        <v>0.15426099833555865</v>
      </c>
      <c r="M45" s="11">
        <f>financials!L40 / ((financials!L26 + financials!N26) /2)</f>
        <v>0.16752211532045549</v>
      </c>
      <c r="N45" s="11">
        <f>financials!M40 / ((financials!M26 + financials!O26) /2)</f>
        <v>0.18126451227886189</v>
      </c>
      <c r="O45" s="11">
        <f>financials!N40 / ((financials!N26 + financials!P26) /2)</f>
        <v>0.18994478359057759</v>
      </c>
      <c r="P45" s="11">
        <f>financials!O40 / ((financials!O26 + financials!Q26) /2)</f>
        <v>1.6017943964306832E-2</v>
      </c>
      <c r="Q45" s="11">
        <f>financials!P40 / ((financials!P26 + financials!R26) /2)</f>
        <v>3.1386302829967079E-2</v>
      </c>
      <c r="R45" s="11">
        <f>financials!Q40 / ((financials!Q26 + financials!S26) /2)</f>
        <v>4.8692167508759765E-2</v>
      </c>
      <c r="S45" s="11">
        <f>financials!R40 / ((financials!R26 + financials!T26) /2)</f>
        <v>6.4760907336910076E-2</v>
      </c>
      <c r="T45" s="11">
        <f>financials!S40 / ((financials!S26 + financials!U26) /2)</f>
        <v>8.0475722437063996E-2</v>
      </c>
      <c r="U45" s="11">
        <f>financials!T40 / ((financials!T26 + financials!V26) /2)</f>
        <v>9.7201914123895006E-2</v>
      </c>
      <c r="V45" s="11">
        <f>financials!U40 / ((financials!U26 + financials!W26) /2)</f>
        <v>0.11165615732364374</v>
      </c>
      <c r="W45" s="11">
        <f>financials!V40 / ((financials!V26 + financials!X26) /2)</f>
        <v>0.12910014681083656</v>
      </c>
      <c r="X45" s="11">
        <f>financials!W40 / ((financials!W26 + financials!Y26) /2)</f>
        <v>0.299661106066132</v>
      </c>
      <c r="Y45" s="11">
        <f>financials!X40 / ((financials!X26 + financials!Z26) /2)</f>
        <v>0.33582820078840775</v>
      </c>
      <c r="Z45" s="11">
        <f>financials!Y40 / ((financials!Y26 + financials!AA26) /2)</f>
        <v>0</v>
      </c>
      <c r="AA45" s="11">
        <f>financials!Z40 / ((financials!Z26 + financials!AB26) /2)</f>
        <v>0</v>
      </c>
      <c r="AB45" s="11">
        <f>financials!AA40 / ((financials!AA26 + financials!AC26) /2)</f>
        <v>0.21896897426890849</v>
      </c>
      <c r="AC45" s="11">
        <f>financials!AB40 / ((financials!AB26 + financials!AD26) /2)</f>
        <v>1.8860146690725769E-2</v>
      </c>
      <c r="AD45" s="11">
        <f>financials!AC40 / ((financials!AC26 + financials!AE26) /2)</f>
        <v>3.6456613455023781E-2</v>
      </c>
      <c r="AE45" s="11">
        <f>financials!AD40 / ((financials!AD26 + financials!AF26) /2)</f>
        <v>5.8153041170104953E-2</v>
      </c>
      <c r="AF45" s="11">
        <f>financials!AE40 / ((financials!AE26 + financials!AG26) /2)</f>
        <v>7.6073802063305773E-2</v>
      </c>
      <c r="AG45" s="11">
        <f>financials!AF40 / ((financials!AF26 + financials!AH26) /2)</f>
        <v>9.615537917533809E-2</v>
      </c>
      <c r="AH45" s="11">
        <f>financials!AG40 / ((financials!AG26 + financials!AI26) /2)</f>
        <v>0.11661769154983004</v>
      </c>
      <c r="AI45" s="11">
        <f>financials!AH40 / ((financials!AH26 + financials!AJ26) /2)</f>
        <v>0.1366026796517624</v>
      </c>
      <c r="AJ45" s="11">
        <f>financials!AI40 / ((financials!AI26 + financials!AK26) /2)</f>
        <v>0.15730144458710668</v>
      </c>
      <c r="AK45" s="11">
        <f>financials!AJ40 / ((financials!AJ26 + financials!AL26) /2)</f>
        <v>0.17770913065251567</v>
      </c>
      <c r="AL45" s="11">
        <f>financials!AK40 / ((financials!AK26 + financials!AM26) /2)</f>
        <v>0.1971815111244393</v>
      </c>
      <c r="AM45" s="11">
        <f>financials!AL40 / ((financials!AL26 + financials!AN26) /2)</f>
        <v>0.21001864135154713</v>
      </c>
      <c r="AN45" s="11">
        <f>financials!AM40 / ((financials!AM26 + financials!AO26) /2)</f>
        <v>0.47229210080025996</v>
      </c>
      <c r="AO45" s="11">
        <f>financials!AN40 / ((financials!AN26 + financials!AP26) /2)</f>
        <v>0.44499426659873592</v>
      </c>
    </row>
    <row r="46" spans="1:41" x14ac:dyDescent="0.3">
      <c r="A46" s="14" t="s">
        <v>170</v>
      </c>
      <c r="B46" s="15"/>
      <c r="C46" s="11">
        <f>financials!B40 / ((financials!B27 + financials!C27) /2)</f>
        <v>0.19494234693728962</v>
      </c>
      <c r="D46" s="11">
        <f>financials!C40 / ((financials!C27 + financials!D27) /2)</f>
        <v>1.4227846624083641E-2</v>
      </c>
      <c r="E46" s="11">
        <f>financials!D40 / ((financials!D27 + financials!E27) /2)</f>
        <v>1.45384065724026E-2</v>
      </c>
      <c r="F46" s="11">
        <f>financials!E40 / ((financials!E27 + financials!F27) /2)</f>
        <v>4.7288800372644164E-2</v>
      </c>
      <c r="G46" s="11">
        <f>financials!F40 / ((financials!F27 + financials!G27) /2)</f>
        <v>6.7656127837193686E-2</v>
      </c>
      <c r="H46" s="11">
        <f>financials!G40 / ((financials!G27 + financials!H27) /2)</f>
        <v>8.2415877324247419E-2</v>
      </c>
      <c r="I46" s="11">
        <f>financials!H40 / ((financials!H27 + financials!I27) /2)</f>
        <v>9.582672120852101E-2</v>
      </c>
      <c r="J46" s="11">
        <f>financials!I40 / ((financials!I27 + financials!K27) /2)</f>
        <v>0.12349562004605109</v>
      </c>
      <c r="K46" s="11">
        <f>financials!J40 / ((financials!J27 + financials!L27) /2)</f>
        <v>0.13723950242425415</v>
      </c>
      <c r="L46" s="11">
        <f>financials!K40 / ((financials!K27 + financials!M27) /2)</f>
        <v>0.14602008650934056</v>
      </c>
      <c r="M46" s="11">
        <f>financials!L40 / ((financials!L27 + financials!N27) /2)</f>
        <v>0.15949716746023507</v>
      </c>
      <c r="N46" s="11">
        <f>financials!M40 / ((financials!M27 + financials!O27) /2)</f>
        <v>0.17213818814228815</v>
      </c>
      <c r="O46" s="11">
        <f>financials!N40 / ((financials!N27 + financials!P27) /2)</f>
        <v>0.18141553206874342</v>
      </c>
      <c r="P46" s="11">
        <f>financials!O40 / ((financials!O27 + financials!Q27) /2)</f>
        <v>1.5284972479420711E-2</v>
      </c>
      <c r="Q46" s="11">
        <f>financials!P40 / ((financials!P27 + financials!R27) /2)</f>
        <v>2.9941737246532832E-2</v>
      </c>
      <c r="R46" s="11">
        <f>financials!Q40 / ((financials!Q27 + financials!S27) /2)</f>
        <v>4.6545086612473044E-2</v>
      </c>
      <c r="S46" s="11">
        <f>financials!R40 / ((financials!R27 + financials!T27) /2)</f>
        <v>6.1836178160107884E-2</v>
      </c>
      <c r="T46" s="11">
        <f>financials!S40 / ((financials!S27 + financials!U27) /2)</f>
        <v>7.687043819175475E-2</v>
      </c>
      <c r="U46" s="11">
        <f>financials!T40 / ((financials!T27 + financials!V27) /2)</f>
        <v>9.2739751286825892E-2</v>
      </c>
      <c r="V46" s="11">
        <f>financials!U40 / ((financials!U27 + financials!W27) /2)</f>
        <v>0.10661736851278984</v>
      </c>
      <c r="W46" s="11">
        <f>financials!V40 / ((financials!V27 + financials!X27) /2)</f>
        <v>0.12322741402553987</v>
      </c>
      <c r="X46" s="11">
        <f>financials!W40 / ((financials!W27 + financials!Y27) /2)</f>
        <v>0.28591667095770373</v>
      </c>
      <c r="Y46" s="11">
        <f>financials!X40 / ((financials!X27 + financials!Z27) /2)</f>
        <v>0.32066976833257582</v>
      </c>
      <c r="Z46" s="11">
        <f>financials!Y40 / ((financials!Y27 + financials!AA27) /2)</f>
        <v>0</v>
      </c>
      <c r="AA46" s="11">
        <f>financials!Z40 / ((financials!Z27 + financials!AB27) /2)</f>
        <v>0</v>
      </c>
      <c r="AB46" s="11">
        <f>financials!AA40 / ((financials!AA27 + financials!AC27) /2)</f>
        <v>0.20931768908408269</v>
      </c>
      <c r="AC46" s="11">
        <f>financials!AB40 / ((financials!AB27 + financials!AD27) /2)</f>
        <v>1.7965890845977144E-2</v>
      </c>
      <c r="AD46" s="11">
        <f>financials!AC40 / ((financials!AC27 + financials!AE27) /2)</f>
        <v>3.4731895311699811E-2</v>
      </c>
      <c r="AE46" s="11">
        <f>financials!AD40 / ((financials!AD27 + financials!AF27) /2)</f>
        <v>5.5388971776930598E-2</v>
      </c>
      <c r="AF46" s="11">
        <f>financials!AE40 / ((financials!AE27 + financials!AG27) /2)</f>
        <v>7.270587454067709E-2</v>
      </c>
      <c r="AG46" s="11">
        <f>financials!AF40 / ((financials!AF27 + financials!AH27) /2)</f>
        <v>9.1893334678702115E-2</v>
      </c>
      <c r="AH46" s="11">
        <f>financials!AG40 / ((financials!AG27 + financials!AI27) /2)</f>
        <v>0.11182349701461254</v>
      </c>
      <c r="AI46" s="11">
        <f>financials!AH40 / ((financials!AH27 + financials!AJ27) /2)</f>
        <v>0.13096744008951164</v>
      </c>
      <c r="AJ46" s="11">
        <f>financials!AI40 / ((financials!AI27 + financials!AK27) /2)</f>
        <v>0.15077540071466902</v>
      </c>
      <c r="AK46" s="11">
        <f>financials!AJ40 / ((financials!AJ27 + financials!AL27) /2)</f>
        <v>0.17028079467323004</v>
      </c>
      <c r="AL46" s="11">
        <f>financials!AK40 / ((financials!AK27 + financials!AM27) /2)</f>
        <v>0.1889174081953397</v>
      </c>
      <c r="AM46" s="11">
        <f>financials!AL40 / ((financials!AL27 + financials!AN27) /2)</f>
        <v>0.20176526925906343</v>
      </c>
      <c r="AN46" s="11">
        <f>financials!AM40 / ((financials!AM27 + financials!AO27) /2)</f>
        <v>0.45245353557680751</v>
      </c>
      <c r="AO46" s="11">
        <f>financials!AN40 / ((financials!AN27 + financials!AP27) /2)</f>
        <v>0.42871910961124859</v>
      </c>
    </row>
  </sheetData>
  <mergeCells count="8">
    <mergeCell ref="A25:B25"/>
    <mergeCell ref="A29:B29"/>
    <mergeCell ref="A39:B39"/>
    <mergeCell ref="A2:B2"/>
    <mergeCell ref="A7:B7"/>
    <mergeCell ref="A10:B10"/>
    <mergeCell ref="A14:B14"/>
    <mergeCell ref="A19:B19"/>
  </mergeCells>
  <conditionalFormatting sqref="C15:AO15">
    <cfRule type="cellIs" dxfId="8" priority="8" operator="lessThan">
      <formula>0.15</formula>
    </cfRule>
  </conditionalFormatting>
  <conditionalFormatting sqref="C18:AO18">
    <cfRule type="cellIs" dxfId="7" priority="9" operator="greaterThan">
      <formula>0.25</formula>
    </cfRule>
  </conditionalFormatting>
  <conditionalFormatting sqref="C20:AO20">
    <cfRule type="cellIs" dxfId="6" priority="10" operator="greaterThan">
      <formula>0.1</formula>
    </cfRule>
  </conditionalFormatting>
  <conditionalFormatting sqref="C21:AO22">
    <cfRule type="cellIs" dxfId="5" priority="11" operator="greaterThan">
      <formula>0.05</formula>
    </cfRule>
  </conditionalFormatting>
  <conditionalFormatting sqref="C23:AO23">
    <cfRule type="cellIs" dxfId="4" priority="13" operator="greaterThan">
      <formula>0.4</formula>
    </cfRule>
  </conditionalFormatting>
  <conditionalFormatting sqref="C3:AO3">
    <cfRule type="cellIs" dxfId="3" priority="4" operator="lessThan">
      <formula>10000000</formula>
    </cfRule>
  </conditionalFormatting>
  <conditionalFormatting sqref="C3:AO46">
    <cfRule type="cellIs" dxfId="2" priority="2" operator="lessThan">
      <formula>0</formula>
    </cfRule>
  </conditionalFormatting>
  <conditionalFormatting sqref="C4:AO4">
    <cfRule type="cellIs" dxfId="1" priority="5" operator="lessThan">
      <formula>0.1</formula>
    </cfRule>
  </conditionalFormatting>
  <conditionalFormatting sqref="C5:AO6">
    <cfRule type="cellIs" dxfId="0" priority="6" operator="lessThan">
      <formula>0.08</formula>
    </cfRule>
  </conditionalFormatting>
  <printOptions horizontalCentered="1" verticalCentered="1"/>
  <pageMargins left="0.7" right="0.7" top="0.75" bottom="0.75" header="0.3" footer="0.3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31"/>
  <sheetViews>
    <sheetView workbookViewId="0">
      <pane xSplit="2" ySplit="8" topLeftCell="C120" activePane="bottomRight" state="frozen"/>
      <selection pane="topRight" activeCell="C1" sqref="C1"/>
      <selection pane="bottomLeft" activeCell="A9" sqref="A9"/>
      <selection pane="bottomRight" activeCell="D8" sqref="D8"/>
    </sheetView>
  </sheetViews>
  <sheetFormatPr defaultColWidth="18.88671875" defaultRowHeight="14.4" x14ac:dyDescent="0.3"/>
  <cols>
    <col min="1" max="1" width="4.33203125" bestFit="1" customWidth="1"/>
    <col min="2" max="2" width="19" bestFit="1" customWidth="1"/>
    <col min="3" max="3" width="12.88671875" bestFit="1" customWidth="1"/>
    <col min="4" max="4" width="22.33203125" customWidth="1"/>
    <col min="5" max="5" width="12.33203125" bestFit="1" customWidth="1"/>
    <col min="6" max="6" width="25.44140625" customWidth="1"/>
    <col min="36" max="36" width="19.5546875" bestFit="1" customWidth="1"/>
    <col min="48" max="48" width="19.5546875" bestFit="1" customWidth="1"/>
    <col min="64" max="64" width="19.5546875" bestFit="1" customWidth="1"/>
  </cols>
  <sheetData>
    <row r="2" ht="15" hidden="1" customHeight="1" x14ac:dyDescent="0.3"/>
    <row r="4" hidden="1" x14ac:dyDescent="0.3"/>
    <row r="9" ht="45" customHeight="1" x14ac:dyDescent="0.3"/>
    <row r="25" ht="15" customHeight="1" x14ac:dyDescent="0.3"/>
    <row r="28" ht="15" customHeight="1" x14ac:dyDescent="0.3"/>
    <row r="29" ht="15" customHeight="1" x14ac:dyDescent="0.3"/>
    <row r="31" ht="15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19B811-AB8A-4359-8637-4C5ABFEE79DD}">
  <ds:schemaRefs>
    <ds:schemaRef ds:uri="http://schemas.microsoft.com/office/2006/metadata/properties"/>
    <ds:schemaRef ds:uri="http://schemas.microsoft.com/office/infopath/2007/PartnerControls"/>
    <ds:schemaRef ds:uri="df647032-17c5-4266-af02-4596a72daf50"/>
    <ds:schemaRef ds:uri="6e3db4b3-2b3b-4352-9127-36718d9c05b9"/>
  </ds:schemaRefs>
</ds:datastoreItem>
</file>

<file path=customXml/itemProps2.xml><?xml version="1.0" encoding="utf-8"?>
<ds:datastoreItem xmlns:ds="http://schemas.openxmlformats.org/officeDocument/2006/customXml" ds:itemID="{58C4FE0A-769D-4B72-BC34-FCD1281B4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F4EBCD-ACB6-4AD3-BF2F-30C4B49317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sofp</vt:lpstr>
      <vt:lpstr>soci</vt:lpstr>
      <vt:lpstr>financials</vt:lpstr>
      <vt:lpstr>caels</vt:lpstr>
      <vt:lpstr>FORM 4</vt:lpstr>
    </vt:vector>
  </TitlesOfParts>
  <Manager/>
  <Company>SASRA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CAELS</dc:title>
  <dc:subject>Analysis of Sacco Performance</dc:subject>
  <dc:creator>Portfolio one</dc:creator>
  <cp:keywords/>
  <dc:description>Created with python and xlswriter</dc:description>
  <cp:lastModifiedBy>Evans Kimosop</cp:lastModifiedBy>
  <cp:revision/>
  <dcterms:created xsi:type="dcterms:W3CDTF">2015-11-12T10:21:48Z</dcterms:created>
  <dcterms:modified xsi:type="dcterms:W3CDTF">2023-03-23T07:55:03Z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2022-04-01T07:58:08Z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9c442bbe-020d-40c6-8687-870571630d1e</vt:lpwstr>
  </property>
  <property fmtid="{D5CDD505-2E9C-101B-9397-08002B2CF9AE}" pid="9" name="MSIP_Label_7a02b3b2-3762-4506-88a3-8b8c11cc60e6_ContentBits">
    <vt:lpwstr>0</vt:lpwstr>
  </property>
  <property fmtid="{D5CDD505-2E9C-101B-9397-08002B2CF9AE}" pid="10" name="MediaServiceImageTags">
    <vt:lpwstr/>
  </property>
</Properties>
</file>
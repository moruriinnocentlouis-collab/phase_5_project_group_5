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1 PORTFOLIO 5\2022 ACCOUNTS APPROVAL\"/>
    </mc:Choice>
  </mc:AlternateContent>
  <xr:revisionPtr revIDLastSave="488" documentId="11_6B33265346C65223D15759286BF8C7B71118E984" xr6:coauthVersionLast="47" xr6:coauthVersionMax="47" xr10:uidLastSave="{170128FF-4E01-4BF7-8E00-BC2387CFEE26}"/>
  <bookViews>
    <workbookView xWindow="0" yWindow="0" windowWidth="23040" windowHeight="8496" firstSheet="6" activeTab="7" xr2:uid="{00000000-000D-0000-FFFF-FFFF00000000}"/>
  </bookViews>
  <sheets>
    <sheet name="Evolutive SFP" sheetId="1" r:id="rId1"/>
    <sheet name="Evolutitve SCI" sheetId="2" r:id="rId2"/>
    <sheet name="Dec 2019 report" sheetId="11" r:id="rId3"/>
    <sheet name="FORM 4" sheetId="4" r:id="rId4"/>
    <sheet name="CAELS" sheetId="3" r:id="rId5"/>
    <sheet name="Financials" sheetId="5" r:id="rId6"/>
    <sheet name="CASH FLOW" sheetId="6" r:id="rId7"/>
    <sheet name="Prudential Ratios" sheetId="8" r:id="rId8"/>
    <sheet name="Feedback report" sheetId="10" r:id="rId9"/>
    <sheet name="Assesment report Sept 2019" sheetId="13" r:id="rId10"/>
  </sheets>
  <externalReferences>
    <externalReference r:id="rId11"/>
    <externalReference r:id="rId12"/>
  </externalReferences>
  <definedNames>
    <definedName name="BALANCE1_LDA01">'[1]Financial Statements'!$E$112</definedName>
    <definedName name="BALANCE1_LDA12">'[1]Financial Statements'!$E$123</definedName>
    <definedName name="BALANCE2_LDA01">'[1]Financial Statements'!$F$112</definedName>
    <definedName name="BALANCE2_LDA12">'[1]Financial Statements'!$F$123</definedName>
    <definedName name="BALANCE3_LDA01">'[1]Financial Statements'!$G$112</definedName>
    <definedName name="BALANCE3_LDA12">'[1]Financial Statements'!$G$123</definedName>
    <definedName name="BALANCE4_LDA01">'[1]Financial Statements'!$H$112</definedName>
    <definedName name="BALANCE4_LDA12">'[1]Financial Statements'!$H$123</definedName>
    <definedName name="BALANCE5_LDA01">'[1]Financial Statements'!$I$112</definedName>
    <definedName name="BALANCE5_LDA12">'[1]Financial Statements'!$I$123</definedName>
    <definedName name="BALANCE6_LDA01">'[1]Financial Statements'!$J$112</definedName>
    <definedName name="BALANCE6_LDA12">'[1]Financial Statements'!$J$123</definedName>
    <definedName name="PEARLS1_LA002">'[1]Financial Statements'!$E$280</definedName>
    <definedName name="PEARLS1_LE008">'[1]Financial Statements'!$E$275</definedName>
    <definedName name="PEARLS1_LE009">'[1]Financial Statements'!$E$276</definedName>
    <definedName name="PEARLS1_LR001">'[1]Financial Statements'!$E$282</definedName>
    <definedName name="PEARLS1_LR005">'[1]Financial Statements'!$E$286</definedName>
    <definedName name="PEARLS1_LR006">'[1]Financial Statements'!$E$287</definedName>
    <definedName name="PEARLS1_LR007">'[1]Financial Statements'!$E$288</definedName>
    <definedName name="PEARLS1_LR009">'[1]Financial Statements'!$E$290</definedName>
    <definedName name="PEARLS1_LS001">'[1]Financial Statements'!$E$298</definedName>
    <definedName name="PEARLS1_LS005">'[1]Financial Statements'!$E$302</definedName>
    <definedName name="PEARLS1_LS011">'[1]Financial Statements'!$E$308</definedName>
    <definedName name="PEARLS2_LA002">'[1]Financial Statements'!$F$280</definedName>
    <definedName name="PEARLS2_LE008">'[1]Financial Statements'!$F$275</definedName>
    <definedName name="PEARLS2_LE009">'[1]Financial Statements'!$F$276</definedName>
    <definedName name="PEARLS2_LR001">'[1]Financial Statements'!$F$282</definedName>
    <definedName name="PEARLS2_LR005">'[1]Financial Statements'!$F$286</definedName>
    <definedName name="PEARLS2_LR006">'[1]Financial Statements'!$F$287</definedName>
    <definedName name="PEARLS2_LR007">'[1]Financial Statements'!$F$288</definedName>
    <definedName name="PEARLS2_LR009">'[1]Financial Statements'!$F$290</definedName>
    <definedName name="PEARLS2_LS001">'[1]Financial Statements'!$F$298</definedName>
    <definedName name="PEARLS2_LS005">'[1]Financial Statements'!$F$302</definedName>
    <definedName name="PEARLS2_LS010">'[1]Financial Statements'!$F$307</definedName>
    <definedName name="PEARLS2_LS011">'[1]Financial Statements'!$F$308</definedName>
    <definedName name="PEARLS3_LA002">'[1]Financial Statements'!$G$280</definedName>
    <definedName name="PEARLS3_LE008">'[1]Financial Statements'!$G$275</definedName>
    <definedName name="PEARLS3_LE009">'[1]Financial Statements'!$G$276</definedName>
    <definedName name="PEARLS3_LR001">'[1]Financial Statements'!$G$282</definedName>
    <definedName name="PEARLS3_LR005">'[1]Financial Statements'!$G$286</definedName>
    <definedName name="PEARLS3_LR006">'[1]Financial Statements'!$G$287</definedName>
    <definedName name="PEARLS3_LR007">'[1]Financial Statements'!$G$288</definedName>
    <definedName name="PEARLS3_LR009">'[1]Financial Statements'!$G$290</definedName>
    <definedName name="PEARLS3_LS001">'[1]Financial Statements'!$G$298</definedName>
    <definedName name="PEARLS3_LS005">'[1]Financial Statements'!$G$302</definedName>
    <definedName name="PEARLS3_LS010">'[1]Financial Statements'!$G$307</definedName>
    <definedName name="PEARLS3_LS011">'[1]Financial Statements'!$G$308</definedName>
    <definedName name="PEARLS4_LA002">'[1]Financial Statements'!$H$280</definedName>
    <definedName name="PEARLS4_LE008">'[1]Financial Statements'!$H$275</definedName>
    <definedName name="PEARLS4_LE009">'[1]Financial Statements'!$H$276</definedName>
    <definedName name="PEARLS4_LR001">'[1]Financial Statements'!$H$282</definedName>
    <definedName name="PEARLS4_LR005">'[1]Financial Statements'!$H$286</definedName>
    <definedName name="PEARLS4_LR006">'[1]Financial Statements'!$H$287</definedName>
    <definedName name="PEARLS4_LR007">'[1]Financial Statements'!$H$288</definedName>
    <definedName name="PEARLS4_LR009">'[1]Financial Statements'!$H$290</definedName>
    <definedName name="PEARLS4_LS001">'[1]Financial Statements'!$H$298</definedName>
    <definedName name="PEARLS4_LS005">'[1]Financial Statements'!$H$302</definedName>
    <definedName name="PEARLS4_LS010">'[1]Financial Statements'!$H$307</definedName>
    <definedName name="PEARLS4_LS011">'[1]Financial Statements'!$H$308</definedName>
    <definedName name="PEARLS5_LA002">'[1]Financial Statements'!$I$280</definedName>
    <definedName name="PEARLS5_LE008">'[1]Financial Statements'!$I$275</definedName>
    <definedName name="PEARLS5_LE009">'[1]Financial Statements'!$I$276</definedName>
    <definedName name="PEARLS5_LR001">'[1]Financial Statements'!$I$282</definedName>
    <definedName name="PEARLS5_LR005">'[1]Financial Statements'!$I$286</definedName>
    <definedName name="PEARLS5_LR006">'[1]Financial Statements'!$I$287</definedName>
    <definedName name="PEARLS5_LR007">'[1]Financial Statements'!$I$288</definedName>
    <definedName name="PEARLS5_LR009">'[1]Financial Statements'!$I$290</definedName>
    <definedName name="PEARLS5_LS001">'[1]Financial Statements'!$I$298</definedName>
    <definedName name="PEARLS5_LS005">'[1]Financial Statements'!$I$302</definedName>
    <definedName name="PEARLS5_LS010">'[1]Financial Statements'!$I$307</definedName>
    <definedName name="PEARLS5_LS011">'[1]Financial Statements'!$I$308</definedName>
    <definedName name="PEARLS6_LA002">'[1]Financial Statements'!$J$280</definedName>
    <definedName name="PEARLS6_LE008">'[1]Financial Statements'!$J$275</definedName>
    <definedName name="PEARLS6_LE009">'[1]Financial Statements'!$J$276</definedName>
    <definedName name="PEARLS6_LR001">'[1]Financial Statements'!$J$282</definedName>
    <definedName name="PEARLS6_LR005">'[1]Financial Statements'!$J$286</definedName>
    <definedName name="PEARLS6_LR006">'[1]Financial Statements'!$J$287</definedName>
    <definedName name="PEARLS6_LR007">'[1]Financial Statements'!$J$288</definedName>
    <definedName name="PEARLS6_LR009">'[1]Financial Statements'!$J$290</definedName>
    <definedName name="PEARLS6_LS001">'[1]Financial Statements'!$J$298</definedName>
    <definedName name="PEARLS6_LS005">'[1]Financial Statements'!$J$302</definedName>
    <definedName name="PEARLS6_LS010">'[1]Financial Statements'!$J$307</definedName>
    <definedName name="PEARLS6_LS011">'[1]Financial Statements'!$J$308</definedName>
    <definedName name="_xlnm.Print_Area" localSheetId="5">Financials!$A$1:$CF$47</definedName>
    <definedName name="_xlnm.Print_Area" localSheetId="7">'Prudential Ratios'!$A$1:$DA$28</definedName>
    <definedName name="units">'[1]SASRA B.S.'!$C$2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J6" i="8" l="1"/>
  <c r="DJ7" i="8"/>
  <c r="DJ8" i="8"/>
  <c r="DJ9" i="8"/>
  <c r="DJ10" i="8"/>
  <c r="DJ14" i="8"/>
  <c r="DJ15" i="8"/>
  <c r="DJ19" i="8"/>
  <c r="DJ20" i="8"/>
  <c r="DJ21" i="8"/>
  <c r="DJ24" i="8"/>
  <c r="DJ25" i="8"/>
  <c r="DJ26" i="8"/>
  <c r="DJ27" i="8"/>
  <c r="DJ30" i="8"/>
  <c r="DJ31" i="8"/>
  <c r="DJ32" i="8"/>
  <c r="DJ33" i="8"/>
  <c r="DJ34" i="8"/>
  <c r="DJ35" i="8"/>
  <c r="DJ36" i="8"/>
  <c r="DJ47" i="8"/>
  <c r="DJ52" i="8"/>
  <c r="DJ53" i="8"/>
  <c r="DJ55" i="8"/>
  <c r="DJ56" i="8"/>
  <c r="DJ57" i="8"/>
  <c r="DJ58" i="8"/>
  <c r="DJ59" i="8"/>
  <c r="DJ60" i="8"/>
  <c r="CO4" i="5"/>
  <c r="CO5" i="5"/>
  <c r="CO6" i="5"/>
  <c r="CO7" i="5"/>
  <c r="CO8" i="5"/>
  <c r="CO9" i="5"/>
  <c r="CO15" i="5"/>
  <c r="CO17" i="5"/>
  <c r="CO18" i="5"/>
  <c r="CO19" i="5"/>
  <c r="CO20" i="5"/>
  <c r="CO22" i="5"/>
  <c r="CO21" i="5" s="1"/>
  <c r="CO26" i="5"/>
  <c r="CO27" i="5"/>
  <c r="CO28" i="5"/>
  <c r="CO30" i="5"/>
  <c r="CO31" i="5"/>
  <c r="CO32" i="5"/>
  <c r="CO34" i="5"/>
  <c r="CO35" i="5"/>
  <c r="CO38" i="5"/>
  <c r="CO39" i="5"/>
  <c r="CO40" i="5"/>
  <c r="CO41" i="5"/>
  <c r="CO44" i="5"/>
  <c r="CO45" i="5"/>
  <c r="CO46" i="5"/>
  <c r="CO47" i="5"/>
  <c r="CL3" i="3"/>
  <c r="CM3" i="3"/>
  <c r="CN3" i="3"/>
  <c r="CL4" i="3"/>
  <c r="CM4" i="3"/>
  <c r="CN4" i="3"/>
  <c r="CL5" i="3"/>
  <c r="CM5" i="3"/>
  <c r="CN5" i="3"/>
  <c r="CL6" i="3"/>
  <c r="CM6" i="3"/>
  <c r="CN6" i="3"/>
  <c r="CL8" i="3"/>
  <c r="CM8" i="3"/>
  <c r="CN8" i="3"/>
  <c r="CL9" i="3"/>
  <c r="CM9" i="3"/>
  <c r="CN9" i="3"/>
  <c r="CL10" i="3"/>
  <c r="CM10" i="3"/>
  <c r="CN10" i="3"/>
  <c r="CL11" i="3"/>
  <c r="CM11" i="3"/>
  <c r="CN11" i="3"/>
  <c r="CL12" i="3"/>
  <c r="CM12" i="3"/>
  <c r="CN12" i="3"/>
  <c r="CL13" i="3"/>
  <c r="CM13" i="3"/>
  <c r="CN13" i="3"/>
  <c r="CL14" i="3"/>
  <c r="CM14" i="3"/>
  <c r="CN14" i="3"/>
  <c r="CL15" i="3"/>
  <c r="CM15" i="3"/>
  <c r="CN15" i="3"/>
  <c r="CL16" i="3"/>
  <c r="CM16" i="3"/>
  <c r="CN16" i="3"/>
  <c r="CL17" i="3"/>
  <c r="CM17" i="3"/>
  <c r="CN17" i="3"/>
  <c r="CL18" i="3"/>
  <c r="CM18" i="3"/>
  <c r="CN18" i="3"/>
  <c r="CL19" i="3"/>
  <c r="CM19" i="3"/>
  <c r="CN19" i="3"/>
  <c r="CL20" i="3"/>
  <c r="CM20" i="3"/>
  <c r="CN20" i="3"/>
  <c r="CL21" i="3"/>
  <c r="CM21" i="3"/>
  <c r="CN21" i="3"/>
  <c r="CL22" i="3"/>
  <c r="CM22" i="3"/>
  <c r="CN22" i="3"/>
  <c r="CL23" i="3"/>
  <c r="CM23" i="3"/>
  <c r="CN23" i="3"/>
  <c r="CL24" i="3"/>
  <c r="CM24" i="3"/>
  <c r="CN24" i="3"/>
  <c r="CL25" i="3"/>
  <c r="CM25" i="3"/>
  <c r="CN25" i="3"/>
  <c r="CL26" i="3"/>
  <c r="CM26" i="3"/>
  <c r="CN26" i="3"/>
  <c r="CL27" i="3"/>
  <c r="CM27" i="3"/>
  <c r="CN27" i="3"/>
  <c r="CL28" i="3"/>
  <c r="CM28" i="3"/>
  <c r="CN28" i="3"/>
  <c r="CL29" i="3"/>
  <c r="CM29" i="3"/>
  <c r="CN29" i="3"/>
  <c r="CL30" i="3"/>
  <c r="CM30" i="3"/>
  <c r="CN30" i="3"/>
  <c r="CL32" i="3"/>
  <c r="CM32" i="3"/>
  <c r="CN32" i="3"/>
  <c r="CL33" i="3"/>
  <c r="CM33" i="3"/>
  <c r="CN33" i="3"/>
  <c r="CL34" i="3"/>
  <c r="CM34" i="3"/>
  <c r="CN34" i="3"/>
  <c r="CL35" i="3"/>
  <c r="CM35" i="3"/>
  <c r="CN35" i="3"/>
  <c r="CL36" i="3"/>
  <c r="CM36" i="3"/>
  <c r="CN36" i="3"/>
  <c r="CL37" i="3"/>
  <c r="CM37" i="3"/>
  <c r="CN37" i="3"/>
  <c r="CL38" i="3"/>
  <c r="CM38" i="3"/>
  <c r="CN38" i="3"/>
  <c r="CL39" i="3"/>
  <c r="CM39" i="3"/>
  <c r="CN39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BU28" i="3"/>
  <c r="BV28" i="3"/>
  <c r="BW28" i="3"/>
  <c r="BX28" i="3"/>
  <c r="BY28" i="3"/>
  <c r="BZ28" i="3"/>
  <c r="CA28" i="3"/>
  <c r="CB28" i="3"/>
  <c r="CC28" i="3"/>
  <c r="CD28" i="3"/>
  <c r="CE28" i="3"/>
  <c r="CF28" i="3"/>
  <c r="CG28" i="3"/>
  <c r="CH28" i="3"/>
  <c r="CI28" i="3"/>
  <c r="CJ28" i="3"/>
  <c r="CK28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BU30" i="3"/>
  <c r="BV30" i="3"/>
  <c r="BW30" i="3"/>
  <c r="BX30" i="3"/>
  <c r="BY30" i="3"/>
  <c r="BZ30" i="3"/>
  <c r="CA30" i="3"/>
  <c r="CB30" i="3"/>
  <c r="CC30" i="3"/>
  <c r="CD30" i="3"/>
  <c r="CE30" i="3"/>
  <c r="CF30" i="3"/>
  <c r="CG30" i="3"/>
  <c r="CH30" i="3"/>
  <c r="CI30" i="3"/>
  <c r="CJ30" i="3"/>
  <c r="CK30" i="3"/>
  <c r="BU32" i="3"/>
  <c r="BV32" i="3"/>
  <c r="BW32" i="3"/>
  <c r="BX32" i="3"/>
  <c r="BY32" i="3"/>
  <c r="BZ32" i="3"/>
  <c r="CA32" i="3"/>
  <c r="CB32" i="3"/>
  <c r="CC32" i="3"/>
  <c r="CD32" i="3"/>
  <c r="CE32" i="3"/>
  <c r="CF32" i="3"/>
  <c r="CG32" i="3"/>
  <c r="CH32" i="3"/>
  <c r="CI32" i="3"/>
  <c r="CJ32" i="3"/>
  <c r="CK32" i="3"/>
  <c r="BU33" i="3"/>
  <c r="BV33" i="3"/>
  <c r="BW33" i="3"/>
  <c r="BX33" i="3"/>
  <c r="BY33" i="3"/>
  <c r="BZ33" i="3"/>
  <c r="CA33" i="3"/>
  <c r="CB33" i="3"/>
  <c r="CC33" i="3"/>
  <c r="CD33" i="3"/>
  <c r="CE33" i="3"/>
  <c r="CF33" i="3"/>
  <c r="CG33" i="3"/>
  <c r="CH33" i="3"/>
  <c r="CI33" i="3"/>
  <c r="CJ33" i="3"/>
  <c r="CK33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CH34" i="3"/>
  <c r="CI34" i="3"/>
  <c r="CJ34" i="3"/>
  <c r="CK34" i="3"/>
  <c r="BU35" i="3"/>
  <c r="BV35" i="3"/>
  <c r="BW35" i="3"/>
  <c r="BX35" i="3"/>
  <c r="BY35" i="3"/>
  <c r="BZ35" i="3"/>
  <c r="CA35" i="3"/>
  <c r="CB35" i="3"/>
  <c r="CC35" i="3"/>
  <c r="CD35" i="3"/>
  <c r="CE35" i="3"/>
  <c r="CF35" i="3"/>
  <c r="CG35" i="3"/>
  <c r="CH35" i="3"/>
  <c r="CI35" i="3"/>
  <c r="CJ35" i="3"/>
  <c r="CK35" i="3"/>
  <c r="BU36" i="3"/>
  <c r="BV36" i="3"/>
  <c r="BW36" i="3"/>
  <c r="BX36" i="3"/>
  <c r="BY36" i="3"/>
  <c r="BZ36" i="3"/>
  <c r="CA36" i="3"/>
  <c r="CB36" i="3"/>
  <c r="CC36" i="3"/>
  <c r="CD36" i="3"/>
  <c r="CE36" i="3"/>
  <c r="CF36" i="3"/>
  <c r="CG36" i="3"/>
  <c r="CH36" i="3"/>
  <c r="CI36" i="3"/>
  <c r="CJ36" i="3"/>
  <c r="CK36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CG37" i="3"/>
  <c r="CH37" i="3"/>
  <c r="CI37" i="3"/>
  <c r="CJ37" i="3"/>
  <c r="CK37" i="3"/>
  <c r="BU38" i="3"/>
  <c r="BV38" i="3"/>
  <c r="BW38" i="3"/>
  <c r="BX38" i="3"/>
  <c r="BY38" i="3"/>
  <c r="BZ38" i="3"/>
  <c r="CA38" i="3"/>
  <c r="CB38" i="3"/>
  <c r="CC38" i="3"/>
  <c r="CD38" i="3"/>
  <c r="CE38" i="3"/>
  <c r="CF38" i="3"/>
  <c r="CG38" i="3"/>
  <c r="CH38" i="3"/>
  <c r="CI38" i="3"/>
  <c r="CJ38" i="3"/>
  <c r="CK38" i="3"/>
  <c r="BU39" i="3"/>
  <c r="BV39" i="3"/>
  <c r="BW39" i="3"/>
  <c r="BX39" i="3"/>
  <c r="BY39" i="3"/>
  <c r="BZ39" i="3"/>
  <c r="CA39" i="3"/>
  <c r="CB39" i="3"/>
  <c r="CC39" i="3"/>
  <c r="CD39" i="3"/>
  <c r="CE39" i="3"/>
  <c r="CF39" i="3"/>
  <c r="CG39" i="3"/>
  <c r="CH39" i="3"/>
  <c r="CI39" i="3"/>
  <c r="CJ39" i="3"/>
  <c r="CK39" i="3"/>
  <c r="CB4" i="2"/>
  <c r="CB3" i="2" s="1"/>
  <c r="CB7" i="2"/>
  <c r="CB23" i="2"/>
  <c r="CB19" i="2"/>
  <c r="CB20" i="2"/>
  <c r="CB12" i="2"/>
  <c r="CB39" i="2"/>
  <c r="CB29" i="2"/>
  <c r="CB30" i="2"/>
  <c r="CB33" i="2"/>
  <c r="CB35" i="2"/>
  <c r="CB37" i="2" s="1"/>
  <c r="CC21" i="1"/>
  <c r="CC17" i="1"/>
  <c r="CC14" i="1"/>
  <c r="CD14" i="1"/>
  <c r="CC8" i="1"/>
  <c r="CC4" i="1"/>
  <c r="CC27" i="1"/>
  <c r="CC31" i="1"/>
  <c r="CC38" i="1"/>
  <c r="CC48" i="1"/>
  <c r="CC49" i="1"/>
  <c r="CC51" i="1"/>
  <c r="DI6" i="8"/>
  <c r="DI7" i="8"/>
  <c r="DI8" i="8"/>
  <c r="DI9" i="8"/>
  <c r="DI10" i="8"/>
  <c r="DI14" i="8"/>
  <c r="DI15" i="8"/>
  <c r="DI19" i="8"/>
  <c r="DI20" i="8"/>
  <c r="DI21" i="8"/>
  <c r="DI24" i="8"/>
  <c r="DI25" i="8"/>
  <c r="DI26" i="8"/>
  <c r="DI27" i="8"/>
  <c r="DI30" i="8"/>
  <c r="DI31" i="8"/>
  <c r="DI32" i="8"/>
  <c r="DI33" i="8"/>
  <c r="DI34" i="8"/>
  <c r="DI35" i="8"/>
  <c r="DI36" i="8"/>
  <c r="DI47" i="8"/>
  <c r="DI52" i="8"/>
  <c r="DI53" i="8"/>
  <c r="DI55" i="8"/>
  <c r="DI56" i="8"/>
  <c r="DI57" i="8"/>
  <c r="DI58" i="8"/>
  <c r="DI59" i="8"/>
  <c r="DI60" i="8"/>
  <c r="CN4" i="5"/>
  <c r="CN5" i="5"/>
  <c r="CN6" i="5"/>
  <c r="CN7" i="5"/>
  <c r="CN8" i="5"/>
  <c r="CN9" i="5"/>
  <c r="CN15" i="5"/>
  <c r="CN17" i="5"/>
  <c r="CN18" i="5"/>
  <c r="CN19" i="5"/>
  <c r="CN20" i="5"/>
  <c r="CN22" i="5"/>
  <c r="CN21" i="5" s="1"/>
  <c r="CN26" i="5"/>
  <c r="CN27" i="5"/>
  <c r="CN28" i="5"/>
  <c r="CN30" i="5"/>
  <c r="CN31" i="5"/>
  <c r="CN32" i="5"/>
  <c r="CN34" i="5"/>
  <c r="CN35" i="5"/>
  <c r="CN38" i="5"/>
  <c r="CN39" i="5"/>
  <c r="CN40" i="5"/>
  <c r="CN41" i="5"/>
  <c r="CN44" i="5"/>
  <c r="CN45" i="5"/>
  <c r="CN46" i="5"/>
  <c r="CN47" i="5"/>
  <c r="CA4" i="2"/>
  <c r="CA3" i="2" s="1"/>
  <c r="CA12" i="2"/>
  <c r="CA7" i="2"/>
  <c r="CA19" i="2"/>
  <c r="CA20" i="2"/>
  <c r="CA23" i="2"/>
  <c r="CA29" i="2"/>
  <c r="CA30" i="2"/>
  <c r="CA33" i="2"/>
  <c r="CA35" i="2"/>
  <c r="CA37" i="2"/>
  <c r="CA39" i="2"/>
  <c r="CB4" i="1"/>
  <c r="CB8" i="1"/>
  <c r="CB14" i="1"/>
  <c r="CB17" i="1"/>
  <c r="CB21" i="1"/>
  <c r="CB31" i="1"/>
  <c r="CB27" i="1"/>
  <c r="CB38" i="1"/>
  <c r="CB48" i="1"/>
  <c r="CB49" i="1"/>
  <c r="CB51" i="1" s="1"/>
  <c r="DH6" i="8"/>
  <c r="DH7" i="8"/>
  <c r="DH8" i="8"/>
  <c r="DH9" i="8"/>
  <c r="DH10" i="8"/>
  <c r="DH14" i="8"/>
  <c r="DH15" i="8"/>
  <c r="DH19" i="8"/>
  <c r="DH20" i="8"/>
  <c r="DH21" i="8"/>
  <c r="DH24" i="8"/>
  <c r="DH25" i="8"/>
  <c r="DH26" i="8"/>
  <c r="DH27" i="8"/>
  <c r="DH30" i="8"/>
  <c r="DH31" i="8"/>
  <c r="DH32" i="8"/>
  <c r="DH33" i="8"/>
  <c r="DH34" i="8"/>
  <c r="DH35" i="8"/>
  <c r="DH36" i="8"/>
  <c r="DH47" i="8"/>
  <c r="DH52" i="8"/>
  <c r="DH53" i="8"/>
  <c r="DH55" i="8"/>
  <c r="DH56" i="8"/>
  <c r="DH57" i="8"/>
  <c r="DH58" i="8"/>
  <c r="DH59" i="8"/>
  <c r="DH60" i="8"/>
  <c r="CM4" i="5"/>
  <c r="CM5" i="5"/>
  <c r="CM6" i="5"/>
  <c r="CM7" i="5"/>
  <c r="CM8" i="5"/>
  <c r="CM9" i="5"/>
  <c r="CM15" i="5"/>
  <c r="CM17" i="5"/>
  <c r="CM18" i="5"/>
  <c r="CM19" i="5"/>
  <c r="CM20" i="5"/>
  <c r="CM22" i="5"/>
  <c r="CM21" i="5" s="1"/>
  <c r="CM26" i="5"/>
  <c r="CM27" i="5"/>
  <c r="CM28" i="5"/>
  <c r="CM30" i="5"/>
  <c r="CM31" i="5"/>
  <c r="CM32" i="5"/>
  <c r="CM34" i="5"/>
  <c r="CM35" i="5"/>
  <c r="CM38" i="5"/>
  <c r="CM39" i="5"/>
  <c r="CM40" i="5"/>
  <c r="CM41" i="5"/>
  <c r="CM44" i="5"/>
  <c r="CM45" i="5"/>
  <c r="CM46" i="5"/>
  <c r="CM47" i="5"/>
  <c r="BZ3" i="2"/>
  <c r="BZ4" i="2"/>
  <c r="BZ7" i="2"/>
  <c r="BZ12" i="2"/>
  <c r="BZ19" i="2"/>
  <c r="BZ20" i="2"/>
  <c r="BZ23" i="2"/>
  <c r="BZ29" i="2"/>
  <c r="BZ30" i="2"/>
  <c r="BZ33" i="2"/>
  <c r="BZ35" i="2"/>
  <c r="BZ39" i="2"/>
  <c r="BZ37" i="2"/>
  <c r="CA4" i="1"/>
  <c r="CA8" i="1"/>
  <c r="CA14" i="1"/>
  <c r="CA17" i="1"/>
  <c r="CA21" i="1"/>
  <c r="CA31" i="1"/>
  <c r="CA27" i="1"/>
  <c r="CA38" i="1"/>
  <c r="CA48" i="1"/>
  <c r="CA49" i="1"/>
  <c r="CA51" i="1"/>
  <c r="CL12" i="5"/>
  <c r="DF6" i="8"/>
  <c r="DG6" i="8"/>
  <c r="DF7" i="8"/>
  <c r="DG7" i="8"/>
  <c r="DF8" i="8"/>
  <c r="DG8" i="8"/>
  <c r="DF9" i="8"/>
  <c r="DG9" i="8"/>
  <c r="DF10" i="8"/>
  <c r="DG10" i="8"/>
  <c r="DF14" i="8"/>
  <c r="DG14" i="8"/>
  <c r="DF15" i="8"/>
  <c r="DG15" i="8"/>
  <c r="DF19" i="8"/>
  <c r="DG19" i="8"/>
  <c r="DF20" i="8"/>
  <c r="DG20" i="8"/>
  <c r="DF21" i="8"/>
  <c r="DG21" i="8"/>
  <c r="DF24" i="8"/>
  <c r="DG24" i="8"/>
  <c r="DF25" i="8"/>
  <c r="DG25" i="8"/>
  <c r="DF26" i="8"/>
  <c r="DG26" i="8"/>
  <c r="DF27" i="8"/>
  <c r="DG27" i="8"/>
  <c r="DF30" i="8"/>
  <c r="DG30" i="8"/>
  <c r="DF31" i="8"/>
  <c r="DG31" i="8"/>
  <c r="DF32" i="8"/>
  <c r="DG32" i="8"/>
  <c r="DF33" i="8"/>
  <c r="DG33" i="8"/>
  <c r="DF34" i="8"/>
  <c r="DG34" i="8"/>
  <c r="DF35" i="8"/>
  <c r="DG35" i="8"/>
  <c r="DF36" i="8"/>
  <c r="DG36" i="8"/>
  <c r="DF47" i="8"/>
  <c r="DG47" i="8"/>
  <c r="DF52" i="8"/>
  <c r="DG52" i="8"/>
  <c r="DF53" i="8"/>
  <c r="DG53" i="8"/>
  <c r="DF55" i="8"/>
  <c r="DG55" i="8"/>
  <c r="DF56" i="8"/>
  <c r="DG56" i="8"/>
  <c r="DF57" i="8"/>
  <c r="DG57" i="8"/>
  <c r="DF58" i="8"/>
  <c r="DG58" i="8"/>
  <c r="DF59" i="8"/>
  <c r="DG59" i="8"/>
  <c r="DF60" i="8"/>
  <c r="DG60" i="8"/>
  <c r="CK4" i="5"/>
  <c r="CL4" i="5"/>
  <c r="CK5" i="5"/>
  <c r="CL5" i="5"/>
  <c r="CK6" i="5"/>
  <c r="CL6" i="5"/>
  <c r="CK7" i="5"/>
  <c r="CL7" i="5"/>
  <c r="CK8" i="5"/>
  <c r="CL8" i="5"/>
  <c r="CK9" i="5"/>
  <c r="CL9" i="5"/>
  <c r="CK15" i="5"/>
  <c r="CL15" i="5"/>
  <c r="CK17" i="5"/>
  <c r="CL17" i="5"/>
  <c r="CK18" i="5"/>
  <c r="CL18" i="5"/>
  <c r="CK19" i="5"/>
  <c r="CL19" i="5"/>
  <c r="CK20" i="5"/>
  <c r="CL20" i="5"/>
  <c r="CK22" i="5"/>
  <c r="CK21" i="5" s="1"/>
  <c r="CL22" i="5"/>
  <c r="CL21" i="5" s="1"/>
  <c r="CK26" i="5"/>
  <c r="CL26" i="5"/>
  <c r="CK27" i="5"/>
  <c r="CL27" i="5"/>
  <c r="CK28" i="5"/>
  <c r="CL28" i="5"/>
  <c r="CK30" i="5"/>
  <c r="CL30" i="5"/>
  <c r="CK31" i="5"/>
  <c r="CL31" i="5"/>
  <c r="CK32" i="5"/>
  <c r="CL32" i="5"/>
  <c r="CK34" i="5"/>
  <c r="CL34" i="5"/>
  <c r="CK35" i="5"/>
  <c r="CL35" i="5"/>
  <c r="CK38" i="5"/>
  <c r="CL38" i="5"/>
  <c r="CK39" i="5"/>
  <c r="CL39" i="5"/>
  <c r="CK40" i="5"/>
  <c r="CL40" i="5"/>
  <c r="CK41" i="5"/>
  <c r="CL41" i="5"/>
  <c r="CK44" i="5"/>
  <c r="CL44" i="5"/>
  <c r="CK45" i="5"/>
  <c r="CL45" i="5"/>
  <c r="CK46" i="5"/>
  <c r="CL46" i="5"/>
  <c r="CK47" i="5"/>
  <c r="CL47" i="5"/>
  <c r="BY30" i="2"/>
  <c r="BY23" i="2"/>
  <c r="BY20" i="2"/>
  <c r="BY12" i="2"/>
  <c r="BY39" i="2" s="1"/>
  <c r="BY7" i="2"/>
  <c r="BY4" i="2"/>
  <c r="BY3" i="2"/>
  <c r="BY19" i="2" s="1"/>
  <c r="BY29" i="2" s="1"/>
  <c r="BY33" i="2" s="1"/>
  <c r="BY35" i="2" s="1"/>
  <c r="BY37" i="2" s="1"/>
  <c r="BZ48" i="1"/>
  <c r="BZ31" i="1"/>
  <c r="BZ38" i="1" s="1"/>
  <c r="BZ49" i="1" s="1"/>
  <c r="BZ21" i="1"/>
  <c r="BZ17" i="1"/>
  <c r="BZ14" i="1"/>
  <c r="BZ8" i="1"/>
  <c r="BZ4" i="1"/>
  <c r="BZ27" i="1" s="1"/>
  <c r="BZ51" i="1" s="1"/>
  <c r="BY8" i="1"/>
  <c r="BX30" i="2"/>
  <c r="BX23" i="2"/>
  <c r="BX20" i="2"/>
  <c r="BX12" i="2"/>
  <c r="BX39" i="2" s="1"/>
  <c r="BX7" i="2"/>
  <c r="BX4" i="2"/>
  <c r="BX3" i="2"/>
  <c r="BX19" i="2" s="1"/>
  <c r="BX29" i="2" s="1"/>
  <c r="BX33" i="2" s="1"/>
  <c r="BX35" i="2" s="1"/>
  <c r="BX37" i="2" s="1"/>
  <c r="BY48" i="1"/>
  <c r="BY31" i="1"/>
  <c r="BY38" i="1" s="1"/>
  <c r="BY21" i="1"/>
  <c r="BY17" i="1"/>
  <c r="BY14" i="1"/>
  <c r="BY4" i="1"/>
  <c r="CJ6" i="5"/>
  <c r="CJ7" i="5"/>
  <c r="CJ8" i="5"/>
  <c r="CJ9" i="5"/>
  <c r="CJ15" i="5"/>
  <c r="CJ17" i="5"/>
  <c r="CJ18" i="5"/>
  <c r="CJ19" i="5"/>
  <c r="CJ20" i="5"/>
  <c r="CJ22" i="5"/>
  <c r="CJ21" i="5" s="1"/>
  <c r="CJ26" i="5"/>
  <c r="CJ27" i="5"/>
  <c r="CJ28" i="5"/>
  <c r="CJ31" i="5"/>
  <c r="CJ32" i="5"/>
  <c r="CJ35" i="5"/>
  <c r="CJ38" i="5"/>
  <c r="CJ39" i="5"/>
  <c r="CJ40" i="5"/>
  <c r="CJ41" i="5"/>
  <c r="CJ44" i="5"/>
  <c r="CJ45" i="5"/>
  <c r="CJ46" i="5"/>
  <c r="CJ47" i="5"/>
  <c r="BW30" i="2"/>
  <c r="BW23" i="2"/>
  <c r="BW20" i="2"/>
  <c r="BW12" i="2"/>
  <c r="BW39" i="2" s="1"/>
  <c r="BW7" i="2"/>
  <c r="BW4" i="2"/>
  <c r="BW3" i="2"/>
  <c r="BW19" i="2" s="1"/>
  <c r="BW29" i="2" s="1"/>
  <c r="BW33" i="2" s="1"/>
  <c r="BW35" i="2" s="1"/>
  <c r="BW37" i="2" s="1"/>
  <c r="BX48" i="1"/>
  <c r="BX31" i="1"/>
  <c r="BX21" i="1"/>
  <c r="CJ34" i="5" s="1"/>
  <c r="BX17" i="1"/>
  <c r="BX14" i="1"/>
  <c r="CJ30" i="5" s="1"/>
  <c r="BX8" i="1"/>
  <c r="BX4" i="1"/>
  <c r="CF6" i="5"/>
  <c r="CF7" i="5"/>
  <c r="CF8" i="5"/>
  <c r="CF9" i="5"/>
  <c r="CF15" i="5"/>
  <c r="CF17" i="5"/>
  <c r="CF18" i="5"/>
  <c r="CF19" i="5"/>
  <c r="CF20" i="5"/>
  <c r="CF22" i="5"/>
  <c r="CF21" i="5" s="1"/>
  <c r="CF26" i="5"/>
  <c r="CF27" i="5"/>
  <c r="CF28" i="5"/>
  <c r="CF31" i="5"/>
  <c r="CF32" i="5"/>
  <c r="CF35" i="5"/>
  <c r="CF38" i="5"/>
  <c r="CF39" i="5"/>
  <c r="CF40" i="5"/>
  <c r="CF41" i="5"/>
  <c r="CF44" i="5"/>
  <c r="CF45" i="5"/>
  <c r="CF46" i="5"/>
  <c r="CF47" i="5"/>
  <c r="BT6" i="5"/>
  <c r="BU6" i="5"/>
  <c r="BV6" i="5"/>
  <c r="BW6" i="5"/>
  <c r="BX6" i="5"/>
  <c r="BY6" i="5"/>
  <c r="BZ6" i="5"/>
  <c r="CA6" i="5"/>
  <c r="CB6" i="5"/>
  <c r="CC6" i="5"/>
  <c r="CD6" i="5"/>
  <c r="CE6" i="5"/>
  <c r="BT7" i="5"/>
  <c r="BU7" i="5"/>
  <c r="BV7" i="5"/>
  <c r="BW7" i="5"/>
  <c r="BX7" i="5"/>
  <c r="BY7" i="5"/>
  <c r="BZ7" i="5"/>
  <c r="CA7" i="5"/>
  <c r="CB7" i="5"/>
  <c r="CC7" i="5"/>
  <c r="CD7" i="5"/>
  <c r="CE7" i="5"/>
  <c r="BT8" i="5"/>
  <c r="BU8" i="5"/>
  <c r="BV8" i="5"/>
  <c r="BW8" i="5"/>
  <c r="BX8" i="5"/>
  <c r="BY8" i="5"/>
  <c r="BZ8" i="5"/>
  <c r="CA8" i="5"/>
  <c r="CB8" i="5"/>
  <c r="CC8" i="5"/>
  <c r="CD8" i="5"/>
  <c r="CE8" i="5"/>
  <c r="BT9" i="5"/>
  <c r="BU9" i="5"/>
  <c r="BV9" i="5"/>
  <c r="BW9" i="5"/>
  <c r="BX9" i="5"/>
  <c r="BY9" i="5"/>
  <c r="BZ9" i="5"/>
  <c r="CA9" i="5"/>
  <c r="CB9" i="5"/>
  <c r="CC9" i="5"/>
  <c r="CD9" i="5"/>
  <c r="CE9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BT19" i="5"/>
  <c r="BU19" i="5"/>
  <c r="BV19" i="5"/>
  <c r="BW19" i="5"/>
  <c r="BX19" i="5"/>
  <c r="BY19" i="5"/>
  <c r="BZ19" i="5"/>
  <c r="CA19" i="5"/>
  <c r="CB19" i="5"/>
  <c r="CC19" i="5"/>
  <c r="CD19" i="5"/>
  <c r="CE19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BT22" i="5"/>
  <c r="BT21" i="5" s="1"/>
  <c r="BU22" i="5"/>
  <c r="BU21" i="5" s="1"/>
  <c r="BV22" i="5"/>
  <c r="BV21" i="5" s="1"/>
  <c r="BW22" i="5"/>
  <c r="BW21" i="5" s="1"/>
  <c r="BX22" i="5"/>
  <c r="BX21" i="5" s="1"/>
  <c r="BY22" i="5"/>
  <c r="BY21" i="5" s="1"/>
  <c r="BZ22" i="5"/>
  <c r="BZ21" i="5" s="1"/>
  <c r="CA22" i="5"/>
  <c r="CA21" i="5" s="1"/>
  <c r="CB22" i="5"/>
  <c r="CB21" i="5" s="1"/>
  <c r="CC22" i="5"/>
  <c r="CC21" i="5" s="1"/>
  <c r="CD22" i="5"/>
  <c r="CD21" i="5" s="1"/>
  <c r="CE22" i="5"/>
  <c r="CE21" i="5" s="1"/>
  <c r="BT26" i="5"/>
  <c r="BU26" i="5"/>
  <c r="BV26" i="5"/>
  <c r="BW26" i="5"/>
  <c r="BX26" i="5"/>
  <c r="BY26" i="5"/>
  <c r="BZ26" i="5"/>
  <c r="CA26" i="5"/>
  <c r="CB26" i="5"/>
  <c r="CC26" i="5"/>
  <c r="CD26" i="5"/>
  <c r="CE26" i="5"/>
  <c r="BT27" i="5"/>
  <c r="BU27" i="5"/>
  <c r="BV27" i="5"/>
  <c r="BW27" i="5"/>
  <c r="BX27" i="5"/>
  <c r="BY27" i="5"/>
  <c r="BZ27" i="5"/>
  <c r="CA27" i="5"/>
  <c r="CB27" i="5"/>
  <c r="CC27" i="5"/>
  <c r="CD27" i="5"/>
  <c r="CE27" i="5"/>
  <c r="BT28" i="5"/>
  <c r="BU28" i="5"/>
  <c r="BV28" i="5"/>
  <c r="BW28" i="5"/>
  <c r="BX28" i="5"/>
  <c r="BY28" i="5"/>
  <c r="BZ28" i="5"/>
  <c r="CA28" i="5"/>
  <c r="CB28" i="5"/>
  <c r="CC28" i="5"/>
  <c r="CD28" i="5"/>
  <c r="CE28" i="5"/>
  <c r="BT31" i="5"/>
  <c r="BU31" i="5"/>
  <c r="BV31" i="5"/>
  <c r="BW31" i="5"/>
  <c r="BX31" i="5"/>
  <c r="BY31" i="5"/>
  <c r="BZ31" i="5"/>
  <c r="CA31" i="5"/>
  <c r="CB31" i="5"/>
  <c r="CC31" i="5"/>
  <c r="CD31" i="5"/>
  <c r="CE31" i="5"/>
  <c r="BT32" i="5"/>
  <c r="BU32" i="5"/>
  <c r="BV32" i="5"/>
  <c r="BW32" i="5"/>
  <c r="BX32" i="5"/>
  <c r="BY32" i="5"/>
  <c r="BZ32" i="5"/>
  <c r="CA32" i="5"/>
  <c r="CB32" i="5"/>
  <c r="CC32" i="5"/>
  <c r="CD32" i="5"/>
  <c r="CE32" i="5"/>
  <c r="BT35" i="5"/>
  <c r="BU35" i="5"/>
  <c r="BV35" i="5"/>
  <c r="BW35" i="5"/>
  <c r="BX35" i="5"/>
  <c r="BY35" i="5"/>
  <c r="BZ35" i="5"/>
  <c r="CA35" i="5"/>
  <c r="CB35" i="5"/>
  <c r="CC35" i="5"/>
  <c r="CD35" i="5"/>
  <c r="CE35" i="5"/>
  <c r="BT38" i="5"/>
  <c r="BU38" i="5"/>
  <c r="BV38" i="5"/>
  <c r="BW38" i="5"/>
  <c r="BX38" i="5"/>
  <c r="BY38" i="5"/>
  <c r="BZ38" i="5"/>
  <c r="CA38" i="5"/>
  <c r="CB38" i="5"/>
  <c r="CC38" i="5"/>
  <c r="CD38" i="5"/>
  <c r="CE38" i="5"/>
  <c r="BT39" i="5"/>
  <c r="BU39" i="5"/>
  <c r="BV39" i="5"/>
  <c r="BW39" i="5"/>
  <c r="BX39" i="5"/>
  <c r="BY39" i="5"/>
  <c r="BZ39" i="5"/>
  <c r="CA39" i="5"/>
  <c r="CB39" i="5"/>
  <c r="CC39" i="5"/>
  <c r="CD39" i="5"/>
  <c r="CE39" i="5"/>
  <c r="BT40" i="5"/>
  <c r="BU40" i="5"/>
  <c r="BV40" i="5"/>
  <c r="BW40" i="5"/>
  <c r="BX40" i="5"/>
  <c r="BY40" i="5"/>
  <c r="BZ40" i="5"/>
  <c r="CA40" i="5"/>
  <c r="CB40" i="5"/>
  <c r="CC40" i="5"/>
  <c r="CD40" i="5"/>
  <c r="CE40" i="5"/>
  <c r="BT41" i="5"/>
  <c r="BU41" i="5"/>
  <c r="BV41" i="5"/>
  <c r="BW41" i="5"/>
  <c r="BX41" i="5"/>
  <c r="BY41" i="5"/>
  <c r="BZ41" i="5"/>
  <c r="CA41" i="5"/>
  <c r="CB41" i="5"/>
  <c r="CC41" i="5"/>
  <c r="CD41" i="5"/>
  <c r="CE41" i="5"/>
  <c r="BT44" i="5"/>
  <c r="BU44" i="5"/>
  <c r="BV44" i="5"/>
  <c r="BW44" i="5"/>
  <c r="BX44" i="5"/>
  <c r="BY44" i="5"/>
  <c r="BZ44" i="5"/>
  <c r="CA44" i="5"/>
  <c r="CB44" i="5"/>
  <c r="CC44" i="5"/>
  <c r="CD44" i="5"/>
  <c r="CE44" i="5"/>
  <c r="BT45" i="5"/>
  <c r="BU45" i="5"/>
  <c r="BV45" i="5"/>
  <c r="BW45" i="5"/>
  <c r="BX45" i="5"/>
  <c r="BY45" i="5"/>
  <c r="BZ45" i="5"/>
  <c r="CA45" i="5"/>
  <c r="CB45" i="5"/>
  <c r="CC45" i="5"/>
  <c r="CD45" i="5"/>
  <c r="CE45" i="5"/>
  <c r="BT46" i="5"/>
  <c r="BU46" i="5"/>
  <c r="BV46" i="5"/>
  <c r="BW46" i="5"/>
  <c r="BX46" i="5"/>
  <c r="BY46" i="5"/>
  <c r="BZ46" i="5"/>
  <c r="CA46" i="5"/>
  <c r="CB46" i="5"/>
  <c r="CC46" i="5"/>
  <c r="CD46" i="5"/>
  <c r="CE46" i="5"/>
  <c r="BT47" i="5"/>
  <c r="BU47" i="5"/>
  <c r="BV47" i="5"/>
  <c r="BW47" i="5"/>
  <c r="BX47" i="5"/>
  <c r="BY47" i="5"/>
  <c r="BZ47" i="5"/>
  <c r="CA47" i="5"/>
  <c r="CB47" i="5"/>
  <c r="CC47" i="5"/>
  <c r="CD47" i="5"/>
  <c r="CE47" i="5"/>
  <c r="BG3" i="2"/>
  <c r="BH3" i="2"/>
  <c r="BI3" i="2"/>
  <c r="BJ3" i="2"/>
  <c r="BK3" i="2"/>
  <c r="BL3" i="2"/>
  <c r="BM3" i="2"/>
  <c r="BN3" i="2"/>
  <c r="BO3" i="2"/>
  <c r="BP3" i="2"/>
  <c r="BQ3" i="2"/>
  <c r="BR3" i="2"/>
  <c r="BG4" i="2"/>
  <c r="BH4" i="2"/>
  <c r="BI4" i="2"/>
  <c r="BJ4" i="2"/>
  <c r="BK4" i="2"/>
  <c r="BL4" i="2"/>
  <c r="BM4" i="2"/>
  <c r="BN4" i="2"/>
  <c r="BO4" i="2"/>
  <c r="BP4" i="2"/>
  <c r="BQ4" i="2"/>
  <c r="BR4" i="2"/>
  <c r="BG7" i="2"/>
  <c r="BH7" i="2"/>
  <c r="BI7" i="2"/>
  <c r="BJ7" i="2"/>
  <c r="BK7" i="2"/>
  <c r="BL7" i="2"/>
  <c r="BM7" i="2"/>
  <c r="BN7" i="2"/>
  <c r="BO7" i="2"/>
  <c r="BP7" i="2"/>
  <c r="BQ7" i="2"/>
  <c r="BR7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G29" i="2"/>
  <c r="BH29" i="2"/>
  <c r="BI29" i="2"/>
  <c r="BJ29" i="2"/>
  <c r="BK29" i="2"/>
  <c r="BL29" i="2"/>
  <c r="BM29" i="2"/>
  <c r="BN29" i="2"/>
  <c r="BO29" i="2"/>
  <c r="BP29" i="2"/>
  <c r="BQ29" i="2"/>
  <c r="BR29" i="2"/>
  <c r="BG30" i="2"/>
  <c r="BH30" i="2"/>
  <c r="BI30" i="2"/>
  <c r="BJ30" i="2"/>
  <c r="BK30" i="2"/>
  <c r="BL30" i="2"/>
  <c r="BM30" i="2"/>
  <c r="BN30" i="2"/>
  <c r="BO30" i="2"/>
  <c r="BP30" i="2"/>
  <c r="BQ30" i="2"/>
  <c r="BR30" i="2"/>
  <c r="BG33" i="2"/>
  <c r="BH33" i="2"/>
  <c r="BI33" i="2"/>
  <c r="BJ33" i="2"/>
  <c r="BK33" i="2"/>
  <c r="BL33" i="2"/>
  <c r="BM33" i="2"/>
  <c r="BN33" i="2"/>
  <c r="BO33" i="2"/>
  <c r="BP33" i="2"/>
  <c r="BQ33" i="2"/>
  <c r="BR33" i="2"/>
  <c r="BG35" i="2"/>
  <c r="BH35" i="2"/>
  <c r="BI35" i="2"/>
  <c r="BJ35" i="2"/>
  <c r="BK35" i="2"/>
  <c r="BL35" i="2"/>
  <c r="BM35" i="2"/>
  <c r="BN35" i="2"/>
  <c r="BO35" i="2"/>
  <c r="BP35" i="2"/>
  <c r="BQ35" i="2"/>
  <c r="BR35" i="2"/>
  <c r="BG37" i="2"/>
  <c r="BH37" i="2"/>
  <c r="BI37" i="2"/>
  <c r="BJ37" i="2"/>
  <c r="BK37" i="2"/>
  <c r="BL37" i="2"/>
  <c r="BM37" i="2"/>
  <c r="BN37" i="2"/>
  <c r="BO37" i="2"/>
  <c r="BP37" i="2"/>
  <c r="BQ37" i="2"/>
  <c r="BR37" i="2"/>
  <c r="BG39" i="2"/>
  <c r="BH39" i="2"/>
  <c r="BI39" i="2"/>
  <c r="BJ39" i="2"/>
  <c r="BK39" i="2"/>
  <c r="BL39" i="2"/>
  <c r="BM39" i="2"/>
  <c r="BN39" i="2"/>
  <c r="BO39" i="2"/>
  <c r="BP39" i="2"/>
  <c r="BQ39" i="2"/>
  <c r="BR39" i="2"/>
  <c r="BH48" i="1"/>
  <c r="BI48" i="1"/>
  <c r="BJ48" i="1"/>
  <c r="BK48" i="1"/>
  <c r="BL48" i="1"/>
  <c r="BM48" i="1"/>
  <c r="BN48" i="1"/>
  <c r="BO48" i="1"/>
  <c r="BP48" i="1"/>
  <c r="BQ48" i="1"/>
  <c r="BR48" i="1"/>
  <c r="BS48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H14" i="1"/>
  <c r="BT30" i="5" s="1"/>
  <c r="BI14" i="1"/>
  <c r="BU30" i="5" s="1"/>
  <c r="BJ14" i="1"/>
  <c r="BV30" i="5" s="1"/>
  <c r="BK14" i="1"/>
  <c r="BW30" i="5" s="1"/>
  <c r="BL14" i="1"/>
  <c r="BX30" i="5" s="1"/>
  <c r="BM14" i="1"/>
  <c r="BY30" i="5" s="1"/>
  <c r="BN14" i="1"/>
  <c r="BZ30" i="5" s="1"/>
  <c r="BO14" i="1"/>
  <c r="CA30" i="5" s="1"/>
  <c r="BP14" i="1"/>
  <c r="CB30" i="5" s="1"/>
  <c r="BQ14" i="1"/>
  <c r="CC30" i="5" s="1"/>
  <c r="BR14" i="1"/>
  <c r="CD30" i="5" s="1"/>
  <c r="BS14" i="1"/>
  <c r="CE30" i="5" s="1"/>
  <c r="BH8" i="1"/>
  <c r="BI8" i="1"/>
  <c r="BJ8" i="1"/>
  <c r="BK8" i="1"/>
  <c r="BL8" i="1"/>
  <c r="BM8" i="1"/>
  <c r="BN8" i="1"/>
  <c r="BO8" i="1"/>
  <c r="BP8" i="1"/>
  <c r="BQ8" i="1"/>
  <c r="BR8" i="1"/>
  <c r="BS8" i="1"/>
  <c r="BH4" i="1"/>
  <c r="BI4" i="1"/>
  <c r="BJ4" i="1"/>
  <c r="BK4" i="1"/>
  <c r="BL4" i="1"/>
  <c r="BM4" i="1"/>
  <c r="BN4" i="1"/>
  <c r="BO4" i="1"/>
  <c r="BP4" i="1"/>
  <c r="BQ4" i="1"/>
  <c r="BR4" i="1"/>
  <c r="BS4" i="1"/>
  <c r="CG6" i="5"/>
  <c r="CH6" i="5"/>
  <c r="CI6" i="5"/>
  <c r="CG7" i="5"/>
  <c r="CH7" i="5"/>
  <c r="CI7" i="5"/>
  <c r="CG8" i="5"/>
  <c r="CH8" i="5"/>
  <c r="CI8" i="5"/>
  <c r="CG9" i="5"/>
  <c r="CH9" i="5"/>
  <c r="CI9" i="5"/>
  <c r="CG15" i="5"/>
  <c r="CH15" i="5"/>
  <c r="CI15" i="5"/>
  <c r="CG17" i="5"/>
  <c r="CH17" i="5"/>
  <c r="CI17" i="5"/>
  <c r="CG18" i="5"/>
  <c r="CH18" i="5"/>
  <c r="CI18" i="5"/>
  <c r="CG19" i="5"/>
  <c r="CH19" i="5"/>
  <c r="CI19" i="5"/>
  <c r="CG20" i="5"/>
  <c r="CH20" i="5"/>
  <c r="CI20" i="5"/>
  <c r="CG22" i="5"/>
  <c r="CG21" i="5" s="1"/>
  <c r="CH22" i="5"/>
  <c r="CH21" i="5" s="1"/>
  <c r="CI22" i="5"/>
  <c r="CI21" i="5" s="1"/>
  <c r="CG26" i="5"/>
  <c r="CH26" i="5"/>
  <c r="CI26" i="5"/>
  <c r="CG27" i="5"/>
  <c r="CH27" i="5"/>
  <c r="CI27" i="5"/>
  <c r="CG28" i="5"/>
  <c r="CH28" i="5"/>
  <c r="CI28" i="5"/>
  <c r="CG31" i="5"/>
  <c r="CH31" i="5"/>
  <c r="CI31" i="5"/>
  <c r="CG32" i="5"/>
  <c r="CH32" i="5"/>
  <c r="CI32" i="5"/>
  <c r="CG35" i="5"/>
  <c r="CH35" i="5"/>
  <c r="CI35" i="5"/>
  <c r="CG38" i="5"/>
  <c r="CH38" i="5"/>
  <c r="CI38" i="5"/>
  <c r="CG40" i="5"/>
  <c r="CH40" i="5"/>
  <c r="CI40" i="5"/>
  <c r="CG41" i="5"/>
  <c r="CH41" i="5"/>
  <c r="CI41" i="5"/>
  <c r="CG44" i="5"/>
  <c r="CH44" i="5"/>
  <c r="CI44" i="5"/>
  <c r="CG45" i="5"/>
  <c r="CH45" i="5"/>
  <c r="CI45" i="5"/>
  <c r="CG46" i="5"/>
  <c r="CH46" i="5"/>
  <c r="CI46" i="5"/>
  <c r="BT30" i="2"/>
  <c r="BU30" i="2"/>
  <c r="BV30" i="2"/>
  <c r="BT23" i="2"/>
  <c r="CG47" i="5" s="1"/>
  <c r="BU23" i="2"/>
  <c r="CH47" i="5" s="1"/>
  <c r="BV23" i="2"/>
  <c r="CI47" i="5" s="1"/>
  <c r="BT20" i="2"/>
  <c r="BU20" i="2"/>
  <c r="BV20" i="2"/>
  <c r="BT12" i="2"/>
  <c r="BT39" i="2" s="1"/>
  <c r="BU12" i="2"/>
  <c r="BU39" i="2" s="1"/>
  <c r="BV12" i="2"/>
  <c r="BV39" i="2" s="1"/>
  <c r="BT7" i="2"/>
  <c r="CG39" i="5" s="1"/>
  <c r="BU7" i="2"/>
  <c r="CH39" i="5" s="1"/>
  <c r="BV7" i="2"/>
  <c r="CI39" i="5" s="1"/>
  <c r="BT4" i="2"/>
  <c r="BU4" i="2"/>
  <c r="BV4" i="2"/>
  <c r="BT3" i="2"/>
  <c r="BT19" i="2" s="1"/>
  <c r="BT29" i="2" s="1"/>
  <c r="BT33" i="2" s="1"/>
  <c r="BT35" i="2" s="1"/>
  <c r="BT37" i="2" s="1"/>
  <c r="BU3" i="2"/>
  <c r="BU19" i="2" s="1"/>
  <c r="BU29" i="2" s="1"/>
  <c r="BU33" i="2" s="1"/>
  <c r="BU35" i="2" s="1"/>
  <c r="BU37" i="2" s="1"/>
  <c r="BV3" i="2"/>
  <c r="BV19" i="2" s="1"/>
  <c r="BV29" i="2" s="1"/>
  <c r="BV33" i="2" s="1"/>
  <c r="BV35" i="2" s="1"/>
  <c r="BV37" i="2" s="1"/>
  <c r="BU48" i="1"/>
  <c r="BV48" i="1"/>
  <c r="BW48" i="1"/>
  <c r="BU31" i="1"/>
  <c r="BV31" i="1"/>
  <c r="BW31" i="1"/>
  <c r="BU21" i="1"/>
  <c r="CG34" i="5" s="1"/>
  <c r="BV21" i="1"/>
  <c r="CH34" i="5" s="1"/>
  <c r="BW21" i="1"/>
  <c r="CI34" i="5" s="1"/>
  <c r="BU17" i="1"/>
  <c r="BV17" i="1"/>
  <c r="BW17" i="1"/>
  <c r="BU14" i="1"/>
  <c r="CG30" i="5" s="1"/>
  <c r="BV14" i="1"/>
  <c r="CH30" i="5" s="1"/>
  <c r="BW14" i="1"/>
  <c r="CI30" i="5" s="1"/>
  <c r="BU8" i="1"/>
  <c r="BV8" i="1"/>
  <c r="BW8" i="1"/>
  <c r="BU4" i="1"/>
  <c r="BV4" i="1"/>
  <c r="BW4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T17" i="1"/>
  <c r="CO43" i="5" l="1"/>
  <c r="CO37" i="5"/>
  <c r="CO25" i="5"/>
  <c r="CO14" i="5"/>
  <c r="CO11" i="5" s="1"/>
  <c r="CO12" i="5" s="1"/>
  <c r="CN43" i="5"/>
  <c r="CN37" i="5"/>
  <c r="CN25" i="5"/>
  <c r="CN14" i="5"/>
  <c r="CN11" i="5" s="1"/>
  <c r="CN12" i="5" s="1"/>
  <c r="CM43" i="5"/>
  <c r="CM37" i="5"/>
  <c r="CM25" i="5"/>
  <c r="CM14" i="5"/>
  <c r="CM11" i="5" s="1"/>
  <c r="CL43" i="5"/>
  <c r="CK43" i="5"/>
  <c r="CL37" i="5"/>
  <c r="CK37" i="5"/>
  <c r="CL25" i="5"/>
  <c r="CK25" i="5"/>
  <c r="CL14" i="5"/>
  <c r="CL11" i="5" s="1"/>
  <c r="CK14" i="5"/>
  <c r="CK11" i="5" s="1"/>
  <c r="CE34" i="5"/>
  <c r="BS27" i="1"/>
  <c r="CE4" i="5" s="1"/>
  <c r="CD34" i="5"/>
  <c r="BR27" i="1"/>
  <c r="CD4" i="5" s="1"/>
  <c r="CC34" i="5"/>
  <c r="BQ27" i="1"/>
  <c r="CC4" i="5" s="1"/>
  <c r="CB34" i="5"/>
  <c r="BP27" i="1"/>
  <c r="CB4" i="5" s="1"/>
  <c r="CA34" i="5"/>
  <c r="BO27" i="1"/>
  <c r="CA4" i="5" s="1"/>
  <c r="BZ34" i="5"/>
  <c r="BN27" i="1"/>
  <c r="BZ4" i="5" s="1"/>
  <c r="BY34" i="5"/>
  <c r="BM27" i="1"/>
  <c r="BY4" i="5" s="1"/>
  <c r="BX34" i="5"/>
  <c r="BL27" i="1"/>
  <c r="BX4" i="5" s="1"/>
  <c r="BW34" i="5"/>
  <c r="BK27" i="1"/>
  <c r="BW4" i="5" s="1"/>
  <c r="BV34" i="5"/>
  <c r="BJ27" i="1"/>
  <c r="BV4" i="5" s="1"/>
  <c r="BU34" i="5"/>
  <c r="BI27" i="1"/>
  <c r="BU4" i="5" s="1"/>
  <c r="BT34" i="5"/>
  <c r="BH27" i="1"/>
  <c r="BT4" i="5" s="1"/>
  <c r="CE5" i="5"/>
  <c r="BS38" i="1"/>
  <c r="CD5" i="5"/>
  <c r="BR38" i="1"/>
  <c r="CC5" i="5"/>
  <c r="BQ38" i="1"/>
  <c r="CB5" i="5"/>
  <c r="BP38" i="1"/>
  <c r="CA5" i="5"/>
  <c r="BO38" i="1"/>
  <c r="BZ5" i="5"/>
  <c r="BN38" i="1"/>
  <c r="BY5" i="5"/>
  <c r="BM38" i="1"/>
  <c r="BX5" i="5"/>
  <c r="BL38" i="1"/>
  <c r="BW5" i="5"/>
  <c r="BK38" i="1"/>
  <c r="BV5" i="5"/>
  <c r="BJ38" i="1"/>
  <c r="BU5" i="5"/>
  <c r="BI38" i="1"/>
  <c r="BT5" i="5"/>
  <c r="BH38" i="1"/>
  <c r="BS49" i="1"/>
  <c r="BS51" i="1" s="1"/>
  <c r="BR49" i="1"/>
  <c r="BR51" i="1" s="1"/>
  <c r="BQ49" i="1"/>
  <c r="BQ51" i="1" s="1"/>
  <c r="BP49" i="1"/>
  <c r="BP51" i="1" s="1"/>
  <c r="BO49" i="1"/>
  <c r="BO51" i="1" s="1"/>
  <c r="BN49" i="1"/>
  <c r="BN51" i="1" s="1"/>
  <c r="BM49" i="1"/>
  <c r="BM51" i="1" s="1"/>
  <c r="BL49" i="1"/>
  <c r="BL51" i="1" s="1"/>
  <c r="BK49" i="1"/>
  <c r="BK51" i="1" s="1"/>
  <c r="BJ49" i="1"/>
  <c r="BJ51" i="1" s="1"/>
  <c r="BI49" i="1"/>
  <c r="BI51" i="1" s="1"/>
  <c r="BH49" i="1"/>
  <c r="BH51" i="1" s="1"/>
  <c r="BX27" i="1"/>
  <c r="DE47" i="8"/>
  <c r="DE52" i="8"/>
  <c r="DE53" i="8"/>
  <c r="DE14" i="8"/>
  <c r="BX38" i="1"/>
  <c r="BX49" i="1" s="1"/>
  <c r="CJ5" i="5"/>
  <c r="BY27" i="1"/>
  <c r="BY49" i="1"/>
  <c r="BY51" i="1" s="1"/>
  <c r="CJ43" i="5"/>
  <c r="CJ37" i="5"/>
  <c r="CJ25" i="5"/>
  <c r="CJ14" i="5"/>
  <c r="CJ11" i="5" s="1"/>
  <c r="CF43" i="5"/>
  <c r="CF37" i="5"/>
  <c r="CF25" i="5"/>
  <c r="CF14" i="5"/>
  <c r="CF11" i="5" s="1"/>
  <c r="CF12" i="5" s="1"/>
  <c r="CE43" i="5"/>
  <c r="CD43" i="5"/>
  <c r="CC43" i="5"/>
  <c r="CB43" i="5"/>
  <c r="CA43" i="5"/>
  <c r="BZ43" i="5"/>
  <c r="BY43" i="5"/>
  <c r="BX43" i="5"/>
  <c r="BW43" i="5"/>
  <c r="BV43" i="5"/>
  <c r="BU43" i="5"/>
  <c r="BT43" i="5"/>
  <c r="CE37" i="5"/>
  <c r="CD37" i="5"/>
  <c r="CC37" i="5"/>
  <c r="CB37" i="5"/>
  <c r="CA37" i="5"/>
  <c r="BZ37" i="5"/>
  <c r="BY37" i="5"/>
  <c r="BX37" i="5"/>
  <c r="BW37" i="5"/>
  <c r="BV37" i="5"/>
  <c r="BU37" i="5"/>
  <c r="BT37" i="5"/>
  <c r="CE25" i="5"/>
  <c r="CD25" i="5"/>
  <c r="CC25" i="5"/>
  <c r="CB25" i="5"/>
  <c r="CA25" i="5"/>
  <c r="BZ25" i="5"/>
  <c r="BY25" i="5"/>
  <c r="BX25" i="5"/>
  <c r="BW25" i="5"/>
  <c r="BV25" i="5"/>
  <c r="BU25" i="5"/>
  <c r="BT25" i="5"/>
  <c r="CE14" i="5"/>
  <c r="CE11" i="5" s="1"/>
  <c r="CE12" i="5" s="1"/>
  <c r="CD14" i="5"/>
  <c r="CD11" i="5" s="1"/>
  <c r="CD12" i="5" s="1"/>
  <c r="CC14" i="5"/>
  <c r="CC11" i="5" s="1"/>
  <c r="CC12" i="5" s="1"/>
  <c r="CB14" i="5"/>
  <c r="CB11" i="5" s="1"/>
  <c r="CB12" i="5" s="1"/>
  <c r="CA14" i="5"/>
  <c r="CA11" i="5" s="1"/>
  <c r="CA12" i="5" s="1"/>
  <c r="BZ14" i="5"/>
  <c r="BZ11" i="5" s="1"/>
  <c r="BZ12" i="5" s="1"/>
  <c r="BY14" i="5"/>
  <c r="BY11" i="5" s="1"/>
  <c r="BY12" i="5" s="1"/>
  <c r="BX14" i="5"/>
  <c r="BX11" i="5" s="1"/>
  <c r="BX12" i="5" s="1"/>
  <c r="BW14" i="5"/>
  <c r="BW11" i="5" s="1"/>
  <c r="BW12" i="5" s="1"/>
  <c r="BV14" i="5"/>
  <c r="BV11" i="5" s="1"/>
  <c r="BV12" i="5" s="1"/>
  <c r="BU14" i="5"/>
  <c r="BU11" i="5" s="1"/>
  <c r="BU12" i="5" s="1"/>
  <c r="BT14" i="5"/>
  <c r="BT11" i="5" s="1"/>
  <c r="BT12" i="5" s="1"/>
  <c r="DD47" i="8"/>
  <c r="DD52" i="8"/>
  <c r="DD53" i="8"/>
  <c r="DC47" i="8"/>
  <c r="DC52" i="8"/>
  <c r="DC53" i="8"/>
  <c r="DB47" i="8"/>
  <c r="DB52" i="8"/>
  <c r="DB53" i="8"/>
  <c r="BW27" i="1"/>
  <c r="BV27" i="1"/>
  <c r="BU27" i="1"/>
  <c r="DD14" i="8"/>
  <c r="DC14" i="8"/>
  <c r="DB14" i="8"/>
  <c r="BW38" i="1"/>
  <c r="BW49" i="1" s="1"/>
  <c r="CI5" i="5"/>
  <c r="BV38" i="1"/>
  <c r="BV49" i="1" s="1"/>
  <c r="CH5" i="5"/>
  <c r="BU38" i="1"/>
  <c r="BU49" i="1" s="1"/>
  <c r="CG5" i="5"/>
  <c r="CI43" i="5"/>
  <c r="CH43" i="5"/>
  <c r="CG43" i="5"/>
  <c r="CI37" i="5"/>
  <c r="CH37" i="5"/>
  <c r="CG37" i="5"/>
  <c r="CI25" i="5"/>
  <c r="CH25" i="5"/>
  <c r="CG25" i="5"/>
  <c r="CI14" i="5"/>
  <c r="CI11" i="5" s="1"/>
  <c r="CH14" i="5"/>
  <c r="CH11" i="5" s="1"/>
  <c r="CG14" i="5"/>
  <c r="CG11" i="5" s="1"/>
  <c r="CM12" i="5" l="1"/>
  <c r="CK12" i="5"/>
  <c r="DE6" i="8"/>
  <c r="DE8" i="8"/>
  <c r="DE19" i="8"/>
  <c r="DE20" i="8"/>
  <c r="BX51" i="1"/>
  <c r="DE55" i="8"/>
  <c r="DE56" i="8"/>
  <c r="CJ4" i="5"/>
  <c r="CJ12" i="5"/>
  <c r="DE10" i="8" s="1"/>
  <c r="CG12" i="5"/>
  <c r="DB6" i="8"/>
  <c r="DB8" i="8"/>
  <c r="DC6" i="8"/>
  <c r="DC8" i="8"/>
  <c r="DD6" i="8"/>
  <c r="DD8" i="8"/>
  <c r="DB19" i="8"/>
  <c r="DB20" i="8"/>
  <c r="DC19" i="8"/>
  <c r="DC20" i="8"/>
  <c r="DD19" i="8"/>
  <c r="DD20" i="8"/>
  <c r="BU51" i="1"/>
  <c r="DB55" i="8"/>
  <c r="CG4" i="5"/>
  <c r="BV51" i="1"/>
  <c r="DC55" i="8"/>
  <c r="DC56" i="8"/>
  <c r="CH4" i="5"/>
  <c r="BW51" i="1"/>
  <c r="DD55" i="8"/>
  <c r="DD56" i="8"/>
  <c r="CI4" i="5"/>
  <c r="CH12" i="5"/>
  <c r="DC10" i="8" s="1"/>
  <c r="CI12" i="5"/>
  <c r="DD10" i="8" s="1"/>
  <c r="BD3" i="3"/>
  <c r="BE3" i="3"/>
  <c r="BF3" i="3"/>
  <c r="BH3" i="3"/>
  <c r="BI3" i="3"/>
  <c r="BJ3" i="3"/>
  <c r="BK3" i="3"/>
  <c r="BL3" i="3"/>
  <c r="BM3" i="3"/>
  <c r="BN3" i="3"/>
  <c r="BO3" i="3"/>
  <c r="BP3" i="3"/>
  <c r="BQ3" i="3"/>
  <c r="BR3" i="3"/>
  <c r="BS3" i="3"/>
  <c r="BD8" i="3"/>
  <c r="BE8" i="3"/>
  <c r="BF8" i="3"/>
  <c r="BH8" i="3"/>
  <c r="BI8" i="3"/>
  <c r="BJ8" i="3"/>
  <c r="BK8" i="3"/>
  <c r="BL8" i="3"/>
  <c r="BM8" i="3"/>
  <c r="BN8" i="3"/>
  <c r="BO8" i="3"/>
  <c r="BP8" i="3"/>
  <c r="BQ8" i="3"/>
  <c r="BR8" i="3"/>
  <c r="BS8" i="3"/>
  <c r="BD19" i="3"/>
  <c r="BE19" i="3"/>
  <c r="BF19" i="3"/>
  <c r="BH19" i="3"/>
  <c r="BI19" i="3"/>
  <c r="BK19" i="3"/>
  <c r="BL19" i="3"/>
  <c r="BM19" i="3"/>
  <c r="BN19" i="3"/>
  <c r="BO19" i="3"/>
  <c r="BP19" i="3"/>
  <c r="BQ19" i="3"/>
  <c r="BS19" i="3"/>
  <c r="BS25" i="2"/>
  <c r="BS28" i="2"/>
  <c r="BS24" i="2"/>
  <c r="BS11" i="2"/>
  <c r="BS7" i="2" s="1"/>
  <c r="BS6" i="2"/>
  <c r="BS5" i="2"/>
  <c r="BS12" i="2"/>
  <c r="BS20" i="2"/>
  <c r="BS30" i="2"/>
  <c r="BT8" i="1"/>
  <c r="BT14" i="1"/>
  <c r="CF30" i="5" s="1"/>
  <c r="BT21" i="1"/>
  <c r="CF34" i="5" s="1"/>
  <c r="BT31" i="1"/>
  <c r="CF5" i="5" s="1"/>
  <c r="DE21" i="8" l="1"/>
  <c r="DE15" i="8"/>
  <c r="DE9" i="8"/>
  <c r="DE27" i="8"/>
  <c r="DE26" i="8"/>
  <c r="DE25" i="8"/>
  <c r="DE7" i="8"/>
  <c r="DE24" i="8"/>
  <c r="DD21" i="8"/>
  <c r="DD15" i="8"/>
  <c r="DD9" i="8"/>
  <c r="DD27" i="8"/>
  <c r="DD26" i="8"/>
  <c r="DD25" i="8"/>
  <c r="DD7" i="8"/>
  <c r="DD24" i="8"/>
  <c r="DC21" i="8"/>
  <c r="DC15" i="8"/>
  <c r="DC9" i="8"/>
  <c r="DC27" i="8"/>
  <c r="DC26" i="8"/>
  <c r="DC25" i="8"/>
  <c r="DC7" i="8"/>
  <c r="DC24" i="8"/>
  <c r="DB21" i="8"/>
  <c r="DB15" i="8"/>
  <c r="DB9" i="8"/>
  <c r="DB27" i="8"/>
  <c r="DB26" i="8"/>
  <c r="DB25" i="8"/>
  <c r="DB7" i="8"/>
  <c r="DB24" i="8"/>
  <c r="DB10" i="8"/>
  <c r="BT38" i="1"/>
  <c r="BT48" i="1"/>
  <c r="BS4" i="2"/>
  <c r="DA19" i="8"/>
  <c r="BR19" i="3"/>
  <c r="BJ19" i="3"/>
  <c r="BS23" i="2"/>
  <c r="BS3" i="2"/>
  <c r="BS19" i="2" s="1"/>
  <c r="BT49" i="1"/>
  <c r="BT4" i="1"/>
  <c r="BG41" i="1"/>
  <c r="BG44" i="1"/>
  <c r="BG15" i="1"/>
  <c r="BT8" i="3" s="1"/>
  <c r="BG7" i="1"/>
  <c r="BG5" i="1"/>
  <c r="BG6" i="1" s="1"/>
  <c r="BG4" i="1" s="1"/>
  <c r="BF9" i="2"/>
  <c r="BP6" i="5"/>
  <c r="BQ26" i="3" s="1"/>
  <c r="BQ6" i="5"/>
  <c r="BR26" i="3" s="1"/>
  <c r="BR6" i="5"/>
  <c r="BS26" i="3" s="1"/>
  <c r="BS6" i="5"/>
  <c r="BT26" i="3" s="1"/>
  <c r="BP7" i="5"/>
  <c r="BQ27" i="3" s="1"/>
  <c r="BQ7" i="5"/>
  <c r="BR27" i="3" s="1"/>
  <c r="BR7" i="5"/>
  <c r="BS27" i="3" s="1"/>
  <c r="BS7" i="5"/>
  <c r="BT27" i="3" s="1"/>
  <c r="BP8" i="5"/>
  <c r="BQ8" i="5"/>
  <c r="BR8" i="5"/>
  <c r="BS8" i="5"/>
  <c r="BP9" i="5"/>
  <c r="BQ9" i="5"/>
  <c r="BR9" i="5"/>
  <c r="BS9" i="5"/>
  <c r="BP15" i="5"/>
  <c r="BQ15" i="5"/>
  <c r="BR15" i="5"/>
  <c r="BS15" i="5"/>
  <c r="BP17" i="5"/>
  <c r="BQ17" i="5"/>
  <c r="BR17" i="5"/>
  <c r="BS17" i="5"/>
  <c r="BP18" i="5"/>
  <c r="BQ18" i="5"/>
  <c r="BR18" i="5"/>
  <c r="BS18" i="5"/>
  <c r="BP19" i="5"/>
  <c r="BQ19" i="5"/>
  <c r="BR19" i="5"/>
  <c r="BS19" i="5"/>
  <c r="BP20" i="5"/>
  <c r="BQ20" i="5"/>
  <c r="BR20" i="5"/>
  <c r="BS20" i="5"/>
  <c r="BP22" i="5"/>
  <c r="BP21" i="5" s="1"/>
  <c r="BQ22" i="5"/>
  <c r="BQ21" i="5" s="1"/>
  <c r="BR22" i="5"/>
  <c r="BR21" i="5" s="1"/>
  <c r="BS22" i="5"/>
  <c r="BS21" i="5" s="1"/>
  <c r="BP26" i="5"/>
  <c r="BQ26" i="5"/>
  <c r="BR26" i="5"/>
  <c r="BS26" i="5"/>
  <c r="BP27" i="5"/>
  <c r="BQ27" i="5"/>
  <c r="BR27" i="5"/>
  <c r="BS27" i="5"/>
  <c r="BP28" i="5"/>
  <c r="BQ28" i="5"/>
  <c r="BR28" i="5"/>
  <c r="BS28" i="5"/>
  <c r="BP31" i="5"/>
  <c r="BQ31" i="5"/>
  <c r="BR31" i="5"/>
  <c r="BS31" i="5"/>
  <c r="BP32" i="5"/>
  <c r="BQ32" i="5"/>
  <c r="BR32" i="5"/>
  <c r="BS32" i="5"/>
  <c r="BP35" i="5"/>
  <c r="BQ35" i="5"/>
  <c r="BR35" i="5"/>
  <c r="BS35" i="5"/>
  <c r="BP38" i="5"/>
  <c r="BQ38" i="5"/>
  <c r="BR38" i="5"/>
  <c r="BS38" i="5"/>
  <c r="BP40" i="5"/>
  <c r="BQ40" i="5"/>
  <c r="BR40" i="5"/>
  <c r="BS40" i="5"/>
  <c r="BP44" i="5"/>
  <c r="BQ33" i="3" s="1"/>
  <c r="BQ44" i="5"/>
  <c r="BR33" i="3" s="1"/>
  <c r="BR44" i="5"/>
  <c r="BS33" i="3" s="1"/>
  <c r="BS44" i="5"/>
  <c r="BT33" i="3" s="1"/>
  <c r="BP45" i="5"/>
  <c r="BQ34" i="3" s="1"/>
  <c r="BQ45" i="5"/>
  <c r="BR34" i="3" s="1"/>
  <c r="BR45" i="5"/>
  <c r="BS34" i="3" s="1"/>
  <c r="BS45" i="5"/>
  <c r="BT34" i="3" s="1"/>
  <c r="BP46" i="5"/>
  <c r="BQ46" i="5"/>
  <c r="BR35" i="3" s="1"/>
  <c r="BR46" i="5"/>
  <c r="BS46" i="5"/>
  <c r="BT35" i="3" s="1"/>
  <c r="BD48" i="1"/>
  <c r="BE48" i="1"/>
  <c r="BF48" i="1"/>
  <c r="BG48" i="1"/>
  <c r="BD31" i="1"/>
  <c r="BE31" i="1"/>
  <c r="BF31" i="1"/>
  <c r="BG31" i="1"/>
  <c r="BT18" i="3" s="1"/>
  <c r="BD21" i="1"/>
  <c r="BP34" i="5" s="1"/>
  <c r="BE21" i="1"/>
  <c r="BQ34" i="5" s="1"/>
  <c r="BF21" i="1"/>
  <c r="BR34" i="5" s="1"/>
  <c r="BG21" i="1"/>
  <c r="BS34" i="5" s="1"/>
  <c r="BD14" i="1"/>
  <c r="BP30" i="5" s="1"/>
  <c r="BE14" i="1"/>
  <c r="BQ30" i="5" s="1"/>
  <c r="BF14" i="1"/>
  <c r="BR30" i="5" s="1"/>
  <c r="BG14" i="1"/>
  <c r="BD8" i="1"/>
  <c r="BE8" i="1"/>
  <c r="BF8" i="1"/>
  <c r="BG8" i="1"/>
  <c r="BD4" i="1"/>
  <c r="BE4" i="1"/>
  <c r="BF4" i="1"/>
  <c r="BC30" i="2"/>
  <c r="BD30" i="2"/>
  <c r="BE30" i="2"/>
  <c r="BF30" i="2"/>
  <c r="BC23" i="2"/>
  <c r="BD23" i="2"/>
  <c r="BE23" i="2"/>
  <c r="BF23" i="2"/>
  <c r="BB23" i="2"/>
  <c r="BC20" i="2"/>
  <c r="BD20" i="2"/>
  <c r="BE20" i="2"/>
  <c r="BF20" i="2"/>
  <c r="BC12" i="2"/>
  <c r="BC39" i="2" s="1"/>
  <c r="BQ32" i="3" s="1"/>
  <c r="BD12" i="2"/>
  <c r="BD39" i="2" s="1"/>
  <c r="BR32" i="3" s="1"/>
  <c r="BE12" i="2"/>
  <c r="BE39" i="2" s="1"/>
  <c r="BS32" i="3" s="1"/>
  <c r="BF12" i="2"/>
  <c r="BF39" i="2" s="1"/>
  <c r="BT32" i="3" s="1"/>
  <c r="BC7" i="2"/>
  <c r="BP39" i="5" s="1"/>
  <c r="BD7" i="2"/>
  <c r="BQ39" i="5" s="1"/>
  <c r="BE7" i="2"/>
  <c r="BR39" i="5" s="1"/>
  <c r="BF7" i="2"/>
  <c r="BS39" i="5" s="1"/>
  <c r="BC4" i="2"/>
  <c r="BC3" i="2" s="1"/>
  <c r="BC19" i="2" s="1"/>
  <c r="BC29" i="2" s="1"/>
  <c r="BC33" i="2" s="1"/>
  <c r="BC35" i="2" s="1"/>
  <c r="BC37" i="2" s="1"/>
  <c r="BD4" i="2"/>
  <c r="BD3" i="2" s="1"/>
  <c r="BD19" i="2" s="1"/>
  <c r="BD29" i="2" s="1"/>
  <c r="BD33" i="2" s="1"/>
  <c r="BD35" i="2" s="1"/>
  <c r="BD37" i="2" s="1"/>
  <c r="BE4" i="2"/>
  <c r="BE3" i="2" s="1"/>
  <c r="BE19" i="2" s="1"/>
  <c r="BE29" i="2" s="1"/>
  <c r="BE33" i="2" s="1"/>
  <c r="BE35" i="2" s="1"/>
  <c r="BE37" i="2" s="1"/>
  <c r="BF4" i="2"/>
  <c r="BF3" i="2" s="1"/>
  <c r="BF19" i="2" s="1"/>
  <c r="BF29" i="2" s="1"/>
  <c r="BF33" i="2" s="1"/>
  <c r="BO6" i="5"/>
  <c r="BP26" i="3" s="1"/>
  <c r="BO7" i="5"/>
  <c r="BP27" i="3" s="1"/>
  <c r="BO8" i="5"/>
  <c r="BO9" i="5"/>
  <c r="BO15" i="5"/>
  <c r="BO17" i="5"/>
  <c r="BO18" i="5"/>
  <c r="BO19" i="5"/>
  <c r="BO20" i="5"/>
  <c r="BO22" i="5"/>
  <c r="BO21" i="5" s="1"/>
  <c r="BO26" i="5"/>
  <c r="BO27" i="5"/>
  <c r="BO28" i="5"/>
  <c r="BO31" i="5"/>
  <c r="BO32" i="5"/>
  <c r="BO35" i="5"/>
  <c r="BO38" i="5"/>
  <c r="BO40" i="5"/>
  <c r="BO44" i="5"/>
  <c r="BP33" i="3" s="1"/>
  <c r="BO45" i="5"/>
  <c r="BP34" i="3" s="1"/>
  <c r="BO46" i="5"/>
  <c r="BO47" i="5"/>
  <c r="BH6" i="5"/>
  <c r="BI6" i="5"/>
  <c r="BJ6" i="5"/>
  <c r="BK6" i="5"/>
  <c r="BL6" i="5"/>
  <c r="BM26" i="3" s="1"/>
  <c r="BM6" i="5"/>
  <c r="BN26" i="3" s="1"/>
  <c r="BN6" i="5"/>
  <c r="BO26" i="3" s="1"/>
  <c r="BH7" i="5"/>
  <c r="BI7" i="5"/>
  <c r="BJ7" i="5"/>
  <c r="BK7" i="5"/>
  <c r="BL7" i="5"/>
  <c r="BM27" i="3" s="1"/>
  <c r="BM7" i="5"/>
  <c r="BN27" i="3" s="1"/>
  <c r="BN7" i="5"/>
  <c r="BO27" i="3" s="1"/>
  <c r="BH8" i="5"/>
  <c r="BI8" i="5"/>
  <c r="BJ8" i="5"/>
  <c r="BK8" i="5"/>
  <c r="BL8" i="5"/>
  <c r="BM8" i="5"/>
  <c r="BN8" i="5"/>
  <c r="BH9" i="5"/>
  <c r="BI9" i="5"/>
  <c r="BJ9" i="5"/>
  <c r="BK9" i="5"/>
  <c r="BL9" i="5"/>
  <c r="BM9" i="5"/>
  <c r="BN9" i="5"/>
  <c r="BH15" i="5"/>
  <c r="BI15" i="5"/>
  <c r="BJ15" i="5"/>
  <c r="BK15" i="5"/>
  <c r="BL15" i="5"/>
  <c r="BM15" i="5"/>
  <c r="BN15" i="5"/>
  <c r="BH17" i="5"/>
  <c r="BI17" i="5"/>
  <c r="BJ17" i="5"/>
  <c r="BK17" i="5"/>
  <c r="BL17" i="5"/>
  <c r="BM17" i="5"/>
  <c r="BN17" i="5"/>
  <c r="BH18" i="5"/>
  <c r="BI18" i="5"/>
  <c r="BJ18" i="5"/>
  <c r="BK18" i="5"/>
  <c r="BL18" i="5"/>
  <c r="BM18" i="5"/>
  <c r="BN18" i="5"/>
  <c r="BH19" i="5"/>
  <c r="BI19" i="5"/>
  <c r="BJ19" i="5"/>
  <c r="BK19" i="5"/>
  <c r="BL19" i="5"/>
  <c r="BM19" i="5"/>
  <c r="BN19" i="5"/>
  <c r="BH20" i="5"/>
  <c r="BI20" i="5"/>
  <c r="BJ20" i="5"/>
  <c r="BK20" i="5"/>
  <c r="BL20" i="5"/>
  <c r="BM20" i="5"/>
  <c r="BN20" i="5"/>
  <c r="BH22" i="5"/>
  <c r="BH21" i="5" s="1"/>
  <c r="BI22" i="5"/>
  <c r="BI21" i="5" s="1"/>
  <c r="BJ22" i="5"/>
  <c r="BJ21" i="5" s="1"/>
  <c r="BK22" i="5"/>
  <c r="BK21" i="5" s="1"/>
  <c r="BL22" i="5"/>
  <c r="BL21" i="5" s="1"/>
  <c r="BM22" i="5"/>
  <c r="BM21" i="5" s="1"/>
  <c r="BN22" i="5"/>
  <c r="BN21" i="5" s="1"/>
  <c r="BH26" i="5"/>
  <c r="BI26" i="5"/>
  <c r="BJ26" i="5"/>
  <c r="BK26" i="5"/>
  <c r="BL26" i="5"/>
  <c r="BM26" i="5"/>
  <c r="BN26" i="5"/>
  <c r="BH27" i="5"/>
  <c r="BI27" i="5"/>
  <c r="BJ27" i="5"/>
  <c r="BK27" i="5"/>
  <c r="BL27" i="5"/>
  <c r="BM27" i="5"/>
  <c r="BN27" i="5"/>
  <c r="BH28" i="5"/>
  <c r="BI28" i="5"/>
  <c r="BJ28" i="5"/>
  <c r="BK28" i="5"/>
  <c r="BL28" i="5"/>
  <c r="BM28" i="5"/>
  <c r="BN28" i="5"/>
  <c r="BH31" i="5"/>
  <c r="BI31" i="5"/>
  <c r="BJ31" i="5"/>
  <c r="BK28" i="3" s="1"/>
  <c r="BK31" i="5"/>
  <c r="BL28" i="3" s="1"/>
  <c r="BL31" i="5"/>
  <c r="BM31" i="5"/>
  <c r="BN31" i="5"/>
  <c r="BO28" i="3" s="1"/>
  <c r="BH32" i="5"/>
  <c r="BI32" i="5"/>
  <c r="BJ32" i="5"/>
  <c r="BK32" i="5"/>
  <c r="BL32" i="5"/>
  <c r="BM32" i="5"/>
  <c r="BN32" i="5"/>
  <c r="BH35" i="5"/>
  <c r="BI35" i="5"/>
  <c r="BJ35" i="5"/>
  <c r="BK35" i="5"/>
  <c r="BL35" i="5"/>
  <c r="BM35" i="5"/>
  <c r="BN35" i="5"/>
  <c r="BH38" i="5"/>
  <c r="BI38" i="5"/>
  <c r="BJ38" i="5"/>
  <c r="BK38" i="5"/>
  <c r="BL38" i="5"/>
  <c r="BM38" i="5"/>
  <c r="BN38" i="5"/>
  <c r="BH40" i="5"/>
  <c r="BI40" i="5"/>
  <c r="BJ40" i="5"/>
  <c r="BK40" i="5"/>
  <c r="BL40" i="5"/>
  <c r="BM40" i="5"/>
  <c r="BN40" i="5"/>
  <c r="BN41" i="5"/>
  <c r="BH44" i="5"/>
  <c r="BI33" i="3" s="1"/>
  <c r="BI44" i="5"/>
  <c r="BJ33" i="3" s="1"/>
  <c r="BJ44" i="5"/>
  <c r="BK33" i="3" s="1"/>
  <c r="BK44" i="5"/>
  <c r="BL33" i="3" s="1"/>
  <c r="BL44" i="5"/>
  <c r="BM33" i="3" s="1"/>
  <c r="BM44" i="5"/>
  <c r="BN33" i="3" s="1"/>
  <c r="BN44" i="5"/>
  <c r="BO33" i="3" s="1"/>
  <c r="BH45" i="5"/>
  <c r="BI34" i="3" s="1"/>
  <c r="BI45" i="5"/>
  <c r="BJ34" i="3" s="1"/>
  <c r="BJ45" i="5"/>
  <c r="BK34" i="3" s="1"/>
  <c r="BK45" i="5"/>
  <c r="BL34" i="3" s="1"/>
  <c r="BL45" i="5"/>
  <c r="BM34" i="3" s="1"/>
  <c r="BM45" i="5"/>
  <c r="BN34" i="3" s="1"/>
  <c r="BN45" i="5"/>
  <c r="BO34" i="3" s="1"/>
  <c r="BH46" i="5"/>
  <c r="BI46" i="5"/>
  <c r="BJ35" i="3" s="1"/>
  <c r="BJ46" i="5"/>
  <c r="BK35" i="3" s="1"/>
  <c r="BK46" i="5"/>
  <c r="BL46" i="5"/>
  <c r="BM35" i="3" s="1"/>
  <c r="BM46" i="5"/>
  <c r="BN46" i="5"/>
  <c r="BG6" i="5"/>
  <c r="BG7" i="5"/>
  <c r="DA32" i="8" s="1"/>
  <c r="BG8" i="5"/>
  <c r="BG9" i="5"/>
  <c r="BG15" i="5"/>
  <c r="BG17" i="5"/>
  <c r="BG18" i="5"/>
  <c r="BG19" i="5"/>
  <c r="BG20" i="5"/>
  <c r="BG22" i="5"/>
  <c r="BG21" i="5" s="1"/>
  <c r="BG26" i="5"/>
  <c r="BG27" i="5"/>
  <c r="BG28" i="5"/>
  <c r="BG31" i="5"/>
  <c r="BG32" i="5"/>
  <c r="BG35" i="5"/>
  <c r="BG38" i="5"/>
  <c r="BG40" i="5"/>
  <c r="BG44" i="5"/>
  <c r="BH33" i="3" s="1"/>
  <c r="BG45" i="5"/>
  <c r="BG46" i="5"/>
  <c r="BC4" i="1"/>
  <c r="BC8" i="1"/>
  <c r="BC14" i="1"/>
  <c r="BO30" i="5" s="1"/>
  <c r="BC21" i="1"/>
  <c r="BO34" i="5" s="1"/>
  <c r="BC27" i="1"/>
  <c r="BC31" i="1"/>
  <c r="BC38" i="1"/>
  <c r="BC48" i="1"/>
  <c r="BB4" i="2"/>
  <c r="BB7" i="2"/>
  <c r="BO39" i="5" s="1"/>
  <c r="BB12" i="2"/>
  <c r="BB20" i="2"/>
  <c r="BB30" i="2"/>
  <c r="BB39" i="2"/>
  <c r="BP32" i="3" s="1"/>
  <c r="BA4" i="2"/>
  <c r="BA7" i="2"/>
  <c r="BN39" i="5" s="1"/>
  <c r="BA12" i="2"/>
  <c r="BA20" i="2"/>
  <c r="BA23" i="2"/>
  <c r="BA30" i="2"/>
  <c r="BA39" i="2"/>
  <c r="BO32" i="3" s="1"/>
  <c r="BB4" i="1"/>
  <c r="BB8" i="1"/>
  <c r="BB14" i="1"/>
  <c r="BN30" i="5" s="1"/>
  <c r="BB21" i="1"/>
  <c r="BB27" i="1"/>
  <c r="BB31" i="1"/>
  <c r="BB38" i="1"/>
  <c r="BB48" i="1"/>
  <c r="AZ4" i="2"/>
  <c r="AZ7" i="2"/>
  <c r="BM39" i="5" s="1"/>
  <c r="AZ12" i="2"/>
  <c r="AZ20" i="2"/>
  <c r="AZ23" i="2"/>
  <c r="AZ30" i="2"/>
  <c r="AZ39" i="2"/>
  <c r="BN32" i="3" s="1"/>
  <c r="AY4" i="2"/>
  <c r="AY7" i="2"/>
  <c r="BL39" i="5" s="1"/>
  <c r="AY12" i="2"/>
  <c r="AY20" i="2"/>
  <c r="AY23" i="2"/>
  <c r="AY30" i="2"/>
  <c r="AY39" i="2"/>
  <c r="BM32" i="3" s="1"/>
  <c r="BA4" i="1"/>
  <c r="BA8" i="1"/>
  <c r="BA14" i="1"/>
  <c r="BM30" i="5" s="1"/>
  <c r="BA21" i="1"/>
  <c r="BM34" i="5" s="1"/>
  <c r="BA31" i="1"/>
  <c r="BA48" i="1"/>
  <c r="AZ4" i="1"/>
  <c r="AZ8" i="1"/>
  <c r="AZ14" i="1"/>
  <c r="BL30" i="5" s="1"/>
  <c r="AZ21" i="1"/>
  <c r="AZ27" i="1" s="1"/>
  <c r="AZ31" i="1"/>
  <c r="AZ38" i="1"/>
  <c r="AZ48" i="1"/>
  <c r="AZ49" i="1" s="1"/>
  <c r="AZ51" i="1" s="1"/>
  <c r="AW4" i="2"/>
  <c r="AX4" i="2"/>
  <c r="AW7" i="2"/>
  <c r="BJ39" i="5" s="1"/>
  <c r="AX7" i="2"/>
  <c r="BK39" i="5" s="1"/>
  <c r="AW12" i="2"/>
  <c r="AX12" i="2"/>
  <c r="AW20" i="2"/>
  <c r="AX20" i="2"/>
  <c r="AW23" i="2"/>
  <c r="AX23" i="2"/>
  <c r="AX39" i="2"/>
  <c r="BL32" i="3" s="1"/>
  <c r="AW30" i="2"/>
  <c r="AX30" i="2"/>
  <c r="AX4" i="1"/>
  <c r="AY4" i="1"/>
  <c r="AX8" i="1"/>
  <c r="AY8" i="1"/>
  <c r="AX14" i="1"/>
  <c r="BJ30" i="5" s="1"/>
  <c r="DD34" i="8" s="1"/>
  <c r="AY14" i="1"/>
  <c r="BK30" i="5" s="1"/>
  <c r="DE34" i="8" s="1"/>
  <c r="AX21" i="1"/>
  <c r="BJ34" i="5" s="1"/>
  <c r="AY21" i="1"/>
  <c r="BK34" i="5" s="1"/>
  <c r="AX31" i="1"/>
  <c r="AX38" i="1"/>
  <c r="AY31" i="1"/>
  <c r="AX48" i="1"/>
  <c r="AY48" i="1"/>
  <c r="AC4" i="1"/>
  <c r="AD4" i="1"/>
  <c r="AE4" i="1"/>
  <c r="AF4" i="1"/>
  <c r="AG4" i="1"/>
  <c r="AC8" i="1"/>
  <c r="AD8" i="1"/>
  <c r="AE8" i="1"/>
  <c r="AF8" i="1"/>
  <c r="AG8" i="1"/>
  <c r="AC14" i="1"/>
  <c r="AD14" i="1"/>
  <c r="AE14" i="1"/>
  <c r="AF14" i="1"/>
  <c r="AG14" i="1"/>
  <c r="AC17" i="1"/>
  <c r="AD17" i="1"/>
  <c r="AE17" i="1"/>
  <c r="AF17" i="1"/>
  <c r="AG17" i="1"/>
  <c r="AC21" i="1"/>
  <c r="AD21" i="1"/>
  <c r="AE21" i="1"/>
  <c r="AF21" i="1"/>
  <c r="AF27" i="1"/>
  <c r="AG21" i="1"/>
  <c r="AC31" i="1"/>
  <c r="AC38" i="1"/>
  <c r="AD31" i="1"/>
  <c r="AE31" i="1"/>
  <c r="AE38" i="1" s="1"/>
  <c r="AF31" i="1"/>
  <c r="AF38" i="1"/>
  <c r="AG31" i="1"/>
  <c r="AG38" i="1" s="1"/>
  <c r="AD38" i="1"/>
  <c r="AC48" i="1"/>
  <c r="AD48" i="1"/>
  <c r="AE48" i="1"/>
  <c r="AF48" i="1"/>
  <c r="AG48" i="1"/>
  <c r="W4" i="1"/>
  <c r="X4" i="1"/>
  <c r="Y4" i="1"/>
  <c r="Z4" i="1"/>
  <c r="AA4" i="1"/>
  <c r="AB4" i="1"/>
  <c r="W8" i="1"/>
  <c r="X8" i="1"/>
  <c r="Y8" i="1"/>
  <c r="Z8" i="1"/>
  <c r="AA8" i="1"/>
  <c r="AB8" i="1"/>
  <c r="W14" i="1"/>
  <c r="X14" i="1"/>
  <c r="Y14" i="1"/>
  <c r="Z14" i="1"/>
  <c r="AA14" i="1"/>
  <c r="AB14" i="1"/>
  <c r="W17" i="1"/>
  <c r="X17" i="1"/>
  <c r="Y17" i="1"/>
  <c r="Z17" i="1"/>
  <c r="AA17" i="1"/>
  <c r="AB17" i="1"/>
  <c r="W21" i="1"/>
  <c r="X21" i="1"/>
  <c r="X27" i="1" s="1"/>
  <c r="Y21" i="1"/>
  <c r="Z21" i="1"/>
  <c r="AA21" i="1"/>
  <c r="AB21" i="1"/>
  <c r="W31" i="1"/>
  <c r="W38" i="1" s="1"/>
  <c r="X31" i="1"/>
  <c r="X38" i="1"/>
  <c r="Y31" i="1"/>
  <c r="Y38" i="1" s="1"/>
  <c r="Z31" i="1"/>
  <c r="Z38" i="1"/>
  <c r="AA31" i="1"/>
  <c r="AA38" i="1" s="1"/>
  <c r="AB31" i="1"/>
  <c r="AB38" i="1"/>
  <c r="W48" i="1"/>
  <c r="X48" i="1"/>
  <c r="Y48" i="1"/>
  <c r="Z48" i="1"/>
  <c r="AA48" i="1"/>
  <c r="AB48" i="1"/>
  <c r="AB49" i="1" s="1"/>
  <c r="V4" i="1"/>
  <c r="V8" i="1"/>
  <c r="V14" i="1"/>
  <c r="V17" i="1"/>
  <c r="V21" i="1"/>
  <c r="V31" i="1"/>
  <c r="V38" i="1"/>
  <c r="V48" i="1"/>
  <c r="AB4" i="2"/>
  <c r="AC4" i="2"/>
  <c r="AD4" i="2"/>
  <c r="AE4" i="2"/>
  <c r="AF4" i="2"/>
  <c r="AB7" i="2"/>
  <c r="AB3" i="2"/>
  <c r="AC7" i="2"/>
  <c r="AD7" i="2"/>
  <c r="AE7" i="2"/>
  <c r="AE3" i="2" s="1"/>
  <c r="AF7" i="2"/>
  <c r="AB12" i="2"/>
  <c r="AC12" i="2"/>
  <c r="AD12" i="2"/>
  <c r="AE12" i="2"/>
  <c r="AF12" i="2"/>
  <c r="AB20" i="2"/>
  <c r="AC20" i="2"/>
  <c r="AD20" i="2"/>
  <c r="AE20" i="2"/>
  <c r="AF20" i="2"/>
  <c r="AB23" i="2"/>
  <c r="AC23" i="2"/>
  <c r="AC39" i="2" s="1"/>
  <c r="AD23" i="2"/>
  <c r="AE23" i="2"/>
  <c r="AE39" i="2" s="1"/>
  <c r="AF23" i="2"/>
  <c r="AF39" i="2" s="1"/>
  <c r="AB30" i="2"/>
  <c r="AC30" i="2"/>
  <c r="AD30" i="2"/>
  <c r="AE30" i="2"/>
  <c r="AF30" i="2"/>
  <c r="V4" i="2"/>
  <c r="W4" i="2"/>
  <c r="X4" i="2"/>
  <c r="Y4" i="2"/>
  <c r="Z4" i="2"/>
  <c r="AA4" i="2"/>
  <c r="V7" i="2"/>
  <c r="V3" i="2"/>
  <c r="W7" i="2"/>
  <c r="X7" i="2"/>
  <c r="Y7" i="2"/>
  <c r="Y3" i="2"/>
  <c r="Z7" i="2"/>
  <c r="AA7" i="2"/>
  <c r="AA3" i="2" s="1"/>
  <c r="V12" i="2"/>
  <c r="V19" i="2" s="1"/>
  <c r="W12" i="2"/>
  <c r="X12" i="2"/>
  <c r="Y12" i="2"/>
  <c r="Z12" i="2"/>
  <c r="AA12" i="2"/>
  <c r="V20" i="2"/>
  <c r="W20" i="2"/>
  <c r="X20" i="2"/>
  <c r="Y20" i="2"/>
  <c r="Z20" i="2"/>
  <c r="AA20" i="2"/>
  <c r="V23" i="2"/>
  <c r="V39" i="2"/>
  <c r="W23" i="2"/>
  <c r="X23" i="2"/>
  <c r="Y23" i="2"/>
  <c r="Y39" i="2" s="1"/>
  <c r="Z23" i="2"/>
  <c r="Z39" i="2" s="1"/>
  <c r="AA23" i="2"/>
  <c r="V30" i="2"/>
  <c r="W30" i="2"/>
  <c r="X30" i="2"/>
  <c r="Y30" i="2"/>
  <c r="Z30" i="2"/>
  <c r="AA30" i="2"/>
  <c r="W39" i="2"/>
  <c r="U4" i="2"/>
  <c r="U7" i="2"/>
  <c r="U3" i="2" s="1"/>
  <c r="U12" i="2"/>
  <c r="U20" i="2"/>
  <c r="U23" i="2"/>
  <c r="U30" i="2"/>
  <c r="T13" i="2"/>
  <c r="T12" i="2"/>
  <c r="T11" i="2"/>
  <c r="S4" i="2"/>
  <c r="T4" i="2"/>
  <c r="S7" i="2"/>
  <c r="T7" i="2"/>
  <c r="T3" i="2"/>
  <c r="T19" i="2"/>
  <c r="S12" i="2"/>
  <c r="S20" i="2"/>
  <c r="T20" i="2"/>
  <c r="S23" i="2"/>
  <c r="T23" i="2"/>
  <c r="S30" i="2"/>
  <c r="T30" i="2"/>
  <c r="J4" i="2"/>
  <c r="K4" i="2"/>
  <c r="L4" i="2"/>
  <c r="M4" i="2"/>
  <c r="N4" i="2"/>
  <c r="O4" i="2"/>
  <c r="P4" i="2"/>
  <c r="Q4" i="2"/>
  <c r="R4" i="2"/>
  <c r="J7" i="2"/>
  <c r="K7" i="2"/>
  <c r="L7" i="2"/>
  <c r="M7" i="2"/>
  <c r="N7" i="2"/>
  <c r="N3" i="2" s="1"/>
  <c r="O7" i="2"/>
  <c r="P7" i="2"/>
  <c r="Q7" i="2"/>
  <c r="R7" i="2"/>
  <c r="J12" i="2"/>
  <c r="K12" i="2"/>
  <c r="L12" i="2"/>
  <c r="M12" i="2"/>
  <c r="N12" i="2"/>
  <c r="O12" i="2"/>
  <c r="P12" i="2"/>
  <c r="Q12" i="2"/>
  <c r="R12" i="2"/>
  <c r="J20" i="2"/>
  <c r="K20" i="2"/>
  <c r="L20" i="2"/>
  <c r="M20" i="2"/>
  <c r="N20" i="2"/>
  <c r="O20" i="2"/>
  <c r="P20" i="2"/>
  <c r="Q20" i="2"/>
  <c r="R20" i="2"/>
  <c r="J23" i="2"/>
  <c r="K23" i="2"/>
  <c r="K39" i="2"/>
  <c r="L23" i="2"/>
  <c r="L39" i="2"/>
  <c r="M23" i="2"/>
  <c r="N23" i="2"/>
  <c r="N39" i="2" s="1"/>
  <c r="O23" i="2"/>
  <c r="P23" i="2"/>
  <c r="Q23" i="2"/>
  <c r="R23" i="2"/>
  <c r="J30" i="2"/>
  <c r="K30" i="2"/>
  <c r="L30" i="2"/>
  <c r="M30" i="2"/>
  <c r="N30" i="2"/>
  <c r="O30" i="2"/>
  <c r="P30" i="2"/>
  <c r="Q30" i="2"/>
  <c r="R30" i="2"/>
  <c r="H13" i="2"/>
  <c r="H12" i="2"/>
  <c r="G13" i="2"/>
  <c r="G12" i="2"/>
  <c r="F13" i="2"/>
  <c r="F11" i="2"/>
  <c r="F7" i="2"/>
  <c r="E28" i="2"/>
  <c r="E25" i="2"/>
  <c r="E23" i="2"/>
  <c r="E18" i="2"/>
  <c r="E13" i="2"/>
  <c r="E12" i="2"/>
  <c r="D28" i="2"/>
  <c r="D25" i="2"/>
  <c r="D23" i="2"/>
  <c r="D16" i="2"/>
  <c r="D14" i="2"/>
  <c r="D13" i="2"/>
  <c r="D12" i="2" s="1"/>
  <c r="D39" i="2" s="1"/>
  <c r="C28" i="2"/>
  <c r="C27" i="2"/>
  <c r="C26" i="2"/>
  <c r="C25" i="2"/>
  <c r="C24" i="2"/>
  <c r="C23" i="2"/>
  <c r="C14" i="2"/>
  <c r="C13" i="2"/>
  <c r="C12" i="2"/>
  <c r="C39" i="2" s="1"/>
  <c r="C11" i="2"/>
  <c r="C5" i="2"/>
  <c r="B14" i="2"/>
  <c r="B13" i="2"/>
  <c r="B5" i="2"/>
  <c r="B4" i="2"/>
  <c r="G30" i="2"/>
  <c r="G23" i="2"/>
  <c r="G20" i="2"/>
  <c r="G7" i="2"/>
  <c r="G4" i="2"/>
  <c r="F30" i="2"/>
  <c r="F23" i="2"/>
  <c r="F20" i="2"/>
  <c r="F12" i="2"/>
  <c r="F4" i="2"/>
  <c r="F3" i="2"/>
  <c r="F19" i="2"/>
  <c r="F29" i="2"/>
  <c r="F33" i="2"/>
  <c r="F35" i="2"/>
  <c r="F37" i="2"/>
  <c r="E30" i="2"/>
  <c r="E20" i="2"/>
  <c r="E7" i="2"/>
  <c r="E4" i="2"/>
  <c r="D30" i="2"/>
  <c r="D20" i="2"/>
  <c r="D7" i="2"/>
  <c r="D4" i="2"/>
  <c r="D3" i="2"/>
  <c r="C30" i="2"/>
  <c r="C20" i="2"/>
  <c r="C7" i="2"/>
  <c r="C4" i="2"/>
  <c r="B30" i="2"/>
  <c r="B23" i="2"/>
  <c r="B20" i="2"/>
  <c r="B7" i="2"/>
  <c r="B3" i="2" s="1"/>
  <c r="H30" i="2"/>
  <c r="H23" i="2"/>
  <c r="H20" i="2"/>
  <c r="H7" i="2"/>
  <c r="H4" i="2"/>
  <c r="I30" i="2"/>
  <c r="I23" i="2"/>
  <c r="I20" i="2"/>
  <c r="I12" i="2"/>
  <c r="I39" i="2"/>
  <c r="I7" i="2"/>
  <c r="I4" i="2"/>
  <c r="I3" i="2"/>
  <c r="I19" i="2"/>
  <c r="I29" i="2"/>
  <c r="I33" i="2"/>
  <c r="I35" i="2"/>
  <c r="I37" i="2"/>
  <c r="AS23" i="2"/>
  <c r="AS16" i="2"/>
  <c r="AS5" i="2"/>
  <c r="AG15" i="2"/>
  <c r="AG13" i="2"/>
  <c r="AG5" i="2"/>
  <c r="AG4" i="2"/>
  <c r="U39" i="1"/>
  <c r="U48" i="1" s="1"/>
  <c r="U23" i="1"/>
  <c r="U21" i="1"/>
  <c r="S4" i="1"/>
  <c r="T4" i="1"/>
  <c r="U4" i="1"/>
  <c r="S8" i="1"/>
  <c r="T8" i="1"/>
  <c r="U8" i="1"/>
  <c r="S14" i="1"/>
  <c r="T14" i="1"/>
  <c r="U14" i="1"/>
  <c r="S17" i="1"/>
  <c r="T17" i="1"/>
  <c r="U17" i="1"/>
  <c r="U27" i="1" s="1"/>
  <c r="S21" i="1"/>
  <c r="T21" i="1"/>
  <c r="S31" i="1"/>
  <c r="S38" i="1"/>
  <c r="T31" i="1"/>
  <c r="T38" i="1"/>
  <c r="U31" i="1"/>
  <c r="U38" i="1"/>
  <c r="S48" i="1"/>
  <c r="S49" i="1" s="1"/>
  <c r="T48" i="1"/>
  <c r="T49" i="1" s="1"/>
  <c r="J4" i="1"/>
  <c r="K4" i="1"/>
  <c r="L4" i="1"/>
  <c r="M4" i="1"/>
  <c r="N4" i="1"/>
  <c r="O4" i="1"/>
  <c r="P4" i="1"/>
  <c r="Q4" i="1"/>
  <c r="R4" i="1"/>
  <c r="J8" i="1"/>
  <c r="K8" i="1"/>
  <c r="L8" i="1"/>
  <c r="M8" i="1"/>
  <c r="N8" i="1"/>
  <c r="O8" i="1"/>
  <c r="P8" i="1"/>
  <c r="Q8" i="1"/>
  <c r="R8" i="1"/>
  <c r="J14" i="1"/>
  <c r="K14" i="1"/>
  <c r="L14" i="1"/>
  <c r="M14" i="1"/>
  <c r="N14" i="1"/>
  <c r="O14" i="1"/>
  <c r="P14" i="1"/>
  <c r="Q14" i="1"/>
  <c r="R14" i="1"/>
  <c r="J17" i="1"/>
  <c r="K17" i="1"/>
  <c r="L17" i="1"/>
  <c r="M17" i="1"/>
  <c r="N17" i="1"/>
  <c r="O17" i="1"/>
  <c r="P17" i="1"/>
  <c r="Q17" i="1"/>
  <c r="R17" i="1"/>
  <c r="J21" i="1"/>
  <c r="K21" i="1"/>
  <c r="L21" i="1"/>
  <c r="M21" i="1"/>
  <c r="N21" i="1"/>
  <c r="O21" i="1"/>
  <c r="P21" i="1"/>
  <c r="Q21" i="1"/>
  <c r="Q27" i="1" s="1"/>
  <c r="R21" i="1"/>
  <c r="J31" i="1"/>
  <c r="J38" i="1"/>
  <c r="K31" i="1"/>
  <c r="K38" i="1"/>
  <c r="L31" i="1"/>
  <c r="L38" i="1"/>
  <c r="M31" i="1"/>
  <c r="M38" i="1"/>
  <c r="N31" i="1"/>
  <c r="N38" i="1"/>
  <c r="O31" i="1"/>
  <c r="O38" i="1"/>
  <c r="P31" i="1"/>
  <c r="P38" i="1"/>
  <c r="Q31" i="1"/>
  <c r="Q38" i="1"/>
  <c r="R31" i="1"/>
  <c r="R38" i="1"/>
  <c r="J48" i="1"/>
  <c r="K48" i="1"/>
  <c r="L48" i="1"/>
  <c r="M48" i="1"/>
  <c r="N48" i="1"/>
  <c r="N49" i="1" s="1"/>
  <c r="O48" i="1"/>
  <c r="O49" i="1" s="1"/>
  <c r="P48" i="1"/>
  <c r="P49" i="1"/>
  <c r="Q48" i="1"/>
  <c r="Q49" i="1" s="1"/>
  <c r="Q51" i="1" s="1"/>
  <c r="R48" i="1"/>
  <c r="H44" i="1"/>
  <c r="H42" i="1"/>
  <c r="H39" i="1"/>
  <c r="H23" i="1"/>
  <c r="H21" i="1" s="1"/>
  <c r="H15" i="1"/>
  <c r="H5" i="1"/>
  <c r="H4" i="1" s="1"/>
  <c r="G44" i="1"/>
  <c r="G39" i="1"/>
  <c r="G48" i="1"/>
  <c r="G23" i="1"/>
  <c r="G21" i="1"/>
  <c r="G13" i="1"/>
  <c r="G12" i="1"/>
  <c r="G6" i="1"/>
  <c r="G4" i="1"/>
  <c r="F39" i="1"/>
  <c r="F48" i="1"/>
  <c r="F36" i="1"/>
  <c r="F13" i="1"/>
  <c r="F8" i="1" s="1"/>
  <c r="E39" i="1"/>
  <c r="E48" i="1" s="1"/>
  <c r="E36" i="1"/>
  <c r="E28" i="1"/>
  <c r="E31" i="1"/>
  <c r="E38" i="1"/>
  <c r="E13" i="1"/>
  <c r="E8" i="1"/>
  <c r="E6" i="1"/>
  <c r="D39" i="1"/>
  <c r="D48" i="1" s="1"/>
  <c r="D36" i="1"/>
  <c r="D33" i="1"/>
  <c r="D28" i="1"/>
  <c r="D31" i="1" s="1"/>
  <c r="D38" i="1" s="1"/>
  <c r="D13" i="1"/>
  <c r="D8" i="1"/>
  <c r="C44" i="1"/>
  <c r="C42" i="1"/>
  <c r="C39" i="1"/>
  <c r="C36" i="1"/>
  <c r="C33" i="1"/>
  <c r="C13" i="1"/>
  <c r="C8" i="1" s="1"/>
  <c r="B28" i="1"/>
  <c r="B31" i="1" s="1"/>
  <c r="B38" i="1" s="1"/>
  <c r="B13" i="1"/>
  <c r="B8" i="1"/>
  <c r="D21" i="1"/>
  <c r="D17" i="1"/>
  <c r="D14" i="1"/>
  <c r="D4" i="1"/>
  <c r="C31" i="1"/>
  <c r="C21" i="1"/>
  <c r="C17" i="1"/>
  <c r="C14" i="1"/>
  <c r="C4" i="1"/>
  <c r="B48" i="1"/>
  <c r="B21" i="1"/>
  <c r="B17" i="1"/>
  <c r="B14" i="1"/>
  <c r="B4" i="1"/>
  <c r="E21" i="1"/>
  <c r="E17" i="1"/>
  <c r="E14" i="1"/>
  <c r="E4" i="1"/>
  <c r="F31" i="1"/>
  <c r="F38" i="1" s="1"/>
  <c r="F21" i="1"/>
  <c r="F17" i="1"/>
  <c r="F14" i="1"/>
  <c r="F4" i="1"/>
  <c r="G31" i="1"/>
  <c r="G38" i="1" s="1"/>
  <c r="G17" i="1"/>
  <c r="G14" i="1"/>
  <c r="H31" i="1"/>
  <c r="H38" i="1"/>
  <c r="H17" i="1"/>
  <c r="H14" i="1"/>
  <c r="H8" i="1"/>
  <c r="I48" i="1"/>
  <c r="I31" i="1"/>
  <c r="I38" i="1"/>
  <c r="I21" i="1"/>
  <c r="I17" i="1"/>
  <c r="I14" i="1"/>
  <c r="I8" i="1"/>
  <c r="I4" i="1"/>
  <c r="AT42" i="1"/>
  <c r="BF18" i="5"/>
  <c r="AT39" i="1"/>
  <c r="AT23" i="1"/>
  <c r="BF35" i="5" s="1"/>
  <c r="AT15" i="1"/>
  <c r="AT14" i="1"/>
  <c r="AT12" i="1"/>
  <c r="AT6" i="1"/>
  <c r="AT5" i="1"/>
  <c r="AH42" i="1"/>
  <c r="AH39" i="1"/>
  <c r="AH23" i="1"/>
  <c r="AH15" i="1"/>
  <c r="AH6" i="1"/>
  <c r="AH5" i="1"/>
  <c r="AU12" i="2"/>
  <c r="AV12" i="2"/>
  <c r="AS12" i="2"/>
  <c r="AT12" i="2"/>
  <c r="AT4" i="2"/>
  <c r="AU4" i="2"/>
  <c r="AV4" i="2"/>
  <c r="AT7" i="2"/>
  <c r="BG39" i="5" s="1"/>
  <c r="AT3" i="2"/>
  <c r="AT19" i="2"/>
  <c r="AU7" i="2"/>
  <c r="BH39" i="5" s="1"/>
  <c r="AV7" i="2"/>
  <c r="AT20" i="2"/>
  <c r="AU20" i="2"/>
  <c r="AV20" i="2"/>
  <c r="AT23" i="2"/>
  <c r="AU23" i="2"/>
  <c r="AV23" i="2"/>
  <c r="AT30" i="2"/>
  <c r="AU30" i="2"/>
  <c r="AV30" i="2"/>
  <c r="AU4" i="1"/>
  <c r="AV4" i="1"/>
  <c r="AW4" i="1"/>
  <c r="AU8" i="1"/>
  <c r="AV8" i="1"/>
  <c r="AW8" i="1"/>
  <c r="AU14" i="1"/>
  <c r="BG30" i="5" s="1"/>
  <c r="DA34" i="8" s="1"/>
  <c r="AV14" i="1"/>
  <c r="BH30" i="5" s="1"/>
  <c r="DB34" i="8" s="1"/>
  <c r="AW14" i="1"/>
  <c r="BI30" i="5" s="1"/>
  <c r="DC34" i="8" s="1"/>
  <c r="AU21" i="1"/>
  <c r="BG34" i="5" s="1"/>
  <c r="AV21" i="1"/>
  <c r="BH34" i="5" s="1"/>
  <c r="AW21" i="1"/>
  <c r="BI34" i="5" s="1"/>
  <c r="AU31" i="1"/>
  <c r="AU38" i="1"/>
  <c r="AV31" i="1"/>
  <c r="AW31" i="1"/>
  <c r="AW38" i="1"/>
  <c r="AU48" i="1"/>
  <c r="AV48" i="1"/>
  <c r="AW48" i="1"/>
  <c r="AW49" i="1" s="1"/>
  <c r="BC6" i="5"/>
  <c r="BD6" i="5"/>
  <c r="BE6" i="5"/>
  <c r="BF6" i="5"/>
  <c r="BG26" i="3" s="1"/>
  <c r="BC7" i="5"/>
  <c r="BD27" i="3" s="1"/>
  <c r="BD7" i="5"/>
  <c r="BE27" i="3" s="1"/>
  <c r="BE7" i="5"/>
  <c r="BF7" i="5"/>
  <c r="BG27" i="3" s="1"/>
  <c r="BC8" i="5"/>
  <c r="BD8" i="5"/>
  <c r="BE8" i="5"/>
  <c r="BF8" i="5"/>
  <c r="BC9" i="5"/>
  <c r="BD9" i="5"/>
  <c r="BE9" i="5"/>
  <c r="BC15" i="5"/>
  <c r="BD15" i="5"/>
  <c r="BE15" i="5"/>
  <c r="BC17" i="5"/>
  <c r="BD17" i="5"/>
  <c r="BE17" i="5"/>
  <c r="BF17" i="5"/>
  <c r="BC18" i="5"/>
  <c r="BD18" i="5"/>
  <c r="BE18" i="5"/>
  <c r="BC19" i="5"/>
  <c r="BD19" i="5"/>
  <c r="BE19" i="5"/>
  <c r="BF19" i="5"/>
  <c r="BC20" i="5"/>
  <c r="BD20" i="5"/>
  <c r="BE20" i="5"/>
  <c r="BF20" i="5"/>
  <c r="BC22" i="5"/>
  <c r="BC21" i="5" s="1"/>
  <c r="BD22" i="5"/>
  <c r="BD21" i="5" s="1"/>
  <c r="BD14" i="5" s="1"/>
  <c r="BD11" i="5" s="1"/>
  <c r="BE29" i="3" s="1"/>
  <c r="BE22" i="5"/>
  <c r="BE21" i="5" s="1"/>
  <c r="BF22" i="5"/>
  <c r="BF21" i="5" s="1"/>
  <c r="BC26" i="5"/>
  <c r="BD26" i="5"/>
  <c r="BE26" i="5"/>
  <c r="BF26" i="5"/>
  <c r="BC27" i="5"/>
  <c r="BD27" i="5"/>
  <c r="BE27" i="5"/>
  <c r="BC28" i="5"/>
  <c r="BD28" i="5"/>
  <c r="BE28" i="5"/>
  <c r="BF28" i="5"/>
  <c r="BC31" i="5"/>
  <c r="BD28" i="3" s="1"/>
  <c r="BD31" i="5"/>
  <c r="BE28" i="3" s="1"/>
  <c r="BE31" i="5"/>
  <c r="BF28" i="3" s="1"/>
  <c r="BC32" i="5"/>
  <c r="BD32" i="5"/>
  <c r="BE32" i="5"/>
  <c r="BF32" i="5"/>
  <c r="BC35" i="5"/>
  <c r="BD35" i="5"/>
  <c r="BE35" i="5"/>
  <c r="BC38" i="5"/>
  <c r="BD38" i="5"/>
  <c r="BE38" i="5"/>
  <c r="BF38" i="5"/>
  <c r="BC40" i="5"/>
  <c r="BD40" i="5"/>
  <c r="BE40" i="5"/>
  <c r="BF40" i="5"/>
  <c r="BC44" i="5"/>
  <c r="BD33" i="3" s="1"/>
  <c r="BD44" i="5"/>
  <c r="BE33" i="3" s="1"/>
  <c r="BE44" i="5"/>
  <c r="BF33" i="3" s="1"/>
  <c r="BF44" i="5"/>
  <c r="BG33" i="3" s="1"/>
  <c r="BC45" i="5"/>
  <c r="BD34" i="3" s="1"/>
  <c r="BD45" i="5"/>
  <c r="BE34" i="3" s="1"/>
  <c r="BE45" i="5"/>
  <c r="BF34" i="3" s="1"/>
  <c r="BF45" i="5"/>
  <c r="BG34" i="3" s="1"/>
  <c r="BC46" i="5"/>
  <c r="BD46" i="5"/>
  <c r="BE46" i="5"/>
  <c r="BF46" i="5"/>
  <c r="AT4" i="1"/>
  <c r="CM47" i="8"/>
  <c r="BF31" i="5"/>
  <c r="BG28" i="3" s="1"/>
  <c r="AP4" i="2"/>
  <c r="AQ4" i="2"/>
  <c r="AR4" i="2"/>
  <c r="AS4" i="2"/>
  <c r="AP7" i="2"/>
  <c r="BC39" i="5"/>
  <c r="AQ7" i="2"/>
  <c r="BD39" i="5"/>
  <c r="AR7" i="2"/>
  <c r="BE39" i="5"/>
  <c r="AS7" i="2"/>
  <c r="BF39" i="5"/>
  <c r="AP12" i="2"/>
  <c r="AQ12" i="2"/>
  <c r="AR12" i="2"/>
  <c r="AP20" i="2"/>
  <c r="AQ20" i="2"/>
  <c r="AR20" i="2"/>
  <c r="AS20" i="2"/>
  <c r="AP23" i="2"/>
  <c r="BC47" i="5"/>
  <c r="BC43" i="5"/>
  <c r="AQ23" i="2"/>
  <c r="BD47" i="5"/>
  <c r="AR23" i="2"/>
  <c r="BE47" i="5"/>
  <c r="AP30" i="2"/>
  <c r="AQ30" i="2"/>
  <c r="AR30" i="2"/>
  <c r="AS30" i="2"/>
  <c r="AQ4" i="1"/>
  <c r="AR4" i="1"/>
  <c r="AS4" i="1"/>
  <c r="CL47" i="8"/>
  <c r="AQ8" i="1"/>
  <c r="AR8" i="1"/>
  <c r="AS8" i="1"/>
  <c r="AQ14" i="1"/>
  <c r="BC30" i="5"/>
  <c r="AR14" i="1"/>
  <c r="BD30" i="5" s="1"/>
  <c r="AS14" i="1"/>
  <c r="BE30" i="5"/>
  <c r="AQ17" i="1"/>
  <c r="AR17" i="1"/>
  <c r="AS17" i="1"/>
  <c r="AT17" i="1"/>
  <c r="AQ21" i="1"/>
  <c r="AR21" i="1"/>
  <c r="BD34" i="5"/>
  <c r="AS21" i="1"/>
  <c r="BE34" i="5"/>
  <c r="AQ31" i="1"/>
  <c r="BC5" i="5"/>
  <c r="BD25" i="3" s="1"/>
  <c r="AR31" i="1"/>
  <c r="AS31" i="1"/>
  <c r="BE5" i="5"/>
  <c r="BF25" i="3" s="1"/>
  <c r="AT31" i="1"/>
  <c r="BF5" i="5"/>
  <c r="BG25" i="3" s="1"/>
  <c r="AQ48" i="1"/>
  <c r="AR48" i="1"/>
  <c r="AS48" i="1"/>
  <c r="CK63" i="8"/>
  <c r="D187" i="4"/>
  <c r="C187" i="4"/>
  <c r="D175" i="4"/>
  <c r="C175" i="4"/>
  <c r="D163" i="4"/>
  <c r="C163" i="4"/>
  <c r="D151" i="4"/>
  <c r="C151" i="4"/>
  <c r="D188" i="4"/>
  <c r="D189" i="4"/>
  <c r="F186" i="4"/>
  <c r="F185" i="4"/>
  <c r="F184" i="4"/>
  <c r="F183" i="4"/>
  <c r="F182" i="4"/>
  <c r="D138" i="4"/>
  <c r="C138" i="4"/>
  <c r="D126" i="4"/>
  <c r="C126" i="4"/>
  <c r="D176" i="4"/>
  <c r="D177" i="4"/>
  <c r="F174" i="4"/>
  <c r="F173" i="4"/>
  <c r="F172" i="4"/>
  <c r="F171" i="4"/>
  <c r="F170" i="4"/>
  <c r="D164" i="4"/>
  <c r="F162" i="4"/>
  <c r="F161" i="4"/>
  <c r="F160" i="4"/>
  <c r="F159" i="4"/>
  <c r="F158" i="4"/>
  <c r="D152" i="4"/>
  <c r="D153" i="4"/>
  <c r="F150" i="4"/>
  <c r="F149" i="4"/>
  <c r="F148" i="4"/>
  <c r="F147" i="4"/>
  <c r="F146" i="4"/>
  <c r="D139" i="4"/>
  <c r="D140" i="4"/>
  <c r="F137" i="4"/>
  <c r="F136" i="4"/>
  <c r="F135" i="4"/>
  <c r="F134" i="4"/>
  <c r="F133" i="4"/>
  <c r="D127" i="4"/>
  <c r="F125" i="4"/>
  <c r="F124" i="4"/>
  <c r="F123" i="4"/>
  <c r="F122" i="4"/>
  <c r="F121" i="4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T27" i="5"/>
  <c r="AU27" i="5"/>
  <c r="AV27" i="5"/>
  <c r="AW27" i="5"/>
  <c r="AX27" i="5"/>
  <c r="AY27" i="5"/>
  <c r="AZ27" i="5"/>
  <c r="BA27" i="5"/>
  <c r="BB27" i="5"/>
  <c r="F110" i="4"/>
  <c r="F111" i="4"/>
  <c r="F112" i="4"/>
  <c r="F113" i="4"/>
  <c r="F109" i="4"/>
  <c r="D115" i="4"/>
  <c r="D114" i="4"/>
  <c r="D116" i="4" s="1"/>
  <c r="I114" i="4"/>
  <c r="C114" i="4"/>
  <c r="AZ6" i="5"/>
  <c r="BA6" i="5"/>
  <c r="BB6" i="5"/>
  <c r="BC26" i="3"/>
  <c r="AZ7" i="5"/>
  <c r="BA7" i="5"/>
  <c r="BB27" i="3" s="1"/>
  <c r="BB7" i="5"/>
  <c r="AZ8" i="5"/>
  <c r="BA8" i="5"/>
  <c r="BB8" i="5"/>
  <c r="AZ9" i="5"/>
  <c r="BA9" i="5"/>
  <c r="BB9" i="5"/>
  <c r="AZ15" i="5"/>
  <c r="BA15" i="5"/>
  <c r="BB15" i="5"/>
  <c r="AZ17" i="5"/>
  <c r="BA17" i="5"/>
  <c r="BB17" i="5"/>
  <c r="AZ18" i="5"/>
  <c r="BA18" i="5"/>
  <c r="BB18" i="5"/>
  <c r="AZ19" i="5"/>
  <c r="BA19" i="5"/>
  <c r="BB19" i="5"/>
  <c r="AZ20" i="5"/>
  <c r="BA20" i="5"/>
  <c r="BB20" i="5"/>
  <c r="AZ22" i="5"/>
  <c r="AZ21" i="5" s="1"/>
  <c r="AZ14" i="5" s="1"/>
  <c r="AZ11" i="5" s="1"/>
  <c r="BA22" i="5"/>
  <c r="BA21" i="5"/>
  <c r="BB22" i="5"/>
  <c r="BB21" i="5" s="1"/>
  <c r="AZ26" i="5"/>
  <c r="BA26" i="5"/>
  <c r="BB26" i="5"/>
  <c r="AZ28" i="5"/>
  <c r="BA28" i="5"/>
  <c r="BB28" i="5"/>
  <c r="AZ31" i="5"/>
  <c r="BA31" i="5"/>
  <c r="BB28" i="3"/>
  <c r="BB31" i="5"/>
  <c r="BC28" i="3"/>
  <c r="AZ32" i="5"/>
  <c r="BA32" i="5"/>
  <c r="BB32" i="5"/>
  <c r="AZ35" i="5"/>
  <c r="BA35" i="5"/>
  <c r="BB35" i="5"/>
  <c r="AZ38" i="5"/>
  <c r="BA38" i="5"/>
  <c r="BB38" i="5"/>
  <c r="AZ40" i="5"/>
  <c r="BA40" i="5"/>
  <c r="BB40" i="5"/>
  <c r="AZ44" i="5"/>
  <c r="AZ43" i="5"/>
  <c r="BA44" i="5"/>
  <c r="BB33" i="3"/>
  <c r="BB44" i="5"/>
  <c r="BC33" i="3" s="1"/>
  <c r="AZ45" i="5"/>
  <c r="BA34" i="3"/>
  <c r="BA45" i="5"/>
  <c r="BB34" i="3"/>
  <c r="BB45" i="5"/>
  <c r="BC34" i="3"/>
  <c r="AZ46" i="5"/>
  <c r="BA46" i="5"/>
  <c r="BB46" i="5"/>
  <c r="AS3" i="3"/>
  <c r="AS4" i="3" s="1"/>
  <c r="AU3" i="3"/>
  <c r="AU19" i="3" s="1"/>
  <c r="AV3" i="3"/>
  <c r="AV19" i="3" s="1"/>
  <c r="AW3" i="3"/>
  <c r="AX3" i="3"/>
  <c r="AX19" i="3" s="1"/>
  <c r="AY3" i="3"/>
  <c r="AZ3" i="3"/>
  <c r="BA3" i="3"/>
  <c r="BA19" i="3"/>
  <c r="BB3" i="3"/>
  <c r="BB19" i="3" s="1"/>
  <c r="BC3" i="3"/>
  <c r="AS8" i="3"/>
  <c r="AU8" i="3"/>
  <c r="AV8" i="3"/>
  <c r="AW8" i="3"/>
  <c r="AX8" i="3"/>
  <c r="AY8" i="3"/>
  <c r="AZ8" i="3"/>
  <c r="BA8" i="3"/>
  <c r="BB8" i="3"/>
  <c r="BC8" i="3"/>
  <c r="AC3" i="3"/>
  <c r="AC4" i="3" s="1"/>
  <c r="AD3" i="3"/>
  <c r="AD19" i="3"/>
  <c r="AE3" i="3"/>
  <c r="AE19" i="3" s="1"/>
  <c r="AF3" i="3"/>
  <c r="AF5" i="3" s="1"/>
  <c r="AG3" i="3"/>
  <c r="AG19" i="3" s="1"/>
  <c r="AH3" i="3"/>
  <c r="AH6" i="3"/>
  <c r="AI3" i="3"/>
  <c r="AI19" i="3"/>
  <c r="AJ3" i="3"/>
  <c r="AJ4" i="3" s="1"/>
  <c r="AK3" i="3"/>
  <c r="AK19" i="3" s="1"/>
  <c r="AL3" i="3"/>
  <c r="AL5" i="3" s="1"/>
  <c r="AM3" i="3"/>
  <c r="AM6" i="3"/>
  <c r="AN3" i="3"/>
  <c r="AN19" i="3" s="1"/>
  <c r="AO3" i="3"/>
  <c r="AO19" i="3" s="1"/>
  <c r="AP3" i="3"/>
  <c r="AP19" i="3" s="1"/>
  <c r="AQ3" i="3"/>
  <c r="AQ19" i="3" s="1"/>
  <c r="AR3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N4" i="2"/>
  <c r="AN7" i="2"/>
  <c r="BA39" i="5"/>
  <c r="AN12" i="2"/>
  <c r="AN20" i="2"/>
  <c r="AN23" i="2"/>
  <c r="BA47" i="5"/>
  <c r="AN30" i="2"/>
  <c r="AO4" i="2"/>
  <c r="AO7" i="2"/>
  <c r="BB39" i="5"/>
  <c r="AO12" i="2"/>
  <c r="AO20" i="2"/>
  <c r="AO23" i="2"/>
  <c r="AO39" i="2" s="1"/>
  <c r="BC32" i="3" s="1"/>
  <c r="BB47" i="5"/>
  <c r="AO30" i="2"/>
  <c r="AK4" i="2"/>
  <c r="AL4" i="2"/>
  <c r="AM4" i="2"/>
  <c r="AK7" i="2"/>
  <c r="AW39" i="5"/>
  <c r="AL7" i="2"/>
  <c r="AX39" i="5"/>
  <c r="AM7" i="2"/>
  <c r="AY39" i="5"/>
  <c r="AZ39" i="5"/>
  <c r="AK12" i="2"/>
  <c r="AL12" i="2"/>
  <c r="AM12" i="2"/>
  <c r="AK20" i="2"/>
  <c r="AL20" i="2"/>
  <c r="AM20" i="2"/>
  <c r="AK23" i="2"/>
  <c r="AW47" i="5"/>
  <c r="AL23" i="2"/>
  <c r="AM23" i="2"/>
  <c r="AY47" i="5"/>
  <c r="AZ47" i="5"/>
  <c r="AK30" i="2"/>
  <c r="AL30" i="2"/>
  <c r="AM30" i="2"/>
  <c r="AO4" i="1"/>
  <c r="BB12" i="3" s="1"/>
  <c r="AO8" i="1"/>
  <c r="AO14" i="1"/>
  <c r="BA30" i="5"/>
  <c r="AO17" i="1"/>
  <c r="AO21" i="1"/>
  <c r="BA34" i="5"/>
  <c r="AO31" i="1"/>
  <c r="AO38" i="1" s="1"/>
  <c r="AO48" i="1"/>
  <c r="AP4" i="1"/>
  <c r="CI47" i="8"/>
  <c r="AP8" i="1"/>
  <c r="AP14" i="1"/>
  <c r="AP17" i="1"/>
  <c r="AP21" i="1"/>
  <c r="AP31" i="1"/>
  <c r="AP48" i="1"/>
  <c r="AL4" i="1"/>
  <c r="AM4" i="1"/>
  <c r="AY12" i="3"/>
  <c r="AN4" i="1"/>
  <c r="AZ12" i="3"/>
  <c r="CG47" i="8"/>
  <c r="AL8" i="1"/>
  <c r="AM8" i="1"/>
  <c r="AN8" i="1"/>
  <c r="AL14" i="1"/>
  <c r="AW30" i="5"/>
  <c r="AM14" i="1"/>
  <c r="AX30" i="5"/>
  <c r="AN14" i="1"/>
  <c r="BA38" i="3" s="1"/>
  <c r="AL17" i="1"/>
  <c r="AM17" i="1"/>
  <c r="AN17" i="1"/>
  <c r="AL21" i="1"/>
  <c r="AW34" i="5"/>
  <c r="AM21" i="1"/>
  <c r="AX34" i="5" s="1"/>
  <c r="AN21" i="1"/>
  <c r="AZ34" i="5"/>
  <c r="AL31" i="1"/>
  <c r="AX18" i="3"/>
  <c r="AM31" i="1"/>
  <c r="AY18" i="3"/>
  <c r="AN31" i="1"/>
  <c r="AN38" i="1" s="1"/>
  <c r="BA18" i="3"/>
  <c r="AL48" i="1"/>
  <c r="AM48" i="1"/>
  <c r="AN48" i="1"/>
  <c r="C6" i="10"/>
  <c r="D6" i="10"/>
  <c r="E6" i="10"/>
  <c r="F6" i="10"/>
  <c r="G6" i="10"/>
  <c r="C7" i="10"/>
  <c r="D7" i="10"/>
  <c r="E7" i="10"/>
  <c r="F7" i="10"/>
  <c r="G7" i="10"/>
  <c r="C8" i="10"/>
  <c r="D8" i="10"/>
  <c r="E8" i="10"/>
  <c r="F8" i="10"/>
  <c r="G8" i="10"/>
  <c r="C10" i="10"/>
  <c r="D10" i="10"/>
  <c r="E10" i="10"/>
  <c r="F10" i="10"/>
  <c r="G10" i="10"/>
  <c r="C11" i="10"/>
  <c r="D11" i="10"/>
  <c r="E11" i="10"/>
  <c r="F11" i="10"/>
  <c r="G11" i="10"/>
  <c r="C12" i="10"/>
  <c r="D12" i="10"/>
  <c r="E12" i="10"/>
  <c r="F12" i="10"/>
  <c r="G12" i="10"/>
  <c r="C13" i="10"/>
  <c r="D13" i="10"/>
  <c r="E13" i="10"/>
  <c r="F13" i="10"/>
  <c r="G13" i="10"/>
  <c r="C15" i="10"/>
  <c r="D15" i="10"/>
  <c r="E15" i="10"/>
  <c r="F15" i="10"/>
  <c r="G15" i="10"/>
  <c r="C16" i="10"/>
  <c r="D16" i="10"/>
  <c r="E16" i="10"/>
  <c r="F16" i="10"/>
  <c r="G16" i="10"/>
  <c r="C17" i="10"/>
  <c r="D17" i="10"/>
  <c r="E17" i="10"/>
  <c r="F17" i="10"/>
  <c r="G17" i="10"/>
  <c r="C18" i="10"/>
  <c r="D18" i="10"/>
  <c r="E18" i="10"/>
  <c r="F18" i="10"/>
  <c r="G18" i="10"/>
  <c r="C20" i="10"/>
  <c r="D20" i="10"/>
  <c r="E20" i="10"/>
  <c r="F20" i="10"/>
  <c r="G20" i="10"/>
  <c r="C21" i="10"/>
  <c r="D21" i="10"/>
  <c r="E21" i="10"/>
  <c r="F21" i="10"/>
  <c r="G21" i="10"/>
  <c r="C22" i="10"/>
  <c r="D22" i="10"/>
  <c r="E22" i="10"/>
  <c r="F22" i="10"/>
  <c r="G22" i="10"/>
  <c r="C24" i="10"/>
  <c r="D24" i="10"/>
  <c r="E24" i="10"/>
  <c r="F24" i="10"/>
  <c r="G24" i="10"/>
  <c r="C25" i="10"/>
  <c r="D25" i="10"/>
  <c r="E25" i="10"/>
  <c r="F25" i="10"/>
  <c r="G25" i="10"/>
  <c r="C26" i="10"/>
  <c r="D26" i="10"/>
  <c r="E26" i="10"/>
  <c r="F26" i="10"/>
  <c r="G26" i="10"/>
  <c r="C27" i="10"/>
  <c r="D27" i="10"/>
  <c r="E27" i="10"/>
  <c r="F27" i="10"/>
  <c r="G27" i="10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BG16" i="8"/>
  <c r="BJ16" i="8"/>
  <c r="BK16" i="8"/>
  <c r="BL16" i="8"/>
  <c r="BN16" i="8"/>
  <c r="BO16" i="8"/>
  <c r="BQ16" i="8"/>
  <c r="BR16" i="8"/>
  <c r="BT16" i="8"/>
  <c r="BU16" i="8"/>
  <c r="BW16" i="8"/>
  <c r="BX16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E37" i="8"/>
  <c r="F37" i="8"/>
  <c r="G37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B8" i="6"/>
  <c r="C8" i="6"/>
  <c r="B12" i="6"/>
  <c r="C12" i="6"/>
  <c r="B17" i="6"/>
  <c r="C17" i="6"/>
  <c r="B19" i="6"/>
  <c r="C19" i="6"/>
  <c r="B28" i="6"/>
  <c r="C28" i="6"/>
  <c r="E28" i="6"/>
  <c r="B36" i="6"/>
  <c r="C36" i="6"/>
  <c r="B37" i="6"/>
  <c r="C37" i="6"/>
  <c r="B39" i="6"/>
  <c r="C39" i="6"/>
  <c r="C6" i="5"/>
  <c r="D6" i="5"/>
  <c r="E6" i="5"/>
  <c r="AL33" i="8" s="1"/>
  <c r="F6" i="5"/>
  <c r="G6" i="5"/>
  <c r="AN59" i="8" s="1"/>
  <c r="H6" i="5"/>
  <c r="I6" i="5"/>
  <c r="AP59" i="8" s="1"/>
  <c r="J6" i="5"/>
  <c r="K6" i="5"/>
  <c r="L6" i="5"/>
  <c r="M6" i="5"/>
  <c r="N6" i="5"/>
  <c r="AU59" i="8" s="1"/>
  <c r="O6" i="5"/>
  <c r="P6" i="5"/>
  <c r="Q6" i="5"/>
  <c r="R6" i="5"/>
  <c r="S6" i="5"/>
  <c r="T6" i="5"/>
  <c r="U26" i="3" s="1"/>
  <c r="U6" i="5"/>
  <c r="V26" i="3" s="1"/>
  <c r="V6" i="5"/>
  <c r="W26" i="3" s="1"/>
  <c r="W6" i="5"/>
  <c r="X6" i="5"/>
  <c r="Y6" i="5"/>
  <c r="Z26" i="3"/>
  <c r="Z6" i="5"/>
  <c r="AA6" i="5"/>
  <c r="AB6" i="5"/>
  <c r="AC26" i="3" s="1"/>
  <c r="AC6" i="5"/>
  <c r="AD6" i="5"/>
  <c r="AE6" i="5"/>
  <c r="AF26" i="3" s="1"/>
  <c r="AF6" i="5"/>
  <c r="AG26" i="3" s="1"/>
  <c r="AG6" i="5"/>
  <c r="AH6" i="5"/>
  <c r="AI6" i="5"/>
  <c r="AJ26" i="3" s="1"/>
  <c r="AJ6" i="5"/>
  <c r="AK26" i="3" s="1"/>
  <c r="AK6" i="5"/>
  <c r="AL6" i="5"/>
  <c r="AM26" i="3" s="1"/>
  <c r="AM6" i="5"/>
  <c r="AN6" i="5"/>
  <c r="AO26" i="3" s="1"/>
  <c r="AO6" i="5"/>
  <c r="AP6" i="5"/>
  <c r="AQ6" i="5"/>
  <c r="AR6" i="5"/>
  <c r="AS6" i="5"/>
  <c r="AT6" i="5"/>
  <c r="AU26" i="3" s="1"/>
  <c r="AU6" i="5"/>
  <c r="AV26" i="3" s="1"/>
  <c r="AV6" i="5"/>
  <c r="AW26" i="3" s="1"/>
  <c r="AW6" i="5"/>
  <c r="CQ33" i="8" s="1"/>
  <c r="AX6" i="5"/>
  <c r="AY6" i="5"/>
  <c r="C7" i="5"/>
  <c r="D7" i="5"/>
  <c r="E7" i="5"/>
  <c r="AL32" i="8" s="1"/>
  <c r="F7" i="5"/>
  <c r="G7" i="5"/>
  <c r="AN32" i="8"/>
  <c r="H7" i="5"/>
  <c r="I7" i="5"/>
  <c r="AP32" i="8"/>
  <c r="J7" i="5"/>
  <c r="AQ32" i="8" s="1"/>
  <c r="K7" i="5"/>
  <c r="AR32" i="8" s="1"/>
  <c r="L7" i="5"/>
  <c r="AS32" i="8"/>
  <c r="M7" i="5"/>
  <c r="AT32" i="8" s="1"/>
  <c r="N7" i="5"/>
  <c r="O7" i="5"/>
  <c r="AV32" i="8" s="1"/>
  <c r="P7" i="5"/>
  <c r="Q7" i="5"/>
  <c r="R7" i="5"/>
  <c r="S7" i="5"/>
  <c r="T7" i="5"/>
  <c r="U7" i="5"/>
  <c r="V27" i="3"/>
  <c r="V7" i="5"/>
  <c r="W7" i="5"/>
  <c r="X7" i="5"/>
  <c r="Y7" i="5"/>
  <c r="Z27" i="3"/>
  <c r="Z7" i="5"/>
  <c r="AA27" i="3" s="1"/>
  <c r="AA7" i="5"/>
  <c r="AB27" i="3"/>
  <c r="AB7" i="5"/>
  <c r="AC27" i="3" s="1"/>
  <c r="AC7" i="5"/>
  <c r="AD7" i="5"/>
  <c r="AE27" i="3" s="1"/>
  <c r="AE7" i="5"/>
  <c r="AF7" i="5"/>
  <c r="AG7" i="5"/>
  <c r="AH27" i="3"/>
  <c r="AH7" i="5"/>
  <c r="AI7" i="5"/>
  <c r="AJ7" i="5"/>
  <c r="AK27" i="3" s="1"/>
  <c r="AK7" i="5"/>
  <c r="AL27" i="3"/>
  <c r="AL7" i="5"/>
  <c r="AM7" i="5"/>
  <c r="AN27" i="3" s="1"/>
  <c r="AN7" i="5"/>
  <c r="AO27" i="3" s="1"/>
  <c r="AO7" i="5"/>
  <c r="AP7" i="5"/>
  <c r="AQ27" i="3" s="1"/>
  <c r="AQ7" i="5"/>
  <c r="AR27" i="3"/>
  <c r="AR7" i="5"/>
  <c r="AS27" i="3" s="1"/>
  <c r="AS7" i="5"/>
  <c r="AT7" i="5"/>
  <c r="AU27" i="3" s="1"/>
  <c r="AU7" i="5"/>
  <c r="AV27" i="3" s="1"/>
  <c r="AV7" i="5"/>
  <c r="AW27" i="3"/>
  <c r="AW7" i="5"/>
  <c r="CD60" i="8" s="1"/>
  <c r="AX7" i="5"/>
  <c r="AY27" i="3" s="1"/>
  <c r="AY7" i="5"/>
  <c r="AZ27" i="3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D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T9" i="5"/>
  <c r="AU9" i="5"/>
  <c r="AV9" i="5"/>
  <c r="AW9" i="5"/>
  <c r="AX9" i="5"/>
  <c r="AY9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C18" i="5"/>
  <c r="D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T18" i="5"/>
  <c r="AU18" i="5"/>
  <c r="AV18" i="5"/>
  <c r="AW18" i="5"/>
  <c r="AX18" i="5"/>
  <c r="AY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C22" i="5"/>
  <c r="C21" i="5"/>
  <c r="D22" i="5"/>
  <c r="D21" i="5" s="1"/>
  <c r="D14" i="5" s="1"/>
  <c r="E22" i="5"/>
  <c r="E21" i="5"/>
  <c r="F22" i="5"/>
  <c r="F21" i="5" s="1"/>
  <c r="G22" i="5"/>
  <c r="G21" i="5" s="1"/>
  <c r="H22" i="5"/>
  <c r="H21" i="5" s="1"/>
  <c r="I22" i="5"/>
  <c r="I21" i="5" s="1"/>
  <c r="I14" i="5" s="1"/>
  <c r="J22" i="5"/>
  <c r="J21" i="5"/>
  <c r="K22" i="5"/>
  <c r="K21" i="5"/>
  <c r="L22" i="5"/>
  <c r="L21" i="5" s="1"/>
  <c r="M22" i="5"/>
  <c r="M21" i="5"/>
  <c r="N22" i="5"/>
  <c r="N21" i="5"/>
  <c r="O22" i="5"/>
  <c r="O21" i="5" s="1"/>
  <c r="P22" i="5"/>
  <c r="P21" i="5" s="1"/>
  <c r="Q22" i="5"/>
  <c r="Q21" i="5"/>
  <c r="R22" i="5"/>
  <c r="R21" i="5" s="1"/>
  <c r="R14" i="5" s="1"/>
  <c r="S22" i="5"/>
  <c r="S21" i="5"/>
  <c r="T22" i="5"/>
  <c r="T21" i="5" s="1"/>
  <c r="U22" i="5"/>
  <c r="U21" i="5" s="1"/>
  <c r="V22" i="5"/>
  <c r="V21" i="5"/>
  <c r="V14" i="5" s="1"/>
  <c r="V11" i="5" s="1"/>
  <c r="W22" i="5"/>
  <c r="W21" i="5"/>
  <c r="X22" i="5"/>
  <c r="X21" i="5" s="1"/>
  <c r="Y22" i="5"/>
  <c r="Y21" i="5"/>
  <c r="Z22" i="5"/>
  <c r="Z21" i="5"/>
  <c r="AA22" i="5"/>
  <c r="AA21" i="5" s="1"/>
  <c r="AA14" i="5" s="1"/>
  <c r="AA11" i="5" s="1"/>
  <c r="AB22" i="5"/>
  <c r="AB21" i="5" s="1"/>
  <c r="AC22" i="5"/>
  <c r="AC21" i="5" s="1"/>
  <c r="AD22" i="5"/>
  <c r="AD21" i="5" s="1"/>
  <c r="AE22" i="5"/>
  <c r="AE21" i="5"/>
  <c r="AF22" i="5"/>
  <c r="AF21" i="5" s="1"/>
  <c r="AG22" i="5"/>
  <c r="AG21" i="5"/>
  <c r="AH22" i="5"/>
  <c r="AH21" i="5"/>
  <c r="AI22" i="5"/>
  <c r="AI21" i="5"/>
  <c r="AJ22" i="5"/>
  <c r="AJ21" i="5" s="1"/>
  <c r="AJ14" i="5" s="1"/>
  <c r="AJ11" i="5" s="1"/>
  <c r="AK22" i="5"/>
  <c r="AK21" i="5"/>
  <c r="AL22" i="5"/>
  <c r="AL21" i="5" s="1"/>
  <c r="AM22" i="5"/>
  <c r="AM21" i="5" s="1"/>
  <c r="AN22" i="5"/>
  <c r="AN21" i="5" s="1"/>
  <c r="AO22" i="5"/>
  <c r="AO21" i="5" s="1"/>
  <c r="AO14" i="5" s="1"/>
  <c r="AO11" i="5" s="1"/>
  <c r="AO12" i="5" s="1"/>
  <c r="AP22" i="5"/>
  <c r="AP21" i="5"/>
  <c r="AQ22" i="5"/>
  <c r="AQ21" i="5"/>
  <c r="AR22" i="5"/>
  <c r="AR21" i="5" s="1"/>
  <c r="AS22" i="5"/>
  <c r="AS21" i="5"/>
  <c r="AT22" i="5"/>
  <c r="AT21" i="5"/>
  <c r="AU22" i="5"/>
  <c r="AU21" i="5" s="1"/>
  <c r="AV22" i="5"/>
  <c r="AV21" i="5" s="1"/>
  <c r="AW22" i="5"/>
  <c r="AW21" i="5"/>
  <c r="AX22" i="5"/>
  <c r="AX21" i="5" s="1"/>
  <c r="AX14" i="5" s="1"/>
  <c r="AX11" i="5" s="1"/>
  <c r="AY22" i="5"/>
  <c r="AY21" i="5"/>
  <c r="C26" i="5"/>
  <c r="D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T26" i="5"/>
  <c r="AU26" i="5"/>
  <c r="AV26" i="5"/>
  <c r="AW26" i="5"/>
  <c r="AX26" i="5"/>
  <c r="AY26" i="5"/>
  <c r="C27" i="5"/>
  <c r="D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Y25" i="5" s="1"/>
  <c r="Z28" i="5"/>
  <c r="AA28" i="5"/>
  <c r="AB28" i="5"/>
  <c r="AC28" i="5"/>
  <c r="AD28" i="5"/>
  <c r="AE28" i="5"/>
  <c r="AG28" i="5"/>
  <c r="AH28" i="5"/>
  <c r="AI28" i="5"/>
  <c r="AJ28" i="5"/>
  <c r="AK28" i="5"/>
  <c r="AL28" i="5"/>
  <c r="AM28" i="5"/>
  <c r="AN28" i="5"/>
  <c r="AO28" i="5"/>
  <c r="AP28" i="5"/>
  <c r="AP25" i="5" s="1"/>
  <c r="AQ28" i="5"/>
  <c r="AR28" i="5"/>
  <c r="AT28" i="5"/>
  <c r="AU28" i="5"/>
  <c r="AV28" i="5"/>
  <c r="AW28" i="5"/>
  <c r="AX28" i="5"/>
  <c r="AY28" i="5"/>
  <c r="C31" i="5"/>
  <c r="D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28" i="3" s="1"/>
  <c r="S31" i="5"/>
  <c r="T28" i="3" s="1"/>
  <c r="T31" i="5"/>
  <c r="U28" i="3" s="1"/>
  <c r="U31" i="5"/>
  <c r="V28" i="3" s="1"/>
  <c r="V31" i="5"/>
  <c r="W28" i="3"/>
  <c r="W31" i="5"/>
  <c r="X31" i="5"/>
  <c r="Y31" i="5"/>
  <c r="Z28" i="3" s="1"/>
  <c r="Z31" i="5"/>
  <c r="AA28" i="3"/>
  <c r="AA31" i="5"/>
  <c r="AB28" i="3" s="1"/>
  <c r="AB31" i="5"/>
  <c r="AC31" i="5"/>
  <c r="AD28" i="3"/>
  <c r="AD31" i="5"/>
  <c r="AE28" i="3" s="1"/>
  <c r="AE31" i="5"/>
  <c r="AF28" i="3"/>
  <c r="AF31" i="5"/>
  <c r="AG31" i="5"/>
  <c r="AH28" i="3"/>
  <c r="AH31" i="5"/>
  <c r="AI28" i="3"/>
  <c r="AI31" i="5"/>
  <c r="AJ28" i="3" s="1"/>
  <c r="AJ31" i="5"/>
  <c r="AK28" i="3" s="1"/>
  <c r="AK31" i="5"/>
  <c r="AL28" i="3" s="1"/>
  <c r="AL31" i="5"/>
  <c r="AM28" i="3" s="1"/>
  <c r="AM31" i="5"/>
  <c r="AN31" i="5"/>
  <c r="AO31" i="5"/>
  <c r="AP31" i="5"/>
  <c r="AQ28" i="3" s="1"/>
  <c r="AQ31" i="5"/>
  <c r="AR31" i="5"/>
  <c r="AT31" i="5"/>
  <c r="AU28" i="3"/>
  <c r="AU31" i="5"/>
  <c r="AV28" i="3" s="1"/>
  <c r="AV31" i="5"/>
  <c r="AW31" i="5"/>
  <c r="AX28" i="3" s="1"/>
  <c r="AX31" i="5"/>
  <c r="AY31" i="5"/>
  <c r="AZ28" i="3" s="1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F37" i="11" s="1"/>
  <c r="AT35" i="5"/>
  <c r="AU35" i="5"/>
  <c r="AV35" i="5"/>
  <c r="AW35" i="5"/>
  <c r="AX35" i="5"/>
  <c r="AY35" i="5"/>
  <c r="C38" i="5"/>
  <c r="D38" i="5"/>
  <c r="E38" i="3"/>
  <c r="F38" i="5"/>
  <c r="G38" i="5"/>
  <c r="H38" i="3" s="1"/>
  <c r="H38" i="5"/>
  <c r="I38" i="3"/>
  <c r="I38" i="5"/>
  <c r="J38" i="3"/>
  <c r="J38" i="5"/>
  <c r="K38" i="3" s="1"/>
  <c r="K38" i="5"/>
  <c r="L38" i="3" s="1"/>
  <c r="L38" i="5"/>
  <c r="M38" i="3"/>
  <c r="M38" i="5"/>
  <c r="N38" i="3"/>
  <c r="N38" i="5"/>
  <c r="O38" i="3" s="1"/>
  <c r="O38" i="5"/>
  <c r="P38" i="3" s="1"/>
  <c r="P38" i="5"/>
  <c r="Q38" i="3"/>
  <c r="Q38" i="5"/>
  <c r="R38" i="3"/>
  <c r="R38" i="5"/>
  <c r="S38" i="5"/>
  <c r="T38" i="3" s="1"/>
  <c r="T38" i="5"/>
  <c r="U38" i="3"/>
  <c r="U38" i="5"/>
  <c r="V38" i="3"/>
  <c r="V38" i="5"/>
  <c r="W38" i="3" s="1"/>
  <c r="W38" i="5"/>
  <c r="X38" i="5"/>
  <c r="Y38" i="3"/>
  <c r="Y38" i="5"/>
  <c r="Z38" i="3" s="1"/>
  <c r="Z38" i="5"/>
  <c r="AA38" i="3"/>
  <c r="AA38" i="5"/>
  <c r="AB38" i="3"/>
  <c r="AB38" i="5"/>
  <c r="AC38" i="5"/>
  <c r="AD38" i="3"/>
  <c r="AD38" i="5"/>
  <c r="AE38" i="3"/>
  <c r="AE38" i="5"/>
  <c r="AF38" i="3" s="1"/>
  <c r="AF38" i="5"/>
  <c r="AG38" i="3" s="1"/>
  <c r="AG38" i="5"/>
  <c r="AH38" i="3"/>
  <c r="AH38" i="5"/>
  <c r="AI38" i="3"/>
  <c r="AI38" i="5"/>
  <c r="AJ38" i="3" s="1"/>
  <c r="AJ38" i="5"/>
  <c r="AK38" i="3" s="1"/>
  <c r="AK38" i="5"/>
  <c r="AL38" i="3"/>
  <c r="AL38" i="5"/>
  <c r="AM38" i="3"/>
  <c r="AM38" i="5"/>
  <c r="AM41" i="5" s="1"/>
  <c r="AN38" i="5"/>
  <c r="AO38" i="5"/>
  <c r="AP38" i="3"/>
  <c r="AP38" i="5"/>
  <c r="AQ38" i="3"/>
  <c r="AQ38" i="5"/>
  <c r="AR38" i="3" s="1"/>
  <c r="AR38" i="5"/>
  <c r="AT38" i="5"/>
  <c r="AU38" i="5"/>
  <c r="AV38" i="5"/>
  <c r="AV41" i="5" s="1"/>
  <c r="AW38" i="5"/>
  <c r="AX38" i="5"/>
  <c r="AY38" i="5"/>
  <c r="AZ38" i="3" s="1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C44" i="5"/>
  <c r="C43" i="5" s="1"/>
  <c r="D44" i="5"/>
  <c r="E33" i="3"/>
  <c r="F44" i="5"/>
  <c r="F43" i="5"/>
  <c r="G44" i="5"/>
  <c r="G43" i="5" s="1"/>
  <c r="H44" i="5"/>
  <c r="I33" i="3" s="1"/>
  <c r="I44" i="5"/>
  <c r="J33" i="3"/>
  <c r="J44" i="5"/>
  <c r="J43" i="5"/>
  <c r="K44" i="5"/>
  <c r="L33" i="3" s="1"/>
  <c r="L44" i="5"/>
  <c r="M33" i="3" s="1"/>
  <c r="M44" i="5"/>
  <c r="M43" i="5"/>
  <c r="N44" i="5"/>
  <c r="N43" i="5"/>
  <c r="O44" i="5"/>
  <c r="P33" i="3" s="1"/>
  <c r="P44" i="5"/>
  <c r="Q33" i="3" s="1"/>
  <c r="Q44" i="5"/>
  <c r="R33" i="3"/>
  <c r="R44" i="5"/>
  <c r="S33" i="3"/>
  <c r="S44" i="5"/>
  <c r="T33" i="3" s="1"/>
  <c r="T44" i="5"/>
  <c r="U33" i="3" s="1"/>
  <c r="U44" i="5"/>
  <c r="V33" i="3"/>
  <c r="V44" i="5"/>
  <c r="W33" i="3"/>
  <c r="W44" i="5"/>
  <c r="X33" i="3" s="1"/>
  <c r="X44" i="5"/>
  <c r="X43" i="5" s="1"/>
  <c r="Y44" i="5"/>
  <c r="Z33" i="3"/>
  <c r="Z44" i="5"/>
  <c r="AA33" i="3"/>
  <c r="AA44" i="5"/>
  <c r="AB33" i="3" s="1"/>
  <c r="AB44" i="5"/>
  <c r="AB43" i="5" s="1"/>
  <c r="AC44" i="5"/>
  <c r="AC43" i="5"/>
  <c r="AD44" i="5"/>
  <c r="AD43" i="5"/>
  <c r="AE44" i="5"/>
  <c r="AF33" i="3" s="1"/>
  <c r="AF44" i="5"/>
  <c r="AG33" i="3" s="1"/>
  <c r="AG44" i="5"/>
  <c r="AH33" i="3"/>
  <c r="AH44" i="5"/>
  <c r="AI33" i="3"/>
  <c r="AI44" i="5"/>
  <c r="AJ33" i="3" s="1"/>
  <c r="AJ44" i="5"/>
  <c r="AK33" i="3" s="1"/>
  <c r="AK44" i="5"/>
  <c r="AL33" i="3"/>
  <c r="AL44" i="5"/>
  <c r="AM33" i="3"/>
  <c r="AM44" i="5"/>
  <c r="AN33" i="3" s="1"/>
  <c r="AN44" i="5"/>
  <c r="AO33" i="3" s="1"/>
  <c r="AO44" i="5"/>
  <c r="AP33" i="3"/>
  <c r="AP44" i="5"/>
  <c r="AQ33" i="3"/>
  <c r="AQ44" i="5"/>
  <c r="AR33" i="3" s="1"/>
  <c r="AR44" i="5"/>
  <c r="AS33" i="3" s="1"/>
  <c r="AT44" i="5"/>
  <c r="AU33" i="3"/>
  <c r="AU44" i="5"/>
  <c r="AV33" i="3"/>
  <c r="AV44" i="5"/>
  <c r="AW33" i="3" s="1"/>
  <c r="AW44" i="5"/>
  <c r="AX33" i="3" s="1"/>
  <c r="AX44" i="5"/>
  <c r="AY33" i="3"/>
  <c r="AY44" i="5"/>
  <c r="AZ33" i="3"/>
  <c r="C45" i="5"/>
  <c r="D45" i="5"/>
  <c r="E34" i="3"/>
  <c r="E45" i="5"/>
  <c r="F45" i="5"/>
  <c r="G45" i="5"/>
  <c r="H34" i="3" s="1"/>
  <c r="H45" i="5"/>
  <c r="I34" i="3"/>
  <c r="I45" i="5"/>
  <c r="J34" i="3"/>
  <c r="J45" i="5"/>
  <c r="K34" i="3"/>
  <c r="K45" i="5"/>
  <c r="L34" i="3" s="1"/>
  <c r="L45" i="5"/>
  <c r="M34" i="3"/>
  <c r="M45" i="5"/>
  <c r="N34" i="3"/>
  <c r="N45" i="5"/>
  <c r="O34" i="3"/>
  <c r="O45" i="5"/>
  <c r="P34" i="3" s="1"/>
  <c r="P45" i="5"/>
  <c r="Q34" i="3"/>
  <c r="Q45" i="5"/>
  <c r="R34" i="3"/>
  <c r="R45" i="5"/>
  <c r="S34" i="3"/>
  <c r="S45" i="5"/>
  <c r="T34" i="3" s="1"/>
  <c r="T45" i="5"/>
  <c r="U34" i="3"/>
  <c r="U45" i="5"/>
  <c r="V34" i="3"/>
  <c r="V45" i="5"/>
  <c r="W34" i="3"/>
  <c r="W45" i="5"/>
  <c r="X34" i="3" s="1"/>
  <c r="X45" i="5"/>
  <c r="Y34" i="3"/>
  <c r="Y45" i="5"/>
  <c r="Z34" i="3"/>
  <c r="Z45" i="5"/>
  <c r="AA34" i="3"/>
  <c r="AA45" i="5"/>
  <c r="AB34" i="3" s="1"/>
  <c r="AB45" i="5"/>
  <c r="AC34" i="3"/>
  <c r="AC45" i="5"/>
  <c r="AD34" i="3"/>
  <c r="AD45" i="5"/>
  <c r="AE34" i="3"/>
  <c r="AE45" i="5"/>
  <c r="AF34" i="3" s="1"/>
  <c r="AF45" i="5"/>
  <c r="AG34" i="3"/>
  <c r="AG45" i="5"/>
  <c r="AH34" i="3"/>
  <c r="AH45" i="5"/>
  <c r="AI34" i="3"/>
  <c r="AI45" i="5"/>
  <c r="AJ34" i="3" s="1"/>
  <c r="AJ45" i="5"/>
  <c r="AK34" i="3"/>
  <c r="AK45" i="5"/>
  <c r="AL34" i="3"/>
  <c r="AL45" i="5"/>
  <c r="AM34" i="3"/>
  <c r="AM45" i="5"/>
  <c r="AN34" i="3" s="1"/>
  <c r="AN45" i="5"/>
  <c r="AO34" i="3"/>
  <c r="AO45" i="5"/>
  <c r="AP34" i="3"/>
  <c r="AP45" i="5"/>
  <c r="AQ34" i="3"/>
  <c r="AQ45" i="5"/>
  <c r="AR34" i="3" s="1"/>
  <c r="AR45" i="5"/>
  <c r="AS34" i="3"/>
  <c r="AS45" i="5"/>
  <c r="AT34" i="3"/>
  <c r="AT45" i="5"/>
  <c r="AU34" i="3"/>
  <c r="AU45" i="5"/>
  <c r="AV34" i="3" s="1"/>
  <c r="AV45" i="5"/>
  <c r="AW34" i="3"/>
  <c r="AW45" i="5"/>
  <c r="AX34" i="3"/>
  <c r="AX45" i="5"/>
  <c r="AY34" i="3"/>
  <c r="AY45" i="5"/>
  <c r="AZ34" i="3" s="1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35" i="3" s="1"/>
  <c r="Q46" i="5"/>
  <c r="R46" i="5"/>
  <c r="S46" i="5"/>
  <c r="T46" i="5"/>
  <c r="U46" i="5"/>
  <c r="V46" i="5"/>
  <c r="W46" i="5"/>
  <c r="X35" i="3"/>
  <c r="X46" i="5"/>
  <c r="Y46" i="5"/>
  <c r="Z46" i="5"/>
  <c r="AA35" i="3" s="1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35" i="3" s="1"/>
  <c r="AQ46" i="5"/>
  <c r="AR46" i="5"/>
  <c r="AS46" i="5"/>
  <c r="AT46" i="5"/>
  <c r="AU46" i="5"/>
  <c r="AV46" i="5"/>
  <c r="AW46" i="5"/>
  <c r="AX46" i="5"/>
  <c r="AY35" i="3" s="1"/>
  <c r="AY46" i="5"/>
  <c r="C53" i="5"/>
  <c r="D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F55" i="5"/>
  <c r="C56" i="5"/>
  <c r="D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C59" i="5"/>
  <c r="D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D3" i="3"/>
  <c r="D4" i="3" s="1"/>
  <c r="E3" i="3"/>
  <c r="E5" i="3"/>
  <c r="G3" i="3"/>
  <c r="H3" i="3"/>
  <c r="H19" i="3" s="1"/>
  <c r="I3" i="3"/>
  <c r="I19" i="3"/>
  <c r="J3" i="3"/>
  <c r="J6" i="3" s="1"/>
  <c r="K3" i="3"/>
  <c r="K19" i="3" s="1"/>
  <c r="L3" i="3"/>
  <c r="L19" i="3" s="1"/>
  <c r="M3" i="3"/>
  <c r="M5" i="3"/>
  <c r="N3" i="3"/>
  <c r="N19" i="3"/>
  <c r="O3" i="3"/>
  <c r="O19" i="3" s="1"/>
  <c r="P3" i="3"/>
  <c r="Q3" i="3"/>
  <c r="Q6" i="3"/>
  <c r="R3" i="3"/>
  <c r="S3" i="3"/>
  <c r="S19" i="3"/>
  <c r="T3" i="3"/>
  <c r="T6" i="3" s="1"/>
  <c r="U3" i="3"/>
  <c r="U6" i="3" s="1"/>
  <c r="V3" i="3"/>
  <c r="V6" i="3"/>
  <c r="W3" i="3"/>
  <c r="X3" i="3"/>
  <c r="Y3" i="3"/>
  <c r="Y19" i="3"/>
  <c r="Z3" i="3"/>
  <c r="Z19" i="3"/>
  <c r="AA3" i="3"/>
  <c r="AA19" i="3"/>
  <c r="AB3" i="3"/>
  <c r="J7" i="3"/>
  <c r="M7" i="3"/>
  <c r="P7" i="3"/>
  <c r="S7" i="3"/>
  <c r="T7" i="3"/>
  <c r="V7" i="3"/>
  <c r="W7" i="3"/>
  <c r="X7" i="3"/>
  <c r="Y7" i="3"/>
  <c r="Z7" i="3"/>
  <c r="AA7" i="3"/>
  <c r="AB7" i="3"/>
  <c r="J8" i="3"/>
  <c r="M8" i="3"/>
  <c r="P8" i="3"/>
  <c r="S8" i="3"/>
  <c r="T8" i="3"/>
  <c r="V8" i="3"/>
  <c r="W8" i="3"/>
  <c r="X8" i="3"/>
  <c r="Y8" i="3"/>
  <c r="Z8" i="3"/>
  <c r="AA8" i="3"/>
  <c r="AB8" i="3"/>
  <c r="Y12" i="3"/>
  <c r="F3" i="4"/>
  <c r="F4" i="4"/>
  <c r="F5" i="4"/>
  <c r="F6" i="4"/>
  <c r="F7" i="4"/>
  <c r="C8" i="4"/>
  <c r="D8" i="4"/>
  <c r="F12" i="4"/>
  <c r="F13" i="4"/>
  <c r="F14" i="4"/>
  <c r="F15" i="4"/>
  <c r="F16" i="4"/>
  <c r="C17" i="4"/>
  <c r="D17" i="4"/>
  <c r="D18" i="4"/>
  <c r="D19" i="4"/>
  <c r="F24" i="4"/>
  <c r="F25" i="4"/>
  <c r="F26" i="4"/>
  <c r="F27" i="4"/>
  <c r="C28" i="4"/>
  <c r="D28" i="4"/>
  <c r="D29" i="4"/>
  <c r="D30" i="4"/>
  <c r="F34" i="4"/>
  <c r="F35" i="4"/>
  <c r="F36" i="4"/>
  <c r="F37" i="4"/>
  <c r="F38" i="4"/>
  <c r="U7" i="3" s="1"/>
  <c r="C39" i="4"/>
  <c r="D39" i="4"/>
  <c r="F39" i="4"/>
  <c r="D40" i="4"/>
  <c r="D41" i="4"/>
  <c r="F45" i="4"/>
  <c r="C50" i="4"/>
  <c r="D50" i="4"/>
  <c r="H47" i="4" s="1"/>
  <c r="F50" i="4"/>
  <c r="F55" i="4"/>
  <c r="F56" i="4"/>
  <c r="F57" i="4"/>
  <c r="F58" i="4"/>
  <c r="F59" i="4"/>
  <c r="I60" i="4"/>
  <c r="BC16" i="8" s="1"/>
  <c r="F65" i="4"/>
  <c r="F66" i="4"/>
  <c r="F67" i="4"/>
  <c r="F68" i="4"/>
  <c r="C69" i="4"/>
  <c r="D69" i="4"/>
  <c r="I69" i="4"/>
  <c r="BF16" i="8"/>
  <c r="D70" i="4"/>
  <c r="D71" i="4"/>
  <c r="F76" i="4"/>
  <c r="F77" i="4"/>
  <c r="F78" i="4"/>
  <c r="F79" i="4"/>
  <c r="I80" i="4"/>
  <c r="D81" i="4"/>
  <c r="D82" i="4"/>
  <c r="F86" i="4"/>
  <c r="F87" i="4"/>
  <c r="F88" i="4"/>
  <c r="F89" i="4"/>
  <c r="F90" i="4"/>
  <c r="I91" i="4"/>
  <c r="D92" i="4"/>
  <c r="D93" i="4"/>
  <c r="F97" i="4"/>
  <c r="F102" i="4"/>
  <c r="C102" i="4"/>
  <c r="D102" i="4"/>
  <c r="I102" i="4"/>
  <c r="D103" i="4"/>
  <c r="D104" i="4"/>
  <c r="F42" i="11"/>
  <c r="U50" i="5"/>
  <c r="AH10" i="3"/>
  <c r="AH4" i="2"/>
  <c r="AI4" i="2"/>
  <c r="AJ4" i="2"/>
  <c r="C39" i="5"/>
  <c r="D39" i="5"/>
  <c r="F39" i="5"/>
  <c r="G39" i="5"/>
  <c r="H39" i="5"/>
  <c r="I39" i="5"/>
  <c r="I37" i="5" s="1"/>
  <c r="J39" i="5"/>
  <c r="K39" i="5"/>
  <c r="L39" i="5"/>
  <c r="M39" i="5"/>
  <c r="N39" i="5"/>
  <c r="O39" i="5"/>
  <c r="P39" i="5"/>
  <c r="Q39" i="5"/>
  <c r="R39" i="5"/>
  <c r="S39" i="5"/>
  <c r="U39" i="5"/>
  <c r="V39" i="5"/>
  <c r="W39" i="5"/>
  <c r="Y39" i="5"/>
  <c r="Z39" i="5"/>
  <c r="AA39" i="5"/>
  <c r="AE39" i="5"/>
  <c r="AF39" i="5"/>
  <c r="AG39" i="5"/>
  <c r="AH39" i="5"/>
  <c r="AJ39" i="5"/>
  <c r="AK39" i="5"/>
  <c r="AL39" i="5"/>
  <c r="AM39" i="5"/>
  <c r="AN39" i="5"/>
  <c r="AO39" i="5"/>
  <c r="AP39" i="5"/>
  <c r="AQ39" i="5"/>
  <c r="AR39" i="5"/>
  <c r="AH7" i="2"/>
  <c r="AT39" i="5"/>
  <c r="AI7" i="2"/>
  <c r="AU39" i="5"/>
  <c r="AJ7" i="2"/>
  <c r="AV39" i="5"/>
  <c r="AG7" i="2"/>
  <c r="H54" i="5"/>
  <c r="T54" i="5"/>
  <c r="U54" i="5"/>
  <c r="W54" i="5"/>
  <c r="AB32" i="3"/>
  <c r="AK32" i="3"/>
  <c r="AH12" i="2"/>
  <c r="AI12" i="2"/>
  <c r="AJ12" i="2"/>
  <c r="E44" i="5"/>
  <c r="E43" i="5" s="1"/>
  <c r="F46" i="11"/>
  <c r="C54" i="5"/>
  <c r="L52" i="5"/>
  <c r="R54" i="5"/>
  <c r="AG20" i="2"/>
  <c r="AH20" i="2"/>
  <c r="AI20" i="2"/>
  <c r="AJ20" i="2"/>
  <c r="D54" i="5"/>
  <c r="F57" i="5"/>
  <c r="G47" i="5"/>
  <c r="H57" i="5"/>
  <c r="I47" i="5"/>
  <c r="J57" i="5"/>
  <c r="L57" i="5"/>
  <c r="M57" i="5"/>
  <c r="N47" i="5"/>
  <c r="O57" i="5"/>
  <c r="P57" i="5"/>
  <c r="Q47" i="5"/>
  <c r="T32" i="3"/>
  <c r="T47" i="5"/>
  <c r="U57" i="5"/>
  <c r="V57" i="5"/>
  <c r="W57" i="5"/>
  <c r="X57" i="5"/>
  <c r="Y47" i="5"/>
  <c r="Y57" i="5"/>
  <c r="Z47" i="5"/>
  <c r="AB57" i="5"/>
  <c r="AC57" i="5"/>
  <c r="AE47" i="5"/>
  <c r="AG47" i="5"/>
  <c r="AH47" i="5"/>
  <c r="AI47" i="5"/>
  <c r="AJ47" i="5"/>
  <c r="AK47" i="5"/>
  <c r="AL47" i="5"/>
  <c r="AM47" i="5"/>
  <c r="AN47" i="5"/>
  <c r="AO47" i="5"/>
  <c r="AP47" i="5"/>
  <c r="AQ47" i="5"/>
  <c r="AH23" i="2"/>
  <c r="AI23" i="2"/>
  <c r="AU47" i="5"/>
  <c r="AJ23" i="2"/>
  <c r="AV47" i="5"/>
  <c r="AG30" i="2"/>
  <c r="AH30" i="2"/>
  <c r="AI30" i="2"/>
  <c r="AJ30" i="2"/>
  <c r="AM47" i="8"/>
  <c r="G13" i="3"/>
  <c r="AN47" i="8"/>
  <c r="AO47" i="8"/>
  <c r="AP47" i="8"/>
  <c r="AQ47" i="8"/>
  <c r="AR47" i="8"/>
  <c r="AS47" i="8"/>
  <c r="AT47" i="8"/>
  <c r="N13" i="3"/>
  <c r="AU47" i="8"/>
  <c r="O12" i="3"/>
  <c r="AW47" i="8"/>
  <c r="Q12" i="3"/>
  <c r="AX47" i="8"/>
  <c r="AZ47" i="8"/>
  <c r="BB47" i="8"/>
  <c r="BD47" i="8"/>
  <c r="BE47" i="8"/>
  <c r="BF47" i="8"/>
  <c r="BG47" i="8"/>
  <c r="BH47" i="8"/>
  <c r="BI47" i="8"/>
  <c r="BK47" i="8"/>
  <c r="AE55" i="5"/>
  <c r="BY47" i="8"/>
  <c r="AI4" i="1"/>
  <c r="AJ4" i="1"/>
  <c r="AV12" i="3"/>
  <c r="AK4" i="1"/>
  <c r="C58" i="5"/>
  <c r="F58" i="5"/>
  <c r="G58" i="5"/>
  <c r="H58" i="5"/>
  <c r="J58" i="5"/>
  <c r="K58" i="5"/>
  <c r="M58" i="5"/>
  <c r="N58" i="5"/>
  <c r="O58" i="5"/>
  <c r="P58" i="5"/>
  <c r="R58" i="5"/>
  <c r="S58" i="5"/>
  <c r="U58" i="5"/>
  <c r="V58" i="5"/>
  <c r="W58" i="5"/>
  <c r="X58" i="5"/>
  <c r="Z58" i="5"/>
  <c r="AA58" i="5"/>
  <c r="AC58" i="5"/>
  <c r="AD58" i="5"/>
  <c r="AE58" i="5"/>
  <c r="AI8" i="1"/>
  <c r="AJ8" i="1"/>
  <c r="AK8" i="1"/>
  <c r="AS28" i="5"/>
  <c r="AS26" i="5"/>
  <c r="D30" i="5"/>
  <c r="F30" i="5"/>
  <c r="H30" i="5"/>
  <c r="AO34" i="8" s="1"/>
  <c r="I30" i="5"/>
  <c r="AP34" i="8"/>
  <c r="J30" i="5"/>
  <c r="AQ34" i="8"/>
  <c r="K30" i="5"/>
  <c r="AR34" i="8" s="1"/>
  <c r="O30" i="5"/>
  <c r="AV34" i="8"/>
  <c r="P30" i="5"/>
  <c r="R30" i="5"/>
  <c r="S30" i="5"/>
  <c r="T30" i="5"/>
  <c r="U30" i="5"/>
  <c r="V30" i="5"/>
  <c r="W30" i="5"/>
  <c r="Y30" i="5"/>
  <c r="Z30" i="5"/>
  <c r="AB30" i="5"/>
  <c r="AG30" i="5"/>
  <c r="AH30" i="5"/>
  <c r="AI30" i="5"/>
  <c r="AL30" i="5"/>
  <c r="AM30" i="5"/>
  <c r="AN30" i="5"/>
  <c r="CH34" i="8" s="1"/>
  <c r="AQ30" i="5"/>
  <c r="AI14" i="1"/>
  <c r="AJ14" i="1"/>
  <c r="AU30" i="5" s="1"/>
  <c r="CB34" i="8" s="1"/>
  <c r="AK14" i="1"/>
  <c r="AH14" i="1"/>
  <c r="C60" i="5"/>
  <c r="I60" i="5"/>
  <c r="L60" i="5"/>
  <c r="Q60" i="5"/>
  <c r="R60" i="5"/>
  <c r="S60" i="5"/>
  <c r="T60" i="5"/>
  <c r="AF23" i="3"/>
  <c r="AH17" i="1"/>
  <c r="AI17" i="1"/>
  <c r="AJ17" i="1"/>
  <c r="AK17" i="1"/>
  <c r="C34" i="5"/>
  <c r="I34" i="5"/>
  <c r="O34" i="5"/>
  <c r="S14" i="3"/>
  <c r="S34" i="5"/>
  <c r="W34" i="5"/>
  <c r="AB34" i="5"/>
  <c r="AE34" i="5"/>
  <c r="AF34" i="5"/>
  <c r="AG34" i="5"/>
  <c r="AH34" i="5"/>
  <c r="AI34" i="5"/>
  <c r="AK34" i="5"/>
  <c r="AL34" i="5"/>
  <c r="AN34" i="5"/>
  <c r="AP34" i="5"/>
  <c r="AI21" i="1"/>
  <c r="AJ21" i="1"/>
  <c r="AK21" i="1"/>
  <c r="AV34" i="5"/>
  <c r="D23" i="3"/>
  <c r="E5" i="5"/>
  <c r="AL31" i="8" s="1"/>
  <c r="I21" i="3"/>
  <c r="Q18" i="3"/>
  <c r="AC5" i="5"/>
  <c r="AD5" i="5"/>
  <c r="AE5" i="5"/>
  <c r="AF25" i="3"/>
  <c r="AF5" i="5"/>
  <c r="AG25" i="3" s="1"/>
  <c r="AG5" i="5"/>
  <c r="AH25" i="3" s="1"/>
  <c r="AH5" i="5"/>
  <c r="AI5" i="5"/>
  <c r="AK5" i="5"/>
  <c r="AL5" i="5"/>
  <c r="AM25" i="3" s="1"/>
  <c r="AM5" i="5"/>
  <c r="AN25" i="3"/>
  <c r="AN5" i="5"/>
  <c r="AR5" i="5"/>
  <c r="AH31" i="1"/>
  <c r="AI31" i="1"/>
  <c r="AT5" i="5" s="1"/>
  <c r="AJ31" i="1"/>
  <c r="AU5" i="5"/>
  <c r="AV25" i="3"/>
  <c r="AK31" i="1"/>
  <c r="AW18" i="3"/>
  <c r="AS9" i="5"/>
  <c r="F3" i="3"/>
  <c r="F19" i="3" s="1"/>
  <c r="AT3" i="3"/>
  <c r="AI48" i="1"/>
  <c r="AJ48" i="1"/>
  <c r="AK48" i="1"/>
  <c r="F114" i="4"/>
  <c r="AN32" i="3"/>
  <c r="C50" i="5"/>
  <c r="I57" i="5"/>
  <c r="E53" i="5"/>
  <c r="M54" i="5"/>
  <c r="AS44" i="5"/>
  <c r="AT33" i="3"/>
  <c r="Z32" i="3"/>
  <c r="M32" i="3"/>
  <c r="I50" i="5"/>
  <c r="H47" i="5"/>
  <c r="S54" i="5"/>
  <c r="K54" i="5"/>
  <c r="P50" i="5"/>
  <c r="L50" i="5"/>
  <c r="M10" i="3"/>
  <c r="Q57" i="5"/>
  <c r="G54" i="5"/>
  <c r="J50" i="5"/>
  <c r="K10" i="3"/>
  <c r="E38" i="5"/>
  <c r="J10" i="3"/>
  <c r="Y32" i="3"/>
  <c r="J47" i="5"/>
  <c r="H50" i="5"/>
  <c r="J54" i="5"/>
  <c r="E39" i="5"/>
  <c r="S57" i="5"/>
  <c r="K57" i="5"/>
  <c r="C57" i="5"/>
  <c r="AD47" i="5"/>
  <c r="F47" i="5"/>
  <c r="M47" i="5"/>
  <c r="AB47" i="5"/>
  <c r="L47" i="5"/>
  <c r="K47" i="5"/>
  <c r="C47" i="5"/>
  <c r="AL3" i="2"/>
  <c r="AL19" i="2"/>
  <c r="H4" i="5"/>
  <c r="I22" i="3"/>
  <c r="I23" i="3"/>
  <c r="T58" i="5"/>
  <c r="U55" i="5"/>
  <c r="V13" i="3"/>
  <c r="E36" i="5"/>
  <c r="E55" i="5"/>
  <c r="F12" i="3"/>
  <c r="D5" i="5"/>
  <c r="E18" i="3"/>
  <c r="Z34" i="5"/>
  <c r="R34" i="5"/>
  <c r="J34" i="5"/>
  <c r="AW14" i="8"/>
  <c r="P60" i="5"/>
  <c r="AO14" i="8"/>
  <c r="H60" i="5"/>
  <c r="AB55" i="5"/>
  <c r="L36" i="5"/>
  <c r="L55" i="5"/>
  <c r="M12" i="3"/>
  <c r="D36" i="5"/>
  <c r="D55" i="5"/>
  <c r="E12" i="3"/>
  <c r="E13" i="3"/>
  <c r="M55" i="5"/>
  <c r="N12" i="3"/>
  <c r="M36" i="5"/>
  <c r="Q58" i="5"/>
  <c r="AP5" i="5"/>
  <c r="BW31" i="8"/>
  <c r="Z5" i="5"/>
  <c r="AA25" i="3" s="1"/>
  <c r="AA18" i="3"/>
  <c r="R5" i="5"/>
  <c r="S18" i="3"/>
  <c r="P4" i="5"/>
  <c r="Q14" i="3"/>
  <c r="Q22" i="3"/>
  <c r="Q23" i="3"/>
  <c r="Q20" i="3"/>
  <c r="P34" i="5"/>
  <c r="Q16" i="3"/>
  <c r="Q17" i="3"/>
  <c r="H34" i="5"/>
  <c r="I16" i="3"/>
  <c r="V60" i="5"/>
  <c r="AF28" i="5"/>
  <c r="AF58" i="5"/>
  <c r="AB58" i="5"/>
  <c r="AC55" i="5"/>
  <c r="Y58" i="5"/>
  <c r="J5" i="5"/>
  <c r="AQ31" i="8"/>
  <c r="K18" i="3"/>
  <c r="E9" i="5"/>
  <c r="E56" i="5"/>
  <c r="Z18" i="3"/>
  <c r="I5" i="5"/>
  <c r="AP31" i="8" s="1"/>
  <c r="J18" i="3"/>
  <c r="G34" i="5"/>
  <c r="BJ55" i="8"/>
  <c r="M60" i="5"/>
  <c r="E60" i="5"/>
  <c r="E59" i="5"/>
  <c r="E58" i="5"/>
  <c r="E27" i="5"/>
  <c r="I58" i="5"/>
  <c r="Q5" i="5"/>
  <c r="R18" i="3"/>
  <c r="V12" i="3"/>
  <c r="D58" i="5"/>
  <c r="X12" i="3"/>
  <c r="G55" i="5"/>
  <c r="G36" i="5"/>
  <c r="H12" i="3"/>
  <c r="H13" i="3"/>
  <c r="X5" i="5"/>
  <c r="Y25" i="3" s="1"/>
  <c r="Q21" i="3"/>
  <c r="H5" i="5"/>
  <c r="AO31" i="8" s="1"/>
  <c r="F34" i="5"/>
  <c r="AK14" i="8"/>
  <c r="AB12" i="3"/>
  <c r="AA55" i="5"/>
  <c r="AB13" i="3"/>
  <c r="T12" i="3"/>
  <c r="T13" i="3"/>
  <c r="K36" i="5"/>
  <c r="K55" i="5"/>
  <c r="L12" i="3"/>
  <c r="L13" i="3"/>
  <c r="D12" i="3"/>
  <c r="D13" i="3"/>
  <c r="D17" i="3"/>
  <c r="W5" i="5"/>
  <c r="O5" i="5"/>
  <c r="AV31" i="8"/>
  <c r="U34" i="5"/>
  <c r="M34" i="5"/>
  <c r="N17" i="3"/>
  <c r="E34" i="5"/>
  <c r="Z55" i="5"/>
  <c r="AA12" i="3"/>
  <c r="AA13" i="3"/>
  <c r="S12" i="3"/>
  <c r="J55" i="5"/>
  <c r="K12" i="3"/>
  <c r="K13" i="3"/>
  <c r="J36" i="5"/>
  <c r="H21" i="3"/>
  <c r="C55" i="5"/>
  <c r="N5" i="5"/>
  <c r="AU31" i="8"/>
  <c r="O18" i="3"/>
  <c r="F5" i="5"/>
  <c r="G18" i="3"/>
  <c r="T34" i="5"/>
  <c r="L34" i="5"/>
  <c r="D34" i="5"/>
  <c r="E17" i="3"/>
  <c r="Y55" i="5"/>
  <c r="Z12" i="3"/>
  <c r="Q55" i="5"/>
  <c r="R12" i="3"/>
  <c r="R13" i="3"/>
  <c r="I55" i="5"/>
  <c r="J12" i="3"/>
  <c r="J13" i="3"/>
  <c r="I36" i="5"/>
  <c r="Y18" i="3"/>
  <c r="I18" i="3"/>
  <c r="D15" i="3"/>
  <c r="U5" i="5"/>
  <c r="V25" i="3"/>
  <c r="V18" i="3"/>
  <c r="M5" i="5"/>
  <c r="N18" i="3"/>
  <c r="C4" i="5"/>
  <c r="D11" i="3"/>
  <c r="D20" i="3"/>
  <c r="F18" i="3"/>
  <c r="E26" i="5"/>
  <c r="AF55" i="5"/>
  <c r="Y13" i="3"/>
  <c r="X55" i="5"/>
  <c r="Q13" i="3"/>
  <c r="Q15" i="3"/>
  <c r="H55" i="5"/>
  <c r="I13" i="3"/>
  <c r="H36" i="5"/>
  <c r="I15" i="3"/>
  <c r="X18" i="3"/>
  <c r="AB60" i="5"/>
  <c r="K60" i="5"/>
  <c r="AA5" i="5"/>
  <c r="AB18" i="3"/>
  <c r="S5" i="5"/>
  <c r="T25" i="3" s="1"/>
  <c r="T18" i="3"/>
  <c r="K5" i="5"/>
  <c r="L18" i="3"/>
  <c r="C5" i="5"/>
  <c r="D18" i="3"/>
  <c r="D21" i="3"/>
  <c r="G60" i="5"/>
  <c r="V55" i="5"/>
  <c r="N55" i="5"/>
  <c r="F36" i="5"/>
  <c r="D16" i="3"/>
  <c r="O13" i="3"/>
  <c r="Z60" i="5"/>
  <c r="J60" i="5"/>
  <c r="P55" i="5"/>
  <c r="D10" i="3"/>
  <c r="L32" i="3"/>
  <c r="E57" i="5"/>
  <c r="E47" i="5"/>
  <c r="E54" i="5"/>
  <c r="F32" i="3"/>
  <c r="L51" i="5"/>
  <c r="I51" i="5"/>
  <c r="I52" i="5"/>
  <c r="J51" i="5"/>
  <c r="J52" i="5"/>
  <c r="E16" i="3"/>
  <c r="N22" i="3"/>
  <c r="E15" i="3"/>
  <c r="E20" i="3"/>
  <c r="D4" i="5"/>
  <c r="E23" i="3"/>
  <c r="E14" i="3"/>
  <c r="E22" i="3"/>
  <c r="J20" i="3"/>
  <c r="J14" i="3"/>
  <c r="J23" i="3"/>
  <c r="E21" i="3"/>
  <c r="F13" i="3"/>
  <c r="F187" i="4"/>
  <c r="D165" i="4"/>
  <c r="D128" i="4"/>
  <c r="F175" i="4"/>
  <c r="F163" i="4"/>
  <c r="F151" i="4"/>
  <c r="F138" i="4"/>
  <c r="F126" i="4"/>
  <c r="AZ5" i="5"/>
  <c r="BA25" i="3" s="1"/>
  <c r="AZ30" i="5"/>
  <c r="BA13" i="3"/>
  <c r="E11" i="3"/>
  <c r="D57" i="5"/>
  <c r="I54" i="5"/>
  <c r="I10" i="3"/>
  <c r="D47" i="5"/>
  <c r="V50" i="5"/>
  <c r="H51" i="5"/>
  <c r="D50" i="5"/>
  <c r="L54" i="5"/>
  <c r="G57" i="5"/>
  <c r="X54" i="5"/>
  <c r="E50" i="5"/>
  <c r="U47" i="5"/>
  <c r="V32" i="3"/>
  <c r="N54" i="5"/>
  <c r="Q54" i="5"/>
  <c r="H52" i="5"/>
  <c r="I9" i="3"/>
  <c r="C52" i="5"/>
  <c r="C51" i="5"/>
  <c r="X39" i="5"/>
  <c r="N57" i="5"/>
  <c r="F54" i="5"/>
  <c r="G32" i="3"/>
  <c r="R47" i="5"/>
  <c r="R57" i="5"/>
  <c r="U32" i="3"/>
  <c r="T39" i="5"/>
  <c r="F50" i="5"/>
  <c r="K32" i="3"/>
  <c r="AI39" i="5"/>
  <c r="M50" i="5"/>
  <c r="AR47" i="5"/>
  <c r="AD57" i="5"/>
  <c r="AC39" i="5"/>
  <c r="AR55" i="8"/>
  <c r="L22" i="3"/>
  <c r="L14" i="3"/>
  <c r="K4" i="5"/>
  <c r="AR57" i="8" s="1"/>
  <c r="L20" i="3"/>
  <c r="L21" i="3"/>
  <c r="L17" i="3"/>
  <c r="L23" i="3"/>
  <c r="BG55" i="8"/>
  <c r="AA15" i="3"/>
  <c r="AA23" i="3"/>
  <c r="Z4" i="5"/>
  <c r="AA21" i="3"/>
  <c r="AA20" i="3"/>
  <c r="AA17" i="3"/>
  <c r="AA14" i="3"/>
  <c r="AQ55" i="8"/>
  <c r="AQ56" i="8"/>
  <c r="AQ14" i="8"/>
  <c r="K21" i="3"/>
  <c r="J4" i="5"/>
  <c r="AQ57" i="8" s="1"/>
  <c r="K17" i="3"/>
  <c r="K11" i="3"/>
  <c r="K16" i="3"/>
  <c r="K14" i="3"/>
  <c r="K22" i="3"/>
  <c r="J16" i="3"/>
  <c r="G5" i="5"/>
  <c r="H18" i="3"/>
  <c r="AO34" i="5"/>
  <c r="X60" i="5"/>
  <c r="X34" i="5"/>
  <c r="J9" i="3"/>
  <c r="J22" i="3"/>
  <c r="AC34" i="5"/>
  <c r="AC60" i="5"/>
  <c r="E31" i="5"/>
  <c r="K23" i="3"/>
  <c r="AA16" i="3"/>
  <c r="AN55" i="8"/>
  <c r="H14" i="3"/>
  <c r="H23" i="3"/>
  <c r="AN14" i="8"/>
  <c r="H20" i="3"/>
  <c r="H22" i="3"/>
  <c r="H11" i="3"/>
  <c r="H16" i="3"/>
  <c r="G4" i="5"/>
  <c r="H17" i="3"/>
  <c r="H15" i="3"/>
  <c r="F60" i="5"/>
  <c r="J21" i="3"/>
  <c r="AY14" i="8"/>
  <c r="K20" i="3"/>
  <c r="K9" i="3"/>
  <c r="J17" i="3"/>
  <c r="I4" i="5"/>
  <c r="BG14" i="8"/>
  <c r="AA22" i="3"/>
  <c r="AO30" i="5"/>
  <c r="J11" i="3"/>
  <c r="AP56" i="8"/>
  <c r="AP55" i="8"/>
  <c r="I11" i="3"/>
  <c r="J15" i="3"/>
  <c r="AP14" i="8"/>
  <c r="AY55" i="8"/>
  <c r="S17" i="3"/>
  <c r="S22" i="3"/>
  <c r="S23" i="3"/>
  <c r="S21" i="3"/>
  <c r="R4" i="5"/>
  <c r="AY26" i="8" s="1"/>
  <c r="S20" i="3"/>
  <c r="K34" i="5"/>
  <c r="L16" i="3"/>
  <c r="AR14" i="8"/>
  <c r="E18" i="5"/>
  <c r="M18" i="3"/>
  <c r="I20" i="3"/>
  <c r="AP18" i="3"/>
  <c r="AL18" i="3"/>
  <c r="AH18" i="3"/>
  <c r="AD18" i="3"/>
  <c r="K15" i="3"/>
  <c r="AJ30" i="5"/>
  <c r="BQ34" i="8" s="1"/>
  <c r="BM47" i="8"/>
  <c r="AG12" i="3"/>
  <c r="AG13" i="3"/>
  <c r="AL47" i="8"/>
  <c r="I12" i="3"/>
  <c r="L5" i="5"/>
  <c r="AS31" i="8" s="1"/>
  <c r="AS18" i="3"/>
  <c r="D60" i="5"/>
  <c r="AE30" i="5"/>
  <c r="G30" i="5"/>
  <c r="C30" i="5"/>
  <c r="CC47" i="8"/>
  <c r="AW12" i="3"/>
  <c r="AF12" i="3"/>
  <c r="AF13" i="3"/>
  <c r="BL47" i="8"/>
  <c r="AO18" i="3"/>
  <c r="AG18" i="3"/>
  <c r="AO55" i="8"/>
  <c r="AO56" i="8"/>
  <c r="BS47" i="8"/>
  <c r="AM13" i="3"/>
  <c r="AM12" i="3"/>
  <c r="BC47" i="8"/>
  <c r="W12" i="3"/>
  <c r="AT55" i="8"/>
  <c r="I14" i="3"/>
  <c r="CA47" i="8"/>
  <c r="AU12" i="3"/>
  <c r="BJ47" i="8"/>
  <c r="AD12" i="3"/>
  <c r="AD13" i="3"/>
  <c r="AD15" i="3"/>
  <c r="P5" i="5"/>
  <c r="I17" i="3"/>
  <c r="AS18" i="5"/>
  <c r="AR18" i="3"/>
  <c r="AJ18" i="3"/>
  <c r="AF18" i="3"/>
  <c r="AT14" i="8"/>
  <c r="AQ18" i="3"/>
  <c r="AI18" i="3"/>
  <c r="AW55" i="8"/>
  <c r="Y34" i="5"/>
  <c r="AC30" i="5"/>
  <c r="M30" i="5"/>
  <c r="BG34" i="8" s="1"/>
  <c r="AE18" i="3"/>
  <c r="D14" i="3"/>
  <c r="D22" i="3"/>
  <c r="S16" i="3"/>
  <c r="AQ13" i="3"/>
  <c r="BW47" i="8"/>
  <c r="AQ12" i="3"/>
  <c r="BO47" i="8"/>
  <c r="AI12" i="3"/>
  <c r="AI13" i="3"/>
  <c r="R5" i="3"/>
  <c r="R19" i="3"/>
  <c r="BR47" i="8"/>
  <c r="AL12" i="3"/>
  <c r="AL13" i="3"/>
  <c r="AM32" i="8"/>
  <c r="AM60" i="8"/>
  <c r="AC12" i="3"/>
  <c r="AE13" i="3"/>
  <c r="BB18" i="3"/>
  <c r="BX47" i="8"/>
  <c r="AR12" i="3"/>
  <c r="AR13" i="3"/>
  <c r="BP47" i="8"/>
  <c r="AJ12" i="3"/>
  <c r="AJ13" i="3"/>
  <c r="G12" i="3"/>
  <c r="BV47" i="8"/>
  <c r="AP12" i="3"/>
  <c r="AP13" i="3"/>
  <c r="BN47" i="8"/>
  <c r="AH12" i="3"/>
  <c r="AH13" i="3"/>
  <c r="L15" i="3"/>
  <c r="BA5" i="5"/>
  <c r="AN12" i="3"/>
  <c r="BT47" i="8"/>
  <c r="S55" i="5"/>
  <c r="BB30" i="5"/>
  <c r="AX12" i="3"/>
  <c r="CD47" i="8"/>
  <c r="AE12" i="3"/>
  <c r="E52" i="5"/>
  <c r="J32" i="3"/>
  <c r="I32" i="3"/>
  <c r="H32" i="3"/>
  <c r="D32" i="3"/>
  <c r="E32" i="3"/>
  <c r="N50" i="5"/>
  <c r="U10" i="3"/>
  <c r="T50" i="5"/>
  <c r="E10" i="3"/>
  <c r="D51" i="5"/>
  <c r="X50" i="5"/>
  <c r="N10" i="3"/>
  <c r="M51" i="5"/>
  <c r="F52" i="5"/>
  <c r="G10" i="3"/>
  <c r="F51" i="5"/>
  <c r="G50" i="5"/>
  <c r="N32" i="3"/>
  <c r="E51" i="5"/>
  <c r="K50" i="5"/>
  <c r="AM55" i="8"/>
  <c r="G16" i="3"/>
  <c r="G17" i="3"/>
  <c r="G14" i="3"/>
  <c r="G22" i="3"/>
  <c r="G11" i="3"/>
  <c r="G23" i="3"/>
  <c r="G20" i="3"/>
  <c r="G21" i="3"/>
  <c r="F4" i="5"/>
  <c r="AM30" i="8"/>
  <c r="G15" i="3"/>
  <c r="BA55" i="8"/>
  <c r="BA14" i="8"/>
  <c r="U15" i="3"/>
  <c r="S11" i="3"/>
  <c r="T4" i="5"/>
  <c r="U17" i="3"/>
  <c r="U11" i="3"/>
  <c r="U16" i="3"/>
  <c r="U20" i="3"/>
  <c r="U22" i="3"/>
  <c r="U23" i="3"/>
  <c r="U14" i="3"/>
  <c r="AM14" i="8"/>
  <c r="E30" i="5"/>
  <c r="AL34" i="8"/>
  <c r="BL14" i="8"/>
  <c r="BD55" i="8"/>
  <c r="X11" i="3"/>
  <c r="X16" i="3"/>
  <c r="X17" i="3"/>
  <c r="W4" i="5"/>
  <c r="X14" i="3"/>
  <c r="X22" i="3"/>
  <c r="X23" i="3"/>
  <c r="X15" i="3"/>
  <c r="BD14" i="8"/>
  <c r="X20" i="3"/>
  <c r="X21" i="3"/>
  <c r="Z16" i="3"/>
  <c r="Z20" i="3"/>
  <c r="Z14" i="3"/>
  <c r="AZ55" i="8"/>
  <c r="T14" i="3"/>
  <c r="T20" i="3"/>
  <c r="T22" i="3"/>
  <c r="T23" i="3"/>
  <c r="AZ14" i="8"/>
  <c r="T15" i="3"/>
  <c r="T17" i="3"/>
  <c r="T16" i="3"/>
  <c r="T21" i="3"/>
  <c r="S4" i="5"/>
  <c r="U36" i="3" s="1"/>
  <c r="F10" i="3"/>
  <c r="N51" i="5"/>
  <c r="O10" i="3"/>
  <c r="L10" i="3"/>
  <c r="K51" i="5"/>
  <c r="H10" i="3"/>
  <c r="G51" i="5"/>
  <c r="E9" i="3"/>
  <c r="D52" i="5"/>
  <c r="M52" i="5"/>
  <c r="E4" i="5"/>
  <c r="AL15" i="8" s="1"/>
  <c r="F15" i="3"/>
  <c r="F17" i="3"/>
  <c r="F14" i="3"/>
  <c r="F11" i="3"/>
  <c r="F16" i="3"/>
  <c r="F20" i="3"/>
  <c r="F22" i="3"/>
  <c r="F23" i="3"/>
  <c r="AL14" i="8"/>
  <c r="F21" i="3"/>
  <c r="AM56" i="8"/>
  <c r="N52" i="5"/>
  <c r="G52" i="5"/>
  <c r="H9" i="3"/>
  <c r="AN56" i="8"/>
  <c r="K52" i="5"/>
  <c r="L9" i="3"/>
  <c r="AR56" i="8"/>
  <c r="AD5" i="3"/>
  <c r="AD6" i="3"/>
  <c r="AQ59" i="8"/>
  <c r="AQ33" i="8"/>
  <c r="AM39" i="2"/>
  <c r="AZ32" i="3"/>
  <c r="H43" i="5"/>
  <c r="BA32" i="3"/>
  <c r="AS38" i="5"/>
  <c r="AT38" i="3"/>
  <c r="Z50" i="5"/>
  <c r="AM32" i="3"/>
  <c r="AD54" i="5"/>
  <c r="AJ32" i="3"/>
  <c r="AC54" i="5"/>
  <c r="AH32" i="3"/>
  <c r="AS32" i="3"/>
  <c r="AA51" i="5"/>
  <c r="AO32" i="3"/>
  <c r="R51" i="5"/>
  <c r="R50" i="5"/>
  <c r="X52" i="5"/>
  <c r="Y10" i="3"/>
  <c r="X51" i="5"/>
  <c r="AP39" i="2"/>
  <c r="BD32" i="3" s="1"/>
  <c r="AB54" i="5"/>
  <c r="AR32" i="3"/>
  <c r="Z57" i="5"/>
  <c r="R32" i="3"/>
  <c r="AG23" i="2"/>
  <c r="AC32" i="3"/>
  <c r="AA54" i="5"/>
  <c r="AQ32" i="3"/>
  <c r="AE32" i="3"/>
  <c r="AO10" i="3"/>
  <c r="AO3" i="2"/>
  <c r="AO19" i="2"/>
  <c r="AB10" i="3"/>
  <c r="Z54" i="5"/>
  <c r="AF32" i="3"/>
  <c r="AA32" i="3"/>
  <c r="P51" i="5"/>
  <c r="AE57" i="5"/>
  <c r="X47" i="5"/>
  <c r="AG12" i="2"/>
  <c r="F49" i="11" s="1"/>
  <c r="AL32" i="3"/>
  <c r="Y54" i="5"/>
  <c r="AI3" i="2"/>
  <c r="AI19" i="2"/>
  <c r="AC47" i="5"/>
  <c r="AD50" i="5"/>
  <c r="W50" i="5"/>
  <c r="AD32" i="3"/>
  <c r="AE54" i="5"/>
  <c r="W32" i="3"/>
  <c r="AS10" i="3"/>
  <c r="P47" i="5"/>
  <c r="S32" i="3"/>
  <c r="O52" i="5"/>
  <c r="P54" i="5"/>
  <c r="Q10" i="3"/>
  <c r="O54" i="5"/>
  <c r="AL10" i="3"/>
  <c r="Y50" i="5"/>
  <c r="S51" i="5"/>
  <c r="AS39" i="5"/>
  <c r="X9" i="3"/>
  <c r="W51" i="5"/>
  <c r="X10" i="3"/>
  <c r="AM10" i="3"/>
  <c r="Z51" i="5"/>
  <c r="AS39" i="2"/>
  <c r="BG32" i="3" s="1"/>
  <c r="BF47" i="5"/>
  <c r="AI10" i="3"/>
  <c r="AB50" i="5"/>
  <c r="AR10" i="3"/>
  <c r="AQ10" i="3"/>
  <c r="T43" i="5"/>
  <c r="AK10" i="3"/>
  <c r="AD39" i="5"/>
  <c r="AA57" i="5"/>
  <c r="O47" i="5"/>
  <c r="AG32" i="3"/>
  <c r="K33" i="3"/>
  <c r="AA10" i="3"/>
  <c r="W47" i="5"/>
  <c r="X32" i="3"/>
  <c r="S47" i="5"/>
  <c r="AP32" i="3"/>
  <c r="AA47" i="5"/>
  <c r="T57" i="5"/>
  <c r="AB39" i="5"/>
  <c r="AN10" i="3"/>
  <c r="O32" i="3"/>
  <c r="V47" i="5"/>
  <c r="T51" i="5"/>
  <c r="S50" i="5"/>
  <c r="AI32" i="3"/>
  <c r="V54" i="5"/>
  <c r="W10" i="3"/>
  <c r="T10" i="3"/>
  <c r="AA50" i="5"/>
  <c r="CF47" i="8"/>
  <c r="CB47" i="8"/>
  <c r="AX5" i="5"/>
  <c r="AY25" i="3"/>
  <c r="CI52" i="8"/>
  <c r="BC12" i="3"/>
  <c r="BB13" i="3"/>
  <c r="CH47" i="8"/>
  <c r="AT8" i="3"/>
  <c r="F32" i="11"/>
  <c r="AH21" i="1"/>
  <c r="AS34" i="5"/>
  <c r="F36" i="11" s="1"/>
  <c r="BA12" i="3"/>
  <c r="AM18" i="3"/>
  <c r="AS12" i="3"/>
  <c r="AS13" i="3"/>
  <c r="AQ38" i="1"/>
  <c r="AQ49" i="1"/>
  <c r="AS27" i="5"/>
  <c r="AH48" i="1"/>
  <c r="BA22" i="3"/>
  <c r="AT8" i="1"/>
  <c r="AN18" i="3"/>
  <c r="BA26" i="3"/>
  <c r="AN13" i="3"/>
  <c r="AS38" i="1"/>
  <c r="AS49" i="1"/>
  <c r="AT21" i="1"/>
  <c r="AN17" i="3"/>
  <c r="AD34" i="5"/>
  <c r="AD60" i="5"/>
  <c r="BQ47" i="8"/>
  <c r="AK13" i="3"/>
  <c r="AK12" i="3"/>
  <c r="AA9" i="3"/>
  <c r="BF14" i="8"/>
  <c r="BF55" i="8"/>
  <c r="Z15" i="3"/>
  <c r="Z22" i="3"/>
  <c r="Z21" i="3"/>
  <c r="Z23" i="3"/>
  <c r="Z17" i="3"/>
  <c r="Y4" i="5"/>
  <c r="BF15" i="8" s="1"/>
  <c r="AD25" i="3"/>
  <c r="AA60" i="5"/>
  <c r="AC18" i="3"/>
  <c r="AC13" i="3"/>
  <c r="AB5" i="5"/>
  <c r="BS14" i="8"/>
  <c r="AA30" i="5"/>
  <c r="AM34" i="5"/>
  <c r="BT14" i="8"/>
  <c r="AN16" i="3"/>
  <c r="AP38" i="1"/>
  <c r="CI53" i="8"/>
  <c r="BB5" i="5"/>
  <c r="BC25" i="3" s="1"/>
  <c r="BC18" i="3"/>
  <c r="BC13" i="3"/>
  <c r="BC5" i="3"/>
  <c r="AJ5" i="5"/>
  <c r="AK18" i="3"/>
  <c r="AK30" i="5"/>
  <c r="BA23" i="3"/>
  <c r="F31" i="11"/>
  <c r="AT18" i="3"/>
  <c r="AJ34" i="5"/>
  <c r="AK17" i="3"/>
  <c r="BU47" i="8"/>
  <c r="AO12" i="3"/>
  <c r="AO13" i="3"/>
  <c r="AR34" i="5"/>
  <c r="BY14" i="8"/>
  <c r="AF21" i="3"/>
  <c r="AE4" i="5"/>
  <c r="AF16" i="3"/>
  <c r="BL55" i="8"/>
  <c r="AF14" i="3"/>
  <c r="AF20" i="3"/>
  <c r="AF17" i="3"/>
  <c r="AF22" i="3"/>
  <c r="AF15" i="3"/>
  <c r="AD11" i="3"/>
  <c r="W13" i="3"/>
  <c r="AO21" i="3"/>
  <c r="AR30" i="5"/>
  <c r="V34" i="5"/>
  <c r="X13" i="3"/>
  <c r="AA26" i="3"/>
  <c r="W55" i="5"/>
  <c r="AS31" i="5"/>
  <c r="AD55" i="5"/>
  <c r="AF60" i="5"/>
  <c r="Y60" i="5"/>
  <c r="AM38" i="1"/>
  <c r="BF9" i="5"/>
  <c r="AO17" i="3"/>
  <c r="BP14" i="8"/>
  <c r="AO16" i="3"/>
  <c r="W60" i="5"/>
  <c r="N30" i="5"/>
  <c r="AU34" i="8"/>
  <c r="U18" i="3"/>
  <c r="T5" i="5"/>
  <c r="BA24" i="8"/>
  <c r="U21" i="3"/>
  <c r="AV14" i="8"/>
  <c r="O60" i="5"/>
  <c r="L11" i="3"/>
  <c r="L4" i="5"/>
  <c r="AS24" i="8" s="1"/>
  <c r="M21" i="3"/>
  <c r="M15" i="3"/>
  <c r="M20" i="3"/>
  <c r="M9" i="3"/>
  <c r="M22" i="3"/>
  <c r="M16" i="3"/>
  <c r="M23" i="3"/>
  <c r="AT56" i="8"/>
  <c r="M17" i="3"/>
  <c r="M11" i="3"/>
  <c r="M14" i="3"/>
  <c r="AS56" i="8"/>
  <c r="N9" i="3"/>
  <c r="AS55" i="8"/>
  <c r="W20" i="3"/>
  <c r="AK20" i="3"/>
  <c r="P12" i="3"/>
  <c r="AV47" i="8"/>
  <c r="O55" i="5"/>
  <c r="P13" i="3"/>
  <c r="P15" i="3"/>
  <c r="AD21" i="3"/>
  <c r="AC4" i="5"/>
  <c r="BJ24" i="8" s="1"/>
  <c r="W21" i="3"/>
  <c r="AT34" i="5"/>
  <c r="Q34" i="5"/>
  <c r="R17" i="3"/>
  <c r="L30" i="5"/>
  <c r="AS21" i="8" s="1"/>
  <c r="F38" i="11"/>
  <c r="F12" i="11" s="1"/>
  <c r="N16" i="3"/>
  <c r="N14" i="3"/>
  <c r="N23" i="3"/>
  <c r="N21" i="3"/>
  <c r="N4" i="3"/>
  <c r="N15" i="3"/>
  <c r="M4" i="5"/>
  <c r="N20" i="3"/>
  <c r="AH8" i="1"/>
  <c r="F39" i="11"/>
  <c r="AQ34" i="5"/>
  <c r="AD17" i="3"/>
  <c r="AD14" i="3"/>
  <c r="AD20" i="3"/>
  <c r="AD22" i="3"/>
  <c r="BJ14" i="8"/>
  <c r="AD23" i="3"/>
  <c r="AD4" i="3"/>
  <c r="AQ5" i="5"/>
  <c r="AR25" i="3" s="1"/>
  <c r="AP30" i="5"/>
  <c r="BW34" i="8" s="1"/>
  <c r="AJ22" i="3"/>
  <c r="AJ20" i="3"/>
  <c r="AJ14" i="3"/>
  <c r="AD16" i="3"/>
  <c r="N34" i="5"/>
  <c r="N60" i="5"/>
  <c r="Q30" i="5"/>
  <c r="BA47" i="8"/>
  <c r="T55" i="5"/>
  <c r="U12" i="3"/>
  <c r="U13" i="3"/>
  <c r="AP5" i="3"/>
  <c r="AO5" i="5"/>
  <c r="Y5" i="5"/>
  <c r="Z25" i="3" s="1"/>
  <c r="Z13" i="3"/>
  <c r="P18" i="3"/>
  <c r="AE60" i="5"/>
  <c r="X30" i="5"/>
  <c r="BE34" i="8" s="1"/>
  <c r="S15" i="3"/>
  <c r="R55" i="5"/>
  <c r="AY47" i="8"/>
  <c r="S13" i="3"/>
  <c r="F41" i="11"/>
  <c r="AD30" i="5"/>
  <c r="BX34" i="8" s="1"/>
  <c r="AJ23" i="3"/>
  <c r="W18" i="3"/>
  <c r="V5" i="5"/>
  <c r="U60" i="5"/>
  <c r="BB14" i="8"/>
  <c r="V16" i="3"/>
  <c r="W15" i="3"/>
  <c r="BC55" i="8"/>
  <c r="V4" i="5"/>
  <c r="BC25" i="8" s="1"/>
  <c r="W17" i="3"/>
  <c r="W14" i="3"/>
  <c r="W22" i="3"/>
  <c r="BC14" i="8"/>
  <c r="W16" i="3"/>
  <c r="W23" i="3"/>
  <c r="BH14" i="8"/>
  <c r="M13" i="3"/>
  <c r="L58" i="5"/>
  <c r="BV14" i="8"/>
  <c r="CK47" i="8"/>
  <c r="AO14" i="3"/>
  <c r="AS14" i="8"/>
  <c r="BF27" i="5"/>
  <c r="CJ47" i="8"/>
  <c r="AA34" i="5"/>
  <c r="AF30" i="5"/>
  <c r="BM34" i="8" s="1"/>
  <c r="CJ53" i="8"/>
  <c r="AA52" i="5"/>
  <c r="AF50" i="5"/>
  <c r="BA10" i="3"/>
  <c r="AC50" i="5"/>
  <c r="R52" i="5"/>
  <c r="S10" i="3"/>
  <c r="AP10" i="3"/>
  <c r="P52" i="5"/>
  <c r="AJ10" i="3"/>
  <c r="AF54" i="5"/>
  <c r="P10" i="3"/>
  <c r="O51" i="5"/>
  <c r="O50" i="5"/>
  <c r="V10" i="3"/>
  <c r="U51" i="5"/>
  <c r="U52" i="5"/>
  <c r="V52" i="5"/>
  <c r="V51" i="5"/>
  <c r="AD10" i="3"/>
  <c r="AC51" i="5"/>
  <c r="AC52" i="5"/>
  <c r="AC10" i="3"/>
  <c r="AB52" i="5"/>
  <c r="AB51" i="5"/>
  <c r="Z52" i="5"/>
  <c r="BG56" i="8"/>
  <c r="Q32" i="3"/>
  <c r="P32" i="3"/>
  <c r="T9" i="3"/>
  <c r="S52" i="5"/>
  <c r="AZ56" i="8"/>
  <c r="Q50" i="5"/>
  <c r="AE10" i="3"/>
  <c r="AD51" i="5"/>
  <c r="AD52" i="5"/>
  <c r="AF51" i="5"/>
  <c r="AF52" i="5"/>
  <c r="AG10" i="3"/>
  <c r="AF57" i="5"/>
  <c r="AF47" i="5"/>
  <c r="U9" i="3"/>
  <c r="BA56" i="8"/>
  <c r="T52" i="5"/>
  <c r="W52" i="5"/>
  <c r="BD56" i="8"/>
  <c r="Z10" i="3"/>
  <c r="Y52" i="5"/>
  <c r="Y51" i="5"/>
  <c r="AE50" i="5"/>
  <c r="CG14" i="8"/>
  <c r="BU56" i="8"/>
  <c r="AK9" i="3"/>
  <c r="AK14" i="3"/>
  <c r="BU14" i="8"/>
  <c r="BA21" i="3"/>
  <c r="AO22" i="3"/>
  <c r="AK23" i="3"/>
  <c r="AZ4" i="5"/>
  <c r="CG25" i="8" s="1"/>
  <c r="AP17" i="3"/>
  <c r="BQ55" i="8"/>
  <c r="BA15" i="3"/>
  <c r="BA20" i="3"/>
  <c r="BA14" i="3"/>
  <c r="BO55" i="8"/>
  <c r="AI22" i="3"/>
  <c r="AI21" i="3"/>
  <c r="AI23" i="3"/>
  <c r="AI14" i="3"/>
  <c r="AI16" i="3"/>
  <c r="AI20" i="3"/>
  <c r="AI17" i="3"/>
  <c r="AI4" i="3"/>
  <c r="AH4" i="5"/>
  <c r="BO14" i="8"/>
  <c r="AI15" i="3"/>
  <c r="CG55" i="8"/>
  <c r="AO23" i="3"/>
  <c r="BA16" i="3"/>
  <c r="BQ56" i="8"/>
  <c r="BA17" i="3"/>
  <c r="AI4" i="5"/>
  <c r="AJ4" i="5"/>
  <c r="BQ26" i="8" s="1"/>
  <c r="AN14" i="3"/>
  <c r="AO9" i="3"/>
  <c r="AN20" i="3"/>
  <c r="AN22" i="3"/>
  <c r="AN15" i="3"/>
  <c r="AN23" i="3"/>
  <c r="AM4" i="5"/>
  <c r="BT26" i="8" s="1"/>
  <c r="BT56" i="8"/>
  <c r="AN21" i="3"/>
  <c r="BT55" i="8"/>
  <c r="BS56" i="8"/>
  <c r="BS55" i="8"/>
  <c r="AN9" i="3"/>
  <c r="AM21" i="3"/>
  <c r="AM17" i="3"/>
  <c r="AL4" i="5"/>
  <c r="AM22" i="3"/>
  <c r="AM16" i="3"/>
  <c r="AM23" i="3"/>
  <c r="AM11" i="3"/>
  <c r="AM14" i="3"/>
  <c r="AM15" i="3"/>
  <c r="AM20" i="3"/>
  <c r="AL16" i="3"/>
  <c r="AL11" i="3"/>
  <c r="AL20" i="3"/>
  <c r="BR56" i="8"/>
  <c r="AL21" i="3"/>
  <c r="AL22" i="3"/>
  <c r="AL17" i="3"/>
  <c r="AL15" i="3"/>
  <c r="AL23" i="3"/>
  <c r="AK4" i="5"/>
  <c r="BR15" i="8"/>
  <c r="BR14" i="8"/>
  <c r="AM9" i="3"/>
  <c r="BR55" i="8"/>
  <c r="AL14" i="3"/>
  <c r="AK11" i="3"/>
  <c r="AQ17" i="3"/>
  <c r="AQ16" i="3"/>
  <c r="BW55" i="8"/>
  <c r="AQ15" i="3"/>
  <c r="AQ6" i="3"/>
  <c r="AQ14" i="3"/>
  <c r="AQ22" i="3"/>
  <c r="AQ23" i="3"/>
  <c r="AQ11" i="3"/>
  <c r="AQ4" i="3"/>
  <c r="AP4" i="5"/>
  <c r="BW26" i="8" s="1"/>
  <c r="AQ20" i="3"/>
  <c r="BW14" i="8"/>
  <c r="AQ21" i="3"/>
  <c r="AO20" i="3"/>
  <c r="AO11" i="3"/>
  <c r="BU55" i="8"/>
  <c r="AO15" i="3"/>
  <c r="AN4" i="5"/>
  <c r="BU15" i="8" s="1"/>
  <c r="AJ16" i="3"/>
  <c r="BP56" i="8"/>
  <c r="AJ17" i="3"/>
  <c r="BP55" i="8"/>
  <c r="AJ21" i="3"/>
  <c r="AJ15" i="3"/>
  <c r="AJ11" i="3"/>
  <c r="AJ9" i="3"/>
  <c r="AG16" i="3"/>
  <c r="AG11" i="3"/>
  <c r="AG14" i="3"/>
  <c r="AG20" i="3"/>
  <c r="AG23" i="3"/>
  <c r="BM14" i="8"/>
  <c r="AF4" i="5"/>
  <c r="AG21" i="3"/>
  <c r="BM55" i="8"/>
  <c r="AG22" i="3"/>
  <c r="AG17" i="3"/>
  <c r="AG15" i="3"/>
  <c r="AK16" i="3"/>
  <c r="AK21" i="3"/>
  <c r="AS17" i="3"/>
  <c r="AS21" i="3"/>
  <c r="AS23" i="3"/>
  <c r="AS20" i="3"/>
  <c r="BY55" i="8"/>
  <c r="AS22" i="3"/>
  <c r="AR4" i="5"/>
  <c r="BY21" i="8" s="1"/>
  <c r="AS15" i="3"/>
  <c r="AS16" i="3"/>
  <c r="AS14" i="3"/>
  <c r="AK22" i="3"/>
  <c r="AK15" i="3"/>
  <c r="BQ14" i="8"/>
  <c r="AI11" i="3"/>
  <c r="AL9" i="3"/>
  <c r="AB4" i="5"/>
  <c r="BI27" i="8" s="1"/>
  <c r="BI14" i="8"/>
  <c r="AD9" i="3"/>
  <c r="BI55" i="8"/>
  <c r="AA11" i="3"/>
  <c r="AC20" i="3"/>
  <c r="AC17" i="3"/>
  <c r="AC23" i="3"/>
  <c r="AC16" i="3"/>
  <c r="AC14" i="3"/>
  <c r="AC15" i="3"/>
  <c r="BJ56" i="8"/>
  <c r="AC21" i="3"/>
  <c r="AC22" i="3"/>
  <c r="N4" i="5"/>
  <c r="O15" i="3"/>
  <c r="N11" i="3"/>
  <c r="O20" i="3"/>
  <c r="O14" i="3"/>
  <c r="AU55" i="8"/>
  <c r="O17" i="3"/>
  <c r="O16" i="3"/>
  <c r="O21" i="3"/>
  <c r="P9" i="3"/>
  <c r="O22" i="3"/>
  <c r="AU14" i="8"/>
  <c r="O23" i="3"/>
  <c r="O9" i="3"/>
  <c r="O11" i="3"/>
  <c r="AU56" i="8"/>
  <c r="AH20" i="3"/>
  <c r="AI9" i="3"/>
  <c r="AH16" i="3"/>
  <c r="BN14" i="8"/>
  <c r="AH22" i="3"/>
  <c r="AH23" i="3"/>
  <c r="AH17" i="3"/>
  <c r="AF11" i="3"/>
  <c r="AG4" i="5"/>
  <c r="AH9" i="3"/>
  <c r="BN56" i="8"/>
  <c r="AH15" i="3"/>
  <c r="BN55" i="8"/>
  <c r="AH11" i="3"/>
  <c r="AH21" i="3"/>
  <c r="BO56" i="8"/>
  <c r="AH14" i="3"/>
  <c r="AR22" i="3"/>
  <c r="AR15" i="3"/>
  <c r="AR23" i="3"/>
  <c r="AQ4" i="5"/>
  <c r="BX56" i="8"/>
  <c r="AR16" i="3"/>
  <c r="BX55" i="8"/>
  <c r="AR17" i="3"/>
  <c r="AR20" i="3"/>
  <c r="AR9" i="3"/>
  <c r="AR14" i="3"/>
  <c r="BX14" i="8"/>
  <c r="AR21" i="3"/>
  <c r="Y16" i="3"/>
  <c r="X4" i="5"/>
  <c r="W11" i="3"/>
  <c r="Y15" i="3"/>
  <c r="Y22" i="3"/>
  <c r="Y20" i="3"/>
  <c r="Y21" i="3"/>
  <c r="Y17" i="3"/>
  <c r="BE56" i="8"/>
  <c r="Y14" i="3"/>
  <c r="Y23" i="3"/>
  <c r="Y11" i="3"/>
  <c r="BE55" i="8"/>
  <c r="BE14" i="8"/>
  <c r="Y9" i="3"/>
  <c r="U4" i="5"/>
  <c r="V22" i="3"/>
  <c r="V20" i="3"/>
  <c r="V17" i="3"/>
  <c r="T11" i="3"/>
  <c r="V11" i="3"/>
  <c r="W9" i="3"/>
  <c r="BB56" i="8"/>
  <c r="V9" i="3"/>
  <c r="V21" i="3"/>
  <c r="V14" i="3"/>
  <c r="V15" i="3"/>
  <c r="V23" i="3"/>
  <c r="BB55" i="8"/>
  <c r="AB20" i="3"/>
  <c r="AB14" i="3"/>
  <c r="AB11" i="3"/>
  <c r="AA4" i="5"/>
  <c r="AB21" i="3"/>
  <c r="BH55" i="8"/>
  <c r="AB16" i="3"/>
  <c r="AB22" i="3"/>
  <c r="AB23" i="3"/>
  <c r="Z11" i="3"/>
  <c r="AB17" i="3"/>
  <c r="AB15" i="3"/>
  <c r="BI56" i="8"/>
  <c r="AB9" i="3"/>
  <c r="AX14" i="8"/>
  <c r="AN11" i="3"/>
  <c r="AP6" i="3"/>
  <c r="AP21" i="3"/>
  <c r="AP11" i="3"/>
  <c r="AP14" i="3"/>
  <c r="AP15" i="3"/>
  <c r="BV55" i="8"/>
  <c r="AQ9" i="3"/>
  <c r="AP16" i="3"/>
  <c r="AP20" i="3"/>
  <c r="AP4" i="3"/>
  <c r="BW56" i="8"/>
  <c r="AP22" i="3"/>
  <c r="AP23" i="3"/>
  <c r="AO4" i="5"/>
  <c r="AD4" i="5"/>
  <c r="BK14" i="8"/>
  <c r="AE22" i="3"/>
  <c r="BK56" i="8"/>
  <c r="AE23" i="3"/>
  <c r="AE9" i="3"/>
  <c r="AE21" i="3"/>
  <c r="AE16" i="3"/>
  <c r="BK55" i="8"/>
  <c r="AC11" i="3"/>
  <c r="AE17" i="3"/>
  <c r="AE11" i="3"/>
  <c r="AE15" i="3"/>
  <c r="AE20" i="3"/>
  <c r="AE14" i="3"/>
  <c r="R21" i="3"/>
  <c r="R14" i="3"/>
  <c r="R15" i="3"/>
  <c r="R22" i="3"/>
  <c r="R23" i="3"/>
  <c r="R11" i="3"/>
  <c r="R6" i="3"/>
  <c r="Q11" i="3"/>
  <c r="R4" i="3"/>
  <c r="Q4" i="5"/>
  <c r="AX9" i="8" s="1"/>
  <c r="AY56" i="8"/>
  <c r="R20" i="3"/>
  <c r="R16" i="3"/>
  <c r="AX55" i="8"/>
  <c r="P16" i="3"/>
  <c r="P14" i="3"/>
  <c r="P11" i="3"/>
  <c r="O4" i="5"/>
  <c r="P20" i="3"/>
  <c r="P23" i="3"/>
  <c r="AV55" i="8"/>
  <c r="P22" i="3"/>
  <c r="P21" i="3"/>
  <c r="P17" i="3"/>
  <c r="AV56" i="8"/>
  <c r="Q9" i="3"/>
  <c r="AW56" i="8"/>
  <c r="AS9" i="3"/>
  <c r="BY56" i="8"/>
  <c r="BH56" i="8"/>
  <c r="AG9" i="3"/>
  <c r="S9" i="3"/>
  <c r="AC9" i="3"/>
  <c r="AP9" i="3"/>
  <c r="BC56" i="8"/>
  <c r="BV56" i="8"/>
  <c r="BM56" i="8"/>
  <c r="Q51" i="5"/>
  <c r="R10" i="3"/>
  <c r="Z9" i="3"/>
  <c r="AF10" i="3"/>
  <c r="AE51" i="5"/>
  <c r="AF43" i="5"/>
  <c r="BF56" i="8"/>
  <c r="Q52" i="5"/>
  <c r="R9" i="3"/>
  <c r="AX56" i="8"/>
  <c r="AE52" i="5"/>
  <c r="BL56" i="8"/>
  <c r="AF9" i="3"/>
  <c r="AT39" i="2"/>
  <c r="BH32" i="3" s="1"/>
  <c r="AV39" i="2"/>
  <c r="BJ32" i="3" s="1"/>
  <c r="AU39" i="2"/>
  <c r="BI32" i="3" s="1"/>
  <c r="AU3" i="2"/>
  <c r="AU19" i="2"/>
  <c r="AU29" i="2"/>
  <c r="AU33" i="2"/>
  <c r="AU35" i="2"/>
  <c r="AU37" i="2"/>
  <c r="AS28" i="3"/>
  <c r="AM4" i="3"/>
  <c r="AH39" i="2"/>
  <c r="AU32" i="3"/>
  <c r="AK3" i="2"/>
  <c r="AK19" i="2"/>
  <c r="AM49" i="1"/>
  <c r="AZ19" i="3"/>
  <c r="BC41" i="5"/>
  <c r="AY13" i="3"/>
  <c r="CE47" i="8"/>
  <c r="AZ13" i="3"/>
  <c r="AI39" i="2"/>
  <c r="AV32" i="3"/>
  <c r="AK39" i="2"/>
  <c r="AX32" i="3"/>
  <c r="AH3" i="2"/>
  <c r="AH19" i="2"/>
  <c r="AP3" i="2"/>
  <c r="AP19" i="2"/>
  <c r="AP29" i="2"/>
  <c r="AP33" i="2"/>
  <c r="AW27" i="1"/>
  <c r="CM52" i="8"/>
  <c r="AV5" i="3"/>
  <c r="AV18" i="3"/>
  <c r="AY5" i="5"/>
  <c r="AZ18" i="3"/>
  <c r="AJ38" i="1"/>
  <c r="AJ49" i="1"/>
  <c r="AV13" i="3"/>
  <c r="BB34" i="5"/>
  <c r="BF34" i="5"/>
  <c r="AY32" i="8"/>
  <c r="S27" i="3"/>
  <c r="R27" i="3"/>
  <c r="AY60" i="8"/>
  <c r="AY34" i="5"/>
  <c r="AN27" i="1"/>
  <c r="AZ17" i="3" s="1"/>
  <c r="X28" i="3"/>
  <c r="AS30" i="5"/>
  <c r="AP30" i="8"/>
  <c r="AP57" i="8"/>
  <c r="AH26" i="3"/>
  <c r="AP27" i="3"/>
  <c r="W41" i="5"/>
  <c r="X38" i="3"/>
  <c r="AN3" i="2"/>
  <c r="AN19" i="2"/>
  <c r="AN29" i="2"/>
  <c r="AN33" i="2"/>
  <c r="AT47" i="5"/>
  <c r="BA33" i="3"/>
  <c r="M3" i="2"/>
  <c r="AO38" i="3"/>
  <c r="BD43" i="5"/>
  <c r="G3" i="2"/>
  <c r="F39" i="2"/>
  <c r="C3" i="2"/>
  <c r="C19" i="2"/>
  <c r="C29" i="2"/>
  <c r="C33" i="2"/>
  <c r="C35" i="2"/>
  <c r="C37" i="2"/>
  <c r="AJ3" i="2"/>
  <c r="AJ19" i="2"/>
  <c r="AJ29" i="2"/>
  <c r="AJ33" i="2"/>
  <c r="B12" i="2"/>
  <c r="B39" i="2"/>
  <c r="F47" i="11"/>
  <c r="AQ39" i="2"/>
  <c r="BE32" i="3" s="1"/>
  <c r="H3" i="2"/>
  <c r="AG39" i="2"/>
  <c r="AT32" i="3"/>
  <c r="AR3" i="2"/>
  <c r="AR19" i="2"/>
  <c r="AR29" i="2"/>
  <c r="AR33" i="2"/>
  <c r="AS47" i="5"/>
  <c r="AM3" i="2"/>
  <c r="AM19" i="2"/>
  <c r="AJ39" i="2"/>
  <c r="AW32" i="3"/>
  <c r="E3" i="2"/>
  <c r="AP43" i="5"/>
  <c r="AL43" i="5"/>
  <c r="P43" i="5"/>
  <c r="AC33" i="3"/>
  <c r="AR43" i="5"/>
  <c r="AS3" i="2"/>
  <c r="AS19" i="2"/>
  <c r="AS29" i="2"/>
  <c r="AS33" i="2"/>
  <c r="T27" i="1"/>
  <c r="R27" i="1"/>
  <c r="S27" i="1"/>
  <c r="M27" i="1"/>
  <c r="P27" i="1"/>
  <c r="P51" i="1" s="1"/>
  <c r="O27" i="1"/>
  <c r="K49" i="1"/>
  <c r="J27" i="1"/>
  <c r="K27" i="1"/>
  <c r="L27" i="1"/>
  <c r="M49" i="1"/>
  <c r="M51" i="1"/>
  <c r="AS30" i="8"/>
  <c r="AG4" i="3"/>
  <c r="AG5" i="3"/>
  <c r="AG6" i="3"/>
  <c r="AQ5" i="3"/>
  <c r="AP60" i="8"/>
  <c r="AN26" i="3"/>
  <c r="AF19" i="3"/>
  <c r="Q5" i="3"/>
  <c r="AF6" i="3"/>
  <c r="CE59" i="8"/>
  <c r="AF4" i="3"/>
  <c r="AU33" i="8"/>
  <c r="BS33" i="8"/>
  <c r="BF30" i="5"/>
  <c r="AT27" i="1"/>
  <c r="AW27" i="8"/>
  <c r="AZ5" i="3"/>
  <c r="G8" i="1"/>
  <c r="G27" i="1"/>
  <c r="AL38" i="1"/>
  <c r="AL49" i="1" s="1"/>
  <c r="BA6" i="3"/>
  <c r="F4" i="3"/>
  <c r="C48" i="1"/>
  <c r="H48" i="1"/>
  <c r="H49" i="1" s="1"/>
  <c r="BB35" i="3"/>
  <c r="T27" i="3"/>
  <c r="BF9" i="8"/>
  <c r="AZ32" i="8"/>
  <c r="BA28" i="3"/>
  <c r="CJ32" i="8"/>
  <c r="BK32" i="8"/>
  <c r="CJ60" i="8"/>
  <c r="AN60" i="8"/>
  <c r="BK60" i="8"/>
  <c r="CM59" i="8"/>
  <c r="X26" i="3"/>
  <c r="F27" i="1"/>
  <c r="C38" i="1"/>
  <c r="C27" i="1"/>
  <c r="B49" i="1"/>
  <c r="BC57" i="8"/>
  <c r="BJ25" i="8"/>
  <c r="BJ9" i="8"/>
  <c r="BW15" i="8"/>
  <c r="AX58" i="8"/>
  <c r="F5" i="3"/>
  <c r="Z6" i="3"/>
  <c r="BF25" i="8"/>
  <c r="AR28" i="3"/>
  <c r="F6" i="3"/>
  <c r="BQ24" i="8"/>
  <c r="AK25" i="3"/>
  <c r="AP28" i="3"/>
  <c r="BD25" i="5"/>
  <c r="AX31" i="8"/>
  <c r="AR30" i="8"/>
  <c r="BQ9" i="8"/>
  <c r="H4" i="3"/>
  <c r="S5" i="3"/>
  <c r="BP26" i="8"/>
  <c r="S6" i="3"/>
  <c r="H5" i="3"/>
  <c r="S4" i="3"/>
  <c r="Y28" i="3"/>
  <c r="H6" i="3"/>
  <c r="BN59" i="8"/>
  <c r="G26" i="3"/>
  <c r="BC59" i="8"/>
  <c r="BN33" i="8"/>
  <c r="AU60" i="8"/>
  <c r="AL25" i="5"/>
  <c r="BL58" i="8"/>
  <c r="BC30" i="8"/>
  <c r="F26" i="3"/>
  <c r="N5" i="3"/>
  <c r="AO59" i="8"/>
  <c r="E6" i="3"/>
  <c r="AN33" i="8"/>
  <c r="CF33" i="8"/>
  <c r="AO33" i="8"/>
  <c r="BY26" i="8"/>
  <c r="BP30" i="8"/>
  <c r="AQ58" i="8"/>
  <c r="BA33" i="8"/>
  <c r="AJ27" i="3"/>
  <c r="AW34" i="8"/>
  <c r="AD26" i="3"/>
  <c r="AU58" i="8"/>
  <c r="J26" i="3"/>
  <c r="AP33" i="8"/>
  <c r="AJ5" i="3"/>
  <c r="AJ19" i="3"/>
  <c r="N6" i="3"/>
  <c r="BA59" i="8"/>
  <c r="BA21" i="8"/>
  <c r="AJ6" i="3"/>
  <c r="BP57" i="8"/>
  <c r="Z5" i="3"/>
  <c r="BP27" i="8"/>
  <c r="AR27" i="8"/>
  <c r="Z4" i="3"/>
  <c r="BN57" i="8"/>
  <c r="I26" i="3"/>
  <c r="BA25" i="8"/>
  <c r="AP25" i="8"/>
  <c r="AH19" i="3"/>
  <c r="AH5" i="3"/>
  <c r="AH4" i="3"/>
  <c r="BA60" i="8"/>
  <c r="CC60" i="8"/>
  <c r="BW60" i="8"/>
  <c r="BJ26" i="8"/>
  <c r="BW32" i="8"/>
  <c r="AD27" i="3"/>
  <c r="I49" i="1"/>
  <c r="I27" i="1"/>
  <c r="AS58" i="8"/>
  <c r="BF31" i="8"/>
  <c r="AG28" i="3"/>
  <c r="AZ15" i="8"/>
  <c r="AZ26" i="8"/>
  <c r="BE57" i="8"/>
  <c r="AS57" i="8"/>
  <c r="BE24" i="8"/>
  <c r="AJ24" i="3"/>
  <c r="AS9" i="8"/>
  <c r="BC33" i="8"/>
  <c r="BV26" i="8"/>
  <c r="M24" i="3"/>
  <c r="CM53" i="8"/>
  <c r="AT38" i="1"/>
  <c r="BZ59" i="8"/>
  <c r="CM33" i="8"/>
  <c r="AT26" i="3"/>
  <c r="BZ33" i="8"/>
  <c r="AW10" i="3"/>
  <c r="CM14" i="8"/>
  <c r="BF4" i="5"/>
  <c r="CM15" i="8" s="1"/>
  <c r="CM55" i="8"/>
  <c r="AD49" i="1"/>
  <c r="AF49" i="1"/>
  <c r="AF51" i="1" s="1"/>
  <c r="AG49" i="1"/>
  <c r="AD27" i="1"/>
  <c r="AD51" i="1" s="1"/>
  <c r="AE27" i="1"/>
  <c r="AG27" i="1"/>
  <c r="AC49" i="1"/>
  <c r="AA49" i="1"/>
  <c r="Z49" i="1"/>
  <c r="AC27" i="1"/>
  <c r="AB27" i="1"/>
  <c r="AB51" i="1" s="1"/>
  <c r="AA27" i="1"/>
  <c r="Z27" i="1"/>
  <c r="X49" i="1"/>
  <c r="X51" i="1" s="1"/>
  <c r="V49" i="1"/>
  <c r="W27" i="1"/>
  <c r="Y27" i="1"/>
  <c r="Y49" i="1"/>
  <c r="V27" i="1"/>
  <c r="G49" i="1"/>
  <c r="G51" i="1"/>
  <c r="AU49" i="1"/>
  <c r="B27" i="1"/>
  <c r="B51" i="1"/>
  <c r="U49" i="1"/>
  <c r="U51" i="1" s="1"/>
  <c r="BC14" i="5"/>
  <c r="BC11" i="5" s="1"/>
  <c r="AM27" i="1"/>
  <c r="AY6" i="3" s="1"/>
  <c r="AT48" i="1"/>
  <c r="AU5" i="3"/>
  <c r="AX13" i="3"/>
  <c r="AU18" i="3"/>
  <c r="AP27" i="1"/>
  <c r="BC22" i="3" s="1"/>
  <c r="L5" i="3"/>
  <c r="AU13" i="3"/>
  <c r="AN49" i="1"/>
  <c r="AN51" i="1" s="1"/>
  <c r="L6" i="3"/>
  <c r="AI38" i="1"/>
  <c r="AI49" i="1" s="1"/>
  <c r="AL27" i="1"/>
  <c r="AX22" i="3"/>
  <c r="L4" i="3"/>
  <c r="X6" i="3"/>
  <c r="AW5" i="5"/>
  <c r="AO49" i="1"/>
  <c r="AI27" i="1"/>
  <c r="AU20" i="3" s="1"/>
  <c r="AP15" i="8"/>
  <c r="AI25" i="5"/>
  <c r="AU9" i="8"/>
  <c r="AP49" i="1"/>
  <c r="BA11" i="3"/>
  <c r="BC14" i="3"/>
  <c r="BC20" i="3"/>
  <c r="BC16" i="3"/>
  <c r="BB4" i="5"/>
  <c r="BC4" i="3"/>
  <c r="BC21" i="3"/>
  <c r="CD55" i="8"/>
  <c r="AX17" i="3"/>
  <c r="AX21" i="3"/>
  <c r="AX23" i="3"/>
  <c r="AX14" i="3"/>
  <c r="AX15" i="3"/>
  <c r="AX16" i="3"/>
  <c r="AX20" i="3"/>
  <c r="CA55" i="8"/>
  <c r="AS11" i="3"/>
  <c r="AU14" i="3"/>
  <c r="AU15" i="3"/>
  <c r="AU17" i="3"/>
  <c r="CA14" i="8"/>
  <c r="AU21" i="3"/>
  <c r="AP51" i="1"/>
  <c r="CF55" i="8"/>
  <c r="AO27" i="1"/>
  <c r="AZ11" i="3" s="1"/>
  <c r="CK34" i="8"/>
  <c r="BA9" i="3"/>
  <c r="AZ23" i="3"/>
  <c r="AQ27" i="1"/>
  <c r="CJ14" i="8"/>
  <c r="AS27" i="1"/>
  <c r="AZ21" i="3"/>
  <c r="AY5" i="3"/>
  <c r="CF14" i="8"/>
  <c r="AZ14" i="3"/>
  <c r="AZ15" i="3"/>
  <c r="AT30" i="5"/>
  <c r="CA34" i="8" s="1"/>
  <c r="CM24" i="8"/>
  <c r="CL31" i="8"/>
  <c r="CK53" i="8"/>
  <c r="CL53" i="8"/>
  <c r="AR38" i="1"/>
  <c r="AR49" i="1"/>
  <c r="CG56" i="8"/>
  <c r="AV5" i="5"/>
  <c r="AW25" i="3" s="1"/>
  <c r="AW13" i="3"/>
  <c r="AV38" i="3"/>
  <c r="CL52" i="8"/>
  <c r="AZ6" i="3"/>
  <c r="AZ22" i="3"/>
  <c r="AK38" i="1"/>
  <c r="AK49" i="1"/>
  <c r="BB38" i="3"/>
  <c r="BQ21" i="8"/>
  <c r="CF59" i="8"/>
  <c r="BH59" i="8"/>
  <c r="E26" i="3"/>
  <c r="U25" i="3"/>
  <c r="BL32" i="8"/>
  <c r="BT60" i="8"/>
  <c r="AZ26" i="3"/>
  <c r="BJ33" i="8"/>
  <c r="AA4" i="3"/>
  <c r="BT33" i="8"/>
  <c r="O5" i="3"/>
  <c r="AN4" i="3"/>
  <c r="O26" i="3"/>
  <c r="AT41" i="5"/>
  <c r="AV59" i="8"/>
  <c r="AA5" i="3"/>
  <c r="AN6" i="3"/>
  <c r="BA4" i="3"/>
  <c r="BH30" i="8"/>
  <c r="BT32" i="8"/>
  <c r="BA5" i="3"/>
  <c r="AA6" i="3"/>
  <c r="CG33" i="8"/>
  <c r="BN58" i="8"/>
  <c r="BL15" i="8"/>
  <c r="AO4" i="3"/>
  <c r="AV60" i="8"/>
  <c r="AY59" i="8"/>
  <c r="BH32" i="8"/>
  <c r="BJ59" i="8"/>
  <c r="AH41" i="5"/>
  <c r="BH60" i="8"/>
  <c r="BS60" i="8"/>
  <c r="R28" i="3"/>
  <c r="BB9" i="8"/>
  <c r="BY27" i="8"/>
  <c r="BA27" i="8"/>
  <c r="AO6" i="3"/>
  <c r="AO5" i="3"/>
  <c r="X36" i="3"/>
  <c r="BO21" i="8"/>
  <c r="BH26" i="8"/>
  <c r="AK15" i="8"/>
  <c r="AX25" i="5"/>
  <c r="CE19" i="8" s="1"/>
  <c r="BE30" i="8"/>
  <c r="CE32" i="8"/>
  <c r="BI25" i="8"/>
  <c r="CE60" i="8"/>
  <c r="AV26" i="8"/>
  <c r="BS32" i="8"/>
  <c r="CF60" i="8"/>
  <c r="BV9" i="8"/>
  <c r="V4" i="3"/>
  <c r="BY58" i="8"/>
  <c r="BQ30" i="8"/>
  <c r="AP24" i="8"/>
  <c r="V5" i="3"/>
  <c r="Q28" i="3"/>
  <c r="D28" i="3"/>
  <c r="BY9" i="8"/>
  <c r="BA9" i="8"/>
  <c r="AZ27" i="8"/>
  <c r="V19" i="3"/>
  <c r="BQ57" i="8"/>
  <c r="BI34" i="8"/>
  <c r="BV30" i="8"/>
  <c r="J5" i="3"/>
  <c r="BT34" i="8"/>
  <c r="O28" i="3"/>
  <c r="P25" i="5"/>
  <c r="C25" i="5"/>
  <c r="AS25" i="3"/>
  <c r="CE31" i="8"/>
  <c r="BD21" i="8"/>
  <c r="CL58" i="8"/>
  <c r="CI58" i="8"/>
  <c r="H26" i="3"/>
  <c r="BY31" i="8"/>
  <c r="J25" i="3"/>
  <c r="Y24" i="3"/>
  <c r="BB25" i="5"/>
  <c r="CI19" i="8" s="1"/>
  <c r="X24" i="3"/>
  <c r="BY24" i="8"/>
  <c r="AP58" i="8"/>
  <c r="AD25" i="5"/>
  <c r="G28" i="3"/>
  <c r="BP59" i="8"/>
  <c r="BH58" i="8"/>
  <c r="U4" i="3"/>
  <c r="BD25" i="8"/>
  <c r="AT19" i="3"/>
  <c r="I5" i="3"/>
  <c r="BR33" i="8"/>
  <c r="K26" i="3"/>
  <c r="CC33" i="8"/>
  <c r="AQ25" i="3"/>
  <c r="AL26" i="8"/>
  <c r="I4" i="3"/>
  <c r="BS24" i="8"/>
  <c r="BP33" i="8"/>
  <c r="BT58" i="8"/>
  <c r="BM9" i="8"/>
  <c r="BO15" i="8"/>
  <c r="BC15" i="8"/>
  <c r="BP25" i="8"/>
  <c r="AN28" i="3"/>
  <c r="BC21" i="8"/>
  <c r="BW24" i="8"/>
  <c r="I6" i="3"/>
  <c r="S35" i="3"/>
  <c r="AB25" i="3"/>
  <c r="S25" i="5"/>
  <c r="AZ19" i="8" s="1"/>
  <c r="G25" i="5"/>
  <c r="AN19" i="8" s="1"/>
  <c r="Q26" i="3"/>
  <c r="AO25" i="5"/>
  <c r="BV19" i="8" s="1"/>
  <c r="R35" i="3"/>
  <c r="AO58" i="8"/>
  <c r="E35" i="3"/>
  <c r="R25" i="5"/>
  <c r="AY19" i="8" s="1"/>
  <c r="F25" i="5"/>
  <c r="BW58" i="8"/>
  <c r="P28" i="3"/>
  <c r="BT31" i="8"/>
  <c r="AQ60" i="8"/>
  <c r="BD31" i="8"/>
  <c r="BH24" i="8"/>
  <c r="CC59" i="8"/>
  <c r="BJ21" i="8"/>
  <c r="BH31" i="8"/>
  <c r="I25" i="3"/>
  <c r="K27" i="3"/>
  <c r="AY4" i="3"/>
  <c r="N28" i="3"/>
  <c r="W25" i="5"/>
  <c r="BD19" i="8" s="1"/>
  <c r="O25" i="5"/>
  <c r="AV19" i="8" s="1"/>
  <c r="Z25" i="5"/>
  <c r="BG19" i="8" s="1"/>
  <c r="N25" i="5"/>
  <c r="AU19" i="8" s="1"/>
  <c r="CG15" i="8"/>
  <c r="AY19" i="3"/>
  <c r="AL6" i="3"/>
  <c r="AY30" i="8"/>
  <c r="BJ34" i="8"/>
  <c r="BA57" i="8"/>
  <c r="BD33" i="8"/>
  <c r="Q4" i="3"/>
  <c r="AL35" i="3"/>
  <c r="Q19" i="3"/>
  <c r="T36" i="3"/>
  <c r="AY15" i="8"/>
  <c r="J27" i="3"/>
  <c r="AB35" i="3"/>
  <c r="J28" i="3"/>
  <c r="BR9" i="8"/>
  <c r="BQ27" i="8"/>
  <c r="BE27" i="8"/>
  <c r="AS27" i="8"/>
  <c r="BJ32" i="8"/>
  <c r="E27" i="3"/>
  <c r="BV25" i="8"/>
  <c r="AY27" i="8"/>
  <c r="AL4" i="3"/>
  <c r="BF58" i="8"/>
  <c r="CA33" i="8"/>
  <c r="AY24" i="8"/>
  <c r="BK34" i="8"/>
  <c r="CI34" i="8"/>
  <c r="BT15" i="8"/>
  <c r="T25" i="5"/>
  <c r="BA19" i="8" s="1"/>
  <c r="AL19" i="3"/>
  <c r="BG21" i="8"/>
  <c r="CA59" i="8"/>
  <c r="AP9" i="8"/>
  <c r="T24" i="3"/>
  <c r="AP26" i="8"/>
  <c r="AN26" i="8"/>
  <c r="BX32" i="8"/>
  <c r="BO32" i="8"/>
  <c r="BX60" i="8"/>
  <c r="BF30" i="8"/>
  <c r="CH58" i="8"/>
  <c r="BG31" i="8"/>
  <c r="AH35" i="3"/>
  <c r="D25" i="5"/>
  <c r="AK19" i="8" s="1"/>
  <c r="BC60" i="8"/>
  <c r="CM27" i="8"/>
  <c r="Z24" i="3"/>
  <c r="AX34" i="8"/>
  <c r="BN31" i="8"/>
  <c r="BI60" i="8"/>
  <c r="BB25" i="3"/>
  <c r="AX57" i="8"/>
  <c r="AK4" i="3"/>
  <c r="AK27" i="8"/>
  <c r="BS59" i="8"/>
  <c r="BL33" i="8"/>
  <c r="N25" i="3"/>
  <c r="AU21" i="8"/>
  <c r="BI26" i="8"/>
  <c r="BF32" i="8"/>
  <c r="BF21" i="8"/>
  <c r="S14" i="5"/>
  <c r="S11" i="5" s="1"/>
  <c r="T29" i="3" s="1"/>
  <c r="AZ25" i="8"/>
  <c r="AC25" i="5"/>
  <c r="BJ19" i="8"/>
  <c r="AM57" i="8"/>
  <c r="E28" i="3"/>
  <c r="BB59" i="8"/>
  <c r="CI33" i="8"/>
  <c r="AL24" i="3"/>
  <c r="AS25" i="8"/>
  <c r="BV60" i="8"/>
  <c r="CI57" i="8"/>
  <c r="BL25" i="8"/>
  <c r="CI59" i="8"/>
  <c r="BS19" i="8"/>
  <c r="H35" i="3"/>
  <c r="AT58" i="8"/>
  <c r="BG58" i="8"/>
  <c r="AS33" i="8"/>
  <c r="BR57" i="8"/>
  <c r="BJ31" i="8"/>
  <c r="M25" i="3"/>
  <c r="BF57" i="8"/>
  <c r="BS31" i="8"/>
  <c r="BB25" i="8"/>
  <c r="CG21" i="8"/>
  <c r="AY25" i="5"/>
  <c r="CF19" i="8" s="1"/>
  <c r="AW58" i="8"/>
  <c r="H28" i="3"/>
  <c r="AP26" i="3"/>
  <c r="E4" i="3"/>
  <c r="BI32" i="8"/>
  <c r="AT31" i="8"/>
  <c r="U5" i="3"/>
  <c r="BV32" i="8"/>
  <c r="AW14" i="5"/>
  <c r="AW11" i="5" s="1"/>
  <c r="CD6" i="8" s="1"/>
  <c r="BW9" i="8"/>
  <c r="AY9" i="8"/>
  <c r="BV27" i="8"/>
  <c r="BJ27" i="8"/>
  <c r="AX27" i="8"/>
  <c r="AL27" i="8"/>
  <c r="BR26" i="8"/>
  <c r="AK24" i="8"/>
  <c r="U19" i="3"/>
  <c r="R26" i="3"/>
  <c r="AK14" i="5"/>
  <c r="AK11" i="5" s="1"/>
  <c r="BR8" i="8" s="1"/>
  <c r="Z36" i="3"/>
  <c r="BF27" i="8"/>
  <c r="BB33" i="8"/>
  <c r="BF26" i="8"/>
  <c r="BF59" i="8"/>
  <c r="BS58" i="8"/>
  <c r="BR27" i="8"/>
  <c r="J19" i="3"/>
  <c r="Y14" i="5"/>
  <c r="Y11" i="5" s="1"/>
  <c r="M14" i="5"/>
  <c r="M11" i="5"/>
  <c r="AT7" i="8" s="1"/>
  <c r="AK21" i="8"/>
  <c r="BF24" i="8"/>
  <c r="J4" i="3"/>
  <c r="P35" i="3"/>
  <c r="BV15" i="8"/>
  <c r="BJ15" i="8"/>
  <c r="V25" i="5"/>
  <c r="BC19" i="8" s="1"/>
  <c r="J25" i="5"/>
  <c r="AQ19" i="8" s="1"/>
  <c r="AI14" i="5"/>
  <c r="AI11" i="5"/>
  <c r="AJ29" i="3" s="1"/>
  <c r="AT25" i="5"/>
  <c r="CA19" i="8" s="1"/>
  <c r="T4" i="3"/>
  <c r="BN32" i="8"/>
  <c r="BC34" i="8"/>
  <c r="CG34" i="8"/>
  <c r="AF35" i="3"/>
  <c r="AR60" i="8"/>
  <c r="F28" i="3"/>
  <c r="CG27" i="8"/>
  <c r="AB25" i="5"/>
  <c r="BI19" i="8" s="1"/>
  <c r="CJ58" i="8"/>
  <c r="CL34" i="8"/>
  <c r="AV15" i="8"/>
  <c r="BE33" i="8"/>
  <c r="AV27" i="8"/>
  <c r="T19" i="3"/>
  <c r="K6" i="3"/>
  <c r="Q14" i="5"/>
  <c r="BN60" i="8"/>
  <c r="AK5" i="3"/>
  <c r="BI57" i="8"/>
  <c r="AV9" i="8"/>
  <c r="AR26" i="8"/>
  <c r="AV21" i="8"/>
  <c r="T5" i="3"/>
  <c r="AR35" i="3"/>
  <c r="AY57" i="8"/>
  <c r="AX4" i="3"/>
  <c r="AV30" i="8"/>
  <c r="AL30" i="8"/>
  <c r="K4" i="3"/>
  <c r="AL25" i="8"/>
  <c r="AV25" i="8"/>
  <c r="BI30" i="8"/>
  <c r="U41" i="5"/>
  <c r="U37" i="5" s="1"/>
  <c r="V30" i="3" s="1"/>
  <c r="BI59" i="8"/>
  <c r="AL21" i="8"/>
  <c r="AX6" i="3"/>
  <c r="AX5" i="3"/>
  <c r="CB59" i="8"/>
  <c r="AV57" i="8"/>
  <c r="BB31" i="8"/>
  <c r="K5" i="3"/>
  <c r="BI33" i="8"/>
  <c r="BV59" i="8"/>
  <c r="BB58" i="8"/>
  <c r="AL9" i="8"/>
  <c r="CA32" i="8"/>
  <c r="BO31" i="8"/>
  <c r="K25" i="5"/>
  <c r="AR19" i="8" s="1"/>
  <c r="BV33" i="8"/>
  <c r="CA60" i="8"/>
  <c r="AO15" i="8"/>
  <c r="F14" i="5"/>
  <c r="F11" i="5" s="1"/>
  <c r="AM8" i="8" s="1"/>
  <c r="AK6" i="3"/>
  <c r="AP21" i="8"/>
  <c r="AO24" i="8"/>
  <c r="AN41" i="5"/>
  <c r="BE26" i="8"/>
  <c r="AX24" i="8"/>
  <c r="AI27" i="3"/>
  <c r="CB32" i="8"/>
  <c r="CB60" i="8"/>
  <c r="AO30" i="8"/>
  <c r="BO33" i="8"/>
  <c r="AI6" i="3"/>
  <c r="AO57" i="8"/>
  <c r="AE14" i="5"/>
  <c r="AE11" i="5" s="1"/>
  <c r="BL8" i="8" s="1"/>
  <c r="AM25" i="5"/>
  <c r="BT19" i="8" s="1"/>
  <c r="AA25" i="5"/>
  <c r="BH19" i="8" s="1"/>
  <c r="BE25" i="5"/>
  <c r="CL19" i="8" s="1"/>
  <c r="CK60" i="8"/>
  <c r="BO25" i="8"/>
  <c r="BG15" i="8"/>
  <c r="AA24" i="3"/>
  <c r="CD34" i="8"/>
  <c r="M25" i="5"/>
  <c r="AT19" i="8" s="1"/>
  <c r="BK57" i="8"/>
  <c r="BM27" i="8"/>
  <c r="BG24" i="8"/>
  <c r="AV24" i="8"/>
  <c r="BC25" i="5"/>
  <c r="BM30" i="8"/>
  <c r="AX26" i="8"/>
  <c r="Z35" i="3"/>
  <c r="O35" i="3"/>
  <c r="AP25" i="3"/>
  <c r="BD34" i="8"/>
  <c r="AR26" i="3"/>
  <c r="Y27" i="3"/>
  <c r="AC14" i="5"/>
  <c r="AC11" i="5" s="1"/>
  <c r="AC12" i="5"/>
  <c r="BJ10" i="8" s="1"/>
  <c r="AX30" i="8"/>
  <c r="AG36" i="3"/>
  <c r="BG57" i="8"/>
  <c r="AI26" i="3"/>
  <c r="AK35" i="3"/>
  <c r="AG25" i="5"/>
  <c r="BN19" i="8" s="1"/>
  <c r="BV24" i="8"/>
  <c r="N35" i="3"/>
  <c r="BK30" i="8"/>
  <c r="BM25" i="8"/>
  <c r="BR32" i="8"/>
  <c r="BE60" i="8"/>
  <c r="AV35" i="3"/>
  <c r="AZ60" i="8"/>
  <c r="AW59" i="8"/>
  <c r="M28" i="3"/>
  <c r="AX15" i="8"/>
  <c r="BR60" i="8"/>
  <c r="I24" i="3"/>
  <c r="BO59" i="8"/>
  <c r="BG9" i="8"/>
  <c r="BG25" i="8"/>
  <c r="BO26" i="8"/>
  <c r="BE32" i="8"/>
  <c r="W35" i="3"/>
  <c r="G14" i="5"/>
  <c r="G11" i="5" s="1"/>
  <c r="AN8" i="8"/>
  <c r="AU14" i="5"/>
  <c r="AU11" i="5" s="1"/>
  <c r="BP9" i="8"/>
  <c r="AR9" i="8"/>
  <c r="BO27" i="8"/>
  <c r="BC27" i="8"/>
  <c r="BM33" i="8"/>
  <c r="BX25" i="8"/>
  <c r="R24" i="3"/>
  <c r="CJ31" i="8"/>
  <c r="BO60" i="8"/>
  <c r="O25" i="3"/>
  <c r="AI5" i="3"/>
  <c r="BQ15" i="8"/>
  <c r="BE15" i="8"/>
  <c r="AS15" i="8"/>
  <c r="BO9" i="8"/>
  <c r="BC9" i="8"/>
  <c r="BN27" i="8"/>
  <c r="BB27" i="8"/>
  <c r="AP27" i="8"/>
  <c r="AB24" i="3"/>
  <c r="AX21" i="8"/>
  <c r="BM26" i="8"/>
  <c r="BG26" i="8"/>
  <c r="CI31" i="8"/>
  <c r="AO27" i="8"/>
  <c r="AS34" i="8"/>
  <c r="AG35" i="3"/>
  <c r="BD15" i="8"/>
  <c r="AQ14" i="5"/>
  <c r="AQ11" i="5" s="1"/>
  <c r="BX8" i="8" s="1"/>
  <c r="BM57" i="8"/>
  <c r="S24" i="3"/>
  <c r="BK21" i="8"/>
  <c r="BM24" i="8"/>
  <c r="M19" i="3"/>
  <c r="M4" i="3"/>
  <c r="I36" i="3"/>
  <c r="BN21" i="8"/>
  <c r="AP14" i="5"/>
  <c r="AP11" i="5" s="1"/>
  <c r="AX25" i="8"/>
  <c r="BG60" i="8"/>
  <c r="M6" i="3"/>
  <c r="CB33" i="8"/>
  <c r="BI31" i="8"/>
  <c r="AW30" i="8"/>
  <c r="CC31" i="8"/>
  <c r="BB14" i="5"/>
  <c r="BB11" i="5" s="1"/>
  <c r="BV6" i="8"/>
  <c r="BX21" i="8"/>
  <c r="AM24" i="8"/>
  <c r="AM35" i="3"/>
  <c r="Q24" i="3"/>
  <c r="BN24" i="8"/>
  <c r="BX24" i="8"/>
  <c r="AT15" i="8"/>
  <c r="AM5" i="3"/>
  <c r="F10" i="11"/>
  <c r="V35" i="3"/>
  <c r="AF27" i="3"/>
  <c r="W27" i="3"/>
  <c r="AB26" i="3"/>
  <c r="AR59" i="8"/>
  <c r="AC19" i="3"/>
  <c r="AS19" i="3"/>
  <c r="BC27" i="3"/>
  <c r="AI36" i="3"/>
  <c r="AM15" i="8"/>
  <c r="F25" i="11"/>
  <c r="BY60" i="8"/>
  <c r="D27" i="3"/>
  <c r="BR58" i="8"/>
  <c r="AT30" i="8"/>
  <c r="BV31" i="8"/>
  <c r="BY33" i="8"/>
  <c r="CD32" i="8"/>
  <c r="CG24" i="8"/>
  <c r="AS36" i="3"/>
  <c r="BQ59" i="8"/>
  <c r="M27" i="3"/>
  <c r="AS5" i="3"/>
  <c r="AM19" i="3"/>
  <c r="BY25" i="8"/>
  <c r="BJ57" i="8"/>
  <c r="AS26" i="8"/>
  <c r="BC19" i="3"/>
  <c r="BC35" i="3"/>
  <c r="AM26" i="8"/>
  <c r="BX57" i="8"/>
  <c r="F43" i="11"/>
  <c r="BM58" i="8"/>
  <c r="BY32" i="8"/>
  <c r="AX60" i="8"/>
  <c r="AT26" i="8"/>
  <c r="AX27" i="3"/>
  <c r="BI24" i="8"/>
  <c r="CE58" i="8"/>
  <c r="BJ30" i="8"/>
  <c r="BV58" i="8"/>
  <c r="BO30" i="8"/>
  <c r="BU33" i="8"/>
  <c r="BB5" i="3"/>
  <c r="X25" i="3"/>
  <c r="AE35" i="3"/>
  <c r="E14" i="5"/>
  <c r="E11" i="5" s="1"/>
  <c r="BB41" i="5"/>
  <c r="BB37" i="5" s="1"/>
  <c r="AK25" i="5"/>
  <c r="BR19" i="8" s="1"/>
  <c r="BE41" i="5"/>
  <c r="BN30" i="8"/>
  <c r="BP31" i="8"/>
  <c r="AL24" i="8"/>
  <c r="CC58" i="8"/>
  <c r="V24" i="3"/>
  <c r="Y5" i="3"/>
  <c r="BU32" i="8"/>
  <c r="D6" i="3"/>
  <c r="BT21" i="8"/>
  <c r="AW15" i="8"/>
  <c r="BN15" i="8"/>
  <c r="BB30" i="8"/>
  <c r="BP24" i="8"/>
  <c r="BC26" i="8"/>
  <c r="BI58" i="8"/>
  <c r="BB15" i="8"/>
  <c r="BD24" i="8"/>
  <c r="CI60" i="8"/>
  <c r="AC25" i="3"/>
  <c r="BY15" i="8"/>
  <c r="BM15" i="8"/>
  <c r="BA15" i="8"/>
  <c r="U14" i="5"/>
  <c r="U11" i="5" s="1"/>
  <c r="BB7" i="8" s="1"/>
  <c r="BO57" i="8"/>
  <c r="AZ30" i="8"/>
  <c r="AH24" i="3"/>
  <c r="AZ31" i="8"/>
  <c r="BT30" i="8"/>
  <c r="BP32" i="8"/>
  <c r="BQ58" i="8"/>
  <c r="AC5" i="3"/>
  <c r="AR33" i="8"/>
  <c r="BH33" i="8"/>
  <c r="BP19" i="8"/>
  <c r="BC32" i="8"/>
  <c r="CH32" i="8"/>
  <c r="CI32" i="8"/>
  <c r="BX26" i="8"/>
  <c r="AY28" i="3"/>
  <c r="AC41" i="5"/>
  <c r="AC37" i="5" s="1"/>
  <c r="AD37" i="3" s="1"/>
  <c r="CG30" i="8"/>
  <c r="BX58" i="8"/>
  <c r="BX30" i="8"/>
  <c r="AN5" i="3"/>
  <c r="D26" i="3"/>
  <c r="AS6" i="3"/>
  <c r="BM59" i="8"/>
  <c r="AZ24" i="8"/>
  <c r="AZ35" i="3"/>
  <c r="AN35" i="3"/>
  <c r="BT59" i="8"/>
  <c r="AI24" i="3"/>
  <c r="BN34" i="8"/>
  <c r="AY31" i="8"/>
  <c r="BG30" i="8"/>
  <c r="T26" i="3"/>
  <c r="BG32" i="8"/>
  <c r="BM31" i="8"/>
  <c r="BP60" i="8"/>
  <c r="N24" i="3"/>
  <c r="AW25" i="8"/>
  <c r="BQ33" i="8"/>
  <c r="AT60" i="8"/>
  <c r="BD58" i="8"/>
  <c r="AW33" i="8"/>
  <c r="E19" i="3"/>
  <c r="E25" i="5"/>
  <c r="AL19" i="8" s="1"/>
  <c r="K14" i="5"/>
  <c r="K11" i="5" s="1"/>
  <c r="N14" i="5"/>
  <c r="N11" i="5" s="1"/>
  <c r="AU8" i="8" s="1"/>
  <c r="AW9" i="8"/>
  <c r="BT27" i="8"/>
  <c r="BD59" i="8"/>
  <c r="AZ25" i="5"/>
  <c r="CG19" i="8" s="1"/>
  <c r="BH25" i="8"/>
  <c r="CB58" i="8"/>
  <c r="AJ25" i="3"/>
  <c r="CG57" i="8"/>
  <c r="BD9" i="8"/>
  <c r="Y4" i="3"/>
  <c r="BT9" i="8"/>
  <c r="BI21" i="8"/>
  <c r="BU60" i="8"/>
  <c r="BT25" i="8"/>
  <c r="AR21" i="8"/>
  <c r="AW21" i="8"/>
  <c r="BQ25" i="8"/>
  <c r="L26" i="3"/>
  <c r="AV58" i="8"/>
  <c r="L27" i="3"/>
  <c r="AS60" i="8"/>
  <c r="J14" i="5"/>
  <c r="J11" i="5" s="1"/>
  <c r="AQ35" i="8" s="1"/>
  <c r="AM27" i="8"/>
  <c r="Y6" i="3"/>
  <c r="O24" i="3"/>
  <c r="O4" i="3"/>
  <c r="N27" i="3"/>
  <c r="CG31" i="8"/>
  <c r="BR31" i="8"/>
  <c r="I28" i="3"/>
  <c r="AC6" i="3"/>
  <c r="AX32" i="8"/>
  <c r="CK32" i="8"/>
  <c r="AX41" i="5"/>
  <c r="AH14" i="5"/>
  <c r="AH11" i="5" s="1"/>
  <c r="BB4" i="3"/>
  <c r="BN9" i="8"/>
  <c r="AH36" i="3"/>
  <c r="AM9" i="8"/>
  <c r="BL26" i="8"/>
  <c r="BY59" i="8"/>
  <c r="D5" i="3"/>
  <c r="O6" i="3"/>
  <c r="BT57" i="8"/>
  <c r="D19" i="3"/>
  <c r="BU59" i="8"/>
  <c r="AR25" i="8"/>
  <c r="BV34" i="8"/>
  <c r="BL60" i="8"/>
  <c r="BH34" i="8"/>
  <c r="AW41" i="5"/>
  <c r="AU25" i="5"/>
  <c r="CB19" i="8" s="1"/>
  <c r="AH25" i="5"/>
  <c r="BO19" i="8" s="1"/>
  <c r="U25" i="5"/>
  <c r="BB19" i="8"/>
  <c r="L25" i="5"/>
  <c r="AG14" i="5"/>
  <c r="AG11" i="5" s="1"/>
  <c r="BN26" i="8"/>
  <c r="AZ57" i="8"/>
  <c r="CC32" i="8"/>
  <c r="BT24" i="8"/>
  <c r="AK26" i="8"/>
  <c r="BX31" i="8"/>
  <c r="W24" i="3"/>
  <c r="CG58" i="8"/>
  <c r="BB6" i="3"/>
  <c r="BE59" i="8"/>
  <c r="BB26" i="8"/>
  <c r="BF60" i="8"/>
  <c r="CH60" i="8"/>
  <c r="K35" i="3"/>
  <c r="AC28" i="3"/>
  <c r="AD35" i="3"/>
  <c r="AQ26" i="3"/>
  <c r="BW25" i="8"/>
  <c r="CJ33" i="8"/>
  <c r="BW59" i="8"/>
  <c r="BW33" i="8"/>
  <c r="CJ59" i="8"/>
  <c r="AU25" i="3"/>
  <c r="CA58" i="8"/>
  <c r="CA31" i="8"/>
  <c r="W5" i="3"/>
  <c r="W19" i="3"/>
  <c r="W4" i="3"/>
  <c r="W6" i="3"/>
  <c r="AX35" i="3"/>
  <c r="AW28" i="3"/>
  <c r="C25" i="13"/>
  <c r="CD33" i="8"/>
  <c r="CD59" i="8"/>
  <c r="AX26" i="3"/>
  <c r="CJ19" i="8"/>
  <c r="AN35" i="8"/>
  <c r="AT27" i="3"/>
  <c r="BZ60" i="8"/>
  <c r="BZ32" i="8"/>
  <c r="CM60" i="8"/>
  <c r="CM32" i="8"/>
  <c r="CG9" i="8"/>
  <c r="AM21" i="8"/>
  <c r="AM34" i="8"/>
  <c r="AZ34" i="8"/>
  <c r="BJ7" i="8"/>
  <c r="Z14" i="5"/>
  <c r="Z11" i="5" s="1"/>
  <c r="AY14" i="5"/>
  <c r="AY11" i="5" s="1"/>
  <c r="AM14" i="5"/>
  <c r="AM11" i="5" s="1"/>
  <c r="C14" i="5"/>
  <c r="C11" i="5" s="1"/>
  <c r="BU9" i="8"/>
  <c r="BI9" i="8"/>
  <c r="AK9" i="8"/>
  <c r="G27" i="3"/>
  <c r="AO26" i="8"/>
  <c r="BB60" i="8"/>
  <c r="AO32" i="8"/>
  <c r="I27" i="3"/>
  <c r="AO60" i="8"/>
  <c r="F27" i="3"/>
  <c r="BB32" i="8"/>
  <c r="H27" i="3"/>
  <c r="AR6" i="3"/>
  <c r="AR5" i="3"/>
  <c r="AR19" i="3"/>
  <c r="AR4" i="3"/>
  <c r="AW19" i="3"/>
  <c r="AW5" i="3"/>
  <c r="BU30" i="8"/>
  <c r="BU24" i="8"/>
  <c r="BU57" i="8"/>
  <c r="BU27" i="8"/>
  <c r="AO24" i="3"/>
  <c r="AP24" i="3"/>
  <c r="BU25" i="8"/>
  <c r="BU21" i="8"/>
  <c r="BU26" i="8"/>
  <c r="AW60" i="8"/>
  <c r="Q27" i="3"/>
  <c r="BJ60" i="8"/>
  <c r="P27" i="3"/>
  <c r="AW32" i="8"/>
  <c r="AW26" i="8"/>
  <c r="AM33" i="8"/>
  <c r="AM59" i="8"/>
  <c r="AZ33" i="8"/>
  <c r="AM25" i="8"/>
  <c r="AZ59" i="8"/>
  <c r="CL60" i="8"/>
  <c r="CL32" i="8"/>
  <c r="AY34" i="8"/>
  <c r="BL34" i="8"/>
  <c r="AY21" i="8"/>
  <c r="N26" i="3"/>
  <c r="BG33" i="8"/>
  <c r="BG59" i="8"/>
  <c r="AT33" i="8"/>
  <c r="AT59" i="8"/>
  <c r="AT25" i="8"/>
  <c r="M26" i="3"/>
  <c r="BU34" i="8"/>
  <c r="BH21" i="8"/>
  <c r="AR58" i="8"/>
  <c r="K25" i="3"/>
  <c r="AR24" i="8"/>
  <c r="AR31" i="8"/>
  <c r="L25" i="3"/>
  <c r="BE31" i="8"/>
  <c r="BE58" i="8"/>
  <c r="BP21" i="8"/>
  <c r="BP34" i="8"/>
  <c r="AE6" i="3"/>
  <c r="AE4" i="3"/>
  <c r="AE5" i="3"/>
  <c r="AX12" i="5"/>
  <c r="AY29" i="3"/>
  <c r="AQ25" i="8"/>
  <c r="AQ24" i="8"/>
  <c r="AQ26" i="8"/>
  <c r="BD30" i="8"/>
  <c r="AQ21" i="8"/>
  <c r="AQ30" i="8"/>
  <c r="L24" i="3"/>
  <c r="AQ15" i="8"/>
  <c r="AQ27" i="8"/>
  <c r="AQ9" i="8"/>
  <c r="BD57" i="8"/>
  <c r="K24" i="3"/>
  <c r="P19" i="3"/>
  <c r="P6" i="3"/>
  <c r="P4" i="3"/>
  <c r="P5" i="3"/>
  <c r="BD26" i="8"/>
  <c r="X27" i="3"/>
  <c r="BD60" i="8"/>
  <c r="BQ32" i="8"/>
  <c r="BQ60" i="8"/>
  <c r="BD32" i="8"/>
  <c r="AC36" i="3"/>
  <c r="AK36" i="3"/>
  <c r="AC35" i="3"/>
  <c r="BD41" i="5"/>
  <c r="BD37" i="5" s="1"/>
  <c r="AJ36" i="3"/>
  <c r="H36" i="3"/>
  <c r="AB41" i="5"/>
  <c r="AB37" i="5" s="1"/>
  <c r="AF36" i="3"/>
  <c r="R36" i="3"/>
  <c r="AW35" i="3"/>
  <c r="AR36" i="3"/>
  <c r="AJ35" i="3"/>
  <c r="W36" i="3"/>
  <c r="AQ36" i="3"/>
  <c r="AP36" i="3"/>
  <c r="AA36" i="3"/>
  <c r="O36" i="3"/>
  <c r="AT35" i="3"/>
  <c r="J35" i="3"/>
  <c r="Q36" i="3"/>
  <c r="Y36" i="3"/>
  <c r="S36" i="3"/>
  <c r="V36" i="3"/>
  <c r="AO36" i="3"/>
  <c r="AS35" i="3"/>
  <c r="I35" i="3"/>
  <c r="AR41" i="5"/>
  <c r="AR37" i="5"/>
  <c r="L36" i="3"/>
  <c r="K36" i="3"/>
  <c r="AM36" i="3"/>
  <c r="BF41" i="5"/>
  <c r="BF37" i="5" s="1"/>
  <c r="AF3" i="2"/>
  <c r="AF19" i="2"/>
  <c r="AF29" i="2"/>
  <c r="AF33" i="2"/>
  <c r="AF35" i="2"/>
  <c r="AF37" i="2"/>
  <c r="AA39" i="2"/>
  <c r="AD39" i="2"/>
  <c r="AB39" i="2"/>
  <c r="AB19" i="2"/>
  <c r="AB29" i="2"/>
  <c r="AB33" i="2"/>
  <c r="AB35" i="2"/>
  <c r="AB37" i="2"/>
  <c r="Z3" i="2"/>
  <c r="Z19" i="2"/>
  <c r="Z29" i="2"/>
  <c r="Z33" i="2"/>
  <c r="Z35" i="2"/>
  <c r="Z37" i="2"/>
  <c r="AD3" i="2"/>
  <c r="AD19" i="2"/>
  <c r="AD29" i="2"/>
  <c r="AD33" i="2"/>
  <c r="AD35" i="2"/>
  <c r="AD37" i="2"/>
  <c r="AC3" i="2"/>
  <c r="AC19" i="2"/>
  <c r="AC29" i="2"/>
  <c r="AC33" i="2"/>
  <c r="AC35" i="2"/>
  <c r="AC37" i="2"/>
  <c r="U39" i="2"/>
  <c r="X39" i="2"/>
  <c r="X3" i="2"/>
  <c r="X19" i="2"/>
  <c r="X29" i="2"/>
  <c r="X33" i="2"/>
  <c r="X35" i="2"/>
  <c r="X37" i="2"/>
  <c r="W3" i="2"/>
  <c r="W19" i="2"/>
  <c r="W29" i="2"/>
  <c r="W33" i="2"/>
  <c r="W35" i="2"/>
  <c r="W37" i="2"/>
  <c r="S43" i="5"/>
  <c r="H33" i="3"/>
  <c r="AE43" i="5"/>
  <c r="T41" i="5"/>
  <c r="T37" i="5" s="1"/>
  <c r="AE41" i="5"/>
  <c r="AO41" i="5"/>
  <c r="AO37" i="5"/>
  <c r="AP37" i="3" s="1"/>
  <c r="R43" i="5"/>
  <c r="AD41" i="5"/>
  <c r="AD37" i="5"/>
  <c r="AE39" i="3"/>
  <c r="AP41" i="5"/>
  <c r="AP37" i="5" s="1"/>
  <c r="AN43" i="5"/>
  <c r="D37" i="5"/>
  <c r="AY41" i="5"/>
  <c r="AY37" i="5" s="1"/>
  <c r="O33" i="3"/>
  <c r="AG43" i="5"/>
  <c r="AC38" i="3"/>
  <c r="X41" i="5"/>
  <c r="X37" i="5" s="1"/>
  <c r="AK43" i="5"/>
  <c r="V43" i="5"/>
  <c r="Z43" i="5"/>
  <c r="N33" i="3"/>
  <c r="AY38" i="3"/>
  <c r="AJ43" i="5"/>
  <c r="BA41" i="5"/>
  <c r="BA37" i="5" s="1"/>
  <c r="Y43" i="5"/>
  <c r="P37" i="5"/>
  <c r="Q39" i="3"/>
  <c r="AK41" i="5"/>
  <c r="AK37" i="5" s="1"/>
  <c r="AL30" i="3" s="1"/>
  <c r="V41" i="5"/>
  <c r="V37" i="5" s="1"/>
  <c r="Y33" i="3"/>
  <c r="AG41" i="5"/>
  <c r="L43" i="5"/>
  <c r="AI41" i="5"/>
  <c r="AI37" i="5"/>
  <c r="AH43" i="5"/>
  <c r="AJ41" i="5"/>
  <c r="AJ37" i="5" s="1"/>
  <c r="BF43" i="5"/>
  <c r="J3" i="2"/>
  <c r="J19" i="2"/>
  <c r="J29" i="2"/>
  <c r="J33" i="2"/>
  <c r="J35" i="2"/>
  <c r="J37" i="2"/>
  <c r="AH37" i="5"/>
  <c r="AI39" i="3"/>
  <c r="AX38" i="3"/>
  <c r="K43" i="5"/>
  <c r="BC37" i="5"/>
  <c r="AS41" i="5"/>
  <c r="AS37" i="5" s="1"/>
  <c r="AY43" i="5"/>
  <c r="AS43" i="5"/>
  <c r="P39" i="2"/>
  <c r="N37" i="5"/>
  <c r="AU41" i="5"/>
  <c r="AU37" i="5" s="1"/>
  <c r="AV30" i="3" s="1"/>
  <c r="H37" i="5"/>
  <c r="AO36" i="8"/>
  <c r="AZ41" i="5"/>
  <c r="AZ37" i="5"/>
  <c r="BA39" i="3" s="1"/>
  <c r="C37" i="5"/>
  <c r="Z41" i="5"/>
  <c r="Z37" i="5" s="1"/>
  <c r="Q37" i="5"/>
  <c r="AX36" i="8" s="1"/>
  <c r="AM43" i="5"/>
  <c r="I43" i="5"/>
  <c r="U43" i="5"/>
  <c r="O43" i="5"/>
  <c r="AE33" i="3"/>
  <c r="AN37" i="5"/>
  <c r="AO39" i="3" s="1"/>
  <c r="AQ41" i="5"/>
  <c r="AQ37" i="5" s="1"/>
  <c r="AA41" i="5"/>
  <c r="AA37" i="5" s="1"/>
  <c r="K37" i="5"/>
  <c r="E37" i="5"/>
  <c r="AL36" i="8"/>
  <c r="AQ43" i="5"/>
  <c r="F37" i="5"/>
  <c r="AM36" i="8" s="1"/>
  <c r="K3" i="2"/>
  <c r="K19" i="2"/>
  <c r="K29" i="2"/>
  <c r="K33" i="2"/>
  <c r="K35" i="2"/>
  <c r="K37" i="2"/>
  <c r="O39" i="2"/>
  <c r="L3" i="2"/>
  <c r="L19" i="2"/>
  <c r="L29" i="2"/>
  <c r="L33" i="2"/>
  <c r="L35" i="2"/>
  <c r="L37" i="2"/>
  <c r="T39" i="2"/>
  <c r="S39" i="2"/>
  <c r="R39" i="2"/>
  <c r="Q39" i="2"/>
  <c r="P3" i="2"/>
  <c r="P19" i="2"/>
  <c r="P29" i="2"/>
  <c r="P33" i="2"/>
  <c r="P35" i="2"/>
  <c r="P37" i="2"/>
  <c r="O3" i="2"/>
  <c r="O19" i="2"/>
  <c r="O29" i="2"/>
  <c r="O33" i="2"/>
  <c r="O35" i="2"/>
  <c r="O37" i="2"/>
  <c r="R3" i="2"/>
  <c r="R19" i="2"/>
  <c r="R29" i="2"/>
  <c r="R33" i="2"/>
  <c r="R35" i="2"/>
  <c r="R37" i="2"/>
  <c r="Q3" i="2"/>
  <c r="Q19" i="2"/>
  <c r="Q29" i="2"/>
  <c r="Q33" i="2"/>
  <c r="Q35" i="2"/>
  <c r="Q37" i="2"/>
  <c r="S3" i="2"/>
  <c r="S19" i="2"/>
  <c r="S29" i="2"/>
  <c r="S33" i="2"/>
  <c r="S35" i="2"/>
  <c r="S37" i="2"/>
  <c r="G19" i="2"/>
  <c r="G29" i="2"/>
  <c r="G33" i="2"/>
  <c r="G35" i="2"/>
  <c r="G37" i="2"/>
  <c r="G39" i="2"/>
  <c r="H39" i="2"/>
  <c r="H19" i="2"/>
  <c r="H29" i="2"/>
  <c r="H33" i="2"/>
  <c r="H35" i="2"/>
  <c r="H37" i="2"/>
  <c r="AG3" i="2"/>
  <c r="F48" i="11"/>
  <c r="F15" i="11"/>
  <c r="AZ10" i="3"/>
  <c r="AM29" i="2"/>
  <c r="AM33" i="2"/>
  <c r="AL36" i="3"/>
  <c r="AL41" i="5"/>
  <c r="BC11" i="3"/>
  <c r="AO43" i="5"/>
  <c r="Q43" i="5"/>
  <c r="AS38" i="3"/>
  <c r="W43" i="5"/>
  <c r="J36" i="3"/>
  <c r="AW43" i="5"/>
  <c r="L37" i="5"/>
  <c r="L30" i="3" s="1"/>
  <c r="N36" i="3"/>
  <c r="D43" i="5"/>
  <c r="AI43" i="5"/>
  <c r="AD33" i="3"/>
  <c r="AX47" i="5"/>
  <c r="M39" i="2"/>
  <c r="J39" i="2"/>
  <c r="M19" i="2"/>
  <c r="M29" i="2"/>
  <c r="M33" i="2"/>
  <c r="M35" i="2"/>
  <c r="M37" i="2"/>
  <c r="AG51" i="1"/>
  <c r="AA51" i="1"/>
  <c r="Z51" i="1"/>
  <c r="V51" i="1"/>
  <c r="Y51" i="1"/>
  <c r="AU4" i="3"/>
  <c r="CD14" i="8"/>
  <c r="BC23" i="3"/>
  <c r="AT4" i="5"/>
  <c r="CA15" i="8" s="1"/>
  <c r="AW4" i="5"/>
  <c r="CD15" i="8" s="1"/>
  <c r="CI55" i="8"/>
  <c r="CD31" i="8"/>
  <c r="AX25" i="3"/>
  <c r="CD58" i="8"/>
  <c r="BC6" i="3"/>
  <c r="AY21" i="3"/>
  <c r="AY17" i="3"/>
  <c r="AY22" i="3"/>
  <c r="AY20" i="3"/>
  <c r="CE55" i="8"/>
  <c r="AY23" i="3"/>
  <c r="CE14" i="8"/>
  <c r="AY15" i="3"/>
  <c r="AY14" i="3"/>
  <c r="AX4" i="5"/>
  <c r="CE7" i="8" s="1"/>
  <c r="AY16" i="3"/>
  <c r="AM51" i="1"/>
  <c r="AQ51" i="1"/>
  <c r="AN20" i="8"/>
  <c r="CL14" i="8"/>
  <c r="CL55" i="8"/>
  <c r="BE4" i="5"/>
  <c r="CJ55" i="8"/>
  <c r="BC4" i="5"/>
  <c r="BD24" i="3" s="1"/>
  <c r="AI12" i="5"/>
  <c r="BP10" i="8" s="1"/>
  <c r="CI25" i="8"/>
  <c r="CI21" i="8"/>
  <c r="BP20" i="8"/>
  <c r="BP7" i="8"/>
  <c r="BP8" i="8"/>
  <c r="CE20" i="8"/>
  <c r="CI9" i="8"/>
  <c r="BB14" i="3"/>
  <c r="CH55" i="8"/>
  <c r="BB15" i="3"/>
  <c r="BB21" i="3"/>
  <c r="BB17" i="3"/>
  <c r="CH14" i="8"/>
  <c r="BB23" i="3"/>
  <c r="BB16" i="3"/>
  <c r="BB22" i="3"/>
  <c r="BB20" i="3"/>
  <c r="BA4" i="5"/>
  <c r="AN6" i="8"/>
  <c r="AZ6" i="8"/>
  <c r="BR6" i="8"/>
  <c r="AZ7" i="8"/>
  <c r="M12" i="5"/>
  <c r="AT10" i="8" s="1"/>
  <c r="BR7" i="8"/>
  <c r="BV20" i="8"/>
  <c r="AL29" i="3"/>
  <c r="AD29" i="3"/>
  <c r="S12" i="5"/>
  <c r="AZ10" i="8" s="1"/>
  <c r="AS19" i="8"/>
  <c r="AK12" i="5"/>
  <c r="BR10" i="8" s="1"/>
  <c r="AZ8" i="8"/>
  <c r="BV8" i="8"/>
  <c r="BJ8" i="8"/>
  <c r="BV7" i="8"/>
  <c r="AT6" i="8"/>
  <c r="U12" i="5"/>
  <c r="BB10" i="8" s="1"/>
  <c r="CE35" i="8"/>
  <c r="BB8" i="8"/>
  <c r="AZ20" i="8"/>
  <c r="BP6" i="8"/>
  <c r="BJ6" i="8"/>
  <c r="G12" i="5"/>
  <c r="AN10" i="8" s="1"/>
  <c r="AP29" i="3"/>
  <c r="AF29" i="3"/>
  <c r="AE12" i="5"/>
  <c r="BL10" i="8" s="1"/>
  <c r="BL6" i="8"/>
  <c r="BL7" i="8"/>
  <c r="AM35" i="8"/>
  <c r="F12" i="5"/>
  <c r="AM10" i="8" s="1"/>
  <c r="AM7" i="8"/>
  <c r="AM6" i="8"/>
  <c r="AM20" i="8"/>
  <c r="AZ35" i="8"/>
  <c r="BB20" i="8"/>
  <c r="BB6" i="8"/>
  <c r="BJ20" i="8"/>
  <c r="AL20" i="8"/>
  <c r="AN7" i="8"/>
  <c r="V29" i="3"/>
  <c r="BR20" i="8"/>
  <c r="E12" i="5"/>
  <c r="AL10" i="8" s="1"/>
  <c r="AL6" i="8"/>
  <c r="AL8" i="8"/>
  <c r="AL7" i="8"/>
  <c r="AL35" i="8"/>
  <c r="Q37" i="3"/>
  <c r="AI30" i="3"/>
  <c r="AI37" i="3"/>
  <c r="I37" i="3"/>
  <c r="R37" i="3"/>
  <c r="Q30" i="3"/>
  <c r="AW36" i="8"/>
  <c r="O39" i="3"/>
  <c r="AU36" i="8"/>
  <c r="O37" i="3"/>
  <c r="AE30" i="3"/>
  <c r="AE37" i="3"/>
  <c r="BK36" i="8"/>
  <c r="AP39" i="3"/>
  <c r="BA37" i="3"/>
  <c r="AP30" i="3"/>
  <c r="I39" i="3"/>
  <c r="L37" i="3"/>
  <c r="L39" i="3"/>
  <c r="AR36" i="8"/>
  <c r="AD39" i="3"/>
  <c r="AO30" i="3"/>
  <c r="BJ36" i="8"/>
  <c r="AO37" i="3"/>
  <c r="AD30" i="3"/>
  <c r="M37" i="3"/>
  <c r="AS36" i="8"/>
  <c r="M39" i="3"/>
  <c r="AY36" i="3"/>
  <c r="F44" i="11"/>
  <c r="AG19" i="2"/>
  <c r="AG29" i="2"/>
  <c r="AG33" i="2"/>
  <c r="CA26" i="8"/>
  <c r="CA57" i="8"/>
  <c r="CA30" i="8"/>
  <c r="CD57" i="8"/>
  <c r="CE25" i="8"/>
  <c r="CE9" i="8"/>
  <c r="CE24" i="8"/>
  <c r="CE26" i="8"/>
  <c r="AY24" i="3"/>
  <c r="CE21" i="8"/>
  <c r="CE30" i="8"/>
  <c r="CE57" i="8"/>
  <c r="CD27" i="8"/>
  <c r="CD26" i="8"/>
  <c r="CD30" i="8"/>
  <c r="CD25" i="8"/>
  <c r="CD24" i="8"/>
  <c r="CD21" i="8"/>
  <c r="CJ26" i="8"/>
  <c r="CJ9" i="8"/>
  <c r="CJ57" i="8"/>
  <c r="CJ27" i="8"/>
  <c r="CJ15" i="8"/>
  <c r="CJ25" i="8"/>
  <c r="CJ24" i="8"/>
  <c r="CJ30" i="8"/>
  <c r="CJ21" i="8"/>
  <c r="CL57" i="8"/>
  <c r="CL9" i="8"/>
  <c r="CL25" i="8"/>
  <c r="CL26" i="8"/>
  <c r="CL30" i="8"/>
  <c r="CL27" i="8"/>
  <c r="CL24" i="8"/>
  <c r="CL15" i="8"/>
  <c r="CL21" i="8"/>
  <c r="CH25" i="8"/>
  <c r="CH30" i="8"/>
  <c r="BB24" i="3"/>
  <c r="CH57" i="8"/>
  <c r="CH9" i="8"/>
  <c r="CH27" i="8"/>
  <c r="CH24" i="8"/>
  <c r="CH15" i="8"/>
  <c r="CH21" i="8"/>
  <c r="F27" i="11"/>
  <c r="AW3" i="2"/>
  <c r="AW19" i="2"/>
  <c r="AW29" i="2"/>
  <c r="AW33" i="2"/>
  <c r="AW35" i="2"/>
  <c r="AW37" i="2"/>
  <c r="AS35" i="2"/>
  <c r="AS37" i="2"/>
  <c r="CM56" i="8"/>
  <c r="AP35" i="2"/>
  <c r="AP37" i="2"/>
  <c r="CJ56" i="8"/>
  <c r="AJ30" i="3"/>
  <c r="AJ37" i="3"/>
  <c r="AJ39" i="3"/>
  <c r="AK29" i="2"/>
  <c r="AK33" i="2"/>
  <c r="AX10" i="3"/>
  <c r="BC36" i="3"/>
  <c r="BC37" i="3"/>
  <c r="BB43" i="5"/>
  <c r="AR35" i="2"/>
  <c r="AR37" i="2"/>
  <c r="AU10" i="3"/>
  <c r="AH29" i="2"/>
  <c r="AH33" i="2"/>
  <c r="CM36" i="8"/>
  <c r="AS37" i="3"/>
  <c r="AS39" i="3"/>
  <c r="AS30" i="3"/>
  <c r="CI36" i="8"/>
  <c r="BC39" i="3"/>
  <c r="BC30" i="3"/>
  <c r="D19" i="2"/>
  <c r="D29" i="2"/>
  <c r="D33" i="2"/>
  <c r="D35" i="2"/>
  <c r="D37" i="2"/>
  <c r="E19" i="2"/>
  <c r="E29" i="2"/>
  <c r="E33" i="2"/>
  <c r="E35" i="2"/>
  <c r="E37" i="2"/>
  <c r="E39" i="2"/>
  <c r="AT39" i="3"/>
  <c r="AT30" i="3"/>
  <c r="AT37" i="3"/>
  <c r="AU43" i="5"/>
  <c r="AJ35" i="2"/>
  <c r="AJ37" i="2"/>
  <c r="BB9" i="3"/>
  <c r="AN35" i="2"/>
  <c r="AN37" i="2"/>
  <c r="CH56" i="8"/>
  <c r="BA43" i="5"/>
  <c r="BB36" i="3"/>
  <c r="AG35" i="2"/>
  <c r="AG37" i="2"/>
  <c r="F50" i="11"/>
  <c r="AM35" i="2"/>
  <c r="AM37" i="2"/>
  <c r="CF56" i="8"/>
  <c r="AZ9" i="3"/>
  <c r="BC10" i="3"/>
  <c r="AO29" i="2"/>
  <c r="AO33" i="2"/>
  <c r="I30" i="3"/>
  <c r="J37" i="3"/>
  <c r="J39" i="3"/>
  <c r="AP36" i="8"/>
  <c r="AV10" i="3"/>
  <c r="AI29" i="2"/>
  <c r="AI33" i="2"/>
  <c r="AY10" i="3"/>
  <c r="AL29" i="2"/>
  <c r="AL33" i="2"/>
  <c r="F45" i="11"/>
  <c r="F18" i="11"/>
  <c r="Y19" i="2"/>
  <c r="Y29" i="2"/>
  <c r="Y33" i="2"/>
  <c r="Y35" i="2"/>
  <c r="Y37" i="2"/>
  <c r="BB10" i="3"/>
  <c r="AM37" i="5"/>
  <c r="AN39" i="3" s="1"/>
  <c r="AQ3" i="2"/>
  <c r="AQ19" i="2"/>
  <c r="AQ29" i="2"/>
  <c r="AQ33" i="2"/>
  <c r="V39" i="3"/>
  <c r="AL39" i="2"/>
  <c r="AY32" i="3"/>
  <c r="AV43" i="5"/>
  <c r="AT43" i="5"/>
  <c r="M37" i="5"/>
  <c r="N37" i="3" s="1"/>
  <c r="AF41" i="5"/>
  <c r="AF37" i="5" s="1"/>
  <c r="P36" i="3"/>
  <c r="V37" i="3"/>
  <c r="BB36" i="8"/>
  <c r="BA30" i="3"/>
  <c r="E39" i="3"/>
  <c r="AN39" i="2"/>
  <c r="BB32" i="3"/>
  <c r="AU38" i="3"/>
  <c r="AR39" i="2"/>
  <c r="BF32" i="3" s="1"/>
  <c r="BB11" i="3"/>
  <c r="AB36" i="3"/>
  <c r="AW39" i="2"/>
  <c r="BK32" i="3" s="1"/>
  <c r="AX3" i="2"/>
  <c r="AX19" i="2"/>
  <c r="AX29" i="2"/>
  <c r="AT10" i="3"/>
  <c r="BO36" i="8"/>
  <c r="D30" i="3"/>
  <c r="E37" i="3"/>
  <c r="AX43" i="5"/>
  <c r="AL37" i="5"/>
  <c r="AM39" i="3" s="1"/>
  <c r="AY27" i="1"/>
  <c r="AX27" i="1"/>
  <c r="AT36" i="8"/>
  <c r="N30" i="3"/>
  <c r="N39" i="3"/>
  <c r="CE56" i="8"/>
  <c r="AY9" i="3"/>
  <c r="AL35" i="2"/>
  <c r="AL37" i="2"/>
  <c r="AH35" i="2"/>
  <c r="AH37" i="2"/>
  <c r="AQ35" i="2"/>
  <c r="AQ37" i="2"/>
  <c r="CI56" i="8"/>
  <c r="AO35" i="2"/>
  <c r="AO37" i="2"/>
  <c r="BC9" i="3"/>
  <c r="AI35" i="2"/>
  <c r="AI37" i="2"/>
  <c r="AM37" i="3"/>
  <c r="AK35" i="2"/>
  <c r="AK37" i="2"/>
  <c r="AX33" i="2"/>
  <c r="AX35" i="2"/>
  <c r="AX37" i="2"/>
  <c r="BL27" i="3" l="1"/>
  <c r="DE32" i="8"/>
  <c r="DE60" i="8"/>
  <c r="BL26" i="3"/>
  <c r="DE33" i="8"/>
  <c r="DE59" i="8"/>
  <c r="BK27" i="3"/>
  <c r="DD32" i="8"/>
  <c r="DD60" i="8"/>
  <c r="BJ27" i="3"/>
  <c r="DC32" i="8"/>
  <c r="DC60" i="8"/>
  <c r="BI27" i="3"/>
  <c r="DB32" i="8"/>
  <c r="DB60" i="8"/>
  <c r="BK26" i="3"/>
  <c r="DD33" i="8"/>
  <c r="DD59" i="8"/>
  <c r="BJ26" i="3"/>
  <c r="DC33" i="8"/>
  <c r="DC59" i="8"/>
  <c r="BI26" i="3"/>
  <c r="DB33" i="8"/>
  <c r="DB59" i="8"/>
  <c r="BF4" i="3"/>
  <c r="BF6" i="3"/>
  <c r="BF14" i="3"/>
  <c r="BF20" i="3"/>
  <c r="BF22" i="3"/>
  <c r="BF23" i="3"/>
  <c r="BD4" i="3"/>
  <c r="BD6" i="3"/>
  <c r="BD14" i="3"/>
  <c r="BD20" i="3"/>
  <c r="BD22" i="3"/>
  <c r="BD23" i="3"/>
  <c r="AO51" i="1"/>
  <c r="AT49" i="1"/>
  <c r="AT51" i="1" s="1"/>
  <c r="C49" i="1"/>
  <c r="C51" i="1" s="1"/>
  <c r="AL51" i="1"/>
  <c r="BG14" i="3"/>
  <c r="BG22" i="3"/>
  <c r="BG23" i="3"/>
  <c r="K51" i="1"/>
  <c r="BG9" i="3"/>
  <c r="BJ6" i="3"/>
  <c r="BJ4" i="3"/>
  <c r="BD9" i="3"/>
  <c r="BG16" i="3"/>
  <c r="BG17" i="3"/>
  <c r="AS51" i="1"/>
  <c r="BV21" i="8"/>
  <c r="BQ31" i="8"/>
  <c r="D25" i="3"/>
  <c r="AZ21" i="8"/>
  <c r="AE37" i="5"/>
  <c r="W37" i="5"/>
  <c r="O37" i="5"/>
  <c r="G37" i="5"/>
  <c r="AV37" i="5"/>
  <c r="R37" i="5"/>
  <c r="BX15" i="8"/>
  <c r="BP15" i="8"/>
  <c r="BH15" i="8"/>
  <c r="AR15" i="8"/>
  <c r="L35" i="3"/>
  <c r="BW19" i="8"/>
  <c r="Q25" i="5"/>
  <c r="AX19" i="8" s="1"/>
  <c r="I25" i="5"/>
  <c r="AW25" i="5"/>
  <c r="CD19" i="8" s="1"/>
  <c r="AN25" i="5"/>
  <c r="BU19" i="8" s="1"/>
  <c r="AF25" i="5"/>
  <c r="BM19" i="8" s="1"/>
  <c r="X25" i="5"/>
  <c r="BE19" i="8" s="1"/>
  <c r="H25" i="5"/>
  <c r="AO19" i="8" s="1"/>
  <c r="AS14" i="5"/>
  <c r="AS11" i="5" s="1"/>
  <c r="BV10" i="8"/>
  <c r="R11" i="5"/>
  <c r="D11" i="5"/>
  <c r="AT14" i="5"/>
  <c r="AT11" i="5" s="1"/>
  <c r="CA8" i="8" s="1"/>
  <c r="BD27" i="8"/>
  <c r="BK25" i="8"/>
  <c r="P26" i="3"/>
  <c r="BA35" i="3"/>
  <c r="BC38" i="3"/>
  <c r="BA14" i="5"/>
  <c r="BA11" i="5" s="1"/>
  <c r="AV25" i="5"/>
  <c r="CC19" i="8" s="1"/>
  <c r="AE25" i="5"/>
  <c r="BL19" i="8" s="1"/>
  <c r="BG18" i="3"/>
  <c r="BG21" i="3"/>
  <c r="BF5" i="3"/>
  <c r="BF18" i="3"/>
  <c r="BF21" i="3"/>
  <c r="BD5" i="5"/>
  <c r="BE5" i="3"/>
  <c r="BE18" i="3"/>
  <c r="BD5" i="3"/>
  <c r="BD18" i="3"/>
  <c r="BD21" i="3"/>
  <c r="BF16" i="3"/>
  <c r="BF17" i="3"/>
  <c r="BC34" i="5"/>
  <c r="BD16" i="3"/>
  <c r="BD17" i="3"/>
  <c r="BF12" i="3"/>
  <c r="BF13" i="3"/>
  <c r="BF15" i="3"/>
  <c r="CK52" i="8"/>
  <c r="BE12" i="3"/>
  <c r="BE13" i="3"/>
  <c r="CJ52" i="8"/>
  <c r="BD12" i="3"/>
  <c r="BD13" i="3"/>
  <c r="BD15" i="3"/>
  <c r="BF10" i="3"/>
  <c r="BF11" i="3"/>
  <c r="BE10" i="3"/>
  <c r="BD10" i="3"/>
  <c r="BD11" i="3"/>
  <c r="BG12" i="3"/>
  <c r="BG13" i="3"/>
  <c r="BG15" i="3"/>
  <c r="BD35" i="3"/>
  <c r="BG38" i="3"/>
  <c r="BF38" i="3"/>
  <c r="BE38" i="3"/>
  <c r="BD38" i="3"/>
  <c r="BF25" i="5"/>
  <c r="CM19" i="8" s="1"/>
  <c r="BE14" i="5"/>
  <c r="BE11" i="5" s="1"/>
  <c r="BI5" i="5"/>
  <c r="BJ18" i="3"/>
  <c r="BJ5" i="3"/>
  <c r="AV38" i="1"/>
  <c r="BI5" i="3"/>
  <c r="BI18" i="3"/>
  <c r="BH5" i="3"/>
  <c r="BH18" i="3"/>
  <c r="BG5" i="5"/>
  <c r="CP52" i="8"/>
  <c r="BJ12" i="3"/>
  <c r="BJ13" i="3"/>
  <c r="CO52" i="8"/>
  <c r="BI12" i="3"/>
  <c r="BI13" i="3"/>
  <c r="CN52" i="8"/>
  <c r="BH12" i="3"/>
  <c r="BH13" i="3"/>
  <c r="BI47" i="5"/>
  <c r="BI10" i="3"/>
  <c r="BH47" i="5"/>
  <c r="BH10" i="3"/>
  <c r="BG47" i="5"/>
  <c r="AV3" i="2"/>
  <c r="AV19" i="2" s="1"/>
  <c r="BJ10" i="3" s="1"/>
  <c r="BI39" i="5"/>
  <c r="BG8" i="3"/>
  <c r="BG20" i="3"/>
  <c r="BF15" i="5"/>
  <c r="BG3" i="3"/>
  <c r="D49" i="1"/>
  <c r="E49" i="1"/>
  <c r="BG10" i="3"/>
  <c r="BG11" i="3"/>
  <c r="AY38" i="1"/>
  <c r="AY49" i="1" s="1"/>
  <c r="AY51" i="1" s="1"/>
  <c r="BL5" i="3"/>
  <c r="BL18" i="3"/>
  <c r="BJ5" i="5"/>
  <c r="BK5" i="3"/>
  <c r="BK18" i="3"/>
  <c r="CR47" i="8"/>
  <c r="BL12" i="3"/>
  <c r="BL13" i="3"/>
  <c r="CQ47" i="8"/>
  <c r="BK12" i="3"/>
  <c r="BK13" i="3"/>
  <c r="BL10" i="3"/>
  <c r="BK47" i="5"/>
  <c r="BK10" i="3"/>
  <c r="BJ47" i="5"/>
  <c r="BM5" i="3"/>
  <c r="BM18" i="3"/>
  <c r="BL5" i="5"/>
  <c r="BM25" i="3" s="1"/>
  <c r="CS47" i="8"/>
  <c r="BM12" i="3"/>
  <c r="BM13" i="3"/>
  <c r="BA38" i="1"/>
  <c r="BN5" i="3"/>
  <c r="BN18" i="3"/>
  <c r="BM5" i="5"/>
  <c r="BN25" i="3" s="1"/>
  <c r="CT47" i="8"/>
  <c r="BN12" i="3"/>
  <c r="BN13" i="3"/>
  <c r="BL47" i="5"/>
  <c r="BM47" i="5"/>
  <c r="BB49" i="1"/>
  <c r="BB51" i="1" s="1"/>
  <c r="BO5" i="3"/>
  <c r="BO18" i="3"/>
  <c r="BN5" i="5"/>
  <c r="BO25" i="3" s="1"/>
  <c r="BN34" i="5"/>
  <c r="CU14" i="8"/>
  <c r="CU52" i="8"/>
  <c r="BO12" i="3"/>
  <c r="BO13" i="3"/>
  <c r="BN47" i="5"/>
  <c r="BC49" i="1"/>
  <c r="BC51" i="1" s="1"/>
  <c r="BP5" i="3"/>
  <c r="BP18" i="3"/>
  <c r="BO5" i="5"/>
  <c r="BP25" i="3" s="1"/>
  <c r="CV52" i="8"/>
  <c r="BP12" i="3"/>
  <c r="BP13" i="3"/>
  <c r="BH35" i="3"/>
  <c r="BH34" i="3"/>
  <c r="BH38" i="3"/>
  <c r="DA59" i="8"/>
  <c r="DA33" i="8"/>
  <c r="BO38" i="3"/>
  <c r="BN38" i="3"/>
  <c r="BM38" i="3"/>
  <c r="BL38" i="3"/>
  <c r="BK38" i="3"/>
  <c r="BJ38" i="3"/>
  <c r="BI38" i="3"/>
  <c r="BP35" i="3"/>
  <c r="BP38" i="3"/>
  <c r="BS47" i="5"/>
  <c r="BT10" i="3"/>
  <c r="BS10" i="3"/>
  <c r="BR47" i="5"/>
  <c r="BR10" i="3"/>
  <c r="BQ47" i="5"/>
  <c r="BQ10" i="3"/>
  <c r="BP47" i="5"/>
  <c r="CY52" i="8"/>
  <c r="BS12" i="3"/>
  <c r="BS13" i="3"/>
  <c r="BR12" i="3"/>
  <c r="BR13" i="3"/>
  <c r="BD27" i="1"/>
  <c r="CW14" i="8" s="1"/>
  <c r="BQ12" i="3"/>
  <c r="BQ13" i="3"/>
  <c r="BS30" i="5"/>
  <c r="BF38" i="1"/>
  <c r="BF49" i="1" s="1"/>
  <c r="BS5" i="3"/>
  <c r="BS18" i="3"/>
  <c r="BE38" i="1"/>
  <c r="BE49" i="1" s="1"/>
  <c r="BR18" i="3"/>
  <c r="BR5" i="3"/>
  <c r="BD38" i="1"/>
  <c r="BQ5" i="3"/>
  <c r="BQ18" i="3"/>
  <c r="BT38" i="3"/>
  <c r="BS38" i="3"/>
  <c r="BR38" i="3"/>
  <c r="BQ38" i="3"/>
  <c r="BT12" i="3"/>
  <c r="BT13" i="3"/>
  <c r="BT3" i="3"/>
  <c r="BT27" i="1"/>
  <c r="DA47" i="8"/>
  <c r="DA52" i="8"/>
  <c r="DA53" i="8"/>
  <c r="BS39" i="2"/>
  <c r="DA20" i="8"/>
  <c r="DA31" i="8"/>
  <c r="BK14" i="3"/>
  <c r="BK16" i="3"/>
  <c r="BK20" i="3"/>
  <c r="BK22" i="3"/>
  <c r="BK4" i="3"/>
  <c r="BK11" i="3"/>
  <c r="BL9" i="3"/>
  <c r="BK6" i="3"/>
  <c r="BK15" i="3"/>
  <c r="BK17" i="3"/>
  <c r="BK21" i="3"/>
  <c r="BK23" i="3"/>
  <c r="BM21" i="3"/>
  <c r="BM14" i="3"/>
  <c r="BM16" i="3"/>
  <c r="BM20" i="3"/>
  <c r="BM22" i="3"/>
  <c r="BM15" i="3"/>
  <c r="BM4" i="3"/>
  <c r="BM11" i="3"/>
  <c r="BM6" i="3"/>
  <c r="BM17" i="3"/>
  <c r="BM23" i="3"/>
  <c r="BL14" i="3"/>
  <c r="BL16" i="3"/>
  <c r="BL20" i="3"/>
  <c r="BL22" i="3"/>
  <c r="BL4" i="3"/>
  <c r="BL11" i="3"/>
  <c r="BL6" i="3"/>
  <c r="BL15" i="3"/>
  <c r="BL17" i="3"/>
  <c r="BL21" i="3"/>
  <c r="BL23" i="3"/>
  <c r="CV55" i="8"/>
  <c r="BP11" i="3"/>
  <c r="BQ9" i="3"/>
  <c r="BP15" i="3"/>
  <c r="BP17" i="3"/>
  <c r="BP21" i="3"/>
  <c r="BP23" i="3"/>
  <c r="BP14" i="3"/>
  <c r="BP16" i="3"/>
  <c r="BP20" i="3"/>
  <c r="BP22" i="3"/>
  <c r="BP6" i="3"/>
  <c r="CU55" i="8"/>
  <c r="BO21" i="3"/>
  <c r="BO23" i="3"/>
  <c r="BO6" i="3"/>
  <c r="BO15" i="3"/>
  <c r="BO17" i="3"/>
  <c r="BO14" i="3"/>
  <c r="BO16" i="3"/>
  <c r="BO20" i="3"/>
  <c r="BO22" i="3"/>
  <c r="BO11" i="3"/>
  <c r="BO4" i="3"/>
  <c r="CV14" i="8"/>
  <c r="BQ4" i="3"/>
  <c r="BQ11" i="3"/>
  <c r="BQ6" i="3"/>
  <c r="BQ15" i="3"/>
  <c r="BQ17" i="3"/>
  <c r="BQ21" i="3"/>
  <c r="BQ23" i="3"/>
  <c r="BQ20" i="3"/>
  <c r="BQ22" i="3"/>
  <c r="BQ14" i="3"/>
  <c r="BQ16" i="3"/>
  <c r="BJ14" i="3"/>
  <c r="BJ16" i="3"/>
  <c r="BJ20" i="3"/>
  <c r="BJ22" i="3"/>
  <c r="BJ11" i="3"/>
  <c r="BK9" i="3"/>
  <c r="BJ15" i="3"/>
  <c r="BJ17" i="3"/>
  <c r="BJ21" i="3"/>
  <c r="BJ23" i="3"/>
  <c r="BP4" i="3"/>
  <c r="BT51" i="1"/>
  <c r="DA14" i="8"/>
  <c r="DA55" i="8"/>
  <c r="AB37" i="3"/>
  <c r="AB39" i="3"/>
  <c r="AB30" i="3"/>
  <c r="BU36" i="8"/>
  <c r="BH36" i="8"/>
  <c r="BL36" i="8"/>
  <c r="AF30" i="3"/>
  <c r="AF39" i="3"/>
  <c r="AF37" i="3"/>
  <c r="BY36" i="8"/>
  <c r="X30" i="3"/>
  <c r="X37" i="3"/>
  <c r="P37" i="3"/>
  <c r="AV36" i="8"/>
  <c r="P30" i="3"/>
  <c r="P39" i="3"/>
  <c r="O30" i="3"/>
  <c r="E30" i="3"/>
  <c r="H37" i="3"/>
  <c r="F30" i="3"/>
  <c r="H30" i="3"/>
  <c r="AN36" i="8"/>
  <c r="H39" i="3"/>
  <c r="G30" i="3"/>
  <c r="AW30" i="3"/>
  <c r="CC36" i="8"/>
  <c r="AW39" i="3"/>
  <c r="AW37" i="3"/>
  <c r="AP19" i="8"/>
  <c r="AK37" i="3"/>
  <c r="AK39" i="3"/>
  <c r="BQ36" i="8"/>
  <c r="AK30" i="3"/>
  <c r="AR37" i="3"/>
  <c r="CK36" i="8"/>
  <c r="AR39" i="3"/>
  <c r="BX36" i="8"/>
  <c r="AR30" i="3"/>
  <c r="AA39" i="3"/>
  <c r="BG36" i="8"/>
  <c r="AA30" i="3"/>
  <c r="AA37" i="3"/>
  <c r="BT8" i="8"/>
  <c r="BT20" i="8"/>
  <c r="AT8" i="8"/>
  <c r="Y41" i="5"/>
  <c r="Y37" i="5" s="1"/>
  <c r="BS36" i="8" s="1"/>
  <c r="AW38" i="3"/>
  <c r="U35" i="3"/>
  <c r="BE39" i="3"/>
  <c r="BE30" i="3"/>
  <c r="BH27" i="8"/>
  <c r="AC24" i="3"/>
  <c r="BH57" i="8"/>
  <c r="BO58" i="8"/>
  <c r="BO24" i="8"/>
  <c r="AI25" i="3"/>
  <c r="CB31" i="8"/>
  <c r="BS34" i="8"/>
  <c r="BF34" i="8"/>
  <c r="T35" i="3"/>
  <c r="AL26" i="3"/>
  <c r="BR25" i="8"/>
  <c r="BR59" i="8"/>
  <c r="CG32" i="8"/>
  <c r="CG26" i="8"/>
  <c r="CG60" i="8"/>
  <c r="BA27" i="3"/>
  <c r="CJ34" i="8"/>
  <c r="M30" i="3"/>
  <c r="AV37" i="3"/>
  <c r="AQ7" i="8"/>
  <c r="BB29" i="3"/>
  <c r="AQ12" i="5"/>
  <c r="BX10" i="8" s="1"/>
  <c r="AR29" i="3"/>
  <c r="CA21" i="8"/>
  <c r="BG30" i="3"/>
  <c r="BG39" i="3"/>
  <c r="M35" i="3"/>
  <c r="I11" i="5"/>
  <c r="AP20" i="8" s="1"/>
  <c r="AZ25" i="3"/>
  <c r="CF31" i="8"/>
  <c r="CF58" i="8"/>
  <c r="BB57" i="8"/>
  <c r="BB24" i="8"/>
  <c r="S25" i="3"/>
  <c r="BL31" i="8"/>
  <c r="AY58" i="8"/>
  <c r="R25" i="3"/>
  <c r="AL14" i="5"/>
  <c r="AL11" i="5" s="1"/>
  <c r="AD14" i="5"/>
  <c r="AD11" i="5" s="1"/>
  <c r="W14" i="5"/>
  <c r="W11" i="5" s="1"/>
  <c r="BD8" i="8" s="1"/>
  <c r="O14" i="5"/>
  <c r="O11" i="5" s="1"/>
  <c r="AO9" i="8"/>
  <c r="BL27" i="8"/>
  <c r="AN27" i="8"/>
  <c r="CL59" i="8"/>
  <c r="CL33" i="8"/>
  <c r="AS26" i="3"/>
  <c r="AT21" i="8"/>
  <c r="AT34" i="8"/>
  <c r="BX59" i="8"/>
  <c r="BK33" i="8"/>
  <c r="BK59" i="8"/>
  <c r="CE27" i="8"/>
  <c r="J29" i="3"/>
  <c r="BX6" i="8"/>
  <c r="AT29" i="3"/>
  <c r="CH8" i="8"/>
  <c r="J12" i="5"/>
  <c r="AQ10" i="8" s="1"/>
  <c r="Q11" i="5"/>
  <c r="AX20" i="8" s="1"/>
  <c r="BC12" i="5"/>
  <c r="CJ10" i="8" s="1"/>
  <c r="BD29" i="3"/>
  <c r="AE26" i="3"/>
  <c r="BX27" i="8"/>
  <c r="BX9" i="8"/>
  <c r="AS24" i="3"/>
  <c r="AR24" i="3"/>
  <c r="AN30" i="8"/>
  <c r="AN57" i="8"/>
  <c r="AN25" i="8"/>
  <c r="AN9" i="8"/>
  <c r="AN15" i="8"/>
  <c r="BA30" i="8"/>
  <c r="H24" i="3"/>
  <c r="E36" i="3"/>
  <c r="AW57" i="8"/>
  <c r="CH31" i="8"/>
  <c r="BU58" i="8"/>
  <c r="AO25" i="3"/>
  <c r="BF33" i="8"/>
  <c r="AS59" i="8"/>
  <c r="AN30" i="3"/>
  <c r="CB36" i="8"/>
  <c r="AQ20" i="8"/>
  <c r="AQ8" i="8"/>
  <c r="CL7" i="8"/>
  <c r="AT20" i="8"/>
  <c r="AO21" i="8"/>
  <c r="K28" i="3"/>
  <c r="CM34" i="8"/>
  <c r="BZ34" i="8"/>
  <c r="AN21" i="8"/>
  <c r="BA34" i="8"/>
  <c r="AN34" i="8"/>
  <c r="AO25" i="8"/>
  <c r="J24" i="3"/>
  <c r="CE33" i="8"/>
  <c r="AY26" i="3"/>
  <c r="AV39" i="3"/>
  <c r="F33" i="11"/>
  <c r="BX7" i="8"/>
  <c r="R39" i="3"/>
  <c r="BL21" i="8"/>
  <c r="AU15" i="8"/>
  <c r="AO35" i="3"/>
  <c r="AP35" i="3"/>
  <c r="AO28" i="3"/>
  <c r="BM41" i="5"/>
  <c r="BN28" i="3"/>
  <c r="AT35" i="8"/>
  <c r="BD39" i="3"/>
  <c r="BD30" i="3"/>
  <c r="BX33" i="8"/>
  <c r="AU35" i="3"/>
  <c r="AT28" i="3"/>
  <c r="BL30" i="8"/>
  <c r="BL57" i="8"/>
  <c r="BL24" i="8"/>
  <c r="BL9" i="8"/>
  <c r="AG24" i="3"/>
  <c r="AE25" i="3"/>
  <c r="BK31" i="8"/>
  <c r="BK58" i="8"/>
  <c r="U27" i="3"/>
  <c r="BA26" i="8"/>
  <c r="BA32" i="8"/>
  <c r="AX33" i="8"/>
  <c r="AX59" i="8"/>
  <c r="S41" i="5"/>
  <c r="S37" i="5" s="1"/>
  <c r="CH26" i="8"/>
  <c r="CE15" i="8"/>
  <c r="BX35" i="8"/>
  <c r="CH6" i="8"/>
  <c r="AQ6" i="8"/>
  <c r="L28" i="3"/>
  <c r="BM21" i="8"/>
  <c r="CI24" i="8"/>
  <c r="CI15" i="8"/>
  <c r="CI27" i="8"/>
  <c r="CI30" i="8"/>
  <c r="CI26" i="8"/>
  <c r="AU25" i="8"/>
  <c r="AU30" i="8"/>
  <c r="AU57" i="8"/>
  <c r="AU26" i="8"/>
  <c r="AU27" i="8"/>
  <c r="P24" i="3"/>
  <c r="W25" i="3"/>
  <c r="BC58" i="8"/>
  <c r="BP58" i="8"/>
  <c r="BC31" i="8"/>
  <c r="AT27" i="8"/>
  <c r="AT57" i="8"/>
  <c r="AT9" i="8"/>
  <c r="AT24" i="8"/>
  <c r="AL25" i="3"/>
  <c r="BR24" i="8"/>
  <c r="CE8" i="8"/>
  <c r="CE6" i="8"/>
  <c r="AM27" i="3"/>
  <c r="CF32" i="8"/>
  <c r="BM60" i="8"/>
  <c r="AG27" i="3"/>
  <c r="BM32" i="8"/>
  <c r="BE25" i="8"/>
  <c r="Y26" i="3"/>
  <c r="BE26" i="3"/>
  <c r="CK33" i="8"/>
  <c r="CK59" i="8"/>
  <c r="CM25" i="8"/>
  <c r="J37" i="5"/>
  <c r="AF14" i="5"/>
  <c r="AF11" i="5" s="1"/>
  <c r="BE37" i="3"/>
  <c r="CY33" i="8"/>
  <c r="BF26" i="3"/>
  <c r="BL35" i="3"/>
  <c r="BK19" i="8"/>
  <c r="BG24" i="3"/>
  <c r="AA43" i="5"/>
  <c r="BG27" i="8"/>
  <c r="AK47" i="8"/>
  <c r="Y35" i="3"/>
  <c r="AN14" i="5"/>
  <c r="AN11" i="5" s="1"/>
  <c r="BU20" i="8" s="1"/>
  <c r="H14" i="5"/>
  <c r="H11" i="5" s="1"/>
  <c r="AO7" i="8" s="1"/>
  <c r="CW33" i="8"/>
  <c r="BD26" i="3"/>
  <c r="BL41" i="5"/>
  <c r="BM28" i="3"/>
  <c r="BO41" i="5"/>
  <c r="BP28" i="3"/>
  <c r="CM21" i="8"/>
  <c r="BY34" i="8"/>
  <c r="AD24" i="3"/>
  <c r="AK24" i="3"/>
  <c r="BW57" i="8"/>
  <c r="AR14" i="5"/>
  <c r="AR11" i="5" s="1"/>
  <c r="CL35" i="8" s="1"/>
  <c r="L14" i="5"/>
  <c r="L11" i="5" s="1"/>
  <c r="AV33" i="8"/>
  <c r="BD36" i="3"/>
  <c r="BD37" i="3"/>
  <c r="BG35" i="3"/>
  <c r="DA60" i="8"/>
  <c r="BH27" i="3"/>
  <c r="BI35" i="3"/>
  <c r="BK41" i="5"/>
  <c r="BS41" i="5"/>
  <c r="BT28" i="3"/>
  <c r="AK25" i="8"/>
  <c r="AN38" i="3"/>
  <c r="AV14" i="5"/>
  <c r="AV11" i="5" s="1"/>
  <c r="AV12" i="5" s="1"/>
  <c r="P14" i="5"/>
  <c r="P11" i="5" s="1"/>
  <c r="BJ35" i="8" s="1"/>
  <c r="BF35" i="3"/>
  <c r="CY60" i="8"/>
  <c r="BF27" i="3"/>
  <c r="BH26" i="3"/>
  <c r="BJ41" i="5"/>
  <c r="BR41" i="5"/>
  <c r="BR37" i="5" s="1"/>
  <c r="BS28" i="3"/>
  <c r="CM26" i="8"/>
  <c r="BE9" i="8"/>
  <c r="BN25" i="8"/>
  <c r="BG37" i="3"/>
  <c r="BG36" i="3"/>
  <c r="S38" i="3"/>
  <c r="AI35" i="3"/>
  <c r="T14" i="5"/>
  <c r="T11" i="5" s="1"/>
  <c r="BE35" i="3"/>
  <c r="BO35" i="3"/>
  <c r="BI41" i="5"/>
  <c r="BJ28" i="3"/>
  <c r="BS35" i="3"/>
  <c r="BQ41" i="5"/>
  <c r="BR28" i="3"/>
  <c r="X14" i="5"/>
  <c r="X11" i="5" s="1"/>
  <c r="BN35" i="3"/>
  <c r="BH41" i="5"/>
  <c r="BI28" i="3"/>
  <c r="BP41" i="5"/>
  <c r="BQ28" i="3"/>
  <c r="AB14" i="5"/>
  <c r="AB11" i="5" s="1"/>
  <c r="BI8" i="8" s="1"/>
  <c r="CS59" i="8"/>
  <c r="BG41" i="5"/>
  <c r="BH28" i="3"/>
  <c r="BQ35" i="3"/>
  <c r="DA8" i="8"/>
  <c r="DA6" i="8"/>
  <c r="BS29" i="2"/>
  <c r="BS33" i="2" s="1"/>
  <c r="BC29" i="3"/>
  <c r="CI20" i="8"/>
  <c r="CI35" i="8"/>
  <c r="CI6" i="8"/>
  <c r="E6" i="13" s="1"/>
  <c r="BB12" i="5"/>
  <c r="CI10" i="8" s="1"/>
  <c r="E8" i="13" s="1"/>
  <c r="CI7" i="8"/>
  <c r="E7" i="13" s="1"/>
  <c r="CI8" i="8"/>
  <c r="BV35" i="8"/>
  <c r="BI6" i="8"/>
  <c r="AB12" i="5"/>
  <c r="BI10" i="8" s="1"/>
  <c r="BI35" i="8"/>
  <c r="CK35" i="8"/>
  <c r="BD12" i="5"/>
  <c r="CK8" i="8"/>
  <c r="CK6" i="8"/>
  <c r="CK20" i="8"/>
  <c r="BM20" i="8"/>
  <c r="BM35" i="8"/>
  <c r="BM8" i="8"/>
  <c r="BM7" i="8"/>
  <c r="BZ35" i="8"/>
  <c r="BM6" i="8"/>
  <c r="AG29" i="3"/>
  <c r="AF12" i="5"/>
  <c r="BM10" i="8" s="1"/>
  <c r="AH12" i="5"/>
  <c r="BO10" i="8" s="1"/>
  <c r="BO20" i="8"/>
  <c r="BO35" i="8"/>
  <c r="BO8" i="8"/>
  <c r="AI29" i="3"/>
  <c r="BO6" i="8"/>
  <c r="BO7" i="8"/>
  <c r="BQ6" i="8"/>
  <c r="AJ12" i="5"/>
  <c r="BQ10" i="8" s="1"/>
  <c r="BQ35" i="8"/>
  <c r="BQ7" i="8"/>
  <c r="BQ8" i="8"/>
  <c r="AK29" i="3"/>
  <c r="AK8" i="8"/>
  <c r="AK7" i="8"/>
  <c r="AK20" i="8"/>
  <c r="D12" i="5"/>
  <c r="AK10" i="8" s="1"/>
  <c r="AX35" i="8"/>
  <c r="AK6" i="8"/>
  <c r="E29" i="3"/>
  <c r="CG7" i="8"/>
  <c r="BA29" i="3"/>
  <c r="CG8" i="8"/>
  <c r="CG6" i="8"/>
  <c r="CG20" i="8"/>
  <c r="AZ12" i="5"/>
  <c r="CG10" i="8" s="1"/>
  <c r="AZ30" i="3"/>
  <c r="AZ39" i="3"/>
  <c r="AZ37" i="3"/>
  <c r="BZ36" i="8"/>
  <c r="AG39" i="3"/>
  <c r="AR7" i="8"/>
  <c r="K29" i="3"/>
  <c r="AR35" i="8"/>
  <c r="K12" i="5"/>
  <c r="AR10" i="8" s="1"/>
  <c r="AR6" i="8"/>
  <c r="AR20" i="8"/>
  <c r="AR8" i="8"/>
  <c r="BU7" i="8"/>
  <c r="CH35" i="8"/>
  <c r="AO29" i="3"/>
  <c r="BU35" i="8"/>
  <c r="AN12" i="5"/>
  <c r="BU10" i="8" s="1"/>
  <c r="AO35" i="8"/>
  <c r="BB35" i="8"/>
  <c r="AB29" i="3"/>
  <c r="BH7" i="8"/>
  <c r="BH8" i="8"/>
  <c r="BH6" i="8"/>
  <c r="AA12" i="5"/>
  <c r="BH10" i="8" s="1"/>
  <c r="BH20" i="8"/>
  <c r="BF6" i="8"/>
  <c r="BF7" i="8"/>
  <c r="Z29" i="3"/>
  <c r="BF8" i="8"/>
  <c r="BF35" i="8"/>
  <c r="Y12" i="5"/>
  <c r="BF10" i="8" s="1"/>
  <c r="BS35" i="8"/>
  <c r="BY6" i="8"/>
  <c r="AS8" i="8"/>
  <c r="AS7" i="8"/>
  <c r="AS20" i="8"/>
  <c r="L29" i="3"/>
  <c r="AS35" i="8"/>
  <c r="L12" i="5"/>
  <c r="AS10" i="8" s="1"/>
  <c r="AS6" i="8"/>
  <c r="M29" i="3"/>
  <c r="T39" i="3"/>
  <c r="AZ36" i="8"/>
  <c r="CC6" i="8"/>
  <c r="C6" i="13" s="1"/>
  <c r="CC8" i="8"/>
  <c r="CC35" i="8"/>
  <c r="P12" i="5"/>
  <c r="AW10" i="8" s="1"/>
  <c r="AW20" i="8"/>
  <c r="P29" i="3"/>
  <c r="AW7" i="8"/>
  <c r="AV29" i="3"/>
  <c r="CB6" i="8"/>
  <c r="AU12" i="5"/>
  <c r="CB8" i="8"/>
  <c r="CB20" i="8"/>
  <c r="CB35" i="8"/>
  <c r="BA7" i="8"/>
  <c r="U29" i="3"/>
  <c r="BA8" i="8"/>
  <c r="BA20" i="8"/>
  <c r="BA6" i="8"/>
  <c r="T12" i="5"/>
  <c r="BA10" i="8" s="1"/>
  <c r="BA35" i="8"/>
  <c r="CF35" i="8"/>
  <c r="AY12" i="5"/>
  <c r="CF8" i="8"/>
  <c r="CF6" i="8"/>
  <c r="D6" i="13" s="1"/>
  <c r="CF20" i="8"/>
  <c r="AZ29" i="3"/>
  <c r="X12" i="5"/>
  <c r="BE10" i="8" s="1"/>
  <c r="BE20" i="8"/>
  <c r="BE6" i="8"/>
  <c r="BE8" i="8"/>
  <c r="BR35" i="8"/>
  <c r="BE35" i="8"/>
  <c r="BE7" i="8"/>
  <c r="Y29" i="3"/>
  <c r="BU31" i="8"/>
  <c r="BA25" i="5"/>
  <c r="AR25" i="5"/>
  <c r="AJ25" i="5"/>
  <c r="CT60" i="8"/>
  <c r="E24" i="3"/>
  <c r="CG59" i="8"/>
  <c r="CN59" i="8"/>
  <c r="CS60" i="8"/>
  <c r="BF20" i="8"/>
  <c r="AS25" i="5"/>
  <c r="BZ20" i="8" s="1"/>
  <c r="CR60" i="8"/>
  <c r="CQ59" i="8"/>
  <c r="CW34" i="8"/>
  <c r="CA27" i="8"/>
  <c r="X39" i="3"/>
  <c r="C15" i="13"/>
  <c r="AT5" i="3"/>
  <c r="CW60" i="8"/>
  <c r="CD7" i="8"/>
  <c r="CO59" i="8"/>
  <c r="CY59" i="8"/>
  <c r="CE10" i="8"/>
  <c r="CX59" i="8"/>
  <c r="AW8" i="8"/>
  <c r="CU34" i="8"/>
  <c r="CW59" i="8"/>
  <c r="AM30" i="3"/>
  <c r="BE21" i="8"/>
  <c r="CV59" i="8"/>
  <c r="BW6" i="8"/>
  <c r="AQ29" i="3"/>
  <c r="BW7" i="8"/>
  <c r="BW8" i="8"/>
  <c r="BW20" i="8"/>
  <c r="AP12" i="5"/>
  <c r="BW10" i="8" s="1"/>
  <c r="BW35" i="8"/>
  <c r="Y39" i="3"/>
  <c r="Y37" i="3"/>
  <c r="BE36" i="8"/>
  <c r="Y30" i="3"/>
  <c r="AQ39" i="3"/>
  <c r="CJ36" i="8"/>
  <c r="AQ37" i="3"/>
  <c r="AQ30" i="3"/>
  <c r="BW36" i="8"/>
  <c r="AG12" i="5"/>
  <c r="BN10" i="8" s="1"/>
  <c r="AH29" i="3"/>
  <c r="BN6" i="8"/>
  <c r="BN20" i="8"/>
  <c r="BN35" i="8"/>
  <c r="BN7" i="8"/>
  <c r="BN8" i="8"/>
  <c r="BB30" i="3"/>
  <c r="BB37" i="3"/>
  <c r="BB39" i="3"/>
  <c r="CH36" i="8"/>
  <c r="AC39" i="3"/>
  <c r="AC30" i="3"/>
  <c r="BI36" i="8"/>
  <c r="BV36" i="8"/>
  <c r="AC37" i="3"/>
  <c r="BG35" i="8"/>
  <c r="BG6" i="8"/>
  <c r="BG20" i="8"/>
  <c r="BG7" i="8"/>
  <c r="Z12" i="5"/>
  <c r="BG10" i="8" s="1"/>
  <c r="AA29" i="3"/>
  <c r="BG8" i="8"/>
  <c r="U30" i="3"/>
  <c r="BA36" i="8"/>
  <c r="U37" i="3"/>
  <c r="U39" i="3"/>
  <c r="D29" i="3"/>
  <c r="AW35" i="8"/>
  <c r="C12" i="5"/>
  <c r="BC7" i="8"/>
  <c r="V12" i="5"/>
  <c r="BC10" i="8" s="1"/>
  <c r="BP35" i="8"/>
  <c r="BC8" i="8"/>
  <c r="W29" i="3"/>
  <c r="BC20" i="8"/>
  <c r="BC6" i="8"/>
  <c r="BC35" i="8"/>
  <c r="W37" i="3"/>
  <c r="BC36" i="8"/>
  <c r="W39" i="3"/>
  <c r="W30" i="3"/>
  <c r="BP36" i="8"/>
  <c r="AL37" i="3"/>
  <c r="BR36" i="8"/>
  <c r="AN29" i="3"/>
  <c r="CA6" i="8"/>
  <c r="CD35" i="8"/>
  <c r="AW12" i="5"/>
  <c r="CD10" i="8" s="1"/>
  <c r="CD9" i="8"/>
  <c r="AW24" i="8"/>
  <c r="AM31" i="8"/>
  <c r="AM19" i="8"/>
  <c r="AM58" i="8"/>
  <c r="AZ58" i="8"/>
  <c r="X4" i="3"/>
  <c r="X19" i="3"/>
  <c r="X5" i="3"/>
  <c r="G19" i="3"/>
  <c r="G6" i="3"/>
  <c r="G4" i="3"/>
  <c r="G5" i="3"/>
  <c r="S26" i="3"/>
  <c r="AY25" i="8"/>
  <c r="BL59" i="8"/>
  <c r="AY33" i="8"/>
  <c r="BB26" i="3"/>
  <c r="CH59" i="8"/>
  <c r="CH33" i="8"/>
  <c r="CN34" i="8"/>
  <c r="BF14" i="5"/>
  <c r="BF11" i="5" s="1"/>
  <c r="BG29" i="3" s="1"/>
  <c r="CM9" i="8"/>
  <c r="CF36" i="8"/>
  <c r="T37" i="3"/>
  <c r="BD6" i="8"/>
  <c r="CA25" i="8"/>
  <c r="CA24" i="8"/>
  <c r="AX29" i="3"/>
  <c r="BK27" i="8"/>
  <c r="AE36" i="3"/>
  <c r="AF24" i="3"/>
  <c r="BK26" i="8"/>
  <c r="BK15" i="8"/>
  <c r="BK9" i="8"/>
  <c r="BK24" i="8"/>
  <c r="AE24" i="3"/>
  <c r="AB5" i="3"/>
  <c r="AB19" i="3"/>
  <c r="AB6" i="3"/>
  <c r="AB4" i="3"/>
  <c r="BM36" i="8"/>
  <c r="AG30" i="3"/>
  <c r="CG36" i="8"/>
  <c r="AN37" i="3"/>
  <c r="T30" i="3"/>
  <c r="CQ56" i="8"/>
  <c r="BJ4" i="5"/>
  <c r="CQ55" i="8"/>
  <c r="CJ7" i="8"/>
  <c r="CA7" i="8"/>
  <c r="CG35" i="8"/>
  <c r="AM12" i="5"/>
  <c r="BT10" i="8" s="1"/>
  <c r="W12" i="5"/>
  <c r="BD10" i="8" s="1"/>
  <c r="N12" i="5"/>
  <c r="AU10" i="8" s="1"/>
  <c r="CJ35" i="8"/>
  <c r="BR21" i="8"/>
  <c r="CE34" i="8"/>
  <c r="BR34" i="8"/>
  <c r="BB21" i="8"/>
  <c r="BB34" i="8"/>
  <c r="BO34" i="8"/>
  <c r="AG37" i="3"/>
  <c r="BT36" i="8"/>
  <c r="CR56" i="8"/>
  <c r="BK4" i="5"/>
  <c r="CR55" i="8"/>
  <c r="BC24" i="3"/>
  <c r="BT7" i="8"/>
  <c r="BD35" i="8"/>
  <c r="BD7" i="8"/>
  <c r="AU6" i="8"/>
  <c r="CA9" i="8"/>
  <c r="AW19" i="8"/>
  <c r="BS27" i="8"/>
  <c r="BS26" i="8"/>
  <c r="BS25" i="8"/>
  <c r="BS57" i="8"/>
  <c r="AN36" i="3"/>
  <c r="BS21" i="8"/>
  <c r="BS30" i="8"/>
  <c r="BS15" i="8"/>
  <c r="BS9" i="8"/>
  <c r="AM24" i="3"/>
  <c r="AN24" i="3"/>
  <c r="AN58" i="8"/>
  <c r="E25" i="3"/>
  <c r="BA58" i="8"/>
  <c r="BA31" i="8"/>
  <c r="G25" i="3"/>
  <c r="AN31" i="8"/>
  <c r="H25" i="3"/>
  <c r="F25" i="3"/>
  <c r="AN24" i="8"/>
  <c r="AV30" i="5"/>
  <c r="CP34" i="8" s="1"/>
  <c r="AK27" i="1"/>
  <c r="AL39" i="3"/>
  <c r="BT6" i="8"/>
  <c r="CA35" i="8"/>
  <c r="AU7" i="8"/>
  <c r="AU29" i="3"/>
  <c r="AT12" i="5"/>
  <c r="CA10" i="8" s="1"/>
  <c r="CD20" i="8"/>
  <c r="BD20" i="8"/>
  <c r="BL20" i="8"/>
  <c r="N29" i="3"/>
  <c r="CD8" i="8"/>
  <c r="AU20" i="8"/>
  <c r="CJ6" i="8"/>
  <c r="BH35" i="8"/>
  <c r="BT35" i="8"/>
  <c r="CA20" i="8"/>
  <c r="AU35" i="8"/>
  <c r="CJ8" i="8"/>
  <c r="BF19" i="8"/>
  <c r="BJ58" i="8"/>
  <c r="P25" i="3"/>
  <c r="AW31" i="8"/>
  <c r="Q25" i="3"/>
  <c r="X29" i="3"/>
  <c r="CJ20" i="8"/>
  <c r="BR30" i="8"/>
  <c r="BH9" i="8"/>
  <c r="BY57" i="8"/>
  <c r="AY4" i="5"/>
  <c r="AZ4" i="3"/>
  <c r="AU23" i="3"/>
  <c r="AU16" i="3"/>
  <c r="AX11" i="3"/>
  <c r="BC15" i="3"/>
  <c r="AZ9" i="8"/>
  <c r="AU24" i="8"/>
  <c r="BW30" i="8"/>
  <c r="AQ24" i="3"/>
  <c r="AJ27" i="1"/>
  <c r="AU34" i="5"/>
  <c r="AV49" i="1"/>
  <c r="CX34" i="8"/>
  <c r="M36" i="3"/>
  <c r="BW27" i="8"/>
  <c r="AH38" i="1"/>
  <c r="AH49" i="1" s="1"/>
  <c r="CR14" i="8"/>
  <c r="BL4" i="5"/>
  <c r="CS55" i="8"/>
  <c r="CV34" i="8"/>
  <c r="BV57" i="8"/>
  <c r="BY30" i="8"/>
  <c r="AZ16" i="3"/>
  <c r="CI14" i="8"/>
  <c r="AU6" i="3"/>
  <c r="AU22" i="3"/>
  <c r="BC17" i="3"/>
  <c r="U24" i="3"/>
  <c r="I51" i="1"/>
  <c r="AD36" i="3"/>
  <c r="AZ20" i="3"/>
  <c r="CP14" i="8"/>
  <c r="F49" i="1"/>
  <c r="F51" i="1" s="1"/>
  <c r="CQ14" i="8"/>
  <c r="CS14" i="8"/>
  <c r="CS15" i="8"/>
  <c r="CQ60" i="8"/>
  <c r="CP59" i="8"/>
  <c r="AI51" i="1"/>
  <c r="BW21" i="8"/>
  <c r="AS5" i="5"/>
  <c r="BZ19" i="8" s="1"/>
  <c r="CP31" i="8"/>
  <c r="CP58" i="8"/>
  <c r="CS9" i="8"/>
  <c r="AC51" i="1"/>
  <c r="CQ34" i="8"/>
  <c r="BI4" i="5"/>
  <c r="CP55" i="8"/>
  <c r="CU59" i="8"/>
  <c r="CT31" i="8"/>
  <c r="BI15" i="8"/>
  <c r="BC24" i="8"/>
  <c r="O27" i="3"/>
  <c r="AU32" i="8"/>
  <c r="CO34" i="8"/>
  <c r="CQ31" i="8"/>
  <c r="CQ58" i="8"/>
  <c r="BA49" i="1"/>
  <c r="CS31" i="8"/>
  <c r="AH4" i="1"/>
  <c r="J49" i="1"/>
  <c r="W49" i="1"/>
  <c r="W51" i="1" s="1"/>
  <c r="BE27" i="1"/>
  <c r="CX60" i="8"/>
  <c r="CP60" i="8"/>
  <c r="CT59" i="8"/>
  <c r="CX53" i="8"/>
  <c r="CP53" i="8"/>
  <c r="CT52" i="8"/>
  <c r="CX47" i="8"/>
  <c r="CP47" i="8"/>
  <c r="CT34" i="8"/>
  <c r="CX33" i="8"/>
  <c r="CP33" i="8"/>
  <c r="CT32" i="8"/>
  <c r="CP25" i="8"/>
  <c r="BH5" i="5"/>
  <c r="BR5" i="5"/>
  <c r="BS25" i="3" s="1"/>
  <c r="CO60" i="8"/>
  <c r="CW56" i="8"/>
  <c r="CW53" i="8"/>
  <c r="CO53" i="8"/>
  <c r="CS52" i="8"/>
  <c r="CW47" i="8"/>
  <c r="CO47" i="8"/>
  <c r="CO33" i="8"/>
  <c r="CS32" i="8"/>
  <c r="CS26" i="8"/>
  <c r="BA27" i="1"/>
  <c r="BN4" i="5"/>
  <c r="BQ5" i="5"/>
  <c r="BR25" i="3" s="1"/>
  <c r="CV60" i="8"/>
  <c r="CN60" i="8"/>
  <c r="CR59" i="8"/>
  <c r="CV58" i="8"/>
  <c r="CN58" i="8"/>
  <c r="CV53" i="8"/>
  <c r="CN53" i="8"/>
  <c r="CR52" i="8"/>
  <c r="CV47" i="8"/>
  <c r="CN47" i="8"/>
  <c r="CR34" i="8"/>
  <c r="CV33" i="8"/>
  <c r="CN33" i="8"/>
  <c r="CR32" i="8"/>
  <c r="CV31" i="8"/>
  <c r="CN31" i="8"/>
  <c r="AQ25" i="5"/>
  <c r="BP5" i="5"/>
  <c r="BQ25" i="3" s="1"/>
  <c r="CU60" i="8"/>
  <c r="CU58" i="8"/>
  <c r="CU53" i="8"/>
  <c r="CQ52" i="8"/>
  <c r="CU47" i="8"/>
  <c r="CY34" i="8"/>
  <c r="CU33" i="8"/>
  <c r="CY32" i="8"/>
  <c r="CQ32" i="8"/>
  <c r="CU31" i="8"/>
  <c r="CU25" i="8"/>
  <c r="AV27" i="1"/>
  <c r="BO4" i="5"/>
  <c r="CT58" i="8"/>
  <c r="CT53" i="8"/>
  <c r="CX52" i="8"/>
  <c r="CT33" i="8"/>
  <c r="CX32" i="8"/>
  <c r="CP32" i="8"/>
  <c r="R49" i="1"/>
  <c r="BD49" i="1"/>
  <c r="BD51" i="1" s="1"/>
  <c r="CS58" i="8"/>
  <c r="CW55" i="8"/>
  <c r="CS53" i="8"/>
  <c r="CW52" i="8"/>
  <c r="CS33" i="8"/>
  <c r="CW32" i="8"/>
  <c r="CO32" i="8"/>
  <c r="AR27" i="1"/>
  <c r="AU27" i="1"/>
  <c r="L49" i="1"/>
  <c r="L51" i="1" s="1"/>
  <c r="AE49" i="1"/>
  <c r="AE51" i="1" s="1"/>
  <c r="AX49" i="1"/>
  <c r="AX51" i="1" s="1"/>
  <c r="BL34" i="5"/>
  <c r="BK5" i="5"/>
  <c r="CZ34" i="8"/>
  <c r="BP4" i="5"/>
  <c r="BQ24" i="3" s="1"/>
  <c r="CR53" i="8"/>
  <c r="CR33" i="8"/>
  <c r="CV32" i="8"/>
  <c r="CN32" i="8"/>
  <c r="AY30" i="5"/>
  <c r="CS34" i="8" s="1"/>
  <c r="N27" i="1"/>
  <c r="N51" i="1" s="1"/>
  <c r="BF27" i="1"/>
  <c r="CY14" i="8" s="1"/>
  <c r="CY53" i="8"/>
  <c r="CQ53" i="8"/>
  <c r="CY47" i="8"/>
  <c r="CU32" i="8"/>
  <c r="CZ32" i="8"/>
  <c r="CZ60" i="8"/>
  <c r="BG38" i="1"/>
  <c r="BG49" i="1" s="1"/>
  <c r="BS5" i="5"/>
  <c r="BT25" i="3" s="1"/>
  <c r="CZ33" i="8"/>
  <c r="CZ59" i="8"/>
  <c r="BG27" i="1"/>
  <c r="CZ47" i="8"/>
  <c r="CZ52" i="8"/>
  <c r="CZ53" i="8"/>
  <c r="BF35" i="2"/>
  <c r="BF37" i="2" s="1"/>
  <c r="BS43" i="5"/>
  <c r="BR43" i="5"/>
  <c r="BQ43" i="5"/>
  <c r="BP43" i="5"/>
  <c r="BS37" i="5"/>
  <c r="BT37" i="3" s="1"/>
  <c r="BQ37" i="5"/>
  <c r="BP37" i="5"/>
  <c r="BQ37" i="3" s="1"/>
  <c r="BS25" i="5"/>
  <c r="BR25" i="5"/>
  <c r="BQ25" i="5"/>
  <c r="BP25" i="5"/>
  <c r="BS14" i="5"/>
  <c r="BS11" i="5" s="1"/>
  <c r="BT29" i="3" s="1"/>
  <c r="BR14" i="5"/>
  <c r="BR11" i="5" s="1"/>
  <c r="BS29" i="3" s="1"/>
  <c r="BQ14" i="5"/>
  <c r="BQ11" i="5" s="1"/>
  <c r="BR29" i="3" s="1"/>
  <c r="BP14" i="5"/>
  <c r="BP11" i="5" s="1"/>
  <c r="BQ29" i="3" s="1"/>
  <c r="BO43" i="5"/>
  <c r="BO37" i="5"/>
  <c r="BP37" i="3" s="1"/>
  <c r="BO25" i="5"/>
  <c r="BO14" i="5"/>
  <c r="BO11" i="5" s="1"/>
  <c r="BP29" i="3" s="1"/>
  <c r="BN43" i="5"/>
  <c r="BM43" i="5"/>
  <c r="BL43" i="5"/>
  <c r="BK43" i="5"/>
  <c r="BJ43" i="5"/>
  <c r="BI43" i="5"/>
  <c r="BH43" i="5"/>
  <c r="BN37" i="5"/>
  <c r="BO37" i="3" s="1"/>
  <c r="BM37" i="5"/>
  <c r="BL37" i="5"/>
  <c r="BM37" i="3" s="1"/>
  <c r="BK37" i="5"/>
  <c r="BJ37" i="5"/>
  <c r="DD36" i="8" s="1"/>
  <c r="BI37" i="5"/>
  <c r="DC36" i="8" s="1"/>
  <c r="BH37" i="5"/>
  <c r="BN25" i="5"/>
  <c r="BM25" i="5"/>
  <c r="BL25" i="5"/>
  <c r="BK25" i="5"/>
  <c r="BJ25" i="5"/>
  <c r="BI25" i="5"/>
  <c r="BH25" i="5"/>
  <c r="BN14" i="5"/>
  <c r="BN11" i="5" s="1"/>
  <c r="BO29" i="3" s="1"/>
  <c r="BM14" i="5"/>
  <c r="BM11" i="5" s="1"/>
  <c r="BN29" i="3" s="1"/>
  <c r="BL14" i="5"/>
  <c r="BL11" i="5" s="1"/>
  <c r="BM29" i="3" s="1"/>
  <c r="BK14" i="5"/>
  <c r="BK11" i="5" s="1"/>
  <c r="BJ14" i="5"/>
  <c r="BJ11" i="5" s="1"/>
  <c r="BI14" i="5"/>
  <c r="BI11" i="5" s="1"/>
  <c r="BH14" i="5"/>
  <c r="BH11" i="5" s="1"/>
  <c r="BG43" i="5"/>
  <c r="BG37" i="5"/>
  <c r="BG25" i="5"/>
  <c r="BG14" i="5"/>
  <c r="BG11" i="5" s="1"/>
  <c r="BB3" i="2"/>
  <c r="BB19" i="2" s="1"/>
  <c r="BA3" i="2"/>
  <c r="BA19" i="2" s="1"/>
  <c r="AZ3" i="2"/>
  <c r="AZ19" i="2" s="1"/>
  <c r="AY3" i="2"/>
  <c r="AY19" i="2" s="1"/>
  <c r="F16" i="11"/>
  <c r="AT37" i="5"/>
  <c r="AG37" i="5"/>
  <c r="F91" i="4"/>
  <c r="F80" i="4"/>
  <c r="F69" i="4"/>
  <c r="F60" i="4"/>
  <c r="U8" i="3"/>
  <c r="F28" i="4"/>
  <c r="F17" i="4"/>
  <c r="F8" i="4"/>
  <c r="AX37" i="5"/>
  <c r="AW37" i="5"/>
  <c r="AY11" i="3"/>
  <c r="BE37" i="5"/>
  <c r="BE43" i="5"/>
  <c r="AW51" i="1"/>
  <c r="AT29" i="2"/>
  <c r="AT33" i="2" s="1"/>
  <c r="AT35" i="2" s="1"/>
  <c r="AT37" i="2" s="1"/>
  <c r="AT44" i="2" s="1"/>
  <c r="AV29" i="2"/>
  <c r="AV33" i="2" s="1"/>
  <c r="AV35" i="2" s="1"/>
  <c r="AV37" i="2" s="1"/>
  <c r="H27" i="1"/>
  <c r="H51" i="1" s="1"/>
  <c r="E27" i="1"/>
  <c r="E51" i="1" s="1"/>
  <c r="D27" i="1"/>
  <c r="D51" i="1" s="1"/>
  <c r="R51" i="1"/>
  <c r="O51" i="1"/>
  <c r="J51" i="1"/>
  <c r="T51" i="1"/>
  <c r="S51" i="1"/>
  <c r="B19" i="2"/>
  <c r="B29" i="2" s="1"/>
  <c r="B33" i="2" s="1"/>
  <c r="B35" i="2" s="1"/>
  <c r="B37" i="2" s="1"/>
  <c r="N19" i="2"/>
  <c r="N29" i="2" s="1"/>
  <c r="N33" i="2" s="1"/>
  <c r="N35" i="2" s="1"/>
  <c r="N37" i="2" s="1"/>
  <c r="T29" i="2"/>
  <c r="T33" i="2" s="1"/>
  <c r="T35" i="2" s="1"/>
  <c r="T37" i="2" s="1"/>
  <c r="U19" i="2"/>
  <c r="U29" i="2" s="1"/>
  <c r="U33" i="2" s="1"/>
  <c r="U35" i="2" s="1"/>
  <c r="U37" i="2" s="1"/>
  <c r="V29" i="2"/>
  <c r="V33" i="2" s="1"/>
  <c r="V35" i="2" s="1"/>
  <c r="V37" i="2" s="1"/>
  <c r="AA19" i="2"/>
  <c r="AA29" i="2" s="1"/>
  <c r="AA33" i="2" s="1"/>
  <c r="AA35" i="2" s="1"/>
  <c r="AA37" i="2" s="1"/>
  <c r="AE19" i="2"/>
  <c r="AE29" i="2" s="1"/>
  <c r="AE33" i="2" s="1"/>
  <c r="AE35" i="2" s="1"/>
  <c r="AE37" i="2" s="1"/>
  <c r="BL29" i="3" l="1"/>
  <c r="DE35" i="8"/>
  <c r="BL37" i="3"/>
  <c r="DE36" i="8"/>
  <c r="BL25" i="3"/>
  <c r="DE31" i="8"/>
  <c r="DE58" i="8"/>
  <c r="CR21" i="8"/>
  <c r="DE30" i="8"/>
  <c r="DE57" i="8"/>
  <c r="DB56" i="8"/>
  <c r="CF4" i="5"/>
  <c r="DA10" i="8" s="1"/>
  <c r="BI29" i="3"/>
  <c r="DB35" i="8"/>
  <c r="BJ29" i="3"/>
  <c r="DC35" i="8"/>
  <c r="BK29" i="3"/>
  <c r="DD35" i="8"/>
  <c r="BI37" i="3"/>
  <c r="DB36" i="8"/>
  <c r="BI25" i="3"/>
  <c r="DB31" i="8"/>
  <c r="DB58" i="8"/>
  <c r="CP21" i="8"/>
  <c r="DC30" i="8"/>
  <c r="DC57" i="8"/>
  <c r="DD30" i="8"/>
  <c r="DD57" i="8"/>
  <c r="BK25" i="3"/>
  <c r="DD31" i="8"/>
  <c r="DD58" i="8"/>
  <c r="BJ25" i="3"/>
  <c r="DC31" i="8"/>
  <c r="DC58" i="8"/>
  <c r="AY29" i="2"/>
  <c r="AY33" i="2" s="1"/>
  <c r="BM10" i="3"/>
  <c r="AZ29" i="2"/>
  <c r="AZ33" i="2" s="1"/>
  <c r="AZ35" i="2" s="1"/>
  <c r="AZ37" i="2" s="1"/>
  <c r="BN10" i="3"/>
  <c r="BA29" i="2"/>
  <c r="BA33" i="2" s="1"/>
  <c r="BO10" i="3"/>
  <c r="BB29" i="2"/>
  <c r="BB33" i="2" s="1"/>
  <c r="BP10" i="3"/>
  <c r="BH29" i="3"/>
  <c r="DA35" i="8"/>
  <c r="BH37" i="3"/>
  <c r="DA36" i="8"/>
  <c r="AR51" i="1"/>
  <c r="BE4" i="3"/>
  <c r="BE6" i="3"/>
  <c r="BE14" i="3"/>
  <c r="BE20" i="3"/>
  <c r="BE22" i="3"/>
  <c r="BE23" i="3"/>
  <c r="BE9" i="3"/>
  <c r="BF9" i="3"/>
  <c r="BE21" i="3"/>
  <c r="BE16" i="3"/>
  <c r="BE17" i="3"/>
  <c r="BE15" i="3"/>
  <c r="BE11" i="3"/>
  <c r="BN9" i="3"/>
  <c r="BS35" i="2"/>
  <c r="BS37" i="2" s="1"/>
  <c r="DA56" i="8"/>
  <c r="BT5" i="3"/>
  <c r="BT19" i="3"/>
  <c r="BG4" i="3"/>
  <c r="BG5" i="3"/>
  <c r="BG6" i="3"/>
  <c r="BG19" i="3"/>
  <c r="BH25" i="3"/>
  <c r="DA58" i="8"/>
  <c r="BF29" i="3"/>
  <c r="BE12" i="5"/>
  <c r="CL10" i="8" s="1"/>
  <c r="CL8" i="8"/>
  <c r="CL20" i="8"/>
  <c r="CL6" i="8"/>
  <c r="BE25" i="3"/>
  <c r="CK58" i="8"/>
  <c r="CK31" i="8"/>
  <c r="CK19" i="8"/>
  <c r="BA12" i="5"/>
  <c r="CH10" i="8" s="1"/>
  <c r="CH7" i="8"/>
  <c r="S29" i="3"/>
  <c r="AY35" i="8"/>
  <c r="AY20" i="8"/>
  <c r="BL35" i="8"/>
  <c r="AY8" i="8"/>
  <c r="R12" i="5"/>
  <c r="AY10" i="8" s="1"/>
  <c r="AY7" i="8"/>
  <c r="AY6" i="8"/>
  <c r="AS12" i="5"/>
  <c r="F34" i="11" s="1"/>
  <c r="BZ6" i="8"/>
  <c r="S39" i="3"/>
  <c r="S30" i="3"/>
  <c r="S37" i="3"/>
  <c r="R30" i="3"/>
  <c r="AY36" i="8"/>
  <c r="BR14" i="3"/>
  <c r="BR16" i="3"/>
  <c r="BR20" i="3"/>
  <c r="BR22" i="3"/>
  <c r="BR11" i="3"/>
  <c r="BS9" i="3"/>
  <c r="BR15" i="3"/>
  <c r="BR17" i="3"/>
  <c r="BR21" i="3"/>
  <c r="BR23" i="3"/>
  <c r="BR6" i="3"/>
  <c r="BR4" i="3"/>
  <c r="CP15" i="8"/>
  <c r="CZ56" i="8"/>
  <c r="BT22" i="3"/>
  <c r="BT4" i="3"/>
  <c r="BT14" i="3"/>
  <c r="BT16" i="3"/>
  <c r="BT20" i="3"/>
  <c r="BT6" i="3"/>
  <c r="BT11" i="3"/>
  <c r="BT15" i="3"/>
  <c r="BT17" i="3"/>
  <c r="BT21" i="3"/>
  <c r="BT23" i="3"/>
  <c r="AV51" i="1"/>
  <c r="AU51" i="1"/>
  <c r="BH9" i="3"/>
  <c r="BH11" i="3"/>
  <c r="BI9" i="3"/>
  <c r="BH23" i="3"/>
  <c r="BH15" i="3"/>
  <c r="BH17" i="3"/>
  <c r="BH21" i="3"/>
  <c r="BH14" i="3"/>
  <c r="BH16" i="3"/>
  <c r="BH20" i="3"/>
  <c r="BH22" i="3"/>
  <c r="BH4" i="3"/>
  <c r="BH6" i="3"/>
  <c r="CP56" i="8"/>
  <c r="BI11" i="3"/>
  <c r="BI4" i="3"/>
  <c r="BJ9" i="3"/>
  <c r="BI16" i="3"/>
  <c r="BI15" i="3"/>
  <c r="BI17" i="3"/>
  <c r="BI21" i="3"/>
  <c r="BI23" i="3"/>
  <c r="BI14" i="3"/>
  <c r="BI6" i="3"/>
  <c r="BI20" i="3"/>
  <c r="BI22" i="3"/>
  <c r="BP36" i="3"/>
  <c r="CN14" i="8"/>
  <c r="BR9" i="3"/>
  <c r="BS4" i="3"/>
  <c r="BS14" i="3"/>
  <c r="BS16" i="3"/>
  <c r="BS20" i="3"/>
  <c r="BS22" i="3"/>
  <c r="BS6" i="3"/>
  <c r="BS11" i="3"/>
  <c r="BT9" i="3"/>
  <c r="BS15" i="3"/>
  <c r="BS17" i="3"/>
  <c r="BS21" i="3"/>
  <c r="BS23" i="3"/>
  <c r="CT14" i="8"/>
  <c r="BN6" i="3"/>
  <c r="BN15" i="3"/>
  <c r="BN17" i="3"/>
  <c r="BN21" i="3"/>
  <c r="BN23" i="3"/>
  <c r="BN14" i="3"/>
  <c r="BN16" i="3"/>
  <c r="BN20" i="3"/>
  <c r="BN22" i="3"/>
  <c r="BO9" i="3"/>
  <c r="BN4" i="3"/>
  <c r="BN11" i="3"/>
  <c r="DA15" i="8"/>
  <c r="DA21" i="8"/>
  <c r="DA24" i="8"/>
  <c r="DA9" i="8"/>
  <c r="DA27" i="8"/>
  <c r="DA26" i="8"/>
  <c r="DA25" i="8"/>
  <c r="DA7" i="8"/>
  <c r="BS39" i="3"/>
  <c r="BS30" i="3"/>
  <c r="BS37" i="3"/>
  <c r="J30" i="3"/>
  <c r="K37" i="3"/>
  <c r="AQ36" i="8"/>
  <c r="K30" i="3"/>
  <c r="K39" i="3"/>
  <c r="CV26" i="8"/>
  <c r="BP24" i="3"/>
  <c r="CR26" i="8"/>
  <c r="AO20" i="8"/>
  <c r="BY7" i="8"/>
  <c r="G29" i="3"/>
  <c r="BQ36" i="3"/>
  <c r="CR15" i="8"/>
  <c r="CR27" i="8"/>
  <c r="CQ21" i="8"/>
  <c r="BK24" i="3"/>
  <c r="I29" i="3"/>
  <c r="BM36" i="3"/>
  <c r="O12" i="5"/>
  <c r="AV10" i="8" s="1"/>
  <c r="AV8" i="8"/>
  <c r="AV6" i="8"/>
  <c r="AV35" i="8"/>
  <c r="AV20" i="8"/>
  <c r="AV7" i="8"/>
  <c r="O29" i="3"/>
  <c r="CP26" i="8"/>
  <c r="AR12" i="5"/>
  <c r="BY10" i="8" s="1"/>
  <c r="AO6" i="8"/>
  <c r="BL36" i="3"/>
  <c r="BD36" i="8"/>
  <c r="CO36" i="8"/>
  <c r="BI39" i="3"/>
  <c r="BI30" i="3"/>
  <c r="CP36" i="8"/>
  <c r="BJ39" i="3"/>
  <c r="BJ30" i="3"/>
  <c r="BK30" i="3"/>
  <c r="BK39" i="3"/>
  <c r="CW36" i="8"/>
  <c r="BQ39" i="3"/>
  <c r="BQ30" i="3"/>
  <c r="CL36" i="8"/>
  <c r="BF30" i="3"/>
  <c r="BF39" i="3"/>
  <c r="BL39" i="3"/>
  <c r="BL30" i="3"/>
  <c r="CX36" i="8"/>
  <c r="BR39" i="3"/>
  <c r="BR30" i="3"/>
  <c r="CU27" i="8"/>
  <c r="CP9" i="8"/>
  <c r="CU24" i="8"/>
  <c r="AW6" i="8"/>
  <c r="AW29" i="3"/>
  <c r="BY8" i="8"/>
  <c r="H12" i="5"/>
  <c r="AO10" i="8" s="1"/>
  <c r="BU8" i="8"/>
  <c r="AC29" i="3"/>
  <c r="BK37" i="3"/>
  <c r="BK8" i="8"/>
  <c r="AE29" i="3"/>
  <c r="AD12" i="5"/>
  <c r="BK10" i="8" s="1"/>
  <c r="BK20" i="8"/>
  <c r="BK35" i="8"/>
  <c r="BK6" i="8"/>
  <c r="BK7" i="8"/>
  <c r="BF36" i="8"/>
  <c r="Z30" i="3"/>
  <c r="Z39" i="3"/>
  <c r="Z37" i="3"/>
  <c r="CS36" i="8"/>
  <c r="BM30" i="3"/>
  <c r="BM39" i="3"/>
  <c r="CR9" i="8"/>
  <c r="AS29" i="3"/>
  <c r="F29" i="3"/>
  <c r="BI7" i="8"/>
  <c r="BF37" i="3"/>
  <c r="BK36" i="3"/>
  <c r="BS8" i="8"/>
  <c r="AM29" i="3"/>
  <c r="AL12" i="5"/>
  <c r="BS10" i="8" s="1"/>
  <c r="BS6" i="8"/>
  <c r="BS7" i="8"/>
  <c r="BS20" i="8"/>
  <c r="CR25" i="8"/>
  <c r="BL24" i="3"/>
  <c r="CT36" i="8"/>
  <c r="BN30" i="3"/>
  <c r="BN39" i="3"/>
  <c r="CZ36" i="8"/>
  <c r="BT39" i="3"/>
  <c r="BT30" i="3"/>
  <c r="CS24" i="8"/>
  <c r="BM24" i="3"/>
  <c r="Q29" i="3"/>
  <c r="CC20" i="8"/>
  <c r="BY35" i="8"/>
  <c r="AO8" i="8"/>
  <c r="BU6" i="8"/>
  <c r="BI20" i="8"/>
  <c r="F13" i="11"/>
  <c r="F6" i="11"/>
  <c r="BH30" i="3"/>
  <c r="BH39" i="3"/>
  <c r="CV36" i="8"/>
  <c r="BP39" i="3"/>
  <c r="BP30" i="3"/>
  <c r="CU36" i="8"/>
  <c r="BO30" i="3"/>
  <c r="BO39" i="3"/>
  <c r="H29" i="3"/>
  <c r="BN37" i="3"/>
  <c r="BJ37" i="3"/>
  <c r="BR37" i="3"/>
  <c r="AX7" i="8"/>
  <c r="Q12" i="5"/>
  <c r="AX10" i="8" s="1"/>
  <c r="AX6" i="8"/>
  <c r="AX8" i="8"/>
  <c r="R29" i="3"/>
  <c r="AP7" i="8"/>
  <c r="I12" i="5"/>
  <c r="AP10" i="8" s="1"/>
  <c r="AP8" i="8"/>
  <c r="AP6" i="8"/>
  <c r="AP35" i="8"/>
  <c r="CS27" i="8"/>
  <c r="CS21" i="8"/>
  <c r="CU21" i="8"/>
  <c r="CV25" i="8"/>
  <c r="CQ24" i="8"/>
  <c r="CQ27" i="8"/>
  <c r="BQ20" i="8"/>
  <c r="BQ19" i="8"/>
  <c r="BY19" i="8"/>
  <c r="BY20" i="8"/>
  <c r="CQ26" i="8"/>
  <c r="CH19" i="8"/>
  <c r="CH20" i="8"/>
  <c r="CQ9" i="8"/>
  <c r="CQ15" i="8"/>
  <c r="CU26" i="8"/>
  <c r="CT19" i="8"/>
  <c r="CT20" i="8"/>
  <c r="BO12" i="5"/>
  <c r="CV10" i="8" s="1"/>
  <c r="CV6" i="8"/>
  <c r="CV8" i="8"/>
  <c r="CV7" i="8"/>
  <c r="CV35" i="8"/>
  <c r="CW20" i="8"/>
  <c r="CW19" i="8"/>
  <c r="BE51" i="1"/>
  <c r="BQ4" i="5"/>
  <c r="CX55" i="8"/>
  <c r="CX56" i="8"/>
  <c r="CV27" i="8"/>
  <c r="CU15" i="8"/>
  <c r="CC14" i="8"/>
  <c r="AW20" i="3"/>
  <c r="AW23" i="3"/>
  <c r="AW22" i="3"/>
  <c r="AV4" i="5"/>
  <c r="CP30" i="8" s="1"/>
  <c r="AW14" i="3"/>
  <c r="AU11" i="3"/>
  <c r="AW21" i="3"/>
  <c r="CC55" i="8"/>
  <c r="AW16" i="3"/>
  <c r="AW17" i="3"/>
  <c r="AW11" i="3"/>
  <c r="AX9" i="3"/>
  <c r="CD56" i="8"/>
  <c r="AW6" i="3"/>
  <c r="CC56" i="8"/>
  <c r="AW15" i="3"/>
  <c r="AW4" i="3"/>
  <c r="CC34" i="8"/>
  <c r="BN12" i="5"/>
  <c r="CU10" i="8" s="1"/>
  <c r="CU6" i="8"/>
  <c r="CU8" i="8"/>
  <c r="CU7" i="8"/>
  <c r="CU35" i="8"/>
  <c r="CY19" i="8"/>
  <c r="CY20" i="8"/>
  <c r="CN55" i="8"/>
  <c r="BG4" i="5"/>
  <c r="DA30" i="8" s="1"/>
  <c r="CN56" i="8"/>
  <c r="CP24" i="8"/>
  <c r="AK51" i="1"/>
  <c r="CQ25" i="8"/>
  <c r="CQ30" i="8"/>
  <c r="CQ57" i="8"/>
  <c r="BG12" i="5"/>
  <c r="CN6" i="8"/>
  <c r="CN8" i="8"/>
  <c r="CN35" i="8"/>
  <c r="CN20" i="8"/>
  <c r="CN19" i="8"/>
  <c r="CX20" i="8"/>
  <c r="CX19" i="8"/>
  <c r="CN36" i="8"/>
  <c r="CO20" i="8"/>
  <c r="CO19" i="8"/>
  <c r="CW30" i="8"/>
  <c r="CW57" i="8"/>
  <c r="CW9" i="8"/>
  <c r="CW25" i="8"/>
  <c r="CW27" i="8"/>
  <c r="CK14" i="8"/>
  <c r="CK55" i="8"/>
  <c r="BD4" i="5"/>
  <c r="CK56" i="8"/>
  <c r="CL56" i="8"/>
  <c r="CV30" i="8"/>
  <c r="CV57" i="8"/>
  <c r="CX31" i="8"/>
  <c r="CX58" i="8"/>
  <c r="AT13" i="3"/>
  <c r="F40" i="11"/>
  <c r="BZ47" i="8"/>
  <c r="AT12" i="3"/>
  <c r="AH27" i="1"/>
  <c r="AH51" i="1" s="1"/>
  <c r="AT15" i="3"/>
  <c r="CP27" i="8"/>
  <c r="BZ31" i="8"/>
  <c r="AT25" i="3"/>
  <c r="CM58" i="8"/>
  <c r="BZ58" i="8"/>
  <c r="CM31" i="8"/>
  <c r="BZ8" i="8"/>
  <c r="CB55" i="8"/>
  <c r="AV20" i="3"/>
  <c r="AV17" i="3"/>
  <c r="AJ51" i="1"/>
  <c r="AV4" i="3"/>
  <c r="AV11" i="3"/>
  <c r="AV16" i="3"/>
  <c r="AV15" i="3"/>
  <c r="CB14" i="8"/>
  <c r="AV23" i="3"/>
  <c r="AV22" i="3"/>
  <c r="AV14" i="3"/>
  <c r="AV21" i="3"/>
  <c r="AU4" i="5"/>
  <c r="AV9" i="3"/>
  <c r="CB56" i="8"/>
  <c r="AW9" i="3"/>
  <c r="AV6" i="3"/>
  <c r="BL12" i="5"/>
  <c r="CS10" i="8" s="1"/>
  <c r="CS7" i="8"/>
  <c r="CS35" i="8"/>
  <c r="CS6" i="8"/>
  <c r="CS8" i="8"/>
  <c r="CU20" i="8"/>
  <c r="CU19" i="8"/>
  <c r="BH12" i="5"/>
  <c r="CO6" i="8"/>
  <c r="CO8" i="8"/>
  <c r="CO35" i="8"/>
  <c r="CP20" i="8"/>
  <c r="CP19" i="8"/>
  <c r="CQ36" i="8"/>
  <c r="BP12" i="5"/>
  <c r="CW10" i="8" s="1"/>
  <c r="CW6" i="8"/>
  <c r="CW8" i="8"/>
  <c r="CW7" i="8"/>
  <c r="CW35" i="8"/>
  <c r="BF51" i="1"/>
  <c r="CY56" i="8"/>
  <c r="BR4" i="5"/>
  <c r="CY24" i="8" s="1"/>
  <c r="CY55" i="8"/>
  <c r="CW24" i="8"/>
  <c r="CW31" i="8"/>
  <c r="CW58" i="8"/>
  <c r="CU30" i="8"/>
  <c r="CU57" i="8"/>
  <c r="CY31" i="8"/>
  <c r="CY58" i="8"/>
  <c r="CW15" i="8"/>
  <c r="CW26" i="8"/>
  <c r="CM6" i="8"/>
  <c r="CM35" i="8"/>
  <c r="CM7" i="8"/>
  <c r="CM8" i="8"/>
  <c r="CM20" i="8"/>
  <c r="BF12" i="5"/>
  <c r="CM10" i="8" s="1"/>
  <c r="BM12" i="5"/>
  <c r="CT35" i="8"/>
  <c r="CT6" i="8"/>
  <c r="CT8" i="8"/>
  <c r="CV20" i="8"/>
  <c r="CV19" i="8"/>
  <c r="BI12" i="5"/>
  <c r="CP10" i="8" s="1"/>
  <c r="CP6" i="8"/>
  <c r="CP8" i="8"/>
  <c r="CP7" i="8"/>
  <c r="CP35" i="8"/>
  <c r="CQ19" i="8"/>
  <c r="CQ20" i="8"/>
  <c r="CR36" i="8"/>
  <c r="BQ12" i="5"/>
  <c r="CX10" i="8" s="1"/>
  <c r="CX6" i="8"/>
  <c r="CX8" i="8"/>
  <c r="CX35" i="8"/>
  <c r="CR31" i="8"/>
  <c r="CR58" i="8"/>
  <c r="CR24" i="8"/>
  <c r="CO55" i="8"/>
  <c r="CO56" i="8"/>
  <c r="BH4" i="5"/>
  <c r="BX19" i="8"/>
  <c r="BX20" i="8"/>
  <c r="CT56" i="8"/>
  <c r="BM4" i="5"/>
  <c r="BO24" i="3" s="1"/>
  <c r="CT55" i="8"/>
  <c r="CX14" i="8"/>
  <c r="CS30" i="8"/>
  <c r="CS57" i="8"/>
  <c r="CF9" i="8"/>
  <c r="CF15" i="8"/>
  <c r="CF25" i="8"/>
  <c r="CF26" i="8"/>
  <c r="CF27" i="8"/>
  <c r="CF57" i="8"/>
  <c r="AZ24" i="3"/>
  <c r="CF30" i="8"/>
  <c r="BA24" i="3"/>
  <c r="CF7" i="8"/>
  <c r="D7" i="13" s="1"/>
  <c r="AZ36" i="3"/>
  <c r="CF24" i="8"/>
  <c r="BA36" i="3"/>
  <c r="CF10" i="8"/>
  <c r="D8" i="13" s="1"/>
  <c r="BJ12" i="5"/>
  <c r="CQ10" i="8" s="1"/>
  <c r="CQ7" i="8"/>
  <c r="CQ35" i="8"/>
  <c r="CQ6" i="8"/>
  <c r="CQ8" i="8"/>
  <c r="CR19" i="8"/>
  <c r="CR20" i="8"/>
  <c r="BR12" i="5"/>
  <c r="CY7" i="8"/>
  <c r="CY35" i="8"/>
  <c r="CY6" i="8"/>
  <c r="CY8" i="8"/>
  <c r="CY36" i="8"/>
  <c r="CF34" i="8"/>
  <c r="CF21" i="8"/>
  <c r="CV21" i="8"/>
  <c r="CW21" i="8"/>
  <c r="CO24" i="8"/>
  <c r="CO31" i="8"/>
  <c r="CO58" i="8"/>
  <c r="CV15" i="8"/>
  <c r="BA51" i="1"/>
  <c r="CV9" i="8"/>
  <c r="CR30" i="8"/>
  <c r="CR57" i="8"/>
  <c r="CV24" i="8"/>
  <c r="BK12" i="5"/>
  <c r="CR10" i="8" s="1"/>
  <c r="CR7" i="8"/>
  <c r="CR35" i="8"/>
  <c r="CR6" i="8"/>
  <c r="CR8" i="8"/>
  <c r="CS19" i="8"/>
  <c r="CS20" i="8"/>
  <c r="CO14" i="8"/>
  <c r="CU9" i="8"/>
  <c r="CS25" i="8"/>
  <c r="BS12" i="5"/>
  <c r="CZ6" i="8"/>
  <c r="CZ35" i="8"/>
  <c r="CZ8" i="8"/>
  <c r="CZ31" i="8"/>
  <c r="CZ58" i="8"/>
  <c r="CZ19" i="8"/>
  <c r="CZ20" i="8"/>
  <c r="BG51" i="1"/>
  <c r="CZ14" i="8"/>
  <c r="CZ55" i="8"/>
  <c r="BS4" i="5"/>
  <c r="AX39" i="3"/>
  <c r="CD36" i="8"/>
  <c r="AX30" i="3"/>
  <c r="AX37" i="3"/>
  <c r="AY39" i="3"/>
  <c r="AY30" i="3"/>
  <c r="AY37" i="3"/>
  <c r="CE36" i="8"/>
  <c r="BN36" i="8"/>
  <c r="AH30" i="3"/>
  <c r="AH39" i="3"/>
  <c r="AH37" i="3"/>
  <c r="AU37" i="3"/>
  <c r="AU39" i="3"/>
  <c r="CA36" i="8"/>
  <c r="AU30" i="3"/>
  <c r="BJ24" i="3" l="1"/>
  <c r="DB30" i="8"/>
  <c r="DB57" i="8"/>
  <c r="BB35" i="2"/>
  <c r="BB37" i="2" s="1"/>
  <c r="BP9" i="3"/>
  <c r="CV56" i="8"/>
  <c r="BA35" i="2"/>
  <c r="BA37" i="2" s="1"/>
  <c r="CU56" i="8"/>
  <c r="AY35" i="2"/>
  <c r="AY37" i="2" s="1"/>
  <c r="BM9" i="3"/>
  <c r="CS56" i="8"/>
  <c r="CY10" i="8"/>
  <c r="CN7" i="8"/>
  <c r="BH24" i="3"/>
  <c r="DA57" i="8"/>
  <c r="BH36" i="3"/>
  <c r="BI36" i="3"/>
  <c r="CX7" i="8"/>
  <c r="BR24" i="3"/>
  <c r="BS36" i="3"/>
  <c r="BI24" i="3"/>
  <c r="BJ36" i="3"/>
  <c r="BT24" i="3"/>
  <c r="BS24" i="3"/>
  <c r="BT36" i="3"/>
  <c r="BR36" i="3"/>
  <c r="CT7" i="8"/>
  <c r="BN24" i="3"/>
  <c r="BO36" i="3"/>
  <c r="BN36" i="3"/>
  <c r="BE24" i="3"/>
  <c r="BE36" i="3"/>
  <c r="BF36" i="3"/>
  <c r="BF24" i="3"/>
  <c r="CN10" i="8"/>
  <c r="CX24" i="8"/>
  <c r="F20" i="11"/>
  <c r="CK9" i="8"/>
  <c r="CK26" i="8"/>
  <c r="CK15" i="8"/>
  <c r="CK7" i="8"/>
  <c r="CK27" i="8"/>
  <c r="CK25" i="8"/>
  <c r="CK24" i="8"/>
  <c r="CK21" i="8"/>
  <c r="CK30" i="8"/>
  <c r="CK57" i="8"/>
  <c r="CK10" i="8"/>
  <c r="CT30" i="8"/>
  <c r="CT57" i="8"/>
  <c r="CT27" i="8"/>
  <c r="CT21" i="8"/>
  <c r="CT26" i="8"/>
  <c r="CT9" i="8"/>
  <c r="CT15" i="8"/>
  <c r="CT25" i="8"/>
  <c r="CT24" i="8"/>
  <c r="CO10" i="8"/>
  <c r="CY9" i="8"/>
  <c r="CY25" i="8"/>
  <c r="CY27" i="8"/>
  <c r="CY30" i="8"/>
  <c r="CY57" i="8"/>
  <c r="CY15" i="8"/>
  <c r="CY21" i="8"/>
  <c r="CY26" i="8"/>
  <c r="CN30" i="8"/>
  <c r="CN57" i="8"/>
  <c r="CN25" i="8"/>
  <c r="CN9" i="8"/>
  <c r="CN21" i="8"/>
  <c r="CN27" i="8"/>
  <c r="CN26" i="8"/>
  <c r="CN15" i="8"/>
  <c r="CN24" i="8"/>
  <c r="CC57" i="8"/>
  <c r="CC25" i="8"/>
  <c r="CC30" i="8"/>
  <c r="CC26" i="8"/>
  <c r="CC15" i="8"/>
  <c r="C24" i="13"/>
  <c r="CC27" i="8"/>
  <c r="CC9" i="8"/>
  <c r="AX36" i="3"/>
  <c r="AW24" i="3"/>
  <c r="CC24" i="8"/>
  <c r="CC7" i="8"/>
  <c r="C7" i="13" s="1"/>
  <c r="CC10" i="8"/>
  <c r="C8" i="13" s="1"/>
  <c r="AX24" i="3"/>
  <c r="AS4" i="5"/>
  <c r="AT11" i="3"/>
  <c r="AT4" i="3"/>
  <c r="AT20" i="3"/>
  <c r="AT23" i="3"/>
  <c r="AT6" i="3"/>
  <c r="BZ55" i="8"/>
  <c r="AT21" i="3"/>
  <c r="AT14" i="3"/>
  <c r="BZ14" i="8"/>
  <c r="AT17" i="3"/>
  <c r="BZ56" i="8"/>
  <c r="CA56" i="8"/>
  <c r="AU9" i="3"/>
  <c r="AR11" i="3"/>
  <c r="AT16" i="3"/>
  <c r="AT22" i="3"/>
  <c r="AT9" i="3"/>
  <c r="F29" i="11"/>
  <c r="CC21" i="8"/>
  <c r="CX30" i="8"/>
  <c r="CX57" i="8"/>
  <c r="CX21" i="8"/>
  <c r="CX9" i="8"/>
  <c r="CX27" i="8"/>
  <c r="CX26" i="8"/>
  <c r="CX25" i="8"/>
  <c r="CX15" i="8"/>
  <c r="CO30" i="8"/>
  <c r="CO57" i="8"/>
  <c r="CO9" i="8"/>
  <c r="CO27" i="8"/>
  <c r="CO15" i="8"/>
  <c r="CO26" i="8"/>
  <c r="CO21" i="8"/>
  <c r="CO25" i="8"/>
  <c r="CB15" i="8"/>
  <c r="CB9" i="8"/>
  <c r="CB26" i="8"/>
  <c r="CB25" i="8"/>
  <c r="CB57" i="8"/>
  <c r="AV24" i="3"/>
  <c r="AV36" i="3"/>
  <c r="AW36" i="3"/>
  <c r="CB21" i="8"/>
  <c r="CB30" i="8"/>
  <c r="CB10" i="8"/>
  <c r="CB7" i="8"/>
  <c r="CB24" i="8"/>
  <c r="CB27" i="8"/>
  <c r="CT10" i="8"/>
  <c r="CP57" i="8"/>
  <c r="CO7" i="8"/>
  <c r="CZ7" i="8"/>
  <c r="CZ9" i="8"/>
  <c r="CZ10" i="8"/>
  <c r="CZ15" i="8"/>
  <c r="CZ21" i="8"/>
  <c r="CZ24" i="8"/>
  <c r="CZ25" i="8"/>
  <c r="CZ26" i="8"/>
  <c r="CZ27" i="8"/>
  <c r="CZ30" i="8"/>
  <c r="CZ57" i="8"/>
  <c r="AT24" i="3" l="1"/>
  <c r="BZ21" i="8"/>
  <c r="BZ25" i="8"/>
  <c r="BZ57" i="8"/>
  <c r="CI63" i="8" s="1"/>
  <c r="AU24" i="3"/>
  <c r="CM30" i="8"/>
  <c r="BZ15" i="8"/>
  <c r="BZ7" i="8"/>
  <c r="AU36" i="3"/>
  <c r="BZ30" i="8"/>
  <c r="BZ26" i="8"/>
  <c r="AT36" i="3"/>
  <c r="BZ9" i="8"/>
  <c r="CM57" i="8"/>
  <c r="BZ27" i="8"/>
  <c r="BZ10" i="8"/>
  <c r="BZ24" i="8"/>
  <c r="F24" i="11"/>
  <c r="F26" i="11"/>
  <c r="F11" i="11"/>
  <c r="F7" i="11"/>
  <c r="F21" i="11"/>
  <c r="F30" i="11"/>
  <c r="F17" i="11" s="1"/>
  <c r="F8" i="11"/>
  <c r="F22" i="11"/>
</calcChain>
</file>

<file path=xl/sharedStrings.xml><?xml version="1.0" encoding="utf-8"?>
<sst xmlns="http://schemas.openxmlformats.org/spreadsheetml/2006/main" count="819" uniqueCount="386">
  <si>
    <t>AUDITED 2011</t>
  </si>
  <si>
    <t>AUDITED 2012</t>
  </si>
  <si>
    <t>AUDITED 2013</t>
  </si>
  <si>
    <t>AUDITED 2014</t>
  </si>
  <si>
    <t>AUDITED 2015</t>
  </si>
  <si>
    <t>AUDITED 2016</t>
  </si>
  <si>
    <t>AUDITED 2017</t>
  </si>
  <si>
    <t>AUDITED 2018</t>
  </si>
  <si>
    <t>AUDITED 2019</t>
  </si>
  <si>
    <t>Audited 2020</t>
  </si>
  <si>
    <t>Audited 2021</t>
  </si>
  <si>
    <t>Audited 2022</t>
  </si>
  <si>
    <t>Cash &amp; cash Equivalent</t>
  </si>
  <si>
    <t>Cash In Hand</t>
  </si>
  <si>
    <t>Cash at Bank</t>
  </si>
  <si>
    <t>Prepayment and Sundry</t>
  </si>
  <si>
    <t>Financial Investment</t>
  </si>
  <si>
    <t>Government Security</t>
  </si>
  <si>
    <t>Other Securities</t>
  </si>
  <si>
    <t>Balances  in NACCOS (E.g Jungu Kuu, ESS, Savings,Money Market,Coop FD, CFP)</t>
  </si>
  <si>
    <t>Equity Investments in NACCOs(Shares in- CIC, KUSCCO, COOP BANK,CAK, KERUSSU)</t>
  </si>
  <si>
    <t xml:space="preserve">Equity Investments in companies - shares/stocks </t>
  </si>
  <si>
    <t>Net Loan Portfolio</t>
  </si>
  <si>
    <t>Gross Loan Portfolio</t>
  </si>
  <si>
    <t>Allowance For Loan Loss</t>
  </si>
  <si>
    <t>Accounts Recievables</t>
  </si>
  <si>
    <t>Tax Recoverable</t>
  </si>
  <si>
    <t>Deffered Tax Assets</t>
  </si>
  <si>
    <t>Retirement Benefit Assets</t>
  </si>
  <si>
    <t>Property&amp;Equipments&amp;Other Assets</t>
  </si>
  <si>
    <t>Investment Properties</t>
  </si>
  <si>
    <t>Property and Equipment</t>
  </si>
  <si>
    <t>Prepaid Lease Rentals</t>
  </si>
  <si>
    <t>Intangible Assets</t>
  </si>
  <si>
    <t>Other Assets</t>
  </si>
  <si>
    <t>Total Assets</t>
  </si>
  <si>
    <t>Savings and Deposits</t>
  </si>
  <si>
    <t>Short Terrm Deposits</t>
  </si>
  <si>
    <t>Non Withdrawable Deposits</t>
  </si>
  <si>
    <t>Total Deposit Liabilities</t>
  </si>
  <si>
    <t>Tax Payable</t>
  </si>
  <si>
    <t>Dividends Payable</t>
  </si>
  <si>
    <t>Deferred Tax Liability</t>
  </si>
  <si>
    <t>Retirement Benefits Liabilty</t>
  </si>
  <si>
    <t>Other Liabilities</t>
  </si>
  <si>
    <t>External Borrowings</t>
  </si>
  <si>
    <t>Total Liabilities</t>
  </si>
  <si>
    <t>Share Capital</t>
  </si>
  <si>
    <t>Capital Grants</t>
  </si>
  <si>
    <t>Prior Year Retained Earnigs</t>
  </si>
  <si>
    <t>Current Year Surplus</t>
  </si>
  <si>
    <t>Statutory Reserves</t>
  </si>
  <si>
    <t>Other Reserves</t>
  </si>
  <si>
    <t>Revaluation Reserves</t>
  </si>
  <si>
    <t>Proposed Dividends</t>
  </si>
  <si>
    <t>Adjustment To Equity</t>
  </si>
  <si>
    <t>Total Equity</t>
  </si>
  <si>
    <t>Total Liabilities and Equity</t>
  </si>
  <si>
    <t>"000"</t>
  </si>
  <si>
    <t>Audited 2011</t>
  </si>
  <si>
    <t>Audited 2012</t>
  </si>
  <si>
    <t>Audited 2013</t>
  </si>
  <si>
    <t>Audited 2014</t>
  </si>
  <si>
    <t>Audited 2015</t>
  </si>
  <si>
    <t>Audited 2016</t>
  </si>
  <si>
    <t>Audited 2017</t>
  </si>
  <si>
    <t>Audited 2019</t>
  </si>
  <si>
    <t>Financial Income</t>
  </si>
  <si>
    <t>Financial Income From Loans Portfolio</t>
  </si>
  <si>
    <t>Interest from Loans Portfolio</t>
  </si>
  <si>
    <t>Fees&amp;Commision on Loan Portfolio</t>
  </si>
  <si>
    <t>Financial Income from Investments</t>
  </si>
  <si>
    <t>Government Securities</t>
  </si>
  <si>
    <t>Deposits with Banks &amp; other Financial Institutions</t>
  </si>
  <si>
    <t>Other Investments</t>
  </si>
  <si>
    <t>Other Operating Income</t>
  </si>
  <si>
    <t>Financial Expenses</t>
  </si>
  <si>
    <t>Interest Expense on Deposits</t>
  </si>
  <si>
    <t>Cost of External Borrowings</t>
  </si>
  <si>
    <t>Dividend Expenses</t>
  </si>
  <si>
    <t>Other Financial Expense</t>
  </si>
  <si>
    <t>Fees &amp; Commision Expense</t>
  </si>
  <si>
    <t>Other Expenses</t>
  </si>
  <si>
    <t>Net Financial Income</t>
  </si>
  <si>
    <t>Allowance for Loan Loss</t>
  </si>
  <si>
    <t>Provision for Loan Losses</t>
  </si>
  <si>
    <t>Value of Loans Recovered</t>
  </si>
  <si>
    <t>Operating Expeses</t>
  </si>
  <si>
    <t>Personel Expenses</t>
  </si>
  <si>
    <t>Governance Expenses</t>
  </si>
  <si>
    <t>Marketing Expenses</t>
  </si>
  <si>
    <t>Depreciation and Amortization</t>
  </si>
  <si>
    <t>Administrative Expenses</t>
  </si>
  <si>
    <t>Net Operating Income</t>
  </si>
  <si>
    <t>Net Non operating Income/Expense</t>
  </si>
  <si>
    <t>Non Operating Income</t>
  </si>
  <si>
    <t>Non Operating Expense</t>
  </si>
  <si>
    <t>Net Income(Before Tax &amp; Donations)</t>
  </si>
  <si>
    <t>Taxes</t>
  </si>
  <si>
    <t>Net Income(After Tax Before Donations)</t>
  </si>
  <si>
    <t>Donations</t>
  </si>
  <si>
    <t>Net Income/(After Tax &amp; Donations)</t>
  </si>
  <si>
    <t>Total Expenses</t>
  </si>
  <si>
    <t>STIMA SACCO SOCIETY LIMITED</t>
  </si>
  <si>
    <t>PERFORMANCE AND COMPLIANCE REPORT AS AT :  31st December , 2019</t>
  </si>
  <si>
    <t>Prudential Standard</t>
  </si>
  <si>
    <t>Audited</t>
  </si>
  <si>
    <t>Returns</t>
  </si>
  <si>
    <t>Aggregate for all Licensed Saccos</t>
  </si>
  <si>
    <t xml:space="preserve"> 30th September  , 2019</t>
  </si>
  <si>
    <t xml:space="preserve"> 31st December  , 2019</t>
  </si>
  <si>
    <t>A. CAPITAL  ADEQUACY</t>
  </si>
  <si>
    <t xml:space="preserve">Core Capital 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</si>
  <si>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10M</t>
    </r>
  </si>
  <si>
    <t>Core Capital/Total Assets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</si>
  <si>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10%</t>
    </r>
  </si>
  <si>
    <t>Institutional Capital/Total Assets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</si>
  <si>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8%</t>
    </r>
  </si>
  <si>
    <t>B. ASSET QUALITY</t>
  </si>
  <si>
    <t>NPL  (Substandard+Doubtful+Loss)</t>
  </si>
  <si>
    <t>&lt;5%</t>
  </si>
  <si>
    <t>Non-Earning Assets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</si>
  <si>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</si>
  <si>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</si>
  <si>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</si>
  <si>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</si>
  <si>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</si>
  <si>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</si>
  <si>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</si>
  <si>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</si>
  <si>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</si>
  <si>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</si>
  <si>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</si>
  <si>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</si>
  <si>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</si>
  <si>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</si>
  <si>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</si>
  <si>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</si>
  <si>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</si>
  <si>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</si>
  <si>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</si>
  <si>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</si>
  <si>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</si>
  <si>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</si>
  <si>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</si>
  <si>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AGGREGATE</t>
  </si>
  <si>
    <t>Average Assets</t>
  </si>
  <si>
    <t>Total Deposits</t>
  </si>
  <si>
    <t>Gross Loans</t>
  </si>
  <si>
    <t>Core Capital</t>
  </si>
  <si>
    <t>Institutional Capital</t>
  </si>
  <si>
    <t>Non-performing Loans</t>
  </si>
  <si>
    <t>Equity Investments</t>
  </si>
  <si>
    <t>Financial Investments</t>
  </si>
  <si>
    <t>Liquid Assets</t>
  </si>
  <si>
    <t>Short-term Liabilities)</t>
  </si>
  <si>
    <t>External Borrowing</t>
  </si>
  <si>
    <t>Average Gross Loans</t>
  </si>
  <si>
    <t>Total Income</t>
  </si>
  <si>
    <t>Net Financial Income/Loss</t>
  </si>
  <si>
    <t>Dividends+Interest on Deposits</t>
  </si>
  <si>
    <t>Operating Expenses</t>
  </si>
  <si>
    <t>Interest on Loan portfolio+Fees&amp;Commission on Loan</t>
  </si>
  <si>
    <t>Net Income</t>
  </si>
  <si>
    <t>G. AREAS OF IMPROVEMENT/REGULATORY CONCERNS</t>
  </si>
  <si>
    <t>Prepared by:</t>
  </si>
  <si>
    <t>Checked by:</t>
  </si>
  <si>
    <t>Approved by:</t>
  </si>
  <si>
    <t>DISCLAIMER: This report is prepared based on information submitted by the Sacco as at the stated date and may change upon verification by the Authority.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</si>
  <si>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</si>
  <si>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</si>
  <si>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</si>
  <si>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</si>
  <si>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</si>
  <si>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</si>
  <si>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</si>
  <si>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</si>
  <si>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</si>
  <si>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</si>
  <si>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</si>
  <si>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NPL</t>
  </si>
  <si>
    <t>PAR</t>
  </si>
  <si>
    <t>Audited 2018</t>
  </si>
  <si>
    <t>Sub-total</t>
  </si>
  <si>
    <t>STIMA</t>
  </si>
  <si>
    <t xml:space="preserve">MOMBASA PORT </t>
  </si>
  <si>
    <t>STIMA SACCO 2017 CAELS</t>
  </si>
  <si>
    <t>2013 Audited</t>
  </si>
  <si>
    <t>2014 Audited</t>
  </si>
  <si>
    <t>2015 Audited</t>
  </si>
  <si>
    <t>2016 Audited</t>
  </si>
  <si>
    <t>CAPITAL ADEQUACY</t>
  </si>
  <si>
    <t>10 M</t>
  </si>
  <si>
    <t>CCA</t>
  </si>
  <si>
    <t>Min 10%</t>
  </si>
  <si>
    <t>CCD</t>
  </si>
  <si>
    <t>Min 8%</t>
  </si>
  <si>
    <t>ICA</t>
  </si>
  <si>
    <t>ASSET QUALITY</t>
  </si>
  <si>
    <t>A/LNPL30</t>
  </si>
  <si>
    <t>NPL30</t>
  </si>
  <si>
    <t>EARNINGS</t>
  </si>
  <si>
    <t>ROA</t>
  </si>
  <si>
    <t>Cost Income ratio</t>
  </si>
  <si>
    <t>Operating Expense  ratio</t>
  </si>
  <si>
    <t>LIQUIDITY</t>
  </si>
  <si>
    <t>MIN LIQ ratio</t>
  </si>
  <si>
    <t>Min 15%</t>
  </si>
  <si>
    <t>T/LIQ ratio</t>
  </si>
  <si>
    <t>EB ratio</t>
  </si>
  <si>
    <t>Max 25%</t>
  </si>
  <si>
    <t>LA to TA ratio</t>
  </si>
  <si>
    <t>STRUCTURE</t>
  </si>
  <si>
    <t>NEA ratio</t>
  </si>
  <si>
    <t>Max 10%</t>
  </si>
  <si>
    <t>LB ratio</t>
  </si>
  <si>
    <t>Max 5%</t>
  </si>
  <si>
    <t>PI to Deposit ratio</t>
  </si>
  <si>
    <t>PI to CC ratio</t>
  </si>
  <si>
    <t>Max 40%</t>
  </si>
  <si>
    <t>Gross loans/TA</t>
  </si>
  <si>
    <t>FUNDING MIX</t>
  </si>
  <si>
    <t>Total Deposits/Total Assets</t>
  </si>
  <si>
    <t>BOSA Deposits/Total Assets</t>
  </si>
  <si>
    <t>FOSA Deposits/Total Assets</t>
  </si>
  <si>
    <t>GROWTH RATIOS</t>
  </si>
  <si>
    <t>BOSA Deposits</t>
  </si>
  <si>
    <t>FOSA Deposits</t>
  </si>
  <si>
    <t>Total Loans &amp; advances</t>
  </si>
  <si>
    <t>Core capital</t>
  </si>
  <si>
    <t>Turnover</t>
  </si>
  <si>
    <t>Membership</t>
  </si>
  <si>
    <t>Expenses</t>
  </si>
  <si>
    <t xml:space="preserve">Efficiency Ratios </t>
  </si>
  <si>
    <t>FinCost-Deposits/Avg Deposits</t>
  </si>
  <si>
    <t>FinCost-Shares/Avg Share capital</t>
  </si>
  <si>
    <t>FinCost-Ext Loans/Avg Ext Loans</t>
  </si>
  <si>
    <t>OpEx/Average Total Assets</t>
  </si>
  <si>
    <t>Opex/Turnover</t>
  </si>
  <si>
    <t xml:space="preserve">Avge yield on Net loans </t>
  </si>
  <si>
    <t xml:space="preserve">Avge yield on Gross loans </t>
  </si>
  <si>
    <t>ALL/Average Gross Loan portfolio</t>
  </si>
  <si>
    <t>KORU Sacco Financial Performance</t>
  </si>
  <si>
    <t>Year</t>
  </si>
  <si>
    <t>Deposits-Members(BOSA)</t>
  </si>
  <si>
    <t>Deposits-Customers(FOSA)</t>
  </si>
  <si>
    <t>Short term Liabilities</t>
  </si>
  <si>
    <t>Share capital and Reserves</t>
  </si>
  <si>
    <t>Institutional  Capital</t>
  </si>
  <si>
    <t>Total Capital</t>
  </si>
  <si>
    <t>5.3.1</t>
  </si>
  <si>
    <t>Members Share Capital</t>
  </si>
  <si>
    <t>5.3.2</t>
  </si>
  <si>
    <t>Entrance Fees</t>
  </si>
  <si>
    <t>5.3.3</t>
  </si>
  <si>
    <t>Retained Earnings</t>
  </si>
  <si>
    <t>5.3.4</t>
  </si>
  <si>
    <t>Appropriation Account</t>
  </si>
  <si>
    <t>5.3.5</t>
  </si>
  <si>
    <t>5.3.6</t>
  </si>
  <si>
    <t>Capital Reserves</t>
  </si>
  <si>
    <t>5.3.7</t>
  </si>
  <si>
    <t>Supplementary Capital &amp; reserves</t>
  </si>
  <si>
    <t>a</t>
  </si>
  <si>
    <t>b</t>
  </si>
  <si>
    <t>Risk Mgt  Fund</t>
  </si>
  <si>
    <t>Investments</t>
  </si>
  <si>
    <t>Shares in Kusco,CIC,Coop Bank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</si>
  <si>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</si>
  <si>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</si>
  <si>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</si>
  <si>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</si>
  <si>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</si>
  <si>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Cash &amp; Cash Equivalents</t>
  </si>
  <si>
    <t>Loan Interest</t>
  </si>
  <si>
    <t>Income from investments</t>
  </si>
  <si>
    <t>Fees &amp; Commissions</t>
  </si>
  <si>
    <t>Average yield on loans</t>
  </si>
  <si>
    <t>Financial and Operating costs</t>
  </si>
  <si>
    <t>Interest expense on deposits</t>
  </si>
  <si>
    <t>Dividend expense on share capital</t>
  </si>
  <si>
    <t>Interest expense on borrowed funds</t>
  </si>
  <si>
    <t>Opperating expenses</t>
  </si>
  <si>
    <t>Div + Int on Deposits</t>
  </si>
  <si>
    <t>Short term (Deposits + Liabilities)</t>
  </si>
  <si>
    <t>STATEMENT OF CASHFLOWS FOR THE YEAR ENDED 31ST DECEMBER 2015</t>
  </si>
  <si>
    <t>Cash flows from operating activities</t>
  </si>
  <si>
    <t>Interest receipts</t>
  </si>
  <si>
    <t>Interest Payments</t>
  </si>
  <si>
    <t>Payment to employees and suppliers</t>
  </si>
  <si>
    <t>Other receipts</t>
  </si>
  <si>
    <t>(Increase)/Decrease in Operating assets</t>
  </si>
  <si>
    <t>Net loans to members</t>
  </si>
  <si>
    <t>Recievables and prepayments</t>
  </si>
  <si>
    <t>Short term investments</t>
  </si>
  <si>
    <t>Increase/(Decrease) in Operating liabilities</t>
  </si>
  <si>
    <t>Deposits from members</t>
  </si>
  <si>
    <t>Decrease/Increase Risk Fund</t>
  </si>
  <si>
    <t>Increase/decrease on Interest bearing Liabilities</t>
  </si>
  <si>
    <t>Sundry creditors</t>
  </si>
  <si>
    <t>Net cashflow from operating activities before income taxes</t>
  </si>
  <si>
    <t>Income tax paid</t>
  </si>
  <si>
    <t>Net Cash from Operating activities</t>
  </si>
  <si>
    <t>Cashflow from investing activities</t>
  </si>
  <si>
    <t>Purchase of Property and equipment</t>
  </si>
  <si>
    <t>Purchase of intangible assets</t>
  </si>
  <si>
    <t>Purchase of financial assets</t>
  </si>
  <si>
    <t>Movement of other reserves-</t>
  </si>
  <si>
    <t>Issue of Bonus</t>
  </si>
  <si>
    <t>Dividends Received</t>
  </si>
  <si>
    <t>Net Cash from investing activities</t>
  </si>
  <si>
    <t>Cashflow from financing activities</t>
  </si>
  <si>
    <t>Share capital contributions</t>
  </si>
  <si>
    <t>Contribution to sinking fund</t>
  </si>
  <si>
    <t>Repayments of long term borrowings</t>
  </si>
  <si>
    <t>Dividend paid</t>
  </si>
  <si>
    <t>Honorarium paid</t>
  </si>
  <si>
    <t>Net cash from financing activities</t>
  </si>
  <si>
    <t>Net (Decrease)/Increase in cash and cash equivalent</t>
  </si>
  <si>
    <t>Cash and cash equivalent at the beginning  of the year</t>
  </si>
  <si>
    <t>Cash and cash equivalent at the end of the year</t>
  </si>
  <si>
    <t>KORU SACCO SOCIETY LTD</t>
  </si>
  <si>
    <t xml:space="preserve">KORU Sacco Financial Performance </t>
  </si>
  <si>
    <t>FINANCIAL SOUNDNESS INDICATORS</t>
  </si>
  <si>
    <t>Prude.  Std</t>
  </si>
  <si>
    <t>Ref. #</t>
  </si>
  <si>
    <t>2011</t>
  </si>
  <si>
    <t>Dec 2013 audited</t>
  </si>
  <si>
    <t>CAPITAL ADEQUACY REQUIREMENTS</t>
  </si>
  <si>
    <t xml:space="preserve">Core capital </t>
  </si>
  <si>
    <t>≥ Ksh.10M</t>
  </si>
  <si>
    <t>9.a</t>
  </si>
  <si>
    <t>Core capital /Total Assets</t>
  </si>
  <si>
    <t>≥ 10%</t>
  </si>
  <si>
    <t>9.b</t>
  </si>
  <si>
    <t>Core capital /Total Deposits</t>
  </si>
  <si>
    <t>≥ 8%</t>
  </si>
  <si>
    <t>9.d</t>
  </si>
  <si>
    <t>Share Capital/Total Assets</t>
  </si>
  <si>
    <t>≤2%</t>
  </si>
  <si>
    <t>9.c</t>
  </si>
  <si>
    <t>ASSET MIX AND QUALITY</t>
  </si>
  <si>
    <t>Non Earning Assets</t>
  </si>
  <si>
    <t>Non earning Assets/Total assets</t>
  </si>
  <si>
    <t>≤ 10%</t>
  </si>
  <si>
    <t xml:space="preserve">Property and Equipment/Total Assets </t>
  </si>
  <si>
    <t>≤ 5%</t>
  </si>
  <si>
    <t xml:space="preserve">Non Performing loans/Gross Loans </t>
  </si>
  <si>
    <t>≤ 6%</t>
  </si>
  <si>
    <t>Earning Assets</t>
  </si>
  <si>
    <t>Equities &amp; Investments/Deposits</t>
  </si>
  <si>
    <t>Equities &amp; Investments/Core Capital</t>
  </si>
  <si>
    <t>≤ 40%</t>
  </si>
  <si>
    <t>Net Loans &amp; advances /Total assets</t>
  </si>
  <si>
    <t>NPR</t>
  </si>
  <si>
    <t>External Borrowing/Total assets</t>
  </si>
  <si>
    <t>≤ 25%</t>
  </si>
  <si>
    <t>GROWTH RATIOS (Annualized)</t>
  </si>
  <si>
    <t>Net Loans &amp; advances</t>
  </si>
  <si>
    <t>Total Gross Income</t>
  </si>
  <si>
    <t>FinCost-Deposits/Average Deposits</t>
  </si>
  <si>
    <t>FinCost-Shares/Average Share capital</t>
  </si>
  <si>
    <t>FinCost-Ext Loans/Average Ext Loans</t>
  </si>
  <si>
    <t>Liquidity Ratio</t>
  </si>
  <si>
    <t xml:space="preserve">Liquid Assets - ST Liabilities/ Deposits </t>
  </si>
  <si>
    <t>Loan Loss Provisions Ratios</t>
  </si>
  <si>
    <t>Actual LLP / Required LLP</t>
  </si>
  <si>
    <t>Minimum Liquidity</t>
  </si>
  <si>
    <t>Technical Liquidity</t>
  </si>
  <si>
    <t>Net Interest Margin</t>
  </si>
  <si>
    <t>Assets Growth Ratio</t>
  </si>
  <si>
    <t>Deposits Growth Ratio</t>
  </si>
  <si>
    <t>BOSA Growth Ratio</t>
  </si>
  <si>
    <t>FOSA Growth Ratio</t>
  </si>
  <si>
    <t>STIMA SACCO SOCIETY LIMITED     CS/NO: 2207</t>
  </si>
  <si>
    <t>PERFORMANCE AND COMPLIANCE REPORT AS AT :  30TH JUNE , 2018</t>
  </si>
  <si>
    <t>Validated</t>
  </si>
  <si>
    <t>Average for all Licensed Saccos</t>
  </si>
  <si>
    <t>Net Income/Average Assets</t>
  </si>
  <si>
    <t>Operating Expenses/Net Income (OPEX)</t>
  </si>
  <si>
    <t>Short-term (Deposits + liabilities)</t>
  </si>
  <si>
    <t>G. AREAS OF IMPROVEMENT/REGULARTORY CONCERNS</t>
  </si>
  <si>
    <t>1. The ratio of NPL is above the prescribed limit</t>
  </si>
  <si>
    <t>Prepared by: Daniel Mwatu</t>
  </si>
  <si>
    <t>Approved by: Peter Njuguna</t>
  </si>
  <si>
    <t>PERFORMANCE AND COMPLIANCE REPORT AS AT :  30th September 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</si>
</sst>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&quot;$&quot;#,##0_);[Red]\(&quot;$&quot;#,##0\)"/>
    <numFmt numFmtId="43" formatCode="_(* #,##0.00_);_(* \(#,##0.00\);_(* &quot;-&quot;??_);_(@_)"/>
    <numFmt numFmtId="164" formatCode="_-* #,##0.00_-;\-* #,##0.00_-;_-* &quot;-&quot;??_-;_-@_-"/>
    <numFmt numFmtId="165" formatCode="[$-10409]#,##0.00;\-\ #,##0.00"/>
    <numFmt numFmtId="166" formatCode="[$-10409]0.00;\-\ 0.00"/>
    <numFmt numFmtId="167" formatCode="_(* #,##0.00_);_(* \(#,##0.00\);_(* \-??_);_(@_)"/>
    <numFmt numFmtId="168" formatCode="d/mmm/yy"/>
    <numFmt numFmtId="169" formatCode="\£#,##0;&quot;-£&quot;#,##0"/>
    <numFmt numFmtId="170" formatCode="_-* #,##0.00_-;\-* #,##0.00_-;_-* \-??_-;_-@_-"/>
    <numFmt numFmtId="171" formatCode="0.0%"/>
    <numFmt numFmtId="172" formatCode="0.0"/>
    <numFmt numFmtId="173" formatCode="_(* #,##0_);_(* \(#,##0\);_(* &quot;-&quot;??_);_(@_)"/>
    <numFmt numFmtId="174" formatCode="[$-10409]#,##0;\-\ #,##0"/>
    <numFmt numFmtId="175" formatCode="[$-409]mmm\-yy;@"/>
    <numFmt numFmtId="176" formatCode="&quot;£&quot;#,##0;\-&quot;£&quot;#,##0"/>
    <numFmt numFmtId="177" formatCode="_-* #,##0_-;\-* #,##0_-;_-* &quot;-&quot;??_-;_-@_-"/>
  </numFmts>
  <fonts count="8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u/>
      <sz val="9"/>
      <color indexed="11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u/>
      <sz val="11.95"/>
      <name val="Times New Roman"/>
      <family val="1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11"/>
      <color indexed="62"/>
      <name val="Arial"/>
      <family val="2"/>
    </font>
    <font>
      <sz val="11"/>
      <color indexed="8"/>
      <name val="Calibri"/>
      <family val="2"/>
    </font>
    <font>
      <sz val="8"/>
      <color indexed="8"/>
      <name val="Trebuchet MS"/>
      <family val="2"/>
    </font>
    <font>
      <b/>
      <sz val="11"/>
      <color indexed="8"/>
      <name val="Arial"/>
      <family val="2"/>
    </font>
    <font>
      <sz val="11"/>
      <name val="Cambria"/>
      <family val="1"/>
    </font>
    <font>
      <b/>
      <sz val="11"/>
      <name val="Cambria"/>
      <family val="1"/>
    </font>
    <font>
      <u/>
      <sz val="11.95"/>
      <color indexed="9"/>
      <name val="Times New Roman"/>
      <family val="1"/>
    </font>
    <font>
      <sz val="10"/>
      <color indexed="8"/>
      <name val="MS Sans Serif"/>
      <family val="2"/>
    </font>
    <font>
      <b/>
      <sz val="14"/>
      <color indexed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indexed="8"/>
      <name val="Cambria"/>
      <family val="1"/>
    </font>
    <font>
      <b/>
      <sz val="11"/>
      <color indexed="8"/>
      <name val="Cambria"/>
      <family val="1"/>
    </font>
    <font>
      <sz val="10"/>
      <color indexed="8"/>
      <name val="Cambria"/>
      <family val="1"/>
    </font>
    <font>
      <b/>
      <sz val="10"/>
      <color indexed="8"/>
      <name val="Cambria"/>
      <family val="1"/>
    </font>
    <font>
      <sz val="10"/>
      <name val="Cambria"/>
      <family val="1"/>
    </font>
    <font>
      <b/>
      <sz val="12"/>
      <name val="Cambria"/>
      <family val="1"/>
    </font>
    <font>
      <i/>
      <sz val="10"/>
      <color indexed="8"/>
      <name val="Cambria"/>
      <family val="1"/>
    </font>
    <font>
      <i/>
      <sz val="10"/>
      <name val="Cambria"/>
      <family val="1"/>
    </font>
    <font>
      <sz val="10"/>
      <name val="Arial Narrow"/>
      <family val="2"/>
    </font>
    <font>
      <b/>
      <sz val="10"/>
      <name val="Cambria"/>
      <family val="1"/>
    </font>
    <font>
      <sz val="10"/>
      <name val="Lohit Hindi"/>
      <family val="2"/>
    </font>
    <font>
      <sz val="12"/>
      <name val="Times New Roman"/>
      <family val="1"/>
    </font>
    <font>
      <b/>
      <u/>
      <sz val="10"/>
      <color indexed="11"/>
      <name val="Cambria"/>
      <family val="1"/>
    </font>
    <font>
      <sz val="11"/>
      <color indexed="8"/>
      <name val="Cambria"/>
      <family val="1"/>
    </font>
    <font>
      <sz val="12"/>
      <color indexed="8"/>
      <name val="Cambria"/>
      <family val="1"/>
    </font>
    <font>
      <sz val="8"/>
      <name val="Calibri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10"/>
      <name val="Arial"/>
      <family val="2"/>
    </font>
    <font>
      <sz val="8"/>
      <color indexed="13"/>
      <name val="Arial"/>
      <family val="2"/>
    </font>
    <font>
      <sz val="10"/>
      <color indexed="8"/>
      <name val="Arial"/>
      <charset val="1"/>
    </font>
    <font>
      <sz val="9"/>
      <color indexed="8"/>
      <name val="Arial"/>
      <charset val="1"/>
    </font>
    <font>
      <sz val="8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Arial"/>
      <family val="2"/>
    </font>
    <font>
      <sz val="10"/>
      <color theme="1"/>
      <name val="Arial"/>
      <family val="2"/>
    </font>
    <font>
      <sz val="8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2"/>
      <color theme="1"/>
      <name val="Cambria"/>
      <family val="1"/>
    </font>
    <font>
      <sz val="11.5"/>
      <color rgb="FF00000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1"/>
      <name val="Cambria"/>
      <family val="1"/>
      <scheme val="major"/>
    </font>
    <font>
      <b/>
      <i/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sz val="11"/>
      <color theme="1"/>
      <name val="Arial"/>
      <family val="2"/>
    </font>
    <font>
      <u val="singleAccounting"/>
      <sz val="11"/>
      <color theme="1"/>
      <name val="Arial"/>
      <family val="2"/>
    </font>
    <font>
      <b/>
      <u val="singleAccounting"/>
      <sz val="11"/>
      <color theme="1"/>
      <name val="Arial"/>
      <family val="2"/>
    </font>
    <font>
      <b/>
      <sz val="12"/>
      <color theme="1"/>
      <name val="Cambria"/>
      <family val="1"/>
      <scheme val="major"/>
    </font>
    <font>
      <sz val="11"/>
      <color theme="1"/>
      <name val="Cambria"/>
      <family val="1"/>
    </font>
    <font>
      <sz val="11"/>
      <color theme="1"/>
      <name val="Cambria"/>
      <family val="1"/>
      <scheme val="major"/>
    </font>
    <font>
      <sz val="10"/>
      <name val="Cambria"/>
      <family val="1"/>
      <scheme val="major"/>
    </font>
    <font>
      <b/>
      <sz val="11"/>
      <color theme="1"/>
      <name val="Cambria"/>
      <family val="1"/>
    </font>
    <font>
      <b/>
      <sz val="10"/>
      <name val="Cambria"/>
      <family val="1"/>
      <scheme val="maj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mbria"/>
      <family val="1"/>
    </font>
    <font>
      <b/>
      <sz val="11"/>
      <color rgb="FFFF0000"/>
      <name val="Calibri"/>
      <family val="2"/>
      <scheme val="minor"/>
    </font>
    <font>
      <sz val="11"/>
      <color rgb="FF000000"/>
      <name val="Cambria"/>
      <family val="1"/>
    </font>
    <font>
      <b/>
      <sz val="11"/>
      <color rgb="FF000000"/>
      <name val="Cambria"/>
      <family val="1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000000"/>
      <name val="Arial"/>
      <charset val="1"/>
    </font>
    <font>
      <sz val="10"/>
      <color rgb="FF000000"/>
      <name val="Arial"/>
      <charset val="1"/>
    </font>
    <font>
      <sz val="10"/>
      <color rgb="FF000000"/>
      <name val="Arial"/>
    </font>
    <font>
      <sz val="9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13"/>
        <bgColor indexed="0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0"/>
      </patternFill>
    </fill>
    <fill>
      <patternFill patternType="solid">
        <fgColor indexed="9"/>
        <bgColor indexed="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A520"/>
        <bgColor rgb="FF000000"/>
      </patternFill>
    </fill>
  </fills>
  <borders count="6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theme="3" tint="0.39997558519241921"/>
      </right>
      <top style="thin">
        <color theme="3"/>
      </top>
      <bottom style="thin">
        <color theme="3"/>
      </bottom>
      <diagonal/>
    </border>
    <border>
      <left style="thin">
        <color theme="3" tint="0.39997558519241921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/>
      <diagonal/>
    </border>
    <border>
      <left style="thin">
        <color theme="3" tint="0.39997558519241921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 style="thin">
        <color theme="3" tint="0.39997558519241921"/>
      </left>
      <right/>
      <top/>
      <bottom/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theme="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728">
    <xf numFmtId="0" fontId="0" fillId="0" borderId="0"/>
    <xf numFmtId="0" fontId="8" fillId="2" borderId="0" applyNumberFormat="0" applyBorder="0" applyAlignment="0" applyProtection="0"/>
    <xf numFmtId="0" fontId="49" fillId="14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50" fillId="15" borderId="0" applyNumberFormat="0" applyBorder="0" applyAlignment="0" applyProtection="0"/>
    <xf numFmtId="0" fontId="9" fillId="3" borderId="0" applyNumberFormat="0" applyBorder="0" applyAlignment="0" applyProtection="0"/>
    <xf numFmtId="0" fontId="50" fillId="15" borderId="0" applyNumberFormat="0" applyBorder="0" applyAlignment="0" applyProtection="0"/>
    <xf numFmtId="0" fontId="9" fillId="3" borderId="0" applyNumberFormat="0" applyBorder="0" applyAlignment="0" applyProtection="0"/>
    <xf numFmtId="0" fontId="50" fillId="15" borderId="0" applyNumberFormat="0" applyBorder="0" applyAlignment="0" applyProtection="0"/>
    <xf numFmtId="0" fontId="50" fillId="15" borderId="0" applyNumberFormat="0" applyBorder="0" applyAlignment="0" applyProtection="0"/>
    <xf numFmtId="0" fontId="9" fillId="3" borderId="0" applyNumberFormat="0" applyBorder="0" applyAlignment="0" applyProtection="0"/>
    <xf numFmtId="0" fontId="50" fillId="15" borderId="0" applyNumberFormat="0" applyBorder="0" applyAlignment="0" applyProtection="0"/>
    <xf numFmtId="0" fontId="9" fillId="3" borderId="0" applyNumberFormat="0" applyBorder="0" applyAlignment="0" applyProtection="0"/>
    <xf numFmtId="0" fontId="50" fillId="15" borderId="0" applyNumberFormat="0" applyBorder="0" applyAlignment="0" applyProtection="0"/>
    <xf numFmtId="0" fontId="9" fillId="3" borderId="0" applyNumberFormat="0" applyBorder="0" applyAlignment="0" applyProtection="0"/>
    <xf numFmtId="0" fontId="50" fillId="15" borderId="0" applyNumberFormat="0" applyBorder="0" applyAlignment="0" applyProtection="0"/>
    <xf numFmtId="0" fontId="9" fillId="3" borderId="0" applyNumberFormat="0" applyBorder="0" applyAlignment="0" applyProtection="0"/>
    <xf numFmtId="0" fontId="50" fillId="15" borderId="0" applyNumberFormat="0" applyBorder="0" applyAlignment="0" applyProtection="0"/>
    <xf numFmtId="0" fontId="9" fillId="3" borderId="0" applyNumberFormat="0" applyBorder="0" applyAlignment="0" applyProtection="0"/>
    <xf numFmtId="0" fontId="50" fillId="15" borderId="0" applyNumberFormat="0" applyBorder="0" applyAlignment="0" applyProtection="0"/>
    <xf numFmtId="0" fontId="9" fillId="3" borderId="0" applyNumberFormat="0" applyBorder="0" applyAlignment="0" applyProtection="0"/>
    <xf numFmtId="0" fontId="50" fillId="15" borderId="0" applyNumberFormat="0" applyBorder="0" applyAlignment="0" applyProtection="0"/>
    <xf numFmtId="0" fontId="9" fillId="3" borderId="0" applyNumberFormat="0" applyBorder="0" applyAlignment="0" applyProtection="0"/>
    <xf numFmtId="0" fontId="50" fillId="15" borderId="0" applyNumberFormat="0" applyBorder="0" applyAlignment="0" applyProtection="0"/>
    <xf numFmtId="0" fontId="9" fillId="3" borderId="0" applyNumberFormat="0" applyBorder="0" applyAlignment="0" applyProtection="0"/>
    <xf numFmtId="0" fontId="50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50" fillId="16" borderId="0" applyNumberFormat="0" applyBorder="0" applyAlignment="0" applyProtection="0"/>
    <xf numFmtId="0" fontId="9" fillId="4" borderId="0" applyNumberFormat="0" applyBorder="0" applyAlignment="0" applyProtection="0"/>
    <xf numFmtId="0" fontId="50" fillId="16" borderId="0" applyNumberFormat="0" applyBorder="0" applyAlignment="0" applyProtection="0"/>
    <xf numFmtId="0" fontId="9" fillId="4" borderId="0" applyNumberFormat="0" applyBorder="0" applyAlignment="0" applyProtection="0"/>
    <xf numFmtId="0" fontId="50" fillId="16" borderId="0" applyNumberFormat="0" applyBorder="0" applyAlignment="0" applyProtection="0"/>
    <xf numFmtId="0" fontId="50" fillId="16" borderId="0" applyNumberFormat="0" applyBorder="0" applyAlignment="0" applyProtection="0"/>
    <xf numFmtId="0" fontId="9" fillId="4" borderId="0" applyNumberFormat="0" applyBorder="0" applyAlignment="0" applyProtection="0"/>
    <xf numFmtId="0" fontId="50" fillId="16" borderId="0" applyNumberFormat="0" applyBorder="0" applyAlignment="0" applyProtection="0"/>
    <xf numFmtId="0" fontId="9" fillId="4" borderId="0" applyNumberFormat="0" applyBorder="0" applyAlignment="0" applyProtection="0"/>
    <xf numFmtId="0" fontId="50" fillId="16" borderId="0" applyNumberFormat="0" applyBorder="0" applyAlignment="0" applyProtection="0"/>
    <xf numFmtId="0" fontId="9" fillId="4" borderId="0" applyNumberFormat="0" applyBorder="0" applyAlignment="0" applyProtection="0"/>
    <xf numFmtId="0" fontId="50" fillId="16" borderId="0" applyNumberFormat="0" applyBorder="0" applyAlignment="0" applyProtection="0"/>
    <xf numFmtId="0" fontId="9" fillId="4" borderId="0" applyNumberFormat="0" applyBorder="0" applyAlignment="0" applyProtection="0"/>
    <xf numFmtId="0" fontId="50" fillId="16" borderId="0" applyNumberFormat="0" applyBorder="0" applyAlignment="0" applyProtection="0"/>
    <xf numFmtId="0" fontId="9" fillId="4" borderId="0" applyNumberFormat="0" applyBorder="0" applyAlignment="0" applyProtection="0"/>
    <xf numFmtId="0" fontId="50" fillId="16" borderId="0" applyNumberFormat="0" applyBorder="0" applyAlignment="0" applyProtection="0"/>
    <xf numFmtId="0" fontId="9" fillId="4" borderId="0" applyNumberFormat="0" applyBorder="0" applyAlignment="0" applyProtection="0"/>
    <xf numFmtId="0" fontId="50" fillId="16" borderId="0" applyNumberFormat="0" applyBorder="0" applyAlignment="0" applyProtection="0"/>
    <xf numFmtId="0" fontId="9" fillId="4" borderId="0" applyNumberFormat="0" applyBorder="0" applyAlignment="0" applyProtection="0"/>
    <xf numFmtId="0" fontId="50" fillId="16" borderId="0" applyNumberFormat="0" applyBorder="0" applyAlignment="0" applyProtection="0"/>
    <xf numFmtId="0" fontId="9" fillId="4" borderId="0" applyNumberFormat="0" applyBorder="0" applyAlignment="0" applyProtection="0"/>
    <xf numFmtId="0" fontId="50" fillId="16" borderId="0" applyNumberFormat="0" applyBorder="0" applyAlignment="0" applyProtection="0"/>
    <xf numFmtId="0" fontId="10" fillId="5" borderId="2" applyNumberFormat="0" applyAlignment="0" applyProtection="0"/>
    <xf numFmtId="0" fontId="51" fillId="17" borderId="42" applyNumberFormat="0" applyAlignment="0" applyProtection="0"/>
    <xf numFmtId="43" fontId="48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2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ill="0" applyBorder="0" applyAlignment="0" applyProtection="0"/>
    <xf numFmtId="176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13" fillId="0" borderId="0" applyFont="0" applyFill="0" applyBorder="0" applyAlignment="0" applyProtection="0"/>
    <xf numFmtId="170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ill="0" applyBorder="0" applyAlignment="0" applyProtection="0"/>
    <xf numFmtId="167" fontId="2" fillId="0" borderId="0" applyFill="0" applyBorder="0" applyAlignment="0" applyProtection="0"/>
    <xf numFmtId="43" fontId="19" fillId="0" borderId="0" applyFont="0" applyFill="0" applyBorder="0" applyAlignment="0" applyProtection="0"/>
    <xf numFmtId="164" fontId="48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34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8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ill="0" applyBorder="0" applyAlignment="0" applyProtection="0"/>
    <xf numFmtId="164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ill="0" applyBorder="0" applyAlignment="0" applyProtection="0"/>
    <xf numFmtId="164" fontId="3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48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0" fontId="11" fillId="6" borderId="1" applyNumberFormat="0" applyAlignment="0" applyProtection="0"/>
    <xf numFmtId="0" fontId="52" fillId="18" borderId="41" applyNumberFormat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48" fillId="0" borderId="0"/>
    <xf numFmtId="0" fontId="12" fillId="0" borderId="0"/>
    <xf numFmtId="0" fontId="48" fillId="0" borderId="0"/>
    <xf numFmtId="0" fontId="12" fillId="0" borderId="0"/>
    <xf numFmtId="0" fontId="48" fillId="0" borderId="0"/>
    <xf numFmtId="0" fontId="12" fillId="0" borderId="0"/>
    <xf numFmtId="0" fontId="48" fillId="0" borderId="0"/>
    <xf numFmtId="0" fontId="48" fillId="0" borderId="0"/>
    <xf numFmtId="0" fontId="22" fillId="0" borderId="0"/>
    <xf numFmtId="0" fontId="48" fillId="0" borderId="0"/>
    <xf numFmtId="0" fontId="23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2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42" fillId="0" borderId="0"/>
    <xf numFmtId="0" fontId="42" fillId="0" borderId="0"/>
    <xf numFmtId="0" fontId="42" fillId="0" borderId="0"/>
    <xf numFmtId="0" fontId="2" fillId="0" borderId="0"/>
    <xf numFmtId="0" fontId="2" fillId="0" borderId="0"/>
    <xf numFmtId="0" fontId="42" fillId="0" borderId="0"/>
    <xf numFmtId="0" fontId="4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/>
    <xf numFmtId="0" fontId="4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48" fillId="0" borderId="0"/>
    <xf numFmtId="0" fontId="2" fillId="0" borderId="0"/>
    <xf numFmtId="0" fontId="53" fillId="0" borderId="0"/>
    <xf numFmtId="0" fontId="13" fillId="0" borderId="0"/>
    <xf numFmtId="0" fontId="13" fillId="0" borderId="0"/>
    <xf numFmtId="0" fontId="54" fillId="0" borderId="0"/>
    <xf numFmtId="0" fontId="13" fillId="0" borderId="0"/>
    <xf numFmtId="0" fontId="54" fillId="0" borderId="0"/>
    <xf numFmtId="0" fontId="13" fillId="0" borderId="0"/>
    <xf numFmtId="0" fontId="54" fillId="0" borderId="0"/>
    <xf numFmtId="0" fontId="2" fillId="0" borderId="0"/>
    <xf numFmtId="0" fontId="2" fillId="0" borderId="0"/>
    <xf numFmtId="0" fontId="54" fillId="0" borderId="0"/>
    <xf numFmtId="0" fontId="2" fillId="0" borderId="0"/>
    <xf numFmtId="0" fontId="13" fillId="0" borderId="0"/>
    <xf numFmtId="0" fontId="54" fillId="0" borderId="0"/>
    <xf numFmtId="0" fontId="13" fillId="0" borderId="0"/>
    <xf numFmtId="0" fontId="54" fillId="0" borderId="0"/>
    <xf numFmtId="0" fontId="13" fillId="0" borderId="0"/>
    <xf numFmtId="0" fontId="54" fillId="0" borderId="0"/>
    <xf numFmtId="0" fontId="13" fillId="0" borderId="0"/>
    <xf numFmtId="0" fontId="54" fillId="0" borderId="0"/>
    <xf numFmtId="0" fontId="13" fillId="0" borderId="0"/>
    <xf numFmtId="0" fontId="54" fillId="0" borderId="0"/>
    <xf numFmtId="0" fontId="13" fillId="0" borderId="0"/>
    <xf numFmtId="0" fontId="54" fillId="0" borderId="0"/>
    <xf numFmtId="0" fontId="13" fillId="0" borderId="0"/>
    <xf numFmtId="0" fontId="54" fillId="0" borderId="0"/>
    <xf numFmtId="0" fontId="13" fillId="0" borderId="0"/>
    <xf numFmtId="0" fontId="54" fillId="0" borderId="0"/>
    <xf numFmtId="0" fontId="13" fillId="0" borderId="0"/>
    <xf numFmtId="0" fontId="54" fillId="0" borderId="0"/>
    <xf numFmtId="0" fontId="13" fillId="0" borderId="0"/>
    <xf numFmtId="0" fontId="54" fillId="0" borderId="0"/>
    <xf numFmtId="0" fontId="2" fillId="7" borderId="3" applyNumberFormat="0" applyAlignment="0" applyProtection="0"/>
    <xf numFmtId="0" fontId="2" fillId="19" borderId="43" applyNumberFormat="0" applyFont="0" applyAlignment="0" applyProtection="0"/>
    <xf numFmtId="9" fontId="48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56" fillId="0" borderId="44" applyNumberFormat="0" applyFill="0" applyAlignment="0" applyProtection="0"/>
    <xf numFmtId="0" fontId="56" fillId="0" borderId="44" applyNumberFormat="0" applyFill="0" applyAlignment="0" applyProtection="0"/>
  </cellStyleXfs>
  <cellXfs count="441">
    <xf numFmtId="0" fontId="0" fillId="0" borderId="0" xfId="0"/>
    <xf numFmtId="0" fontId="16" fillId="0" borderId="5" xfId="540" applyFont="1" applyBorder="1" applyAlignment="1">
      <alignment horizontal="left" vertical="top" wrapText="1"/>
    </xf>
    <xf numFmtId="0" fontId="0" fillId="0" borderId="6" xfId="0" applyBorder="1"/>
    <xf numFmtId="0" fontId="58" fillId="0" borderId="6" xfId="0" applyFont="1" applyBorder="1" applyAlignment="1">
      <alignment horizontal="left" vertical="top" wrapText="1"/>
    </xf>
    <xf numFmtId="0" fontId="59" fillId="0" borderId="6" xfId="0" applyFont="1" applyBorder="1" applyAlignment="1">
      <alignment horizontal="left" vertical="top" wrapText="1"/>
    </xf>
    <xf numFmtId="10" fontId="48" fillId="0" borderId="6" xfId="713" applyNumberFormat="1" applyFont="1" applyBorder="1"/>
    <xf numFmtId="17" fontId="55" fillId="0" borderId="0" xfId="0" applyNumberFormat="1" applyFont="1"/>
    <xf numFmtId="0" fontId="15" fillId="0" borderId="5" xfId="494" applyFont="1" applyBorder="1" applyAlignment="1">
      <alignment wrapText="1"/>
    </xf>
    <xf numFmtId="0" fontId="16" fillId="0" borderId="5" xfId="494" applyFont="1" applyBorder="1" applyAlignment="1">
      <alignment wrapText="1"/>
    </xf>
    <xf numFmtId="43" fontId="2" fillId="0" borderId="5" xfId="186" applyBorder="1" applyAlignment="1">
      <alignment wrapText="1"/>
    </xf>
    <xf numFmtId="43" fontId="2" fillId="0" borderId="5" xfId="186" applyBorder="1" applyAlignment="1">
      <alignment horizontal="center" wrapText="1"/>
    </xf>
    <xf numFmtId="0" fontId="58" fillId="0" borderId="6" xfId="0" applyFont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 wrapText="1"/>
    </xf>
    <xf numFmtId="1" fontId="15" fillId="0" borderId="5" xfId="494" applyNumberFormat="1" applyFont="1" applyBorder="1" applyAlignment="1">
      <alignment wrapText="1"/>
    </xf>
    <xf numFmtId="0" fontId="55" fillId="0" borderId="0" xfId="0" applyFont="1"/>
    <xf numFmtId="43" fontId="15" fillId="0" borderId="5" xfId="53" applyFont="1" applyBorder="1" applyAlignment="1">
      <alignment wrapText="1"/>
    </xf>
    <xf numFmtId="0" fontId="60" fillId="0" borderId="6" xfId="0" applyFont="1" applyBorder="1"/>
    <xf numFmtId="43" fontId="60" fillId="0" borderId="6" xfId="53" applyFont="1" applyBorder="1"/>
    <xf numFmtId="0" fontId="61" fillId="0" borderId="6" xfId="0" applyFont="1" applyBorder="1"/>
    <xf numFmtId="0" fontId="62" fillId="0" borderId="6" xfId="0" applyFont="1" applyBorder="1"/>
    <xf numFmtId="172" fontId="61" fillId="0" borderId="6" xfId="0" applyNumberFormat="1" applyFont="1" applyBorder="1"/>
    <xf numFmtId="9" fontId="62" fillId="0" borderId="6" xfId="713" applyFont="1" applyBorder="1"/>
    <xf numFmtId="0" fontId="63" fillId="0" borderId="6" xfId="0" applyFont="1" applyBorder="1"/>
    <xf numFmtId="0" fontId="64" fillId="0" borderId="6" xfId="0" applyFont="1" applyBorder="1"/>
    <xf numFmtId="172" fontId="61" fillId="0" borderId="6" xfId="0" applyNumberFormat="1" applyFont="1" applyBorder="1" applyAlignment="1">
      <alignment horizontal="right"/>
    </xf>
    <xf numFmtId="173" fontId="62" fillId="0" borderId="6" xfId="0" applyNumberFormat="1" applyFont="1" applyBorder="1"/>
    <xf numFmtId="0" fontId="65" fillId="0" borderId="6" xfId="0" applyFont="1" applyBorder="1"/>
    <xf numFmtId="43" fontId="0" fillId="0" borderId="0" xfId="0" applyNumberFormat="1"/>
    <xf numFmtId="172" fontId="65" fillId="0" borderId="6" xfId="0" applyNumberFormat="1" applyFont="1" applyBorder="1"/>
    <xf numFmtId="171" fontId="48" fillId="0" borderId="6" xfId="713" applyNumberFormat="1" applyFont="1" applyBorder="1"/>
    <xf numFmtId="0" fontId="0" fillId="0" borderId="6" xfId="0" applyBorder="1" applyAlignment="1">
      <alignment horizontal="center" vertical="center"/>
    </xf>
    <xf numFmtId="0" fontId="59" fillId="0" borderId="6" xfId="0" applyFont="1" applyBorder="1" applyAlignment="1">
      <alignment vertical="top" wrapText="1"/>
    </xf>
    <xf numFmtId="0" fontId="61" fillId="0" borderId="6" xfId="494" applyFont="1" applyBorder="1"/>
    <xf numFmtId="0" fontId="62" fillId="0" borderId="6" xfId="494" applyFont="1" applyBorder="1"/>
    <xf numFmtId="9" fontId="48" fillId="0" borderId="6" xfId="713" applyFont="1" applyBorder="1"/>
    <xf numFmtId="0" fontId="0" fillId="0" borderId="7" xfId="0" applyBorder="1"/>
    <xf numFmtId="0" fontId="0" fillId="0" borderId="8" xfId="0" applyBorder="1"/>
    <xf numFmtId="17" fontId="55" fillId="0" borderId="8" xfId="0" applyNumberFormat="1" applyFont="1" applyBorder="1"/>
    <xf numFmtId="9" fontId="48" fillId="0" borderId="9" xfId="713" applyFont="1" applyBorder="1"/>
    <xf numFmtId="0" fontId="0" fillId="0" borderId="9" xfId="0" applyBorder="1"/>
    <xf numFmtId="171" fontId="48" fillId="0" borderId="9" xfId="713" applyNumberFormat="1" applyFont="1" applyBorder="1"/>
    <xf numFmtId="10" fontId="48" fillId="0" borderId="9" xfId="713" applyNumberFormat="1" applyFont="1" applyBorder="1"/>
    <xf numFmtId="0" fontId="65" fillId="0" borderId="10" xfId="494" applyFont="1" applyBorder="1"/>
    <xf numFmtId="0" fontId="0" fillId="0" borderId="10" xfId="0" applyBorder="1"/>
    <xf numFmtId="0" fontId="61" fillId="0" borderId="10" xfId="494" applyFont="1" applyBorder="1"/>
    <xf numFmtId="0" fontId="65" fillId="0" borderId="11" xfId="494" applyFont="1" applyBorder="1"/>
    <xf numFmtId="0" fontId="0" fillId="0" borderId="12" xfId="0" applyBorder="1"/>
    <xf numFmtId="0" fontId="0" fillId="0" borderId="13" xfId="0" applyBorder="1"/>
    <xf numFmtId="0" fontId="60" fillId="0" borderId="14" xfId="0" applyFont="1" applyBorder="1"/>
    <xf numFmtId="0" fontId="20" fillId="20" borderId="6" xfId="0" applyFont="1" applyFill="1" applyBorder="1" applyAlignment="1" applyProtection="1">
      <alignment horizontal="center" vertical="top" readingOrder="1"/>
      <protection locked="0"/>
    </xf>
    <xf numFmtId="0" fontId="20" fillId="20" borderId="6" xfId="0" applyFont="1" applyFill="1" applyBorder="1" applyAlignment="1" applyProtection="1">
      <alignment vertical="top" readingOrder="1"/>
      <protection locked="0"/>
    </xf>
    <xf numFmtId="17" fontId="7" fillId="9" borderId="6" xfId="0" applyNumberFormat="1" applyFont="1" applyFill="1" applyBorder="1" applyAlignment="1" applyProtection="1">
      <alignment vertical="top" wrapText="1" readingOrder="1"/>
      <protection locked="0"/>
    </xf>
    <xf numFmtId="173" fontId="0" fillId="0" borderId="6" xfId="0" applyNumberFormat="1" applyBorder="1"/>
    <xf numFmtId="173" fontId="55" fillId="0" borderId="6" xfId="0" applyNumberFormat="1" applyFont="1" applyBorder="1"/>
    <xf numFmtId="9" fontId="2" fillId="0" borderId="5" xfId="713" applyFont="1" applyBorder="1" applyAlignment="1">
      <alignment horizontal="center" wrapText="1"/>
    </xf>
    <xf numFmtId="173" fontId="48" fillId="0" borderId="6" xfId="53" applyNumberFormat="1" applyFont="1" applyBorder="1"/>
    <xf numFmtId="0" fontId="66" fillId="0" borderId="0" xfId="0" applyFont="1"/>
    <xf numFmtId="0" fontId="56" fillId="0" borderId="0" xfId="0" applyFont="1"/>
    <xf numFmtId="0" fontId="56" fillId="21" borderId="45" xfId="0" applyFont="1" applyFill="1" applyBorder="1"/>
    <xf numFmtId="0" fontId="66" fillId="21" borderId="15" xfId="0" applyFont="1" applyFill="1" applyBorder="1"/>
    <xf numFmtId="0" fontId="66" fillId="21" borderId="46" xfId="0" applyFont="1" applyFill="1" applyBorder="1"/>
    <xf numFmtId="0" fontId="66" fillId="0" borderId="47" xfId="0" applyFont="1" applyBorder="1"/>
    <xf numFmtId="173" fontId="66" fillId="0" borderId="48" xfId="53" applyNumberFormat="1" applyFont="1" applyBorder="1"/>
    <xf numFmtId="173" fontId="66" fillId="0" borderId="15" xfId="53" applyNumberFormat="1" applyFont="1" applyBorder="1"/>
    <xf numFmtId="173" fontId="66" fillId="22" borderId="15" xfId="53" applyNumberFormat="1" applyFont="1" applyFill="1" applyBorder="1"/>
    <xf numFmtId="173" fontId="66" fillId="0" borderId="49" xfId="53" applyNumberFormat="1" applyFont="1" applyBorder="1"/>
    <xf numFmtId="173" fontId="67" fillId="22" borderId="15" xfId="53" applyNumberFormat="1" applyFont="1" applyFill="1" applyBorder="1"/>
    <xf numFmtId="173" fontId="67" fillId="0" borderId="49" xfId="53" applyNumberFormat="1" applyFont="1" applyBorder="1"/>
    <xf numFmtId="0" fontId="56" fillId="21" borderId="47" xfId="0" applyFont="1" applyFill="1" applyBorder="1"/>
    <xf numFmtId="173" fontId="68" fillId="21" borderId="15" xfId="53" applyNumberFormat="1" applyFont="1" applyFill="1" applyBorder="1"/>
    <xf numFmtId="173" fontId="68" fillId="21" borderId="49" xfId="53" applyNumberFormat="1" applyFont="1" applyFill="1" applyBorder="1"/>
    <xf numFmtId="0" fontId="0" fillId="0" borderId="50" xfId="0" applyBorder="1"/>
    <xf numFmtId="0" fontId="0" fillId="0" borderId="51" xfId="0" applyBorder="1"/>
    <xf numFmtId="173" fontId="67" fillId="0" borderId="15" xfId="53" applyNumberFormat="1" applyFont="1" applyBorder="1"/>
    <xf numFmtId="0" fontId="56" fillId="21" borderId="52" xfId="0" applyFont="1" applyFill="1" applyBorder="1"/>
    <xf numFmtId="173" fontId="56" fillId="21" borderId="15" xfId="53" applyNumberFormat="1" applyFont="1" applyFill="1" applyBorder="1"/>
    <xf numFmtId="173" fontId="56" fillId="21" borderId="49" xfId="53" applyNumberFormat="1" applyFont="1" applyFill="1" applyBorder="1"/>
    <xf numFmtId="0" fontId="66" fillId="0" borderId="53" xfId="0" applyFont="1" applyBorder="1"/>
    <xf numFmtId="0" fontId="56" fillId="21" borderId="53" xfId="0" applyFont="1" applyFill="1" applyBorder="1"/>
    <xf numFmtId="173" fontId="56" fillId="21" borderId="49" xfId="0" applyNumberFormat="1" applyFont="1" applyFill="1" applyBorder="1"/>
    <xf numFmtId="173" fontId="68" fillId="21" borderId="15" xfId="0" applyNumberFormat="1" applyFont="1" applyFill="1" applyBorder="1"/>
    <xf numFmtId="173" fontId="68" fillId="21" borderId="49" xfId="0" applyNumberFormat="1" applyFont="1" applyFill="1" applyBorder="1"/>
    <xf numFmtId="0" fontId="66" fillId="0" borderId="15" xfId="0" applyFont="1" applyBorder="1"/>
    <xf numFmtId="0" fontId="66" fillId="0" borderId="49" xfId="0" applyFont="1" applyBorder="1"/>
    <xf numFmtId="0" fontId="66" fillId="21" borderId="49" xfId="0" applyFont="1" applyFill="1" applyBorder="1"/>
    <xf numFmtId="173" fontId="66" fillId="21" borderId="15" xfId="0" applyNumberFormat="1" applyFont="1" applyFill="1" applyBorder="1"/>
    <xf numFmtId="173" fontId="66" fillId="21" borderId="49" xfId="0" applyNumberFormat="1" applyFont="1" applyFill="1" applyBorder="1"/>
    <xf numFmtId="173" fontId="67" fillId="0" borderId="15" xfId="0" applyNumberFormat="1" applyFont="1" applyBorder="1"/>
    <xf numFmtId="173" fontId="67" fillId="0" borderId="49" xfId="0" applyNumberFormat="1" applyFont="1" applyBorder="1"/>
    <xf numFmtId="173" fontId="68" fillId="21" borderId="54" xfId="0" applyNumberFormat="1" applyFont="1" applyFill="1" applyBorder="1"/>
    <xf numFmtId="9" fontId="58" fillId="0" borderId="6" xfId="0" applyNumberFormat="1" applyFont="1" applyBorder="1" applyAlignment="1">
      <alignment horizontal="center" vertical="center" wrapText="1"/>
    </xf>
    <xf numFmtId="9" fontId="58" fillId="0" borderId="6" xfId="713" applyFont="1" applyBorder="1" applyAlignment="1">
      <alignment horizontal="center" vertical="center" wrapText="1"/>
    </xf>
    <xf numFmtId="174" fontId="20" fillId="22" borderId="5" xfId="186" applyNumberFormat="1" applyFont="1" applyFill="1" applyBorder="1" applyAlignment="1">
      <alignment wrapText="1"/>
    </xf>
    <xf numFmtId="43" fontId="20" fillId="0" borderId="5" xfId="186" applyFont="1" applyBorder="1" applyAlignment="1">
      <alignment wrapText="1"/>
    </xf>
    <xf numFmtId="171" fontId="58" fillId="0" borderId="6" xfId="713" applyNumberFormat="1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/>
    </xf>
    <xf numFmtId="0" fontId="29" fillId="0" borderId="6" xfId="0" applyFont="1" applyBorder="1"/>
    <xf numFmtId="49" fontId="29" fillId="0" borderId="6" xfId="56" applyNumberFormat="1" applyFont="1" applyFill="1" applyBorder="1" applyAlignment="1">
      <alignment horizontal="right"/>
    </xf>
    <xf numFmtId="175" fontId="29" fillId="0" borderId="6" xfId="56" applyNumberFormat="1" applyFont="1" applyFill="1" applyBorder="1" applyAlignment="1">
      <alignment horizontal="right"/>
    </xf>
    <xf numFmtId="0" fontId="28" fillId="8" borderId="12" xfId="0" applyFont="1" applyFill="1" applyBorder="1"/>
    <xf numFmtId="0" fontId="33" fillId="0" borderId="0" xfId="672" applyFont="1"/>
    <xf numFmtId="0" fontId="28" fillId="0" borderId="0" xfId="672" applyFont="1" applyAlignment="1">
      <alignment horizontal="center"/>
    </xf>
    <xf numFmtId="0" fontId="28" fillId="0" borderId="0" xfId="672" applyFont="1"/>
    <xf numFmtId="173" fontId="28" fillId="0" borderId="0" xfId="672" applyNumberFormat="1" applyFont="1"/>
    <xf numFmtId="0" fontId="27" fillId="0" borderId="0" xfId="672" applyFont="1"/>
    <xf numFmtId="0" fontId="27" fillId="0" borderId="16" xfId="672" applyFont="1" applyBorder="1"/>
    <xf numFmtId="0" fontId="27" fillId="0" borderId="17" xfId="672" applyFont="1" applyBorder="1" applyAlignment="1">
      <alignment horizontal="center"/>
    </xf>
    <xf numFmtId="0" fontId="27" fillId="0" borderId="18" xfId="672" applyFont="1" applyBorder="1"/>
    <xf numFmtId="0" fontId="27" fillId="11" borderId="19" xfId="672" applyFont="1" applyFill="1" applyBorder="1"/>
    <xf numFmtId="0" fontId="27" fillId="11" borderId="20" xfId="672" applyFont="1" applyFill="1" applyBorder="1" applyAlignment="1">
      <alignment horizontal="center"/>
    </xf>
    <xf numFmtId="0" fontId="27" fillId="11" borderId="0" xfId="672" applyFont="1" applyFill="1" applyAlignment="1">
      <alignment horizontal="center"/>
    </xf>
    <xf numFmtId="17" fontId="29" fillId="0" borderId="6" xfId="0" applyNumberFormat="1" applyFont="1" applyBorder="1"/>
    <xf numFmtId="17" fontId="69" fillId="0" borderId="6" xfId="0" applyNumberFormat="1" applyFont="1" applyBorder="1"/>
    <xf numFmtId="14" fontId="29" fillId="0" borderId="6" xfId="0" applyNumberFormat="1" applyFont="1" applyBorder="1"/>
    <xf numFmtId="16" fontId="29" fillId="0" borderId="6" xfId="0" applyNumberFormat="1" applyFont="1" applyBorder="1"/>
    <xf numFmtId="17" fontId="24" fillId="0" borderId="6" xfId="672" applyNumberFormat="1" applyFont="1" applyBorder="1"/>
    <xf numFmtId="17" fontId="24" fillId="0" borderId="6" xfId="672" applyNumberFormat="1" applyFont="1" applyBorder="1" applyAlignment="1">
      <alignment wrapText="1"/>
    </xf>
    <xf numFmtId="0" fontId="27" fillId="0" borderId="21" xfId="672" applyFont="1" applyBorder="1"/>
    <xf numFmtId="0" fontId="27" fillId="0" borderId="22" xfId="672" applyFont="1" applyBorder="1" applyAlignment="1">
      <alignment horizontal="center"/>
    </xf>
    <xf numFmtId="0" fontId="27" fillId="0" borderId="23" xfId="672" applyFont="1" applyBorder="1"/>
    <xf numFmtId="0" fontId="27" fillId="0" borderId="6" xfId="672" applyFont="1" applyBorder="1"/>
    <xf numFmtId="0" fontId="28" fillId="0" borderId="21" xfId="672" applyFont="1" applyBorder="1"/>
    <xf numFmtId="0" fontId="26" fillId="0" borderId="22" xfId="672" applyFont="1" applyBorder="1" applyAlignment="1">
      <alignment horizontal="center"/>
    </xf>
    <xf numFmtId="0" fontId="26" fillId="0" borderId="23" xfId="672" applyFont="1" applyBorder="1" applyAlignment="1">
      <alignment horizontal="center"/>
    </xf>
    <xf numFmtId="173" fontId="28" fillId="0" borderId="6" xfId="136" applyNumberFormat="1" applyFont="1" applyBorder="1" applyAlignment="1">
      <alignment horizontal="right"/>
    </xf>
    <xf numFmtId="43" fontId="28" fillId="0" borderId="6" xfId="136" applyFont="1" applyBorder="1" applyAlignment="1">
      <alignment horizontal="right"/>
    </xf>
    <xf numFmtId="171" fontId="26" fillId="0" borderId="6" xfId="715" applyNumberFormat="1" applyFont="1" applyBorder="1"/>
    <xf numFmtId="0" fontId="28" fillId="10" borderId="21" xfId="672" applyFont="1" applyFill="1" applyBorder="1"/>
    <xf numFmtId="9" fontId="26" fillId="0" borderId="22" xfId="715" applyFont="1" applyBorder="1" applyAlignment="1">
      <alignment horizontal="center"/>
    </xf>
    <xf numFmtId="9" fontId="26" fillId="0" borderId="23" xfId="715" applyFont="1" applyBorder="1" applyAlignment="1">
      <alignment horizontal="center"/>
    </xf>
    <xf numFmtId="171" fontId="26" fillId="0" borderId="10" xfId="715" applyNumberFormat="1" applyFont="1" applyBorder="1"/>
    <xf numFmtId="171" fontId="26" fillId="0" borderId="22" xfId="715" applyNumberFormat="1" applyFont="1" applyBorder="1" applyAlignment="1">
      <alignment horizontal="center"/>
    </xf>
    <xf numFmtId="0" fontId="28" fillId="0" borderId="23" xfId="672" applyFont="1" applyBorder="1"/>
    <xf numFmtId="14" fontId="27" fillId="11" borderId="6" xfId="672" applyNumberFormat="1" applyFont="1" applyFill="1" applyBorder="1" applyAlignment="1">
      <alignment horizontal="center"/>
    </xf>
    <xf numFmtId="171" fontId="26" fillId="0" borderId="23" xfId="715" applyNumberFormat="1" applyFont="1" applyBorder="1" applyAlignment="1">
      <alignment horizontal="center"/>
    </xf>
    <xf numFmtId="0" fontId="31" fillId="0" borderId="21" xfId="672" applyFont="1" applyBorder="1"/>
    <xf numFmtId="171" fontId="30" fillId="0" borderId="22" xfId="715" applyNumberFormat="1" applyFont="1" applyBorder="1" applyAlignment="1">
      <alignment horizontal="center"/>
    </xf>
    <xf numFmtId="171" fontId="30" fillId="0" borderId="23" xfId="715" applyNumberFormat="1" applyFont="1" applyBorder="1" applyAlignment="1">
      <alignment horizontal="center"/>
    </xf>
    <xf numFmtId="171" fontId="30" fillId="0" borderId="6" xfId="715" applyNumberFormat="1" applyFont="1" applyBorder="1"/>
    <xf numFmtId="0" fontId="28" fillId="0" borderId="22" xfId="672" applyFont="1" applyBorder="1" applyAlignment="1">
      <alignment horizontal="center"/>
    </xf>
    <xf numFmtId="171" fontId="26" fillId="0" borderId="6" xfId="715" applyNumberFormat="1" applyFont="1" applyBorder="1" applyAlignment="1">
      <alignment horizontal="right"/>
    </xf>
    <xf numFmtId="0" fontId="30" fillId="10" borderId="21" xfId="672" applyFont="1" applyFill="1" applyBorder="1"/>
    <xf numFmtId="9" fontId="26" fillId="0" borderId="6" xfId="715" applyFont="1" applyBorder="1" applyAlignment="1">
      <alignment horizontal="right"/>
    </xf>
    <xf numFmtId="9" fontId="28" fillId="0" borderId="6" xfId="718" applyFont="1" applyBorder="1" applyAlignment="1">
      <alignment horizontal="right"/>
    </xf>
    <xf numFmtId="173" fontId="26" fillId="0" borderId="6" xfId="56" applyNumberFormat="1" applyFont="1" applyBorder="1" applyAlignment="1">
      <alignment horizontal="right"/>
    </xf>
    <xf numFmtId="0" fontId="33" fillId="10" borderId="21" xfId="672" applyFont="1" applyFill="1" applyBorder="1"/>
    <xf numFmtId="14" fontId="27" fillId="11" borderId="6" xfId="672" applyNumberFormat="1" applyFont="1" applyFill="1" applyBorder="1" applyAlignment="1">
      <alignment horizontal="right"/>
    </xf>
    <xf numFmtId="9" fontId="28" fillId="0" borderId="6" xfId="715" applyFont="1" applyBorder="1" applyAlignment="1">
      <alignment horizontal="right"/>
    </xf>
    <xf numFmtId="0" fontId="28" fillId="0" borderId="6" xfId="672" applyFont="1" applyBorder="1" applyAlignment="1">
      <alignment horizontal="right"/>
    </xf>
    <xf numFmtId="9" fontId="26" fillId="0" borderId="22" xfId="672" applyNumberFormat="1" applyFont="1" applyBorder="1" applyAlignment="1">
      <alignment horizontal="center"/>
    </xf>
    <xf numFmtId="171" fontId="28" fillId="10" borderId="21" xfId="715" applyNumberFormat="1" applyFont="1" applyFill="1" applyBorder="1"/>
    <xf numFmtId="171" fontId="28" fillId="0" borderId="6" xfId="715" applyNumberFormat="1" applyFont="1" applyBorder="1" applyAlignment="1">
      <alignment horizontal="right"/>
    </xf>
    <xf numFmtId="0" fontId="28" fillId="10" borderId="24" xfId="672" applyFont="1" applyFill="1" applyBorder="1"/>
    <xf numFmtId="9" fontId="26" fillId="0" borderId="25" xfId="672" applyNumberFormat="1" applyFont="1" applyBorder="1" applyAlignment="1">
      <alignment horizontal="center"/>
    </xf>
    <xf numFmtId="0" fontId="26" fillId="0" borderId="26" xfId="672" applyFont="1" applyBorder="1" applyAlignment="1">
      <alignment horizontal="center"/>
    </xf>
    <xf numFmtId="171" fontId="26" fillId="0" borderId="12" xfId="715" applyNumberFormat="1" applyFont="1" applyBorder="1" applyAlignment="1">
      <alignment horizontal="right"/>
    </xf>
    <xf numFmtId="171" fontId="28" fillId="0" borderId="0" xfId="715" applyNumberFormat="1" applyFont="1" applyBorder="1"/>
    <xf numFmtId="0" fontId="61" fillId="20" borderId="6" xfId="0" applyFont="1" applyFill="1" applyBorder="1"/>
    <xf numFmtId="175" fontId="29" fillId="0" borderId="6" xfId="56" applyNumberFormat="1" applyFont="1" applyFill="1" applyBorder="1" applyAlignment="1">
      <alignment horizontal="right" wrapText="1"/>
    </xf>
    <xf numFmtId="0" fontId="36" fillId="0" borderId="6" xfId="0" applyFont="1" applyBorder="1" applyAlignment="1" applyProtection="1">
      <alignment vertical="top" wrapText="1" readingOrder="1"/>
      <protection locked="0"/>
    </xf>
    <xf numFmtId="0" fontId="27" fillId="0" borderId="6" xfId="0" applyFont="1" applyBorder="1" applyAlignment="1" applyProtection="1">
      <alignment vertical="top" wrapText="1" readingOrder="1"/>
      <protection locked="0"/>
    </xf>
    <xf numFmtId="0" fontId="26" fillId="0" borderId="6" xfId="0" applyFont="1" applyBorder="1" applyAlignment="1" applyProtection="1">
      <alignment vertical="top" wrapText="1" readingOrder="1"/>
      <protection locked="0"/>
    </xf>
    <xf numFmtId="0" fontId="70" fillId="0" borderId="6" xfId="0" applyFont="1" applyBorder="1"/>
    <xf numFmtId="0" fontId="70" fillId="0" borderId="5" xfId="494" applyFont="1" applyBorder="1" applyAlignment="1">
      <alignment wrapText="1"/>
    </xf>
    <xf numFmtId="164" fontId="70" fillId="0" borderId="5" xfId="187" applyNumberFormat="1" applyFont="1" applyBorder="1" applyAlignment="1">
      <alignment wrapText="1"/>
    </xf>
    <xf numFmtId="0" fontId="16" fillId="0" borderId="0" xfId="494" applyFont="1" applyAlignment="1">
      <alignment wrapText="1"/>
    </xf>
    <xf numFmtId="43" fontId="2" fillId="0" borderId="0" xfId="186" applyBorder="1" applyAlignment="1">
      <alignment wrapText="1"/>
    </xf>
    <xf numFmtId="9" fontId="48" fillId="0" borderId="0" xfId="713" applyFont="1"/>
    <xf numFmtId="0" fontId="3" fillId="0" borderId="6" xfId="0" applyFont="1" applyBorder="1" applyAlignment="1" applyProtection="1">
      <alignment vertical="top" wrapText="1" readingOrder="1"/>
      <protection locked="0"/>
    </xf>
    <xf numFmtId="43" fontId="4" fillId="0" borderId="6" xfId="53" applyFont="1" applyBorder="1" applyAlignment="1" applyProtection="1">
      <alignment vertical="top" wrapText="1" readingOrder="1"/>
      <protection locked="0"/>
    </xf>
    <xf numFmtId="43" fontId="5" fillId="0" borderId="6" xfId="53" applyFont="1" applyBorder="1" applyAlignment="1" applyProtection="1">
      <alignment vertical="top" wrapText="1" readingOrder="1"/>
      <protection locked="0"/>
    </xf>
    <xf numFmtId="43" fontId="4" fillId="12" borderId="6" xfId="53" applyFont="1" applyFill="1" applyBorder="1" applyAlignment="1" applyProtection="1">
      <alignment vertical="top" wrapText="1" readingOrder="1"/>
      <protection locked="0"/>
    </xf>
    <xf numFmtId="43" fontId="48" fillId="0" borderId="6" xfId="53" applyFont="1" applyBorder="1"/>
    <xf numFmtId="0" fontId="71" fillId="0" borderId="0" xfId="0" applyFont="1"/>
    <xf numFmtId="17" fontId="69" fillId="0" borderId="0" xfId="0" applyNumberFormat="1" applyFont="1"/>
    <xf numFmtId="0" fontId="65" fillId="0" borderId="5" xfId="540" applyFont="1" applyBorder="1" applyAlignment="1">
      <alignment horizontal="left" vertical="top" wrapText="1"/>
    </xf>
    <xf numFmtId="0" fontId="61" fillId="0" borderId="5" xfId="494" applyFont="1" applyBorder="1" applyAlignment="1">
      <alignment wrapText="1"/>
    </xf>
    <xf numFmtId="9" fontId="72" fillId="0" borderId="5" xfId="713" applyFont="1" applyBorder="1" applyAlignment="1">
      <alignment horizontal="center" wrapText="1"/>
    </xf>
    <xf numFmtId="43" fontId="72" fillId="0" borderId="5" xfId="186" applyFont="1" applyBorder="1" applyAlignment="1">
      <alignment wrapText="1"/>
    </xf>
    <xf numFmtId="0" fontId="65" fillId="0" borderId="5" xfId="494" applyFont="1" applyBorder="1" applyAlignment="1">
      <alignment wrapText="1"/>
    </xf>
    <xf numFmtId="177" fontId="73" fillId="0" borderId="5" xfId="494" applyNumberFormat="1" applyFont="1" applyBorder="1" applyAlignment="1">
      <alignment wrapText="1"/>
    </xf>
    <xf numFmtId="43" fontId="74" fillId="0" borderId="5" xfId="186" applyFont="1" applyBorder="1" applyAlignment="1">
      <alignment wrapText="1"/>
    </xf>
    <xf numFmtId="43" fontId="71" fillId="0" borderId="0" xfId="0" applyNumberFormat="1" applyFont="1"/>
    <xf numFmtId="0" fontId="71" fillId="0" borderId="5" xfId="494" applyFont="1" applyBorder="1" applyAlignment="1">
      <alignment wrapText="1"/>
    </xf>
    <xf numFmtId="164" fontId="71" fillId="0" borderId="5" xfId="187" applyNumberFormat="1" applyFont="1" applyBorder="1" applyAlignment="1">
      <alignment wrapText="1"/>
    </xf>
    <xf numFmtId="174" fontId="74" fillId="22" borderId="5" xfId="186" applyNumberFormat="1" applyFont="1" applyFill="1" applyBorder="1" applyAlignment="1">
      <alignment wrapText="1"/>
    </xf>
    <xf numFmtId="0" fontId="65" fillId="0" borderId="0" xfId="494" applyFont="1" applyAlignment="1">
      <alignment wrapText="1"/>
    </xf>
    <xf numFmtId="43" fontId="72" fillId="0" borderId="0" xfId="186" applyFont="1" applyBorder="1" applyAlignment="1">
      <alignment wrapText="1"/>
    </xf>
    <xf numFmtId="9" fontId="71" fillId="0" borderId="0" xfId="713" applyFont="1"/>
    <xf numFmtId="43" fontId="72" fillId="0" borderId="5" xfId="186" applyFont="1" applyBorder="1" applyAlignment="1">
      <alignment horizontal="center" wrapText="1"/>
    </xf>
    <xf numFmtId="17" fontId="69" fillId="0" borderId="0" xfId="0" applyNumberFormat="1" applyFont="1" applyAlignment="1">
      <alignment horizontal="right"/>
    </xf>
    <xf numFmtId="1" fontId="61" fillId="0" borderId="5" xfId="494" applyNumberFormat="1" applyFont="1" applyBorder="1" applyAlignment="1">
      <alignment wrapText="1"/>
    </xf>
    <xf numFmtId="43" fontId="61" fillId="0" borderId="5" xfId="53" applyFont="1" applyBorder="1" applyAlignment="1">
      <alignment wrapText="1"/>
    </xf>
    <xf numFmtId="0" fontId="0" fillId="0" borderId="0" xfId="0" applyProtection="1">
      <protection locked="0"/>
    </xf>
    <xf numFmtId="0" fontId="0" fillId="22" borderId="0" xfId="0" applyFill="1" applyProtection="1">
      <protection locked="0"/>
    </xf>
    <xf numFmtId="171" fontId="2" fillId="0" borderId="0" xfId="715" applyNumberFormat="1" applyFont="1" applyProtection="1">
      <protection locked="0"/>
    </xf>
    <xf numFmtId="0" fontId="75" fillId="0" borderId="10" xfId="0" applyFont="1" applyBorder="1"/>
    <xf numFmtId="171" fontId="75" fillId="0" borderId="6" xfId="713" applyNumberFormat="1" applyFont="1" applyBorder="1" applyProtection="1"/>
    <xf numFmtId="171" fontId="75" fillId="0" borderId="6" xfId="713" applyNumberFormat="1" applyFont="1" applyBorder="1" applyAlignment="1" applyProtection="1">
      <alignment horizontal="right"/>
    </xf>
    <xf numFmtId="43" fontId="15" fillId="0" borderId="6" xfId="53" applyFont="1" applyBorder="1" applyProtection="1">
      <protection locked="0"/>
    </xf>
    <xf numFmtId="43" fontId="28" fillId="0" borderId="6" xfId="53" applyFont="1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57" fillId="0" borderId="0" xfId="0" applyFont="1" applyProtection="1">
      <protection locked="0"/>
    </xf>
    <xf numFmtId="0" fontId="38" fillId="0" borderId="0" xfId="0" applyFont="1"/>
    <xf numFmtId="0" fontId="26" fillId="0" borderId="0" xfId="0" applyFont="1"/>
    <xf numFmtId="0" fontId="2" fillId="0" borderId="0" xfId="524"/>
    <xf numFmtId="43" fontId="15" fillId="0" borderId="6" xfId="248" applyFont="1" applyBorder="1" applyProtection="1">
      <protection locked="0"/>
    </xf>
    <xf numFmtId="0" fontId="76" fillId="22" borderId="28" xfId="0" applyFont="1" applyFill="1" applyBorder="1"/>
    <xf numFmtId="9" fontId="28" fillId="0" borderId="0" xfId="713" applyFont="1" applyBorder="1"/>
    <xf numFmtId="17" fontId="24" fillId="0" borderId="6" xfId="672" applyNumberFormat="1" applyFont="1" applyBorder="1" applyAlignment="1">
      <alignment horizontal="left" wrapText="1"/>
    </xf>
    <xf numFmtId="177" fontId="70" fillId="0" borderId="5" xfId="494" applyNumberFormat="1" applyFont="1" applyBorder="1" applyAlignment="1">
      <alignment wrapText="1"/>
    </xf>
    <xf numFmtId="17" fontId="24" fillId="9" borderId="6" xfId="0" applyNumberFormat="1" applyFont="1" applyFill="1" applyBorder="1" applyAlignment="1" applyProtection="1">
      <alignment vertical="top" wrapText="1" readingOrder="1"/>
      <protection locked="0"/>
    </xf>
    <xf numFmtId="43" fontId="24" fillId="21" borderId="6" xfId="53" applyFont="1" applyFill="1" applyBorder="1" applyAlignment="1" applyProtection="1">
      <alignment vertical="top" wrapText="1" readingOrder="1"/>
      <protection locked="0"/>
    </xf>
    <xf numFmtId="17" fontId="25" fillId="9" borderId="22" xfId="0" applyNumberFormat="1" applyFont="1" applyFill="1" applyBorder="1" applyAlignment="1" applyProtection="1">
      <alignment vertical="top" wrapText="1" readingOrder="1"/>
      <protection locked="0"/>
    </xf>
    <xf numFmtId="43" fontId="25" fillId="21" borderId="22" xfId="53" applyFont="1" applyFill="1" applyBorder="1" applyAlignment="1" applyProtection="1">
      <alignment vertical="top" wrapText="1" readingOrder="1"/>
      <protection locked="0"/>
    </xf>
    <xf numFmtId="0" fontId="70" fillId="0" borderId="22" xfId="0" applyFont="1" applyBorder="1" applyAlignment="1">
      <alignment wrapText="1" readingOrder="1"/>
    </xf>
    <xf numFmtId="165" fontId="70" fillId="0" borderId="22" xfId="0" applyNumberFormat="1" applyFont="1" applyBorder="1" applyAlignment="1">
      <alignment wrapText="1" readingOrder="1"/>
    </xf>
    <xf numFmtId="43" fontId="24" fillId="0" borderId="6" xfId="53" applyFont="1" applyBorder="1" applyAlignment="1" applyProtection="1">
      <alignment vertical="top" wrapText="1" readingOrder="1"/>
      <protection locked="0"/>
    </xf>
    <xf numFmtId="43" fontId="24" fillId="23" borderId="6" xfId="53" applyFont="1" applyFill="1" applyBorder="1" applyAlignment="1" applyProtection="1">
      <alignment vertical="top" wrapText="1" readingOrder="1"/>
      <protection locked="0"/>
    </xf>
    <xf numFmtId="166" fontId="40" fillId="0" borderId="29" xfId="0" applyNumberFormat="1" applyFont="1" applyBorder="1" applyAlignment="1" applyProtection="1">
      <alignment vertical="top" wrapText="1" readingOrder="1"/>
      <protection locked="0"/>
    </xf>
    <xf numFmtId="0" fontId="15" fillId="0" borderId="5" xfId="494" applyFont="1" applyBorder="1"/>
    <xf numFmtId="43" fontId="77" fillId="0" borderId="6" xfId="53" applyFont="1" applyBorder="1"/>
    <xf numFmtId="43" fontId="24" fillId="9" borderId="6" xfId="53" applyFont="1" applyFill="1" applyBorder="1" applyAlignment="1" applyProtection="1">
      <alignment vertical="top" wrapText="1" readingOrder="1"/>
      <protection locked="0"/>
    </xf>
    <xf numFmtId="0" fontId="55" fillId="0" borderId="6" xfId="0" applyFont="1" applyBorder="1" applyAlignment="1" applyProtection="1">
      <alignment horizontal="right"/>
      <protection locked="0"/>
    </xf>
    <xf numFmtId="17" fontId="55" fillId="0" borderId="0" xfId="0" applyNumberFormat="1" applyFont="1" applyProtection="1">
      <protection locked="0"/>
    </xf>
    <xf numFmtId="17" fontId="55" fillId="0" borderId="9" xfId="0" applyNumberFormat="1" applyFont="1" applyBorder="1" applyAlignment="1" applyProtection="1">
      <alignment horizontal="right" wrapText="1"/>
      <protection locked="0"/>
    </xf>
    <xf numFmtId="0" fontId="0" fillId="0" borderId="6" xfId="0" applyBorder="1" applyAlignment="1" applyProtection="1">
      <alignment horizontal="center"/>
      <protection locked="0"/>
    </xf>
    <xf numFmtId="171" fontId="48" fillId="0" borderId="0" xfId="715" applyNumberFormat="1" applyFont="1" applyProtection="1">
      <protection locked="0"/>
    </xf>
    <xf numFmtId="0" fontId="70" fillId="22" borderId="10" xfId="0" applyFont="1" applyFill="1" applyBorder="1" applyAlignment="1" applyProtection="1">
      <alignment horizontal="left"/>
      <protection locked="0"/>
    </xf>
    <xf numFmtId="0" fontId="0" fillId="0" borderId="10" xfId="0" applyBorder="1" applyAlignment="1" applyProtection="1">
      <alignment horizontal="left"/>
      <protection locked="0"/>
    </xf>
    <xf numFmtId="0" fontId="0" fillId="0" borderId="6" xfId="0" applyBorder="1" applyProtection="1">
      <protection locked="0"/>
    </xf>
    <xf numFmtId="0" fontId="0" fillId="0" borderId="23" xfId="0" applyBorder="1" applyProtection="1">
      <protection locked="0"/>
    </xf>
    <xf numFmtId="0" fontId="57" fillId="0" borderId="9" xfId="0" applyFont="1" applyBorder="1" applyProtection="1">
      <protection locked="0"/>
    </xf>
    <xf numFmtId="0" fontId="57" fillId="0" borderId="9" xfId="0" applyFont="1" applyBorder="1" applyAlignment="1" applyProtection="1">
      <alignment horizontal="left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0" fontId="0" fillId="0" borderId="26" xfId="0" applyBorder="1" applyProtection="1">
      <protection locked="0"/>
    </xf>
    <xf numFmtId="0" fontId="57" fillId="0" borderId="13" xfId="0" applyFont="1" applyBorder="1" applyProtection="1">
      <protection locked="0"/>
    </xf>
    <xf numFmtId="0" fontId="70" fillId="0" borderId="10" xfId="0" applyFont="1" applyBorder="1"/>
    <xf numFmtId="0" fontId="70" fillId="0" borderId="6" xfId="0" applyFont="1" applyBorder="1" applyAlignment="1">
      <alignment horizontal="center"/>
    </xf>
    <xf numFmtId="9" fontId="70" fillId="0" borderId="6" xfId="0" applyNumberFormat="1" applyFont="1" applyBorder="1" applyAlignment="1">
      <alignment horizontal="center"/>
    </xf>
    <xf numFmtId="171" fontId="48" fillId="22" borderId="6" xfId="713" applyNumberFormat="1" applyFont="1" applyFill="1" applyBorder="1" applyAlignment="1" applyProtection="1">
      <alignment horizontal="right"/>
    </xf>
    <xf numFmtId="0" fontId="70" fillId="22" borderId="10" xfId="0" applyFont="1" applyFill="1" applyBorder="1"/>
    <xf numFmtId="0" fontId="70" fillId="22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70" fillId="22" borderId="10" xfId="0" applyFont="1" applyFill="1" applyBorder="1" applyAlignment="1">
      <alignment horizontal="left"/>
    </xf>
    <xf numFmtId="9" fontId="70" fillId="22" borderId="6" xfId="0" applyNumberFormat="1" applyFont="1" applyFill="1" applyBorder="1" applyAlignment="1">
      <alignment horizontal="center"/>
    </xf>
    <xf numFmtId="0" fontId="57" fillId="0" borderId="6" xfId="0" applyFont="1" applyBorder="1" applyAlignment="1">
      <alignment horizontal="center"/>
    </xf>
    <xf numFmtId="0" fontId="55" fillId="0" borderId="10" xfId="0" applyFont="1" applyBorder="1" applyAlignment="1">
      <alignment horizontal="center"/>
    </xf>
    <xf numFmtId="43" fontId="75" fillId="0" borderId="6" xfId="53" applyFont="1" applyBorder="1" applyAlignment="1" applyProtection="1">
      <alignment horizontal="center"/>
    </xf>
    <xf numFmtId="0" fontId="55" fillId="22" borderId="10" xfId="0" applyFont="1" applyFill="1" applyBorder="1"/>
    <xf numFmtId="0" fontId="55" fillId="22" borderId="27" xfId="0" applyFont="1" applyFill="1" applyBorder="1"/>
    <xf numFmtId="0" fontId="55" fillId="22" borderId="11" xfId="0" applyFont="1" applyFill="1" applyBorder="1"/>
    <xf numFmtId="171" fontId="70" fillId="22" borderId="6" xfId="713" applyNumberFormat="1" applyFont="1" applyFill="1" applyBorder="1" applyAlignment="1" applyProtection="1">
      <alignment horizontal="right"/>
    </xf>
    <xf numFmtId="171" fontId="70" fillId="0" borderId="6" xfId="713" applyNumberFormat="1" applyFont="1" applyFill="1" applyBorder="1" applyAlignment="1" applyProtection="1">
      <alignment horizontal="right"/>
    </xf>
    <xf numFmtId="0" fontId="55" fillId="0" borderId="23" xfId="0" applyFont="1" applyBorder="1" applyAlignment="1">
      <alignment horizontal="right"/>
    </xf>
    <xf numFmtId="0" fontId="0" fillId="0" borderId="9" xfId="0" applyBorder="1" applyProtection="1">
      <protection locked="0"/>
    </xf>
    <xf numFmtId="0" fontId="78" fillId="22" borderId="28" xfId="0" applyFont="1" applyFill="1" applyBorder="1"/>
    <xf numFmtId="43" fontId="48" fillId="0" borderId="0" xfId="53" applyFont="1"/>
    <xf numFmtId="0" fontId="15" fillId="20" borderId="5" xfId="494" applyFont="1" applyFill="1" applyBorder="1"/>
    <xf numFmtId="173" fontId="70" fillId="0" borderId="6" xfId="56" applyNumberFormat="1" applyFont="1" applyBorder="1" applyAlignment="1" applyProtection="1">
      <alignment horizontal="right"/>
    </xf>
    <xf numFmtId="171" fontId="70" fillId="0" borderId="6" xfId="713" applyNumberFormat="1" applyFont="1" applyBorder="1" applyAlignment="1" applyProtection="1">
      <alignment horizontal="right"/>
    </xf>
    <xf numFmtId="43" fontId="75" fillId="0" borderId="6" xfId="53" applyFont="1" applyBorder="1" applyProtection="1">
      <protection locked="0"/>
    </xf>
    <xf numFmtId="165" fontId="40" fillId="0" borderId="29" xfId="581" applyNumberFormat="1" applyFont="1" applyBorder="1" applyAlignment="1" applyProtection="1">
      <alignment vertical="top" wrapText="1" readingOrder="1"/>
      <protection locked="0"/>
    </xf>
    <xf numFmtId="165" fontId="40" fillId="0" borderId="29" xfId="582" applyNumberFormat="1" applyFont="1" applyBorder="1" applyAlignment="1" applyProtection="1">
      <alignment vertical="top" wrapText="1" readingOrder="1"/>
      <protection locked="0"/>
    </xf>
    <xf numFmtId="165" fontId="40" fillId="0" borderId="29" xfId="586" applyNumberFormat="1" applyFont="1" applyBorder="1" applyAlignment="1" applyProtection="1">
      <alignment vertical="top" wrapText="1" readingOrder="1"/>
      <protection locked="0"/>
    </xf>
    <xf numFmtId="165" fontId="40" fillId="0" borderId="29" xfId="619" applyNumberFormat="1" applyFont="1" applyBorder="1" applyAlignment="1" applyProtection="1">
      <alignment vertical="top" wrapText="1" readingOrder="1"/>
      <protection locked="0"/>
    </xf>
    <xf numFmtId="165" fontId="40" fillId="0" borderId="29" xfId="620" applyNumberFormat="1" applyFont="1" applyBorder="1" applyAlignment="1" applyProtection="1">
      <alignment vertical="top" wrapText="1" readingOrder="1"/>
      <protection locked="0"/>
    </xf>
    <xf numFmtId="166" fontId="40" fillId="0" borderId="29" xfId="620" applyNumberFormat="1" applyFont="1" applyBorder="1" applyAlignment="1" applyProtection="1">
      <alignment vertical="top" wrapText="1" readingOrder="1"/>
      <protection locked="0"/>
    </xf>
    <xf numFmtId="43" fontId="71" fillId="0" borderId="0" xfId="53" applyFont="1"/>
    <xf numFmtId="10" fontId="71" fillId="0" borderId="0" xfId="713" applyNumberFormat="1" applyFont="1"/>
    <xf numFmtId="9" fontId="28" fillId="0" borderId="0" xfId="713" applyFont="1"/>
    <xf numFmtId="9" fontId="28" fillId="0" borderId="6" xfId="713" applyFont="1" applyBorder="1"/>
    <xf numFmtId="164" fontId="0" fillId="0" borderId="0" xfId="0" applyNumberFormat="1"/>
    <xf numFmtId="17" fontId="55" fillId="0" borderId="6" xfId="0" applyNumberFormat="1" applyFont="1" applyBorder="1" applyAlignment="1" applyProtection="1">
      <alignment horizontal="right"/>
      <protection locked="0"/>
    </xf>
    <xf numFmtId="165" fontId="44" fillId="0" borderId="29" xfId="0" applyNumberFormat="1" applyFont="1" applyBorder="1" applyAlignment="1" applyProtection="1">
      <alignment vertical="top" wrapText="1" readingOrder="1"/>
      <protection locked="0"/>
    </xf>
    <xf numFmtId="166" fontId="44" fillId="0" borderId="29" xfId="0" applyNumberFormat="1" applyFont="1" applyBorder="1" applyAlignment="1" applyProtection="1">
      <alignment vertical="top" wrapText="1" readingOrder="1"/>
      <protection locked="0"/>
    </xf>
    <xf numFmtId="43" fontId="40" fillId="0" borderId="29" xfId="53" applyFont="1" applyBorder="1" applyAlignment="1" applyProtection="1">
      <alignment vertical="top" wrapText="1" readingOrder="1"/>
      <protection locked="0"/>
    </xf>
    <xf numFmtId="0" fontId="6" fillId="0" borderId="0" xfId="0" applyFont="1" applyAlignment="1" applyProtection="1">
      <alignment vertical="top" wrapText="1" readingOrder="1"/>
      <protection locked="0"/>
    </xf>
    <xf numFmtId="0" fontId="17" fillId="0" borderId="0" xfId="0" applyFont="1" applyAlignment="1" applyProtection="1">
      <alignment vertical="top" wrapText="1" readingOrder="1"/>
      <protection locked="0"/>
    </xf>
    <xf numFmtId="165" fontId="45" fillId="0" borderId="29" xfId="0" applyNumberFormat="1" applyFont="1" applyBorder="1" applyAlignment="1" applyProtection="1">
      <alignment vertical="top" wrapText="1" readingOrder="1"/>
      <protection locked="0"/>
    </xf>
    <xf numFmtId="165" fontId="45" fillId="13" borderId="29" xfId="0" applyNumberFormat="1" applyFont="1" applyFill="1" applyBorder="1" applyAlignment="1" applyProtection="1">
      <alignment vertical="top" wrapText="1" readingOrder="1"/>
      <protection locked="0"/>
    </xf>
    <xf numFmtId="43" fontId="15" fillId="0" borderId="6" xfId="56" applyFont="1" applyBorder="1"/>
    <xf numFmtId="43" fontId="28" fillId="0" borderId="6" xfId="56" applyFont="1" applyBorder="1"/>
    <xf numFmtId="43" fontId="15" fillId="0" borderId="0" xfId="56" applyFont="1"/>
    <xf numFmtId="43" fontId="40" fillId="0" borderId="6" xfId="56" applyFont="1" applyBorder="1" applyAlignment="1" applyProtection="1">
      <alignment vertical="top" wrapText="1" readingOrder="1"/>
      <protection locked="0"/>
    </xf>
    <xf numFmtId="173" fontId="15" fillId="0" borderId="6" xfId="56" applyNumberFormat="1" applyFont="1" applyBorder="1"/>
    <xf numFmtId="43" fontId="15" fillId="0" borderId="23" xfId="56" applyFont="1" applyBorder="1"/>
    <xf numFmtId="173" fontId="15" fillId="0" borderId="23" xfId="56" applyNumberFormat="1" applyFont="1" applyBorder="1"/>
    <xf numFmtId="3" fontId="15" fillId="0" borderId="0" xfId="0" applyNumberFormat="1" applyFont="1"/>
    <xf numFmtId="3" fontId="79" fillId="0" borderId="6" xfId="0" applyNumberFormat="1" applyFont="1" applyBorder="1"/>
    <xf numFmtId="43" fontId="15" fillId="0" borderId="6" xfId="56" applyFont="1" applyFill="1" applyBorder="1" applyAlignment="1" applyProtection="1">
      <protection locked="0"/>
    </xf>
    <xf numFmtId="3" fontId="15" fillId="0" borderId="6" xfId="0" applyNumberFormat="1" applyFont="1" applyBorder="1"/>
    <xf numFmtId="0" fontId="15" fillId="0" borderId="6" xfId="0" applyFont="1" applyBorder="1"/>
    <xf numFmtId="3" fontId="80" fillId="0" borderId="6" xfId="0" applyNumberFormat="1" applyFont="1" applyBorder="1"/>
    <xf numFmtId="3" fontId="16" fillId="0" borderId="6" xfId="0" applyNumberFormat="1" applyFont="1" applyBorder="1"/>
    <xf numFmtId="165" fontId="40" fillId="0" borderId="6" xfId="0" applyNumberFormat="1" applyFont="1" applyBorder="1" applyAlignment="1" applyProtection="1">
      <alignment vertical="top" wrapText="1" readingOrder="1"/>
      <protection locked="0"/>
    </xf>
    <xf numFmtId="165" fontId="40" fillId="22" borderId="6" xfId="0" applyNumberFormat="1" applyFont="1" applyFill="1" applyBorder="1" applyAlignment="1" applyProtection="1">
      <alignment vertical="top" wrapText="1" readingOrder="1"/>
      <protection locked="0"/>
    </xf>
    <xf numFmtId="166" fontId="40" fillId="0" borderId="6" xfId="0" applyNumberFormat="1" applyFont="1" applyBorder="1" applyAlignment="1" applyProtection="1">
      <alignment vertical="top" wrapText="1" readingOrder="1"/>
      <protection locked="0"/>
    </xf>
    <xf numFmtId="4" fontId="15" fillId="0" borderId="6" xfId="0" applyNumberFormat="1" applyFont="1" applyBorder="1"/>
    <xf numFmtId="173" fontId="15" fillId="0" borderId="6" xfId="0" applyNumberFormat="1" applyFont="1" applyBorder="1"/>
    <xf numFmtId="43" fontId="46" fillId="0" borderId="23" xfId="56" applyFont="1" applyBorder="1"/>
    <xf numFmtId="0" fontId="46" fillId="0" borderId="23" xfId="0" applyFont="1" applyBorder="1"/>
    <xf numFmtId="43" fontId="46" fillId="0" borderId="0" xfId="56" applyFont="1"/>
    <xf numFmtId="173" fontId="28" fillId="0" borderId="6" xfId="0" applyNumberFormat="1" applyFont="1" applyBorder="1"/>
    <xf numFmtId="173" fontId="28" fillId="0" borderId="6" xfId="0" applyNumberFormat="1" applyFont="1" applyBorder="1" applyAlignment="1">
      <alignment wrapText="1"/>
    </xf>
    <xf numFmtId="173" fontId="28" fillId="22" borderId="6" xfId="0" applyNumberFormat="1" applyFont="1" applyFill="1" applyBorder="1"/>
    <xf numFmtId="43" fontId="2" fillId="0" borderId="6" xfId="56" applyFont="1" applyBorder="1"/>
    <xf numFmtId="43" fontId="46" fillId="22" borderId="6" xfId="56" applyFont="1" applyFill="1" applyBorder="1"/>
    <xf numFmtId="43" fontId="47" fillId="22" borderId="23" xfId="56" applyFont="1" applyFill="1" applyBorder="1"/>
    <xf numFmtId="43" fontId="16" fillId="0" borderId="6" xfId="56" applyFont="1" applyBorder="1"/>
    <xf numFmtId="0" fontId="46" fillId="0" borderId="6" xfId="0" applyFont="1" applyBorder="1"/>
    <xf numFmtId="3" fontId="80" fillId="0" borderId="0" xfId="0" applyNumberFormat="1" applyFont="1"/>
    <xf numFmtId="43" fontId="46" fillId="0" borderId="6" xfId="56" applyFont="1" applyBorder="1"/>
    <xf numFmtId="17" fontId="24" fillId="9" borderId="6" xfId="53" applyNumberFormat="1" applyFont="1" applyFill="1" applyBorder="1" applyAlignment="1" applyProtection="1">
      <alignment vertical="top" wrapText="1" readingOrder="1"/>
      <protection locked="0"/>
    </xf>
    <xf numFmtId="165" fontId="5" fillId="0" borderId="6" xfId="0" applyNumberFormat="1" applyFont="1" applyBorder="1" applyAlignment="1" applyProtection="1">
      <alignment vertical="top" wrapText="1" readingOrder="1"/>
      <protection locked="0"/>
    </xf>
    <xf numFmtId="165" fontId="5" fillId="13" borderId="6" xfId="0" applyNumberFormat="1" applyFont="1" applyFill="1" applyBorder="1" applyAlignment="1" applyProtection="1">
      <alignment vertical="top" wrapText="1" readingOrder="1"/>
      <protection locked="0"/>
    </xf>
    <xf numFmtId="165" fontId="5" fillId="13" borderId="6" xfId="0" applyNumberFormat="1" applyFont="1" applyFill="1" applyBorder="1" applyAlignment="1" applyProtection="1">
      <alignment wrapText="1" readingOrder="1"/>
      <protection locked="0"/>
    </xf>
    <xf numFmtId="165" fontId="5" fillId="0" borderId="23" xfId="0" applyNumberFormat="1" applyFont="1" applyBorder="1" applyAlignment="1" applyProtection="1">
      <alignment vertical="top" wrapText="1" readingOrder="1"/>
      <protection locked="0"/>
    </xf>
    <xf numFmtId="165" fontId="5" fillId="13" borderId="23" xfId="0" applyNumberFormat="1" applyFont="1" applyFill="1" applyBorder="1" applyAlignment="1" applyProtection="1">
      <alignment wrapText="1" readingOrder="1"/>
      <protection locked="0"/>
    </xf>
    <xf numFmtId="173" fontId="46" fillId="0" borderId="6" xfId="56" applyNumberFormat="1" applyFont="1" applyBorder="1"/>
    <xf numFmtId="165" fontId="5" fillId="0" borderId="29" xfId="0" applyNumberFormat="1" applyFont="1" applyBorder="1" applyAlignment="1" applyProtection="1">
      <alignment vertical="top" wrapText="1" readingOrder="1"/>
      <protection locked="0"/>
    </xf>
    <xf numFmtId="165" fontId="5" fillId="13" borderId="29" xfId="0" applyNumberFormat="1" applyFont="1" applyFill="1" applyBorder="1" applyAlignment="1" applyProtection="1">
      <alignment vertical="top" wrapText="1" readingOrder="1"/>
      <protection locked="0"/>
    </xf>
    <xf numFmtId="0" fontId="46" fillId="0" borderId="0" xfId="0" applyFont="1"/>
    <xf numFmtId="165" fontId="5" fillId="0" borderId="6" xfId="494" applyNumberFormat="1" applyFont="1" applyBorder="1" applyAlignment="1" applyProtection="1">
      <alignment vertical="top" wrapText="1" readingOrder="1"/>
      <protection locked="0"/>
    </xf>
    <xf numFmtId="165" fontId="5" fillId="13" borderId="6" xfId="494" applyNumberFormat="1" applyFont="1" applyFill="1" applyBorder="1" applyAlignment="1" applyProtection="1">
      <alignment vertical="top" wrapText="1" readingOrder="1"/>
      <protection locked="0"/>
    </xf>
    <xf numFmtId="165" fontId="5" fillId="13" borderId="23" xfId="0" applyNumberFormat="1" applyFont="1" applyFill="1" applyBorder="1" applyAlignment="1" applyProtection="1">
      <alignment vertical="top" wrapText="1" readingOrder="1"/>
      <protection locked="0"/>
    </xf>
    <xf numFmtId="173" fontId="15" fillId="22" borderId="6" xfId="56" applyNumberFormat="1" applyFont="1" applyFill="1" applyBorder="1"/>
    <xf numFmtId="165" fontId="40" fillId="0" borderId="6" xfId="494" applyNumberFormat="1" applyFont="1" applyBorder="1" applyAlignment="1" applyProtection="1">
      <alignment vertical="top" wrapText="1" readingOrder="1"/>
      <protection locked="0"/>
    </xf>
    <xf numFmtId="165" fontId="40" fillId="22" borderId="6" xfId="494" applyNumberFormat="1" applyFont="1" applyFill="1" applyBorder="1" applyAlignment="1" applyProtection="1">
      <alignment vertical="top" wrapText="1" readingOrder="1"/>
      <protection locked="0"/>
    </xf>
    <xf numFmtId="166" fontId="40" fillId="0" borderId="6" xfId="494" applyNumberFormat="1" applyFont="1" applyBorder="1" applyAlignment="1" applyProtection="1">
      <alignment vertical="top" wrapText="1" readingOrder="1"/>
      <protection locked="0"/>
    </xf>
    <xf numFmtId="0" fontId="83" fillId="0" borderId="55" xfId="0" applyFont="1" applyBorder="1" applyAlignment="1">
      <alignment wrapText="1" readingOrder="1"/>
    </xf>
    <xf numFmtId="4" fontId="83" fillId="0" borderId="55" xfId="0" applyNumberFormat="1" applyFont="1" applyBorder="1" applyAlignment="1">
      <alignment wrapText="1" readingOrder="1"/>
    </xf>
    <xf numFmtId="0" fontId="83" fillId="0" borderId="56" xfId="0" applyFont="1" applyBorder="1" applyAlignment="1">
      <alignment wrapText="1" readingOrder="1"/>
    </xf>
    <xf numFmtId="4" fontId="83" fillId="0" borderId="56" xfId="0" applyNumberFormat="1" applyFont="1" applyBorder="1" applyAlignment="1">
      <alignment wrapText="1" readingOrder="1"/>
    </xf>
    <xf numFmtId="0" fontId="83" fillId="0" borderId="57" xfId="0" applyFont="1" applyBorder="1" applyAlignment="1">
      <alignment wrapText="1" readingOrder="1"/>
    </xf>
    <xf numFmtId="0" fontId="83" fillId="0" borderId="58" xfId="0" applyFont="1" applyBorder="1" applyAlignment="1">
      <alignment wrapText="1" readingOrder="1"/>
    </xf>
    <xf numFmtId="4" fontId="83" fillId="0" borderId="57" xfId="0" applyNumberFormat="1" applyFont="1" applyBorder="1" applyAlignment="1">
      <alignment wrapText="1" readingOrder="1"/>
    </xf>
    <xf numFmtId="4" fontId="83" fillId="0" borderId="58" xfId="0" applyNumberFormat="1" applyFont="1" applyBorder="1" applyAlignment="1">
      <alignment wrapText="1" readingOrder="1"/>
    </xf>
    <xf numFmtId="0" fontId="84" fillId="0" borderId="55" xfId="0" applyFont="1" applyBorder="1" applyAlignment="1">
      <alignment wrapText="1" readingOrder="1"/>
    </xf>
    <xf numFmtId="4" fontId="84" fillId="0" borderId="55" xfId="0" applyNumberFormat="1" applyFont="1" applyBorder="1" applyAlignment="1">
      <alignment wrapText="1" readingOrder="1"/>
    </xf>
    <xf numFmtId="0" fontId="84" fillId="0" borderId="56" xfId="0" applyFont="1" applyBorder="1" applyAlignment="1">
      <alignment wrapText="1" readingOrder="1"/>
    </xf>
    <xf numFmtId="4" fontId="84" fillId="0" borderId="56" xfId="0" applyNumberFormat="1" applyFont="1" applyBorder="1" applyAlignment="1">
      <alignment wrapText="1" readingOrder="1"/>
    </xf>
    <xf numFmtId="0" fontId="84" fillId="0" borderId="57" xfId="0" applyFont="1" applyBorder="1" applyAlignment="1">
      <alignment wrapText="1" readingOrder="1"/>
    </xf>
    <xf numFmtId="4" fontId="84" fillId="0" borderId="57" xfId="0" applyNumberFormat="1" applyFont="1" applyBorder="1" applyAlignment="1">
      <alignment wrapText="1" readingOrder="1"/>
    </xf>
    <xf numFmtId="0" fontId="84" fillId="0" borderId="58" xfId="0" applyFont="1" applyBorder="1" applyAlignment="1">
      <alignment wrapText="1" readingOrder="1"/>
    </xf>
    <xf numFmtId="4" fontId="84" fillId="0" borderId="58" xfId="0" applyNumberFormat="1" applyFont="1" applyBorder="1" applyAlignment="1">
      <alignment wrapText="1" readingOrder="1"/>
    </xf>
    <xf numFmtId="0" fontId="43" fillId="9" borderId="29" xfId="0" applyFont="1" applyFill="1" applyBorder="1" applyAlignment="1" applyProtection="1">
      <alignment vertical="top" wrapText="1" readingOrder="1"/>
      <protection locked="0"/>
    </xf>
    <xf numFmtId="165" fontId="40" fillId="0" borderId="29" xfId="0" applyNumberFormat="1" applyFont="1" applyBorder="1" applyAlignment="1" applyProtection="1">
      <alignment vertical="top" wrapText="1" readingOrder="1"/>
      <protection locked="0"/>
    </xf>
    <xf numFmtId="0" fontId="0" fillId="0" borderId="6" xfId="0" applyBorder="1" applyAlignment="1" applyProtection="1">
      <alignment horizontal="left"/>
      <protection locked="0"/>
    </xf>
    <xf numFmtId="0" fontId="0" fillId="0" borderId="23" xfId="0" applyBorder="1" applyAlignment="1" applyProtection="1">
      <alignment horizontal="left"/>
      <protection locked="0"/>
    </xf>
    <xf numFmtId="4" fontId="83" fillId="26" borderId="57" xfId="0" applyNumberFormat="1" applyFont="1" applyFill="1" applyBorder="1" applyAlignment="1">
      <alignment wrapText="1" readingOrder="1"/>
    </xf>
    <xf numFmtId="4" fontId="83" fillId="26" borderId="58" xfId="0" applyNumberFormat="1" applyFont="1" applyFill="1" applyBorder="1" applyAlignment="1">
      <alignment wrapText="1" readingOrder="1"/>
    </xf>
    <xf numFmtId="4" fontId="83" fillId="27" borderId="57" xfId="0" applyNumberFormat="1" applyFont="1" applyFill="1" applyBorder="1" applyAlignment="1">
      <alignment wrapText="1" readingOrder="1"/>
    </xf>
    <xf numFmtId="4" fontId="84" fillId="0" borderId="59" xfId="0" applyNumberFormat="1" applyFont="1" applyBorder="1" applyAlignment="1">
      <alignment wrapText="1" readingOrder="1"/>
    </xf>
    <xf numFmtId="0" fontId="84" fillId="0" borderId="59" xfId="0" applyFont="1" applyBorder="1" applyAlignment="1">
      <alignment wrapText="1" readingOrder="1"/>
    </xf>
    <xf numFmtId="4" fontId="83" fillId="27" borderId="58" xfId="0" applyNumberFormat="1" applyFont="1" applyFill="1" applyBorder="1" applyAlignment="1">
      <alignment wrapText="1" readingOrder="1"/>
    </xf>
    <xf numFmtId="43" fontId="24" fillId="9" borderId="6" xfId="0" applyNumberFormat="1" applyFont="1" applyFill="1" applyBorder="1" applyAlignment="1" applyProtection="1">
      <alignment vertical="top" wrapText="1" readingOrder="1"/>
      <protection locked="0"/>
    </xf>
    <xf numFmtId="43" fontId="55" fillId="0" borderId="0" xfId="0" applyNumberFormat="1" applyFont="1"/>
    <xf numFmtId="43" fontId="25" fillId="9" borderId="22" xfId="0" applyNumberFormat="1" applyFont="1" applyFill="1" applyBorder="1" applyAlignment="1" applyProtection="1">
      <alignment vertical="top" wrapText="1" readingOrder="1"/>
      <protection locked="0"/>
    </xf>
    <xf numFmtId="43" fontId="84" fillId="0" borderId="56" xfId="0" applyNumberFormat="1" applyFont="1" applyBorder="1" applyAlignment="1">
      <alignment wrapText="1" readingOrder="1"/>
    </xf>
    <xf numFmtId="43" fontId="70" fillId="0" borderId="22" xfId="0" applyNumberFormat="1" applyFont="1" applyBorder="1" applyAlignment="1">
      <alignment wrapText="1" readingOrder="1"/>
    </xf>
    <xf numFmtId="43" fontId="70" fillId="20" borderId="22" xfId="0" applyNumberFormat="1" applyFont="1" applyFill="1" applyBorder="1" applyAlignment="1">
      <alignment wrapText="1" readingOrder="1"/>
    </xf>
    <xf numFmtId="17" fontId="24" fillId="0" borderId="60" xfId="672" applyNumberFormat="1" applyFont="1" applyBorder="1" applyAlignment="1">
      <alignment wrapText="1"/>
    </xf>
    <xf numFmtId="17" fontId="7" fillId="9" borderId="60" xfId="0" applyNumberFormat="1" applyFont="1" applyFill="1" applyBorder="1" applyAlignment="1" applyProtection="1">
      <alignment vertical="top" wrapText="1" readingOrder="1"/>
      <protection locked="0"/>
    </xf>
    <xf numFmtId="0" fontId="27" fillId="20" borderId="60" xfId="672" applyFont="1" applyFill="1" applyBorder="1"/>
    <xf numFmtId="17" fontId="24" fillId="0" borderId="23" xfId="672" applyNumberFormat="1" applyFont="1" applyBorder="1" applyAlignment="1">
      <alignment wrapText="1"/>
    </xf>
    <xf numFmtId="0" fontId="27" fillId="0" borderId="61" xfId="672" applyFont="1" applyBorder="1"/>
    <xf numFmtId="17" fontId="55" fillId="0" borderId="60" xfId="0" applyNumberFormat="1" applyFont="1" applyBorder="1"/>
    <xf numFmtId="43" fontId="25" fillId="9" borderId="15" xfId="0" applyNumberFormat="1" applyFont="1" applyFill="1" applyBorder="1" applyAlignment="1" applyProtection="1">
      <alignment vertical="top" wrapText="1" readingOrder="1"/>
      <protection locked="0"/>
    </xf>
    <xf numFmtId="17" fontId="55" fillId="20" borderId="60" xfId="0" applyNumberFormat="1" applyFont="1" applyFill="1" applyBorder="1"/>
    <xf numFmtId="17" fontId="55" fillId="20" borderId="0" xfId="0" applyNumberFormat="1" applyFont="1" applyFill="1"/>
    <xf numFmtId="4" fontId="83" fillId="27" borderId="55" xfId="0" applyNumberFormat="1" applyFont="1" applyFill="1" applyBorder="1" applyAlignment="1">
      <alignment wrapText="1" readingOrder="1"/>
    </xf>
    <xf numFmtId="4" fontId="83" fillId="27" borderId="56" xfId="0" applyNumberFormat="1" applyFont="1" applyFill="1" applyBorder="1" applyAlignment="1">
      <alignment wrapText="1" readingOrder="1"/>
    </xf>
    <xf numFmtId="17" fontId="55" fillId="0" borderId="33" xfId="0" applyNumberFormat="1" applyFont="1" applyBorder="1"/>
    <xf numFmtId="17" fontId="7" fillId="9" borderId="23" xfId="0" applyNumberFormat="1" applyFont="1" applyFill="1" applyBorder="1" applyAlignment="1" applyProtection="1">
      <alignment vertical="top" wrapText="1" readingOrder="1"/>
      <protection locked="0"/>
    </xf>
    <xf numFmtId="17" fontId="27" fillId="20" borderId="60" xfId="672" applyNumberFormat="1" applyFont="1" applyFill="1" applyBorder="1"/>
    <xf numFmtId="0" fontId="27" fillId="20" borderId="62" xfId="672" applyFont="1" applyFill="1" applyBorder="1"/>
    <xf numFmtId="17" fontId="25" fillId="9" borderId="15" xfId="0" applyNumberFormat="1" applyFont="1" applyFill="1" applyBorder="1" applyAlignment="1" applyProtection="1">
      <alignment vertical="top" wrapText="1" readingOrder="1"/>
      <protection locked="0"/>
    </xf>
    <xf numFmtId="0" fontId="85" fillId="0" borderId="55" xfId="0" applyFont="1" applyBorder="1" applyAlignment="1">
      <alignment wrapText="1" readingOrder="1"/>
    </xf>
    <xf numFmtId="4" fontId="85" fillId="0" borderId="55" xfId="0" applyNumberFormat="1" applyFont="1" applyBorder="1" applyAlignment="1">
      <alignment wrapText="1" readingOrder="1"/>
    </xf>
    <xf numFmtId="0" fontId="85" fillId="0" borderId="57" xfId="0" applyFont="1" applyBorder="1" applyAlignment="1">
      <alignment wrapText="1" readingOrder="1"/>
    </xf>
    <xf numFmtId="4" fontId="85" fillId="0" borderId="57" xfId="0" applyNumberFormat="1" applyFont="1" applyBorder="1" applyAlignment="1">
      <alignment wrapText="1" readingOrder="1"/>
    </xf>
    <xf numFmtId="0" fontId="86" fillId="0" borderId="55" xfId="0" applyFont="1" applyBorder="1" applyAlignment="1">
      <alignment wrapText="1" readingOrder="1"/>
    </xf>
    <xf numFmtId="4" fontId="86" fillId="0" borderId="55" xfId="0" applyNumberFormat="1" applyFont="1" applyBorder="1" applyAlignment="1">
      <alignment wrapText="1" readingOrder="1"/>
    </xf>
    <xf numFmtId="0" fontId="86" fillId="0" borderId="57" xfId="0" applyFont="1" applyBorder="1" applyAlignment="1">
      <alignment wrapText="1" readingOrder="1"/>
    </xf>
    <xf numFmtId="4" fontId="86" fillId="0" borderId="57" xfId="0" applyNumberFormat="1" applyFont="1" applyBorder="1" applyAlignment="1">
      <alignment wrapText="1" readingOrder="1"/>
    </xf>
    <xf numFmtId="4" fontId="86" fillId="27" borderId="55" xfId="0" applyNumberFormat="1" applyFont="1" applyFill="1" applyBorder="1" applyAlignment="1">
      <alignment wrapText="1" readingOrder="1"/>
    </xf>
    <xf numFmtId="0" fontId="84" fillId="0" borderId="59" xfId="0" applyFont="1" applyBorder="1" applyAlignment="1">
      <alignment wrapText="1" readingOrder="1"/>
    </xf>
    <xf numFmtId="0" fontId="84" fillId="0" borderId="56" xfId="0" applyFont="1" applyBorder="1" applyAlignment="1">
      <alignment wrapText="1" readingOrder="1"/>
    </xf>
    <xf numFmtId="4" fontId="84" fillId="0" borderId="59" xfId="0" applyNumberFormat="1" applyFont="1" applyBorder="1" applyAlignment="1">
      <alignment wrapText="1" readingOrder="1"/>
    </xf>
    <xf numFmtId="0" fontId="0" fillId="0" borderId="23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35" xfId="0" applyBorder="1" applyAlignment="1" applyProtection="1">
      <alignment horizontal="center"/>
      <protection locked="0"/>
    </xf>
    <xf numFmtId="0" fontId="73" fillId="24" borderId="10" xfId="0" applyFont="1" applyFill="1" applyBorder="1" applyAlignment="1">
      <alignment horizontal="left"/>
    </xf>
    <xf numFmtId="0" fontId="73" fillId="24" borderId="6" xfId="0" applyFont="1" applyFill="1" applyBorder="1" applyAlignment="1">
      <alignment horizontal="left"/>
    </xf>
    <xf numFmtId="0" fontId="73" fillId="24" borderId="23" xfId="0" applyFont="1" applyFill="1" applyBorder="1" applyAlignment="1">
      <alignment horizontal="left"/>
    </xf>
    <xf numFmtId="0" fontId="73" fillId="24" borderId="9" xfId="0" applyFont="1" applyFill="1" applyBorder="1" applyAlignment="1">
      <alignment horizontal="left"/>
    </xf>
    <xf numFmtId="0" fontId="81" fillId="25" borderId="36" xfId="0" applyFont="1" applyFill="1" applyBorder="1" applyAlignment="1">
      <alignment horizontal="left"/>
    </xf>
    <xf numFmtId="0" fontId="81" fillId="25" borderId="37" xfId="0" applyFont="1" applyFill="1" applyBorder="1" applyAlignment="1">
      <alignment horizontal="left"/>
    </xf>
    <xf numFmtId="0" fontId="81" fillId="25" borderId="38" xfId="0" applyFont="1" applyFill="1" applyBorder="1" applyAlignment="1">
      <alignment horizontal="left"/>
    </xf>
    <xf numFmtId="0" fontId="73" fillId="0" borderId="30" xfId="0" applyFont="1" applyBorder="1" applyAlignment="1">
      <alignment horizontal="center" wrapText="1"/>
    </xf>
    <xf numFmtId="0" fontId="73" fillId="0" borderId="31" xfId="0" applyFont="1" applyBorder="1" applyAlignment="1">
      <alignment horizontal="center" wrapText="1"/>
    </xf>
    <xf numFmtId="0" fontId="55" fillId="0" borderId="14" xfId="0" applyFont="1" applyBorder="1" applyAlignment="1">
      <alignment horizontal="center"/>
    </xf>
    <xf numFmtId="0" fontId="55" fillId="0" borderId="32" xfId="0" applyFont="1" applyBorder="1" applyAlignment="1">
      <alignment horizontal="center"/>
    </xf>
    <xf numFmtId="0" fontId="55" fillId="0" borderId="7" xfId="0" applyFont="1" applyBorder="1" applyAlignment="1" applyProtection="1">
      <alignment horizontal="center"/>
      <protection locked="0"/>
    </xf>
    <xf numFmtId="0" fontId="55" fillId="0" borderId="8" xfId="0" applyFont="1" applyBorder="1" applyAlignment="1" applyProtection="1">
      <alignment horizontal="center"/>
      <protection locked="0"/>
    </xf>
    <xf numFmtId="0" fontId="55" fillId="0" borderId="33" xfId="0" applyFont="1" applyBorder="1" applyAlignment="1" applyProtection="1">
      <alignment horizontal="center"/>
      <protection locked="0"/>
    </xf>
    <xf numFmtId="0" fontId="55" fillId="0" borderId="34" xfId="0" applyFont="1" applyBorder="1" applyAlignment="1" applyProtection="1">
      <alignment horizontal="center"/>
      <protection locked="0"/>
    </xf>
    <xf numFmtId="0" fontId="55" fillId="0" borderId="10" xfId="0" applyFont="1" applyBorder="1" applyAlignment="1" applyProtection="1">
      <alignment horizontal="center"/>
      <protection locked="0"/>
    </xf>
    <xf numFmtId="0" fontId="55" fillId="0" borderId="6" xfId="0" applyFont="1" applyBorder="1" applyAlignment="1" applyProtection="1">
      <alignment horizontal="center"/>
      <protection locked="0"/>
    </xf>
    <xf numFmtId="0" fontId="55" fillId="0" borderId="23" xfId="0" applyFont="1" applyBorder="1" applyAlignment="1" applyProtection="1">
      <alignment horizontal="center"/>
      <protection locked="0"/>
    </xf>
    <xf numFmtId="0" fontId="55" fillId="0" borderId="9" xfId="0" applyFont="1" applyBorder="1" applyAlignment="1" applyProtection="1">
      <alignment horizontal="center"/>
      <protection locked="0"/>
    </xf>
    <xf numFmtId="0" fontId="55" fillId="0" borderId="15" xfId="0" applyFont="1" applyBorder="1" applyAlignment="1" applyProtection="1">
      <alignment horizontal="center"/>
      <protection locked="0"/>
    </xf>
    <xf numFmtId="0" fontId="55" fillId="0" borderId="35" xfId="0" applyFont="1" applyBorder="1" applyAlignment="1" applyProtection="1">
      <alignment horizontal="center"/>
      <protection locked="0"/>
    </xf>
    <xf numFmtId="17" fontId="55" fillId="0" borderId="30" xfId="0" applyNumberFormat="1" applyFont="1" applyBorder="1" applyAlignment="1" applyProtection="1">
      <alignment horizontal="center" wrapText="1"/>
      <protection locked="0"/>
    </xf>
    <xf numFmtId="17" fontId="55" fillId="0" borderId="31" xfId="0" applyNumberFormat="1" applyFont="1" applyBorder="1" applyAlignment="1" applyProtection="1">
      <alignment horizontal="center" wrapText="1"/>
      <protection locked="0"/>
    </xf>
    <xf numFmtId="0" fontId="43" fillId="9" borderId="29" xfId="0" applyFont="1" applyFill="1" applyBorder="1" applyAlignment="1" applyProtection="1">
      <alignment vertical="top" wrapText="1" readingOrder="1"/>
      <protection locked="0"/>
    </xf>
    <xf numFmtId="0" fontId="0" fillId="0" borderId="39" xfId="0" applyBorder="1" applyAlignment="1" applyProtection="1">
      <alignment vertical="top" wrapText="1"/>
      <protection locked="0"/>
    </xf>
    <xf numFmtId="165" fontId="40" fillId="0" borderId="29" xfId="0" applyNumberFormat="1" applyFont="1" applyBorder="1" applyAlignment="1" applyProtection="1">
      <alignment vertical="top" wrapText="1" readingOrder="1"/>
      <protection locked="0"/>
    </xf>
    <xf numFmtId="0" fontId="60" fillId="0" borderId="10" xfId="494" applyFont="1" applyBorder="1" applyAlignment="1">
      <alignment horizontal="left" vertical="top"/>
    </xf>
    <xf numFmtId="0" fontId="60" fillId="0" borderId="10" xfId="494" applyFont="1" applyBorder="1" applyAlignment="1">
      <alignment horizontal="left" vertical="top" wrapText="1"/>
    </xf>
    <xf numFmtId="0" fontId="77" fillId="0" borderId="10" xfId="0" applyFont="1" applyBorder="1" applyAlignment="1">
      <alignment horizontal="center" vertical="top" wrapText="1"/>
    </xf>
    <xf numFmtId="0" fontId="82" fillId="0" borderId="0" xfId="0" applyFont="1" applyAlignment="1">
      <alignment horizontal="center"/>
    </xf>
    <xf numFmtId="0" fontId="77" fillId="0" borderId="10" xfId="0" applyFont="1" applyBorder="1" applyAlignment="1">
      <alignment horizontal="center" vertical="top"/>
    </xf>
    <xf numFmtId="0" fontId="56" fillId="0" borderId="0" xfId="0" applyFont="1" applyAlignment="1">
      <alignment horizontal="center"/>
    </xf>
    <xf numFmtId="0" fontId="27" fillId="0" borderId="40" xfId="672" applyFont="1" applyBorder="1" applyAlignment="1">
      <alignment horizontal="center"/>
    </xf>
    <xf numFmtId="0" fontId="0" fillId="0" borderId="6" xfId="0" applyBorder="1" applyAlignment="1" applyProtection="1">
      <alignment horizontal="left"/>
      <protection locked="0"/>
    </xf>
    <xf numFmtId="0" fontId="0" fillId="0" borderId="23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55" fillId="0" borderId="14" xfId="0" applyFont="1" applyBorder="1" applyAlignment="1">
      <alignment horizontal="center" wrapText="1"/>
    </xf>
    <xf numFmtId="0" fontId="55" fillId="0" borderId="32" xfId="0" applyFont="1" applyBorder="1" applyAlignment="1">
      <alignment horizontal="center" wrapText="1"/>
    </xf>
    <xf numFmtId="0" fontId="84" fillId="0" borderId="55" xfId="0" applyFont="1" applyFill="1" applyBorder="1" applyAlignment="1">
      <alignment wrapText="1" readingOrder="1"/>
    </xf>
    <xf numFmtId="4" fontId="84" fillId="0" borderId="55" xfId="0" applyNumberFormat="1" applyFont="1" applyFill="1" applyBorder="1" applyAlignment="1">
      <alignment wrapText="1" readingOrder="1"/>
    </xf>
    <xf numFmtId="0" fontId="84" fillId="0" borderId="57" xfId="0" applyFont="1" applyFill="1" applyBorder="1" applyAlignment="1">
      <alignment wrapText="1" readingOrder="1"/>
    </xf>
    <xf numFmtId="4" fontId="84" fillId="0" borderId="57" xfId="0" applyNumberFormat="1" applyFont="1" applyFill="1" applyBorder="1" applyAlignment="1">
      <alignment wrapText="1" readingOrder="1"/>
    </xf>
    <xf numFmtId="0" fontId="83" fillId="0" borderId="55" xfId="0" applyFont="1" applyFill="1" applyBorder="1" applyAlignment="1">
      <alignment wrapText="1" readingOrder="1"/>
    </xf>
    <xf numFmtId="4" fontId="83" fillId="0" borderId="55" xfId="0" applyNumberFormat="1" applyFont="1" applyFill="1" applyBorder="1" applyAlignment="1">
      <alignment wrapText="1" readingOrder="1"/>
    </xf>
    <xf numFmtId="0" fontId="83" fillId="0" borderId="57" xfId="0" applyFont="1" applyFill="1" applyBorder="1" applyAlignment="1">
      <alignment wrapText="1" readingOrder="1"/>
    </xf>
    <xf numFmtId="4" fontId="83" fillId="0" borderId="57" xfId="0" applyNumberFormat="1" applyFont="1" applyFill="1" applyBorder="1" applyAlignment="1">
      <alignment wrapText="1" readingOrder="1"/>
    </xf>
  </cellXfs>
  <cellStyles count="728">
    <cellStyle name="60% - Accent2 2" xfId="1" xr:uid="{00000000-0005-0000-0000-000000000000}"/>
    <cellStyle name="60% - Accent2 2 2" xfId="2" xr:uid="{00000000-0005-0000-0000-000001000000}"/>
    <cellStyle name="Accent1 2" xfId="3" xr:uid="{00000000-0005-0000-0000-000002000000}"/>
    <cellStyle name="Accent1 2 10" xfId="4" xr:uid="{00000000-0005-0000-0000-000003000000}"/>
    <cellStyle name="Accent1 2 10 2" xfId="5" xr:uid="{00000000-0005-0000-0000-000004000000}"/>
    <cellStyle name="Accent1 2 11" xfId="6" xr:uid="{00000000-0005-0000-0000-000005000000}"/>
    <cellStyle name="Accent1 2 11 2" xfId="7" xr:uid="{00000000-0005-0000-0000-000006000000}"/>
    <cellStyle name="Accent1 2 12" xfId="8" xr:uid="{00000000-0005-0000-0000-000007000000}"/>
    <cellStyle name="Accent1 2 12 2" xfId="9" xr:uid="{00000000-0005-0000-0000-000008000000}"/>
    <cellStyle name="Accent1 2 13" xfId="10" xr:uid="{00000000-0005-0000-0000-000009000000}"/>
    <cellStyle name="Accent1 2 2" xfId="11" xr:uid="{00000000-0005-0000-0000-00000A000000}"/>
    <cellStyle name="Accent1 2 2 2" xfId="12" xr:uid="{00000000-0005-0000-0000-00000B000000}"/>
    <cellStyle name="Accent1 2 3" xfId="13" xr:uid="{00000000-0005-0000-0000-00000C000000}"/>
    <cellStyle name="Accent1 2 3 2" xfId="14" xr:uid="{00000000-0005-0000-0000-00000D000000}"/>
    <cellStyle name="Accent1 2 4" xfId="15" xr:uid="{00000000-0005-0000-0000-00000E000000}"/>
    <cellStyle name="Accent1 2 4 2" xfId="16" xr:uid="{00000000-0005-0000-0000-00000F000000}"/>
    <cellStyle name="Accent1 2 5" xfId="17" xr:uid="{00000000-0005-0000-0000-000010000000}"/>
    <cellStyle name="Accent1 2 5 2" xfId="18" xr:uid="{00000000-0005-0000-0000-000011000000}"/>
    <cellStyle name="Accent1 2 6" xfId="19" xr:uid="{00000000-0005-0000-0000-000012000000}"/>
    <cellStyle name="Accent1 2 6 2" xfId="20" xr:uid="{00000000-0005-0000-0000-000013000000}"/>
    <cellStyle name="Accent1 2 7" xfId="21" xr:uid="{00000000-0005-0000-0000-000014000000}"/>
    <cellStyle name="Accent1 2 7 2" xfId="22" xr:uid="{00000000-0005-0000-0000-000015000000}"/>
    <cellStyle name="Accent1 2 8" xfId="23" xr:uid="{00000000-0005-0000-0000-000016000000}"/>
    <cellStyle name="Accent1 2 8 2" xfId="24" xr:uid="{00000000-0005-0000-0000-000017000000}"/>
    <cellStyle name="Accent1 2 9" xfId="25" xr:uid="{00000000-0005-0000-0000-000018000000}"/>
    <cellStyle name="Accent1 2 9 2" xfId="26" xr:uid="{00000000-0005-0000-0000-000019000000}"/>
    <cellStyle name="Accent5 2" xfId="27" xr:uid="{00000000-0005-0000-0000-00001A000000}"/>
    <cellStyle name="Accent5 2 10" xfId="28" xr:uid="{00000000-0005-0000-0000-00001B000000}"/>
    <cellStyle name="Accent5 2 10 2" xfId="29" xr:uid="{00000000-0005-0000-0000-00001C000000}"/>
    <cellStyle name="Accent5 2 11" xfId="30" xr:uid="{00000000-0005-0000-0000-00001D000000}"/>
    <cellStyle name="Accent5 2 11 2" xfId="31" xr:uid="{00000000-0005-0000-0000-00001E000000}"/>
    <cellStyle name="Accent5 2 12" xfId="32" xr:uid="{00000000-0005-0000-0000-00001F000000}"/>
    <cellStyle name="Accent5 2 12 2" xfId="33" xr:uid="{00000000-0005-0000-0000-000020000000}"/>
    <cellStyle name="Accent5 2 13" xfId="34" xr:uid="{00000000-0005-0000-0000-000021000000}"/>
    <cellStyle name="Accent5 2 2" xfId="35" xr:uid="{00000000-0005-0000-0000-000022000000}"/>
    <cellStyle name="Accent5 2 2 2" xfId="36" xr:uid="{00000000-0005-0000-0000-000023000000}"/>
    <cellStyle name="Accent5 2 3" xfId="37" xr:uid="{00000000-0005-0000-0000-000024000000}"/>
    <cellStyle name="Accent5 2 3 2" xfId="38" xr:uid="{00000000-0005-0000-0000-000025000000}"/>
    <cellStyle name="Accent5 2 4" xfId="39" xr:uid="{00000000-0005-0000-0000-000026000000}"/>
    <cellStyle name="Accent5 2 4 2" xfId="40" xr:uid="{00000000-0005-0000-0000-000027000000}"/>
    <cellStyle name="Accent5 2 5" xfId="41" xr:uid="{00000000-0005-0000-0000-000028000000}"/>
    <cellStyle name="Accent5 2 5 2" xfId="42" xr:uid="{00000000-0005-0000-0000-000029000000}"/>
    <cellStyle name="Accent5 2 6" xfId="43" xr:uid="{00000000-0005-0000-0000-00002A000000}"/>
    <cellStyle name="Accent5 2 6 2" xfId="44" xr:uid="{00000000-0005-0000-0000-00002B000000}"/>
    <cellStyle name="Accent5 2 7" xfId="45" xr:uid="{00000000-0005-0000-0000-00002C000000}"/>
    <cellStyle name="Accent5 2 7 2" xfId="46" xr:uid="{00000000-0005-0000-0000-00002D000000}"/>
    <cellStyle name="Accent5 2 8" xfId="47" xr:uid="{00000000-0005-0000-0000-00002E000000}"/>
    <cellStyle name="Accent5 2 8 2" xfId="48" xr:uid="{00000000-0005-0000-0000-00002F000000}"/>
    <cellStyle name="Accent5 2 9" xfId="49" xr:uid="{00000000-0005-0000-0000-000030000000}"/>
    <cellStyle name="Accent5 2 9 2" xfId="50" xr:uid="{00000000-0005-0000-0000-000031000000}"/>
    <cellStyle name="Check Cell 2" xfId="51" xr:uid="{00000000-0005-0000-0000-000032000000}"/>
    <cellStyle name="Check Cell 2 2" xfId="52" xr:uid="{00000000-0005-0000-0000-000033000000}"/>
    <cellStyle name="Comma" xfId="53" builtinId="3"/>
    <cellStyle name="Comma 10" xfId="54" xr:uid="{00000000-0005-0000-0000-000035000000}"/>
    <cellStyle name="Comma 10 10" xfId="55" xr:uid="{00000000-0005-0000-0000-000036000000}"/>
    <cellStyle name="Comma 10 10 2" xfId="56" xr:uid="{00000000-0005-0000-0000-000037000000}"/>
    <cellStyle name="Comma 10 11" xfId="57" xr:uid="{00000000-0005-0000-0000-000038000000}"/>
    <cellStyle name="Comma 10 11 2" xfId="58" xr:uid="{00000000-0005-0000-0000-000039000000}"/>
    <cellStyle name="Comma 10 12" xfId="59" xr:uid="{00000000-0005-0000-0000-00003A000000}"/>
    <cellStyle name="Comma 10 12 2" xfId="60" xr:uid="{00000000-0005-0000-0000-00003B000000}"/>
    <cellStyle name="Comma 10 13" xfId="61" xr:uid="{00000000-0005-0000-0000-00003C000000}"/>
    <cellStyle name="Comma 10 13 2" xfId="62" xr:uid="{00000000-0005-0000-0000-00003D000000}"/>
    <cellStyle name="Comma 10 14" xfId="63" xr:uid="{00000000-0005-0000-0000-00003E000000}"/>
    <cellStyle name="Comma 10 14 2" xfId="64" xr:uid="{00000000-0005-0000-0000-00003F000000}"/>
    <cellStyle name="Comma 10 15" xfId="65" xr:uid="{00000000-0005-0000-0000-000040000000}"/>
    <cellStyle name="Comma 10 15 2" xfId="66" xr:uid="{00000000-0005-0000-0000-000041000000}"/>
    <cellStyle name="Comma 10 16" xfId="67" xr:uid="{00000000-0005-0000-0000-000042000000}"/>
    <cellStyle name="Comma 10 16 2" xfId="68" xr:uid="{00000000-0005-0000-0000-000043000000}"/>
    <cellStyle name="Comma 10 17" xfId="69" xr:uid="{00000000-0005-0000-0000-000044000000}"/>
    <cellStyle name="Comma 10 17 2" xfId="70" xr:uid="{00000000-0005-0000-0000-000045000000}"/>
    <cellStyle name="Comma 10 2" xfId="71" xr:uid="{00000000-0005-0000-0000-000046000000}"/>
    <cellStyle name="Comma 10 2 2" xfId="72" xr:uid="{00000000-0005-0000-0000-000047000000}"/>
    <cellStyle name="Comma 10 20" xfId="73" xr:uid="{00000000-0005-0000-0000-000048000000}"/>
    <cellStyle name="Comma 10 21" xfId="74" xr:uid="{00000000-0005-0000-0000-000049000000}"/>
    <cellStyle name="Comma 10 22" xfId="75" xr:uid="{00000000-0005-0000-0000-00004A000000}"/>
    <cellStyle name="Comma 10 3" xfId="76" xr:uid="{00000000-0005-0000-0000-00004B000000}"/>
    <cellStyle name="Comma 10 3 2" xfId="77" xr:uid="{00000000-0005-0000-0000-00004C000000}"/>
    <cellStyle name="Comma 10 4" xfId="78" xr:uid="{00000000-0005-0000-0000-00004D000000}"/>
    <cellStyle name="Comma 10 4 2" xfId="79" xr:uid="{00000000-0005-0000-0000-00004E000000}"/>
    <cellStyle name="Comma 10 5" xfId="80" xr:uid="{00000000-0005-0000-0000-00004F000000}"/>
    <cellStyle name="Comma 10 5 2" xfId="81" xr:uid="{00000000-0005-0000-0000-000050000000}"/>
    <cellStyle name="Comma 10 6" xfId="82" xr:uid="{00000000-0005-0000-0000-000051000000}"/>
    <cellStyle name="Comma 10 6 2" xfId="83" xr:uid="{00000000-0005-0000-0000-000052000000}"/>
    <cellStyle name="Comma 10 7" xfId="84" xr:uid="{00000000-0005-0000-0000-000053000000}"/>
    <cellStyle name="Comma 10 7 2" xfId="85" xr:uid="{00000000-0005-0000-0000-000054000000}"/>
    <cellStyle name="Comma 10 8" xfId="86" xr:uid="{00000000-0005-0000-0000-000055000000}"/>
    <cellStyle name="Comma 10 8 2" xfId="87" xr:uid="{00000000-0005-0000-0000-000056000000}"/>
    <cellStyle name="Comma 10 9" xfId="88" xr:uid="{00000000-0005-0000-0000-000057000000}"/>
    <cellStyle name="Comma 10 9 2" xfId="89" xr:uid="{00000000-0005-0000-0000-000058000000}"/>
    <cellStyle name="Comma 11" xfId="90" xr:uid="{00000000-0005-0000-0000-000059000000}"/>
    <cellStyle name="Comma 11 10" xfId="91" xr:uid="{00000000-0005-0000-0000-00005A000000}"/>
    <cellStyle name="Comma 11 10 2" xfId="92" xr:uid="{00000000-0005-0000-0000-00005B000000}"/>
    <cellStyle name="Comma 11 11" xfId="93" xr:uid="{00000000-0005-0000-0000-00005C000000}"/>
    <cellStyle name="Comma 11 11 2" xfId="94" xr:uid="{00000000-0005-0000-0000-00005D000000}"/>
    <cellStyle name="Comma 11 12" xfId="95" xr:uid="{00000000-0005-0000-0000-00005E000000}"/>
    <cellStyle name="Comma 11 12 2" xfId="96" xr:uid="{00000000-0005-0000-0000-00005F000000}"/>
    <cellStyle name="Comma 11 13" xfId="97" xr:uid="{00000000-0005-0000-0000-000060000000}"/>
    <cellStyle name="Comma 11 13 2" xfId="98" xr:uid="{00000000-0005-0000-0000-000061000000}"/>
    <cellStyle name="Comma 11 14" xfId="99" xr:uid="{00000000-0005-0000-0000-000062000000}"/>
    <cellStyle name="Comma 11 14 2" xfId="100" xr:uid="{00000000-0005-0000-0000-000063000000}"/>
    <cellStyle name="Comma 11 15" xfId="101" xr:uid="{00000000-0005-0000-0000-000064000000}"/>
    <cellStyle name="Comma 11 15 2" xfId="102" xr:uid="{00000000-0005-0000-0000-000065000000}"/>
    <cellStyle name="Comma 11 16" xfId="103" xr:uid="{00000000-0005-0000-0000-000066000000}"/>
    <cellStyle name="Comma 11 16 2" xfId="104" xr:uid="{00000000-0005-0000-0000-000067000000}"/>
    <cellStyle name="Comma 11 17" xfId="105" xr:uid="{00000000-0005-0000-0000-000068000000}"/>
    <cellStyle name="Comma 11 17 2" xfId="106" xr:uid="{00000000-0005-0000-0000-000069000000}"/>
    <cellStyle name="Comma 11 18" xfId="107" xr:uid="{00000000-0005-0000-0000-00006A000000}"/>
    <cellStyle name="Comma 11 2" xfId="108" xr:uid="{00000000-0005-0000-0000-00006B000000}"/>
    <cellStyle name="Comma 11 2 2" xfId="109" xr:uid="{00000000-0005-0000-0000-00006C000000}"/>
    <cellStyle name="Comma 11 2 2 2" xfId="110" xr:uid="{00000000-0005-0000-0000-00006D000000}"/>
    <cellStyle name="Comma 11 2 3" xfId="111" xr:uid="{00000000-0005-0000-0000-00006E000000}"/>
    <cellStyle name="Comma 11 3" xfId="112" xr:uid="{00000000-0005-0000-0000-00006F000000}"/>
    <cellStyle name="Comma 11 3 2" xfId="113" xr:uid="{00000000-0005-0000-0000-000070000000}"/>
    <cellStyle name="Comma 11 4" xfId="114" xr:uid="{00000000-0005-0000-0000-000071000000}"/>
    <cellStyle name="Comma 11 4 2" xfId="115" xr:uid="{00000000-0005-0000-0000-000072000000}"/>
    <cellStyle name="Comma 11 5" xfId="116" xr:uid="{00000000-0005-0000-0000-000073000000}"/>
    <cellStyle name="Comma 11 5 2" xfId="117" xr:uid="{00000000-0005-0000-0000-000074000000}"/>
    <cellStyle name="Comma 11 6" xfId="118" xr:uid="{00000000-0005-0000-0000-000075000000}"/>
    <cellStyle name="Comma 11 6 2" xfId="119" xr:uid="{00000000-0005-0000-0000-000076000000}"/>
    <cellStyle name="Comma 11 7" xfId="120" xr:uid="{00000000-0005-0000-0000-000077000000}"/>
    <cellStyle name="Comma 11 7 2" xfId="121" xr:uid="{00000000-0005-0000-0000-000078000000}"/>
    <cellStyle name="Comma 11 8" xfId="122" xr:uid="{00000000-0005-0000-0000-000079000000}"/>
    <cellStyle name="Comma 11 8 2" xfId="123" xr:uid="{00000000-0005-0000-0000-00007A000000}"/>
    <cellStyle name="Comma 11 9" xfId="124" xr:uid="{00000000-0005-0000-0000-00007B000000}"/>
    <cellStyle name="Comma 11 9 2" xfId="125" xr:uid="{00000000-0005-0000-0000-00007C000000}"/>
    <cellStyle name="Comma 12" xfId="126" xr:uid="{00000000-0005-0000-0000-00007D000000}"/>
    <cellStyle name="Comma 12 2" xfId="127" xr:uid="{00000000-0005-0000-0000-00007E000000}"/>
    <cellStyle name="Comma 13" xfId="128" xr:uid="{00000000-0005-0000-0000-00007F000000}"/>
    <cellStyle name="Comma 13 2" xfId="129" xr:uid="{00000000-0005-0000-0000-000080000000}"/>
    <cellStyle name="Comma 14" xfId="130" xr:uid="{00000000-0005-0000-0000-000081000000}"/>
    <cellStyle name="Comma 14 2" xfId="131" xr:uid="{00000000-0005-0000-0000-000082000000}"/>
    <cellStyle name="Comma 15" xfId="132" xr:uid="{00000000-0005-0000-0000-000083000000}"/>
    <cellStyle name="Comma 15 2" xfId="133" xr:uid="{00000000-0005-0000-0000-000084000000}"/>
    <cellStyle name="Comma 16" xfId="134" xr:uid="{00000000-0005-0000-0000-000085000000}"/>
    <cellStyle name="Comma 16 10" xfId="135" xr:uid="{00000000-0005-0000-0000-000086000000}"/>
    <cellStyle name="Comma 16 10 2" xfId="136" xr:uid="{00000000-0005-0000-0000-000087000000}"/>
    <cellStyle name="Comma 16 11" xfId="137" xr:uid="{00000000-0005-0000-0000-000088000000}"/>
    <cellStyle name="Comma 16 11 2" xfId="138" xr:uid="{00000000-0005-0000-0000-000089000000}"/>
    <cellStyle name="Comma 16 12" xfId="139" xr:uid="{00000000-0005-0000-0000-00008A000000}"/>
    <cellStyle name="Comma 16 12 2" xfId="140" xr:uid="{00000000-0005-0000-0000-00008B000000}"/>
    <cellStyle name="Comma 16 13" xfId="141" xr:uid="{00000000-0005-0000-0000-00008C000000}"/>
    <cellStyle name="Comma 16 13 2" xfId="142" xr:uid="{00000000-0005-0000-0000-00008D000000}"/>
    <cellStyle name="Comma 16 14" xfId="143" xr:uid="{00000000-0005-0000-0000-00008E000000}"/>
    <cellStyle name="Comma 16 14 2" xfId="144" xr:uid="{00000000-0005-0000-0000-00008F000000}"/>
    <cellStyle name="Comma 16 15" xfId="145" xr:uid="{00000000-0005-0000-0000-000090000000}"/>
    <cellStyle name="Comma 16 15 2" xfId="146" xr:uid="{00000000-0005-0000-0000-000091000000}"/>
    <cellStyle name="Comma 16 16" xfId="147" xr:uid="{00000000-0005-0000-0000-000092000000}"/>
    <cellStyle name="Comma 16 16 2" xfId="148" xr:uid="{00000000-0005-0000-0000-000093000000}"/>
    <cellStyle name="Comma 16 17" xfId="149" xr:uid="{00000000-0005-0000-0000-000094000000}"/>
    <cellStyle name="Comma 16 2" xfId="150" xr:uid="{00000000-0005-0000-0000-000095000000}"/>
    <cellStyle name="Comma 16 2 2" xfId="151" xr:uid="{00000000-0005-0000-0000-000096000000}"/>
    <cellStyle name="Comma 16 3" xfId="152" xr:uid="{00000000-0005-0000-0000-000097000000}"/>
    <cellStyle name="Comma 16 3 2" xfId="153" xr:uid="{00000000-0005-0000-0000-000098000000}"/>
    <cellStyle name="Comma 16 4" xfId="154" xr:uid="{00000000-0005-0000-0000-000099000000}"/>
    <cellStyle name="Comma 16 4 2" xfId="155" xr:uid="{00000000-0005-0000-0000-00009A000000}"/>
    <cellStyle name="Comma 16 5" xfId="156" xr:uid="{00000000-0005-0000-0000-00009B000000}"/>
    <cellStyle name="Comma 16 5 2" xfId="157" xr:uid="{00000000-0005-0000-0000-00009C000000}"/>
    <cellStyle name="Comma 16 6" xfId="158" xr:uid="{00000000-0005-0000-0000-00009D000000}"/>
    <cellStyle name="Comma 16 6 2" xfId="159" xr:uid="{00000000-0005-0000-0000-00009E000000}"/>
    <cellStyle name="Comma 16 7" xfId="160" xr:uid="{00000000-0005-0000-0000-00009F000000}"/>
    <cellStyle name="Comma 16 7 2" xfId="161" xr:uid="{00000000-0005-0000-0000-0000A0000000}"/>
    <cellStyle name="Comma 16 8" xfId="162" xr:uid="{00000000-0005-0000-0000-0000A1000000}"/>
    <cellStyle name="Comma 16 8 2" xfId="163" xr:uid="{00000000-0005-0000-0000-0000A2000000}"/>
    <cellStyle name="Comma 16 9" xfId="164" xr:uid="{00000000-0005-0000-0000-0000A3000000}"/>
    <cellStyle name="Comma 16 9 2" xfId="165" xr:uid="{00000000-0005-0000-0000-0000A4000000}"/>
    <cellStyle name="Comma 17" xfId="166" xr:uid="{00000000-0005-0000-0000-0000A5000000}"/>
    <cellStyle name="Comma 17 10" xfId="167" xr:uid="{00000000-0005-0000-0000-0000A6000000}"/>
    <cellStyle name="Comma 17 10 2" xfId="168" xr:uid="{00000000-0005-0000-0000-0000A7000000}"/>
    <cellStyle name="Comma 17 11" xfId="169" xr:uid="{00000000-0005-0000-0000-0000A8000000}"/>
    <cellStyle name="Comma 17 2" xfId="170" xr:uid="{00000000-0005-0000-0000-0000A9000000}"/>
    <cellStyle name="Comma 17 2 2" xfId="171" xr:uid="{00000000-0005-0000-0000-0000AA000000}"/>
    <cellStyle name="Comma 17 3" xfId="172" xr:uid="{00000000-0005-0000-0000-0000AB000000}"/>
    <cellStyle name="Comma 17 3 2" xfId="173" xr:uid="{00000000-0005-0000-0000-0000AC000000}"/>
    <cellStyle name="Comma 17 4" xfId="174" xr:uid="{00000000-0005-0000-0000-0000AD000000}"/>
    <cellStyle name="Comma 17 4 2" xfId="175" xr:uid="{00000000-0005-0000-0000-0000AE000000}"/>
    <cellStyle name="Comma 17 5" xfId="176" xr:uid="{00000000-0005-0000-0000-0000AF000000}"/>
    <cellStyle name="Comma 17 5 2" xfId="177" xr:uid="{00000000-0005-0000-0000-0000B0000000}"/>
    <cellStyle name="Comma 17 6" xfId="178" xr:uid="{00000000-0005-0000-0000-0000B1000000}"/>
    <cellStyle name="Comma 17 6 2" xfId="179" xr:uid="{00000000-0005-0000-0000-0000B2000000}"/>
    <cellStyle name="Comma 17 7" xfId="180" xr:uid="{00000000-0005-0000-0000-0000B3000000}"/>
    <cellStyle name="Comma 17 7 2" xfId="181" xr:uid="{00000000-0005-0000-0000-0000B4000000}"/>
    <cellStyle name="Comma 17 8" xfId="182" xr:uid="{00000000-0005-0000-0000-0000B5000000}"/>
    <cellStyle name="Comma 17 8 2" xfId="183" xr:uid="{00000000-0005-0000-0000-0000B6000000}"/>
    <cellStyle name="Comma 17 9" xfId="184" xr:uid="{00000000-0005-0000-0000-0000B7000000}"/>
    <cellStyle name="Comma 17 9 2" xfId="185" xr:uid="{00000000-0005-0000-0000-0000B8000000}"/>
    <cellStyle name="Comma 18" xfId="186" xr:uid="{00000000-0005-0000-0000-0000B9000000}"/>
    <cellStyle name="Comma 18 2" xfId="187" xr:uid="{00000000-0005-0000-0000-0000BA000000}"/>
    <cellStyle name="Comma 18 3" xfId="188" xr:uid="{00000000-0005-0000-0000-0000BB000000}"/>
    <cellStyle name="Comma 18 3 2" xfId="189" xr:uid="{00000000-0005-0000-0000-0000BC000000}"/>
    <cellStyle name="Comma 19" xfId="190" xr:uid="{00000000-0005-0000-0000-0000BD000000}"/>
    <cellStyle name="Comma 19 2" xfId="191" xr:uid="{00000000-0005-0000-0000-0000BE000000}"/>
    <cellStyle name="Comma 2" xfId="192" xr:uid="{00000000-0005-0000-0000-0000BF000000}"/>
    <cellStyle name="Comma 2 10" xfId="193" xr:uid="{00000000-0005-0000-0000-0000C0000000}"/>
    <cellStyle name="Comma 2 10 2" xfId="194" xr:uid="{00000000-0005-0000-0000-0000C1000000}"/>
    <cellStyle name="Comma 2 11" xfId="195" xr:uid="{00000000-0005-0000-0000-0000C2000000}"/>
    <cellStyle name="Comma 2 11 2" xfId="196" xr:uid="{00000000-0005-0000-0000-0000C3000000}"/>
    <cellStyle name="Comma 2 12" xfId="197" xr:uid="{00000000-0005-0000-0000-0000C4000000}"/>
    <cellStyle name="Comma 2 12 2" xfId="198" xr:uid="{00000000-0005-0000-0000-0000C5000000}"/>
    <cellStyle name="Comma 2 13" xfId="199" xr:uid="{00000000-0005-0000-0000-0000C6000000}"/>
    <cellStyle name="Comma 2 13 2" xfId="200" xr:uid="{00000000-0005-0000-0000-0000C7000000}"/>
    <cellStyle name="Comma 2 14" xfId="201" xr:uid="{00000000-0005-0000-0000-0000C8000000}"/>
    <cellStyle name="Comma 2 14 2" xfId="202" xr:uid="{00000000-0005-0000-0000-0000C9000000}"/>
    <cellStyle name="Comma 2 15" xfId="203" xr:uid="{00000000-0005-0000-0000-0000CA000000}"/>
    <cellStyle name="Comma 2 15 2" xfId="204" xr:uid="{00000000-0005-0000-0000-0000CB000000}"/>
    <cellStyle name="Comma 2 16" xfId="205" xr:uid="{00000000-0005-0000-0000-0000CC000000}"/>
    <cellStyle name="Comma 2 16 2" xfId="206" xr:uid="{00000000-0005-0000-0000-0000CD000000}"/>
    <cellStyle name="Comma 2 17" xfId="207" xr:uid="{00000000-0005-0000-0000-0000CE000000}"/>
    <cellStyle name="Comma 2 17 2" xfId="208" xr:uid="{00000000-0005-0000-0000-0000CF000000}"/>
    <cellStyle name="Comma 2 18" xfId="209" xr:uid="{00000000-0005-0000-0000-0000D0000000}"/>
    <cellStyle name="Comma 2 18 2" xfId="210" xr:uid="{00000000-0005-0000-0000-0000D1000000}"/>
    <cellStyle name="Comma 2 19" xfId="211" xr:uid="{00000000-0005-0000-0000-0000D2000000}"/>
    <cellStyle name="Comma 2 19 2" xfId="212" xr:uid="{00000000-0005-0000-0000-0000D3000000}"/>
    <cellStyle name="Comma 2 2" xfId="213" xr:uid="{00000000-0005-0000-0000-0000D4000000}"/>
    <cellStyle name="Comma 2 2 2" xfId="214" xr:uid="{00000000-0005-0000-0000-0000D5000000}"/>
    <cellStyle name="Comma 2 20" xfId="215" xr:uid="{00000000-0005-0000-0000-0000D6000000}"/>
    <cellStyle name="Comma 2 20 2" xfId="216" xr:uid="{00000000-0005-0000-0000-0000D7000000}"/>
    <cellStyle name="Comma 2 21" xfId="217" xr:uid="{00000000-0005-0000-0000-0000D8000000}"/>
    <cellStyle name="Comma 2 21 2" xfId="218" xr:uid="{00000000-0005-0000-0000-0000D9000000}"/>
    <cellStyle name="Comma 2 22" xfId="219" xr:uid="{00000000-0005-0000-0000-0000DA000000}"/>
    <cellStyle name="Comma 2 22 2" xfId="220" xr:uid="{00000000-0005-0000-0000-0000DB000000}"/>
    <cellStyle name="Comma 2 23" xfId="221" xr:uid="{00000000-0005-0000-0000-0000DC000000}"/>
    <cellStyle name="Comma 2 23 2" xfId="222" xr:uid="{00000000-0005-0000-0000-0000DD000000}"/>
    <cellStyle name="Comma 2 24" xfId="223" xr:uid="{00000000-0005-0000-0000-0000DE000000}"/>
    <cellStyle name="Comma 2 24 2" xfId="224" xr:uid="{00000000-0005-0000-0000-0000DF000000}"/>
    <cellStyle name="Comma 2 25" xfId="225" xr:uid="{00000000-0005-0000-0000-0000E0000000}"/>
    <cellStyle name="Comma 2 25 2" xfId="226" xr:uid="{00000000-0005-0000-0000-0000E1000000}"/>
    <cellStyle name="Comma 2 26" xfId="227" xr:uid="{00000000-0005-0000-0000-0000E2000000}"/>
    <cellStyle name="Comma 2 26 2" xfId="228" xr:uid="{00000000-0005-0000-0000-0000E3000000}"/>
    <cellStyle name="Comma 2 27" xfId="229" xr:uid="{00000000-0005-0000-0000-0000E4000000}"/>
    <cellStyle name="Comma 2 28" xfId="230" xr:uid="{00000000-0005-0000-0000-0000E5000000}"/>
    <cellStyle name="Comma 2 29" xfId="231" xr:uid="{00000000-0005-0000-0000-0000E6000000}"/>
    <cellStyle name="Comma 2 3" xfId="232" xr:uid="{00000000-0005-0000-0000-0000E7000000}"/>
    <cellStyle name="Comma 2 3 2" xfId="233" xr:uid="{00000000-0005-0000-0000-0000E8000000}"/>
    <cellStyle name="Comma 2 4" xfId="234" xr:uid="{00000000-0005-0000-0000-0000E9000000}"/>
    <cellStyle name="Comma 2 4 2" xfId="235" xr:uid="{00000000-0005-0000-0000-0000EA000000}"/>
    <cellStyle name="Comma 2 5" xfId="236" xr:uid="{00000000-0005-0000-0000-0000EB000000}"/>
    <cellStyle name="Comma 2 5 2" xfId="237" xr:uid="{00000000-0005-0000-0000-0000EC000000}"/>
    <cellStyle name="Comma 2 6" xfId="238" xr:uid="{00000000-0005-0000-0000-0000ED000000}"/>
    <cellStyle name="Comma 2 6 2" xfId="239" xr:uid="{00000000-0005-0000-0000-0000EE000000}"/>
    <cellStyle name="Comma 2 7" xfId="240" xr:uid="{00000000-0005-0000-0000-0000EF000000}"/>
    <cellStyle name="Comma 2 7 2" xfId="241" xr:uid="{00000000-0005-0000-0000-0000F0000000}"/>
    <cellStyle name="Comma 2 8" xfId="242" xr:uid="{00000000-0005-0000-0000-0000F1000000}"/>
    <cellStyle name="Comma 2 8 2" xfId="243" xr:uid="{00000000-0005-0000-0000-0000F2000000}"/>
    <cellStyle name="Comma 2 9" xfId="244" xr:uid="{00000000-0005-0000-0000-0000F3000000}"/>
    <cellStyle name="Comma 2 9 2" xfId="245" xr:uid="{00000000-0005-0000-0000-0000F4000000}"/>
    <cellStyle name="Comma 20" xfId="246" xr:uid="{00000000-0005-0000-0000-0000F5000000}"/>
    <cellStyle name="Comma 21" xfId="247" xr:uid="{00000000-0005-0000-0000-0000F6000000}"/>
    <cellStyle name="Comma 21 2" xfId="248" xr:uid="{00000000-0005-0000-0000-0000F7000000}"/>
    <cellStyle name="Comma 22" xfId="249" xr:uid="{00000000-0005-0000-0000-0000F8000000}"/>
    <cellStyle name="Comma 24" xfId="250" xr:uid="{00000000-0005-0000-0000-0000F9000000}"/>
    <cellStyle name="Comma 24 2" xfId="251" xr:uid="{00000000-0005-0000-0000-0000FA000000}"/>
    <cellStyle name="Comma 3" xfId="252" xr:uid="{00000000-0005-0000-0000-0000FB000000}"/>
    <cellStyle name="Comma 3 10" xfId="253" xr:uid="{00000000-0005-0000-0000-0000FC000000}"/>
    <cellStyle name="Comma 3 10 2" xfId="254" xr:uid="{00000000-0005-0000-0000-0000FD000000}"/>
    <cellStyle name="Comma 3 11" xfId="255" xr:uid="{00000000-0005-0000-0000-0000FE000000}"/>
    <cellStyle name="Comma 3 11 2" xfId="256" xr:uid="{00000000-0005-0000-0000-0000FF000000}"/>
    <cellStyle name="Comma 3 12" xfId="257" xr:uid="{00000000-0005-0000-0000-000000010000}"/>
    <cellStyle name="Comma 3 12 2" xfId="258" xr:uid="{00000000-0005-0000-0000-000001010000}"/>
    <cellStyle name="Comma 3 13" xfId="259" xr:uid="{00000000-0005-0000-0000-000002010000}"/>
    <cellStyle name="Comma 3 13 2" xfId="260" xr:uid="{00000000-0005-0000-0000-000003010000}"/>
    <cellStyle name="Comma 3 14" xfId="261" xr:uid="{00000000-0005-0000-0000-000004010000}"/>
    <cellStyle name="Comma 3 14 2" xfId="262" xr:uid="{00000000-0005-0000-0000-000005010000}"/>
    <cellStyle name="Comma 3 15" xfId="263" xr:uid="{00000000-0005-0000-0000-000006010000}"/>
    <cellStyle name="Comma 3 15 2" xfId="264" xr:uid="{00000000-0005-0000-0000-000007010000}"/>
    <cellStyle name="Comma 3 16" xfId="265" xr:uid="{00000000-0005-0000-0000-000008010000}"/>
    <cellStyle name="Comma 3 16 2" xfId="266" xr:uid="{00000000-0005-0000-0000-000009010000}"/>
    <cellStyle name="Comma 3 17" xfId="267" xr:uid="{00000000-0005-0000-0000-00000A010000}"/>
    <cellStyle name="Comma 3 17 2" xfId="268" xr:uid="{00000000-0005-0000-0000-00000B010000}"/>
    <cellStyle name="Comma 3 18" xfId="269" xr:uid="{00000000-0005-0000-0000-00000C010000}"/>
    <cellStyle name="Comma 3 18 2" xfId="270" xr:uid="{00000000-0005-0000-0000-00000D010000}"/>
    <cellStyle name="Comma 3 19" xfId="271" xr:uid="{00000000-0005-0000-0000-00000E010000}"/>
    <cellStyle name="Comma 3 19 2" xfId="272" xr:uid="{00000000-0005-0000-0000-00000F010000}"/>
    <cellStyle name="Comma 3 2" xfId="273" xr:uid="{00000000-0005-0000-0000-000010010000}"/>
    <cellStyle name="Comma 3 2 2" xfId="274" xr:uid="{00000000-0005-0000-0000-000011010000}"/>
    <cellStyle name="Comma 3 20" xfId="275" xr:uid="{00000000-0005-0000-0000-000012010000}"/>
    <cellStyle name="Comma 3 20 2" xfId="276" xr:uid="{00000000-0005-0000-0000-000013010000}"/>
    <cellStyle name="Comma 3 21" xfId="277" xr:uid="{00000000-0005-0000-0000-000014010000}"/>
    <cellStyle name="Comma 3 22" xfId="278" xr:uid="{00000000-0005-0000-0000-000015010000}"/>
    <cellStyle name="Comma 3 3" xfId="279" xr:uid="{00000000-0005-0000-0000-000016010000}"/>
    <cellStyle name="Comma 3 3 2" xfId="280" xr:uid="{00000000-0005-0000-0000-000017010000}"/>
    <cellStyle name="Comma 3 4" xfId="281" xr:uid="{00000000-0005-0000-0000-000018010000}"/>
    <cellStyle name="Comma 3 4 2" xfId="282" xr:uid="{00000000-0005-0000-0000-000019010000}"/>
    <cellStyle name="Comma 3 5" xfId="283" xr:uid="{00000000-0005-0000-0000-00001A010000}"/>
    <cellStyle name="Comma 3 5 2" xfId="284" xr:uid="{00000000-0005-0000-0000-00001B010000}"/>
    <cellStyle name="Comma 3 6" xfId="285" xr:uid="{00000000-0005-0000-0000-00001C010000}"/>
    <cellStyle name="Comma 3 6 2" xfId="286" xr:uid="{00000000-0005-0000-0000-00001D010000}"/>
    <cellStyle name="Comma 3 7" xfId="287" xr:uid="{00000000-0005-0000-0000-00001E010000}"/>
    <cellStyle name="Comma 3 7 2" xfId="288" xr:uid="{00000000-0005-0000-0000-00001F010000}"/>
    <cellStyle name="Comma 3 8" xfId="289" xr:uid="{00000000-0005-0000-0000-000020010000}"/>
    <cellStyle name="Comma 3 8 2" xfId="290" xr:uid="{00000000-0005-0000-0000-000021010000}"/>
    <cellStyle name="Comma 3 9" xfId="291" xr:uid="{00000000-0005-0000-0000-000022010000}"/>
    <cellStyle name="Comma 3 9 2" xfId="292" xr:uid="{00000000-0005-0000-0000-000023010000}"/>
    <cellStyle name="Comma 4" xfId="293" xr:uid="{00000000-0005-0000-0000-000024010000}"/>
    <cellStyle name="Comma 4 2" xfId="294" xr:uid="{00000000-0005-0000-0000-000025010000}"/>
    <cellStyle name="Comma 4 3" xfId="295" xr:uid="{00000000-0005-0000-0000-000026010000}"/>
    <cellStyle name="Comma 5" xfId="296" xr:uid="{00000000-0005-0000-0000-000027010000}"/>
    <cellStyle name="Comma 5 10" xfId="297" xr:uid="{00000000-0005-0000-0000-000028010000}"/>
    <cellStyle name="Comma 5 10 2" xfId="298" xr:uid="{00000000-0005-0000-0000-000029010000}"/>
    <cellStyle name="Comma 5 11" xfId="299" xr:uid="{00000000-0005-0000-0000-00002A010000}"/>
    <cellStyle name="Comma 5 11 2" xfId="300" xr:uid="{00000000-0005-0000-0000-00002B010000}"/>
    <cellStyle name="Comma 5 12" xfId="301" xr:uid="{00000000-0005-0000-0000-00002C010000}"/>
    <cellStyle name="Comma 5 12 2" xfId="302" xr:uid="{00000000-0005-0000-0000-00002D010000}"/>
    <cellStyle name="Comma 5 13" xfId="303" xr:uid="{00000000-0005-0000-0000-00002E010000}"/>
    <cellStyle name="Comma 5 13 2" xfId="304" xr:uid="{00000000-0005-0000-0000-00002F010000}"/>
    <cellStyle name="Comma 5 14" xfId="305" xr:uid="{00000000-0005-0000-0000-000030010000}"/>
    <cellStyle name="Comma 5 14 2" xfId="306" xr:uid="{00000000-0005-0000-0000-000031010000}"/>
    <cellStyle name="Comma 5 15" xfId="307" xr:uid="{00000000-0005-0000-0000-000032010000}"/>
    <cellStyle name="Comma 5 15 2" xfId="308" xr:uid="{00000000-0005-0000-0000-000033010000}"/>
    <cellStyle name="Comma 5 16" xfId="309" xr:uid="{00000000-0005-0000-0000-000034010000}"/>
    <cellStyle name="Comma 5 16 2" xfId="310" xr:uid="{00000000-0005-0000-0000-000035010000}"/>
    <cellStyle name="Comma 5 17" xfId="311" xr:uid="{00000000-0005-0000-0000-000036010000}"/>
    <cellStyle name="Comma 5 17 2" xfId="312" xr:uid="{00000000-0005-0000-0000-000037010000}"/>
    <cellStyle name="Comma 5 18" xfId="313" xr:uid="{00000000-0005-0000-0000-000038010000}"/>
    <cellStyle name="Comma 5 18 2" xfId="314" xr:uid="{00000000-0005-0000-0000-000039010000}"/>
    <cellStyle name="Comma 5 19" xfId="315" xr:uid="{00000000-0005-0000-0000-00003A010000}"/>
    <cellStyle name="Comma 5 19 2" xfId="316" xr:uid="{00000000-0005-0000-0000-00003B010000}"/>
    <cellStyle name="Comma 5 2" xfId="317" xr:uid="{00000000-0005-0000-0000-00003C010000}"/>
    <cellStyle name="Comma 5 2 2" xfId="318" xr:uid="{00000000-0005-0000-0000-00003D010000}"/>
    <cellStyle name="Comma 5 20" xfId="319" xr:uid="{00000000-0005-0000-0000-00003E010000}"/>
    <cellStyle name="Comma 5 20 2" xfId="320" xr:uid="{00000000-0005-0000-0000-00003F010000}"/>
    <cellStyle name="Comma 5 21" xfId="321" xr:uid="{00000000-0005-0000-0000-000040010000}"/>
    <cellStyle name="Comma 5 22" xfId="322" xr:uid="{00000000-0005-0000-0000-000041010000}"/>
    <cellStyle name="Comma 5 3" xfId="323" xr:uid="{00000000-0005-0000-0000-000042010000}"/>
    <cellStyle name="Comma 5 3 2" xfId="324" xr:uid="{00000000-0005-0000-0000-000043010000}"/>
    <cellStyle name="Comma 5 4" xfId="325" xr:uid="{00000000-0005-0000-0000-000044010000}"/>
    <cellStyle name="Comma 5 4 2" xfId="326" xr:uid="{00000000-0005-0000-0000-000045010000}"/>
    <cellStyle name="Comma 5 5" xfId="327" xr:uid="{00000000-0005-0000-0000-000046010000}"/>
    <cellStyle name="Comma 5 5 2" xfId="328" xr:uid="{00000000-0005-0000-0000-000047010000}"/>
    <cellStyle name="Comma 5 6" xfId="329" xr:uid="{00000000-0005-0000-0000-000048010000}"/>
    <cellStyle name="Comma 5 6 2" xfId="330" xr:uid="{00000000-0005-0000-0000-000049010000}"/>
    <cellStyle name="Comma 5 7" xfId="331" xr:uid="{00000000-0005-0000-0000-00004A010000}"/>
    <cellStyle name="Comma 5 7 2" xfId="332" xr:uid="{00000000-0005-0000-0000-00004B010000}"/>
    <cellStyle name="Comma 5 8" xfId="333" xr:uid="{00000000-0005-0000-0000-00004C010000}"/>
    <cellStyle name="Comma 5 8 2" xfId="334" xr:uid="{00000000-0005-0000-0000-00004D010000}"/>
    <cellStyle name="Comma 5 9" xfId="335" xr:uid="{00000000-0005-0000-0000-00004E010000}"/>
    <cellStyle name="Comma 5 9 2" xfId="336" xr:uid="{00000000-0005-0000-0000-00004F010000}"/>
    <cellStyle name="Comma 6" xfId="337" xr:uid="{00000000-0005-0000-0000-000050010000}"/>
    <cellStyle name="Comma 6 10" xfId="338" xr:uid="{00000000-0005-0000-0000-000051010000}"/>
    <cellStyle name="Comma 6 10 2" xfId="339" xr:uid="{00000000-0005-0000-0000-000052010000}"/>
    <cellStyle name="Comma 6 11" xfId="340" xr:uid="{00000000-0005-0000-0000-000053010000}"/>
    <cellStyle name="Comma 6 11 2" xfId="341" xr:uid="{00000000-0005-0000-0000-000054010000}"/>
    <cellStyle name="Comma 6 12" xfId="342" xr:uid="{00000000-0005-0000-0000-000055010000}"/>
    <cellStyle name="Comma 6 12 2" xfId="343" xr:uid="{00000000-0005-0000-0000-000056010000}"/>
    <cellStyle name="Comma 6 13" xfId="344" xr:uid="{00000000-0005-0000-0000-000057010000}"/>
    <cellStyle name="Comma 6 13 2" xfId="345" xr:uid="{00000000-0005-0000-0000-000058010000}"/>
    <cellStyle name="Comma 6 14" xfId="346" xr:uid="{00000000-0005-0000-0000-000059010000}"/>
    <cellStyle name="Comma 6 14 2" xfId="347" xr:uid="{00000000-0005-0000-0000-00005A010000}"/>
    <cellStyle name="Comma 6 15" xfId="348" xr:uid="{00000000-0005-0000-0000-00005B010000}"/>
    <cellStyle name="Comma 6 15 2" xfId="349" xr:uid="{00000000-0005-0000-0000-00005C010000}"/>
    <cellStyle name="Comma 6 16" xfId="350" xr:uid="{00000000-0005-0000-0000-00005D010000}"/>
    <cellStyle name="Comma 6 16 2" xfId="351" xr:uid="{00000000-0005-0000-0000-00005E010000}"/>
    <cellStyle name="Comma 6 17" xfId="352" xr:uid="{00000000-0005-0000-0000-00005F010000}"/>
    <cellStyle name="Comma 6 17 2" xfId="353" xr:uid="{00000000-0005-0000-0000-000060010000}"/>
    <cellStyle name="Comma 6 18" xfId="354" xr:uid="{00000000-0005-0000-0000-000061010000}"/>
    <cellStyle name="Comma 6 18 2" xfId="355" xr:uid="{00000000-0005-0000-0000-000062010000}"/>
    <cellStyle name="Comma 6 19" xfId="356" xr:uid="{00000000-0005-0000-0000-000063010000}"/>
    <cellStyle name="Comma 6 19 2" xfId="357" xr:uid="{00000000-0005-0000-0000-000064010000}"/>
    <cellStyle name="Comma 6 2" xfId="358" xr:uid="{00000000-0005-0000-0000-000065010000}"/>
    <cellStyle name="Comma 6 2 2" xfId="359" xr:uid="{00000000-0005-0000-0000-000066010000}"/>
    <cellStyle name="Comma 6 20" xfId="360" xr:uid="{00000000-0005-0000-0000-000067010000}"/>
    <cellStyle name="Comma 6 21" xfId="361" xr:uid="{00000000-0005-0000-0000-000068010000}"/>
    <cellStyle name="Comma 6 22" xfId="362" xr:uid="{00000000-0005-0000-0000-000069010000}"/>
    <cellStyle name="Comma 6 3" xfId="363" xr:uid="{00000000-0005-0000-0000-00006A010000}"/>
    <cellStyle name="Comma 6 3 2" xfId="364" xr:uid="{00000000-0005-0000-0000-00006B010000}"/>
    <cellStyle name="Comma 6 4" xfId="365" xr:uid="{00000000-0005-0000-0000-00006C010000}"/>
    <cellStyle name="Comma 6 4 2" xfId="366" xr:uid="{00000000-0005-0000-0000-00006D010000}"/>
    <cellStyle name="Comma 6 5" xfId="367" xr:uid="{00000000-0005-0000-0000-00006E010000}"/>
    <cellStyle name="Comma 6 5 2" xfId="368" xr:uid="{00000000-0005-0000-0000-00006F010000}"/>
    <cellStyle name="Comma 6 6" xfId="369" xr:uid="{00000000-0005-0000-0000-000070010000}"/>
    <cellStyle name="Comma 6 6 2" xfId="370" xr:uid="{00000000-0005-0000-0000-000071010000}"/>
    <cellStyle name="Comma 6 7" xfId="371" xr:uid="{00000000-0005-0000-0000-000072010000}"/>
    <cellStyle name="Comma 6 7 2" xfId="372" xr:uid="{00000000-0005-0000-0000-000073010000}"/>
    <cellStyle name="Comma 6 8" xfId="373" xr:uid="{00000000-0005-0000-0000-000074010000}"/>
    <cellStyle name="Comma 6 8 2" xfId="374" xr:uid="{00000000-0005-0000-0000-000075010000}"/>
    <cellStyle name="Comma 6 9" xfId="375" xr:uid="{00000000-0005-0000-0000-000076010000}"/>
    <cellStyle name="Comma 6 9 2" xfId="376" xr:uid="{00000000-0005-0000-0000-000077010000}"/>
    <cellStyle name="Comma 7" xfId="377" xr:uid="{00000000-0005-0000-0000-000078010000}"/>
    <cellStyle name="Comma 7 10" xfId="378" xr:uid="{00000000-0005-0000-0000-000079010000}"/>
    <cellStyle name="Comma 7 10 2" xfId="379" xr:uid="{00000000-0005-0000-0000-00007A010000}"/>
    <cellStyle name="Comma 7 11" xfId="380" xr:uid="{00000000-0005-0000-0000-00007B010000}"/>
    <cellStyle name="Comma 7 11 2" xfId="381" xr:uid="{00000000-0005-0000-0000-00007C010000}"/>
    <cellStyle name="Comma 7 12" xfId="382" xr:uid="{00000000-0005-0000-0000-00007D010000}"/>
    <cellStyle name="Comma 7 12 2" xfId="383" xr:uid="{00000000-0005-0000-0000-00007E010000}"/>
    <cellStyle name="Comma 7 13" xfId="384" xr:uid="{00000000-0005-0000-0000-00007F010000}"/>
    <cellStyle name="Comma 7 13 2" xfId="385" xr:uid="{00000000-0005-0000-0000-000080010000}"/>
    <cellStyle name="Comma 7 14" xfId="386" xr:uid="{00000000-0005-0000-0000-000081010000}"/>
    <cellStyle name="Comma 7 14 2" xfId="387" xr:uid="{00000000-0005-0000-0000-000082010000}"/>
    <cellStyle name="Comma 7 15" xfId="388" xr:uid="{00000000-0005-0000-0000-000083010000}"/>
    <cellStyle name="Comma 7 15 2" xfId="389" xr:uid="{00000000-0005-0000-0000-000084010000}"/>
    <cellStyle name="Comma 7 16" xfId="390" xr:uid="{00000000-0005-0000-0000-000085010000}"/>
    <cellStyle name="Comma 7 16 2" xfId="391" xr:uid="{00000000-0005-0000-0000-000086010000}"/>
    <cellStyle name="Comma 7 17" xfId="392" xr:uid="{00000000-0005-0000-0000-000087010000}"/>
    <cellStyle name="Comma 7 17 2" xfId="393" xr:uid="{00000000-0005-0000-0000-000088010000}"/>
    <cellStyle name="Comma 7 18" xfId="394" xr:uid="{00000000-0005-0000-0000-000089010000}"/>
    <cellStyle name="Comma 7 18 2" xfId="395" xr:uid="{00000000-0005-0000-0000-00008A010000}"/>
    <cellStyle name="Comma 7 19" xfId="396" xr:uid="{00000000-0005-0000-0000-00008B010000}"/>
    <cellStyle name="Comma 7 19 2" xfId="397" xr:uid="{00000000-0005-0000-0000-00008C010000}"/>
    <cellStyle name="Comma 7 2" xfId="398" xr:uid="{00000000-0005-0000-0000-00008D010000}"/>
    <cellStyle name="Comma 7 2 2" xfId="399" xr:uid="{00000000-0005-0000-0000-00008E010000}"/>
    <cellStyle name="Comma 7 20" xfId="400" xr:uid="{00000000-0005-0000-0000-00008F010000}"/>
    <cellStyle name="Comma 7 3" xfId="401" xr:uid="{00000000-0005-0000-0000-000090010000}"/>
    <cellStyle name="Comma 7 3 2" xfId="402" xr:uid="{00000000-0005-0000-0000-000091010000}"/>
    <cellStyle name="Comma 7 4" xfId="403" xr:uid="{00000000-0005-0000-0000-000092010000}"/>
    <cellStyle name="Comma 7 4 2" xfId="404" xr:uid="{00000000-0005-0000-0000-000093010000}"/>
    <cellStyle name="Comma 7 5" xfId="405" xr:uid="{00000000-0005-0000-0000-000094010000}"/>
    <cellStyle name="Comma 7 5 2" xfId="406" xr:uid="{00000000-0005-0000-0000-000095010000}"/>
    <cellStyle name="Comma 7 6" xfId="407" xr:uid="{00000000-0005-0000-0000-000096010000}"/>
    <cellStyle name="Comma 7 6 2" xfId="408" xr:uid="{00000000-0005-0000-0000-000097010000}"/>
    <cellStyle name="Comma 7 7" xfId="409" xr:uid="{00000000-0005-0000-0000-000098010000}"/>
    <cellStyle name="Comma 7 7 2" xfId="410" xr:uid="{00000000-0005-0000-0000-000099010000}"/>
    <cellStyle name="Comma 7 8" xfId="411" xr:uid="{00000000-0005-0000-0000-00009A010000}"/>
    <cellStyle name="Comma 7 8 2" xfId="412" xr:uid="{00000000-0005-0000-0000-00009B010000}"/>
    <cellStyle name="Comma 7 9" xfId="413" xr:uid="{00000000-0005-0000-0000-00009C010000}"/>
    <cellStyle name="Comma 7 9 2" xfId="414" xr:uid="{00000000-0005-0000-0000-00009D010000}"/>
    <cellStyle name="Comma 8" xfId="415" xr:uid="{00000000-0005-0000-0000-00009E010000}"/>
    <cellStyle name="Comma 8 10" xfId="416" xr:uid="{00000000-0005-0000-0000-00009F010000}"/>
    <cellStyle name="Comma 8 10 2" xfId="417" xr:uid="{00000000-0005-0000-0000-0000A0010000}"/>
    <cellStyle name="Comma 8 11" xfId="418" xr:uid="{00000000-0005-0000-0000-0000A1010000}"/>
    <cellStyle name="Comma 8 11 2" xfId="419" xr:uid="{00000000-0005-0000-0000-0000A2010000}"/>
    <cellStyle name="Comma 8 12" xfId="420" xr:uid="{00000000-0005-0000-0000-0000A3010000}"/>
    <cellStyle name="Comma 8 12 2" xfId="421" xr:uid="{00000000-0005-0000-0000-0000A4010000}"/>
    <cellStyle name="Comma 8 13" xfId="422" xr:uid="{00000000-0005-0000-0000-0000A5010000}"/>
    <cellStyle name="Comma 8 13 2" xfId="423" xr:uid="{00000000-0005-0000-0000-0000A6010000}"/>
    <cellStyle name="Comma 8 14" xfId="424" xr:uid="{00000000-0005-0000-0000-0000A7010000}"/>
    <cellStyle name="Comma 8 14 2" xfId="425" xr:uid="{00000000-0005-0000-0000-0000A8010000}"/>
    <cellStyle name="Comma 8 15" xfId="426" xr:uid="{00000000-0005-0000-0000-0000A9010000}"/>
    <cellStyle name="Comma 8 15 2" xfId="427" xr:uid="{00000000-0005-0000-0000-0000AA010000}"/>
    <cellStyle name="Comma 8 16" xfId="428" xr:uid="{00000000-0005-0000-0000-0000AB010000}"/>
    <cellStyle name="Comma 8 16 2" xfId="429" xr:uid="{00000000-0005-0000-0000-0000AC010000}"/>
    <cellStyle name="Comma 8 17" xfId="430" xr:uid="{00000000-0005-0000-0000-0000AD010000}"/>
    <cellStyle name="Comma 8 17 2" xfId="431" xr:uid="{00000000-0005-0000-0000-0000AE010000}"/>
    <cellStyle name="Comma 8 18" xfId="432" xr:uid="{00000000-0005-0000-0000-0000AF010000}"/>
    <cellStyle name="Comma 8 18 2" xfId="433" xr:uid="{00000000-0005-0000-0000-0000B0010000}"/>
    <cellStyle name="Comma 8 19" xfId="434" xr:uid="{00000000-0005-0000-0000-0000B1010000}"/>
    <cellStyle name="Comma 8 19 2" xfId="435" xr:uid="{00000000-0005-0000-0000-0000B2010000}"/>
    <cellStyle name="Comma 8 2" xfId="436" xr:uid="{00000000-0005-0000-0000-0000B3010000}"/>
    <cellStyle name="Comma 8 2 2" xfId="437" xr:uid="{00000000-0005-0000-0000-0000B4010000}"/>
    <cellStyle name="Comma 8 20" xfId="438" xr:uid="{00000000-0005-0000-0000-0000B5010000}"/>
    <cellStyle name="Comma 8 3" xfId="439" xr:uid="{00000000-0005-0000-0000-0000B6010000}"/>
    <cellStyle name="Comma 8 3 2" xfId="440" xr:uid="{00000000-0005-0000-0000-0000B7010000}"/>
    <cellStyle name="Comma 8 4" xfId="441" xr:uid="{00000000-0005-0000-0000-0000B8010000}"/>
    <cellStyle name="Comma 8 4 2" xfId="442" xr:uid="{00000000-0005-0000-0000-0000B9010000}"/>
    <cellStyle name="Comma 8 5" xfId="443" xr:uid="{00000000-0005-0000-0000-0000BA010000}"/>
    <cellStyle name="Comma 8 5 2" xfId="444" xr:uid="{00000000-0005-0000-0000-0000BB010000}"/>
    <cellStyle name="Comma 8 6" xfId="445" xr:uid="{00000000-0005-0000-0000-0000BC010000}"/>
    <cellStyle name="Comma 8 6 2" xfId="446" xr:uid="{00000000-0005-0000-0000-0000BD010000}"/>
    <cellStyle name="Comma 8 7" xfId="447" xr:uid="{00000000-0005-0000-0000-0000BE010000}"/>
    <cellStyle name="Comma 8 7 2" xfId="448" xr:uid="{00000000-0005-0000-0000-0000BF010000}"/>
    <cellStyle name="Comma 8 8" xfId="449" xr:uid="{00000000-0005-0000-0000-0000C0010000}"/>
    <cellStyle name="Comma 8 8 2" xfId="450" xr:uid="{00000000-0005-0000-0000-0000C1010000}"/>
    <cellStyle name="Comma 8 9" xfId="451" xr:uid="{00000000-0005-0000-0000-0000C2010000}"/>
    <cellStyle name="Comma 8 9 2" xfId="452" xr:uid="{00000000-0005-0000-0000-0000C3010000}"/>
    <cellStyle name="Comma 9" xfId="453" xr:uid="{00000000-0005-0000-0000-0000C4010000}"/>
    <cellStyle name="Comma 9 10" xfId="454" xr:uid="{00000000-0005-0000-0000-0000C5010000}"/>
    <cellStyle name="Comma 9 10 2" xfId="455" xr:uid="{00000000-0005-0000-0000-0000C6010000}"/>
    <cellStyle name="Comma 9 11" xfId="456" xr:uid="{00000000-0005-0000-0000-0000C7010000}"/>
    <cellStyle name="Comma 9 11 2" xfId="457" xr:uid="{00000000-0005-0000-0000-0000C8010000}"/>
    <cellStyle name="Comma 9 12" xfId="458" xr:uid="{00000000-0005-0000-0000-0000C9010000}"/>
    <cellStyle name="Comma 9 12 2" xfId="459" xr:uid="{00000000-0005-0000-0000-0000CA010000}"/>
    <cellStyle name="Comma 9 13" xfId="460" xr:uid="{00000000-0005-0000-0000-0000CB010000}"/>
    <cellStyle name="Comma 9 13 2" xfId="461" xr:uid="{00000000-0005-0000-0000-0000CC010000}"/>
    <cellStyle name="Comma 9 14" xfId="462" xr:uid="{00000000-0005-0000-0000-0000CD010000}"/>
    <cellStyle name="Comma 9 14 2" xfId="463" xr:uid="{00000000-0005-0000-0000-0000CE010000}"/>
    <cellStyle name="Comma 9 15" xfId="464" xr:uid="{00000000-0005-0000-0000-0000CF010000}"/>
    <cellStyle name="Comma 9 15 2" xfId="465" xr:uid="{00000000-0005-0000-0000-0000D0010000}"/>
    <cellStyle name="Comma 9 16" xfId="466" xr:uid="{00000000-0005-0000-0000-0000D1010000}"/>
    <cellStyle name="Comma 9 16 2" xfId="467" xr:uid="{00000000-0005-0000-0000-0000D2010000}"/>
    <cellStyle name="Comma 9 17" xfId="468" xr:uid="{00000000-0005-0000-0000-0000D3010000}"/>
    <cellStyle name="Comma 9 17 2" xfId="469" xr:uid="{00000000-0005-0000-0000-0000D4010000}"/>
    <cellStyle name="Comma 9 18" xfId="470" xr:uid="{00000000-0005-0000-0000-0000D5010000}"/>
    <cellStyle name="Comma 9 18 2" xfId="471" xr:uid="{00000000-0005-0000-0000-0000D6010000}"/>
    <cellStyle name="Comma 9 19" xfId="472" xr:uid="{00000000-0005-0000-0000-0000D7010000}"/>
    <cellStyle name="Comma 9 19 2" xfId="473" xr:uid="{00000000-0005-0000-0000-0000D8010000}"/>
    <cellStyle name="Comma 9 2" xfId="474" xr:uid="{00000000-0005-0000-0000-0000D9010000}"/>
    <cellStyle name="Comma 9 2 2" xfId="475" xr:uid="{00000000-0005-0000-0000-0000DA010000}"/>
    <cellStyle name="Comma 9 20" xfId="476" xr:uid="{00000000-0005-0000-0000-0000DB010000}"/>
    <cellStyle name="Comma 9 3" xfId="477" xr:uid="{00000000-0005-0000-0000-0000DC010000}"/>
    <cellStyle name="Comma 9 3 2" xfId="478" xr:uid="{00000000-0005-0000-0000-0000DD010000}"/>
    <cellStyle name="Comma 9 4" xfId="479" xr:uid="{00000000-0005-0000-0000-0000DE010000}"/>
    <cellStyle name="Comma 9 4 2" xfId="480" xr:uid="{00000000-0005-0000-0000-0000DF010000}"/>
    <cellStyle name="Comma 9 5" xfId="481" xr:uid="{00000000-0005-0000-0000-0000E0010000}"/>
    <cellStyle name="Comma 9 5 2" xfId="482" xr:uid="{00000000-0005-0000-0000-0000E1010000}"/>
    <cellStyle name="Comma 9 6" xfId="483" xr:uid="{00000000-0005-0000-0000-0000E2010000}"/>
    <cellStyle name="Comma 9 6 2" xfId="484" xr:uid="{00000000-0005-0000-0000-0000E3010000}"/>
    <cellStyle name="Comma 9 7" xfId="485" xr:uid="{00000000-0005-0000-0000-0000E4010000}"/>
    <cellStyle name="Comma 9 7 2" xfId="486" xr:uid="{00000000-0005-0000-0000-0000E5010000}"/>
    <cellStyle name="Comma 9 8" xfId="487" xr:uid="{00000000-0005-0000-0000-0000E6010000}"/>
    <cellStyle name="Comma 9 8 2" xfId="488" xr:uid="{00000000-0005-0000-0000-0000E7010000}"/>
    <cellStyle name="Comma 9 9" xfId="489" xr:uid="{00000000-0005-0000-0000-0000E8010000}"/>
    <cellStyle name="Comma 9 9 2" xfId="490" xr:uid="{00000000-0005-0000-0000-0000E9010000}"/>
    <cellStyle name="Input 2" xfId="491" xr:uid="{00000000-0005-0000-0000-0000EA010000}"/>
    <cellStyle name="Input 2 2" xfId="492" xr:uid="{00000000-0005-0000-0000-0000EB010000}"/>
    <cellStyle name="Jun" xfId="493" xr:uid="{00000000-0005-0000-0000-0000EC010000}"/>
    <cellStyle name="Normal" xfId="0" builtinId="0"/>
    <cellStyle name="Normal 10" xfId="494" xr:uid="{00000000-0005-0000-0000-0000EE010000}"/>
    <cellStyle name="Normal 10 2" xfId="495" xr:uid="{00000000-0005-0000-0000-0000EF010000}"/>
    <cellStyle name="Normal 10 2 2" xfId="496" xr:uid="{00000000-0005-0000-0000-0000F0010000}"/>
    <cellStyle name="Normal 10 3" xfId="497" xr:uid="{00000000-0005-0000-0000-0000F1010000}"/>
    <cellStyle name="Normal 10 4" xfId="498" xr:uid="{00000000-0005-0000-0000-0000F2010000}"/>
    <cellStyle name="Normal 10 5" xfId="499" xr:uid="{00000000-0005-0000-0000-0000F3010000}"/>
    <cellStyle name="Normal 11" xfId="500" xr:uid="{00000000-0005-0000-0000-0000F4010000}"/>
    <cellStyle name="Normal 12" xfId="501" xr:uid="{00000000-0005-0000-0000-0000F5010000}"/>
    <cellStyle name="Normal 12 2" xfId="502" xr:uid="{00000000-0005-0000-0000-0000F6010000}"/>
    <cellStyle name="Normal 12 3" xfId="503" xr:uid="{00000000-0005-0000-0000-0000F7010000}"/>
    <cellStyle name="Normal 12 4" xfId="504" xr:uid="{00000000-0005-0000-0000-0000F8010000}"/>
    <cellStyle name="Normal 12 5" xfId="505" xr:uid="{00000000-0005-0000-0000-0000F9010000}"/>
    <cellStyle name="Normal 13" xfId="506" xr:uid="{00000000-0005-0000-0000-0000FA010000}"/>
    <cellStyle name="Normal 13 2" xfId="507" xr:uid="{00000000-0005-0000-0000-0000FB010000}"/>
    <cellStyle name="Normal 13 3" xfId="508" xr:uid="{00000000-0005-0000-0000-0000FC010000}"/>
    <cellStyle name="Normal 13 4" xfId="509" xr:uid="{00000000-0005-0000-0000-0000FD010000}"/>
    <cellStyle name="Normal 13 5" xfId="510" xr:uid="{00000000-0005-0000-0000-0000FE010000}"/>
    <cellStyle name="Normal 14" xfId="511" xr:uid="{00000000-0005-0000-0000-0000FF010000}"/>
    <cellStyle name="Normal 14 10" xfId="512" xr:uid="{00000000-0005-0000-0000-000000020000}"/>
    <cellStyle name="Normal 14 11" xfId="513" xr:uid="{00000000-0005-0000-0000-000001020000}"/>
    <cellStyle name="Normal 14 12" xfId="514" xr:uid="{00000000-0005-0000-0000-000002020000}"/>
    <cellStyle name="Normal 14 2" xfId="515" xr:uid="{00000000-0005-0000-0000-000003020000}"/>
    <cellStyle name="Normal 14 3" xfId="516" xr:uid="{00000000-0005-0000-0000-000004020000}"/>
    <cellStyle name="Normal 14 4" xfId="517" xr:uid="{00000000-0005-0000-0000-000005020000}"/>
    <cellStyle name="Normal 14 5" xfId="518" xr:uid="{00000000-0005-0000-0000-000006020000}"/>
    <cellStyle name="Normal 14 6" xfId="519" xr:uid="{00000000-0005-0000-0000-000007020000}"/>
    <cellStyle name="Normal 14 7" xfId="520" xr:uid="{00000000-0005-0000-0000-000008020000}"/>
    <cellStyle name="Normal 14 8" xfId="521" xr:uid="{00000000-0005-0000-0000-000009020000}"/>
    <cellStyle name="Normal 14 9" xfId="522" xr:uid="{00000000-0005-0000-0000-00000A020000}"/>
    <cellStyle name="Normal 15" xfId="523" xr:uid="{00000000-0005-0000-0000-00000B020000}"/>
    <cellStyle name="Normal 15 2" xfId="524" xr:uid="{00000000-0005-0000-0000-00000C020000}"/>
    <cellStyle name="Normal 16" xfId="525" xr:uid="{00000000-0005-0000-0000-00000D020000}"/>
    <cellStyle name="Normal 17" xfId="526" xr:uid="{00000000-0005-0000-0000-00000E020000}"/>
    <cellStyle name="Normal 17 2" xfId="527" xr:uid="{00000000-0005-0000-0000-00000F020000}"/>
    <cellStyle name="Normal 17 2 2" xfId="528" xr:uid="{00000000-0005-0000-0000-000010020000}"/>
    <cellStyle name="Normal 17 3" xfId="529" xr:uid="{00000000-0005-0000-0000-000011020000}"/>
    <cellStyle name="Normal 17 3 2" xfId="530" xr:uid="{00000000-0005-0000-0000-000012020000}"/>
    <cellStyle name="Normal 17 4" xfId="531" xr:uid="{00000000-0005-0000-0000-000013020000}"/>
    <cellStyle name="Normal 17 4 2" xfId="532" xr:uid="{00000000-0005-0000-0000-000014020000}"/>
    <cellStyle name="Normal 17 5" xfId="533" xr:uid="{00000000-0005-0000-0000-000015020000}"/>
    <cellStyle name="Normal 17 5 2" xfId="534" xr:uid="{00000000-0005-0000-0000-000016020000}"/>
    <cellStyle name="Normal 17 6" xfId="535" xr:uid="{00000000-0005-0000-0000-000017020000}"/>
    <cellStyle name="Normal 18" xfId="536" xr:uid="{00000000-0005-0000-0000-000018020000}"/>
    <cellStyle name="Normal 18 2" xfId="537" xr:uid="{00000000-0005-0000-0000-000019020000}"/>
    <cellStyle name="Normal 19" xfId="538" xr:uid="{00000000-0005-0000-0000-00001A020000}"/>
    <cellStyle name="Normal 19 2" xfId="539" xr:uid="{00000000-0005-0000-0000-00001B020000}"/>
    <cellStyle name="Normal 2" xfId="540" xr:uid="{00000000-0005-0000-0000-00001C020000}"/>
    <cellStyle name="Normal 2 10" xfId="541" xr:uid="{00000000-0005-0000-0000-00001D020000}"/>
    <cellStyle name="Normal 2 11" xfId="542" xr:uid="{00000000-0005-0000-0000-00001E020000}"/>
    <cellStyle name="Normal 2 12" xfId="543" xr:uid="{00000000-0005-0000-0000-00001F020000}"/>
    <cellStyle name="Normal 2 13" xfId="544" xr:uid="{00000000-0005-0000-0000-000020020000}"/>
    <cellStyle name="Normal 2 14" xfId="545" xr:uid="{00000000-0005-0000-0000-000021020000}"/>
    <cellStyle name="Normal 2 15" xfId="546" xr:uid="{00000000-0005-0000-0000-000022020000}"/>
    <cellStyle name="Normal 2 16" xfId="547" xr:uid="{00000000-0005-0000-0000-000023020000}"/>
    <cellStyle name="Normal 2 17" xfId="548" xr:uid="{00000000-0005-0000-0000-000024020000}"/>
    <cellStyle name="Normal 2 18" xfId="549" xr:uid="{00000000-0005-0000-0000-000025020000}"/>
    <cellStyle name="Normal 2 19" xfId="550" xr:uid="{00000000-0005-0000-0000-000026020000}"/>
    <cellStyle name="Normal 2 2" xfId="551" xr:uid="{00000000-0005-0000-0000-000027020000}"/>
    <cellStyle name="Normal 2 2 2" xfId="552" xr:uid="{00000000-0005-0000-0000-000028020000}"/>
    <cellStyle name="Normal 2 20" xfId="553" xr:uid="{00000000-0005-0000-0000-000029020000}"/>
    <cellStyle name="Normal 2 21" xfId="554" xr:uid="{00000000-0005-0000-0000-00002A020000}"/>
    <cellStyle name="Normal 2 3" xfId="555" xr:uid="{00000000-0005-0000-0000-00002B020000}"/>
    <cellStyle name="Normal 2 4" xfId="556" xr:uid="{00000000-0005-0000-0000-00002C020000}"/>
    <cellStyle name="Normal 2 5" xfId="557" xr:uid="{00000000-0005-0000-0000-00002D020000}"/>
    <cellStyle name="Normal 2 6" xfId="558" xr:uid="{00000000-0005-0000-0000-00002E020000}"/>
    <cellStyle name="Normal 2 7" xfId="559" xr:uid="{00000000-0005-0000-0000-00002F020000}"/>
    <cellStyle name="Normal 2 8" xfId="560" xr:uid="{00000000-0005-0000-0000-000030020000}"/>
    <cellStyle name="Normal 2 9" xfId="561" xr:uid="{00000000-0005-0000-0000-000031020000}"/>
    <cellStyle name="Normal 2_deposits mobilized" xfId="562" xr:uid="{00000000-0005-0000-0000-000032020000}"/>
    <cellStyle name="Normal 20" xfId="563" xr:uid="{00000000-0005-0000-0000-000033020000}"/>
    <cellStyle name="Normal 21" xfId="564" xr:uid="{00000000-0005-0000-0000-000034020000}"/>
    <cellStyle name="Normal 21 10" xfId="565" xr:uid="{00000000-0005-0000-0000-000035020000}"/>
    <cellStyle name="Normal 21 11" xfId="566" xr:uid="{00000000-0005-0000-0000-000036020000}"/>
    <cellStyle name="Normal 21 12" xfId="567" xr:uid="{00000000-0005-0000-0000-000037020000}"/>
    <cellStyle name="Normal 21 13" xfId="568" xr:uid="{00000000-0005-0000-0000-000038020000}"/>
    <cellStyle name="Normal 21 14" xfId="569" xr:uid="{00000000-0005-0000-0000-000039020000}"/>
    <cellStyle name="Normal 21 15" xfId="570" xr:uid="{00000000-0005-0000-0000-00003A020000}"/>
    <cellStyle name="Normal 21 16" xfId="571" xr:uid="{00000000-0005-0000-0000-00003B020000}"/>
    <cellStyle name="Normal 21 2" xfId="572" xr:uid="{00000000-0005-0000-0000-00003C020000}"/>
    <cellStyle name="Normal 21 3" xfId="573" xr:uid="{00000000-0005-0000-0000-00003D020000}"/>
    <cellStyle name="Normal 21 4" xfId="574" xr:uid="{00000000-0005-0000-0000-00003E020000}"/>
    <cellStyle name="Normal 21 5" xfId="575" xr:uid="{00000000-0005-0000-0000-00003F020000}"/>
    <cellStyle name="Normal 21 6" xfId="576" xr:uid="{00000000-0005-0000-0000-000040020000}"/>
    <cellStyle name="Normal 21 7" xfId="577" xr:uid="{00000000-0005-0000-0000-000041020000}"/>
    <cellStyle name="Normal 21 8" xfId="578" xr:uid="{00000000-0005-0000-0000-000042020000}"/>
    <cellStyle name="Normal 21 9" xfId="579" xr:uid="{00000000-0005-0000-0000-000043020000}"/>
    <cellStyle name="Normal 22" xfId="580" xr:uid="{00000000-0005-0000-0000-000044020000}"/>
    <cellStyle name="Normal 23" xfId="581" xr:uid="{00000000-0005-0000-0000-000045020000}"/>
    <cellStyle name="Normal 24" xfId="582" xr:uid="{00000000-0005-0000-0000-000046020000}"/>
    <cellStyle name="Normal 25" xfId="583" xr:uid="{00000000-0005-0000-0000-000047020000}"/>
    <cellStyle name="Normal 26" xfId="584" xr:uid="{00000000-0005-0000-0000-000048020000}"/>
    <cellStyle name="Normal 27" xfId="585" xr:uid="{00000000-0005-0000-0000-000049020000}"/>
    <cellStyle name="Normal 28" xfId="586" xr:uid="{00000000-0005-0000-0000-00004A020000}"/>
    <cellStyle name="Normal 29" xfId="587" xr:uid="{00000000-0005-0000-0000-00004B020000}"/>
    <cellStyle name="Normal 3" xfId="588" xr:uid="{00000000-0005-0000-0000-00004C020000}"/>
    <cellStyle name="Normal 3 10" xfId="589" xr:uid="{00000000-0005-0000-0000-00004D020000}"/>
    <cellStyle name="Normal 3 11" xfId="590" xr:uid="{00000000-0005-0000-0000-00004E020000}"/>
    <cellStyle name="Normal 3 12" xfId="591" xr:uid="{00000000-0005-0000-0000-00004F020000}"/>
    <cellStyle name="Normal 3 13" xfId="592" xr:uid="{00000000-0005-0000-0000-000050020000}"/>
    <cellStyle name="Normal 3 14" xfId="593" xr:uid="{00000000-0005-0000-0000-000051020000}"/>
    <cellStyle name="Normal 3 15" xfId="594" xr:uid="{00000000-0005-0000-0000-000052020000}"/>
    <cellStyle name="Normal 3 16" xfId="595" xr:uid="{00000000-0005-0000-0000-000053020000}"/>
    <cellStyle name="Normal 3 17" xfId="596" xr:uid="{00000000-0005-0000-0000-000054020000}"/>
    <cellStyle name="Normal 3 18" xfId="597" xr:uid="{00000000-0005-0000-0000-000055020000}"/>
    <cellStyle name="Normal 3 19" xfId="598" xr:uid="{00000000-0005-0000-0000-000056020000}"/>
    <cellStyle name="Normal 3 2" xfId="599" xr:uid="{00000000-0005-0000-0000-000057020000}"/>
    <cellStyle name="Normal 3 20" xfId="600" xr:uid="{00000000-0005-0000-0000-000058020000}"/>
    <cellStyle name="Normal 3 21" xfId="601" xr:uid="{00000000-0005-0000-0000-000059020000}"/>
    <cellStyle name="Normal 3 22" xfId="602" xr:uid="{00000000-0005-0000-0000-00005A020000}"/>
    <cellStyle name="Normal 3 23" xfId="603" xr:uid="{00000000-0005-0000-0000-00005B020000}"/>
    <cellStyle name="Normal 3 24" xfId="604" xr:uid="{00000000-0005-0000-0000-00005C020000}"/>
    <cellStyle name="Normal 3 25" xfId="605" xr:uid="{00000000-0005-0000-0000-00005D020000}"/>
    <cellStyle name="Normal 3 26" xfId="606" xr:uid="{00000000-0005-0000-0000-00005E020000}"/>
    <cellStyle name="Normal 3 27" xfId="607" xr:uid="{00000000-0005-0000-0000-00005F020000}"/>
    <cellStyle name="Normal 3 28" xfId="608" xr:uid="{00000000-0005-0000-0000-000060020000}"/>
    <cellStyle name="Normal 3 29" xfId="609" xr:uid="{00000000-0005-0000-0000-000061020000}"/>
    <cellStyle name="Normal 3 3" xfId="610" xr:uid="{00000000-0005-0000-0000-000062020000}"/>
    <cellStyle name="Normal 3 30" xfId="611" xr:uid="{00000000-0005-0000-0000-000063020000}"/>
    <cellStyle name="Normal 3 4" xfId="612" xr:uid="{00000000-0005-0000-0000-000064020000}"/>
    <cellStyle name="Normal 3 5" xfId="613" xr:uid="{00000000-0005-0000-0000-000065020000}"/>
    <cellStyle name="Normal 3 6" xfId="614" xr:uid="{00000000-0005-0000-0000-000066020000}"/>
    <cellStyle name="Normal 3 7" xfId="615" xr:uid="{00000000-0005-0000-0000-000067020000}"/>
    <cellStyle name="Normal 3 8" xfId="616" xr:uid="{00000000-0005-0000-0000-000068020000}"/>
    <cellStyle name="Normal 3 9" xfId="617" xr:uid="{00000000-0005-0000-0000-000069020000}"/>
    <cellStyle name="Normal 3_deposits mobilized" xfId="618" xr:uid="{00000000-0005-0000-0000-00006A020000}"/>
    <cellStyle name="Normal 30" xfId="619" xr:uid="{00000000-0005-0000-0000-00006B020000}"/>
    <cellStyle name="Normal 31" xfId="620" xr:uid="{00000000-0005-0000-0000-00006C020000}"/>
    <cellStyle name="Normal 34" xfId="621" xr:uid="{00000000-0005-0000-0000-00006D020000}"/>
    <cellStyle name="Normal 4" xfId="622" xr:uid="{00000000-0005-0000-0000-00006E020000}"/>
    <cellStyle name="Normal 4 10" xfId="623" xr:uid="{00000000-0005-0000-0000-00006F020000}"/>
    <cellStyle name="Normal 4 11" xfId="624" xr:uid="{00000000-0005-0000-0000-000070020000}"/>
    <cellStyle name="Normal 4 12" xfId="625" xr:uid="{00000000-0005-0000-0000-000071020000}"/>
    <cellStyle name="Normal 4 13" xfId="626" xr:uid="{00000000-0005-0000-0000-000072020000}"/>
    <cellStyle name="Normal 4 14" xfId="627" xr:uid="{00000000-0005-0000-0000-000073020000}"/>
    <cellStyle name="Normal 4 15" xfId="628" xr:uid="{00000000-0005-0000-0000-000074020000}"/>
    <cellStyle name="Normal 4 16" xfId="629" xr:uid="{00000000-0005-0000-0000-000075020000}"/>
    <cellStyle name="Normal 4 17" xfId="630" xr:uid="{00000000-0005-0000-0000-000076020000}"/>
    <cellStyle name="Normal 4 18" xfId="631" xr:uid="{00000000-0005-0000-0000-000077020000}"/>
    <cellStyle name="Normal 4 19" xfId="632" xr:uid="{00000000-0005-0000-0000-000078020000}"/>
    <cellStyle name="Normal 4 2" xfId="633" xr:uid="{00000000-0005-0000-0000-000079020000}"/>
    <cellStyle name="Normal 4 20" xfId="634" xr:uid="{00000000-0005-0000-0000-00007A020000}"/>
    <cellStyle name="Normal 4 21" xfId="635" xr:uid="{00000000-0005-0000-0000-00007B020000}"/>
    <cellStyle name="Normal 4 22" xfId="636" xr:uid="{00000000-0005-0000-0000-00007C020000}"/>
    <cellStyle name="Normal 4 23" xfId="637" xr:uid="{00000000-0005-0000-0000-00007D020000}"/>
    <cellStyle name="Normal 4 24" xfId="638" xr:uid="{00000000-0005-0000-0000-00007E020000}"/>
    <cellStyle name="Normal 4 25" xfId="639" xr:uid="{00000000-0005-0000-0000-00007F020000}"/>
    <cellStyle name="Normal 4 26" xfId="640" xr:uid="{00000000-0005-0000-0000-000080020000}"/>
    <cellStyle name="Normal 4 27" xfId="641" xr:uid="{00000000-0005-0000-0000-000081020000}"/>
    <cellStyle name="Normal 4 28" xfId="642" xr:uid="{00000000-0005-0000-0000-000082020000}"/>
    <cellStyle name="Normal 4 29" xfId="643" xr:uid="{00000000-0005-0000-0000-000083020000}"/>
    <cellStyle name="Normal 4 3" xfId="644" xr:uid="{00000000-0005-0000-0000-000084020000}"/>
    <cellStyle name="Normal 4 30" xfId="645" xr:uid="{00000000-0005-0000-0000-000085020000}"/>
    <cellStyle name="Normal 4 4" xfId="646" xr:uid="{00000000-0005-0000-0000-000086020000}"/>
    <cellStyle name="Normal 4 5" xfId="647" xr:uid="{00000000-0005-0000-0000-000087020000}"/>
    <cellStyle name="Normal 4 6" xfId="648" xr:uid="{00000000-0005-0000-0000-000088020000}"/>
    <cellStyle name="Normal 4 7" xfId="649" xr:uid="{00000000-0005-0000-0000-000089020000}"/>
    <cellStyle name="Normal 4 8" xfId="650" xr:uid="{00000000-0005-0000-0000-00008A020000}"/>
    <cellStyle name="Normal 4 9" xfId="651" xr:uid="{00000000-0005-0000-0000-00008B020000}"/>
    <cellStyle name="Normal 5" xfId="652" xr:uid="{00000000-0005-0000-0000-00008C020000}"/>
    <cellStyle name="Normal 5 10" xfId="653" xr:uid="{00000000-0005-0000-0000-00008D020000}"/>
    <cellStyle name="Normal 5 11" xfId="654" xr:uid="{00000000-0005-0000-0000-00008E020000}"/>
    <cellStyle name="Normal 5 12" xfId="655" xr:uid="{00000000-0005-0000-0000-00008F020000}"/>
    <cellStyle name="Normal 5 13" xfId="656" xr:uid="{00000000-0005-0000-0000-000090020000}"/>
    <cellStyle name="Normal 5 14" xfId="657" xr:uid="{00000000-0005-0000-0000-000091020000}"/>
    <cellStyle name="Normal 5 15" xfId="658" xr:uid="{00000000-0005-0000-0000-000092020000}"/>
    <cellStyle name="Normal 5 2" xfId="659" xr:uid="{00000000-0005-0000-0000-000093020000}"/>
    <cellStyle name="Normal 5 3" xfId="660" xr:uid="{00000000-0005-0000-0000-000094020000}"/>
    <cellStyle name="Normal 5 4" xfId="661" xr:uid="{00000000-0005-0000-0000-000095020000}"/>
    <cellStyle name="Normal 5 5" xfId="662" xr:uid="{00000000-0005-0000-0000-000096020000}"/>
    <cellStyle name="Normal 5 6" xfId="663" xr:uid="{00000000-0005-0000-0000-000097020000}"/>
    <cellStyle name="Normal 5 7" xfId="664" xr:uid="{00000000-0005-0000-0000-000098020000}"/>
    <cellStyle name="Normal 5 8" xfId="665" xr:uid="{00000000-0005-0000-0000-000099020000}"/>
    <cellStyle name="Normal 5 9" xfId="666" xr:uid="{00000000-0005-0000-0000-00009A020000}"/>
    <cellStyle name="Normal 6" xfId="667" xr:uid="{00000000-0005-0000-0000-00009B020000}"/>
    <cellStyle name="Normal 6 2" xfId="668" xr:uid="{00000000-0005-0000-0000-00009C020000}"/>
    <cellStyle name="Normal 6 3" xfId="669" xr:uid="{00000000-0005-0000-0000-00009D020000}"/>
    <cellStyle name="Normal 6 4" xfId="670" xr:uid="{00000000-0005-0000-0000-00009E020000}"/>
    <cellStyle name="Normal 6 5" xfId="671" xr:uid="{00000000-0005-0000-0000-00009F020000}"/>
    <cellStyle name="Normal 7" xfId="672" xr:uid="{00000000-0005-0000-0000-0000A0020000}"/>
    <cellStyle name="Normal 7 2" xfId="673" xr:uid="{00000000-0005-0000-0000-0000A1020000}"/>
    <cellStyle name="Normal 7 3" xfId="674" xr:uid="{00000000-0005-0000-0000-0000A2020000}"/>
    <cellStyle name="Normal 7 4" xfId="675" xr:uid="{00000000-0005-0000-0000-0000A3020000}"/>
    <cellStyle name="Normal 7 5" xfId="676" xr:uid="{00000000-0005-0000-0000-0000A4020000}"/>
    <cellStyle name="Normal 7 6" xfId="677" xr:uid="{00000000-0005-0000-0000-0000A5020000}"/>
    <cellStyle name="Normal 8" xfId="678" xr:uid="{00000000-0005-0000-0000-0000A6020000}"/>
    <cellStyle name="Normal 85" xfId="679" xr:uid="{00000000-0005-0000-0000-0000A7020000}"/>
    <cellStyle name="Normal 9" xfId="680" xr:uid="{00000000-0005-0000-0000-0000A8020000}"/>
    <cellStyle name="Normal 9 10" xfId="681" xr:uid="{00000000-0005-0000-0000-0000A9020000}"/>
    <cellStyle name="Normal 9 10 2" xfId="682" xr:uid="{00000000-0005-0000-0000-0000AA020000}"/>
    <cellStyle name="Normal 9 11" xfId="683" xr:uid="{00000000-0005-0000-0000-0000AB020000}"/>
    <cellStyle name="Normal 9 11 2" xfId="684" xr:uid="{00000000-0005-0000-0000-0000AC020000}"/>
    <cellStyle name="Normal 9 12" xfId="685" xr:uid="{00000000-0005-0000-0000-0000AD020000}"/>
    <cellStyle name="Normal 9 12 2" xfId="686" xr:uid="{00000000-0005-0000-0000-0000AE020000}"/>
    <cellStyle name="Normal 9 13" xfId="687" xr:uid="{00000000-0005-0000-0000-0000AF020000}"/>
    <cellStyle name="Normal 9 14" xfId="688" xr:uid="{00000000-0005-0000-0000-0000B0020000}"/>
    <cellStyle name="Normal 9 15" xfId="689" xr:uid="{00000000-0005-0000-0000-0000B1020000}"/>
    <cellStyle name="Normal 9 2" xfId="690" xr:uid="{00000000-0005-0000-0000-0000B2020000}"/>
    <cellStyle name="Normal 9 2 2" xfId="691" xr:uid="{00000000-0005-0000-0000-0000B3020000}"/>
    <cellStyle name="Normal 9 2 2 2" xfId="692" xr:uid="{00000000-0005-0000-0000-0000B4020000}"/>
    <cellStyle name="Normal 9 2 3" xfId="693" xr:uid="{00000000-0005-0000-0000-0000B5020000}"/>
    <cellStyle name="Normal 9 2 3 2" xfId="694" xr:uid="{00000000-0005-0000-0000-0000B6020000}"/>
    <cellStyle name="Normal 9 2 4" xfId="695" xr:uid="{00000000-0005-0000-0000-0000B7020000}"/>
    <cellStyle name="Normal 9 2 4 2" xfId="696" xr:uid="{00000000-0005-0000-0000-0000B8020000}"/>
    <cellStyle name="Normal 9 3" xfId="697" xr:uid="{00000000-0005-0000-0000-0000B9020000}"/>
    <cellStyle name="Normal 9 3 2" xfId="698" xr:uid="{00000000-0005-0000-0000-0000BA020000}"/>
    <cellStyle name="Normal 9 4" xfId="699" xr:uid="{00000000-0005-0000-0000-0000BB020000}"/>
    <cellStyle name="Normal 9 4 2" xfId="700" xr:uid="{00000000-0005-0000-0000-0000BC020000}"/>
    <cellStyle name="Normal 9 5" xfId="701" xr:uid="{00000000-0005-0000-0000-0000BD020000}"/>
    <cellStyle name="Normal 9 5 2" xfId="702" xr:uid="{00000000-0005-0000-0000-0000BE020000}"/>
    <cellStyle name="Normal 9 6" xfId="703" xr:uid="{00000000-0005-0000-0000-0000BF020000}"/>
    <cellStyle name="Normal 9 6 2" xfId="704" xr:uid="{00000000-0005-0000-0000-0000C0020000}"/>
    <cellStyle name="Normal 9 7" xfId="705" xr:uid="{00000000-0005-0000-0000-0000C1020000}"/>
    <cellStyle name="Normal 9 7 2" xfId="706" xr:uid="{00000000-0005-0000-0000-0000C2020000}"/>
    <cellStyle name="Normal 9 8" xfId="707" xr:uid="{00000000-0005-0000-0000-0000C3020000}"/>
    <cellStyle name="Normal 9 8 2" xfId="708" xr:uid="{00000000-0005-0000-0000-0000C4020000}"/>
    <cellStyle name="Normal 9 9" xfId="709" xr:uid="{00000000-0005-0000-0000-0000C5020000}"/>
    <cellStyle name="Normal 9 9 2" xfId="710" xr:uid="{00000000-0005-0000-0000-0000C6020000}"/>
    <cellStyle name="Note 2" xfId="711" xr:uid="{00000000-0005-0000-0000-0000C7020000}"/>
    <cellStyle name="Note 2 2" xfId="712" xr:uid="{00000000-0005-0000-0000-0000C8020000}"/>
    <cellStyle name="Percent" xfId="713" builtinId="5"/>
    <cellStyle name="Percent 2" xfId="714" xr:uid="{00000000-0005-0000-0000-0000CA020000}"/>
    <cellStyle name="Percent 2 2" xfId="715" xr:uid="{00000000-0005-0000-0000-0000CB020000}"/>
    <cellStyle name="Percent 3" xfId="716" xr:uid="{00000000-0005-0000-0000-0000CC020000}"/>
    <cellStyle name="Percent 3 2" xfId="717" xr:uid="{00000000-0005-0000-0000-0000CD020000}"/>
    <cellStyle name="Percent 3 3" xfId="718" xr:uid="{00000000-0005-0000-0000-0000CE020000}"/>
    <cellStyle name="Percent 3 4" xfId="719" xr:uid="{00000000-0005-0000-0000-0000CF020000}"/>
    <cellStyle name="Percent 4" xfId="720" xr:uid="{00000000-0005-0000-0000-0000D0020000}"/>
    <cellStyle name="Percent 5" xfId="721" xr:uid="{00000000-0005-0000-0000-0000D1020000}"/>
    <cellStyle name="Percent 5 2" xfId="722" xr:uid="{00000000-0005-0000-0000-0000D2020000}"/>
    <cellStyle name="Percent 6" xfId="723" xr:uid="{00000000-0005-0000-0000-0000D3020000}"/>
    <cellStyle name="Total 2" xfId="724" xr:uid="{00000000-0005-0000-0000-0000D4020000}"/>
    <cellStyle name="Total 2 2" xfId="725" xr:uid="{00000000-0005-0000-0000-0000D5020000}"/>
    <cellStyle name="Total 2 2 2" xfId="726" xr:uid="{00000000-0005-0000-0000-0000D6020000}"/>
    <cellStyle name="Total 2 3" xfId="727" xr:uid="{00000000-0005-0000-0000-0000D7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\supervision_\Documents%20and%20Settings\Francis\My%20Documents\Downloads\Wakenya%20Pamoja%20financials%20(3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\Supervision\Saccos\kenya%20police\ACCOUNTS%20APPROVALS\Accounts%20Approval%202016\Kenya%20Police%20CAELS%20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"/>
      <sheetName val="SASRA B.S."/>
      <sheetName val="SASRA I.S."/>
      <sheetName val="SASRA Prudential Ratios"/>
      <sheetName val="PEARLS PL"/>
      <sheetName val="PEARLS BS"/>
      <sheetName val="PEARLS Ratios"/>
      <sheetName val="BS Yr. 1"/>
      <sheetName val="P&amp;L Yr. 1"/>
      <sheetName val="Rates Yr.1"/>
      <sheetName val="PEARLS Yr. 1"/>
      <sheetName val="BS Yr. 2"/>
      <sheetName val="P&amp;L Yr. 2"/>
      <sheetName val="Rates Yr. 2"/>
      <sheetName val="PEARLS Yr. 2"/>
      <sheetName val="BS Yr. 3"/>
      <sheetName val="P&amp;L Yr. 3"/>
      <sheetName val="Rates Yr. 3"/>
      <sheetName val="PEARLS Yr. 3"/>
      <sheetName val="BS Yr. 4"/>
      <sheetName val="P&amp;L Yr. 4"/>
      <sheetName val="Rates Yr. 4"/>
      <sheetName val="PEARLS Yr. 4"/>
      <sheetName val="Pro Forma SASRA BS"/>
      <sheetName val="Pro Forma SASRA P&amp;L "/>
      <sheetName val="SASRA Pro Forma Ratios"/>
      <sheetName val="ProForma PEARLS"/>
      <sheetName val=" Key Regulatory Rat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end"/>
      <sheetName val="Financials"/>
      <sheetName val="Form 4"/>
      <sheetName val="CAELS"/>
      <sheetName val="Liquidity"/>
      <sheetName val="Prudential Ratios"/>
      <sheetName val="Sheet1"/>
    </sheetNames>
    <sheetDataSet>
      <sheetData sheetId="0"/>
      <sheetData sheetId="1">
        <row r="4">
          <cell r="C4">
            <v>3879</v>
          </cell>
          <cell r="D4">
            <v>4029</v>
          </cell>
          <cell r="E4">
            <v>5856</v>
          </cell>
        </row>
        <row r="5"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8622637171.8199997</v>
          </cell>
          <cell r="K5">
            <v>9439076803</v>
          </cell>
          <cell r="L5">
            <v>9653435750</v>
          </cell>
          <cell r="M5">
            <v>10068305908</v>
          </cell>
          <cell r="N5">
            <v>10271126412</v>
          </cell>
          <cell r="O5">
            <v>10122233255</v>
          </cell>
          <cell r="P5">
            <v>10318568794</v>
          </cell>
          <cell r="Q5">
            <v>10550988667</v>
          </cell>
          <cell r="R5">
            <v>10843547824</v>
          </cell>
          <cell r="S5">
            <v>10989586561</v>
          </cell>
          <cell r="T5">
            <v>11341887880</v>
          </cell>
          <cell r="U5">
            <v>11559301102</v>
          </cell>
          <cell r="V5">
            <v>11673888528</v>
          </cell>
          <cell r="W5">
            <v>11522841000</v>
          </cell>
          <cell r="X5">
            <v>12119414091</v>
          </cell>
          <cell r="Y5">
            <v>11644780616</v>
          </cell>
          <cell r="Z5">
            <v>12429571179</v>
          </cell>
          <cell r="AA5">
            <v>12331043813</v>
          </cell>
          <cell r="AB5">
            <v>12430515421</v>
          </cell>
          <cell r="AC5">
            <v>12898144484</v>
          </cell>
          <cell r="AD5">
            <v>13116968220</v>
          </cell>
          <cell r="AE5">
            <v>13695043650</v>
          </cell>
          <cell r="AF5">
            <v>13932299945</v>
          </cell>
          <cell r="AG5">
            <v>14174150635.240002</v>
          </cell>
          <cell r="AH5">
            <v>14586021015.84</v>
          </cell>
          <cell r="AI5">
            <v>15120125821.630001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7499808341.9499998</v>
          </cell>
          <cell r="K6">
            <v>7657056272</v>
          </cell>
          <cell r="L6">
            <v>7772124469</v>
          </cell>
          <cell r="M6">
            <v>7886904308</v>
          </cell>
          <cell r="N6">
            <v>8012639661</v>
          </cell>
          <cell r="O6">
            <v>7658721099</v>
          </cell>
          <cell r="P6">
            <v>7726182320</v>
          </cell>
          <cell r="Q6">
            <v>7851894857</v>
          </cell>
          <cell r="R6">
            <v>7938196381</v>
          </cell>
          <cell r="S6">
            <v>8023544906</v>
          </cell>
          <cell r="T6">
            <v>8192589047</v>
          </cell>
          <cell r="U6">
            <v>8356616504</v>
          </cell>
          <cell r="V6">
            <v>8462449118</v>
          </cell>
          <cell r="W6">
            <v>8462973000</v>
          </cell>
          <cell r="X6">
            <v>8641894569</v>
          </cell>
          <cell r="Y6">
            <v>8710775292</v>
          </cell>
          <cell r="Z6">
            <v>8766907405</v>
          </cell>
          <cell r="AA6">
            <v>9210270961</v>
          </cell>
          <cell r="AB6">
            <v>9052556962</v>
          </cell>
          <cell r="AC6">
            <v>9182657718</v>
          </cell>
          <cell r="AD6">
            <v>9350278059</v>
          </cell>
          <cell r="AE6">
            <v>9534096845</v>
          </cell>
          <cell r="AF6">
            <v>9685745647</v>
          </cell>
          <cell r="AG6">
            <v>9881119668.4599991</v>
          </cell>
          <cell r="AH6">
            <v>10051763145.440001</v>
          </cell>
          <cell r="AI6">
            <v>10253841760.129999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6998384717.71</v>
          </cell>
          <cell r="K7">
            <v>7131161460</v>
          </cell>
          <cell r="L7">
            <v>7259891129</v>
          </cell>
          <cell r="M7">
            <v>7376090301</v>
          </cell>
          <cell r="N7">
            <v>6942661725</v>
          </cell>
          <cell r="O7">
            <v>7064066211</v>
          </cell>
          <cell r="P7">
            <v>7160656183</v>
          </cell>
          <cell r="Q7">
            <v>7281750149</v>
          </cell>
          <cell r="R7">
            <v>7342676364</v>
          </cell>
          <cell r="S7">
            <v>7456667633</v>
          </cell>
          <cell r="T7">
            <v>7587651017</v>
          </cell>
          <cell r="U7">
            <v>7718819946</v>
          </cell>
          <cell r="V7">
            <v>7827920031</v>
          </cell>
          <cell r="W7">
            <v>7828070000</v>
          </cell>
          <cell r="X7">
            <v>7960077154</v>
          </cell>
          <cell r="Y7">
            <v>8081683754</v>
          </cell>
          <cell r="Z7">
            <v>8172989961</v>
          </cell>
          <cell r="AA7">
            <v>8270741384</v>
          </cell>
          <cell r="AB7">
            <v>8382202455</v>
          </cell>
          <cell r="AC7">
            <v>8513770479</v>
          </cell>
          <cell r="AD7">
            <v>8648788303</v>
          </cell>
          <cell r="AE7">
            <v>8808884365</v>
          </cell>
          <cell r="AF7">
            <v>8975846471</v>
          </cell>
          <cell r="AG7">
            <v>9141197067.1299992</v>
          </cell>
          <cell r="AH7">
            <v>9300389957.8400002</v>
          </cell>
          <cell r="AI7">
            <v>9455324224.9799995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501423624.24000001</v>
          </cell>
          <cell r="K8">
            <v>525894812</v>
          </cell>
          <cell r="L8">
            <v>512233340</v>
          </cell>
          <cell r="M8">
            <v>510814007</v>
          </cell>
          <cell r="N8">
            <v>1069977936</v>
          </cell>
          <cell r="O8">
            <v>594654888</v>
          </cell>
          <cell r="P8">
            <v>565526137</v>
          </cell>
          <cell r="Q8">
            <v>570144708</v>
          </cell>
          <cell r="R8">
            <v>595520017</v>
          </cell>
          <cell r="S8">
            <v>566877273</v>
          </cell>
          <cell r="T8">
            <v>604938030</v>
          </cell>
          <cell r="U8">
            <v>637796558</v>
          </cell>
          <cell r="V8">
            <v>634529087</v>
          </cell>
          <cell r="W8">
            <v>634903000</v>
          </cell>
          <cell r="X8">
            <v>681817415</v>
          </cell>
          <cell r="Y8">
            <v>629091538</v>
          </cell>
          <cell r="Z8">
            <v>593917444</v>
          </cell>
          <cell r="AA8">
            <v>939529577</v>
          </cell>
          <cell r="AB8">
            <v>670354507</v>
          </cell>
          <cell r="AC8">
            <v>668887239</v>
          </cell>
          <cell r="AD8">
            <v>701489756</v>
          </cell>
          <cell r="AE8">
            <v>725212480</v>
          </cell>
          <cell r="AF8">
            <v>709899176</v>
          </cell>
          <cell r="AG8">
            <v>739922601.33000004</v>
          </cell>
          <cell r="AH8">
            <v>751373187.60000002</v>
          </cell>
          <cell r="AI8">
            <v>798517535.14999998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200000000</v>
          </cell>
          <cell r="N9">
            <v>191666667</v>
          </cell>
          <cell r="O9">
            <v>333333333</v>
          </cell>
          <cell r="P9">
            <v>325000000</v>
          </cell>
          <cell r="Q9">
            <v>358020067</v>
          </cell>
          <cell r="R9">
            <v>436407259</v>
          </cell>
          <cell r="S9">
            <v>373424504</v>
          </cell>
          <cell r="T9">
            <v>435113294</v>
          </cell>
          <cell r="U9">
            <v>412055220</v>
          </cell>
          <cell r="V9">
            <v>403994010</v>
          </cell>
          <cell r="W9">
            <v>410774000</v>
          </cell>
          <cell r="X9">
            <v>585767304</v>
          </cell>
          <cell r="Y9">
            <v>590076260</v>
          </cell>
          <cell r="Z9">
            <v>791029065</v>
          </cell>
          <cell r="AA9">
            <v>756156645</v>
          </cell>
          <cell r="AB9">
            <v>915589072</v>
          </cell>
          <cell r="AC9">
            <v>1085923242</v>
          </cell>
          <cell r="AD9">
            <v>1018363068</v>
          </cell>
          <cell r="AE9">
            <v>1251386754</v>
          </cell>
          <cell r="AF9">
            <v>1132343445</v>
          </cell>
          <cell r="AG9">
            <v>1045781061.75</v>
          </cell>
          <cell r="AH9">
            <v>975100573.19000006</v>
          </cell>
          <cell r="AI9">
            <v>1136778256.73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736957929.62</v>
          </cell>
          <cell r="K10">
            <v>207468344</v>
          </cell>
          <cell r="L10">
            <v>220047806</v>
          </cell>
          <cell r="M10">
            <v>227993481</v>
          </cell>
          <cell r="N10">
            <v>292670136</v>
          </cell>
          <cell r="O10">
            <v>271479568</v>
          </cell>
          <cell r="P10">
            <v>265553781</v>
          </cell>
          <cell r="Q10">
            <v>234811831</v>
          </cell>
          <cell r="R10">
            <v>246266916</v>
          </cell>
          <cell r="S10">
            <v>254605482</v>
          </cell>
          <cell r="T10">
            <v>256173358</v>
          </cell>
          <cell r="U10">
            <v>259308340</v>
          </cell>
          <cell r="V10">
            <v>165695135</v>
          </cell>
          <cell r="W10">
            <v>974805000</v>
          </cell>
          <cell r="X10">
            <v>133792518</v>
          </cell>
          <cell r="Y10">
            <v>392508747</v>
          </cell>
          <cell r="Z10">
            <v>1001914145</v>
          </cell>
          <cell r="AA10">
            <v>224331493</v>
          </cell>
          <cell r="AB10">
            <v>231708088</v>
          </cell>
          <cell r="AC10">
            <v>261460606</v>
          </cell>
          <cell r="AD10">
            <v>200561773</v>
          </cell>
          <cell r="AE10">
            <v>172275053</v>
          </cell>
          <cell r="AF10">
            <v>160238969</v>
          </cell>
          <cell r="AG10">
            <v>171439966.8499999</v>
          </cell>
          <cell r="AH10">
            <v>289652506.67000008</v>
          </cell>
          <cell r="AI10">
            <v>302088742.63000011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817084042.54999995</v>
          </cell>
          <cell r="K13">
            <v>1566884483</v>
          </cell>
          <cell r="L13">
            <v>1661263476</v>
          </cell>
          <cell r="M13">
            <v>1753408121</v>
          </cell>
          <cell r="N13">
            <v>1756149950</v>
          </cell>
          <cell r="O13">
            <v>1858699255</v>
          </cell>
          <cell r="P13">
            <v>2001832695</v>
          </cell>
          <cell r="Q13">
            <v>2106261913</v>
          </cell>
          <cell r="R13">
            <v>2222677271</v>
          </cell>
          <cell r="S13">
            <v>2338011669</v>
          </cell>
          <cell r="T13">
            <v>2458012182</v>
          </cell>
          <cell r="U13">
            <v>2531321039</v>
          </cell>
          <cell r="V13">
            <v>2641750266</v>
          </cell>
          <cell r="W13">
            <v>1674378000</v>
          </cell>
          <cell r="X13">
            <v>2757959700</v>
          </cell>
          <cell r="Y13">
            <v>1951420317</v>
          </cell>
          <cell r="Z13">
            <v>1869720565</v>
          </cell>
          <cell r="AA13">
            <v>2140284713</v>
          </cell>
          <cell r="AB13">
            <v>2230661298</v>
          </cell>
          <cell r="AC13">
            <v>2368102918</v>
          </cell>
          <cell r="AD13">
            <v>2547765320</v>
          </cell>
          <cell r="AE13">
            <v>2737284999</v>
          </cell>
          <cell r="AF13">
            <v>2911157896</v>
          </cell>
          <cell r="AG13">
            <v>3040407686.8299999</v>
          </cell>
          <cell r="AH13">
            <v>3108002593.8499999</v>
          </cell>
          <cell r="AI13">
            <v>3266190144.6399999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705212042.54999995</v>
          </cell>
          <cell r="K14">
            <v>1454992483</v>
          </cell>
          <cell r="L14">
            <v>1549319476</v>
          </cell>
          <cell r="M14">
            <v>1641414201</v>
          </cell>
          <cell r="N14">
            <v>1094079030</v>
          </cell>
          <cell r="O14">
            <v>1195053075</v>
          </cell>
          <cell r="P14">
            <v>1327765775</v>
          </cell>
          <cell r="Q14">
            <v>1431831993</v>
          </cell>
          <cell r="R14">
            <v>1540919351</v>
          </cell>
          <cell r="S14">
            <v>1655921869</v>
          </cell>
          <cell r="T14">
            <v>1775818382</v>
          </cell>
          <cell r="U14">
            <v>1849013239</v>
          </cell>
          <cell r="V14">
            <v>1953456466</v>
          </cell>
          <cell r="W14">
            <v>986084000</v>
          </cell>
          <cell r="X14">
            <v>2069621900</v>
          </cell>
          <cell r="Y14">
            <v>1262821517</v>
          </cell>
          <cell r="Z14">
            <v>1180988765</v>
          </cell>
          <cell r="AA14">
            <v>1445273646</v>
          </cell>
          <cell r="AB14">
            <v>1535616231</v>
          </cell>
          <cell r="AC14">
            <v>1673062209</v>
          </cell>
          <cell r="AD14">
            <v>1852505411</v>
          </cell>
          <cell r="AE14">
            <v>2041991090</v>
          </cell>
          <cell r="AF14">
            <v>2215725987</v>
          </cell>
          <cell r="AG14">
            <v>2344920778.02</v>
          </cell>
          <cell r="AH14">
            <v>2412485685.04</v>
          </cell>
          <cell r="AI14">
            <v>2570620235.8299999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111872000</v>
          </cell>
          <cell r="K17">
            <v>111892000</v>
          </cell>
          <cell r="L17">
            <v>111944000</v>
          </cell>
          <cell r="M17">
            <v>111993920</v>
          </cell>
          <cell r="N17">
            <v>662070920</v>
          </cell>
          <cell r="O17">
            <v>663646180</v>
          </cell>
          <cell r="P17">
            <v>674066920</v>
          </cell>
          <cell r="Q17">
            <v>674429920</v>
          </cell>
          <cell r="R17">
            <v>681757920</v>
          </cell>
          <cell r="S17">
            <v>682089800</v>
          </cell>
          <cell r="T17">
            <v>682193800</v>
          </cell>
          <cell r="U17">
            <v>682307800</v>
          </cell>
          <cell r="V17">
            <v>688293800</v>
          </cell>
          <cell r="W17">
            <v>688294000</v>
          </cell>
          <cell r="X17">
            <v>688337800</v>
          </cell>
          <cell r="Y17">
            <v>688598800</v>
          </cell>
          <cell r="Z17">
            <v>688731800</v>
          </cell>
          <cell r="AA17">
            <v>695011067</v>
          </cell>
          <cell r="AB17">
            <v>695045067</v>
          </cell>
          <cell r="AC17">
            <v>695040709</v>
          </cell>
          <cell r="AD17">
            <v>695259909</v>
          </cell>
          <cell r="AE17">
            <v>695293909</v>
          </cell>
          <cell r="AF17">
            <v>695431909</v>
          </cell>
          <cell r="AG17">
            <v>695486908.80999994</v>
          </cell>
          <cell r="AH17">
            <v>695516908.80999994</v>
          </cell>
          <cell r="AI17">
            <v>695569908.80999994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237486595</v>
          </cell>
          <cell r="K25">
            <v>234922302</v>
          </cell>
          <cell r="L25">
            <v>234922302</v>
          </cell>
          <cell r="M25">
            <v>234922302</v>
          </cell>
          <cell r="N25">
            <v>233036089</v>
          </cell>
          <cell r="O25">
            <v>253036089</v>
          </cell>
          <cell r="P25">
            <v>253036089</v>
          </cell>
          <cell r="Q25">
            <v>253036089</v>
          </cell>
          <cell r="R25">
            <v>253036089</v>
          </cell>
          <cell r="S25">
            <v>253036089</v>
          </cell>
          <cell r="T25">
            <v>253036089</v>
          </cell>
          <cell r="U25">
            <v>252686089</v>
          </cell>
          <cell r="V25">
            <v>252886089</v>
          </cell>
          <cell r="W25">
            <v>316943000</v>
          </cell>
          <cell r="X25">
            <v>252886089</v>
          </cell>
          <cell r="Y25">
            <v>363887108</v>
          </cell>
          <cell r="Z25">
            <v>363887108</v>
          </cell>
          <cell r="AA25">
            <v>363887108</v>
          </cell>
          <cell r="AB25">
            <v>393887108</v>
          </cell>
          <cell r="AC25">
            <v>441026231</v>
          </cell>
          <cell r="AD25">
            <v>423863969</v>
          </cell>
          <cell r="AE25">
            <v>423863969</v>
          </cell>
          <cell r="AF25">
            <v>423863969</v>
          </cell>
          <cell r="AG25">
            <v>423863969</v>
          </cell>
          <cell r="AH25">
            <v>513852821.60000002</v>
          </cell>
          <cell r="AI25">
            <v>513852821.60000002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7518407820.8100004</v>
          </cell>
          <cell r="K30">
            <v>7977839513</v>
          </cell>
          <cell r="L30">
            <v>8201549382</v>
          </cell>
          <cell r="M30">
            <v>8283962217</v>
          </cell>
          <cell r="N30">
            <v>8403122469</v>
          </cell>
          <cell r="O30">
            <v>8559550410</v>
          </cell>
          <cell r="P30">
            <v>8716910445</v>
          </cell>
          <cell r="Q30">
            <v>8905238017</v>
          </cell>
          <cell r="R30">
            <v>9213073206</v>
          </cell>
          <cell r="S30">
            <v>9410908364</v>
          </cell>
          <cell r="T30">
            <v>9624910295</v>
          </cell>
          <cell r="U30">
            <v>9898480575</v>
          </cell>
          <cell r="V30">
            <v>10096214655</v>
          </cell>
          <cell r="W30">
            <v>10135363000</v>
          </cell>
          <cell r="X30">
            <v>10598368851</v>
          </cell>
          <cell r="Y30">
            <v>10827997660</v>
          </cell>
          <cell r="Z30">
            <v>10826198178</v>
          </cell>
          <cell r="AA30">
            <v>10939546320</v>
          </cell>
          <cell r="AB30">
            <v>10989995775</v>
          </cell>
          <cell r="AC30">
            <v>11098416785</v>
          </cell>
          <cell r="AD30">
            <v>11321678585</v>
          </cell>
          <cell r="AE30">
            <v>11634666891</v>
          </cell>
          <cell r="AF30">
            <v>11923045337</v>
          </cell>
          <cell r="AG30">
            <v>12125057598.440001</v>
          </cell>
          <cell r="AH30">
            <v>12280212418.459999</v>
          </cell>
          <cell r="AI30">
            <v>12536479498.040001</v>
          </cell>
        </row>
        <row r="31">
          <cell r="AC31">
            <v>11098416785</v>
          </cell>
          <cell r="AD31">
            <v>11321678585</v>
          </cell>
          <cell r="AE31">
            <v>11634666891</v>
          </cell>
          <cell r="AF31">
            <v>11923045337</v>
          </cell>
          <cell r="AG31">
            <v>12125057598.440001</v>
          </cell>
          <cell r="AH31">
            <v>12280212418.459999</v>
          </cell>
          <cell r="AI31">
            <v>12536479498.040001</v>
          </cell>
        </row>
        <row r="34">
          <cell r="J34">
            <v>0</v>
          </cell>
          <cell r="M34">
            <v>65076151.822500005</v>
          </cell>
          <cell r="P34">
            <v>29595600.890000001</v>
          </cell>
          <cell r="S34">
            <v>24072891.017500002</v>
          </cell>
          <cell r="V34">
            <v>40084672.210000001</v>
          </cell>
          <cell r="W34">
            <v>40084672.210000001</v>
          </cell>
          <cell r="Z34">
            <v>46624706.18</v>
          </cell>
          <cell r="AC34">
            <v>33276284.835000001</v>
          </cell>
          <cell r="AD34">
            <v>0</v>
          </cell>
          <cell r="AE34">
            <v>11911981080.85</v>
          </cell>
          <cell r="AF34">
            <v>1.5</v>
          </cell>
          <cell r="AG34">
            <v>159192593.7245</v>
          </cell>
          <cell r="AH34">
            <v>0</v>
          </cell>
          <cell r="AI34">
            <v>198633837.57999998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21645179.560000002</v>
          </cell>
          <cell r="K36">
            <v>179692777</v>
          </cell>
          <cell r="L36">
            <v>89290530</v>
          </cell>
          <cell r="M36">
            <v>383895437</v>
          </cell>
          <cell r="N36">
            <v>413452777</v>
          </cell>
          <cell r="O36">
            <v>104501315</v>
          </cell>
          <cell r="P36">
            <v>125780447</v>
          </cell>
          <cell r="Q36">
            <v>114028361</v>
          </cell>
          <cell r="R36">
            <v>269318181</v>
          </cell>
          <cell r="S36">
            <v>130891820</v>
          </cell>
          <cell r="T36">
            <v>247458374</v>
          </cell>
          <cell r="U36">
            <v>97955956</v>
          </cell>
          <cell r="V36">
            <v>669580829</v>
          </cell>
          <cell r="W36">
            <v>688062000</v>
          </cell>
          <cell r="X36">
            <v>57494994</v>
          </cell>
          <cell r="Y36">
            <v>40324718</v>
          </cell>
          <cell r="Z36">
            <v>267838306</v>
          </cell>
          <cell r="AA36">
            <v>35975325</v>
          </cell>
          <cell r="AB36">
            <v>11615896</v>
          </cell>
          <cell r="AC36">
            <v>945601543</v>
          </cell>
          <cell r="AD36">
            <v>223627872</v>
          </cell>
          <cell r="AE36">
            <v>488478118</v>
          </cell>
          <cell r="AF36">
            <v>341792297</v>
          </cell>
          <cell r="AG36">
            <v>298305940.58999997</v>
          </cell>
          <cell r="AH36">
            <v>218168467.52000001</v>
          </cell>
          <cell r="AI36">
            <v>1173356520.3599999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165513808.75</v>
          </cell>
          <cell r="K38">
            <v>260499130</v>
          </cell>
          <cell r="L38">
            <v>262011225</v>
          </cell>
          <cell r="M38">
            <v>285714579</v>
          </cell>
          <cell r="N38">
            <v>308703283</v>
          </cell>
          <cell r="O38">
            <v>308888775</v>
          </cell>
          <cell r="P38">
            <v>337710076</v>
          </cell>
          <cell r="Q38">
            <v>358495224</v>
          </cell>
          <cell r="R38">
            <v>378861279</v>
          </cell>
          <cell r="S38">
            <v>398255176</v>
          </cell>
          <cell r="T38">
            <v>414268018</v>
          </cell>
          <cell r="U38">
            <v>408053985</v>
          </cell>
          <cell r="V38">
            <v>397392435</v>
          </cell>
          <cell r="W38">
            <v>368563000</v>
          </cell>
          <cell r="X38">
            <v>398084252</v>
          </cell>
          <cell r="Y38">
            <v>393181964</v>
          </cell>
          <cell r="Z38">
            <v>355314996</v>
          </cell>
          <cell r="AA38">
            <v>355777488</v>
          </cell>
          <cell r="AB38">
            <v>381173972</v>
          </cell>
          <cell r="AC38">
            <v>381173972</v>
          </cell>
          <cell r="AD38">
            <v>429823175</v>
          </cell>
          <cell r="AE38">
            <v>432589499</v>
          </cell>
          <cell r="AF38">
            <v>499649256</v>
          </cell>
          <cell r="AG38">
            <v>569491776.40999997</v>
          </cell>
          <cell r="AH38">
            <v>582550831.08000004</v>
          </cell>
          <cell r="AI38">
            <v>638809048.36000001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165513808.75</v>
          </cell>
          <cell r="K39">
            <v>260499130</v>
          </cell>
          <cell r="L39">
            <v>262011225</v>
          </cell>
          <cell r="M39">
            <v>285714579</v>
          </cell>
          <cell r="N39">
            <v>308703283</v>
          </cell>
          <cell r="O39">
            <v>308888775</v>
          </cell>
          <cell r="P39">
            <v>337710076</v>
          </cell>
          <cell r="Q39">
            <v>358495224</v>
          </cell>
          <cell r="R39">
            <v>378861279</v>
          </cell>
          <cell r="S39">
            <v>398255176</v>
          </cell>
          <cell r="T39">
            <v>414268018</v>
          </cell>
          <cell r="U39">
            <v>408053985</v>
          </cell>
          <cell r="V39">
            <v>397392435</v>
          </cell>
          <cell r="W39">
            <v>368563000</v>
          </cell>
          <cell r="X39">
            <v>398084252</v>
          </cell>
          <cell r="Y39">
            <v>393181964</v>
          </cell>
          <cell r="Z39">
            <v>355314996</v>
          </cell>
          <cell r="AA39">
            <v>355777488</v>
          </cell>
          <cell r="AB39">
            <v>381173972</v>
          </cell>
          <cell r="AC39">
            <v>381173972</v>
          </cell>
          <cell r="AD39">
            <v>429823175</v>
          </cell>
          <cell r="AE39">
            <v>432589499</v>
          </cell>
          <cell r="AF39">
            <v>499649256</v>
          </cell>
          <cell r="AG39">
            <v>569491776.40999997</v>
          </cell>
          <cell r="AH39">
            <v>582550831.08000004</v>
          </cell>
          <cell r="AI39">
            <v>638809048.36000001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1179328626.8800001</v>
          </cell>
          <cell r="K42">
            <v>118247860.28999999</v>
          </cell>
          <cell r="L42">
            <v>227374949.64999998</v>
          </cell>
          <cell r="M42">
            <v>334961295.68999994</v>
          </cell>
          <cell r="N42">
            <v>451220587</v>
          </cell>
          <cell r="O42">
            <v>573134013</v>
          </cell>
          <cell r="P42">
            <v>726007564</v>
          </cell>
          <cell r="Q42">
            <v>852064986</v>
          </cell>
          <cell r="R42">
            <v>990012760</v>
          </cell>
          <cell r="S42">
            <v>1127124455</v>
          </cell>
          <cell r="T42">
            <v>1270982730</v>
          </cell>
          <cell r="U42">
            <v>1419341653</v>
          </cell>
          <cell r="V42">
            <v>1566976776</v>
          </cell>
          <cell r="W42">
            <v>1577820000</v>
          </cell>
          <cell r="X42">
            <v>166931392.56</v>
          </cell>
          <cell r="Y42">
            <v>310834447.06999999</v>
          </cell>
          <cell r="Z42">
            <v>426417980.56999999</v>
          </cell>
          <cell r="AA42">
            <v>696993651</v>
          </cell>
          <cell r="AB42">
            <v>850055068</v>
          </cell>
          <cell r="AC42">
            <v>1011536632</v>
          </cell>
          <cell r="AD42">
            <v>1218070524</v>
          </cell>
          <cell r="AE42">
            <v>1396709858</v>
          </cell>
          <cell r="AF42">
            <v>1582193875</v>
          </cell>
          <cell r="AG42">
            <v>1750708823.4300001</v>
          </cell>
          <cell r="AH42">
            <v>1962179353.9400001</v>
          </cell>
          <cell r="AI42">
            <v>2148935192.71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603269331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1974416</v>
          </cell>
          <cell r="P49">
            <v>1974416</v>
          </cell>
          <cell r="Q49">
            <v>2420963</v>
          </cell>
          <cell r="R49">
            <v>3273405</v>
          </cell>
          <cell r="S49">
            <v>3273405</v>
          </cell>
          <cell r="T49">
            <v>3723609</v>
          </cell>
          <cell r="U49">
            <v>4693092</v>
          </cell>
          <cell r="V49">
            <v>5156598</v>
          </cell>
          <cell r="W49">
            <v>694433000</v>
          </cell>
          <cell r="X49">
            <v>7553.2</v>
          </cell>
          <cell r="Y49">
            <v>15643.4</v>
          </cell>
          <cell r="Z49">
            <v>38893.4</v>
          </cell>
          <cell r="AA49">
            <v>38926</v>
          </cell>
          <cell r="AB49">
            <v>41140903</v>
          </cell>
          <cell r="AC49">
            <v>41140903</v>
          </cell>
          <cell r="AD49">
            <v>42246818</v>
          </cell>
          <cell r="AE49">
            <v>4145469</v>
          </cell>
          <cell r="AF49">
            <v>4177019</v>
          </cell>
          <cell r="AG49">
            <v>4179519.05</v>
          </cell>
          <cell r="AH49">
            <v>4185019.05</v>
          </cell>
          <cell r="AI49">
            <v>4185019.05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83311000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17735472.850000001</v>
          </cell>
          <cell r="K51">
            <v>0</v>
          </cell>
          <cell r="L51">
            <v>0</v>
          </cell>
          <cell r="M51">
            <v>0</v>
          </cell>
          <cell r="N51">
            <v>2378082</v>
          </cell>
          <cell r="O51">
            <v>8581279</v>
          </cell>
          <cell r="P51">
            <v>10639726</v>
          </cell>
          <cell r="Q51">
            <v>14558809</v>
          </cell>
          <cell r="R51">
            <v>16996811</v>
          </cell>
          <cell r="S51">
            <v>18797671</v>
          </cell>
          <cell r="T51">
            <v>21879720</v>
          </cell>
          <cell r="U51">
            <v>27130702</v>
          </cell>
          <cell r="V51">
            <v>32854892</v>
          </cell>
          <cell r="W51">
            <v>39634000</v>
          </cell>
          <cell r="X51">
            <v>5505055.9400000004</v>
          </cell>
          <cell r="Y51">
            <v>12440324.699999999</v>
          </cell>
          <cell r="Z51">
            <v>21008575.699999999</v>
          </cell>
          <cell r="AA51">
            <v>27627245</v>
          </cell>
          <cell r="AB51">
            <v>35417247</v>
          </cell>
          <cell r="AC51">
            <v>38915118</v>
          </cell>
          <cell r="AD51">
            <v>40564433</v>
          </cell>
          <cell r="AE51">
            <v>43102417</v>
          </cell>
          <cell r="AF51">
            <v>47437216</v>
          </cell>
          <cell r="AG51">
            <v>49595531.829999998</v>
          </cell>
          <cell r="AH51">
            <v>51573834.640000001</v>
          </cell>
          <cell r="AI51">
            <v>55472399.670000002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137496741.13</v>
          </cell>
          <cell r="K53">
            <v>16988575.699999999</v>
          </cell>
          <cell r="L53">
            <v>27835041.879999999</v>
          </cell>
          <cell r="M53">
            <v>40457848.409999996</v>
          </cell>
          <cell r="N53">
            <v>63168518</v>
          </cell>
          <cell r="O53">
            <v>73106613</v>
          </cell>
          <cell r="P53">
            <v>83294767</v>
          </cell>
          <cell r="Q53">
            <v>96712410</v>
          </cell>
          <cell r="R53">
            <v>112724540</v>
          </cell>
          <cell r="S53">
            <v>128075312</v>
          </cell>
          <cell r="T53">
            <v>144766144</v>
          </cell>
          <cell r="U53">
            <v>153385995</v>
          </cell>
          <cell r="V53">
            <v>156905648</v>
          </cell>
          <cell r="W53">
            <v>209328000</v>
          </cell>
          <cell r="X53">
            <v>1440257.2000000002</v>
          </cell>
          <cell r="Y53">
            <v>8496061.7599999998</v>
          </cell>
          <cell r="Z53">
            <v>69714738.150000006</v>
          </cell>
          <cell r="AA53">
            <v>63679678</v>
          </cell>
          <cell r="AB53">
            <v>96765834</v>
          </cell>
          <cell r="AC53">
            <v>109777176</v>
          </cell>
          <cell r="AD53">
            <v>126041623</v>
          </cell>
          <cell r="AE53">
            <v>136889028</v>
          </cell>
          <cell r="AF53">
            <v>137103359</v>
          </cell>
          <cell r="AG53">
            <v>158322755.34999999</v>
          </cell>
          <cell r="AH53">
            <v>178990730.20000002</v>
          </cell>
          <cell r="AI53">
            <v>195655362.68000001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52843138</v>
          </cell>
          <cell r="K54">
            <v>2016434</v>
          </cell>
          <cell r="L54">
            <v>6512320</v>
          </cell>
          <cell r="M54">
            <v>9589390</v>
          </cell>
          <cell r="N54">
            <v>25310019</v>
          </cell>
          <cell r="O54">
            <v>28046442</v>
          </cell>
          <cell r="P54">
            <v>30746511</v>
          </cell>
          <cell r="Q54">
            <v>33726879</v>
          </cell>
          <cell r="R54">
            <v>37778396</v>
          </cell>
          <cell r="S54">
            <v>42120879</v>
          </cell>
          <cell r="T54">
            <v>46747128</v>
          </cell>
          <cell r="U54">
            <v>52146939</v>
          </cell>
          <cell r="V54">
            <v>47693123</v>
          </cell>
          <cell r="W54">
            <v>110151000</v>
          </cell>
          <cell r="X54">
            <v>3798757.1</v>
          </cell>
          <cell r="Y54">
            <v>31651713.789999999</v>
          </cell>
          <cell r="Z54">
            <v>32863444.969999999</v>
          </cell>
          <cell r="AA54">
            <v>41072449</v>
          </cell>
          <cell r="AB54">
            <v>46395476</v>
          </cell>
          <cell r="AC54">
            <v>49707976</v>
          </cell>
          <cell r="AD54">
            <v>55224358</v>
          </cell>
          <cell r="AE54">
            <v>60908281</v>
          </cell>
          <cell r="AF54">
            <v>55630238</v>
          </cell>
          <cell r="AG54">
            <v>62351002.439999998</v>
          </cell>
          <cell r="AH54">
            <v>68187119.239999995</v>
          </cell>
          <cell r="AI54">
            <v>66646982.130000003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51"/>
  <sheetViews>
    <sheetView zoomScale="93" zoomScaleNormal="93" workbookViewId="0">
      <pane xSplit="1" ySplit="3" topLeftCell="CA13" activePane="bottomRight" state="frozen"/>
      <selection pane="bottomRight" activeCell="CB21" sqref="CB21:CC21"/>
      <selection pane="bottomLeft" activeCell="A4" sqref="A4"/>
      <selection pane="topRight" activeCell="B1" sqref="B1"/>
    </sheetView>
  </sheetViews>
  <sheetFormatPr defaultRowHeight="15" customHeight="1"/>
  <cols>
    <col min="1" max="1" width="40.85546875" customWidth="1"/>
    <col min="2" max="2" width="21" customWidth="1"/>
    <col min="3" max="3" width="21.85546875" customWidth="1"/>
    <col min="4" max="4" width="24.85546875" customWidth="1"/>
    <col min="5" max="5" width="25.28515625" customWidth="1"/>
    <col min="6" max="6" width="23.28515625" customWidth="1"/>
    <col min="7" max="7" width="18.7109375" customWidth="1"/>
    <col min="8" max="8" width="20.5703125" customWidth="1"/>
    <col min="9" max="21" width="19.5703125" customWidth="1"/>
    <col min="22" max="34" width="21.7109375" customWidth="1"/>
    <col min="35" max="40" width="22.42578125" bestFit="1" customWidth="1"/>
    <col min="41" max="41" width="23.140625" customWidth="1"/>
    <col min="42" max="42" width="23" customWidth="1"/>
    <col min="43" max="43" width="22.28515625" customWidth="1"/>
    <col min="44" max="44" width="22.85546875" customWidth="1"/>
    <col min="45" max="45" width="22.5703125" customWidth="1"/>
    <col min="46" max="46" width="24" customWidth="1"/>
    <col min="47" max="47" width="22.42578125" hidden="1" customWidth="1"/>
    <col min="48" max="48" width="23.140625" hidden="1" customWidth="1"/>
    <col min="49" max="49" width="22.42578125" hidden="1" customWidth="1"/>
    <col min="50" max="51" width="17.5703125" hidden="1" customWidth="1"/>
    <col min="52" max="52" width="21.140625" hidden="1" customWidth="1"/>
    <col min="53" max="53" width="19" hidden="1" customWidth="1"/>
    <col min="54" max="54" width="20.42578125" hidden="1" customWidth="1"/>
    <col min="55" max="55" width="19.28515625" hidden="1" customWidth="1"/>
    <col min="56" max="57" width="19.140625" hidden="1" customWidth="1"/>
    <col min="58" max="58" width="16.85546875" customWidth="1"/>
    <col min="59" max="71" width="16.85546875" style="27" customWidth="1"/>
    <col min="72" max="72" width="17.7109375" customWidth="1"/>
    <col min="73" max="73" width="18.42578125" customWidth="1"/>
    <col min="74" max="74" width="18.140625" customWidth="1"/>
    <col min="75" max="75" width="17.7109375" customWidth="1"/>
    <col min="76" max="76" width="17.85546875" customWidth="1"/>
    <col min="77" max="77" width="18" customWidth="1"/>
    <col min="78" max="78" width="17.7109375" customWidth="1"/>
    <col min="79" max="79" width="17" customWidth="1"/>
    <col min="80" max="80" width="15.42578125" customWidth="1"/>
    <col min="81" max="81" width="16.5703125" customWidth="1"/>
  </cols>
  <sheetData>
    <row r="1" spans="1:82" ht="15" customHeight="1">
      <c r="A1" s="279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</row>
    <row r="3" spans="1:82" ht="12.6" customHeight="1">
      <c r="A3" s="159"/>
      <c r="B3" s="213" t="s">
        <v>0</v>
      </c>
      <c r="C3" s="213" t="s">
        <v>1</v>
      </c>
      <c r="D3" s="213" t="s">
        <v>2</v>
      </c>
      <c r="E3" s="213" t="s">
        <v>3</v>
      </c>
      <c r="F3" s="213" t="s">
        <v>4</v>
      </c>
      <c r="G3" s="213" t="s">
        <v>5</v>
      </c>
      <c r="H3" s="213" t="s">
        <v>6</v>
      </c>
      <c r="I3" s="213">
        <v>43101</v>
      </c>
      <c r="J3" s="213">
        <v>43132</v>
      </c>
      <c r="K3" s="213">
        <v>43160</v>
      </c>
      <c r="L3" s="213">
        <v>43191</v>
      </c>
      <c r="M3" s="213">
        <v>43221</v>
      </c>
      <c r="N3" s="213">
        <v>43252</v>
      </c>
      <c r="O3" s="213">
        <v>43282</v>
      </c>
      <c r="P3" s="213">
        <v>43313</v>
      </c>
      <c r="Q3" s="213">
        <v>43344</v>
      </c>
      <c r="R3" s="213">
        <v>43374</v>
      </c>
      <c r="S3" s="213">
        <v>43405</v>
      </c>
      <c r="T3" s="213">
        <v>43435</v>
      </c>
      <c r="U3" s="213" t="s">
        <v>7</v>
      </c>
      <c r="V3" s="213">
        <v>43466</v>
      </c>
      <c r="W3" s="213">
        <v>43497</v>
      </c>
      <c r="X3" s="213">
        <v>43525</v>
      </c>
      <c r="Y3" s="213">
        <v>43556</v>
      </c>
      <c r="Z3" s="213">
        <v>43586</v>
      </c>
      <c r="AA3" s="213">
        <v>43617</v>
      </c>
      <c r="AB3" s="213">
        <v>43647</v>
      </c>
      <c r="AC3" s="213">
        <v>43678</v>
      </c>
      <c r="AD3" s="213">
        <v>43709</v>
      </c>
      <c r="AE3" s="213">
        <v>43739</v>
      </c>
      <c r="AF3" s="213">
        <v>43770</v>
      </c>
      <c r="AG3" s="213">
        <v>43800</v>
      </c>
      <c r="AH3" s="213" t="s">
        <v>8</v>
      </c>
      <c r="AI3" s="213">
        <v>43831</v>
      </c>
      <c r="AJ3" s="213">
        <v>43862</v>
      </c>
      <c r="AK3" s="213">
        <v>43891</v>
      </c>
      <c r="AL3" s="213">
        <v>43922</v>
      </c>
      <c r="AM3" s="213">
        <v>43952</v>
      </c>
      <c r="AN3" s="213">
        <v>43983</v>
      </c>
      <c r="AO3" s="213">
        <v>44044</v>
      </c>
      <c r="AP3" s="213">
        <v>44075</v>
      </c>
      <c r="AQ3" s="213">
        <v>44105</v>
      </c>
      <c r="AR3" s="213">
        <v>44136</v>
      </c>
      <c r="AS3" s="213">
        <v>44166</v>
      </c>
      <c r="AT3" s="213" t="s">
        <v>9</v>
      </c>
      <c r="AU3" s="213">
        <v>44197</v>
      </c>
      <c r="AV3" s="213">
        <v>44228</v>
      </c>
      <c r="AW3" s="213">
        <v>44256</v>
      </c>
      <c r="AX3" s="213">
        <v>44287</v>
      </c>
      <c r="AY3" s="213">
        <v>44317</v>
      </c>
      <c r="AZ3" s="213">
        <v>44348</v>
      </c>
      <c r="BA3" s="213">
        <v>44378</v>
      </c>
      <c r="BB3" s="213">
        <v>44409</v>
      </c>
      <c r="BC3" s="213">
        <v>44440</v>
      </c>
      <c r="BD3" s="213">
        <v>44470</v>
      </c>
      <c r="BE3" s="213">
        <v>44501</v>
      </c>
      <c r="BF3" s="213">
        <v>44531</v>
      </c>
      <c r="BG3" s="360" t="s">
        <v>10</v>
      </c>
      <c r="BH3" s="379">
        <v>44562</v>
      </c>
      <c r="BI3" s="379">
        <v>44593</v>
      </c>
      <c r="BJ3" s="379">
        <v>44621</v>
      </c>
      <c r="BK3" s="379">
        <v>44652</v>
      </c>
      <c r="BL3" s="379">
        <v>44682</v>
      </c>
      <c r="BM3" s="379">
        <v>44713</v>
      </c>
      <c r="BN3" s="379">
        <v>44743</v>
      </c>
      <c r="BO3" s="379">
        <v>44774</v>
      </c>
      <c r="BP3" s="379">
        <v>44805</v>
      </c>
      <c r="BQ3" s="379">
        <v>44835</v>
      </c>
      <c r="BR3" s="379">
        <v>44866</v>
      </c>
      <c r="BS3" s="379">
        <v>44896</v>
      </c>
      <c r="BT3" s="370" t="s">
        <v>11</v>
      </c>
      <c r="BU3" s="371">
        <v>44927</v>
      </c>
      <c r="BV3" s="371">
        <v>44958</v>
      </c>
      <c r="BW3" s="371">
        <v>44986</v>
      </c>
      <c r="BX3" s="372">
        <v>45017</v>
      </c>
      <c r="BY3" s="372">
        <v>45047</v>
      </c>
      <c r="BZ3" s="372">
        <v>45078</v>
      </c>
      <c r="CA3" s="372">
        <v>45108</v>
      </c>
      <c r="CB3" s="372">
        <v>45139</v>
      </c>
      <c r="CC3" s="372">
        <v>45170</v>
      </c>
    </row>
    <row r="4" spans="1:82">
      <c r="A4" s="160" t="s">
        <v>12</v>
      </c>
      <c r="B4" s="214">
        <f t="shared" ref="B4:I4" si="0">(B5+B6)</f>
        <v>4171061</v>
      </c>
      <c r="C4" s="214">
        <f t="shared" si="0"/>
        <v>2005744</v>
      </c>
      <c r="D4" s="214">
        <f t="shared" si="0"/>
        <v>8488741</v>
      </c>
      <c r="E4" s="214">
        <f t="shared" si="0"/>
        <v>13617624</v>
      </c>
      <c r="F4" s="214">
        <f t="shared" si="0"/>
        <v>37177</v>
      </c>
      <c r="G4" s="214">
        <f t="shared" si="0"/>
        <v>11883011</v>
      </c>
      <c r="H4" s="214">
        <f t="shared" si="0"/>
        <v>42565374</v>
      </c>
      <c r="I4" s="214">
        <f t="shared" si="0"/>
        <v>5094394.7300000004</v>
      </c>
      <c r="J4" s="214">
        <f t="shared" ref="J4:S4" si="1">(J5+J6)</f>
        <v>6995688.7000000002</v>
      </c>
      <c r="K4" s="214">
        <f t="shared" si="1"/>
        <v>7681109.75</v>
      </c>
      <c r="L4" s="214">
        <f t="shared" si="1"/>
        <v>7939203.7199999997</v>
      </c>
      <c r="M4" s="214">
        <f t="shared" si="1"/>
        <v>7712425.25</v>
      </c>
      <c r="N4" s="214">
        <f t="shared" si="1"/>
        <v>6939928.6600000001</v>
      </c>
      <c r="O4" s="214">
        <f t="shared" si="1"/>
        <v>14849527.799999999</v>
      </c>
      <c r="P4" s="214">
        <f t="shared" si="1"/>
        <v>9766786.2899999991</v>
      </c>
      <c r="Q4" s="214">
        <f t="shared" si="1"/>
        <v>14585262.080000002</v>
      </c>
      <c r="R4" s="214">
        <f t="shared" si="1"/>
        <v>7539089.1500000004</v>
      </c>
      <c r="S4" s="214">
        <f t="shared" si="1"/>
        <v>15493054.559999999</v>
      </c>
      <c r="T4" s="214">
        <f>(T5+T6)</f>
        <v>10163473.310000001</v>
      </c>
      <c r="U4" s="214">
        <f>(U5+U6)</f>
        <v>12173561</v>
      </c>
      <c r="V4" s="214">
        <f>(V5+V6)</f>
        <v>11626040.51</v>
      </c>
      <c r="W4" s="214">
        <f t="shared" ref="W4:AB4" si="2">(W5+W6)</f>
        <v>6073682.0800000001</v>
      </c>
      <c r="X4" s="214">
        <f t="shared" si="2"/>
        <v>14704856.51</v>
      </c>
      <c r="Y4" s="214">
        <f t="shared" si="2"/>
        <v>12226373.42</v>
      </c>
      <c r="Z4" s="214">
        <f t="shared" si="2"/>
        <v>12899866.050000001</v>
      </c>
      <c r="AA4" s="214">
        <f t="shared" si="2"/>
        <v>14318216.26</v>
      </c>
      <c r="AB4" s="214">
        <f t="shared" si="2"/>
        <v>12332054.77</v>
      </c>
      <c r="AC4" s="214">
        <f t="shared" ref="AC4:AH4" si="3">(AC5+AC6)</f>
        <v>9972623.629999999</v>
      </c>
      <c r="AD4" s="214">
        <f t="shared" si="3"/>
        <v>11890853.199999999</v>
      </c>
      <c r="AE4" s="214">
        <f t="shared" si="3"/>
        <v>13073754.65</v>
      </c>
      <c r="AF4" s="214">
        <f t="shared" si="3"/>
        <v>9990387.9000000004</v>
      </c>
      <c r="AG4" s="214">
        <f t="shared" si="3"/>
        <v>8493781.5399999991</v>
      </c>
      <c r="AH4" s="214">
        <f t="shared" si="3"/>
        <v>10271564</v>
      </c>
      <c r="AI4" s="214">
        <f t="shared" ref="AI4:AT4" si="4">(AI5+AI6)</f>
        <v>14377209.370000001</v>
      </c>
      <c r="AJ4" s="214">
        <f t="shared" si="4"/>
        <v>14587315.08</v>
      </c>
      <c r="AK4" s="214">
        <f t="shared" si="4"/>
        <v>10244762.91</v>
      </c>
      <c r="AL4" s="214">
        <f t="shared" si="4"/>
        <v>12045597.07</v>
      </c>
      <c r="AM4" s="214">
        <f t="shared" si="4"/>
        <v>13761699.4</v>
      </c>
      <c r="AN4" s="214">
        <f t="shared" si="4"/>
        <v>12716380.530000001</v>
      </c>
      <c r="AO4" s="214">
        <f t="shared" si="4"/>
        <v>20043046.330000002</v>
      </c>
      <c r="AP4" s="214">
        <f t="shared" si="4"/>
        <v>18162519.670000002</v>
      </c>
      <c r="AQ4" s="214">
        <f t="shared" si="4"/>
        <v>17833220.420000002</v>
      </c>
      <c r="AR4" s="214">
        <f t="shared" si="4"/>
        <v>20761006.350000001</v>
      </c>
      <c r="AS4" s="214">
        <f t="shared" si="4"/>
        <v>13629212.58</v>
      </c>
      <c r="AT4" s="214">
        <f t="shared" si="4"/>
        <v>13629213</v>
      </c>
      <c r="AU4" s="214">
        <f t="shared" ref="AU4:BC4" si="5">(AU5+AU6)</f>
        <v>10090201.129999999</v>
      </c>
      <c r="AV4" s="214">
        <f t="shared" si="5"/>
        <v>10164980.42</v>
      </c>
      <c r="AW4" s="214">
        <f t="shared" si="5"/>
        <v>15739850.279999999</v>
      </c>
      <c r="AX4" s="214">
        <f t="shared" si="5"/>
        <v>14528923.029999999</v>
      </c>
      <c r="AY4" s="214">
        <f t="shared" si="5"/>
        <v>15124080.02</v>
      </c>
      <c r="AZ4" s="214">
        <f t="shared" si="5"/>
        <v>17350123.100000001</v>
      </c>
      <c r="BA4" s="214">
        <f t="shared" si="5"/>
        <v>15285502.220000001</v>
      </c>
      <c r="BB4" s="214">
        <f t="shared" si="5"/>
        <v>17100474.670000002</v>
      </c>
      <c r="BC4" s="214">
        <f t="shared" si="5"/>
        <v>8850500.2699999996</v>
      </c>
      <c r="BD4" s="214">
        <f t="shared" ref="BD4:BS4" si="6">(BD5+BD6)</f>
        <v>15272313.15</v>
      </c>
      <c r="BE4" s="214">
        <f t="shared" si="6"/>
        <v>19209436.050000001</v>
      </c>
      <c r="BF4" s="214">
        <f t="shared" si="6"/>
        <v>17199391.629999999</v>
      </c>
      <c r="BG4" s="214">
        <f t="shared" si="6"/>
        <v>17087703</v>
      </c>
      <c r="BH4" s="214">
        <f t="shared" si="6"/>
        <v>17397146.609999999</v>
      </c>
      <c r="BI4" s="214">
        <f t="shared" si="6"/>
        <v>18719157.109999999</v>
      </c>
      <c r="BJ4" s="214">
        <f t="shared" si="6"/>
        <v>18438549</v>
      </c>
      <c r="BK4" s="214">
        <f t="shared" si="6"/>
        <v>13431467.77</v>
      </c>
      <c r="BL4" s="214">
        <f t="shared" si="6"/>
        <v>14518031.890000001</v>
      </c>
      <c r="BM4" s="214">
        <f t="shared" si="6"/>
        <v>17605493.82</v>
      </c>
      <c r="BN4" s="214">
        <f t="shared" si="6"/>
        <v>16223475.210000001</v>
      </c>
      <c r="BO4" s="214">
        <f t="shared" si="6"/>
        <v>17678876.869999997</v>
      </c>
      <c r="BP4" s="214">
        <f t="shared" si="6"/>
        <v>16816241.699999999</v>
      </c>
      <c r="BQ4" s="214">
        <f t="shared" si="6"/>
        <v>19042602.060000002</v>
      </c>
      <c r="BR4" s="214">
        <f t="shared" si="6"/>
        <v>18563784.27</v>
      </c>
      <c r="BS4" s="214">
        <f t="shared" si="6"/>
        <v>15345681.210000001</v>
      </c>
      <c r="BT4" s="214">
        <f t="shared" ref="BT4:BX4" si="7">(BT5+BT6)</f>
        <v>0</v>
      </c>
      <c r="BU4" s="214">
        <f t="shared" si="7"/>
        <v>15048733.49</v>
      </c>
      <c r="BV4" s="214">
        <f t="shared" si="7"/>
        <v>15476952.48</v>
      </c>
      <c r="BW4" s="214">
        <f t="shared" si="7"/>
        <v>14772710.66</v>
      </c>
      <c r="BX4" s="214">
        <f t="shared" si="7"/>
        <v>14218958.77</v>
      </c>
      <c r="BY4" s="214">
        <f>(BY5+BY6)</f>
        <v>13665496.380000001</v>
      </c>
      <c r="BZ4" s="214">
        <f>(BZ5+BZ6)</f>
        <v>14856677.91</v>
      </c>
      <c r="CA4" s="214">
        <f>(CA5+CA6)</f>
        <v>13009133.359999999</v>
      </c>
      <c r="CB4" s="214">
        <f>(CB5+CB6)</f>
        <v>14450191.83</v>
      </c>
      <c r="CC4" s="214">
        <f>(CC5+CC6)</f>
        <v>8208949.6100000003</v>
      </c>
    </row>
    <row r="5" spans="1:82" ht="15" customHeight="1">
      <c r="A5" s="161" t="s">
        <v>13</v>
      </c>
      <c r="B5" s="283">
        <v>4171061</v>
      </c>
      <c r="C5" s="288">
        <v>57008</v>
      </c>
      <c r="D5" s="283">
        <v>332646</v>
      </c>
      <c r="E5" s="283">
        <v>1730565</v>
      </c>
      <c r="F5" s="288">
        <v>37177</v>
      </c>
      <c r="G5" s="291">
        <v>65515</v>
      </c>
      <c r="H5" s="283">
        <f>2605926+300000+45078</f>
        <v>2951004</v>
      </c>
      <c r="I5" s="297">
        <v>2100894.37</v>
      </c>
      <c r="J5" s="297">
        <v>2840718.87</v>
      </c>
      <c r="K5" s="297">
        <v>2948528.87</v>
      </c>
      <c r="L5" s="297">
        <v>3616298.87</v>
      </c>
      <c r="M5" s="297">
        <v>3715914.87</v>
      </c>
      <c r="N5" s="297">
        <v>3993690.87</v>
      </c>
      <c r="O5" s="297">
        <v>5662806.8499999996</v>
      </c>
      <c r="P5" s="297">
        <v>5249447.87</v>
      </c>
      <c r="Q5" s="297">
        <v>3867987.87</v>
      </c>
      <c r="R5" s="297">
        <v>4106300.87</v>
      </c>
      <c r="S5" s="297">
        <v>3993895.87</v>
      </c>
      <c r="T5" s="297">
        <v>6081154.8700000001</v>
      </c>
      <c r="U5" s="283">
        <v>2243873</v>
      </c>
      <c r="V5" s="329">
        <v>3051990.82</v>
      </c>
      <c r="W5" s="329">
        <v>1952496.82</v>
      </c>
      <c r="X5" s="329">
        <v>1595603.82</v>
      </c>
      <c r="Y5" s="329">
        <v>4392495.82</v>
      </c>
      <c r="Z5" s="329">
        <v>5063685.82</v>
      </c>
      <c r="AA5" s="329">
        <v>1991970.82</v>
      </c>
      <c r="AB5" s="329">
        <v>2091535.82</v>
      </c>
      <c r="AC5" s="329">
        <v>3503758.82</v>
      </c>
      <c r="AD5" s="329">
        <v>5119051.82</v>
      </c>
      <c r="AE5" s="297">
        <v>2816540.82</v>
      </c>
      <c r="AF5" s="297">
        <v>2707491.45</v>
      </c>
      <c r="AG5" s="297">
        <v>2893023.45</v>
      </c>
      <c r="AH5" s="283">
        <f>1302655+300000</f>
        <v>1602655</v>
      </c>
      <c r="AI5" s="276">
        <v>4472837.45</v>
      </c>
      <c r="AJ5" s="276">
        <v>2707137.35</v>
      </c>
      <c r="AK5" s="276">
        <v>3765246.35</v>
      </c>
      <c r="AL5" s="276">
        <v>5676413.3499999996</v>
      </c>
      <c r="AM5" s="276">
        <v>3006496.35</v>
      </c>
      <c r="AN5" s="276">
        <v>5635720.04</v>
      </c>
      <c r="AO5" s="276">
        <v>1602603.01</v>
      </c>
      <c r="AP5" s="276">
        <v>3007278.01</v>
      </c>
      <c r="AQ5" s="276">
        <v>2304652.0099999998</v>
      </c>
      <c r="AR5" s="276">
        <v>910635.01</v>
      </c>
      <c r="AS5" s="276">
        <v>1117021.01</v>
      </c>
      <c r="AT5" s="285">
        <f>350000+767021</f>
        <v>1117021</v>
      </c>
      <c r="AU5" s="276">
        <v>841826.01</v>
      </c>
      <c r="AV5" s="276">
        <v>788748</v>
      </c>
      <c r="AW5" s="276">
        <v>3515180</v>
      </c>
      <c r="AX5" s="276">
        <v>2921068</v>
      </c>
      <c r="AY5" s="276">
        <v>3590315</v>
      </c>
      <c r="AZ5" s="341">
        <v>1243230</v>
      </c>
      <c r="BA5" s="343">
        <v>1386686</v>
      </c>
      <c r="BB5" s="341">
        <v>663432</v>
      </c>
      <c r="BC5" s="341">
        <v>540291</v>
      </c>
      <c r="BD5" s="341">
        <v>2948963</v>
      </c>
      <c r="BE5" s="343">
        <v>1133778</v>
      </c>
      <c r="BF5" s="355">
        <v>3138609.6</v>
      </c>
      <c r="BG5" s="361">
        <f>2788610+350000</f>
        <v>3138610</v>
      </c>
      <c r="BH5" s="341">
        <v>3478146.6</v>
      </c>
      <c r="BI5" s="343">
        <v>2466128</v>
      </c>
      <c r="BJ5" s="343">
        <v>3902992</v>
      </c>
      <c r="BK5" s="343">
        <v>1762070</v>
      </c>
      <c r="BL5" s="343">
        <v>3494705</v>
      </c>
      <c r="BM5" s="343">
        <v>1524682</v>
      </c>
      <c r="BN5" s="343">
        <v>3230642</v>
      </c>
      <c r="BO5" s="343">
        <v>3653246</v>
      </c>
      <c r="BP5" s="343">
        <v>2222849</v>
      </c>
      <c r="BQ5" s="343">
        <v>3421109</v>
      </c>
      <c r="BR5" s="343">
        <v>1811561</v>
      </c>
      <c r="BS5" s="391">
        <v>1523834</v>
      </c>
      <c r="BT5" s="390"/>
      <c r="BU5" s="341">
        <v>2267414</v>
      </c>
      <c r="BV5" s="343">
        <v>3612357</v>
      </c>
      <c r="BW5" s="343">
        <v>2426230</v>
      </c>
      <c r="BX5" s="341">
        <v>2095832</v>
      </c>
      <c r="BY5" s="381">
        <v>1168771</v>
      </c>
      <c r="BZ5" s="341">
        <v>3055884</v>
      </c>
      <c r="CA5" s="341">
        <v>1218725</v>
      </c>
      <c r="CB5" s="341">
        <v>3040357</v>
      </c>
      <c r="CC5" s="434">
        <v>644681</v>
      </c>
    </row>
    <row r="6" spans="1:82">
      <c r="A6" s="161" t="s">
        <v>14</v>
      </c>
      <c r="B6" s="283"/>
      <c r="C6" s="288">
        <v>1948736</v>
      </c>
      <c r="D6" s="283">
        <v>8156095</v>
      </c>
      <c r="E6" s="283">
        <f>13617624-E5</f>
        <v>11887059</v>
      </c>
      <c r="F6" s="283"/>
      <c r="G6" s="283">
        <f>11883011-G5</f>
        <v>11817496</v>
      </c>
      <c r="H6" s="283">
        <v>39614370</v>
      </c>
      <c r="I6" s="297">
        <v>2993500.36</v>
      </c>
      <c r="J6" s="297">
        <v>4154969.83</v>
      </c>
      <c r="K6" s="297">
        <v>4732580.88</v>
      </c>
      <c r="L6" s="297">
        <v>4322904.8499999996</v>
      </c>
      <c r="M6" s="297">
        <v>3996510.38</v>
      </c>
      <c r="N6" s="297">
        <v>2946237.79</v>
      </c>
      <c r="O6" s="297">
        <v>9186720.9499999993</v>
      </c>
      <c r="P6" s="297">
        <v>4517338.42</v>
      </c>
      <c r="Q6" s="297">
        <v>10717274.210000001</v>
      </c>
      <c r="R6" s="297">
        <v>3432788.28</v>
      </c>
      <c r="S6" s="297">
        <v>11499158.689999999</v>
      </c>
      <c r="T6" s="297">
        <v>4082318.44</v>
      </c>
      <c r="U6" s="283">
        <v>9929688</v>
      </c>
      <c r="V6" s="329">
        <v>8574049.6899999995</v>
      </c>
      <c r="W6" s="329">
        <v>4121185.26</v>
      </c>
      <c r="X6" s="329">
        <v>13109252.689999999</v>
      </c>
      <c r="Y6" s="329">
        <v>7833877.5999999996</v>
      </c>
      <c r="Z6" s="329">
        <v>7836180.2300000004</v>
      </c>
      <c r="AA6" s="329">
        <v>12326245.439999999</v>
      </c>
      <c r="AB6" s="329">
        <v>10240518.949999999</v>
      </c>
      <c r="AC6" s="329">
        <v>6468864.8099999996</v>
      </c>
      <c r="AD6" s="329">
        <v>6771801.3799999999</v>
      </c>
      <c r="AE6" s="297">
        <v>10257213.83</v>
      </c>
      <c r="AF6" s="297">
        <v>7282896.4500000002</v>
      </c>
      <c r="AG6" s="297">
        <v>5600758.0899999999</v>
      </c>
      <c r="AH6" s="283">
        <f>544474+809141+3448869+1159907+2614052+92466</f>
        <v>8668909</v>
      </c>
      <c r="AI6" s="276">
        <v>9904371.9199999999</v>
      </c>
      <c r="AJ6" s="276">
        <v>11880177.73</v>
      </c>
      <c r="AK6" s="276">
        <v>6479516.5599999996</v>
      </c>
      <c r="AL6" s="276">
        <v>6369183.7199999997</v>
      </c>
      <c r="AM6" s="276">
        <v>10755203.050000001</v>
      </c>
      <c r="AN6" s="276">
        <v>7080660.4900000002</v>
      </c>
      <c r="AO6" s="276">
        <v>18440443.32</v>
      </c>
      <c r="AP6" s="276">
        <v>15155241.66</v>
      </c>
      <c r="AQ6" s="276">
        <v>15528568.41</v>
      </c>
      <c r="AR6" s="276">
        <v>19850371.34</v>
      </c>
      <c r="AS6" s="276">
        <v>12512191.57</v>
      </c>
      <c r="AT6" s="285">
        <f>244474+8683434+827268+2757016</f>
        <v>12512192</v>
      </c>
      <c r="AU6" s="276">
        <v>9248375.1199999992</v>
      </c>
      <c r="AV6" s="276">
        <v>9376232.4199999999</v>
      </c>
      <c r="AW6" s="276">
        <v>12224670.279999999</v>
      </c>
      <c r="AX6" s="276">
        <v>11607855.029999999</v>
      </c>
      <c r="AY6" s="276">
        <v>11533765.02</v>
      </c>
      <c r="AZ6" s="345">
        <v>16106893.1</v>
      </c>
      <c r="BA6" s="347">
        <v>13898816.220000001</v>
      </c>
      <c r="BB6" s="345">
        <v>16437042.67</v>
      </c>
      <c r="BC6" s="345">
        <v>8310209.2699999996</v>
      </c>
      <c r="BD6" s="345">
        <v>12323350.15</v>
      </c>
      <c r="BE6" s="347">
        <v>18075658.050000001</v>
      </c>
      <c r="BF6" s="355">
        <v>14060782.029999999</v>
      </c>
      <c r="BG6" s="361">
        <f>17087703-BG5</f>
        <v>13949093</v>
      </c>
      <c r="BH6" s="345">
        <v>13919000.01</v>
      </c>
      <c r="BI6" s="347">
        <v>16253029.109999999</v>
      </c>
      <c r="BJ6" s="347">
        <v>14535557</v>
      </c>
      <c r="BK6" s="347">
        <v>11669397.77</v>
      </c>
      <c r="BL6" s="347">
        <v>11023326.890000001</v>
      </c>
      <c r="BM6" s="347">
        <v>16080811.82</v>
      </c>
      <c r="BN6" s="347">
        <v>12992833.210000001</v>
      </c>
      <c r="BO6" s="347">
        <v>14025630.869999999</v>
      </c>
      <c r="BP6" s="347">
        <v>14593392.699999999</v>
      </c>
      <c r="BQ6" s="347">
        <v>15621493.060000001</v>
      </c>
      <c r="BR6" s="347">
        <v>16752223.27</v>
      </c>
      <c r="BS6" s="391">
        <v>13821847.210000001</v>
      </c>
      <c r="BT6" s="390"/>
      <c r="BU6" s="345">
        <v>12781319.49</v>
      </c>
      <c r="BV6" s="347">
        <v>11864595.48</v>
      </c>
      <c r="BW6" s="347">
        <v>12346480.66</v>
      </c>
      <c r="BX6" s="345">
        <v>12123126.77</v>
      </c>
      <c r="BY6" s="383">
        <v>12496725.380000001</v>
      </c>
      <c r="BZ6" s="345">
        <v>11800793.91</v>
      </c>
      <c r="CA6" s="345">
        <v>11790408.359999999</v>
      </c>
      <c r="CB6" s="345">
        <v>11409834.83</v>
      </c>
      <c r="CC6" s="436">
        <v>7564268.6100000003</v>
      </c>
    </row>
    <row r="7" spans="1:82" s="14" customFormat="1">
      <c r="A7" s="160" t="s">
        <v>15</v>
      </c>
      <c r="B7" s="283">
        <v>2679219</v>
      </c>
      <c r="C7" s="288">
        <v>863066</v>
      </c>
      <c r="D7" s="283">
        <v>2510315</v>
      </c>
      <c r="E7" s="283">
        <v>4516636</v>
      </c>
      <c r="F7" s="349">
        <v>2688882</v>
      </c>
      <c r="G7" s="349">
        <v>9292482</v>
      </c>
      <c r="H7" s="349">
        <v>2280087</v>
      </c>
      <c r="I7" s="298">
        <v>354051.21</v>
      </c>
      <c r="J7" s="298">
        <v>342674.14</v>
      </c>
      <c r="K7" s="298">
        <v>357893.57</v>
      </c>
      <c r="L7" s="298">
        <v>303292.64</v>
      </c>
      <c r="M7" s="298">
        <v>393785.73</v>
      </c>
      <c r="N7" s="298">
        <v>3283807.15</v>
      </c>
      <c r="O7" s="298">
        <v>412895.66</v>
      </c>
      <c r="P7" s="298">
        <v>2375574.27</v>
      </c>
      <c r="Q7" s="298">
        <v>-7330670.1100000003</v>
      </c>
      <c r="R7" s="298">
        <v>458062.56</v>
      </c>
      <c r="S7" s="298">
        <v>-6529366.6299999999</v>
      </c>
      <c r="T7" s="298">
        <v>3412095.9</v>
      </c>
      <c r="U7" s="328">
        <v>3966017</v>
      </c>
      <c r="V7" s="330">
        <v>1371464.67</v>
      </c>
      <c r="W7" s="330">
        <v>550435.83999999997</v>
      </c>
      <c r="X7" s="330">
        <v>2047954.63</v>
      </c>
      <c r="Y7" s="330">
        <v>394102.95</v>
      </c>
      <c r="Z7" s="330">
        <v>414766.83</v>
      </c>
      <c r="AA7" s="330">
        <v>-5886338.6799999997</v>
      </c>
      <c r="AB7" s="330">
        <v>172169.78</v>
      </c>
      <c r="AC7" s="330">
        <v>445819.29</v>
      </c>
      <c r="AD7" s="330">
        <v>459521.24</v>
      </c>
      <c r="AE7" s="298">
        <v>314946.33</v>
      </c>
      <c r="AF7" s="298">
        <v>535417.06000000006</v>
      </c>
      <c r="AG7" s="298">
        <v>418535.32</v>
      </c>
      <c r="AH7" s="349">
        <v>2019383</v>
      </c>
      <c r="AI7" s="276">
        <v>307618.88</v>
      </c>
      <c r="AJ7" s="276">
        <v>360688.41</v>
      </c>
      <c r="AK7" s="276">
        <v>578196.16</v>
      </c>
      <c r="AL7" s="276">
        <v>604875.16</v>
      </c>
      <c r="AM7" s="276">
        <v>236812.78</v>
      </c>
      <c r="AN7" s="276">
        <v>632852.16</v>
      </c>
      <c r="AO7" s="276">
        <v>560108</v>
      </c>
      <c r="AP7" s="276">
        <v>572430</v>
      </c>
      <c r="AQ7" s="276">
        <v>585589</v>
      </c>
      <c r="AR7" s="276">
        <v>599132</v>
      </c>
      <c r="AS7" s="276">
        <v>867414.81</v>
      </c>
      <c r="AT7" s="264">
        <v>1866499</v>
      </c>
      <c r="AU7" s="276">
        <v>611529</v>
      </c>
      <c r="AV7" s="276">
        <v>626207</v>
      </c>
      <c r="AW7" s="276">
        <v>637392</v>
      </c>
      <c r="AX7" s="276">
        <v>637392</v>
      </c>
      <c r="AY7" s="276">
        <v>665954</v>
      </c>
      <c r="AZ7" s="345">
        <v>685382</v>
      </c>
      <c r="BA7" s="347">
        <v>699317</v>
      </c>
      <c r="BB7" s="345">
        <v>699317</v>
      </c>
      <c r="BC7" s="345">
        <v>718911</v>
      </c>
      <c r="BD7" s="345">
        <v>741143</v>
      </c>
      <c r="BE7" s="347">
        <v>729142</v>
      </c>
      <c r="BF7" s="355">
        <v>652111.11</v>
      </c>
      <c r="BG7" s="361">
        <f>164500+1418098</f>
        <v>1582598</v>
      </c>
      <c r="BH7" s="345">
        <v>620660</v>
      </c>
      <c r="BI7" s="347">
        <v>631010</v>
      </c>
      <c r="BJ7" s="347">
        <v>636933</v>
      </c>
      <c r="BK7" s="347">
        <v>636933</v>
      </c>
      <c r="BL7" s="347">
        <v>655349</v>
      </c>
      <c r="BM7" s="347">
        <v>164500</v>
      </c>
      <c r="BN7" s="347">
        <v>172811</v>
      </c>
      <c r="BO7" s="347">
        <v>180705</v>
      </c>
      <c r="BP7" s="347">
        <v>192103</v>
      </c>
      <c r="BQ7" s="347">
        <v>192103</v>
      </c>
      <c r="BR7" s="347">
        <v>210346</v>
      </c>
      <c r="BS7" s="391">
        <v>164500</v>
      </c>
      <c r="BT7" s="390"/>
      <c r="BU7" s="345">
        <v>175667</v>
      </c>
      <c r="BV7" s="347">
        <v>187995</v>
      </c>
      <c r="BW7" s="347">
        <v>187995</v>
      </c>
      <c r="BX7" s="345">
        <v>187995</v>
      </c>
      <c r="BY7" s="383">
        <v>223545</v>
      </c>
      <c r="BZ7" s="345">
        <v>223545</v>
      </c>
      <c r="CA7" s="345">
        <v>223545</v>
      </c>
      <c r="CB7" s="345">
        <v>223545</v>
      </c>
      <c r="CC7" s="436">
        <v>164500</v>
      </c>
    </row>
    <row r="8" spans="1:82">
      <c r="A8" s="160" t="s">
        <v>16</v>
      </c>
      <c r="B8" s="214">
        <f t="shared" ref="B8:I8" si="8">(B9+B10+B11+B13+B12)</f>
        <v>4301970</v>
      </c>
      <c r="C8" s="214">
        <f t="shared" si="8"/>
        <v>4689870</v>
      </c>
      <c r="D8" s="214">
        <f t="shared" si="8"/>
        <v>6970410</v>
      </c>
      <c r="E8" s="214">
        <f t="shared" si="8"/>
        <v>9680814</v>
      </c>
      <c r="F8" s="214">
        <f t="shared" si="8"/>
        <v>11873268</v>
      </c>
      <c r="G8" s="214">
        <f t="shared" si="8"/>
        <v>13123495</v>
      </c>
      <c r="H8" s="214">
        <f t="shared" si="8"/>
        <v>14112600</v>
      </c>
      <c r="I8" s="214">
        <f t="shared" si="8"/>
        <v>0</v>
      </c>
      <c r="J8" s="214">
        <f t="shared" ref="J8:S8" si="9">(J9+J10+J11+J13+J12)</f>
        <v>0</v>
      </c>
      <c r="K8" s="214">
        <f t="shared" si="9"/>
        <v>0</v>
      </c>
      <c r="L8" s="214">
        <f t="shared" si="9"/>
        <v>0</v>
      </c>
      <c r="M8" s="214">
        <f t="shared" si="9"/>
        <v>0</v>
      </c>
      <c r="N8" s="214">
        <f t="shared" si="9"/>
        <v>0</v>
      </c>
      <c r="O8" s="214">
        <f t="shared" si="9"/>
        <v>0</v>
      </c>
      <c r="P8" s="214">
        <f t="shared" si="9"/>
        <v>0</v>
      </c>
      <c r="Q8" s="214">
        <f t="shared" si="9"/>
        <v>0</v>
      </c>
      <c r="R8" s="214">
        <f t="shared" si="9"/>
        <v>0</v>
      </c>
      <c r="S8" s="214">
        <f t="shared" si="9"/>
        <v>0</v>
      </c>
      <c r="T8" s="214">
        <f>(T9+T10+T11+T13+T12)</f>
        <v>0</v>
      </c>
      <c r="U8" s="214">
        <f>(U9+U10+U11+U13+U12)</f>
        <v>15098010.540000001</v>
      </c>
      <c r="V8" s="214">
        <f>(V9+V10+V11+V13+V12)</f>
        <v>0</v>
      </c>
      <c r="W8" s="214">
        <f t="shared" ref="W8:AB8" si="10">(W9+W10+W11+W13+W12)</f>
        <v>0</v>
      </c>
      <c r="X8" s="214">
        <f t="shared" si="10"/>
        <v>0</v>
      </c>
      <c r="Y8" s="214">
        <f t="shared" si="10"/>
        <v>0</v>
      </c>
      <c r="Z8" s="214">
        <f t="shared" si="10"/>
        <v>0</v>
      </c>
      <c r="AA8" s="214">
        <f t="shared" si="10"/>
        <v>0</v>
      </c>
      <c r="AB8" s="214">
        <f t="shared" si="10"/>
        <v>0</v>
      </c>
      <c r="AC8" s="214">
        <f t="shared" ref="AC8:AH8" si="11">(AC9+AC10+AC11+AC13+AC12)</f>
        <v>0</v>
      </c>
      <c r="AD8" s="214">
        <f t="shared" si="11"/>
        <v>0</v>
      </c>
      <c r="AE8" s="214">
        <f t="shared" si="11"/>
        <v>0</v>
      </c>
      <c r="AF8" s="214">
        <f t="shared" si="11"/>
        <v>0</v>
      </c>
      <c r="AG8" s="214">
        <f t="shared" si="11"/>
        <v>0</v>
      </c>
      <c r="AH8" s="214">
        <f t="shared" si="11"/>
        <v>16246154</v>
      </c>
      <c r="AI8" s="214">
        <f t="shared" ref="AI8:AT8" si="12">(AI9+AI10+AI11+AI13+AI12)</f>
        <v>0</v>
      </c>
      <c r="AJ8" s="214">
        <f t="shared" si="12"/>
        <v>0</v>
      </c>
      <c r="AK8" s="214">
        <f t="shared" si="12"/>
        <v>0</v>
      </c>
      <c r="AL8" s="214">
        <f t="shared" si="12"/>
        <v>0</v>
      </c>
      <c r="AM8" s="214">
        <f t="shared" si="12"/>
        <v>0</v>
      </c>
      <c r="AN8" s="214">
        <f t="shared" si="12"/>
        <v>0</v>
      </c>
      <c r="AO8" s="214">
        <f t="shared" si="12"/>
        <v>6954009.4000000004</v>
      </c>
      <c r="AP8" s="214">
        <f t="shared" si="12"/>
        <v>6994009.4000000004</v>
      </c>
      <c r="AQ8" s="214">
        <f t="shared" si="12"/>
        <v>7034009.4000000004</v>
      </c>
      <c r="AR8" s="214">
        <f t="shared" si="12"/>
        <v>7074009.4000000004</v>
      </c>
      <c r="AS8" s="214">
        <f t="shared" si="12"/>
        <v>7114009.4000000004</v>
      </c>
      <c r="AT8" s="214">
        <f t="shared" si="12"/>
        <v>7114009</v>
      </c>
      <c r="AU8" s="214">
        <f t="shared" ref="AU8:BC8" si="13">(AU9+AU10+AU11+AU13+AU12)</f>
        <v>7154009.4000000004</v>
      </c>
      <c r="AV8" s="214">
        <f t="shared" si="13"/>
        <v>7194009.4000000004</v>
      </c>
      <c r="AW8" s="214">
        <f t="shared" si="13"/>
        <v>7234009.4000000004</v>
      </c>
      <c r="AX8" s="214">
        <f t="shared" si="13"/>
        <v>7274009.4000000004</v>
      </c>
      <c r="AY8" s="214">
        <f t="shared" si="13"/>
        <v>7514009.4000000004</v>
      </c>
      <c r="AZ8" s="214">
        <f t="shared" si="13"/>
        <v>7554009.4000000004</v>
      </c>
      <c r="BA8" s="214">
        <f t="shared" si="13"/>
        <v>7594009.4000000004</v>
      </c>
      <c r="BB8" s="214">
        <f t="shared" si="13"/>
        <v>7634009.4000000004</v>
      </c>
      <c r="BC8" s="214">
        <f t="shared" si="13"/>
        <v>7674009.4000000004</v>
      </c>
      <c r="BD8" s="214">
        <f t="shared" ref="BD8:BS8" si="14">(BD9+BD10+BD11+BD13+BD12)</f>
        <v>7714009.4000000004</v>
      </c>
      <c r="BE8" s="214">
        <f t="shared" si="14"/>
        <v>7754009.4000000004</v>
      </c>
      <c r="BF8" s="214">
        <f t="shared" si="14"/>
        <v>7794009.4000000004</v>
      </c>
      <c r="BG8" s="214">
        <f t="shared" si="14"/>
        <v>7920080</v>
      </c>
      <c r="BH8" s="214">
        <f t="shared" si="14"/>
        <v>7834009.4000000004</v>
      </c>
      <c r="BI8" s="214">
        <f t="shared" si="14"/>
        <v>7874009.4000000004</v>
      </c>
      <c r="BJ8" s="214">
        <f t="shared" si="14"/>
        <v>7914009.4000000004</v>
      </c>
      <c r="BK8" s="214">
        <f t="shared" si="14"/>
        <v>7954009.4000000004</v>
      </c>
      <c r="BL8" s="214">
        <f t="shared" si="14"/>
        <v>7994009.4000000004</v>
      </c>
      <c r="BM8" s="214">
        <f t="shared" si="14"/>
        <v>8034009.4000000004</v>
      </c>
      <c r="BN8" s="214">
        <f t="shared" si="14"/>
        <v>8074009.4000000004</v>
      </c>
      <c r="BO8" s="214">
        <f t="shared" si="14"/>
        <v>8114009.4000000004</v>
      </c>
      <c r="BP8" s="214">
        <f t="shared" si="14"/>
        <v>8154009.4000000004</v>
      </c>
      <c r="BQ8" s="214">
        <f t="shared" si="14"/>
        <v>8194009.4000000004</v>
      </c>
      <c r="BR8" s="214">
        <f t="shared" si="14"/>
        <v>8234009.4000000004</v>
      </c>
      <c r="BS8" s="214">
        <f t="shared" si="14"/>
        <v>8274009.4000000004</v>
      </c>
      <c r="BT8" s="214">
        <f t="shared" ref="BT8:BX8" si="15">(BT9+BT10+BT11+BT13+BT12)</f>
        <v>0</v>
      </c>
      <c r="BU8" s="214">
        <f t="shared" si="15"/>
        <v>8314009.4000000004</v>
      </c>
      <c r="BV8" s="214">
        <f t="shared" si="15"/>
        <v>8354009.4000000004</v>
      </c>
      <c r="BW8" s="214">
        <f t="shared" si="15"/>
        <v>8394009.4000000004</v>
      </c>
      <c r="BX8" s="214">
        <f t="shared" si="15"/>
        <v>8434009.4000000004</v>
      </c>
      <c r="BY8" s="214">
        <f>(BY9+BY10+BY11+BY13+BY12)</f>
        <v>8474009.4000000004</v>
      </c>
      <c r="BZ8" s="214">
        <f>(BZ9+BZ10+BZ11+BZ13+BZ12)</f>
        <v>8514009.4000000004</v>
      </c>
      <c r="CA8" s="214">
        <f>(CA9+CA10+CA11+CA13+CA12)</f>
        <v>8553989.4000000004</v>
      </c>
      <c r="CB8" s="214">
        <f>(CB9+CB10+CB11+CB13+CB12)</f>
        <v>8593989.4000000004</v>
      </c>
      <c r="CC8" s="214">
        <f>(CC9+CC10+CC11+CC13+CC12)</f>
        <v>8633989.4000000004</v>
      </c>
    </row>
    <row r="9" spans="1:82" ht="14.25">
      <c r="A9" s="161" t="s">
        <v>17</v>
      </c>
      <c r="B9" s="349"/>
      <c r="C9" s="349"/>
      <c r="D9" s="349"/>
      <c r="E9" s="349"/>
      <c r="F9" s="349"/>
      <c r="G9" s="349"/>
      <c r="H9" s="349"/>
      <c r="I9" s="297">
        <v>0</v>
      </c>
      <c r="J9" s="297">
        <v>0</v>
      </c>
      <c r="K9" s="297">
        <v>0</v>
      </c>
      <c r="L9" s="297">
        <v>0</v>
      </c>
      <c r="M9" s="297">
        <v>0</v>
      </c>
      <c r="N9" s="297">
        <v>0</v>
      </c>
      <c r="O9" s="297">
        <v>0</v>
      </c>
      <c r="P9" s="297">
        <v>0</v>
      </c>
      <c r="Q9" s="297">
        <v>0</v>
      </c>
      <c r="R9" s="297">
        <v>0</v>
      </c>
      <c r="S9" s="297">
        <v>0</v>
      </c>
      <c r="T9" s="297">
        <v>0</v>
      </c>
      <c r="U9" s="283"/>
      <c r="V9" s="329">
        <v>0</v>
      </c>
      <c r="W9" s="329">
        <v>0</v>
      </c>
      <c r="X9" s="329">
        <v>0</v>
      </c>
      <c r="Y9" s="329">
        <v>0</v>
      </c>
      <c r="Z9" s="329">
        <v>0</v>
      </c>
      <c r="AA9" s="329">
        <v>0</v>
      </c>
      <c r="AB9" s="329">
        <v>0</v>
      </c>
      <c r="AC9" s="329">
        <v>0</v>
      </c>
      <c r="AD9" s="329">
        <v>0</v>
      </c>
      <c r="AE9" s="297">
        <v>0</v>
      </c>
      <c r="AF9" s="297">
        <v>0</v>
      </c>
      <c r="AG9" s="297">
        <v>0</v>
      </c>
      <c r="AH9" s="349"/>
      <c r="AI9" s="276">
        <v>0</v>
      </c>
      <c r="AJ9" s="276">
        <v>0</v>
      </c>
      <c r="AK9" s="276">
        <v>0</v>
      </c>
      <c r="AL9" s="276">
        <v>0</v>
      </c>
      <c r="AM9" s="276">
        <v>0</v>
      </c>
      <c r="AN9" s="276">
        <v>0</v>
      </c>
      <c r="AO9" s="276">
        <v>0</v>
      </c>
      <c r="AP9" s="276">
        <v>0</v>
      </c>
      <c r="AQ9" s="276">
        <v>0</v>
      </c>
      <c r="AR9" s="276">
        <v>0</v>
      </c>
      <c r="AS9" s="276">
        <v>0</v>
      </c>
      <c r="AT9" s="265"/>
      <c r="AU9" s="276">
        <v>0</v>
      </c>
      <c r="AV9" s="276">
        <v>0</v>
      </c>
      <c r="AW9" s="276">
        <v>0</v>
      </c>
      <c r="AX9" s="276">
        <v>0</v>
      </c>
      <c r="AY9" s="276">
        <v>0</v>
      </c>
      <c r="AZ9" s="340">
        <v>0</v>
      </c>
      <c r="BA9" s="342">
        <v>0</v>
      </c>
      <c r="BB9" s="340">
        <v>0</v>
      </c>
      <c r="BC9" s="340">
        <v>0</v>
      </c>
      <c r="BD9" s="340">
        <v>0</v>
      </c>
      <c r="BE9" s="342">
        <v>0</v>
      </c>
      <c r="BF9" s="356">
        <v>0</v>
      </c>
      <c r="BG9" s="361"/>
      <c r="BH9" s="340">
        <v>0</v>
      </c>
      <c r="BI9" s="342">
        <v>0</v>
      </c>
      <c r="BJ9" s="342">
        <v>0</v>
      </c>
      <c r="BK9" s="342">
        <v>0</v>
      </c>
      <c r="BL9" s="342">
        <v>0</v>
      </c>
      <c r="BM9" s="342">
        <v>0</v>
      </c>
      <c r="BN9" s="342">
        <v>0</v>
      </c>
      <c r="BO9" s="342">
        <v>0</v>
      </c>
      <c r="BP9" s="342">
        <v>0</v>
      </c>
      <c r="BQ9" s="342">
        <v>0</v>
      </c>
      <c r="BR9" s="342">
        <v>0</v>
      </c>
      <c r="BS9" s="389">
        <v>0</v>
      </c>
      <c r="BT9" s="390"/>
      <c r="BU9">
        <v>0</v>
      </c>
      <c r="BV9">
        <v>0</v>
      </c>
      <c r="BW9">
        <v>0</v>
      </c>
      <c r="BX9">
        <v>0</v>
      </c>
      <c r="BY9" s="380">
        <v>0</v>
      </c>
      <c r="BZ9">
        <v>0</v>
      </c>
      <c r="CA9">
        <v>0</v>
      </c>
      <c r="CB9">
        <v>0</v>
      </c>
      <c r="CC9">
        <v>0</v>
      </c>
    </row>
    <row r="10" spans="1:82" ht="14.25">
      <c r="A10" s="161" t="s">
        <v>18</v>
      </c>
      <c r="B10" s="349"/>
      <c r="C10" s="349"/>
      <c r="D10" s="349"/>
      <c r="E10" s="349"/>
      <c r="F10" s="349"/>
      <c r="G10" s="349"/>
      <c r="H10" s="349"/>
      <c r="I10" s="297">
        <v>0</v>
      </c>
      <c r="J10" s="297">
        <v>0</v>
      </c>
      <c r="K10" s="297">
        <v>0</v>
      </c>
      <c r="L10" s="297">
        <v>0</v>
      </c>
      <c r="M10" s="297">
        <v>0</v>
      </c>
      <c r="N10" s="297">
        <v>0</v>
      </c>
      <c r="O10" s="297">
        <v>0</v>
      </c>
      <c r="P10" s="297">
        <v>0</v>
      </c>
      <c r="Q10" s="297">
        <v>0</v>
      </c>
      <c r="R10" s="297">
        <v>0</v>
      </c>
      <c r="S10" s="297">
        <v>0</v>
      </c>
      <c r="T10" s="297">
        <v>0</v>
      </c>
      <c r="U10" s="283"/>
      <c r="V10" s="329">
        <v>0</v>
      </c>
      <c r="W10" s="329">
        <v>0</v>
      </c>
      <c r="X10" s="329">
        <v>0</v>
      </c>
      <c r="Y10" s="329">
        <v>0</v>
      </c>
      <c r="Z10" s="329">
        <v>0</v>
      </c>
      <c r="AA10" s="329">
        <v>0</v>
      </c>
      <c r="AB10" s="329">
        <v>0</v>
      </c>
      <c r="AC10" s="329">
        <v>0</v>
      </c>
      <c r="AD10" s="329">
        <v>0</v>
      </c>
      <c r="AE10" s="297">
        <v>0</v>
      </c>
      <c r="AF10" s="297">
        <v>0</v>
      </c>
      <c r="AG10" s="297">
        <v>0</v>
      </c>
      <c r="AH10" s="349"/>
      <c r="AI10" s="276">
        <v>0</v>
      </c>
      <c r="AJ10" s="276">
        <v>0</v>
      </c>
      <c r="AK10" s="276">
        <v>0</v>
      </c>
      <c r="AL10" s="276">
        <v>0</v>
      </c>
      <c r="AM10" s="276">
        <v>0</v>
      </c>
      <c r="AN10" s="276">
        <v>0</v>
      </c>
      <c r="AO10" s="276">
        <v>0</v>
      </c>
      <c r="AP10" s="276">
        <v>0</v>
      </c>
      <c r="AQ10" s="276">
        <v>0</v>
      </c>
      <c r="AR10" s="276">
        <v>0</v>
      </c>
      <c r="AS10" s="276">
        <v>0</v>
      </c>
      <c r="AT10" s="265"/>
      <c r="AU10" s="276">
        <v>0</v>
      </c>
      <c r="AV10" s="276">
        <v>0</v>
      </c>
      <c r="AW10" s="276">
        <v>0</v>
      </c>
      <c r="AX10" s="276">
        <v>0</v>
      </c>
      <c r="AY10" s="276">
        <v>0</v>
      </c>
      <c r="AZ10" s="344">
        <v>0</v>
      </c>
      <c r="BA10" s="346">
        <v>0</v>
      </c>
      <c r="BB10" s="344">
        <v>0</v>
      </c>
      <c r="BC10" s="344">
        <v>0</v>
      </c>
      <c r="BD10" s="344">
        <v>0</v>
      </c>
      <c r="BE10" s="346">
        <v>0</v>
      </c>
      <c r="BF10" s="356">
        <v>0</v>
      </c>
      <c r="BG10" s="361"/>
      <c r="BH10" s="344">
        <v>0</v>
      </c>
      <c r="BI10" s="346">
        <v>0</v>
      </c>
      <c r="BJ10" s="346">
        <v>0</v>
      </c>
      <c r="BK10" s="346">
        <v>0</v>
      </c>
      <c r="BL10" s="346">
        <v>0</v>
      </c>
      <c r="BM10" s="346">
        <v>0</v>
      </c>
      <c r="BN10" s="346">
        <v>0</v>
      </c>
      <c r="BO10" s="346">
        <v>0</v>
      </c>
      <c r="BP10" s="346">
        <v>0</v>
      </c>
      <c r="BQ10" s="346">
        <v>0</v>
      </c>
      <c r="BR10" s="346">
        <v>0</v>
      </c>
      <c r="BS10" s="389">
        <v>0</v>
      </c>
      <c r="BT10" s="390"/>
      <c r="BU10" s="340">
        <v>0</v>
      </c>
      <c r="BV10" s="342">
        <v>0</v>
      </c>
      <c r="BW10" s="342">
        <v>0</v>
      </c>
      <c r="BX10">
        <v>0</v>
      </c>
      <c r="BY10" s="382">
        <v>0</v>
      </c>
      <c r="BZ10" s="340">
        <v>0</v>
      </c>
      <c r="CA10" s="340">
        <v>0</v>
      </c>
      <c r="CB10" s="340">
        <v>0</v>
      </c>
      <c r="CC10" s="433">
        <v>0</v>
      </c>
    </row>
    <row r="11" spans="1:82" ht="14.25">
      <c r="A11" s="220" t="s">
        <v>19</v>
      </c>
      <c r="B11" s="349"/>
      <c r="C11" s="349"/>
      <c r="D11" s="349"/>
      <c r="E11" s="349"/>
      <c r="F11" s="349"/>
      <c r="G11" s="349"/>
      <c r="H11" s="349"/>
      <c r="I11" s="297">
        <v>0</v>
      </c>
      <c r="J11" s="297">
        <v>0</v>
      </c>
      <c r="K11" s="297">
        <v>0</v>
      </c>
      <c r="L11" s="297">
        <v>0</v>
      </c>
      <c r="M11" s="297">
        <v>0</v>
      </c>
      <c r="N11" s="297">
        <v>0</v>
      </c>
      <c r="O11" s="297">
        <v>0</v>
      </c>
      <c r="P11" s="297">
        <v>0</v>
      </c>
      <c r="Q11" s="297">
        <v>0</v>
      </c>
      <c r="R11" s="297">
        <v>0</v>
      </c>
      <c r="S11" s="297">
        <v>0</v>
      </c>
      <c r="T11" s="297">
        <v>0</v>
      </c>
      <c r="U11" s="287">
        <v>15098010.540000001</v>
      </c>
      <c r="V11" s="329">
        <v>0</v>
      </c>
      <c r="W11" s="329">
        <v>0</v>
      </c>
      <c r="X11" s="329">
        <v>0</v>
      </c>
      <c r="Y11" s="329">
        <v>0</v>
      </c>
      <c r="Z11" s="329">
        <v>0</v>
      </c>
      <c r="AA11" s="329">
        <v>0</v>
      </c>
      <c r="AB11" s="329">
        <v>0</v>
      </c>
      <c r="AC11" s="329">
        <v>0</v>
      </c>
      <c r="AD11" s="329">
        <v>0</v>
      </c>
      <c r="AE11" s="297">
        <v>0</v>
      </c>
      <c r="AF11" s="297">
        <v>0</v>
      </c>
      <c r="AG11" s="297">
        <v>0</v>
      </c>
      <c r="AH11" s="349"/>
      <c r="AI11" s="276">
        <v>0</v>
      </c>
      <c r="AJ11" s="276">
        <v>0</v>
      </c>
      <c r="AK11" s="276">
        <v>0</v>
      </c>
      <c r="AL11" s="276">
        <v>0</v>
      </c>
      <c r="AM11" s="276">
        <v>0</v>
      </c>
      <c r="AN11" s="276">
        <v>0</v>
      </c>
      <c r="AO11" s="276">
        <v>0</v>
      </c>
      <c r="AP11" s="276">
        <v>0</v>
      </c>
      <c r="AQ11" s="276">
        <v>0</v>
      </c>
      <c r="AR11" s="276">
        <v>0</v>
      </c>
      <c r="AS11" s="276">
        <v>0</v>
      </c>
      <c r="AT11" s="265"/>
      <c r="AU11" s="276">
        <v>0</v>
      </c>
      <c r="AV11" s="276">
        <v>0</v>
      </c>
      <c r="AW11" s="276">
        <v>0</v>
      </c>
      <c r="AX11" s="276">
        <v>0</v>
      </c>
      <c r="AY11" s="276">
        <v>0</v>
      </c>
      <c r="AZ11" s="344">
        <v>0</v>
      </c>
      <c r="BA11" s="346">
        <v>0</v>
      </c>
      <c r="BB11" s="344">
        <v>0</v>
      </c>
      <c r="BC11" s="344">
        <v>0</v>
      </c>
      <c r="BD11" s="344">
        <v>0</v>
      </c>
      <c r="BE11" s="346">
        <v>0</v>
      </c>
      <c r="BF11" s="356">
        <v>0</v>
      </c>
      <c r="BG11" s="361"/>
      <c r="BH11" s="344">
        <v>0</v>
      </c>
      <c r="BI11" s="346">
        <v>0</v>
      </c>
      <c r="BJ11" s="346">
        <v>0</v>
      </c>
      <c r="BK11" s="346">
        <v>0</v>
      </c>
      <c r="BL11" s="346">
        <v>0</v>
      </c>
      <c r="BM11" s="346">
        <v>0</v>
      </c>
      <c r="BN11" s="346">
        <v>0</v>
      </c>
      <c r="BO11" s="346">
        <v>0</v>
      </c>
      <c r="BP11" s="346">
        <v>0</v>
      </c>
      <c r="BQ11" s="346">
        <v>0</v>
      </c>
      <c r="BR11" s="346">
        <v>0</v>
      </c>
      <c r="BS11" s="389">
        <v>0</v>
      </c>
      <c r="BT11" s="390"/>
      <c r="BU11" s="344">
        <v>0</v>
      </c>
      <c r="BV11" s="346">
        <v>0</v>
      </c>
      <c r="BW11" s="346">
        <v>0</v>
      </c>
      <c r="BX11">
        <v>0</v>
      </c>
      <c r="BY11" s="382">
        <v>0</v>
      </c>
      <c r="BZ11" s="344">
        <v>0</v>
      </c>
      <c r="CA11" s="344">
        <v>0</v>
      </c>
      <c r="CB11" s="344">
        <v>0</v>
      </c>
      <c r="CC11" s="435">
        <v>0</v>
      </c>
    </row>
    <row r="12" spans="1:82" ht="14.25">
      <c r="A12" s="260" t="s">
        <v>20</v>
      </c>
      <c r="B12" s="283">
        <v>1250000</v>
      </c>
      <c r="C12" s="288">
        <v>1520000</v>
      </c>
      <c r="D12" s="283">
        <v>3580540</v>
      </c>
      <c r="E12" s="283">
        <v>6070944</v>
      </c>
      <c r="F12" s="288">
        <v>7763398</v>
      </c>
      <c r="G12" s="292">
        <f>161100+8613625+2270870+1967900</f>
        <v>13013495</v>
      </c>
      <c r="H12" s="283">
        <v>14112600</v>
      </c>
      <c r="I12" s="297">
        <v>0</v>
      </c>
      <c r="J12" s="297">
        <v>0</v>
      </c>
      <c r="K12" s="297">
        <v>0</v>
      </c>
      <c r="L12" s="297">
        <v>0</v>
      </c>
      <c r="M12" s="297">
        <v>0</v>
      </c>
      <c r="N12" s="297">
        <v>0</v>
      </c>
      <c r="O12" s="297">
        <v>0</v>
      </c>
      <c r="P12" s="297">
        <v>0</v>
      </c>
      <c r="Q12" s="297">
        <v>0</v>
      </c>
      <c r="R12" s="297">
        <v>0</v>
      </c>
      <c r="S12" s="297">
        <v>0</v>
      </c>
      <c r="T12" s="297">
        <v>0</v>
      </c>
      <c r="U12" s="297">
        <v>0</v>
      </c>
      <c r="V12" s="329">
        <v>0</v>
      </c>
      <c r="W12" s="329">
        <v>0</v>
      </c>
      <c r="X12" s="329">
        <v>0</v>
      </c>
      <c r="Y12" s="329">
        <v>0</v>
      </c>
      <c r="Z12" s="329">
        <v>0</v>
      </c>
      <c r="AA12" s="329">
        <v>0</v>
      </c>
      <c r="AB12" s="329">
        <v>0</v>
      </c>
      <c r="AC12" s="329">
        <v>0</v>
      </c>
      <c r="AD12" s="329">
        <v>0</v>
      </c>
      <c r="AE12" s="297">
        <v>0</v>
      </c>
      <c r="AF12" s="297">
        <v>0</v>
      </c>
      <c r="AG12" s="297">
        <v>0</v>
      </c>
      <c r="AH12" s="284">
        <v>16146154</v>
      </c>
      <c r="AI12" s="276">
        <v>0</v>
      </c>
      <c r="AJ12" s="276">
        <v>0</v>
      </c>
      <c r="AK12" s="276">
        <v>0</v>
      </c>
      <c r="AL12" s="276">
        <v>0</v>
      </c>
      <c r="AM12" s="276">
        <v>0</v>
      </c>
      <c r="AN12" s="276">
        <v>0</v>
      </c>
      <c r="AO12" s="276">
        <v>6954009.4000000004</v>
      </c>
      <c r="AP12" s="276">
        <v>6994009.4000000004</v>
      </c>
      <c r="AQ12" s="276">
        <v>7034009.4000000004</v>
      </c>
      <c r="AR12" s="276">
        <v>7074009.4000000004</v>
      </c>
      <c r="AS12" s="276">
        <v>7114009.4000000004</v>
      </c>
      <c r="AT12" s="285">
        <f>95000+66100+10000+2270870+4572039</f>
        <v>7014009</v>
      </c>
      <c r="AU12" s="276"/>
      <c r="AV12" s="276"/>
      <c r="AW12" s="276"/>
      <c r="AX12" s="276">
        <v>0</v>
      </c>
      <c r="AY12" s="276">
        <v>0</v>
      </c>
      <c r="AZ12" s="276"/>
      <c r="BA12" s="276"/>
      <c r="BB12" s="276"/>
      <c r="BC12" s="276"/>
      <c r="BD12" s="345"/>
      <c r="BE12" s="347"/>
      <c r="BF12" s="355"/>
      <c r="BG12" s="361"/>
      <c r="BH12" s="345">
        <v>7834009.4000000004</v>
      </c>
      <c r="BI12" s="347">
        <v>7874009.4000000004</v>
      </c>
      <c r="BJ12" s="347">
        <v>7914009.4000000004</v>
      </c>
      <c r="BK12" s="347">
        <v>7954009.4000000004</v>
      </c>
      <c r="BL12" s="347">
        <v>7994009.4000000004</v>
      </c>
      <c r="BM12" s="347">
        <v>8034009.4000000004</v>
      </c>
      <c r="BN12" s="347">
        <v>8074009.4000000004</v>
      </c>
      <c r="BO12" s="347">
        <v>8114009.4000000004</v>
      </c>
      <c r="BP12" s="347">
        <v>8154009.4000000004</v>
      </c>
      <c r="BQ12" s="347">
        <v>8194009.4000000004</v>
      </c>
      <c r="BR12" s="347">
        <v>8234009.4000000004</v>
      </c>
      <c r="BS12" s="391">
        <v>8274009.4000000004</v>
      </c>
      <c r="BT12" s="390"/>
      <c r="BU12" s="344">
        <v>0</v>
      </c>
      <c r="BV12" s="346">
        <v>0</v>
      </c>
      <c r="BW12" s="346">
        <v>0</v>
      </c>
      <c r="BX12">
        <v>0</v>
      </c>
      <c r="BY12">
        <v>0</v>
      </c>
      <c r="BZ12" s="344">
        <v>0</v>
      </c>
      <c r="CA12" s="344">
        <v>0</v>
      </c>
      <c r="CB12" s="344">
        <v>0</v>
      </c>
      <c r="CC12" s="435">
        <v>0</v>
      </c>
    </row>
    <row r="13" spans="1:82" ht="14.25">
      <c r="A13" s="220" t="s">
        <v>21</v>
      </c>
      <c r="B13" s="284">
        <f>4301970-B12</f>
        <v>3051970</v>
      </c>
      <c r="C13" s="284">
        <f>4689870-C12</f>
        <v>3169870</v>
      </c>
      <c r="D13" s="284">
        <f>6970410-D12</f>
        <v>3389870</v>
      </c>
      <c r="E13" s="283">
        <f>9680814-E12</f>
        <v>3609870</v>
      </c>
      <c r="F13" s="288">
        <f>161100+100000+10000+2270870+1567900</f>
        <v>4109870</v>
      </c>
      <c r="G13" s="292">
        <f>100000+10000</f>
        <v>110000</v>
      </c>
      <c r="H13" s="284"/>
      <c r="I13" s="284"/>
      <c r="J13" s="284"/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  <c r="AA13" s="284"/>
      <c r="AB13" s="284"/>
      <c r="AC13" s="284"/>
      <c r="AD13" s="284"/>
      <c r="AE13" s="284"/>
      <c r="AF13" s="284"/>
      <c r="AG13" s="284"/>
      <c r="AH13" s="284">
        <v>100000</v>
      </c>
      <c r="AI13" s="276"/>
      <c r="AJ13" s="276"/>
      <c r="AK13" s="276"/>
      <c r="AL13" s="276"/>
      <c r="AM13" s="276"/>
      <c r="AN13" s="276"/>
      <c r="AO13" s="276"/>
      <c r="AP13" s="276"/>
      <c r="AQ13" s="276"/>
      <c r="AR13" s="276"/>
      <c r="AS13" s="276"/>
      <c r="AT13" s="285">
        <v>100000</v>
      </c>
      <c r="AU13" s="276">
        <v>7154009.4000000004</v>
      </c>
      <c r="AV13" s="276">
        <v>7194009.4000000004</v>
      </c>
      <c r="AW13" s="276">
        <v>7234009.4000000004</v>
      </c>
      <c r="AX13" s="276">
        <v>7274009.4000000004</v>
      </c>
      <c r="AY13" s="276">
        <v>7514009.4000000004</v>
      </c>
      <c r="AZ13" s="341">
        <v>7554009.4000000004</v>
      </c>
      <c r="BA13" s="343">
        <v>7594009.4000000004</v>
      </c>
      <c r="BB13" s="341">
        <v>7634009.4000000004</v>
      </c>
      <c r="BC13" s="341">
        <v>7674009.4000000004</v>
      </c>
      <c r="BD13" s="345">
        <v>7714009.4000000004</v>
      </c>
      <c r="BE13" s="347">
        <v>7754009.4000000004</v>
      </c>
      <c r="BF13" s="355">
        <v>7794009.4000000004</v>
      </c>
      <c r="BG13" s="27">
        <v>7920080</v>
      </c>
      <c r="BT13" s="27">
        <v>0</v>
      </c>
      <c r="BU13" s="345">
        <v>8314009.4000000004</v>
      </c>
      <c r="BV13" s="347">
        <v>8354009.4000000004</v>
      </c>
      <c r="BW13" s="347">
        <v>8394009.4000000004</v>
      </c>
      <c r="BX13" s="341">
        <v>8434009.4000000004</v>
      </c>
      <c r="BY13" s="383">
        <v>8474009.4000000004</v>
      </c>
      <c r="BZ13" s="345">
        <v>8514009.4000000004</v>
      </c>
      <c r="CA13" s="345">
        <v>8553989.4000000004</v>
      </c>
      <c r="CB13" s="345">
        <v>8593989.4000000004</v>
      </c>
      <c r="CC13" s="436">
        <v>8633989.4000000004</v>
      </c>
    </row>
    <row r="14" spans="1:82">
      <c r="A14" s="160" t="s">
        <v>22</v>
      </c>
      <c r="B14" s="214">
        <f t="shared" ref="B14:I14" si="16">(B15-B16)</f>
        <v>31524548</v>
      </c>
      <c r="C14" s="214">
        <f t="shared" si="16"/>
        <v>36920493</v>
      </c>
      <c r="D14" s="214">
        <f t="shared" si="16"/>
        <v>36085793</v>
      </c>
      <c r="E14" s="214">
        <f t="shared" si="16"/>
        <v>34456354</v>
      </c>
      <c r="F14" s="214">
        <f t="shared" si="16"/>
        <v>32589509</v>
      </c>
      <c r="G14" s="214">
        <f t="shared" si="16"/>
        <v>28504566</v>
      </c>
      <c r="H14" s="214">
        <f t="shared" si="16"/>
        <v>29086031</v>
      </c>
      <c r="I14" s="214">
        <f t="shared" si="16"/>
        <v>34575530.75</v>
      </c>
      <c r="J14" s="214">
        <f t="shared" ref="J14:S14" si="17">(J15-J16)</f>
        <v>33764917.969999999</v>
      </c>
      <c r="K14" s="214">
        <f t="shared" si="17"/>
        <v>34798280.700000003</v>
      </c>
      <c r="L14" s="214">
        <f t="shared" si="17"/>
        <v>33789021.210000001</v>
      </c>
      <c r="M14" s="214">
        <f t="shared" si="17"/>
        <v>33733275.710000001</v>
      </c>
      <c r="N14" s="214">
        <f t="shared" si="17"/>
        <v>32870615.5</v>
      </c>
      <c r="O14" s="214">
        <f t="shared" si="17"/>
        <v>28885717.48</v>
      </c>
      <c r="P14" s="214">
        <f t="shared" si="17"/>
        <v>30209043.91</v>
      </c>
      <c r="Q14" s="214">
        <f t="shared" si="17"/>
        <v>33253483.969999999</v>
      </c>
      <c r="R14" s="214">
        <f t="shared" si="17"/>
        <v>33151953.719999999</v>
      </c>
      <c r="S14" s="214">
        <f t="shared" si="17"/>
        <v>32745821.289999999</v>
      </c>
      <c r="T14" s="214">
        <f>(T15-T16)</f>
        <v>29862144.710000001</v>
      </c>
      <c r="U14" s="214">
        <f>(U15-U16)</f>
        <v>26901696</v>
      </c>
      <c r="V14" s="214">
        <f>(V15-V16)</f>
        <v>30995823.25</v>
      </c>
      <c r="W14" s="214">
        <f t="shared" ref="W14:AB14" si="18">(W15-W16)</f>
        <v>33706035.219999999</v>
      </c>
      <c r="X14" s="214">
        <f t="shared" si="18"/>
        <v>29395402.25</v>
      </c>
      <c r="Y14" s="214">
        <f t="shared" si="18"/>
        <v>28721214.239999998</v>
      </c>
      <c r="Z14" s="214">
        <f t="shared" si="18"/>
        <v>28162168.09</v>
      </c>
      <c r="AA14" s="214">
        <f t="shared" si="18"/>
        <v>31706423.800000001</v>
      </c>
      <c r="AB14" s="214">
        <f t="shared" si="18"/>
        <v>28304799.5</v>
      </c>
      <c r="AC14" s="214">
        <f t="shared" ref="AC14:AH14" si="19">(AC15-AC16)</f>
        <v>29946706.079999998</v>
      </c>
      <c r="AD14" s="214">
        <f t="shared" si="19"/>
        <v>28715854.039999999</v>
      </c>
      <c r="AE14" s="214">
        <f t="shared" si="19"/>
        <v>28645057.809999999</v>
      </c>
      <c r="AF14" s="214">
        <f t="shared" si="19"/>
        <v>30717199.620000001</v>
      </c>
      <c r="AG14" s="214">
        <f t="shared" si="19"/>
        <v>29988725.829999998</v>
      </c>
      <c r="AH14" s="214">
        <f t="shared" si="19"/>
        <v>26428275</v>
      </c>
      <c r="AI14" s="214">
        <f t="shared" ref="AI14:AT14" si="20">(AI15-AI16)</f>
        <v>32516880.93</v>
      </c>
      <c r="AJ14" s="214">
        <f t="shared" si="20"/>
        <v>32613412.43</v>
      </c>
      <c r="AK14" s="214">
        <f t="shared" si="20"/>
        <v>33997628.240000002</v>
      </c>
      <c r="AL14" s="214">
        <f t="shared" si="20"/>
        <v>31247365.82</v>
      </c>
      <c r="AM14" s="214">
        <f t="shared" si="20"/>
        <v>30958397.390000001</v>
      </c>
      <c r="AN14" s="214">
        <f t="shared" si="20"/>
        <v>30678214.370000001</v>
      </c>
      <c r="AO14" s="214">
        <f t="shared" si="20"/>
        <v>30545196.460000001</v>
      </c>
      <c r="AP14" s="214">
        <f t="shared" si="20"/>
        <v>31716573.34</v>
      </c>
      <c r="AQ14" s="214">
        <f t="shared" si="20"/>
        <v>28808112.949999999</v>
      </c>
      <c r="AR14" s="214">
        <f t="shared" si="20"/>
        <v>28454592.350000001</v>
      </c>
      <c r="AS14" s="214">
        <f t="shared" si="20"/>
        <v>30026360.890000001</v>
      </c>
      <c r="AT14" s="214">
        <f t="shared" si="20"/>
        <v>30026362</v>
      </c>
      <c r="AU14" s="214">
        <f t="shared" ref="AU14:BC14" si="21">(AU15-AU16)</f>
        <v>33005537.359999999</v>
      </c>
      <c r="AV14" s="214">
        <f t="shared" si="21"/>
        <v>32668174.719999999</v>
      </c>
      <c r="AW14" s="214">
        <f t="shared" si="21"/>
        <v>28839018.5</v>
      </c>
      <c r="AX14" s="214">
        <f t="shared" si="21"/>
        <v>28687713.550000001</v>
      </c>
      <c r="AY14" s="214">
        <f t="shared" si="21"/>
        <v>28722726.010000002</v>
      </c>
      <c r="AZ14" s="214">
        <f t="shared" si="21"/>
        <v>32592429.039999999</v>
      </c>
      <c r="BA14" s="214">
        <f t="shared" si="21"/>
        <v>32224592.880000003</v>
      </c>
      <c r="BB14" s="214">
        <f t="shared" si="21"/>
        <v>30864043.659999996</v>
      </c>
      <c r="BC14" s="214">
        <f t="shared" si="21"/>
        <v>34745808.82</v>
      </c>
      <c r="BD14" s="214">
        <f t="shared" ref="BD14:BS14" si="22">(BD15-BD16)</f>
        <v>30658668.829999998</v>
      </c>
      <c r="BE14" s="214">
        <f t="shared" si="22"/>
        <v>30015760.119999997</v>
      </c>
      <c r="BF14" s="214">
        <f t="shared" si="22"/>
        <v>28800798.530000001</v>
      </c>
      <c r="BG14" s="214">
        <f t="shared" si="22"/>
        <v>28704269</v>
      </c>
      <c r="BH14" s="214">
        <f t="shared" si="22"/>
        <v>28343157.850000001</v>
      </c>
      <c r="BI14" s="214">
        <f t="shared" si="22"/>
        <v>28047253.32</v>
      </c>
      <c r="BJ14" s="214">
        <f t="shared" si="22"/>
        <v>28124146.68</v>
      </c>
      <c r="BK14" s="214">
        <f t="shared" si="22"/>
        <v>30222059.490000002</v>
      </c>
      <c r="BL14" s="214">
        <f t="shared" si="22"/>
        <v>29987827.539999999</v>
      </c>
      <c r="BM14" s="214">
        <f t="shared" si="22"/>
        <v>30161868.75</v>
      </c>
      <c r="BN14" s="214">
        <f t="shared" si="22"/>
        <v>29864844.75</v>
      </c>
      <c r="BO14" s="214">
        <f t="shared" si="22"/>
        <v>29367564.399999999</v>
      </c>
      <c r="BP14" s="214">
        <f t="shared" si="22"/>
        <v>30229387.990000002</v>
      </c>
      <c r="BQ14" s="214">
        <f t="shared" si="22"/>
        <v>29688332.240000002</v>
      </c>
      <c r="BR14" s="214">
        <f t="shared" si="22"/>
        <v>30967211.310000002</v>
      </c>
      <c r="BS14" s="214">
        <f t="shared" si="22"/>
        <v>31537960.439999998</v>
      </c>
      <c r="BT14" s="214">
        <f t="shared" ref="BT14:BX14" si="23">(BT15-BT16)</f>
        <v>0</v>
      </c>
      <c r="BU14" s="214">
        <f t="shared" si="23"/>
        <v>32649140.130000003</v>
      </c>
      <c r="BV14" s="214">
        <f t="shared" si="23"/>
        <v>32659701.740000002</v>
      </c>
      <c r="BW14" s="214">
        <f t="shared" si="23"/>
        <v>34985435.359999999</v>
      </c>
      <c r="BX14" s="214">
        <f t="shared" si="23"/>
        <v>31506196.310000002</v>
      </c>
      <c r="BY14" s="214">
        <f>(BY15-BY16)</f>
        <v>32276678.009999998</v>
      </c>
      <c r="BZ14" s="214">
        <f>(BZ15-BZ16)</f>
        <v>32504970.219999999</v>
      </c>
      <c r="CA14" s="214">
        <f>(CA15-CA16)</f>
        <v>34095928.520000003</v>
      </c>
      <c r="CB14" s="214">
        <f>(CB15-CB16)</f>
        <v>33483377.200000003</v>
      </c>
      <c r="CC14" s="214">
        <f t="shared" ref="CC14:CD14" si="24">(CC15-CC16)</f>
        <v>38876309</v>
      </c>
      <c r="CD14" s="214">
        <f t="shared" si="24"/>
        <v>0</v>
      </c>
    </row>
    <row r="15" spans="1:82" ht="15" customHeight="1">
      <c r="A15" s="161" t="s">
        <v>23</v>
      </c>
      <c r="B15" s="283">
        <v>31524548</v>
      </c>
      <c r="C15" s="288">
        <v>36920493</v>
      </c>
      <c r="D15" s="283">
        <v>36085793</v>
      </c>
      <c r="E15" s="283">
        <v>34456354</v>
      </c>
      <c r="F15" s="290">
        <v>33389509</v>
      </c>
      <c r="G15" s="293">
        <v>29854566</v>
      </c>
      <c r="H15" s="283">
        <f>244076+209632+3631769+6187564+9770913+10967804</f>
        <v>31011758</v>
      </c>
      <c r="I15" s="297">
        <v>34575530.75</v>
      </c>
      <c r="J15" s="297">
        <v>33764917.969999999</v>
      </c>
      <c r="K15" s="297">
        <v>34798280.700000003</v>
      </c>
      <c r="L15" s="297">
        <v>33789021.210000001</v>
      </c>
      <c r="M15" s="297">
        <v>33733275.710000001</v>
      </c>
      <c r="N15" s="297">
        <v>32870615.5</v>
      </c>
      <c r="O15" s="297">
        <v>28885717.48</v>
      </c>
      <c r="P15" s="297">
        <v>30209043.91</v>
      </c>
      <c r="Q15" s="297">
        <v>33253483.969999999</v>
      </c>
      <c r="R15" s="297">
        <v>33151953.719999999</v>
      </c>
      <c r="S15" s="297">
        <v>32745821.289999999</v>
      </c>
      <c r="T15" s="297">
        <v>29862144.710000001</v>
      </c>
      <c r="U15" s="283">
        <v>29862147</v>
      </c>
      <c r="V15" s="329">
        <v>30995823.25</v>
      </c>
      <c r="W15" s="329">
        <v>33706035.219999999</v>
      </c>
      <c r="X15" s="329">
        <v>29395402.25</v>
      </c>
      <c r="Y15" s="329">
        <v>28721214.239999998</v>
      </c>
      <c r="Z15" s="329">
        <v>28162168.09</v>
      </c>
      <c r="AA15" s="329">
        <v>31706423.800000001</v>
      </c>
      <c r="AB15" s="329">
        <v>28304799.5</v>
      </c>
      <c r="AC15" s="329">
        <v>29946706.079999998</v>
      </c>
      <c r="AD15" s="329">
        <v>28715854.039999999</v>
      </c>
      <c r="AE15" s="297">
        <v>28645057.809999999</v>
      </c>
      <c r="AF15" s="297">
        <v>30717199.620000001</v>
      </c>
      <c r="AG15" s="297">
        <v>29988725.829999998</v>
      </c>
      <c r="AH15" s="283">
        <f>95098+298550+4019181+7599174+8825713+9151010</f>
        <v>29988726</v>
      </c>
      <c r="AI15" s="276">
        <v>32516880.93</v>
      </c>
      <c r="AJ15" s="276">
        <v>32613412.43</v>
      </c>
      <c r="AK15" s="276">
        <v>33997628.240000002</v>
      </c>
      <c r="AL15" s="276">
        <v>31247365.82</v>
      </c>
      <c r="AM15" s="276">
        <v>30958397.390000001</v>
      </c>
      <c r="AN15" s="276">
        <v>30678214.370000001</v>
      </c>
      <c r="AO15" s="276">
        <v>30545196.460000001</v>
      </c>
      <c r="AP15" s="276">
        <v>31716573.34</v>
      </c>
      <c r="AQ15" s="276">
        <v>32368563.949999999</v>
      </c>
      <c r="AR15" s="276">
        <v>32015043.350000001</v>
      </c>
      <c r="AS15" s="276">
        <v>33586811.890000001</v>
      </c>
      <c r="AT15" s="285">
        <f>114242+1722923+3952080+6913347+8515373+12368848</f>
        <v>33586813</v>
      </c>
      <c r="AU15" s="276">
        <v>36565988.359999999</v>
      </c>
      <c r="AV15" s="276">
        <v>36228625.719999999</v>
      </c>
      <c r="AW15" s="276">
        <v>32981569.5</v>
      </c>
      <c r="AX15" s="276">
        <v>32830264.550000001</v>
      </c>
      <c r="AY15" s="276">
        <v>32865277.010000002</v>
      </c>
      <c r="AZ15" s="341">
        <v>36734980.039999999</v>
      </c>
      <c r="BA15" s="343">
        <v>36367143.880000003</v>
      </c>
      <c r="BB15" s="341">
        <v>35006594.659999996</v>
      </c>
      <c r="BC15" s="341">
        <v>38888359.82</v>
      </c>
      <c r="BD15" s="341">
        <v>34801219.829999998</v>
      </c>
      <c r="BE15" s="343">
        <v>34158311.119999997</v>
      </c>
      <c r="BF15" s="355">
        <v>32943349.530000001</v>
      </c>
      <c r="BG15" s="361">
        <f>28704269+BG16</f>
        <v>32943349</v>
      </c>
      <c r="BH15" s="341">
        <v>32485708.850000001</v>
      </c>
      <c r="BI15" s="343">
        <v>32189804.32</v>
      </c>
      <c r="BJ15" s="343">
        <v>32363226.68</v>
      </c>
      <c r="BK15" s="343">
        <v>34461139.490000002</v>
      </c>
      <c r="BL15" s="343">
        <v>34226907.539999999</v>
      </c>
      <c r="BM15" s="343">
        <v>34400948.75</v>
      </c>
      <c r="BN15" s="343">
        <v>34103924.75</v>
      </c>
      <c r="BO15" s="343">
        <v>33606644.399999999</v>
      </c>
      <c r="BP15" s="343">
        <v>34468467.990000002</v>
      </c>
      <c r="BQ15" s="343">
        <v>33927412.240000002</v>
      </c>
      <c r="BR15" s="343">
        <v>35206291.310000002</v>
      </c>
      <c r="BS15" s="391">
        <v>35777040.439999998</v>
      </c>
      <c r="BT15" s="390"/>
      <c r="BU15" s="341">
        <v>36888220.130000003</v>
      </c>
      <c r="BV15" s="343">
        <v>36898781.740000002</v>
      </c>
      <c r="BW15" s="343">
        <v>38683835.359999999</v>
      </c>
      <c r="BX15" s="341">
        <v>35204596.310000002</v>
      </c>
      <c r="BY15" s="381">
        <v>35975078.009999998</v>
      </c>
      <c r="BZ15" s="341">
        <v>36203370.219999999</v>
      </c>
      <c r="CA15" s="341">
        <v>37794328.520000003</v>
      </c>
      <c r="CB15" s="341">
        <v>37181777.200000003</v>
      </c>
      <c r="CC15" s="434">
        <v>42574709</v>
      </c>
    </row>
    <row r="16" spans="1:82">
      <c r="A16" s="161" t="s">
        <v>24</v>
      </c>
      <c r="B16" s="283"/>
      <c r="C16" s="283"/>
      <c r="D16" s="283"/>
      <c r="E16" s="283"/>
      <c r="F16" s="288">
        <v>800000</v>
      </c>
      <c r="G16" s="291">
        <v>1350000</v>
      </c>
      <c r="H16" s="283">
        <v>1925727</v>
      </c>
      <c r="I16" s="297">
        <v>0</v>
      </c>
      <c r="J16" s="297">
        <v>0</v>
      </c>
      <c r="K16" s="297">
        <v>0</v>
      </c>
      <c r="L16" s="297">
        <v>0</v>
      </c>
      <c r="M16" s="297">
        <v>0</v>
      </c>
      <c r="N16" s="297">
        <v>0</v>
      </c>
      <c r="O16" s="297">
        <v>0</v>
      </c>
      <c r="P16" s="297">
        <v>0</v>
      </c>
      <c r="Q16" s="297">
        <v>0</v>
      </c>
      <c r="R16" s="297">
        <v>0</v>
      </c>
      <c r="S16" s="297">
        <v>0</v>
      </c>
      <c r="T16" s="297">
        <v>0</v>
      </c>
      <c r="U16" s="287">
        <v>2960451</v>
      </c>
      <c r="V16" s="329">
        <v>0</v>
      </c>
      <c r="W16" s="329">
        <v>0</v>
      </c>
      <c r="X16" s="329">
        <v>0</v>
      </c>
      <c r="Y16" s="329">
        <v>0</v>
      </c>
      <c r="Z16" s="329">
        <v>0</v>
      </c>
      <c r="AA16" s="329">
        <v>0</v>
      </c>
      <c r="AB16" s="329">
        <v>0</v>
      </c>
      <c r="AC16" s="329">
        <v>0</v>
      </c>
      <c r="AD16" s="329">
        <v>0</v>
      </c>
      <c r="AE16" s="297">
        <v>0</v>
      </c>
      <c r="AF16" s="297">
        <v>0</v>
      </c>
      <c r="AG16" s="297">
        <v>0</v>
      </c>
      <c r="AH16" s="283">
        <v>3560451</v>
      </c>
      <c r="AI16" s="276">
        <v>0</v>
      </c>
      <c r="AJ16" s="276">
        <v>0</v>
      </c>
      <c r="AK16" s="276">
        <v>0</v>
      </c>
      <c r="AL16" s="276">
        <v>0</v>
      </c>
      <c r="AM16" s="276">
        <v>0</v>
      </c>
      <c r="AN16" s="276">
        <v>0</v>
      </c>
      <c r="AO16" s="276">
        <v>0</v>
      </c>
      <c r="AP16" s="276">
        <v>0</v>
      </c>
      <c r="AQ16" s="276">
        <v>3560451</v>
      </c>
      <c r="AR16" s="276">
        <v>3560451</v>
      </c>
      <c r="AS16" s="276">
        <v>3560451</v>
      </c>
      <c r="AT16" s="285">
        <v>3560451</v>
      </c>
      <c r="AU16" s="276">
        <v>3560451</v>
      </c>
      <c r="AV16" s="276">
        <v>3560451</v>
      </c>
      <c r="AW16" s="276">
        <v>4142551</v>
      </c>
      <c r="AX16" s="276">
        <v>4142551</v>
      </c>
      <c r="AY16" s="276">
        <v>4142551</v>
      </c>
      <c r="AZ16" s="345">
        <v>4142551</v>
      </c>
      <c r="BA16" s="347">
        <v>4142551</v>
      </c>
      <c r="BB16" s="345">
        <v>4142551</v>
      </c>
      <c r="BC16" s="345">
        <v>4142551</v>
      </c>
      <c r="BD16" s="345">
        <v>4142551</v>
      </c>
      <c r="BE16" s="347">
        <v>4142551</v>
      </c>
      <c r="BF16" s="355">
        <v>4142551</v>
      </c>
      <c r="BG16" s="361">
        <v>4239080</v>
      </c>
      <c r="BH16" s="345">
        <v>4142551</v>
      </c>
      <c r="BI16" s="347">
        <v>4142551</v>
      </c>
      <c r="BJ16" s="347">
        <v>4239080</v>
      </c>
      <c r="BK16" s="347">
        <v>4239080</v>
      </c>
      <c r="BL16" s="347">
        <v>4239080</v>
      </c>
      <c r="BM16" s="347">
        <v>4239080</v>
      </c>
      <c r="BN16" s="347">
        <v>4239080</v>
      </c>
      <c r="BO16" s="347">
        <v>4239080</v>
      </c>
      <c r="BP16" s="347">
        <v>4239080</v>
      </c>
      <c r="BQ16" s="347">
        <v>4239080</v>
      </c>
      <c r="BR16" s="347">
        <v>4239080</v>
      </c>
      <c r="BS16" s="391">
        <v>4239080</v>
      </c>
      <c r="BT16" s="390"/>
      <c r="BU16" s="345">
        <v>4239080</v>
      </c>
      <c r="BV16" s="347">
        <v>4239080</v>
      </c>
      <c r="BW16" s="347">
        <v>3698400</v>
      </c>
      <c r="BX16" s="345">
        <v>3698400</v>
      </c>
      <c r="BY16" s="383">
        <v>3698400</v>
      </c>
      <c r="BZ16" s="345">
        <v>3698400</v>
      </c>
      <c r="CA16" s="345">
        <v>3698400</v>
      </c>
      <c r="CB16" s="345">
        <v>3698400</v>
      </c>
      <c r="CC16" s="436">
        <v>3698400</v>
      </c>
    </row>
    <row r="17" spans="1:81">
      <c r="A17" s="160" t="s">
        <v>25</v>
      </c>
      <c r="B17" s="214">
        <f t="shared" ref="B17:I17" si="25">(B18+B19+B20)</f>
        <v>0</v>
      </c>
      <c r="C17" s="214">
        <f t="shared" si="25"/>
        <v>0</v>
      </c>
      <c r="D17" s="214">
        <f t="shared" si="25"/>
        <v>0</v>
      </c>
      <c r="E17" s="214">
        <f t="shared" si="25"/>
        <v>0</v>
      </c>
      <c r="F17" s="214">
        <f t="shared" si="25"/>
        <v>0</v>
      </c>
      <c r="G17" s="214">
        <f t="shared" si="25"/>
        <v>0</v>
      </c>
      <c r="H17" s="214">
        <f t="shared" si="25"/>
        <v>0</v>
      </c>
      <c r="I17" s="214">
        <f t="shared" si="25"/>
        <v>0</v>
      </c>
      <c r="J17" s="214">
        <f t="shared" ref="J17:S17" si="26">(J18+J19+J20)</f>
        <v>0</v>
      </c>
      <c r="K17" s="214">
        <f t="shared" si="26"/>
        <v>0</v>
      </c>
      <c r="L17" s="214">
        <f t="shared" si="26"/>
        <v>0</v>
      </c>
      <c r="M17" s="214">
        <f t="shared" si="26"/>
        <v>0</v>
      </c>
      <c r="N17" s="214">
        <f t="shared" si="26"/>
        <v>0</v>
      </c>
      <c r="O17" s="214">
        <f t="shared" si="26"/>
        <v>0</v>
      </c>
      <c r="P17" s="214">
        <f t="shared" si="26"/>
        <v>0</v>
      </c>
      <c r="Q17" s="214">
        <f t="shared" si="26"/>
        <v>0</v>
      </c>
      <c r="R17" s="214">
        <f t="shared" si="26"/>
        <v>0</v>
      </c>
      <c r="S17" s="214">
        <f t="shared" si="26"/>
        <v>0</v>
      </c>
      <c r="T17" s="214">
        <f>(T18+T19+T20)</f>
        <v>0</v>
      </c>
      <c r="U17" s="214">
        <f>(U18+U19+U20)</f>
        <v>0</v>
      </c>
      <c r="V17" s="214">
        <f>(V18+V19+V20)</f>
        <v>0</v>
      </c>
      <c r="W17" s="214">
        <f t="shared" ref="W17:AB17" si="27">(W18+W19+W20)</f>
        <v>0</v>
      </c>
      <c r="X17" s="214">
        <f t="shared" si="27"/>
        <v>0</v>
      </c>
      <c r="Y17" s="214">
        <f t="shared" si="27"/>
        <v>0</v>
      </c>
      <c r="Z17" s="214">
        <f t="shared" si="27"/>
        <v>0</v>
      </c>
      <c r="AA17" s="214">
        <f t="shared" si="27"/>
        <v>0</v>
      </c>
      <c r="AB17" s="214">
        <f t="shared" si="27"/>
        <v>0</v>
      </c>
      <c r="AC17" s="214">
        <f t="shared" ref="AC17:AH17" si="28">(AC18+AC19+AC20)</f>
        <v>0</v>
      </c>
      <c r="AD17" s="214">
        <f t="shared" si="28"/>
        <v>0</v>
      </c>
      <c r="AE17" s="214">
        <f t="shared" si="28"/>
        <v>0</v>
      </c>
      <c r="AF17" s="214">
        <f t="shared" si="28"/>
        <v>0</v>
      </c>
      <c r="AG17" s="214">
        <f t="shared" si="28"/>
        <v>0</v>
      </c>
      <c r="AH17" s="214">
        <f t="shared" si="28"/>
        <v>0</v>
      </c>
      <c r="AI17" s="214">
        <f t="shared" ref="AI17:BX17" si="29">(AI18+AI19+AI20)</f>
        <v>0</v>
      </c>
      <c r="AJ17" s="214">
        <f t="shared" si="29"/>
        <v>0</v>
      </c>
      <c r="AK17" s="214">
        <f t="shared" si="29"/>
        <v>0</v>
      </c>
      <c r="AL17" s="214">
        <f t="shared" si="29"/>
        <v>0</v>
      </c>
      <c r="AM17" s="214">
        <f t="shared" si="29"/>
        <v>0</v>
      </c>
      <c r="AN17" s="214">
        <f t="shared" si="29"/>
        <v>0</v>
      </c>
      <c r="AO17" s="214">
        <f t="shared" si="29"/>
        <v>0</v>
      </c>
      <c r="AP17" s="214">
        <f t="shared" si="29"/>
        <v>0</v>
      </c>
      <c r="AQ17" s="214">
        <f t="shared" si="29"/>
        <v>0</v>
      </c>
      <c r="AR17" s="214">
        <f t="shared" si="29"/>
        <v>0</v>
      </c>
      <c r="AS17" s="214">
        <f t="shared" si="29"/>
        <v>0</v>
      </c>
      <c r="AT17" s="214">
        <f t="shared" si="29"/>
        <v>0</v>
      </c>
      <c r="AU17" s="214">
        <f t="shared" si="29"/>
        <v>0</v>
      </c>
      <c r="AV17" s="214">
        <f t="shared" si="29"/>
        <v>0</v>
      </c>
      <c r="AW17" s="214">
        <f t="shared" si="29"/>
        <v>0</v>
      </c>
      <c r="AX17" s="214">
        <f t="shared" si="29"/>
        <v>0</v>
      </c>
      <c r="AY17" s="214">
        <f t="shared" si="29"/>
        <v>0</v>
      </c>
      <c r="AZ17" s="214">
        <f t="shared" si="29"/>
        <v>0</v>
      </c>
      <c r="BA17" s="214">
        <f t="shared" si="29"/>
        <v>0</v>
      </c>
      <c r="BB17" s="214">
        <f t="shared" si="29"/>
        <v>0</v>
      </c>
      <c r="BC17" s="214">
        <f t="shared" si="29"/>
        <v>0</v>
      </c>
      <c r="BD17" s="214">
        <f t="shared" si="29"/>
        <v>0</v>
      </c>
      <c r="BE17" s="214">
        <f t="shared" si="29"/>
        <v>0</v>
      </c>
      <c r="BF17" s="214">
        <f t="shared" si="29"/>
        <v>0</v>
      </c>
      <c r="BG17" s="214">
        <f t="shared" si="29"/>
        <v>0</v>
      </c>
      <c r="BH17" s="214">
        <f t="shared" si="29"/>
        <v>0</v>
      </c>
      <c r="BI17" s="214">
        <f t="shared" si="29"/>
        <v>0</v>
      </c>
      <c r="BJ17" s="214">
        <f t="shared" si="29"/>
        <v>0</v>
      </c>
      <c r="BK17" s="214">
        <f t="shared" si="29"/>
        <v>0</v>
      </c>
      <c r="BL17" s="214">
        <f t="shared" si="29"/>
        <v>0</v>
      </c>
      <c r="BM17" s="214">
        <f t="shared" si="29"/>
        <v>0</v>
      </c>
      <c r="BN17" s="214">
        <f t="shared" si="29"/>
        <v>0</v>
      </c>
      <c r="BO17" s="214">
        <f t="shared" si="29"/>
        <v>0</v>
      </c>
      <c r="BP17" s="214">
        <f t="shared" si="29"/>
        <v>0</v>
      </c>
      <c r="BQ17" s="214">
        <f t="shared" si="29"/>
        <v>0</v>
      </c>
      <c r="BR17" s="214">
        <f t="shared" si="29"/>
        <v>0</v>
      </c>
      <c r="BS17" s="214">
        <f t="shared" si="29"/>
        <v>0</v>
      </c>
      <c r="BT17" s="214">
        <f t="shared" si="29"/>
        <v>0</v>
      </c>
      <c r="BU17" s="214">
        <f t="shared" si="29"/>
        <v>0</v>
      </c>
      <c r="BV17" s="214">
        <f t="shared" si="29"/>
        <v>0</v>
      </c>
      <c r="BW17" s="214">
        <f t="shared" si="29"/>
        <v>0</v>
      </c>
      <c r="BX17" s="214">
        <f t="shared" si="29"/>
        <v>0</v>
      </c>
      <c r="BY17" s="214">
        <f>(BY18+BY19+BY20)</f>
        <v>0</v>
      </c>
      <c r="BZ17" s="214">
        <f>(BZ18+BZ19+BZ20)</f>
        <v>0</v>
      </c>
      <c r="CA17" s="214">
        <f>(CA18+CA19+CA20)</f>
        <v>0</v>
      </c>
      <c r="CB17" s="214">
        <f>(CB18+CB19+CB20)</f>
        <v>0</v>
      </c>
      <c r="CC17" s="214">
        <f>(CC18+CC19+CC20)</f>
        <v>0</v>
      </c>
    </row>
    <row r="18" spans="1:81">
      <c r="A18" s="161" t="s">
        <v>26</v>
      </c>
      <c r="B18" s="349"/>
      <c r="C18" s="349"/>
      <c r="D18" s="349"/>
      <c r="E18" s="349"/>
      <c r="F18" s="349"/>
      <c r="G18" s="349"/>
      <c r="H18" s="349"/>
      <c r="I18" s="297">
        <v>0</v>
      </c>
      <c r="J18" s="297">
        <v>0</v>
      </c>
      <c r="K18" s="297">
        <v>0</v>
      </c>
      <c r="L18" s="297">
        <v>0</v>
      </c>
      <c r="M18" s="297">
        <v>0</v>
      </c>
      <c r="N18" s="297">
        <v>0</v>
      </c>
      <c r="O18" s="297">
        <v>0</v>
      </c>
      <c r="P18" s="297">
        <v>0</v>
      </c>
      <c r="Q18" s="297">
        <v>0</v>
      </c>
      <c r="R18" s="297">
        <v>0</v>
      </c>
      <c r="S18" s="297">
        <v>0</v>
      </c>
      <c r="T18" s="297">
        <v>0</v>
      </c>
      <c r="U18" s="297">
        <v>0</v>
      </c>
      <c r="V18" s="329">
        <v>0</v>
      </c>
      <c r="W18" s="329">
        <v>0</v>
      </c>
      <c r="X18" s="329">
        <v>0</v>
      </c>
      <c r="Y18" s="329">
        <v>0</v>
      </c>
      <c r="Z18" s="329">
        <v>0</v>
      </c>
      <c r="AA18" s="329">
        <v>0</v>
      </c>
      <c r="AB18" s="329">
        <v>0</v>
      </c>
      <c r="AC18" s="329">
        <v>0</v>
      </c>
      <c r="AD18" s="329">
        <v>0</v>
      </c>
      <c r="AE18" s="297">
        <v>0</v>
      </c>
      <c r="AF18" s="297">
        <v>0</v>
      </c>
      <c r="AG18" s="297">
        <v>0</v>
      </c>
      <c r="AH18" s="349"/>
      <c r="AI18" s="276">
        <v>0</v>
      </c>
      <c r="AJ18" s="276">
        <v>0</v>
      </c>
      <c r="AK18" s="276">
        <v>0</v>
      </c>
      <c r="AL18" s="276">
        <v>0</v>
      </c>
      <c r="AM18" s="276">
        <v>0</v>
      </c>
      <c r="AN18" s="276">
        <v>0</v>
      </c>
      <c r="AO18" s="276">
        <v>0</v>
      </c>
      <c r="AP18" s="276">
        <v>0</v>
      </c>
      <c r="AQ18" s="276">
        <v>0</v>
      </c>
      <c r="AR18" s="276">
        <v>0</v>
      </c>
      <c r="AS18" s="276">
        <v>0</v>
      </c>
      <c r="AT18" s="276"/>
      <c r="AU18" s="276">
        <v>0</v>
      </c>
      <c r="AV18" s="276">
        <v>0</v>
      </c>
      <c r="AW18" s="276">
        <v>0</v>
      </c>
      <c r="AX18" s="276">
        <v>0</v>
      </c>
      <c r="AY18" s="276">
        <v>0</v>
      </c>
      <c r="AZ18" s="340">
        <v>0</v>
      </c>
      <c r="BA18" s="342">
        <v>0</v>
      </c>
      <c r="BB18" s="340">
        <v>0</v>
      </c>
      <c r="BC18" s="340">
        <v>0</v>
      </c>
      <c r="BH18" s="340">
        <v>0</v>
      </c>
      <c r="BI18" s="342">
        <v>0</v>
      </c>
      <c r="BJ18" s="342">
        <v>0</v>
      </c>
      <c r="BK18" s="342">
        <v>0</v>
      </c>
      <c r="BL18" s="342">
        <v>0</v>
      </c>
      <c r="BM18" s="342">
        <v>0</v>
      </c>
      <c r="BN18" s="342">
        <v>0</v>
      </c>
      <c r="BO18" s="342">
        <v>0</v>
      </c>
      <c r="BP18" s="342">
        <v>0</v>
      </c>
      <c r="BQ18" s="342">
        <v>0</v>
      </c>
      <c r="BR18" s="342">
        <v>0</v>
      </c>
      <c r="BS18" s="389">
        <v>0</v>
      </c>
      <c r="BT18" s="390"/>
      <c r="BU18" s="340">
        <v>0</v>
      </c>
      <c r="BV18" s="342">
        <v>0</v>
      </c>
      <c r="BW18" s="342">
        <v>0</v>
      </c>
      <c r="BX18" s="340">
        <v>0</v>
      </c>
      <c r="BY18" s="380">
        <v>0</v>
      </c>
      <c r="BZ18" s="340">
        <v>0</v>
      </c>
      <c r="CA18" s="340">
        <v>0</v>
      </c>
      <c r="CB18" s="340">
        <v>0</v>
      </c>
      <c r="CC18" s="433">
        <v>0</v>
      </c>
    </row>
    <row r="19" spans="1:81">
      <c r="A19" s="161" t="s">
        <v>27</v>
      </c>
      <c r="B19" s="349"/>
      <c r="C19" s="349"/>
      <c r="D19" s="349"/>
      <c r="E19" s="349"/>
      <c r="F19" s="349"/>
      <c r="G19" s="349"/>
      <c r="H19" s="349"/>
      <c r="I19" s="297">
        <v>0</v>
      </c>
      <c r="J19" s="297">
        <v>0</v>
      </c>
      <c r="K19" s="297">
        <v>0</v>
      </c>
      <c r="L19" s="297">
        <v>0</v>
      </c>
      <c r="M19" s="297">
        <v>0</v>
      </c>
      <c r="N19" s="297">
        <v>0</v>
      </c>
      <c r="O19" s="297">
        <v>0</v>
      </c>
      <c r="P19" s="297">
        <v>0</v>
      </c>
      <c r="Q19" s="297">
        <v>0</v>
      </c>
      <c r="R19" s="297">
        <v>0</v>
      </c>
      <c r="S19" s="297">
        <v>0</v>
      </c>
      <c r="T19" s="297">
        <v>0</v>
      </c>
      <c r="U19" s="297">
        <v>0</v>
      </c>
      <c r="V19" s="329">
        <v>0</v>
      </c>
      <c r="W19" s="329">
        <v>0</v>
      </c>
      <c r="X19" s="329">
        <v>0</v>
      </c>
      <c r="Y19" s="329">
        <v>0</v>
      </c>
      <c r="Z19" s="329">
        <v>0</v>
      </c>
      <c r="AA19" s="329">
        <v>0</v>
      </c>
      <c r="AB19" s="329">
        <v>0</v>
      </c>
      <c r="AC19" s="329">
        <v>0</v>
      </c>
      <c r="AD19" s="329">
        <v>0</v>
      </c>
      <c r="AE19" s="297">
        <v>0</v>
      </c>
      <c r="AF19" s="297">
        <v>0</v>
      </c>
      <c r="AG19" s="297">
        <v>0</v>
      </c>
      <c r="AH19" s="349"/>
      <c r="AI19" s="276">
        <v>0</v>
      </c>
      <c r="AJ19" s="276">
        <v>0</v>
      </c>
      <c r="AK19" s="276">
        <v>0</v>
      </c>
      <c r="AL19" s="276">
        <v>0</v>
      </c>
      <c r="AM19" s="276">
        <v>0</v>
      </c>
      <c r="AN19" s="276">
        <v>0</v>
      </c>
      <c r="AO19" s="276">
        <v>0</v>
      </c>
      <c r="AP19" s="276">
        <v>0</v>
      </c>
      <c r="AQ19" s="276">
        <v>0</v>
      </c>
      <c r="AR19" s="276">
        <v>0</v>
      </c>
      <c r="AS19" s="276">
        <v>0</v>
      </c>
      <c r="AT19" s="349"/>
      <c r="AU19" s="276">
        <v>0</v>
      </c>
      <c r="AV19" s="276">
        <v>0</v>
      </c>
      <c r="AW19" s="276">
        <v>0</v>
      </c>
      <c r="AX19" s="276">
        <v>0</v>
      </c>
      <c r="AY19" s="276">
        <v>0</v>
      </c>
      <c r="AZ19" s="344">
        <v>0</v>
      </c>
      <c r="BA19" s="346">
        <v>0</v>
      </c>
      <c r="BB19" s="344">
        <v>0</v>
      </c>
      <c r="BC19" s="344">
        <v>0</v>
      </c>
      <c r="BH19" s="344">
        <v>0</v>
      </c>
      <c r="BI19" s="346">
        <v>0</v>
      </c>
      <c r="BJ19" s="346">
        <v>0</v>
      </c>
      <c r="BK19" s="346">
        <v>0</v>
      </c>
      <c r="BL19" s="346">
        <v>0</v>
      </c>
      <c r="BM19" s="346">
        <v>0</v>
      </c>
      <c r="BN19" s="346">
        <v>0</v>
      </c>
      <c r="BO19" s="346">
        <v>0</v>
      </c>
      <c r="BP19" s="346">
        <v>0</v>
      </c>
      <c r="BQ19" s="346">
        <v>0</v>
      </c>
      <c r="BR19" s="346">
        <v>0</v>
      </c>
      <c r="BS19" s="389">
        <v>0</v>
      </c>
      <c r="BT19" s="390"/>
      <c r="BU19" s="344">
        <v>0</v>
      </c>
      <c r="BV19" s="346">
        <v>0</v>
      </c>
      <c r="BW19" s="346">
        <v>0</v>
      </c>
      <c r="BX19" s="344">
        <v>0</v>
      </c>
      <c r="BY19" s="382">
        <v>0</v>
      </c>
      <c r="BZ19" s="344">
        <v>0</v>
      </c>
      <c r="CA19" s="344">
        <v>0</v>
      </c>
      <c r="CB19" s="344">
        <v>0</v>
      </c>
      <c r="CC19" s="435">
        <v>0</v>
      </c>
    </row>
    <row r="20" spans="1:81">
      <c r="A20" s="161" t="s">
        <v>28</v>
      </c>
      <c r="B20" s="349"/>
      <c r="C20" s="349"/>
      <c r="D20" s="349"/>
      <c r="E20" s="349"/>
      <c r="F20" s="349"/>
      <c r="G20" s="349"/>
      <c r="H20" s="349"/>
      <c r="I20" s="297">
        <v>0</v>
      </c>
      <c r="J20" s="297">
        <v>0</v>
      </c>
      <c r="K20" s="297">
        <v>0</v>
      </c>
      <c r="L20" s="297">
        <v>0</v>
      </c>
      <c r="M20" s="297">
        <v>0</v>
      </c>
      <c r="N20" s="294"/>
      <c r="O20" s="297">
        <v>0</v>
      </c>
      <c r="P20" s="297">
        <v>0</v>
      </c>
      <c r="Q20" s="297">
        <v>0</v>
      </c>
      <c r="R20" s="297">
        <v>0</v>
      </c>
      <c r="S20" s="297">
        <v>0</v>
      </c>
      <c r="T20" s="297">
        <v>0</v>
      </c>
      <c r="U20" s="297">
        <v>0</v>
      </c>
      <c r="V20" s="329">
        <v>0</v>
      </c>
      <c r="W20" s="329">
        <v>0</v>
      </c>
      <c r="X20" s="329">
        <v>0</v>
      </c>
      <c r="Y20" s="329">
        <v>0</v>
      </c>
      <c r="Z20" s="329">
        <v>0</v>
      </c>
      <c r="AA20" s="329">
        <v>0</v>
      </c>
      <c r="AB20" s="329">
        <v>0</v>
      </c>
      <c r="AC20" s="329">
        <v>0</v>
      </c>
      <c r="AD20" s="329">
        <v>0</v>
      </c>
      <c r="AE20" s="297">
        <v>0</v>
      </c>
      <c r="AF20" s="297">
        <v>0</v>
      </c>
      <c r="AG20" s="297">
        <v>0</v>
      </c>
      <c r="AH20" s="349"/>
      <c r="AI20" s="276">
        <v>0</v>
      </c>
      <c r="AJ20" s="276">
        <v>0</v>
      </c>
      <c r="AK20" s="276">
        <v>0</v>
      </c>
      <c r="AL20" s="276">
        <v>0</v>
      </c>
      <c r="AM20" s="276">
        <v>0</v>
      </c>
      <c r="AN20" s="276">
        <v>0</v>
      </c>
      <c r="AO20" s="276">
        <v>0</v>
      </c>
      <c r="AP20" s="276">
        <v>0</v>
      </c>
      <c r="AQ20" s="276">
        <v>0</v>
      </c>
      <c r="AR20" s="276">
        <v>0</v>
      </c>
      <c r="AS20" s="276">
        <v>0</v>
      </c>
      <c r="AT20" s="276"/>
      <c r="AU20" s="276">
        <v>0</v>
      </c>
      <c r="AV20" s="276">
        <v>0</v>
      </c>
      <c r="AW20" s="276">
        <v>0</v>
      </c>
      <c r="AX20" s="276">
        <v>0</v>
      </c>
      <c r="AY20" s="276">
        <v>0</v>
      </c>
      <c r="AZ20" s="344">
        <v>0</v>
      </c>
      <c r="BA20" s="346">
        <v>0</v>
      </c>
      <c r="BB20" s="344">
        <v>0</v>
      </c>
      <c r="BC20" s="344">
        <v>0</v>
      </c>
      <c r="BH20" s="344">
        <v>0</v>
      </c>
      <c r="BI20" s="346">
        <v>0</v>
      </c>
      <c r="BJ20" s="346">
        <v>0</v>
      </c>
      <c r="BK20" s="346">
        <v>0</v>
      </c>
      <c r="BL20" s="346">
        <v>0</v>
      </c>
      <c r="BM20" s="346">
        <v>0</v>
      </c>
      <c r="BN20" s="346">
        <v>0</v>
      </c>
      <c r="BO20" s="346">
        <v>0</v>
      </c>
      <c r="BP20" s="346">
        <v>0</v>
      </c>
      <c r="BQ20" s="346">
        <v>0</v>
      </c>
      <c r="BR20" s="346">
        <v>0</v>
      </c>
      <c r="BS20" s="389">
        <v>0</v>
      </c>
      <c r="BT20" s="390"/>
      <c r="BU20" s="344">
        <v>0</v>
      </c>
      <c r="BV20" s="346">
        <v>0</v>
      </c>
      <c r="BW20" s="346">
        <v>0</v>
      </c>
      <c r="BX20" s="344">
        <v>0</v>
      </c>
      <c r="BY20" s="382">
        <v>0</v>
      </c>
      <c r="BZ20" s="344">
        <v>0</v>
      </c>
      <c r="CA20" s="344">
        <v>0</v>
      </c>
      <c r="CB20" s="344">
        <v>0</v>
      </c>
      <c r="CC20" s="435">
        <v>0</v>
      </c>
    </row>
    <row r="21" spans="1:81">
      <c r="A21" s="160" t="s">
        <v>29</v>
      </c>
      <c r="B21" s="214">
        <f t="shared" ref="B21:I21" si="30">(B22+B23+B24+B25+B26)</f>
        <v>1733278</v>
      </c>
      <c r="C21" s="214">
        <f t="shared" si="30"/>
        <v>1653529</v>
      </c>
      <c r="D21" s="214">
        <f t="shared" si="30"/>
        <v>2207010</v>
      </c>
      <c r="E21" s="214">
        <f t="shared" si="30"/>
        <v>2317124</v>
      </c>
      <c r="F21" s="214">
        <f t="shared" si="30"/>
        <v>1896351</v>
      </c>
      <c r="G21" s="214">
        <f t="shared" si="30"/>
        <v>6240222</v>
      </c>
      <c r="H21" s="214">
        <f t="shared" si="30"/>
        <v>9597930</v>
      </c>
      <c r="I21" s="214">
        <f t="shared" si="30"/>
        <v>26288006.140000001</v>
      </c>
      <c r="J21" s="214">
        <f t="shared" ref="J21:S21" si="31">(J22+J23+J24+J25+J26)</f>
        <v>26267065.189999998</v>
      </c>
      <c r="K21" s="214">
        <f t="shared" si="31"/>
        <v>26150723.189999998</v>
      </c>
      <c r="L21" s="214">
        <f t="shared" si="31"/>
        <v>26150723.189999998</v>
      </c>
      <c r="M21" s="214">
        <f t="shared" si="31"/>
        <v>26621757.539999999</v>
      </c>
      <c r="N21" s="214">
        <f t="shared" si="31"/>
        <v>26690282.539999999</v>
      </c>
      <c r="O21" s="214">
        <f t="shared" si="31"/>
        <v>28801598.109999999</v>
      </c>
      <c r="P21" s="214">
        <f t="shared" si="31"/>
        <v>29853523.089999996</v>
      </c>
      <c r="Q21" s="214">
        <f t="shared" si="31"/>
        <v>30143558.289999999</v>
      </c>
      <c r="R21" s="214">
        <f t="shared" si="31"/>
        <v>30212188.289999999</v>
      </c>
      <c r="S21" s="214">
        <f t="shared" si="31"/>
        <v>30288197.43</v>
      </c>
      <c r="T21" s="214">
        <f>(T22+T23+T24+T25+T26)</f>
        <v>30339821.43</v>
      </c>
      <c r="U21" s="214">
        <f>(U22+U23+U24+U25+U26)</f>
        <v>12751871.1</v>
      </c>
      <c r="V21" s="214">
        <f>(V22+V23+V24+V25+V26)</f>
        <v>30390725.369999997</v>
      </c>
      <c r="W21" s="214">
        <f t="shared" ref="W21:AB21" si="32">(W22+W23+W24+W25+W26)</f>
        <v>30446925.07</v>
      </c>
      <c r="X21" s="214">
        <f t="shared" si="32"/>
        <v>30835925.07</v>
      </c>
      <c r="Y21" s="214">
        <f t="shared" si="32"/>
        <v>30914663.07</v>
      </c>
      <c r="Z21" s="214">
        <f t="shared" si="32"/>
        <v>30966413.07</v>
      </c>
      <c r="AA21" s="214">
        <f t="shared" si="32"/>
        <v>31316763.07</v>
      </c>
      <c r="AB21" s="214">
        <f t="shared" si="32"/>
        <v>33839755.909999996</v>
      </c>
      <c r="AC21" s="214">
        <f t="shared" ref="AC21:AH21" si="33">(AC22+AC23+AC24+AC25+AC26)</f>
        <v>33939755.890000001</v>
      </c>
      <c r="AD21" s="214">
        <f t="shared" si="33"/>
        <v>34063265.729999997</v>
      </c>
      <c r="AE21" s="214">
        <f t="shared" si="33"/>
        <v>35111515.729999997</v>
      </c>
      <c r="AF21" s="214">
        <f t="shared" si="33"/>
        <v>35205665.729999997</v>
      </c>
      <c r="AG21" s="214">
        <f t="shared" si="33"/>
        <v>34938405.729999997</v>
      </c>
      <c r="AH21" s="214">
        <f t="shared" si="33"/>
        <v>16254081</v>
      </c>
      <c r="AI21" s="214">
        <f t="shared" ref="AI21:AT21" si="34">(AI22+AI23+AI24+AI25+AI26)</f>
        <v>30006405.729999997</v>
      </c>
      <c r="AJ21" s="214">
        <f t="shared" si="34"/>
        <v>31568924.93</v>
      </c>
      <c r="AK21" s="214">
        <f t="shared" si="34"/>
        <v>31643204.93</v>
      </c>
      <c r="AL21" s="214">
        <f t="shared" si="34"/>
        <v>32693204.93</v>
      </c>
      <c r="AM21" s="214">
        <f t="shared" si="34"/>
        <v>33779404.93</v>
      </c>
      <c r="AN21" s="214">
        <f t="shared" si="34"/>
        <v>34017966.010000005</v>
      </c>
      <c r="AO21" s="214">
        <f t="shared" si="34"/>
        <v>21862307.380000003</v>
      </c>
      <c r="AP21" s="214">
        <f t="shared" si="34"/>
        <v>22206852.59</v>
      </c>
      <c r="AQ21" s="214">
        <f t="shared" si="34"/>
        <v>22682043.34</v>
      </c>
      <c r="AR21" s="214">
        <f t="shared" si="34"/>
        <v>22568748.870000001</v>
      </c>
      <c r="AS21" s="214">
        <f t="shared" si="34"/>
        <v>22727822.940000001</v>
      </c>
      <c r="AT21" s="214">
        <f t="shared" si="34"/>
        <v>21714450</v>
      </c>
      <c r="AU21" s="214">
        <f t="shared" ref="AU21:BC21" si="35">(AU22+AU23+AU24+AU25+AU26)</f>
        <v>22772994.940000001</v>
      </c>
      <c r="AV21" s="214">
        <f t="shared" si="35"/>
        <v>23151023.940000001</v>
      </c>
      <c r="AW21" s="214">
        <f t="shared" si="35"/>
        <v>22925655.540000003</v>
      </c>
      <c r="AX21" s="214">
        <f t="shared" si="35"/>
        <v>22973101.280000001</v>
      </c>
      <c r="AY21" s="214">
        <f t="shared" si="35"/>
        <v>22601378.940000001</v>
      </c>
      <c r="AZ21" s="214">
        <f t="shared" si="35"/>
        <v>14805092.690000001</v>
      </c>
      <c r="BA21" s="214">
        <f t="shared" si="35"/>
        <v>22583500.400000002</v>
      </c>
      <c r="BB21" s="214">
        <f t="shared" si="35"/>
        <v>22450511.940000001</v>
      </c>
      <c r="BC21" s="214">
        <f t="shared" si="35"/>
        <v>22634915.540000003</v>
      </c>
      <c r="BD21" s="214">
        <f t="shared" ref="BD21:BS21" si="36">(BD22+BD23+BD24+BD25+BD26)</f>
        <v>22622035.540000003</v>
      </c>
      <c r="BE21" s="214">
        <f t="shared" si="36"/>
        <v>22261988.940000001</v>
      </c>
      <c r="BF21" s="214">
        <f t="shared" si="36"/>
        <v>22237364.780000001</v>
      </c>
      <c r="BG21" s="214">
        <f t="shared" si="36"/>
        <v>21609951</v>
      </c>
      <c r="BH21" s="214">
        <f t="shared" si="36"/>
        <v>22238102.91</v>
      </c>
      <c r="BI21" s="214">
        <f t="shared" si="36"/>
        <v>21991091.900000002</v>
      </c>
      <c r="BJ21" s="214">
        <f t="shared" si="36"/>
        <v>22285975.080000002</v>
      </c>
      <c r="BK21" s="214">
        <f t="shared" si="36"/>
        <v>22547992.050000001</v>
      </c>
      <c r="BL21" s="214">
        <f t="shared" si="36"/>
        <v>22288509.550000001</v>
      </c>
      <c r="BM21" s="214">
        <f t="shared" si="36"/>
        <v>21950889.830000002</v>
      </c>
      <c r="BN21" s="214">
        <f t="shared" si="36"/>
        <v>22276974.780000001</v>
      </c>
      <c r="BO21" s="214">
        <f t="shared" si="36"/>
        <v>22287374.780000001</v>
      </c>
      <c r="BP21" s="214">
        <f t="shared" si="36"/>
        <v>22264788.23</v>
      </c>
      <c r="BQ21" s="214">
        <f t="shared" si="36"/>
        <v>22264968.530000001</v>
      </c>
      <c r="BR21" s="214">
        <f t="shared" si="36"/>
        <v>22490728.310000002</v>
      </c>
      <c r="BS21" s="214">
        <f t="shared" si="36"/>
        <v>22368843.780000001</v>
      </c>
      <c r="BT21" s="214">
        <f t="shared" ref="BT21:BX21" si="37">(BT22+BT23+BT24+BT25+BT26)</f>
        <v>0</v>
      </c>
      <c r="BU21" s="214">
        <f t="shared" si="37"/>
        <v>22342336.330000002</v>
      </c>
      <c r="BV21" s="214">
        <f t="shared" si="37"/>
        <v>22348927.330000002</v>
      </c>
      <c r="BW21" s="214">
        <f t="shared" si="37"/>
        <v>22213893.130000003</v>
      </c>
      <c r="BX21" s="214">
        <f t="shared" si="37"/>
        <v>22189273.07</v>
      </c>
      <c r="BY21" s="214">
        <f>(BY22+BY23+BY24+BY25+BY26)</f>
        <v>22194511.07</v>
      </c>
      <c r="BZ21" s="214">
        <f>(BZ22+BZ23+BZ24+BZ25+BZ26)</f>
        <v>22199660.02</v>
      </c>
      <c r="CA21" s="214">
        <f>(CA22+CA23+CA24+CA25+CA26)</f>
        <v>22198892.019999996</v>
      </c>
      <c r="CB21" s="214">
        <f>(CB22+CB23+CB24+CB25+CB26)</f>
        <v>22199417.049999997</v>
      </c>
      <c r="CC21" s="214">
        <f>(CC22+CC23+CC24+CC25+CC26)</f>
        <v>22056437.779999997</v>
      </c>
    </row>
    <row r="22" spans="1:81" ht="15" customHeight="1">
      <c r="A22" s="161" t="s">
        <v>30</v>
      </c>
      <c r="B22" s="283"/>
      <c r="C22" s="288"/>
      <c r="D22" s="283"/>
      <c r="E22" s="283"/>
      <c r="F22" s="349"/>
      <c r="G22" s="349"/>
      <c r="H22" s="283"/>
      <c r="I22" s="297">
        <v>16378525.359999999</v>
      </c>
      <c r="J22" s="297">
        <v>16501280.41</v>
      </c>
      <c r="K22" s="297">
        <v>16551280.41</v>
      </c>
      <c r="L22" s="297">
        <v>16551280.41</v>
      </c>
      <c r="M22" s="297">
        <v>17019069.760000002</v>
      </c>
      <c r="N22" s="297">
        <v>17069069.760000002</v>
      </c>
      <c r="O22" s="297">
        <v>17172190.309999999</v>
      </c>
      <c r="P22" s="297">
        <v>17222190.309999999</v>
      </c>
      <c r="Q22" s="297">
        <v>17332899.510000002</v>
      </c>
      <c r="R22" s="297">
        <v>17382899.510000002</v>
      </c>
      <c r="S22" s="297">
        <v>17456690.649999999</v>
      </c>
      <c r="T22" s="297">
        <v>17506690.649999999</v>
      </c>
      <c r="U22" s="287"/>
      <c r="V22" s="329">
        <v>17637655.59</v>
      </c>
      <c r="W22" s="329">
        <v>17687655.289999999</v>
      </c>
      <c r="X22" s="329">
        <v>17767655.289999999</v>
      </c>
      <c r="Y22" s="329">
        <v>17817655.289999999</v>
      </c>
      <c r="Z22" s="329">
        <v>17867655.289999999</v>
      </c>
      <c r="AA22" s="329">
        <v>18217655.289999999</v>
      </c>
      <c r="AB22" s="329">
        <v>18374121.129999999</v>
      </c>
      <c r="AC22" s="329">
        <v>18474121.129999999</v>
      </c>
      <c r="AD22" s="329">
        <v>18597630.949999999</v>
      </c>
      <c r="AE22" s="297">
        <v>18647630.949999999</v>
      </c>
      <c r="AF22" s="297">
        <v>18697630.949999999</v>
      </c>
      <c r="AG22" s="297">
        <v>18717630.949999999</v>
      </c>
      <c r="AH22" s="349"/>
      <c r="AI22" s="276">
        <v>13767630.949999999</v>
      </c>
      <c r="AJ22" s="276">
        <v>13960207.15</v>
      </c>
      <c r="AK22" s="276">
        <v>14010207.15</v>
      </c>
      <c r="AL22" s="276">
        <v>14060207.15</v>
      </c>
      <c r="AM22" s="276">
        <v>14110207.15</v>
      </c>
      <c r="AN22" s="276">
        <v>14194798.23</v>
      </c>
      <c r="AO22" s="276">
        <v>0</v>
      </c>
      <c r="AP22" s="276">
        <v>0</v>
      </c>
      <c r="AQ22" s="276">
        <v>0</v>
      </c>
      <c r="AR22" s="276">
        <v>0</v>
      </c>
      <c r="AS22" s="276">
        <v>0</v>
      </c>
      <c r="AT22" s="266"/>
      <c r="AU22" s="276">
        <v>0</v>
      </c>
      <c r="AV22" s="276">
        <v>0</v>
      </c>
      <c r="AW22" s="276">
        <v>0</v>
      </c>
      <c r="AX22" s="276">
        <v>0</v>
      </c>
      <c r="AY22" s="276">
        <v>0</v>
      </c>
      <c r="AZ22" s="340">
        <v>0</v>
      </c>
      <c r="BA22" s="342">
        <v>0</v>
      </c>
      <c r="BB22" s="340">
        <v>0</v>
      </c>
      <c r="BC22" s="340">
        <v>0</v>
      </c>
      <c r="BD22" s="340">
        <v>0</v>
      </c>
      <c r="BE22" s="342">
        <v>0</v>
      </c>
      <c r="BF22" s="356">
        <v>0</v>
      </c>
      <c r="BG22" s="361">
        <v>21049644</v>
      </c>
      <c r="BH22" s="340">
        <v>0</v>
      </c>
      <c r="BI22" s="342">
        <v>0</v>
      </c>
      <c r="BJ22" s="342">
        <v>0</v>
      </c>
      <c r="BK22" s="342">
        <v>0</v>
      </c>
      <c r="BL22" s="342">
        <v>0</v>
      </c>
      <c r="BM22" s="342">
        <v>0</v>
      </c>
      <c r="BN22" s="342">
        <v>0</v>
      </c>
      <c r="BO22" s="342">
        <v>0</v>
      </c>
      <c r="BP22" s="342">
        <v>0</v>
      </c>
      <c r="BQ22" s="342">
        <v>0</v>
      </c>
      <c r="BR22" s="342">
        <v>0</v>
      </c>
      <c r="BS22" s="389">
        <v>0</v>
      </c>
      <c r="BT22" s="390"/>
      <c r="BU22" s="340">
        <v>0</v>
      </c>
      <c r="BV22" s="342">
        <v>0</v>
      </c>
      <c r="BW22" s="342">
        <v>0</v>
      </c>
      <c r="BX22" s="340">
        <v>0</v>
      </c>
      <c r="BY22" s="380">
        <v>0</v>
      </c>
      <c r="BZ22" s="340">
        <v>0</v>
      </c>
      <c r="CA22" s="341">
        <v>21018454.379999999</v>
      </c>
      <c r="CB22" s="341">
        <v>21018454.379999999</v>
      </c>
      <c r="CC22" s="434">
        <v>21018454.379999999</v>
      </c>
    </row>
    <row r="23" spans="1:81">
      <c r="A23" s="161" t="s">
        <v>31</v>
      </c>
      <c r="B23" s="283">
        <v>1610246</v>
      </c>
      <c r="C23" s="288">
        <v>1189141</v>
      </c>
      <c r="D23" s="283">
        <v>1332352</v>
      </c>
      <c r="E23" s="283">
        <v>1803019</v>
      </c>
      <c r="F23" s="288">
        <v>1749407</v>
      </c>
      <c r="G23" s="293">
        <f>5761062+376299</f>
        <v>6137361</v>
      </c>
      <c r="H23" s="283">
        <f>588430+8937497</f>
        <v>9525927</v>
      </c>
      <c r="I23" s="297">
        <v>9909480.7799999993</v>
      </c>
      <c r="J23" s="297">
        <v>9765784.7799999993</v>
      </c>
      <c r="K23" s="297">
        <v>9599442.7799999993</v>
      </c>
      <c r="L23" s="297">
        <v>9599442.7799999993</v>
      </c>
      <c r="M23" s="297">
        <v>9602687.7799999993</v>
      </c>
      <c r="N23" s="297">
        <v>9621212.7799999993</v>
      </c>
      <c r="O23" s="297">
        <v>11629407.800000001</v>
      </c>
      <c r="P23" s="297">
        <v>12631332.779999999</v>
      </c>
      <c r="Q23" s="297">
        <v>12810658.779999999</v>
      </c>
      <c r="R23" s="297">
        <v>12829288.779999999</v>
      </c>
      <c r="S23" s="297">
        <v>12831506.779999999</v>
      </c>
      <c r="T23" s="297">
        <v>12833130.779999999</v>
      </c>
      <c r="U23" s="287">
        <f>12126808+574661</f>
        <v>12701469</v>
      </c>
      <c r="V23" s="329">
        <v>12753069.779999999</v>
      </c>
      <c r="W23" s="329">
        <v>12759269.779999999</v>
      </c>
      <c r="X23" s="329">
        <v>13068269.779999999</v>
      </c>
      <c r="Y23" s="329">
        <v>13097007.779999999</v>
      </c>
      <c r="Z23" s="329">
        <v>13098757.779999999</v>
      </c>
      <c r="AA23" s="329">
        <v>13099107.779999999</v>
      </c>
      <c r="AB23" s="329">
        <v>15465634.779999999</v>
      </c>
      <c r="AC23" s="329">
        <v>15465634.76</v>
      </c>
      <c r="AD23" s="329">
        <v>15465634.779999999</v>
      </c>
      <c r="AE23" s="297">
        <v>16463884.779999999</v>
      </c>
      <c r="AF23" s="297">
        <v>16508034.779999999</v>
      </c>
      <c r="AG23" s="297">
        <v>16220774.779999999</v>
      </c>
      <c r="AH23" s="283">
        <f>676154+15542646</f>
        <v>16218800</v>
      </c>
      <c r="AI23" s="276">
        <v>16238774.779999999</v>
      </c>
      <c r="AJ23" s="276">
        <v>17608717.780000001</v>
      </c>
      <c r="AK23" s="276">
        <v>17632997.780000001</v>
      </c>
      <c r="AL23" s="276">
        <v>18632997.780000001</v>
      </c>
      <c r="AM23" s="276">
        <v>19669197.780000001</v>
      </c>
      <c r="AN23" s="276">
        <v>19823167.780000001</v>
      </c>
      <c r="AO23" s="276">
        <v>20957464.780000001</v>
      </c>
      <c r="AP23" s="276">
        <v>20957464.780000001</v>
      </c>
      <c r="AQ23" s="276">
        <v>21473464.780000001</v>
      </c>
      <c r="AR23" s="276">
        <v>21493464.780000001</v>
      </c>
      <c r="AS23" s="276">
        <v>21714447.780000001</v>
      </c>
      <c r="AT23" s="285">
        <f>623278+21066475</f>
        <v>21689753</v>
      </c>
      <c r="AU23" s="276">
        <v>21730447.780000001</v>
      </c>
      <c r="AV23" s="276">
        <v>21730447.780000001</v>
      </c>
      <c r="AW23" s="276">
        <v>21788447.780000001</v>
      </c>
      <c r="AX23" s="276">
        <v>21788447.780000001</v>
      </c>
      <c r="AY23" s="276">
        <v>21788447.780000001</v>
      </c>
      <c r="AZ23" s="345">
        <v>21788447.780000001</v>
      </c>
      <c r="BA23" s="347">
        <v>21788447.780000001</v>
      </c>
      <c r="BB23" s="345">
        <v>21788447.780000001</v>
      </c>
      <c r="BC23" s="345">
        <v>21788447.780000001</v>
      </c>
      <c r="BD23" s="345">
        <v>21788447.780000001</v>
      </c>
      <c r="BE23" s="347">
        <v>21788447.780000001</v>
      </c>
      <c r="BF23" s="355">
        <v>21665048.780000001</v>
      </c>
      <c r="BG23" s="361">
        <v>543019</v>
      </c>
      <c r="BH23" s="345">
        <v>21665048.780000001</v>
      </c>
      <c r="BI23" s="347">
        <v>21725080.780000001</v>
      </c>
      <c r="BJ23" s="347">
        <v>21727980.780000001</v>
      </c>
      <c r="BK23" s="347">
        <v>21727980.780000001</v>
      </c>
      <c r="BL23" s="347">
        <v>21727980.780000001</v>
      </c>
      <c r="BM23" s="347">
        <v>21727980.780000001</v>
      </c>
      <c r="BN23" s="347">
        <v>21727980.780000001</v>
      </c>
      <c r="BO23" s="347">
        <v>21727980.780000001</v>
      </c>
      <c r="BP23" s="347">
        <v>21727980.780000001</v>
      </c>
      <c r="BQ23" s="347">
        <v>21727980.780000001</v>
      </c>
      <c r="BR23" s="347">
        <v>21921980.780000001</v>
      </c>
      <c r="BS23" s="391">
        <v>21750379.780000001</v>
      </c>
      <c r="BT23" s="390"/>
      <c r="BU23" s="345">
        <v>21750379.780000001</v>
      </c>
      <c r="BV23" s="347">
        <v>21750379.780000001</v>
      </c>
      <c r="BW23" s="347">
        <v>21692316.780000001</v>
      </c>
      <c r="BX23" s="345">
        <v>21692316.780000001</v>
      </c>
      <c r="BY23" s="383">
        <v>21692316.780000001</v>
      </c>
      <c r="BZ23" s="345">
        <v>21692316.780000001</v>
      </c>
      <c r="CA23" s="345">
        <v>661760.4</v>
      </c>
      <c r="CB23" s="345">
        <v>681755.4</v>
      </c>
      <c r="CC23" s="436">
        <v>681755.4</v>
      </c>
    </row>
    <row r="24" spans="1:81">
      <c r="A24" s="161" t="s">
        <v>32</v>
      </c>
      <c r="B24" s="283"/>
      <c r="C24" s="288"/>
      <c r="D24" s="283"/>
      <c r="E24" s="283"/>
      <c r="F24" s="349"/>
      <c r="G24" s="349"/>
      <c r="H24" s="283"/>
      <c r="I24" s="297">
        <v>0</v>
      </c>
      <c r="J24" s="297">
        <v>0</v>
      </c>
      <c r="K24" s="297">
        <v>0</v>
      </c>
      <c r="L24" s="297">
        <v>0</v>
      </c>
      <c r="M24" s="297">
        <v>0</v>
      </c>
      <c r="N24" s="297">
        <v>0</v>
      </c>
      <c r="O24" s="297">
        <v>0</v>
      </c>
      <c r="P24" s="297">
        <v>0</v>
      </c>
      <c r="Q24" s="297">
        <v>0</v>
      </c>
      <c r="R24" s="297">
        <v>0</v>
      </c>
      <c r="S24" s="297">
        <v>0</v>
      </c>
      <c r="T24" s="297">
        <v>0</v>
      </c>
      <c r="U24" s="283"/>
      <c r="V24" s="329">
        <v>0</v>
      </c>
      <c r="W24" s="329">
        <v>0</v>
      </c>
      <c r="X24" s="329">
        <v>0</v>
      </c>
      <c r="Y24" s="329">
        <v>0</v>
      </c>
      <c r="Z24" s="329">
        <v>0</v>
      </c>
      <c r="AA24" s="329">
        <v>0</v>
      </c>
      <c r="AB24" s="329">
        <v>0</v>
      </c>
      <c r="AC24" s="329">
        <v>0</v>
      </c>
      <c r="AD24" s="329">
        <v>0</v>
      </c>
      <c r="AE24" s="297">
        <v>0</v>
      </c>
      <c r="AF24" s="297">
        <v>0</v>
      </c>
      <c r="AG24" s="297">
        <v>0</v>
      </c>
      <c r="AH24" s="349"/>
      <c r="AI24" s="276">
        <v>0</v>
      </c>
      <c r="AJ24" s="276">
        <v>0</v>
      </c>
      <c r="AK24" s="276">
        <v>0</v>
      </c>
      <c r="AL24" s="276">
        <v>0</v>
      </c>
      <c r="AM24" s="276">
        <v>0</v>
      </c>
      <c r="AN24" s="276">
        <v>0</v>
      </c>
      <c r="AO24" s="276">
        <v>0</v>
      </c>
      <c r="AP24" s="276">
        <v>0</v>
      </c>
      <c r="AQ24" s="276">
        <v>0</v>
      </c>
      <c r="AR24" s="276">
        <v>0</v>
      </c>
      <c r="AS24" s="276">
        <v>0</v>
      </c>
      <c r="AT24" s="266"/>
      <c r="AU24" s="276">
        <v>0</v>
      </c>
      <c r="AV24" s="276">
        <v>0</v>
      </c>
      <c r="AW24" s="276">
        <v>0</v>
      </c>
      <c r="AX24" s="276">
        <v>0</v>
      </c>
      <c r="AY24" s="276">
        <v>0</v>
      </c>
      <c r="AZ24" s="344">
        <v>0</v>
      </c>
      <c r="BA24" s="346">
        <v>0</v>
      </c>
      <c r="BB24" s="344">
        <v>0</v>
      </c>
      <c r="BC24" s="344">
        <v>0</v>
      </c>
      <c r="BD24" s="344">
        <v>0</v>
      </c>
      <c r="BE24" s="346">
        <v>0</v>
      </c>
      <c r="BF24" s="356">
        <v>0</v>
      </c>
      <c r="BG24" s="361"/>
      <c r="BH24" s="344">
        <v>0</v>
      </c>
      <c r="BI24" s="346">
        <v>0</v>
      </c>
      <c r="BJ24" s="346">
        <v>0</v>
      </c>
      <c r="BK24" s="346">
        <v>0</v>
      </c>
      <c r="BL24" s="346">
        <v>0</v>
      </c>
      <c r="BM24" s="346">
        <v>0</v>
      </c>
      <c r="BN24" s="346">
        <v>0</v>
      </c>
      <c r="BO24" s="346">
        <v>0</v>
      </c>
      <c r="BP24" s="346">
        <v>0</v>
      </c>
      <c r="BQ24" s="346">
        <v>0</v>
      </c>
      <c r="BR24" s="346">
        <v>0</v>
      </c>
      <c r="BS24" s="389">
        <v>0</v>
      </c>
      <c r="BT24" s="390"/>
      <c r="BU24" s="344">
        <v>0</v>
      </c>
      <c r="BV24" s="346">
        <v>0</v>
      </c>
      <c r="BW24" s="346">
        <v>0</v>
      </c>
      <c r="BX24" s="344">
        <v>0</v>
      </c>
      <c r="BY24" s="382">
        <v>0</v>
      </c>
      <c r="BZ24" s="344">
        <v>0</v>
      </c>
      <c r="CA24" s="344">
        <v>0</v>
      </c>
      <c r="CB24" s="344">
        <v>0</v>
      </c>
      <c r="CC24" s="435">
        <v>0</v>
      </c>
    </row>
    <row r="25" spans="1:81">
      <c r="A25" s="161" t="s">
        <v>33</v>
      </c>
      <c r="B25" s="283"/>
      <c r="C25" s="288">
        <v>326422</v>
      </c>
      <c r="D25" s="283">
        <v>299885</v>
      </c>
      <c r="E25" s="283">
        <v>209920</v>
      </c>
      <c r="F25" s="288">
        <v>146944</v>
      </c>
      <c r="G25" s="293">
        <v>102861</v>
      </c>
      <c r="H25" s="283">
        <v>72003</v>
      </c>
      <c r="I25" s="297">
        <v>0</v>
      </c>
      <c r="J25" s="297">
        <v>0</v>
      </c>
      <c r="K25" s="297">
        <v>0</v>
      </c>
      <c r="L25" s="297">
        <v>0</v>
      </c>
      <c r="M25" s="297">
        <v>0</v>
      </c>
      <c r="N25" s="297">
        <v>0</v>
      </c>
      <c r="O25" s="297">
        <v>0</v>
      </c>
      <c r="P25" s="297">
        <v>0</v>
      </c>
      <c r="Q25" s="297">
        <v>0</v>
      </c>
      <c r="R25" s="297">
        <v>0</v>
      </c>
      <c r="S25" s="297">
        <v>0</v>
      </c>
      <c r="T25" s="297">
        <v>0</v>
      </c>
      <c r="U25" s="287">
        <v>50402.099999999977</v>
      </c>
      <c r="V25" s="329">
        <v>0</v>
      </c>
      <c r="W25" s="329">
        <v>0</v>
      </c>
      <c r="X25" s="329">
        <v>0</v>
      </c>
      <c r="Y25" s="329">
        <v>0</v>
      </c>
      <c r="Z25" s="329">
        <v>0</v>
      </c>
      <c r="AA25" s="329">
        <v>0</v>
      </c>
      <c r="AB25" s="329">
        <v>0</v>
      </c>
      <c r="AC25" s="329">
        <v>0</v>
      </c>
      <c r="AD25" s="329">
        <v>0</v>
      </c>
      <c r="AE25" s="297">
        <v>0</v>
      </c>
      <c r="AF25" s="297">
        <v>0</v>
      </c>
      <c r="AG25" s="297">
        <v>0</v>
      </c>
      <c r="AH25" s="283">
        <v>35281</v>
      </c>
      <c r="AI25" s="276">
        <v>0</v>
      </c>
      <c r="AJ25" s="276">
        <v>0</v>
      </c>
      <c r="AK25" s="276">
        <v>0</v>
      </c>
      <c r="AL25" s="276">
        <v>0</v>
      </c>
      <c r="AM25" s="276">
        <v>0</v>
      </c>
      <c r="AN25" s="276">
        <v>0</v>
      </c>
      <c r="AO25" s="276">
        <v>0</v>
      </c>
      <c r="AP25" s="276">
        <v>0</v>
      </c>
      <c r="AQ25" s="276">
        <v>0</v>
      </c>
      <c r="AR25" s="276">
        <v>0</v>
      </c>
      <c r="AS25" s="276">
        <v>0</v>
      </c>
      <c r="AT25" s="266"/>
      <c r="AU25" s="276">
        <v>0</v>
      </c>
      <c r="AV25" s="276">
        <v>0</v>
      </c>
      <c r="AW25" s="276">
        <v>0</v>
      </c>
      <c r="AX25" s="276">
        <v>0</v>
      </c>
      <c r="AY25" s="276">
        <v>0</v>
      </c>
      <c r="AZ25" s="344">
        <v>0</v>
      </c>
      <c r="BA25" s="346">
        <v>0</v>
      </c>
      <c r="BB25" s="344">
        <v>0</v>
      </c>
      <c r="BC25" s="344">
        <v>0</v>
      </c>
      <c r="BD25" s="344">
        <v>0</v>
      </c>
      <c r="BE25" s="346">
        <v>0</v>
      </c>
      <c r="BF25" s="356">
        <v>0</v>
      </c>
      <c r="BG25" s="361">
        <v>17288</v>
      </c>
      <c r="BH25" s="344">
        <v>0</v>
      </c>
      <c r="BI25" s="346">
        <v>0</v>
      </c>
      <c r="BJ25" s="346">
        <v>0</v>
      </c>
      <c r="BK25" s="346">
        <v>0</v>
      </c>
      <c r="BL25" s="346">
        <v>0</v>
      </c>
      <c r="BM25" s="346">
        <v>0</v>
      </c>
      <c r="BN25" s="346">
        <v>0</v>
      </c>
      <c r="BO25" s="346">
        <v>0</v>
      </c>
      <c r="BP25" s="346">
        <v>0</v>
      </c>
      <c r="BQ25" s="346">
        <v>0</v>
      </c>
      <c r="BR25" s="346">
        <v>0</v>
      </c>
      <c r="BS25" s="389">
        <v>0</v>
      </c>
      <c r="BT25" s="390"/>
      <c r="BU25" s="344">
        <v>0</v>
      </c>
      <c r="BV25" s="346">
        <v>0</v>
      </c>
      <c r="BW25" s="346">
        <v>0</v>
      </c>
      <c r="BX25" s="344">
        <v>0</v>
      </c>
      <c r="BY25" s="382">
        <v>0</v>
      </c>
      <c r="BZ25" s="344">
        <v>0</v>
      </c>
      <c r="CA25" s="345">
        <v>12102</v>
      </c>
      <c r="CB25" s="345">
        <v>12102</v>
      </c>
      <c r="CC25" s="436">
        <v>12102</v>
      </c>
    </row>
    <row r="26" spans="1:81">
      <c r="A26" s="161" t="s">
        <v>34</v>
      </c>
      <c r="B26" s="283">
        <v>123032</v>
      </c>
      <c r="C26" s="288">
        <v>137966</v>
      </c>
      <c r="D26" s="283">
        <v>574773</v>
      </c>
      <c r="E26" s="283">
        <v>304185</v>
      </c>
      <c r="F26" s="349"/>
      <c r="G26" s="349"/>
      <c r="H26" s="283"/>
      <c r="I26" s="297">
        <v>0</v>
      </c>
      <c r="J26" s="297">
        <v>0</v>
      </c>
      <c r="K26" s="297">
        <v>0</v>
      </c>
      <c r="L26" s="297">
        <v>0</v>
      </c>
      <c r="M26" s="297">
        <v>0</v>
      </c>
      <c r="N26" s="297">
        <v>0</v>
      </c>
      <c r="O26" s="297">
        <v>0</v>
      </c>
      <c r="P26" s="297">
        <v>0</v>
      </c>
      <c r="Q26" s="297">
        <v>0</v>
      </c>
      <c r="R26" s="297">
        <v>0</v>
      </c>
      <c r="S26" s="297">
        <v>0</v>
      </c>
      <c r="T26" s="297">
        <v>0</v>
      </c>
      <c r="U26" s="349"/>
      <c r="V26" s="329">
        <v>0</v>
      </c>
      <c r="W26" s="329">
        <v>0</v>
      </c>
      <c r="X26" s="329">
        <v>0</v>
      </c>
      <c r="Y26" s="329">
        <v>0</v>
      </c>
      <c r="Z26" s="329">
        <v>0</v>
      </c>
      <c r="AA26" s="329">
        <v>0</v>
      </c>
      <c r="AB26" s="329">
        <v>0</v>
      </c>
      <c r="AC26" s="329">
        <v>0</v>
      </c>
      <c r="AD26" s="329">
        <v>0</v>
      </c>
      <c r="AE26" s="297">
        <v>0</v>
      </c>
      <c r="AF26" s="297">
        <v>0</v>
      </c>
      <c r="AG26" s="297">
        <v>0</v>
      </c>
      <c r="AH26" s="349"/>
      <c r="AI26" s="276">
        <v>0</v>
      </c>
      <c r="AJ26" s="276">
        <v>0</v>
      </c>
      <c r="AK26" s="276">
        <v>0</v>
      </c>
      <c r="AL26" s="276">
        <v>0</v>
      </c>
      <c r="AM26" s="276">
        <v>0</v>
      </c>
      <c r="AN26" s="276">
        <v>0</v>
      </c>
      <c r="AO26" s="276">
        <v>904842.6</v>
      </c>
      <c r="AP26" s="276">
        <v>1249387.81</v>
      </c>
      <c r="AQ26" s="276">
        <v>1208578.5600000001</v>
      </c>
      <c r="AR26" s="276">
        <v>1075284.0900000001</v>
      </c>
      <c r="AS26" s="276">
        <v>1013375.16</v>
      </c>
      <c r="AT26" s="285">
        <v>24697</v>
      </c>
      <c r="AU26" s="276">
        <v>1042547.16</v>
      </c>
      <c r="AV26" s="276">
        <v>1420576.16</v>
      </c>
      <c r="AW26" s="276">
        <v>1137207.76</v>
      </c>
      <c r="AX26" s="276">
        <v>1184653.5</v>
      </c>
      <c r="AY26" s="276">
        <v>812931.16</v>
      </c>
      <c r="AZ26" s="345">
        <v>-6983355.0899999999</v>
      </c>
      <c r="BA26" s="347">
        <v>795052.62</v>
      </c>
      <c r="BB26" s="345">
        <v>662064.16</v>
      </c>
      <c r="BC26" s="345">
        <v>846467.76</v>
      </c>
      <c r="BD26" s="345">
        <v>833587.76</v>
      </c>
      <c r="BE26" s="347">
        <v>473541.16</v>
      </c>
      <c r="BF26" s="355">
        <v>572316</v>
      </c>
      <c r="BG26" s="361"/>
      <c r="BH26" s="345">
        <v>573054.13</v>
      </c>
      <c r="BI26" s="347">
        <v>266011.12</v>
      </c>
      <c r="BJ26" s="347">
        <v>557994.30000000005</v>
      </c>
      <c r="BK26" s="347">
        <v>820011.27</v>
      </c>
      <c r="BL26" s="347">
        <v>560528.77</v>
      </c>
      <c r="BM26" s="347">
        <v>222909.05</v>
      </c>
      <c r="BN26" s="347">
        <v>548994</v>
      </c>
      <c r="BO26" s="347">
        <v>559394</v>
      </c>
      <c r="BP26" s="347">
        <v>536807.44999999995</v>
      </c>
      <c r="BQ26" s="347">
        <v>536987.75</v>
      </c>
      <c r="BR26" s="347">
        <v>568747.53</v>
      </c>
      <c r="BS26" s="391">
        <v>618464</v>
      </c>
      <c r="BT26" s="390"/>
      <c r="BU26" s="345">
        <v>591956.55000000005</v>
      </c>
      <c r="BV26" s="347">
        <v>598547.55000000005</v>
      </c>
      <c r="BW26" s="347">
        <v>521576.35</v>
      </c>
      <c r="BX26" s="345">
        <v>496956.29</v>
      </c>
      <c r="BY26" s="383">
        <v>502194.29</v>
      </c>
      <c r="BZ26" s="345">
        <v>507343.24</v>
      </c>
      <c r="CA26" s="345">
        <v>506575.24</v>
      </c>
      <c r="CB26" s="345">
        <v>487105.27</v>
      </c>
      <c r="CC26" s="436">
        <v>344126</v>
      </c>
    </row>
    <row r="27" spans="1:81" ht="15.75">
      <c r="A27" s="160" t="s">
        <v>35</v>
      </c>
      <c r="B27" s="212">
        <f t="shared" ref="B27:I27" si="38">(B21+B17+B14+B8+B7+B4)</f>
        <v>44410076</v>
      </c>
      <c r="C27" s="212">
        <f t="shared" si="38"/>
        <v>46132702</v>
      </c>
      <c r="D27" s="212">
        <f t="shared" si="38"/>
        <v>56262269</v>
      </c>
      <c r="E27" s="212">
        <f t="shared" si="38"/>
        <v>64588552</v>
      </c>
      <c r="F27" s="212">
        <f t="shared" si="38"/>
        <v>49085187</v>
      </c>
      <c r="G27" s="212">
        <f t="shared" si="38"/>
        <v>69043776</v>
      </c>
      <c r="H27" s="212">
        <f t="shared" si="38"/>
        <v>97642022</v>
      </c>
      <c r="I27" s="212">
        <f t="shared" si="38"/>
        <v>66311982.829999998</v>
      </c>
      <c r="J27" s="212">
        <f t="shared" ref="J27:R27" si="39">(J21+J17+J14+J8+J7+J4)</f>
        <v>67370346</v>
      </c>
      <c r="K27" s="212">
        <f t="shared" si="39"/>
        <v>68988007.210000008</v>
      </c>
      <c r="L27" s="212">
        <f t="shared" si="39"/>
        <v>68182240.760000005</v>
      </c>
      <c r="M27" s="212">
        <f t="shared" si="39"/>
        <v>68461244.229999989</v>
      </c>
      <c r="N27" s="212">
        <f t="shared" si="39"/>
        <v>69784633.849999994</v>
      </c>
      <c r="O27" s="212">
        <f t="shared" si="39"/>
        <v>72949739.049999997</v>
      </c>
      <c r="P27" s="212">
        <f t="shared" si="39"/>
        <v>72204927.560000002</v>
      </c>
      <c r="Q27" s="212">
        <f t="shared" si="39"/>
        <v>70651634.230000004</v>
      </c>
      <c r="R27" s="212">
        <f t="shared" si="39"/>
        <v>71361293.719999999</v>
      </c>
      <c r="S27" s="212">
        <f>(S21+S17+S14+S8+S7+S4)</f>
        <v>71997706.649999991</v>
      </c>
      <c r="T27" s="212">
        <f>(T21+T17+T14+T8+T7+T4)</f>
        <v>73777535.349999994</v>
      </c>
      <c r="U27" s="212">
        <f>(U21+U17+U14+U8+U7+U4)</f>
        <v>70891155.640000001</v>
      </c>
      <c r="V27" s="212">
        <f>(V21+V17+V14+V8+V7+V4)</f>
        <v>74384053.799999997</v>
      </c>
      <c r="W27" s="212">
        <f t="shared" ref="W27:AB27" si="40">(W21+W17+W14+W8+W7+W4)</f>
        <v>70777078.210000008</v>
      </c>
      <c r="X27" s="212">
        <f t="shared" si="40"/>
        <v>76984138.460000008</v>
      </c>
      <c r="Y27" s="212">
        <f t="shared" si="40"/>
        <v>72256353.680000007</v>
      </c>
      <c r="Z27" s="212">
        <f t="shared" si="40"/>
        <v>72443214.039999992</v>
      </c>
      <c r="AA27" s="212">
        <f t="shared" si="40"/>
        <v>71455064.450000003</v>
      </c>
      <c r="AB27" s="212">
        <f t="shared" si="40"/>
        <v>74648779.959999993</v>
      </c>
      <c r="AC27" s="212">
        <f t="shared" ref="AC27:AH27" si="41">(AC21+AC17+AC14+AC8+AC7+AC4)</f>
        <v>74304904.890000001</v>
      </c>
      <c r="AD27" s="212">
        <f t="shared" si="41"/>
        <v>75129494.209999993</v>
      </c>
      <c r="AE27" s="212">
        <f t="shared" si="41"/>
        <v>77145274.519999996</v>
      </c>
      <c r="AF27" s="212">
        <f t="shared" si="41"/>
        <v>76448670.310000002</v>
      </c>
      <c r="AG27" s="212">
        <f t="shared" si="41"/>
        <v>73839448.419999987</v>
      </c>
      <c r="AH27" s="212">
        <f t="shared" si="41"/>
        <v>71219457</v>
      </c>
      <c r="AI27" s="212">
        <f t="shared" ref="AI27:AP27" si="42">(AI21+AI17+AI14+AI8+AI7+AI4)</f>
        <v>77208114.909999996</v>
      </c>
      <c r="AJ27" s="212">
        <f t="shared" si="42"/>
        <v>79130340.849999994</v>
      </c>
      <c r="AK27" s="212">
        <f t="shared" si="42"/>
        <v>76463792.239999995</v>
      </c>
      <c r="AL27" s="212">
        <f t="shared" si="42"/>
        <v>76591042.979999989</v>
      </c>
      <c r="AM27" s="212">
        <f t="shared" si="42"/>
        <v>78736314.5</v>
      </c>
      <c r="AN27" s="212">
        <f t="shared" si="42"/>
        <v>78045413.070000008</v>
      </c>
      <c r="AO27" s="212">
        <f t="shared" si="42"/>
        <v>79964667.570000008</v>
      </c>
      <c r="AP27" s="212">
        <f t="shared" si="42"/>
        <v>79652385</v>
      </c>
      <c r="AQ27" s="212">
        <f t="shared" ref="AQ27:AW27" si="43">(AQ21+AQ17+AQ14+AQ8+AQ7+AQ4)</f>
        <v>76942975.109999999</v>
      </c>
      <c r="AR27" s="212">
        <f t="shared" si="43"/>
        <v>79457488.969999999</v>
      </c>
      <c r="AS27" s="212">
        <f t="shared" si="43"/>
        <v>74364820.620000005</v>
      </c>
      <c r="AT27" s="212">
        <f t="shared" si="43"/>
        <v>74350533</v>
      </c>
      <c r="AU27" s="212">
        <f t="shared" si="43"/>
        <v>73634271.829999998</v>
      </c>
      <c r="AV27" s="212">
        <f t="shared" si="43"/>
        <v>73804395.479999989</v>
      </c>
      <c r="AW27" s="212">
        <f t="shared" si="43"/>
        <v>75375925.719999999</v>
      </c>
      <c r="AX27" s="212">
        <f t="shared" ref="AX27:BC27" si="44">(AX21+AX17+AX14+AX8+AX7+AX4)</f>
        <v>74101139.25999999</v>
      </c>
      <c r="AY27" s="212">
        <f t="shared" si="44"/>
        <v>74628148.370000005</v>
      </c>
      <c r="AZ27" s="212">
        <f t="shared" si="44"/>
        <v>72987036.230000004</v>
      </c>
      <c r="BA27" s="212">
        <f t="shared" si="44"/>
        <v>78386921.900000006</v>
      </c>
      <c r="BB27" s="212">
        <f t="shared" si="44"/>
        <v>78748356.669999987</v>
      </c>
      <c r="BC27" s="212">
        <f t="shared" si="44"/>
        <v>74624145.030000001</v>
      </c>
      <c r="BD27" s="212">
        <f t="shared" ref="BD27:BS27" si="45">(BD21+BD17+BD14+BD8+BD7+BD4)</f>
        <v>77008169.920000002</v>
      </c>
      <c r="BE27" s="212">
        <f t="shared" si="45"/>
        <v>79970336.510000005</v>
      </c>
      <c r="BF27" s="212">
        <f t="shared" si="45"/>
        <v>76683675.450000003</v>
      </c>
      <c r="BG27" s="212">
        <f t="shared" si="45"/>
        <v>76904601</v>
      </c>
      <c r="BH27" s="212">
        <f t="shared" si="45"/>
        <v>76433076.770000011</v>
      </c>
      <c r="BI27" s="212">
        <f t="shared" si="45"/>
        <v>77262521.729999989</v>
      </c>
      <c r="BJ27" s="212">
        <f t="shared" si="45"/>
        <v>77399613.159999996</v>
      </c>
      <c r="BK27" s="212">
        <f t="shared" si="45"/>
        <v>74792461.710000008</v>
      </c>
      <c r="BL27" s="212">
        <f t="shared" si="45"/>
        <v>75443727.379999995</v>
      </c>
      <c r="BM27" s="212">
        <f t="shared" si="45"/>
        <v>77916761.799999997</v>
      </c>
      <c r="BN27" s="212">
        <f t="shared" si="45"/>
        <v>76612115.140000001</v>
      </c>
      <c r="BO27" s="212">
        <f t="shared" si="45"/>
        <v>77628530.449999988</v>
      </c>
      <c r="BP27" s="212">
        <f t="shared" si="45"/>
        <v>77656530.319999993</v>
      </c>
      <c r="BQ27" s="212">
        <f t="shared" si="45"/>
        <v>79382015.230000004</v>
      </c>
      <c r="BR27" s="212">
        <f t="shared" si="45"/>
        <v>80466079.290000007</v>
      </c>
      <c r="BS27" s="212">
        <f t="shared" si="45"/>
        <v>77690994.829999998</v>
      </c>
      <c r="BT27" s="212">
        <f t="shared" ref="BT27:BX27" si="46">(BT21+BT17+BT14+BT8+BT7+BT4)</f>
        <v>0</v>
      </c>
      <c r="BU27" s="212">
        <f t="shared" si="46"/>
        <v>78529886.350000009</v>
      </c>
      <c r="BV27" s="212">
        <f t="shared" si="46"/>
        <v>79027585.950000003</v>
      </c>
      <c r="BW27" s="212">
        <f t="shared" si="46"/>
        <v>80554043.549999997</v>
      </c>
      <c r="BX27" s="212">
        <f t="shared" si="46"/>
        <v>76536432.549999997</v>
      </c>
      <c r="BY27" s="212">
        <f>(BY21+BY17+BY14+BY8+BY7+BY4)</f>
        <v>76834239.859999999</v>
      </c>
      <c r="BZ27" s="212">
        <f>(BZ21+BZ17+BZ14+BZ8+BZ7+BZ4)</f>
        <v>78298862.549999997</v>
      </c>
      <c r="CA27" s="212">
        <f>(CA21+CA17+CA14+CA8+CA7+CA4)</f>
        <v>78081488.299999997</v>
      </c>
      <c r="CB27" s="212">
        <f>(CB21+CB17+CB14+CB8+CB7+CB4)</f>
        <v>78950520.480000004</v>
      </c>
      <c r="CC27" s="212">
        <f>(CC21+CC17+CC14+CC8+CC7+CC4)</f>
        <v>77940185.790000007</v>
      </c>
    </row>
    <row r="28" spans="1:81" ht="15" customHeight="1">
      <c r="A28" s="161" t="s">
        <v>36</v>
      </c>
      <c r="B28" s="283">
        <f>990000+4500274+351704</f>
        <v>5841978</v>
      </c>
      <c r="C28" s="288">
        <v>2653947</v>
      </c>
      <c r="D28" s="283">
        <f>6014250+327188</f>
        <v>6341438</v>
      </c>
      <c r="E28" s="283">
        <f>5535219+364748</f>
        <v>5899967</v>
      </c>
      <c r="F28" s="290">
        <v>5271989</v>
      </c>
      <c r="G28" s="291">
        <v>11473284</v>
      </c>
      <c r="H28" s="283">
        <v>10112825</v>
      </c>
      <c r="I28" s="297">
        <v>5565483.4100000001</v>
      </c>
      <c r="J28" s="297">
        <v>5498954.3399999999</v>
      </c>
      <c r="K28" s="297">
        <v>5371536.0700000003</v>
      </c>
      <c r="L28" s="297">
        <v>5400807.5</v>
      </c>
      <c r="M28" s="297">
        <v>5455184.5599999996</v>
      </c>
      <c r="N28" s="297">
        <v>5520622.6500000004</v>
      </c>
      <c r="O28" s="297">
        <v>7084385.9299999997</v>
      </c>
      <c r="P28" s="297">
        <v>6590844.75</v>
      </c>
      <c r="Q28" s="297">
        <v>5628970.6699999999</v>
      </c>
      <c r="R28" s="297">
        <v>5691367.9199999999</v>
      </c>
      <c r="S28" s="297">
        <v>6002402.4500000002</v>
      </c>
      <c r="T28" s="297">
        <v>10142094.4</v>
      </c>
      <c r="U28" s="287">
        <v>10680343.119999999</v>
      </c>
      <c r="V28" s="329">
        <v>9786846.8699999992</v>
      </c>
      <c r="W28" s="329">
        <v>7052454.4900000002</v>
      </c>
      <c r="X28" s="329">
        <v>11373015.66</v>
      </c>
      <c r="Y28" s="329">
        <v>8312811.1600000001</v>
      </c>
      <c r="Z28" s="329">
        <v>8195703.0999999996</v>
      </c>
      <c r="AA28" s="329">
        <v>7108323.0800000001</v>
      </c>
      <c r="AB28" s="329">
        <v>8345786.9400000004</v>
      </c>
      <c r="AC28" s="329">
        <v>6903334.0199999996</v>
      </c>
      <c r="AD28" s="329">
        <v>7368454.5599999996</v>
      </c>
      <c r="AE28" s="297">
        <v>8145216.7400000002</v>
      </c>
      <c r="AF28" s="297">
        <v>7126454.4100000001</v>
      </c>
      <c r="AG28" s="297">
        <v>8049085.5499999998</v>
      </c>
      <c r="AH28" s="283">
        <v>8496850</v>
      </c>
      <c r="AI28" s="276">
        <v>9846861.8499999996</v>
      </c>
      <c r="AJ28" s="276">
        <v>10952431.59</v>
      </c>
      <c r="AK28" s="276">
        <v>7487515.6200000001</v>
      </c>
      <c r="AL28" s="276">
        <v>8818164.4499999993</v>
      </c>
      <c r="AM28" s="276">
        <v>10399099</v>
      </c>
      <c r="AN28" s="276">
        <v>8507267</v>
      </c>
      <c r="AO28" s="276">
        <v>8903541.5399999991</v>
      </c>
      <c r="AP28" s="276">
        <v>7918113.6600000001</v>
      </c>
      <c r="AQ28" s="276">
        <v>7517876.0099999998</v>
      </c>
      <c r="AR28" s="276">
        <v>9104854.1899999995</v>
      </c>
      <c r="AS28" s="276">
        <v>7020972.5199999996</v>
      </c>
      <c r="AT28" s="285">
        <v>7533678</v>
      </c>
      <c r="AU28" s="276">
        <v>6693158.1600000001</v>
      </c>
      <c r="AV28" s="276">
        <v>5736169.2300000004</v>
      </c>
      <c r="AW28" s="276">
        <v>6861768.3099999996</v>
      </c>
      <c r="AX28" s="276">
        <v>7030776.9100000001</v>
      </c>
      <c r="AY28" s="276">
        <v>6960556.2800000003</v>
      </c>
      <c r="AZ28" s="341">
        <v>6262415.9400000004</v>
      </c>
      <c r="BA28" s="343">
        <v>9745764.8599999994</v>
      </c>
      <c r="BB28" s="341">
        <v>9428957.0800000001</v>
      </c>
      <c r="BC28" s="341">
        <v>5928484.6699999999</v>
      </c>
      <c r="BD28" s="341">
        <v>6842797.3799999999</v>
      </c>
      <c r="BE28" s="343">
        <v>9198733.9299999997</v>
      </c>
      <c r="BF28" s="355">
        <v>9462490.9600000009</v>
      </c>
      <c r="BG28" s="361">
        <v>9462491</v>
      </c>
      <c r="BH28" s="341">
        <v>8629384.4900000002</v>
      </c>
      <c r="BI28" s="343">
        <v>9431571.2699999996</v>
      </c>
      <c r="BJ28" s="343">
        <v>8982236.3200000003</v>
      </c>
      <c r="BK28" s="343">
        <v>8818689.8900000006</v>
      </c>
      <c r="BL28" s="343">
        <v>8435070.8900000006</v>
      </c>
      <c r="BM28" s="343">
        <v>10022392.609999999</v>
      </c>
      <c r="BN28" s="343">
        <v>8129915.0099999998</v>
      </c>
      <c r="BO28" s="343">
        <v>7969492.54</v>
      </c>
      <c r="BP28" s="343">
        <v>7251560.8600000003</v>
      </c>
      <c r="BQ28" s="343">
        <v>8261406.6600000001</v>
      </c>
      <c r="BR28" s="343">
        <v>8114650.7599999998</v>
      </c>
      <c r="BS28" s="391">
        <v>8802817.9800000004</v>
      </c>
      <c r="BT28" s="390"/>
      <c r="BU28" s="341">
        <v>8329361.4100000001</v>
      </c>
      <c r="BV28" s="343">
        <v>7913593.9299999997</v>
      </c>
      <c r="BW28" s="343">
        <v>7511956.0300000003</v>
      </c>
      <c r="BX28" s="341">
        <v>8073478.8700000001</v>
      </c>
      <c r="BY28" s="381">
        <v>6918568.1399999997</v>
      </c>
      <c r="BZ28" s="341">
        <v>7104839.7400000002</v>
      </c>
      <c r="CA28" s="341">
        <v>6106546.0199999996</v>
      </c>
      <c r="CB28" s="341">
        <v>6387619.0899999999</v>
      </c>
      <c r="CC28" s="434">
        <v>5671158.3700000001</v>
      </c>
    </row>
    <row r="29" spans="1:81">
      <c r="A29" s="161" t="s">
        <v>37</v>
      </c>
      <c r="B29" s="283"/>
      <c r="C29" s="288"/>
      <c r="D29" s="283"/>
      <c r="E29" s="283"/>
      <c r="F29" s="288"/>
      <c r="G29" s="294"/>
      <c r="H29" s="283"/>
      <c r="I29" s="297">
        <v>561679.16</v>
      </c>
      <c r="J29" s="297">
        <v>956410.72</v>
      </c>
      <c r="K29" s="297">
        <v>1295332.72</v>
      </c>
      <c r="L29" s="297">
        <v>1622577.83</v>
      </c>
      <c r="M29" s="297">
        <v>1858109.43</v>
      </c>
      <c r="N29" s="297">
        <v>2544786.9500000002</v>
      </c>
      <c r="O29" s="297">
        <v>3160275.45</v>
      </c>
      <c r="P29" s="297">
        <v>3143337.1</v>
      </c>
      <c r="Q29" s="297">
        <v>2915929.06</v>
      </c>
      <c r="R29" s="297">
        <v>3237983.63</v>
      </c>
      <c r="S29" s="297">
        <v>3562797.37</v>
      </c>
      <c r="T29" s="297">
        <v>480448.72</v>
      </c>
      <c r="U29" s="283"/>
      <c r="V29" s="329">
        <v>936053.44</v>
      </c>
      <c r="W29" s="329">
        <v>824803.44</v>
      </c>
      <c r="X29" s="329">
        <v>1683487.27</v>
      </c>
      <c r="Y29" s="329">
        <v>2075890.94</v>
      </c>
      <c r="Z29" s="329">
        <v>2278353.2799999998</v>
      </c>
      <c r="AA29" s="329">
        <v>2300071.27</v>
      </c>
      <c r="AB29" s="329">
        <v>2868594.16</v>
      </c>
      <c r="AC29" s="329">
        <v>2939817.15</v>
      </c>
      <c r="AD29" s="329">
        <v>3168302.2</v>
      </c>
      <c r="AE29" s="297">
        <v>3470478.49</v>
      </c>
      <c r="AF29" s="297">
        <v>3767390.81</v>
      </c>
      <c r="AG29" s="297">
        <v>447794.02</v>
      </c>
      <c r="AH29" s="283"/>
      <c r="AI29" s="276">
        <v>883553.23</v>
      </c>
      <c r="AJ29" s="276">
        <v>1196533.3999999999</v>
      </c>
      <c r="AK29" s="276">
        <v>1456072</v>
      </c>
      <c r="AL29" s="276">
        <v>1901452</v>
      </c>
      <c r="AM29" s="276">
        <v>2134407</v>
      </c>
      <c r="AN29" s="276">
        <v>2487851</v>
      </c>
      <c r="AO29" s="276">
        <v>3229416.62</v>
      </c>
      <c r="AP29" s="276">
        <v>3485620.46</v>
      </c>
      <c r="AQ29" s="276">
        <v>3794574.54</v>
      </c>
      <c r="AR29" s="276">
        <v>4437220.8099999996</v>
      </c>
      <c r="AS29" s="276">
        <v>512704.77</v>
      </c>
      <c r="AT29" s="286">
        <v>0</v>
      </c>
      <c r="AU29" s="276">
        <v>520991.92</v>
      </c>
      <c r="AV29" s="276">
        <v>927433.22</v>
      </c>
      <c r="AW29" s="276">
        <v>1844113.45</v>
      </c>
      <c r="AX29" s="276">
        <v>2401010.16</v>
      </c>
      <c r="AY29" s="276">
        <v>2735742.3</v>
      </c>
      <c r="AZ29" s="345">
        <v>2473207.7799999998</v>
      </c>
      <c r="BA29" s="347">
        <v>2954285.84</v>
      </c>
      <c r="BB29" s="345">
        <v>3138063.49</v>
      </c>
      <c r="BC29" s="345">
        <v>2932850.32</v>
      </c>
      <c r="BD29" s="345">
        <v>3607978.1</v>
      </c>
      <c r="BE29" s="347">
        <v>4044725.4</v>
      </c>
      <c r="BF29" s="355">
        <v>386054.76</v>
      </c>
      <c r="BG29" s="361"/>
      <c r="BH29" s="345">
        <v>841120.4</v>
      </c>
      <c r="BI29" s="347">
        <v>1149223.3700000001</v>
      </c>
      <c r="BJ29" s="347">
        <v>1424991.78</v>
      </c>
      <c r="BK29" s="347">
        <v>2122107.42</v>
      </c>
      <c r="BL29" s="347">
        <v>2435619.5299999998</v>
      </c>
      <c r="BM29" s="347">
        <v>2752388.09</v>
      </c>
      <c r="BN29" s="347">
        <v>2959673.81</v>
      </c>
      <c r="BO29" s="347">
        <v>3272489.99</v>
      </c>
      <c r="BP29" s="347">
        <v>3607114.17</v>
      </c>
      <c r="BQ29" s="347">
        <v>3852247.12</v>
      </c>
      <c r="BR29" s="347">
        <v>4285933.3899999997</v>
      </c>
      <c r="BS29" s="391">
        <v>367642.02</v>
      </c>
      <c r="BT29" s="390"/>
      <c r="BU29" s="345">
        <v>709595.59</v>
      </c>
      <c r="BV29" s="347">
        <v>1031997.08</v>
      </c>
      <c r="BW29" s="347">
        <v>1719348.94</v>
      </c>
      <c r="BX29" s="345">
        <v>2038824</v>
      </c>
      <c r="BY29" s="383">
        <v>2311067.12</v>
      </c>
      <c r="BZ29" s="345">
        <v>2493914.37</v>
      </c>
      <c r="CA29" s="345">
        <v>2766434.43</v>
      </c>
      <c r="CB29" s="345">
        <v>3006856.35</v>
      </c>
      <c r="CC29" s="436">
        <v>2944016.35</v>
      </c>
    </row>
    <row r="30" spans="1:81">
      <c r="A30" s="161" t="s">
        <v>38</v>
      </c>
      <c r="B30" s="283">
        <v>24860593</v>
      </c>
      <c r="C30" s="288">
        <v>29607983</v>
      </c>
      <c r="D30" s="283">
        <v>32984337</v>
      </c>
      <c r="E30" s="283">
        <v>34606608</v>
      </c>
      <c r="F30" s="290">
        <v>33623566</v>
      </c>
      <c r="G30" s="291">
        <v>36128593</v>
      </c>
      <c r="H30" s="283">
        <v>37576767</v>
      </c>
      <c r="I30" s="297">
        <v>37552128.200000003</v>
      </c>
      <c r="J30" s="297">
        <v>37893569.369999997</v>
      </c>
      <c r="K30" s="297">
        <v>38081672.299999997</v>
      </c>
      <c r="L30" s="297">
        <v>38286717.409999996</v>
      </c>
      <c r="M30" s="297">
        <v>38646303.280000001</v>
      </c>
      <c r="N30" s="297">
        <v>38815296.350000001</v>
      </c>
      <c r="O30" s="297">
        <v>39273754.390000001</v>
      </c>
      <c r="P30" s="297">
        <v>38628822.990000002</v>
      </c>
      <c r="Q30" s="297">
        <v>38662146.57</v>
      </c>
      <c r="R30" s="297">
        <v>38642402.600000001</v>
      </c>
      <c r="S30" s="297">
        <v>38519201.479999997</v>
      </c>
      <c r="T30" s="297">
        <v>39141848.460000001</v>
      </c>
      <c r="U30" s="287">
        <v>39141848</v>
      </c>
      <c r="V30" s="329">
        <v>39507482.399999999</v>
      </c>
      <c r="W30" s="329">
        <v>38796402.920000002</v>
      </c>
      <c r="X30" s="329">
        <v>39084608.090000004</v>
      </c>
      <c r="Y30" s="329">
        <v>39255913.850000001</v>
      </c>
      <c r="Z30" s="329">
        <v>39040291.549999997</v>
      </c>
      <c r="AA30" s="329">
        <v>38559037.700000003</v>
      </c>
      <c r="AB30" s="329">
        <v>39202951.579999998</v>
      </c>
      <c r="AC30" s="329">
        <v>39296828.350000001</v>
      </c>
      <c r="AD30" s="329">
        <v>39393936.490000002</v>
      </c>
      <c r="AE30" s="297">
        <v>39518110.43</v>
      </c>
      <c r="AF30" s="297">
        <v>39221600.75</v>
      </c>
      <c r="AG30" s="297">
        <v>39316438.07</v>
      </c>
      <c r="AH30" s="283">
        <v>39316438</v>
      </c>
      <c r="AI30" s="276">
        <v>39319864.57</v>
      </c>
      <c r="AJ30" s="276">
        <v>39445819.469999999</v>
      </c>
      <c r="AK30" s="276">
        <v>39673950.310000002</v>
      </c>
      <c r="AL30" s="276">
        <v>40064569</v>
      </c>
      <c r="AM30" s="276">
        <v>40137073.520000003</v>
      </c>
      <c r="AN30" s="276">
        <v>40546454.299999997</v>
      </c>
      <c r="AO30" s="276">
        <v>40731541.310000002</v>
      </c>
      <c r="AP30" s="276">
        <v>41031927.950000003</v>
      </c>
      <c r="AQ30" s="276">
        <v>41384369.840000004</v>
      </c>
      <c r="AR30" s="276">
        <v>41334696.200000003</v>
      </c>
      <c r="AS30" s="276">
        <v>41809421.259999998</v>
      </c>
      <c r="AT30" s="285">
        <v>41809421</v>
      </c>
      <c r="AU30" s="276">
        <v>41852139.380000003</v>
      </c>
      <c r="AV30" s="276">
        <v>42191488.640000001</v>
      </c>
      <c r="AW30" s="276">
        <v>41979586.210000001</v>
      </c>
      <c r="AX30" s="276">
        <v>42344451.140000001</v>
      </c>
      <c r="AY30" s="276">
        <v>42464929.119999997</v>
      </c>
      <c r="AZ30" s="345">
        <v>42211695.479999997</v>
      </c>
      <c r="BA30" s="347">
        <v>42747288.390000001</v>
      </c>
      <c r="BB30" s="345">
        <v>42938955.659999996</v>
      </c>
      <c r="BC30" s="345">
        <v>42177478.619999997</v>
      </c>
      <c r="BD30" s="345">
        <v>42191463.43</v>
      </c>
      <c r="BE30" s="347">
        <v>42294830.329999998</v>
      </c>
      <c r="BF30" s="355">
        <v>42157242.210000001</v>
      </c>
      <c r="BG30" s="361">
        <v>42157242</v>
      </c>
      <c r="BH30" s="345">
        <v>42293657.100000001</v>
      </c>
      <c r="BI30" s="347">
        <v>41935393.350000001</v>
      </c>
      <c r="BJ30" s="347">
        <v>41699910.539999999</v>
      </c>
      <c r="BK30" s="347">
        <v>41876441.990000002</v>
      </c>
      <c r="BL30" s="347">
        <v>42202628.899999999</v>
      </c>
      <c r="BM30" s="347">
        <v>42352986.310000002</v>
      </c>
      <c r="BN30" s="347">
        <v>42266788.030000001</v>
      </c>
      <c r="BO30" s="347">
        <v>42524871.18</v>
      </c>
      <c r="BP30" s="347">
        <v>42557523.539999999</v>
      </c>
      <c r="BQ30" s="347">
        <v>42857233.789999999</v>
      </c>
      <c r="BR30" s="347">
        <v>42767811.670000002</v>
      </c>
      <c r="BS30" s="391">
        <v>43161599.479999997</v>
      </c>
      <c r="BT30" s="390"/>
      <c r="BU30" s="345">
        <v>43831372.740000002</v>
      </c>
      <c r="BV30" s="347">
        <v>44146263.579999998</v>
      </c>
      <c r="BW30" s="347">
        <v>44202266.020000003</v>
      </c>
      <c r="BX30" s="345">
        <v>43072563.829999998</v>
      </c>
      <c r="BY30" s="383">
        <v>43279709.310000002</v>
      </c>
      <c r="BZ30" s="345">
        <v>44109508.32</v>
      </c>
      <c r="CA30" s="345">
        <v>43904872.140000001</v>
      </c>
      <c r="CB30" s="345">
        <v>43788834.479999997</v>
      </c>
      <c r="CC30" s="436">
        <v>43270701.710000001</v>
      </c>
    </row>
    <row r="31" spans="1:81">
      <c r="A31" s="160" t="s">
        <v>39</v>
      </c>
      <c r="B31" s="214">
        <f t="shared" ref="B31:I31" si="47">SUM(B28:B30)</f>
        <v>30702571</v>
      </c>
      <c r="C31" s="214">
        <f t="shared" si="47"/>
        <v>32261930</v>
      </c>
      <c r="D31" s="214">
        <f t="shared" si="47"/>
        <v>39325775</v>
      </c>
      <c r="E31" s="214">
        <f t="shared" si="47"/>
        <v>40506575</v>
      </c>
      <c r="F31" s="214">
        <f t="shared" si="47"/>
        <v>38895555</v>
      </c>
      <c r="G31" s="214">
        <f t="shared" si="47"/>
        <v>47601877</v>
      </c>
      <c r="H31" s="214">
        <f t="shared" si="47"/>
        <v>47689592</v>
      </c>
      <c r="I31" s="214">
        <f t="shared" si="47"/>
        <v>43679290.770000003</v>
      </c>
      <c r="J31" s="214">
        <f t="shared" ref="J31:S31" si="48">SUM(J28:J30)</f>
        <v>44348934.43</v>
      </c>
      <c r="K31" s="214">
        <f t="shared" si="48"/>
        <v>44748541.089999996</v>
      </c>
      <c r="L31" s="214">
        <f t="shared" si="48"/>
        <v>45310102.739999995</v>
      </c>
      <c r="M31" s="214">
        <f t="shared" si="48"/>
        <v>45959597.270000003</v>
      </c>
      <c r="N31" s="214">
        <f t="shared" si="48"/>
        <v>46880705.950000003</v>
      </c>
      <c r="O31" s="214">
        <f t="shared" si="48"/>
        <v>49518415.769999996</v>
      </c>
      <c r="P31" s="214">
        <f t="shared" si="48"/>
        <v>48363004.840000004</v>
      </c>
      <c r="Q31" s="214">
        <f t="shared" si="48"/>
        <v>47207046.299999997</v>
      </c>
      <c r="R31" s="214">
        <f t="shared" si="48"/>
        <v>47571754.150000006</v>
      </c>
      <c r="S31" s="214">
        <f t="shared" si="48"/>
        <v>48084401.299999997</v>
      </c>
      <c r="T31" s="214">
        <f>SUM(T28:T30)</f>
        <v>49764391.579999998</v>
      </c>
      <c r="U31" s="214">
        <f>SUM(U28:U30)</f>
        <v>49822191.119999997</v>
      </c>
      <c r="V31" s="214">
        <f>SUM(V28:V30)</f>
        <v>50230382.709999993</v>
      </c>
      <c r="W31" s="214">
        <f t="shared" ref="W31:AB31" si="49">SUM(W28:W30)</f>
        <v>46673660.850000001</v>
      </c>
      <c r="X31" s="214">
        <f t="shared" si="49"/>
        <v>52141111.020000003</v>
      </c>
      <c r="Y31" s="214">
        <f t="shared" si="49"/>
        <v>49644615.950000003</v>
      </c>
      <c r="Z31" s="214">
        <f t="shared" si="49"/>
        <v>49514347.929999992</v>
      </c>
      <c r="AA31" s="214">
        <f t="shared" si="49"/>
        <v>47967432.050000004</v>
      </c>
      <c r="AB31" s="214">
        <f t="shared" si="49"/>
        <v>50417332.68</v>
      </c>
      <c r="AC31" s="214">
        <f t="shared" ref="AC31:AH31" si="50">SUM(AC28:AC30)</f>
        <v>49139979.520000003</v>
      </c>
      <c r="AD31" s="214">
        <f t="shared" si="50"/>
        <v>49930693.25</v>
      </c>
      <c r="AE31" s="214">
        <f t="shared" si="50"/>
        <v>51133805.659999996</v>
      </c>
      <c r="AF31" s="214">
        <f t="shared" si="50"/>
        <v>50115445.969999999</v>
      </c>
      <c r="AG31" s="214">
        <f t="shared" si="50"/>
        <v>47813317.640000001</v>
      </c>
      <c r="AH31" s="214">
        <f t="shared" si="50"/>
        <v>47813288</v>
      </c>
      <c r="AI31" s="214">
        <f t="shared" ref="AI31:AT31" si="51">SUM(AI28:AI30)</f>
        <v>50050279.649999999</v>
      </c>
      <c r="AJ31" s="214">
        <f t="shared" si="51"/>
        <v>51594784.460000001</v>
      </c>
      <c r="AK31" s="214">
        <f t="shared" si="51"/>
        <v>48617537.930000007</v>
      </c>
      <c r="AL31" s="214">
        <f t="shared" si="51"/>
        <v>50784185.450000003</v>
      </c>
      <c r="AM31" s="214">
        <f t="shared" si="51"/>
        <v>52670579.520000003</v>
      </c>
      <c r="AN31" s="214">
        <f t="shared" si="51"/>
        <v>51541572.299999997</v>
      </c>
      <c r="AO31" s="214">
        <f t="shared" si="51"/>
        <v>52864499.469999999</v>
      </c>
      <c r="AP31" s="214">
        <f t="shared" si="51"/>
        <v>52435662.070000008</v>
      </c>
      <c r="AQ31" s="214">
        <f t="shared" si="51"/>
        <v>52696820.390000001</v>
      </c>
      <c r="AR31" s="214">
        <f t="shared" si="51"/>
        <v>54876771.200000003</v>
      </c>
      <c r="AS31" s="214">
        <f t="shared" si="51"/>
        <v>49343098.549999997</v>
      </c>
      <c r="AT31" s="214">
        <f t="shared" si="51"/>
        <v>49343099</v>
      </c>
      <c r="AU31" s="214">
        <f t="shared" ref="AU31:BC31" si="52">SUM(AU28:AU30)</f>
        <v>49066289.460000001</v>
      </c>
      <c r="AV31" s="214">
        <f t="shared" si="52"/>
        <v>48855091.090000004</v>
      </c>
      <c r="AW31" s="214">
        <f t="shared" si="52"/>
        <v>50685467.969999999</v>
      </c>
      <c r="AX31" s="214">
        <f t="shared" si="52"/>
        <v>51776238.210000001</v>
      </c>
      <c r="AY31" s="214">
        <f t="shared" si="52"/>
        <v>52161227.699999996</v>
      </c>
      <c r="AZ31" s="214">
        <f t="shared" si="52"/>
        <v>50947319.199999996</v>
      </c>
      <c r="BA31" s="214">
        <f t="shared" si="52"/>
        <v>55447339.090000004</v>
      </c>
      <c r="BB31" s="214">
        <f t="shared" si="52"/>
        <v>55505976.229999997</v>
      </c>
      <c r="BC31" s="214">
        <f t="shared" si="52"/>
        <v>51038813.609999999</v>
      </c>
      <c r="BD31" s="214">
        <f t="shared" ref="BD31:BS31" si="53">SUM(BD28:BD30)</f>
        <v>52642238.909999996</v>
      </c>
      <c r="BE31" s="214">
        <f t="shared" si="53"/>
        <v>55538289.659999996</v>
      </c>
      <c r="BF31" s="214">
        <f t="shared" si="53"/>
        <v>52005787.93</v>
      </c>
      <c r="BG31" s="214">
        <f t="shared" si="53"/>
        <v>51619733</v>
      </c>
      <c r="BH31" s="214">
        <f t="shared" si="53"/>
        <v>51764161.990000002</v>
      </c>
      <c r="BI31" s="214">
        <f t="shared" si="53"/>
        <v>52516187.990000002</v>
      </c>
      <c r="BJ31" s="214">
        <f t="shared" si="53"/>
        <v>52107138.640000001</v>
      </c>
      <c r="BK31" s="214">
        <f t="shared" si="53"/>
        <v>52817239.300000004</v>
      </c>
      <c r="BL31" s="214">
        <f t="shared" si="53"/>
        <v>53073319.32</v>
      </c>
      <c r="BM31" s="214">
        <f t="shared" si="53"/>
        <v>55127767.010000005</v>
      </c>
      <c r="BN31" s="214">
        <f t="shared" si="53"/>
        <v>53356376.850000001</v>
      </c>
      <c r="BO31" s="214">
        <f t="shared" si="53"/>
        <v>53766853.710000001</v>
      </c>
      <c r="BP31" s="214">
        <f t="shared" si="53"/>
        <v>53416198.57</v>
      </c>
      <c r="BQ31" s="214">
        <f t="shared" si="53"/>
        <v>54970887.57</v>
      </c>
      <c r="BR31" s="214">
        <f t="shared" si="53"/>
        <v>55168395.82</v>
      </c>
      <c r="BS31" s="214">
        <f t="shared" si="53"/>
        <v>52332059.479999997</v>
      </c>
      <c r="BT31" s="214">
        <f t="shared" ref="BT31:BX31" si="54">SUM(BT28:BT30)</f>
        <v>0</v>
      </c>
      <c r="BU31" s="214">
        <f t="shared" si="54"/>
        <v>52870329.740000002</v>
      </c>
      <c r="BV31" s="214">
        <f t="shared" si="54"/>
        <v>53091854.589999996</v>
      </c>
      <c r="BW31" s="214">
        <f t="shared" si="54"/>
        <v>53433570.990000002</v>
      </c>
      <c r="BX31" s="214">
        <f t="shared" si="54"/>
        <v>53184866.700000003</v>
      </c>
      <c r="BY31" s="214">
        <f>SUM(BY28:BY30)</f>
        <v>52509344.57</v>
      </c>
      <c r="BZ31" s="214">
        <f>SUM(BZ28:BZ30)</f>
        <v>53708262.43</v>
      </c>
      <c r="CA31" s="214">
        <f>SUM(CA28:CA30)</f>
        <v>52777852.590000004</v>
      </c>
      <c r="CB31" s="214">
        <f>SUM(CB28:CB30)</f>
        <v>53183309.919999994</v>
      </c>
      <c r="CC31" s="214">
        <f>SUM(CC28:CC30)</f>
        <v>51885876.43</v>
      </c>
    </row>
    <row r="32" spans="1:81">
      <c r="A32" s="161" t="s">
        <v>40</v>
      </c>
      <c r="B32" s="283"/>
      <c r="C32" s="283"/>
      <c r="D32" s="283"/>
      <c r="E32" s="283"/>
      <c r="F32" s="288">
        <v>79999</v>
      </c>
      <c r="G32" s="295">
        <v>43968</v>
      </c>
      <c r="H32" s="283"/>
      <c r="I32" s="297">
        <v>5411.2</v>
      </c>
      <c r="J32" s="297">
        <v>5339.7</v>
      </c>
      <c r="K32" s="297">
        <v>5401.7</v>
      </c>
      <c r="L32" s="297">
        <v>6229.2</v>
      </c>
      <c r="M32" s="297">
        <v>5583.7</v>
      </c>
      <c r="N32" s="297">
        <v>5111.2</v>
      </c>
      <c r="O32" s="297">
        <v>12668.7</v>
      </c>
      <c r="P32" s="297">
        <v>10506.2</v>
      </c>
      <c r="Q32" s="297">
        <v>7236.7</v>
      </c>
      <c r="R32" s="297">
        <v>19122.7</v>
      </c>
      <c r="S32" s="297">
        <v>23628.7</v>
      </c>
      <c r="T32" s="297">
        <v>33350.699999999997</v>
      </c>
      <c r="U32" s="287">
        <v>51709</v>
      </c>
      <c r="V32" s="329">
        <v>23402.7</v>
      </c>
      <c r="W32" s="329">
        <v>15971.7</v>
      </c>
      <c r="X32" s="329">
        <v>80114.7</v>
      </c>
      <c r="Y32" s="329">
        <v>42386.7</v>
      </c>
      <c r="Z32" s="329">
        <v>34139.699999999997</v>
      </c>
      <c r="AA32" s="329">
        <v>27007.7</v>
      </c>
      <c r="AB32" s="329">
        <v>22372.7</v>
      </c>
      <c r="AC32" s="329">
        <v>23052.7</v>
      </c>
      <c r="AD32" s="329">
        <v>18737.7</v>
      </c>
      <c r="AE32" s="297">
        <v>15281.7</v>
      </c>
      <c r="AF32" s="297">
        <v>23513.7</v>
      </c>
      <c r="AG32" s="297">
        <v>20447.7</v>
      </c>
      <c r="AH32" s="283">
        <v>64642</v>
      </c>
      <c r="AI32" s="276">
        <v>21417.7</v>
      </c>
      <c r="AJ32" s="276">
        <v>18860.7</v>
      </c>
      <c r="AK32" s="276">
        <v>22214.7</v>
      </c>
      <c r="AL32" s="276">
        <v>17473.7</v>
      </c>
      <c r="AM32" s="276">
        <v>15410.7</v>
      </c>
      <c r="AN32" s="276">
        <v>19080.7</v>
      </c>
      <c r="AO32" s="276">
        <v>15170.7</v>
      </c>
      <c r="AP32" s="276">
        <v>19131.7</v>
      </c>
      <c r="AQ32" s="276">
        <v>18882.7</v>
      </c>
      <c r="AR32" s="276">
        <v>15386.7</v>
      </c>
      <c r="AS32" s="276">
        <v>28694.7</v>
      </c>
      <c r="AT32" s="285">
        <v>28817</v>
      </c>
      <c r="AU32" s="276">
        <v>12853.7</v>
      </c>
      <c r="AV32" s="276">
        <v>20462.7</v>
      </c>
      <c r="AW32" s="276">
        <v>23558.7</v>
      </c>
      <c r="AX32" s="276">
        <v>21185.7</v>
      </c>
      <c r="AY32" s="276">
        <v>20468.7</v>
      </c>
      <c r="AZ32" s="341">
        <v>18004.7</v>
      </c>
      <c r="BA32" s="343">
        <v>27005.7</v>
      </c>
      <c r="BB32" s="341">
        <v>20179.7</v>
      </c>
      <c r="BC32" s="341">
        <v>15517.7</v>
      </c>
      <c r="BD32" s="341">
        <v>25243.7</v>
      </c>
      <c r="BE32" s="343">
        <v>16554.7</v>
      </c>
      <c r="BF32" s="355">
        <v>22971.7</v>
      </c>
      <c r="BG32" s="361">
        <v>2242</v>
      </c>
      <c r="BH32" s="341">
        <v>18155.7</v>
      </c>
      <c r="BI32" s="343">
        <v>15545.7</v>
      </c>
      <c r="BJ32" s="343">
        <v>20998.7</v>
      </c>
      <c r="BK32" s="343">
        <v>26503.7</v>
      </c>
      <c r="BL32" s="343">
        <v>20303.7</v>
      </c>
      <c r="BM32" s="343">
        <v>16854.7</v>
      </c>
      <c r="BN32" s="343">
        <v>21477.7</v>
      </c>
      <c r="BO32" s="343">
        <v>17453.7</v>
      </c>
      <c r="BP32" s="343">
        <v>20770.7</v>
      </c>
      <c r="BQ32" s="343">
        <v>14284.7</v>
      </c>
      <c r="BR32" s="343">
        <v>19919.7</v>
      </c>
      <c r="BS32" s="391">
        <v>20845.7</v>
      </c>
      <c r="BT32" s="390"/>
      <c r="BU32" s="341">
        <v>18435.7</v>
      </c>
      <c r="BV32" s="343">
        <v>15907.7</v>
      </c>
      <c r="BW32" s="343">
        <v>29533.7</v>
      </c>
      <c r="BX32" s="341">
        <v>26159.7</v>
      </c>
      <c r="BY32" s="381">
        <v>33189.699999999997</v>
      </c>
      <c r="BZ32" s="341">
        <v>22749.7</v>
      </c>
      <c r="CA32" s="341">
        <v>30984.7</v>
      </c>
      <c r="CB32" s="341">
        <v>17719.7</v>
      </c>
      <c r="CC32" s="434">
        <v>14579.7</v>
      </c>
    </row>
    <row r="33" spans="1:81">
      <c r="A33" s="161" t="s">
        <v>41</v>
      </c>
      <c r="B33" s="283"/>
      <c r="C33" s="288">
        <f>2672099</f>
        <v>2672099</v>
      </c>
      <c r="D33" s="283">
        <f>2638747+200000+540001</f>
        <v>3378748</v>
      </c>
      <c r="E33" s="283"/>
      <c r="F33" s="283"/>
      <c r="G33" s="293">
        <v>2480651</v>
      </c>
      <c r="H33" s="283">
        <v>1503071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87">
        <v>1957092.4000000001</v>
      </c>
      <c r="V33" s="329">
        <v>0</v>
      </c>
      <c r="W33" s="329">
        <v>0</v>
      </c>
      <c r="X33" s="329">
        <v>0</v>
      </c>
      <c r="Y33" s="329">
        <v>0</v>
      </c>
      <c r="Z33" s="329">
        <v>0</v>
      </c>
      <c r="AA33" s="329">
        <v>0</v>
      </c>
      <c r="AB33" s="329">
        <v>0</v>
      </c>
      <c r="AC33" s="329">
        <v>0</v>
      </c>
      <c r="AD33" s="329">
        <v>0</v>
      </c>
      <c r="AE33" s="297">
        <v>0</v>
      </c>
      <c r="AF33" s="297">
        <v>0</v>
      </c>
      <c r="AG33" s="297">
        <v>0</v>
      </c>
      <c r="AH33" s="283">
        <v>2358986</v>
      </c>
      <c r="AI33" s="276">
        <v>0</v>
      </c>
      <c r="AJ33" s="276">
        <v>0</v>
      </c>
      <c r="AK33" s="276">
        <v>0</v>
      </c>
      <c r="AL33" s="276">
        <v>0</v>
      </c>
      <c r="AM33" s="276">
        <v>0</v>
      </c>
      <c r="AN33" s="276">
        <v>0</v>
      </c>
      <c r="AO33" s="276">
        <v>0</v>
      </c>
      <c r="AP33" s="276">
        <v>0</v>
      </c>
      <c r="AQ33" s="276">
        <v>0</v>
      </c>
      <c r="AR33" s="276">
        <v>0</v>
      </c>
      <c r="AS33" s="276">
        <v>0</v>
      </c>
      <c r="AT33" s="285">
        <v>3344754</v>
      </c>
      <c r="AU33" s="276">
        <v>0</v>
      </c>
      <c r="AV33" s="276">
        <v>0</v>
      </c>
      <c r="AW33" s="276">
        <v>0</v>
      </c>
      <c r="AX33" s="276">
        <v>0</v>
      </c>
      <c r="AY33" s="276">
        <v>0</v>
      </c>
      <c r="AZ33" s="344">
        <v>0</v>
      </c>
      <c r="BA33" s="346">
        <v>0</v>
      </c>
      <c r="BB33" s="344">
        <v>0</v>
      </c>
      <c r="BC33" s="344">
        <v>0</v>
      </c>
      <c r="BD33" s="344">
        <v>0</v>
      </c>
      <c r="BE33" s="346">
        <v>0</v>
      </c>
      <c r="BF33" s="356">
        <v>0</v>
      </c>
      <c r="BG33" s="361">
        <v>2951007</v>
      </c>
      <c r="BH33" s="344">
        <v>0</v>
      </c>
      <c r="BI33" s="346">
        <v>0</v>
      </c>
      <c r="BJ33" s="346">
        <v>0</v>
      </c>
      <c r="BK33" s="346">
        <v>0</v>
      </c>
      <c r="BL33" s="346">
        <v>0</v>
      </c>
      <c r="BM33" s="346">
        <v>0</v>
      </c>
      <c r="BN33" s="346">
        <v>0</v>
      </c>
      <c r="BO33" s="346">
        <v>0</v>
      </c>
      <c r="BP33" s="346">
        <v>0</v>
      </c>
      <c r="BQ33" s="346">
        <v>0</v>
      </c>
      <c r="BR33" s="346">
        <v>0</v>
      </c>
      <c r="BS33" s="389">
        <v>0</v>
      </c>
      <c r="BT33" s="390"/>
      <c r="BU33" s="344">
        <v>0</v>
      </c>
      <c r="BV33" s="346">
        <v>0</v>
      </c>
      <c r="BW33" s="346">
        <v>0</v>
      </c>
      <c r="BX33" s="344">
        <v>0</v>
      </c>
      <c r="BY33" s="382">
        <v>0</v>
      </c>
      <c r="BZ33" s="344">
        <v>0</v>
      </c>
      <c r="CA33" s="344">
        <v>0</v>
      </c>
      <c r="CB33" s="344">
        <v>0</v>
      </c>
      <c r="CC33" s="435">
        <v>0</v>
      </c>
    </row>
    <row r="34" spans="1:81">
      <c r="A34" s="161" t="s">
        <v>42</v>
      </c>
      <c r="B34" s="283"/>
      <c r="C34" s="288"/>
      <c r="D34" s="283"/>
      <c r="E34" s="283"/>
      <c r="F34" s="283"/>
      <c r="G34" s="294"/>
      <c r="H34" s="283"/>
      <c r="I34" s="297">
        <v>0</v>
      </c>
      <c r="J34" s="297">
        <v>0</v>
      </c>
      <c r="K34" s="297">
        <v>0</v>
      </c>
      <c r="L34" s="297">
        <v>0</v>
      </c>
      <c r="M34" s="297">
        <v>0</v>
      </c>
      <c r="N34" s="297">
        <v>0</v>
      </c>
      <c r="O34" s="297">
        <v>0</v>
      </c>
      <c r="P34" s="297">
        <v>0</v>
      </c>
      <c r="Q34" s="297">
        <v>0</v>
      </c>
      <c r="R34" s="297">
        <v>0</v>
      </c>
      <c r="S34" s="297">
        <v>0</v>
      </c>
      <c r="T34" s="297">
        <v>0</v>
      </c>
      <c r="U34" s="297">
        <v>0</v>
      </c>
      <c r="V34" s="329">
        <v>0</v>
      </c>
      <c r="W34" s="329">
        <v>0</v>
      </c>
      <c r="X34" s="329">
        <v>0</v>
      </c>
      <c r="Y34" s="329">
        <v>0</v>
      </c>
      <c r="Z34" s="329">
        <v>0</v>
      </c>
      <c r="AA34" s="329">
        <v>0</v>
      </c>
      <c r="AB34" s="329">
        <v>0</v>
      </c>
      <c r="AC34" s="329">
        <v>0</v>
      </c>
      <c r="AD34" s="329">
        <v>0</v>
      </c>
      <c r="AE34" s="297">
        <v>0</v>
      </c>
      <c r="AF34" s="297">
        <v>0</v>
      </c>
      <c r="AG34" s="297">
        <v>0</v>
      </c>
      <c r="AH34" s="283"/>
      <c r="AI34" s="276">
        <v>0</v>
      </c>
      <c r="AJ34" s="276">
        <v>0</v>
      </c>
      <c r="AK34" s="276">
        <v>0</v>
      </c>
      <c r="AL34" s="276">
        <v>0</v>
      </c>
      <c r="AM34" s="276">
        <v>0</v>
      </c>
      <c r="AN34" s="276">
        <v>0</v>
      </c>
      <c r="AO34" s="276">
        <v>0</v>
      </c>
      <c r="AP34" s="276">
        <v>0</v>
      </c>
      <c r="AQ34" s="276">
        <v>0</v>
      </c>
      <c r="AR34" s="276">
        <v>0</v>
      </c>
      <c r="AS34" s="276">
        <v>0</v>
      </c>
      <c r="AT34" s="286">
        <v>0</v>
      </c>
      <c r="AU34" s="276">
        <v>0</v>
      </c>
      <c r="AV34" s="276">
        <v>0</v>
      </c>
      <c r="AW34" s="276">
        <v>0</v>
      </c>
      <c r="AX34" s="276">
        <v>0</v>
      </c>
      <c r="AY34" s="276">
        <v>0</v>
      </c>
      <c r="AZ34" s="344">
        <v>0</v>
      </c>
      <c r="BA34" s="346">
        <v>0</v>
      </c>
      <c r="BB34" s="344">
        <v>0</v>
      </c>
      <c r="BC34" s="344">
        <v>0</v>
      </c>
      <c r="BD34" s="344">
        <v>0</v>
      </c>
      <c r="BE34" s="346">
        <v>0</v>
      </c>
      <c r="BF34" s="356">
        <v>0</v>
      </c>
      <c r="BG34" s="361"/>
      <c r="BH34" s="344">
        <v>0</v>
      </c>
      <c r="BI34" s="346">
        <v>0</v>
      </c>
      <c r="BJ34" s="346">
        <v>0</v>
      </c>
      <c r="BK34" s="346">
        <v>0</v>
      </c>
      <c r="BL34" s="346">
        <v>0</v>
      </c>
      <c r="BM34" s="346">
        <v>0</v>
      </c>
      <c r="BN34" s="346">
        <v>0</v>
      </c>
      <c r="BO34" s="346">
        <v>0</v>
      </c>
      <c r="BP34" s="346">
        <v>0</v>
      </c>
      <c r="BQ34" s="346">
        <v>0</v>
      </c>
      <c r="BR34" s="346">
        <v>0</v>
      </c>
      <c r="BS34" s="389">
        <v>0</v>
      </c>
      <c r="BT34" s="390"/>
      <c r="BU34" s="344">
        <v>0</v>
      </c>
      <c r="BV34" s="346">
        <v>0</v>
      </c>
      <c r="BW34" s="346">
        <v>0</v>
      </c>
      <c r="BX34" s="344">
        <v>0</v>
      </c>
      <c r="BY34" s="382">
        <v>0</v>
      </c>
      <c r="BZ34" s="344">
        <v>0</v>
      </c>
      <c r="CA34" s="344">
        <v>0</v>
      </c>
      <c r="CB34" s="344">
        <v>0</v>
      </c>
      <c r="CC34" s="435">
        <v>0</v>
      </c>
    </row>
    <row r="35" spans="1:81">
      <c r="A35" s="161" t="s">
        <v>43</v>
      </c>
      <c r="B35" s="283"/>
      <c r="C35" s="288"/>
      <c r="D35" s="283"/>
      <c r="E35" s="283"/>
      <c r="F35" s="283"/>
      <c r="G35" s="293">
        <v>2167716</v>
      </c>
      <c r="H35" s="283"/>
      <c r="I35" s="297">
        <v>0</v>
      </c>
      <c r="J35" s="297">
        <v>0</v>
      </c>
      <c r="K35" s="297">
        <v>0</v>
      </c>
      <c r="L35" s="297">
        <v>0</v>
      </c>
      <c r="M35" s="297">
        <v>0</v>
      </c>
      <c r="N35" s="297">
        <v>0</v>
      </c>
      <c r="O35" s="297">
        <v>0</v>
      </c>
      <c r="P35" s="297">
        <v>0</v>
      </c>
      <c r="Q35" s="297">
        <v>0</v>
      </c>
      <c r="R35" s="297">
        <v>0</v>
      </c>
      <c r="S35" s="297">
        <v>0</v>
      </c>
      <c r="T35" s="297">
        <v>0</v>
      </c>
      <c r="U35" s="297">
        <v>0</v>
      </c>
      <c r="V35" s="329">
        <v>0</v>
      </c>
      <c r="W35" s="329">
        <v>0</v>
      </c>
      <c r="X35" s="329">
        <v>0</v>
      </c>
      <c r="Y35" s="329">
        <v>0</v>
      </c>
      <c r="Z35" s="329">
        <v>0</v>
      </c>
      <c r="AA35" s="329">
        <v>0</v>
      </c>
      <c r="AB35" s="329">
        <v>0</v>
      </c>
      <c r="AC35" s="329">
        <v>0</v>
      </c>
      <c r="AD35" s="329">
        <v>0</v>
      </c>
      <c r="AE35" s="297">
        <v>0</v>
      </c>
      <c r="AF35" s="297">
        <v>0</v>
      </c>
      <c r="AG35" s="297">
        <v>0</v>
      </c>
      <c r="AH35" s="283"/>
      <c r="AI35" s="276">
        <v>0</v>
      </c>
      <c r="AJ35" s="276">
        <v>0</v>
      </c>
      <c r="AK35" s="276">
        <v>0</v>
      </c>
      <c r="AL35" s="276">
        <v>0</v>
      </c>
      <c r="AM35" s="276">
        <v>0</v>
      </c>
      <c r="AN35" s="276">
        <v>0</v>
      </c>
      <c r="AO35" s="276">
        <v>0</v>
      </c>
      <c r="AP35" s="276">
        <v>0</v>
      </c>
      <c r="AQ35" s="276">
        <v>0</v>
      </c>
      <c r="AR35" s="276">
        <v>0</v>
      </c>
      <c r="AS35" s="276">
        <v>0</v>
      </c>
      <c r="AT35" s="286">
        <v>0</v>
      </c>
      <c r="AU35" s="276">
        <v>0</v>
      </c>
      <c r="AV35" s="276">
        <v>0</v>
      </c>
      <c r="AW35" s="276">
        <v>0</v>
      </c>
      <c r="AX35" s="276">
        <v>0</v>
      </c>
      <c r="AY35" s="276">
        <v>0</v>
      </c>
      <c r="AZ35" s="344">
        <v>0</v>
      </c>
      <c r="BA35" s="346">
        <v>0</v>
      </c>
      <c r="BB35" s="344">
        <v>0</v>
      </c>
      <c r="BC35" s="344">
        <v>0</v>
      </c>
      <c r="BD35" s="344">
        <v>0</v>
      </c>
      <c r="BE35" s="346">
        <v>0</v>
      </c>
      <c r="BF35" s="356">
        <v>0</v>
      </c>
      <c r="BG35" s="361"/>
      <c r="BH35" s="344">
        <v>0</v>
      </c>
      <c r="BI35" s="346">
        <v>0</v>
      </c>
      <c r="BJ35" s="346">
        <v>0</v>
      </c>
      <c r="BK35" s="346">
        <v>0</v>
      </c>
      <c r="BL35" s="346">
        <v>0</v>
      </c>
      <c r="BM35" s="346">
        <v>0</v>
      </c>
      <c r="BN35" s="346">
        <v>0</v>
      </c>
      <c r="BO35" s="346">
        <v>0</v>
      </c>
      <c r="BP35" s="346">
        <v>0</v>
      </c>
      <c r="BQ35" s="346">
        <v>0</v>
      </c>
      <c r="BR35" s="346">
        <v>0</v>
      </c>
      <c r="BS35" s="389">
        <v>0</v>
      </c>
      <c r="BT35" s="390"/>
      <c r="BU35" s="344">
        <v>0</v>
      </c>
      <c r="BV35" s="346">
        <v>0</v>
      </c>
      <c r="BW35" s="346">
        <v>0</v>
      </c>
      <c r="BX35" s="344">
        <v>0</v>
      </c>
      <c r="BY35" s="382">
        <v>0</v>
      </c>
      <c r="BZ35" s="344">
        <v>0</v>
      </c>
      <c r="CA35" s="344">
        <v>0</v>
      </c>
      <c r="CB35" s="344">
        <v>0</v>
      </c>
      <c r="CC35" s="435">
        <v>0</v>
      </c>
    </row>
    <row r="36" spans="1:81">
      <c r="A36" s="161" t="s">
        <v>44</v>
      </c>
      <c r="B36" s="287">
        <v>3470185</v>
      </c>
      <c r="C36" s="289">
        <f>1787148+321686</f>
        <v>2108834</v>
      </c>
      <c r="D36" s="283">
        <f>2600712+656204</f>
        <v>3256916</v>
      </c>
      <c r="E36" s="283">
        <f>5076866+150000+606579</f>
        <v>5833445</v>
      </c>
      <c r="F36" s="288">
        <f>1717414+3437605</f>
        <v>5155019</v>
      </c>
      <c r="G36" s="283"/>
      <c r="H36" s="283">
        <v>350096</v>
      </c>
      <c r="I36" s="297">
        <v>2341274.1</v>
      </c>
      <c r="J36" s="297">
        <v>2617476.17</v>
      </c>
      <c r="K36" s="297">
        <v>3525343.28</v>
      </c>
      <c r="L36" s="297">
        <v>2242713.79</v>
      </c>
      <c r="M36" s="297">
        <v>1684888.41</v>
      </c>
      <c r="N36" s="297">
        <v>1573570.51</v>
      </c>
      <c r="O36" s="297">
        <v>1641539.89</v>
      </c>
      <c r="P36" s="297">
        <v>1624192.39</v>
      </c>
      <c r="Q36" s="297">
        <v>1695237.6</v>
      </c>
      <c r="R36" s="297">
        <v>1874551.41</v>
      </c>
      <c r="S36" s="297">
        <v>1930573.28</v>
      </c>
      <c r="T36" s="297">
        <v>1939943.49</v>
      </c>
      <c r="U36" s="287">
        <v>761254</v>
      </c>
      <c r="V36" s="329">
        <v>6264105.0499999998</v>
      </c>
      <c r="W36" s="329">
        <v>6227222.0800000001</v>
      </c>
      <c r="X36" s="329">
        <v>5659216.1500000004</v>
      </c>
      <c r="Y36" s="329">
        <v>3231362.97</v>
      </c>
      <c r="Z36" s="329">
        <v>3097656.03</v>
      </c>
      <c r="AA36" s="329">
        <v>3143998.21</v>
      </c>
      <c r="AB36" s="329">
        <v>3042708.57</v>
      </c>
      <c r="AC36" s="329">
        <v>3472678.58</v>
      </c>
      <c r="AD36" s="329">
        <v>3044796.78</v>
      </c>
      <c r="AE36" s="297">
        <v>3323035.79</v>
      </c>
      <c r="AF36" s="297">
        <v>3386759.87</v>
      </c>
      <c r="AG36" s="297">
        <v>4124370.78</v>
      </c>
      <c r="AH36" s="283">
        <v>2022756</v>
      </c>
      <c r="AI36" s="276">
        <v>8237697.3600000003</v>
      </c>
      <c r="AJ36" s="276">
        <v>8269920</v>
      </c>
      <c r="AK36" s="276">
        <v>7441499.4800000004</v>
      </c>
      <c r="AL36" s="276">
        <v>5063911.75</v>
      </c>
      <c r="AM36" s="276">
        <v>4841286</v>
      </c>
      <c r="AN36" s="276">
        <v>4819427.2699999996</v>
      </c>
      <c r="AO36" s="276">
        <v>4279100.79</v>
      </c>
      <c r="AP36" s="276">
        <v>3956450</v>
      </c>
      <c r="AQ36" s="276">
        <v>423017.86</v>
      </c>
      <c r="AR36" s="276">
        <v>372991.86</v>
      </c>
      <c r="AS36" s="276">
        <v>1049732.04</v>
      </c>
      <c r="AT36" s="285">
        <v>2247051</v>
      </c>
      <c r="AU36" s="276">
        <v>5365014.3899999997</v>
      </c>
      <c r="AV36" s="276">
        <v>5541733.0700000003</v>
      </c>
      <c r="AW36" s="276">
        <v>4049323.73</v>
      </c>
      <c r="AX36" s="276">
        <v>1294075.8899999999</v>
      </c>
      <c r="AY36" s="276">
        <v>998203.13</v>
      </c>
      <c r="AZ36" s="345">
        <v>76321.600000000006</v>
      </c>
      <c r="BA36" s="347">
        <v>173648.15</v>
      </c>
      <c r="BB36" s="345">
        <v>66432.08</v>
      </c>
      <c r="BC36" s="345">
        <v>-36681.050000000003</v>
      </c>
      <c r="BD36" s="345">
        <v>32028.05</v>
      </c>
      <c r="BE36" s="347">
        <v>-58343.8</v>
      </c>
      <c r="BF36" s="355">
        <v>156344.25</v>
      </c>
      <c r="BG36" s="361">
        <v>1068513</v>
      </c>
      <c r="BH36" s="345">
        <v>4311541.74</v>
      </c>
      <c r="BI36" s="347">
        <v>4299392.93</v>
      </c>
      <c r="BJ36" s="347">
        <v>2992515.22</v>
      </c>
      <c r="BK36" s="347">
        <v>-726678.24</v>
      </c>
      <c r="BL36" s="347">
        <v>-794465.05</v>
      </c>
      <c r="BM36" s="347">
        <v>-826567.04</v>
      </c>
      <c r="BN36" s="347">
        <v>-866289.44</v>
      </c>
      <c r="BO36" s="347">
        <v>-852790.2</v>
      </c>
      <c r="BP36" s="347">
        <v>-1020657.24</v>
      </c>
      <c r="BQ36" s="347">
        <v>-1003694.41</v>
      </c>
      <c r="BR36" s="347">
        <v>-951943.4</v>
      </c>
      <c r="BS36" s="391">
        <v>-740099.86</v>
      </c>
      <c r="BT36" s="390"/>
      <c r="BU36" s="345">
        <v>3826265.6</v>
      </c>
      <c r="BV36" s="347">
        <v>3869746.35</v>
      </c>
      <c r="BW36" s="347">
        <v>3738295.47</v>
      </c>
      <c r="BX36" s="345">
        <v>-118074.66</v>
      </c>
      <c r="BY36" s="383">
        <v>220798.17</v>
      </c>
      <c r="BZ36" s="345">
        <v>94194.22</v>
      </c>
      <c r="CA36" s="345">
        <v>-122479.65</v>
      </c>
      <c r="CB36" s="345">
        <v>-110999.87</v>
      </c>
      <c r="CC36" s="436">
        <v>5553.27</v>
      </c>
    </row>
    <row r="37" spans="1:81">
      <c r="A37" s="161" t="s">
        <v>45</v>
      </c>
      <c r="B37" s="287">
        <v>3635383</v>
      </c>
      <c r="C37" s="289">
        <v>361622</v>
      </c>
      <c r="D37" s="283">
        <v>637835</v>
      </c>
      <c r="E37" s="283">
        <v>4500000</v>
      </c>
      <c r="F37" s="288">
        <v>2420583</v>
      </c>
      <c r="G37" s="349"/>
      <c r="H37" s="283">
        <v>3576860</v>
      </c>
      <c r="I37" s="297">
        <v>3176106</v>
      </c>
      <c r="J37" s="297">
        <v>3015984.85</v>
      </c>
      <c r="K37" s="297">
        <v>2748772.3</v>
      </c>
      <c r="L37" s="297">
        <v>2489256.2999999998</v>
      </c>
      <c r="M37" s="297">
        <v>2211045</v>
      </c>
      <c r="N37" s="297">
        <v>1911045.1</v>
      </c>
      <c r="O37" s="297">
        <v>1666964.5</v>
      </c>
      <c r="P37" s="297">
        <v>1666964.5</v>
      </c>
      <c r="Q37" s="297">
        <v>1102544.3</v>
      </c>
      <c r="R37" s="297">
        <v>802544.3</v>
      </c>
      <c r="S37" s="297">
        <v>516553.35</v>
      </c>
      <c r="T37" s="297">
        <v>216553.35</v>
      </c>
      <c r="U37" s="287">
        <v>216553.35</v>
      </c>
      <c r="V37" s="329">
        <v>0</v>
      </c>
      <c r="W37" s="329">
        <v>0</v>
      </c>
      <c r="X37" s="329">
        <v>0</v>
      </c>
      <c r="Y37" s="329">
        <v>0</v>
      </c>
      <c r="Z37" s="329">
        <v>0</v>
      </c>
      <c r="AA37" s="329">
        <v>0</v>
      </c>
      <c r="AB37" s="329">
        <v>0</v>
      </c>
      <c r="AC37" s="329">
        <v>0</v>
      </c>
      <c r="AD37" s="329">
        <v>0</v>
      </c>
      <c r="AE37" s="297">
        <v>0</v>
      </c>
      <c r="AF37" s="297">
        <v>0</v>
      </c>
      <c r="AG37" s="297">
        <v>0</v>
      </c>
      <c r="AH37" s="349"/>
      <c r="AI37" s="276">
        <v>0</v>
      </c>
      <c r="AJ37" s="276">
        <v>0</v>
      </c>
      <c r="AK37" s="276">
        <v>0</v>
      </c>
      <c r="AL37" s="276">
        <v>0</v>
      </c>
      <c r="AM37" s="276">
        <v>0</v>
      </c>
      <c r="AN37" s="276">
        <v>0</v>
      </c>
      <c r="AO37" s="276">
        <v>0</v>
      </c>
      <c r="AP37" s="276">
        <v>0</v>
      </c>
      <c r="AQ37" s="276">
        <v>0</v>
      </c>
      <c r="AR37" s="276">
        <v>0</v>
      </c>
      <c r="AS37" s="276">
        <v>0</v>
      </c>
      <c r="AT37" s="267"/>
      <c r="AU37" s="276">
        <v>0</v>
      </c>
      <c r="AV37" s="276">
        <v>0</v>
      </c>
      <c r="AW37" s="276">
        <v>0</v>
      </c>
      <c r="AX37" s="276">
        <v>0</v>
      </c>
      <c r="AY37" s="276">
        <v>0</v>
      </c>
      <c r="AZ37" s="344">
        <v>0</v>
      </c>
      <c r="BA37" s="346">
        <v>0</v>
      </c>
      <c r="BB37" s="344">
        <v>0</v>
      </c>
      <c r="BC37" s="344">
        <v>0</v>
      </c>
      <c r="BD37" s="344">
        <v>0</v>
      </c>
      <c r="BE37" s="346">
        <v>0</v>
      </c>
      <c r="BF37" s="356">
        <v>0</v>
      </c>
      <c r="BG37" s="361"/>
      <c r="BH37" s="344">
        <v>0</v>
      </c>
      <c r="BI37" s="346">
        <v>0</v>
      </c>
      <c r="BJ37" s="346">
        <v>0</v>
      </c>
      <c r="BK37" s="346">
        <v>0</v>
      </c>
      <c r="BL37" s="346">
        <v>0</v>
      </c>
      <c r="BM37" s="346">
        <v>0</v>
      </c>
      <c r="BN37" s="346">
        <v>0</v>
      </c>
      <c r="BO37" s="346">
        <v>0</v>
      </c>
      <c r="BP37" s="346">
        <v>0</v>
      </c>
      <c r="BQ37" s="346">
        <v>0</v>
      </c>
      <c r="BR37" s="346">
        <v>0</v>
      </c>
      <c r="BS37" s="389">
        <v>0</v>
      </c>
      <c r="BT37" s="390"/>
      <c r="BU37" s="344">
        <v>0</v>
      </c>
      <c r="BV37" s="346">
        <v>0</v>
      </c>
      <c r="BW37" s="346">
        <v>0</v>
      </c>
      <c r="BX37" s="344">
        <v>0</v>
      </c>
      <c r="BY37" s="382">
        <v>0</v>
      </c>
      <c r="BZ37" s="344">
        <v>0</v>
      </c>
      <c r="CA37" s="344">
        <v>0</v>
      </c>
      <c r="CB37" s="344">
        <v>0</v>
      </c>
      <c r="CC37" s="435">
        <v>0</v>
      </c>
    </row>
    <row r="38" spans="1:81">
      <c r="A38" s="160" t="s">
        <v>46</v>
      </c>
      <c r="B38" s="214">
        <f t="shared" ref="B38:I38" si="55">SUM(B31:B37)</f>
        <v>37808139</v>
      </c>
      <c r="C38" s="214">
        <f t="shared" si="55"/>
        <v>37404485</v>
      </c>
      <c r="D38" s="214">
        <f t="shared" si="55"/>
        <v>46599274</v>
      </c>
      <c r="E38" s="214">
        <f t="shared" si="55"/>
        <v>50840020</v>
      </c>
      <c r="F38" s="214">
        <f t="shared" si="55"/>
        <v>46551156</v>
      </c>
      <c r="G38" s="214">
        <f t="shared" si="55"/>
        <v>52294212</v>
      </c>
      <c r="H38" s="214">
        <f t="shared" si="55"/>
        <v>53119619</v>
      </c>
      <c r="I38" s="214">
        <f t="shared" si="55"/>
        <v>49202082.070000008</v>
      </c>
      <c r="J38" s="214">
        <f t="shared" ref="J38:S38" si="56">SUM(J31:J37)</f>
        <v>49987735.150000006</v>
      </c>
      <c r="K38" s="214">
        <f t="shared" si="56"/>
        <v>51028058.369999997</v>
      </c>
      <c r="L38" s="214">
        <f t="shared" si="56"/>
        <v>50048302.029999994</v>
      </c>
      <c r="M38" s="214">
        <f t="shared" si="56"/>
        <v>49861114.380000003</v>
      </c>
      <c r="N38" s="214">
        <f t="shared" si="56"/>
        <v>50370432.760000005</v>
      </c>
      <c r="O38" s="214">
        <f t="shared" si="56"/>
        <v>52839588.859999999</v>
      </c>
      <c r="P38" s="214">
        <f t="shared" si="56"/>
        <v>51664667.930000007</v>
      </c>
      <c r="Q38" s="214">
        <f t="shared" si="56"/>
        <v>50012064.899999999</v>
      </c>
      <c r="R38" s="214">
        <f t="shared" si="56"/>
        <v>50267972.560000002</v>
      </c>
      <c r="S38" s="214">
        <f t="shared" si="56"/>
        <v>50555156.630000003</v>
      </c>
      <c r="T38" s="214">
        <f>SUM(T31:T37)</f>
        <v>51954239.120000005</v>
      </c>
      <c r="U38" s="214">
        <f>SUM(U31:U37)</f>
        <v>52808799.869999997</v>
      </c>
      <c r="V38" s="214">
        <f>SUM(V31:V37)</f>
        <v>56517890.459999993</v>
      </c>
      <c r="W38" s="214">
        <f t="shared" ref="W38:AB38" si="57">SUM(W31:W37)</f>
        <v>52916854.630000003</v>
      </c>
      <c r="X38" s="214">
        <f t="shared" si="57"/>
        <v>57880441.870000005</v>
      </c>
      <c r="Y38" s="214">
        <f t="shared" si="57"/>
        <v>52918365.620000005</v>
      </c>
      <c r="Z38" s="214">
        <f t="shared" si="57"/>
        <v>52646143.659999996</v>
      </c>
      <c r="AA38" s="214">
        <f t="shared" si="57"/>
        <v>51138437.960000008</v>
      </c>
      <c r="AB38" s="214">
        <f t="shared" si="57"/>
        <v>53482413.950000003</v>
      </c>
      <c r="AC38" s="214">
        <f t="shared" ref="AC38:AH38" si="58">SUM(AC31:AC37)</f>
        <v>52635710.800000004</v>
      </c>
      <c r="AD38" s="214">
        <f t="shared" si="58"/>
        <v>52994227.730000004</v>
      </c>
      <c r="AE38" s="214">
        <f t="shared" si="58"/>
        <v>54472123.149999999</v>
      </c>
      <c r="AF38" s="214">
        <f t="shared" si="58"/>
        <v>53525719.539999999</v>
      </c>
      <c r="AG38" s="214">
        <f t="shared" si="58"/>
        <v>51958136.120000005</v>
      </c>
      <c r="AH38" s="214">
        <f t="shared" si="58"/>
        <v>52259672</v>
      </c>
      <c r="AI38" s="214">
        <f t="shared" ref="AI38:AT38" si="59">SUM(AI31:AI37)</f>
        <v>58309394.710000001</v>
      </c>
      <c r="AJ38" s="214">
        <f t="shared" si="59"/>
        <v>59883565.160000004</v>
      </c>
      <c r="AK38" s="214">
        <f t="shared" si="59"/>
        <v>56081252.110000014</v>
      </c>
      <c r="AL38" s="214">
        <f t="shared" si="59"/>
        <v>55865570.900000006</v>
      </c>
      <c r="AM38" s="214">
        <f t="shared" si="59"/>
        <v>57527276.220000006</v>
      </c>
      <c r="AN38" s="214">
        <f t="shared" si="59"/>
        <v>56380080.269999996</v>
      </c>
      <c r="AO38" s="214">
        <f t="shared" si="59"/>
        <v>57158770.960000001</v>
      </c>
      <c r="AP38" s="214">
        <f t="shared" si="59"/>
        <v>56411243.770000011</v>
      </c>
      <c r="AQ38" s="214">
        <f t="shared" si="59"/>
        <v>53138720.950000003</v>
      </c>
      <c r="AR38" s="214">
        <f t="shared" si="59"/>
        <v>55265149.760000005</v>
      </c>
      <c r="AS38" s="214">
        <f t="shared" si="59"/>
        <v>50421525.289999999</v>
      </c>
      <c r="AT38" s="214">
        <f t="shared" si="59"/>
        <v>54963721</v>
      </c>
      <c r="AU38" s="214">
        <f t="shared" ref="AU38:BC38" si="60">SUM(AU31:AU37)</f>
        <v>54444157.550000004</v>
      </c>
      <c r="AV38" s="214">
        <f t="shared" si="60"/>
        <v>54417286.860000007</v>
      </c>
      <c r="AW38" s="214">
        <f t="shared" si="60"/>
        <v>54758350.399999999</v>
      </c>
      <c r="AX38" s="214">
        <f t="shared" si="60"/>
        <v>53091499.800000004</v>
      </c>
      <c r="AY38" s="214">
        <f t="shared" si="60"/>
        <v>53179899.530000001</v>
      </c>
      <c r="AZ38" s="214">
        <f t="shared" si="60"/>
        <v>51041645.5</v>
      </c>
      <c r="BA38" s="214">
        <f t="shared" si="60"/>
        <v>55647992.940000005</v>
      </c>
      <c r="BB38" s="214">
        <f t="shared" si="60"/>
        <v>55592588.009999998</v>
      </c>
      <c r="BC38" s="214">
        <f t="shared" si="60"/>
        <v>51017650.260000005</v>
      </c>
      <c r="BD38" s="214">
        <f t="shared" ref="BD38:BS38" si="61">SUM(BD31:BD37)</f>
        <v>52699510.659999996</v>
      </c>
      <c r="BE38" s="214">
        <f t="shared" si="61"/>
        <v>55496500.560000002</v>
      </c>
      <c r="BF38" s="214">
        <f t="shared" si="61"/>
        <v>52185103.880000003</v>
      </c>
      <c r="BG38" s="214">
        <f t="shared" si="61"/>
        <v>55641495</v>
      </c>
      <c r="BH38" s="214">
        <f t="shared" si="61"/>
        <v>56093859.430000007</v>
      </c>
      <c r="BI38" s="214">
        <f t="shared" si="61"/>
        <v>56831126.620000005</v>
      </c>
      <c r="BJ38" s="214">
        <f t="shared" si="61"/>
        <v>55120652.560000002</v>
      </c>
      <c r="BK38" s="214">
        <f t="shared" si="61"/>
        <v>52117064.760000005</v>
      </c>
      <c r="BL38" s="214">
        <f t="shared" si="61"/>
        <v>52299157.970000006</v>
      </c>
      <c r="BM38" s="214">
        <f t="shared" si="61"/>
        <v>54318054.670000009</v>
      </c>
      <c r="BN38" s="214">
        <f t="shared" si="61"/>
        <v>52511565.110000007</v>
      </c>
      <c r="BO38" s="214">
        <f t="shared" si="61"/>
        <v>52931517.210000001</v>
      </c>
      <c r="BP38" s="214">
        <f t="shared" si="61"/>
        <v>52416312.030000001</v>
      </c>
      <c r="BQ38" s="214">
        <f t="shared" si="61"/>
        <v>53981477.860000007</v>
      </c>
      <c r="BR38" s="214">
        <f t="shared" si="61"/>
        <v>54236372.120000005</v>
      </c>
      <c r="BS38" s="214">
        <f t="shared" si="61"/>
        <v>51612805.32</v>
      </c>
      <c r="BT38" s="214">
        <f t="shared" ref="BT38:BX38" si="62">SUM(BT31:BT37)</f>
        <v>0</v>
      </c>
      <c r="BU38" s="214">
        <f t="shared" si="62"/>
        <v>56715031.040000007</v>
      </c>
      <c r="BV38" s="214">
        <f t="shared" si="62"/>
        <v>56977508.640000001</v>
      </c>
      <c r="BW38" s="214">
        <f t="shared" si="62"/>
        <v>57201400.160000004</v>
      </c>
      <c r="BX38" s="214">
        <f t="shared" si="62"/>
        <v>53092951.74000001</v>
      </c>
      <c r="BY38" s="214">
        <f>SUM(BY31:BY37)</f>
        <v>52763332.440000005</v>
      </c>
      <c r="BZ38" s="214">
        <f>SUM(BZ31:BZ37)</f>
        <v>53825206.350000001</v>
      </c>
      <c r="CA38" s="214">
        <f>SUM(CA31:CA37)</f>
        <v>52686357.640000008</v>
      </c>
      <c r="CB38" s="214">
        <f>SUM(CB31:CB37)</f>
        <v>53090029.75</v>
      </c>
      <c r="CC38" s="214">
        <f>SUM(CC31:CC37)</f>
        <v>51906009.400000006</v>
      </c>
    </row>
    <row r="39" spans="1:81" ht="15" customHeight="1">
      <c r="A39" s="161" t="s">
        <v>47</v>
      </c>
      <c r="B39" s="287">
        <v>5621296</v>
      </c>
      <c r="C39" s="289">
        <f>6905081+992000</f>
        <v>7897081</v>
      </c>
      <c r="D39" s="283">
        <f>6905021+1319000</f>
        <v>8224021</v>
      </c>
      <c r="E39" s="283">
        <f>8509483+1331000+824457</f>
        <v>10664940</v>
      </c>
      <c r="F39" s="290">
        <f>8509483+960817+1331500</f>
        <v>10801800</v>
      </c>
      <c r="G39" s="293">
        <f>9823239+187532</f>
        <v>10010771</v>
      </c>
      <c r="H39" s="283">
        <f>10010771+1185542+1335000</f>
        <v>12531313</v>
      </c>
      <c r="I39" s="297">
        <v>12531313.18</v>
      </c>
      <c r="J39" s="297">
        <v>12539557.18</v>
      </c>
      <c r="K39" s="297">
        <v>12546957.18</v>
      </c>
      <c r="L39" s="297">
        <v>12552757.18</v>
      </c>
      <c r="M39" s="297">
        <v>12560747.220000001</v>
      </c>
      <c r="N39" s="297">
        <v>12636692.560000001</v>
      </c>
      <c r="O39" s="297">
        <v>12651209.119999999</v>
      </c>
      <c r="P39" s="297">
        <v>12656809.119999999</v>
      </c>
      <c r="Q39" s="297">
        <v>12656809.119999999</v>
      </c>
      <c r="R39" s="297">
        <v>12662109.119999999</v>
      </c>
      <c r="S39" s="297">
        <v>12671009.119999999</v>
      </c>
      <c r="T39" s="297">
        <v>12684722.83</v>
      </c>
      <c r="U39" s="301">
        <f>10084216+2600506</f>
        <v>12684722</v>
      </c>
      <c r="V39" s="329">
        <v>12691759.640000001</v>
      </c>
      <c r="W39" s="329">
        <v>12691759.640000001</v>
      </c>
      <c r="X39" s="329">
        <v>12705859.640000001</v>
      </c>
      <c r="Y39" s="329">
        <v>12713659.4</v>
      </c>
      <c r="Z39" s="329">
        <v>12716659.640000001</v>
      </c>
      <c r="AA39" s="329">
        <v>12718659.640000001</v>
      </c>
      <c r="AB39" s="329">
        <v>12728259.640000001</v>
      </c>
      <c r="AC39" s="329">
        <v>12730559.640000001</v>
      </c>
      <c r="AD39" s="329">
        <v>12732559.640000001</v>
      </c>
      <c r="AE39" s="297">
        <v>12734859.640000001</v>
      </c>
      <c r="AF39" s="297">
        <v>12988600.359999999</v>
      </c>
      <c r="AG39" s="297">
        <v>12966351.91</v>
      </c>
      <c r="AH39" s="283">
        <f>10310909+1315943+1339500</f>
        <v>12966352</v>
      </c>
      <c r="AI39" s="276">
        <v>12971151.91</v>
      </c>
      <c r="AJ39" s="276">
        <v>12973151.91</v>
      </c>
      <c r="AK39" s="276">
        <v>12974151.91</v>
      </c>
      <c r="AL39" s="276">
        <v>12975651.91</v>
      </c>
      <c r="AM39" s="276">
        <v>12977151.91</v>
      </c>
      <c r="AN39" s="276">
        <v>12979008.08</v>
      </c>
      <c r="AO39" s="276">
        <v>13104844.26</v>
      </c>
      <c r="AP39" s="276">
        <v>13106344.26</v>
      </c>
      <c r="AQ39" s="276">
        <v>13108844.26</v>
      </c>
      <c r="AR39" s="276">
        <v>13110344.26</v>
      </c>
      <c r="AS39" s="276">
        <v>13112644.26</v>
      </c>
      <c r="AT39" s="285">
        <f>10433245+1339899+1339500</f>
        <v>13112644</v>
      </c>
      <c r="AU39" s="276">
        <v>13112644.26</v>
      </c>
      <c r="AV39" s="276">
        <v>13113644.26</v>
      </c>
      <c r="AW39" s="276">
        <v>13116144.26</v>
      </c>
      <c r="AX39" s="276">
        <v>13119623.699999999</v>
      </c>
      <c r="AY39" s="276">
        <v>13122623.699999999</v>
      </c>
      <c r="AZ39" s="341">
        <v>13240685.74</v>
      </c>
      <c r="BA39" s="343">
        <v>13245185.74</v>
      </c>
      <c r="BB39" s="341">
        <v>13245897.51</v>
      </c>
      <c r="BC39" s="341">
        <v>13245897.51</v>
      </c>
      <c r="BD39" s="341">
        <v>13249697.51</v>
      </c>
      <c r="BE39" s="343">
        <v>13251497.51</v>
      </c>
      <c r="BF39" s="355">
        <v>13305822.98</v>
      </c>
      <c r="BG39" s="361">
        <v>10604628</v>
      </c>
      <c r="BH39" s="341">
        <v>13307322.98</v>
      </c>
      <c r="BI39" s="343">
        <v>13308822.98</v>
      </c>
      <c r="BJ39" s="343">
        <v>13311622.98</v>
      </c>
      <c r="BK39" s="343">
        <v>13312122.98</v>
      </c>
      <c r="BL39" s="343">
        <v>13315622.98</v>
      </c>
      <c r="BM39" s="343">
        <v>13316122.98</v>
      </c>
      <c r="BN39" s="343">
        <v>13318622.98</v>
      </c>
      <c r="BO39" s="343">
        <v>13319245.619999999</v>
      </c>
      <c r="BP39" s="343">
        <v>13360452.32</v>
      </c>
      <c r="BQ39" s="343">
        <v>13360952.32</v>
      </c>
      <c r="BR39" s="343">
        <v>13360952.32</v>
      </c>
      <c r="BS39" s="391">
        <v>13384352.32</v>
      </c>
      <c r="BT39" s="390"/>
      <c r="BU39" s="341">
        <v>13385652.32</v>
      </c>
      <c r="BV39" s="343">
        <v>13386952.32</v>
      </c>
      <c r="BW39" s="343">
        <v>13387452.32</v>
      </c>
      <c r="BX39" s="341">
        <v>13388452.32</v>
      </c>
      <c r="BY39" s="381">
        <v>13388952.32</v>
      </c>
      <c r="BZ39" s="341">
        <v>13389452.32</v>
      </c>
      <c r="CA39" s="341">
        <v>13389952.32</v>
      </c>
      <c r="CB39" s="341">
        <v>13395279.369999999</v>
      </c>
      <c r="CC39" s="434">
        <v>13395279.369999999</v>
      </c>
    </row>
    <row r="40" spans="1:81">
      <c r="A40" s="161" t="s">
        <v>48</v>
      </c>
      <c r="B40" s="349"/>
      <c r="C40" s="349"/>
      <c r="D40" s="349"/>
      <c r="E40" s="349"/>
      <c r="F40" s="349"/>
      <c r="G40" s="349"/>
      <c r="H40" s="349"/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0</v>
      </c>
      <c r="T40" s="297">
        <v>0</v>
      </c>
      <c r="U40" s="297">
        <v>0</v>
      </c>
      <c r="V40" s="329">
        <v>0</v>
      </c>
      <c r="W40" s="329">
        <v>0</v>
      </c>
      <c r="X40" s="329">
        <v>0</v>
      </c>
      <c r="Y40" s="329">
        <v>0</v>
      </c>
      <c r="Z40" s="329">
        <v>0</v>
      </c>
      <c r="AA40" s="329">
        <v>0</v>
      </c>
      <c r="AB40" s="329">
        <v>0</v>
      </c>
      <c r="AC40" s="329">
        <v>0</v>
      </c>
      <c r="AD40" s="329">
        <v>0</v>
      </c>
      <c r="AE40" s="297">
        <v>0</v>
      </c>
      <c r="AF40" s="297">
        <v>0</v>
      </c>
      <c r="AG40" s="297">
        <v>0</v>
      </c>
      <c r="AH40" s="349"/>
      <c r="AI40" s="276">
        <v>0</v>
      </c>
      <c r="AJ40" s="276">
        <v>0</v>
      </c>
      <c r="AK40" s="276">
        <v>0</v>
      </c>
      <c r="AL40" s="276">
        <v>0</v>
      </c>
      <c r="AM40" s="276">
        <v>0</v>
      </c>
      <c r="AN40" s="276">
        <v>0</v>
      </c>
      <c r="AO40" s="276">
        <v>0</v>
      </c>
      <c r="AP40" s="276">
        <v>0</v>
      </c>
      <c r="AQ40" s="276">
        <v>0</v>
      </c>
      <c r="AR40" s="276">
        <v>0</v>
      </c>
      <c r="AS40" s="276">
        <v>0</v>
      </c>
      <c r="AT40" s="268"/>
      <c r="AU40" s="276">
        <v>0</v>
      </c>
      <c r="AV40" s="276">
        <v>0</v>
      </c>
      <c r="AW40" s="276">
        <v>0</v>
      </c>
      <c r="AX40" s="276">
        <v>0</v>
      </c>
      <c r="AY40" s="276">
        <v>0</v>
      </c>
      <c r="AZ40" s="344">
        <v>0</v>
      </c>
      <c r="BA40" s="346">
        <v>0</v>
      </c>
      <c r="BB40" s="344">
        <v>0</v>
      </c>
      <c r="BC40" s="344">
        <v>0</v>
      </c>
      <c r="BD40" s="344">
        <v>0</v>
      </c>
      <c r="BE40" s="346">
        <v>0</v>
      </c>
      <c r="BF40" s="356">
        <v>0</v>
      </c>
      <c r="BG40" s="361"/>
      <c r="BH40" s="344">
        <v>0</v>
      </c>
      <c r="BI40" s="346">
        <v>0</v>
      </c>
      <c r="BJ40" s="346">
        <v>0</v>
      </c>
      <c r="BK40" s="346">
        <v>0</v>
      </c>
      <c r="BL40" s="346">
        <v>0</v>
      </c>
      <c r="BM40" s="346">
        <v>0</v>
      </c>
      <c r="BN40" s="346">
        <v>0</v>
      </c>
      <c r="BO40" s="346">
        <v>0</v>
      </c>
      <c r="BP40" s="346">
        <v>0</v>
      </c>
      <c r="BQ40" s="346">
        <v>0</v>
      </c>
      <c r="BR40" s="346">
        <v>0</v>
      </c>
      <c r="BS40" s="389">
        <v>0</v>
      </c>
      <c r="BT40" s="390"/>
      <c r="BU40" s="344">
        <v>0</v>
      </c>
      <c r="BV40" s="346">
        <v>0</v>
      </c>
      <c r="BW40" s="346">
        <v>0</v>
      </c>
      <c r="BX40" s="344">
        <v>0</v>
      </c>
      <c r="BY40" s="382">
        <v>0</v>
      </c>
      <c r="BZ40" s="344">
        <v>0</v>
      </c>
      <c r="CA40" s="344">
        <v>0</v>
      </c>
      <c r="CB40" s="344">
        <v>0</v>
      </c>
      <c r="CC40" s="435">
        <v>0</v>
      </c>
    </row>
    <row r="41" spans="1:81">
      <c r="A41" s="161" t="s">
        <v>49</v>
      </c>
      <c r="B41" s="287">
        <v>461312</v>
      </c>
      <c r="C41" s="289">
        <v>461314.45</v>
      </c>
      <c r="D41" s="283"/>
      <c r="E41" s="283">
        <v>629358</v>
      </c>
      <c r="F41" s="283"/>
      <c r="G41" s="296">
        <v>1392830</v>
      </c>
      <c r="H41" s="283">
        <v>1579427</v>
      </c>
      <c r="I41" s="297">
        <v>1579426.8</v>
      </c>
      <c r="J41" s="297">
        <v>1579426.8</v>
      </c>
      <c r="K41" s="297">
        <v>1748020.8</v>
      </c>
      <c r="L41" s="297">
        <v>1748020.8</v>
      </c>
      <c r="M41" s="297">
        <v>1748020.8</v>
      </c>
      <c r="N41" s="297">
        <v>1748020.8</v>
      </c>
      <c r="O41" s="297">
        <v>1748020.8</v>
      </c>
      <c r="P41" s="297">
        <v>1748020.8</v>
      </c>
      <c r="Q41" s="297">
        <v>1748020.8</v>
      </c>
      <c r="R41" s="297">
        <v>1748020.8</v>
      </c>
      <c r="S41" s="297">
        <v>1748020.8</v>
      </c>
      <c r="T41" s="297">
        <v>1748020.8</v>
      </c>
      <c r="U41" s="287">
        <v>1748020.8</v>
      </c>
      <c r="V41" s="329">
        <v>1748020.8</v>
      </c>
      <c r="W41" s="329">
        <v>1748020.8</v>
      </c>
      <c r="X41" s="329">
        <v>2256870.86</v>
      </c>
      <c r="Y41" s="329">
        <v>2256870.86</v>
      </c>
      <c r="Z41" s="329">
        <v>2256870.86</v>
      </c>
      <c r="AA41" s="329">
        <v>2256870.86</v>
      </c>
      <c r="AB41" s="329">
        <v>2256870.86</v>
      </c>
      <c r="AC41" s="329">
        <v>2256870.86</v>
      </c>
      <c r="AD41" s="329">
        <v>2256870.86</v>
      </c>
      <c r="AE41" s="297">
        <v>2256870.86</v>
      </c>
      <c r="AF41" s="297">
        <v>2256870.86</v>
      </c>
      <c r="AG41" s="297">
        <v>2256870.86</v>
      </c>
      <c r="AH41" s="283">
        <v>2279446</v>
      </c>
      <c r="AI41" s="276">
        <v>2256870.86</v>
      </c>
      <c r="AJ41" s="276">
        <v>2256870.86</v>
      </c>
      <c r="AK41" s="276">
        <v>2741685.86</v>
      </c>
      <c r="AL41" s="276">
        <v>2741685.86</v>
      </c>
      <c r="AM41" s="276">
        <v>2741685.86</v>
      </c>
      <c r="AN41" s="276">
        <v>2741685.86</v>
      </c>
      <c r="AO41" s="276">
        <v>2741685</v>
      </c>
      <c r="AP41" s="276">
        <v>2741685</v>
      </c>
      <c r="AQ41" s="276">
        <v>2741685</v>
      </c>
      <c r="AR41" s="276">
        <v>2741685</v>
      </c>
      <c r="AS41" s="276">
        <v>2741685</v>
      </c>
      <c r="AT41" s="285">
        <v>2741685</v>
      </c>
      <c r="AU41" s="276">
        <v>2741685.86</v>
      </c>
      <c r="AV41" s="276">
        <v>2741685.86</v>
      </c>
      <c r="AW41" s="276">
        <v>3253606.86</v>
      </c>
      <c r="AX41" s="276">
        <v>3253606.86</v>
      </c>
      <c r="AY41" s="276">
        <v>3253606.86</v>
      </c>
      <c r="AZ41" s="345">
        <v>3253606.86</v>
      </c>
      <c r="BA41" s="347">
        <v>3253606.86</v>
      </c>
      <c r="BB41" s="345">
        <v>3253606.86</v>
      </c>
      <c r="BC41" s="345">
        <v>3253606.86</v>
      </c>
      <c r="BD41" s="345">
        <v>3253606.86</v>
      </c>
      <c r="BE41" s="347">
        <v>3253606.86</v>
      </c>
      <c r="BF41" s="355">
        <v>3253606.86</v>
      </c>
      <c r="BG41" s="361">
        <f>4164333-BG42</f>
        <v>2008198</v>
      </c>
      <c r="BH41" s="345">
        <v>3253606.86</v>
      </c>
      <c r="BI41" s="347">
        <v>3253606.86</v>
      </c>
      <c r="BJ41" s="347">
        <v>4164332.86</v>
      </c>
      <c r="BK41" s="347">
        <v>4164332.86</v>
      </c>
      <c r="BL41" s="347">
        <v>4164332.86</v>
      </c>
      <c r="BM41" s="347">
        <v>4164332.86</v>
      </c>
      <c r="BN41" s="347">
        <v>4164332.86</v>
      </c>
      <c r="BO41" s="347">
        <v>4164332.86</v>
      </c>
      <c r="BP41" s="347">
        <v>4164332.86</v>
      </c>
      <c r="BQ41" s="347">
        <v>4164332.86</v>
      </c>
      <c r="BR41" s="347">
        <v>4164332.86</v>
      </c>
      <c r="BS41" s="391">
        <v>4164332.86</v>
      </c>
      <c r="BT41" s="390"/>
      <c r="BU41" s="345">
        <v>4164332.86</v>
      </c>
      <c r="BV41" s="347">
        <v>4164332.86</v>
      </c>
      <c r="BW41" s="347">
        <v>4427856.8600000003</v>
      </c>
      <c r="BX41" s="341">
        <v>4427856.8600000003</v>
      </c>
      <c r="BY41" s="383">
        <v>4164332.86</v>
      </c>
      <c r="BZ41" s="345">
        <v>4164332.86</v>
      </c>
      <c r="CA41" s="341">
        <v>4427856.8600000003</v>
      </c>
      <c r="CB41" s="345">
        <v>4427856.8600000003</v>
      </c>
      <c r="CC41" s="436">
        <v>4427856.8600000003</v>
      </c>
    </row>
    <row r="42" spans="1:81">
      <c r="A42" s="161" t="s">
        <v>50</v>
      </c>
      <c r="B42" s="283"/>
      <c r="C42" s="283">
        <f>291088-C41</f>
        <v>-170226.45</v>
      </c>
      <c r="D42" s="283">
        <v>338270</v>
      </c>
      <c r="E42" s="283">
        <v>744861</v>
      </c>
      <c r="F42" s="288">
        <v>18611</v>
      </c>
      <c r="G42" s="293">
        <v>186597</v>
      </c>
      <c r="H42" s="283">
        <f>210743-42149</f>
        <v>168594</v>
      </c>
      <c r="I42" s="297">
        <v>55977.45</v>
      </c>
      <c r="J42" s="297">
        <v>320443.53999999998</v>
      </c>
      <c r="K42" s="297">
        <v>679638.53</v>
      </c>
      <c r="L42" s="297">
        <v>847828.42</v>
      </c>
      <c r="M42" s="297">
        <v>1306029.5</v>
      </c>
      <c r="N42" s="300">
        <v>2044155.4</v>
      </c>
      <c r="O42" s="297">
        <v>2725587.94</v>
      </c>
      <c r="P42" s="297">
        <v>3150097.38</v>
      </c>
      <c r="Q42" s="297">
        <v>3249407.08</v>
      </c>
      <c r="R42" s="297">
        <v>3697877.81</v>
      </c>
      <c r="S42" s="297">
        <v>4038187.77</v>
      </c>
      <c r="T42" s="297">
        <v>4405220.2699999996</v>
      </c>
      <c r="U42" s="287">
        <v>531426</v>
      </c>
      <c r="V42" s="329">
        <v>441050.57</v>
      </c>
      <c r="W42" s="329">
        <v>435110.81</v>
      </c>
      <c r="X42" s="329">
        <v>1022777.76</v>
      </c>
      <c r="Y42" s="329">
        <v>1249269.47</v>
      </c>
      <c r="Z42" s="329">
        <v>1705351.55</v>
      </c>
      <c r="AA42" s="329">
        <v>2222907.7599999998</v>
      </c>
      <c r="AB42" s="329">
        <v>3063047.18</v>
      </c>
      <c r="AC42" s="329">
        <v>3563575.26</v>
      </c>
      <c r="AD42" s="329">
        <v>4027647.65</v>
      </c>
      <c r="AE42" s="297">
        <v>4563232.54</v>
      </c>
      <c r="AF42" s="297">
        <v>4559291.22</v>
      </c>
      <c r="AG42" s="297">
        <v>3539901.2</v>
      </c>
      <c r="AH42" s="283">
        <f>2741685-2279446</f>
        <v>462239</v>
      </c>
      <c r="AI42" s="276">
        <v>552509.1</v>
      </c>
      <c r="AJ42" s="276">
        <v>898564.59</v>
      </c>
      <c r="AK42" s="276">
        <v>1432954.03</v>
      </c>
      <c r="AL42" s="276">
        <v>1774385.98</v>
      </c>
      <c r="AM42" s="276">
        <v>2256452.1800000002</v>
      </c>
      <c r="AN42" s="276">
        <v>2710890.53</v>
      </c>
      <c r="AO42" s="276">
        <v>3725619.02</v>
      </c>
      <c r="AP42" s="276">
        <v>4159363.64</v>
      </c>
      <c r="AQ42" s="276">
        <v>4719976.57</v>
      </c>
      <c r="AR42" s="276">
        <v>5106561.62</v>
      </c>
      <c r="AS42" s="276">
        <v>4855217.74</v>
      </c>
      <c r="AT42" s="285">
        <f>298736-59747</f>
        <v>238989</v>
      </c>
      <c r="AU42" s="276">
        <v>102035.83</v>
      </c>
      <c r="AV42" s="276">
        <v>298030.17</v>
      </c>
      <c r="AW42" s="276">
        <v>886096.07</v>
      </c>
      <c r="AX42" s="276">
        <v>1274680.77</v>
      </c>
      <c r="AY42" s="276">
        <v>1710290.15</v>
      </c>
      <c r="AZ42" s="345">
        <v>2089370</v>
      </c>
      <c r="BA42" s="347">
        <v>2878408.23</v>
      </c>
      <c r="BB42" s="345">
        <v>3294536.16</v>
      </c>
      <c r="BC42" s="345">
        <v>3745262.27</v>
      </c>
      <c r="BD42" s="345">
        <v>4443626.76</v>
      </c>
      <c r="BE42" s="347">
        <v>4607003.45</v>
      </c>
      <c r="BF42" s="355">
        <v>4577413.5999999996</v>
      </c>
      <c r="BG42" s="361">
        <v>2156135</v>
      </c>
      <c r="BH42" s="345">
        <v>416559.37</v>
      </c>
      <c r="BI42" s="347">
        <v>507237.14</v>
      </c>
      <c r="BJ42" s="347">
        <v>1010049.63</v>
      </c>
      <c r="BK42" s="347">
        <v>1405985.98</v>
      </c>
      <c r="BL42" s="347">
        <v>1871658.44</v>
      </c>
      <c r="BM42" s="347">
        <v>2325296.16</v>
      </c>
      <c r="BN42" s="347">
        <v>2824639.06</v>
      </c>
      <c r="BO42" s="347">
        <v>3420479.63</v>
      </c>
      <c r="BP42" s="347">
        <v>3922477.98</v>
      </c>
      <c r="BQ42" s="347">
        <v>4082297.06</v>
      </c>
      <c r="BR42" s="347">
        <v>4911466.8600000003</v>
      </c>
      <c r="BS42" s="391">
        <v>4736549.2</v>
      </c>
      <c r="BT42" s="390"/>
      <c r="BU42" s="345">
        <v>471915</v>
      </c>
      <c r="BV42" s="347">
        <v>705837</v>
      </c>
      <c r="BW42" s="347">
        <v>1426046.08</v>
      </c>
      <c r="BX42" s="345">
        <v>1515883.5</v>
      </c>
      <c r="BY42" s="383">
        <v>2406334.11</v>
      </c>
      <c r="BZ42" s="345">
        <v>2808582.89</v>
      </c>
      <c r="CA42" s="345">
        <v>3466033.35</v>
      </c>
      <c r="CB42" s="345">
        <v>3926066.37</v>
      </c>
      <c r="CC42" s="436">
        <v>4099752.03</v>
      </c>
    </row>
    <row r="43" spans="1:81">
      <c r="A43" s="161" t="s">
        <v>51</v>
      </c>
      <c r="B43" s="287">
        <v>474829</v>
      </c>
      <c r="C43" s="289">
        <v>495548</v>
      </c>
      <c r="D43" s="283">
        <v>765116</v>
      </c>
      <c r="E43" s="283">
        <v>1140476</v>
      </c>
      <c r="F43" s="290">
        <v>1334299</v>
      </c>
      <c r="G43" s="296">
        <v>1577238</v>
      </c>
      <c r="H43" s="283">
        <v>1619386</v>
      </c>
      <c r="I43" s="297">
        <v>1577237.2</v>
      </c>
      <c r="J43" s="297">
        <v>1577237.2</v>
      </c>
      <c r="K43" s="297">
        <v>1619386.2</v>
      </c>
      <c r="L43" s="297">
        <v>1619386.2</v>
      </c>
      <c r="M43" s="297">
        <v>1619386.2</v>
      </c>
      <c r="N43" s="297">
        <v>1619386.2</v>
      </c>
      <c r="O43" s="297">
        <v>1619386.2</v>
      </c>
      <c r="P43" s="297">
        <v>1619386.2</v>
      </c>
      <c r="Q43" s="297">
        <v>1619386.2</v>
      </c>
      <c r="R43" s="297">
        <v>1619386.2</v>
      </c>
      <c r="S43" s="297">
        <v>1619386.2</v>
      </c>
      <c r="T43" s="297">
        <v>1619386.2</v>
      </c>
      <c r="U43" s="287">
        <v>1752242</v>
      </c>
      <c r="V43" s="329">
        <v>1619386.2</v>
      </c>
      <c r="W43" s="329">
        <v>1619386.2</v>
      </c>
      <c r="X43" s="329">
        <v>1752242.2</v>
      </c>
      <c r="Y43" s="329">
        <v>1752242.2</v>
      </c>
      <c r="Z43" s="329">
        <v>1752242.2</v>
      </c>
      <c r="AA43" s="329">
        <v>1752242.2</v>
      </c>
      <c r="AB43" s="329">
        <v>1752242.2</v>
      </c>
      <c r="AC43" s="329">
        <v>1752242.2</v>
      </c>
      <c r="AD43" s="329">
        <v>1752242.2</v>
      </c>
      <c r="AE43" s="297">
        <v>1752242.2</v>
      </c>
      <c r="AF43" s="297">
        <v>1752242.2</v>
      </c>
      <c r="AG43" s="297">
        <v>1752242.2</v>
      </c>
      <c r="AH43" s="283">
        <v>1867801</v>
      </c>
      <c r="AI43" s="276">
        <v>1752242.2</v>
      </c>
      <c r="AJ43" s="276">
        <v>1752242.2</v>
      </c>
      <c r="AK43" s="276">
        <v>1867802.2</v>
      </c>
      <c r="AL43" s="276">
        <v>1867802.2</v>
      </c>
      <c r="AM43" s="276">
        <v>1867802.2</v>
      </c>
      <c r="AN43" s="276">
        <v>1867802.2</v>
      </c>
      <c r="AO43" s="276">
        <v>1867802.2</v>
      </c>
      <c r="AP43" s="276">
        <v>1867802.2</v>
      </c>
      <c r="AQ43" s="276">
        <v>1867802.2</v>
      </c>
      <c r="AR43" s="276">
        <v>1867802.2</v>
      </c>
      <c r="AS43" s="276">
        <v>1867802.2</v>
      </c>
      <c r="AT43" s="285">
        <v>1927549</v>
      </c>
      <c r="AU43" s="276">
        <v>1867802.2</v>
      </c>
      <c r="AV43" s="276">
        <v>1867802.2</v>
      </c>
      <c r="AW43" s="276">
        <v>1995782</v>
      </c>
      <c r="AX43" s="276">
        <v>1995782</v>
      </c>
      <c r="AY43" s="276">
        <v>1995782</v>
      </c>
      <c r="AZ43" s="345">
        <v>1995782</v>
      </c>
      <c r="BA43" s="347">
        <v>1995782</v>
      </c>
      <c r="BB43" s="345">
        <v>1995782</v>
      </c>
      <c r="BC43" s="345">
        <v>1995782</v>
      </c>
      <c r="BD43" s="345">
        <v>1995782</v>
      </c>
      <c r="BE43" s="347">
        <v>1995782</v>
      </c>
      <c r="BF43" s="355">
        <v>1995782</v>
      </c>
      <c r="BG43" s="361">
        <v>2427008</v>
      </c>
      <c r="BH43" s="345">
        <v>1995782</v>
      </c>
      <c r="BI43" s="347">
        <v>1995782</v>
      </c>
      <c r="BJ43" s="347">
        <v>2427009</v>
      </c>
      <c r="BK43" s="347">
        <v>2427009</v>
      </c>
      <c r="BL43" s="347">
        <v>2427009</v>
      </c>
      <c r="BM43" s="347">
        <v>2427009</v>
      </c>
      <c r="BN43" s="347">
        <v>2427009</v>
      </c>
      <c r="BO43" s="347">
        <v>2427009</v>
      </c>
      <c r="BP43" s="347">
        <v>2427009</v>
      </c>
      <c r="BQ43" s="347">
        <v>2427009</v>
      </c>
      <c r="BR43" s="347">
        <v>2427009</v>
      </c>
      <c r="BS43" s="391">
        <v>2427009</v>
      </c>
      <c r="BT43" s="390"/>
      <c r="BU43" s="345">
        <v>2427009</v>
      </c>
      <c r="BV43" s="347">
        <v>2427009</v>
      </c>
      <c r="BW43" s="347">
        <v>2745342</v>
      </c>
      <c r="BX43" s="341">
        <v>2745342</v>
      </c>
      <c r="BY43" s="383">
        <v>2745342</v>
      </c>
      <c r="BZ43" s="345">
        <v>2745342</v>
      </c>
      <c r="CA43" s="345">
        <v>2745342</v>
      </c>
      <c r="CB43" s="345">
        <v>2745342</v>
      </c>
      <c r="CC43" s="436">
        <v>2745342</v>
      </c>
    </row>
    <row r="44" spans="1:81">
      <c r="A44" s="161" t="s">
        <v>52</v>
      </c>
      <c r="B44" s="287">
        <v>44500</v>
      </c>
      <c r="C44" s="289">
        <f>44500</f>
        <v>44500</v>
      </c>
      <c r="D44" s="283">
        <v>44500</v>
      </c>
      <c r="E44" s="283">
        <v>44500</v>
      </c>
      <c r="F44" s="288">
        <v>44500</v>
      </c>
      <c r="G44" s="283">
        <f>841550+1073715+1330000</f>
        <v>3245265</v>
      </c>
      <c r="H44" s="283">
        <f>841550</f>
        <v>841550</v>
      </c>
      <c r="I44" s="297">
        <v>841550.38</v>
      </c>
      <c r="J44" s="297">
        <v>841550.38</v>
      </c>
      <c r="K44" s="297">
        <v>841550.38</v>
      </c>
      <c r="L44" s="297">
        <v>841550.38</v>
      </c>
      <c r="M44" s="297">
        <v>841550.38</v>
      </c>
      <c r="N44" s="297">
        <v>841550.38</v>
      </c>
      <c r="O44" s="297">
        <v>841550.38</v>
      </c>
      <c r="P44" s="297">
        <v>841550.38</v>
      </c>
      <c r="Q44" s="297">
        <v>841550.38</v>
      </c>
      <c r="R44" s="297">
        <v>841550.38</v>
      </c>
      <c r="S44" s="297">
        <v>841550.38</v>
      </c>
      <c r="T44" s="297">
        <v>841550.38</v>
      </c>
      <c r="U44" s="287">
        <v>841550</v>
      </c>
      <c r="V44" s="329">
        <v>841550.38</v>
      </c>
      <c r="W44" s="329">
        <v>841550.38</v>
      </c>
      <c r="X44" s="329">
        <v>841550.38</v>
      </c>
      <c r="Y44" s="329">
        <v>841550.38</v>
      </c>
      <c r="Z44" s="329">
        <v>841550.38</v>
      </c>
      <c r="AA44" s="329">
        <v>841550.38</v>
      </c>
      <c r="AB44" s="329">
        <v>841550.38</v>
      </c>
      <c r="AC44" s="329">
        <v>841550.38</v>
      </c>
      <c r="AD44" s="329">
        <v>841550.38</v>
      </c>
      <c r="AE44" s="297">
        <v>841550.38</v>
      </c>
      <c r="AF44" s="297">
        <v>841550.38</v>
      </c>
      <c r="AG44" s="297">
        <v>841550.38</v>
      </c>
      <c r="AH44" s="283">
        <v>841550</v>
      </c>
      <c r="AI44" s="276">
        <v>841550.38</v>
      </c>
      <c r="AJ44" s="276">
        <v>841550.38</v>
      </c>
      <c r="AK44" s="276">
        <v>841550.38</v>
      </c>
      <c r="AL44" s="276">
        <v>841550.38</v>
      </c>
      <c r="AM44" s="276">
        <v>841550.38</v>
      </c>
      <c r="AN44" s="276">
        <v>841550.38</v>
      </c>
      <c r="AO44" s="276">
        <v>841550.38</v>
      </c>
      <c r="AP44" s="276">
        <v>841550.38</v>
      </c>
      <c r="AQ44" s="276">
        <v>841550.38</v>
      </c>
      <c r="AR44" s="276">
        <v>841550.38</v>
      </c>
      <c r="AS44" s="276">
        <v>841550.38</v>
      </c>
      <c r="AT44" s="285">
        <v>841550</v>
      </c>
      <c r="AU44" s="276">
        <v>841550.38</v>
      </c>
      <c r="AV44" s="276">
        <v>841550.38</v>
      </c>
      <c r="AW44" s="276">
        <v>841550.38</v>
      </c>
      <c r="AX44" s="276">
        <v>841550.38</v>
      </c>
      <c r="AY44" s="276">
        <v>841550.38</v>
      </c>
      <c r="AZ44" s="345">
        <v>841550.38</v>
      </c>
      <c r="BA44" s="347">
        <v>841550.38</v>
      </c>
      <c r="BB44" s="345">
        <v>841550.38</v>
      </c>
      <c r="BC44" s="345">
        <v>841550.38</v>
      </c>
      <c r="BD44" s="345">
        <v>841550.38</v>
      </c>
      <c r="BE44" s="347">
        <v>841550.38</v>
      </c>
      <c r="BF44" s="355">
        <v>841550.38</v>
      </c>
      <c r="BG44" s="361">
        <f>841550+1339500+1361691</f>
        <v>3542741</v>
      </c>
      <c r="BH44" s="345">
        <v>841550.38</v>
      </c>
      <c r="BI44" s="347">
        <v>841550.38</v>
      </c>
      <c r="BJ44" s="347">
        <v>841550.38</v>
      </c>
      <c r="BK44" s="347">
        <v>841550.38</v>
      </c>
      <c r="BL44" s="347">
        <v>841550.38</v>
      </c>
      <c r="BM44" s="347">
        <v>841550.38</v>
      </c>
      <c r="BN44" s="347">
        <v>841550.38</v>
      </c>
      <c r="BO44" s="347">
        <v>841550.38</v>
      </c>
      <c r="BP44" s="347">
        <v>841550.38</v>
      </c>
      <c r="BQ44" s="347">
        <v>841550.38</v>
      </c>
      <c r="BR44" s="347">
        <v>841550.38</v>
      </c>
      <c r="BS44" s="391">
        <v>841550.38</v>
      </c>
      <c r="BT44" s="390"/>
      <c r="BU44" s="345">
        <v>841550.38</v>
      </c>
      <c r="BV44" s="347">
        <v>841550.38</v>
      </c>
      <c r="BW44" s="347">
        <v>841550.38</v>
      </c>
      <c r="BX44" s="345">
        <v>841550.38</v>
      </c>
      <c r="BY44" s="383">
        <v>841550.38</v>
      </c>
      <c r="BZ44" s="345">
        <v>841550.38</v>
      </c>
      <c r="CA44" s="345">
        <v>841550.38</v>
      </c>
      <c r="CB44" s="345">
        <v>841550.38</v>
      </c>
      <c r="CC44" s="436">
        <v>841550.38</v>
      </c>
    </row>
    <row r="45" spans="1:81">
      <c r="A45" s="161" t="s">
        <v>53</v>
      </c>
      <c r="B45" s="283"/>
      <c r="C45" s="283"/>
      <c r="D45" s="283"/>
      <c r="E45" s="283">
        <v>524396</v>
      </c>
      <c r="F45" s="288">
        <v>524396</v>
      </c>
      <c r="G45" s="296">
        <v>524396</v>
      </c>
      <c r="H45" s="283">
        <v>524396</v>
      </c>
      <c r="I45" s="297">
        <v>524395.75</v>
      </c>
      <c r="J45" s="297">
        <v>524395.75</v>
      </c>
      <c r="K45" s="297">
        <v>524395.75</v>
      </c>
      <c r="L45" s="297">
        <v>524395.75</v>
      </c>
      <c r="M45" s="297">
        <v>524395.75</v>
      </c>
      <c r="N45" s="297">
        <v>524395.75</v>
      </c>
      <c r="O45" s="297">
        <v>524395.75</v>
      </c>
      <c r="P45" s="297">
        <v>524395.75</v>
      </c>
      <c r="Q45" s="297">
        <v>524395.75</v>
      </c>
      <c r="R45" s="297">
        <v>524395.75</v>
      </c>
      <c r="S45" s="297">
        <v>524395.75</v>
      </c>
      <c r="T45" s="297">
        <v>524395.75</v>
      </c>
      <c r="U45" s="287">
        <v>524396</v>
      </c>
      <c r="V45" s="329">
        <v>524395.75</v>
      </c>
      <c r="W45" s="329">
        <v>524395.75</v>
      </c>
      <c r="X45" s="329">
        <v>524395.75</v>
      </c>
      <c r="Y45" s="329">
        <v>524395.75</v>
      </c>
      <c r="Z45" s="329">
        <v>524395.75</v>
      </c>
      <c r="AA45" s="329">
        <v>524395.75</v>
      </c>
      <c r="AB45" s="329">
        <v>524395.75</v>
      </c>
      <c r="AC45" s="329">
        <v>524395.75</v>
      </c>
      <c r="AD45" s="329">
        <v>524395.75</v>
      </c>
      <c r="AE45" s="297">
        <v>524395.75</v>
      </c>
      <c r="AF45" s="297">
        <v>524395.75</v>
      </c>
      <c r="AG45" s="297">
        <v>524395.75</v>
      </c>
      <c r="AH45" s="283">
        <v>524396</v>
      </c>
      <c r="AI45" s="276">
        <v>524395.75</v>
      </c>
      <c r="AJ45" s="276">
        <v>524395.75</v>
      </c>
      <c r="AK45" s="276">
        <v>524395.75</v>
      </c>
      <c r="AL45" s="276">
        <v>524395.75</v>
      </c>
      <c r="AM45" s="276">
        <v>524395.75</v>
      </c>
      <c r="AN45" s="276">
        <v>524395.75</v>
      </c>
      <c r="AO45" s="276">
        <v>524395.75</v>
      </c>
      <c r="AP45" s="276">
        <v>524395.75</v>
      </c>
      <c r="AQ45" s="276">
        <v>524395.75</v>
      </c>
      <c r="AR45" s="276">
        <v>524395.75</v>
      </c>
      <c r="AS45" s="276">
        <v>524395.75</v>
      </c>
      <c r="AT45" s="285">
        <v>524396</v>
      </c>
      <c r="AU45" s="276">
        <v>524395.75</v>
      </c>
      <c r="AV45" s="276">
        <v>524395.75</v>
      </c>
      <c r="AW45" s="276">
        <v>524395.75</v>
      </c>
      <c r="AX45" s="276">
        <v>524395.75</v>
      </c>
      <c r="AY45" s="276">
        <v>524395.75</v>
      </c>
      <c r="AZ45" s="345">
        <v>524395.75</v>
      </c>
      <c r="BA45" s="347">
        <v>524395.75</v>
      </c>
      <c r="BB45" s="345">
        <v>524395.75</v>
      </c>
      <c r="BC45" s="345">
        <v>524395.75</v>
      </c>
      <c r="BD45" s="345">
        <v>524395.75</v>
      </c>
      <c r="BE45" s="347">
        <v>524395.75</v>
      </c>
      <c r="BF45" s="355">
        <v>524395.75</v>
      </c>
      <c r="BG45" s="361">
        <v>524396</v>
      </c>
      <c r="BH45" s="345">
        <v>524395.75</v>
      </c>
      <c r="BI45" s="347">
        <v>524395.75</v>
      </c>
      <c r="BJ45" s="347">
        <v>524395.75</v>
      </c>
      <c r="BK45" s="347">
        <v>524395.75</v>
      </c>
      <c r="BL45" s="347">
        <v>524395.75</v>
      </c>
      <c r="BM45" s="347">
        <v>524395.75</v>
      </c>
      <c r="BN45" s="347">
        <v>524395.75</v>
      </c>
      <c r="BO45" s="347">
        <v>524395.75</v>
      </c>
      <c r="BP45" s="347">
        <v>524395.75</v>
      </c>
      <c r="BQ45" s="347">
        <v>524395.75</v>
      </c>
      <c r="BR45" s="347">
        <v>524395.75</v>
      </c>
      <c r="BS45" s="391">
        <v>524395.75</v>
      </c>
      <c r="BT45" s="390"/>
      <c r="BU45" s="345">
        <v>524395.75</v>
      </c>
      <c r="BV45" s="347">
        <v>524395.75</v>
      </c>
      <c r="BW45" s="347">
        <v>524395.75</v>
      </c>
      <c r="BX45" s="345">
        <v>524395.75</v>
      </c>
      <c r="BY45" s="383">
        <v>524395.75</v>
      </c>
      <c r="BZ45" s="345">
        <v>524395.75</v>
      </c>
      <c r="CA45" s="345">
        <v>524395.75</v>
      </c>
      <c r="CB45" s="345">
        <v>524395.75</v>
      </c>
      <c r="CC45" s="436">
        <v>524395.75</v>
      </c>
    </row>
    <row r="46" spans="1:81">
      <c r="A46" s="161" t="s">
        <v>54</v>
      </c>
      <c r="B46" s="219"/>
      <c r="C46" s="219"/>
      <c r="D46" s="219"/>
      <c r="E46" s="219"/>
      <c r="F46" s="219"/>
      <c r="G46" s="219"/>
      <c r="H46" s="283"/>
      <c r="I46" s="299">
        <v>0</v>
      </c>
      <c r="J46" s="299">
        <v>0</v>
      </c>
      <c r="K46" s="299">
        <v>0</v>
      </c>
      <c r="L46" s="299">
        <v>0</v>
      </c>
      <c r="M46" s="299">
        <v>0</v>
      </c>
      <c r="N46" s="299">
        <v>0</v>
      </c>
      <c r="O46" s="299">
        <v>0</v>
      </c>
      <c r="P46" s="299">
        <v>0</v>
      </c>
      <c r="Q46" s="299">
        <v>0</v>
      </c>
      <c r="R46" s="299">
        <v>0</v>
      </c>
      <c r="S46" s="299">
        <v>0</v>
      </c>
      <c r="T46" s="299">
        <v>0</v>
      </c>
      <c r="U46" s="299">
        <v>0</v>
      </c>
      <c r="V46" s="331">
        <v>0</v>
      </c>
      <c r="W46" s="331">
        <v>0</v>
      </c>
      <c r="X46" s="331">
        <v>0</v>
      </c>
      <c r="Y46" s="331">
        <v>0</v>
      </c>
      <c r="Z46" s="331">
        <v>0</v>
      </c>
      <c r="AA46" s="331">
        <v>0</v>
      </c>
      <c r="AB46" s="331">
        <v>0</v>
      </c>
      <c r="AC46" s="331">
        <v>0</v>
      </c>
      <c r="AD46" s="331">
        <v>0</v>
      </c>
      <c r="AE46" s="299">
        <v>0</v>
      </c>
      <c r="AF46" s="299">
        <v>0</v>
      </c>
      <c r="AG46" s="299">
        <v>0</v>
      </c>
      <c r="AH46" s="219"/>
      <c r="AI46" s="277">
        <v>0</v>
      </c>
      <c r="AJ46" s="277">
        <v>0</v>
      </c>
      <c r="AK46" s="277">
        <v>0</v>
      </c>
      <c r="AL46" s="277">
        <v>0</v>
      </c>
      <c r="AM46" s="277">
        <v>0</v>
      </c>
      <c r="AN46" s="277">
        <v>0</v>
      </c>
      <c r="AO46" s="277">
        <v>0</v>
      </c>
      <c r="AP46" s="277">
        <v>0</v>
      </c>
      <c r="AQ46" s="277">
        <v>0</v>
      </c>
      <c r="AR46" s="277">
        <v>0</v>
      </c>
      <c r="AS46" s="277">
        <v>0</v>
      </c>
      <c r="AT46" s="278"/>
      <c r="AU46" s="277">
        <v>0</v>
      </c>
      <c r="AV46" s="277">
        <v>0</v>
      </c>
      <c r="AW46" s="277">
        <v>0</v>
      </c>
      <c r="AX46" s="277">
        <v>0</v>
      </c>
      <c r="AY46" s="277">
        <v>0</v>
      </c>
      <c r="AZ46" s="344">
        <v>0</v>
      </c>
      <c r="BA46" s="346">
        <v>0</v>
      </c>
      <c r="BB46" s="344">
        <v>0</v>
      </c>
      <c r="BC46" s="344">
        <v>0</v>
      </c>
      <c r="BD46" s="344">
        <v>0</v>
      </c>
      <c r="BE46" s="346">
        <v>0</v>
      </c>
      <c r="BF46" s="356">
        <v>0</v>
      </c>
      <c r="BG46" s="361"/>
      <c r="BH46" s="344">
        <v>0</v>
      </c>
      <c r="BI46" s="346">
        <v>0</v>
      </c>
      <c r="BJ46" s="346">
        <v>0</v>
      </c>
      <c r="BK46" s="346">
        <v>0</v>
      </c>
      <c r="BL46" s="346">
        <v>0</v>
      </c>
      <c r="BM46" s="346">
        <v>0</v>
      </c>
      <c r="BN46" s="346">
        <v>0</v>
      </c>
      <c r="BO46" s="346">
        <v>0</v>
      </c>
      <c r="BP46" s="346">
        <v>0</v>
      </c>
      <c r="BQ46" s="346">
        <v>0</v>
      </c>
      <c r="BR46" s="346">
        <v>0</v>
      </c>
      <c r="BS46" s="389">
        <v>0</v>
      </c>
      <c r="BT46" s="390"/>
      <c r="BU46" s="344">
        <v>0</v>
      </c>
      <c r="BV46" s="346">
        <v>0</v>
      </c>
      <c r="BW46" s="346">
        <v>0</v>
      </c>
      <c r="BX46" s="344">
        <v>0</v>
      </c>
      <c r="BY46" s="382">
        <v>0</v>
      </c>
      <c r="BZ46" s="344">
        <v>0</v>
      </c>
      <c r="CA46" s="344">
        <v>0</v>
      </c>
      <c r="CB46" s="344">
        <v>0</v>
      </c>
      <c r="CC46" s="435">
        <v>0</v>
      </c>
    </row>
    <row r="47" spans="1:81">
      <c r="A47" s="161" t="s">
        <v>55</v>
      </c>
      <c r="B47" s="219"/>
      <c r="C47" s="219"/>
      <c r="D47" s="219"/>
      <c r="E47" s="219"/>
      <c r="F47" s="219"/>
      <c r="G47" s="219"/>
      <c r="H47" s="219"/>
      <c r="I47" s="299">
        <v>0</v>
      </c>
      <c r="J47" s="299">
        <v>0</v>
      </c>
      <c r="K47" s="299">
        <v>0</v>
      </c>
      <c r="L47" s="299">
        <v>0</v>
      </c>
      <c r="M47" s="299">
        <v>0</v>
      </c>
      <c r="N47" s="299">
        <v>0</v>
      </c>
      <c r="O47" s="299">
        <v>0</v>
      </c>
      <c r="P47" s="299">
        <v>0</v>
      </c>
      <c r="Q47" s="299">
        <v>0</v>
      </c>
      <c r="R47" s="299">
        <v>0</v>
      </c>
      <c r="S47" s="299">
        <v>0</v>
      </c>
      <c r="T47" s="299">
        <v>0</v>
      </c>
      <c r="U47" s="299">
        <v>0</v>
      </c>
      <c r="V47" s="331">
        <v>0</v>
      </c>
      <c r="W47" s="331">
        <v>0</v>
      </c>
      <c r="X47" s="331">
        <v>0</v>
      </c>
      <c r="Y47" s="331">
        <v>0</v>
      </c>
      <c r="Z47" s="331">
        <v>0</v>
      </c>
      <c r="AA47" s="331">
        <v>0</v>
      </c>
      <c r="AB47" s="331">
        <v>0</v>
      </c>
      <c r="AC47" s="331">
        <v>0</v>
      </c>
      <c r="AD47" s="331">
        <v>0</v>
      </c>
      <c r="AE47" s="299">
        <v>0</v>
      </c>
      <c r="AF47" s="299">
        <v>0</v>
      </c>
      <c r="AG47" s="299">
        <v>0</v>
      </c>
      <c r="AH47" s="219"/>
      <c r="AI47" s="277">
        <v>0</v>
      </c>
      <c r="AJ47" s="277">
        <v>0</v>
      </c>
      <c r="AK47" s="277">
        <v>0</v>
      </c>
      <c r="AL47" s="277">
        <v>0</v>
      </c>
      <c r="AM47" s="277">
        <v>0</v>
      </c>
      <c r="AN47" s="277">
        <v>0</v>
      </c>
      <c r="AO47" s="277">
        <v>0</v>
      </c>
      <c r="AP47" s="277">
        <v>0</v>
      </c>
      <c r="AQ47" s="277">
        <v>0</v>
      </c>
      <c r="AR47" s="277">
        <v>0</v>
      </c>
      <c r="AS47" s="277">
        <v>0</v>
      </c>
      <c r="AT47" s="269"/>
      <c r="AU47" s="277">
        <v>0</v>
      </c>
      <c r="AV47" s="277">
        <v>0</v>
      </c>
      <c r="AW47" s="277">
        <v>0</v>
      </c>
      <c r="AX47" s="277">
        <v>0</v>
      </c>
      <c r="AY47" s="277">
        <v>0</v>
      </c>
      <c r="AZ47" s="344">
        <v>0</v>
      </c>
      <c r="BA47" s="346">
        <v>0</v>
      </c>
      <c r="BB47" s="344">
        <v>0</v>
      </c>
      <c r="BC47" s="344">
        <v>0</v>
      </c>
      <c r="BD47" s="344">
        <v>0</v>
      </c>
      <c r="BE47" s="346">
        <v>0</v>
      </c>
      <c r="BF47" s="356">
        <v>0</v>
      </c>
      <c r="BG47" s="361"/>
      <c r="BH47" s="344">
        <v>0</v>
      </c>
      <c r="BI47" s="346">
        <v>0</v>
      </c>
      <c r="BJ47" s="346">
        <v>0</v>
      </c>
      <c r="BK47" s="346">
        <v>0</v>
      </c>
      <c r="BL47" s="346">
        <v>0</v>
      </c>
      <c r="BM47" s="346">
        <v>0</v>
      </c>
      <c r="BN47" s="346">
        <v>0</v>
      </c>
      <c r="BO47" s="346">
        <v>0</v>
      </c>
      <c r="BP47" s="346">
        <v>0</v>
      </c>
      <c r="BQ47" s="346">
        <v>0</v>
      </c>
      <c r="BR47" s="346">
        <v>0</v>
      </c>
      <c r="BS47" s="389">
        <v>0</v>
      </c>
      <c r="BT47" s="390"/>
      <c r="BU47" s="344">
        <v>0</v>
      </c>
      <c r="BV47" s="346">
        <v>0</v>
      </c>
      <c r="BW47" s="346">
        <v>0</v>
      </c>
      <c r="BX47" s="344">
        <v>0</v>
      </c>
      <c r="BY47" s="382">
        <v>0</v>
      </c>
      <c r="BZ47" s="344">
        <v>0</v>
      </c>
      <c r="CA47" s="344">
        <v>0</v>
      </c>
      <c r="CB47" s="344">
        <v>0</v>
      </c>
      <c r="CC47" s="435">
        <v>0</v>
      </c>
    </row>
    <row r="48" spans="1:81">
      <c r="A48" s="160" t="s">
        <v>56</v>
      </c>
      <c r="B48" s="214">
        <f t="shared" ref="B48:I48" si="63">SUM(B39:B47)</f>
        <v>6601937</v>
      </c>
      <c r="C48" s="214">
        <f t="shared" si="63"/>
        <v>8728217</v>
      </c>
      <c r="D48" s="214">
        <f t="shared" si="63"/>
        <v>9371907</v>
      </c>
      <c r="E48" s="214">
        <f t="shared" si="63"/>
        <v>13748531</v>
      </c>
      <c r="F48" s="214">
        <f t="shared" si="63"/>
        <v>12723606</v>
      </c>
      <c r="G48" s="214">
        <f t="shared" si="63"/>
        <v>16937097</v>
      </c>
      <c r="H48" s="214">
        <f t="shared" si="63"/>
        <v>17264666</v>
      </c>
      <c r="I48" s="214">
        <f t="shared" si="63"/>
        <v>17109900.759999998</v>
      </c>
      <c r="J48" s="214">
        <f t="shared" ref="J48:S48" si="64">SUM(J39:J47)</f>
        <v>17382610.849999998</v>
      </c>
      <c r="K48" s="214">
        <f t="shared" si="64"/>
        <v>17959948.84</v>
      </c>
      <c r="L48" s="214">
        <f t="shared" si="64"/>
        <v>18133938.73</v>
      </c>
      <c r="M48" s="214">
        <f t="shared" si="64"/>
        <v>18600129.850000001</v>
      </c>
      <c r="N48" s="214">
        <f t="shared" si="64"/>
        <v>19414201.09</v>
      </c>
      <c r="O48" s="214">
        <f t="shared" si="64"/>
        <v>20110150.189999998</v>
      </c>
      <c r="P48" s="214">
        <f t="shared" si="64"/>
        <v>20540259.629999999</v>
      </c>
      <c r="Q48" s="214">
        <f t="shared" si="64"/>
        <v>20639569.329999998</v>
      </c>
      <c r="R48" s="214">
        <f t="shared" si="64"/>
        <v>21093340.059999999</v>
      </c>
      <c r="S48" s="214">
        <f t="shared" si="64"/>
        <v>21442550.02</v>
      </c>
      <c r="T48" s="214">
        <f>SUM(T39:T47)</f>
        <v>21823296.229999997</v>
      </c>
      <c r="U48" s="214">
        <f>SUM(U39:U47)</f>
        <v>18082356.800000001</v>
      </c>
      <c r="V48" s="214">
        <f>SUM(V39:V47)</f>
        <v>17866163.34</v>
      </c>
      <c r="W48" s="214">
        <f t="shared" ref="W48:AB48" si="65">SUM(W39:W47)</f>
        <v>17860223.580000002</v>
      </c>
      <c r="X48" s="214">
        <f t="shared" si="65"/>
        <v>19103696.59</v>
      </c>
      <c r="Y48" s="214">
        <f t="shared" si="65"/>
        <v>19337988.059999999</v>
      </c>
      <c r="Z48" s="214">
        <f t="shared" si="65"/>
        <v>19797070.379999999</v>
      </c>
      <c r="AA48" s="214">
        <f t="shared" si="65"/>
        <v>20316626.589999996</v>
      </c>
      <c r="AB48" s="214">
        <f t="shared" si="65"/>
        <v>21166366.009999998</v>
      </c>
      <c r="AC48" s="214">
        <f t="shared" ref="AC48:AH48" si="66">SUM(AC39:AC47)</f>
        <v>21669194.089999996</v>
      </c>
      <c r="AD48" s="214">
        <f t="shared" si="66"/>
        <v>22135266.479999997</v>
      </c>
      <c r="AE48" s="214">
        <f t="shared" si="66"/>
        <v>22673151.369999997</v>
      </c>
      <c r="AF48" s="214">
        <f t="shared" si="66"/>
        <v>22922950.769999996</v>
      </c>
      <c r="AG48" s="214">
        <f t="shared" si="66"/>
        <v>21881312.299999997</v>
      </c>
      <c r="AH48" s="214">
        <f t="shared" si="66"/>
        <v>18941784</v>
      </c>
      <c r="AI48" s="214">
        <f t="shared" ref="AI48:AT48" si="67">SUM(AI39:AI47)</f>
        <v>18898720.199999999</v>
      </c>
      <c r="AJ48" s="214">
        <f t="shared" si="67"/>
        <v>19246775.689999998</v>
      </c>
      <c r="AK48" s="214">
        <f t="shared" si="67"/>
        <v>20382540.129999999</v>
      </c>
      <c r="AL48" s="214">
        <f t="shared" si="67"/>
        <v>20725472.079999998</v>
      </c>
      <c r="AM48" s="214">
        <f t="shared" si="67"/>
        <v>21209038.279999997</v>
      </c>
      <c r="AN48" s="214">
        <f t="shared" si="67"/>
        <v>21665332.799999997</v>
      </c>
      <c r="AO48" s="214">
        <f t="shared" si="67"/>
        <v>22805896.609999999</v>
      </c>
      <c r="AP48" s="214">
        <f t="shared" si="67"/>
        <v>23241141.229999997</v>
      </c>
      <c r="AQ48" s="214">
        <f t="shared" si="67"/>
        <v>23804254.159999996</v>
      </c>
      <c r="AR48" s="214">
        <f t="shared" si="67"/>
        <v>24192339.209999997</v>
      </c>
      <c r="AS48" s="214">
        <f t="shared" si="67"/>
        <v>23943295.329999998</v>
      </c>
      <c r="AT48" s="214">
        <f t="shared" si="67"/>
        <v>19386813</v>
      </c>
      <c r="AU48" s="214">
        <f t="shared" ref="AU48:BC48" si="68">SUM(AU39:AU47)</f>
        <v>19190114.279999997</v>
      </c>
      <c r="AV48" s="214">
        <f t="shared" si="68"/>
        <v>19387108.619999997</v>
      </c>
      <c r="AW48" s="214">
        <f t="shared" si="68"/>
        <v>20617575.319999997</v>
      </c>
      <c r="AX48" s="214">
        <f t="shared" si="68"/>
        <v>21009639.459999997</v>
      </c>
      <c r="AY48" s="214">
        <f t="shared" si="68"/>
        <v>21448248.839999996</v>
      </c>
      <c r="AZ48" s="214">
        <f t="shared" si="68"/>
        <v>21945390.73</v>
      </c>
      <c r="BA48" s="214">
        <f t="shared" si="68"/>
        <v>22738928.959999997</v>
      </c>
      <c r="BB48" s="214">
        <f t="shared" si="68"/>
        <v>23155768.66</v>
      </c>
      <c r="BC48" s="214">
        <f t="shared" si="68"/>
        <v>23606494.77</v>
      </c>
      <c r="BD48" s="214">
        <f t="shared" ref="BD48:BS48" si="69">SUM(BD39:BD47)</f>
        <v>24308659.259999998</v>
      </c>
      <c r="BE48" s="214">
        <f t="shared" si="69"/>
        <v>24473835.949999999</v>
      </c>
      <c r="BF48" s="214">
        <f t="shared" si="69"/>
        <v>24498571.569999997</v>
      </c>
      <c r="BG48" s="214">
        <f t="shared" si="69"/>
        <v>21263106</v>
      </c>
      <c r="BH48" s="214">
        <f t="shared" si="69"/>
        <v>20339217.34</v>
      </c>
      <c r="BI48" s="214">
        <f t="shared" si="69"/>
        <v>20431395.109999999</v>
      </c>
      <c r="BJ48" s="214">
        <f t="shared" si="69"/>
        <v>22278960.599999998</v>
      </c>
      <c r="BK48" s="214">
        <f t="shared" si="69"/>
        <v>22675396.949999999</v>
      </c>
      <c r="BL48" s="214">
        <f t="shared" si="69"/>
        <v>23144569.41</v>
      </c>
      <c r="BM48" s="214">
        <f t="shared" si="69"/>
        <v>23598707.129999999</v>
      </c>
      <c r="BN48" s="214">
        <f t="shared" si="69"/>
        <v>24100550.029999997</v>
      </c>
      <c r="BO48" s="214">
        <f t="shared" si="69"/>
        <v>24697013.239999998</v>
      </c>
      <c r="BP48" s="214">
        <f t="shared" si="69"/>
        <v>25240218.289999999</v>
      </c>
      <c r="BQ48" s="214">
        <f t="shared" si="69"/>
        <v>25400537.369999997</v>
      </c>
      <c r="BR48" s="214">
        <f t="shared" si="69"/>
        <v>26229707.169999998</v>
      </c>
      <c r="BS48" s="214">
        <f t="shared" si="69"/>
        <v>26078189.509999998</v>
      </c>
      <c r="BT48" s="214">
        <f t="shared" ref="BT48:BX48" si="70">SUM(BT39:BT47)</f>
        <v>0</v>
      </c>
      <c r="BU48" s="214">
        <f t="shared" si="70"/>
        <v>21814855.309999999</v>
      </c>
      <c r="BV48" s="214">
        <f t="shared" si="70"/>
        <v>22050077.309999999</v>
      </c>
      <c r="BW48" s="214">
        <f t="shared" si="70"/>
        <v>23352643.389999997</v>
      </c>
      <c r="BX48" s="214">
        <f t="shared" si="70"/>
        <v>23443480.809999999</v>
      </c>
      <c r="BY48" s="214">
        <f>SUM(BY39:BY47)</f>
        <v>24070907.419999998</v>
      </c>
      <c r="BZ48" s="214">
        <f>SUM(BZ39:BZ47)</f>
        <v>24473656.199999999</v>
      </c>
      <c r="CA48" s="214">
        <f>SUM(CA39:CA47)</f>
        <v>25395130.66</v>
      </c>
      <c r="CB48" s="214">
        <f>SUM(CB39:CB47)</f>
        <v>25860490.73</v>
      </c>
      <c r="CC48" s="214">
        <f>SUM(CC39:CC47)</f>
        <v>26034176.390000001</v>
      </c>
    </row>
    <row r="49" spans="1:81">
      <c r="A49" s="160" t="s">
        <v>57</v>
      </c>
      <c r="B49" s="214">
        <f t="shared" ref="B49:I49" si="71">SUM(B48+B38)</f>
        <v>44410076</v>
      </c>
      <c r="C49" s="214">
        <f t="shared" si="71"/>
        <v>46132702</v>
      </c>
      <c r="D49" s="214">
        <f t="shared" si="71"/>
        <v>55971181</v>
      </c>
      <c r="E49" s="214">
        <f t="shared" si="71"/>
        <v>64588551</v>
      </c>
      <c r="F49" s="214">
        <f t="shared" si="71"/>
        <v>59274762</v>
      </c>
      <c r="G49" s="214">
        <f t="shared" si="71"/>
        <v>69231309</v>
      </c>
      <c r="H49" s="214">
        <f t="shared" si="71"/>
        <v>70384285</v>
      </c>
      <c r="I49" s="214">
        <f t="shared" si="71"/>
        <v>66311982.830000006</v>
      </c>
      <c r="J49" s="214">
        <f t="shared" ref="J49:S49" si="72">SUM(J48+J38)</f>
        <v>67370346</v>
      </c>
      <c r="K49" s="214">
        <f t="shared" si="72"/>
        <v>68988007.209999993</v>
      </c>
      <c r="L49" s="214">
        <f t="shared" si="72"/>
        <v>68182240.75999999</v>
      </c>
      <c r="M49" s="214">
        <f t="shared" si="72"/>
        <v>68461244.230000004</v>
      </c>
      <c r="N49" s="214">
        <f t="shared" si="72"/>
        <v>69784633.850000009</v>
      </c>
      <c r="O49" s="214">
        <f t="shared" si="72"/>
        <v>72949739.049999997</v>
      </c>
      <c r="P49" s="214">
        <f t="shared" si="72"/>
        <v>72204927.560000002</v>
      </c>
      <c r="Q49" s="214">
        <f t="shared" si="72"/>
        <v>70651634.229999989</v>
      </c>
      <c r="R49" s="214">
        <f t="shared" si="72"/>
        <v>71361312.620000005</v>
      </c>
      <c r="S49" s="214">
        <f t="shared" si="72"/>
        <v>71997706.650000006</v>
      </c>
      <c r="T49" s="214">
        <f>SUM(T48+T38)</f>
        <v>73777535.349999994</v>
      </c>
      <c r="U49" s="214">
        <f>SUM(U48+U38)</f>
        <v>70891156.670000002</v>
      </c>
      <c r="V49" s="214">
        <f>SUM(V48+V38)</f>
        <v>74384053.799999997</v>
      </c>
      <c r="W49" s="214">
        <f t="shared" ref="W49:AB49" si="73">SUM(W48+W38)</f>
        <v>70777078.210000008</v>
      </c>
      <c r="X49" s="214">
        <f t="shared" si="73"/>
        <v>76984138.460000008</v>
      </c>
      <c r="Y49" s="214">
        <f t="shared" si="73"/>
        <v>72256353.680000007</v>
      </c>
      <c r="Z49" s="214">
        <f t="shared" si="73"/>
        <v>72443214.039999992</v>
      </c>
      <c r="AA49" s="214">
        <f t="shared" si="73"/>
        <v>71455064.550000012</v>
      </c>
      <c r="AB49" s="214">
        <f t="shared" si="73"/>
        <v>74648779.960000008</v>
      </c>
      <c r="AC49" s="214">
        <f t="shared" ref="AC49:AH49" si="74">SUM(AC48+AC38)</f>
        <v>74304904.890000001</v>
      </c>
      <c r="AD49" s="214">
        <f t="shared" si="74"/>
        <v>75129494.210000008</v>
      </c>
      <c r="AE49" s="214">
        <f t="shared" si="74"/>
        <v>77145274.519999996</v>
      </c>
      <c r="AF49" s="214">
        <f t="shared" si="74"/>
        <v>76448670.310000002</v>
      </c>
      <c r="AG49" s="214">
        <f t="shared" si="74"/>
        <v>73839448.420000002</v>
      </c>
      <c r="AH49" s="214">
        <f t="shared" si="74"/>
        <v>71201456</v>
      </c>
      <c r="AI49" s="214">
        <f t="shared" ref="AI49:AT49" si="75">SUM(AI48+AI38)</f>
        <v>77208114.909999996</v>
      </c>
      <c r="AJ49" s="214">
        <f t="shared" si="75"/>
        <v>79130340.849999994</v>
      </c>
      <c r="AK49" s="214">
        <f t="shared" si="75"/>
        <v>76463792.24000001</v>
      </c>
      <c r="AL49" s="214">
        <f t="shared" si="75"/>
        <v>76591042.980000004</v>
      </c>
      <c r="AM49" s="214">
        <f t="shared" si="75"/>
        <v>78736314.5</v>
      </c>
      <c r="AN49" s="214">
        <f t="shared" si="75"/>
        <v>78045413.069999993</v>
      </c>
      <c r="AO49" s="214">
        <f t="shared" si="75"/>
        <v>79964667.569999993</v>
      </c>
      <c r="AP49" s="214">
        <f t="shared" si="75"/>
        <v>79652385</v>
      </c>
      <c r="AQ49" s="214">
        <f t="shared" si="75"/>
        <v>76942975.109999999</v>
      </c>
      <c r="AR49" s="214">
        <f t="shared" si="75"/>
        <v>79457488.969999999</v>
      </c>
      <c r="AS49" s="214">
        <f t="shared" si="75"/>
        <v>74364820.620000005</v>
      </c>
      <c r="AT49" s="214">
        <f t="shared" si="75"/>
        <v>74350534</v>
      </c>
      <c r="AU49" s="214">
        <f t="shared" ref="AU49:BC49" si="76">SUM(AU48+AU38)</f>
        <v>73634271.829999998</v>
      </c>
      <c r="AV49" s="214">
        <f t="shared" si="76"/>
        <v>73804395.480000004</v>
      </c>
      <c r="AW49" s="214">
        <f t="shared" si="76"/>
        <v>75375925.719999999</v>
      </c>
      <c r="AX49" s="214">
        <f t="shared" si="76"/>
        <v>74101139.260000005</v>
      </c>
      <c r="AY49" s="214">
        <f t="shared" si="76"/>
        <v>74628148.370000005</v>
      </c>
      <c r="AZ49" s="214">
        <f t="shared" si="76"/>
        <v>72987036.230000004</v>
      </c>
      <c r="BA49" s="214">
        <f t="shared" si="76"/>
        <v>78386921.900000006</v>
      </c>
      <c r="BB49" s="214">
        <f t="shared" si="76"/>
        <v>78748356.670000002</v>
      </c>
      <c r="BC49" s="214">
        <f t="shared" si="76"/>
        <v>74624145.030000001</v>
      </c>
      <c r="BD49" s="214">
        <f t="shared" ref="BD49:BS49" si="77">SUM(BD48+BD38)</f>
        <v>77008169.919999987</v>
      </c>
      <c r="BE49" s="214">
        <f t="shared" si="77"/>
        <v>79970336.510000005</v>
      </c>
      <c r="BF49" s="214">
        <f t="shared" si="77"/>
        <v>76683675.450000003</v>
      </c>
      <c r="BG49" s="214">
        <f t="shared" si="77"/>
        <v>76904601</v>
      </c>
      <c r="BH49" s="214">
        <f t="shared" si="77"/>
        <v>76433076.770000011</v>
      </c>
      <c r="BI49" s="214">
        <f t="shared" si="77"/>
        <v>77262521.730000004</v>
      </c>
      <c r="BJ49" s="214">
        <f t="shared" si="77"/>
        <v>77399613.159999996</v>
      </c>
      <c r="BK49" s="214">
        <f t="shared" si="77"/>
        <v>74792461.710000008</v>
      </c>
      <c r="BL49" s="214">
        <f t="shared" si="77"/>
        <v>75443727.38000001</v>
      </c>
      <c r="BM49" s="214">
        <f t="shared" si="77"/>
        <v>77916761.800000012</v>
      </c>
      <c r="BN49" s="214">
        <f t="shared" si="77"/>
        <v>76612115.140000001</v>
      </c>
      <c r="BO49" s="214">
        <f t="shared" si="77"/>
        <v>77628530.450000003</v>
      </c>
      <c r="BP49" s="214">
        <f t="shared" si="77"/>
        <v>77656530.319999993</v>
      </c>
      <c r="BQ49" s="214">
        <f t="shared" si="77"/>
        <v>79382015.230000004</v>
      </c>
      <c r="BR49" s="214">
        <f t="shared" si="77"/>
        <v>80466079.290000007</v>
      </c>
      <c r="BS49" s="214">
        <f t="shared" si="77"/>
        <v>77690994.829999998</v>
      </c>
      <c r="BT49" s="214">
        <f t="shared" ref="BT49:BX49" si="78">SUM(BT48+BT38)</f>
        <v>0</v>
      </c>
      <c r="BU49" s="214">
        <f t="shared" si="78"/>
        <v>78529886.350000009</v>
      </c>
      <c r="BV49" s="214">
        <f t="shared" si="78"/>
        <v>79027585.950000003</v>
      </c>
      <c r="BW49" s="214">
        <f t="shared" si="78"/>
        <v>80554043.549999997</v>
      </c>
      <c r="BX49" s="214">
        <f t="shared" si="78"/>
        <v>76536432.550000012</v>
      </c>
      <c r="BY49" s="214">
        <f>SUM(BY48+BY38)</f>
        <v>76834239.859999999</v>
      </c>
      <c r="BZ49" s="214">
        <f>SUM(BZ48+BZ38)</f>
        <v>78298862.549999997</v>
      </c>
      <c r="CA49" s="214">
        <f>SUM(CA48+CA38)</f>
        <v>78081488.300000012</v>
      </c>
      <c r="CB49" s="214">
        <f>SUM(CB48+CB38)</f>
        <v>78950520.480000004</v>
      </c>
      <c r="CC49" s="214">
        <f>SUM(CC48+CC38)</f>
        <v>77940185.790000007</v>
      </c>
    </row>
    <row r="50" spans="1:81">
      <c r="A50" s="162"/>
      <c r="B50" s="215"/>
      <c r="C50" s="215"/>
      <c r="D50" s="215"/>
      <c r="E50" s="215"/>
      <c r="F50" s="215"/>
      <c r="G50" s="215"/>
      <c r="H50" s="215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Y50" s="215"/>
      <c r="Z50" s="215"/>
      <c r="AA50" s="215"/>
      <c r="AB50" s="215"/>
      <c r="AC50" s="215"/>
      <c r="AD50" s="215"/>
      <c r="AE50" s="215"/>
      <c r="AF50" s="215"/>
      <c r="AG50" s="215"/>
      <c r="AH50" s="215"/>
      <c r="AI50" s="215"/>
      <c r="AJ50" s="215"/>
      <c r="AK50" s="215"/>
      <c r="AL50" s="215"/>
      <c r="AM50" s="215"/>
      <c r="AN50" s="215"/>
      <c r="AO50" s="215"/>
      <c r="AP50" s="215"/>
    </row>
    <row r="51" spans="1:81">
      <c r="A51" s="162"/>
      <c r="B51" s="216">
        <f t="shared" ref="B51:I51" si="79">B49-B27</f>
        <v>0</v>
      </c>
      <c r="C51" s="216">
        <f t="shared" si="79"/>
        <v>0</v>
      </c>
      <c r="D51" s="216">
        <f t="shared" si="79"/>
        <v>-291088</v>
      </c>
      <c r="E51" s="216">
        <f t="shared" si="79"/>
        <v>-1</v>
      </c>
      <c r="F51" s="216">
        <f t="shared" si="79"/>
        <v>10189575</v>
      </c>
      <c r="G51" s="216">
        <f t="shared" si="79"/>
        <v>187533</v>
      </c>
      <c r="H51" s="216">
        <f t="shared" si="79"/>
        <v>-27257737</v>
      </c>
      <c r="I51" s="216">
        <f t="shared" si="79"/>
        <v>0</v>
      </c>
      <c r="J51" s="216">
        <f t="shared" ref="J51:R51" si="80">J49-J27</f>
        <v>0</v>
      </c>
      <c r="K51" s="216">
        <f t="shared" si="80"/>
        <v>0</v>
      </c>
      <c r="L51" s="216">
        <f t="shared" si="80"/>
        <v>0</v>
      </c>
      <c r="M51" s="216">
        <f t="shared" si="80"/>
        <v>0</v>
      </c>
      <c r="N51" s="216">
        <f t="shared" si="80"/>
        <v>0</v>
      </c>
      <c r="O51" s="216">
        <f t="shared" si="80"/>
        <v>0</v>
      </c>
      <c r="P51" s="216">
        <f t="shared" si="80"/>
        <v>0</v>
      </c>
      <c r="Q51" s="216">
        <f t="shared" si="80"/>
        <v>0</v>
      </c>
      <c r="R51" s="216">
        <f t="shared" si="80"/>
        <v>18.900000005960464</v>
      </c>
      <c r="S51" s="216">
        <f>S49-S27</f>
        <v>0</v>
      </c>
      <c r="T51" s="216">
        <f>T49-T27</f>
        <v>0</v>
      </c>
      <c r="U51" s="216">
        <f>U49-U27</f>
        <v>1.0300000011920929</v>
      </c>
      <c r="V51" s="216">
        <f t="shared" ref="V51:AB51" si="81">V49-V27</f>
        <v>0</v>
      </c>
      <c r="W51" s="216">
        <f t="shared" si="81"/>
        <v>0</v>
      </c>
      <c r="X51" s="216">
        <f t="shared" si="81"/>
        <v>0</v>
      </c>
      <c r="Y51" s="216">
        <f t="shared" si="81"/>
        <v>0</v>
      </c>
      <c r="Z51" s="216">
        <f t="shared" si="81"/>
        <v>0</v>
      </c>
      <c r="AA51" s="216">
        <f t="shared" si="81"/>
        <v>0.10000000894069672</v>
      </c>
      <c r="AB51" s="216">
        <f t="shared" si="81"/>
        <v>0</v>
      </c>
      <c r="AC51" s="216">
        <f t="shared" ref="AC51:AK51" si="82">AC49-AC27</f>
        <v>0</v>
      </c>
      <c r="AD51" s="216">
        <f t="shared" si="82"/>
        <v>0</v>
      </c>
      <c r="AE51" s="216">
        <f t="shared" si="82"/>
        <v>0</v>
      </c>
      <c r="AF51" s="216">
        <f t="shared" si="82"/>
        <v>0</v>
      </c>
      <c r="AG51" s="216">
        <f t="shared" si="82"/>
        <v>0</v>
      </c>
      <c r="AH51" s="216">
        <f t="shared" si="82"/>
        <v>-18001</v>
      </c>
      <c r="AI51" s="216">
        <f t="shared" si="82"/>
        <v>0</v>
      </c>
      <c r="AJ51" s="216">
        <f t="shared" si="82"/>
        <v>0</v>
      </c>
      <c r="AK51" s="216">
        <f t="shared" si="82"/>
        <v>0</v>
      </c>
      <c r="AL51" s="216">
        <f t="shared" ref="AL51:AT51" si="83">AL49-AL27</f>
        <v>0</v>
      </c>
      <c r="AM51" s="216">
        <f t="shared" si="83"/>
        <v>0</v>
      </c>
      <c r="AN51" s="216">
        <f t="shared" si="83"/>
        <v>0</v>
      </c>
      <c r="AO51" s="216">
        <f t="shared" si="83"/>
        <v>0</v>
      </c>
      <c r="AP51" s="216">
        <f t="shared" si="83"/>
        <v>0</v>
      </c>
      <c r="AQ51" s="216">
        <f t="shared" si="83"/>
        <v>0</v>
      </c>
      <c r="AR51" s="216">
        <f t="shared" si="83"/>
        <v>0</v>
      </c>
      <c r="AS51" s="216">
        <f t="shared" si="83"/>
        <v>0</v>
      </c>
      <c r="AT51" s="216">
        <f t="shared" si="83"/>
        <v>1</v>
      </c>
      <c r="AU51" s="216">
        <f t="shared" ref="AU51:BC51" si="84">AU49-AU27</f>
        <v>0</v>
      </c>
      <c r="AV51" s="216">
        <f t="shared" si="84"/>
        <v>0</v>
      </c>
      <c r="AW51" s="216">
        <f t="shared" si="84"/>
        <v>0</v>
      </c>
      <c r="AX51" s="216">
        <f t="shared" si="84"/>
        <v>0</v>
      </c>
      <c r="AY51" s="216">
        <f t="shared" si="84"/>
        <v>0</v>
      </c>
      <c r="AZ51" s="216">
        <f t="shared" si="84"/>
        <v>0</v>
      </c>
      <c r="BA51" s="216">
        <f t="shared" si="84"/>
        <v>0</v>
      </c>
      <c r="BB51" s="216">
        <f t="shared" si="84"/>
        <v>0</v>
      </c>
      <c r="BC51" s="216">
        <f t="shared" si="84"/>
        <v>0</v>
      </c>
      <c r="BD51" s="216">
        <f t="shared" ref="BD51:BX51" si="85">BD49-BD27</f>
        <v>0</v>
      </c>
      <c r="BE51" s="216">
        <f t="shared" si="85"/>
        <v>0</v>
      </c>
      <c r="BF51" s="216">
        <f t="shared" si="85"/>
        <v>0</v>
      </c>
      <c r="BG51" s="362">
        <f t="shared" si="85"/>
        <v>0</v>
      </c>
      <c r="BH51" s="362">
        <f t="shared" si="85"/>
        <v>0</v>
      </c>
      <c r="BI51" s="362">
        <f t="shared" si="85"/>
        <v>0</v>
      </c>
      <c r="BJ51" s="362">
        <f t="shared" si="85"/>
        <v>0</v>
      </c>
      <c r="BK51" s="362">
        <f t="shared" si="85"/>
        <v>0</v>
      </c>
      <c r="BL51" s="362">
        <f t="shared" si="85"/>
        <v>0</v>
      </c>
      <c r="BM51" s="362">
        <f t="shared" si="85"/>
        <v>0</v>
      </c>
      <c r="BN51" s="362">
        <f t="shared" si="85"/>
        <v>0</v>
      </c>
      <c r="BO51" s="362">
        <f t="shared" si="85"/>
        <v>0</v>
      </c>
      <c r="BP51" s="362">
        <f t="shared" si="85"/>
        <v>0</v>
      </c>
      <c r="BQ51" s="362">
        <f t="shared" si="85"/>
        <v>0</v>
      </c>
      <c r="BR51" s="362">
        <f t="shared" si="85"/>
        <v>0</v>
      </c>
      <c r="BS51" s="362">
        <f t="shared" si="85"/>
        <v>0</v>
      </c>
      <c r="BT51" s="363">
        <f t="shared" si="85"/>
        <v>0</v>
      </c>
      <c r="BU51" s="363">
        <f t="shared" si="85"/>
        <v>0</v>
      </c>
      <c r="BV51" s="363">
        <f t="shared" si="85"/>
        <v>0</v>
      </c>
      <c r="BW51" s="363">
        <f t="shared" si="85"/>
        <v>0</v>
      </c>
      <c r="BX51" s="363">
        <f t="shared" si="85"/>
        <v>0</v>
      </c>
      <c r="BY51" s="363">
        <f>BY49-BY27</f>
        <v>0</v>
      </c>
      <c r="BZ51" s="363">
        <f>BZ49-BZ27</f>
        <v>0</v>
      </c>
      <c r="CA51" s="363">
        <f>CA49-CA27</f>
        <v>0</v>
      </c>
      <c r="CB51" s="363">
        <f>CB49-CB27</f>
        <v>0</v>
      </c>
      <c r="CC51" s="363">
        <f>CC49-CC27</f>
        <v>0</v>
      </c>
    </row>
  </sheetData>
  <mergeCells count="35">
    <mergeCell ref="BS43:BT43"/>
    <mergeCell ref="BS44:BT44"/>
    <mergeCell ref="BS45:BT45"/>
    <mergeCell ref="BS46:BT46"/>
    <mergeCell ref="BS47:BT47"/>
    <mergeCell ref="BS42:BT42"/>
    <mergeCell ref="BS29:BT29"/>
    <mergeCell ref="BS30:BT30"/>
    <mergeCell ref="BS32:BT32"/>
    <mergeCell ref="BS33:BT33"/>
    <mergeCell ref="BS34:BT34"/>
    <mergeCell ref="BS35:BT35"/>
    <mergeCell ref="BS36:BT36"/>
    <mergeCell ref="BS37:BT37"/>
    <mergeCell ref="BS39:BT39"/>
    <mergeCell ref="BS40:BT40"/>
    <mergeCell ref="BS41:BT41"/>
    <mergeCell ref="BS28:BT28"/>
    <mergeCell ref="BS12:BT12"/>
    <mergeCell ref="BS15:BT15"/>
    <mergeCell ref="BS16:BT16"/>
    <mergeCell ref="BS18:BT18"/>
    <mergeCell ref="BS19:BT19"/>
    <mergeCell ref="BS20:BT20"/>
    <mergeCell ref="BS22:BT22"/>
    <mergeCell ref="BS23:BT23"/>
    <mergeCell ref="BS24:BT24"/>
    <mergeCell ref="BS25:BT25"/>
    <mergeCell ref="BS26:BT26"/>
    <mergeCell ref="BS11:BT11"/>
    <mergeCell ref="BS5:BT5"/>
    <mergeCell ref="BS6:BT6"/>
    <mergeCell ref="BS7:BT7"/>
    <mergeCell ref="BS9:BT9"/>
    <mergeCell ref="BS10:BT10"/>
  </mergeCells>
  <phoneticPr fontId="3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44"/>
  <sheetViews>
    <sheetView workbookViewId="0">
      <pane xSplit="1" ySplit="2" topLeftCell="BY3" activePane="bottomRight" state="frozen"/>
      <selection pane="bottomRight" activeCell="CD4" sqref="CD4"/>
      <selection pane="bottomLeft" activeCell="A3" sqref="A3"/>
      <selection pane="topRight" activeCell="B1" sqref="B1"/>
    </sheetView>
  </sheetViews>
  <sheetFormatPr defaultRowHeight="15" customHeight="1"/>
  <cols>
    <col min="1" max="1" width="41" customWidth="1"/>
    <col min="2" max="2" width="23.28515625" customWidth="1"/>
    <col min="3" max="3" width="17.7109375" customWidth="1"/>
    <col min="4" max="4" width="20.42578125" customWidth="1"/>
    <col min="5" max="5" width="23.85546875" customWidth="1"/>
    <col min="6" max="6" width="22.7109375" customWidth="1"/>
    <col min="7" max="7" width="19.28515625" customWidth="1"/>
    <col min="8" max="8" width="19" customWidth="1"/>
    <col min="9" max="20" width="20.42578125" customWidth="1"/>
    <col min="21" max="28" width="20.42578125" hidden="1" customWidth="1"/>
    <col min="29" max="32" width="20.42578125" customWidth="1"/>
    <col min="33" max="33" width="21.7109375" style="259" bestFit="1" customWidth="1"/>
    <col min="34" max="45" width="21.28515625" hidden="1" customWidth="1"/>
    <col min="46" max="46" width="19.42578125" hidden="1" customWidth="1"/>
    <col min="47" max="47" width="20.42578125" hidden="1" customWidth="1"/>
    <col min="48" max="48" width="21.28515625" hidden="1" customWidth="1"/>
    <col min="49" max="50" width="16.7109375" hidden="1" customWidth="1"/>
    <col min="51" max="51" width="18.28515625" hidden="1" customWidth="1"/>
    <col min="52" max="52" width="16.140625" hidden="1" customWidth="1"/>
    <col min="53" max="53" width="17.85546875" hidden="1" customWidth="1"/>
    <col min="54" max="54" width="16.7109375" hidden="1" customWidth="1"/>
    <col min="55" max="57" width="19.140625" hidden="1" customWidth="1"/>
    <col min="58" max="70" width="20" style="27" customWidth="1"/>
    <col min="71" max="71" width="20.42578125" customWidth="1"/>
    <col min="72" max="72" width="14.28515625" bestFit="1" customWidth="1"/>
    <col min="73" max="73" width="16.5703125" customWidth="1"/>
    <col min="74" max="74" width="16.140625" bestFit="1" customWidth="1"/>
    <col min="75" max="75" width="15.5703125" customWidth="1"/>
    <col min="76" max="76" width="18.28515625" customWidth="1"/>
    <col min="77" max="77" width="17.5703125" customWidth="1"/>
    <col min="78" max="78" width="16.7109375" customWidth="1"/>
    <col min="79" max="79" width="17.5703125" customWidth="1"/>
    <col min="80" max="80" width="16.140625" customWidth="1"/>
  </cols>
  <sheetData>
    <row r="1" spans="1:80" ht="15" customHeight="1">
      <c r="A1" s="280"/>
      <c r="B1" s="259" t="s">
        <v>58</v>
      </c>
      <c r="C1" s="259" t="s">
        <v>58</v>
      </c>
      <c r="D1" s="259" t="s">
        <v>58</v>
      </c>
      <c r="E1" s="259" t="s">
        <v>58</v>
      </c>
      <c r="F1" s="259" t="s">
        <v>58</v>
      </c>
      <c r="G1" s="259" t="s">
        <v>58</v>
      </c>
      <c r="H1" s="259" t="s">
        <v>58</v>
      </c>
      <c r="I1" s="259" t="s">
        <v>58</v>
      </c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59" t="s">
        <v>58</v>
      </c>
    </row>
    <row r="2" spans="1:80" ht="24.6" customHeight="1">
      <c r="A2" s="168"/>
      <c r="B2" s="222" t="s">
        <v>59</v>
      </c>
      <c r="C2" s="222" t="s">
        <v>60</v>
      </c>
      <c r="D2" s="222" t="s">
        <v>61</v>
      </c>
      <c r="E2" s="222" t="s">
        <v>62</v>
      </c>
      <c r="F2" s="222" t="s">
        <v>63</v>
      </c>
      <c r="G2" s="222" t="s">
        <v>64</v>
      </c>
      <c r="H2" s="222" t="s">
        <v>65</v>
      </c>
      <c r="I2" s="315">
        <v>43101</v>
      </c>
      <c r="J2" s="315">
        <v>43132</v>
      </c>
      <c r="K2" s="315">
        <v>43160</v>
      </c>
      <c r="L2" s="315">
        <v>43191</v>
      </c>
      <c r="M2" s="315">
        <v>43221</v>
      </c>
      <c r="N2" s="315">
        <v>43252</v>
      </c>
      <c r="O2" s="315">
        <v>43282</v>
      </c>
      <c r="P2" s="315">
        <v>43313</v>
      </c>
      <c r="Q2" s="315">
        <v>43344</v>
      </c>
      <c r="R2" s="315">
        <v>43405</v>
      </c>
      <c r="S2" s="315">
        <v>43435</v>
      </c>
      <c r="T2" s="315" t="s">
        <v>7</v>
      </c>
      <c r="U2" s="315">
        <v>43466</v>
      </c>
      <c r="V2" s="315">
        <v>43497</v>
      </c>
      <c r="W2" s="315">
        <v>43525</v>
      </c>
      <c r="X2" s="315">
        <v>43556</v>
      </c>
      <c r="Y2" s="315">
        <v>43586</v>
      </c>
      <c r="Z2" s="315">
        <v>43617</v>
      </c>
      <c r="AA2" s="315">
        <v>43647</v>
      </c>
      <c r="AB2" s="315">
        <v>43678</v>
      </c>
      <c r="AC2" s="315">
        <v>43709</v>
      </c>
      <c r="AD2" s="315">
        <v>43739</v>
      </c>
      <c r="AE2" s="315">
        <v>43770</v>
      </c>
      <c r="AF2" s="315">
        <v>43800</v>
      </c>
      <c r="AG2" s="222" t="s">
        <v>66</v>
      </c>
      <c r="AH2" s="211">
        <v>43831</v>
      </c>
      <c r="AI2" s="211">
        <v>43862</v>
      </c>
      <c r="AJ2" s="211">
        <v>43891</v>
      </c>
      <c r="AK2" s="211">
        <v>43922</v>
      </c>
      <c r="AL2" s="211">
        <v>43952</v>
      </c>
      <c r="AM2" s="211">
        <v>43983</v>
      </c>
      <c r="AN2" s="211">
        <v>44044</v>
      </c>
      <c r="AO2" s="211">
        <v>44075</v>
      </c>
      <c r="AP2" s="211">
        <v>44105</v>
      </c>
      <c r="AQ2" s="211">
        <v>44136</v>
      </c>
      <c r="AR2" s="211">
        <v>44166</v>
      </c>
      <c r="AS2" s="211" t="s">
        <v>9</v>
      </c>
      <c r="AT2" s="211">
        <v>44197</v>
      </c>
      <c r="AU2" s="211">
        <v>44228</v>
      </c>
      <c r="AV2" s="211">
        <v>44256</v>
      </c>
      <c r="AW2" s="211">
        <v>44287</v>
      </c>
      <c r="AX2" s="211">
        <v>44317</v>
      </c>
      <c r="AY2" s="211">
        <v>44348</v>
      </c>
      <c r="AZ2" s="211">
        <v>44378</v>
      </c>
      <c r="BA2" s="211">
        <v>44409</v>
      </c>
      <c r="BB2" s="211">
        <v>44440</v>
      </c>
      <c r="BC2" s="211">
        <v>44470</v>
      </c>
      <c r="BD2" s="211">
        <v>44501</v>
      </c>
      <c r="BE2" s="211">
        <v>44531</v>
      </c>
      <c r="BF2" s="358" t="s">
        <v>10</v>
      </c>
      <c r="BG2" s="211">
        <v>44562</v>
      </c>
      <c r="BH2" s="211">
        <v>44593</v>
      </c>
      <c r="BI2" s="211">
        <v>44621</v>
      </c>
      <c r="BJ2" s="211">
        <v>44652</v>
      </c>
      <c r="BK2" s="211">
        <v>44682</v>
      </c>
      <c r="BL2" s="211">
        <v>44713</v>
      </c>
      <c r="BM2" s="211">
        <v>44743</v>
      </c>
      <c r="BN2" s="211">
        <v>44774</v>
      </c>
      <c r="BO2" s="211">
        <v>44805</v>
      </c>
      <c r="BP2" s="211">
        <v>44835</v>
      </c>
      <c r="BQ2" s="211">
        <v>44866</v>
      </c>
      <c r="BR2" s="211">
        <v>44896</v>
      </c>
      <c r="BS2" s="358" t="s">
        <v>11</v>
      </c>
      <c r="BT2" s="372">
        <v>44927</v>
      </c>
      <c r="BU2" s="372">
        <v>44958</v>
      </c>
      <c r="BV2" s="372">
        <v>44986</v>
      </c>
      <c r="BW2" s="372">
        <v>45017</v>
      </c>
      <c r="BX2" s="372">
        <v>45047</v>
      </c>
      <c r="BY2" s="372">
        <v>45078</v>
      </c>
      <c r="BZ2" s="372">
        <v>45108</v>
      </c>
      <c r="CA2" s="372">
        <v>45139</v>
      </c>
      <c r="CB2" s="372">
        <v>45170</v>
      </c>
    </row>
    <row r="3" spans="1:80" ht="20.45" customHeight="1">
      <c r="A3" s="169" t="s">
        <v>67</v>
      </c>
      <c r="B3" s="212">
        <f t="shared" ref="B3:G3" si="0">B4+B7</f>
        <v>4618217</v>
      </c>
      <c r="C3" s="212">
        <f t="shared" si="0"/>
        <v>5184217</v>
      </c>
      <c r="D3" s="212">
        <f t="shared" si="0"/>
        <v>7952957</v>
      </c>
      <c r="E3" s="212">
        <f t="shared" si="0"/>
        <v>8542749</v>
      </c>
      <c r="F3" s="212">
        <f t="shared" si="0"/>
        <v>8421094</v>
      </c>
      <c r="G3" s="212">
        <f t="shared" si="0"/>
        <v>8907817</v>
      </c>
      <c r="H3" s="212">
        <f>H4+H7</f>
        <v>8230050</v>
      </c>
      <c r="I3" s="212">
        <f t="shared" ref="I3:R3" si="1">I4+I7</f>
        <v>232839.35</v>
      </c>
      <c r="J3" s="212">
        <f t="shared" si="1"/>
        <v>765791.9</v>
      </c>
      <c r="K3" s="212">
        <f t="shared" si="1"/>
        <v>1308791.1600000001</v>
      </c>
      <c r="L3" s="212">
        <f t="shared" si="1"/>
        <v>1857219.05</v>
      </c>
      <c r="M3" s="212">
        <f t="shared" si="1"/>
        <v>2403143.2199999997</v>
      </c>
      <c r="N3" s="212">
        <f t="shared" si="1"/>
        <v>2954973.3200000003</v>
      </c>
      <c r="O3" s="212">
        <f t="shared" si="1"/>
        <v>3804598.31</v>
      </c>
      <c r="P3" s="212">
        <f t="shared" si="1"/>
        <v>4439198.1500000004</v>
      </c>
      <c r="Q3" s="212">
        <f t="shared" si="1"/>
        <v>4751178.25</v>
      </c>
      <c r="R3" s="212">
        <f t="shared" si="1"/>
        <v>6076676.0300000003</v>
      </c>
      <c r="S3" s="212">
        <f>S4+S7</f>
        <v>6975684.0199999996</v>
      </c>
      <c r="T3" s="212">
        <f>T4+T7</f>
        <v>8906254</v>
      </c>
      <c r="U3" s="212">
        <f>U4+U7</f>
        <v>587474.57000000007</v>
      </c>
      <c r="V3" s="212">
        <f t="shared" ref="V3:AA3" si="2">V4+V7</f>
        <v>926176.73</v>
      </c>
      <c r="W3" s="212">
        <f t="shared" si="2"/>
        <v>1768646.24</v>
      </c>
      <c r="X3" s="212">
        <f t="shared" si="2"/>
        <v>2409089.27</v>
      </c>
      <c r="Y3" s="212">
        <f t="shared" si="2"/>
        <v>2991381.3899999997</v>
      </c>
      <c r="Z3" s="212">
        <f t="shared" si="2"/>
        <v>3319646.5999999996</v>
      </c>
      <c r="AA3" s="212">
        <f t="shared" si="2"/>
        <v>4159253.5300000003</v>
      </c>
      <c r="AB3" s="212">
        <f>AB4+AB7</f>
        <v>4837686.97</v>
      </c>
      <c r="AC3" s="212">
        <f>AC4+AC7</f>
        <v>5400161.5999999996</v>
      </c>
      <c r="AD3" s="212">
        <f>AD4+AD7</f>
        <v>5965336.1699999999</v>
      </c>
      <c r="AE3" s="212">
        <f>AE4+AE7</f>
        <v>6667552.5999999996</v>
      </c>
      <c r="AF3" s="212">
        <f>AF4+AF7</f>
        <v>7197025.7199999997</v>
      </c>
      <c r="AG3" s="212">
        <f t="shared" ref="AG3:AS3" si="3">AG4+AG7</f>
        <v>9205405</v>
      </c>
      <c r="AH3" s="212">
        <f t="shared" si="3"/>
        <v>597213.1</v>
      </c>
      <c r="AI3" s="212">
        <f t="shared" si="3"/>
        <v>1207567.5899999999</v>
      </c>
      <c r="AJ3" s="212">
        <f t="shared" si="3"/>
        <v>1946778.52</v>
      </c>
      <c r="AK3" s="212">
        <f t="shared" si="3"/>
        <v>2388402.27</v>
      </c>
      <c r="AL3" s="212">
        <f t="shared" si="3"/>
        <v>2961358.0300000003</v>
      </c>
      <c r="AM3" s="212">
        <f t="shared" si="3"/>
        <v>3553566.88</v>
      </c>
      <c r="AN3" s="212">
        <f t="shared" si="3"/>
        <v>4773294.05</v>
      </c>
      <c r="AO3" s="212">
        <f t="shared" si="3"/>
        <v>5423511.4100000001</v>
      </c>
      <c r="AP3" s="212">
        <f t="shared" si="3"/>
        <v>6110883.5800000001</v>
      </c>
      <c r="AQ3" s="212">
        <f t="shared" si="3"/>
        <v>6724566.6699999999</v>
      </c>
      <c r="AR3" s="212">
        <f t="shared" si="3"/>
        <v>7474728.8399999999</v>
      </c>
      <c r="AS3" s="212">
        <f t="shared" si="3"/>
        <v>9023693</v>
      </c>
      <c r="AT3" s="212">
        <f t="shared" ref="AT3:BB3" si="4">AT4+AT7</f>
        <v>215279.83000000002</v>
      </c>
      <c r="AU3" s="212">
        <f t="shared" si="4"/>
        <v>862315.16999999993</v>
      </c>
      <c r="AV3" s="212">
        <f t="shared" si="4"/>
        <v>1785560.6400000001</v>
      </c>
      <c r="AW3" s="212">
        <f t="shared" si="4"/>
        <v>2438373.17</v>
      </c>
      <c r="AX3" s="212">
        <f t="shared" si="4"/>
        <v>3093671.4699999997</v>
      </c>
      <c r="AY3" s="212">
        <f t="shared" si="4"/>
        <v>3538178.84</v>
      </c>
      <c r="AZ3" s="212">
        <f t="shared" si="4"/>
        <v>4614846.07</v>
      </c>
      <c r="BA3" s="212">
        <f t="shared" si="4"/>
        <v>5325862</v>
      </c>
      <c r="BB3" s="212">
        <f t="shared" si="4"/>
        <v>5775265.3499999996</v>
      </c>
      <c r="BC3" s="212">
        <f t="shared" ref="BC3:BR3" si="5">BC4+BC7</f>
        <v>6825224.8399999999</v>
      </c>
      <c r="BD3" s="212">
        <f t="shared" si="5"/>
        <v>7469834.5300000003</v>
      </c>
      <c r="BE3" s="212">
        <f t="shared" si="5"/>
        <v>8157133.2000000002</v>
      </c>
      <c r="BF3" s="212">
        <f t="shared" si="5"/>
        <v>10142803</v>
      </c>
      <c r="BG3" s="212">
        <f t="shared" si="5"/>
        <v>650214.37</v>
      </c>
      <c r="BH3" s="212">
        <f t="shared" si="5"/>
        <v>1286867.1400000001</v>
      </c>
      <c r="BI3" s="212">
        <f t="shared" si="5"/>
        <v>1996016.63</v>
      </c>
      <c r="BJ3" s="212">
        <f t="shared" si="5"/>
        <v>2771444.98</v>
      </c>
      <c r="BK3" s="212">
        <f t="shared" si="5"/>
        <v>3466451.73</v>
      </c>
      <c r="BL3" s="212">
        <f t="shared" si="5"/>
        <v>4158877.25</v>
      </c>
      <c r="BM3" s="212">
        <f t="shared" si="5"/>
        <v>4910808.1500000004</v>
      </c>
      <c r="BN3" s="212">
        <f t="shared" si="5"/>
        <v>5623108.7200000007</v>
      </c>
      <c r="BO3" s="212">
        <f t="shared" si="5"/>
        <v>6446789.0700000003</v>
      </c>
      <c r="BP3" s="212">
        <f t="shared" si="5"/>
        <v>7032430.1500000004</v>
      </c>
      <c r="BQ3" s="212">
        <f t="shared" si="5"/>
        <v>7840413.9500000002</v>
      </c>
      <c r="BR3" s="212">
        <f t="shared" si="5"/>
        <v>8620702.8000000007</v>
      </c>
      <c r="BS3" s="212">
        <f t="shared" ref="BS3:BW3" si="6">BS4+BS7</f>
        <v>10468379</v>
      </c>
      <c r="BT3" s="212">
        <f t="shared" si="6"/>
        <v>709847</v>
      </c>
      <c r="BU3" s="212">
        <f t="shared" si="6"/>
        <v>1346117</v>
      </c>
      <c r="BV3" s="212">
        <f t="shared" si="6"/>
        <v>2277991</v>
      </c>
      <c r="BW3" s="212">
        <f t="shared" si="6"/>
        <v>2919746.42</v>
      </c>
      <c r="BX3" s="212">
        <f>BX4+BX7</f>
        <v>3803900.2</v>
      </c>
      <c r="BY3" s="212">
        <f>BY4+BY7</f>
        <v>4460312.2</v>
      </c>
      <c r="BZ3" s="212">
        <f>BZ4+BZ7</f>
        <v>6714536.2699999996</v>
      </c>
      <c r="CA3" s="212">
        <f>CA4+CA7</f>
        <v>7551446.2400000002</v>
      </c>
      <c r="CB3" s="212">
        <f>CB4+CB7</f>
        <v>8166071.4000000004</v>
      </c>
    </row>
    <row r="4" spans="1:80" ht="15.75">
      <c r="A4" s="169" t="s">
        <v>68</v>
      </c>
      <c r="B4" s="212">
        <f t="shared" ref="B4:G4" si="7">SUM(B5:B6)</f>
        <v>3294763</v>
      </c>
      <c r="C4" s="212">
        <f t="shared" si="7"/>
        <v>4288884</v>
      </c>
      <c r="D4" s="212">
        <f t="shared" si="7"/>
        <v>6035735</v>
      </c>
      <c r="E4" s="212">
        <f t="shared" si="7"/>
        <v>7524715</v>
      </c>
      <c r="F4" s="212">
        <f t="shared" si="7"/>
        <v>4986862</v>
      </c>
      <c r="G4" s="212">
        <f t="shared" si="7"/>
        <v>3743538</v>
      </c>
      <c r="H4" s="212">
        <f>SUM(H5:H6)</f>
        <v>3567572</v>
      </c>
      <c r="I4" s="212">
        <f t="shared" ref="I4:R4" si="8">SUM(I5:I6)</f>
        <v>11651.35</v>
      </c>
      <c r="J4" s="212">
        <f t="shared" si="8"/>
        <v>301453.90000000002</v>
      </c>
      <c r="K4" s="212">
        <f t="shared" si="8"/>
        <v>585768.16</v>
      </c>
      <c r="L4" s="212">
        <f t="shared" si="8"/>
        <v>874257.55</v>
      </c>
      <c r="M4" s="212">
        <f t="shared" si="8"/>
        <v>1148206.22</v>
      </c>
      <c r="N4" s="212">
        <f t="shared" si="8"/>
        <v>1424737.32</v>
      </c>
      <c r="O4" s="212">
        <f t="shared" si="8"/>
        <v>1935845.31</v>
      </c>
      <c r="P4" s="212">
        <f t="shared" si="8"/>
        <v>2208519.58</v>
      </c>
      <c r="Q4" s="212">
        <f t="shared" si="8"/>
        <v>2218615.15</v>
      </c>
      <c r="R4" s="212">
        <f t="shared" si="8"/>
        <v>2795560.93</v>
      </c>
      <c r="S4" s="212">
        <f>SUM(S5:S6)</f>
        <v>3321955.72</v>
      </c>
      <c r="T4" s="212">
        <f>SUM(T5:T6)</f>
        <v>3321956</v>
      </c>
      <c r="U4" s="212">
        <f>SUM(U5:U6)</f>
        <v>285791.57</v>
      </c>
      <c r="V4" s="212">
        <f t="shared" ref="V4:AA4" si="9">SUM(V5:V6)</f>
        <v>304362.23</v>
      </c>
      <c r="W4" s="212">
        <f t="shared" si="9"/>
        <v>825717.24</v>
      </c>
      <c r="X4" s="212">
        <f t="shared" si="9"/>
        <v>1100922.95</v>
      </c>
      <c r="Y4" s="212">
        <f t="shared" si="9"/>
        <v>1368129.17</v>
      </c>
      <c r="Z4" s="212">
        <f t="shared" si="9"/>
        <v>1387377.88</v>
      </c>
      <c r="AA4" s="212">
        <f t="shared" si="9"/>
        <v>1861531.86</v>
      </c>
      <c r="AB4" s="212">
        <f>SUM(AB5:AB6)</f>
        <v>2126795.2999999998</v>
      </c>
      <c r="AC4" s="212">
        <f>SUM(AC5:AC6)</f>
        <v>2407641.4300000002</v>
      </c>
      <c r="AD4" s="212">
        <f>SUM(AD5:AD6)</f>
        <v>2662890</v>
      </c>
      <c r="AE4" s="212">
        <f>SUM(AE5:AE6)</f>
        <v>2955324.93</v>
      </c>
      <c r="AF4" s="212">
        <f>SUM(AF5:AF6)</f>
        <v>3214668.05</v>
      </c>
      <c r="AG4" s="212">
        <f t="shared" ref="AG4:AS4" si="10">SUM(AG5:AG6)</f>
        <v>3214668</v>
      </c>
      <c r="AH4" s="212">
        <f t="shared" si="10"/>
        <v>292294.09999999998</v>
      </c>
      <c r="AI4" s="212">
        <f t="shared" si="10"/>
        <v>594618.59</v>
      </c>
      <c r="AJ4" s="212">
        <f t="shared" si="10"/>
        <v>878858.52</v>
      </c>
      <c r="AK4" s="212">
        <f t="shared" si="10"/>
        <v>1163295.27</v>
      </c>
      <c r="AL4" s="212">
        <f t="shared" si="10"/>
        <v>1431499.53</v>
      </c>
      <c r="AM4" s="212">
        <f t="shared" si="10"/>
        <v>1706433.48</v>
      </c>
      <c r="AN4" s="212">
        <f t="shared" si="10"/>
        <v>2247354.5</v>
      </c>
      <c r="AO4" s="212">
        <f t="shared" si="10"/>
        <v>2524122.86</v>
      </c>
      <c r="AP4" s="212">
        <f t="shared" si="10"/>
        <v>2837829.03</v>
      </c>
      <c r="AQ4" s="212">
        <f t="shared" si="10"/>
        <v>3125492.12</v>
      </c>
      <c r="AR4" s="212">
        <f t="shared" si="10"/>
        <v>3390721.29</v>
      </c>
      <c r="AS4" s="212">
        <f t="shared" si="10"/>
        <v>3390720</v>
      </c>
      <c r="AT4" s="212">
        <f t="shared" ref="AT4:BB4" si="11">SUM(AT5:AT6)</f>
        <v>16718.830000000002</v>
      </c>
      <c r="AU4" s="212">
        <f t="shared" si="11"/>
        <v>297804.17</v>
      </c>
      <c r="AV4" s="212">
        <f t="shared" si="11"/>
        <v>865337.64</v>
      </c>
      <c r="AW4" s="212">
        <f t="shared" si="11"/>
        <v>1175347.67</v>
      </c>
      <c r="AX4" s="212">
        <f t="shared" si="11"/>
        <v>1474867.27</v>
      </c>
      <c r="AY4" s="212">
        <f t="shared" si="11"/>
        <v>1511971.82</v>
      </c>
      <c r="AZ4" s="212">
        <f t="shared" si="11"/>
        <v>2130246.5499999998</v>
      </c>
      <c r="BA4" s="212">
        <f t="shared" si="11"/>
        <v>2468884.98</v>
      </c>
      <c r="BB4" s="212">
        <f t="shared" si="11"/>
        <v>2526325.83</v>
      </c>
      <c r="BC4" s="212">
        <f t="shared" ref="BC4:BR4" si="12">SUM(BC5:BC6)</f>
        <v>3152612.02</v>
      </c>
      <c r="BD4" s="212">
        <f t="shared" si="12"/>
        <v>3471549.21</v>
      </c>
      <c r="BE4" s="212">
        <f t="shared" si="12"/>
        <v>3814191.88</v>
      </c>
      <c r="BF4" s="212">
        <f t="shared" si="12"/>
        <v>3859683</v>
      </c>
      <c r="BG4" s="212">
        <f t="shared" si="12"/>
        <v>310141.87</v>
      </c>
      <c r="BH4" s="212">
        <f t="shared" si="12"/>
        <v>610009.64</v>
      </c>
      <c r="BI4" s="212">
        <f t="shared" si="12"/>
        <v>930395.63</v>
      </c>
      <c r="BJ4" s="212">
        <f t="shared" si="12"/>
        <v>1259345.98</v>
      </c>
      <c r="BK4" s="212">
        <f t="shared" si="12"/>
        <v>1594549.73</v>
      </c>
      <c r="BL4" s="212">
        <f t="shared" si="12"/>
        <v>1918860.25</v>
      </c>
      <c r="BM4" s="212">
        <f t="shared" si="12"/>
        <v>2273366.15</v>
      </c>
      <c r="BN4" s="212">
        <f t="shared" si="12"/>
        <v>2613963.7200000002</v>
      </c>
      <c r="BO4" s="212">
        <f t="shared" si="12"/>
        <v>2958270.07</v>
      </c>
      <c r="BP4" s="212">
        <f t="shared" si="12"/>
        <v>3291439.15</v>
      </c>
      <c r="BQ4" s="212">
        <f t="shared" si="12"/>
        <v>3623792.95</v>
      </c>
      <c r="BR4" s="212">
        <f t="shared" si="12"/>
        <v>3962796.8</v>
      </c>
      <c r="BS4" s="212">
        <f t="shared" ref="BS4:BW4" si="13">SUM(BS5:BS6)</f>
        <v>8080294</v>
      </c>
      <c r="BT4" s="212">
        <f t="shared" si="13"/>
        <v>345293</v>
      </c>
      <c r="BU4" s="212">
        <f t="shared" si="13"/>
        <v>700748</v>
      </c>
      <c r="BV4" s="212">
        <f t="shared" si="13"/>
        <v>1055101</v>
      </c>
      <c r="BW4" s="212">
        <f t="shared" si="13"/>
        <v>1455961.42</v>
      </c>
      <c r="BX4" s="212">
        <f>SUM(BX5:BX6)</f>
        <v>1802684.2</v>
      </c>
      <c r="BY4" s="212">
        <f>SUM(BY5:BY6)</f>
        <v>2122977.2000000002</v>
      </c>
      <c r="BZ4" s="212">
        <f>SUM(BZ5:BZ6)</f>
        <v>5883113.0199999996</v>
      </c>
      <c r="CA4" s="212">
        <f>SUM(CA5:CA6)</f>
        <v>6640332.9900000002</v>
      </c>
      <c r="CB4" s="212">
        <f>SUM(CB5:CB6)</f>
        <v>7206908.1500000004</v>
      </c>
    </row>
    <row r="5" spans="1:80" ht="14.25">
      <c r="A5" s="170" t="s">
        <v>69</v>
      </c>
      <c r="B5" s="305">
        <f>2885192+409571</f>
        <v>3294763</v>
      </c>
      <c r="C5" s="308">
        <f>2929622+1359262</f>
        <v>4288884</v>
      </c>
      <c r="D5" s="309">
        <v>3512831</v>
      </c>
      <c r="E5" s="310">
        <v>4843673</v>
      </c>
      <c r="F5" s="311">
        <v>4986862</v>
      </c>
      <c r="G5" s="296">
        <v>3743538</v>
      </c>
      <c r="H5" s="314">
        <v>3567572</v>
      </c>
      <c r="I5" s="316">
        <v>11651.35</v>
      </c>
      <c r="J5" s="316">
        <v>301453.90000000002</v>
      </c>
      <c r="K5" s="316">
        <v>585768.16</v>
      </c>
      <c r="L5" s="316">
        <v>874257.55</v>
      </c>
      <c r="M5" s="316">
        <v>1148206.22</v>
      </c>
      <c r="N5" s="316">
        <v>1424737.32</v>
      </c>
      <c r="O5" s="316">
        <v>1935845.31</v>
      </c>
      <c r="P5" s="316">
        <v>2208519.58</v>
      </c>
      <c r="Q5" s="319">
        <v>2218615.15</v>
      </c>
      <c r="R5" s="316">
        <v>2795560.93</v>
      </c>
      <c r="S5" s="316">
        <v>3321955.72</v>
      </c>
      <c r="T5" s="316">
        <v>3321956</v>
      </c>
      <c r="U5" s="322">
        <v>285791.57</v>
      </c>
      <c r="V5" s="322">
        <v>304362.23</v>
      </c>
      <c r="W5" s="322">
        <v>825717.24</v>
      </c>
      <c r="X5" s="322">
        <v>1100922.95</v>
      </c>
      <c r="Y5" s="322">
        <v>1368129.17</v>
      </c>
      <c r="Z5" s="324">
        <v>1387377.88</v>
      </c>
      <c r="AA5" s="325">
        <v>1861531.86</v>
      </c>
      <c r="AB5" s="325">
        <v>2126795.2999999998</v>
      </c>
      <c r="AC5" s="325">
        <v>2407641.4300000002</v>
      </c>
      <c r="AD5" s="316">
        <v>2662890</v>
      </c>
      <c r="AE5" s="316">
        <v>2955324.93</v>
      </c>
      <c r="AF5" s="319">
        <v>3214668.05</v>
      </c>
      <c r="AG5" s="302">
        <f>2960343+254325</f>
        <v>3214668</v>
      </c>
      <c r="AH5" s="281">
        <v>292294.09999999998</v>
      </c>
      <c r="AI5" s="281">
        <v>594618.59</v>
      </c>
      <c r="AJ5" s="281">
        <v>878858.52</v>
      </c>
      <c r="AK5" s="281">
        <v>1163295.27</v>
      </c>
      <c r="AL5" s="281">
        <v>1431499.53</v>
      </c>
      <c r="AM5" s="281">
        <v>1706433.48</v>
      </c>
      <c r="AN5" s="281">
        <v>2247354.5</v>
      </c>
      <c r="AO5" s="281">
        <v>2524122.86</v>
      </c>
      <c r="AP5" s="281">
        <v>2837829.03</v>
      </c>
      <c r="AQ5" s="281">
        <v>3125492.12</v>
      </c>
      <c r="AR5" s="281">
        <v>3390721.29</v>
      </c>
      <c r="AS5" s="304">
        <f>3124887+265833</f>
        <v>3390720</v>
      </c>
      <c r="AT5" s="281">
        <v>16718.830000000002</v>
      </c>
      <c r="AU5" s="281">
        <v>297804.17</v>
      </c>
      <c r="AV5" s="281">
        <v>865337.64</v>
      </c>
      <c r="AW5" s="281">
        <v>1175347.67</v>
      </c>
      <c r="AX5" s="281">
        <v>1474867.27</v>
      </c>
      <c r="AY5" s="333">
        <v>1511971.82</v>
      </c>
      <c r="AZ5" s="335">
        <v>2130246.5499999998</v>
      </c>
      <c r="BA5" s="333">
        <v>2468884.98</v>
      </c>
      <c r="BB5" s="333">
        <v>2526325.83</v>
      </c>
      <c r="BC5" s="333">
        <v>3152612.02</v>
      </c>
      <c r="BD5" s="335">
        <v>3471549.21</v>
      </c>
      <c r="BE5" s="335">
        <v>3814191.88</v>
      </c>
      <c r="BF5" s="27">
        <v>3859683</v>
      </c>
      <c r="BG5" s="333">
        <v>310141.87</v>
      </c>
      <c r="BH5" s="335">
        <v>610009.64</v>
      </c>
      <c r="BI5" s="335">
        <v>930395.63</v>
      </c>
      <c r="BJ5" s="335">
        <v>1259345.98</v>
      </c>
      <c r="BK5" s="335">
        <v>1594549.73</v>
      </c>
      <c r="BL5" s="335">
        <v>1918860.25</v>
      </c>
      <c r="BM5" s="335">
        <v>2273366.15</v>
      </c>
      <c r="BN5" s="335">
        <v>2613963.7200000002</v>
      </c>
      <c r="BO5" s="335">
        <v>2958270.07</v>
      </c>
      <c r="BP5" s="335">
        <v>3291439.15</v>
      </c>
      <c r="BQ5" s="335">
        <v>3623792.95</v>
      </c>
      <c r="BR5" s="335">
        <v>3962796.8</v>
      </c>
      <c r="BS5" s="27">
        <f>3666592+408725</f>
        <v>4075317</v>
      </c>
      <c r="BT5" s="333">
        <v>345293</v>
      </c>
      <c r="BU5" s="335">
        <v>700748</v>
      </c>
      <c r="BV5" s="335">
        <v>1055101</v>
      </c>
      <c r="BW5" s="333">
        <v>1455961.42</v>
      </c>
      <c r="BX5" s="385">
        <v>1802684.2</v>
      </c>
      <c r="BY5" s="333">
        <v>2122977.2000000002</v>
      </c>
      <c r="BZ5" s="333">
        <v>2693298.02</v>
      </c>
      <c r="CA5" s="333">
        <v>3112863.99</v>
      </c>
      <c r="CB5" s="438">
        <v>3173667.15</v>
      </c>
    </row>
    <row r="6" spans="1:80" ht="14.25">
      <c r="A6" s="170" t="s">
        <v>70</v>
      </c>
      <c r="B6" s="303"/>
      <c r="C6" s="303"/>
      <c r="D6" s="309">
        <v>2522904</v>
      </c>
      <c r="E6" s="310">
        <v>2681042</v>
      </c>
      <c r="F6" s="303"/>
      <c r="G6" s="303"/>
      <c r="H6" s="303"/>
      <c r="I6" s="316">
        <v>0</v>
      </c>
      <c r="J6" s="316">
        <v>0</v>
      </c>
      <c r="K6" s="316">
        <v>0</v>
      </c>
      <c r="L6" s="316">
        <v>0</v>
      </c>
      <c r="M6" s="316">
        <v>0</v>
      </c>
      <c r="N6" s="316">
        <v>0</v>
      </c>
      <c r="O6" s="316">
        <v>0</v>
      </c>
      <c r="P6" s="316">
        <v>0</v>
      </c>
      <c r="Q6" s="319">
        <v>0</v>
      </c>
      <c r="R6" s="316">
        <v>0</v>
      </c>
      <c r="S6" s="316">
        <v>0</v>
      </c>
      <c r="T6" s="303"/>
      <c r="U6" s="322">
        <v>0</v>
      </c>
      <c r="V6" s="322">
        <v>0</v>
      </c>
      <c r="W6" s="322">
        <v>0</v>
      </c>
      <c r="X6" s="322">
        <v>0</v>
      </c>
      <c r="Y6" s="322">
        <v>0</v>
      </c>
      <c r="Z6" s="324">
        <v>0</v>
      </c>
      <c r="AA6" s="325">
        <v>0</v>
      </c>
      <c r="AB6" s="325">
        <v>0</v>
      </c>
      <c r="AC6" s="325">
        <v>0</v>
      </c>
      <c r="AD6" s="316">
        <v>0</v>
      </c>
      <c r="AE6" s="316">
        <v>0</v>
      </c>
      <c r="AF6" s="319">
        <v>0</v>
      </c>
      <c r="AG6" s="303"/>
      <c r="AH6" s="281">
        <v>0</v>
      </c>
      <c r="AI6" s="281">
        <v>0</v>
      </c>
      <c r="AJ6" s="281">
        <v>0</v>
      </c>
      <c r="AK6" s="281">
        <v>0</v>
      </c>
      <c r="AL6" s="281">
        <v>0</v>
      </c>
      <c r="AM6" s="281">
        <v>0</v>
      </c>
      <c r="AN6" s="281">
        <v>0</v>
      </c>
      <c r="AO6" s="281">
        <v>0</v>
      </c>
      <c r="AP6" s="281">
        <v>0</v>
      </c>
      <c r="AQ6" s="281">
        <v>0</v>
      </c>
      <c r="AR6" s="281">
        <v>0</v>
      </c>
      <c r="AS6" s="297">
        <v>0</v>
      </c>
      <c r="AT6" s="281">
        <v>0</v>
      </c>
      <c r="AU6" s="281">
        <v>0</v>
      </c>
      <c r="AV6" s="281">
        <v>0</v>
      </c>
      <c r="AW6" s="281">
        <v>0</v>
      </c>
      <c r="AX6" s="281">
        <v>0</v>
      </c>
      <c r="AY6" s="336">
        <v>0</v>
      </c>
      <c r="AZ6" s="337">
        <v>0</v>
      </c>
      <c r="BA6" s="336">
        <v>0</v>
      </c>
      <c r="BB6" s="336">
        <v>0</v>
      </c>
      <c r="BC6" s="336">
        <v>0</v>
      </c>
      <c r="BD6" s="337">
        <v>0</v>
      </c>
      <c r="BE6" s="337">
        <v>0</v>
      </c>
      <c r="BG6" s="336">
        <v>0</v>
      </c>
      <c r="BH6" s="337">
        <v>0</v>
      </c>
      <c r="BI6" s="337">
        <v>0</v>
      </c>
      <c r="BJ6" s="337">
        <v>0</v>
      </c>
      <c r="BK6" s="337">
        <v>0</v>
      </c>
      <c r="BL6" s="337">
        <v>0</v>
      </c>
      <c r="BM6" s="337">
        <v>0</v>
      </c>
      <c r="BN6" s="337">
        <v>0</v>
      </c>
      <c r="BO6" s="337">
        <v>0</v>
      </c>
      <c r="BP6" s="337">
        <v>0</v>
      </c>
      <c r="BQ6" s="337">
        <v>0</v>
      </c>
      <c r="BR6" s="337">
        <v>0</v>
      </c>
      <c r="BS6" s="27">
        <f>4004977</f>
        <v>4004977</v>
      </c>
      <c r="BT6" s="336">
        <v>0</v>
      </c>
      <c r="BU6" s="337">
        <v>0</v>
      </c>
      <c r="BV6" s="337">
        <v>0</v>
      </c>
      <c r="BW6" s="336">
        <v>0</v>
      </c>
      <c r="BX6" s="386">
        <v>0</v>
      </c>
      <c r="BY6" s="336">
        <v>0</v>
      </c>
      <c r="BZ6" s="338">
        <v>3189815</v>
      </c>
      <c r="CA6" s="338">
        <v>3527469</v>
      </c>
      <c r="CB6" s="440">
        <v>4033241</v>
      </c>
    </row>
    <row r="7" spans="1:80" ht="15.75">
      <c r="A7" s="169" t="s">
        <v>71</v>
      </c>
      <c r="B7" s="212">
        <f t="shared" ref="B7:I7" si="14">SUM(B8:B11)</f>
        <v>1323454</v>
      </c>
      <c r="C7" s="212">
        <f t="shared" si="14"/>
        <v>895333</v>
      </c>
      <c r="D7" s="212">
        <f t="shared" si="14"/>
        <v>1917222</v>
      </c>
      <c r="E7" s="212">
        <f t="shared" si="14"/>
        <v>1018034</v>
      </c>
      <c r="F7" s="212">
        <f t="shared" si="14"/>
        <v>3434232</v>
      </c>
      <c r="G7" s="212">
        <f t="shared" si="14"/>
        <v>5164279</v>
      </c>
      <c r="H7" s="212">
        <f t="shared" si="14"/>
        <v>4662478</v>
      </c>
      <c r="I7" s="212">
        <f t="shared" si="14"/>
        <v>221188</v>
      </c>
      <c r="J7" s="212">
        <f t="shared" ref="J7:R7" si="15">SUM(J8:J11)</f>
        <v>464338</v>
      </c>
      <c r="K7" s="212">
        <f t="shared" si="15"/>
        <v>723023</v>
      </c>
      <c r="L7" s="212">
        <f t="shared" si="15"/>
        <v>982961.5</v>
      </c>
      <c r="M7" s="212">
        <f t="shared" si="15"/>
        <v>1254937</v>
      </c>
      <c r="N7" s="212">
        <f t="shared" si="15"/>
        <v>1530236</v>
      </c>
      <c r="O7" s="212">
        <f t="shared" si="15"/>
        <v>1868753</v>
      </c>
      <c r="P7" s="212">
        <f t="shared" si="15"/>
        <v>2230678.5700000003</v>
      </c>
      <c r="Q7" s="212">
        <f t="shared" si="15"/>
        <v>2532563.1</v>
      </c>
      <c r="R7" s="212">
        <f t="shared" si="15"/>
        <v>3281115.1</v>
      </c>
      <c r="S7" s="212">
        <f>SUM(S8:S11)</f>
        <v>3653728.3</v>
      </c>
      <c r="T7" s="212">
        <f>SUM(T8:T11)</f>
        <v>5584298</v>
      </c>
      <c r="U7" s="212">
        <f>SUM(U8:U11)</f>
        <v>301683</v>
      </c>
      <c r="V7" s="212">
        <f t="shared" ref="V7:AA7" si="16">SUM(V8:V11)</f>
        <v>621814.5</v>
      </c>
      <c r="W7" s="212">
        <f t="shared" si="16"/>
        <v>942929</v>
      </c>
      <c r="X7" s="212">
        <f t="shared" si="16"/>
        <v>1308166.32</v>
      </c>
      <c r="Y7" s="212">
        <f t="shared" si="16"/>
        <v>1623252.22</v>
      </c>
      <c r="Z7" s="212">
        <f t="shared" si="16"/>
        <v>1932268.72</v>
      </c>
      <c r="AA7" s="212">
        <f t="shared" si="16"/>
        <v>2297721.67</v>
      </c>
      <c r="AB7" s="212">
        <f t="shared" ref="AB7:AG7" si="17">SUM(AB8:AB11)</f>
        <v>2710891.67</v>
      </c>
      <c r="AC7" s="212">
        <f t="shared" si="17"/>
        <v>2992520.17</v>
      </c>
      <c r="AD7" s="212">
        <f t="shared" si="17"/>
        <v>3302446.17</v>
      </c>
      <c r="AE7" s="212">
        <f t="shared" si="17"/>
        <v>3712227.67</v>
      </c>
      <c r="AF7" s="212">
        <f t="shared" si="17"/>
        <v>3982357.67</v>
      </c>
      <c r="AG7" s="212">
        <f t="shared" si="17"/>
        <v>5990737</v>
      </c>
      <c r="AH7" s="212">
        <f t="shared" ref="AH7:AO7" si="18">SUM(AH8:AH11)</f>
        <v>304919</v>
      </c>
      <c r="AI7" s="212">
        <f t="shared" si="18"/>
        <v>612949</v>
      </c>
      <c r="AJ7" s="212">
        <f t="shared" si="18"/>
        <v>1067920</v>
      </c>
      <c r="AK7" s="212">
        <f t="shared" si="18"/>
        <v>1225107</v>
      </c>
      <c r="AL7" s="212">
        <f t="shared" si="18"/>
        <v>1529858.5</v>
      </c>
      <c r="AM7" s="212">
        <f t="shared" si="18"/>
        <v>1847133.4</v>
      </c>
      <c r="AN7" s="212">
        <f t="shared" si="18"/>
        <v>2525939.5499999998</v>
      </c>
      <c r="AO7" s="212">
        <f t="shared" si="18"/>
        <v>2899388.55</v>
      </c>
      <c r="AP7" s="212">
        <f t="shared" ref="AP7:AV7" si="19">SUM(AP8:AP11)</f>
        <v>3273054.55</v>
      </c>
      <c r="AQ7" s="212">
        <f t="shared" si="19"/>
        <v>3599074.55</v>
      </c>
      <c r="AR7" s="212">
        <f t="shared" si="19"/>
        <v>4084007.55</v>
      </c>
      <c r="AS7" s="212">
        <f t="shared" si="19"/>
        <v>5632973</v>
      </c>
      <c r="AT7" s="212">
        <f t="shared" si="19"/>
        <v>198561</v>
      </c>
      <c r="AU7" s="212">
        <f t="shared" si="19"/>
        <v>564511</v>
      </c>
      <c r="AV7" s="212">
        <f t="shared" si="19"/>
        <v>920223</v>
      </c>
      <c r="AW7" s="212">
        <f t="shared" ref="AW7:BB7" si="20">SUM(AW8:AW11)</f>
        <v>1263025.5</v>
      </c>
      <c r="AX7" s="212">
        <f t="shared" si="20"/>
        <v>1618804.2</v>
      </c>
      <c r="AY7" s="212">
        <f t="shared" si="20"/>
        <v>2026207.02</v>
      </c>
      <c r="AZ7" s="212">
        <f t="shared" si="20"/>
        <v>2484599.52</v>
      </c>
      <c r="BA7" s="212">
        <f t="shared" si="20"/>
        <v>2856977.02</v>
      </c>
      <c r="BB7" s="212">
        <f t="shared" si="20"/>
        <v>3248939.52</v>
      </c>
      <c r="BC7" s="212">
        <f t="shared" ref="BC7:BR7" si="21">SUM(BC8:BC11)</f>
        <v>3672612.8200000003</v>
      </c>
      <c r="BD7" s="212">
        <f t="shared" si="21"/>
        <v>3998285.3200000003</v>
      </c>
      <c r="BE7" s="212">
        <f t="shared" si="21"/>
        <v>4342941.32</v>
      </c>
      <c r="BF7" s="212">
        <f t="shared" si="21"/>
        <v>6283120</v>
      </c>
      <c r="BG7" s="212">
        <f t="shared" si="21"/>
        <v>340072.5</v>
      </c>
      <c r="BH7" s="212">
        <f t="shared" si="21"/>
        <v>676857.5</v>
      </c>
      <c r="BI7" s="212">
        <f t="shared" si="21"/>
        <v>1065621</v>
      </c>
      <c r="BJ7" s="212">
        <f t="shared" si="21"/>
        <v>1512099</v>
      </c>
      <c r="BK7" s="212">
        <f t="shared" si="21"/>
        <v>1871902</v>
      </c>
      <c r="BL7" s="212">
        <f t="shared" si="21"/>
        <v>2240017</v>
      </c>
      <c r="BM7" s="212">
        <f t="shared" si="21"/>
        <v>2637442</v>
      </c>
      <c r="BN7" s="212">
        <f t="shared" si="21"/>
        <v>3009145</v>
      </c>
      <c r="BO7" s="212">
        <f t="shared" si="21"/>
        <v>3488519</v>
      </c>
      <c r="BP7" s="212">
        <f t="shared" si="21"/>
        <v>3740991</v>
      </c>
      <c r="BQ7" s="212">
        <f t="shared" si="21"/>
        <v>4216621</v>
      </c>
      <c r="BR7" s="212">
        <f t="shared" si="21"/>
        <v>4657906</v>
      </c>
      <c r="BS7" s="212">
        <f t="shared" ref="BS7:BW7" si="22">SUM(BS8:BS11)</f>
        <v>2388085</v>
      </c>
      <c r="BT7" s="212">
        <f t="shared" si="22"/>
        <v>364554</v>
      </c>
      <c r="BU7" s="212">
        <f t="shared" si="22"/>
        <v>645369</v>
      </c>
      <c r="BV7" s="212">
        <f t="shared" si="22"/>
        <v>1222890</v>
      </c>
      <c r="BW7" s="212">
        <f t="shared" si="22"/>
        <v>1463785</v>
      </c>
      <c r="BX7" s="212">
        <f>SUM(BX8:BX11)</f>
        <v>2001216</v>
      </c>
      <c r="BY7" s="212">
        <f>SUM(BY8:BY11)</f>
        <v>2337335</v>
      </c>
      <c r="BZ7" s="212">
        <f>SUM(BZ8:BZ11)</f>
        <v>831423.25</v>
      </c>
      <c r="CA7" s="212">
        <f>SUM(CA8:CA11)</f>
        <v>911113.25</v>
      </c>
      <c r="CB7" s="212">
        <f>SUM(CB8:CB11)</f>
        <v>959163.25</v>
      </c>
    </row>
    <row r="8" spans="1:80" ht="14.25">
      <c r="A8" s="170" t="s">
        <v>72</v>
      </c>
      <c r="B8" s="303"/>
      <c r="C8" s="303"/>
      <c r="D8" s="303"/>
      <c r="E8" s="303"/>
      <c r="F8" s="303"/>
      <c r="G8" s="312"/>
      <c r="H8" s="303"/>
      <c r="I8" s="316">
        <v>0</v>
      </c>
      <c r="J8" s="316">
        <v>0</v>
      </c>
      <c r="K8" s="316">
        <v>0</v>
      </c>
      <c r="L8" s="316">
        <v>0</v>
      </c>
      <c r="M8" s="316">
        <v>0</v>
      </c>
      <c r="N8" s="316">
        <v>0</v>
      </c>
      <c r="O8" s="316">
        <v>0</v>
      </c>
      <c r="P8" s="316">
        <v>0</v>
      </c>
      <c r="Q8" s="319">
        <v>0</v>
      </c>
      <c r="R8" s="316">
        <v>0</v>
      </c>
      <c r="S8" s="316">
        <v>0</v>
      </c>
      <c r="T8" s="314"/>
      <c r="U8" s="322">
        <v>0</v>
      </c>
      <c r="V8" s="322">
        <v>0</v>
      </c>
      <c r="W8" s="322">
        <v>0</v>
      </c>
      <c r="X8" s="322">
        <v>0</v>
      </c>
      <c r="Y8" s="322">
        <v>0</v>
      </c>
      <c r="Z8" s="324">
        <v>0</v>
      </c>
      <c r="AA8" s="325">
        <v>0</v>
      </c>
      <c r="AB8" s="325">
        <v>0</v>
      </c>
      <c r="AC8" s="325">
        <v>0</v>
      </c>
      <c r="AD8" s="316">
        <v>0</v>
      </c>
      <c r="AE8" s="316">
        <v>0</v>
      </c>
      <c r="AF8" s="319">
        <v>0</v>
      </c>
      <c r="AG8" s="303"/>
      <c r="AH8" s="281">
        <v>0</v>
      </c>
      <c r="AI8" s="281">
        <v>0</v>
      </c>
      <c r="AJ8" s="281">
        <v>0</v>
      </c>
      <c r="AK8" s="281">
        <v>0</v>
      </c>
      <c r="AL8" s="281">
        <v>0</v>
      </c>
      <c r="AM8" s="281">
        <v>0</v>
      </c>
      <c r="AN8" s="281">
        <v>0</v>
      </c>
      <c r="AO8" s="281">
        <v>0</v>
      </c>
      <c r="AP8" s="281">
        <v>0</v>
      </c>
      <c r="AQ8" s="281">
        <v>0</v>
      </c>
      <c r="AR8" s="281">
        <v>0</v>
      </c>
      <c r="AS8" s="297">
        <v>0</v>
      </c>
      <c r="AT8" s="281">
        <v>0</v>
      </c>
      <c r="AU8" s="281">
        <v>0</v>
      </c>
      <c r="AV8" s="281">
        <v>0</v>
      </c>
      <c r="AW8" s="281">
        <v>0</v>
      </c>
      <c r="AX8" s="281">
        <v>0</v>
      </c>
      <c r="AY8" s="332">
        <v>0</v>
      </c>
      <c r="AZ8" s="334">
        <v>0</v>
      </c>
      <c r="BA8" s="332">
        <v>0</v>
      </c>
      <c r="BB8" s="332">
        <v>0</v>
      </c>
      <c r="BC8" s="332">
        <v>0</v>
      </c>
      <c r="BD8" s="334">
        <v>0</v>
      </c>
      <c r="BE8" s="334">
        <v>0</v>
      </c>
      <c r="BG8" s="332">
        <v>0</v>
      </c>
      <c r="BH8" s="334">
        <v>0</v>
      </c>
      <c r="BI8" s="334">
        <v>0</v>
      </c>
      <c r="BJ8" s="334">
        <v>0</v>
      </c>
      <c r="BK8" s="334">
        <v>0</v>
      </c>
      <c r="BL8" s="334">
        <v>0</v>
      </c>
      <c r="BM8" s="334">
        <v>0</v>
      </c>
      <c r="BN8" s="334">
        <v>0</v>
      </c>
      <c r="BO8" s="334">
        <v>0</v>
      </c>
      <c r="BP8" s="334">
        <v>0</v>
      </c>
      <c r="BQ8" s="334">
        <v>0</v>
      </c>
      <c r="BR8" s="334">
        <v>0</v>
      </c>
      <c r="BS8" s="27"/>
      <c r="BT8" s="332">
        <v>0</v>
      </c>
      <c r="BU8" s="334">
        <v>0</v>
      </c>
      <c r="BV8" s="334">
        <v>0</v>
      </c>
      <c r="BW8" s="332">
        <v>0</v>
      </c>
      <c r="BX8" s="384">
        <v>0</v>
      </c>
      <c r="BY8" s="332">
        <v>0</v>
      </c>
      <c r="BZ8" s="332">
        <v>0</v>
      </c>
      <c r="CA8" s="332">
        <v>0</v>
      </c>
      <c r="CB8" s="437">
        <v>0</v>
      </c>
    </row>
    <row r="9" spans="1:80" ht="14.25">
      <c r="A9" s="170" t="s">
        <v>73</v>
      </c>
      <c r="B9" s="302"/>
      <c r="C9" s="302"/>
      <c r="D9" s="302"/>
      <c r="E9" s="302"/>
      <c r="F9" s="302"/>
      <c r="G9" s="312"/>
      <c r="H9" s="314">
        <v>282010</v>
      </c>
      <c r="I9" s="316">
        <v>36150</v>
      </c>
      <c r="J9" s="316">
        <v>81669</v>
      </c>
      <c r="K9" s="316">
        <v>127759</v>
      </c>
      <c r="L9" s="316">
        <v>181563.5</v>
      </c>
      <c r="M9" s="316">
        <v>233935</v>
      </c>
      <c r="N9" s="316">
        <v>279885</v>
      </c>
      <c r="O9" s="316">
        <v>377888</v>
      </c>
      <c r="P9" s="316">
        <v>480034</v>
      </c>
      <c r="Q9" s="319">
        <v>560013.5</v>
      </c>
      <c r="R9" s="316">
        <v>745427.5</v>
      </c>
      <c r="S9" s="316">
        <v>858937.5</v>
      </c>
      <c r="T9" s="314">
        <v>370004</v>
      </c>
      <c r="U9" s="322">
        <v>77890</v>
      </c>
      <c r="V9" s="322">
        <v>157282.5</v>
      </c>
      <c r="W9" s="322">
        <v>252618</v>
      </c>
      <c r="X9" s="322">
        <v>390914.25</v>
      </c>
      <c r="Y9" s="322">
        <v>487738.15</v>
      </c>
      <c r="Z9" s="324">
        <v>570827.65</v>
      </c>
      <c r="AA9" s="325">
        <v>662317.6</v>
      </c>
      <c r="AB9" s="325">
        <v>774057.6</v>
      </c>
      <c r="AC9" s="325">
        <v>859705.1</v>
      </c>
      <c r="AD9" s="316">
        <v>929055.1</v>
      </c>
      <c r="AE9" s="316">
        <v>1029089.6</v>
      </c>
      <c r="AF9" s="319">
        <v>1107864.6000000001</v>
      </c>
      <c r="AG9" s="302">
        <v>293533</v>
      </c>
      <c r="AH9" s="281">
        <v>68700</v>
      </c>
      <c r="AI9" s="281">
        <v>143220</v>
      </c>
      <c r="AJ9" s="281">
        <v>249124</v>
      </c>
      <c r="AK9" s="281">
        <v>320091</v>
      </c>
      <c r="AL9" s="281">
        <v>386758.5</v>
      </c>
      <c r="AM9" s="281">
        <v>470638.4</v>
      </c>
      <c r="AN9" s="281">
        <v>619445.55000000005</v>
      </c>
      <c r="AO9" s="281">
        <v>707428.55</v>
      </c>
      <c r="AP9" s="281">
        <v>794024.55</v>
      </c>
      <c r="AQ9" s="281">
        <v>850484.55</v>
      </c>
      <c r="AR9" s="281">
        <v>965764.55</v>
      </c>
      <c r="AS9" s="304">
        <v>62070</v>
      </c>
      <c r="AT9" s="281">
        <v>53160</v>
      </c>
      <c r="AU9" s="281">
        <v>135165</v>
      </c>
      <c r="AV9" s="281">
        <v>224910</v>
      </c>
      <c r="AW9" s="281">
        <v>319040.5</v>
      </c>
      <c r="AX9" s="281">
        <v>403499.2</v>
      </c>
      <c r="AY9" s="338">
        <v>499601.7</v>
      </c>
      <c r="AZ9" s="339">
        <v>603459.19999999995</v>
      </c>
      <c r="BA9" s="338">
        <v>695526.7</v>
      </c>
      <c r="BB9" s="338">
        <v>777804.2</v>
      </c>
      <c r="BC9" s="338">
        <v>873282.5</v>
      </c>
      <c r="BD9" s="339">
        <v>939485</v>
      </c>
      <c r="BE9" s="339">
        <v>1030260</v>
      </c>
      <c r="BF9" s="27">
        <f>6283120-BF11</f>
        <v>2762988</v>
      </c>
      <c r="BG9" s="338">
        <v>64472.5</v>
      </c>
      <c r="BH9" s="339">
        <v>129107.5</v>
      </c>
      <c r="BI9" s="339">
        <v>217495</v>
      </c>
      <c r="BJ9" s="339">
        <v>327465</v>
      </c>
      <c r="BK9" s="339">
        <v>412556</v>
      </c>
      <c r="BL9" s="339">
        <v>483468</v>
      </c>
      <c r="BM9" s="339">
        <v>573743</v>
      </c>
      <c r="BN9" s="339">
        <v>646224</v>
      </c>
      <c r="BO9" s="339">
        <v>733738</v>
      </c>
      <c r="BP9" s="339">
        <v>792640</v>
      </c>
      <c r="BQ9" s="339">
        <v>870905</v>
      </c>
      <c r="BR9" s="339">
        <v>956635</v>
      </c>
      <c r="BS9" s="27">
        <v>287713</v>
      </c>
      <c r="BT9" s="338">
        <v>61302</v>
      </c>
      <c r="BU9" s="339">
        <v>120568</v>
      </c>
      <c r="BV9" s="339">
        <v>258831</v>
      </c>
      <c r="BW9" s="338">
        <v>367926</v>
      </c>
      <c r="BX9" s="387">
        <v>507961</v>
      </c>
      <c r="BY9" s="338">
        <v>608999</v>
      </c>
      <c r="BZ9" s="336">
        <v>0</v>
      </c>
      <c r="CA9" s="336">
        <v>0</v>
      </c>
      <c r="CB9" s="439">
        <v>0</v>
      </c>
    </row>
    <row r="10" spans="1:80" ht="14.25">
      <c r="A10" s="170" t="s">
        <v>74</v>
      </c>
      <c r="B10" s="306">
        <v>67805</v>
      </c>
      <c r="C10" s="308">
        <v>196592</v>
      </c>
      <c r="D10" s="309">
        <v>187787</v>
      </c>
      <c r="E10" s="310">
        <v>128575</v>
      </c>
      <c r="F10" s="311">
        <v>259249</v>
      </c>
      <c r="G10" s="296">
        <v>188122</v>
      </c>
      <c r="H10" s="314"/>
      <c r="I10" s="316">
        <v>600</v>
      </c>
      <c r="J10" s="316">
        <v>12510</v>
      </c>
      <c r="K10" s="316">
        <v>23910</v>
      </c>
      <c r="L10" s="316">
        <v>34440</v>
      </c>
      <c r="M10" s="316">
        <v>45990</v>
      </c>
      <c r="N10" s="316">
        <v>57090</v>
      </c>
      <c r="O10" s="316">
        <v>79050</v>
      </c>
      <c r="P10" s="316">
        <v>90270</v>
      </c>
      <c r="Q10" s="319">
        <v>90870</v>
      </c>
      <c r="R10" s="316">
        <v>113250</v>
      </c>
      <c r="S10" s="316">
        <v>135330</v>
      </c>
      <c r="T10" s="314">
        <v>433128</v>
      </c>
      <c r="U10" s="322">
        <v>11160</v>
      </c>
      <c r="V10" s="322">
        <v>11550</v>
      </c>
      <c r="W10" s="322">
        <v>32550</v>
      </c>
      <c r="X10" s="322">
        <v>44104.07</v>
      </c>
      <c r="Y10" s="322">
        <v>53974.07</v>
      </c>
      <c r="Z10" s="324">
        <v>54394.07</v>
      </c>
      <c r="AA10" s="325">
        <v>74254.070000000007</v>
      </c>
      <c r="AB10" s="325">
        <v>84754.07</v>
      </c>
      <c r="AC10" s="325">
        <v>94744.07</v>
      </c>
      <c r="AD10" s="316">
        <v>104254.07</v>
      </c>
      <c r="AE10" s="316">
        <v>113914.07</v>
      </c>
      <c r="AF10" s="319">
        <v>123064.07</v>
      </c>
      <c r="AG10" s="303"/>
      <c r="AH10" s="281">
        <v>9420</v>
      </c>
      <c r="AI10" s="281">
        <v>18750</v>
      </c>
      <c r="AJ10" s="281">
        <v>27600</v>
      </c>
      <c r="AK10" s="281">
        <v>37110</v>
      </c>
      <c r="AL10" s="281">
        <v>45720</v>
      </c>
      <c r="AM10" s="281">
        <v>54390</v>
      </c>
      <c r="AN10" s="281">
        <v>71040</v>
      </c>
      <c r="AO10" s="281">
        <v>78870</v>
      </c>
      <c r="AP10" s="281">
        <v>86670</v>
      </c>
      <c r="AQ10" s="281">
        <v>94140</v>
      </c>
      <c r="AR10" s="281">
        <v>102120</v>
      </c>
      <c r="AS10" s="304"/>
      <c r="AT10" s="281">
        <v>270</v>
      </c>
      <c r="AU10" s="281">
        <v>8250</v>
      </c>
      <c r="AV10" s="281">
        <v>23490</v>
      </c>
      <c r="AW10" s="281">
        <v>31200</v>
      </c>
      <c r="AX10" s="281">
        <v>39030</v>
      </c>
      <c r="AY10" s="338">
        <v>39560.32</v>
      </c>
      <c r="AZ10" s="339">
        <v>54200.32</v>
      </c>
      <c r="BA10" s="338">
        <v>61730.32</v>
      </c>
      <c r="BB10" s="338">
        <v>61970.32</v>
      </c>
      <c r="BC10" s="338">
        <v>76280.320000000007</v>
      </c>
      <c r="BD10" s="339">
        <v>83540.320000000007</v>
      </c>
      <c r="BE10" s="339">
        <v>90530.32</v>
      </c>
      <c r="BG10" s="338">
        <v>6840</v>
      </c>
      <c r="BH10" s="339">
        <v>13740</v>
      </c>
      <c r="BI10" s="339">
        <v>21360</v>
      </c>
      <c r="BJ10" s="339">
        <v>29310</v>
      </c>
      <c r="BK10" s="339">
        <v>37110</v>
      </c>
      <c r="BL10" s="339">
        <v>44880</v>
      </c>
      <c r="BM10" s="339">
        <v>52380</v>
      </c>
      <c r="BN10" s="339">
        <v>60480</v>
      </c>
      <c r="BO10" s="339">
        <v>68550</v>
      </c>
      <c r="BP10" s="339">
        <v>76380</v>
      </c>
      <c r="BQ10" s="339">
        <v>84840</v>
      </c>
      <c r="BR10" s="339">
        <v>92940</v>
      </c>
      <c r="BS10" s="27"/>
      <c r="BT10" s="338">
        <v>8640</v>
      </c>
      <c r="BU10" s="339">
        <v>17670</v>
      </c>
      <c r="BV10" s="339">
        <v>26310</v>
      </c>
      <c r="BW10" s="338">
        <v>34890</v>
      </c>
      <c r="BX10" s="387">
        <v>43620</v>
      </c>
      <c r="BY10" s="338">
        <v>51690</v>
      </c>
      <c r="BZ10" s="338">
        <v>673333.25</v>
      </c>
      <c r="CA10" s="338">
        <v>733273.25</v>
      </c>
      <c r="CB10" s="440">
        <v>778273.25</v>
      </c>
    </row>
    <row r="11" spans="1:80" s="14" customFormat="1" ht="14.25">
      <c r="A11" s="169" t="s">
        <v>75</v>
      </c>
      <c r="B11" s="306">
        <v>1255649</v>
      </c>
      <c r="C11" s="308">
        <f>698741</f>
        <v>698741</v>
      </c>
      <c r="D11" s="309">
        <v>1729435</v>
      </c>
      <c r="E11" s="310">
        <v>889459</v>
      </c>
      <c r="F11" s="302">
        <f>3174983-F6</f>
        <v>3174983</v>
      </c>
      <c r="G11" s="295">
        <v>4976157</v>
      </c>
      <c r="H11" s="314">
        <v>4380468</v>
      </c>
      <c r="I11" s="317">
        <v>184438</v>
      </c>
      <c r="J11" s="317">
        <v>370159</v>
      </c>
      <c r="K11" s="318">
        <v>571354</v>
      </c>
      <c r="L11" s="318">
        <v>766958</v>
      </c>
      <c r="M11" s="318">
        <v>975012</v>
      </c>
      <c r="N11" s="318">
        <v>1193261</v>
      </c>
      <c r="O11" s="318">
        <v>1411815</v>
      </c>
      <c r="P11" s="318">
        <v>1660374.57</v>
      </c>
      <c r="Q11" s="320">
        <v>1881679.6</v>
      </c>
      <c r="R11" s="318">
        <v>2422437.6</v>
      </c>
      <c r="S11" s="318">
        <v>2659460.7999999998</v>
      </c>
      <c r="T11" s="314">
        <f>5214289-433123</f>
        <v>4781166</v>
      </c>
      <c r="U11" s="323">
        <v>212633</v>
      </c>
      <c r="V11" s="323">
        <v>452982</v>
      </c>
      <c r="W11" s="323">
        <v>657761</v>
      </c>
      <c r="X11" s="323">
        <v>873148</v>
      </c>
      <c r="Y11" s="323">
        <v>1081540</v>
      </c>
      <c r="Z11" s="324">
        <v>1307047</v>
      </c>
      <c r="AA11" s="326">
        <v>1561150</v>
      </c>
      <c r="AB11" s="326">
        <v>1852080</v>
      </c>
      <c r="AC11" s="326">
        <v>2038071</v>
      </c>
      <c r="AD11" s="317">
        <v>2269137</v>
      </c>
      <c r="AE11" s="317">
        <v>2569224</v>
      </c>
      <c r="AF11" s="327">
        <v>2751429</v>
      </c>
      <c r="AG11" s="302">
        <v>5697204</v>
      </c>
      <c r="AH11" s="282">
        <v>226799</v>
      </c>
      <c r="AI11" s="282">
        <v>450979</v>
      </c>
      <c r="AJ11" s="282">
        <v>791196</v>
      </c>
      <c r="AK11" s="282">
        <v>867906</v>
      </c>
      <c r="AL11" s="282">
        <v>1097380</v>
      </c>
      <c r="AM11" s="282">
        <v>1322105</v>
      </c>
      <c r="AN11" s="282">
        <v>1835454</v>
      </c>
      <c r="AO11" s="282">
        <v>2113090</v>
      </c>
      <c r="AP11" s="282">
        <v>2392360</v>
      </c>
      <c r="AQ11" s="282">
        <v>2654450</v>
      </c>
      <c r="AR11" s="282">
        <v>3016123</v>
      </c>
      <c r="AS11" s="304">
        <v>5570903</v>
      </c>
      <c r="AT11" s="282">
        <v>145131</v>
      </c>
      <c r="AU11" s="282">
        <v>421096</v>
      </c>
      <c r="AV11" s="282">
        <v>671823</v>
      </c>
      <c r="AW11" s="282">
        <v>912785</v>
      </c>
      <c r="AX11" s="282">
        <v>1176275</v>
      </c>
      <c r="AY11" s="352">
        <v>1487045</v>
      </c>
      <c r="AZ11" s="353">
        <v>1826940</v>
      </c>
      <c r="BA11" s="352">
        <v>2099720</v>
      </c>
      <c r="BB11" s="354">
        <v>2409165</v>
      </c>
      <c r="BC11" s="354">
        <v>2723050</v>
      </c>
      <c r="BD11" s="357">
        <v>2975260</v>
      </c>
      <c r="BE11" s="357">
        <v>3222151</v>
      </c>
      <c r="BF11" s="359">
        <v>3520132</v>
      </c>
      <c r="BG11" s="354">
        <v>268760</v>
      </c>
      <c r="BH11" s="357">
        <v>534010</v>
      </c>
      <c r="BI11" s="357">
        <v>826766</v>
      </c>
      <c r="BJ11" s="357">
        <v>1155324</v>
      </c>
      <c r="BK11" s="357">
        <v>1422236</v>
      </c>
      <c r="BL11" s="357">
        <v>1711669</v>
      </c>
      <c r="BM11" s="357">
        <v>2011319</v>
      </c>
      <c r="BN11" s="357">
        <v>2302441</v>
      </c>
      <c r="BO11" s="357">
        <v>2686231</v>
      </c>
      <c r="BP11" s="357">
        <v>2871971</v>
      </c>
      <c r="BQ11" s="357">
        <v>3260876</v>
      </c>
      <c r="BR11" s="357">
        <v>3608331</v>
      </c>
      <c r="BS11" s="359">
        <f>1257889+592000+130400+120083</f>
        <v>2100372</v>
      </c>
      <c r="BT11" s="373">
        <v>294612</v>
      </c>
      <c r="BU11" s="374">
        <v>507131</v>
      </c>
      <c r="BV11" s="374">
        <v>937749</v>
      </c>
      <c r="BW11" s="373">
        <v>1060969</v>
      </c>
      <c r="BX11" s="388">
        <v>1449635</v>
      </c>
      <c r="BY11" s="354">
        <v>1676646</v>
      </c>
      <c r="BZ11" s="354">
        <v>158090</v>
      </c>
      <c r="CA11" s="354">
        <v>177840</v>
      </c>
      <c r="CB11" s="354">
        <v>180890</v>
      </c>
    </row>
    <row r="12" spans="1:80" ht="15.75">
      <c r="A12" s="169" t="s">
        <v>76</v>
      </c>
      <c r="B12" s="212">
        <f t="shared" ref="B12:I12" si="23">SUM(B13:B18)</f>
        <v>2292847</v>
      </c>
      <c r="C12" s="212">
        <f t="shared" si="23"/>
        <v>2761880</v>
      </c>
      <c r="D12" s="212">
        <f t="shared" si="23"/>
        <v>743203.78</v>
      </c>
      <c r="E12" s="212">
        <f t="shared" si="23"/>
        <v>2960790</v>
      </c>
      <c r="F12" s="212">
        <f t="shared" si="23"/>
        <v>2422107</v>
      </c>
      <c r="G12" s="212">
        <f t="shared" si="23"/>
        <v>2651211</v>
      </c>
      <c r="H12" s="212">
        <f t="shared" si="23"/>
        <v>2073568</v>
      </c>
      <c r="I12" s="212">
        <f t="shared" si="23"/>
        <v>4999.5</v>
      </c>
      <c r="J12" s="212">
        <f t="shared" ref="J12:R12" si="24">SUM(J13:J18)</f>
        <v>52888.1</v>
      </c>
      <c r="K12" s="212">
        <f t="shared" si="24"/>
        <v>87425.05</v>
      </c>
      <c r="L12" s="212">
        <f t="shared" si="24"/>
        <v>102343.05</v>
      </c>
      <c r="M12" s="212">
        <f t="shared" si="24"/>
        <v>175577.85</v>
      </c>
      <c r="N12" s="212">
        <f t="shared" si="24"/>
        <v>187402.35</v>
      </c>
      <c r="O12" s="212">
        <f t="shared" si="24"/>
        <v>257647.45</v>
      </c>
      <c r="P12" s="212">
        <f t="shared" si="24"/>
        <v>269724.95</v>
      </c>
      <c r="Q12" s="212">
        <f t="shared" si="24"/>
        <v>308246.5</v>
      </c>
      <c r="R12" s="212">
        <f t="shared" si="24"/>
        <v>345407.1</v>
      </c>
      <c r="S12" s="212">
        <f>SUM(S13:S18)</f>
        <v>555892.39</v>
      </c>
      <c r="T12" s="212">
        <f>SUM(T13:T18)</f>
        <v>2840748</v>
      </c>
      <c r="U12" s="212">
        <f>SUM(U13:U18)</f>
        <v>15984</v>
      </c>
      <c r="V12" s="212">
        <f t="shared" ref="V12:AA12" si="25">SUM(V13:V18)</f>
        <v>19248</v>
      </c>
      <c r="W12" s="212">
        <f t="shared" si="25"/>
        <v>23178</v>
      </c>
      <c r="X12" s="212">
        <f t="shared" si="25"/>
        <v>43202</v>
      </c>
      <c r="Y12" s="212">
        <f t="shared" si="25"/>
        <v>53649</v>
      </c>
      <c r="Z12" s="212">
        <f t="shared" si="25"/>
        <v>73873</v>
      </c>
      <c r="AA12" s="212">
        <f t="shared" si="25"/>
        <v>118581</v>
      </c>
      <c r="AB12" s="212">
        <f t="shared" ref="AB12:AG12" si="26">SUM(AB13:AB18)</f>
        <v>196353.7</v>
      </c>
      <c r="AC12" s="212">
        <f t="shared" si="26"/>
        <v>204178.7</v>
      </c>
      <c r="AD12" s="212">
        <f t="shared" si="26"/>
        <v>210194.7</v>
      </c>
      <c r="AE12" s="212">
        <f t="shared" si="26"/>
        <v>223367.7</v>
      </c>
      <c r="AF12" s="212">
        <f t="shared" si="26"/>
        <v>532793.5</v>
      </c>
      <c r="AG12" s="212">
        <f t="shared" si="26"/>
        <v>3382681</v>
      </c>
      <c r="AH12" s="212">
        <f t="shared" ref="AH12:AO12" si="27">SUM(AH13:AH18)</f>
        <v>10728</v>
      </c>
      <c r="AI12" s="212">
        <f t="shared" si="27"/>
        <v>19344</v>
      </c>
      <c r="AJ12" s="212">
        <f t="shared" si="27"/>
        <v>30582</v>
      </c>
      <c r="AK12" s="212">
        <f t="shared" si="27"/>
        <v>65230.81</v>
      </c>
      <c r="AL12" s="212">
        <f t="shared" si="27"/>
        <v>69488.81</v>
      </c>
      <c r="AM12" s="212">
        <f t="shared" si="27"/>
        <v>152482.03</v>
      </c>
      <c r="AN12" s="212">
        <f t="shared" si="27"/>
        <v>169086.49</v>
      </c>
      <c r="AO12" s="212">
        <f t="shared" si="27"/>
        <v>232179.45</v>
      </c>
      <c r="AP12" s="212">
        <f t="shared" ref="AP12:AV12" si="28">SUM(AP13:AP18)</f>
        <v>242802.47</v>
      </c>
      <c r="AQ12" s="212">
        <f t="shared" si="28"/>
        <v>247559.72999999998</v>
      </c>
      <c r="AR12" s="212">
        <f t="shared" si="28"/>
        <v>749420.78</v>
      </c>
      <c r="AS12" s="212">
        <f t="shared" si="28"/>
        <v>3747212</v>
      </c>
      <c r="AT12" s="212">
        <f t="shared" si="28"/>
        <v>12160</v>
      </c>
      <c r="AU12" s="212">
        <f t="shared" si="28"/>
        <v>144447</v>
      </c>
      <c r="AV12" s="212">
        <f t="shared" si="28"/>
        <v>160603.57</v>
      </c>
      <c r="AW12" s="212">
        <f t="shared" ref="AW12:BB12" si="29">SUM(AW13:AW18)</f>
        <v>193359.4</v>
      </c>
      <c r="AX12" s="212">
        <f t="shared" si="29"/>
        <v>195770.4</v>
      </c>
      <c r="AY12" s="212">
        <f t="shared" si="29"/>
        <v>210495.41999999998</v>
      </c>
      <c r="AZ12" s="212">
        <f t="shared" si="29"/>
        <v>229572.41999999998</v>
      </c>
      <c r="BA12" s="212">
        <f t="shared" si="29"/>
        <v>237756.41999999998</v>
      </c>
      <c r="BB12" s="212">
        <f t="shared" si="29"/>
        <v>271120.09999999998</v>
      </c>
      <c r="BC12" s="212">
        <f t="shared" ref="BC12:BR12" si="30">SUM(BC13:BC18)</f>
        <v>306444.09999999998</v>
      </c>
      <c r="BD12" s="212">
        <f t="shared" si="30"/>
        <v>309455.09999999998</v>
      </c>
      <c r="BE12" s="212">
        <f t="shared" si="30"/>
        <v>539828.85</v>
      </c>
      <c r="BF12" s="212">
        <f t="shared" si="30"/>
        <v>3154973</v>
      </c>
      <c r="BG12" s="212">
        <f t="shared" si="30"/>
        <v>10104</v>
      </c>
      <c r="BH12" s="212">
        <f t="shared" si="30"/>
        <v>13271</v>
      </c>
      <c r="BI12" s="212">
        <f t="shared" si="30"/>
        <v>22529</v>
      </c>
      <c r="BJ12" s="212">
        <f t="shared" si="30"/>
        <v>50833</v>
      </c>
      <c r="BK12" s="212">
        <f t="shared" si="30"/>
        <v>67583</v>
      </c>
      <c r="BL12" s="212">
        <f t="shared" si="30"/>
        <v>71393</v>
      </c>
      <c r="BM12" s="212">
        <f t="shared" si="30"/>
        <v>87148</v>
      </c>
      <c r="BN12" s="212">
        <f t="shared" si="30"/>
        <v>106996</v>
      </c>
      <c r="BO12" s="212">
        <f t="shared" si="30"/>
        <v>120800</v>
      </c>
      <c r="BP12" s="212">
        <f t="shared" si="30"/>
        <v>403970</v>
      </c>
      <c r="BQ12" s="212">
        <f t="shared" si="30"/>
        <v>415150</v>
      </c>
      <c r="BR12" s="212">
        <f t="shared" si="30"/>
        <v>648569.75</v>
      </c>
      <c r="BS12" s="212">
        <f t="shared" ref="BS12:BW12" si="31">SUM(BS13:BS18)</f>
        <v>3236996</v>
      </c>
      <c r="BT12" s="212">
        <f t="shared" si="31"/>
        <v>12550</v>
      </c>
      <c r="BU12" s="212">
        <f t="shared" si="31"/>
        <v>22757</v>
      </c>
      <c r="BV12" s="212">
        <f t="shared" si="31"/>
        <v>31052.92</v>
      </c>
      <c r="BW12" s="212">
        <f t="shared" si="31"/>
        <v>39098.92</v>
      </c>
      <c r="BX12" s="212">
        <f>SUM(BX13:BX18)</f>
        <v>50528.92</v>
      </c>
      <c r="BY12" s="212">
        <f>SUM(BY13:BY18)</f>
        <v>179774.91999999998</v>
      </c>
      <c r="BZ12" s="212">
        <f>SUM(BZ13:BZ18)</f>
        <v>2521</v>
      </c>
      <c r="CA12" s="212">
        <f>SUM(CA13:CA18)</f>
        <v>2521</v>
      </c>
      <c r="CB12" s="212">
        <f>SUM(CB13:CB18)</f>
        <v>58111</v>
      </c>
    </row>
    <row r="13" spans="1:80" ht="14.25">
      <c r="A13" s="170" t="s">
        <v>77</v>
      </c>
      <c r="B13" s="307">
        <f>1864544+184222</f>
        <v>2048766</v>
      </c>
      <c r="C13" s="308">
        <f>2220599+275212</f>
        <v>2495811</v>
      </c>
      <c r="D13" s="309">
        <f>191967</f>
        <v>191967</v>
      </c>
      <c r="E13" s="310">
        <f>2422463+75051</f>
        <v>2497514</v>
      </c>
      <c r="F13" s="311">
        <f>1717414+270545</f>
        <v>1987959</v>
      </c>
      <c r="G13" s="295">
        <f>321048+2167716</f>
        <v>2488764</v>
      </c>
      <c r="H13" s="314">
        <f>1503071+203637</f>
        <v>1706708</v>
      </c>
      <c r="I13" s="316">
        <v>4999.5</v>
      </c>
      <c r="J13" s="316">
        <v>12617</v>
      </c>
      <c r="K13" s="316">
        <v>13447.5</v>
      </c>
      <c r="L13" s="316">
        <v>27329.5</v>
      </c>
      <c r="M13" s="316">
        <v>37187.5</v>
      </c>
      <c r="N13" s="316">
        <v>47885</v>
      </c>
      <c r="O13" s="316">
        <v>61184</v>
      </c>
      <c r="P13" s="316">
        <v>72178.5</v>
      </c>
      <c r="Q13" s="319">
        <v>74034</v>
      </c>
      <c r="R13" s="316">
        <v>94756.5</v>
      </c>
      <c r="S13" s="316">
        <v>117900.5</v>
      </c>
      <c r="T13" s="314">
        <f>186488+1957092+233000+201684</f>
        <v>2578264</v>
      </c>
      <c r="U13" s="322">
        <v>15984</v>
      </c>
      <c r="V13" s="322">
        <v>19248</v>
      </c>
      <c r="W13" s="322">
        <v>23178</v>
      </c>
      <c r="X13" s="322">
        <v>43202</v>
      </c>
      <c r="Y13" s="322">
        <v>51132</v>
      </c>
      <c r="Z13" s="324">
        <v>71356</v>
      </c>
      <c r="AA13" s="325">
        <v>71456</v>
      </c>
      <c r="AB13" s="325">
        <v>83011</v>
      </c>
      <c r="AC13" s="325">
        <v>90167</v>
      </c>
      <c r="AD13" s="316">
        <v>96183</v>
      </c>
      <c r="AE13" s="316">
        <v>107927</v>
      </c>
      <c r="AF13" s="319">
        <v>115961</v>
      </c>
      <c r="AG13" s="302">
        <f>179592+2358986</f>
        <v>2538578</v>
      </c>
      <c r="AH13" s="281">
        <v>10728</v>
      </c>
      <c r="AI13" s="281">
        <v>19344</v>
      </c>
      <c r="AJ13" s="281">
        <v>30582</v>
      </c>
      <c r="AK13" s="281">
        <v>46108</v>
      </c>
      <c r="AL13" s="281">
        <v>49512</v>
      </c>
      <c r="AM13" s="281">
        <v>61687</v>
      </c>
      <c r="AN13" s="281">
        <v>74693.460000000006</v>
      </c>
      <c r="AO13" s="281">
        <v>92137.42</v>
      </c>
      <c r="AP13" s="281">
        <v>102067.44</v>
      </c>
      <c r="AQ13" s="281">
        <v>106111.7</v>
      </c>
      <c r="AR13" s="281">
        <v>261531.35</v>
      </c>
      <c r="AS13" s="304">
        <v>2941600</v>
      </c>
      <c r="AT13" s="281">
        <v>12160</v>
      </c>
      <c r="AU13" s="281">
        <v>21874</v>
      </c>
      <c r="AV13" s="281">
        <v>37443.57</v>
      </c>
      <c r="AW13" s="281">
        <v>50199.4</v>
      </c>
      <c r="AX13" s="281">
        <v>51105.4</v>
      </c>
      <c r="AY13" s="333">
        <v>64807.42</v>
      </c>
      <c r="AZ13" s="335">
        <v>83150.42</v>
      </c>
      <c r="BA13" s="333">
        <v>91334.42</v>
      </c>
      <c r="BB13" s="333">
        <v>101801.1</v>
      </c>
      <c r="BC13" s="333">
        <v>115487.1</v>
      </c>
      <c r="BD13" s="335">
        <v>117629.1</v>
      </c>
      <c r="BE13" s="335">
        <v>143274.44</v>
      </c>
      <c r="BF13" s="27">
        <v>3154973</v>
      </c>
      <c r="BG13" s="333">
        <v>10104</v>
      </c>
      <c r="BH13" s="335">
        <v>12726</v>
      </c>
      <c r="BI13" s="335">
        <v>21672</v>
      </c>
      <c r="BJ13" s="335">
        <v>29976</v>
      </c>
      <c r="BK13" s="335">
        <v>45756</v>
      </c>
      <c r="BL13" s="335">
        <v>49566</v>
      </c>
      <c r="BM13" s="335">
        <v>64883</v>
      </c>
      <c r="BN13" s="335">
        <v>84315</v>
      </c>
      <c r="BO13" s="335">
        <v>97519</v>
      </c>
      <c r="BP13" s="335">
        <v>107089</v>
      </c>
      <c r="BQ13" s="335">
        <v>117307</v>
      </c>
      <c r="BR13" s="335">
        <v>135042.57</v>
      </c>
      <c r="BS13" s="27">
        <v>3021312</v>
      </c>
      <c r="BT13" s="333">
        <v>12550</v>
      </c>
      <c r="BU13" s="335">
        <v>22108</v>
      </c>
      <c r="BV13" s="335">
        <v>30403.919999999998</v>
      </c>
      <c r="BW13" s="333">
        <v>38449.919999999998</v>
      </c>
      <c r="BX13" s="385">
        <v>48007.92</v>
      </c>
      <c r="BY13" s="333">
        <v>55453.919999999998</v>
      </c>
      <c r="BZ13" s="332">
        <v>0</v>
      </c>
      <c r="CA13" s="332">
        <v>0</v>
      </c>
      <c r="CB13" s="437">
        <v>0</v>
      </c>
    </row>
    <row r="14" spans="1:80" ht="14.25">
      <c r="A14" s="170" t="s">
        <v>78</v>
      </c>
      <c r="B14" s="305">
        <f>178862+17556+47663</f>
        <v>244081</v>
      </c>
      <c r="C14" s="308">
        <f>50936+84651+130482</f>
        <v>266069</v>
      </c>
      <c r="D14" s="309">
        <f>35132+74114+3977+193986.78</f>
        <v>307209.78000000003</v>
      </c>
      <c r="E14" s="310">
        <v>40009</v>
      </c>
      <c r="F14" s="283">
        <v>434148</v>
      </c>
      <c r="G14" s="291">
        <v>162447</v>
      </c>
      <c r="H14" s="314">
        <v>366860</v>
      </c>
      <c r="I14" s="316">
        <v>0</v>
      </c>
      <c r="J14" s="316">
        <v>39125.1</v>
      </c>
      <c r="K14" s="316">
        <v>71912.55</v>
      </c>
      <c r="L14" s="316">
        <v>71912.55</v>
      </c>
      <c r="M14" s="316">
        <v>134185.35</v>
      </c>
      <c r="N14" s="316">
        <v>134185.35</v>
      </c>
      <c r="O14" s="316">
        <v>190104.45</v>
      </c>
      <c r="P14" s="316">
        <v>190104.45</v>
      </c>
      <c r="Q14" s="319">
        <v>225684.5</v>
      </c>
      <c r="R14" s="316">
        <v>10957</v>
      </c>
      <c r="S14" s="316">
        <v>239693.6</v>
      </c>
      <c r="T14" s="314">
        <v>262484</v>
      </c>
      <c r="U14" s="322">
        <v>0</v>
      </c>
      <c r="V14" s="322">
        <v>0</v>
      </c>
      <c r="W14" s="322">
        <v>0</v>
      </c>
      <c r="X14" s="322">
        <v>0</v>
      </c>
      <c r="Y14" s="322">
        <v>0</v>
      </c>
      <c r="Z14" s="324">
        <v>0</v>
      </c>
      <c r="AA14" s="325">
        <v>0</v>
      </c>
      <c r="AB14" s="325">
        <v>44608</v>
      </c>
      <c r="AC14" s="325">
        <v>44608</v>
      </c>
      <c r="AD14" s="316">
        <v>44608</v>
      </c>
      <c r="AE14" s="316">
        <v>44608</v>
      </c>
      <c r="AF14" s="319">
        <v>44608</v>
      </c>
      <c r="AG14" s="302">
        <v>44608</v>
      </c>
      <c r="AH14" s="281">
        <v>0</v>
      </c>
      <c r="AI14" s="281">
        <v>0</v>
      </c>
      <c r="AJ14" s="281">
        <v>0</v>
      </c>
      <c r="AK14" s="281">
        <v>0</v>
      </c>
      <c r="AL14" s="281">
        <v>0</v>
      </c>
      <c r="AM14" s="281">
        <v>0</v>
      </c>
      <c r="AN14" s="281">
        <v>0</v>
      </c>
      <c r="AO14" s="281">
        <v>0</v>
      </c>
      <c r="AP14" s="281">
        <v>0</v>
      </c>
      <c r="AQ14" s="281">
        <v>0</v>
      </c>
      <c r="AR14" s="281">
        <v>0</v>
      </c>
      <c r="AS14" s="297">
        <v>0</v>
      </c>
      <c r="AT14" s="281">
        <v>0</v>
      </c>
      <c r="AU14" s="281">
        <v>0</v>
      </c>
      <c r="AV14" s="281">
        <v>0</v>
      </c>
      <c r="AW14" s="281">
        <v>0</v>
      </c>
      <c r="AX14" s="281">
        <v>0</v>
      </c>
      <c r="AY14" s="336">
        <v>0</v>
      </c>
      <c r="AZ14" s="337">
        <v>0</v>
      </c>
      <c r="BA14" s="336">
        <v>0</v>
      </c>
      <c r="BB14" s="336">
        <v>0</v>
      </c>
      <c r="BC14" s="336">
        <v>0</v>
      </c>
      <c r="BD14" s="337">
        <v>0</v>
      </c>
      <c r="BE14" s="337">
        <v>0</v>
      </c>
      <c r="BG14" s="336">
        <v>0</v>
      </c>
      <c r="BH14" s="337">
        <v>0</v>
      </c>
      <c r="BI14" s="337">
        <v>0</v>
      </c>
      <c r="BJ14" s="337">
        <v>0</v>
      </c>
      <c r="BK14" s="337">
        <v>0</v>
      </c>
      <c r="BL14" s="337">
        <v>0</v>
      </c>
      <c r="BM14" s="337">
        <v>0</v>
      </c>
      <c r="BN14" s="337">
        <v>0</v>
      </c>
      <c r="BO14" s="337">
        <v>0</v>
      </c>
      <c r="BP14" s="337">
        <v>0</v>
      </c>
      <c r="BQ14" s="337">
        <v>0</v>
      </c>
      <c r="BR14" s="337">
        <v>0</v>
      </c>
      <c r="BS14" s="27"/>
      <c r="BT14" s="336">
        <v>0</v>
      </c>
      <c r="BU14" s="337">
        <v>0</v>
      </c>
      <c r="BV14" s="337">
        <v>0</v>
      </c>
      <c r="BW14" s="336">
        <v>0</v>
      </c>
      <c r="BX14" s="386">
        <v>0</v>
      </c>
      <c r="BY14" s="336">
        <v>0</v>
      </c>
      <c r="BZ14" s="336">
        <v>0</v>
      </c>
      <c r="CA14" s="336">
        <v>0</v>
      </c>
      <c r="CB14" s="439">
        <v>0</v>
      </c>
    </row>
    <row r="15" spans="1:80" ht="14.25">
      <c r="A15" s="170" t="s">
        <v>79</v>
      </c>
      <c r="B15" s="302"/>
      <c r="C15" s="302"/>
      <c r="D15" s="309"/>
      <c r="E15" s="302"/>
      <c r="F15" s="302"/>
      <c r="G15" s="302"/>
      <c r="H15" s="302"/>
      <c r="I15" s="316">
        <v>0</v>
      </c>
      <c r="J15" s="316">
        <v>0</v>
      </c>
      <c r="K15" s="316">
        <v>0</v>
      </c>
      <c r="L15" s="316">
        <v>0</v>
      </c>
      <c r="M15" s="316">
        <v>0</v>
      </c>
      <c r="N15" s="316">
        <v>0</v>
      </c>
      <c r="O15" s="316">
        <v>0</v>
      </c>
      <c r="P15" s="316">
        <v>0</v>
      </c>
      <c r="Q15" s="319">
        <v>0</v>
      </c>
      <c r="R15" s="316">
        <v>0</v>
      </c>
      <c r="S15" s="316">
        <v>0</v>
      </c>
      <c r="T15" s="302"/>
      <c r="U15" s="322">
        <v>0</v>
      </c>
      <c r="V15" s="322">
        <v>0</v>
      </c>
      <c r="W15" s="322">
        <v>0</v>
      </c>
      <c r="X15" s="322">
        <v>0</v>
      </c>
      <c r="Y15" s="322">
        <v>0</v>
      </c>
      <c r="Z15" s="324">
        <v>0</v>
      </c>
      <c r="AA15" s="325">
        <v>0</v>
      </c>
      <c r="AB15" s="325">
        <v>0</v>
      </c>
      <c r="AC15" s="325">
        <v>0</v>
      </c>
      <c r="AD15" s="316">
        <v>0</v>
      </c>
      <c r="AE15" s="316">
        <v>0</v>
      </c>
      <c r="AF15" s="319">
        <v>0</v>
      </c>
      <c r="AG15" s="302">
        <f>150000+133950+515545</f>
        <v>799495</v>
      </c>
      <c r="AH15" s="281">
        <v>0</v>
      </c>
      <c r="AI15" s="281">
        <v>0</v>
      </c>
      <c r="AJ15" s="281">
        <v>0</v>
      </c>
      <c r="AK15" s="281">
        <v>0</v>
      </c>
      <c r="AL15" s="281">
        <v>0</v>
      </c>
      <c r="AM15" s="281">
        <v>0</v>
      </c>
      <c r="AN15" s="281">
        <v>0</v>
      </c>
      <c r="AO15" s="281">
        <v>0</v>
      </c>
      <c r="AP15" s="281">
        <v>0</v>
      </c>
      <c r="AQ15" s="281">
        <v>0</v>
      </c>
      <c r="AR15" s="281">
        <v>0</v>
      </c>
      <c r="AS15" s="297">
        <v>0</v>
      </c>
      <c r="AT15" s="281">
        <v>0</v>
      </c>
      <c r="AU15" s="281">
        <v>0</v>
      </c>
      <c r="AV15" s="281">
        <v>0</v>
      </c>
      <c r="AW15" s="281">
        <v>0</v>
      </c>
      <c r="AX15" s="281">
        <v>0</v>
      </c>
      <c r="AY15" s="336">
        <v>0</v>
      </c>
      <c r="AZ15" s="337">
        <v>0</v>
      </c>
      <c r="BA15" s="336">
        <v>0</v>
      </c>
      <c r="BB15" s="336">
        <v>0</v>
      </c>
      <c r="BC15" s="336">
        <v>0</v>
      </c>
      <c r="BD15" s="337">
        <v>0</v>
      </c>
      <c r="BE15" s="337">
        <v>0</v>
      </c>
      <c r="BG15" s="336">
        <v>0</v>
      </c>
      <c r="BH15" s="337">
        <v>0</v>
      </c>
      <c r="BI15" s="337">
        <v>0</v>
      </c>
      <c r="BJ15" s="337">
        <v>0</v>
      </c>
      <c r="BK15" s="337">
        <v>0</v>
      </c>
      <c r="BL15" s="337">
        <v>0</v>
      </c>
      <c r="BM15" s="337">
        <v>0</v>
      </c>
      <c r="BN15" s="337">
        <v>0</v>
      </c>
      <c r="BO15" s="337">
        <v>0</v>
      </c>
      <c r="BP15" s="337">
        <v>0</v>
      </c>
      <c r="BQ15" s="337">
        <v>0</v>
      </c>
      <c r="BR15" s="337">
        <v>0</v>
      </c>
      <c r="BS15" s="27">
        <v>215684</v>
      </c>
      <c r="BT15" s="336">
        <v>0</v>
      </c>
      <c r="BU15" s="337">
        <v>0</v>
      </c>
      <c r="BV15" s="337">
        <v>0</v>
      </c>
      <c r="BW15" s="336">
        <v>0</v>
      </c>
      <c r="BX15" s="386">
        <v>0</v>
      </c>
      <c r="BY15" s="336">
        <v>0</v>
      </c>
      <c r="BZ15" s="336">
        <v>0</v>
      </c>
      <c r="CA15" s="336">
        <v>0</v>
      </c>
      <c r="CB15" s="439">
        <v>0</v>
      </c>
    </row>
    <row r="16" spans="1:80" ht="14.25">
      <c r="A16" s="170" t="s">
        <v>80</v>
      </c>
      <c r="B16" s="259"/>
      <c r="C16" s="259"/>
      <c r="D16" s="309">
        <f>42757+149210</f>
        <v>191967</v>
      </c>
      <c r="E16" s="259"/>
      <c r="F16" s="259"/>
      <c r="G16" s="259"/>
      <c r="H16" s="259"/>
      <c r="I16" s="316">
        <v>0</v>
      </c>
      <c r="J16" s="316">
        <v>1146</v>
      </c>
      <c r="K16" s="316">
        <v>2065</v>
      </c>
      <c r="L16" s="316">
        <v>3101</v>
      </c>
      <c r="M16" s="316">
        <v>4205</v>
      </c>
      <c r="N16" s="316">
        <v>5332</v>
      </c>
      <c r="O16" s="316">
        <v>6359</v>
      </c>
      <c r="P16" s="316">
        <v>7442</v>
      </c>
      <c r="Q16" s="319">
        <v>8528</v>
      </c>
      <c r="R16" s="316">
        <v>239693.6</v>
      </c>
      <c r="S16" s="316">
        <v>198298.29</v>
      </c>
      <c r="T16" s="259"/>
      <c r="U16" s="322">
        <v>0</v>
      </c>
      <c r="V16" s="322">
        <v>0</v>
      </c>
      <c r="W16" s="322">
        <v>0</v>
      </c>
      <c r="X16" s="322">
        <v>0</v>
      </c>
      <c r="Y16" s="322">
        <v>2517</v>
      </c>
      <c r="Z16" s="324">
        <v>2517</v>
      </c>
      <c r="AA16" s="325">
        <v>2517</v>
      </c>
      <c r="AB16" s="325">
        <v>0</v>
      </c>
      <c r="AC16" s="325">
        <v>0</v>
      </c>
      <c r="AD16" s="316">
        <v>0</v>
      </c>
      <c r="AE16" s="316">
        <v>0</v>
      </c>
      <c r="AF16" s="319">
        <v>0</v>
      </c>
      <c r="AH16" s="281">
        <v>0</v>
      </c>
      <c r="AI16" s="281">
        <v>0</v>
      </c>
      <c r="AJ16" s="281">
        <v>0</v>
      </c>
      <c r="AK16" s="281">
        <v>19122.810000000001</v>
      </c>
      <c r="AL16" s="281">
        <v>19976.810000000001</v>
      </c>
      <c r="AM16" s="281">
        <v>90795.03</v>
      </c>
      <c r="AN16" s="281">
        <v>94393.03</v>
      </c>
      <c r="AO16" s="281">
        <v>140042.03</v>
      </c>
      <c r="AP16" s="281">
        <v>140735.03</v>
      </c>
      <c r="AQ16" s="281">
        <v>141448.03</v>
      </c>
      <c r="AR16" s="281">
        <v>487889.43</v>
      </c>
      <c r="AS16" s="304">
        <f>150000+133950+521662</f>
        <v>805612</v>
      </c>
      <c r="AT16" s="281">
        <v>0</v>
      </c>
      <c r="AU16" s="281">
        <v>122573</v>
      </c>
      <c r="AV16" s="281">
        <v>123160</v>
      </c>
      <c r="AW16" s="281">
        <v>143160</v>
      </c>
      <c r="AX16" s="281">
        <v>144665</v>
      </c>
      <c r="AY16" s="338">
        <v>145688</v>
      </c>
      <c r="AZ16" s="339">
        <v>146422</v>
      </c>
      <c r="BA16" s="338">
        <v>146422</v>
      </c>
      <c r="BB16" s="338">
        <v>169319</v>
      </c>
      <c r="BC16" s="338">
        <v>190957</v>
      </c>
      <c r="BD16" s="339">
        <v>191826</v>
      </c>
      <c r="BE16" s="339">
        <v>396554.41</v>
      </c>
      <c r="BF16" s="27">
        <v>0</v>
      </c>
      <c r="BG16" s="336">
        <v>0</v>
      </c>
      <c r="BH16" s="337">
        <v>545</v>
      </c>
      <c r="BI16" s="337">
        <v>857</v>
      </c>
      <c r="BJ16" s="339">
        <v>20857</v>
      </c>
      <c r="BK16" s="339">
        <v>21827</v>
      </c>
      <c r="BL16" s="339">
        <v>21827</v>
      </c>
      <c r="BM16" s="339">
        <v>22265</v>
      </c>
      <c r="BN16" s="339">
        <v>22681</v>
      </c>
      <c r="BO16" s="339">
        <v>23281</v>
      </c>
      <c r="BP16" s="339">
        <v>296881</v>
      </c>
      <c r="BQ16" s="339">
        <v>297843</v>
      </c>
      <c r="BR16" s="339">
        <v>513527.18</v>
      </c>
      <c r="BS16" s="27">
        <v>0</v>
      </c>
      <c r="BT16" s="336">
        <v>0</v>
      </c>
      <c r="BU16" s="337">
        <v>649</v>
      </c>
      <c r="BV16" s="337">
        <v>649</v>
      </c>
      <c r="BW16" s="336">
        <v>649</v>
      </c>
      <c r="BX16" s="387">
        <v>2521</v>
      </c>
      <c r="BY16" s="338">
        <v>124321</v>
      </c>
      <c r="BZ16" s="338">
        <v>2521</v>
      </c>
      <c r="CA16" s="338">
        <v>2521</v>
      </c>
      <c r="CB16" s="440">
        <v>58111</v>
      </c>
    </row>
    <row r="17" spans="1:80" ht="14.25">
      <c r="A17" s="170" t="s">
        <v>81</v>
      </c>
      <c r="B17" s="259"/>
      <c r="C17" s="259"/>
      <c r="D17" s="259"/>
      <c r="E17" s="259"/>
      <c r="F17" s="259"/>
      <c r="G17" s="259"/>
      <c r="H17" s="259"/>
      <c r="I17" s="316">
        <v>0</v>
      </c>
      <c r="J17" s="316">
        <v>0</v>
      </c>
      <c r="K17" s="316">
        <v>0</v>
      </c>
      <c r="L17" s="316">
        <v>0</v>
      </c>
      <c r="M17" s="316">
        <v>0</v>
      </c>
      <c r="N17" s="316">
        <v>0</v>
      </c>
      <c r="O17" s="316">
        <v>0</v>
      </c>
      <c r="P17" s="316">
        <v>0</v>
      </c>
      <c r="Q17" s="319">
        <v>0</v>
      </c>
      <c r="R17" s="316">
        <v>0</v>
      </c>
      <c r="S17" s="316">
        <v>0</v>
      </c>
      <c r="T17" s="259"/>
      <c r="U17" s="322">
        <v>0</v>
      </c>
      <c r="V17" s="322">
        <v>0</v>
      </c>
      <c r="W17" s="322">
        <v>0</v>
      </c>
      <c r="X17" s="322">
        <v>0</v>
      </c>
      <c r="Y17" s="322">
        <v>0</v>
      </c>
      <c r="Z17" s="324">
        <v>0</v>
      </c>
      <c r="AA17" s="325">
        <v>44608</v>
      </c>
      <c r="AB17" s="325">
        <v>68734.7</v>
      </c>
      <c r="AC17" s="325">
        <v>69403.7</v>
      </c>
      <c r="AD17" s="316">
        <v>69403.7</v>
      </c>
      <c r="AE17" s="316">
        <v>70832.7</v>
      </c>
      <c r="AF17" s="319">
        <v>372224.5</v>
      </c>
      <c r="AH17" s="281">
        <v>0</v>
      </c>
      <c r="AI17" s="281">
        <v>0</v>
      </c>
      <c r="AJ17" s="281">
        <v>0</v>
      </c>
      <c r="AK17" s="281">
        <v>0</v>
      </c>
      <c r="AL17" s="281">
        <v>0</v>
      </c>
      <c r="AM17" s="281">
        <v>0</v>
      </c>
      <c r="AN17" s="281">
        <v>0</v>
      </c>
      <c r="AO17" s="281">
        <v>0</v>
      </c>
      <c r="AP17" s="281">
        <v>0</v>
      </c>
      <c r="AQ17" s="281">
        <v>0</v>
      </c>
      <c r="AR17" s="281">
        <v>0</v>
      </c>
      <c r="AS17" s="297">
        <v>0</v>
      </c>
      <c r="AT17" s="281">
        <v>0</v>
      </c>
      <c r="AU17" s="281">
        <v>0</v>
      </c>
      <c r="AV17" s="281">
        <v>0</v>
      </c>
      <c r="AW17" s="281">
        <v>0</v>
      </c>
      <c r="AX17" s="281">
        <v>0</v>
      </c>
      <c r="AY17" s="336">
        <v>0</v>
      </c>
      <c r="AZ17" s="337">
        <v>0</v>
      </c>
      <c r="BA17" s="336">
        <v>0</v>
      </c>
      <c r="BB17" s="336">
        <v>0</v>
      </c>
      <c r="BC17" s="336">
        <v>0</v>
      </c>
      <c r="BD17" s="337">
        <v>0</v>
      </c>
      <c r="BE17" s="337">
        <v>0</v>
      </c>
      <c r="BG17" s="336">
        <v>0</v>
      </c>
      <c r="BH17" s="337">
        <v>0</v>
      </c>
      <c r="BI17" s="337">
        <v>0</v>
      </c>
      <c r="BJ17" s="337">
        <v>0</v>
      </c>
      <c r="BK17" s="337">
        <v>0</v>
      </c>
      <c r="BL17" s="337">
        <v>0</v>
      </c>
      <c r="BM17" s="337">
        <v>0</v>
      </c>
      <c r="BN17" s="337">
        <v>0</v>
      </c>
      <c r="BO17" s="337">
        <v>0</v>
      </c>
      <c r="BP17" s="337">
        <v>0</v>
      </c>
      <c r="BQ17" s="337">
        <v>0</v>
      </c>
      <c r="BR17" s="337">
        <v>0</v>
      </c>
      <c r="BS17" s="27"/>
      <c r="BT17" s="336">
        <v>0</v>
      </c>
      <c r="BU17" s="337">
        <v>0</v>
      </c>
      <c r="BV17" s="337">
        <v>0</v>
      </c>
      <c r="BW17" s="336">
        <v>0</v>
      </c>
      <c r="BX17" s="386">
        <v>0</v>
      </c>
      <c r="BY17" s="336">
        <v>0</v>
      </c>
      <c r="BZ17" s="336">
        <v>0</v>
      </c>
      <c r="CA17" s="336">
        <v>0</v>
      </c>
      <c r="CB17" s="439">
        <v>0</v>
      </c>
    </row>
    <row r="18" spans="1:80" ht="14.25">
      <c r="A18" s="170" t="s">
        <v>82</v>
      </c>
      <c r="B18" s="259"/>
      <c r="C18" s="259"/>
      <c r="D18" s="309">
        <v>52060</v>
      </c>
      <c r="E18" s="310">
        <f>293758+129509</f>
        <v>423267</v>
      </c>
      <c r="F18" s="259"/>
      <c r="G18" s="259"/>
      <c r="H18" s="259"/>
      <c r="I18" s="316">
        <v>0</v>
      </c>
      <c r="J18" s="316">
        <v>0</v>
      </c>
      <c r="K18" s="316">
        <v>0</v>
      </c>
      <c r="L18" s="316">
        <v>0</v>
      </c>
      <c r="M18" s="316">
        <v>0</v>
      </c>
      <c r="N18" s="316">
        <v>0</v>
      </c>
      <c r="O18" s="316">
        <v>0</v>
      </c>
      <c r="P18" s="316">
        <v>0</v>
      </c>
      <c r="Q18" s="319">
        <v>0</v>
      </c>
      <c r="R18" s="316">
        <v>0</v>
      </c>
      <c r="S18" s="316">
        <v>0</v>
      </c>
      <c r="T18" s="259"/>
      <c r="U18" s="322">
        <v>0</v>
      </c>
      <c r="V18" s="322">
        <v>0</v>
      </c>
      <c r="W18" s="322">
        <v>0</v>
      </c>
      <c r="X18" s="322">
        <v>0</v>
      </c>
      <c r="Y18" s="322">
        <v>0</v>
      </c>
      <c r="Z18" s="324">
        <v>0</v>
      </c>
      <c r="AA18" s="325">
        <v>0</v>
      </c>
      <c r="AB18" s="325">
        <v>0</v>
      </c>
      <c r="AC18" s="325">
        <v>0</v>
      </c>
      <c r="AD18" s="316">
        <v>0</v>
      </c>
      <c r="AE18" s="316">
        <v>0</v>
      </c>
      <c r="AF18" s="319">
        <v>0</v>
      </c>
      <c r="AH18" s="281">
        <v>0</v>
      </c>
      <c r="AI18" s="281">
        <v>0</v>
      </c>
      <c r="AJ18" s="281">
        <v>0</v>
      </c>
      <c r="AK18" s="281">
        <v>0</v>
      </c>
      <c r="AL18" s="281">
        <v>0</v>
      </c>
      <c r="AM18" s="281">
        <v>0</v>
      </c>
      <c r="AN18" s="281">
        <v>0</v>
      </c>
      <c r="AO18" s="281">
        <v>0</v>
      </c>
      <c r="AP18" s="281">
        <v>0</v>
      </c>
      <c r="AQ18" s="281">
        <v>0</v>
      </c>
      <c r="AR18" s="281">
        <v>0</v>
      </c>
      <c r="AS18" s="297">
        <v>0</v>
      </c>
      <c r="AT18" s="281">
        <v>0</v>
      </c>
      <c r="AU18" s="281">
        <v>0</v>
      </c>
      <c r="AV18" s="281">
        <v>0</v>
      </c>
      <c r="AW18" s="281">
        <v>0</v>
      </c>
      <c r="AX18" s="281">
        <v>0</v>
      </c>
      <c r="AY18" s="336">
        <v>0</v>
      </c>
      <c r="AZ18" s="337">
        <v>0</v>
      </c>
      <c r="BA18" s="336">
        <v>0</v>
      </c>
      <c r="BB18" s="336">
        <v>0</v>
      </c>
      <c r="BC18" s="336">
        <v>0</v>
      </c>
      <c r="BD18" s="337">
        <v>0</v>
      </c>
      <c r="BE18" s="337">
        <v>0</v>
      </c>
      <c r="BG18" s="336">
        <v>0</v>
      </c>
      <c r="BH18" s="337">
        <v>0</v>
      </c>
      <c r="BI18" s="337">
        <v>0</v>
      </c>
      <c r="BJ18" s="337">
        <v>0</v>
      </c>
      <c r="BK18" s="337">
        <v>0</v>
      </c>
      <c r="BL18" s="337">
        <v>0</v>
      </c>
      <c r="BM18" s="337">
        <v>0</v>
      </c>
      <c r="BN18" s="337">
        <v>0</v>
      </c>
      <c r="BO18" s="337">
        <v>0</v>
      </c>
      <c r="BP18" s="337">
        <v>0</v>
      </c>
      <c r="BQ18" s="337">
        <v>0</v>
      </c>
      <c r="BR18" s="337">
        <v>0</v>
      </c>
      <c r="BS18" s="27"/>
      <c r="BT18" s="336">
        <v>0</v>
      </c>
      <c r="BU18" s="337">
        <v>0</v>
      </c>
      <c r="BV18" s="337">
        <v>0</v>
      </c>
      <c r="BW18" s="336">
        <v>0</v>
      </c>
      <c r="BX18" s="386">
        <v>0</v>
      </c>
      <c r="BY18" s="336">
        <v>0</v>
      </c>
      <c r="BZ18" s="336">
        <v>0</v>
      </c>
      <c r="CA18" s="336">
        <v>0</v>
      </c>
      <c r="CB18" s="439">
        <v>0</v>
      </c>
    </row>
    <row r="19" spans="1:80" ht="15.75">
      <c r="A19" s="169" t="s">
        <v>83</v>
      </c>
      <c r="B19" s="212">
        <f t="shared" ref="B19:G19" si="32">B3-B12</f>
        <v>2325370</v>
      </c>
      <c r="C19" s="212">
        <f t="shared" si="32"/>
        <v>2422337</v>
      </c>
      <c r="D19" s="212">
        <f t="shared" si="32"/>
        <v>7209753.2199999997</v>
      </c>
      <c r="E19" s="212">
        <f t="shared" si="32"/>
        <v>5581959</v>
      </c>
      <c r="F19" s="212">
        <f t="shared" si="32"/>
        <v>5998987</v>
      </c>
      <c r="G19" s="212">
        <f t="shared" si="32"/>
        <v>6256606</v>
      </c>
      <c r="H19" s="212">
        <f>H3-H12</f>
        <v>6156482</v>
      </c>
      <c r="I19" s="212">
        <f t="shared" ref="I19:R19" si="33">I3-I12</f>
        <v>227839.85</v>
      </c>
      <c r="J19" s="212">
        <f t="shared" si="33"/>
        <v>712903.8</v>
      </c>
      <c r="K19" s="212">
        <f t="shared" si="33"/>
        <v>1221366.1100000001</v>
      </c>
      <c r="L19" s="212">
        <f t="shared" si="33"/>
        <v>1754876</v>
      </c>
      <c r="M19" s="212">
        <f t="shared" si="33"/>
        <v>2227565.3699999996</v>
      </c>
      <c r="N19" s="212">
        <f t="shared" si="33"/>
        <v>2767570.97</v>
      </c>
      <c r="O19" s="212">
        <f t="shared" si="33"/>
        <v>3546950.86</v>
      </c>
      <c r="P19" s="212">
        <f t="shared" si="33"/>
        <v>4169473.2</v>
      </c>
      <c r="Q19" s="212">
        <f t="shared" si="33"/>
        <v>4442931.75</v>
      </c>
      <c r="R19" s="212">
        <f t="shared" si="33"/>
        <v>5731268.9300000006</v>
      </c>
      <c r="S19" s="212">
        <f>S3-S12</f>
        <v>6419791.6299999999</v>
      </c>
      <c r="T19" s="212">
        <f>T3-T12</f>
        <v>6065506</v>
      </c>
      <c r="U19" s="212">
        <f>U3-U12</f>
        <v>571490.57000000007</v>
      </c>
      <c r="V19" s="212">
        <f t="shared" ref="V19:AA19" si="34">V3-V12</f>
        <v>906928.73</v>
      </c>
      <c r="W19" s="212">
        <f t="shared" si="34"/>
        <v>1745468.24</v>
      </c>
      <c r="X19" s="212">
        <f t="shared" si="34"/>
        <v>2365887.27</v>
      </c>
      <c r="Y19" s="212">
        <f t="shared" si="34"/>
        <v>2937732.3899999997</v>
      </c>
      <c r="Z19" s="212">
        <f t="shared" si="34"/>
        <v>3245773.5999999996</v>
      </c>
      <c r="AA19" s="212">
        <f t="shared" si="34"/>
        <v>4040672.5300000003</v>
      </c>
      <c r="AB19" s="212">
        <f>AB3-AB12</f>
        <v>4641333.2699999996</v>
      </c>
      <c r="AC19" s="212">
        <f>AC3-AC12</f>
        <v>5195982.8999999994</v>
      </c>
      <c r="AD19" s="212">
        <f>AD3-AD12</f>
        <v>5755141.4699999997</v>
      </c>
      <c r="AE19" s="212">
        <f>AE3-AE12</f>
        <v>6444184.8999999994</v>
      </c>
      <c r="AF19" s="212">
        <f>AF3-AF12</f>
        <v>6664232.2199999997</v>
      </c>
      <c r="AG19" s="212">
        <f t="shared" ref="AG19:AS19" si="35">AG3-AG12</f>
        <v>5822724</v>
      </c>
      <c r="AH19" s="212">
        <f t="shared" si="35"/>
        <v>586485.1</v>
      </c>
      <c r="AI19" s="212">
        <f t="shared" si="35"/>
        <v>1188223.5899999999</v>
      </c>
      <c r="AJ19" s="212">
        <f t="shared" si="35"/>
        <v>1916196.52</v>
      </c>
      <c r="AK19" s="212">
        <f t="shared" si="35"/>
        <v>2323171.46</v>
      </c>
      <c r="AL19" s="212">
        <f t="shared" si="35"/>
        <v>2891869.22</v>
      </c>
      <c r="AM19" s="212">
        <f t="shared" si="35"/>
        <v>3401084.85</v>
      </c>
      <c r="AN19" s="212">
        <f t="shared" si="35"/>
        <v>4604207.5599999996</v>
      </c>
      <c r="AO19" s="212">
        <f t="shared" si="35"/>
        <v>5191331.96</v>
      </c>
      <c r="AP19" s="212">
        <f t="shared" si="35"/>
        <v>5868081.1100000003</v>
      </c>
      <c r="AQ19" s="212">
        <f t="shared" si="35"/>
        <v>6477006.9399999995</v>
      </c>
      <c r="AR19" s="212">
        <f t="shared" si="35"/>
        <v>6725308.0599999996</v>
      </c>
      <c r="AS19" s="212">
        <f t="shared" si="35"/>
        <v>5276481</v>
      </c>
      <c r="AT19" s="212">
        <f t="shared" ref="AT19:BB19" si="36">AT3-AT12</f>
        <v>203119.83000000002</v>
      </c>
      <c r="AU19" s="212">
        <f t="shared" si="36"/>
        <v>717868.16999999993</v>
      </c>
      <c r="AV19" s="212">
        <f t="shared" si="36"/>
        <v>1624957.07</v>
      </c>
      <c r="AW19" s="212">
        <f t="shared" si="36"/>
        <v>2245013.77</v>
      </c>
      <c r="AX19" s="212">
        <f t="shared" si="36"/>
        <v>2897901.07</v>
      </c>
      <c r="AY19" s="212">
        <f t="shared" si="36"/>
        <v>3327683.42</v>
      </c>
      <c r="AZ19" s="212">
        <f t="shared" si="36"/>
        <v>4385273.6500000004</v>
      </c>
      <c r="BA19" s="212">
        <f t="shared" si="36"/>
        <v>5088105.58</v>
      </c>
      <c r="BB19" s="212">
        <f t="shared" si="36"/>
        <v>5504145.25</v>
      </c>
      <c r="BC19" s="212">
        <f t="shared" ref="BC19:BR19" si="37">BC3-BC12</f>
        <v>6518780.7400000002</v>
      </c>
      <c r="BD19" s="212">
        <f t="shared" si="37"/>
        <v>7160379.4300000006</v>
      </c>
      <c r="BE19" s="212">
        <f t="shared" si="37"/>
        <v>7617304.3500000006</v>
      </c>
      <c r="BF19" s="212">
        <f t="shared" si="37"/>
        <v>6987830</v>
      </c>
      <c r="BG19" s="212">
        <f t="shared" si="37"/>
        <v>640110.37</v>
      </c>
      <c r="BH19" s="212">
        <f t="shared" si="37"/>
        <v>1273596.1400000001</v>
      </c>
      <c r="BI19" s="212">
        <f t="shared" si="37"/>
        <v>1973487.63</v>
      </c>
      <c r="BJ19" s="212">
        <f t="shared" si="37"/>
        <v>2720611.98</v>
      </c>
      <c r="BK19" s="212">
        <f t="shared" si="37"/>
        <v>3398868.73</v>
      </c>
      <c r="BL19" s="212">
        <f t="shared" si="37"/>
        <v>4087484.25</v>
      </c>
      <c r="BM19" s="212">
        <f t="shared" si="37"/>
        <v>4823660.1500000004</v>
      </c>
      <c r="BN19" s="212">
        <f t="shared" si="37"/>
        <v>5516112.7200000007</v>
      </c>
      <c r="BO19" s="212">
        <f t="shared" si="37"/>
        <v>6325989.0700000003</v>
      </c>
      <c r="BP19" s="212">
        <f t="shared" si="37"/>
        <v>6628460.1500000004</v>
      </c>
      <c r="BQ19" s="212">
        <f t="shared" si="37"/>
        <v>7425263.9500000002</v>
      </c>
      <c r="BR19" s="212">
        <f t="shared" si="37"/>
        <v>7972133.0500000007</v>
      </c>
      <c r="BS19" s="212">
        <f t="shared" ref="BS19:BW19" si="38">BS3-BS12</f>
        <v>7231383</v>
      </c>
      <c r="BT19" s="212">
        <f t="shared" si="38"/>
        <v>697297</v>
      </c>
      <c r="BU19" s="212">
        <f t="shared" si="38"/>
        <v>1323360</v>
      </c>
      <c r="BV19" s="212">
        <f t="shared" si="38"/>
        <v>2246938.08</v>
      </c>
      <c r="BW19" s="212">
        <f t="shared" si="38"/>
        <v>2880647.5</v>
      </c>
      <c r="BX19" s="212">
        <f>BX3-BX12</f>
        <v>3753371.2800000003</v>
      </c>
      <c r="BY19" s="212">
        <f>BY3-BY12</f>
        <v>4280537.28</v>
      </c>
      <c r="BZ19" s="212">
        <f>BZ3-BZ12</f>
        <v>6712015.2699999996</v>
      </c>
      <c r="CA19" s="212">
        <f>CA3-CA12</f>
        <v>7548925.2400000002</v>
      </c>
      <c r="CB19" s="212">
        <f>CB3-CB12</f>
        <v>8107960.4000000004</v>
      </c>
    </row>
    <row r="20" spans="1:80" ht="15.75">
      <c r="A20" s="169" t="s">
        <v>84</v>
      </c>
      <c r="B20" s="212">
        <f t="shared" ref="B20:G20" si="39">B21-B22</f>
        <v>0</v>
      </c>
      <c r="C20" s="212">
        <f t="shared" si="39"/>
        <v>0</v>
      </c>
      <c r="D20" s="212">
        <f t="shared" si="39"/>
        <v>0</v>
      </c>
      <c r="E20" s="212">
        <f t="shared" si="39"/>
        <v>0</v>
      </c>
      <c r="F20" s="212">
        <f t="shared" si="39"/>
        <v>800000</v>
      </c>
      <c r="G20" s="212">
        <f t="shared" si="39"/>
        <v>550000</v>
      </c>
      <c r="H20" s="212">
        <f>H21-H22</f>
        <v>575767</v>
      </c>
      <c r="I20" s="212">
        <f t="shared" ref="I20:R20" si="40">I21-I22</f>
        <v>0</v>
      </c>
      <c r="J20" s="212">
        <f t="shared" si="40"/>
        <v>0</v>
      </c>
      <c r="K20" s="212">
        <f t="shared" si="40"/>
        <v>0</v>
      </c>
      <c r="L20" s="212">
        <f t="shared" si="40"/>
        <v>0</v>
      </c>
      <c r="M20" s="212">
        <f t="shared" si="40"/>
        <v>0</v>
      </c>
      <c r="N20" s="212">
        <f t="shared" si="40"/>
        <v>0</v>
      </c>
      <c r="O20" s="212">
        <f t="shared" si="40"/>
        <v>0</v>
      </c>
      <c r="P20" s="212">
        <f t="shared" si="40"/>
        <v>0</v>
      </c>
      <c r="Q20" s="212">
        <f t="shared" si="40"/>
        <v>0</v>
      </c>
      <c r="R20" s="212">
        <f t="shared" si="40"/>
        <v>0</v>
      </c>
      <c r="S20" s="212">
        <f>S21-S22</f>
        <v>0</v>
      </c>
      <c r="T20" s="212">
        <f>T21-T22</f>
        <v>1034684</v>
      </c>
      <c r="U20" s="212">
        <f>U21-U22</f>
        <v>0</v>
      </c>
      <c r="V20" s="212">
        <f t="shared" ref="V20:AA20" si="41">V21-V22</f>
        <v>0</v>
      </c>
      <c r="W20" s="212">
        <f t="shared" si="41"/>
        <v>0</v>
      </c>
      <c r="X20" s="212">
        <f t="shared" si="41"/>
        <v>0</v>
      </c>
      <c r="Y20" s="212">
        <f t="shared" si="41"/>
        <v>0</v>
      </c>
      <c r="Z20" s="212">
        <f t="shared" si="41"/>
        <v>0</v>
      </c>
      <c r="AA20" s="212">
        <f t="shared" si="41"/>
        <v>0</v>
      </c>
      <c r="AB20" s="212">
        <f>AB21-AB22</f>
        <v>0</v>
      </c>
      <c r="AC20" s="212">
        <f>AC21-AC22</f>
        <v>0</v>
      </c>
      <c r="AD20" s="212">
        <f>AD21-AD22</f>
        <v>0</v>
      </c>
      <c r="AE20" s="212">
        <f>AE21-AE22</f>
        <v>0</v>
      </c>
      <c r="AF20" s="212">
        <f>AF21-AF22</f>
        <v>0</v>
      </c>
      <c r="AG20" s="212">
        <f t="shared" ref="AG20:AS20" si="42">AG21-AG22</f>
        <v>600000</v>
      </c>
      <c r="AH20" s="212">
        <f t="shared" si="42"/>
        <v>0</v>
      </c>
      <c r="AI20" s="212">
        <f t="shared" si="42"/>
        <v>0</v>
      </c>
      <c r="AJ20" s="212">
        <f t="shared" si="42"/>
        <v>0</v>
      </c>
      <c r="AK20" s="212">
        <f t="shared" si="42"/>
        <v>0</v>
      </c>
      <c r="AL20" s="212">
        <f t="shared" si="42"/>
        <v>0</v>
      </c>
      <c r="AM20" s="212">
        <f t="shared" si="42"/>
        <v>0</v>
      </c>
      <c r="AN20" s="212">
        <f t="shared" si="42"/>
        <v>0</v>
      </c>
      <c r="AO20" s="212">
        <f t="shared" si="42"/>
        <v>0</v>
      </c>
      <c r="AP20" s="212">
        <f t="shared" si="42"/>
        <v>0</v>
      </c>
      <c r="AQ20" s="212">
        <f t="shared" si="42"/>
        <v>0</v>
      </c>
      <c r="AR20" s="212">
        <f t="shared" si="42"/>
        <v>0</v>
      </c>
      <c r="AS20" s="212">
        <f t="shared" si="42"/>
        <v>582100</v>
      </c>
      <c r="AT20" s="212">
        <f t="shared" ref="AT20:BB20" si="43">AT21-AT22</f>
        <v>0</v>
      </c>
      <c r="AU20" s="212">
        <f t="shared" si="43"/>
        <v>0</v>
      </c>
      <c r="AV20" s="212">
        <f t="shared" si="43"/>
        <v>0</v>
      </c>
      <c r="AW20" s="212">
        <f t="shared" si="43"/>
        <v>0</v>
      </c>
      <c r="AX20" s="212">
        <f t="shared" si="43"/>
        <v>0</v>
      </c>
      <c r="AY20" s="212">
        <f t="shared" si="43"/>
        <v>0</v>
      </c>
      <c r="AZ20" s="212">
        <f t="shared" si="43"/>
        <v>0</v>
      </c>
      <c r="BA20" s="212">
        <f t="shared" si="43"/>
        <v>0</v>
      </c>
      <c r="BB20" s="212">
        <f t="shared" si="43"/>
        <v>0</v>
      </c>
      <c r="BC20" s="212">
        <f t="shared" ref="BC20:BR20" si="44">BC21-BC22</f>
        <v>0</v>
      </c>
      <c r="BD20" s="212">
        <f t="shared" si="44"/>
        <v>0</v>
      </c>
      <c r="BE20" s="212">
        <f t="shared" si="44"/>
        <v>0</v>
      </c>
      <c r="BF20" s="212">
        <f t="shared" si="44"/>
        <v>96529</v>
      </c>
      <c r="BG20" s="212">
        <f t="shared" si="44"/>
        <v>0</v>
      </c>
      <c r="BH20" s="212">
        <f t="shared" si="44"/>
        <v>0</v>
      </c>
      <c r="BI20" s="212">
        <f t="shared" si="44"/>
        <v>0</v>
      </c>
      <c r="BJ20" s="212">
        <f t="shared" si="44"/>
        <v>0</v>
      </c>
      <c r="BK20" s="212">
        <f t="shared" si="44"/>
        <v>0</v>
      </c>
      <c r="BL20" s="212">
        <f t="shared" si="44"/>
        <v>0</v>
      </c>
      <c r="BM20" s="212">
        <f t="shared" si="44"/>
        <v>0</v>
      </c>
      <c r="BN20" s="212">
        <f t="shared" si="44"/>
        <v>0</v>
      </c>
      <c r="BO20" s="212">
        <f t="shared" si="44"/>
        <v>0</v>
      </c>
      <c r="BP20" s="212">
        <f t="shared" si="44"/>
        <v>0</v>
      </c>
      <c r="BQ20" s="212">
        <f t="shared" si="44"/>
        <v>0</v>
      </c>
      <c r="BR20" s="212">
        <f t="shared" si="44"/>
        <v>0</v>
      </c>
      <c r="BS20" s="212">
        <f t="shared" ref="BS20:BW20" si="45">BS21-BS22</f>
        <v>0</v>
      </c>
      <c r="BT20" s="212">
        <f t="shared" si="45"/>
        <v>0</v>
      </c>
      <c r="BU20" s="212">
        <f t="shared" si="45"/>
        <v>0</v>
      </c>
      <c r="BV20" s="212">
        <f t="shared" si="45"/>
        <v>0</v>
      </c>
      <c r="BW20" s="212">
        <f t="shared" si="45"/>
        <v>0</v>
      </c>
      <c r="BX20" s="212">
        <f>BX21-BX22</f>
        <v>0</v>
      </c>
      <c r="BY20" s="212">
        <f>BY21-BY22</f>
        <v>0</v>
      </c>
      <c r="BZ20" s="212">
        <f>BZ21-BZ22</f>
        <v>0</v>
      </c>
      <c r="CA20" s="212">
        <f>CA21-CA22</f>
        <v>0</v>
      </c>
      <c r="CB20" s="212">
        <f>CB21-CB22</f>
        <v>0</v>
      </c>
    </row>
    <row r="21" spans="1:80" ht="14.25">
      <c r="A21" s="170" t="s">
        <v>85</v>
      </c>
      <c r="B21" s="302"/>
      <c r="C21" s="302"/>
      <c r="D21" s="302"/>
      <c r="E21" s="302"/>
      <c r="F21" s="292">
        <v>800000</v>
      </c>
      <c r="G21" s="295">
        <v>550000</v>
      </c>
      <c r="H21" s="314">
        <v>575767</v>
      </c>
      <c r="I21" s="316">
        <v>0</v>
      </c>
      <c r="J21" s="316">
        <v>0</v>
      </c>
      <c r="K21" s="316">
        <v>0</v>
      </c>
      <c r="L21" s="316">
        <v>0</v>
      </c>
      <c r="M21" s="316">
        <v>0</v>
      </c>
      <c r="N21" s="316">
        <v>0</v>
      </c>
      <c r="O21" s="316">
        <v>0</v>
      </c>
      <c r="P21" s="316">
        <v>0</v>
      </c>
      <c r="Q21" s="319">
        <v>0</v>
      </c>
      <c r="R21" s="316">
        <v>0</v>
      </c>
      <c r="S21" s="316">
        <v>0</v>
      </c>
      <c r="T21" s="314">
        <v>1034684</v>
      </c>
      <c r="U21" s="322">
        <v>0</v>
      </c>
      <c r="V21" s="322">
        <v>0</v>
      </c>
      <c r="W21" s="322">
        <v>0</v>
      </c>
      <c r="X21" s="322">
        <v>0</v>
      </c>
      <c r="Y21" s="322">
        <v>0</v>
      </c>
      <c r="Z21" s="324">
        <v>0</v>
      </c>
      <c r="AA21" s="325">
        <v>0</v>
      </c>
      <c r="AB21" s="325">
        <v>0</v>
      </c>
      <c r="AC21" s="325">
        <v>0</v>
      </c>
      <c r="AD21" s="316">
        <v>0</v>
      </c>
      <c r="AE21" s="316">
        <v>0</v>
      </c>
      <c r="AF21" s="319">
        <v>0</v>
      </c>
      <c r="AG21" s="302">
        <v>600000</v>
      </c>
      <c r="AH21" s="281">
        <v>0</v>
      </c>
      <c r="AI21" s="281">
        <v>0</v>
      </c>
      <c r="AJ21" s="281">
        <v>0</v>
      </c>
      <c r="AK21" s="281">
        <v>0</v>
      </c>
      <c r="AL21" s="281">
        <v>0</v>
      </c>
      <c r="AM21" s="281">
        <v>0</v>
      </c>
      <c r="AN21" s="281">
        <v>0</v>
      </c>
      <c r="AO21" s="281">
        <v>0</v>
      </c>
      <c r="AP21" s="281">
        <v>0</v>
      </c>
      <c r="AQ21" s="281">
        <v>0</v>
      </c>
      <c r="AR21" s="281">
        <v>0</v>
      </c>
      <c r="AS21" s="297">
        <v>582100</v>
      </c>
      <c r="AT21" s="281">
        <v>0</v>
      </c>
      <c r="AU21" s="281">
        <v>0</v>
      </c>
      <c r="AV21" s="281">
        <v>0</v>
      </c>
      <c r="AW21" s="281">
        <v>0</v>
      </c>
      <c r="AX21" s="281">
        <v>0</v>
      </c>
      <c r="AY21" s="332">
        <v>0</v>
      </c>
      <c r="AZ21" s="334">
        <v>0</v>
      </c>
      <c r="BA21" s="332">
        <v>0</v>
      </c>
      <c r="BB21" s="332">
        <v>0</v>
      </c>
      <c r="BF21" s="27">
        <v>96529</v>
      </c>
      <c r="BG21" s="332">
        <v>0</v>
      </c>
      <c r="BH21" s="334">
        <v>0</v>
      </c>
      <c r="BI21" s="334">
        <v>0</v>
      </c>
      <c r="BJ21" s="334">
        <v>0</v>
      </c>
      <c r="BK21" s="334">
        <v>0</v>
      </c>
      <c r="BL21" s="334">
        <v>0</v>
      </c>
      <c r="BM21" s="334">
        <v>0</v>
      </c>
      <c r="BN21" s="334">
        <v>0</v>
      </c>
      <c r="BO21" s="334">
        <v>0</v>
      </c>
      <c r="BP21" s="334">
        <v>0</v>
      </c>
      <c r="BQ21" s="334">
        <v>0</v>
      </c>
      <c r="BR21" s="334">
        <v>0</v>
      </c>
      <c r="BS21" s="27">
        <v>0</v>
      </c>
      <c r="BT21" s="332">
        <v>0</v>
      </c>
      <c r="BU21" s="334">
        <v>0</v>
      </c>
      <c r="BV21" s="334">
        <v>0</v>
      </c>
      <c r="BW21" s="332">
        <v>0</v>
      </c>
      <c r="BX21">
        <v>0</v>
      </c>
      <c r="BY21" s="332">
        <v>0</v>
      </c>
      <c r="BZ21" s="332">
        <v>0</v>
      </c>
      <c r="CA21" s="332">
        <v>0</v>
      </c>
      <c r="CB21" s="437">
        <v>0</v>
      </c>
    </row>
    <row r="22" spans="1:80" ht="14.25">
      <c r="A22" s="170" t="s">
        <v>86</v>
      </c>
      <c r="B22" s="259"/>
      <c r="C22" s="259"/>
      <c r="D22" s="259"/>
      <c r="E22" s="259"/>
      <c r="F22" s="259"/>
      <c r="G22" s="259"/>
      <c r="H22" s="259"/>
      <c r="I22" s="316">
        <v>0</v>
      </c>
      <c r="J22" s="316">
        <v>0</v>
      </c>
      <c r="K22" s="316">
        <v>0</v>
      </c>
      <c r="L22" s="316">
        <v>0</v>
      </c>
      <c r="M22" s="316">
        <v>0</v>
      </c>
      <c r="N22" s="316">
        <v>0</v>
      </c>
      <c r="O22" s="316">
        <v>0</v>
      </c>
      <c r="P22" s="316">
        <v>0</v>
      </c>
      <c r="Q22" s="319">
        <v>0</v>
      </c>
      <c r="R22" s="316">
        <v>0</v>
      </c>
      <c r="S22" s="316">
        <v>0</v>
      </c>
      <c r="T22" s="259"/>
      <c r="U22" s="322">
        <v>0</v>
      </c>
      <c r="V22" s="322">
        <v>0</v>
      </c>
      <c r="W22" s="322">
        <v>0</v>
      </c>
      <c r="X22" s="322">
        <v>0</v>
      </c>
      <c r="Y22" s="322">
        <v>0</v>
      </c>
      <c r="Z22" s="324">
        <v>0</v>
      </c>
      <c r="AA22" s="325">
        <v>0</v>
      </c>
      <c r="AB22" s="325">
        <v>0</v>
      </c>
      <c r="AC22" s="325">
        <v>0</v>
      </c>
      <c r="AD22" s="316">
        <v>0</v>
      </c>
      <c r="AE22" s="316">
        <v>0</v>
      </c>
      <c r="AF22" s="319">
        <v>0</v>
      </c>
      <c r="AH22" s="281">
        <v>0</v>
      </c>
      <c r="AI22" s="281">
        <v>0</v>
      </c>
      <c r="AJ22" s="281">
        <v>0</v>
      </c>
      <c r="AK22" s="281">
        <v>0</v>
      </c>
      <c r="AL22" s="281">
        <v>0</v>
      </c>
      <c r="AM22" s="281">
        <v>0</v>
      </c>
      <c r="AN22" s="281">
        <v>0</v>
      </c>
      <c r="AO22" s="281">
        <v>0</v>
      </c>
      <c r="AP22" s="281">
        <v>0</v>
      </c>
      <c r="AQ22" s="281">
        <v>0</v>
      </c>
      <c r="AR22" s="281">
        <v>0</v>
      </c>
      <c r="AS22" s="297">
        <v>0</v>
      </c>
      <c r="AT22" s="281">
        <v>0</v>
      </c>
      <c r="AU22" s="281">
        <v>0</v>
      </c>
      <c r="AV22" s="281">
        <v>0</v>
      </c>
      <c r="AW22" s="281">
        <v>0</v>
      </c>
      <c r="AX22" s="281">
        <v>0</v>
      </c>
      <c r="AY22" s="336">
        <v>0</v>
      </c>
      <c r="AZ22" s="337">
        <v>0</v>
      </c>
      <c r="BA22" s="336">
        <v>0</v>
      </c>
      <c r="BB22" s="336">
        <v>0</v>
      </c>
      <c r="BG22" s="336">
        <v>0</v>
      </c>
      <c r="BH22" s="337">
        <v>0</v>
      </c>
      <c r="BI22" s="337">
        <v>0</v>
      </c>
      <c r="BJ22" s="337">
        <v>0</v>
      </c>
      <c r="BK22" s="337">
        <v>0</v>
      </c>
      <c r="BL22" s="337">
        <v>0</v>
      </c>
      <c r="BM22" s="337">
        <v>0</v>
      </c>
      <c r="BN22" s="337">
        <v>0</v>
      </c>
      <c r="BO22" s="337">
        <v>0</v>
      </c>
      <c r="BP22" s="337">
        <v>0</v>
      </c>
      <c r="BQ22" s="337">
        <v>0</v>
      </c>
      <c r="BR22" s="337">
        <v>0</v>
      </c>
      <c r="BS22" s="27"/>
      <c r="BT22" s="336">
        <v>0</v>
      </c>
      <c r="BU22" s="337">
        <v>0</v>
      </c>
      <c r="BV22" s="337">
        <v>0</v>
      </c>
      <c r="BW22" s="336">
        <v>0</v>
      </c>
      <c r="BX22">
        <v>0</v>
      </c>
      <c r="BY22" s="336">
        <v>0</v>
      </c>
      <c r="BZ22" s="336">
        <v>0</v>
      </c>
      <c r="CA22" s="336">
        <v>0</v>
      </c>
      <c r="CB22" s="439">
        <v>0</v>
      </c>
    </row>
    <row r="23" spans="1:80" ht="15.75">
      <c r="A23" s="169" t="s">
        <v>87</v>
      </c>
      <c r="B23" s="212">
        <f t="shared" ref="B23:I23" si="46">SUM(B24:B28)</f>
        <v>2188331</v>
      </c>
      <c r="C23" s="212">
        <f t="shared" si="46"/>
        <v>2142423</v>
      </c>
      <c r="D23" s="212">
        <f t="shared" si="46"/>
        <v>3280896</v>
      </c>
      <c r="E23" s="212">
        <f t="shared" si="46"/>
        <v>3663861</v>
      </c>
      <c r="F23" s="212">
        <f t="shared" si="46"/>
        <v>4191173</v>
      </c>
      <c r="G23" s="212">
        <f t="shared" si="46"/>
        <v>4447942</v>
      </c>
      <c r="H23" s="212">
        <f t="shared" si="46"/>
        <v>5369973</v>
      </c>
      <c r="I23" s="212">
        <f t="shared" si="46"/>
        <v>193026.22</v>
      </c>
      <c r="J23" s="212">
        <f t="shared" ref="J23:R23" si="47">SUM(J24:J28)</f>
        <v>460437.26</v>
      </c>
      <c r="K23" s="212">
        <f t="shared" si="47"/>
        <v>670647.57999999996</v>
      </c>
      <c r="L23" s="212">
        <f t="shared" si="47"/>
        <v>983431.58</v>
      </c>
      <c r="M23" s="212">
        <f t="shared" si="47"/>
        <v>1216444.82</v>
      </c>
      <c r="N23" s="212">
        <f t="shared" si="47"/>
        <v>1400815.82</v>
      </c>
      <c r="O23" s="212">
        <f t="shared" si="47"/>
        <v>1694483.42</v>
      </c>
      <c r="P23" s="212">
        <f t="shared" si="47"/>
        <v>1986236.62</v>
      </c>
      <c r="Q23" s="212">
        <f t="shared" si="47"/>
        <v>2223858.62</v>
      </c>
      <c r="R23" s="212">
        <f t="shared" si="47"/>
        <v>2982217.9</v>
      </c>
      <c r="S23" s="212">
        <f>SUM(S24:S28)</f>
        <v>3213084.9</v>
      </c>
      <c r="T23" s="212">
        <f>SUM(T24:T28)</f>
        <v>4314826</v>
      </c>
      <c r="U23" s="212">
        <f>SUM(U24:U28)</f>
        <v>207644</v>
      </c>
      <c r="V23" s="212">
        <f t="shared" ref="V23:AA23" si="48">SUM(V24:V28)</f>
        <v>567911.91999999993</v>
      </c>
      <c r="W23" s="212">
        <f t="shared" si="48"/>
        <v>915160.48</v>
      </c>
      <c r="X23" s="212">
        <f t="shared" si="48"/>
        <v>1231117.8</v>
      </c>
      <c r="Y23" s="212">
        <f t="shared" si="48"/>
        <v>1478858.84</v>
      </c>
      <c r="Z23" s="212">
        <f t="shared" si="48"/>
        <v>1690517.24</v>
      </c>
      <c r="AA23" s="212">
        <f t="shared" si="48"/>
        <v>1910170.24</v>
      </c>
      <c r="AB23" s="212">
        <f t="shared" ref="AB23:AG23" si="49">SUM(AB24:AB28)</f>
        <v>2131134.2999999998</v>
      </c>
      <c r="AC23" s="212">
        <f t="shared" si="49"/>
        <v>2345426.96</v>
      </c>
      <c r="AD23" s="212">
        <f t="shared" si="49"/>
        <v>2413830.64</v>
      </c>
      <c r="AE23" s="212">
        <f t="shared" si="49"/>
        <v>3167621.42</v>
      </c>
      <c r="AF23" s="212">
        <f t="shared" si="49"/>
        <v>3442478.77</v>
      </c>
      <c r="AG23" s="212">
        <f t="shared" si="49"/>
        <v>4580282</v>
      </c>
      <c r="AH23" s="212">
        <f t="shared" ref="AH23:AO23" si="50">SUM(AH24:AH28)</f>
        <v>191201</v>
      </c>
      <c r="AI23" s="212">
        <f t="shared" si="50"/>
        <v>481754</v>
      </c>
      <c r="AJ23" s="212">
        <f t="shared" si="50"/>
        <v>749565.49</v>
      </c>
      <c r="AK23" s="212">
        <f t="shared" si="50"/>
        <v>977569.88</v>
      </c>
      <c r="AL23" s="212">
        <f t="shared" si="50"/>
        <v>1164204.44</v>
      </c>
      <c r="AM23" s="212">
        <f t="shared" si="50"/>
        <v>1347459.98</v>
      </c>
      <c r="AN23" s="212">
        <f t="shared" si="50"/>
        <v>1734888.76</v>
      </c>
      <c r="AO23" s="212">
        <f t="shared" si="50"/>
        <v>1934821.54</v>
      </c>
      <c r="AP23" s="212">
        <f t="shared" ref="AP23:AV23" si="51">SUM(AP24:AP28)</f>
        <v>2132132.54</v>
      </c>
      <c r="AQ23" s="212">
        <f t="shared" si="51"/>
        <v>2606282.3199999998</v>
      </c>
      <c r="AR23" s="212">
        <f t="shared" si="51"/>
        <v>2825640.32</v>
      </c>
      <c r="AS23" s="212">
        <f t="shared" si="51"/>
        <v>3958788</v>
      </c>
      <c r="AT23" s="212">
        <f t="shared" si="51"/>
        <v>160422</v>
      </c>
      <c r="AU23" s="212">
        <f t="shared" si="51"/>
        <v>494346</v>
      </c>
      <c r="AV23" s="212">
        <f t="shared" si="51"/>
        <v>928163</v>
      </c>
      <c r="AW23" s="212">
        <f t="shared" ref="AW23:BB23" si="52">SUM(AW24:AW28)</f>
        <v>1203845</v>
      </c>
      <c r="AX23" s="212">
        <f t="shared" si="52"/>
        <v>1549819</v>
      </c>
      <c r="AY23" s="212">
        <f t="shared" si="52"/>
        <v>1636853</v>
      </c>
      <c r="AZ23" s="212">
        <f t="shared" si="52"/>
        <v>2048190</v>
      </c>
      <c r="BA23" s="212">
        <f t="shared" si="52"/>
        <v>2405528</v>
      </c>
      <c r="BB23" s="212">
        <f t="shared" si="52"/>
        <v>2471776</v>
      </c>
      <c r="BC23" s="212">
        <f t="shared" ref="BC23:BR23" si="53">SUM(BC24:BC28)</f>
        <v>2917544</v>
      </c>
      <c r="BD23" s="212">
        <f t="shared" si="53"/>
        <v>3461137</v>
      </c>
      <c r="BE23" s="212">
        <f t="shared" si="53"/>
        <v>3749313</v>
      </c>
      <c r="BF23" s="212">
        <f t="shared" si="53"/>
        <v>4672924</v>
      </c>
      <c r="BG23" s="212">
        <f t="shared" si="53"/>
        <v>314478</v>
      </c>
      <c r="BH23" s="212">
        <f t="shared" si="53"/>
        <v>934022</v>
      </c>
      <c r="BI23" s="212">
        <f t="shared" si="53"/>
        <v>1182149</v>
      </c>
      <c r="BJ23" s="212">
        <f t="shared" si="53"/>
        <v>1524604</v>
      </c>
      <c r="BK23" s="212">
        <f t="shared" si="53"/>
        <v>1851021</v>
      </c>
      <c r="BL23" s="212">
        <f t="shared" si="53"/>
        <v>2247262</v>
      </c>
      <c r="BM23" s="212">
        <f t="shared" si="53"/>
        <v>2495999</v>
      </c>
      <c r="BN23" s="212">
        <f t="shared" si="53"/>
        <v>2719099</v>
      </c>
      <c r="BO23" s="212">
        <f t="shared" si="53"/>
        <v>3075728</v>
      </c>
      <c r="BP23" s="212">
        <f t="shared" si="53"/>
        <v>3319314</v>
      </c>
      <c r="BQ23" s="212">
        <f t="shared" si="53"/>
        <v>3632008</v>
      </c>
      <c r="BR23" s="212">
        <f t="shared" si="53"/>
        <v>4202232.8</v>
      </c>
      <c r="BS23" s="212">
        <f t="shared" ref="BS23:BW23" si="54">SUM(BS24:BS28)</f>
        <v>5517375</v>
      </c>
      <c r="BT23" s="212">
        <f t="shared" si="54"/>
        <v>263156</v>
      </c>
      <c r="BU23" s="212">
        <f t="shared" si="54"/>
        <v>718108</v>
      </c>
      <c r="BV23" s="212">
        <f t="shared" si="54"/>
        <v>990466</v>
      </c>
      <c r="BW23" s="212">
        <f t="shared" si="54"/>
        <v>1291140</v>
      </c>
      <c r="BX23" s="212">
        <f>SUM(BX24:BX28)</f>
        <v>1746931</v>
      </c>
      <c r="BY23" s="212">
        <f>SUM(BY24:BY28)</f>
        <v>1881330</v>
      </c>
      <c r="BZ23" s="212">
        <f>SUM(BZ24:BZ28)</f>
        <v>3245981.92</v>
      </c>
      <c r="CA23" s="212">
        <f>SUM(CA24:CA28)</f>
        <v>3622858.87</v>
      </c>
      <c r="CB23" s="212">
        <f>SUM(CB24:CB28)</f>
        <v>4008208.37</v>
      </c>
    </row>
    <row r="24" spans="1:80" ht="14.25">
      <c r="A24" s="170" t="s">
        <v>88</v>
      </c>
      <c r="B24" s="305">
        <v>191449</v>
      </c>
      <c r="C24" s="308">
        <f>1223055</f>
        <v>1223055</v>
      </c>
      <c r="D24" s="309">
        <v>1344891</v>
      </c>
      <c r="E24" s="310">
        <v>1357118</v>
      </c>
      <c r="F24" s="283">
        <v>1588884</v>
      </c>
      <c r="G24" s="295">
        <v>1675820</v>
      </c>
      <c r="H24" s="314">
        <v>1803481</v>
      </c>
      <c r="I24" s="316">
        <v>127475</v>
      </c>
      <c r="J24" s="316">
        <v>257903</v>
      </c>
      <c r="K24" s="316">
        <v>387932</v>
      </c>
      <c r="L24" s="316">
        <v>609382</v>
      </c>
      <c r="M24" s="316">
        <v>737262</v>
      </c>
      <c r="N24" s="316">
        <v>862873</v>
      </c>
      <c r="O24" s="316">
        <v>988307</v>
      </c>
      <c r="P24" s="316">
        <v>1123380</v>
      </c>
      <c r="Q24" s="319">
        <v>1267192</v>
      </c>
      <c r="R24" s="316">
        <v>1537503</v>
      </c>
      <c r="S24" s="316">
        <v>1703992</v>
      </c>
      <c r="T24" s="321">
        <v>1839286</v>
      </c>
      <c r="U24" s="322">
        <v>147224</v>
      </c>
      <c r="V24" s="322">
        <v>324430</v>
      </c>
      <c r="W24" s="322">
        <v>500926</v>
      </c>
      <c r="X24" s="322">
        <v>731175</v>
      </c>
      <c r="Y24" s="322">
        <v>887063</v>
      </c>
      <c r="Z24" s="324">
        <v>1032215</v>
      </c>
      <c r="AA24" s="325">
        <v>1139164</v>
      </c>
      <c r="AB24" s="325">
        <v>1281120</v>
      </c>
      <c r="AC24" s="325">
        <v>1408250</v>
      </c>
      <c r="AD24" s="316">
        <v>1416600</v>
      </c>
      <c r="AE24" s="316">
        <v>1794528.6</v>
      </c>
      <c r="AF24" s="319">
        <v>1966473.6</v>
      </c>
      <c r="AG24" s="302">
        <v>2137339</v>
      </c>
      <c r="AH24" s="281">
        <v>115904</v>
      </c>
      <c r="AI24" s="281">
        <v>206892</v>
      </c>
      <c r="AJ24" s="281">
        <v>315730</v>
      </c>
      <c r="AK24" s="281">
        <v>470266</v>
      </c>
      <c r="AL24" s="281">
        <v>588743</v>
      </c>
      <c r="AM24" s="281">
        <v>690251</v>
      </c>
      <c r="AN24" s="281">
        <v>895445</v>
      </c>
      <c r="AO24" s="281">
        <v>996940</v>
      </c>
      <c r="AP24" s="281">
        <v>1109467</v>
      </c>
      <c r="AQ24" s="281">
        <v>1221132</v>
      </c>
      <c r="AR24" s="281">
        <v>1338669</v>
      </c>
      <c r="AS24" s="304">
        <v>1588761</v>
      </c>
      <c r="AT24" s="281">
        <v>10272</v>
      </c>
      <c r="AU24" s="281">
        <v>124370</v>
      </c>
      <c r="AV24" s="281">
        <v>415912</v>
      </c>
      <c r="AW24" s="281">
        <v>588180</v>
      </c>
      <c r="AX24" s="281">
        <v>832337</v>
      </c>
      <c r="AY24" s="333">
        <v>837844</v>
      </c>
      <c r="AZ24" s="335">
        <v>1183667</v>
      </c>
      <c r="BA24" s="333">
        <v>1375140</v>
      </c>
      <c r="BB24" s="333">
        <v>1382736</v>
      </c>
      <c r="BC24" s="333">
        <v>1751440</v>
      </c>
      <c r="BD24" s="335">
        <v>1937943</v>
      </c>
      <c r="BE24" s="335">
        <v>2130920</v>
      </c>
      <c r="BF24" s="27">
        <v>2130920</v>
      </c>
      <c r="BG24" s="333">
        <v>178359</v>
      </c>
      <c r="BH24" s="335">
        <v>356267</v>
      </c>
      <c r="BI24" s="335">
        <v>540240</v>
      </c>
      <c r="BJ24" s="335">
        <v>717827</v>
      </c>
      <c r="BK24" s="335">
        <v>896702</v>
      </c>
      <c r="BL24" s="335">
        <v>1228531</v>
      </c>
      <c r="BM24" s="335">
        <v>1405884</v>
      </c>
      <c r="BN24" s="335">
        <v>1580555</v>
      </c>
      <c r="BO24" s="335">
        <v>1889750</v>
      </c>
      <c r="BP24" s="335">
        <v>2088932</v>
      </c>
      <c r="BQ24" s="335">
        <v>2288915</v>
      </c>
      <c r="BR24" s="335">
        <v>2501397</v>
      </c>
      <c r="BS24" s="27">
        <f>28246+138354+51429+82330+2201038</f>
        <v>2501397</v>
      </c>
      <c r="BT24" s="333">
        <v>201281</v>
      </c>
      <c r="BU24" s="335">
        <v>401355</v>
      </c>
      <c r="BV24" s="335">
        <v>612245</v>
      </c>
      <c r="BW24" s="333">
        <v>821390</v>
      </c>
      <c r="BX24" s="385">
        <v>1165258</v>
      </c>
      <c r="BY24" s="333">
        <v>1192178</v>
      </c>
      <c r="BZ24" s="333">
        <v>1588639</v>
      </c>
      <c r="CA24" s="333">
        <v>1797291</v>
      </c>
      <c r="CB24" s="438">
        <v>2007211</v>
      </c>
    </row>
    <row r="25" spans="1:80" ht="14.25">
      <c r="A25" s="170" t="s">
        <v>89</v>
      </c>
      <c r="B25" s="305">
        <v>508737</v>
      </c>
      <c r="C25" s="308">
        <f>265661</f>
        <v>265661</v>
      </c>
      <c r="D25" s="309">
        <f>516344+305261</f>
        <v>821605</v>
      </c>
      <c r="E25" s="310">
        <f>416562+416562</f>
        <v>833124</v>
      </c>
      <c r="F25" s="283">
        <v>870700</v>
      </c>
      <c r="G25" s="295">
        <v>1068794</v>
      </c>
      <c r="H25" s="314">
        <v>827193</v>
      </c>
      <c r="I25" s="316">
        <v>33891.22</v>
      </c>
      <c r="J25" s="316">
        <v>138714.26</v>
      </c>
      <c r="K25" s="316">
        <v>185135.58</v>
      </c>
      <c r="L25" s="316">
        <v>220795.58</v>
      </c>
      <c r="M25" s="316">
        <v>270568.82</v>
      </c>
      <c r="N25" s="316">
        <v>298168.82</v>
      </c>
      <c r="O25" s="316">
        <v>382937.42</v>
      </c>
      <c r="P25" s="316">
        <v>470457.62</v>
      </c>
      <c r="Q25" s="319">
        <v>525367.62</v>
      </c>
      <c r="R25" s="316">
        <v>952001.9</v>
      </c>
      <c r="S25" s="316">
        <v>981719.9</v>
      </c>
      <c r="T25" s="321">
        <v>796588</v>
      </c>
      <c r="U25" s="322">
        <v>31580</v>
      </c>
      <c r="V25" s="322">
        <v>78601.919999999998</v>
      </c>
      <c r="W25" s="322">
        <v>227074.48</v>
      </c>
      <c r="X25" s="322">
        <v>269288.8</v>
      </c>
      <c r="Y25" s="322">
        <v>306501.84000000003</v>
      </c>
      <c r="Z25" s="324">
        <v>335768.24</v>
      </c>
      <c r="AA25" s="325">
        <v>370518.24</v>
      </c>
      <c r="AB25" s="325">
        <v>426286.3</v>
      </c>
      <c r="AC25" s="325">
        <v>470408.96000000002</v>
      </c>
      <c r="AD25" s="316">
        <v>488422.64</v>
      </c>
      <c r="AE25" s="316">
        <v>828644.82</v>
      </c>
      <c r="AF25" s="319">
        <v>864717.17</v>
      </c>
      <c r="AG25" s="302">
        <v>842346</v>
      </c>
      <c r="AH25" s="281">
        <v>35057</v>
      </c>
      <c r="AI25" s="281">
        <v>76982</v>
      </c>
      <c r="AJ25" s="281">
        <v>213555.49</v>
      </c>
      <c r="AK25" s="281">
        <v>261911.88</v>
      </c>
      <c r="AL25" s="281">
        <v>304029.44</v>
      </c>
      <c r="AM25" s="281">
        <v>358671.98</v>
      </c>
      <c r="AN25" s="281">
        <v>447826.76</v>
      </c>
      <c r="AO25" s="281">
        <v>495938.54</v>
      </c>
      <c r="AP25" s="281">
        <v>524022.54</v>
      </c>
      <c r="AQ25" s="281">
        <v>852579.32</v>
      </c>
      <c r="AR25" s="281">
        <v>894744.32</v>
      </c>
      <c r="AS25" s="304">
        <v>592227</v>
      </c>
      <c r="AT25" s="281">
        <v>70838</v>
      </c>
      <c r="AU25" s="281">
        <v>186952</v>
      </c>
      <c r="AV25" s="281">
        <v>250101</v>
      </c>
      <c r="AW25" s="281">
        <v>306117</v>
      </c>
      <c r="AX25" s="281">
        <v>345722</v>
      </c>
      <c r="AY25" s="338">
        <v>387223</v>
      </c>
      <c r="AZ25" s="339">
        <v>410425</v>
      </c>
      <c r="BA25" s="338">
        <v>506578</v>
      </c>
      <c r="BB25" s="338">
        <v>534018</v>
      </c>
      <c r="BC25" s="338">
        <v>581270</v>
      </c>
      <c r="BD25" s="339">
        <v>897492</v>
      </c>
      <c r="BE25" s="339">
        <v>960165</v>
      </c>
      <c r="BF25" s="27">
        <v>734300</v>
      </c>
      <c r="BG25" s="338">
        <v>112879</v>
      </c>
      <c r="BH25" s="339">
        <v>160431</v>
      </c>
      <c r="BI25" s="339">
        <v>195129</v>
      </c>
      <c r="BJ25" s="339">
        <v>309727</v>
      </c>
      <c r="BK25" s="339">
        <v>355225</v>
      </c>
      <c r="BL25" s="339">
        <v>385553</v>
      </c>
      <c r="BM25" s="339">
        <v>421039</v>
      </c>
      <c r="BN25" s="339">
        <v>436056</v>
      </c>
      <c r="BO25" s="339">
        <v>455578</v>
      </c>
      <c r="BP25" s="339">
        <v>476742</v>
      </c>
      <c r="BQ25" s="339">
        <v>518682</v>
      </c>
      <c r="BR25" s="339">
        <v>843489.8</v>
      </c>
      <c r="BS25" s="27">
        <f>74730+309390+215524+363700+184256</f>
        <v>1147600</v>
      </c>
      <c r="BT25" s="338">
        <v>20912</v>
      </c>
      <c r="BU25" s="339">
        <v>136427</v>
      </c>
      <c r="BV25" s="339">
        <v>167912</v>
      </c>
      <c r="BW25" s="338">
        <v>198642</v>
      </c>
      <c r="BX25" s="387">
        <v>222582</v>
      </c>
      <c r="BY25" s="338">
        <v>274598</v>
      </c>
      <c r="BZ25" s="338">
        <v>734532</v>
      </c>
      <c r="CA25" s="338">
        <v>854141</v>
      </c>
      <c r="CB25" s="440">
        <v>954804</v>
      </c>
    </row>
    <row r="26" spans="1:80" ht="14.25">
      <c r="A26" s="170" t="s">
        <v>90</v>
      </c>
      <c r="B26" s="305"/>
      <c r="C26" s="308">
        <f>15391</f>
        <v>15391</v>
      </c>
      <c r="D26" s="309"/>
      <c r="E26" s="310"/>
      <c r="F26" s="283">
        <v>66795</v>
      </c>
      <c r="G26" s="291">
        <v>50845</v>
      </c>
      <c r="H26" s="314">
        <v>88581</v>
      </c>
      <c r="I26" s="316">
        <v>31660</v>
      </c>
      <c r="J26" s="316">
        <v>63820</v>
      </c>
      <c r="K26" s="316">
        <v>97580</v>
      </c>
      <c r="L26" s="316">
        <v>153254</v>
      </c>
      <c r="M26" s="316">
        <v>208614</v>
      </c>
      <c r="N26" s="316">
        <v>239774</v>
      </c>
      <c r="O26" s="316">
        <v>323239</v>
      </c>
      <c r="P26" s="316">
        <v>392399</v>
      </c>
      <c r="Q26" s="319">
        <v>431299</v>
      </c>
      <c r="R26" s="316">
        <v>492713</v>
      </c>
      <c r="S26" s="316">
        <v>527373</v>
      </c>
      <c r="T26" s="321">
        <v>26107</v>
      </c>
      <c r="U26" s="322">
        <v>28840</v>
      </c>
      <c r="V26" s="322">
        <v>164880</v>
      </c>
      <c r="W26" s="322">
        <v>187160</v>
      </c>
      <c r="X26" s="322">
        <v>230654</v>
      </c>
      <c r="Y26" s="322">
        <v>285294</v>
      </c>
      <c r="Z26" s="324">
        <v>322534</v>
      </c>
      <c r="AA26" s="325">
        <v>400488</v>
      </c>
      <c r="AB26" s="325">
        <v>423728</v>
      </c>
      <c r="AC26" s="325">
        <v>466768</v>
      </c>
      <c r="AD26" s="316">
        <v>508808</v>
      </c>
      <c r="AE26" s="316">
        <v>544448</v>
      </c>
      <c r="AF26" s="319">
        <v>611288</v>
      </c>
      <c r="AG26" s="302">
        <v>73120</v>
      </c>
      <c r="AH26" s="281">
        <v>40240</v>
      </c>
      <c r="AI26" s="281">
        <v>197880</v>
      </c>
      <c r="AJ26" s="281">
        <v>220280</v>
      </c>
      <c r="AK26" s="281">
        <v>245392</v>
      </c>
      <c r="AL26" s="281">
        <v>271432</v>
      </c>
      <c r="AM26" s="281">
        <v>298537</v>
      </c>
      <c r="AN26" s="281">
        <v>391617</v>
      </c>
      <c r="AO26" s="281">
        <v>441943</v>
      </c>
      <c r="AP26" s="281">
        <v>498643</v>
      </c>
      <c r="AQ26" s="281">
        <v>532571</v>
      </c>
      <c r="AR26" s="281">
        <v>592227</v>
      </c>
      <c r="AS26" s="304">
        <v>30792</v>
      </c>
      <c r="AT26" s="281">
        <v>79312</v>
      </c>
      <c r="AU26" s="281">
        <v>183024</v>
      </c>
      <c r="AV26" s="281">
        <v>262150</v>
      </c>
      <c r="AW26" s="281">
        <v>309548</v>
      </c>
      <c r="AX26" s="281">
        <v>371760</v>
      </c>
      <c r="AY26" s="338">
        <v>411786</v>
      </c>
      <c r="AZ26" s="339">
        <v>454098</v>
      </c>
      <c r="BA26" s="338">
        <v>523810</v>
      </c>
      <c r="BB26" s="338">
        <v>555022</v>
      </c>
      <c r="BC26" s="338">
        <v>584834</v>
      </c>
      <c r="BD26" s="339">
        <v>625702</v>
      </c>
      <c r="BE26" s="339">
        <v>658228</v>
      </c>
      <c r="BF26" s="27">
        <v>23744</v>
      </c>
      <c r="BG26" s="338">
        <v>23240</v>
      </c>
      <c r="BH26" s="339">
        <v>417324</v>
      </c>
      <c r="BI26" s="339">
        <v>446780</v>
      </c>
      <c r="BJ26" s="339">
        <v>497050</v>
      </c>
      <c r="BK26" s="339">
        <v>599094</v>
      </c>
      <c r="BL26" s="339">
        <v>633178</v>
      </c>
      <c r="BM26" s="339">
        <v>669076</v>
      </c>
      <c r="BN26" s="339">
        <v>702488</v>
      </c>
      <c r="BO26" s="339">
        <v>730400</v>
      </c>
      <c r="BP26" s="339">
        <v>753640</v>
      </c>
      <c r="BQ26" s="339">
        <v>824411</v>
      </c>
      <c r="BR26" s="339">
        <v>857346</v>
      </c>
      <c r="BS26" s="27">
        <v>34594</v>
      </c>
      <c r="BT26" s="338">
        <v>40963</v>
      </c>
      <c r="BU26" s="339">
        <v>180326</v>
      </c>
      <c r="BV26" s="339">
        <v>210309</v>
      </c>
      <c r="BW26" s="338">
        <v>271108</v>
      </c>
      <c r="BX26" s="387">
        <v>359091</v>
      </c>
      <c r="BY26" s="338">
        <v>414554</v>
      </c>
      <c r="BZ26" s="338">
        <v>15956</v>
      </c>
      <c r="CA26" s="338">
        <v>15956</v>
      </c>
      <c r="CB26" s="440">
        <v>29656</v>
      </c>
    </row>
    <row r="27" spans="1:80" ht="14.25">
      <c r="A27" s="170" t="s">
        <v>91</v>
      </c>
      <c r="B27" s="305">
        <v>1488145</v>
      </c>
      <c r="C27" s="308">
        <f>163186+66711</f>
        <v>229897</v>
      </c>
      <c r="D27" s="309"/>
      <c r="E27" s="310">
        <v>104770</v>
      </c>
      <c r="F27" s="283">
        <v>124306</v>
      </c>
      <c r="G27" s="291">
        <v>145141</v>
      </c>
      <c r="H27" s="314">
        <v>166412</v>
      </c>
      <c r="I27" s="316">
        <v>0</v>
      </c>
      <c r="J27" s="316">
        <v>0</v>
      </c>
      <c r="K27" s="316">
        <v>0</v>
      </c>
      <c r="L27" s="316">
        <v>0</v>
      </c>
      <c r="M27" s="316">
        <v>0</v>
      </c>
      <c r="N27" s="316">
        <v>0</v>
      </c>
      <c r="O27" s="316">
        <v>0</v>
      </c>
      <c r="P27" s="316">
        <v>0</v>
      </c>
      <c r="Q27" s="319">
        <v>0</v>
      </c>
      <c r="R27" s="316">
        <v>0</v>
      </c>
      <c r="S27" s="316">
        <v>0</v>
      </c>
      <c r="T27" s="321">
        <v>149817</v>
      </c>
      <c r="U27" s="322">
        <v>0</v>
      </c>
      <c r="V27" s="322">
        <v>0</v>
      </c>
      <c r="W27" s="322">
        <v>0</v>
      </c>
      <c r="X27" s="322">
        <v>0</v>
      </c>
      <c r="Y27" s="322">
        <v>0</v>
      </c>
      <c r="Z27" s="324">
        <v>0</v>
      </c>
      <c r="AA27" s="325">
        <v>0</v>
      </c>
      <c r="AB27" s="325">
        <v>0</v>
      </c>
      <c r="AC27" s="325">
        <v>0</v>
      </c>
      <c r="AD27" s="316">
        <v>0</v>
      </c>
      <c r="AE27" s="316">
        <v>0</v>
      </c>
      <c r="AF27" s="319">
        <v>0</v>
      </c>
      <c r="AG27" s="302">
        <v>153572</v>
      </c>
      <c r="AH27" s="281">
        <v>0</v>
      </c>
      <c r="AI27" s="281">
        <v>0</v>
      </c>
      <c r="AJ27" s="281">
        <v>0</v>
      </c>
      <c r="AK27" s="281">
        <v>0</v>
      </c>
      <c r="AL27" s="281">
        <v>0</v>
      </c>
      <c r="AM27" s="281">
        <v>0</v>
      </c>
      <c r="AN27" s="281">
        <v>0</v>
      </c>
      <c r="AO27" s="281">
        <v>0</v>
      </c>
      <c r="AP27" s="281">
        <v>0</v>
      </c>
      <c r="AQ27" s="281">
        <v>0</v>
      </c>
      <c r="AR27" s="281">
        <v>0</v>
      </c>
      <c r="AS27" s="304">
        <v>138019</v>
      </c>
      <c r="AT27" s="281">
        <v>0</v>
      </c>
      <c r="AU27" s="281">
        <v>0</v>
      </c>
      <c r="AV27" s="281">
        <v>0</v>
      </c>
      <c r="AW27" s="281">
        <v>0</v>
      </c>
      <c r="AX27" s="281">
        <v>0</v>
      </c>
      <c r="AY27" s="336">
        <v>0</v>
      </c>
      <c r="AZ27" s="337">
        <v>0</v>
      </c>
      <c r="BA27" s="336">
        <v>0</v>
      </c>
      <c r="BB27" s="336">
        <v>0</v>
      </c>
      <c r="BC27" s="336">
        <v>0</v>
      </c>
      <c r="BD27" s="337">
        <v>0</v>
      </c>
      <c r="BE27" s="337">
        <v>0</v>
      </c>
      <c r="BF27" s="27">
        <v>120499</v>
      </c>
      <c r="BG27" s="336">
        <v>0</v>
      </c>
      <c r="BH27" s="337">
        <v>0</v>
      </c>
      <c r="BI27" s="337">
        <v>0</v>
      </c>
      <c r="BJ27" s="337">
        <v>0</v>
      </c>
      <c r="BK27" s="337">
        <v>0</v>
      </c>
      <c r="BL27" s="337">
        <v>0</v>
      </c>
      <c r="BM27" s="337">
        <v>0</v>
      </c>
      <c r="BN27" s="337">
        <v>0</v>
      </c>
      <c r="BO27" s="337">
        <v>0</v>
      </c>
      <c r="BP27" s="337">
        <v>0</v>
      </c>
      <c r="BQ27" s="337">
        <v>0</v>
      </c>
      <c r="BR27" s="337">
        <v>0</v>
      </c>
      <c r="BS27" s="27">
        <v>171593</v>
      </c>
      <c r="BT27" s="336">
        <v>0</v>
      </c>
      <c r="BU27" s="337">
        <v>0</v>
      </c>
      <c r="BV27" s="337">
        <v>0</v>
      </c>
      <c r="BW27" s="336">
        <v>0</v>
      </c>
      <c r="BX27" s="386">
        <v>0</v>
      </c>
      <c r="BY27" s="336">
        <v>0</v>
      </c>
      <c r="BZ27" s="336">
        <v>0</v>
      </c>
      <c r="CA27" s="336">
        <v>0</v>
      </c>
      <c r="CB27" s="439">
        <v>0</v>
      </c>
    </row>
    <row r="28" spans="1:80" ht="14.25">
      <c r="A28" s="170" t="s">
        <v>92</v>
      </c>
      <c r="B28" s="302"/>
      <c r="C28" s="308">
        <f>8734+11062+78670+2600+42241+115643+103738+9397+6500+12000+2234+15600</f>
        <v>408419</v>
      </c>
      <c r="D28" s="309">
        <f>1006155+43820+12365+52060</f>
        <v>1114400</v>
      </c>
      <c r="E28" s="310">
        <f>734848+634001</f>
        <v>1368849</v>
      </c>
      <c r="F28" s="283">
        <v>1540488</v>
      </c>
      <c r="G28" s="295">
        <v>1507342</v>
      </c>
      <c r="H28" s="314">
        <v>2484306</v>
      </c>
      <c r="I28" s="316">
        <v>0</v>
      </c>
      <c r="J28" s="316">
        <v>0</v>
      </c>
      <c r="K28" s="316">
        <v>0</v>
      </c>
      <c r="L28" s="316">
        <v>0</v>
      </c>
      <c r="M28" s="316">
        <v>0</v>
      </c>
      <c r="N28" s="316">
        <v>0</v>
      </c>
      <c r="O28" s="316">
        <v>0</v>
      </c>
      <c r="P28" s="316">
        <v>0</v>
      </c>
      <c r="Q28" s="319">
        <v>0</v>
      </c>
      <c r="R28" s="316">
        <v>0</v>
      </c>
      <c r="S28" s="316">
        <v>0</v>
      </c>
      <c r="T28" s="321">
        <v>1503028</v>
      </c>
      <c r="U28" s="322">
        <v>0</v>
      </c>
      <c r="V28" s="322">
        <v>0</v>
      </c>
      <c r="W28" s="322">
        <v>0</v>
      </c>
      <c r="X28" s="322">
        <v>0</v>
      </c>
      <c r="Y28" s="322">
        <v>0</v>
      </c>
      <c r="Z28" s="324">
        <v>0</v>
      </c>
      <c r="AA28" s="325">
        <v>0</v>
      </c>
      <c r="AB28" s="325">
        <v>0</v>
      </c>
      <c r="AC28" s="325">
        <v>0</v>
      </c>
      <c r="AD28" s="316">
        <v>0</v>
      </c>
      <c r="AE28" s="316">
        <v>0</v>
      </c>
      <c r="AF28" s="319">
        <v>0</v>
      </c>
      <c r="AG28" s="302">
        <v>1373905</v>
      </c>
      <c r="AH28" s="281">
        <v>0</v>
      </c>
      <c r="AI28" s="281">
        <v>0</v>
      </c>
      <c r="AJ28" s="281">
        <v>0</v>
      </c>
      <c r="AK28" s="281">
        <v>0</v>
      </c>
      <c r="AL28" s="281">
        <v>0</v>
      </c>
      <c r="AM28" s="281">
        <v>0</v>
      </c>
      <c r="AN28" s="281">
        <v>0</v>
      </c>
      <c r="AO28" s="281">
        <v>0</v>
      </c>
      <c r="AP28" s="281">
        <v>0</v>
      </c>
      <c r="AQ28" s="281">
        <v>0</v>
      </c>
      <c r="AR28" s="281">
        <v>0</v>
      </c>
      <c r="AS28" s="304">
        <v>1608989</v>
      </c>
      <c r="AT28" s="281">
        <v>0</v>
      </c>
      <c r="AU28" s="281">
        <v>0</v>
      </c>
      <c r="AV28" s="281">
        <v>0</v>
      </c>
      <c r="AW28" s="281">
        <v>0</v>
      </c>
      <c r="AX28" s="281">
        <v>0</v>
      </c>
      <c r="AY28" s="336">
        <v>0</v>
      </c>
      <c r="AZ28" s="337">
        <v>0</v>
      </c>
      <c r="BA28" s="336">
        <v>0</v>
      </c>
      <c r="BB28" s="336">
        <v>0</v>
      </c>
      <c r="BC28" s="336">
        <v>0</v>
      </c>
      <c r="BD28" s="337">
        <v>0</v>
      </c>
      <c r="BE28" s="337">
        <v>0</v>
      </c>
      <c r="BF28" s="27">
        <v>1663461</v>
      </c>
      <c r="BG28" s="336">
        <v>0</v>
      </c>
      <c r="BH28" s="337">
        <v>0</v>
      </c>
      <c r="BI28" s="337">
        <v>0</v>
      </c>
      <c r="BJ28" s="337">
        <v>0</v>
      </c>
      <c r="BK28" s="337">
        <v>0</v>
      </c>
      <c r="BL28" s="337">
        <v>0</v>
      </c>
      <c r="BM28" s="337">
        <v>0</v>
      </c>
      <c r="BN28" s="337">
        <v>0</v>
      </c>
      <c r="BO28" s="337">
        <v>0</v>
      </c>
      <c r="BP28" s="337">
        <v>0</v>
      </c>
      <c r="BQ28" s="337">
        <v>0</v>
      </c>
      <c r="BR28" s="337">
        <v>0</v>
      </c>
      <c r="BS28" s="27">
        <f>90933+35000+243600+134978+55688+20085+279488+75000+107669+139350+285353+27840+32164+135043</f>
        <v>1662191</v>
      </c>
      <c r="BT28" s="336">
        <v>0</v>
      </c>
      <c r="BU28" s="337">
        <v>0</v>
      </c>
      <c r="BV28" s="337">
        <v>0</v>
      </c>
      <c r="BW28" s="336">
        <v>0</v>
      </c>
      <c r="BX28" s="386">
        <v>0</v>
      </c>
      <c r="BY28" s="336">
        <v>0</v>
      </c>
      <c r="BZ28" s="338">
        <v>906854.92</v>
      </c>
      <c r="CA28" s="338">
        <v>955470.87</v>
      </c>
      <c r="CB28" s="440">
        <v>1016537.37</v>
      </c>
    </row>
    <row r="29" spans="1:80" ht="15.75">
      <c r="A29" s="169" t="s">
        <v>93</v>
      </c>
      <c r="B29" s="212">
        <f t="shared" ref="B29:G29" si="55">B19-B20-B23</f>
        <v>137039</v>
      </c>
      <c r="C29" s="212">
        <f t="shared" si="55"/>
        <v>279914</v>
      </c>
      <c r="D29" s="212">
        <f t="shared" si="55"/>
        <v>3928857.2199999997</v>
      </c>
      <c r="E29" s="212">
        <f t="shared" si="55"/>
        <v>1918098</v>
      </c>
      <c r="F29" s="212">
        <f t="shared" si="55"/>
        <v>1007814</v>
      </c>
      <c r="G29" s="212">
        <f t="shared" si="55"/>
        <v>1258664</v>
      </c>
      <c r="H29" s="212">
        <f>H19-H20-H23</f>
        <v>210742</v>
      </c>
      <c r="I29" s="212">
        <f t="shared" ref="I29:R29" si="56">I19-I20-I23</f>
        <v>34813.630000000005</v>
      </c>
      <c r="J29" s="212">
        <f t="shared" si="56"/>
        <v>252466.54000000004</v>
      </c>
      <c r="K29" s="212">
        <f t="shared" si="56"/>
        <v>550718.53000000014</v>
      </c>
      <c r="L29" s="212">
        <f t="shared" si="56"/>
        <v>771444.42</v>
      </c>
      <c r="M29" s="212">
        <f t="shared" si="56"/>
        <v>1011120.5499999996</v>
      </c>
      <c r="N29" s="212">
        <f t="shared" si="56"/>
        <v>1366755.1500000001</v>
      </c>
      <c r="O29" s="212">
        <f t="shared" si="56"/>
        <v>1852467.44</v>
      </c>
      <c r="P29" s="212">
        <f t="shared" si="56"/>
        <v>2183236.58</v>
      </c>
      <c r="Q29" s="212">
        <f t="shared" si="56"/>
        <v>2219073.13</v>
      </c>
      <c r="R29" s="212">
        <f t="shared" si="56"/>
        <v>2749051.0300000007</v>
      </c>
      <c r="S29" s="212">
        <f>S19-S20-S23</f>
        <v>3206706.73</v>
      </c>
      <c r="T29" s="212">
        <f>T19-T20-T23</f>
        <v>715996</v>
      </c>
      <c r="U29" s="212">
        <f>U19-U20-U23</f>
        <v>363846.57000000007</v>
      </c>
      <c r="V29" s="212">
        <f t="shared" ref="V29:AA29" si="57">V19-V20-V23</f>
        <v>339016.81000000006</v>
      </c>
      <c r="W29" s="212">
        <f t="shared" si="57"/>
        <v>830307.76</v>
      </c>
      <c r="X29" s="212">
        <f t="shared" si="57"/>
        <v>1134769.47</v>
      </c>
      <c r="Y29" s="212">
        <f t="shared" si="57"/>
        <v>1458873.5499999996</v>
      </c>
      <c r="Z29" s="212">
        <f t="shared" si="57"/>
        <v>1555256.3599999996</v>
      </c>
      <c r="AA29" s="212">
        <f t="shared" si="57"/>
        <v>2130502.29</v>
      </c>
      <c r="AB29" s="212">
        <f>AB19-AB20-AB23</f>
        <v>2510198.9699999997</v>
      </c>
      <c r="AC29" s="212">
        <f>AC19-AC20-AC23</f>
        <v>2850555.9399999995</v>
      </c>
      <c r="AD29" s="212">
        <f>AD19-AD20-AD23</f>
        <v>3341310.8299999996</v>
      </c>
      <c r="AE29" s="212">
        <f>AE19-AE20-AE23</f>
        <v>3276563.4799999995</v>
      </c>
      <c r="AF29" s="212">
        <f>AF19-AF20-AF23</f>
        <v>3221753.4499999997</v>
      </c>
      <c r="AG29" s="212">
        <f t="shared" ref="AG29:AS29" si="58">AG19-AG20-AG23</f>
        <v>642442</v>
      </c>
      <c r="AH29" s="212">
        <f t="shared" si="58"/>
        <v>395284.1</v>
      </c>
      <c r="AI29" s="212">
        <f t="shared" si="58"/>
        <v>706469.58999999985</v>
      </c>
      <c r="AJ29" s="212">
        <f t="shared" si="58"/>
        <v>1166631.03</v>
      </c>
      <c r="AK29" s="212">
        <f t="shared" si="58"/>
        <v>1345601.58</v>
      </c>
      <c r="AL29" s="212">
        <f t="shared" si="58"/>
        <v>1727664.7800000003</v>
      </c>
      <c r="AM29" s="212">
        <f t="shared" si="58"/>
        <v>2053624.87</v>
      </c>
      <c r="AN29" s="212">
        <f t="shared" si="58"/>
        <v>2869318.8</v>
      </c>
      <c r="AO29" s="212">
        <f t="shared" si="58"/>
        <v>3256510.42</v>
      </c>
      <c r="AP29" s="212">
        <f t="shared" si="58"/>
        <v>3735948.5700000003</v>
      </c>
      <c r="AQ29" s="212">
        <f t="shared" si="58"/>
        <v>3870724.6199999996</v>
      </c>
      <c r="AR29" s="212">
        <f t="shared" si="58"/>
        <v>3899667.7399999998</v>
      </c>
      <c r="AS29" s="212">
        <f t="shared" si="58"/>
        <v>735593</v>
      </c>
      <c r="AT29" s="212">
        <f t="shared" ref="AT29:BB29" si="59">AT19-AT20-AT23</f>
        <v>42697.830000000016</v>
      </c>
      <c r="AU29" s="212">
        <f t="shared" si="59"/>
        <v>223522.16999999993</v>
      </c>
      <c r="AV29" s="212">
        <f t="shared" si="59"/>
        <v>696794.07000000007</v>
      </c>
      <c r="AW29" s="212">
        <f t="shared" si="59"/>
        <v>1041168.77</v>
      </c>
      <c r="AX29" s="212">
        <f t="shared" si="59"/>
        <v>1348082.0699999998</v>
      </c>
      <c r="AY29" s="212">
        <f t="shared" si="59"/>
        <v>1690830.42</v>
      </c>
      <c r="AZ29" s="212">
        <f t="shared" si="59"/>
        <v>2337083.6500000004</v>
      </c>
      <c r="BA29" s="212">
        <f t="shared" si="59"/>
        <v>2682577.58</v>
      </c>
      <c r="BB29" s="212">
        <f t="shared" si="59"/>
        <v>3032369.25</v>
      </c>
      <c r="BC29" s="212">
        <f t="shared" ref="BC29:BR29" si="60">BC19-BC20-BC23</f>
        <v>3601236.74</v>
      </c>
      <c r="BD29" s="212">
        <f t="shared" si="60"/>
        <v>3699242.4300000006</v>
      </c>
      <c r="BE29" s="212">
        <f t="shared" si="60"/>
        <v>3867991.3500000006</v>
      </c>
      <c r="BF29" s="212">
        <f t="shared" si="60"/>
        <v>2218377</v>
      </c>
      <c r="BG29" s="212">
        <f t="shared" si="60"/>
        <v>325632.37</v>
      </c>
      <c r="BH29" s="212">
        <f t="shared" si="60"/>
        <v>339574.14000000013</v>
      </c>
      <c r="BI29" s="212">
        <f t="shared" si="60"/>
        <v>791338.62999999989</v>
      </c>
      <c r="BJ29" s="212">
        <f t="shared" si="60"/>
        <v>1196007.98</v>
      </c>
      <c r="BK29" s="212">
        <f t="shared" si="60"/>
        <v>1547847.73</v>
      </c>
      <c r="BL29" s="212">
        <f t="shared" si="60"/>
        <v>1840222.25</v>
      </c>
      <c r="BM29" s="212">
        <f t="shared" si="60"/>
        <v>2327661.1500000004</v>
      </c>
      <c r="BN29" s="212">
        <f t="shared" si="60"/>
        <v>2797013.7200000007</v>
      </c>
      <c r="BO29" s="212">
        <f t="shared" si="60"/>
        <v>3250261.0700000003</v>
      </c>
      <c r="BP29" s="212">
        <f t="shared" si="60"/>
        <v>3309146.1500000004</v>
      </c>
      <c r="BQ29" s="212">
        <f t="shared" si="60"/>
        <v>3793255.95</v>
      </c>
      <c r="BR29" s="212">
        <f t="shared" si="60"/>
        <v>3769900.2500000009</v>
      </c>
      <c r="BS29" s="212">
        <f t="shared" ref="BS29:BW29" si="61">BS19-BS20-BS23</f>
        <v>1714008</v>
      </c>
      <c r="BT29" s="212">
        <f t="shared" si="61"/>
        <v>434141</v>
      </c>
      <c r="BU29" s="212">
        <f t="shared" si="61"/>
        <v>605252</v>
      </c>
      <c r="BV29" s="212">
        <f t="shared" si="61"/>
        <v>1256472.08</v>
      </c>
      <c r="BW29" s="212">
        <f t="shared" si="61"/>
        <v>1589507.5</v>
      </c>
      <c r="BX29" s="212">
        <f>BX19-BX20-BX23</f>
        <v>2006440.2800000003</v>
      </c>
      <c r="BY29" s="212">
        <f>BY19-BY20-BY23</f>
        <v>2399207.2800000003</v>
      </c>
      <c r="BZ29" s="212">
        <f>BZ19-BZ20-BZ23</f>
        <v>3466033.3499999996</v>
      </c>
      <c r="CA29" s="212">
        <f>CA19-CA20-CA23</f>
        <v>3926066.37</v>
      </c>
      <c r="CB29" s="212">
        <f>CB19-CB20-CB23</f>
        <v>4099752.0300000003</v>
      </c>
    </row>
    <row r="30" spans="1:80" ht="15.75">
      <c r="A30" s="169" t="s">
        <v>94</v>
      </c>
      <c r="B30" s="212">
        <f t="shared" ref="B30:G30" si="62">B31-B32</f>
        <v>0</v>
      </c>
      <c r="C30" s="212">
        <f t="shared" si="62"/>
        <v>0</v>
      </c>
      <c r="D30" s="212">
        <f t="shared" si="62"/>
        <v>79200</v>
      </c>
      <c r="E30" s="212">
        <f t="shared" si="62"/>
        <v>0</v>
      </c>
      <c r="F30" s="212">
        <f t="shared" si="62"/>
        <v>0</v>
      </c>
      <c r="G30" s="212">
        <f t="shared" si="62"/>
        <v>0</v>
      </c>
      <c r="H30" s="212">
        <f>H31-H32</f>
        <v>0</v>
      </c>
      <c r="I30" s="212">
        <f t="shared" ref="I30:R30" si="63">I31-I32</f>
        <v>0</v>
      </c>
      <c r="J30" s="212">
        <f t="shared" si="63"/>
        <v>0</v>
      </c>
      <c r="K30" s="212">
        <f t="shared" si="63"/>
        <v>0</v>
      </c>
      <c r="L30" s="212">
        <f t="shared" si="63"/>
        <v>0</v>
      </c>
      <c r="M30" s="212">
        <f t="shared" si="63"/>
        <v>0</v>
      </c>
      <c r="N30" s="212">
        <f t="shared" si="63"/>
        <v>0</v>
      </c>
      <c r="O30" s="212">
        <f t="shared" si="63"/>
        <v>0</v>
      </c>
      <c r="P30" s="212">
        <f t="shared" si="63"/>
        <v>0</v>
      </c>
      <c r="Q30" s="212">
        <f t="shared" si="63"/>
        <v>0</v>
      </c>
      <c r="R30" s="212">
        <f t="shared" si="63"/>
        <v>0</v>
      </c>
      <c r="S30" s="212">
        <f>S31-S32</f>
        <v>0</v>
      </c>
      <c r="T30" s="212">
        <f>T31-T32</f>
        <v>0</v>
      </c>
      <c r="U30" s="212">
        <f>U31-U32</f>
        <v>0</v>
      </c>
      <c r="V30" s="212">
        <f t="shared" ref="V30:AA30" si="64">V31-V32</f>
        <v>0</v>
      </c>
      <c r="W30" s="212">
        <f t="shared" si="64"/>
        <v>0</v>
      </c>
      <c r="X30" s="212">
        <f t="shared" si="64"/>
        <v>0</v>
      </c>
      <c r="Y30" s="212">
        <f t="shared" si="64"/>
        <v>0</v>
      </c>
      <c r="Z30" s="212">
        <f t="shared" si="64"/>
        <v>0</v>
      </c>
      <c r="AA30" s="212">
        <f t="shared" si="64"/>
        <v>0</v>
      </c>
      <c r="AB30" s="212">
        <f>AB31-AB32</f>
        <v>0</v>
      </c>
      <c r="AC30" s="212">
        <f>AC31-AC32</f>
        <v>0</v>
      </c>
      <c r="AD30" s="212">
        <f>AD31-AD32</f>
        <v>0</v>
      </c>
      <c r="AE30" s="212">
        <f>AE31-AE32</f>
        <v>0</v>
      </c>
      <c r="AF30" s="212">
        <f>AF31-AF32</f>
        <v>0</v>
      </c>
      <c r="AG30" s="212">
        <f t="shared" ref="AG30:AS30" si="65">AG31-AG32</f>
        <v>0</v>
      </c>
      <c r="AH30" s="212">
        <f t="shared" si="65"/>
        <v>0</v>
      </c>
      <c r="AI30" s="212">
        <f t="shared" si="65"/>
        <v>0</v>
      </c>
      <c r="AJ30" s="212">
        <f t="shared" si="65"/>
        <v>0</v>
      </c>
      <c r="AK30" s="212">
        <f t="shared" si="65"/>
        <v>0</v>
      </c>
      <c r="AL30" s="212">
        <f t="shared" si="65"/>
        <v>0</v>
      </c>
      <c r="AM30" s="212">
        <f t="shared" si="65"/>
        <v>0</v>
      </c>
      <c r="AN30" s="212">
        <f t="shared" si="65"/>
        <v>0</v>
      </c>
      <c r="AO30" s="212">
        <f t="shared" si="65"/>
        <v>0</v>
      </c>
      <c r="AP30" s="212">
        <f t="shared" si="65"/>
        <v>0</v>
      </c>
      <c r="AQ30" s="212">
        <f t="shared" si="65"/>
        <v>0</v>
      </c>
      <c r="AR30" s="212">
        <f t="shared" si="65"/>
        <v>0</v>
      </c>
      <c r="AS30" s="212">
        <f t="shared" si="65"/>
        <v>0</v>
      </c>
      <c r="AT30" s="212">
        <f t="shared" ref="AT30:BB30" si="66">AT31-AT32</f>
        <v>0</v>
      </c>
      <c r="AU30" s="212">
        <f t="shared" si="66"/>
        <v>0</v>
      </c>
      <c r="AV30" s="212">
        <f t="shared" si="66"/>
        <v>0</v>
      </c>
      <c r="AW30" s="212">
        <f t="shared" si="66"/>
        <v>0</v>
      </c>
      <c r="AX30" s="212">
        <f t="shared" si="66"/>
        <v>0</v>
      </c>
      <c r="AY30" s="212">
        <f t="shared" si="66"/>
        <v>0</v>
      </c>
      <c r="AZ30" s="212">
        <f t="shared" si="66"/>
        <v>0</v>
      </c>
      <c r="BA30" s="212">
        <f t="shared" si="66"/>
        <v>0</v>
      </c>
      <c r="BB30" s="212">
        <f t="shared" si="66"/>
        <v>0</v>
      </c>
      <c r="BC30" s="212">
        <f t="shared" ref="BC30:BR30" si="67">BC31-BC32</f>
        <v>0</v>
      </c>
      <c r="BD30" s="212">
        <f t="shared" si="67"/>
        <v>0</v>
      </c>
      <c r="BE30" s="212">
        <f t="shared" si="67"/>
        <v>0</v>
      </c>
      <c r="BF30" s="212">
        <f t="shared" si="67"/>
        <v>0</v>
      </c>
      <c r="BG30" s="212">
        <f t="shared" si="67"/>
        <v>0</v>
      </c>
      <c r="BH30" s="212">
        <f t="shared" si="67"/>
        <v>0</v>
      </c>
      <c r="BI30" s="212">
        <f t="shared" si="67"/>
        <v>0</v>
      </c>
      <c r="BJ30" s="212">
        <f t="shared" si="67"/>
        <v>0</v>
      </c>
      <c r="BK30" s="212">
        <f t="shared" si="67"/>
        <v>0</v>
      </c>
      <c r="BL30" s="212">
        <f t="shared" si="67"/>
        <v>0</v>
      </c>
      <c r="BM30" s="212">
        <f t="shared" si="67"/>
        <v>0</v>
      </c>
      <c r="BN30" s="212">
        <f t="shared" si="67"/>
        <v>0</v>
      </c>
      <c r="BO30" s="212">
        <f t="shared" si="67"/>
        <v>0</v>
      </c>
      <c r="BP30" s="212">
        <f t="shared" si="67"/>
        <v>0</v>
      </c>
      <c r="BQ30" s="212">
        <f t="shared" si="67"/>
        <v>0</v>
      </c>
      <c r="BR30" s="212">
        <f t="shared" si="67"/>
        <v>0</v>
      </c>
      <c r="BS30" s="212">
        <f t="shared" ref="BS30:BW30" si="68">BS31-BS32</f>
        <v>0</v>
      </c>
      <c r="BT30" s="212">
        <f t="shared" si="68"/>
        <v>0</v>
      </c>
      <c r="BU30" s="212">
        <f t="shared" si="68"/>
        <v>0</v>
      </c>
      <c r="BV30" s="212">
        <f t="shared" si="68"/>
        <v>0</v>
      </c>
      <c r="BW30" s="212">
        <f t="shared" si="68"/>
        <v>0</v>
      </c>
      <c r="BX30" s="212">
        <f>BX31-BX32</f>
        <v>0</v>
      </c>
      <c r="BY30" s="212">
        <f>BY31-BY32</f>
        <v>0</v>
      </c>
      <c r="BZ30" s="212">
        <f>BZ31-BZ32</f>
        <v>0</v>
      </c>
      <c r="CA30" s="212">
        <f>CA31-CA32</f>
        <v>0</v>
      </c>
      <c r="CB30" s="212">
        <f>CB31-CB32</f>
        <v>0</v>
      </c>
    </row>
    <row r="31" spans="1:80" ht="14.25">
      <c r="A31" s="170" t="s">
        <v>95</v>
      </c>
      <c r="B31" s="322"/>
      <c r="C31" s="322"/>
      <c r="D31" s="309">
        <v>79200</v>
      </c>
      <c r="E31" s="322"/>
      <c r="F31" s="322"/>
      <c r="G31" s="322"/>
      <c r="H31" s="322"/>
      <c r="I31" s="316">
        <v>0</v>
      </c>
      <c r="J31" s="316">
        <v>0</v>
      </c>
      <c r="K31" s="316">
        <v>0</v>
      </c>
      <c r="L31" s="316">
        <v>0</v>
      </c>
      <c r="M31" s="316">
        <v>0</v>
      </c>
      <c r="N31" s="316">
        <v>0</v>
      </c>
      <c r="O31" s="316">
        <v>0</v>
      </c>
      <c r="P31" s="316">
        <v>0</v>
      </c>
      <c r="Q31" s="319">
        <v>0</v>
      </c>
      <c r="R31" s="316">
        <v>0</v>
      </c>
      <c r="S31" s="316">
        <v>0</v>
      </c>
      <c r="T31" s="322"/>
      <c r="U31" s="322">
        <v>0</v>
      </c>
      <c r="V31" s="322">
        <v>0</v>
      </c>
      <c r="W31" s="322">
        <v>0</v>
      </c>
      <c r="X31" s="322">
        <v>0</v>
      </c>
      <c r="Y31" s="322">
        <v>0</v>
      </c>
      <c r="Z31" s="324">
        <v>0</v>
      </c>
      <c r="AA31" s="325">
        <v>0</v>
      </c>
      <c r="AB31" s="325">
        <v>0</v>
      </c>
      <c r="AC31" s="325">
        <v>0</v>
      </c>
      <c r="AD31" s="316">
        <v>0</v>
      </c>
      <c r="AE31" s="316">
        <v>0</v>
      </c>
      <c r="AF31" s="319">
        <v>0</v>
      </c>
      <c r="AG31" s="322"/>
      <c r="AH31" s="281">
        <v>0</v>
      </c>
      <c r="AI31" s="281">
        <v>0</v>
      </c>
      <c r="AJ31" s="281">
        <v>0</v>
      </c>
      <c r="AK31" s="281">
        <v>0</v>
      </c>
      <c r="AL31" s="281">
        <v>0</v>
      </c>
      <c r="AM31" s="281">
        <v>0</v>
      </c>
      <c r="AN31" s="281">
        <v>0</v>
      </c>
      <c r="AO31" s="281">
        <v>0</v>
      </c>
      <c r="AP31" s="281">
        <v>0</v>
      </c>
      <c r="AQ31" s="281">
        <v>0</v>
      </c>
      <c r="AR31" s="281">
        <v>0</v>
      </c>
      <c r="AS31" s="322"/>
      <c r="AT31" s="281">
        <v>0</v>
      </c>
      <c r="AU31" s="281">
        <v>0</v>
      </c>
      <c r="AV31" s="281">
        <v>0</v>
      </c>
      <c r="AW31" s="281">
        <v>0</v>
      </c>
      <c r="AX31" s="281">
        <v>0</v>
      </c>
      <c r="AY31" s="332">
        <v>0</v>
      </c>
      <c r="AZ31" s="334">
        <v>0</v>
      </c>
      <c r="BA31" s="332">
        <v>0</v>
      </c>
      <c r="BB31" s="332">
        <v>0</v>
      </c>
      <c r="BG31" s="332">
        <v>0</v>
      </c>
      <c r="BH31" s="334">
        <v>0</v>
      </c>
      <c r="BI31" s="334">
        <v>0</v>
      </c>
      <c r="BJ31" s="334">
        <v>0</v>
      </c>
      <c r="BK31" s="334">
        <v>0</v>
      </c>
      <c r="BL31" s="334">
        <v>0</v>
      </c>
      <c r="BM31" s="334">
        <v>0</v>
      </c>
      <c r="BN31" s="334">
        <v>0</v>
      </c>
      <c r="BO31" s="334">
        <v>0</v>
      </c>
      <c r="BP31" s="334">
        <v>0</v>
      </c>
      <c r="BQ31" s="334">
        <v>0</v>
      </c>
      <c r="BR31" s="334">
        <v>0</v>
      </c>
      <c r="BS31" s="27"/>
      <c r="BT31" s="332">
        <v>0</v>
      </c>
      <c r="BU31" s="334">
        <v>0</v>
      </c>
      <c r="BV31" s="334">
        <v>0</v>
      </c>
      <c r="BW31" s="332">
        <v>0</v>
      </c>
      <c r="BX31" s="384">
        <v>0</v>
      </c>
      <c r="BY31" s="332">
        <v>0</v>
      </c>
      <c r="BZ31" s="332">
        <v>0</v>
      </c>
      <c r="CA31" s="332">
        <v>0</v>
      </c>
      <c r="CB31" s="437">
        <v>0</v>
      </c>
    </row>
    <row r="32" spans="1:80" ht="14.25">
      <c r="A32" s="170" t="s">
        <v>96</v>
      </c>
      <c r="B32" s="322"/>
      <c r="C32" s="322"/>
      <c r="D32" s="322"/>
      <c r="E32" s="322"/>
      <c r="F32" s="322"/>
      <c r="G32" s="322"/>
      <c r="H32" s="322"/>
      <c r="I32" s="316">
        <v>0</v>
      </c>
      <c r="J32" s="316">
        <v>0</v>
      </c>
      <c r="K32" s="316">
        <v>0</v>
      </c>
      <c r="L32" s="316">
        <v>0</v>
      </c>
      <c r="M32" s="316">
        <v>0</v>
      </c>
      <c r="N32" s="316">
        <v>0</v>
      </c>
      <c r="O32" s="316">
        <v>0</v>
      </c>
      <c r="P32" s="316">
        <v>0</v>
      </c>
      <c r="Q32" s="319">
        <v>0</v>
      </c>
      <c r="R32" s="316">
        <v>0</v>
      </c>
      <c r="S32" s="316">
        <v>0</v>
      </c>
      <c r="T32" s="322"/>
      <c r="U32" s="322">
        <v>0</v>
      </c>
      <c r="V32" s="322">
        <v>0</v>
      </c>
      <c r="W32" s="322">
        <v>0</v>
      </c>
      <c r="X32" s="322">
        <v>0</v>
      </c>
      <c r="Y32" s="322">
        <v>0</v>
      </c>
      <c r="Z32" s="324">
        <v>0</v>
      </c>
      <c r="AA32" s="325">
        <v>0</v>
      </c>
      <c r="AB32" s="325">
        <v>0</v>
      </c>
      <c r="AC32" s="325">
        <v>0</v>
      </c>
      <c r="AD32" s="316">
        <v>0</v>
      </c>
      <c r="AE32" s="316">
        <v>0</v>
      </c>
      <c r="AF32" s="319">
        <v>0</v>
      </c>
      <c r="AG32" s="322"/>
      <c r="AH32" s="281">
        <v>0</v>
      </c>
      <c r="AI32" s="281">
        <v>0</v>
      </c>
      <c r="AJ32" s="281">
        <v>0</v>
      </c>
      <c r="AK32" s="281">
        <v>0</v>
      </c>
      <c r="AL32" s="281">
        <v>0</v>
      </c>
      <c r="AM32" s="281">
        <v>0</v>
      </c>
      <c r="AN32" s="281">
        <v>0</v>
      </c>
      <c r="AO32" s="281">
        <v>0</v>
      </c>
      <c r="AP32" s="281">
        <v>0</v>
      </c>
      <c r="AQ32" s="281">
        <v>0</v>
      </c>
      <c r="AR32" s="281">
        <v>0</v>
      </c>
      <c r="AS32" s="322"/>
      <c r="AT32" s="281">
        <v>0</v>
      </c>
      <c r="AU32" s="281">
        <v>0</v>
      </c>
      <c r="AV32" s="281">
        <v>0</v>
      </c>
      <c r="AW32" s="281">
        <v>0</v>
      </c>
      <c r="AX32" s="281">
        <v>0</v>
      </c>
      <c r="AY32" s="336">
        <v>0</v>
      </c>
      <c r="AZ32" s="337">
        <v>0</v>
      </c>
      <c r="BA32" s="336">
        <v>0</v>
      </c>
      <c r="BB32" s="336">
        <v>0</v>
      </c>
      <c r="BG32" s="336">
        <v>0</v>
      </c>
      <c r="BH32" s="337">
        <v>0</v>
      </c>
      <c r="BI32" s="337">
        <v>0</v>
      </c>
      <c r="BJ32" s="337">
        <v>0</v>
      </c>
      <c r="BK32" s="337">
        <v>0</v>
      </c>
      <c r="BL32" s="337">
        <v>0</v>
      </c>
      <c r="BM32" s="337">
        <v>0</v>
      </c>
      <c r="BN32" s="337">
        <v>0</v>
      </c>
      <c r="BO32" s="337">
        <v>0</v>
      </c>
      <c r="BP32" s="337">
        <v>0</v>
      </c>
      <c r="BQ32" s="337">
        <v>0</v>
      </c>
      <c r="BR32" s="337">
        <v>0</v>
      </c>
      <c r="BS32" s="27"/>
      <c r="BT32" s="336">
        <v>0</v>
      </c>
      <c r="BU32" s="337">
        <v>0</v>
      </c>
      <c r="BV32" s="337">
        <v>0</v>
      </c>
      <c r="BW32" s="336">
        <v>0</v>
      </c>
      <c r="BX32" s="386">
        <v>0</v>
      </c>
      <c r="BY32" s="336">
        <v>0</v>
      </c>
      <c r="BZ32" s="336">
        <v>0</v>
      </c>
      <c r="CA32" s="336">
        <v>0</v>
      </c>
      <c r="CB32" s="439">
        <v>0</v>
      </c>
    </row>
    <row r="33" spans="1:80" ht="15.75">
      <c r="A33" s="171" t="s">
        <v>97</v>
      </c>
      <c r="B33" s="218">
        <f t="shared" ref="B33:I33" si="69">B29+B30</f>
        <v>137039</v>
      </c>
      <c r="C33" s="218">
        <f t="shared" si="69"/>
        <v>279914</v>
      </c>
      <c r="D33" s="218">
        <f t="shared" si="69"/>
        <v>4008057.2199999997</v>
      </c>
      <c r="E33" s="218">
        <f t="shared" si="69"/>
        <v>1918098</v>
      </c>
      <c r="F33" s="218">
        <f t="shared" si="69"/>
        <v>1007814</v>
      </c>
      <c r="G33" s="218">
        <f t="shared" si="69"/>
        <v>1258664</v>
      </c>
      <c r="H33" s="218">
        <f t="shared" si="69"/>
        <v>210742</v>
      </c>
      <c r="I33" s="218">
        <f t="shared" si="69"/>
        <v>34813.630000000005</v>
      </c>
      <c r="J33" s="218">
        <f t="shared" ref="J33:R33" si="70">J29+J30</f>
        <v>252466.54000000004</v>
      </c>
      <c r="K33" s="218">
        <f t="shared" si="70"/>
        <v>550718.53000000014</v>
      </c>
      <c r="L33" s="218">
        <f t="shared" si="70"/>
        <v>771444.42</v>
      </c>
      <c r="M33" s="218">
        <f t="shared" si="70"/>
        <v>1011120.5499999996</v>
      </c>
      <c r="N33" s="218">
        <f t="shared" si="70"/>
        <v>1366755.1500000001</v>
      </c>
      <c r="O33" s="218">
        <f t="shared" si="70"/>
        <v>1852467.44</v>
      </c>
      <c r="P33" s="218">
        <f t="shared" si="70"/>
        <v>2183236.58</v>
      </c>
      <c r="Q33" s="218">
        <f t="shared" si="70"/>
        <v>2219073.13</v>
      </c>
      <c r="R33" s="218">
        <f t="shared" si="70"/>
        <v>2749051.0300000007</v>
      </c>
      <c r="S33" s="218">
        <f>S29+S30</f>
        <v>3206706.73</v>
      </c>
      <c r="T33" s="218">
        <f>T29+T30</f>
        <v>715996</v>
      </c>
      <c r="U33" s="218">
        <f>U29+U30</f>
        <v>363846.57000000007</v>
      </c>
      <c r="V33" s="218">
        <f t="shared" ref="V33:AA33" si="71">V29+V30</f>
        <v>339016.81000000006</v>
      </c>
      <c r="W33" s="218">
        <f t="shared" si="71"/>
        <v>830307.76</v>
      </c>
      <c r="X33" s="218">
        <f t="shared" si="71"/>
        <v>1134769.47</v>
      </c>
      <c r="Y33" s="218">
        <f t="shared" si="71"/>
        <v>1458873.5499999996</v>
      </c>
      <c r="Z33" s="218">
        <f t="shared" si="71"/>
        <v>1555256.3599999996</v>
      </c>
      <c r="AA33" s="218">
        <f t="shared" si="71"/>
        <v>2130502.29</v>
      </c>
      <c r="AB33" s="218">
        <f t="shared" ref="AB33:AG33" si="72">AB29+AB30</f>
        <v>2510198.9699999997</v>
      </c>
      <c r="AC33" s="218">
        <f t="shared" si="72"/>
        <v>2850555.9399999995</v>
      </c>
      <c r="AD33" s="218">
        <f t="shared" si="72"/>
        <v>3341310.8299999996</v>
      </c>
      <c r="AE33" s="218">
        <f t="shared" si="72"/>
        <v>3276563.4799999995</v>
      </c>
      <c r="AF33" s="218">
        <f t="shared" si="72"/>
        <v>3221753.4499999997</v>
      </c>
      <c r="AG33" s="218">
        <f t="shared" si="72"/>
        <v>642442</v>
      </c>
      <c r="AH33" s="218">
        <f t="shared" ref="AH33:AO33" si="73">AH29+AH30</f>
        <v>395284.1</v>
      </c>
      <c r="AI33" s="218">
        <f t="shared" si="73"/>
        <v>706469.58999999985</v>
      </c>
      <c r="AJ33" s="218">
        <f t="shared" si="73"/>
        <v>1166631.03</v>
      </c>
      <c r="AK33" s="218">
        <f t="shared" si="73"/>
        <v>1345601.58</v>
      </c>
      <c r="AL33" s="218">
        <f t="shared" si="73"/>
        <v>1727664.7800000003</v>
      </c>
      <c r="AM33" s="218">
        <f t="shared" si="73"/>
        <v>2053624.87</v>
      </c>
      <c r="AN33" s="218">
        <f t="shared" si="73"/>
        <v>2869318.8</v>
      </c>
      <c r="AO33" s="218">
        <f t="shared" si="73"/>
        <v>3256510.42</v>
      </c>
      <c r="AP33" s="218">
        <f t="shared" ref="AP33:AV33" si="74">AP29+AP30</f>
        <v>3735948.5700000003</v>
      </c>
      <c r="AQ33" s="218">
        <f t="shared" si="74"/>
        <v>3870724.6199999996</v>
      </c>
      <c r="AR33" s="218">
        <f t="shared" si="74"/>
        <v>3899667.7399999998</v>
      </c>
      <c r="AS33" s="218">
        <f t="shared" si="74"/>
        <v>735593</v>
      </c>
      <c r="AT33" s="218">
        <f t="shared" si="74"/>
        <v>42697.830000000016</v>
      </c>
      <c r="AU33" s="218">
        <f t="shared" si="74"/>
        <v>223522.16999999993</v>
      </c>
      <c r="AV33" s="218">
        <f t="shared" si="74"/>
        <v>696794.07000000007</v>
      </c>
      <c r="AW33" s="218">
        <f t="shared" ref="AW33:BB33" si="75">AW29+AW30</f>
        <v>1041168.77</v>
      </c>
      <c r="AX33" s="218">
        <f t="shared" si="75"/>
        <v>1348082.0699999998</v>
      </c>
      <c r="AY33" s="218">
        <f t="shared" si="75"/>
        <v>1690830.42</v>
      </c>
      <c r="AZ33" s="218">
        <f t="shared" si="75"/>
        <v>2337083.6500000004</v>
      </c>
      <c r="BA33" s="218">
        <f t="shared" si="75"/>
        <v>2682577.58</v>
      </c>
      <c r="BB33" s="218">
        <f t="shared" si="75"/>
        <v>3032369.25</v>
      </c>
      <c r="BC33" s="218">
        <f t="shared" ref="BC33:BR33" si="76">BC29+BC30</f>
        <v>3601236.74</v>
      </c>
      <c r="BD33" s="218">
        <f t="shared" si="76"/>
        <v>3699242.4300000006</v>
      </c>
      <c r="BE33" s="218">
        <f t="shared" si="76"/>
        <v>3867991.3500000006</v>
      </c>
      <c r="BF33" s="218">
        <f t="shared" si="76"/>
        <v>2218377</v>
      </c>
      <c r="BG33" s="218">
        <f t="shared" si="76"/>
        <v>325632.37</v>
      </c>
      <c r="BH33" s="218">
        <f t="shared" si="76"/>
        <v>339574.14000000013</v>
      </c>
      <c r="BI33" s="218">
        <f t="shared" si="76"/>
        <v>791338.62999999989</v>
      </c>
      <c r="BJ33" s="218">
        <f t="shared" si="76"/>
        <v>1196007.98</v>
      </c>
      <c r="BK33" s="218">
        <f t="shared" si="76"/>
        <v>1547847.73</v>
      </c>
      <c r="BL33" s="218">
        <f t="shared" si="76"/>
        <v>1840222.25</v>
      </c>
      <c r="BM33" s="218">
        <f t="shared" si="76"/>
        <v>2327661.1500000004</v>
      </c>
      <c r="BN33" s="218">
        <f t="shared" si="76"/>
        <v>2797013.7200000007</v>
      </c>
      <c r="BO33" s="218">
        <f t="shared" si="76"/>
        <v>3250261.0700000003</v>
      </c>
      <c r="BP33" s="218">
        <f t="shared" si="76"/>
        <v>3309146.1500000004</v>
      </c>
      <c r="BQ33" s="218">
        <f t="shared" si="76"/>
        <v>3793255.95</v>
      </c>
      <c r="BR33" s="218">
        <f t="shared" si="76"/>
        <v>3769900.2500000009</v>
      </c>
      <c r="BS33" s="218">
        <f t="shared" ref="BS33:BW33" si="77">BS29+BS30</f>
        <v>1714008</v>
      </c>
      <c r="BT33" s="218">
        <f t="shared" si="77"/>
        <v>434141</v>
      </c>
      <c r="BU33" s="218">
        <f t="shared" si="77"/>
        <v>605252</v>
      </c>
      <c r="BV33" s="218">
        <f t="shared" si="77"/>
        <v>1256472.08</v>
      </c>
      <c r="BW33" s="218">
        <f t="shared" si="77"/>
        <v>1589507.5</v>
      </c>
      <c r="BX33" s="218">
        <f>BX29+BX30</f>
        <v>2006440.2800000003</v>
      </c>
      <c r="BY33" s="218">
        <f>BY29+BY30</f>
        <v>2399207.2800000003</v>
      </c>
      <c r="BZ33" s="218">
        <f>BZ29+BZ30</f>
        <v>3466033.3499999996</v>
      </c>
      <c r="CA33" s="218">
        <f>CA29+CA30</f>
        <v>3926066.37</v>
      </c>
      <c r="CB33" s="218">
        <f>CB29+CB30</f>
        <v>4099752.0300000003</v>
      </c>
    </row>
    <row r="34" spans="1:80" ht="14.25">
      <c r="A34" s="170" t="s">
        <v>98</v>
      </c>
      <c r="B34" s="302"/>
      <c r="C34" s="308">
        <v>94708</v>
      </c>
      <c r="D34" s="302"/>
      <c r="E34" s="310">
        <v>41297</v>
      </c>
      <c r="F34" s="283">
        <v>38702</v>
      </c>
      <c r="G34" s="313">
        <v>43968</v>
      </c>
      <c r="H34" s="302"/>
      <c r="I34" s="316">
        <v>0</v>
      </c>
      <c r="J34" s="316">
        <v>0</v>
      </c>
      <c r="K34" s="316">
        <v>10000</v>
      </c>
      <c r="L34" s="316">
        <v>24000</v>
      </c>
      <c r="M34" s="316">
        <v>24000</v>
      </c>
      <c r="N34" s="316">
        <v>24000</v>
      </c>
      <c r="O34" s="316">
        <v>24000</v>
      </c>
      <c r="P34" s="316">
        <v>24000</v>
      </c>
      <c r="Q34" s="319">
        <v>24000</v>
      </c>
      <c r="R34" s="316">
        <v>24000</v>
      </c>
      <c r="S34" s="316">
        <v>24000</v>
      </c>
      <c r="T34" s="321">
        <v>51709</v>
      </c>
      <c r="U34" s="322">
        <v>0</v>
      </c>
      <c r="V34" s="322">
        <v>8840</v>
      </c>
      <c r="W34" s="322">
        <v>13840</v>
      </c>
      <c r="X34" s="322">
        <v>83840</v>
      </c>
      <c r="Y34" s="322">
        <v>83840</v>
      </c>
      <c r="Z34" s="324">
        <v>83840</v>
      </c>
      <c r="AA34" s="325">
        <v>13840</v>
      </c>
      <c r="AB34" s="325">
        <v>13840</v>
      </c>
      <c r="AC34" s="325">
        <v>13840</v>
      </c>
      <c r="AD34" s="316">
        <v>13840</v>
      </c>
      <c r="AE34" s="316">
        <v>13840</v>
      </c>
      <c r="AF34" s="319">
        <v>83840</v>
      </c>
      <c r="AG34" s="302">
        <v>64642</v>
      </c>
      <c r="AH34" s="281">
        <v>0</v>
      </c>
      <c r="AI34" s="281">
        <v>19642</v>
      </c>
      <c r="AJ34" s="281">
        <v>23612</v>
      </c>
      <c r="AK34" s="281">
        <v>28684</v>
      </c>
      <c r="AL34" s="281">
        <v>28684</v>
      </c>
      <c r="AM34" s="281">
        <v>28684</v>
      </c>
      <c r="AN34" s="281">
        <v>28684</v>
      </c>
      <c r="AO34" s="281">
        <v>28684</v>
      </c>
      <c r="AP34" s="281">
        <v>28684</v>
      </c>
      <c r="AQ34" s="281">
        <v>28684</v>
      </c>
      <c r="AR34" s="281">
        <v>98684</v>
      </c>
      <c r="AS34" s="304">
        <v>95961</v>
      </c>
      <c r="AT34" s="281">
        <v>0</v>
      </c>
      <c r="AU34" s="281">
        <v>21850</v>
      </c>
      <c r="AV34" s="281">
        <v>21850</v>
      </c>
      <c r="AW34" s="281">
        <v>21850</v>
      </c>
      <c r="AX34" s="281">
        <v>21850</v>
      </c>
      <c r="AY34" s="333">
        <v>21850</v>
      </c>
      <c r="AZ34" s="335">
        <v>21850</v>
      </c>
      <c r="BA34" s="333">
        <v>21850</v>
      </c>
      <c r="BB34" s="333">
        <v>21850</v>
      </c>
      <c r="BC34" s="333">
        <v>21850</v>
      </c>
      <c r="BD34" s="335">
        <v>21850</v>
      </c>
      <c r="BE34" s="335">
        <v>21850</v>
      </c>
      <c r="BF34" s="27">
        <v>62242</v>
      </c>
      <c r="BG34" s="332">
        <v>0</v>
      </c>
      <c r="BH34" s="335">
        <v>30092</v>
      </c>
      <c r="BI34" s="335">
        <v>32164</v>
      </c>
      <c r="BJ34" s="335">
        <v>32164</v>
      </c>
      <c r="BK34" s="335">
        <v>32164</v>
      </c>
      <c r="BL34" s="335">
        <v>32164</v>
      </c>
      <c r="BM34" s="335">
        <v>32164</v>
      </c>
      <c r="BN34" s="335">
        <v>32164</v>
      </c>
      <c r="BO34" s="335">
        <v>32164</v>
      </c>
      <c r="BP34" s="335">
        <v>32164</v>
      </c>
      <c r="BQ34" s="335">
        <v>32164</v>
      </c>
      <c r="BR34" s="335">
        <v>32164</v>
      </c>
      <c r="BS34" s="27">
        <v>122339</v>
      </c>
      <c r="BT34" s="332">
        <v>0</v>
      </c>
      <c r="BU34" s="335">
        <v>36000</v>
      </c>
      <c r="BV34" s="335">
        <v>36000</v>
      </c>
      <c r="BW34" s="333">
        <v>36000</v>
      </c>
      <c r="BX34" s="385">
        <v>36000</v>
      </c>
      <c r="BY34" s="333">
        <v>36000</v>
      </c>
      <c r="BZ34" s="336">
        <v>0</v>
      </c>
      <c r="CA34" s="332">
        <v>0</v>
      </c>
      <c r="CB34" s="332">
        <v>0</v>
      </c>
    </row>
    <row r="35" spans="1:80" ht="15.75">
      <c r="A35" s="169" t="s">
        <v>99</v>
      </c>
      <c r="B35" s="212">
        <f t="shared" ref="B35:G35" si="78">B33-B34</f>
        <v>137039</v>
      </c>
      <c r="C35" s="212">
        <f t="shared" si="78"/>
        <v>185206</v>
      </c>
      <c r="D35" s="212">
        <f t="shared" si="78"/>
        <v>4008057.2199999997</v>
      </c>
      <c r="E35" s="212">
        <f t="shared" si="78"/>
        <v>1876801</v>
      </c>
      <c r="F35" s="212">
        <f t="shared" si="78"/>
        <v>969112</v>
      </c>
      <c r="G35" s="212">
        <f t="shared" si="78"/>
        <v>1214696</v>
      </c>
      <c r="H35" s="212">
        <f>H33-H34</f>
        <v>210742</v>
      </c>
      <c r="I35" s="212">
        <f t="shared" ref="I35:R35" si="79">I33-I34</f>
        <v>34813.630000000005</v>
      </c>
      <c r="J35" s="212">
        <f t="shared" si="79"/>
        <v>252466.54000000004</v>
      </c>
      <c r="K35" s="212">
        <f t="shared" si="79"/>
        <v>540718.53000000014</v>
      </c>
      <c r="L35" s="212">
        <f t="shared" si="79"/>
        <v>747444.42</v>
      </c>
      <c r="M35" s="212">
        <f t="shared" si="79"/>
        <v>987120.54999999958</v>
      </c>
      <c r="N35" s="212">
        <f t="shared" si="79"/>
        <v>1342755.1500000001</v>
      </c>
      <c r="O35" s="212">
        <f t="shared" si="79"/>
        <v>1828467.44</v>
      </c>
      <c r="P35" s="212">
        <f t="shared" si="79"/>
        <v>2159236.58</v>
      </c>
      <c r="Q35" s="212">
        <f t="shared" si="79"/>
        <v>2195073.13</v>
      </c>
      <c r="R35" s="212">
        <f t="shared" si="79"/>
        <v>2725051.0300000007</v>
      </c>
      <c r="S35" s="212">
        <f>S33-S34</f>
        <v>3182706.73</v>
      </c>
      <c r="T35" s="212">
        <f>T33-T34</f>
        <v>664287</v>
      </c>
      <c r="U35" s="212">
        <f>U33-U34</f>
        <v>363846.57000000007</v>
      </c>
      <c r="V35" s="212">
        <f t="shared" ref="V35:AA35" si="80">V33-V34</f>
        <v>330176.81000000006</v>
      </c>
      <c r="W35" s="212">
        <f t="shared" si="80"/>
        <v>816467.76</v>
      </c>
      <c r="X35" s="212">
        <f t="shared" si="80"/>
        <v>1050929.47</v>
      </c>
      <c r="Y35" s="212">
        <f t="shared" si="80"/>
        <v>1375033.5499999996</v>
      </c>
      <c r="Z35" s="212">
        <f t="shared" si="80"/>
        <v>1471416.3599999996</v>
      </c>
      <c r="AA35" s="212">
        <f t="shared" si="80"/>
        <v>2116662.29</v>
      </c>
      <c r="AB35" s="212">
        <f>AB33-AB34</f>
        <v>2496358.9699999997</v>
      </c>
      <c r="AC35" s="212">
        <f>AC33-AC34</f>
        <v>2836715.9399999995</v>
      </c>
      <c r="AD35" s="212">
        <f>AD33-AD34</f>
        <v>3327470.8299999996</v>
      </c>
      <c r="AE35" s="212">
        <f>AE33-AE34</f>
        <v>3262723.4799999995</v>
      </c>
      <c r="AF35" s="212">
        <f>AF33-AF34</f>
        <v>3137913.4499999997</v>
      </c>
      <c r="AG35" s="212">
        <f t="shared" ref="AG35:AS35" si="81">AG33-AG34</f>
        <v>577800</v>
      </c>
      <c r="AH35" s="212">
        <f t="shared" si="81"/>
        <v>395284.1</v>
      </c>
      <c r="AI35" s="212">
        <f t="shared" si="81"/>
        <v>686827.58999999985</v>
      </c>
      <c r="AJ35" s="212">
        <f t="shared" si="81"/>
        <v>1143019.03</v>
      </c>
      <c r="AK35" s="212">
        <f t="shared" si="81"/>
        <v>1316917.58</v>
      </c>
      <c r="AL35" s="212">
        <f t="shared" si="81"/>
        <v>1698980.7800000003</v>
      </c>
      <c r="AM35" s="212">
        <f t="shared" si="81"/>
        <v>2024940.87</v>
      </c>
      <c r="AN35" s="212">
        <f t="shared" si="81"/>
        <v>2840634.8</v>
      </c>
      <c r="AO35" s="212">
        <f t="shared" si="81"/>
        <v>3227826.42</v>
      </c>
      <c r="AP35" s="212">
        <f t="shared" si="81"/>
        <v>3707264.5700000003</v>
      </c>
      <c r="AQ35" s="212">
        <f t="shared" si="81"/>
        <v>3842040.6199999996</v>
      </c>
      <c r="AR35" s="212">
        <f t="shared" si="81"/>
        <v>3800983.7399999998</v>
      </c>
      <c r="AS35" s="212">
        <f t="shared" si="81"/>
        <v>639632</v>
      </c>
      <c r="AT35" s="212">
        <f t="shared" ref="AT35:BB35" si="82">AT33-AT34</f>
        <v>42697.830000000016</v>
      </c>
      <c r="AU35" s="212">
        <f t="shared" si="82"/>
        <v>201672.16999999993</v>
      </c>
      <c r="AV35" s="212">
        <f t="shared" si="82"/>
        <v>674944.07000000007</v>
      </c>
      <c r="AW35" s="212">
        <f t="shared" si="82"/>
        <v>1019318.77</v>
      </c>
      <c r="AX35" s="212">
        <f t="shared" si="82"/>
        <v>1326232.0699999998</v>
      </c>
      <c r="AY35" s="212">
        <f t="shared" si="82"/>
        <v>1668980.42</v>
      </c>
      <c r="AZ35" s="212">
        <f t="shared" si="82"/>
        <v>2315233.6500000004</v>
      </c>
      <c r="BA35" s="212">
        <f t="shared" si="82"/>
        <v>2660727.58</v>
      </c>
      <c r="BB35" s="212">
        <f t="shared" si="82"/>
        <v>3010519.25</v>
      </c>
      <c r="BC35" s="212">
        <f t="shared" ref="BC35:BR35" si="83">BC33-BC34</f>
        <v>3579386.74</v>
      </c>
      <c r="BD35" s="212">
        <f t="shared" si="83"/>
        <v>3677392.4300000006</v>
      </c>
      <c r="BE35" s="212">
        <f t="shared" si="83"/>
        <v>3846141.3500000006</v>
      </c>
      <c r="BF35" s="212">
        <f t="shared" si="83"/>
        <v>2156135</v>
      </c>
      <c r="BG35" s="212">
        <f t="shared" si="83"/>
        <v>325632.37</v>
      </c>
      <c r="BH35" s="212">
        <f t="shared" si="83"/>
        <v>309482.14000000013</v>
      </c>
      <c r="BI35" s="212">
        <f t="shared" si="83"/>
        <v>759174.62999999989</v>
      </c>
      <c r="BJ35" s="212">
        <f t="shared" si="83"/>
        <v>1163843.98</v>
      </c>
      <c r="BK35" s="212">
        <f t="shared" si="83"/>
        <v>1515683.73</v>
      </c>
      <c r="BL35" s="212">
        <f t="shared" si="83"/>
        <v>1808058.25</v>
      </c>
      <c r="BM35" s="212">
        <f t="shared" si="83"/>
        <v>2295497.1500000004</v>
      </c>
      <c r="BN35" s="212">
        <f t="shared" si="83"/>
        <v>2764849.7200000007</v>
      </c>
      <c r="BO35" s="212">
        <f t="shared" si="83"/>
        <v>3218097.0700000003</v>
      </c>
      <c r="BP35" s="212">
        <f t="shared" si="83"/>
        <v>3276982.1500000004</v>
      </c>
      <c r="BQ35" s="212">
        <f t="shared" si="83"/>
        <v>3761091.95</v>
      </c>
      <c r="BR35" s="212">
        <f t="shared" si="83"/>
        <v>3737736.2500000009</v>
      </c>
      <c r="BS35" s="212">
        <f t="shared" ref="BS35:BW35" si="84">BS33-BS34</f>
        <v>1591669</v>
      </c>
      <c r="BT35" s="212">
        <f t="shared" si="84"/>
        <v>434141</v>
      </c>
      <c r="BU35" s="212">
        <f t="shared" si="84"/>
        <v>569252</v>
      </c>
      <c r="BV35" s="212">
        <f t="shared" si="84"/>
        <v>1220472.08</v>
      </c>
      <c r="BW35" s="212">
        <f t="shared" si="84"/>
        <v>1553507.5</v>
      </c>
      <c r="BX35" s="212">
        <f>BX33-BX34</f>
        <v>1970440.2800000003</v>
      </c>
      <c r="BY35" s="212">
        <f>BY33-BY34</f>
        <v>2363207.2800000003</v>
      </c>
      <c r="BZ35" s="212">
        <f>BZ33-BZ34</f>
        <v>3466033.3499999996</v>
      </c>
      <c r="CA35" s="212">
        <f>CA33-CA34</f>
        <v>3926066.37</v>
      </c>
      <c r="CB35" s="212">
        <f>CB33-CB34</f>
        <v>4099752.0300000003</v>
      </c>
    </row>
    <row r="36" spans="1:80" ht="15.75">
      <c r="A36" s="170" t="s">
        <v>100</v>
      </c>
      <c r="B36" s="217"/>
      <c r="C36" s="217"/>
      <c r="D36" s="217"/>
      <c r="E36" s="217"/>
      <c r="F36" s="217"/>
      <c r="G36" s="217"/>
      <c r="H36" s="217"/>
      <c r="I36" s="316">
        <v>0</v>
      </c>
      <c r="J36" s="316">
        <v>0</v>
      </c>
      <c r="K36" s="316">
        <v>0</v>
      </c>
      <c r="L36" s="316">
        <v>0</v>
      </c>
      <c r="M36" s="316">
        <v>0</v>
      </c>
      <c r="N36" s="316">
        <v>0</v>
      </c>
      <c r="O36" s="316">
        <v>0</v>
      </c>
      <c r="P36" s="316">
        <v>0</v>
      </c>
      <c r="Q36" s="319">
        <v>0</v>
      </c>
      <c r="R36" s="316">
        <v>0</v>
      </c>
      <c r="S36" s="316">
        <v>0</v>
      </c>
      <c r="T36" s="217"/>
      <c r="U36" s="322">
        <v>0</v>
      </c>
      <c r="V36" s="322">
        <v>0</v>
      </c>
      <c r="W36" s="322">
        <v>0</v>
      </c>
      <c r="X36" s="322">
        <v>0</v>
      </c>
      <c r="Y36" s="322">
        <v>0</v>
      </c>
      <c r="Z36" s="324">
        <v>0</v>
      </c>
      <c r="AA36" s="325">
        <v>0</v>
      </c>
      <c r="AB36" s="325">
        <v>0</v>
      </c>
      <c r="AC36" s="325">
        <v>0</v>
      </c>
      <c r="AD36" s="316">
        <v>0</v>
      </c>
      <c r="AE36" s="316">
        <v>0</v>
      </c>
      <c r="AF36" s="319">
        <v>0</v>
      </c>
      <c r="AG36" s="217"/>
      <c r="AH36" s="281">
        <v>0</v>
      </c>
      <c r="AI36" s="281">
        <v>0</v>
      </c>
      <c r="AJ36" s="281">
        <v>0</v>
      </c>
      <c r="AK36" s="281">
        <v>0</v>
      </c>
      <c r="AL36" s="281">
        <v>0</v>
      </c>
      <c r="AM36" s="281">
        <v>0</v>
      </c>
      <c r="AN36" s="281">
        <v>0</v>
      </c>
      <c r="AO36" s="281">
        <v>0</v>
      </c>
      <c r="AP36" s="281">
        <v>0</v>
      </c>
      <c r="AQ36" s="281">
        <v>0</v>
      </c>
      <c r="AR36" s="281">
        <v>0</v>
      </c>
      <c r="AS36" s="322"/>
      <c r="AT36" s="281">
        <v>0</v>
      </c>
      <c r="AU36" s="281">
        <v>0</v>
      </c>
      <c r="AV36" s="281">
        <v>0</v>
      </c>
      <c r="AW36" s="281">
        <v>0</v>
      </c>
      <c r="AX36" s="281">
        <v>0</v>
      </c>
      <c r="AY36" s="332">
        <v>0</v>
      </c>
      <c r="AZ36" s="334">
        <v>0</v>
      </c>
      <c r="BA36" s="332">
        <v>0</v>
      </c>
      <c r="BB36" s="332">
        <v>0</v>
      </c>
      <c r="BG36" s="332">
        <v>0</v>
      </c>
      <c r="BH36" s="334">
        <v>0</v>
      </c>
      <c r="BI36" s="334">
        <v>0</v>
      </c>
      <c r="BJ36" s="334">
        <v>0</v>
      </c>
      <c r="BK36" s="334">
        <v>0</v>
      </c>
      <c r="BL36" s="334">
        <v>0</v>
      </c>
      <c r="BM36" s="334">
        <v>0</v>
      </c>
      <c r="BN36" s="334">
        <v>0</v>
      </c>
      <c r="BO36" s="334">
        <v>0</v>
      </c>
      <c r="BP36" s="334">
        <v>0</v>
      </c>
      <c r="BQ36" s="334">
        <v>0</v>
      </c>
      <c r="BR36" s="334">
        <v>0</v>
      </c>
      <c r="BS36" s="27"/>
      <c r="BX36">
        <v>0</v>
      </c>
      <c r="BY36" s="336">
        <v>0</v>
      </c>
      <c r="BZ36" s="336">
        <v>0</v>
      </c>
      <c r="CA36" s="332">
        <v>0</v>
      </c>
      <c r="CB36" s="332">
        <v>0</v>
      </c>
    </row>
    <row r="37" spans="1:80" ht="15.75">
      <c r="A37" s="169" t="s">
        <v>101</v>
      </c>
      <c r="B37" s="212">
        <f t="shared" ref="B37:G37" si="85">B35-B36</f>
        <v>137039</v>
      </c>
      <c r="C37" s="212">
        <f t="shared" si="85"/>
        <v>185206</v>
      </c>
      <c r="D37" s="212">
        <f t="shared" si="85"/>
        <v>4008057.2199999997</v>
      </c>
      <c r="E37" s="212">
        <f t="shared" si="85"/>
        <v>1876801</v>
      </c>
      <c r="F37" s="212">
        <f t="shared" si="85"/>
        <v>969112</v>
      </c>
      <c r="G37" s="212">
        <f t="shared" si="85"/>
        <v>1214696</v>
      </c>
      <c r="H37" s="212">
        <f>H35-H36</f>
        <v>210742</v>
      </c>
      <c r="I37" s="212">
        <f t="shared" ref="I37:R37" si="86">I35-I36</f>
        <v>34813.630000000005</v>
      </c>
      <c r="J37" s="212">
        <f t="shared" si="86"/>
        <v>252466.54000000004</v>
      </c>
      <c r="K37" s="212">
        <f t="shared" si="86"/>
        <v>540718.53000000014</v>
      </c>
      <c r="L37" s="212">
        <f t="shared" si="86"/>
        <v>747444.42</v>
      </c>
      <c r="M37" s="212">
        <f t="shared" si="86"/>
        <v>987120.54999999958</v>
      </c>
      <c r="N37" s="212">
        <f t="shared" si="86"/>
        <v>1342755.1500000001</v>
      </c>
      <c r="O37" s="212">
        <f t="shared" si="86"/>
        <v>1828467.44</v>
      </c>
      <c r="P37" s="212">
        <f t="shared" si="86"/>
        <v>2159236.58</v>
      </c>
      <c r="Q37" s="212">
        <f t="shared" si="86"/>
        <v>2195073.13</v>
      </c>
      <c r="R37" s="212">
        <f t="shared" si="86"/>
        <v>2725051.0300000007</v>
      </c>
      <c r="S37" s="212">
        <f>S35-S36</f>
        <v>3182706.73</v>
      </c>
      <c r="T37" s="212">
        <f>T35-T36</f>
        <v>664287</v>
      </c>
      <c r="U37" s="212">
        <f>U35-U36</f>
        <v>363846.57000000007</v>
      </c>
      <c r="V37" s="212">
        <f t="shared" ref="V37:AA37" si="87">V35-V36</f>
        <v>330176.81000000006</v>
      </c>
      <c r="W37" s="212">
        <f t="shared" si="87"/>
        <v>816467.76</v>
      </c>
      <c r="X37" s="212">
        <f t="shared" si="87"/>
        <v>1050929.47</v>
      </c>
      <c r="Y37" s="212">
        <f t="shared" si="87"/>
        <v>1375033.5499999996</v>
      </c>
      <c r="Z37" s="212">
        <f t="shared" si="87"/>
        <v>1471416.3599999996</v>
      </c>
      <c r="AA37" s="212">
        <f t="shared" si="87"/>
        <v>2116662.29</v>
      </c>
      <c r="AB37" s="212">
        <f>AB35-AB36</f>
        <v>2496358.9699999997</v>
      </c>
      <c r="AC37" s="212">
        <f>AC35-AC36</f>
        <v>2836715.9399999995</v>
      </c>
      <c r="AD37" s="212">
        <f>AD35-AD36</f>
        <v>3327470.8299999996</v>
      </c>
      <c r="AE37" s="212">
        <f>AE35-AE36</f>
        <v>3262723.4799999995</v>
      </c>
      <c r="AF37" s="212">
        <f>AF35-AF36</f>
        <v>3137913.4499999997</v>
      </c>
      <c r="AG37" s="212">
        <f t="shared" ref="AG37:AS37" si="88">AG35-AG36</f>
        <v>577800</v>
      </c>
      <c r="AH37" s="212">
        <f t="shared" si="88"/>
        <v>395284.1</v>
      </c>
      <c r="AI37" s="212">
        <f t="shared" si="88"/>
        <v>686827.58999999985</v>
      </c>
      <c r="AJ37" s="212">
        <f t="shared" si="88"/>
        <v>1143019.03</v>
      </c>
      <c r="AK37" s="212">
        <f t="shared" si="88"/>
        <v>1316917.58</v>
      </c>
      <c r="AL37" s="212">
        <f t="shared" si="88"/>
        <v>1698980.7800000003</v>
      </c>
      <c r="AM37" s="212">
        <f t="shared" si="88"/>
        <v>2024940.87</v>
      </c>
      <c r="AN37" s="212">
        <f t="shared" si="88"/>
        <v>2840634.8</v>
      </c>
      <c r="AO37" s="212">
        <f t="shared" si="88"/>
        <v>3227826.42</v>
      </c>
      <c r="AP37" s="212">
        <f t="shared" si="88"/>
        <v>3707264.5700000003</v>
      </c>
      <c r="AQ37" s="212">
        <f t="shared" si="88"/>
        <v>3842040.6199999996</v>
      </c>
      <c r="AR37" s="212">
        <f t="shared" si="88"/>
        <v>3800983.7399999998</v>
      </c>
      <c r="AS37" s="212">
        <f t="shared" si="88"/>
        <v>639632</v>
      </c>
      <c r="AT37" s="212">
        <f t="shared" ref="AT37:BB37" si="89">AT35-AT36</f>
        <v>42697.830000000016</v>
      </c>
      <c r="AU37" s="212">
        <f t="shared" si="89"/>
        <v>201672.16999999993</v>
      </c>
      <c r="AV37" s="212">
        <f t="shared" si="89"/>
        <v>674944.07000000007</v>
      </c>
      <c r="AW37" s="212">
        <f t="shared" si="89"/>
        <v>1019318.77</v>
      </c>
      <c r="AX37" s="212">
        <f t="shared" si="89"/>
        <v>1326232.0699999998</v>
      </c>
      <c r="AY37" s="212">
        <f t="shared" si="89"/>
        <v>1668980.42</v>
      </c>
      <c r="AZ37" s="212">
        <f t="shared" si="89"/>
        <v>2315233.6500000004</v>
      </c>
      <c r="BA37" s="212">
        <f t="shared" si="89"/>
        <v>2660727.58</v>
      </c>
      <c r="BB37" s="212">
        <f t="shared" si="89"/>
        <v>3010519.25</v>
      </c>
      <c r="BC37" s="212">
        <f t="shared" ref="BC37:BR37" si="90">BC35-BC36</f>
        <v>3579386.74</v>
      </c>
      <c r="BD37" s="212">
        <f t="shared" si="90"/>
        <v>3677392.4300000006</v>
      </c>
      <c r="BE37" s="212">
        <f t="shared" si="90"/>
        <v>3846141.3500000006</v>
      </c>
      <c r="BF37" s="212">
        <f t="shared" si="90"/>
        <v>2156135</v>
      </c>
      <c r="BG37" s="212">
        <f t="shared" si="90"/>
        <v>325632.37</v>
      </c>
      <c r="BH37" s="212">
        <f t="shared" si="90"/>
        <v>309482.14000000013</v>
      </c>
      <c r="BI37" s="212">
        <f t="shared" si="90"/>
        <v>759174.62999999989</v>
      </c>
      <c r="BJ37" s="212">
        <f t="shared" si="90"/>
        <v>1163843.98</v>
      </c>
      <c r="BK37" s="212">
        <f t="shared" si="90"/>
        <v>1515683.73</v>
      </c>
      <c r="BL37" s="212">
        <f t="shared" si="90"/>
        <v>1808058.25</v>
      </c>
      <c r="BM37" s="212">
        <f t="shared" si="90"/>
        <v>2295497.1500000004</v>
      </c>
      <c r="BN37" s="212">
        <f t="shared" si="90"/>
        <v>2764849.7200000007</v>
      </c>
      <c r="BO37" s="212">
        <f t="shared" si="90"/>
        <v>3218097.0700000003</v>
      </c>
      <c r="BP37" s="212">
        <f t="shared" si="90"/>
        <v>3276982.1500000004</v>
      </c>
      <c r="BQ37" s="212">
        <f t="shared" si="90"/>
        <v>3761091.95</v>
      </c>
      <c r="BR37" s="212">
        <f t="shared" si="90"/>
        <v>3737736.2500000009</v>
      </c>
      <c r="BS37" s="212">
        <f t="shared" ref="BS37:BW37" si="91">BS35-BS36</f>
        <v>1591669</v>
      </c>
      <c r="BT37" s="212">
        <f t="shared" si="91"/>
        <v>434141</v>
      </c>
      <c r="BU37" s="212">
        <f t="shared" si="91"/>
        <v>569252</v>
      </c>
      <c r="BV37" s="212">
        <f t="shared" si="91"/>
        <v>1220472.08</v>
      </c>
      <c r="BW37" s="212">
        <f t="shared" si="91"/>
        <v>1553507.5</v>
      </c>
      <c r="BX37" s="212">
        <f>BX35-BX36</f>
        <v>1970440.2800000003</v>
      </c>
      <c r="BY37" s="212">
        <f>BY35-BY36</f>
        <v>2363207.2800000003</v>
      </c>
      <c r="BZ37" s="212">
        <f>BZ35-BZ36</f>
        <v>3466033.3499999996</v>
      </c>
      <c r="CA37" s="212">
        <f>CA35-CA36</f>
        <v>3926066.37</v>
      </c>
      <c r="CB37" s="212">
        <f>CB35-CB36</f>
        <v>4099752.0300000003</v>
      </c>
    </row>
    <row r="38" spans="1:80" ht="14.25">
      <c r="B38" s="259"/>
      <c r="C38" s="259"/>
      <c r="D38" s="259"/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259"/>
      <c r="R38" s="259"/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H38" s="259"/>
      <c r="AI38" s="259"/>
      <c r="AJ38" s="259"/>
      <c r="AK38" s="259"/>
      <c r="AL38" s="259"/>
      <c r="AM38" s="259"/>
      <c r="AN38" s="259"/>
      <c r="AO38" s="259"/>
      <c r="AP38" s="259"/>
      <c r="AQ38" s="259"/>
      <c r="AR38" s="259"/>
      <c r="AS38" s="259"/>
      <c r="AT38" s="259"/>
      <c r="AU38" s="259"/>
      <c r="AV38" s="259"/>
      <c r="AW38" s="259"/>
      <c r="AX38" s="259"/>
      <c r="AY38" s="259"/>
      <c r="AZ38" s="259"/>
      <c r="BA38" s="259"/>
      <c r="BB38" s="259"/>
      <c r="BS38" s="27"/>
      <c r="BT38" s="332">
        <v>0</v>
      </c>
      <c r="BU38" s="334">
        <v>0</v>
      </c>
      <c r="BV38" s="334">
        <v>0</v>
      </c>
      <c r="BW38" s="332">
        <v>0</v>
      </c>
      <c r="BX38">
        <v>0</v>
      </c>
      <c r="BY38" s="332">
        <v>0</v>
      </c>
      <c r="BZ38" s="336">
        <v>0</v>
      </c>
    </row>
    <row r="39" spans="1:80" ht="15.75">
      <c r="A39" t="s">
        <v>102</v>
      </c>
      <c r="B39" s="221">
        <f t="shared" ref="B39:I39" si="92">B12+B23</f>
        <v>4481178</v>
      </c>
      <c r="C39" s="221">
        <f t="shared" si="92"/>
        <v>4904303</v>
      </c>
      <c r="D39" s="221">
        <f t="shared" si="92"/>
        <v>4024099.7800000003</v>
      </c>
      <c r="E39" s="221">
        <f t="shared" si="92"/>
        <v>6624651</v>
      </c>
      <c r="F39" s="221">
        <f t="shared" si="92"/>
        <v>6613280</v>
      </c>
      <c r="G39" s="221">
        <f t="shared" si="92"/>
        <v>7099153</v>
      </c>
      <c r="H39" s="221">
        <f t="shared" si="92"/>
        <v>7443541</v>
      </c>
      <c r="I39" s="221">
        <f t="shared" si="92"/>
        <v>198025.72</v>
      </c>
      <c r="J39" s="221">
        <f t="shared" ref="J39:R39" si="93">J12+J23</f>
        <v>513325.36</v>
      </c>
      <c r="K39" s="221">
        <f t="shared" si="93"/>
        <v>758072.63</v>
      </c>
      <c r="L39" s="221">
        <f t="shared" si="93"/>
        <v>1085774.6299999999</v>
      </c>
      <c r="M39" s="221">
        <f t="shared" si="93"/>
        <v>1392022.6700000002</v>
      </c>
      <c r="N39" s="221">
        <f t="shared" si="93"/>
        <v>1588218.1700000002</v>
      </c>
      <c r="O39" s="221">
        <f t="shared" si="93"/>
        <v>1952130.8699999999</v>
      </c>
      <c r="P39" s="221">
        <f t="shared" si="93"/>
        <v>2255961.5700000003</v>
      </c>
      <c r="Q39" s="221">
        <f t="shared" si="93"/>
        <v>2532105.12</v>
      </c>
      <c r="R39" s="221">
        <f t="shared" si="93"/>
        <v>3327625</v>
      </c>
      <c r="S39" s="221">
        <f>S12+S23</f>
        <v>3768977.29</v>
      </c>
      <c r="T39" s="221">
        <f>T12+T23</f>
        <v>7155574</v>
      </c>
      <c r="U39" s="221">
        <f>U12+U23</f>
        <v>223628</v>
      </c>
      <c r="V39" s="221">
        <f t="shared" ref="V39:AA39" si="94">V12+V23</f>
        <v>587159.91999999993</v>
      </c>
      <c r="W39" s="221">
        <f t="shared" si="94"/>
        <v>938338.48</v>
      </c>
      <c r="X39" s="221">
        <f t="shared" si="94"/>
        <v>1274319.8</v>
      </c>
      <c r="Y39" s="221">
        <f t="shared" si="94"/>
        <v>1532507.84</v>
      </c>
      <c r="Z39" s="221">
        <f t="shared" si="94"/>
        <v>1764390.24</v>
      </c>
      <c r="AA39" s="221">
        <f t="shared" si="94"/>
        <v>2028751.24</v>
      </c>
      <c r="AB39" s="221">
        <f t="shared" ref="AB39:AG39" si="95">AB12+AB23</f>
        <v>2327488</v>
      </c>
      <c r="AC39" s="221">
        <f t="shared" si="95"/>
        <v>2549605.66</v>
      </c>
      <c r="AD39" s="221">
        <f t="shared" si="95"/>
        <v>2624025.3400000003</v>
      </c>
      <c r="AE39" s="221">
        <f t="shared" si="95"/>
        <v>3390989.12</v>
      </c>
      <c r="AF39" s="221">
        <f t="shared" si="95"/>
        <v>3975272.27</v>
      </c>
      <c r="AG39" s="221">
        <f t="shared" si="95"/>
        <v>7962963</v>
      </c>
      <c r="AH39" s="221">
        <f t="shared" ref="AH39:AO39" si="96">AH12+AH23</f>
        <v>201929</v>
      </c>
      <c r="AI39" s="221">
        <f t="shared" si="96"/>
        <v>501098</v>
      </c>
      <c r="AJ39" s="221">
        <f t="shared" si="96"/>
        <v>780147.49</v>
      </c>
      <c r="AK39" s="221">
        <f t="shared" si="96"/>
        <v>1042800.69</v>
      </c>
      <c r="AL39" s="221">
        <f t="shared" si="96"/>
        <v>1233693.25</v>
      </c>
      <c r="AM39" s="221">
        <f t="shared" si="96"/>
        <v>1499942.01</v>
      </c>
      <c r="AN39" s="221">
        <f t="shared" si="96"/>
        <v>1903975.25</v>
      </c>
      <c r="AO39" s="221">
        <f t="shared" si="96"/>
        <v>2167000.9900000002</v>
      </c>
      <c r="AP39" s="221">
        <f t="shared" ref="AP39:AV39" si="97">AP12+AP23</f>
        <v>2374935.0100000002</v>
      </c>
      <c r="AQ39" s="221">
        <f t="shared" si="97"/>
        <v>2853842.05</v>
      </c>
      <c r="AR39" s="221">
        <f t="shared" si="97"/>
        <v>3575061.0999999996</v>
      </c>
      <c r="AS39" s="221">
        <f t="shared" si="97"/>
        <v>7706000</v>
      </c>
      <c r="AT39" s="221">
        <f t="shared" si="97"/>
        <v>172582</v>
      </c>
      <c r="AU39" s="221">
        <f t="shared" si="97"/>
        <v>638793</v>
      </c>
      <c r="AV39" s="221">
        <f t="shared" si="97"/>
        <v>1088766.57</v>
      </c>
      <c r="AW39" s="221">
        <f t="shared" ref="AW39:BB39" si="98">AW12+AW23</f>
        <v>1397204.4</v>
      </c>
      <c r="AX39" s="221">
        <f t="shared" si="98"/>
        <v>1745589.4</v>
      </c>
      <c r="AY39" s="221">
        <f t="shared" si="98"/>
        <v>1847348.42</v>
      </c>
      <c r="AZ39" s="221">
        <f t="shared" si="98"/>
        <v>2277762.42</v>
      </c>
      <c r="BA39" s="221">
        <f t="shared" si="98"/>
        <v>2643284.42</v>
      </c>
      <c r="BB39" s="221">
        <f t="shared" si="98"/>
        <v>2742896.1</v>
      </c>
      <c r="BC39" s="221">
        <f t="shared" ref="BC39:BR39" si="99">BC12+BC23</f>
        <v>3223988.1</v>
      </c>
      <c r="BD39" s="221">
        <f t="shared" si="99"/>
        <v>3770592.1</v>
      </c>
      <c r="BE39" s="221">
        <f t="shared" si="99"/>
        <v>4289141.8499999996</v>
      </c>
      <c r="BF39" s="221">
        <f t="shared" si="99"/>
        <v>7827897</v>
      </c>
      <c r="BG39" s="221">
        <f t="shared" si="99"/>
        <v>324582</v>
      </c>
      <c r="BH39" s="221">
        <f t="shared" si="99"/>
        <v>947293</v>
      </c>
      <c r="BI39" s="221">
        <f t="shared" si="99"/>
        <v>1204678</v>
      </c>
      <c r="BJ39" s="221">
        <f t="shared" si="99"/>
        <v>1575437</v>
      </c>
      <c r="BK39" s="221">
        <f t="shared" si="99"/>
        <v>1918604</v>
      </c>
      <c r="BL39" s="221">
        <f t="shared" si="99"/>
        <v>2318655</v>
      </c>
      <c r="BM39" s="221">
        <f t="shared" si="99"/>
        <v>2583147</v>
      </c>
      <c r="BN39" s="221">
        <f t="shared" si="99"/>
        <v>2826095</v>
      </c>
      <c r="BO39" s="221">
        <f t="shared" si="99"/>
        <v>3196528</v>
      </c>
      <c r="BP39" s="221">
        <f t="shared" si="99"/>
        <v>3723284</v>
      </c>
      <c r="BQ39" s="221">
        <f t="shared" si="99"/>
        <v>4047158</v>
      </c>
      <c r="BR39" s="221">
        <f t="shared" si="99"/>
        <v>4850802.55</v>
      </c>
      <c r="BS39" s="221">
        <f t="shared" ref="BS39:BW39" si="100">BS12+BS23</f>
        <v>8754371</v>
      </c>
      <c r="BT39" s="221">
        <f t="shared" si="100"/>
        <v>275706</v>
      </c>
      <c r="BU39" s="221">
        <f t="shared" si="100"/>
        <v>740865</v>
      </c>
      <c r="BV39" s="221">
        <f t="shared" si="100"/>
        <v>1021518.92</v>
      </c>
      <c r="BW39" s="221">
        <f t="shared" si="100"/>
        <v>1330238.92</v>
      </c>
      <c r="BX39" s="221">
        <f>BX12+BX23</f>
        <v>1797459.92</v>
      </c>
      <c r="BY39" s="221">
        <f>BY12+BY23</f>
        <v>2061104.92</v>
      </c>
      <c r="BZ39" s="221">
        <f>BZ12+BZ23</f>
        <v>3248502.92</v>
      </c>
      <c r="CA39" s="221">
        <f>CA12+CA23</f>
        <v>3625379.87</v>
      </c>
      <c r="CB39" s="221">
        <f>CB12+CB23</f>
        <v>4066319.37</v>
      </c>
    </row>
    <row r="44" spans="1:80">
      <c r="AT44" s="274">
        <f>AT37-164292468.04</f>
        <v>-164249770.20999998</v>
      </c>
    </row>
  </sheetData>
  <phoneticPr fontId="39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4"/>
  <sheetViews>
    <sheetView workbookViewId="0">
      <selection activeCell="D17" sqref="D17"/>
    </sheetView>
  </sheetViews>
  <sheetFormatPr defaultRowHeight="14.45"/>
  <cols>
    <col min="1" max="1" width="53.85546875" customWidth="1"/>
    <col min="2" max="2" width="18" bestFit="1" customWidth="1"/>
    <col min="3" max="3" width="19" bestFit="1" customWidth="1"/>
    <col min="4" max="4" width="21" bestFit="1" customWidth="1"/>
    <col min="5" max="6" width="19" bestFit="1" customWidth="1"/>
    <col min="7" max="7" width="26.5703125" customWidth="1"/>
  </cols>
  <sheetData>
    <row r="1" spans="1:7">
      <c r="A1" s="406" t="s">
        <v>103</v>
      </c>
      <c r="B1" s="407"/>
      <c r="C1" s="407"/>
      <c r="D1" s="407"/>
      <c r="E1" s="407"/>
      <c r="F1" s="408"/>
      <c r="G1" s="409"/>
    </row>
    <row r="2" spans="1:7">
      <c r="A2" s="410" t="s">
        <v>104</v>
      </c>
      <c r="B2" s="411"/>
      <c r="C2" s="411"/>
      <c r="D2" s="411"/>
      <c r="E2" s="411"/>
      <c r="F2" s="412"/>
      <c r="G2" s="413"/>
    </row>
    <row r="3" spans="1:7">
      <c r="A3" s="249"/>
      <c r="B3" s="404" t="s">
        <v>105</v>
      </c>
      <c r="C3" s="256" t="s">
        <v>106</v>
      </c>
      <c r="D3" s="414" t="s">
        <v>107</v>
      </c>
      <c r="E3" s="415"/>
      <c r="F3" s="416" t="s">
        <v>66</v>
      </c>
      <c r="G3" s="402" t="s">
        <v>108</v>
      </c>
    </row>
    <row r="4" spans="1:7" ht="28.9">
      <c r="A4" s="43"/>
      <c r="B4" s="405"/>
      <c r="C4" s="223">
        <v>2018</v>
      </c>
      <c r="D4" s="224" t="s">
        <v>109</v>
      </c>
      <c r="E4" s="225" t="s">
        <v>110</v>
      </c>
      <c r="F4" s="417"/>
      <c r="G4" s="403"/>
    </row>
    <row r="5" spans="1:7">
      <c r="A5" s="395" t="s">
        <v>111</v>
      </c>
      <c r="B5" s="396"/>
      <c r="C5" s="396"/>
      <c r="D5" s="396"/>
      <c r="E5" s="396"/>
      <c r="F5" s="397"/>
      <c r="G5" s="398"/>
    </row>
    <row r="6" spans="1:7">
      <c r="A6" s="239" t="s">
        <v>112</v>
      </c>
      <c r="B6" s="240" t="s">
        <v>113</v>
      </c>
      <c r="C6" s="261">
        <v>4057843000</v>
      </c>
      <c r="D6" s="261">
        <v>3934092558.7950001</v>
      </c>
      <c r="E6" s="261">
        <v>4252451960.625</v>
      </c>
      <c r="F6" s="261">
        <f>F33</f>
        <v>18417388</v>
      </c>
      <c r="G6" s="261">
        <v>85755077156.473999</v>
      </c>
    </row>
    <row r="7" spans="1:7">
      <c r="A7" s="239" t="s">
        <v>114</v>
      </c>
      <c r="B7" s="241" t="s">
        <v>115</v>
      </c>
      <c r="C7" s="262">
        <v>0.12567652466497223</v>
      </c>
      <c r="D7" s="262">
        <v>0.11408248238907637</v>
      </c>
      <c r="E7" s="262">
        <v>0.11481093518842959</v>
      </c>
      <c r="F7" s="262">
        <f>F6/F29</f>
        <v>0.2586005113743004</v>
      </c>
      <c r="G7" s="262">
        <v>0.15609441564063267</v>
      </c>
    </row>
    <row r="8" spans="1:7">
      <c r="A8" s="239" t="s">
        <v>116</v>
      </c>
      <c r="B8" s="241" t="s">
        <v>117</v>
      </c>
      <c r="C8" s="255">
        <v>7.939347116474714E-2</v>
      </c>
      <c r="D8" s="255">
        <v>6.4591681395525E-2</v>
      </c>
      <c r="E8" s="255">
        <v>6.7244176471871406E-2</v>
      </c>
      <c r="F8" s="262">
        <f>F34/F29</f>
        <v>7.6538578495480528E-2</v>
      </c>
      <c r="G8" s="262">
        <v>9.1531093473091296E-2</v>
      </c>
    </row>
    <row r="9" spans="1:7">
      <c r="A9" s="395" t="s">
        <v>118</v>
      </c>
      <c r="B9" s="396"/>
      <c r="C9" s="396"/>
      <c r="D9" s="396"/>
      <c r="E9" s="396"/>
      <c r="F9" s="397"/>
      <c r="G9" s="398"/>
    </row>
    <row r="10" spans="1:7">
      <c r="A10" s="239" t="s">
        <v>119</v>
      </c>
      <c r="B10" s="240" t="s">
        <v>120</v>
      </c>
      <c r="C10" s="255">
        <v>0</v>
      </c>
      <c r="D10" s="255">
        <v>5.4329847368460672E-2</v>
      </c>
      <c r="E10" s="255">
        <v>4.7637751786981562E-2</v>
      </c>
      <c r="F10" s="255">
        <f>F35/F32</f>
        <v>0</v>
      </c>
      <c r="G10" s="255">
        <v>7.4348009968905268E-2</v>
      </c>
    </row>
    <row r="11" spans="1:7">
      <c r="A11" s="239" t="s">
        <v>121</v>
      </c>
      <c r="B11" s="240" t="s">
        <v>122</v>
      </c>
      <c r="C11" s="262">
        <v>3.5863732015568014E-2</v>
      </c>
      <c r="D11" s="262">
        <v>3.5724113719546605E-2</v>
      </c>
      <c r="E11" s="262">
        <v>3.7274684303679397E-2</v>
      </c>
      <c r="F11" s="262">
        <f>F36/F29</f>
        <v>0.2565796591232084</v>
      </c>
      <c r="G11" s="262">
        <v>0.10558072758579623</v>
      </c>
    </row>
    <row r="12" spans="1:7">
      <c r="A12" s="239" t="s">
        <v>123</v>
      </c>
      <c r="B12" s="240" t="s">
        <v>120</v>
      </c>
      <c r="C12" s="242">
        <v>0</v>
      </c>
      <c r="D12" s="242">
        <v>2.4842843896891877E-2</v>
      </c>
      <c r="E12" s="242">
        <v>2.3590605458073042E-2</v>
      </c>
      <c r="F12" s="242">
        <f>F38/F31</f>
        <v>0.33978324184691083</v>
      </c>
      <c r="G12" s="242">
        <v>3.4793573937293563E-2</v>
      </c>
    </row>
    <row r="13" spans="1:7">
      <c r="A13" s="243" t="s">
        <v>124</v>
      </c>
      <c r="B13" s="240" t="s">
        <v>125</v>
      </c>
      <c r="C13" s="254">
        <v>0</v>
      </c>
      <c r="D13" s="254">
        <v>0.16950928215940569</v>
      </c>
      <c r="E13" s="254">
        <v>0.15682039721196223</v>
      </c>
      <c r="F13" s="254">
        <f>F38/F33</f>
        <v>0.88210955864099727</v>
      </c>
      <c r="G13" s="254">
        <v>0.15319581944703795</v>
      </c>
    </row>
    <row r="14" spans="1:7">
      <c r="A14" s="395" t="s">
        <v>126</v>
      </c>
      <c r="B14" s="396"/>
      <c r="C14" s="396"/>
      <c r="D14" s="396"/>
      <c r="E14" s="396"/>
      <c r="F14" s="397"/>
      <c r="G14" s="398"/>
    </row>
    <row r="15" spans="1:7">
      <c r="A15" s="239" t="s">
        <v>127</v>
      </c>
      <c r="B15" s="240"/>
      <c r="C15" s="255">
        <v>0.15191120603145614</v>
      </c>
      <c r="D15" s="255">
        <v>0.11822951769172337</v>
      </c>
      <c r="E15" s="255">
        <v>0.14554509630234633</v>
      </c>
      <c r="F15" s="255">
        <f>F48/F32</f>
        <v>0.10719588421328735</v>
      </c>
      <c r="G15" s="255">
        <v>0.16355248817800369</v>
      </c>
    </row>
    <row r="16" spans="1:7">
      <c r="A16" s="239" t="s">
        <v>128</v>
      </c>
      <c r="B16" s="240"/>
      <c r="C16" s="255">
        <v>0.75439891938219117</v>
      </c>
      <c r="D16" s="255">
        <v>0.75528665926855931</v>
      </c>
      <c r="E16" s="255">
        <v>0.71866389954127208</v>
      </c>
      <c r="F16" s="255">
        <f>F49/F44</f>
        <v>0.86503125066197517</v>
      </c>
      <c r="G16" s="255">
        <v>0.70158636091463378</v>
      </c>
    </row>
    <row r="17" spans="1:9">
      <c r="A17" s="239" t="s">
        <v>129</v>
      </c>
      <c r="B17" s="240"/>
      <c r="C17" s="254">
        <v>2.7896699632328412E-2</v>
      </c>
      <c r="D17" s="254">
        <v>2.0089744462633077E-2</v>
      </c>
      <c r="E17" s="254">
        <v>3.1914695778920928E-2</v>
      </c>
      <c r="F17" s="254">
        <f>F50/F30</f>
        <v>3.5711620921317473E-5</v>
      </c>
      <c r="G17" s="254">
        <v>3.8444701921891138E-2</v>
      </c>
    </row>
    <row r="18" spans="1:9">
      <c r="A18" s="243" t="s">
        <v>130</v>
      </c>
      <c r="B18" s="244"/>
      <c r="C18" s="254">
        <v>0.25221238938053098</v>
      </c>
      <c r="D18" s="254">
        <v>0.25235898336566515</v>
      </c>
      <c r="E18" s="254">
        <v>0.24257735301328517</v>
      </c>
      <c r="F18" s="254">
        <f>F47/F45</f>
        <v>0.78662186289441161</v>
      </c>
      <c r="G18" s="254">
        <v>0.31925833057103398</v>
      </c>
    </row>
    <row r="19" spans="1:9">
      <c r="A19" s="395" t="s">
        <v>131</v>
      </c>
      <c r="B19" s="396"/>
      <c r="C19" s="396"/>
      <c r="D19" s="396"/>
      <c r="E19" s="396"/>
      <c r="F19" s="397"/>
      <c r="G19" s="398"/>
    </row>
    <row r="20" spans="1:9">
      <c r="A20" s="239" t="s">
        <v>132</v>
      </c>
      <c r="B20" s="245" t="s">
        <v>133</v>
      </c>
      <c r="C20" s="262">
        <v>0.22714377726005494</v>
      </c>
      <c r="D20" s="262">
        <v>0.72775005972782347</v>
      </c>
      <c r="E20" s="262">
        <v>0.53145528916848561</v>
      </c>
      <c r="F20" s="262">
        <f>F40/F41</f>
        <v>0.23505702068141052</v>
      </c>
      <c r="G20" s="262">
        <v>0.55040229586479805</v>
      </c>
      <c r="I20" s="195"/>
    </row>
    <row r="21" spans="1:9">
      <c r="A21" s="239" t="s">
        <v>134</v>
      </c>
      <c r="B21" s="240" t="s">
        <v>135</v>
      </c>
      <c r="C21" s="262">
        <v>1.020404023229067E-2</v>
      </c>
      <c r="D21" s="262">
        <v>0</v>
      </c>
      <c r="E21" s="262">
        <v>0</v>
      </c>
      <c r="F21" s="262">
        <f>F42/F29</f>
        <v>0</v>
      </c>
      <c r="G21" s="262">
        <v>3.9104229608170366E-2</v>
      </c>
      <c r="I21" s="227"/>
    </row>
    <row r="22" spans="1:9">
      <c r="A22" s="239" t="s">
        <v>136</v>
      </c>
      <c r="B22" s="240"/>
      <c r="C22" s="262">
        <v>6.0313562362729556E-2</v>
      </c>
      <c r="D22" s="262">
        <v>0.18011195963077606</v>
      </c>
      <c r="E22" s="262">
        <v>0.14005066561964608</v>
      </c>
      <c r="F22" s="262">
        <f>F40/F29</f>
        <v>0.14422412684219146</v>
      </c>
      <c r="G22" s="262">
        <v>0.11043073047162359</v>
      </c>
    </row>
    <row r="23" spans="1:9">
      <c r="A23" s="395" t="s">
        <v>137</v>
      </c>
      <c r="B23" s="396"/>
      <c r="C23" s="396"/>
      <c r="D23" s="396"/>
      <c r="E23" s="396"/>
      <c r="F23" s="397"/>
      <c r="G23" s="398"/>
    </row>
    <row r="24" spans="1:9">
      <c r="A24" s="246" t="s">
        <v>138</v>
      </c>
      <c r="B24" s="244" t="s">
        <v>139</v>
      </c>
      <c r="C24" s="254">
        <v>0.79999742938513219</v>
      </c>
      <c r="D24" s="254">
        <v>0.78004370176864635</v>
      </c>
      <c r="E24" s="254">
        <v>0.82085193072931428</v>
      </c>
      <c r="F24" s="254">
        <f>F32/F29</f>
        <v>0.42107490373031065</v>
      </c>
      <c r="G24" s="254">
        <v>0.75950447914329211</v>
      </c>
    </row>
    <row r="25" spans="1:9">
      <c r="A25" s="246" t="s">
        <v>140</v>
      </c>
      <c r="B25" s="247" t="s">
        <v>141</v>
      </c>
      <c r="C25" s="254">
        <v>1.0373556354194142</v>
      </c>
      <c r="D25" s="254">
        <v>1.0020924674729887</v>
      </c>
      <c r="E25" s="254">
        <v>1.0755190502537706</v>
      </c>
      <c r="F25" s="254">
        <f>F32/F31</f>
        <v>0.62720484732194115</v>
      </c>
      <c r="G25" s="254">
        <v>1.1050835145534323</v>
      </c>
    </row>
    <row r="26" spans="1:9">
      <c r="A26" s="246" t="s">
        <v>142</v>
      </c>
      <c r="B26" s="247"/>
      <c r="C26" s="254">
        <v>0.18797700512029003</v>
      </c>
      <c r="D26" s="254">
        <v>3.4489796241056907E-2</v>
      </c>
      <c r="E26" s="254">
        <v>3.3529933949658523E-2</v>
      </c>
      <c r="F26" s="254">
        <f>F38/F29</f>
        <v>0.22811398295272034</v>
      </c>
      <c r="G26" s="254">
        <v>5.9615079282689193E-2</v>
      </c>
    </row>
    <row r="27" spans="1:9">
      <c r="A27" s="246" t="s">
        <v>143</v>
      </c>
      <c r="B27" s="248"/>
      <c r="C27" s="254">
        <v>0.49156614829115142</v>
      </c>
      <c r="D27" s="254">
        <v>0.49594541357881816</v>
      </c>
      <c r="E27" s="254">
        <v>0.47078016782048138</v>
      </c>
      <c r="F27" s="254">
        <f>F46/F44</f>
        <v>4.8458487160532322E-3</v>
      </c>
      <c r="G27" s="254">
        <v>0.31522369755498014</v>
      </c>
    </row>
    <row r="28" spans="1:9">
      <c r="A28" s="395" t="s">
        <v>144</v>
      </c>
      <c r="B28" s="396"/>
      <c r="C28" s="396">
        <v>2015</v>
      </c>
      <c r="D28" s="396">
        <v>2016</v>
      </c>
      <c r="E28" s="396">
        <v>2017</v>
      </c>
      <c r="F28" s="397"/>
      <c r="G28" s="398" t="s">
        <v>145</v>
      </c>
    </row>
    <row r="29" spans="1:9">
      <c r="A29" s="196" t="s">
        <v>35</v>
      </c>
      <c r="B29" s="250"/>
      <c r="C29" s="263">
        <v>32287995000</v>
      </c>
      <c r="D29" s="263">
        <v>34484633191.779999</v>
      </c>
      <c r="E29" s="263">
        <v>37038736368.150002</v>
      </c>
      <c r="F29" s="263">
        <f>'Evolutive SFP'!AH27</f>
        <v>71219457</v>
      </c>
      <c r="G29" s="199">
        <v>549379532922.58099</v>
      </c>
    </row>
    <row r="30" spans="1:9">
      <c r="A30" s="196" t="s">
        <v>146</v>
      </c>
      <c r="B30" s="250"/>
      <c r="C30" s="263">
        <v>30426610000</v>
      </c>
      <c r="D30" s="263">
        <v>32935176890.91</v>
      </c>
      <c r="E30" s="263">
        <v>34818535526.945</v>
      </c>
      <c r="F30" s="263">
        <f>(C29+F29)/2</f>
        <v>16179607228.5</v>
      </c>
      <c r="G30" s="199">
        <v>521751637377.84802</v>
      </c>
    </row>
    <row r="31" spans="1:9">
      <c r="A31" s="196" t="s">
        <v>147</v>
      </c>
      <c r="B31" s="250"/>
      <c r="C31" s="199">
        <v>24900152000</v>
      </c>
      <c r="D31" s="199">
        <v>26843352087.939999</v>
      </c>
      <c r="E31" s="199">
        <v>28268507426.619999</v>
      </c>
      <c r="F31" s="199">
        <f>'Evolutive SFP'!AH31</f>
        <v>47813288</v>
      </c>
      <c r="G31" s="199">
        <v>377578898345.03998</v>
      </c>
    </row>
    <row r="32" spans="1:9">
      <c r="A32" s="196" t="s">
        <v>148</v>
      </c>
      <c r="B32" s="250"/>
      <c r="C32" s="200">
        <v>25830313000</v>
      </c>
      <c r="D32" s="200">
        <v>26899520929.049999</v>
      </c>
      <c r="E32" s="200">
        <v>30403318259.57</v>
      </c>
      <c r="F32" s="200">
        <f>'Evolutive SFP'!AH15</f>
        <v>29988726</v>
      </c>
      <c r="G32" s="199">
        <v>417256216004.34998</v>
      </c>
    </row>
    <row r="33" spans="1:7">
      <c r="A33" s="196" t="s">
        <v>149</v>
      </c>
      <c r="B33" s="250"/>
      <c r="C33" s="263">
        <v>4057843000</v>
      </c>
      <c r="D33" s="263">
        <v>3934092558.7950001</v>
      </c>
      <c r="E33" s="263">
        <v>4252451960.625</v>
      </c>
      <c r="F33" s="263">
        <f>Financials!AS11</f>
        <v>18417388</v>
      </c>
      <c r="G33" s="199">
        <v>85755077156.473999</v>
      </c>
    </row>
    <row r="34" spans="1:7">
      <c r="A34" s="196" t="s">
        <v>150</v>
      </c>
      <c r="B34" s="250"/>
      <c r="C34" s="263">
        <v>2563456000</v>
      </c>
      <c r="D34" s="263">
        <v>2227420440.165</v>
      </c>
      <c r="E34" s="263">
        <v>2490639324.6350002</v>
      </c>
      <c r="F34" s="263">
        <f>Financials!AS12</f>
        <v>5451036</v>
      </c>
      <c r="G34" s="199">
        <v>50285309380.139999</v>
      </c>
    </row>
    <row r="35" spans="1:7">
      <c r="A35" s="196" t="s">
        <v>151</v>
      </c>
      <c r="B35" s="250"/>
      <c r="C35" s="199">
        <v>0</v>
      </c>
      <c r="D35" s="199">
        <v>1461446866.3599999</v>
      </c>
      <c r="E35" s="199">
        <v>1448345728.75</v>
      </c>
      <c r="F35" s="199"/>
      <c r="G35" s="199">
        <v>31022169307.079102</v>
      </c>
    </row>
    <row r="36" spans="1:7">
      <c r="A36" s="196" t="s">
        <v>121</v>
      </c>
      <c r="B36" s="250"/>
      <c r="C36" s="200">
        <v>1157968000</v>
      </c>
      <c r="D36" s="200">
        <v>1231932957.72</v>
      </c>
      <c r="E36" s="200">
        <v>1380607205.1300001</v>
      </c>
      <c r="F36" s="200">
        <f>Financials!AS34</f>
        <v>18273464</v>
      </c>
      <c r="G36" s="199">
        <v>58003890806.710999</v>
      </c>
    </row>
    <row r="37" spans="1:7">
      <c r="A37" s="196" t="s">
        <v>31</v>
      </c>
      <c r="B37" s="250"/>
      <c r="C37" s="263">
        <v>320370000</v>
      </c>
      <c r="D37" s="263">
        <v>303851448.54000002</v>
      </c>
      <c r="E37" s="263">
        <v>301707498.67000002</v>
      </c>
      <c r="F37" s="200">
        <f>Financials!AS35</f>
        <v>16218800</v>
      </c>
      <c r="G37" s="199">
        <v>17808789765.341</v>
      </c>
    </row>
    <row r="38" spans="1:7">
      <c r="A38" s="196" t="s">
        <v>152</v>
      </c>
      <c r="B38" s="250"/>
      <c r="C38" s="263">
        <v>0</v>
      </c>
      <c r="D38" s="263">
        <v>666865205.59000003</v>
      </c>
      <c r="E38" s="263">
        <v>666871205.59000003</v>
      </c>
      <c r="F38" s="263">
        <f>'Evolutive SFP'!AH12+'Evolutive SFP'!AH13</f>
        <v>16246154</v>
      </c>
      <c r="G38" s="199">
        <v>13137319316.73</v>
      </c>
    </row>
    <row r="39" spans="1:7">
      <c r="A39" s="196" t="s">
        <v>153</v>
      </c>
      <c r="B39" s="250"/>
      <c r="C39" s="263">
        <v>4680656000</v>
      </c>
      <c r="D39" s="263">
        <v>925821743.94000006</v>
      </c>
      <c r="E39" s="263">
        <v>947841186.87</v>
      </c>
      <c r="F39" s="263">
        <f>'Evolutive SFP'!AH8</f>
        <v>16246154</v>
      </c>
      <c r="G39" s="199">
        <v>22509395960.310001</v>
      </c>
    </row>
    <row r="40" spans="1:7">
      <c r="A40" s="196" t="s">
        <v>154</v>
      </c>
      <c r="B40" s="250"/>
      <c r="C40" s="263">
        <v>1947404000</v>
      </c>
      <c r="D40" s="263">
        <v>6211094861.3199997</v>
      </c>
      <c r="E40" s="263">
        <v>5187299682.0699997</v>
      </c>
      <c r="F40" s="263">
        <f>'Evolutive SFP'!AH4+'Evolutive SFP'!AH11+'Evolutive SFP'!AH10+'Evolutive SFP'!AH9</f>
        <v>10271564</v>
      </c>
      <c r="G40" s="199">
        <v>60668383126.800003</v>
      </c>
    </row>
    <row r="41" spans="1:7">
      <c r="A41" s="196" t="s">
        <v>155</v>
      </c>
      <c r="B41" s="250"/>
      <c r="C41" s="263">
        <v>8573442000</v>
      </c>
      <c r="D41" s="263">
        <v>8534653866.8000002</v>
      </c>
      <c r="E41" s="263">
        <v>9760557073.7399998</v>
      </c>
      <c r="F41" s="263">
        <f>'Evolutive SFP'!AH29+'Evolutive SFP'!AH30+'Evolutive SFP'!AH33+'Evolutive SFP'!AH34+'Evolutive SFP'!AH35+'Evolutive SFP'!AH36+'Evolutive SFP'!AH37</f>
        <v>43698180</v>
      </c>
      <c r="G41" s="199">
        <v>110225527005.619</v>
      </c>
    </row>
    <row r="42" spans="1:7">
      <c r="A42" s="196" t="s">
        <v>156</v>
      </c>
      <c r="B42" s="250"/>
      <c r="C42" s="263">
        <v>329468000</v>
      </c>
      <c r="D42" s="263">
        <v>0</v>
      </c>
      <c r="E42" s="263">
        <v>0</v>
      </c>
      <c r="F42" s="263">
        <f>'Evolutive SFP'!AH37</f>
        <v>0</v>
      </c>
      <c r="G42" s="199">
        <v>21483063397.433998</v>
      </c>
    </row>
    <row r="43" spans="1:7">
      <c r="A43" s="196" t="s">
        <v>157</v>
      </c>
      <c r="B43" s="250"/>
      <c r="C43" s="263">
        <v>24572016000</v>
      </c>
      <c r="D43" s="263">
        <v>25854910046.814999</v>
      </c>
      <c r="E43" s="263">
        <v>28116815764.915001</v>
      </c>
      <c r="F43" s="263">
        <f>(C43+F32)/2</f>
        <v>12301002363</v>
      </c>
      <c r="G43" s="199">
        <v>394279646458.67999</v>
      </c>
    </row>
    <row r="44" spans="1:7">
      <c r="A44" s="196" t="s">
        <v>158</v>
      </c>
      <c r="B44" s="250"/>
      <c r="C44" s="263">
        <v>4601812000</v>
      </c>
      <c r="D44" s="263">
        <v>3667447515.0700002</v>
      </c>
      <c r="E44" s="263">
        <v>5236445384.25</v>
      </c>
      <c r="F44" s="263">
        <f>'Evolutitve SCI'!AG3</f>
        <v>9205405</v>
      </c>
      <c r="G44" s="199">
        <v>80901352029.100006</v>
      </c>
    </row>
    <row r="45" spans="1:7">
      <c r="A45" s="196" t="s">
        <v>159</v>
      </c>
      <c r="B45" s="250"/>
      <c r="C45" s="263">
        <v>2290844000</v>
      </c>
      <c r="D45" s="263">
        <v>1822986659.8199999</v>
      </c>
      <c r="E45" s="263">
        <v>2743444185.1799998</v>
      </c>
      <c r="F45" s="263">
        <f>'Evolutitve SCI'!AG19</f>
        <v>5822724</v>
      </c>
      <c r="G45" s="199">
        <v>48226248246.550003</v>
      </c>
    </row>
    <row r="46" spans="1:7">
      <c r="A46" s="196" t="s">
        <v>160</v>
      </c>
      <c r="B46" s="250"/>
      <c r="C46" s="263">
        <v>2262095000</v>
      </c>
      <c r="D46" s="263">
        <v>1818853774.6400001</v>
      </c>
      <c r="E46" s="263">
        <v>2465214636.7800002</v>
      </c>
      <c r="F46" s="263">
        <f>'Evolutitve SCI'!AG14+'Evolutitve SCI'!AG16</f>
        <v>44608</v>
      </c>
      <c r="G46" s="199">
        <v>25502023323.810001</v>
      </c>
    </row>
    <row r="47" spans="1:7">
      <c r="A47" s="196" t="s">
        <v>161</v>
      </c>
      <c r="B47" s="250"/>
      <c r="C47" s="263">
        <v>1160634000</v>
      </c>
      <c r="D47" s="263">
        <v>925513326.45000005</v>
      </c>
      <c r="E47" s="263">
        <v>1270243060.51</v>
      </c>
      <c r="F47" s="263">
        <f>'Evolutitve SCI'!AG23</f>
        <v>4580282</v>
      </c>
      <c r="G47" s="199">
        <v>25828430589.75</v>
      </c>
    </row>
    <row r="48" spans="1:7">
      <c r="A48" s="196" t="s">
        <v>162</v>
      </c>
      <c r="B48" s="250"/>
      <c r="C48" s="263">
        <v>3923914000</v>
      </c>
      <c r="D48" s="263">
        <v>3180317385.5799999</v>
      </c>
      <c r="E48" s="263">
        <v>4425053884</v>
      </c>
      <c r="F48" s="263">
        <f>'Evolutitve SCI'!AG4</f>
        <v>3214668</v>
      </c>
      <c r="G48" s="199">
        <v>68243292335.25</v>
      </c>
    </row>
    <row r="49" spans="1:7">
      <c r="A49" s="196" t="s">
        <v>102</v>
      </c>
      <c r="B49" s="250"/>
      <c r="C49" s="263">
        <v>3471602000</v>
      </c>
      <c r="D49" s="263">
        <v>2769974181.6999998</v>
      </c>
      <c r="E49" s="263">
        <v>3763244259.5799999</v>
      </c>
      <c r="F49" s="263">
        <f>'Evolutitve SCI'!AG23+'Evolutitve SCI'!AG12</f>
        <v>7962963</v>
      </c>
      <c r="G49" s="199">
        <v>56759285163.169998</v>
      </c>
    </row>
    <row r="50" spans="1:7">
      <c r="A50" s="196" t="s">
        <v>163</v>
      </c>
      <c r="B50" s="250"/>
      <c r="C50" s="263">
        <v>848802000</v>
      </c>
      <c r="D50" s="263">
        <v>661659287.57000005</v>
      </c>
      <c r="E50" s="263">
        <v>1111222968.8099999</v>
      </c>
      <c r="F50" s="263">
        <f>'Evolutitve SCI'!AG37</f>
        <v>577800</v>
      </c>
      <c r="G50" s="199">
        <v>20058586176.25</v>
      </c>
    </row>
    <row r="51" spans="1:7">
      <c r="A51" s="399" t="s">
        <v>164</v>
      </c>
      <c r="B51" s="400"/>
      <c r="C51" s="400"/>
      <c r="D51" s="400"/>
      <c r="E51" s="400"/>
      <c r="F51" s="400"/>
      <c r="G51" s="401"/>
    </row>
    <row r="52" spans="1:7">
      <c r="A52" s="229">
        <v>1</v>
      </c>
      <c r="B52" s="226"/>
      <c r="C52" s="230"/>
      <c r="D52" s="230"/>
      <c r="E52" s="230"/>
      <c r="F52" s="231"/>
      <c r="G52" s="232"/>
    </row>
    <row r="53" spans="1:7">
      <c r="A53" s="229">
        <v>2</v>
      </c>
      <c r="B53" s="226"/>
      <c r="C53" s="230"/>
      <c r="D53" s="230"/>
      <c r="E53" s="230"/>
      <c r="F53" s="231"/>
      <c r="G53" s="232"/>
    </row>
    <row r="54" spans="1:7">
      <c r="A54" s="229">
        <v>3</v>
      </c>
      <c r="B54" s="226"/>
      <c r="C54" s="230"/>
      <c r="D54" s="230"/>
      <c r="E54" s="230"/>
      <c r="F54" s="231"/>
      <c r="G54" s="232"/>
    </row>
    <row r="55" spans="1:7">
      <c r="A55" s="228">
        <v>4</v>
      </c>
      <c r="B55" s="230"/>
      <c r="C55" s="230"/>
      <c r="D55" s="230"/>
      <c r="E55" s="231"/>
      <c r="F55" s="231"/>
      <c r="G55" s="257"/>
    </row>
    <row r="56" spans="1:7">
      <c r="A56" s="251" t="s">
        <v>165</v>
      </c>
      <c r="B56" s="226"/>
      <c r="C56" s="392"/>
      <c r="D56" s="393"/>
      <c r="E56" s="393"/>
      <c r="F56" s="393"/>
      <c r="G56" s="394"/>
    </row>
    <row r="57" spans="1:7">
      <c r="A57" s="251"/>
      <c r="B57" s="226"/>
      <c r="C57" s="350"/>
      <c r="D57" s="350"/>
      <c r="E57" s="351"/>
      <c r="F57" s="351"/>
      <c r="G57" s="233"/>
    </row>
    <row r="58" spans="1:7">
      <c r="A58" s="252" t="s">
        <v>166</v>
      </c>
      <c r="B58" s="234"/>
      <c r="C58" s="392"/>
      <c r="D58" s="393"/>
      <c r="E58" s="393"/>
      <c r="F58" s="393"/>
      <c r="G58" s="394"/>
    </row>
    <row r="59" spans="1:7">
      <c r="A59" s="43"/>
      <c r="B59" s="226"/>
      <c r="C59" s="230"/>
      <c r="D59" s="230"/>
      <c r="E59" s="230"/>
      <c r="F59" s="231"/>
      <c r="G59" s="232"/>
    </row>
    <row r="60" spans="1:7">
      <c r="A60" s="251" t="s">
        <v>167</v>
      </c>
      <c r="B60" s="226"/>
      <c r="C60" s="392"/>
      <c r="D60" s="393"/>
      <c r="E60" s="393"/>
      <c r="F60" s="393"/>
      <c r="G60" s="394"/>
    </row>
    <row r="61" spans="1:7" ht="15" thickBot="1">
      <c r="A61" s="253"/>
      <c r="B61" s="235"/>
      <c r="C61" s="236"/>
      <c r="D61" s="236"/>
      <c r="E61" s="236"/>
      <c r="F61" s="237"/>
      <c r="G61" s="238"/>
    </row>
    <row r="62" spans="1:7">
      <c r="A62" s="258" t="s">
        <v>168</v>
      </c>
    </row>
    <row r="63" spans="1:7">
      <c r="A63" s="194"/>
    </row>
    <row r="64" spans="1:7">
      <c r="A64" s="194"/>
    </row>
  </sheetData>
  <mergeCells count="16">
    <mergeCell ref="G3:G4"/>
    <mergeCell ref="B3:B4"/>
    <mergeCell ref="A1:G1"/>
    <mergeCell ref="A2:G2"/>
    <mergeCell ref="C56:G56"/>
    <mergeCell ref="D3:E3"/>
    <mergeCell ref="F3:F4"/>
    <mergeCell ref="C58:G58"/>
    <mergeCell ref="C60:G60"/>
    <mergeCell ref="A9:G9"/>
    <mergeCell ref="A5:G5"/>
    <mergeCell ref="A28:G28"/>
    <mergeCell ref="A19:G19"/>
    <mergeCell ref="A23:G23"/>
    <mergeCell ref="A51:G51"/>
    <mergeCell ref="A14:G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91"/>
  <sheetViews>
    <sheetView topLeftCell="A174" workbookViewId="0">
      <selection activeCell="I186" sqref="I186"/>
    </sheetView>
  </sheetViews>
  <sheetFormatPr defaultRowHeight="14.45"/>
  <cols>
    <col min="2" max="2" width="19.42578125" customWidth="1"/>
    <col min="3" max="3" width="10.28515625" bestFit="1" customWidth="1"/>
    <col min="4" max="4" width="19.28515625" customWidth="1"/>
    <col min="5" max="5" width="15.28515625" bestFit="1" customWidth="1"/>
    <col min="6" max="6" width="16.7109375" customWidth="1"/>
    <col min="7" max="7" width="16.28515625" bestFit="1" customWidth="1"/>
    <col min="8" max="8" width="15.28515625" bestFit="1" customWidth="1"/>
    <col min="10" max="10" width="18" bestFit="1" customWidth="1"/>
    <col min="11" max="11" width="15.28515625" bestFit="1" customWidth="1"/>
  </cols>
  <sheetData>
    <row r="1" spans="2:6">
      <c r="D1" s="6">
        <v>42795</v>
      </c>
    </row>
    <row r="2" spans="2:6" ht="41.45">
      <c r="B2" s="1" t="s">
        <v>169</v>
      </c>
      <c r="C2" s="1" t="s">
        <v>170</v>
      </c>
      <c r="D2" s="1" t="s">
        <v>171</v>
      </c>
      <c r="E2" s="1" t="s">
        <v>172</v>
      </c>
      <c r="F2" s="1" t="s">
        <v>173</v>
      </c>
    </row>
    <row r="3" spans="2:6">
      <c r="B3" s="7" t="s">
        <v>174</v>
      </c>
      <c r="C3" s="163">
        <v>56175</v>
      </c>
      <c r="D3" s="164">
        <v>19937009805.419998</v>
      </c>
      <c r="E3" s="54">
        <v>0</v>
      </c>
      <c r="F3" s="9">
        <f>D3*E3</f>
        <v>0</v>
      </c>
    </row>
    <row r="4" spans="2:6">
      <c r="B4" s="7" t="s">
        <v>175</v>
      </c>
      <c r="C4" s="163">
        <v>342</v>
      </c>
      <c r="D4" s="164">
        <v>609646086.78999996</v>
      </c>
      <c r="E4" s="54">
        <v>0.05</v>
      </c>
      <c r="F4" s="9">
        <f>D4*E4</f>
        <v>30482304.339499999</v>
      </c>
    </row>
    <row r="5" spans="2:6">
      <c r="B5" s="7" t="s">
        <v>176</v>
      </c>
      <c r="C5" s="163">
        <v>721</v>
      </c>
      <c r="D5" s="164">
        <v>531767556.41000003</v>
      </c>
      <c r="E5" s="54">
        <v>0.25</v>
      </c>
      <c r="F5" s="9">
        <f>D5*E5</f>
        <v>132941889.10250001</v>
      </c>
    </row>
    <row r="6" spans="2:6">
      <c r="B6" s="7" t="s">
        <v>177</v>
      </c>
      <c r="C6" s="163">
        <v>182</v>
      </c>
      <c r="D6" s="164">
        <v>133021988.66</v>
      </c>
      <c r="E6" s="54">
        <v>0.5</v>
      </c>
      <c r="F6" s="9">
        <f>D6*E6</f>
        <v>66510994.329999998</v>
      </c>
    </row>
    <row r="7" spans="2:6">
      <c r="B7" s="7" t="s">
        <v>178</v>
      </c>
      <c r="C7" s="163">
        <v>285</v>
      </c>
      <c r="D7" s="164">
        <v>53640300.170000002</v>
      </c>
      <c r="E7" s="54">
        <v>1</v>
      </c>
      <c r="F7" s="9">
        <f>D7*E7</f>
        <v>53640300.170000002</v>
      </c>
    </row>
    <row r="8" spans="2:6">
      <c r="B8" s="8" t="s">
        <v>179</v>
      </c>
      <c r="C8" s="9">
        <f>SUM(C3:C7)</f>
        <v>57705</v>
      </c>
      <c r="D8" s="9">
        <f>SUM(D3:D7)</f>
        <v>21265085737.449997</v>
      </c>
      <c r="E8" s="9"/>
      <c r="F8" s="9">
        <f>SUM(F3:F7)</f>
        <v>283575487.94200003</v>
      </c>
    </row>
    <row r="10" spans="2:6">
      <c r="D10" s="6">
        <v>42887</v>
      </c>
    </row>
    <row r="11" spans="2:6" ht="41.45">
      <c r="B11" s="1" t="s">
        <v>169</v>
      </c>
      <c r="C11" s="1" t="s">
        <v>170</v>
      </c>
      <c r="D11" s="1" t="s">
        <v>171</v>
      </c>
      <c r="E11" s="1" t="s">
        <v>172</v>
      </c>
      <c r="F11" s="1" t="s">
        <v>173</v>
      </c>
    </row>
    <row r="12" spans="2:6">
      <c r="B12" s="7" t="s">
        <v>174</v>
      </c>
      <c r="C12" s="163">
        <v>52931</v>
      </c>
      <c r="D12" s="164">
        <v>20932768544.220001</v>
      </c>
      <c r="E12" s="54">
        <v>0.01</v>
      </c>
      <c r="F12" s="9">
        <f>D12*E12</f>
        <v>209327685.44220001</v>
      </c>
    </row>
    <row r="13" spans="2:6">
      <c r="B13" s="7" t="s">
        <v>175</v>
      </c>
      <c r="C13" s="163">
        <v>1072</v>
      </c>
      <c r="D13" s="164">
        <v>693028461.50999999</v>
      </c>
      <c r="E13" s="54">
        <v>0.05</v>
      </c>
      <c r="F13" s="9">
        <f>D13*E13</f>
        <v>34651423.075500004</v>
      </c>
    </row>
    <row r="14" spans="2:6">
      <c r="B14" s="7" t="s">
        <v>176</v>
      </c>
      <c r="C14" s="163">
        <v>237</v>
      </c>
      <c r="D14" s="164">
        <v>211014184.63</v>
      </c>
      <c r="E14" s="54">
        <v>0.25</v>
      </c>
      <c r="F14" s="9">
        <f>D14*E14</f>
        <v>52753546.157499999</v>
      </c>
    </row>
    <row r="15" spans="2:6">
      <c r="B15" s="7" t="s">
        <v>177</v>
      </c>
      <c r="C15" s="163">
        <v>75</v>
      </c>
      <c r="D15" s="164">
        <v>31560414.329999998</v>
      </c>
      <c r="E15" s="54">
        <v>0.5</v>
      </c>
      <c r="F15" s="9">
        <f>D15*E15</f>
        <v>15780207.164999999</v>
      </c>
    </row>
    <row r="16" spans="2:6">
      <c r="B16" s="7" t="s">
        <v>178</v>
      </c>
      <c r="C16" s="163">
        <v>16</v>
      </c>
      <c r="D16" s="164">
        <v>4449341.3099999996</v>
      </c>
      <c r="E16" s="54">
        <v>1</v>
      </c>
      <c r="F16" s="9">
        <f>D16*E16</f>
        <v>4449341.3099999996</v>
      </c>
    </row>
    <row r="17" spans="2:7">
      <c r="B17" s="8" t="s">
        <v>179</v>
      </c>
      <c r="C17" s="92">
        <f>SUM(C12:C16)</f>
        <v>54331</v>
      </c>
      <c r="D17" s="93">
        <f>SUM(D12:D16)</f>
        <v>21872820946.000004</v>
      </c>
      <c r="E17" s="9">
        <v>1.81</v>
      </c>
      <c r="F17" s="9">
        <f>SUM(F12:F16)</f>
        <v>316962203.15020001</v>
      </c>
    </row>
    <row r="18" spans="2:7">
      <c r="B18" s="165"/>
      <c r="C18" s="166" t="s">
        <v>180</v>
      </c>
      <c r="D18" s="166">
        <f>SUM(D14:D16)</f>
        <v>247023940.26999998</v>
      </c>
      <c r="E18" s="166"/>
      <c r="F18" s="166"/>
    </row>
    <row r="19" spans="2:7">
      <c r="B19" s="165"/>
      <c r="C19" t="s">
        <v>181</v>
      </c>
      <c r="D19" s="167">
        <f>D18/D17</f>
        <v>1.1293647988060476E-2</v>
      </c>
      <c r="E19" s="166"/>
      <c r="F19" s="166"/>
    </row>
    <row r="21" spans="2:7">
      <c r="D21" s="6">
        <v>42979</v>
      </c>
    </row>
    <row r="22" spans="2:7" ht="41.45">
      <c r="B22" s="1" t="s">
        <v>169</v>
      </c>
      <c r="C22" s="1" t="s">
        <v>170</v>
      </c>
      <c r="D22" s="1" t="s">
        <v>171</v>
      </c>
      <c r="E22" s="1" t="s">
        <v>172</v>
      </c>
      <c r="F22" s="1" t="s">
        <v>173</v>
      </c>
    </row>
    <row r="23" spans="2:7">
      <c r="B23" s="7" t="s">
        <v>174</v>
      </c>
      <c r="C23" s="163">
        <v>48840</v>
      </c>
      <c r="D23" s="164">
        <v>19551006671</v>
      </c>
      <c r="E23" s="54">
        <v>0.01</v>
      </c>
      <c r="F23" s="9"/>
    </row>
    <row r="24" spans="2:7">
      <c r="B24" s="7" t="s">
        <v>175</v>
      </c>
      <c r="C24" s="163">
        <v>2088</v>
      </c>
      <c r="D24" s="164">
        <v>1043706144.11</v>
      </c>
      <c r="E24" s="54">
        <v>0.05</v>
      </c>
      <c r="F24" s="9">
        <f>D24*E24</f>
        <v>52185307.205500007</v>
      </c>
    </row>
    <row r="25" spans="2:7">
      <c r="B25" s="7" t="s">
        <v>176</v>
      </c>
      <c r="C25" s="163">
        <v>4389</v>
      </c>
      <c r="D25" s="164">
        <v>1512518495.1099999</v>
      </c>
      <c r="E25" s="54">
        <v>0.25</v>
      </c>
      <c r="F25" s="9">
        <f>D25*E25</f>
        <v>378129623.77749997</v>
      </c>
      <c r="G25" s="27"/>
    </row>
    <row r="26" spans="2:7">
      <c r="B26" s="7" t="s">
        <v>177</v>
      </c>
      <c r="C26" s="163">
        <v>927</v>
      </c>
      <c r="D26" s="164">
        <v>421150238.88</v>
      </c>
      <c r="E26" s="54">
        <v>0.5</v>
      </c>
      <c r="F26" s="9">
        <f>D26*E26</f>
        <v>210575119.44</v>
      </c>
      <c r="G26" s="167"/>
    </row>
    <row r="27" spans="2:7">
      <c r="B27" s="7" t="s">
        <v>178</v>
      </c>
      <c r="C27" s="163">
        <v>1102</v>
      </c>
      <c r="D27" s="164">
        <v>229316298</v>
      </c>
      <c r="E27" s="54">
        <v>1</v>
      </c>
      <c r="F27" s="9">
        <f>D27*E27</f>
        <v>229316298</v>
      </c>
    </row>
    <row r="28" spans="2:7">
      <c r="B28" s="8" t="s">
        <v>179</v>
      </c>
      <c r="C28" s="9">
        <f>SUM(C23:C27)</f>
        <v>57346</v>
      </c>
      <c r="D28" s="9">
        <f>SUM(D23:D27)</f>
        <v>22757697847.100002</v>
      </c>
      <c r="E28" s="9"/>
      <c r="F28" s="9">
        <f>SUM(F23:F27)</f>
        <v>870206348.42299998</v>
      </c>
    </row>
    <row r="29" spans="2:7">
      <c r="B29" s="165"/>
      <c r="C29" s="166" t="s">
        <v>180</v>
      </c>
      <c r="D29" s="166">
        <f>SUM(D25:D27)</f>
        <v>2162985031.9899998</v>
      </c>
      <c r="E29" s="166"/>
      <c r="F29" s="166"/>
    </row>
    <row r="30" spans="2:7">
      <c r="C30" t="s">
        <v>181</v>
      </c>
      <c r="D30" s="167">
        <f>D29/D28</f>
        <v>9.5044105362600523E-2</v>
      </c>
    </row>
    <row r="31" spans="2:7">
      <c r="D31" s="167"/>
    </row>
    <row r="32" spans="2:7">
      <c r="D32" s="6">
        <v>43070</v>
      </c>
    </row>
    <row r="33" spans="2:8" ht="41.45">
      <c r="B33" s="1" t="s">
        <v>169</v>
      </c>
      <c r="C33" s="1" t="s">
        <v>170</v>
      </c>
      <c r="D33" s="1" t="s">
        <v>171</v>
      </c>
      <c r="E33" s="1" t="s">
        <v>172</v>
      </c>
      <c r="F33" s="1" t="s">
        <v>173</v>
      </c>
    </row>
    <row r="34" spans="2:8">
      <c r="B34" s="7" t="s">
        <v>174</v>
      </c>
      <c r="C34" s="163">
        <v>50625</v>
      </c>
      <c r="D34" s="164">
        <v>20056569306.52</v>
      </c>
      <c r="E34" s="10">
        <v>0</v>
      </c>
      <c r="F34" s="9">
        <f>D34*E34</f>
        <v>0</v>
      </c>
    </row>
    <row r="35" spans="2:8">
      <c r="B35" s="7" t="s">
        <v>175</v>
      </c>
      <c r="C35" s="163">
        <v>1985</v>
      </c>
      <c r="D35" s="164">
        <v>817339191</v>
      </c>
      <c r="E35" s="10">
        <v>0.05</v>
      </c>
      <c r="F35" s="9">
        <f>D35*E35</f>
        <v>40866959.550000004</v>
      </c>
    </row>
    <row r="36" spans="2:8">
      <c r="B36" s="7" t="s">
        <v>176</v>
      </c>
      <c r="C36" s="163">
        <v>4389</v>
      </c>
      <c r="D36" s="164">
        <v>1210704621.0999999</v>
      </c>
      <c r="E36" s="10">
        <v>0.25</v>
      </c>
      <c r="F36" s="9">
        <f>D36*E36</f>
        <v>302676155.27499998</v>
      </c>
    </row>
    <row r="37" spans="2:8">
      <c r="B37" s="7" t="s">
        <v>177</v>
      </c>
      <c r="C37" s="163">
        <v>1012</v>
      </c>
      <c r="D37" s="164">
        <v>640418237.69000006</v>
      </c>
      <c r="E37" s="10">
        <v>0.5</v>
      </c>
      <c r="F37" s="9">
        <f>D37*E37</f>
        <v>320209118.84500003</v>
      </c>
    </row>
    <row r="38" spans="2:8">
      <c r="B38" s="7" t="s">
        <v>178</v>
      </c>
      <c r="C38" s="163">
        <v>1121</v>
      </c>
      <c r="D38" s="164">
        <v>481248640.63</v>
      </c>
      <c r="E38" s="10">
        <v>1</v>
      </c>
      <c r="F38" s="9">
        <f>D38*E38</f>
        <v>481248640.63</v>
      </c>
    </row>
    <row r="39" spans="2:8">
      <c r="B39" s="8" t="s">
        <v>179</v>
      </c>
      <c r="C39" s="9">
        <f>SUM(C34:C38)</f>
        <v>59132</v>
      </c>
      <c r="D39" s="9">
        <f>SUM(D34:D38)</f>
        <v>23206279996.939999</v>
      </c>
      <c r="E39" s="9">
        <v>1.81</v>
      </c>
      <c r="F39" s="9">
        <f>SUM(F34:F38)</f>
        <v>1145000874.3000002</v>
      </c>
    </row>
    <row r="40" spans="2:8">
      <c r="C40" s="166" t="s">
        <v>180</v>
      </c>
      <c r="D40" s="166">
        <f>SUM(D36:D38)</f>
        <v>2332371499.4200001</v>
      </c>
    </row>
    <row r="41" spans="2:8">
      <c r="C41" t="s">
        <v>181</v>
      </c>
      <c r="D41" s="167">
        <f>D40/D39</f>
        <v>0.10050604835103036</v>
      </c>
    </row>
    <row r="43" spans="2:8">
      <c r="D43" s="6" t="s">
        <v>65</v>
      </c>
    </row>
    <row r="44" spans="2:8" ht="41.45">
      <c r="B44" s="1" t="s">
        <v>169</v>
      </c>
      <c r="C44" s="1" t="s">
        <v>170</v>
      </c>
      <c r="D44" s="1" t="s">
        <v>171</v>
      </c>
      <c r="E44" s="1" t="s">
        <v>172</v>
      </c>
      <c r="F44" s="1" t="s">
        <v>173</v>
      </c>
      <c r="H44" s="259"/>
    </row>
    <row r="45" spans="2:8">
      <c r="B45" s="7" t="s">
        <v>174</v>
      </c>
      <c r="C45" s="13"/>
      <c r="D45" s="15"/>
      <c r="E45" s="10">
        <v>0</v>
      </c>
      <c r="F45" s="9">
        <f>D45*E45</f>
        <v>0</v>
      </c>
    </row>
    <row r="46" spans="2:8">
      <c r="B46" s="7" t="s">
        <v>175</v>
      </c>
      <c r="C46" s="13"/>
      <c r="D46" s="15"/>
      <c r="E46" s="10">
        <v>0.05</v>
      </c>
      <c r="F46" s="9">
        <v>6739000</v>
      </c>
    </row>
    <row r="47" spans="2:8">
      <c r="B47" s="7" t="s">
        <v>176</v>
      </c>
      <c r="C47" s="13"/>
      <c r="D47" s="15"/>
      <c r="E47" s="10">
        <v>0.25</v>
      </c>
      <c r="F47" s="9">
        <v>54183000</v>
      </c>
      <c r="H47" s="167" t="e">
        <f>SUM(D47:D49)/D50</f>
        <v>#DIV/0!</v>
      </c>
    </row>
    <row r="48" spans="2:8">
      <c r="B48" s="7" t="s">
        <v>177</v>
      </c>
      <c r="C48" s="13"/>
      <c r="D48" s="15"/>
      <c r="E48" s="10">
        <v>0.5</v>
      </c>
      <c r="F48" s="9">
        <v>33315000</v>
      </c>
    </row>
    <row r="49" spans="2:10">
      <c r="B49" s="7" t="s">
        <v>178</v>
      </c>
      <c r="C49" s="13"/>
      <c r="D49" s="15"/>
      <c r="E49" s="10">
        <v>1</v>
      </c>
      <c r="F49" s="9">
        <v>11377000</v>
      </c>
    </row>
    <row r="50" spans="2:10">
      <c r="B50" s="8" t="s">
        <v>179</v>
      </c>
      <c r="C50" s="9">
        <f>SUM(C45:C49)</f>
        <v>0</v>
      </c>
      <c r="D50" s="9">
        <f>SUM(D45:D49)</f>
        <v>0</v>
      </c>
      <c r="E50" s="9">
        <v>1.81</v>
      </c>
      <c r="F50" s="9">
        <f>SUM(F45:F49)</f>
        <v>105614000</v>
      </c>
      <c r="J50" s="27"/>
    </row>
    <row r="53" spans="2:10" ht="15.6">
      <c r="B53" s="173"/>
      <c r="C53" s="173"/>
      <c r="D53" s="174">
        <v>43160</v>
      </c>
      <c r="E53" s="173"/>
      <c r="F53" s="173"/>
      <c r="G53" s="173"/>
      <c r="H53" s="173"/>
      <c r="I53" s="173"/>
    </row>
    <row r="54" spans="2:10" ht="41.45">
      <c r="B54" s="175" t="s">
        <v>169</v>
      </c>
      <c r="C54" s="175" t="s">
        <v>170</v>
      </c>
      <c r="D54" s="175" t="s">
        <v>171</v>
      </c>
      <c r="E54" s="175" t="s">
        <v>172</v>
      </c>
      <c r="F54" s="175" t="s">
        <v>173</v>
      </c>
      <c r="G54" s="173"/>
      <c r="H54" s="173"/>
      <c r="I54" s="173"/>
    </row>
    <row r="55" spans="2:10">
      <c r="B55" s="176" t="s">
        <v>174</v>
      </c>
      <c r="C55" s="163">
        <v>47697</v>
      </c>
      <c r="D55" s="164">
        <v>21205446512.380001</v>
      </c>
      <c r="E55" s="177">
        <v>0</v>
      </c>
      <c r="F55" s="178">
        <f>D55*E55</f>
        <v>0</v>
      </c>
      <c r="G55" s="173"/>
      <c r="H55" s="173"/>
      <c r="I55" s="173"/>
    </row>
    <row r="56" spans="2:10">
      <c r="B56" s="176" t="s">
        <v>175</v>
      </c>
      <c r="C56" s="163">
        <v>26917</v>
      </c>
      <c r="D56" s="164">
        <v>679334117.84000003</v>
      </c>
      <c r="E56" s="177">
        <v>0.05</v>
      </c>
      <c r="F56" s="178">
        <f>D56*E56</f>
        <v>33966705.892000005</v>
      </c>
      <c r="G56" s="173"/>
      <c r="H56" s="173"/>
      <c r="I56" s="173"/>
    </row>
    <row r="57" spans="2:10">
      <c r="B57" s="176" t="s">
        <v>176</v>
      </c>
      <c r="C57" s="163">
        <v>3726</v>
      </c>
      <c r="D57" s="164">
        <v>1003759004.14</v>
      </c>
      <c r="E57" s="177">
        <v>0.25</v>
      </c>
      <c r="F57" s="178">
        <f>D57*E57</f>
        <v>250939751.035</v>
      </c>
      <c r="G57" s="173"/>
      <c r="H57" s="173"/>
      <c r="I57" s="173"/>
    </row>
    <row r="58" spans="2:10">
      <c r="B58" s="176" t="s">
        <v>177</v>
      </c>
      <c r="C58" s="163">
        <v>2799</v>
      </c>
      <c r="D58" s="164">
        <v>349180885.67000002</v>
      </c>
      <c r="E58" s="177">
        <v>0.5</v>
      </c>
      <c r="F58" s="178">
        <f>D58*E58</f>
        <v>174590442.83500001</v>
      </c>
      <c r="G58" s="173"/>
      <c r="H58" s="173"/>
      <c r="I58" s="173"/>
    </row>
    <row r="59" spans="2:10">
      <c r="B59" s="176" t="s">
        <v>178</v>
      </c>
      <c r="C59" s="163">
        <v>1768</v>
      </c>
      <c r="D59" s="164">
        <v>291922505.44999999</v>
      </c>
      <c r="E59" s="177">
        <v>1</v>
      </c>
      <c r="F59" s="178">
        <f>D59*E59</f>
        <v>291922505.44999999</v>
      </c>
      <c r="G59" s="173"/>
      <c r="H59" s="173"/>
      <c r="I59" s="173"/>
    </row>
    <row r="60" spans="2:10">
      <c r="B60" s="179" t="s">
        <v>179</v>
      </c>
      <c r="C60" s="180">
        <v>82907</v>
      </c>
      <c r="D60" s="180">
        <v>23529643025.48</v>
      </c>
      <c r="E60" s="181"/>
      <c r="F60" s="181">
        <f>SUM(F55:F59)</f>
        <v>751419405.21199989</v>
      </c>
      <c r="G60" s="173"/>
      <c r="H60" s="173" t="s">
        <v>180</v>
      </c>
      <c r="I60" s="188">
        <f>(D57+D58+D59)/D60</f>
        <v>6.9905964721980532E-2</v>
      </c>
    </row>
    <row r="61" spans="2:10">
      <c r="B61" s="173"/>
      <c r="C61" s="173"/>
      <c r="D61" s="173"/>
      <c r="E61" s="173"/>
      <c r="F61" s="173"/>
      <c r="G61" s="173"/>
      <c r="H61" s="173"/>
      <c r="I61" s="173"/>
    </row>
    <row r="62" spans="2:10" ht="15.6">
      <c r="B62" s="173"/>
      <c r="C62" s="173"/>
      <c r="D62" s="174">
        <v>43252</v>
      </c>
      <c r="E62" s="173"/>
      <c r="F62" s="173"/>
      <c r="G62" s="173"/>
      <c r="H62" s="173"/>
      <c r="I62" s="173"/>
    </row>
    <row r="63" spans="2:10" ht="41.45">
      <c r="B63" s="175" t="s">
        <v>169</v>
      </c>
      <c r="C63" s="175" t="s">
        <v>170</v>
      </c>
      <c r="D63" s="175" t="s">
        <v>171</v>
      </c>
      <c r="E63" s="175" t="s">
        <v>172</v>
      </c>
      <c r="F63" s="175" t="s">
        <v>173</v>
      </c>
      <c r="G63" s="173"/>
      <c r="H63" s="173"/>
      <c r="I63" s="173"/>
    </row>
    <row r="64" spans="2:10">
      <c r="B64" s="176" t="s">
        <v>174</v>
      </c>
      <c r="C64" s="183">
        <v>49406</v>
      </c>
      <c r="D64" s="184">
        <v>21905083798.699989</v>
      </c>
      <c r="E64" s="177">
        <v>0.01</v>
      </c>
      <c r="F64" s="178"/>
      <c r="G64" s="173"/>
      <c r="H64" s="173"/>
      <c r="I64" s="173"/>
    </row>
    <row r="65" spans="2:9">
      <c r="B65" s="176" t="s">
        <v>175</v>
      </c>
      <c r="C65" s="183">
        <v>3346</v>
      </c>
      <c r="D65" s="184">
        <v>642855120.53000247</v>
      </c>
      <c r="E65" s="177">
        <v>0.05</v>
      </c>
      <c r="F65" s="178">
        <f>D65*E65</f>
        <v>32142756.026500124</v>
      </c>
      <c r="G65" s="173"/>
      <c r="H65" s="173"/>
      <c r="I65" s="173"/>
    </row>
    <row r="66" spans="2:9">
      <c r="B66" s="176" t="s">
        <v>176</v>
      </c>
      <c r="C66" s="183">
        <v>4337</v>
      </c>
      <c r="D66" s="184">
        <v>983189685.46000159</v>
      </c>
      <c r="E66" s="177">
        <v>0.25</v>
      </c>
      <c r="F66" s="178">
        <f>D66*E66</f>
        <v>245797421.3650004</v>
      </c>
      <c r="G66" s="173"/>
      <c r="H66" s="173"/>
      <c r="I66" s="173"/>
    </row>
    <row r="67" spans="2:9">
      <c r="B67" s="176" t="s">
        <v>177</v>
      </c>
      <c r="C67" s="183">
        <v>1945</v>
      </c>
      <c r="D67" s="184">
        <v>206613780.05999917</v>
      </c>
      <c r="E67" s="177">
        <v>0.5</v>
      </c>
      <c r="F67" s="178">
        <f>D67*E67</f>
        <v>103306890.02999958</v>
      </c>
      <c r="G67" s="173"/>
      <c r="H67" s="173"/>
      <c r="I67" s="173"/>
    </row>
    <row r="68" spans="2:9">
      <c r="B68" s="176" t="s">
        <v>178</v>
      </c>
      <c r="C68" s="183">
        <v>2419</v>
      </c>
      <c r="D68" s="184">
        <v>355254366.22999889</v>
      </c>
      <c r="E68" s="177">
        <v>1</v>
      </c>
      <c r="F68" s="178">
        <f>D68*E68</f>
        <v>355254366.22999889</v>
      </c>
      <c r="G68" s="173"/>
      <c r="H68" s="173"/>
      <c r="I68" s="173"/>
    </row>
    <row r="69" spans="2:9">
      <c r="B69" s="179" t="s">
        <v>179</v>
      </c>
      <c r="C69" s="185">
        <f>SUM(C64:C68)</f>
        <v>61453</v>
      </c>
      <c r="D69" s="185">
        <f>SUM(D64:D68)</f>
        <v>24092996750.979992</v>
      </c>
      <c r="E69" s="185"/>
      <c r="F69" s="185">
        <f>SUM(F64:F68)</f>
        <v>736501433.65149903</v>
      </c>
      <c r="G69" s="173"/>
      <c r="H69" s="173" t="s">
        <v>180</v>
      </c>
      <c r="I69" s="182">
        <f>(D66+D67+D68)/D69</f>
        <v>6.4128918777493035E-2</v>
      </c>
    </row>
    <row r="70" spans="2:9">
      <c r="B70" s="186"/>
      <c r="C70" s="187" t="s">
        <v>180</v>
      </c>
      <c r="D70" s="187">
        <f>SUM(D66:D68)</f>
        <v>1545057831.7499995</v>
      </c>
      <c r="E70" s="187"/>
      <c r="F70" s="187"/>
      <c r="G70" s="173"/>
      <c r="H70" s="173"/>
      <c r="I70" s="173"/>
    </row>
    <row r="71" spans="2:9">
      <c r="B71" s="186"/>
      <c r="C71" s="173" t="s">
        <v>181</v>
      </c>
      <c r="D71" s="188">
        <f>D70/D69</f>
        <v>6.4128918777493035E-2</v>
      </c>
      <c r="E71" s="187"/>
      <c r="F71" s="187"/>
      <c r="G71" s="173"/>
      <c r="H71" s="173"/>
      <c r="I71" s="173"/>
    </row>
    <row r="72" spans="2:9">
      <c r="B72" s="173"/>
      <c r="C72" s="173"/>
      <c r="D72" s="173"/>
      <c r="E72" s="173"/>
      <c r="F72" s="173"/>
      <c r="G72" s="173"/>
      <c r="H72" s="173"/>
      <c r="I72" s="173"/>
    </row>
    <row r="73" spans="2:9" ht="15.6">
      <c r="B73" s="173"/>
      <c r="C73" s="173"/>
      <c r="D73" s="174">
        <v>43344</v>
      </c>
      <c r="E73" s="173"/>
      <c r="F73" s="173"/>
      <c r="G73" s="173"/>
      <c r="H73" s="173"/>
      <c r="I73" s="173"/>
    </row>
    <row r="74" spans="2:9" ht="41.45">
      <c r="B74" s="175" t="s">
        <v>169</v>
      </c>
      <c r="C74" s="175" t="s">
        <v>170</v>
      </c>
      <c r="D74" s="175" t="s">
        <v>171</v>
      </c>
      <c r="E74" s="175" t="s">
        <v>172</v>
      </c>
      <c r="F74" s="175" t="s">
        <v>173</v>
      </c>
      <c r="G74" s="173"/>
      <c r="H74" s="173"/>
      <c r="I74" s="173"/>
    </row>
    <row r="75" spans="2:9">
      <c r="B75" s="176" t="s">
        <v>174</v>
      </c>
      <c r="C75" s="163">
        <v>52325</v>
      </c>
      <c r="D75" s="164">
        <v>23771722681.889999</v>
      </c>
      <c r="E75" s="177">
        <v>0.01</v>
      </c>
      <c r="F75" s="178"/>
      <c r="G75" s="173"/>
      <c r="H75" s="173"/>
      <c r="I75" s="173"/>
    </row>
    <row r="76" spans="2:9">
      <c r="B76" s="176" t="s">
        <v>175</v>
      </c>
      <c r="C76" s="163">
        <v>3425</v>
      </c>
      <c r="D76" s="164">
        <v>570533993.13999999</v>
      </c>
      <c r="E76" s="177">
        <v>0.05</v>
      </c>
      <c r="F76" s="178">
        <f>D76*E76</f>
        <v>28526699.657000002</v>
      </c>
      <c r="G76" s="173"/>
      <c r="H76" s="173"/>
      <c r="I76" s="173"/>
    </row>
    <row r="77" spans="2:9">
      <c r="B77" s="176" t="s">
        <v>176</v>
      </c>
      <c r="C77" s="163">
        <v>3825</v>
      </c>
      <c r="D77" s="164">
        <v>290218253.19</v>
      </c>
      <c r="E77" s="177">
        <v>0.25</v>
      </c>
      <c r="F77" s="178">
        <f>D77*E77</f>
        <v>72554563.297499999</v>
      </c>
      <c r="G77" s="173"/>
      <c r="H77" s="173"/>
      <c r="I77" s="173"/>
    </row>
    <row r="78" spans="2:9">
      <c r="B78" s="176" t="s">
        <v>177</v>
      </c>
      <c r="C78" s="163">
        <v>1852</v>
      </c>
      <c r="D78" s="164">
        <v>27072771.289999999</v>
      </c>
      <c r="E78" s="177">
        <v>0.5</v>
      </c>
      <c r="F78" s="178">
        <f>D78*E78</f>
        <v>13536385.645</v>
      </c>
      <c r="G78" s="173"/>
      <c r="H78" s="173"/>
      <c r="I78" s="173"/>
    </row>
    <row r="79" spans="2:9">
      <c r="B79" s="176" t="s">
        <v>178</v>
      </c>
      <c r="C79" s="163">
        <v>2325</v>
      </c>
      <c r="D79" s="164">
        <v>150751465.06999999</v>
      </c>
      <c r="E79" s="177">
        <v>1</v>
      </c>
      <c r="F79" s="178">
        <f>D79*E79</f>
        <v>150751465.06999999</v>
      </c>
      <c r="G79" s="173"/>
      <c r="H79" s="173"/>
      <c r="I79" s="173"/>
    </row>
    <row r="80" spans="2:9">
      <c r="B80" s="179" t="s">
        <v>179</v>
      </c>
      <c r="C80" s="210">
        <v>63752</v>
      </c>
      <c r="D80" s="210">
        <v>24810299164.579998</v>
      </c>
      <c r="E80" s="178"/>
      <c r="F80" s="178">
        <f>SUM(F75:F79)</f>
        <v>265369113.66949999</v>
      </c>
      <c r="G80" s="173"/>
      <c r="H80" s="173" t="s">
        <v>180</v>
      </c>
      <c r="I80" s="182">
        <f>(D77+D78+D79)/D80</f>
        <v>1.8864846668926627E-2</v>
      </c>
    </row>
    <row r="81" spans="2:9">
      <c r="B81" s="186"/>
      <c r="C81" s="187" t="s">
        <v>180</v>
      </c>
      <c r="D81" s="187">
        <f>SUM(D77:D79)</f>
        <v>468042489.55000001</v>
      </c>
      <c r="E81" s="187"/>
      <c r="F81" s="187"/>
      <c r="G81" s="173"/>
      <c r="H81" s="173"/>
      <c r="I81" s="173"/>
    </row>
    <row r="82" spans="2:9">
      <c r="B82" s="173"/>
      <c r="C82" s="173" t="s">
        <v>181</v>
      </c>
      <c r="D82" s="188">
        <f>D81/D80</f>
        <v>1.8864846668926627E-2</v>
      </c>
      <c r="E82" s="173"/>
      <c r="F82" s="173"/>
      <c r="G82" s="173"/>
      <c r="H82" s="173"/>
      <c r="I82" s="173"/>
    </row>
    <row r="83" spans="2:9">
      <c r="B83" s="173"/>
      <c r="C83" s="173"/>
      <c r="D83" s="188"/>
      <c r="E83" s="173"/>
      <c r="F83" s="173"/>
      <c r="G83" s="173"/>
      <c r="H83" s="173"/>
      <c r="I83" s="173"/>
    </row>
    <row r="84" spans="2:9" ht="15.6">
      <c r="B84" s="173"/>
      <c r="C84" s="173"/>
      <c r="D84" s="174">
        <v>43435</v>
      </c>
      <c r="E84" s="173"/>
      <c r="F84" s="173"/>
      <c r="G84" s="173"/>
      <c r="H84" s="173"/>
      <c r="I84" s="173"/>
    </row>
    <row r="85" spans="2:9" ht="41.45">
      <c r="B85" s="175" t="s">
        <v>169</v>
      </c>
      <c r="C85" s="175" t="s">
        <v>170</v>
      </c>
      <c r="D85" s="175" t="s">
        <v>171</v>
      </c>
      <c r="E85" s="175" t="s">
        <v>172</v>
      </c>
      <c r="F85" s="175" t="s">
        <v>173</v>
      </c>
      <c r="G85" s="173"/>
      <c r="H85" s="173"/>
      <c r="I85" s="173"/>
    </row>
    <row r="86" spans="2:9">
      <c r="B86" s="176" t="s">
        <v>174</v>
      </c>
      <c r="C86" s="183"/>
      <c r="D86" s="184"/>
      <c r="E86" s="189">
        <v>0</v>
      </c>
      <c r="F86" s="178">
        <f>D86*E86</f>
        <v>0</v>
      </c>
      <c r="G86" s="173"/>
      <c r="H86" s="173"/>
      <c r="I86" s="173"/>
    </row>
    <row r="87" spans="2:9">
      <c r="B87" s="176" t="s">
        <v>175</v>
      </c>
      <c r="C87" s="183"/>
      <c r="D87" s="184"/>
      <c r="E87" s="189">
        <v>0.05</v>
      </c>
      <c r="F87" s="178">
        <f>D87*E87</f>
        <v>0</v>
      </c>
      <c r="G87" s="173"/>
      <c r="H87" s="173"/>
      <c r="I87" s="173"/>
    </row>
    <row r="88" spans="2:9">
      <c r="B88" s="176" t="s">
        <v>176</v>
      </c>
      <c r="C88" s="183"/>
      <c r="D88" s="184"/>
      <c r="E88" s="189">
        <v>0.25</v>
      </c>
      <c r="F88" s="178">
        <f>D88*E88</f>
        <v>0</v>
      </c>
      <c r="G88" s="173"/>
      <c r="H88" s="173"/>
      <c r="I88" s="173"/>
    </row>
    <row r="89" spans="2:9">
      <c r="B89" s="176" t="s">
        <v>177</v>
      </c>
      <c r="C89" s="183"/>
      <c r="D89" s="184"/>
      <c r="E89" s="189">
        <v>0.5</v>
      </c>
      <c r="F89" s="178">
        <f>D89*E89</f>
        <v>0</v>
      </c>
      <c r="G89" s="173"/>
      <c r="H89" s="173"/>
      <c r="I89" s="173"/>
    </row>
    <row r="90" spans="2:9">
      <c r="B90" s="176" t="s">
        <v>178</v>
      </c>
      <c r="C90" s="183"/>
      <c r="D90" s="184"/>
      <c r="E90" s="189">
        <v>1</v>
      </c>
      <c r="F90" s="178">
        <f>D90*E90</f>
        <v>0</v>
      </c>
      <c r="G90" s="173"/>
      <c r="H90" s="173"/>
      <c r="I90" s="173"/>
    </row>
    <row r="91" spans="2:9">
      <c r="B91" s="179" t="s">
        <v>179</v>
      </c>
      <c r="C91" s="178"/>
      <c r="D91" s="178"/>
      <c r="E91" s="178">
        <v>1.81</v>
      </c>
      <c r="F91" s="178">
        <f>SUM(F86:F90)</f>
        <v>0</v>
      </c>
      <c r="G91" s="173"/>
      <c r="H91" s="173" t="s">
        <v>180</v>
      </c>
      <c r="I91" s="182" t="e">
        <f>(D88+D89+D90)/D91</f>
        <v>#DIV/0!</v>
      </c>
    </row>
    <row r="92" spans="2:9">
      <c r="B92" s="173"/>
      <c r="C92" s="187" t="s">
        <v>180</v>
      </c>
      <c r="D92" s="187">
        <f>SUM(D88:D90)</f>
        <v>0</v>
      </c>
      <c r="E92" s="173"/>
      <c r="F92" s="173"/>
      <c r="G92" s="173"/>
      <c r="H92" s="173"/>
      <c r="I92" s="173"/>
    </row>
    <row r="93" spans="2:9">
      <c r="B93" s="173"/>
      <c r="C93" s="173" t="s">
        <v>181</v>
      </c>
      <c r="D93" s="188" t="e">
        <f>D92/D91</f>
        <v>#DIV/0!</v>
      </c>
      <c r="E93" s="173"/>
      <c r="F93" s="173"/>
      <c r="G93" s="173"/>
      <c r="H93" s="173"/>
      <c r="I93" s="173"/>
    </row>
    <row r="94" spans="2:9">
      <c r="B94" s="173"/>
      <c r="C94" s="173"/>
      <c r="D94" s="173"/>
      <c r="E94" s="173"/>
      <c r="F94" s="173"/>
      <c r="G94" s="173"/>
      <c r="H94" s="173"/>
      <c r="I94" s="173"/>
    </row>
    <row r="95" spans="2:9" ht="15.6">
      <c r="B95" s="173"/>
      <c r="C95" s="173"/>
      <c r="D95" s="190" t="s">
        <v>182</v>
      </c>
      <c r="E95" s="173"/>
      <c r="F95" s="173"/>
      <c r="G95" s="173"/>
      <c r="H95" s="173"/>
      <c r="I95" s="173"/>
    </row>
    <row r="96" spans="2:9" ht="41.45">
      <c r="B96" s="175" t="s">
        <v>169</v>
      </c>
      <c r="C96" s="175" t="s">
        <v>170</v>
      </c>
      <c r="D96" s="175" t="s">
        <v>171</v>
      </c>
      <c r="E96" s="175" t="s">
        <v>172</v>
      </c>
      <c r="F96" s="175" t="s">
        <v>173</v>
      </c>
      <c r="G96" s="173"/>
      <c r="H96" s="173"/>
      <c r="I96" s="173"/>
    </row>
    <row r="97" spans="2:9">
      <c r="B97" s="176" t="s">
        <v>174</v>
      </c>
      <c r="C97" s="191">
        <v>61808</v>
      </c>
      <c r="D97" s="192">
        <v>23864790000</v>
      </c>
      <c r="E97" s="189">
        <v>0</v>
      </c>
      <c r="F97" s="178">
        <f>D97*E97</f>
        <v>0</v>
      </c>
      <c r="G97" s="173"/>
      <c r="H97" s="173"/>
      <c r="I97" s="173"/>
    </row>
    <row r="98" spans="2:9">
      <c r="B98" s="176" t="s">
        <v>175</v>
      </c>
      <c r="C98" s="191">
        <v>2558</v>
      </c>
      <c r="D98" s="192">
        <v>543816000</v>
      </c>
      <c r="E98" s="189">
        <v>0.05</v>
      </c>
      <c r="F98" s="178">
        <v>6739000</v>
      </c>
      <c r="G98" s="173"/>
      <c r="H98" s="173"/>
      <c r="I98" s="173"/>
    </row>
    <row r="99" spans="2:9">
      <c r="B99" s="176" t="s">
        <v>176</v>
      </c>
      <c r="C99" s="191">
        <v>3972</v>
      </c>
      <c r="D99" s="192">
        <v>838253000</v>
      </c>
      <c r="E99" s="189">
        <v>0.25</v>
      </c>
      <c r="F99" s="178">
        <v>54183000</v>
      </c>
      <c r="G99" s="173"/>
      <c r="H99" s="173"/>
      <c r="I99" s="173"/>
    </row>
    <row r="100" spans="2:9">
      <c r="B100" s="176" t="s">
        <v>177</v>
      </c>
      <c r="C100" s="191">
        <v>2510</v>
      </c>
      <c r="D100" s="192">
        <v>373254000</v>
      </c>
      <c r="E100" s="189">
        <v>0.5</v>
      </c>
      <c r="F100" s="178">
        <v>33315000</v>
      </c>
      <c r="G100" s="173"/>
      <c r="H100" s="173"/>
      <c r="I100" s="173"/>
    </row>
    <row r="101" spans="2:9">
      <c r="B101" s="176" t="s">
        <v>178</v>
      </c>
      <c r="C101" s="191">
        <v>2139</v>
      </c>
      <c r="D101" s="192">
        <v>210209000</v>
      </c>
      <c r="E101" s="189">
        <v>1</v>
      </c>
      <c r="F101" s="178">
        <v>11377000</v>
      </c>
      <c r="G101" s="173"/>
      <c r="H101" s="173"/>
      <c r="I101" s="173"/>
    </row>
    <row r="102" spans="2:9">
      <c r="B102" s="179" t="s">
        <v>179</v>
      </c>
      <c r="C102" s="178">
        <f>SUM(C97:C101)</f>
        <v>72987</v>
      </c>
      <c r="D102" s="178">
        <f>SUM(D97:D101)</f>
        <v>25830322000</v>
      </c>
      <c r="E102" s="178">
        <v>1.81</v>
      </c>
      <c r="F102" s="178">
        <f>SUM(F97:F101)</f>
        <v>105614000</v>
      </c>
      <c r="G102" s="173"/>
      <c r="H102" s="173" t="s">
        <v>180</v>
      </c>
      <c r="I102" s="182">
        <f>(D99+D100+D101)/D102</f>
        <v>5.5040583698492025E-2</v>
      </c>
    </row>
    <row r="103" spans="2:9">
      <c r="C103" s="187" t="s">
        <v>180</v>
      </c>
      <c r="D103" s="187">
        <f>SUM(D99:D101)</f>
        <v>1421716000</v>
      </c>
    </row>
    <row r="104" spans="2:9">
      <c r="C104" s="173" t="s">
        <v>181</v>
      </c>
      <c r="D104" s="188">
        <f>D103/D102</f>
        <v>5.5040583698492025E-2</v>
      </c>
    </row>
    <row r="107" spans="2:9" ht="15.6">
      <c r="B107" s="173"/>
      <c r="C107" s="173"/>
      <c r="D107" s="190">
        <v>44075</v>
      </c>
      <c r="E107" s="173"/>
      <c r="F107" s="173"/>
      <c r="G107" s="173"/>
      <c r="H107" s="173"/>
      <c r="I107" s="173"/>
    </row>
    <row r="108" spans="2:9" ht="41.45">
      <c r="B108" s="175" t="s">
        <v>169</v>
      </c>
      <c r="C108" s="175" t="s">
        <v>170</v>
      </c>
      <c r="D108" s="175" t="s">
        <v>171</v>
      </c>
      <c r="E108" s="175" t="s">
        <v>172</v>
      </c>
      <c r="F108" s="175" t="s">
        <v>173</v>
      </c>
      <c r="G108" s="173"/>
      <c r="H108" s="173"/>
      <c r="I108" s="173"/>
    </row>
    <row r="109" spans="2:9">
      <c r="B109" s="176" t="s">
        <v>174</v>
      </c>
      <c r="C109" s="191">
        <v>56618</v>
      </c>
      <c r="D109" s="192">
        <v>31475040558.970001</v>
      </c>
      <c r="E109" s="189">
        <v>0.01</v>
      </c>
      <c r="F109" s="178">
        <f>D109*E109</f>
        <v>314750405.58970004</v>
      </c>
      <c r="G109" s="270"/>
      <c r="H109" s="173"/>
      <c r="I109" s="173"/>
    </row>
    <row r="110" spans="2:9">
      <c r="B110" s="176" t="s">
        <v>175</v>
      </c>
      <c r="C110" s="191">
        <v>2064</v>
      </c>
      <c r="D110" s="192">
        <v>472657639.95999998</v>
      </c>
      <c r="E110" s="189">
        <v>0.05</v>
      </c>
      <c r="F110" s="178">
        <f>D110*E110</f>
        <v>23632881.998</v>
      </c>
      <c r="G110" s="270"/>
      <c r="H110" s="173"/>
      <c r="I110" s="173"/>
    </row>
    <row r="111" spans="2:9">
      <c r="B111" s="176" t="s">
        <v>176</v>
      </c>
      <c r="C111" s="191">
        <v>4931</v>
      </c>
      <c r="D111" s="192">
        <v>800139813.21000004</v>
      </c>
      <c r="E111" s="189">
        <v>0.25</v>
      </c>
      <c r="F111" s="178">
        <f>D111*E111</f>
        <v>200034953.30250001</v>
      </c>
      <c r="G111" s="270"/>
      <c r="H111" s="173"/>
      <c r="I111" s="173"/>
    </row>
    <row r="112" spans="2:9">
      <c r="B112" s="176" t="s">
        <v>177</v>
      </c>
      <c r="C112" s="191">
        <v>2310</v>
      </c>
      <c r="D112" s="192">
        <v>131644844.06999999</v>
      </c>
      <c r="E112" s="189">
        <v>0.5</v>
      </c>
      <c r="F112" s="178">
        <f>D112*E112</f>
        <v>65822422.034999996</v>
      </c>
      <c r="G112" s="270"/>
      <c r="H112" s="173"/>
      <c r="I112" s="173"/>
    </row>
    <row r="113" spans="2:9">
      <c r="B113" s="176" t="s">
        <v>178</v>
      </c>
      <c r="C113" s="191">
        <v>6478</v>
      </c>
      <c r="D113" s="192">
        <v>564712671.96000004</v>
      </c>
      <c r="E113" s="189">
        <v>1</v>
      </c>
      <c r="F113" s="178">
        <f>D113*E113</f>
        <v>564712671.96000004</v>
      </c>
      <c r="G113" s="270"/>
      <c r="H113" s="173"/>
      <c r="I113" s="173"/>
    </row>
    <row r="114" spans="2:9">
      <c r="B114" s="179" t="s">
        <v>183</v>
      </c>
      <c r="C114" s="178">
        <f>SUM(C109:C113)</f>
        <v>72401</v>
      </c>
      <c r="D114" s="178">
        <f>SUM(D109:D113)</f>
        <v>33444195528.169998</v>
      </c>
      <c r="E114" s="178">
        <v>1.81</v>
      </c>
      <c r="F114" s="178">
        <f>SUM(F109:F113)</f>
        <v>1168953334.8852</v>
      </c>
      <c r="G114" s="173"/>
      <c r="H114" s="173" t="s">
        <v>180</v>
      </c>
      <c r="I114" s="182">
        <f>(D111+D112+D113)/D114</f>
        <v>4.4746100350343376E-2</v>
      </c>
    </row>
    <row r="115" spans="2:9">
      <c r="C115" s="187" t="s">
        <v>180</v>
      </c>
      <c r="D115" s="187">
        <f>SUM(D111:D113)</f>
        <v>1496497329.24</v>
      </c>
    </row>
    <row r="116" spans="2:9">
      <c r="C116" s="173" t="s">
        <v>181</v>
      </c>
      <c r="D116" s="271">
        <f>D115/D114</f>
        <v>4.4746100350343376E-2</v>
      </c>
    </row>
    <row r="119" spans="2:9" ht="15.6">
      <c r="B119" s="173"/>
      <c r="C119" s="173"/>
      <c r="D119" s="190">
        <v>43525</v>
      </c>
      <c r="E119" s="173"/>
      <c r="F119" s="173"/>
    </row>
    <row r="120" spans="2:9" ht="41.45">
      <c r="B120" s="175" t="s">
        <v>169</v>
      </c>
      <c r="C120" s="175" t="s">
        <v>170</v>
      </c>
      <c r="D120" s="175" t="s">
        <v>171</v>
      </c>
      <c r="E120" s="175" t="s">
        <v>172</v>
      </c>
      <c r="F120" s="175" t="s">
        <v>173</v>
      </c>
    </row>
    <row r="121" spans="2:9">
      <c r="B121" s="176" t="s">
        <v>174</v>
      </c>
      <c r="C121" s="349">
        <v>59498</v>
      </c>
      <c r="D121" s="349">
        <v>24048389842.73</v>
      </c>
      <c r="E121" s="189">
        <v>0.01</v>
      </c>
      <c r="F121" s="178">
        <f>D121*E121</f>
        <v>240483898.42730001</v>
      </c>
      <c r="I121" s="349"/>
    </row>
    <row r="122" spans="2:9">
      <c r="B122" s="176" t="s">
        <v>175</v>
      </c>
      <c r="C122" s="349">
        <v>2175</v>
      </c>
      <c r="D122" s="349">
        <v>700103518.71000004</v>
      </c>
      <c r="E122" s="189">
        <v>0.05</v>
      </c>
      <c r="F122" s="178">
        <f>D122*E122</f>
        <v>35005175.935500003</v>
      </c>
      <c r="I122" s="349"/>
    </row>
    <row r="123" spans="2:9">
      <c r="B123" s="176" t="s">
        <v>176</v>
      </c>
      <c r="C123" s="349">
        <v>3526</v>
      </c>
      <c r="D123" s="349">
        <v>761289032.15999997</v>
      </c>
      <c r="E123" s="189">
        <v>0.25</v>
      </c>
      <c r="F123" s="178">
        <f>D123*E123</f>
        <v>190322258.03999999</v>
      </c>
      <c r="I123" s="349"/>
    </row>
    <row r="124" spans="2:9">
      <c r="B124" s="176" t="s">
        <v>177</v>
      </c>
      <c r="C124" s="349">
        <v>1925</v>
      </c>
      <c r="D124" s="349">
        <v>213567817.93000001</v>
      </c>
      <c r="E124" s="189">
        <v>0.5</v>
      </c>
      <c r="F124" s="178">
        <f>D124*E124</f>
        <v>106783908.965</v>
      </c>
      <c r="I124" s="349"/>
    </row>
    <row r="125" spans="2:9">
      <c r="B125" s="176" t="s">
        <v>178</v>
      </c>
      <c r="C125" s="349">
        <v>2210</v>
      </c>
      <c r="D125" s="349">
        <v>264038576.66</v>
      </c>
      <c r="E125" s="189">
        <v>1</v>
      </c>
      <c r="F125" s="178">
        <f>D125*E125</f>
        <v>264038576.66</v>
      </c>
      <c r="I125" s="349"/>
    </row>
    <row r="126" spans="2:9">
      <c r="B126" s="179" t="s">
        <v>183</v>
      </c>
      <c r="C126" s="178">
        <f>SUM(C121:C125)</f>
        <v>69334</v>
      </c>
      <c r="D126" s="178">
        <f>SUM(D121:D125)</f>
        <v>25987388788.189999</v>
      </c>
      <c r="E126" s="178">
        <v>1.81</v>
      </c>
      <c r="F126" s="178">
        <f>SUM(F121:F125)</f>
        <v>836633818.02779996</v>
      </c>
      <c r="I126" s="348"/>
    </row>
    <row r="127" spans="2:9">
      <c r="C127" s="187" t="s">
        <v>180</v>
      </c>
      <c r="D127" s="187">
        <f>SUM(D123:D125)</f>
        <v>1238895426.75</v>
      </c>
      <c r="I127" s="349"/>
    </row>
    <row r="128" spans="2:9">
      <c r="C128" s="173" t="s">
        <v>181</v>
      </c>
      <c r="D128" s="271">
        <f>D127/D126</f>
        <v>4.7672947707351712E-2</v>
      </c>
      <c r="I128" s="349"/>
    </row>
    <row r="129" spans="2:9">
      <c r="I129" s="349"/>
    </row>
    <row r="130" spans="2:9">
      <c r="I130" s="349"/>
    </row>
    <row r="131" spans="2:9" ht="15.6">
      <c r="B131" s="173"/>
      <c r="C131" s="173"/>
      <c r="D131" s="190">
        <v>43617</v>
      </c>
      <c r="E131" s="173"/>
      <c r="F131" s="173"/>
      <c r="I131" s="349"/>
    </row>
    <row r="132" spans="2:9" ht="41.45">
      <c r="B132" s="175" t="s">
        <v>169</v>
      </c>
      <c r="C132" s="175" t="s">
        <v>170</v>
      </c>
      <c r="D132" s="175" t="s">
        <v>171</v>
      </c>
      <c r="E132" s="175" t="s">
        <v>172</v>
      </c>
      <c r="F132" s="175" t="s">
        <v>173</v>
      </c>
      <c r="I132" s="418"/>
    </row>
    <row r="133" spans="2:9">
      <c r="B133" s="176" t="s">
        <v>174</v>
      </c>
      <c r="C133" s="349">
        <v>58864</v>
      </c>
      <c r="D133" s="349">
        <v>24325389616.130001</v>
      </c>
      <c r="E133" s="189">
        <v>0.01</v>
      </c>
      <c r="F133" s="178">
        <f>D133*E133</f>
        <v>243253896.1613</v>
      </c>
      <c r="I133" s="419"/>
    </row>
    <row r="134" spans="2:9">
      <c r="B134" s="176" t="s">
        <v>175</v>
      </c>
      <c r="C134" s="349">
        <v>2382</v>
      </c>
      <c r="D134" s="349">
        <v>604049242.45000005</v>
      </c>
      <c r="E134" s="189">
        <v>0.05</v>
      </c>
      <c r="F134" s="178">
        <f>D134*E134</f>
        <v>30202462.122500002</v>
      </c>
      <c r="I134" s="420"/>
    </row>
    <row r="135" spans="2:9">
      <c r="B135" s="176" t="s">
        <v>176</v>
      </c>
      <c r="C135" s="349">
        <v>6259</v>
      </c>
      <c r="D135" s="349">
        <v>791440638.92999995</v>
      </c>
      <c r="E135" s="189">
        <v>0.25</v>
      </c>
      <c r="F135" s="178">
        <f>D135*E135</f>
        <v>197860159.73249999</v>
      </c>
      <c r="I135" s="419"/>
    </row>
    <row r="136" spans="2:9">
      <c r="B136" s="176" t="s">
        <v>177</v>
      </c>
      <c r="C136" s="349">
        <v>2030</v>
      </c>
      <c r="D136" s="349">
        <v>288666784.00999999</v>
      </c>
      <c r="E136" s="189">
        <v>0.5</v>
      </c>
      <c r="F136" s="178">
        <f>D136*E136</f>
        <v>144333392.005</v>
      </c>
      <c r="I136" s="349"/>
    </row>
    <row r="137" spans="2:9">
      <c r="B137" s="176" t="s">
        <v>178</v>
      </c>
      <c r="C137" s="349">
        <v>1942</v>
      </c>
      <c r="D137" s="349">
        <v>303371549.05000001</v>
      </c>
      <c r="E137" s="189">
        <v>1</v>
      </c>
      <c r="F137" s="178">
        <f>D137*E137</f>
        <v>303371549.05000001</v>
      </c>
      <c r="I137" s="349"/>
    </row>
    <row r="138" spans="2:9">
      <c r="B138" s="179" t="s">
        <v>183</v>
      </c>
      <c r="C138" s="178">
        <f>SUM(C133:C137)</f>
        <v>71477</v>
      </c>
      <c r="D138" s="178">
        <f>SUM(D133:D137)</f>
        <v>26312917830.57</v>
      </c>
      <c r="E138" s="178">
        <v>1.81</v>
      </c>
      <c r="F138" s="178">
        <f>SUM(F133:F137)</f>
        <v>919021459.07130003</v>
      </c>
      <c r="I138" s="349"/>
    </row>
    <row r="139" spans="2:9">
      <c r="C139" s="187" t="s">
        <v>180</v>
      </c>
      <c r="D139" s="187">
        <f>SUM(D135:D137)</f>
        <v>1383478971.99</v>
      </c>
      <c r="I139" s="349"/>
    </row>
    <row r="140" spans="2:9">
      <c r="C140" s="173" t="s">
        <v>181</v>
      </c>
      <c r="D140" s="271">
        <f>D139/D138</f>
        <v>5.2577938368457658E-2</v>
      </c>
    </row>
    <row r="142" spans="2:9">
      <c r="I142" s="349">
        <v>58059</v>
      </c>
    </row>
    <row r="143" spans="2:9">
      <c r="I143" s="349">
        <v>2213</v>
      </c>
    </row>
    <row r="144" spans="2:9" ht="15.6">
      <c r="B144" s="173"/>
      <c r="C144" s="173"/>
      <c r="D144" s="190">
        <v>43709</v>
      </c>
      <c r="E144" s="173"/>
      <c r="F144" s="173"/>
      <c r="I144" s="349">
        <v>5719</v>
      </c>
    </row>
    <row r="145" spans="2:9" ht="41.45">
      <c r="B145" s="175" t="s">
        <v>169</v>
      </c>
      <c r="C145" s="175" t="s">
        <v>170</v>
      </c>
      <c r="D145" s="175" t="s">
        <v>171</v>
      </c>
      <c r="E145" s="175" t="s">
        <v>172</v>
      </c>
      <c r="F145" s="175" t="s">
        <v>173</v>
      </c>
      <c r="I145" s="349">
        <v>3375</v>
      </c>
    </row>
    <row r="146" spans="2:9">
      <c r="B146" s="176" t="s">
        <v>174</v>
      </c>
      <c r="C146" s="349">
        <v>58059</v>
      </c>
      <c r="D146" s="349">
        <v>24955003513.07</v>
      </c>
      <c r="E146" s="189">
        <v>0.01</v>
      </c>
      <c r="F146" s="178">
        <f>D146*E146</f>
        <v>249550035.13069999</v>
      </c>
      <c r="I146" s="349">
        <v>2831</v>
      </c>
    </row>
    <row r="147" spans="2:9">
      <c r="B147" s="176" t="s">
        <v>175</v>
      </c>
      <c r="C147" s="349">
        <v>2213</v>
      </c>
      <c r="D147" s="349">
        <v>514753153.87</v>
      </c>
      <c r="E147" s="189">
        <v>0.05</v>
      </c>
      <c r="F147" s="178">
        <f>D147*E147</f>
        <v>25737657.693500001</v>
      </c>
      <c r="I147" s="348" t="s">
        <v>184</v>
      </c>
    </row>
    <row r="148" spans="2:9">
      <c r="B148" s="176" t="s">
        <v>176</v>
      </c>
      <c r="C148" s="349">
        <v>5719</v>
      </c>
      <c r="D148" s="349">
        <v>808477948.41999996</v>
      </c>
      <c r="E148" s="189">
        <v>0.25</v>
      </c>
      <c r="F148" s="178">
        <f>D148*E148</f>
        <v>202119487.10499999</v>
      </c>
      <c r="I148" s="349">
        <v>24955003513.07</v>
      </c>
    </row>
    <row r="149" spans="2:9">
      <c r="B149" s="176" t="s">
        <v>177</v>
      </c>
      <c r="C149" s="349">
        <v>3375</v>
      </c>
      <c r="D149" s="349">
        <v>230363099.72999999</v>
      </c>
      <c r="E149" s="189">
        <v>0.5</v>
      </c>
      <c r="F149" s="178">
        <f>D149*E149</f>
        <v>115181549.86499999</v>
      </c>
      <c r="I149" s="349">
        <v>514753153.87</v>
      </c>
    </row>
    <row r="150" spans="2:9">
      <c r="B150" s="176" t="s">
        <v>178</v>
      </c>
      <c r="C150" s="349">
        <v>2831</v>
      </c>
      <c r="D150" s="349">
        <v>422605818.20999998</v>
      </c>
      <c r="E150" s="189">
        <v>1</v>
      </c>
      <c r="F150" s="178">
        <f>D150*E150</f>
        <v>422605818.20999998</v>
      </c>
      <c r="I150" s="349">
        <v>808477948.41999996</v>
      </c>
    </row>
    <row r="151" spans="2:9">
      <c r="B151" s="179" t="s">
        <v>183</v>
      </c>
      <c r="C151" s="178">
        <f>SUM(C146:C150)</f>
        <v>72197</v>
      </c>
      <c r="D151" s="178">
        <f>SUM(D146:D150)</f>
        <v>26931203533.299995</v>
      </c>
      <c r="E151" s="178">
        <v>1.81</v>
      </c>
      <c r="F151" s="178">
        <f>SUM(F146:F150)</f>
        <v>1015194548.0042</v>
      </c>
      <c r="I151" s="349">
        <v>230363099.72999999</v>
      </c>
    </row>
    <row r="152" spans="2:9">
      <c r="C152" s="187" t="s">
        <v>180</v>
      </c>
      <c r="D152" s="187">
        <f>SUM(D148:D150)</f>
        <v>1461446866.3599999</v>
      </c>
      <c r="I152" s="349">
        <v>422605818.20999998</v>
      </c>
    </row>
    <row r="153" spans="2:9">
      <c r="C153" s="173" t="s">
        <v>181</v>
      </c>
      <c r="D153" s="271">
        <f>D152/D151</f>
        <v>5.4265932250407767E-2</v>
      </c>
    </row>
    <row r="156" spans="2:9" ht="15.6">
      <c r="B156" s="173"/>
      <c r="C156" s="173"/>
      <c r="D156" s="190">
        <v>43800</v>
      </c>
      <c r="E156" s="173"/>
      <c r="F156" s="173"/>
    </row>
    <row r="157" spans="2:9" ht="41.45">
      <c r="B157" s="175" t="s">
        <v>169</v>
      </c>
      <c r="C157" s="175" t="s">
        <v>170</v>
      </c>
      <c r="D157" s="175" t="s">
        <v>171</v>
      </c>
      <c r="E157" s="175" t="s">
        <v>172</v>
      </c>
      <c r="F157" s="175" t="s">
        <v>173</v>
      </c>
      <c r="I157" s="349">
        <v>60961</v>
      </c>
    </row>
    <row r="158" spans="2:9">
      <c r="B158" s="176" t="s">
        <v>174</v>
      </c>
      <c r="C158" s="349">
        <v>60961</v>
      </c>
      <c r="D158" s="349">
        <v>28334470802.610001</v>
      </c>
      <c r="E158" s="189">
        <v>0.01</v>
      </c>
      <c r="F158" s="178">
        <f>D158*E158</f>
        <v>283344708.02610004</v>
      </c>
      <c r="I158" s="349">
        <v>2605</v>
      </c>
    </row>
    <row r="159" spans="2:9">
      <c r="B159" s="176" t="s">
        <v>175</v>
      </c>
      <c r="C159" s="349">
        <v>2605</v>
      </c>
      <c r="D159" s="349">
        <v>620546912.94000006</v>
      </c>
      <c r="E159" s="189">
        <v>0.05</v>
      </c>
      <c r="F159" s="178">
        <f>D159*E159</f>
        <v>31027345.647000004</v>
      </c>
      <c r="I159" s="349">
        <v>4524</v>
      </c>
    </row>
    <row r="160" spans="2:9">
      <c r="B160" s="176" t="s">
        <v>176</v>
      </c>
      <c r="C160" s="349">
        <v>4524</v>
      </c>
      <c r="D160" s="349">
        <v>711891933.12</v>
      </c>
      <c r="E160" s="189">
        <v>0.25</v>
      </c>
      <c r="F160" s="178">
        <f>D160*E160</f>
        <v>177972983.28</v>
      </c>
      <c r="I160" s="349">
        <v>4616</v>
      </c>
    </row>
    <row r="161" spans="2:9">
      <c r="B161" s="176" t="s">
        <v>177</v>
      </c>
      <c r="C161" s="349">
        <v>4616</v>
      </c>
      <c r="D161" s="349">
        <v>275129720.85000002</v>
      </c>
      <c r="E161" s="189">
        <v>0.5</v>
      </c>
      <c r="F161" s="178">
        <f>D161*E161</f>
        <v>137564860.42500001</v>
      </c>
      <c r="I161" s="349">
        <v>3841</v>
      </c>
    </row>
    <row r="162" spans="2:9">
      <c r="B162" s="176" t="s">
        <v>178</v>
      </c>
      <c r="C162" s="349">
        <v>3841</v>
      </c>
      <c r="D162" s="349">
        <v>461324074.77999997</v>
      </c>
      <c r="E162" s="189">
        <v>1</v>
      </c>
      <c r="F162" s="178">
        <f>D162*E162</f>
        <v>461324074.77999997</v>
      </c>
      <c r="I162" s="348" t="s">
        <v>184</v>
      </c>
    </row>
    <row r="163" spans="2:9">
      <c r="B163" s="179" t="s">
        <v>183</v>
      </c>
      <c r="C163" s="178">
        <f>SUM(C158:C162)</f>
        <v>76547</v>
      </c>
      <c r="D163" s="178">
        <f>SUM(D158:D162)</f>
        <v>30403363444.299995</v>
      </c>
      <c r="E163" s="178">
        <v>1.81</v>
      </c>
      <c r="F163" s="178">
        <f>SUM(F158:F162)</f>
        <v>1091233972.1581001</v>
      </c>
      <c r="I163" s="349">
        <v>28334470802.610001</v>
      </c>
    </row>
    <row r="164" spans="2:9">
      <c r="C164" s="187" t="s">
        <v>180</v>
      </c>
      <c r="D164" s="187">
        <f>SUM(D160:D162)</f>
        <v>1448345728.75</v>
      </c>
      <c r="I164" s="349">
        <v>620546912.94000006</v>
      </c>
    </row>
    <row r="165" spans="2:9">
      <c r="C165" s="173" t="s">
        <v>181</v>
      </c>
      <c r="D165" s="271">
        <f>D164/D163</f>
        <v>4.7637680988928052E-2</v>
      </c>
      <c r="I165" s="349">
        <v>711891933.12</v>
      </c>
    </row>
    <row r="166" spans="2:9">
      <c r="I166" s="349">
        <v>275129720.85000002</v>
      </c>
    </row>
    <row r="167" spans="2:9">
      <c r="I167" s="349">
        <v>461324074.77999997</v>
      </c>
    </row>
    <row r="168" spans="2:9" ht="15.6">
      <c r="B168" s="173"/>
      <c r="C168" s="173"/>
      <c r="D168" s="190">
        <v>43891</v>
      </c>
      <c r="E168" s="173"/>
      <c r="F168" s="173"/>
    </row>
    <row r="169" spans="2:9" ht="41.45">
      <c r="B169" s="175" t="s">
        <v>169</v>
      </c>
      <c r="C169" s="175" t="s">
        <v>170</v>
      </c>
      <c r="D169" s="175" t="s">
        <v>171</v>
      </c>
      <c r="E169" s="175" t="s">
        <v>172</v>
      </c>
      <c r="F169" s="175" t="s">
        <v>173</v>
      </c>
      <c r="I169" s="349">
        <v>56758</v>
      </c>
    </row>
    <row r="170" spans="2:9">
      <c r="B170" s="176" t="s">
        <v>174</v>
      </c>
      <c r="C170" s="349">
        <v>56758</v>
      </c>
      <c r="D170" s="349">
        <v>30056177689.529999</v>
      </c>
      <c r="E170" s="189">
        <v>0.01</v>
      </c>
      <c r="F170" s="178">
        <f>D170*E170</f>
        <v>300561776.89529997</v>
      </c>
      <c r="I170" s="349">
        <v>2568</v>
      </c>
    </row>
    <row r="171" spans="2:9">
      <c r="B171" s="176" t="s">
        <v>175</v>
      </c>
      <c r="C171" s="349">
        <v>2568</v>
      </c>
      <c r="D171" s="349">
        <v>405982466.37</v>
      </c>
      <c r="E171" s="189">
        <v>0.05</v>
      </c>
      <c r="F171" s="178">
        <f>D171*E171</f>
        <v>20299123.318500001</v>
      </c>
      <c r="I171" s="349">
        <v>3414</v>
      </c>
    </row>
    <row r="172" spans="2:9">
      <c r="B172" s="176" t="s">
        <v>176</v>
      </c>
      <c r="C172" s="349">
        <v>3414</v>
      </c>
      <c r="D172" s="349">
        <v>466168711.44999999</v>
      </c>
      <c r="E172" s="189">
        <v>0.25</v>
      </c>
      <c r="F172" s="178">
        <f>D172*E172</f>
        <v>116542177.8625</v>
      </c>
      <c r="I172" s="349">
        <v>3444</v>
      </c>
    </row>
    <row r="173" spans="2:9">
      <c r="B173" s="176" t="s">
        <v>177</v>
      </c>
      <c r="C173" s="349">
        <v>3444</v>
      </c>
      <c r="D173" s="349">
        <v>265834595.13</v>
      </c>
      <c r="E173" s="189">
        <v>0.5</v>
      </c>
      <c r="F173" s="178">
        <f>D173*E173</f>
        <v>132917297.565</v>
      </c>
      <c r="I173" s="349">
        <v>4405</v>
      </c>
    </row>
    <row r="174" spans="2:9">
      <c r="B174" s="176" t="s">
        <v>178</v>
      </c>
      <c r="C174" s="349">
        <v>4405</v>
      </c>
      <c r="D174" s="349">
        <v>508511168.82999998</v>
      </c>
      <c r="E174" s="189">
        <v>1</v>
      </c>
      <c r="F174" s="178">
        <f>D174*E174</f>
        <v>508511168.82999998</v>
      </c>
      <c r="I174" s="348" t="s">
        <v>184</v>
      </c>
    </row>
    <row r="175" spans="2:9">
      <c r="B175" s="179" t="s">
        <v>183</v>
      </c>
      <c r="C175" s="178">
        <f>SUM(C170:C174)</f>
        <v>70589</v>
      </c>
      <c r="D175" s="178">
        <f>SUM(D170:D174)</f>
        <v>31702674631.310001</v>
      </c>
      <c r="E175" s="178">
        <v>1.81</v>
      </c>
      <c r="F175" s="178">
        <f>SUM(F170:F174)</f>
        <v>1078831544.4712999</v>
      </c>
      <c r="I175" s="349">
        <v>30056177689.529999</v>
      </c>
    </row>
    <row r="176" spans="2:9">
      <c r="C176" s="187" t="s">
        <v>180</v>
      </c>
      <c r="D176" s="187">
        <f>SUM(D172:D174)</f>
        <v>1240514475.4099998</v>
      </c>
      <c r="I176" s="349">
        <v>405982466.37</v>
      </c>
    </row>
    <row r="177" spans="2:11">
      <c r="C177" s="173" t="s">
        <v>181</v>
      </c>
      <c r="D177" s="271">
        <f>D176/D175</f>
        <v>3.9129647256476288E-2</v>
      </c>
      <c r="I177" s="349">
        <v>466168711.44999999</v>
      </c>
    </row>
    <row r="178" spans="2:11">
      <c r="I178" s="349">
        <v>265834595.13</v>
      </c>
    </row>
    <row r="179" spans="2:11">
      <c r="I179" s="349">
        <v>508511168.82999998</v>
      </c>
      <c r="K179" s="349">
        <v>9442</v>
      </c>
    </row>
    <row r="180" spans="2:11" ht="15.6">
      <c r="B180" s="173"/>
      <c r="C180" s="173"/>
      <c r="D180" s="190">
        <v>43983</v>
      </c>
      <c r="E180" s="173"/>
      <c r="F180" s="173"/>
      <c r="K180" s="349">
        <v>489</v>
      </c>
    </row>
    <row r="181" spans="2:11" ht="41.45">
      <c r="B181" s="175" t="s">
        <v>169</v>
      </c>
      <c r="C181" s="175" t="s">
        <v>170</v>
      </c>
      <c r="D181" s="175" t="s">
        <v>171</v>
      </c>
      <c r="E181" s="175" t="s">
        <v>172</v>
      </c>
      <c r="F181" s="175" t="s">
        <v>173</v>
      </c>
      <c r="I181" s="349">
        <v>54032</v>
      </c>
      <c r="K181" s="349">
        <v>334</v>
      </c>
    </row>
    <row r="182" spans="2:11">
      <c r="B182" s="176" t="s">
        <v>174</v>
      </c>
      <c r="C182" s="191">
        <v>54032</v>
      </c>
      <c r="D182" s="349">
        <v>31136802305.599998</v>
      </c>
      <c r="E182" s="189">
        <v>0.01</v>
      </c>
      <c r="F182" s="178">
        <f>D182*E182</f>
        <v>311368023.05599999</v>
      </c>
      <c r="I182" s="349">
        <v>2868</v>
      </c>
      <c r="K182" s="349">
        <v>213</v>
      </c>
    </row>
    <row r="183" spans="2:11">
      <c r="B183" s="176" t="s">
        <v>175</v>
      </c>
      <c r="C183" s="191">
        <v>2868</v>
      </c>
      <c r="D183" s="349">
        <v>556851603.25</v>
      </c>
      <c r="E183" s="189">
        <v>0.05</v>
      </c>
      <c r="F183" s="178">
        <f>D183*E183</f>
        <v>27842580.162500001</v>
      </c>
      <c r="I183" s="349">
        <v>5490</v>
      </c>
      <c r="K183" s="349">
        <v>179</v>
      </c>
    </row>
    <row r="184" spans="2:11">
      <c r="B184" s="176" t="s">
        <v>176</v>
      </c>
      <c r="C184" s="191">
        <v>5490</v>
      </c>
      <c r="D184" s="349">
        <v>939774847.50999999</v>
      </c>
      <c r="E184" s="189">
        <v>0.25</v>
      </c>
      <c r="F184" s="178">
        <f>D184*E184</f>
        <v>234943711.8775</v>
      </c>
      <c r="I184" s="349">
        <v>2090</v>
      </c>
      <c r="K184" s="348" t="s">
        <v>185</v>
      </c>
    </row>
    <row r="185" spans="2:11">
      <c r="B185" s="176" t="s">
        <v>177</v>
      </c>
      <c r="C185" s="191">
        <v>2090</v>
      </c>
      <c r="D185" s="349">
        <v>166560152.63</v>
      </c>
      <c r="E185" s="189">
        <v>0.5</v>
      </c>
      <c r="F185" s="178">
        <f>D185*E185</f>
        <v>83280076.314999998</v>
      </c>
      <c r="I185" s="349">
        <v>6252</v>
      </c>
      <c r="K185" s="349">
        <v>3881544668.5</v>
      </c>
    </row>
    <row r="186" spans="2:11">
      <c r="B186" s="176" t="s">
        <v>178</v>
      </c>
      <c r="C186" s="191">
        <v>6252</v>
      </c>
      <c r="D186" s="349">
        <v>566668718.28999996</v>
      </c>
      <c r="E186" s="189">
        <v>1</v>
      </c>
      <c r="F186" s="178">
        <f>D186*E186</f>
        <v>566668718.28999996</v>
      </c>
      <c r="I186" s="348" t="s">
        <v>184</v>
      </c>
      <c r="K186" s="349">
        <v>160468933.56999999</v>
      </c>
    </row>
    <row r="187" spans="2:11">
      <c r="B187" s="179" t="s">
        <v>183</v>
      </c>
      <c r="C187" s="178">
        <f>SUM(C182:C186)</f>
        <v>70732</v>
      </c>
      <c r="D187" s="178">
        <f>SUM(D182:D186)</f>
        <v>33366657627.279999</v>
      </c>
      <c r="E187" s="178">
        <v>1.81</v>
      </c>
      <c r="F187" s="178">
        <f>SUM(F182:F186)</f>
        <v>1224103109.701</v>
      </c>
      <c r="I187" s="349">
        <v>31136802305.599998</v>
      </c>
      <c r="K187" s="349">
        <v>89254258.359999999</v>
      </c>
    </row>
    <row r="188" spans="2:11">
      <c r="C188" s="187" t="s">
        <v>180</v>
      </c>
      <c r="D188" s="187">
        <f>SUM(D184:D186)</f>
        <v>1673003718.4299998</v>
      </c>
      <c r="I188" s="349">
        <v>556851603.25</v>
      </c>
      <c r="K188" s="349">
        <v>65250224.869999997</v>
      </c>
    </row>
    <row r="189" spans="2:11">
      <c r="C189" s="173" t="s">
        <v>181</v>
      </c>
      <c r="D189" s="271">
        <f>D188/D187</f>
        <v>5.0139985164776621E-2</v>
      </c>
      <c r="I189" s="349">
        <v>939774847.50999999</v>
      </c>
      <c r="K189" s="349">
        <v>64838378.710000001</v>
      </c>
    </row>
    <row r="190" spans="2:11">
      <c r="I190" s="349">
        <v>166560152.63</v>
      </c>
    </row>
    <row r="191" spans="2:11">
      <c r="I191" s="349">
        <v>566668718.28999996</v>
      </c>
    </row>
  </sheetData>
  <mergeCells count="2">
    <mergeCell ref="I132:I133"/>
    <mergeCell ref="I134:I135"/>
  </mergeCells>
  <dataValidations count="2">
    <dataValidation type="decimal" showErrorMessage="1" errorTitle="Error Msg" error="Enter a NO" sqref="C3:C7 C12:C16 C23:C27 C34:C38 C86:C90 C64:C68 C55:C59 C75:C79" xr:uid="{00000000-0002-0000-0300-000000000000}">
      <formula1>0</formula1>
      <formula2>999999999999</formula2>
    </dataValidation>
    <dataValidation type="decimal" showErrorMessage="1" errorTitle="Error Msg" error="Enter a number" sqref="D3:D7 D12:D16 D23:D27 D34:D38 D86:D90 D64:D68 D55:D59 D75:D79" xr:uid="{00000000-0002-0000-0300-000001000000}">
      <formula1>0</formula1>
      <formula2>999999999999</formula2>
    </dataValidation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42"/>
  <sheetViews>
    <sheetView workbookViewId="0">
      <pane xSplit="3" ySplit="2" topLeftCell="CF3" activePane="bottomRight" state="frozen"/>
      <selection pane="bottomRight" activeCell="CK3" sqref="CK3:CN41"/>
      <selection pane="bottomLeft" activeCell="A3" sqref="A3"/>
      <selection pane="topRight" activeCell="D1" sqref="D1"/>
    </sheetView>
  </sheetViews>
  <sheetFormatPr defaultRowHeight="14.45"/>
  <cols>
    <col min="1" max="1" width="25.42578125" bestFit="1" customWidth="1"/>
    <col min="2" max="2" width="31.42578125" bestFit="1" customWidth="1"/>
    <col min="3" max="3" width="10.5703125" bestFit="1" customWidth="1"/>
    <col min="4" max="4" width="12.5703125" bestFit="1" customWidth="1"/>
    <col min="5" max="7" width="12.5703125" customWidth="1"/>
    <col min="8" max="16" width="9.5703125" bestFit="1" customWidth="1"/>
    <col min="17" max="17" width="10.42578125" customWidth="1"/>
    <col min="18" max="18" width="9.5703125" customWidth="1"/>
    <col min="19" max="19" width="9.5703125" bestFit="1" customWidth="1"/>
    <col min="20" max="20" width="13.7109375" bestFit="1" customWidth="1"/>
    <col min="21" max="27" width="9.5703125" bestFit="1" customWidth="1"/>
    <col min="46" max="46" width="12.140625" bestFit="1" customWidth="1"/>
    <col min="55" max="55" width="9.85546875" customWidth="1"/>
  </cols>
  <sheetData>
    <row r="1" spans="1:92" ht="18.600000000000001" thickBot="1">
      <c r="A1" s="424" t="s">
        <v>186</v>
      </c>
      <c r="B1" s="424"/>
    </row>
    <row r="2" spans="1:92" ht="15">
      <c r="A2" s="35"/>
      <c r="B2" s="36"/>
      <c r="C2" s="36"/>
      <c r="D2" s="37" t="s">
        <v>187</v>
      </c>
      <c r="E2" s="37" t="s">
        <v>188</v>
      </c>
      <c r="F2" s="37" t="s">
        <v>189</v>
      </c>
      <c r="G2" s="37" t="s">
        <v>190</v>
      </c>
      <c r="H2" s="37">
        <v>42736</v>
      </c>
      <c r="I2" s="37">
        <v>42767</v>
      </c>
      <c r="J2" s="37">
        <v>42795</v>
      </c>
      <c r="K2" s="37">
        <v>42826</v>
      </c>
      <c r="L2" s="37">
        <v>42856</v>
      </c>
      <c r="M2" s="37">
        <v>42887</v>
      </c>
      <c r="N2" s="37">
        <v>42917</v>
      </c>
      <c r="O2" s="37">
        <v>42948</v>
      </c>
      <c r="P2" s="37">
        <v>42979</v>
      </c>
      <c r="Q2" s="37">
        <v>43009</v>
      </c>
      <c r="R2" s="37">
        <v>43040</v>
      </c>
      <c r="S2" s="37">
        <v>43070</v>
      </c>
      <c r="T2" s="37" t="s">
        <v>65</v>
      </c>
      <c r="U2" s="37">
        <v>43101</v>
      </c>
      <c r="V2" s="37">
        <v>43132</v>
      </c>
      <c r="W2" s="37">
        <v>43160</v>
      </c>
      <c r="X2" s="37">
        <v>43191</v>
      </c>
      <c r="Y2" s="37">
        <v>43221</v>
      </c>
      <c r="Z2" s="37">
        <v>43252</v>
      </c>
      <c r="AA2" s="37">
        <v>43282</v>
      </c>
      <c r="AB2" s="37">
        <v>43313</v>
      </c>
      <c r="AC2" s="37">
        <v>43344</v>
      </c>
      <c r="AD2" s="37">
        <v>43374</v>
      </c>
      <c r="AE2" s="37">
        <v>43405</v>
      </c>
      <c r="AF2" s="37">
        <v>43435</v>
      </c>
      <c r="AG2" s="37" t="s">
        <v>182</v>
      </c>
      <c r="AH2" s="37">
        <v>43466</v>
      </c>
      <c r="AI2" s="37">
        <v>43497</v>
      </c>
      <c r="AJ2" s="37">
        <v>43525</v>
      </c>
      <c r="AK2" s="37">
        <v>43556</v>
      </c>
      <c r="AL2" s="37">
        <v>43586</v>
      </c>
      <c r="AM2" s="37">
        <v>43617</v>
      </c>
      <c r="AN2" s="37">
        <v>43647</v>
      </c>
      <c r="AO2" s="37">
        <v>43678</v>
      </c>
      <c r="AP2" s="37">
        <v>43709</v>
      </c>
      <c r="AQ2" s="37">
        <v>43739</v>
      </c>
      <c r="AR2" s="37">
        <v>43770</v>
      </c>
      <c r="AS2" s="37">
        <v>43800</v>
      </c>
      <c r="AT2" s="37" t="s">
        <v>66</v>
      </c>
      <c r="AU2" s="37">
        <v>43831</v>
      </c>
      <c r="AV2" s="37">
        <v>43862</v>
      </c>
      <c r="AW2" s="37">
        <v>43891</v>
      </c>
      <c r="AX2" s="37">
        <v>43922</v>
      </c>
      <c r="AY2" s="37">
        <v>43952</v>
      </c>
      <c r="AZ2" s="37">
        <v>43983</v>
      </c>
      <c r="BA2" s="37">
        <v>44013</v>
      </c>
      <c r="BB2" s="37">
        <v>44044</v>
      </c>
      <c r="BC2" s="37">
        <v>44075</v>
      </c>
      <c r="BD2" s="37">
        <v>44105</v>
      </c>
      <c r="BE2" s="37">
        <v>44136</v>
      </c>
      <c r="BF2" s="37">
        <v>44166</v>
      </c>
      <c r="BG2" s="37">
        <v>44197</v>
      </c>
      <c r="BH2" s="37">
        <v>44228</v>
      </c>
      <c r="BI2" s="37">
        <v>44256</v>
      </c>
      <c r="BJ2" s="37">
        <v>44287</v>
      </c>
      <c r="BK2" s="37">
        <v>44317</v>
      </c>
      <c r="BL2" s="37">
        <v>44348</v>
      </c>
      <c r="BM2" s="37">
        <v>44378</v>
      </c>
      <c r="BN2" s="37">
        <v>44409</v>
      </c>
      <c r="BO2" s="37">
        <v>44440</v>
      </c>
      <c r="BP2" s="37">
        <v>44470</v>
      </c>
      <c r="BQ2" s="37">
        <v>44501</v>
      </c>
      <c r="BR2" s="37">
        <v>44531</v>
      </c>
      <c r="BS2" s="37">
        <v>44562</v>
      </c>
      <c r="BT2" s="37">
        <v>44593</v>
      </c>
      <c r="BU2" s="37">
        <v>44621</v>
      </c>
      <c r="BV2" s="37">
        <v>44652</v>
      </c>
      <c r="BW2" s="37">
        <v>44682</v>
      </c>
      <c r="BX2" s="37">
        <v>44713</v>
      </c>
      <c r="BY2" s="37">
        <v>44743</v>
      </c>
      <c r="BZ2" s="37">
        <v>44774</v>
      </c>
      <c r="CA2" s="37">
        <v>44805</v>
      </c>
      <c r="CB2" s="37">
        <v>44835</v>
      </c>
      <c r="CC2" s="37">
        <v>44866</v>
      </c>
      <c r="CD2" s="37">
        <v>44896</v>
      </c>
      <c r="CE2" s="375" t="s">
        <v>11</v>
      </c>
      <c r="CF2" s="369">
        <v>44927</v>
      </c>
      <c r="CG2" s="369">
        <v>44958</v>
      </c>
      <c r="CH2" s="369">
        <v>44986</v>
      </c>
      <c r="CI2" s="369">
        <v>45017</v>
      </c>
      <c r="CJ2" s="369">
        <v>45047</v>
      </c>
      <c r="CK2" s="369">
        <v>45078</v>
      </c>
      <c r="CL2" s="369">
        <v>45108</v>
      </c>
      <c r="CM2" s="369">
        <v>45139</v>
      </c>
      <c r="CN2" s="369">
        <v>45170</v>
      </c>
    </row>
    <row r="3" spans="1:92" ht="15.75">
      <c r="A3" s="425" t="s">
        <v>191</v>
      </c>
      <c r="B3" s="3" t="s">
        <v>149</v>
      </c>
      <c r="C3" s="11" t="s">
        <v>192</v>
      </c>
      <c r="D3" s="172" t="e">
        <f>(('Evolutive SFP'!#REF!+'Evolutive SFP'!#REF!+'Evolutive SFP'!#REF!+'Evolutive SFP'!#REF!+'Evolutive SFP'!#REF!+'Evolutive SFP'!#REF!)-'Evolutive SFP'!#REF!)/1000000</f>
        <v>#REF!</v>
      </c>
      <c r="E3" s="172" t="e">
        <f>(('Evolutive SFP'!#REF!+'Evolutive SFP'!#REF!+'Evolutive SFP'!#REF!+'Evolutive SFP'!#REF!+'Evolutive SFP'!#REF!+'Evolutive SFP'!#REF!)-'Evolutive SFP'!#REF!)/1000000</f>
        <v>#REF!</v>
      </c>
      <c r="F3" s="172" t="e">
        <f>(('Evolutive SFP'!#REF!+'Evolutive SFP'!#REF!+'Evolutive SFP'!#REF!+'Evolutive SFP'!#REF!+'Evolutive SFP'!#REF!+'Evolutive SFP'!#REF!)-'Evolutive SFP'!#REF!)/1000000</f>
        <v>#REF!</v>
      </c>
      <c r="G3" s="172" t="e">
        <f>(('Evolutive SFP'!#REF!+'Evolutive SFP'!#REF!+'Evolutive SFP'!#REF!+'Evolutive SFP'!#REF!+'Evolutive SFP'!#REF!+'Evolutive SFP'!#REF!)-'Evolutive SFP'!#REF!)/1000000</f>
        <v>#REF!</v>
      </c>
      <c r="H3" s="172" t="e">
        <f>(('Evolutive SFP'!#REF!+'Evolutive SFP'!#REF!+'Evolutive SFP'!#REF!+'Evolutive SFP'!#REF!+'Evolutive SFP'!#REF!+'Evolutive SFP'!#REF!)-'Evolutive SFP'!#REF!)/1000000</f>
        <v>#REF!</v>
      </c>
      <c r="I3" s="172" t="e">
        <f>(('Evolutive SFP'!#REF!+'Evolutive SFP'!#REF!+'Evolutive SFP'!#REF!+'Evolutive SFP'!#REF!+'Evolutive SFP'!#REF!+'Evolutive SFP'!#REF!)-'Evolutive SFP'!#REF!)/1000000</f>
        <v>#REF!</v>
      </c>
      <c r="J3" s="172" t="e">
        <f>(('Evolutive SFP'!#REF!+'Evolutive SFP'!#REF!+'Evolutive SFP'!#REF!+'Evolutive SFP'!#REF!+'Evolutive SFP'!#REF!+'Evolutive SFP'!#REF!)-'Evolutive SFP'!#REF!)/1000000</f>
        <v>#REF!</v>
      </c>
      <c r="K3" s="172" t="e">
        <f>(('Evolutive SFP'!#REF!+'Evolutive SFP'!#REF!+'Evolutive SFP'!#REF!+'Evolutive SFP'!#REF!+'Evolutive SFP'!#REF!+'Evolutive SFP'!#REF!)-'Evolutive SFP'!#REF!)/1000000</f>
        <v>#REF!</v>
      </c>
      <c r="L3" s="172" t="e">
        <f>(('Evolutive SFP'!#REF!+'Evolutive SFP'!#REF!+'Evolutive SFP'!#REF!+'Evolutive SFP'!#REF!+'Evolutive SFP'!#REF!+'Evolutive SFP'!#REF!)-'Evolutive SFP'!#REF!)/1000000</f>
        <v>#REF!</v>
      </c>
      <c r="M3" s="172" t="e">
        <f>(('Evolutive SFP'!#REF!+'Evolutive SFP'!#REF!+'Evolutive SFP'!#REF!+'Evolutive SFP'!#REF!+'Evolutive SFP'!#REF!+'Evolutive SFP'!#REF!)-'Evolutive SFP'!#REF!)/1000000</f>
        <v>#REF!</v>
      </c>
      <c r="N3" s="172" t="e">
        <f>(('Evolutive SFP'!#REF!+'Evolutive SFP'!#REF!+'Evolutive SFP'!#REF!+'Evolutive SFP'!#REF!+'Evolutive SFP'!#REF!+'Evolutive SFP'!#REF!)-'Evolutive SFP'!#REF!)/1000000</f>
        <v>#REF!</v>
      </c>
      <c r="O3" s="172" t="e">
        <f>(('Evolutive SFP'!#REF!+'Evolutive SFP'!#REF!+'Evolutive SFP'!#REF!+'Evolutive SFP'!#REF!+'Evolutive SFP'!#REF!+'Evolutive SFP'!#REF!)-'Evolutive SFP'!#REF!)/1000000</f>
        <v>#REF!</v>
      </c>
      <c r="P3" s="172" t="e">
        <f>(('Evolutive SFP'!#REF!+'Evolutive SFP'!#REF!+'Evolutive SFP'!#REF!+'Evolutive SFP'!#REF!+'Evolutive SFP'!#REF!+'Evolutive SFP'!#REF!)-'Evolutive SFP'!#REF!)/1000000</f>
        <v>#REF!</v>
      </c>
      <c r="Q3" s="172" t="e">
        <f>(('Evolutive SFP'!#REF!+'Evolutive SFP'!#REF!+'Evolutive SFP'!#REF!+'Evolutive SFP'!#REF!+'Evolutive SFP'!#REF!+'Evolutive SFP'!#REF!)-'Evolutive SFP'!#REF!)/1000000</f>
        <v>#REF!</v>
      </c>
      <c r="R3" s="172" t="e">
        <f>(('Evolutive SFP'!#REF!+'Evolutive SFP'!#REF!+'Evolutive SFP'!#REF!+'Evolutive SFP'!#REF!+'Evolutive SFP'!#REF!+'Evolutive SFP'!#REF!)-'Evolutive SFP'!#REF!)/1000000</f>
        <v>#REF!</v>
      </c>
      <c r="S3" s="172" t="e">
        <f>(('Evolutive SFP'!#REF!+'Evolutive SFP'!#REF!+'Evolutive SFP'!#REF!+'Evolutive SFP'!#REF!+'Evolutive SFP'!#REF!+'Evolutive SFP'!#REF!)-'Evolutive SFP'!#REF!)/1000000</f>
        <v>#REF!</v>
      </c>
      <c r="T3" s="172" t="e">
        <f>(('Evolutive SFP'!#REF!+'Evolutive SFP'!#REF!+'Evolutive SFP'!#REF!+'Evolutive SFP'!#REF!+'Evolutive SFP'!#REF!+'Evolutive SFP'!#REF!)-'Evolutive SFP'!#REF!)/1000000</f>
        <v>#REF!</v>
      </c>
      <c r="U3" s="172" t="e">
        <f>(('Evolutive SFP'!#REF!+'Evolutive SFP'!#REF!+'Evolutive SFP'!#REF!+'Evolutive SFP'!#REF!+'Evolutive SFP'!#REF!+'Evolutive SFP'!#REF!)-'Evolutive SFP'!#REF!)/1000000</f>
        <v>#REF!</v>
      </c>
      <c r="V3" s="172" t="e">
        <f>(('Evolutive SFP'!#REF!+'Evolutive SFP'!#REF!+'Evolutive SFP'!#REF!+'Evolutive SFP'!#REF!+'Evolutive SFP'!#REF!+'Evolutive SFP'!#REF!)-'Evolutive SFP'!#REF!)/1000000</f>
        <v>#REF!</v>
      </c>
      <c r="W3" s="172" t="e">
        <f>(('Evolutive SFP'!#REF!+'Evolutive SFP'!#REF!+'Evolutive SFP'!#REF!+'Evolutive SFP'!#REF!+'Evolutive SFP'!#REF!+'Evolutive SFP'!#REF!)-'Evolutive SFP'!#REF!)/1000000</f>
        <v>#REF!</v>
      </c>
      <c r="X3" s="172" t="e">
        <f>(('Evolutive SFP'!#REF!+'Evolutive SFP'!#REF!+'Evolutive SFP'!#REF!+'Evolutive SFP'!#REF!+'Evolutive SFP'!#REF!+'Evolutive SFP'!#REF!)-'Evolutive SFP'!#REF!)/1000000</f>
        <v>#REF!</v>
      </c>
      <c r="Y3" s="172" t="e">
        <f>(('Evolutive SFP'!#REF!+'Evolutive SFP'!#REF!+'Evolutive SFP'!#REF!+'Evolutive SFP'!#REF!+'Evolutive SFP'!#REF!+'Evolutive SFP'!#REF!)-'Evolutive SFP'!#REF!)/1000000</f>
        <v>#REF!</v>
      </c>
      <c r="Z3" s="172" t="e">
        <f>(('Evolutive SFP'!#REF!+'Evolutive SFP'!#REF!+'Evolutive SFP'!#REF!+'Evolutive SFP'!#REF!+'Evolutive SFP'!#REF!+'Evolutive SFP'!#REF!)-'Evolutive SFP'!#REF!)/1000000</f>
        <v>#REF!</v>
      </c>
      <c r="AA3" s="172" t="e">
        <f>(('Evolutive SFP'!#REF!+'Evolutive SFP'!#REF!+'Evolutive SFP'!#REF!+'Evolutive SFP'!#REF!+'Evolutive SFP'!#REF!+'Evolutive SFP'!#REF!)-'Evolutive SFP'!#REF!)/1000000</f>
        <v>#REF!</v>
      </c>
      <c r="AB3" s="172" t="e">
        <f>(('Evolutive SFP'!#REF!+'Evolutive SFP'!#REF!+'Evolutive SFP'!#REF!+'Evolutive SFP'!#REF!+'Evolutive SFP'!#REF!+'Evolutive SFP'!#REF!)-'Evolutive SFP'!#REF!)/1000000</f>
        <v>#REF!</v>
      </c>
      <c r="AC3" s="172" t="e">
        <f>(('Evolutive SFP'!#REF!+'Evolutive SFP'!#REF!+'Evolutive SFP'!#REF!+'Evolutive SFP'!#REF!+'Evolutive SFP'!#REF!+'Evolutive SFP'!#REF!)-'Evolutive SFP'!#REF!)/1000000</f>
        <v>#REF!</v>
      </c>
      <c r="AD3" s="172" t="e">
        <f>(('Evolutive SFP'!#REF!+'Evolutive SFP'!#REF!+'Evolutive SFP'!#REF!+'Evolutive SFP'!#REF!+'Evolutive SFP'!#REF!+'Evolutive SFP'!#REF!)-'Evolutive SFP'!#REF!)/1000000</f>
        <v>#REF!</v>
      </c>
      <c r="AE3" s="172" t="e">
        <f>(('Evolutive SFP'!#REF!+'Evolutive SFP'!#REF!+'Evolutive SFP'!#REF!+'Evolutive SFP'!#REF!+'Evolutive SFP'!#REF!+'Evolutive SFP'!#REF!)-'Evolutive SFP'!#REF!)/1000000</f>
        <v>#REF!</v>
      </c>
      <c r="AF3" s="172" t="e">
        <f>(('Evolutive SFP'!#REF!+'Evolutive SFP'!#REF!+'Evolutive SFP'!#REF!+'Evolutive SFP'!#REF!+'Evolutive SFP'!#REF!+'Evolutive SFP'!#REF!)-'Evolutive SFP'!#REF!)/1000000</f>
        <v>#REF!</v>
      </c>
      <c r="AG3" s="172" t="e">
        <f>(('Evolutive SFP'!#REF!+'Evolutive SFP'!#REF!+'Evolutive SFP'!#REF!+'Evolutive SFP'!#REF!+'Evolutive SFP'!#REF!+'Evolutive SFP'!#REF!)-'Evolutive SFP'!#REF!)/1000000</f>
        <v>#REF!</v>
      </c>
      <c r="AH3" s="172" t="e">
        <f>(('Evolutive SFP'!#REF!+'Evolutive SFP'!#REF!+'Evolutive SFP'!#REF!+'Evolutive SFP'!#REF!+'Evolutive SFP'!#REF!+'Evolutive SFP'!#REF!)-'Evolutive SFP'!#REF!)/1000000</f>
        <v>#REF!</v>
      </c>
      <c r="AI3" s="172" t="e">
        <f>(('Evolutive SFP'!#REF!+'Evolutive SFP'!#REF!+'Evolutive SFP'!#REF!+'Evolutive SFP'!#REF!+'Evolutive SFP'!#REF!+'Evolutive SFP'!#REF!)-'Evolutive SFP'!#REF!)/1000000</f>
        <v>#REF!</v>
      </c>
      <c r="AJ3" s="172" t="e">
        <f>(('Evolutive SFP'!#REF!+'Evolutive SFP'!#REF!+'Evolutive SFP'!#REF!+'Evolutive SFP'!#REF!+'Evolutive SFP'!#REF!+'Evolutive SFP'!#REF!)-'Evolutive SFP'!#REF!)/1000000</f>
        <v>#REF!</v>
      </c>
      <c r="AK3" s="172" t="e">
        <f>(('Evolutive SFP'!#REF!+'Evolutive SFP'!#REF!+'Evolutive SFP'!#REF!+'Evolutive SFP'!#REF!+'Evolutive SFP'!#REF!+'Evolutive SFP'!#REF!)-'Evolutive SFP'!#REF!)/1000000</f>
        <v>#REF!</v>
      </c>
      <c r="AL3" s="172" t="e">
        <f>(('Evolutive SFP'!#REF!+'Evolutive SFP'!#REF!+'Evolutive SFP'!#REF!+'Evolutive SFP'!#REF!+'Evolutive SFP'!#REF!+'Evolutive SFP'!#REF!)-'Evolutive SFP'!#REF!)/1000000</f>
        <v>#REF!</v>
      </c>
      <c r="AM3" s="172" t="e">
        <f>(('Evolutive SFP'!#REF!+'Evolutive SFP'!#REF!+'Evolutive SFP'!#REF!+'Evolutive SFP'!#REF!+'Evolutive SFP'!#REF!+'Evolutive SFP'!#REF!)-'Evolutive SFP'!#REF!)/1000000</f>
        <v>#REF!</v>
      </c>
      <c r="AN3" s="172" t="e">
        <f>(('Evolutive SFP'!#REF!+'Evolutive SFP'!#REF!+'Evolutive SFP'!#REF!+'Evolutive SFP'!#REF!+'Evolutive SFP'!#REF!+'Evolutive SFP'!#REF!)-'Evolutive SFP'!#REF!)/1000000</f>
        <v>#REF!</v>
      </c>
      <c r="AO3" s="172" t="e">
        <f>(('Evolutive SFP'!#REF!+'Evolutive SFP'!#REF!+'Evolutive SFP'!#REF!+'Evolutive SFP'!#REF!+'Evolutive SFP'!#REF!+'Evolutive SFP'!#REF!)-'Evolutive SFP'!#REF!)/1000000</f>
        <v>#REF!</v>
      </c>
      <c r="AP3" s="172" t="e">
        <f>(('Evolutive SFP'!#REF!+'Evolutive SFP'!#REF!+'Evolutive SFP'!#REF!+'Evolutive SFP'!#REF!+'Evolutive SFP'!#REF!+'Evolutive SFP'!#REF!)-'Evolutive SFP'!#REF!)/1000000</f>
        <v>#REF!</v>
      </c>
      <c r="AQ3" s="172" t="e">
        <f>(('Evolutive SFP'!#REF!+'Evolutive SFP'!#REF!+'Evolutive SFP'!#REF!+'Evolutive SFP'!#REF!+'Evolutive SFP'!#REF!+'Evolutive SFP'!#REF!)-'Evolutive SFP'!#REF!)/1000000</f>
        <v>#REF!</v>
      </c>
      <c r="AR3" s="172" t="e">
        <f>(('Evolutive SFP'!#REF!+'Evolutive SFP'!#REF!+'Evolutive SFP'!#REF!+'Evolutive SFP'!#REF!+'Evolutive SFP'!#REF!+'Evolutive SFP'!#REF!)-'Evolutive SFP'!#REF!)/1000000</f>
        <v>#REF!</v>
      </c>
      <c r="AS3" s="172" t="e">
        <f>(('Evolutive SFP'!#REF!+'Evolutive SFP'!#REF!+'Evolutive SFP'!#REF!+'Evolutive SFP'!#REF!+'Evolutive SFP'!#REF!+'Evolutive SFP'!#REF!)-'Evolutive SFP'!#REF!)/1000000</f>
        <v>#REF!</v>
      </c>
      <c r="AT3" s="172">
        <f>(('Evolutive SFP'!AH39+'Evolutive SFP'!AH40+'Evolutive SFP'!AH41+'Evolutive SFP'!AH42+'Evolutive SFP'!AH43+'Evolutive SFP'!AH44)-'Evolutive SFP'!AH10)/1000000</f>
        <v>18.417387999999999</v>
      </c>
      <c r="AU3" s="172">
        <f>(('Evolutive SFP'!AI39+'Evolutive SFP'!AI40+'Evolutive SFP'!AI41+'Evolutive SFP'!AI42+'Evolutive SFP'!AI43+'Evolutive SFP'!AI44)-'Evolutive SFP'!AI10)/1000000</f>
        <v>18.37432445</v>
      </c>
      <c r="AV3" s="172">
        <f>(('Evolutive SFP'!AJ39+'Evolutive SFP'!AJ40+'Evolutive SFP'!AJ41+'Evolutive SFP'!AJ42+'Evolutive SFP'!AJ43+'Evolutive SFP'!AJ44)-'Evolutive SFP'!AJ10)/1000000</f>
        <v>18.722379939999996</v>
      </c>
      <c r="AW3" s="172">
        <f>(('Evolutive SFP'!AK39+'Evolutive SFP'!AK40+'Evolutive SFP'!AK41+'Evolutive SFP'!AK42+'Evolutive SFP'!AK43+'Evolutive SFP'!AK44)-'Evolutive SFP'!AK10)/1000000</f>
        <v>19.858144379999999</v>
      </c>
      <c r="AX3" s="172">
        <f>(('Evolutive SFP'!AL39+'Evolutive SFP'!AL40+'Evolutive SFP'!AL41+'Evolutive SFP'!AL42+'Evolutive SFP'!AL43+'Evolutive SFP'!AL44)-'Evolutive SFP'!AL10)/1000000</f>
        <v>20.201076329999999</v>
      </c>
      <c r="AY3" s="172">
        <f>(('Evolutive SFP'!AM39+'Evolutive SFP'!AM40+'Evolutive SFP'!AM41+'Evolutive SFP'!AM42+'Evolutive SFP'!AM43+'Evolutive SFP'!AM44)-'Evolutive SFP'!AM10)/1000000</f>
        <v>20.684642529999998</v>
      </c>
      <c r="AZ3" s="172">
        <f>(('Evolutive SFP'!AN39+'Evolutive SFP'!AN40+'Evolutive SFP'!AN41+'Evolutive SFP'!AN42+'Evolutive SFP'!AN43+'Evolutive SFP'!AN44)-'Evolutive SFP'!AN10)/1000000</f>
        <v>21.140937049999998</v>
      </c>
      <c r="BA3" s="172" t="e">
        <f>(('Evolutive SFP'!#REF!+'Evolutive SFP'!#REF!+'Evolutive SFP'!#REF!+'Evolutive SFP'!#REF!+'Evolutive SFP'!#REF!+'Evolutive SFP'!#REF!)-'Evolutive SFP'!#REF!)/1000000</f>
        <v>#REF!</v>
      </c>
      <c r="BB3" s="172">
        <f>(('Evolutive SFP'!AO39+'Evolutive SFP'!AO40+'Evolutive SFP'!AO41+'Evolutive SFP'!AO42+'Evolutive SFP'!AO43+'Evolutive SFP'!AO44)-'Evolutive SFP'!AO10)/1000000</f>
        <v>22.281500859999998</v>
      </c>
      <c r="BC3" s="172">
        <f>(('Evolutive SFP'!AP39+'Evolutive SFP'!AP40+'Evolutive SFP'!AP41+'Evolutive SFP'!AP42+'Evolutive SFP'!AP43+'Evolutive SFP'!AP44)-'Evolutive SFP'!AP10)/1000000</f>
        <v>22.716745479999997</v>
      </c>
      <c r="BD3" s="172">
        <f>(('Evolutive SFP'!AQ39+'Evolutive SFP'!AQ40+'Evolutive SFP'!AQ41+'Evolutive SFP'!AQ42+'Evolutive SFP'!AQ43+'Evolutive SFP'!AQ44)-'Evolutive SFP'!AQ10)/1000000</f>
        <v>23.279858409999996</v>
      </c>
      <c r="BE3" s="172">
        <f>(('Evolutive SFP'!AR39+'Evolutive SFP'!AR40+'Evolutive SFP'!AR41+'Evolutive SFP'!AR42+'Evolutive SFP'!AR43+'Evolutive SFP'!AR44)-'Evolutive SFP'!AR10)/1000000</f>
        <v>23.667943459999996</v>
      </c>
      <c r="BF3" s="172">
        <f>(('Evolutive SFP'!AS39+'Evolutive SFP'!AS40+'Evolutive SFP'!AS41+'Evolutive SFP'!AS42+'Evolutive SFP'!AS43+'Evolutive SFP'!AS44)-'Evolutive SFP'!AS10)/1000000</f>
        <v>23.418899579999998</v>
      </c>
      <c r="BG3" s="172">
        <f>(('Evolutive SFP'!AT39+'Evolutive SFP'!AT40+'Evolutive SFP'!AT41+'Evolutive SFP'!AT42+'Evolutive SFP'!AT43+'Evolutive SFP'!AT44)-'Evolutive SFP'!AT10)/1000000</f>
        <v>18.862417000000001</v>
      </c>
      <c r="BH3" s="172">
        <f>(('Evolutive SFP'!AU39+'Evolutive SFP'!AU40+'Evolutive SFP'!AU41+'Evolutive SFP'!AU42+'Evolutive SFP'!AU43+'Evolutive SFP'!AU44)-'Evolutive SFP'!AU10)/1000000</f>
        <v>18.665718529999996</v>
      </c>
      <c r="BI3" s="172">
        <f>(('Evolutive SFP'!AV39+'Evolutive SFP'!AV40+'Evolutive SFP'!AV41+'Evolutive SFP'!AV42+'Evolutive SFP'!AV43+'Evolutive SFP'!AV44)-'Evolutive SFP'!AV10)/1000000</f>
        <v>18.862712869999996</v>
      </c>
      <c r="BJ3" s="172">
        <f>(('Evolutive SFP'!AW39+'Evolutive SFP'!AW40+'Evolutive SFP'!AW41+'Evolutive SFP'!AW42+'Evolutive SFP'!AW43+'Evolutive SFP'!AW44)-'Evolutive SFP'!AW10)/1000000</f>
        <v>20.093179569999997</v>
      </c>
      <c r="BK3" s="172">
        <f>(('Evolutive SFP'!AX39+'Evolutive SFP'!AX40+'Evolutive SFP'!AX41+'Evolutive SFP'!AX42+'Evolutive SFP'!AX43+'Evolutive SFP'!AX44)-'Evolutive SFP'!AX10)/1000000</f>
        <v>20.485243709999999</v>
      </c>
      <c r="BL3" s="172">
        <f>(('Evolutive SFP'!AY39+'Evolutive SFP'!AY40+'Evolutive SFP'!AY41+'Evolutive SFP'!AY42+'Evolutive SFP'!AY43+'Evolutive SFP'!AY44)-'Evolutive SFP'!AY10)/1000000</f>
        <v>20.923853089999994</v>
      </c>
      <c r="BM3" s="172">
        <f>(('Evolutive SFP'!AZ39+'Evolutive SFP'!AZ40+'Evolutive SFP'!AZ41+'Evolutive SFP'!AZ42+'Evolutive SFP'!AZ43+'Evolutive SFP'!AZ44)-'Evolutive SFP'!AZ10)/1000000</f>
        <v>21.42099498</v>
      </c>
      <c r="BN3" s="172">
        <f>(('Evolutive SFP'!BA39+'Evolutive SFP'!BA40+'Evolutive SFP'!BA41+'Evolutive SFP'!BA42+'Evolutive SFP'!BA43+'Evolutive SFP'!BA44)-'Evolutive SFP'!BA10)/1000000</f>
        <v>22.214533209999995</v>
      </c>
      <c r="BO3" s="172">
        <f>(('Evolutive SFP'!BB39+'Evolutive SFP'!BB40+'Evolutive SFP'!BB41+'Evolutive SFP'!BB42+'Evolutive SFP'!BB43+'Evolutive SFP'!BB44)-'Evolutive SFP'!BB10)/1000000</f>
        <v>22.63137291</v>
      </c>
      <c r="BP3" s="172">
        <f>(('Evolutive SFP'!BC39+'Evolutive SFP'!BC40+'Evolutive SFP'!BC41+'Evolutive SFP'!BC42+'Evolutive SFP'!BC43+'Evolutive SFP'!BC44)-'Evolutive SFP'!BC10)/1000000</f>
        <v>23.082099020000001</v>
      </c>
      <c r="BQ3" s="172">
        <f>(('Evolutive SFP'!BD39+'Evolutive SFP'!BD40+'Evolutive SFP'!BD41+'Evolutive SFP'!BD42+'Evolutive SFP'!BD43+'Evolutive SFP'!BD44)-'Evolutive SFP'!BD10)/1000000</f>
        <v>23.784263509999999</v>
      </c>
      <c r="BR3" s="172">
        <f>(('Evolutive SFP'!BE39+'Evolutive SFP'!BE40+'Evolutive SFP'!BE41+'Evolutive SFP'!BE42+'Evolutive SFP'!BE43+'Evolutive SFP'!BE44)-'Evolutive SFP'!BE10)/1000000</f>
        <v>23.949440199999998</v>
      </c>
      <c r="BS3" s="172">
        <f>(('Evolutive SFP'!BF39+'Evolutive SFP'!BF40+'Evolutive SFP'!BF41+'Evolutive SFP'!BF42+'Evolutive SFP'!BF43+'Evolutive SFP'!BF44)-'Evolutive SFP'!BF10)/1000000</f>
        <v>23.974175819999996</v>
      </c>
      <c r="BT3" s="172">
        <f>(('Evolutive SFP'!BG39+'Evolutive SFP'!BG40+'Evolutive SFP'!BG41+'Evolutive SFP'!BG42+'Evolutive SFP'!BG43+'Evolutive SFP'!BG44)-'Evolutive SFP'!BG10)/1000000</f>
        <v>20.738710000000001</v>
      </c>
      <c r="BU3" s="172">
        <f>(('Evolutive SFP'!BH39+'Evolutive SFP'!BH40+'Evolutive SFP'!BH41+'Evolutive SFP'!BH42+'Evolutive SFP'!BH43+'Evolutive SFP'!BH44)-'Evolutive SFP'!BH10)/1000000</f>
        <v>19.814821590000001</v>
      </c>
      <c r="BV3" s="172">
        <f>(('Evolutive SFP'!BI39+'Evolutive SFP'!BI40+'Evolutive SFP'!BI41+'Evolutive SFP'!BI42+'Evolutive SFP'!BI43+'Evolutive SFP'!BI44)-'Evolutive SFP'!BI10)/1000000</f>
        <v>19.90699936</v>
      </c>
      <c r="BW3" s="172">
        <f>(('Evolutive SFP'!BJ39+'Evolutive SFP'!BJ40+'Evolutive SFP'!BJ41+'Evolutive SFP'!BJ42+'Evolutive SFP'!BJ43+'Evolutive SFP'!BJ44)-'Evolutive SFP'!BJ10)/1000000</f>
        <v>21.754564849999998</v>
      </c>
      <c r="BX3" s="172">
        <f>(('Evolutive SFP'!BK39+'Evolutive SFP'!BK40+'Evolutive SFP'!BK41+'Evolutive SFP'!BK42+'Evolutive SFP'!BK43+'Evolutive SFP'!BK44)-'Evolutive SFP'!BK10)/1000000</f>
        <v>22.1510012</v>
      </c>
      <c r="BY3" s="172">
        <f>(('Evolutive SFP'!BL39+'Evolutive SFP'!BL40+'Evolutive SFP'!BL41+'Evolutive SFP'!BL42+'Evolutive SFP'!BL43+'Evolutive SFP'!BL44)-'Evolutive SFP'!BL10)/1000000</f>
        <v>22.620173659999999</v>
      </c>
      <c r="BZ3" s="172">
        <f>(('Evolutive SFP'!BM39+'Evolutive SFP'!BM40+'Evolutive SFP'!BM41+'Evolutive SFP'!BM42+'Evolutive SFP'!BM43+'Evolutive SFP'!BM44)-'Evolutive SFP'!BM10)/1000000</f>
        <v>23.074311379999997</v>
      </c>
      <c r="CA3" s="172">
        <f>(('Evolutive SFP'!BN39+'Evolutive SFP'!BN40+'Evolutive SFP'!BN41+'Evolutive SFP'!BN42+'Evolutive SFP'!BN43+'Evolutive SFP'!BN44)-'Evolutive SFP'!BN10)/1000000</f>
        <v>23.576154279999997</v>
      </c>
      <c r="CB3" s="172">
        <f>(('Evolutive SFP'!BO39+'Evolutive SFP'!BO40+'Evolutive SFP'!BO41+'Evolutive SFP'!BO42+'Evolutive SFP'!BO43+'Evolutive SFP'!BO44)-'Evolutive SFP'!BO10)/1000000</f>
        <v>24.172617489999997</v>
      </c>
      <c r="CC3" s="172">
        <f>(('Evolutive SFP'!BP39+'Evolutive SFP'!BP40+'Evolutive SFP'!BP41+'Evolutive SFP'!BP42+'Evolutive SFP'!BP43+'Evolutive SFP'!BP44)-'Evolutive SFP'!BP10)/1000000</f>
        <v>24.715822539999998</v>
      </c>
      <c r="CD3" s="172">
        <f>(('Evolutive SFP'!BQ39+'Evolutive SFP'!BQ40+'Evolutive SFP'!BQ41+'Evolutive SFP'!BQ42+'Evolutive SFP'!BQ43+'Evolutive SFP'!BQ44)-'Evolutive SFP'!BQ10)/1000000</f>
        <v>24.876141619999999</v>
      </c>
      <c r="CE3" s="172">
        <f>(('Evolutive SFP'!BR39+'Evolutive SFP'!BR40+'Evolutive SFP'!BR41+'Evolutive SFP'!BR42+'Evolutive SFP'!BR43+'Evolutive SFP'!BR44)-'Evolutive SFP'!BR10)/1000000</f>
        <v>25.705311419999997</v>
      </c>
      <c r="CF3" s="172">
        <f>(('Evolutive SFP'!BS39+'Evolutive SFP'!BS40+'Evolutive SFP'!BS41+'Evolutive SFP'!BS42+'Evolutive SFP'!BS43+'Evolutive SFP'!BS44)-'Evolutive SFP'!BS10)/1000000</f>
        <v>25.553793759999998</v>
      </c>
      <c r="CG3" s="172">
        <f>(('Evolutive SFP'!BT39+'Evolutive SFP'!BT40+'Evolutive SFP'!BT41+'Evolutive SFP'!BT42+'Evolutive SFP'!BT43+'Evolutive SFP'!BT44)-'Evolutive SFP'!BT10)/1000000</f>
        <v>0</v>
      </c>
      <c r="CH3" s="172">
        <f>(('Evolutive SFP'!BU39+'Evolutive SFP'!BU40+'Evolutive SFP'!BU41+'Evolutive SFP'!BU42+'Evolutive SFP'!BU43+'Evolutive SFP'!BU44)-'Evolutive SFP'!BU10)/1000000</f>
        <v>21.290459559999999</v>
      </c>
      <c r="CI3" s="172">
        <f>(('Evolutive SFP'!BV39+'Evolutive SFP'!BV40+'Evolutive SFP'!BV41+'Evolutive SFP'!BV42+'Evolutive SFP'!BV43+'Evolutive SFP'!BV44)-'Evolutive SFP'!BV10)/1000000</f>
        <v>21.525681559999999</v>
      </c>
      <c r="CJ3" s="172">
        <f>(('Evolutive SFP'!BW39+'Evolutive SFP'!BW40+'Evolutive SFP'!BW41+'Evolutive SFP'!BW42+'Evolutive SFP'!BW43+'Evolutive SFP'!BW44)-'Evolutive SFP'!BW10)/1000000</f>
        <v>22.828247639999997</v>
      </c>
      <c r="CK3" s="172">
        <f>(('Evolutive SFP'!BX39+'Evolutive SFP'!BX40+'Evolutive SFP'!BX41+'Evolutive SFP'!BX42+'Evolutive SFP'!BX43+'Evolutive SFP'!BX44)-'Evolutive SFP'!BX10)/1000000</f>
        <v>22.919085059999997</v>
      </c>
      <c r="CL3" s="172">
        <f>(('Evolutive SFP'!BY39+'Evolutive SFP'!BY40+'Evolutive SFP'!BY41+'Evolutive SFP'!BY42+'Evolutive SFP'!BY43+'Evolutive SFP'!BY44)-'Evolutive SFP'!BY10)/1000000</f>
        <v>23.546511669999997</v>
      </c>
      <c r="CM3" s="172">
        <f>(('Evolutive SFP'!BZ39+'Evolutive SFP'!BZ40+'Evolutive SFP'!BZ41+'Evolutive SFP'!BZ42+'Evolutive SFP'!BZ43+'Evolutive SFP'!BZ44)-'Evolutive SFP'!BZ10)/1000000</f>
        <v>23.949260450000001</v>
      </c>
      <c r="CN3" s="172">
        <f>(('Evolutive SFP'!CA39+'Evolutive SFP'!CA40+'Evolutive SFP'!CA41+'Evolutive SFP'!CA42+'Evolutive SFP'!CA43+'Evolutive SFP'!CA44)-'Evolutive SFP'!CA10)/1000000</f>
        <v>24.870734909999999</v>
      </c>
    </row>
    <row r="4" spans="1:92" ht="15.75">
      <c r="A4" s="425"/>
      <c r="B4" s="3" t="s">
        <v>193</v>
      </c>
      <c r="C4" s="11" t="s">
        <v>194</v>
      </c>
      <c r="D4" s="34" t="e">
        <f>D3/(('Evolutive SFP'!#REF!)/1000000)</f>
        <v>#REF!</v>
      </c>
      <c r="E4" s="34" t="e">
        <f>E3/(('Evolutive SFP'!#REF!)/1000000)</f>
        <v>#REF!</v>
      </c>
      <c r="F4" s="34" t="e">
        <f>F3/(('Evolutive SFP'!#REF!)/1000000)</f>
        <v>#REF!</v>
      </c>
      <c r="G4" s="34" t="e">
        <f>G3/(('Evolutive SFP'!#REF!)/1000000)</f>
        <v>#REF!</v>
      </c>
      <c r="H4" s="34" t="e">
        <f>H3/(('Evolutive SFP'!#REF!)/1000000)</f>
        <v>#REF!</v>
      </c>
      <c r="I4" s="34" t="e">
        <f>I3/(('Evolutive SFP'!#REF!)/1000000)</f>
        <v>#REF!</v>
      </c>
      <c r="J4" s="34" t="e">
        <f>J3/(('Evolutive SFP'!#REF!)/1000000)</f>
        <v>#REF!</v>
      </c>
      <c r="K4" s="34" t="e">
        <f>K3/(('Evolutive SFP'!#REF!)/1000000)</f>
        <v>#REF!</v>
      </c>
      <c r="L4" s="34" t="e">
        <f>L3/(('Evolutive SFP'!#REF!)/1000000)</f>
        <v>#REF!</v>
      </c>
      <c r="M4" s="34" t="e">
        <f>M3/(('Evolutive SFP'!#REF!)/1000000)</f>
        <v>#REF!</v>
      </c>
      <c r="N4" s="34" t="e">
        <f>N3/(('Evolutive SFP'!#REF!)/1000000)</f>
        <v>#REF!</v>
      </c>
      <c r="O4" s="34" t="e">
        <f>O3/(('Evolutive SFP'!#REF!)/1000000)</f>
        <v>#REF!</v>
      </c>
      <c r="P4" s="34" t="e">
        <f>P3/(('Evolutive SFP'!#REF!)/1000000)</f>
        <v>#REF!</v>
      </c>
      <c r="Q4" s="34" t="e">
        <f>Q3/(('Evolutive SFP'!#REF!)/1000000)</f>
        <v>#REF!</v>
      </c>
      <c r="R4" s="34" t="e">
        <f>R3/(('Evolutive SFP'!#REF!)/1000000)</f>
        <v>#REF!</v>
      </c>
      <c r="S4" s="38" t="e">
        <f>S3/(('Evolutive SFP'!#REF!)/1000000)</f>
        <v>#REF!</v>
      </c>
      <c r="T4" s="38" t="e">
        <f>T3/(('Evolutive SFP'!#REF!)/1000000)</f>
        <v>#REF!</v>
      </c>
      <c r="U4" s="38" t="e">
        <f>U3/(('Evolutive SFP'!#REF!)/1000000)</f>
        <v>#REF!</v>
      </c>
      <c r="V4" s="38" t="e">
        <f>V3/(('Evolutive SFP'!#REF!)/1000000)</f>
        <v>#REF!</v>
      </c>
      <c r="W4" s="38" t="e">
        <f>W3/(('Evolutive SFP'!#REF!)/1000000)</f>
        <v>#REF!</v>
      </c>
      <c r="X4" s="38" t="e">
        <f>X3/(('Evolutive SFP'!#REF!)/1000000)</f>
        <v>#REF!</v>
      </c>
      <c r="Y4" s="38" t="e">
        <f>Y3/(('Evolutive SFP'!#REF!)/1000000)</f>
        <v>#REF!</v>
      </c>
      <c r="Z4" s="38" t="e">
        <f>Z3/(('Evolutive SFP'!#REF!)/1000000)</f>
        <v>#REF!</v>
      </c>
      <c r="AA4" s="38" t="e">
        <f>AA3/(('Evolutive SFP'!#REF!)/1000000)</f>
        <v>#REF!</v>
      </c>
      <c r="AB4" s="38" t="e">
        <f>AB3/(('Evolutive SFP'!#REF!)/1000000)</f>
        <v>#REF!</v>
      </c>
      <c r="AC4" s="38" t="e">
        <f>AC3/(('Evolutive SFP'!#REF!)/1000000)</f>
        <v>#REF!</v>
      </c>
      <c r="AD4" s="38" t="e">
        <f>AD3/(('Evolutive SFP'!#REF!)/1000000)</f>
        <v>#REF!</v>
      </c>
      <c r="AE4" s="38" t="e">
        <f>AE3/(('Evolutive SFP'!#REF!)/1000000)</f>
        <v>#REF!</v>
      </c>
      <c r="AF4" s="38" t="e">
        <f>AF3/(('Evolutive SFP'!#REF!)/1000000)</f>
        <v>#REF!</v>
      </c>
      <c r="AG4" s="38" t="e">
        <f>AG3/(('Evolutive SFP'!#REF!)/1000000)</f>
        <v>#REF!</v>
      </c>
      <c r="AH4" s="38" t="e">
        <f>AH3/(('Evolutive SFP'!#REF!)/1000000)</f>
        <v>#REF!</v>
      </c>
      <c r="AI4" s="38" t="e">
        <f>AI3/(('Evolutive SFP'!#REF!)/1000000)</f>
        <v>#REF!</v>
      </c>
      <c r="AJ4" s="38" t="e">
        <f>AJ3/(('Evolutive SFP'!#REF!)/1000000)</f>
        <v>#REF!</v>
      </c>
      <c r="AK4" s="38" t="e">
        <f>AK3/(('Evolutive SFP'!#REF!)/1000000)</f>
        <v>#REF!</v>
      </c>
      <c r="AL4" s="38" t="e">
        <f>AL3/(('Evolutive SFP'!#REF!)/1000000)</f>
        <v>#REF!</v>
      </c>
      <c r="AM4" s="38" t="e">
        <f>AM3/(('Evolutive SFP'!#REF!)/1000000)</f>
        <v>#REF!</v>
      </c>
      <c r="AN4" s="38" t="e">
        <f>AN3/(('Evolutive SFP'!#REF!)/1000000)</f>
        <v>#REF!</v>
      </c>
      <c r="AO4" s="38" t="e">
        <f>AO3/(('Evolutive SFP'!#REF!)/1000000)</f>
        <v>#REF!</v>
      </c>
      <c r="AP4" s="38" t="e">
        <f>AP3/(('Evolutive SFP'!#REF!)/1000000)</f>
        <v>#REF!</v>
      </c>
      <c r="AQ4" s="38" t="e">
        <f>AQ3/(('Evolutive SFP'!#REF!)/1000000)</f>
        <v>#REF!</v>
      </c>
      <c r="AR4" s="38" t="e">
        <f>AR3/(('Evolutive SFP'!#REF!)/1000000)</f>
        <v>#REF!</v>
      </c>
      <c r="AS4" s="38" t="e">
        <f>AS3/(('Evolutive SFP'!#REF!)/1000000)</f>
        <v>#REF!</v>
      </c>
      <c r="AT4" s="38">
        <f>AT3/(('Evolutive SFP'!AH27)/1000000)</f>
        <v>0.2586005113743004</v>
      </c>
      <c r="AU4" s="38">
        <f>AU3/(('Evolutive SFP'!AI27)/1000000)</f>
        <v>0.23798436824184341</v>
      </c>
      <c r="AV4" s="38">
        <f>AV3/(('Evolutive SFP'!AJ27)/1000000)</f>
        <v>0.2366017855968833</v>
      </c>
      <c r="AW4" s="38">
        <f>AW3/(('Evolutive SFP'!AK27)/1000000)</f>
        <v>0.25970650680874474</v>
      </c>
      <c r="AX4" s="38">
        <f>AX3/(('Evolutive SFP'!AL27)/1000000)</f>
        <v>0.26375246430937171</v>
      </c>
      <c r="AY4" s="38">
        <f>AY3/(('Evolutive SFP'!AM27)/1000000)</f>
        <v>0.26270778180759269</v>
      </c>
      <c r="AZ4" s="38">
        <f>AZ3/(('Evolutive SFP'!AN27)/1000000)</f>
        <v>0.2708799430792736</v>
      </c>
      <c r="BA4" s="38" t="e">
        <f>BA3/(('Evolutive SFP'!#REF!)/1000000)</f>
        <v>#REF!</v>
      </c>
      <c r="BB4" s="38">
        <f>BB3/(('Evolutive SFP'!AO27)/1000000)</f>
        <v>0.27864182440945018</v>
      </c>
      <c r="BC4" s="38">
        <f>BC3/(('Evolutive SFP'!AP27)/1000000)</f>
        <v>0.285198559716699</v>
      </c>
      <c r="BD4" s="38">
        <f>BD3/(('Evolutive SFP'!AQ27)/1000000)</f>
        <v>0.30255989421670276</v>
      </c>
      <c r="BE4" s="38">
        <f>BE3/(('Evolutive SFP'!AR27)/1000000)</f>
        <v>0.29786926023972482</v>
      </c>
      <c r="BF4" s="38">
        <f>BF3/(('Evolutive SFP'!AS27)/1000000)</f>
        <v>0.31491906233014721</v>
      </c>
      <c r="BG4" s="38">
        <f>BG3/(('Evolutive SFP'!AT27)/1000000)</f>
        <v>0.25369578722455161</v>
      </c>
      <c r="BH4" s="38">
        <f>BH3/(('Evolutive SFP'!AU27)/1000000)</f>
        <v>0.25349226747422288</v>
      </c>
      <c r="BI4" s="38">
        <f>BI3/(('Evolutive SFP'!AV27)/1000000)</f>
        <v>0.25557709330620482</v>
      </c>
      <c r="BJ4" s="38">
        <f>BJ3/(('Evolutive SFP'!AW27)/1000000)</f>
        <v>0.26657290611116885</v>
      </c>
      <c r="BK4" s="38">
        <f>BK3/(('Evolutive SFP'!AX27)/1000000)</f>
        <v>0.27644978086130439</v>
      </c>
      <c r="BL4" s="38">
        <f>BL3/(('Evolutive SFP'!AY27)/1000000)</f>
        <v>0.28037481227942723</v>
      </c>
      <c r="BM4" s="38">
        <f>BM3/(('Evolutive SFP'!AZ27)/1000000)</f>
        <v>0.29349040715254154</v>
      </c>
      <c r="BN4" s="38">
        <f>BN3/(('Evolutive SFP'!BA27)/1000000)</f>
        <v>0.28339591186320068</v>
      </c>
      <c r="BO4" s="38">
        <f>BO3/(('Evolutive SFP'!BB27)/1000000)</f>
        <v>0.28738851027505513</v>
      </c>
      <c r="BP4" s="38">
        <f>BP3/(('Evolutive SFP'!BC27)/1000000)</f>
        <v>0.30931140330948725</v>
      </c>
      <c r="BQ4" s="38">
        <f>BQ3/(('Evolutive SFP'!BD27)/1000000)</f>
        <v>0.30885376882359755</v>
      </c>
      <c r="BR4" s="38">
        <f>BR3/(('Evolutive SFP'!BE27)/1000000)</f>
        <v>0.29947904742160492</v>
      </c>
      <c r="BS4" s="38">
        <f>BS3/(('Evolutive SFP'!BF27)/1000000)</f>
        <v>0.31263728139415875</v>
      </c>
      <c r="BT4" s="38">
        <f>BT3/(('Evolutive SFP'!BG27)/1000000)</f>
        <v>0.26966800074809572</v>
      </c>
      <c r="BU4" s="38">
        <f>BU3/(('Evolutive SFP'!BH27)/1000000)</f>
        <v>0.25924406588558685</v>
      </c>
      <c r="BV4" s="38">
        <f>BV3/(('Evolutive SFP'!BI27)/1000000)</f>
        <v>0.25765402052972836</v>
      </c>
      <c r="BW4" s="38">
        <f>BW3/(('Evolutive SFP'!BJ27)/1000000)</f>
        <v>0.28106813408781639</v>
      </c>
      <c r="BX4" s="38">
        <f>BX3/(('Evolutive SFP'!BK27)/1000000)</f>
        <v>0.29616622709770141</v>
      </c>
      <c r="BY4" s="38">
        <f>BY3/(('Evolutive SFP'!BL27)/1000000)</f>
        <v>0.29982842107025282</v>
      </c>
      <c r="BZ4" s="38">
        <f>BZ3/(('Evolutive SFP'!BM27)/1000000)</f>
        <v>0.29614053314007199</v>
      </c>
      <c r="CA4" s="38">
        <f>CA3/(('Evolutive SFP'!BN27)/1000000)</f>
        <v>0.30773402140010409</v>
      </c>
      <c r="CB4" s="38">
        <f>CB3/(('Evolutive SFP'!BO27)/1000000)</f>
        <v>0.31138831754092544</v>
      </c>
      <c r="CC4" s="38">
        <f>CC3/(('Evolutive SFP'!BP27)/1000000)</f>
        <v>0.31827101260065671</v>
      </c>
      <c r="CD4" s="38">
        <f>CD3/(('Evolutive SFP'!BQ27)/1000000)</f>
        <v>0.31337251325661508</v>
      </c>
      <c r="CE4" s="38">
        <f>CE3/(('Evolutive SFP'!BR27)/1000000)</f>
        <v>0.31945524930272756</v>
      </c>
      <c r="CF4" s="38">
        <f>CF3/(('Evolutive SFP'!BS27)/1000000)</f>
        <v>0.32891577480653555</v>
      </c>
      <c r="CG4" s="38" t="e">
        <f>CG3/(('Evolutive SFP'!BT27)/1000000)</f>
        <v>#DIV/0!</v>
      </c>
      <c r="CH4" s="38">
        <f>CH3/(('Evolutive SFP'!BU27)/1000000)</f>
        <v>0.27111282786161828</v>
      </c>
      <c r="CI4" s="38">
        <f>CI3/(('Evolutive SFP'!BV27)/1000000)</f>
        <v>0.27238186895420408</v>
      </c>
      <c r="CJ4" s="38">
        <f>CJ3/(('Evolutive SFP'!BW27)/1000000)</f>
        <v>0.2833904622780416</v>
      </c>
      <c r="CK4" s="38">
        <f>CK3/(('Evolutive SFP'!BX27)/1000000)</f>
        <v>0.29945327076784423</v>
      </c>
      <c r="CL4" s="38">
        <f>CL3/(('Evolutive SFP'!BY27)/1000000)</f>
        <v>0.30645857514702035</v>
      </c>
      <c r="CM4" s="38">
        <f>CM3/(('Evolutive SFP'!BZ27)/1000000)</f>
        <v>0.30586983859065014</v>
      </c>
      <c r="CN4" s="38">
        <f>CN3/(('Evolutive SFP'!CA27)/1000000)</f>
        <v>0.31852280804949767</v>
      </c>
    </row>
    <row r="5" spans="1:92" ht="15.75">
      <c r="A5" s="425"/>
      <c r="B5" s="3" t="s">
        <v>195</v>
      </c>
      <c r="C5" s="11" t="s">
        <v>196</v>
      </c>
      <c r="D5" s="34" t="e">
        <f>D3/('Evolutive SFP'!#REF!/1000000)</f>
        <v>#REF!</v>
      </c>
      <c r="E5" s="34" t="e">
        <f>E3/('Evolutive SFP'!#REF!/1000000)</f>
        <v>#REF!</v>
      </c>
      <c r="F5" s="34" t="e">
        <f>F3/('Evolutive SFP'!#REF!/1000000)</f>
        <v>#REF!</v>
      </c>
      <c r="G5" s="34" t="e">
        <f>G3/('Evolutive SFP'!#REF!/1000000)</f>
        <v>#REF!</v>
      </c>
      <c r="H5" s="34" t="e">
        <f>H3/('Evolutive SFP'!#REF!/1000000)</f>
        <v>#REF!</v>
      </c>
      <c r="I5" s="34" t="e">
        <f>I3/('Evolutive SFP'!#REF!/1000000)</f>
        <v>#REF!</v>
      </c>
      <c r="J5" s="34" t="e">
        <f>J3/('Evolutive SFP'!#REF!/1000000)</f>
        <v>#REF!</v>
      </c>
      <c r="K5" s="34" t="e">
        <f>K3/('Evolutive SFP'!#REF!/1000000)</f>
        <v>#REF!</v>
      </c>
      <c r="L5" s="34" t="e">
        <f>L3/('Evolutive SFP'!#REF!/1000000)</f>
        <v>#REF!</v>
      </c>
      <c r="M5" s="34" t="e">
        <f>M3/('Evolutive SFP'!#REF!/1000000)</f>
        <v>#REF!</v>
      </c>
      <c r="N5" s="34" t="e">
        <f>N3/('Evolutive SFP'!#REF!/1000000)</f>
        <v>#REF!</v>
      </c>
      <c r="O5" s="34" t="e">
        <f>O3/('Evolutive SFP'!#REF!/1000000)</f>
        <v>#REF!</v>
      </c>
      <c r="P5" s="34" t="e">
        <f>P3/('Evolutive SFP'!#REF!/1000000)</f>
        <v>#REF!</v>
      </c>
      <c r="Q5" s="34" t="e">
        <f>Q3/('Evolutive SFP'!#REF!/1000000)</f>
        <v>#REF!</v>
      </c>
      <c r="R5" s="34" t="e">
        <f>R3/('Evolutive SFP'!#REF!/1000000)</f>
        <v>#REF!</v>
      </c>
      <c r="S5" s="38" t="e">
        <f>S3/('Evolutive SFP'!#REF!/1000000)</f>
        <v>#REF!</v>
      </c>
      <c r="T5" s="38" t="e">
        <f>T3/('Evolutive SFP'!#REF!/1000000)</f>
        <v>#REF!</v>
      </c>
      <c r="U5" s="38" t="e">
        <f>U3/('Evolutive SFP'!#REF!/1000000)</f>
        <v>#REF!</v>
      </c>
      <c r="V5" s="38" t="e">
        <f>V3/('Evolutive SFP'!#REF!/1000000)</f>
        <v>#REF!</v>
      </c>
      <c r="W5" s="38" t="e">
        <f>W3/('Evolutive SFP'!#REF!/1000000)</f>
        <v>#REF!</v>
      </c>
      <c r="X5" s="38" t="e">
        <f>X3/('Evolutive SFP'!#REF!/1000000)</f>
        <v>#REF!</v>
      </c>
      <c r="Y5" s="38" t="e">
        <f>Y3/('Evolutive SFP'!#REF!/1000000)</f>
        <v>#REF!</v>
      </c>
      <c r="Z5" s="38" t="e">
        <f>Z3/('Evolutive SFP'!#REF!/1000000)</f>
        <v>#REF!</v>
      </c>
      <c r="AA5" s="38" t="e">
        <f>AA3/('Evolutive SFP'!#REF!/1000000)</f>
        <v>#REF!</v>
      </c>
      <c r="AB5" s="38" t="e">
        <f>AB3/('Evolutive SFP'!#REF!/1000000)</f>
        <v>#REF!</v>
      </c>
      <c r="AC5" s="38" t="e">
        <f>AC3/('Evolutive SFP'!#REF!/1000000)</f>
        <v>#REF!</v>
      </c>
      <c r="AD5" s="38" t="e">
        <f>AD3/('Evolutive SFP'!#REF!/1000000)</f>
        <v>#REF!</v>
      </c>
      <c r="AE5" s="38" t="e">
        <f>AE3/('Evolutive SFP'!#REF!/1000000)</f>
        <v>#REF!</v>
      </c>
      <c r="AF5" s="38" t="e">
        <f>AF3/('Evolutive SFP'!#REF!/1000000)</f>
        <v>#REF!</v>
      </c>
      <c r="AG5" s="38" t="e">
        <f>AG3/('Evolutive SFP'!#REF!/1000000)</f>
        <v>#REF!</v>
      </c>
      <c r="AH5" s="38" t="e">
        <f>AH3/('Evolutive SFP'!#REF!/1000000)</f>
        <v>#REF!</v>
      </c>
      <c r="AI5" s="38" t="e">
        <f>AI3/('Evolutive SFP'!#REF!/1000000)</f>
        <v>#REF!</v>
      </c>
      <c r="AJ5" s="38" t="e">
        <f>AJ3/('Evolutive SFP'!#REF!/1000000)</f>
        <v>#REF!</v>
      </c>
      <c r="AK5" s="38" t="e">
        <f>AK3/('Evolutive SFP'!#REF!/1000000)</f>
        <v>#REF!</v>
      </c>
      <c r="AL5" s="38" t="e">
        <f>AL3/('Evolutive SFP'!#REF!/1000000)</f>
        <v>#REF!</v>
      </c>
      <c r="AM5" s="38" t="e">
        <f>AM3/('Evolutive SFP'!#REF!/1000000)</f>
        <v>#REF!</v>
      </c>
      <c r="AN5" s="38" t="e">
        <f>AN3/('Evolutive SFP'!#REF!/1000000)</f>
        <v>#REF!</v>
      </c>
      <c r="AO5" s="38" t="e">
        <f>AO3/('Evolutive SFP'!#REF!/1000000)</f>
        <v>#REF!</v>
      </c>
      <c r="AP5" s="38" t="e">
        <f>AP3/('Evolutive SFP'!#REF!/1000000)</f>
        <v>#REF!</v>
      </c>
      <c r="AQ5" s="38" t="e">
        <f>AQ3/('Evolutive SFP'!#REF!/1000000)</f>
        <v>#REF!</v>
      </c>
      <c r="AR5" s="38" t="e">
        <f>AR3/('Evolutive SFP'!#REF!/1000000)</f>
        <v>#REF!</v>
      </c>
      <c r="AS5" s="38" t="e">
        <f>AS3/('Evolutive SFP'!#REF!/1000000)</f>
        <v>#REF!</v>
      </c>
      <c r="AT5" s="38">
        <f>AT3/('Evolutive SFP'!AH31/1000000)</f>
        <v>0.38519392349674841</v>
      </c>
      <c r="AU5" s="38">
        <f>AU3/('Evolutive SFP'!AI31/1000000)</f>
        <v>0.36711731839444378</v>
      </c>
      <c r="AV5" s="38">
        <f>AV3/('Evolutive SFP'!AJ31/1000000)</f>
        <v>0.3628734984737641</v>
      </c>
      <c r="AW5" s="38">
        <f>AW3/('Evolutive SFP'!AK31/1000000)</f>
        <v>0.40845639712549708</v>
      </c>
      <c r="AX5" s="38">
        <f>AX3/('Evolutive SFP'!AL31/1000000)</f>
        <v>0.39778281665833037</v>
      </c>
      <c r="AY5" s="38">
        <f>AY3/('Evolutive SFP'!AM31/1000000)</f>
        <v>0.3927172003517761</v>
      </c>
      <c r="AZ5" s="38">
        <f>AZ3/('Evolutive SFP'!AN31/1000000)</f>
        <v>0.41017252882679323</v>
      </c>
      <c r="BA5" s="38" t="e">
        <f>BA3/('Evolutive SFP'!#REF!/1000000)</f>
        <v>#REF!</v>
      </c>
      <c r="BB5" s="38">
        <f>BB3/('Evolutive SFP'!AO31/1000000)</f>
        <v>0.42148324647705204</v>
      </c>
      <c r="BC5" s="38">
        <f>BC3/('Evolutive SFP'!AP31/1000000)</f>
        <v>0.4332308315221392</v>
      </c>
      <c r="BD5" s="38">
        <f>BD3/('Evolutive SFP'!AQ31/1000000)</f>
        <v>0.44176969763469243</v>
      </c>
      <c r="BE5" s="38">
        <f>BE3/('Evolutive SFP'!AR31/1000000)</f>
        <v>0.431292565915394</v>
      </c>
      <c r="BF5" s="38">
        <f>BF3/('Evolutive SFP'!AS31/1000000)</f>
        <v>0.47461347722760711</v>
      </c>
      <c r="BG5" s="38">
        <f>BG3/('Evolutive SFP'!AT31/1000000)</f>
        <v>0.38227061903833809</v>
      </c>
      <c r="BH5" s="38">
        <f>BH3/('Evolutive SFP'!AU31/1000000)</f>
        <v>0.38041838368920744</v>
      </c>
      <c r="BI5" s="38">
        <f>BI3/('Evolutive SFP'!AV31/1000000)</f>
        <v>0.38609513254721872</v>
      </c>
      <c r="BJ5" s="38">
        <f>BJ3/('Evolutive SFP'!AW31/1000000)</f>
        <v>0.3964288064163255</v>
      </c>
      <c r="BK5" s="38">
        <f>BK3/('Evolutive SFP'!AX31/1000000)</f>
        <v>0.39564951835460893</v>
      </c>
      <c r="BL5" s="38">
        <f>BL3/('Evolutive SFP'!AY31/1000000)</f>
        <v>0.40113804855862306</v>
      </c>
      <c r="BM5" s="38">
        <f>BM3/('Evolutive SFP'!AZ31/1000000)</f>
        <v>0.42045382007067411</v>
      </c>
      <c r="BN5" s="38">
        <f>BN3/('Evolutive SFP'!BA31/1000000)</f>
        <v>0.40064200689490637</v>
      </c>
      <c r="BO5" s="38">
        <f>BO3/('Evolutive SFP'!BB31/1000000)</f>
        <v>0.40772858072475704</v>
      </c>
      <c r="BP5" s="38">
        <f>BP3/('Evolutive SFP'!BC31/1000000)</f>
        <v>0.45224599451656422</v>
      </c>
      <c r="BQ5" s="38">
        <f>BQ3/('Evolutive SFP'!BD31/1000000)</f>
        <v>0.45180949751515803</v>
      </c>
      <c r="BR5" s="38">
        <f>BR3/('Evolutive SFP'!BE31/1000000)</f>
        <v>0.43122394201579017</v>
      </c>
      <c r="BS5" s="38">
        <f>BS3/('Evolutive SFP'!BF31/1000000)</f>
        <v>0.46099053152063257</v>
      </c>
      <c r="BT5" s="38">
        <f>BT3/('Evolutive SFP'!BG31/1000000)</f>
        <v>0.40175934269167962</v>
      </c>
      <c r="BU5" s="38">
        <f>BU3/('Evolutive SFP'!BH31/1000000)</f>
        <v>0.38279034815299245</v>
      </c>
      <c r="BV5" s="38">
        <f>BV3/('Evolutive SFP'!BI31/1000000)</f>
        <v>0.37906405856781994</v>
      </c>
      <c r="BW5" s="38">
        <f>BW3/('Evolutive SFP'!BJ31/1000000)</f>
        <v>0.41749682323373871</v>
      </c>
      <c r="BX5" s="38">
        <f>BX3/('Evolutive SFP'!BK31/1000000)</f>
        <v>0.41938960637800693</v>
      </c>
      <c r="BY5" s="38">
        <f>BY3/('Evolutive SFP'!BL31/1000000)</f>
        <v>0.4262061229600892</v>
      </c>
      <c r="BZ5" s="38">
        <f>BZ3/('Evolutive SFP'!BM31/1000000)</f>
        <v>0.41856060260547806</v>
      </c>
      <c r="CA5" s="38">
        <f>CA3/('Evolutive SFP'!BN31/1000000)</f>
        <v>0.44186197923969411</v>
      </c>
      <c r="CB5" s="38">
        <f>CB3/('Evolutive SFP'!BO31/1000000)</f>
        <v>0.44958214628623833</v>
      </c>
      <c r="CC5" s="38">
        <f>CC3/('Evolutive SFP'!BP31/1000000)</f>
        <v>0.46270276061690924</v>
      </c>
      <c r="CD5" s="38">
        <f>CD3/('Evolutive SFP'!BQ31/1000000)</f>
        <v>0.4525330173780201</v>
      </c>
      <c r="CE5" s="38">
        <f>CE3/('Evolutive SFP'!BR31/1000000)</f>
        <v>0.46594270212006317</v>
      </c>
      <c r="CF5" s="38">
        <f>CF3/('Evolutive SFP'!BS31/1000000)</f>
        <v>0.48830093854353313</v>
      </c>
      <c r="CG5" s="38" t="e">
        <f>CG3/('Evolutive SFP'!BT31/1000000)</f>
        <v>#DIV/0!</v>
      </c>
      <c r="CH5" s="38">
        <f>CH3/('Evolutive SFP'!BU31/1000000)</f>
        <v>0.4026920139272806</v>
      </c>
      <c r="CI5" s="38">
        <f>CI3/('Evolutive SFP'!BV31/1000000)</f>
        <v>0.40544226089352742</v>
      </c>
      <c r="CJ5" s="38">
        <f>CJ3/('Evolutive SFP'!BW31/1000000)</f>
        <v>0.4272266894584355</v>
      </c>
      <c r="CK5" s="38">
        <f>CK3/('Evolutive SFP'!BX31/1000000)</f>
        <v>0.43093245282120818</v>
      </c>
      <c r="CL5" s="38">
        <f>CL3/('Evolutive SFP'!BY31/1000000)</f>
        <v>0.44842516818335515</v>
      </c>
      <c r="CM5" s="38">
        <f>CM3/('Evolutive SFP'!BZ31/1000000)</f>
        <v>0.44591389418367378</v>
      </c>
      <c r="CN5" s="38">
        <f>CN3/('Evolutive SFP'!CA31/1000000)</f>
        <v>0.47123430926995202</v>
      </c>
    </row>
    <row r="6" spans="1:92" ht="15.75">
      <c r="A6" s="425"/>
      <c r="B6" s="3" t="s">
        <v>197</v>
      </c>
      <c r="C6" s="11" t="s">
        <v>196</v>
      </c>
      <c r="D6" s="34" t="e">
        <f>((D3*1000000)-'Evolutive SFP'!#REF!)/'Evolutive SFP'!#REF!</f>
        <v>#REF!</v>
      </c>
      <c r="E6" s="34" t="e">
        <f>((E3*1000000)-'Evolutive SFP'!#REF!)/'Evolutive SFP'!#REF!</f>
        <v>#REF!</v>
      </c>
      <c r="F6" s="34" t="e">
        <f>((F3*1000000)-'Evolutive SFP'!#REF!)/'Evolutive SFP'!#REF!</f>
        <v>#REF!</v>
      </c>
      <c r="G6" s="34" t="e">
        <f>((G3*1000000)-'Evolutive SFP'!#REF!)/'Evolutive SFP'!#REF!</f>
        <v>#REF!</v>
      </c>
      <c r="H6" s="34" t="e">
        <f>((H3*1000000)-'Evolutive SFP'!#REF!)/'Evolutive SFP'!#REF!</f>
        <v>#REF!</v>
      </c>
      <c r="I6" s="34" t="e">
        <f>((I3*1000000)-'Evolutive SFP'!#REF!)/'Evolutive SFP'!#REF!</f>
        <v>#REF!</v>
      </c>
      <c r="J6" s="34" t="e">
        <f>((J3*1000000)-'Evolutive SFP'!#REF!)/'Evolutive SFP'!#REF!</f>
        <v>#REF!</v>
      </c>
      <c r="K6" s="34" t="e">
        <f>((K3*1000000)-'Evolutive SFP'!#REF!)/'Evolutive SFP'!#REF!</f>
        <v>#REF!</v>
      </c>
      <c r="L6" s="34" t="e">
        <f>((L3*1000000)-'Evolutive SFP'!#REF!)/'Evolutive SFP'!#REF!</f>
        <v>#REF!</v>
      </c>
      <c r="M6" s="34" t="e">
        <f>((M3*1000000)-'Evolutive SFP'!#REF!)/'Evolutive SFP'!#REF!</f>
        <v>#REF!</v>
      </c>
      <c r="N6" s="34" t="e">
        <f>((N3*1000000)-'Evolutive SFP'!#REF!)/'Evolutive SFP'!#REF!</f>
        <v>#REF!</v>
      </c>
      <c r="O6" s="34" t="e">
        <f>((O3*1000000)-'Evolutive SFP'!#REF!)/'Evolutive SFP'!#REF!</f>
        <v>#REF!</v>
      </c>
      <c r="P6" s="34" t="e">
        <f>((P3*1000000)-'Evolutive SFP'!#REF!)/'Evolutive SFP'!#REF!</f>
        <v>#REF!</v>
      </c>
      <c r="Q6" s="34" t="e">
        <f>((Q3*1000000)-'Evolutive SFP'!#REF!)/'Evolutive SFP'!#REF!</f>
        <v>#REF!</v>
      </c>
      <c r="R6" s="34" t="e">
        <f>((R3*1000000)-'Evolutive SFP'!#REF!)/'Evolutive SFP'!#REF!</f>
        <v>#REF!</v>
      </c>
      <c r="S6" s="38" t="e">
        <f>((S3*1000000)-'Evolutive SFP'!#REF!)/'Evolutive SFP'!#REF!</f>
        <v>#REF!</v>
      </c>
      <c r="T6" s="38" t="e">
        <f>((T3*1000000)-'Evolutive SFP'!#REF!)/'Evolutive SFP'!#REF!</f>
        <v>#REF!</v>
      </c>
      <c r="U6" s="38" t="e">
        <f>((U3*1000000)-'Evolutive SFP'!#REF!)/'Evolutive SFP'!#REF!</f>
        <v>#REF!</v>
      </c>
      <c r="V6" s="38" t="e">
        <f>((V3*1000000)-'Evolutive SFP'!#REF!)/'Evolutive SFP'!#REF!</f>
        <v>#REF!</v>
      </c>
      <c r="W6" s="38" t="e">
        <f>((W3*1000000)-'Evolutive SFP'!#REF!)/'Evolutive SFP'!#REF!</f>
        <v>#REF!</v>
      </c>
      <c r="X6" s="38" t="e">
        <f>((X3*1000000)-'Evolutive SFP'!#REF!)/'Evolutive SFP'!#REF!</f>
        <v>#REF!</v>
      </c>
      <c r="Y6" s="38" t="e">
        <f>((Y3*1000000)-'Evolutive SFP'!#REF!)/'Evolutive SFP'!#REF!</f>
        <v>#REF!</v>
      </c>
      <c r="Z6" s="38" t="e">
        <f>((Z3*1000000)-'Evolutive SFP'!#REF!)/'Evolutive SFP'!#REF!</f>
        <v>#REF!</v>
      </c>
      <c r="AA6" s="38" t="e">
        <f>((AA3*1000000)-'Evolutive SFP'!#REF!)/'Evolutive SFP'!#REF!</f>
        <v>#REF!</v>
      </c>
      <c r="AB6" s="38" t="e">
        <f>((AB3*1000000)-'Evolutive SFP'!#REF!)/'Evolutive SFP'!#REF!</f>
        <v>#REF!</v>
      </c>
      <c r="AC6" s="38" t="e">
        <f>((AC3*1000000)-'Evolutive SFP'!#REF!)/'Evolutive SFP'!#REF!</f>
        <v>#REF!</v>
      </c>
      <c r="AD6" s="38" t="e">
        <f>((AD3*1000000)-'Evolutive SFP'!#REF!)/'Evolutive SFP'!#REF!</f>
        <v>#REF!</v>
      </c>
      <c r="AE6" s="38" t="e">
        <f>((AE3*1000000)-'Evolutive SFP'!#REF!)/'Evolutive SFP'!#REF!</f>
        <v>#REF!</v>
      </c>
      <c r="AF6" s="38" t="e">
        <f>((AF3*1000000)-'Evolutive SFP'!#REF!)/'Evolutive SFP'!#REF!</f>
        <v>#REF!</v>
      </c>
      <c r="AG6" s="38" t="e">
        <f>((AG3*1000000)-'Evolutive SFP'!#REF!)/'Evolutive SFP'!#REF!</f>
        <v>#REF!</v>
      </c>
      <c r="AH6" s="38" t="e">
        <f>((AH3*1000000)-'Evolutive SFP'!#REF!)/'Evolutive SFP'!#REF!</f>
        <v>#REF!</v>
      </c>
      <c r="AI6" s="38" t="e">
        <f>((AI3*1000000)-'Evolutive SFP'!#REF!)/'Evolutive SFP'!#REF!</f>
        <v>#REF!</v>
      </c>
      <c r="AJ6" s="38" t="e">
        <f>((AJ3*1000000)-'Evolutive SFP'!#REF!)/'Evolutive SFP'!#REF!</f>
        <v>#REF!</v>
      </c>
      <c r="AK6" s="38" t="e">
        <f>((AK3*1000000)-'Evolutive SFP'!#REF!)/'Evolutive SFP'!#REF!</f>
        <v>#REF!</v>
      </c>
      <c r="AL6" s="38" t="e">
        <f>((AL3*1000000)-'Evolutive SFP'!#REF!)/'Evolutive SFP'!#REF!</f>
        <v>#REF!</v>
      </c>
      <c r="AM6" s="38" t="e">
        <f>((AM3*1000000)-'Evolutive SFP'!#REF!)/'Evolutive SFP'!#REF!</f>
        <v>#REF!</v>
      </c>
      <c r="AN6" s="38" t="e">
        <f>((AN3*1000000)-'Evolutive SFP'!#REF!)/'Evolutive SFP'!#REF!</f>
        <v>#REF!</v>
      </c>
      <c r="AO6" s="38" t="e">
        <f>((AO3*1000000)-'Evolutive SFP'!#REF!)/'Evolutive SFP'!#REF!</f>
        <v>#REF!</v>
      </c>
      <c r="AP6" s="38" t="e">
        <f>((AP3*1000000)-'Evolutive SFP'!#REF!)/'Evolutive SFP'!#REF!</f>
        <v>#REF!</v>
      </c>
      <c r="AQ6" s="38" t="e">
        <f>((AQ3*1000000)-'Evolutive SFP'!#REF!)/'Evolutive SFP'!#REF!</f>
        <v>#REF!</v>
      </c>
      <c r="AR6" s="38" t="e">
        <f>((AR3*1000000)-'Evolutive SFP'!#REF!)/'Evolutive SFP'!#REF!</f>
        <v>#REF!</v>
      </c>
      <c r="AS6" s="38" t="e">
        <f>((AS3*1000000)-'Evolutive SFP'!#REF!)/'Evolutive SFP'!#REF!</f>
        <v>#REF!</v>
      </c>
      <c r="AT6" s="38">
        <f>((AT3*1000000)-'Evolutive SFP'!AH39)/'Evolutive SFP'!AH27</f>
        <v>7.6538578495480528E-2</v>
      </c>
      <c r="AU6" s="38">
        <f>((AU3*1000000)-'Evolutive SFP'!AI39)/'Evolutive SFP'!AI27</f>
        <v>6.9981925427118286E-2</v>
      </c>
      <c r="AV6" s="38">
        <f>((AV3*1000000)-'Evolutive SFP'!AJ39)/'Evolutive SFP'!AJ27</f>
        <v>7.2655165746072961E-2</v>
      </c>
      <c r="AW6" s="38">
        <f>((AW3*1000000)-'Evolutive SFP'!AK39)/'Evolutive SFP'!AK27</f>
        <v>9.0029440972440047E-2</v>
      </c>
      <c r="AX6" s="38">
        <f>((AX3*1000000)-'Evolutive SFP'!AL39)/'Evolutive SFP'!AL27</f>
        <v>9.4337720689960491E-2</v>
      </c>
      <c r="AY6" s="38">
        <f>((AY3*1000000)-'Evolutive SFP'!AM39)/'Evolutive SFP'!AM27</f>
        <v>9.7889908474189477E-2</v>
      </c>
      <c r="AZ6" s="38">
        <f>((AZ3*1000000)-'Evolutive SFP'!AN39)/'Evolutive SFP'!AN27</f>
        <v>0.10457922700312253</v>
      </c>
      <c r="BA6" s="38" t="e">
        <f>((BA3*1000000)-'Evolutive SFP'!#REF!)/'Evolutive SFP'!#REF!</f>
        <v>#REF!</v>
      </c>
      <c r="BB6" s="38">
        <f>((BB3*1000000)-'Evolutive SFP'!AO39)/'Evolutive SFP'!AO27</f>
        <v>0.11475889138120754</v>
      </c>
      <c r="BC6" s="38">
        <f>((BC3*1000000)-'Evolutive SFP'!AP39)/'Evolutive SFP'!AP27</f>
        <v>0.12065428072241649</v>
      </c>
      <c r="BD6" s="38">
        <f>((BD3*1000000)-'Evolutive SFP'!AQ39)/'Evolutive SFP'!AQ27</f>
        <v>0.13218898977403989</v>
      </c>
      <c r="BE6" s="38">
        <f>((BE3*1000000)-'Evolutive SFP'!AR39)/'Evolutive SFP'!AR27</f>
        <v>0.1328710400600015</v>
      </c>
      <c r="BF6" s="38">
        <f>((BF3*1000000)-'Evolutive SFP'!AS39)/'Evolutive SFP'!AS27</f>
        <v>0.1385904683703115</v>
      </c>
      <c r="BG6" s="38">
        <f>((BG3*1000000)-'Evolutive SFP'!AT39)/'Evolutive SFP'!AT27</f>
        <v>7.7333312459239537E-2</v>
      </c>
      <c r="BH6" s="38">
        <f>((BH3*1000000)-'Evolutive SFP'!AU39)/'Evolutive SFP'!AU27</f>
        <v>7.5414262027611575E-2</v>
      </c>
      <c r="BI6" s="38">
        <f>((BI3*1000000)-'Evolutive SFP'!AV39)/'Evolutive SFP'!AV27</f>
        <v>7.789601923584509E-2</v>
      </c>
      <c r="BJ6" s="38">
        <f>((BJ3*1000000)-'Evolutive SFP'!AW39)/'Evolutive SFP'!AW27</f>
        <v>9.2563179070167409E-2</v>
      </c>
      <c r="BK6" s="38">
        <f>((BK3*1000000)-'Evolutive SFP'!AX39)/'Evolutive SFP'!AX27</f>
        <v>9.9399551525869462E-2</v>
      </c>
      <c r="BL6" s="38">
        <f>((BL3*1000000)-'Evolutive SFP'!AY39)/'Evolutive SFP'!AY27</f>
        <v>0.10453467706745403</v>
      </c>
      <c r="BM6" s="38">
        <f>((BM3*1000000)-'Evolutive SFP'!AZ39)/'Evolutive SFP'!AZ27</f>
        <v>0.11207893432227943</v>
      </c>
      <c r="BN6" s="38">
        <f>((BN3*1000000)-'Evolutive SFP'!BA39)/'Evolutive SFP'!BA27</f>
        <v>0.11442402957782166</v>
      </c>
      <c r="BO6" s="38">
        <f>((BO3*1000000)-'Evolutive SFP'!BB39)/'Evolutive SFP'!BB27</f>
        <v>0.11918312707565992</v>
      </c>
      <c r="BP6" s="38">
        <f>((BP3*1000000)-'Evolutive SFP'!BC39)/'Evolutive SFP'!BC27</f>
        <v>0.13180990557473996</v>
      </c>
      <c r="BQ6" s="38">
        <f>((BQ3*1000000)-'Evolutive SFP'!BD39)/'Evolutive SFP'!BD27</f>
        <v>0.13679803079262681</v>
      </c>
      <c r="BR6" s="38">
        <f>((BR3*1000000)-'Evolutive SFP'!BE39)/'Evolutive SFP'!BE27</f>
        <v>0.13377388612916816</v>
      </c>
      <c r="BS6" s="38">
        <f>((BS3*1000000)-'Evolutive SFP'!BF39)/'Evolutive SFP'!BF27</f>
        <v>0.139121563714771</v>
      </c>
      <c r="BT6" s="38">
        <f>((BT3*1000000)-'Evolutive SFP'!BG39)/'Evolutive SFP'!BG27</f>
        <v>0.13177471657384973</v>
      </c>
      <c r="BU6" s="38">
        <f>((BU3*1000000)-'Evolutive SFP'!BH39)/'Evolutive SFP'!BH27</f>
        <v>8.5139822770476159E-2</v>
      </c>
      <c r="BV6" s="38">
        <f>((BV3*1000000)-'Evolutive SFP'!BI39)/'Evolutive SFP'!BI27</f>
        <v>8.5399443769876543E-2</v>
      </c>
      <c r="BW6" s="38">
        <f>((BW3*1000000)-'Evolutive SFP'!BJ39)/'Evolutive SFP'!BJ27</f>
        <v>0.10908248149182349</v>
      </c>
      <c r="BX6" s="38">
        <f>((BX3*1000000)-'Evolutive SFP'!BK39)/'Evolutive SFP'!BK27</f>
        <v>0.11817873109019769</v>
      </c>
      <c r="BY6" s="38">
        <f>((BY3*1000000)-'Evolutive SFP'!BL39)/'Evolutive SFP'!BL27</f>
        <v>0.12333100448675101</v>
      </c>
      <c r="BZ6" s="38">
        <f>((BZ3*1000000)-'Evolutive SFP'!BM39)/'Evolutive SFP'!BM27</f>
        <v>0.1252386286926005</v>
      </c>
      <c r="CA6" s="38">
        <f>((CA3*1000000)-'Evolutive SFP'!BN39)/'Evolutive SFP'!BN27</f>
        <v>0.13388915423174932</v>
      </c>
      <c r="CB6" s="38">
        <f>((CB3*1000000)-'Evolutive SFP'!BO39)/'Evolutive SFP'!BO27</f>
        <v>0.13981163635437596</v>
      </c>
      <c r="CC6" s="38">
        <f>((CC3*1000000)-'Evolutive SFP'!BP39)/'Evolutive SFP'!BP27</f>
        <v>0.14622556754992552</v>
      </c>
      <c r="CD6" s="38">
        <f>((CD3*1000000)-'Evolutive SFP'!BQ39)/'Evolutive SFP'!BQ27</f>
        <v>0.14506043045941952</v>
      </c>
      <c r="CE6" s="38">
        <f>((CE3*1000000)-'Evolutive SFP'!BR39)/'Evolutive SFP'!BR27</f>
        <v>0.15341071926110489</v>
      </c>
      <c r="CF6" s="38">
        <f>((CF3*1000000)-'Evolutive SFP'!BS39)/'Evolutive SFP'!BS27</f>
        <v>0.1566390218921592</v>
      </c>
      <c r="CG6" s="38" t="e">
        <f>((CG3*1000000)-'Evolutive SFP'!BT39)/'Evolutive SFP'!BT27</f>
        <v>#DIV/0!</v>
      </c>
      <c r="CH6" s="38">
        <f>((CH3*1000000)-'Evolutive SFP'!BU39)/'Evolutive SFP'!BU27</f>
        <v>0.10065985839797408</v>
      </c>
      <c r="CI6" s="38">
        <f>((CI3*1000000)-'Evolutive SFP'!BV39)/'Evolutive SFP'!BV27</f>
        <v>0.10298592753610486</v>
      </c>
      <c r="CJ6" s="38">
        <f>((CJ3*1000000)-'Evolutive SFP'!BW39)/'Evolutive SFP'!BW27</f>
        <v>0.11719827961386051</v>
      </c>
      <c r="CK6" s="38">
        <f>((CK3*1000000)-'Evolutive SFP'!BX39)/'Evolutive SFP'!BX27</f>
        <v>0.12452413082846255</v>
      </c>
      <c r="CL6" s="38">
        <f>((CL3*1000000)-'Evolutive SFP'!BY39)/'Evolutive SFP'!BY27</f>
        <v>0.13220094802145671</v>
      </c>
      <c r="CM6" s="38">
        <f>((CM3*1000000)-'Evolutive SFP'!BZ39)/'Evolutive SFP'!BZ27</f>
        <v>0.13486540910165495</v>
      </c>
      <c r="CN6" s="38">
        <f>((CN3*1000000)-'Evolutive SFP'!CA39)/'Evolutive SFP'!CA27</f>
        <v>0.14703590876609868</v>
      </c>
    </row>
    <row r="7" spans="1:92" ht="15.75">
      <c r="A7" s="425" t="s">
        <v>198</v>
      </c>
      <c r="B7" s="3" t="s">
        <v>199</v>
      </c>
      <c r="C7" s="11"/>
      <c r="D7" s="11"/>
      <c r="E7" s="11"/>
      <c r="F7" s="91">
        <v>0.36</v>
      </c>
      <c r="G7" s="94">
        <v>0.52149976577094925</v>
      </c>
      <c r="H7" s="2"/>
      <c r="I7" s="2"/>
      <c r="J7" s="34" t="e">
        <f>'Evolutive SFP'!#REF!/('FORM 4'!D5+'FORM 4'!D6+'FORM 4'!D7)</f>
        <v>#REF!</v>
      </c>
      <c r="K7" s="2"/>
      <c r="L7" s="2"/>
      <c r="M7" s="34" t="e">
        <f>'Evolutive SFP'!#REF!/('FORM 4'!D14+'FORM 4'!D15+'FORM 4'!D16)</f>
        <v>#REF!</v>
      </c>
      <c r="N7" s="2"/>
      <c r="O7" s="2"/>
      <c r="P7" s="34" t="e">
        <f>'Evolutive SFP'!#REF!/('FORM 4'!D25+'FORM 4'!D26+'FORM 4'!D27)</f>
        <v>#REF!</v>
      </c>
      <c r="Q7" s="2"/>
      <c r="R7" s="2"/>
      <c r="S7" s="38" t="e">
        <f>'Evolutive SFP'!#REF!/('FORM 4'!D36+'FORM 4'!D37+'FORM 4'!D38)</f>
        <v>#REF!</v>
      </c>
      <c r="T7" s="38" t="e">
        <f>'Evolutive SFP'!#REF!/('FORM 4'!E36+'FORM 4'!E37+'FORM 4'!E38)</f>
        <v>#REF!</v>
      </c>
      <c r="U7" s="38" t="e">
        <f>'Evolutive SFP'!#REF!/('FORM 4'!F36+'FORM 4'!F37+'FORM 4'!F38)</f>
        <v>#REF!</v>
      </c>
      <c r="V7" s="38" t="e">
        <f>'Evolutive SFP'!#REF!/('FORM 4'!G36+'FORM 4'!G37+'FORM 4'!G38)</f>
        <v>#REF!</v>
      </c>
      <c r="W7" s="38" t="e">
        <f>'Evolutive SFP'!#REF!/('FORM 4'!H36+'FORM 4'!H37+'FORM 4'!H38)</f>
        <v>#REF!</v>
      </c>
      <c r="X7" s="38" t="e">
        <f>'Evolutive SFP'!#REF!/('FORM 4'!I36+'FORM 4'!I37+'FORM 4'!I38)</f>
        <v>#REF!</v>
      </c>
      <c r="Y7" s="38" t="e">
        <f>'Evolutive SFP'!#REF!/('FORM 4'!J36+'FORM 4'!J37+'FORM 4'!J38)</f>
        <v>#REF!</v>
      </c>
      <c r="Z7" s="38" t="e">
        <f>'Evolutive SFP'!#REF!/('FORM 4'!#REF!+'FORM 4'!#REF!+'FORM 4'!#REF!)</f>
        <v>#REF!</v>
      </c>
      <c r="AA7" s="38" t="e">
        <f>'Evolutive SFP'!#REF!/('FORM 4'!K36+'FORM 4'!K37+'FORM 4'!K38)</f>
        <v>#REF!</v>
      </c>
      <c r="AB7" s="38" t="e">
        <f>'Evolutive SFP'!#REF!/('FORM 4'!L36+'FORM 4'!L37+'FORM 4'!L38)</f>
        <v>#REF!</v>
      </c>
      <c r="AC7" s="38" t="e">
        <f>'Evolutive SFP'!#REF!/('FORM 4'!M36+'FORM 4'!M37+'FORM 4'!M38)</f>
        <v>#REF!</v>
      </c>
      <c r="AD7" s="38" t="e">
        <f>'Evolutive SFP'!#REF!/('FORM 4'!N36+'FORM 4'!N37+'FORM 4'!N38)</f>
        <v>#REF!</v>
      </c>
      <c r="AE7" s="38" t="e">
        <f>'Evolutive SFP'!#REF!/('FORM 4'!O36+'FORM 4'!O37+'FORM 4'!O38)</f>
        <v>#REF!</v>
      </c>
      <c r="AF7" s="38" t="e">
        <f>'Evolutive SFP'!#REF!/('FORM 4'!P36+'FORM 4'!P37+'FORM 4'!P38)</f>
        <v>#REF!</v>
      </c>
      <c r="AG7" s="38" t="e">
        <f>'Evolutive SFP'!#REF!/('FORM 4'!Q36+'FORM 4'!Q37+'FORM 4'!Q38)</f>
        <v>#REF!</v>
      </c>
      <c r="AH7" s="38" t="e">
        <f>'Evolutive SFP'!#REF!/('FORM 4'!R36+'FORM 4'!R37+'FORM 4'!R38)</f>
        <v>#REF!</v>
      </c>
      <c r="AI7" s="38" t="e">
        <f>'Evolutive SFP'!#REF!/('FORM 4'!S36+'FORM 4'!S37+'FORM 4'!S38)</f>
        <v>#REF!</v>
      </c>
      <c r="AJ7" s="38" t="e">
        <f>'Evolutive SFP'!#REF!/('FORM 4'!T36+'FORM 4'!T37+'FORM 4'!T38)</f>
        <v>#REF!</v>
      </c>
      <c r="AK7" s="38" t="e">
        <f>'Evolutive SFP'!#REF!/('FORM 4'!U36+'FORM 4'!U37+'FORM 4'!U38)</f>
        <v>#REF!</v>
      </c>
      <c r="AL7" s="38" t="e">
        <f>'Evolutive SFP'!#REF!/('FORM 4'!V36+'FORM 4'!V37+'FORM 4'!V38)</f>
        <v>#REF!</v>
      </c>
      <c r="AM7" s="38" t="e">
        <f>'Evolutive SFP'!#REF!/('FORM 4'!W36+'FORM 4'!W37+'FORM 4'!W38)</f>
        <v>#REF!</v>
      </c>
      <c r="AN7" s="38" t="e">
        <f>'Evolutive SFP'!#REF!/('FORM 4'!X36+'FORM 4'!X37+'FORM 4'!X38)</f>
        <v>#REF!</v>
      </c>
      <c r="AO7" s="38" t="e">
        <f>'Evolutive SFP'!#REF!/('FORM 4'!Y36+'FORM 4'!Y37+'FORM 4'!Y38)</f>
        <v>#REF!</v>
      </c>
      <c r="AP7" s="38" t="e">
        <f>'Evolutive SFP'!#REF!/('FORM 4'!Z36+'FORM 4'!Z37+'FORM 4'!Z38)</f>
        <v>#REF!</v>
      </c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</row>
    <row r="8" spans="1:92" ht="15.75">
      <c r="A8" s="425"/>
      <c r="B8" s="3" t="s">
        <v>200</v>
      </c>
      <c r="C8" s="11"/>
      <c r="D8" s="11"/>
      <c r="E8" s="11"/>
      <c r="F8" s="90">
        <v>0.02</v>
      </c>
      <c r="G8" s="94">
        <v>5.1294613851202153E-2</v>
      </c>
      <c r="H8" s="2"/>
      <c r="I8" s="2"/>
      <c r="J8" s="34" t="e">
        <f>('FORM 4'!D5+'FORM 4'!D6+'FORM 4'!D7)/'Evolutive SFP'!#REF!</f>
        <v>#REF!</v>
      </c>
      <c r="K8" s="2"/>
      <c r="L8" s="2"/>
      <c r="M8" s="34" t="e">
        <f>('FORM 4'!D14+'FORM 4'!D15+'FORM 4'!D16)/'Evolutive SFP'!#REF!</f>
        <v>#REF!</v>
      </c>
      <c r="N8" s="2"/>
      <c r="O8" s="2"/>
      <c r="P8" s="29" t="e">
        <f>('FORM 4'!D25+'FORM 4'!D26+'FORM 4'!D27)/'Evolutive SFP'!#REF!</f>
        <v>#REF!</v>
      </c>
      <c r="Q8" s="2"/>
      <c r="R8" s="2"/>
      <c r="S8" s="40" t="e">
        <f>('FORM 4'!D36+'FORM 4'!D37+'FORM 4'!D38)/'Evolutive SFP'!#REF!</f>
        <v>#REF!</v>
      </c>
      <c r="T8" s="40" t="e">
        <f>('FORM 4'!E36+'FORM 4'!E37+'FORM 4'!E38)/'Evolutive SFP'!#REF!</f>
        <v>#REF!</v>
      </c>
      <c r="U8" s="40" t="e">
        <f>('FORM 4'!F36+'FORM 4'!F37+'FORM 4'!F38)/'Evolutive SFP'!#REF!</f>
        <v>#REF!</v>
      </c>
      <c r="V8" s="40" t="e">
        <f>('FORM 4'!G36+'FORM 4'!G37+'FORM 4'!G38)/'Evolutive SFP'!#REF!</f>
        <v>#REF!</v>
      </c>
      <c r="W8" s="40" t="e">
        <f>('FORM 4'!H36+'FORM 4'!H37+'FORM 4'!H38)/'Evolutive SFP'!#REF!</f>
        <v>#REF!</v>
      </c>
      <c r="X8" s="40" t="e">
        <f>('FORM 4'!I36+'FORM 4'!I37+'FORM 4'!I38)/'Evolutive SFP'!#REF!</f>
        <v>#REF!</v>
      </c>
      <c r="Y8" s="40" t="e">
        <f>('FORM 4'!J36+'FORM 4'!J37+'FORM 4'!J38)/'Evolutive SFP'!#REF!</f>
        <v>#REF!</v>
      </c>
      <c r="Z8" s="40" t="e">
        <f>('FORM 4'!#REF!+'FORM 4'!#REF!+'FORM 4'!#REF!)/'Evolutive SFP'!#REF!</f>
        <v>#REF!</v>
      </c>
      <c r="AA8" s="40" t="e">
        <f>('FORM 4'!K36+'FORM 4'!K37+'FORM 4'!K38)/'Evolutive SFP'!#REF!</f>
        <v>#REF!</v>
      </c>
      <c r="AB8" s="40" t="e">
        <f>('FORM 4'!L36+'FORM 4'!L37+'FORM 4'!L38)/'Evolutive SFP'!#REF!</f>
        <v>#REF!</v>
      </c>
      <c r="AC8" s="40" t="e">
        <f>('FORM 4'!M36+'FORM 4'!M37+'FORM 4'!M38)/'Evolutive SFP'!#REF!</f>
        <v>#REF!</v>
      </c>
      <c r="AD8" s="40" t="e">
        <f>('FORM 4'!N36+'FORM 4'!N37+'FORM 4'!N38)/'Evolutive SFP'!#REF!</f>
        <v>#REF!</v>
      </c>
      <c r="AE8" s="40" t="e">
        <f>('FORM 4'!O36+'FORM 4'!O37+'FORM 4'!O38)/'Evolutive SFP'!#REF!</f>
        <v>#REF!</v>
      </c>
      <c r="AF8" s="40" t="e">
        <f>('FORM 4'!P36+'FORM 4'!P37+'FORM 4'!P38)/'Evolutive SFP'!#REF!</f>
        <v>#REF!</v>
      </c>
      <c r="AG8" s="40" t="e">
        <f>('FORM 4'!Q36+'FORM 4'!Q37+'FORM 4'!Q38)/'Evolutive SFP'!#REF!</f>
        <v>#REF!</v>
      </c>
      <c r="AH8" s="40" t="e">
        <f>('FORM 4'!R36+'FORM 4'!R37+'FORM 4'!R38)/'Evolutive SFP'!#REF!</f>
        <v>#REF!</v>
      </c>
      <c r="AI8" s="40" t="e">
        <f>('FORM 4'!S36+'FORM 4'!S37+'FORM 4'!S38)/'Evolutive SFP'!#REF!</f>
        <v>#REF!</v>
      </c>
      <c r="AJ8" s="40" t="e">
        <f>('FORM 4'!T36+'FORM 4'!T37+'FORM 4'!T38)/'Evolutive SFP'!#REF!</f>
        <v>#REF!</v>
      </c>
      <c r="AK8" s="40" t="e">
        <f>('FORM 4'!U36+'FORM 4'!U37+'FORM 4'!U38)/'Evolutive SFP'!#REF!</f>
        <v>#REF!</v>
      </c>
      <c r="AL8" s="40" t="e">
        <f>('FORM 4'!V36+'FORM 4'!V37+'FORM 4'!V38)/'Evolutive SFP'!#REF!</f>
        <v>#REF!</v>
      </c>
      <c r="AM8" s="40" t="e">
        <f>('FORM 4'!W36+'FORM 4'!W37+'FORM 4'!W38)/'Evolutive SFP'!#REF!</f>
        <v>#REF!</v>
      </c>
      <c r="AN8" s="40" t="e">
        <f>('FORM 4'!X36+'FORM 4'!X37+'FORM 4'!X38)/'Evolutive SFP'!#REF!</f>
        <v>#REF!</v>
      </c>
      <c r="AO8" s="40" t="e">
        <f>('FORM 4'!Y36+'FORM 4'!Y37+'FORM 4'!Y38)/'Evolutive SFP'!#REF!</f>
        <v>#REF!</v>
      </c>
      <c r="AP8" s="40" t="e">
        <f>('FORM 4'!Z36+'FORM 4'!Z37+'FORM 4'!Z38)/'Evolutive SFP'!#REF!</f>
        <v>#REF!</v>
      </c>
      <c r="AQ8" s="40" t="e">
        <f>('FORM 4'!AA36+'FORM 4'!AA37+'FORM 4'!AA38)/'Evolutive SFP'!#REF!</f>
        <v>#REF!</v>
      </c>
      <c r="AR8" s="40" t="e">
        <f>('FORM 4'!AB36+'FORM 4'!AB37+'FORM 4'!AB38)/'Evolutive SFP'!#REF!</f>
        <v>#REF!</v>
      </c>
      <c r="AS8" s="40" t="e">
        <f>('FORM 4'!AC36+'FORM 4'!AC37+'FORM 4'!AC38)/'Evolutive SFP'!#REF!</f>
        <v>#REF!</v>
      </c>
      <c r="AT8" s="40">
        <f>('FORM 4'!AD36+'FORM 4'!AD37+'FORM 4'!AD38)/'Evolutive SFP'!AH15</f>
        <v>0</v>
      </c>
      <c r="AU8" s="40">
        <f>('FORM 4'!AE36+'FORM 4'!AE37+'FORM 4'!AE38)/'Evolutive SFP'!AI15</f>
        <v>0</v>
      </c>
      <c r="AV8" s="40">
        <f>('FORM 4'!AF36+'FORM 4'!AF37+'FORM 4'!AF38)/'Evolutive SFP'!AJ15</f>
        <v>0</v>
      </c>
      <c r="AW8" s="40">
        <f>('FORM 4'!AG36+'FORM 4'!AG37+'FORM 4'!AG38)/'Evolutive SFP'!AK15</f>
        <v>0</v>
      </c>
      <c r="AX8" s="40">
        <f>('FORM 4'!AH36+'FORM 4'!AH37+'FORM 4'!AH38)/'Evolutive SFP'!AL15</f>
        <v>0</v>
      </c>
      <c r="AY8" s="40">
        <f>('FORM 4'!AI36+'FORM 4'!AI37+'FORM 4'!AI38)/'Evolutive SFP'!AM15</f>
        <v>0</v>
      </c>
      <c r="AZ8" s="40">
        <f>('FORM 4'!AJ36+'FORM 4'!AJ37+'FORM 4'!AJ38)/'Evolutive SFP'!AN15</f>
        <v>0</v>
      </c>
      <c r="BA8" s="40" t="e">
        <f>('FORM 4'!AK36+'FORM 4'!AK37+'FORM 4'!AK38)/'Evolutive SFP'!#REF!</f>
        <v>#REF!</v>
      </c>
      <c r="BB8" s="40">
        <f>('FORM 4'!AL36+'FORM 4'!AL37+'FORM 4'!AL38)/'Evolutive SFP'!AO15</f>
        <v>0</v>
      </c>
      <c r="BC8" s="40">
        <f>('FORM 4'!AM36+'FORM 4'!AM37+'FORM 4'!AM38)/'Evolutive SFP'!AP15</f>
        <v>0</v>
      </c>
      <c r="BD8" s="40">
        <f>('FORM 4'!AN36+'FORM 4'!AN37+'FORM 4'!AN38)/'Evolutive SFP'!AQ15</f>
        <v>0</v>
      </c>
      <c r="BE8" s="40">
        <f>('FORM 4'!AO36+'FORM 4'!AO37+'FORM 4'!AO38)/'Evolutive SFP'!AR15</f>
        <v>0</v>
      </c>
      <c r="BF8" s="40">
        <f>('FORM 4'!AP36+'FORM 4'!AP37+'FORM 4'!AP38)/'Evolutive SFP'!AS15</f>
        <v>0</v>
      </c>
      <c r="BG8" s="40">
        <f>('FORM 4'!AQ36+'FORM 4'!AQ37+'FORM 4'!AQ38)/'Evolutive SFP'!AT15</f>
        <v>0</v>
      </c>
      <c r="BH8" s="40">
        <f>('FORM 4'!AR36+'FORM 4'!AR37+'FORM 4'!AR38)/'Evolutive SFP'!AU15</f>
        <v>0</v>
      </c>
      <c r="BI8" s="40">
        <f>('FORM 4'!AS36+'FORM 4'!AS37+'FORM 4'!AS38)/'Evolutive SFP'!AV15</f>
        <v>0</v>
      </c>
      <c r="BJ8" s="40">
        <f>('FORM 4'!AT36+'FORM 4'!AT37+'FORM 4'!AT38)/'Evolutive SFP'!AW15</f>
        <v>0</v>
      </c>
      <c r="BK8" s="40">
        <f>('FORM 4'!AU36+'FORM 4'!AU37+'FORM 4'!AU38)/'Evolutive SFP'!AX15</f>
        <v>0</v>
      </c>
      <c r="BL8" s="40">
        <f>('FORM 4'!AV36+'FORM 4'!AV37+'FORM 4'!AV38)/'Evolutive SFP'!AY15</f>
        <v>0</v>
      </c>
      <c r="BM8" s="40">
        <f>('FORM 4'!AW36+'FORM 4'!AW37+'FORM 4'!AW38)/'Evolutive SFP'!AZ15</f>
        <v>0</v>
      </c>
      <c r="BN8" s="40">
        <f>('FORM 4'!AX36+'FORM 4'!AX37+'FORM 4'!AX38)/'Evolutive SFP'!BA15</f>
        <v>0</v>
      </c>
      <c r="BO8" s="40">
        <f>('FORM 4'!AY36+'FORM 4'!AY37+'FORM 4'!AY38)/'Evolutive SFP'!BB15</f>
        <v>0</v>
      </c>
      <c r="BP8" s="40">
        <f>('FORM 4'!AZ36+'FORM 4'!AZ37+'FORM 4'!AZ38)/'Evolutive SFP'!BC15</f>
        <v>0</v>
      </c>
      <c r="BQ8" s="40">
        <f>('FORM 4'!BA36+'FORM 4'!BA37+'FORM 4'!BA38)/'Evolutive SFP'!BD15</f>
        <v>0</v>
      </c>
      <c r="BR8" s="40">
        <f>('FORM 4'!BB36+'FORM 4'!BB37+'FORM 4'!BB38)/'Evolutive SFP'!BE15</f>
        <v>0</v>
      </c>
      <c r="BS8" s="40">
        <f>('FORM 4'!BC36+'FORM 4'!BC37+'FORM 4'!BC38)/'Evolutive SFP'!BF15</f>
        <v>0</v>
      </c>
      <c r="BT8" s="40">
        <f>('FORM 4'!BD36+'FORM 4'!BD37+'FORM 4'!BD38)/'Evolutive SFP'!BG15</f>
        <v>0</v>
      </c>
      <c r="BU8" s="40">
        <f>('FORM 4'!BE36+'FORM 4'!BE37+'FORM 4'!BE38)/'Evolutive SFP'!BH15</f>
        <v>0</v>
      </c>
      <c r="BV8" s="40">
        <f>('FORM 4'!BF36+'FORM 4'!BF37+'FORM 4'!BF38)/'Evolutive SFP'!BI15</f>
        <v>0</v>
      </c>
      <c r="BW8" s="40">
        <f>('FORM 4'!BG36+'FORM 4'!BG37+'FORM 4'!BG38)/'Evolutive SFP'!BJ15</f>
        <v>0</v>
      </c>
      <c r="BX8" s="40">
        <f>('FORM 4'!BH36+'FORM 4'!BH37+'FORM 4'!BH38)/'Evolutive SFP'!BK15</f>
        <v>0</v>
      </c>
      <c r="BY8" s="40">
        <f>('FORM 4'!BI36+'FORM 4'!BI37+'FORM 4'!BI38)/'Evolutive SFP'!BL15</f>
        <v>0</v>
      </c>
      <c r="BZ8" s="40">
        <f>('FORM 4'!BJ36+'FORM 4'!BJ37+'FORM 4'!BJ38)/'Evolutive SFP'!BM15</f>
        <v>0</v>
      </c>
      <c r="CA8" s="40">
        <f>('FORM 4'!BK36+'FORM 4'!BK37+'FORM 4'!BK38)/'Evolutive SFP'!BN15</f>
        <v>0</v>
      </c>
      <c r="CB8" s="40">
        <f>('FORM 4'!BL36+'FORM 4'!BL37+'FORM 4'!BL38)/'Evolutive SFP'!BO15</f>
        <v>0</v>
      </c>
      <c r="CC8" s="40">
        <f>('FORM 4'!BM36+'FORM 4'!BM37+'FORM 4'!BM38)/'Evolutive SFP'!BP15</f>
        <v>0</v>
      </c>
      <c r="CD8" s="40">
        <f>('FORM 4'!BN36+'FORM 4'!BN37+'FORM 4'!BN38)/'Evolutive SFP'!BQ15</f>
        <v>0</v>
      </c>
      <c r="CE8" s="40">
        <f>('FORM 4'!BO36+'FORM 4'!BO37+'FORM 4'!BO38)/'Evolutive SFP'!BR15</f>
        <v>0</v>
      </c>
      <c r="CF8" s="40">
        <f>('FORM 4'!BP36+'FORM 4'!BP37+'FORM 4'!BP38)/'Evolutive SFP'!BS15</f>
        <v>0</v>
      </c>
      <c r="CG8" s="40" t="e">
        <f>('FORM 4'!BQ36+'FORM 4'!BQ37+'FORM 4'!BQ38)/'Evolutive SFP'!BT15</f>
        <v>#DIV/0!</v>
      </c>
      <c r="CH8" s="40">
        <f>('FORM 4'!BR36+'FORM 4'!BR37+'FORM 4'!BR38)/'Evolutive SFP'!BU15</f>
        <v>0</v>
      </c>
      <c r="CI8" s="40">
        <f>('FORM 4'!BS36+'FORM 4'!BS37+'FORM 4'!BS38)/'Evolutive SFP'!BV15</f>
        <v>0</v>
      </c>
      <c r="CJ8" s="40">
        <f>('FORM 4'!BT36+'FORM 4'!BT37+'FORM 4'!BT38)/'Evolutive SFP'!BW15</f>
        <v>0</v>
      </c>
      <c r="CK8" s="40">
        <f>('FORM 4'!BU36+'FORM 4'!BU37+'FORM 4'!BU38)/'Evolutive SFP'!BX15</f>
        <v>0</v>
      </c>
      <c r="CL8" s="40">
        <f>('FORM 4'!BV36+'FORM 4'!BV37+'FORM 4'!BV38)/'Evolutive SFP'!BY15</f>
        <v>0</v>
      </c>
      <c r="CM8" s="40">
        <f>('FORM 4'!BW36+'FORM 4'!BW37+'FORM 4'!BW38)/'Evolutive SFP'!BZ15</f>
        <v>0</v>
      </c>
      <c r="CN8" s="40">
        <f>('FORM 4'!BX36+'FORM 4'!BX37+'FORM 4'!BX38)/'Evolutive SFP'!CA15</f>
        <v>0</v>
      </c>
    </row>
    <row r="9" spans="1:92" ht="15.75">
      <c r="A9" s="423" t="s">
        <v>201</v>
      </c>
      <c r="B9" s="3" t="s">
        <v>202</v>
      </c>
      <c r="C9" s="11"/>
      <c r="D9" s="11"/>
      <c r="E9" s="5" t="e">
        <f>'Evolutitve SCI'!#REF!/(('Evolutive SFP'!#REF!+'Evolutive SFP'!#REF!)/2)</f>
        <v>#REF!</v>
      </c>
      <c r="F9" s="5"/>
      <c r="G9" s="11"/>
      <c r="H9" s="5" t="e">
        <f>'Evolutitve SCI'!#REF!/(('Evolutive SFP'!#REF!+'Evolutive SFP'!#REF!)/2)</f>
        <v>#REF!</v>
      </c>
      <c r="I9" s="5" t="e">
        <f>'Evolutitve SCI'!#REF!/(('Evolutive SFP'!#REF!+'Evolutive SFP'!#REF!)/2)</f>
        <v>#REF!</v>
      </c>
      <c r="J9" s="5" t="e">
        <f>'Evolutitve SCI'!#REF!/(('Evolutive SFP'!#REF!+'Evolutive SFP'!#REF!)/2)</f>
        <v>#REF!</v>
      </c>
      <c r="K9" s="5" t="e">
        <f>'Evolutitve SCI'!#REF!/(('Evolutive SFP'!#REF!+'Evolutive SFP'!#REF!)/2)</f>
        <v>#REF!</v>
      </c>
      <c r="L9" s="5" t="e">
        <f>'Evolutitve SCI'!#REF!/(('Evolutive SFP'!#REF!+'Evolutive SFP'!#REF!)/2)</f>
        <v>#REF!</v>
      </c>
      <c r="M9" s="5" t="e">
        <f>'Evolutitve SCI'!#REF!/(('Evolutive SFP'!#REF!+'Evolutive SFP'!#REF!)/2)</f>
        <v>#REF!</v>
      </c>
      <c r="N9" s="5" t="e">
        <f>'Evolutitve SCI'!#REF!/(('Evolutive SFP'!#REF!+'Evolutive SFP'!#REF!)/2)</f>
        <v>#REF!</v>
      </c>
      <c r="O9" s="5" t="e">
        <f>'Evolutitve SCI'!#REF!/(('Evolutive SFP'!#REF!+'Evolutive SFP'!#REF!)/2)</f>
        <v>#REF!</v>
      </c>
      <c r="P9" s="5" t="e">
        <f>'Evolutitve SCI'!#REF!/(('Evolutive SFP'!#REF!+'Evolutive SFP'!#REF!)/2)</f>
        <v>#REF!</v>
      </c>
      <c r="Q9" s="5" t="e">
        <f>'Evolutitve SCI'!#REF!/(('Evolutive SFP'!#REF!+'Evolutive SFP'!#REF!)/2)</f>
        <v>#REF!</v>
      </c>
      <c r="R9" s="5" t="e">
        <f>'Evolutitve SCI'!#REF!/(('Evolutive SFP'!#REF!+'Evolutive SFP'!#REF!)/2)</f>
        <v>#REF!</v>
      </c>
      <c r="S9" s="41" t="e">
        <f>'Evolutitve SCI'!#REF!/(('Evolutive SFP'!#REF!+'Evolutive SFP'!#REF!)/2)</f>
        <v>#REF!</v>
      </c>
      <c r="T9" s="41" t="e">
        <f>'Evolutitve SCI'!#REF!/(('Evolutive SFP'!#REF!+'Evolutive SFP'!#REF!)/2)</f>
        <v>#REF!</v>
      </c>
      <c r="U9" s="41" t="e">
        <f>'Evolutitve SCI'!#REF!/(('Evolutive SFP'!#REF!+'Evolutive SFP'!#REF!)/2)</f>
        <v>#REF!</v>
      </c>
      <c r="V9" s="41" t="e">
        <f>'Evolutitve SCI'!#REF!/(('Evolutive SFP'!#REF!+'Evolutive SFP'!#REF!)/2)</f>
        <v>#REF!</v>
      </c>
      <c r="W9" s="41" t="e">
        <f>'Evolutitve SCI'!#REF!/(('Evolutive SFP'!#REF!+'Evolutive SFP'!#REF!)/2)</f>
        <v>#REF!</v>
      </c>
      <c r="X9" s="41" t="e">
        <f>'Evolutitve SCI'!#REF!/(('Evolutive SFP'!#REF!+'Evolutive SFP'!#REF!)/2)</f>
        <v>#REF!</v>
      </c>
      <c r="Y9" s="41" t="e">
        <f>'Evolutitve SCI'!#REF!/(('Evolutive SFP'!#REF!+'Evolutive SFP'!#REF!)/2)</f>
        <v>#REF!</v>
      </c>
      <c r="Z9" s="41" t="e">
        <f>'Evolutitve SCI'!#REF!/(('Evolutive SFP'!#REF!+'Evolutive SFP'!#REF!)/2)</f>
        <v>#REF!</v>
      </c>
      <c r="AA9" s="41" t="e">
        <f>'Evolutitve SCI'!#REF!/(('Evolutive SFP'!#REF!+'Evolutive SFP'!#REF!)/2)</f>
        <v>#REF!</v>
      </c>
      <c r="AB9" s="41" t="e">
        <f>'Evolutitve SCI'!#REF!/(('Evolutive SFP'!#REF!+'Evolutive SFP'!#REF!)/2)</f>
        <v>#REF!</v>
      </c>
      <c r="AC9" s="41" t="e">
        <f>'Evolutitve SCI'!#REF!/(('Evolutive SFP'!#REF!+'Evolutive SFP'!#REF!)/2)</f>
        <v>#REF!</v>
      </c>
      <c r="AD9" s="41" t="e">
        <f>'Evolutitve SCI'!#REF!/(('Evolutive SFP'!#REF!+'Evolutive SFP'!#REF!)/2)</f>
        <v>#REF!</v>
      </c>
      <c r="AE9" s="41" t="e">
        <f>'Evolutitve SCI'!#REF!/(('Evolutive SFP'!#REF!+'Evolutive SFP'!#REF!)/2)</f>
        <v>#REF!</v>
      </c>
      <c r="AF9" s="41" t="e">
        <f>'Evolutitve SCI'!#REF!/(('Evolutive SFP'!#REF!+'Evolutive SFP'!#REF!)/2)</f>
        <v>#REF!</v>
      </c>
      <c r="AG9" s="41" t="e">
        <f>'Evolutitve SCI'!#REF!/(('Evolutive SFP'!#REF!+'Evolutive SFP'!#REF!)/2)</f>
        <v>#REF!</v>
      </c>
      <c r="AH9" s="41" t="e">
        <f>'Evolutitve SCI'!#REF!/(('Evolutive SFP'!#REF!+'Evolutive SFP'!#REF!)/2)</f>
        <v>#REF!</v>
      </c>
      <c r="AI9" s="41" t="e">
        <f>'Evolutitve SCI'!#REF!/(('Evolutive SFP'!#REF!+'Evolutive SFP'!#REF!)/2)</f>
        <v>#REF!</v>
      </c>
      <c r="AJ9" s="41" t="e">
        <f>'Evolutitve SCI'!#REF!/(('Evolutive SFP'!#REF!+'Evolutive SFP'!#REF!)/2)</f>
        <v>#REF!</v>
      </c>
      <c r="AK9" s="41" t="e">
        <f>'Evolutitve SCI'!#REF!/(('Evolutive SFP'!#REF!+'Evolutive SFP'!#REF!)/2)</f>
        <v>#REF!</v>
      </c>
      <c r="AL9" s="41" t="e">
        <f>'Evolutitve SCI'!#REF!/(('Evolutive SFP'!#REF!+'Evolutive SFP'!#REF!)/2)</f>
        <v>#REF!</v>
      </c>
      <c r="AM9" s="41" t="e">
        <f>'Evolutitve SCI'!#REF!/(('Evolutive SFP'!#REF!+'Evolutive SFP'!#REF!)/2)</f>
        <v>#REF!</v>
      </c>
      <c r="AN9" s="41" t="e">
        <f>'Evolutitve SCI'!#REF!/(('Evolutive SFP'!#REF!+'Evolutive SFP'!#REF!)/2)</f>
        <v>#REF!</v>
      </c>
      <c r="AO9" s="41" t="e">
        <f>'Evolutitve SCI'!#REF!/(('Evolutive SFP'!#REF!+'Evolutive SFP'!#REF!)/2)</f>
        <v>#REF!</v>
      </c>
      <c r="AP9" s="41" t="e">
        <f>'Evolutitve SCI'!#REF!/(('Evolutive SFP'!#REF!+'Evolutive SFP'!#REF!)/2)</f>
        <v>#REF!</v>
      </c>
      <c r="AQ9" s="41" t="e">
        <f>'Evolutitve SCI'!#REF!/(('Evolutive SFP'!#REF!+'Evolutive SFP'!#REF!)/2)</f>
        <v>#REF!</v>
      </c>
      <c r="AR9" s="41" t="e">
        <f>'Evolutitve SCI'!#REF!/(('Evolutive SFP'!#REF!+'Evolutive SFP'!#REF!)/2)</f>
        <v>#REF!</v>
      </c>
      <c r="AS9" s="41" t="e">
        <f>'Evolutitve SCI'!#REF!/(('Evolutive SFP'!#REF!+'Evolutive SFP'!#REF!)/2)</f>
        <v>#REF!</v>
      </c>
      <c r="AT9" s="41" t="e">
        <f>'Evolutitve SCI'!AG33/(('Evolutive SFP'!#REF!+'Evolutive SFP'!AH27)/2)</f>
        <v>#REF!</v>
      </c>
      <c r="AU9" s="41">
        <f>'Evolutitve SCI'!AH33/(('Evolutive SFP'!AH27+'Evolutive SFP'!AI27)/2)</f>
        <v>5.3262893802464547E-3</v>
      </c>
      <c r="AV9" s="41">
        <f>'Evolutitve SCI'!AI33/(('Evolutive SFP'!AI27+'Evolutive SFP'!AJ27)/2)</f>
        <v>9.0376943608106667E-3</v>
      </c>
      <c r="AW9" s="41">
        <f>'Evolutitve SCI'!AJ33/(('Evolutive SFP'!AJ27+'Evolutive SFP'!AK27)/2)</f>
        <v>1.4995822873670798E-2</v>
      </c>
      <c r="AX9" s="41">
        <f>'Evolutitve SCI'!AK33/(('Evolutive SFP'!AK27+'Evolutive SFP'!AL27)/2)</f>
        <v>1.7583261294108633E-2</v>
      </c>
      <c r="AY9" s="41">
        <f>'Evolutitve SCI'!AL33/(('Evolutive SFP'!AL27+'Evolutive SFP'!AM27)/2)</f>
        <v>2.2245466710169907E-2</v>
      </c>
      <c r="AZ9" s="41">
        <f>'Evolutitve SCI'!AM33/(('Evolutive SFP'!AM27+'Evolutive SFP'!AN27)/2)</f>
        <v>2.6197247623554812E-2</v>
      </c>
      <c r="BA9" s="41" t="e">
        <f>'Evolutitve SCI'!#REF!/(('Evolutive SFP'!AN27+'Evolutive SFP'!#REF!)/2)</f>
        <v>#REF!</v>
      </c>
      <c r="BB9" s="41" t="e">
        <f>'Evolutitve SCI'!AN33/(('Evolutive SFP'!#REF!+'Evolutive SFP'!AO27)/2)</f>
        <v>#REF!</v>
      </c>
      <c r="BC9" s="41">
        <f>'Evolutitve SCI'!AO33/(('Evolutive SFP'!AO27+'Evolutive SFP'!AP27)/2)</f>
        <v>4.0804041517705114E-2</v>
      </c>
      <c r="BD9" s="41">
        <f>'Evolutitve SCI'!AP33/(('Evolutive SFP'!AP27+'Evolutive SFP'!AQ27)/2)</f>
        <v>4.7714677719386991E-2</v>
      </c>
      <c r="BE9" s="41">
        <f>'Evolutitve SCI'!AQ33/(('Evolutive SFP'!AQ27+'Evolutive SFP'!AR27)/2)</f>
        <v>4.9497610416553442E-2</v>
      </c>
      <c r="BF9" s="41">
        <f>'Evolutitve SCI'!AR33/(('Evolutive SFP'!AR27+'Evolutive SFP'!AS27)/2)</f>
        <v>5.0703539043123524E-2</v>
      </c>
      <c r="BG9" s="41">
        <f>'Evolutitve SCI'!AS33/(('Evolutive SFP'!AS27+'Evolutive SFP'!AT27)/2)</f>
        <v>9.8926302105914327E-3</v>
      </c>
      <c r="BH9" s="41">
        <f>'Evolutitve SCI'!AT33/(('Evolutive SFP'!AT27+'Evolutive SFP'!AU27)/2)</f>
        <v>5.7705694917866552E-4</v>
      </c>
      <c r="BI9" s="41">
        <f>'Evolutitve SCI'!AU33/(('Evolutive SFP'!AU27+'Evolutive SFP'!AV27)/2)</f>
        <v>3.0320698644139138E-3</v>
      </c>
      <c r="BJ9" s="41">
        <f>'Evolutitve SCI'!AV33/(('Evolutive SFP'!AV27+'Evolutive SFP'!AW27)/2)</f>
        <v>9.3416352022172768E-3</v>
      </c>
      <c r="BK9" s="41">
        <f>'Evolutitve SCI'!AW33/(('Evolutive SFP'!AW27+'Evolutive SFP'!AX27)/2)</f>
        <v>1.3930816344825988E-2</v>
      </c>
      <c r="BL9" s="41">
        <f>'Evolutitve SCI'!AX33/(('Evolutive SFP'!AX27+'Evolutive SFP'!AY27)/2)</f>
        <v>1.8127997403627447E-2</v>
      </c>
      <c r="BM9" s="41">
        <f>'Evolutitve SCI'!AY33/(('Evolutive SFP'!AY27+'Evolutive SFP'!AZ27)/2)</f>
        <v>2.2908624537261862E-2</v>
      </c>
      <c r="BN9" s="41">
        <f>'Evolutitve SCI'!AZ33/(('Evolutive SFP'!AZ27+'Evolutive SFP'!BA27)/2)</f>
        <v>3.0878278917605001E-2</v>
      </c>
      <c r="BO9" s="41">
        <f>'Evolutitve SCI'!BA33/(('Evolutive SFP'!BA27+'Evolutive SFP'!BB27)/2)</f>
        <v>3.4143543123003738E-2</v>
      </c>
      <c r="BP9" s="41">
        <f>'Evolutitve SCI'!BB33/(('Evolutive SFP'!BB27+'Evolutive SFP'!BC27)/2)</f>
        <v>3.9542541412428432E-2</v>
      </c>
      <c r="BQ9" s="41">
        <f>'Evolutitve SCI'!BC33/(('Evolutive SFP'!BC27+'Evolutive SFP'!BD27)/2)</f>
        <v>4.749959454470494E-2</v>
      </c>
      <c r="BR9" s="41">
        <f>'Evolutitve SCI'!BD33/(('Evolutive SFP'!BD27+'Evolutive SFP'!BE27)/2)</f>
        <v>4.713055964320275E-2</v>
      </c>
      <c r="BS9" s="41">
        <f>'Evolutitve SCI'!BE33/(('Evolutive SFP'!BE27+'Evolutive SFP'!BF27)/2)</f>
        <v>4.9382601844728397E-2</v>
      </c>
      <c r="BT9" s="41">
        <f>'Evolutitve SCI'!BF33/(('Evolutive SFP'!BF27+'Evolutive SFP'!BG27)/2)</f>
        <v>2.8887322017995081E-2</v>
      </c>
      <c r="BU9" s="41">
        <f>'Evolutitve SCI'!BG33/(('Evolutive SFP'!BG27+'Evolutive SFP'!BH27)/2)</f>
        <v>4.2472584003578652E-3</v>
      </c>
      <c r="BV9" s="41">
        <f>'Evolutitve SCI'!BH33/(('Evolutive SFP'!BH27+'Evolutive SFP'!BI27)/2)</f>
        <v>4.4187880891071859E-3</v>
      </c>
      <c r="BW9" s="41">
        <f>'Evolutitve SCI'!BI33/(('Evolutive SFP'!BI27+'Evolutive SFP'!BJ27)/2)</f>
        <v>1.0233126945555509E-2</v>
      </c>
      <c r="BX9" s="41">
        <f>'Evolutitve SCI'!BJ33/(('Evolutive SFP'!BJ27+'Evolutive SFP'!BK27)/2)</f>
        <v>1.5717086202045809E-2</v>
      </c>
      <c r="BY9" s="41">
        <f>'Evolutitve SCI'!BK33/(('Evolutive SFP'!BK27+'Evolutive SFP'!BL27)/2)</f>
        <v>2.0605524399620538E-2</v>
      </c>
      <c r="BZ9" s="41">
        <f>'Evolutitve SCI'!BL33/(('Evolutive SFP'!BL27+'Evolutive SFP'!BM27)/2)</f>
        <v>2.399864867202036E-2</v>
      </c>
      <c r="CA9" s="41">
        <f>'Evolutitve SCI'!BM33/(('Evolutive SFP'!BM27+'Evolutive SFP'!BN27)/2)</f>
        <v>3.0125905217104211E-2</v>
      </c>
      <c r="CB9" s="41">
        <f>'Evolutitve SCI'!BN33/(('Evolutive SFP'!BN27+'Evolutive SFP'!BO27)/2)</f>
        <v>3.6268179626724045E-2</v>
      </c>
      <c r="CC9" s="41">
        <f>'Evolutitve SCI'!BO33/(('Evolutive SFP'!BO27+'Evolutive SFP'!BP27)/2)</f>
        <v>4.1861864288595216E-2</v>
      </c>
      <c r="CD9" s="41">
        <f>'Evolutitve SCI'!BP33/(('Evolutive SFP'!BP27+'Evolutive SFP'!BQ27)/2)</f>
        <v>4.2144381029642061E-2</v>
      </c>
      <c r="CE9" s="41">
        <f>'Evolutitve SCI'!BQ33/(('Evolutive SFP'!BQ27+'Evolutive SFP'!BR27)/2)</f>
        <v>4.7460759058662316E-2</v>
      </c>
      <c r="CF9" s="41">
        <f>'Evolutitve SCI'!BR33/(('Evolutive SFP'!BR27+'Evolutive SFP'!BS27)/2)</f>
        <v>4.7672862829260851E-2</v>
      </c>
      <c r="CG9" s="41">
        <f>'Evolutitve SCI'!BS33/(('Evolutive SFP'!BS27+'Evolutive SFP'!BT27)/2)</f>
        <v>4.4123723830555052E-2</v>
      </c>
      <c r="CH9" s="41">
        <f>'Evolutitve SCI'!BT33/(('Evolutive SFP'!BT27+'Evolutive SFP'!BU27)/2)</f>
        <v>1.1056707711636716E-2</v>
      </c>
      <c r="CI9" s="41">
        <f>'Evolutitve SCI'!BU33/(('Evolutive SFP'!BU27+'Evolutive SFP'!BV27)/2)</f>
        <v>7.6829361523084042E-3</v>
      </c>
      <c r="CJ9" s="41">
        <f>'Evolutitve SCI'!BV33/(('Evolutive SFP'!BV27+'Evolutive SFP'!BW27)/2)</f>
        <v>1.5747076702209012E-2</v>
      </c>
      <c r="CK9" s="41">
        <f>'Evolutitve SCI'!BW33/(('Evolutive SFP'!BW27+'Evolutive SFP'!BX27)/2)</f>
        <v>2.0236841079890266E-2</v>
      </c>
      <c r="CL9" s="41">
        <f>'Evolutitve SCI'!BX33/(('Evolutive SFP'!BX27+'Evolutive SFP'!BY27)/2)</f>
        <v>2.6164588685329091E-2</v>
      </c>
      <c r="CM9" s="41">
        <f>'Evolutitve SCI'!BY33/(('Evolutive SFP'!BY27+'Evolutive SFP'!BZ27)/2)</f>
        <v>3.0930952101494821E-2</v>
      </c>
      <c r="CN9" s="41">
        <f>'Evolutitve SCI'!BZ33/(('Evolutive SFP'!BZ27+'Evolutive SFP'!CA27)/2)</f>
        <v>4.432824624270882E-2</v>
      </c>
    </row>
    <row r="10" spans="1:92" ht="15.75">
      <c r="A10" s="423"/>
      <c r="B10" s="3" t="s">
        <v>203</v>
      </c>
      <c r="C10" s="11"/>
      <c r="D10" s="34" t="e">
        <f>'Evolutitve SCI'!#REF!/'Evolutitve SCI'!#REF!</f>
        <v>#REF!</v>
      </c>
      <c r="E10" s="34" t="e">
        <f>'Evolutitve SCI'!#REF!/'Evolutitve SCI'!#REF!</f>
        <v>#REF!</v>
      </c>
      <c r="F10" s="34" t="e">
        <f>'Evolutitve SCI'!#REF!/'Evolutitve SCI'!#REF!</f>
        <v>#REF!</v>
      </c>
      <c r="G10" s="34" t="e">
        <f>'Evolutitve SCI'!#REF!/'Evolutitve SCI'!#REF!</f>
        <v>#REF!</v>
      </c>
      <c r="H10" s="34" t="e">
        <f>'Evolutitve SCI'!#REF!/'Evolutitve SCI'!#REF!</f>
        <v>#REF!</v>
      </c>
      <c r="I10" s="34" t="e">
        <f>'Evolutitve SCI'!#REF!/'Evolutitve SCI'!#REF!</f>
        <v>#REF!</v>
      </c>
      <c r="J10" s="34" t="e">
        <f>'Evolutitve SCI'!#REF!/'Evolutitve SCI'!#REF!</f>
        <v>#REF!</v>
      </c>
      <c r="K10" s="34" t="e">
        <f>'Evolutitve SCI'!#REF!/'Evolutitve SCI'!#REF!</f>
        <v>#REF!</v>
      </c>
      <c r="L10" s="34" t="e">
        <f>'Evolutitve SCI'!#REF!/'Evolutitve SCI'!#REF!</f>
        <v>#REF!</v>
      </c>
      <c r="M10" s="34" t="e">
        <f>'Evolutitve SCI'!#REF!/'Evolutitve SCI'!#REF!</f>
        <v>#REF!</v>
      </c>
      <c r="N10" s="34" t="e">
        <f>'Evolutitve SCI'!#REF!/'Evolutitve SCI'!#REF!</f>
        <v>#REF!</v>
      </c>
      <c r="O10" s="34" t="e">
        <f>'Evolutitve SCI'!#REF!/'Evolutitve SCI'!#REF!</f>
        <v>#REF!</v>
      </c>
      <c r="P10" s="34" t="e">
        <f>'Evolutitve SCI'!#REF!/'Evolutitve SCI'!#REF!</f>
        <v>#REF!</v>
      </c>
      <c r="Q10" s="34" t="e">
        <f>'Evolutitve SCI'!#REF!/'Evolutitve SCI'!#REF!</f>
        <v>#REF!</v>
      </c>
      <c r="R10" s="34" t="e">
        <f>'Evolutitve SCI'!#REF!/'Evolutitve SCI'!#REF!</f>
        <v>#REF!</v>
      </c>
      <c r="S10" s="38" t="e">
        <f>'Evolutitve SCI'!#REF!/'Evolutitve SCI'!#REF!</f>
        <v>#REF!</v>
      </c>
      <c r="T10" s="38" t="e">
        <f>'Evolutitve SCI'!#REF!/'Evolutitve SCI'!#REF!</f>
        <v>#REF!</v>
      </c>
      <c r="U10" s="38" t="e">
        <f>'Evolutitve SCI'!#REF!/'Evolutitve SCI'!#REF!</f>
        <v>#REF!</v>
      </c>
      <c r="V10" s="38" t="e">
        <f>'Evolutitve SCI'!#REF!/'Evolutitve SCI'!#REF!</f>
        <v>#REF!</v>
      </c>
      <c r="W10" s="38" t="e">
        <f>'Evolutitve SCI'!#REF!/'Evolutitve SCI'!#REF!</f>
        <v>#REF!</v>
      </c>
      <c r="X10" s="38" t="e">
        <f>'Evolutitve SCI'!#REF!/'Evolutitve SCI'!#REF!</f>
        <v>#REF!</v>
      </c>
      <c r="Y10" s="38" t="e">
        <f>'Evolutitve SCI'!#REF!/'Evolutitve SCI'!#REF!</f>
        <v>#REF!</v>
      </c>
      <c r="Z10" s="38" t="e">
        <f>'Evolutitve SCI'!#REF!/'Evolutitve SCI'!#REF!</f>
        <v>#REF!</v>
      </c>
      <c r="AA10" s="38" t="e">
        <f>'Evolutitve SCI'!#REF!/'Evolutitve SCI'!#REF!</f>
        <v>#REF!</v>
      </c>
      <c r="AB10" s="38" t="e">
        <f>'Evolutitve SCI'!#REF!/'Evolutitve SCI'!#REF!</f>
        <v>#REF!</v>
      </c>
      <c r="AC10" s="38" t="e">
        <f>'Evolutitve SCI'!#REF!/'Evolutitve SCI'!#REF!</f>
        <v>#REF!</v>
      </c>
      <c r="AD10" s="38" t="e">
        <f>'Evolutitve SCI'!#REF!/'Evolutitve SCI'!#REF!</f>
        <v>#REF!</v>
      </c>
      <c r="AE10" s="38" t="e">
        <f>'Evolutitve SCI'!#REF!/'Evolutitve SCI'!#REF!</f>
        <v>#REF!</v>
      </c>
      <c r="AF10" s="38" t="e">
        <f>'Evolutitve SCI'!#REF!/'Evolutitve SCI'!#REF!</f>
        <v>#REF!</v>
      </c>
      <c r="AG10" s="38" t="e">
        <f>'Evolutitve SCI'!#REF!/'Evolutitve SCI'!#REF!</f>
        <v>#REF!</v>
      </c>
      <c r="AH10" s="38" t="e">
        <f>'Evolutitve SCI'!#REF!/'Evolutitve SCI'!#REF!</f>
        <v>#REF!</v>
      </c>
      <c r="AI10" s="38" t="e">
        <f>'Evolutitve SCI'!#REF!/'Evolutitve SCI'!#REF!</f>
        <v>#REF!</v>
      </c>
      <c r="AJ10" s="38" t="e">
        <f>'Evolutitve SCI'!#REF!/'Evolutitve SCI'!#REF!</f>
        <v>#REF!</v>
      </c>
      <c r="AK10" s="38" t="e">
        <f>'Evolutitve SCI'!#REF!/'Evolutitve SCI'!#REF!</f>
        <v>#REF!</v>
      </c>
      <c r="AL10" s="38" t="e">
        <f>'Evolutitve SCI'!#REF!/'Evolutitve SCI'!#REF!</f>
        <v>#REF!</v>
      </c>
      <c r="AM10" s="38" t="e">
        <f>'Evolutitve SCI'!#REF!/'Evolutitve SCI'!#REF!</f>
        <v>#REF!</v>
      </c>
      <c r="AN10" s="38" t="e">
        <f>'Evolutitve SCI'!#REF!/'Evolutitve SCI'!#REF!</f>
        <v>#REF!</v>
      </c>
      <c r="AO10" s="38" t="e">
        <f>'Evolutitve SCI'!#REF!/'Evolutitve SCI'!#REF!</f>
        <v>#REF!</v>
      </c>
      <c r="AP10" s="38" t="e">
        <f>'Evolutitve SCI'!#REF!/'Evolutitve SCI'!#REF!</f>
        <v>#REF!</v>
      </c>
      <c r="AQ10" s="38" t="e">
        <f>'Evolutitve SCI'!#REF!/'Evolutitve SCI'!#REF!</f>
        <v>#REF!</v>
      </c>
      <c r="AR10" s="38" t="e">
        <f>'Evolutitve SCI'!#REF!/'Evolutitve SCI'!#REF!</f>
        <v>#REF!</v>
      </c>
      <c r="AS10" s="38" t="e">
        <f>'Evolutitve SCI'!#REF!/'Evolutitve SCI'!#REF!</f>
        <v>#REF!</v>
      </c>
      <c r="AT10" s="38">
        <f>'Evolutitve SCI'!AG23/'Evolutitve SCI'!AG19</f>
        <v>0.78662186289441161</v>
      </c>
      <c r="AU10" s="38">
        <f>'Evolutitve SCI'!AH23/'Evolutitve SCI'!AH19</f>
        <v>0.32601169236865524</v>
      </c>
      <c r="AV10" s="38">
        <f>'Evolutitve SCI'!AI23/'Evolutitve SCI'!AI19</f>
        <v>0.40544052824266857</v>
      </c>
      <c r="AW10" s="38">
        <f>'Evolutitve SCI'!AJ23/'Evolutitve SCI'!AJ19</f>
        <v>0.39117359945941244</v>
      </c>
      <c r="AX10" s="38">
        <f>'Evolutitve SCI'!AK23/'Evolutitve SCI'!AK19</f>
        <v>0.42079110252155044</v>
      </c>
      <c r="AY10" s="38">
        <f>'Evolutitve SCI'!AL23/'Evolutitve SCI'!AL19</f>
        <v>0.40257852324317761</v>
      </c>
      <c r="AZ10" s="38">
        <f>'Evolutitve SCI'!AM23/'Evolutitve SCI'!AM19</f>
        <v>0.39618534656669913</v>
      </c>
      <c r="BA10" s="38" t="e">
        <f>'Evolutitve SCI'!#REF!/'Evolutitve SCI'!#REF!</f>
        <v>#REF!</v>
      </c>
      <c r="BB10" s="38">
        <f>'Evolutitve SCI'!AN23/'Evolutitve SCI'!AN19</f>
        <v>0.37680507175050121</v>
      </c>
      <c r="BC10" s="38">
        <f>'Evolutitve SCI'!AO23/'Evolutitve SCI'!AO19</f>
        <v>0.37270233437354677</v>
      </c>
      <c r="BD10" s="38">
        <f>'Evolutitve SCI'!AP23/'Evolutitve SCI'!AP19</f>
        <v>0.3633440813158767</v>
      </c>
      <c r="BE10" s="38">
        <f>'Evolutitve SCI'!AQ23/'Evolutitve SCI'!AQ19</f>
        <v>0.40238992240449878</v>
      </c>
      <c r="BF10" s="38">
        <f>'Evolutitve SCI'!AR23/'Evolutitve SCI'!AR19</f>
        <v>0.42015031799153002</v>
      </c>
      <c r="BG10" s="38">
        <f>'Evolutitve SCI'!AS23/'Evolutitve SCI'!AS19</f>
        <v>0.75027049277728852</v>
      </c>
      <c r="BH10" s="38">
        <f>'Evolutitve SCI'!AT23/'Evolutitve SCI'!AT19</f>
        <v>0.7897899481306182</v>
      </c>
      <c r="BI10" s="38">
        <f>'Evolutitve SCI'!AU23/'Evolutitve SCI'!AU19</f>
        <v>0.68863061584134599</v>
      </c>
      <c r="BJ10" s="38">
        <f>'Evolutitve SCI'!AV23/'Evolutitve SCI'!AV19</f>
        <v>0.57119232079158866</v>
      </c>
      <c r="BK10" s="38">
        <f>'Evolutitve SCI'!AW23/'Evolutitve SCI'!AW19</f>
        <v>0.53623056396665214</v>
      </c>
      <c r="BL10" s="38">
        <f>'Evolutitve SCI'!AX23/'Evolutitve SCI'!AX19</f>
        <v>0.53480742184204377</v>
      </c>
      <c r="BM10" s="38">
        <f>'Evolutitve SCI'!AY23/'Evolutitve SCI'!AY19</f>
        <v>0.49188964015092518</v>
      </c>
      <c r="BN10" s="38">
        <f>'Evolutitve SCI'!AZ23/'Evolutitve SCI'!AZ19</f>
        <v>0.46706093244602875</v>
      </c>
      <c r="BO10" s="38">
        <f>'Evolutitve SCI'!BA23/'Evolutitve SCI'!BA19</f>
        <v>0.4727747807465898</v>
      </c>
      <c r="BP10" s="38">
        <f>'Evolutitve SCI'!BB23/'Evolutitve SCI'!BB19</f>
        <v>0.44907535824931216</v>
      </c>
      <c r="BQ10" s="38">
        <f>'Evolutitve SCI'!BC23/'Evolutitve SCI'!BC19</f>
        <v>0.44755976866925579</v>
      </c>
      <c r="BR10" s="38">
        <f>'Evolutitve SCI'!BD23/'Evolutitve SCI'!BD19</f>
        <v>0.48337340693131392</v>
      </c>
      <c r="BS10" s="38">
        <f>'Evolutitve SCI'!BE23/'Evolutitve SCI'!BE19</f>
        <v>0.49220995088636571</v>
      </c>
      <c r="BT10" s="38">
        <f>'Evolutitve SCI'!BF23/'Evolutitve SCI'!BF19</f>
        <v>0.66872319446809669</v>
      </c>
      <c r="BU10" s="38">
        <f>'Evolutitve SCI'!BG23/'Evolutitve SCI'!BG19</f>
        <v>0.49128715099553849</v>
      </c>
      <c r="BV10" s="38">
        <f>'Evolutitve SCI'!BH23/'Evolutitve SCI'!BH19</f>
        <v>0.73337376791986819</v>
      </c>
      <c r="BW10" s="38">
        <f>'Evolutitve SCI'!BI23/'Evolutitve SCI'!BI19</f>
        <v>0.59901515572205544</v>
      </c>
      <c r="BX10" s="38">
        <f>'Evolutitve SCI'!BJ23/'Evolutitve SCI'!BJ19</f>
        <v>0.56039009282021912</v>
      </c>
      <c r="BY10" s="38">
        <f>'Evolutitve SCI'!BK23/'Evolutitve SCI'!BK19</f>
        <v>0.54459914372744844</v>
      </c>
      <c r="BZ10" s="38">
        <f>'Evolutitve SCI'!BL23/'Evolutitve SCI'!BL19</f>
        <v>0.54979098696221274</v>
      </c>
      <c r="CA10" s="38">
        <f>'Evolutitve SCI'!BM23/'Evolutitve SCI'!BM19</f>
        <v>0.51744918223560998</v>
      </c>
      <c r="CB10" s="38">
        <f>'Evolutitve SCI'!BN23/'Evolutitve SCI'!BN19</f>
        <v>0.49293753373480731</v>
      </c>
      <c r="CC10" s="38">
        <f>'Evolutitve SCI'!BO23/'Evolutitve SCI'!BO19</f>
        <v>0.48620507654465484</v>
      </c>
      <c r="CD10" s="38">
        <f>'Evolutitve SCI'!BP23/'Evolutitve SCI'!BP19</f>
        <v>0.50076698431988009</v>
      </c>
      <c r="CE10" s="38">
        <f>'Evolutitve SCI'!BQ23/'Evolutitve SCI'!BQ19</f>
        <v>0.48914193817985419</v>
      </c>
      <c r="CF10" s="38">
        <f>'Evolutitve SCI'!BR23/'Evolutitve SCI'!BR19</f>
        <v>0.5271152367433205</v>
      </c>
      <c r="CG10" s="38">
        <f>'Evolutitve SCI'!BS23/'Evolutitve SCI'!BS19</f>
        <v>0.76297645968966099</v>
      </c>
      <c r="CH10" s="38">
        <f>'Evolutitve SCI'!BT23/'Evolutitve SCI'!BT19</f>
        <v>0.37739442447049104</v>
      </c>
      <c r="CI10" s="38">
        <f>'Evolutitve SCI'!BU23/'Evolutitve SCI'!BU19</f>
        <v>0.54263994680207961</v>
      </c>
      <c r="CJ10" s="38">
        <f>'Evolutitve SCI'!BV23/'Evolutitve SCI'!BV19</f>
        <v>0.44080698476568608</v>
      </c>
      <c r="CK10" s="38">
        <f>'Evolutitve SCI'!BW23/'Evolutitve SCI'!BW19</f>
        <v>0.44821173017524707</v>
      </c>
      <c r="CL10" s="38">
        <f>'Evolutitve SCI'!BX23/'Evolutitve SCI'!BX19</f>
        <v>0.46542984151570527</v>
      </c>
      <c r="CM10" s="38">
        <f>'Evolutitve SCI'!BY23/'Evolutitve SCI'!BY19</f>
        <v>0.43950791149283014</v>
      </c>
      <c r="CN10" s="38">
        <f>'Evolutitve SCI'!BZ23/'Evolutitve SCI'!BZ19</f>
        <v>0.48360764828832103</v>
      </c>
    </row>
    <row r="11" spans="1:92" ht="18.75" customHeight="1">
      <c r="A11" s="423"/>
      <c r="B11" s="3" t="s">
        <v>204</v>
      </c>
      <c r="C11" s="11"/>
      <c r="D11" s="34" t="e">
        <f>('Evolutitve SCI'!#REF!+'Evolutitve SCI'!#REF!)/(('Evolutive SFP'!#REF!+'Evolutive SFP'!#REF!)/2)</f>
        <v>#REF!</v>
      </c>
      <c r="E11" s="34" t="e">
        <f>('Evolutitve SCI'!#REF!+'Evolutitve SCI'!#REF!)/(('Evolutive SFP'!#REF!+'Evolutive SFP'!#REF!)/2)</f>
        <v>#REF!</v>
      </c>
      <c r="F11" s="34" t="e">
        <f>('Evolutitve SCI'!#REF!+'Evolutitve SCI'!#REF!)/(('Evolutive SFP'!#REF!+'Evolutive SFP'!#REF!)/2)</f>
        <v>#REF!</v>
      </c>
      <c r="G11" s="34" t="e">
        <f>('Evolutitve SCI'!#REF!+'Evolutitve SCI'!#REF!)/(('Evolutive SFP'!#REF!+'Evolutive SFP'!#REF!)/2)</f>
        <v>#REF!</v>
      </c>
      <c r="H11" s="34" t="e">
        <f>('Evolutitve SCI'!#REF!+'Evolutitve SCI'!#REF!)/(('Evolutive SFP'!#REF!+'Evolutive SFP'!#REF!)/2)</f>
        <v>#REF!</v>
      </c>
      <c r="I11" s="34" t="e">
        <f>('Evolutitve SCI'!#REF!+'Evolutitve SCI'!#REF!)/(('Evolutive SFP'!#REF!+'Evolutive SFP'!#REF!)/2)</f>
        <v>#REF!</v>
      </c>
      <c r="J11" s="34" t="e">
        <f>('Evolutitve SCI'!#REF!+'Evolutitve SCI'!#REF!)/(('Evolutive SFP'!#REF!+'Evolutive SFP'!#REF!)/2)</f>
        <v>#REF!</v>
      </c>
      <c r="K11" s="34" t="e">
        <f>('Evolutitve SCI'!#REF!+'Evolutitve SCI'!#REF!)/(('Evolutive SFP'!#REF!+'Evolutive SFP'!#REF!)/2)</f>
        <v>#REF!</v>
      </c>
      <c r="L11" s="34" t="e">
        <f>('Evolutitve SCI'!#REF!+'Evolutitve SCI'!#REF!)/(('Evolutive SFP'!#REF!+'Evolutive SFP'!#REF!)/2)</f>
        <v>#REF!</v>
      </c>
      <c r="M11" s="34" t="e">
        <f>('Evolutitve SCI'!#REF!+'Evolutitve SCI'!#REF!)/(('Evolutive SFP'!#REF!+'Evolutive SFP'!#REF!)/2)</f>
        <v>#REF!</v>
      </c>
      <c r="N11" s="34" t="e">
        <f>('Evolutitve SCI'!#REF!+'Evolutitve SCI'!#REF!)/(('Evolutive SFP'!#REF!+'Evolutive SFP'!#REF!)/2)</f>
        <v>#REF!</v>
      </c>
      <c r="O11" s="34" t="e">
        <f>('Evolutitve SCI'!#REF!+'Evolutitve SCI'!#REF!)/(('Evolutive SFP'!#REF!+'Evolutive SFP'!#REF!)/2)</f>
        <v>#REF!</v>
      </c>
      <c r="P11" s="34" t="e">
        <f>('Evolutitve SCI'!#REF!+'Evolutitve SCI'!#REF!)/(('Evolutive SFP'!#REF!+'Evolutive SFP'!#REF!)/2)</f>
        <v>#REF!</v>
      </c>
      <c r="Q11" s="34" t="e">
        <f>('Evolutitve SCI'!#REF!+'Evolutitve SCI'!#REF!)/(('Evolutive SFP'!#REF!+'Evolutive SFP'!#REF!)/2)</f>
        <v>#REF!</v>
      </c>
      <c r="R11" s="34" t="e">
        <f>('Evolutitve SCI'!#REF!+'Evolutitve SCI'!#REF!)/(('Evolutive SFP'!#REF!+'Evolutive SFP'!#REF!)/2)</f>
        <v>#REF!</v>
      </c>
      <c r="S11" s="34" t="e">
        <f>('Evolutitve SCI'!#REF!+'Evolutitve SCI'!#REF!)/(('Evolutive SFP'!#REF!+'Evolutive SFP'!#REF!)/2)</f>
        <v>#REF!</v>
      </c>
      <c r="T11" s="34" t="e">
        <f>('Evolutitve SCI'!#REF!+'Evolutitve SCI'!#REF!)/(('Evolutive SFP'!#REF!+'Evolutive SFP'!#REF!)/2)</f>
        <v>#REF!</v>
      </c>
      <c r="U11" s="34" t="e">
        <f>('Evolutitve SCI'!#REF!+'Evolutitve SCI'!#REF!)/(('Evolutive SFP'!#REF!+'Evolutive SFP'!#REF!)/2)</f>
        <v>#REF!</v>
      </c>
      <c r="V11" s="34" t="e">
        <f>('Evolutitve SCI'!#REF!+'Evolutitve SCI'!#REF!)/(('Evolutive SFP'!#REF!+'Evolutive SFP'!#REF!)/2)</f>
        <v>#REF!</v>
      </c>
      <c r="W11" s="34" t="e">
        <f>('Evolutitve SCI'!#REF!+'Evolutitve SCI'!#REF!)/(('Evolutive SFP'!#REF!+'Evolutive SFP'!#REF!)/2)</f>
        <v>#REF!</v>
      </c>
      <c r="X11" s="34" t="e">
        <f>('Evolutitve SCI'!#REF!+'Evolutitve SCI'!#REF!)/(('Evolutive SFP'!#REF!+'Evolutive SFP'!#REF!)/2)</f>
        <v>#REF!</v>
      </c>
      <c r="Y11" s="34" t="e">
        <f>('Evolutitve SCI'!#REF!+'Evolutitve SCI'!#REF!)/(('Evolutive SFP'!#REF!+'Evolutive SFP'!#REF!)/2)</f>
        <v>#REF!</v>
      </c>
      <c r="Z11" s="34" t="e">
        <f>('Evolutitve SCI'!#REF!+'Evolutitve SCI'!#REF!)/(('Evolutive SFP'!#REF!+'Evolutive SFP'!#REF!)/2)</f>
        <v>#REF!</v>
      </c>
      <c r="AA11" s="34" t="e">
        <f>('Evolutitve SCI'!#REF!+'Evolutitve SCI'!#REF!)/(('Evolutive SFP'!#REF!+'Evolutive SFP'!#REF!)/2)</f>
        <v>#REF!</v>
      </c>
      <c r="AB11" s="34" t="e">
        <f>('Evolutitve SCI'!#REF!+'Evolutitve SCI'!#REF!)/(('Evolutive SFP'!#REF!+'Evolutive SFP'!#REF!)/2)</f>
        <v>#REF!</v>
      </c>
      <c r="AC11" s="34" t="e">
        <f>('Evolutitve SCI'!#REF!+'Evolutitve SCI'!#REF!)/(('Evolutive SFP'!#REF!+'Evolutive SFP'!#REF!)/2)</f>
        <v>#REF!</v>
      </c>
      <c r="AD11" s="34" t="e">
        <f>('Evolutitve SCI'!#REF!+'Evolutitve SCI'!#REF!)/(('Evolutive SFP'!#REF!+'Evolutive SFP'!#REF!)/2)</f>
        <v>#REF!</v>
      </c>
      <c r="AE11" s="34" t="e">
        <f>('Evolutitve SCI'!#REF!+'Evolutitve SCI'!#REF!)/(('Evolutive SFP'!#REF!+'Evolutive SFP'!#REF!)/2)</f>
        <v>#REF!</v>
      </c>
      <c r="AF11" s="34" t="e">
        <f>('Evolutitve SCI'!#REF!+'Evolutitve SCI'!#REF!)/(('Evolutive SFP'!#REF!+'Evolutive SFP'!#REF!)/2)</f>
        <v>#REF!</v>
      </c>
      <c r="AG11" s="34" t="e">
        <f>('Evolutitve SCI'!#REF!+'Evolutitve SCI'!#REF!)/(('Evolutive SFP'!#REF!+'Evolutive SFP'!#REF!)/2)</f>
        <v>#REF!</v>
      </c>
      <c r="AH11" s="34" t="e">
        <f>('Evolutitve SCI'!#REF!+'Evolutitve SCI'!#REF!)/(('Evolutive SFP'!#REF!+'Evolutive SFP'!#REF!)/2)</f>
        <v>#REF!</v>
      </c>
      <c r="AI11" s="34" t="e">
        <f>('Evolutitve SCI'!#REF!+'Evolutitve SCI'!#REF!)/(('Evolutive SFP'!#REF!+'Evolutive SFP'!#REF!)/2)</f>
        <v>#REF!</v>
      </c>
      <c r="AJ11" s="34" t="e">
        <f>('Evolutitve SCI'!#REF!+'Evolutitve SCI'!#REF!)/(('Evolutive SFP'!#REF!+'Evolutive SFP'!#REF!)/2)</f>
        <v>#REF!</v>
      </c>
      <c r="AK11" s="34" t="e">
        <f>('Evolutitve SCI'!#REF!+'Evolutitve SCI'!#REF!)/(('Evolutive SFP'!#REF!+'Evolutive SFP'!#REF!)/2)</f>
        <v>#REF!</v>
      </c>
      <c r="AL11" s="34" t="e">
        <f>('Evolutitve SCI'!#REF!+'Evolutitve SCI'!#REF!)/(('Evolutive SFP'!#REF!+'Evolutive SFP'!#REF!)/2)</f>
        <v>#REF!</v>
      </c>
      <c r="AM11" s="34" t="e">
        <f>('Evolutitve SCI'!#REF!+'Evolutitve SCI'!#REF!)/(('Evolutive SFP'!#REF!+'Evolutive SFP'!#REF!)/2)</f>
        <v>#REF!</v>
      </c>
      <c r="AN11" s="34" t="e">
        <f>('Evolutitve SCI'!#REF!+'Evolutitve SCI'!#REF!)/(('Evolutive SFP'!#REF!+'Evolutive SFP'!#REF!)/2)</f>
        <v>#REF!</v>
      </c>
      <c r="AO11" s="34" t="e">
        <f>('Evolutitve SCI'!#REF!+'Evolutitve SCI'!#REF!)/(('Evolutive SFP'!#REF!+'Evolutive SFP'!#REF!)/2)</f>
        <v>#REF!</v>
      </c>
      <c r="AP11" s="34" t="e">
        <f>('Evolutitve SCI'!#REF!+'Evolutitve SCI'!#REF!)/(('Evolutive SFP'!#REF!+'Evolutive SFP'!#REF!)/2)</f>
        <v>#REF!</v>
      </c>
      <c r="AQ11" s="34" t="e">
        <f>('Evolutitve SCI'!#REF!+'Evolutitve SCI'!#REF!)/(('Evolutive SFP'!#REF!+'Evolutive SFP'!#REF!)/2)</f>
        <v>#REF!</v>
      </c>
      <c r="AR11" s="34" t="e">
        <f>('Evolutitve SCI'!#REF!+'Evolutitve SCI'!#REF!)/(('Evolutive SFP'!#REF!+'Evolutive SFP'!AH27)/2)</f>
        <v>#REF!</v>
      </c>
      <c r="AS11" s="34" t="e">
        <f>('Evolutitve SCI'!#REF!+'Evolutitve SCI'!#REF!)/(('Evolutive SFP'!#REF!+'Evolutive SFP'!AI27)/2)</f>
        <v>#REF!</v>
      </c>
      <c r="AT11" s="34">
        <f>('Evolutitve SCI'!AG23+'Evolutitve SCI'!AG12)/(('Evolutive SFP'!AH27+'Evolutive SFP'!AJ27)/2)</f>
        <v>0.10592582250019966</v>
      </c>
      <c r="AU11" s="34">
        <f>('Evolutitve SCI'!AH23+'Evolutitve SCI'!AH12)/(('Evolutive SFP'!AI27+'Evolutive SFP'!AK27)/2)</f>
        <v>2.6280535427063586E-3</v>
      </c>
      <c r="AV11" s="34">
        <f>('Evolutitve SCI'!AI23+'Evolutitve SCI'!AI12)/(('Evolutive SFP'!AJ27+'Evolutive SFP'!AL27)/2)</f>
        <v>6.4358277286701406E-3</v>
      </c>
      <c r="AW11" s="34">
        <f>('Evolutitve SCI'!AJ23+'Evolutitve SCI'!AJ12)/(('Evolutive SFP'!AK27+'Evolutive SFP'!AM27)/2)</f>
        <v>1.0053440121751297E-2</v>
      </c>
      <c r="AX11" s="34">
        <f>('Evolutitve SCI'!AK23+'Evolutitve SCI'!AK12)/(('Evolutive SFP'!AL27+'Evolutive SFP'!AN27)/2)</f>
        <v>1.3487126084457363E-2</v>
      </c>
      <c r="AY11" s="34" t="e">
        <f>('Evolutitve SCI'!AL23+'Evolutitve SCI'!AL12)/(('Evolutive SFP'!AM27+'Evolutive SFP'!#REF!)/2)</f>
        <v>#REF!</v>
      </c>
      <c r="AZ11" s="34">
        <f>('Evolutitve SCI'!AM23+'Evolutitve SCI'!AM12)/(('Evolutive SFP'!AN27+'Evolutive SFP'!AO27)/2)</f>
        <v>1.8985396424388533E-2</v>
      </c>
      <c r="BA11" s="34" t="e">
        <f>('Evolutitve SCI'!#REF!+'Evolutitve SCI'!#REF!)/(('Evolutive SFP'!#REF!+'Evolutive SFP'!AP27)/2)</f>
        <v>#REF!</v>
      </c>
      <c r="BB11" s="34">
        <f>('Evolutitve SCI'!AN23+'Evolutitve SCI'!AN12)/(('Evolutive SFP'!AO27+'Evolutive SFP'!AQ27)/2)</f>
        <v>2.4268738188655322E-2</v>
      </c>
      <c r="BC11" s="34" t="e">
        <f>('Evolutitve SCI'!AO23+'Evolutitve SCI'!AO12)/(('Evolutive SFP'!AP27+'Evolutive SFP'!#REF!)/2)</f>
        <v>#REF!</v>
      </c>
      <c r="BD11" s="34" t="e">
        <f>('Evolutitve SCI'!AP23+'Evolutitve SCI'!AP12)/(('Evolutive SFP'!AQ27+'Evolutive SFP'!#REF!)/2)</f>
        <v>#REF!</v>
      </c>
      <c r="BE11" s="34" t="e">
        <f>('Evolutitve SCI'!AQ23+'Evolutitve SCI'!AQ12)/(('Evolutive SFP'!AR27+'Evolutive SFP'!#REF!)/2)</f>
        <v>#REF!</v>
      </c>
      <c r="BF11" s="34" t="e">
        <f>('Evolutitve SCI'!AR23+'Evolutitve SCI'!AR12)/(('Evolutive SFP'!AS27+'Evolutive SFP'!#REF!)/2)</f>
        <v>#REF!</v>
      </c>
      <c r="BG11" s="34" t="e">
        <f>('Evolutitve SCI'!AS23+'Evolutitve SCI'!AS12)/(('Evolutive SFP'!AT27+'Evolutive SFP'!#REF!)/2)</f>
        <v>#REF!</v>
      </c>
      <c r="BH11" s="34" t="e">
        <f>('Evolutitve SCI'!AT23+'Evolutitve SCI'!AT12)/(('Evolutive SFP'!AU27+'Evolutive SFP'!#REF!)/2)</f>
        <v>#REF!</v>
      </c>
      <c r="BI11" s="34" t="e">
        <f>('Evolutitve SCI'!AU23+'Evolutitve SCI'!AU12)/(('Evolutive SFP'!AV27+'Evolutive SFP'!#REF!)/2)</f>
        <v>#REF!</v>
      </c>
      <c r="BJ11" s="34" t="e">
        <f>('Evolutitve SCI'!AV23+'Evolutitve SCI'!AV12)/(('Evolutive SFP'!AW27+'Evolutive SFP'!#REF!)/2)</f>
        <v>#REF!</v>
      </c>
      <c r="BK11" s="34" t="e">
        <f>('Evolutitve SCI'!AW23+'Evolutitve SCI'!AW12)/(('Evolutive SFP'!AX27+'Evolutive SFP'!#REF!)/2)</f>
        <v>#REF!</v>
      </c>
      <c r="BL11" s="34" t="e">
        <f>('Evolutitve SCI'!AX23+'Evolutitve SCI'!AX12)/(('Evolutive SFP'!AY27+'Evolutive SFP'!#REF!)/2)</f>
        <v>#REF!</v>
      </c>
      <c r="BM11" s="34" t="e">
        <f>('Evolutitve SCI'!AY23+'Evolutitve SCI'!AY12)/(('Evolutive SFP'!AZ27+'Evolutive SFP'!#REF!)/2)</f>
        <v>#REF!</v>
      </c>
      <c r="BN11" s="34" t="e">
        <f>('Evolutitve SCI'!AZ23+'Evolutitve SCI'!AZ12)/(('Evolutive SFP'!BA27+'Evolutive SFP'!#REF!)/2)</f>
        <v>#REF!</v>
      </c>
      <c r="BO11" s="34" t="e">
        <f>('Evolutitve SCI'!BA23+'Evolutitve SCI'!BA12)/(('Evolutive SFP'!BB27+'Evolutive SFP'!#REF!)/2)</f>
        <v>#REF!</v>
      </c>
      <c r="BP11" s="34" t="e">
        <f>('Evolutitve SCI'!BB23+'Evolutitve SCI'!BB12)/(('Evolutive SFP'!BC27+'Evolutive SFP'!#REF!)/2)</f>
        <v>#REF!</v>
      </c>
      <c r="BQ11" s="34" t="e">
        <f>('Evolutitve SCI'!BC23+'Evolutitve SCI'!BC12)/(('Evolutive SFP'!BD27+'Evolutive SFP'!#REF!)/2)</f>
        <v>#REF!</v>
      </c>
      <c r="BR11" s="34" t="e">
        <f>('Evolutitve SCI'!BD23+'Evolutitve SCI'!BD12)/(('Evolutive SFP'!BE27+'Evolutive SFP'!#REF!)/2)</f>
        <v>#REF!</v>
      </c>
      <c r="BS11" s="34" t="e">
        <f>('Evolutitve SCI'!BE23+'Evolutitve SCI'!BE12)/(('Evolutive SFP'!BF27+'Evolutive SFP'!#REF!)/2)</f>
        <v>#REF!</v>
      </c>
      <c r="BT11" s="34" t="e">
        <f>('Evolutitve SCI'!BF23+'Evolutitve SCI'!BF12)/(('Evolutive SFP'!BG27+'Evolutive SFP'!#REF!)/2)</f>
        <v>#REF!</v>
      </c>
      <c r="BU11" s="34" t="e">
        <f>('Evolutitve SCI'!BG23+'Evolutitve SCI'!BG12)/(('Evolutive SFP'!BH27+'Evolutive SFP'!#REF!)/2)</f>
        <v>#REF!</v>
      </c>
      <c r="BV11" s="34" t="e">
        <f>('Evolutitve SCI'!BH23+'Evolutitve SCI'!BH12)/(('Evolutive SFP'!BI27+'Evolutive SFP'!#REF!)/2)</f>
        <v>#REF!</v>
      </c>
      <c r="BW11" s="34" t="e">
        <f>('Evolutitve SCI'!BI23+'Evolutitve SCI'!BI12)/(('Evolutive SFP'!BJ27+'Evolutive SFP'!#REF!)/2)</f>
        <v>#REF!</v>
      </c>
      <c r="BX11" s="34" t="e">
        <f>('Evolutitve SCI'!BJ23+'Evolutitve SCI'!BJ12)/(('Evolutive SFP'!BK27+'Evolutive SFP'!#REF!)/2)</f>
        <v>#REF!</v>
      </c>
      <c r="BY11" s="34" t="e">
        <f>('Evolutitve SCI'!BK23+'Evolutitve SCI'!BK12)/(('Evolutive SFP'!BL27+'Evolutive SFP'!#REF!)/2)</f>
        <v>#REF!</v>
      </c>
      <c r="BZ11" s="34" t="e">
        <f>('Evolutitve SCI'!BL23+'Evolutitve SCI'!BL12)/(('Evolutive SFP'!BM27+'Evolutive SFP'!#REF!)/2)</f>
        <v>#REF!</v>
      </c>
      <c r="CA11" s="34" t="e">
        <f>('Evolutitve SCI'!BM23+'Evolutitve SCI'!BM12)/(('Evolutive SFP'!BN27+'Evolutive SFP'!#REF!)/2)</f>
        <v>#REF!</v>
      </c>
      <c r="CB11" s="34" t="e">
        <f>('Evolutitve SCI'!BN23+'Evolutitve SCI'!BN12)/(('Evolutive SFP'!BO27+'Evolutive SFP'!#REF!)/2)</f>
        <v>#REF!</v>
      </c>
      <c r="CC11" s="34" t="e">
        <f>('Evolutitve SCI'!BO23+'Evolutitve SCI'!BO12)/(('Evolutive SFP'!BP27+'Evolutive SFP'!#REF!)/2)</f>
        <v>#REF!</v>
      </c>
      <c r="CD11" s="34" t="e">
        <f>('Evolutitve SCI'!BP23+'Evolutitve SCI'!BP12)/(('Evolutive SFP'!BQ27+'Evolutive SFP'!#REF!)/2)</f>
        <v>#REF!</v>
      </c>
      <c r="CE11" s="34" t="e">
        <f>('Evolutitve SCI'!BQ23+'Evolutitve SCI'!BQ12)/(('Evolutive SFP'!BR27+'Evolutive SFP'!#REF!)/2)</f>
        <v>#REF!</v>
      </c>
      <c r="CF11" s="34" t="e">
        <f>('Evolutitve SCI'!BR23+'Evolutitve SCI'!BR12)/(('Evolutive SFP'!BS27+'Evolutive SFP'!#REF!)/2)</f>
        <v>#REF!</v>
      </c>
      <c r="CG11" s="34" t="e">
        <f>('Evolutitve SCI'!BS23+'Evolutitve SCI'!BS12)/(('Evolutive SFP'!BT27+'Evolutive SFP'!#REF!)/2)</f>
        <v>#REF!</v>
      </c>
      <c r="CH11" s="34" t="e">
        <f>('Evolutitve SCI'!BT23+'Evolutitve SCI'!BT12)/(('Evolutive SFP'!BU27+'Evolutive SFP'!#REF!)/2)</f>
        <v>#REF!</v>
      </c>
      <c r="CI11" s="34" t="e">
        <f>('Evolutitve SCI'!BU23+'Evolutitve SCI'!BU12)/(('Evolutive SFP'!BV27+'Evolutive SFP'!#REF!)/2)</f>
        <v>#REF!</v>
      </c>
      <c r="CJ11" s="34" t="e">
        <f>('Evolutitve SCI'!BV23+'Evolutitve SCI'!BV12)/(('Evolutive SFP'!BW27+'Evolutive SFP'!#REF!)/2)</f>
        <v>#REF!</v>
      </c>
      <c r="CK11" s="34" t="e">
        <f>('Evolutitve SCI'!BW23+'Evolutitve SCI'!BW12)/(('Evolutive SFP'!BX27+'Evolutive SFP'!#REF!)/2)</f>
        <v>#REF!</v>
      </c>
      <c r="CL11" s="34" t="e">
        <f>('Evolutitve SCI'!BX23+'Evolutitve SCI'!BX12)/(('Evolutive SFP'!BY27+'Evolutive SFP'!#REF!)/2)</f>
        <v>#REF!</v>
      </c>
      <c r="CM11" s="34" t="e">
        <f>('Evolutitve SCI'!BY23+'Evolutitve SCI'!BY12)/(('Evolutive SFP'!BZ27+'Evolutive SFP'!#REF!)/2)</f>
        <v>#REF!</v>
      </c>
      <c r="CN11" s="34" t="e">
        <f>('Evolutitve SCI'!BZ23+'Evolutitve SCI'!BZ12)/(('Evolutive SFP'!CA27+'Evolutive SFP'!#REF!)/2)</f>
        <v>#REF!</v>
      </c>
    </row>
    <row r="12" spans="1:92" ht="15.75">
      <c r="A12" s="423" t="s">
        <v>205</v>
      </c>
      <c r="B12" s="3" t="s">
        <v>206</v>
      </c>
      <c r="C12" s="11" t="s">
        <v>207</v>
      </c>
      <c r="D12" s="34" t="e">
        <f>('Evolutive SFP'!#REF!)/('Evolutive SFP'!#REF!+'Evolutive SFP'!#REF!+'Evolutive SFP'!#REF!+'Evolutive SFP'!#REF!+'Evolutive SFP'!#REF!+'Evolutive SFP'!#REF!+'Evolutive SFP'!#REF!)</f>
        <v>#REF!</v>
      </c>
      <c r="E12" s="34" t="e">
        <f>('Evolutive SFP'!#REF!)/('Evolutive SFP'!#REF!+'Evolutive SFP'!#REF!+'Evolutive SFP'!#REF!+'Evolutive SFP'!#REF!+'Evolutive SFP'!#REF!+'Evolutive SFP'!#REF!+'Evolutive SFP'!#REF!)</f>
        <v>#REF!</v>
      </c>
      <c r="F12" s="34" t="e">
        <f>('Evolutive SFP'!#REF!)/('Evolutive SFP'!#REF!+'Evolutive SFP'!#REF!+'Evolutive SFP'!#REF!+'Evolutive SFP'!#REF!+'Evolutive SFP'!#REF!+'Evolutive SFP'!#REF!+'Evolutive SFP'!#REF!)</f>
        <v>#REF!</v>
      </c>
      <c r="G12" s="34" t="e">
        <f>('Evolutive SFP'!#REF!)/('Evolutive SFP'!#REF!+'Evolutive SFP'!#REF!+'Evolutive SFP'!#REF!+'Evolutive SFP'!#REF!+'Evolutive SFP'!#REF!+'Evolutive SFP'!#REF!+'Evolutive SFP'!#REF!)</f>
        <v>#REF!</v>
      </c>
      <c r="H12" s="34" t="e">
        <f>('Evolutive SFP'!#REF!)/('Evolutive SFP'!#REF!+'Evolutive SFP'!#REF!+'Evolutive SFP'!#REF!+'Evolutive SFP'!#REF!+'Evolutive SFP'!#REF!+'Evolutive SFP'!#REF!+'Evolutive SFP'!#REF!)</f>
        <v>#REF!</v>
      </c>
      <c r="I12" s="34" t="e">
        <f>('Evolutive SFP'!#REF!)/('Evolutive SFP'!#REF!+'Evolutive SFP'!#REF!+'Evolutive SFP'!#REF!+'Evolutive SFP'!#REF!+'Evolutive SFP'!#REF!+'Evolutive SFP'!#REF!+'Evolutive SFP'!#REF!)</f>
        <v>#REF!</v>
      </c>
      <c r="J12" s="34" t="e">
        <f>('Evolutive SFP'!#REF!)/('Evolutive SFP'!#REF!+'Evolutive SFP'!#REF!+'Evolutive SFP'!#REF!+'Evolutive SFP'!#REF!+'Evolutive SFP'!#REF!+'Evolutive SFP'!#REF!+'Evolutive SFP'!#REF!)</f>
        <v>#REF!</v>
      </c>
      <c r="K12" s="34" t="e">
        <f>('Evolutive SFP'!#REF!)/('Evolutive SFP'!#REF!+'Evolutive SFP'!#REF!+'Evolutive SFP'!#REF!+'Evolutive SFP'!#REF!+'Evolutive SFP'!#REF!+'Evolutive SFP'!#REF!+'Evolutive SFP'!#REF!)</f>
        <v>#REF!</v>
      </c>
      <c r="L12" s="34" t="e">
        <f>('Evolutive SFP'!#REF!)/('Evolutive SFP'!#REF!+'Evolutive SFP'!#REF!+'Evolutive SFP'!#REF!+'Evolutive SFP'!#REF!+'Evolutive SFP'!#REF!+'Evolutive SFP'!#REF!+'Evolutive SFP'!#REF!)</f>
        <v>#REF!</v>
      </c>
      <c r="M12" s="34" t="e">
        <f>('Evolutive SFP'!#REF!)/('Evolutive SFP'!#REF!+'Evolutive SFP'!#REF!+'Evolutive SFP'!#REF!+'Evolutive SFP'!#REF!+'Evolutive SFP'!#REF!+'Evolutive SFP'!#REF!+'Evolutive SFP'!#REF!)</f>
        <v>#REF!</v>
      </c>
      <c r="N12" s="34" t="e">
        <f>('Evolutive SFP'!#REF!)/('Evolutive SFP'!#REF!+'Evolutive SFP'!#REF!+'Evolutive SFP'!#REF!+'Evolutive SFP'!#REF!+'Evolutive SFP'!#REF!+'Evolutive SFP'!#REF!+'Evolutive SFP'!#REF!)</f>
        <v>#REF!</v>
      </c>
      <c r="O12" s="34" t="e">
        <f>('Evolutive SFP'!#REF!)/('Evolutive SFP'!#REF!+'Evolutive SFP'!#REF!+'Evolutive SFP'!#REF!+'Evolutive SFP'!#REF!+'Evolutive SFP'!#REF!+'Evolutive SFP'!#REF!+'Evolutive SFP'!#REF!)</f>
        <v>#REF!</v>
      </c>
      <c r="P12" s="34" t="e">
        <f>('Evolutive SFP'!#REF!)/('Evolutive SFP'!#REF!+'Evolutive SFP'!#REF!+'Evolutive SFP'!#REF!+'Evolutive SFP'!#REF!+'Evolutive SFP'!#REF!+'Evolutive SFP'!#REF!+'Evolutive SFP'!#REF!)</f>
        <v>#REF!</v>
      </c>
      <c r="Q12" s="34" t="e">
        <f>('Evolutive SFP'!#REF!)/('Evolutive SFP'!#REF!+'Evolutive SFP'!#REF!+'Evolutive SFP'!#REF!+'Evolutive SFP'!#REF!+'Evolutive SFP'!#REF!+'Evolutive SFP'!#REF!+'Evolutive SFP'!#REF!)</f>
        <v>#REF!</v>
      </c>
      <c r="R12" s="34" t="e">
        <f>('Evolutive SFP'!#REF!)/('Evolutive SFP'!#REF!+'Evolutive SFP'!#REF!+'Evolutive SFP'!#REF!+'Evolutive SFP'!#REF!+'Evolutive SFP'!#REF!+'Evolutive SFP'!#REF!+'Evolutive SFP'!#REF!)</f>
        <v>#REF!</v>
      </c>
      <c r="S12" s="38" t="e">
        <f>('Evolutive SFP'!#REF!)/('Evolutive SFP'!#REF!+'Evolutive SFP'!#REF!+'Evolutive SFP'!#REF!+'Evolutive SFP'!#REF!+'Evolutive SFP'!#REF!+'Evolutive SFP'!#REF!+'Evolutive SFP'!#REF!)</f>
        <v>#REF!</v>
      </c>
      <c r="T12" s="38" t="e">
        <f>('Evolutive SFP'!#REF!)/('Evolutive SFP'!#REF!+'Evolutive SFP'!#REF!+'Evolutive SFP'!#REF!+'Evolutive SFP'!#REF!+'Evolutive SFP'!#REF!+'Evolutive SFP'!#REF!+'Evolutive SFP'!#REF!)</f>
        <v>#REF!</v>
      </c>
      <c r="U12" s="38" t="e">
        <f>('Evolutive SFP'!#REF!)/('Evolutive SFP'!#REF!+'Evolutive SFP'!#REF!+'Evolutive SFP'!#REF!+'Evolutive SFP'!#REF!+'Evolutive SFP'!#REF!+'Evolutive SFP'!#REF!+'Evolutive SFP'!#REF!)</f>
        <v>#REF!</v>
      </c>
      <c r="V12" s="38" t="e">
        <f>('Evolutive SFP'!#REF!)/('Evolutive SFP'!#REF!+'Evolutive SFP'!#REF!+'Evolutive SFP'!#REF!+'Evolutive SFP'!#REF!+'Evolutive SFP'!#REF!+'Evolutive SFP'!#REF!+'Evolutive SFP'!#REF!)</f>
        <v>#REF!</v>
      </c>
      <c r="W12" s="38" t="e">
        <f>('Evolutive SFP'!#REF!)/('Evolutive SFP'!#REF!+'Evolutive SFP'!#REF!+'Evolutive SFP'!#REF!+'Evolutive SFP'!#REF!+'Evolutive SFP'!#REF!+'Evolutive SFP'!#REF!+'Evolutive SFP'!#REF!)</f>
        <v>#REF!</v>
      </c>
      <c r="X12" s="38" t="e">
        <f>('Evolutive SFP'!#REF!)/('Evolutive SFP'!#REF!+'Evolutive SFP'!#REF!+'Evolutive SFP'!#REF!+'Evolutive SFP'!#REF!+'Evolutive SFP'!#REF!+'Evolutive SFP'!#REF!+'Evolutive SFP'!#REF!)</f>
        <v>#REF!</v>
      </c>
      <c r="Y12" s="38" t="e">
        <f>('Evolutive SFP'!#REF!)/('Evolutive SFP'!#REF!+'Evolutive SFP'!#REF!+'Evolutive SFP'!#REF!+'Evolutive SFP'!#REF!+'Evolutive SFP'!#REF!+'Evolutive SFP'!#REF!+'Evolutive SFP'!#REF!)</f>
        <v>#REF!</v>
      </c>
      <c r="Z12" s="38" t="e">
        <f>('Evolutive SFP'!#REF!)/('Evolutive SFP'!#REF!+'Evolutive SFP'!#REF!+'Evolutive SFP'!#REF!+'Evolutive SFP'!#REF!+'Evolutive SFP'!#REF!+'Evolutive SFP'!#REF!+'Evolutive SFP'!#REF!)</f>
        <v>#REF!</v>
      </c>
      <c r="AA12" s="38" t="e">
        <f>('Evolutive SFP'!#REF!)/('Evolutive SFP'!#REF!+'Evolutive SFP'!#REF!+'Evolutive SFP'!#REF!+'Evolutive SFP'!#REF!+'Evolutive SFP'!#REF!+'Evolutive SFP'!#REF!+'Evolutive SFP'!#REF!)</f>
        <v>#REF!</v>
      </c>
      <c r="AB12" s="38" t="e">
        <f>('Evolutive SFP'!#REF!)/('Evolutive SFP'!#REF!+'Evolutive SFP'!#REF!+'Evolutive SFP'!#REF!+'Evolutive SFP'!#REF!+'Evolutive SFP'!#REF!+'Evolutive SFP'!#REF!+'Evolutive SFP'!#REF!)</f>
        <v>#REF!</v>
      </c>
      <c r="AC12" s="38" t="e">
        <f>('Evolutive SFP'!#REF!)/('Evolutive SFP'!#REF!+'Evolutive SFP'!#REF!+'Evolutive SFP'!#REF!+'Evolutive SFP'!#REF!+'Evolutive SFP'!#REF!+'Evolutive SFP'!#REF!+'Evolutive SFP'!#REF!)</f>
        <v>#REF!</v>
      </c>
      <c r="AD12" s="38" t="e">
        <f>('Evolutive SFP'!#REF!)/('Evolutive SFP'!#REF!+'Evolutive SFP'!#REF!+'Evolutive SFP'!#REF!+'Evolutive SFP'!#REF!+'Evolutive SFP'!#REF!+'Evolutive SFP'!#REF!+'Evolutive SFP'!#REF!)</f>
        <v>#REF!</v>
      </c>
      <c r="AE12" s="38" t="e">
        <f>('Evolutive SFP'!#REF!)/('Evolutive SFP'!#REF!+'Evolutive SFP'!#REF!+'Evolutive SFP'!#REF!+'Evolutive SFP'!#REF!+'Evolutive SFP'!#REF!+'Evolutive SFP'!#REF!+'Evolutive SFP'!#REF!)</f>
        <v>#REF!</v>
      </c>
      <c r="AF12" s="38" t="e">
        <f>('Evolutive SFP'!#REF!)/('Evolutive SFP'!#REF!+'Evolutive SFP'!#REF!+'Evolutive SFP'!#REF!+'Evolutive SFP'!#REF!+'Evolutive SFP'!#REF!+'Evolutive SFP'!#REF!+'Evolutive SFP'!#REF!)</f>
        <v>#REF!</v>
      </c>
      <c r="AG12" s="38" t="e">
        <f>('Evolutive SFP'!#REF!)/('Evolutive SFP'!#REF!+'Evolutive SFP'!#REF!+'Evolutive SFP'!#REF!+'Evolutive SFP'!#REF!+'Evolutive SFP'!#REF!+'Evolutive SFP'!#REF!+'Evolutive SFP'!#REF!)</f>
        <v>#REF!</v>
      </c>
      <c r="AH12" s="38" t="e">
        <f>('Evolutive SFP'!#REF!)/('Evolutive SFP'!#REF!+'Evolutive SFP'!#REF!+'Evolutive SFP'!#REF!+'Evolutive SFP'!#REF!+'Evolutive SFP'!#REF!+'Evolutive SFP'!#REF!+'Evolutive SFP'!#REF!)</f>
        <v>#REF!</v>
      </c>
      <c r="AI12" s="38" t="e">
        <f>('Evolutive SFP'!#REF!)/('Evolutive SFP'!#REF!+'Evolutive SFP'!#REF!+'Evolutive SFP'!#REF!+'Evolutive SFP'!#REF!+'Evolutive SFP'!#REF!+'Evolutive SFP'!#REF!+'Evolutive SFP'!#REF!)</f>
        <v>#REF!</v>
      </c>
      <c r="AJ12" s="38" t="e">
        <f>('Evolutive SFP'!#REF!)/('Evolutive SFP'!#REF!+'Evolutive SFP'!#REF!+'Evolutive SFP'!#REF!+'Evolutive SFP'!#REF!+'Evolutive SFP'!#REF!+'Evolutive SFP'!#REF!+'Evolutive SFP'!#REF!)</f>
        <v>#REF!</v>
      </c>
      <c r="AK12" s="38" t="e">
        <f>('Evolutive SFP'!#REF!)/('Evolutive SFP'!#REF!+'Evolutive SFP'!#REF!+'Evolutive SFP'!#REF!+'Evolutive SFP'!#REF!+'Evolutive SFP'!#REF!+'Evolutive SFP'!#REF!+'Evolutive SFP'!#REF!)</f>
        <v>#REF!</v>
      </c>
      <c r="AL12" s="38" t="e">
        <f>('Evolutive SFP'!#REF!)/('Evolutive SFP'!#REF!+'Evolutive SFP'!#REF!+'Evolutive SFP'!#REF!+'Evolutive SFP'!#REF!+'Evolutive SFP'!#REF!+'Evolutive SFP'!#REF!+'Evolutive SFP'!#REF!)</f>
        <v>#REF!</v>
      </c>
      <c r="AM12" s="38" t="e">
        <f>('Evolutive SFP'!#REF!)/('Evolutive SFP'!#REF!+'Evolutive SFP'!#REF!+'Evolutive SFP'!#REF!+'Evolutive SFP'!#REF!+'Evolutive SFP'!#REF!+'Evolutive SFP'!#REF!+'Evolutive SFP'!#REF!)</f>
        <v>#REF!</v>
      </c>
      <c r="AN12" s="38" t="e">
        <f>('Evolutive SFP'!#REF!)/('Evolutive SFP'!#REF!+'Evolutive SFP'!#REF!+'Evolutive SFP'!#REF!+'Evolutive SFP'!#REF!+'Evolutive SFP'!#REF!+'Evolutive SFP'!#REF!+'Evolutive SFP'!#REF!)</f>
        <v>#REF!</v>
      </c>
      <c r="AO12" s="38" t="e">
        <f>('Evolutive SFP'!#REF!)/('Evolutive SFP'!#REF!+'Evolutive SFP'!#REF!+'Evolutive SFP'!#REF!+'Evolutive SFP'!#REF!+'Evolutive SFP'!#REF!+'Evolutive SFP'!#REF!+'Evolutive SFP'!#REF!)</f>
        <v>#REF!</v>
      </c>
      <c r="AP12" s="38" t="e">
        <f>('Evolutive SFP'!#REF!)/('Evolutive SFP'!#REF!+'Evolutive SFP'!#REF!+'Evolutive SFP'!#REF!+'Evolutive SFP'!#REF!+'Evolutive SFP'!#REF!+'Evolutive SFP'!#REF!+'Evolutive SFP'!#REF!)</f>
        <v>#REF!</v>
      </c>
      <c r="AQ12" s="38" t="e">
        <f>('Evolutive SFP'!#REF!)/('Evolutive SFP'!#REF!+'Evolutive SFP'!#REF!+'Evolutive SFP'!#REF!+'Evolutive SFP'!#REF!+'Evolutive SFP'!#REF!+'Evolutive SFP'!#REF!+'Evolutive SFP'!#REF!)</f>
        <v>#REF!</v>
      </c>
      <c r="AR12" s="38" t="e">
        <f>('Evolutive SFP'!#REF!)/('Evolutive SFP'!#REF!+'Evolutive SFP'!#REF!+'Evolutive SFP'!#REF!+'Evolutive SFP'!#REF!+'Evolutive SFP'!#REF!+'Evolutive SFP'!#REF!+'Evolutive SFP'!#REF!)</f>
        <v>#REF!</v>
      </c>
      <c r="AS12" s="38" t="e">
        <f>('Evolutive SFP'!#REF!)/('Evolutive SFP'!#REF!+'Evolutive SFP'!#REF!+'Evolutive SFP'!#REF!+'Evolutive SFP'!#REF!+'Evolutive SFP'!#REF!+'Evolutive SFP'!#REF!+'Evolutive SFP'!#REF!)</f>
        <v>#REF!</v>
      </c>
      <c r="AT12" s="38">
        <f>('Evolutive SFP'!AH4)/('Evolutive SFP'!AH28+'Evolutive SFP'!AH29+'Evolutive SFP'!AH32+'Evolutive SFP'!AH33+'Evolutive SFP'!AH34+'Evolutive SFP'!AH35+'Evolutive SFP'!AH36)</f>
        <v>0.79358559074185009</v>
      </c>
      <c r="AU12" s="38">
        <f>('Evolutive SFP'!AI4)/('Evolutive SFP'!AI28+'Evolutive SFP'!AI29+'Evolutive SFP'!AI32+'Evolutive SFP'!AI33+'Evolutive SFP'!AI34+'Evolutive SFP'!AI35+'Evolutive SFP'!AI36)</f>
        <v>0.75711243322000388</v>
      </c>
      <c r="AV12" s="38">
        <f>('Evolutive SFP'!AJ4)/('Evolutive SFP'!AJ28+'Evolutive SFP'!AJ29+'Evolutive SFP'!AJ32+'Evolutive SFP'!AJ33+'Evolutive SFP'!AJ34+'Evolutive SFP'!AJ35+'Evolutive SFP'!AJ36)</f>
        <v>0.71374383952421128</v>
      </c>
      <c r="AW12" s="38">
        <f>('Evolutive SFP'!AK4)/('Evolutive SFP'!AK28+'Evolutive SFP'!AK29+'Evolutive SFP'!AK32+'Evolutive SFP'!AK33+'Evolutive SFP'!AK34+'Evolutive SFP'!AK35+'Evolutive SFP'!AK36)</f>
        <v>0.62440266138092249</v>
      </c>
      <c r="AX12" s="38">
        <f>('Evolutive SFP'!AL4)/('Evolutive SFP'!AL28+'Evolutive SFP'!AL29+'Evolutive SFP'!AL32+'Evolutive SFP'!AL33+'Evolutive SFP'!AL34+'Evolutive SFP'!AL35+'Evolutive SFP'!AL36)</f>
        <v>0.76233122090821348</v>
      </c>
      <c r="AY12" s="38">
        <f>('Evolutive SFP'!AM4)/('Evolutive SFP'!AM28+'Evolutive SFP'!AM29+'Evolutive SFP'!AM32+'Evolutive SFP'!AM33+'Evolutive SFP'!AM34+'Evolutive SFP'!AM35+'Evolutive SFP'!AM36)</f>
        <v>0.79134784323129259</v>
      </c>
      <c r="AZ12" s="38">
        <f>('Evolutive SFP'!AN4)/('Evolutive SFP'!AN28+'Evolutive SFP'!AN29+'Evolutive SFP'!AN32+'Evolutive SFP'!AN33+'Evolutive SFP'!AN34+'Evolutive SFP'!AN35+'Evolutive SFP'!AN36)</f>
        <v>0.80312497933788207</v>
      </c>
      <c r="BA12" s="38" t="e">
        <f>('Evolutive SFP'!#REF!)/('Evolutive SFP'!#REF!+'Evolutive SFP'!#REF!+'Evolutive SFP'!#REF!+'Evolutive SFP'!#REF!+'Evolutive SFP'!#REF!+'Evolutive SFP'!#REF!+'Evolutive SFP'!#REF!)</f>
        <v>#REF!</v>
      </c>
      <c r="BB12" s="38">
        <f>('Evolutive SFP'!AO4)/('Evolutive SFP'!AO28+'Evolutive SFP'!AO29+'Evolutive SFP'!AO32+'Evolutive SFP'!AO33+'Evolutive SFP'!AO34+'Evolutive SFP'!AO35+'Evolutive SFP'!AO36)</f>
        <v>1.2201111664619606</v>
      </c>
      <c r="BC12" s="38">
        <f>('Evolutive SFP'!AP4)/('Evolutive SFP'!AP28+'Evolutive SFP'!AP29+'Evolutive SFP'!AP32+'Evolutive SFP'!AP33+'Evolutive SFP'!AP34+'Evolutive SFP'!AP35+'Evolutive SFP'!AP36)</f>
        <v>1.180970589496614</v>
      </c>
      <c r="BD12" s="38">
        <f>('Evolutive SFP'!AQ4)/('Evolutive SFP'!AQ28+'Evolutive SFP'!AQ29+'Evolutive SFP'!AQ32+'Evolutive SFP'!AQ33+'Evolutive SFP'!AQ34+'Evolutive SFP'!AQ35+'Evolutive SFP'!AQ36)</f>
        <v>1.5171590718290193</v>
      </c>
      <c r="BE12" s="38">
        <f>('Evolutive SFP'!AR4)/('Evolutive SFP'!AR28+'Evolutive SFP'!AR29+'Evolutive SFP'!AR32+'Evolutive SFP'!AR33+'Evolutive SFP'!AR34+'Evolutive SFP'!AR35+'Evolutive SFP'!AR36)</f>
        <v>1.4903324045107404</v>
      </c>
      <c r="BF12" s="38">
        <f>('Evolutive SFP'!AS4)/('Evolutive SFP'!AS28+'Evolutive SFP'!AS29+'Evolutive SFP'!AS32+'Evolutive SFP'!AS33+'Evolutive SFP'!AS34+'Evolutive SFP'!AS35+'Evolutive SFP'!AS36)</f>
        <v>1.5825647870163966</v>
      </c>
      <c r="BG12" s="38">
        <f>('Evolutive SFP'!AT4)/('Evolutive SFP'!AT28+'Evolutive SFP'!AT29+'Evolutive SFP'!AT32+'Evolutive SFP'!AT33+'Evolutive SFP'!AT34+'Evolutive SFP'!AT35+'Evolutive SFP'!AT36)</f>
        <v>1.0361032514082849</v>
      </c>
      <c r="BH12" s="38">
        <f>('Evolutive SFP'!AU4)/('Evolutive SFP'!AU28+'Evolutive SFP'!AU29+'Evolutive SFP'!AU32+'Evolutive SFP'!AU33+'Evolutive SFP'!AU34+'Evolutive SFP'!AU35+'Evolutive SFP'!AU36)</f>
        <v>0.80131723078668327</v>
      </c>
      <c r="BI12" s="38">
        <f>('Evolutive SFP'!AV4)/('Evolutive SFP'!AV28+'Evolutive SFP'!AV29+'Evolutive SFP'!AV32+'Evolutive SFP'!AV33+'Evolutive SFP'!AV34+'Evolutive SFP'!AV35+'Evolutive SFP'!AV36)</f>
        <v>0.83143695299757692</v>
      </c>
      <c r="BJ12" s="38">
        <f>('Evolutive SFP'!AW4)/('Evolutive SFP'!AW28+'Evolutive SFP'!AW29+'Evolutive SFP'!AW32+'Evolutive SFP'!AW33+'Evolutive SFP'!AW34+'Evolutive SFP'!AW35+'Evolutive SFP'!AW36)</f>
        <v>1.2317192841164712</v>
      </c>
      <c r="BK12" s="38">
        <f>('Evolutive SFP'!AX4)/('Evolutive SFP'!AX28+'Evolutive SFP'!AX29+'Evolutive SFP'!AX32+'Evolutive SFP'!AX33+'Evolutive SFP'!AX34+'Evolutive SFP'!AX35+'Evolutive SFP'!AX36)</f>
        <v>1.3518988784405483</v>
      </c>
      <c r="BL12" s="38">
        <f>('Evolutive SFP'!AY4)/('Evolutive SFP'!AY28+'Evolutive SFP'!AY29+'Evolutive SFP'!AY32+'Evolutive SFP'!AY33+'Evolutive SFP'!AY34+'Evolutive SFP'!AY35+'Evolutive SFP'!AY36)</f>
        <v>1.4114906006539312</v>
      </c>
      <c r="BM12" s="38">
        <f>('Evolutive SFP'!AZ4)/('Evolutive SFP'!AZ28+'Evolutive SFP'!AZ29+'Evolutive SFP'!AZ32+'Evolutive SFP'!AZ33+'Evolutive SFP'!AZ34+'Evolutive SFP'!AZ35+'Evolutive SFP'!AZ36)</f>
        <v>1.964917475263354</v>
      </c>
      <c r="BN12" s="38">
        <f>('Evolutive SFP'!BA4)/('Evolutive SFP'!BA28+'Evolutive SFP'!BA29+'Evolutive SFP'!BA32+'Evolutive SFP'!BA33+'Evolutive SFP'!BA34+'Evolutive SFP'!BA35+'Evolutive SFP'!BA36)</f>
        <v>1.1848579401812596</v>
      </c>
      <c r="BO12" s="38">
        <f>('Evolutive SFP'!BB4)/('Evolutive SFP'!BB28+'Evolutive SFP'!BB29+'Evolutive SFP'!BB32+'Evolutive SFP'!BB33+'Evolutive SFP'!BB34+'Evolutive SFP'!BB35+'Evolutive SFP'!BB36)</f>
        <v>1.3514281272760389</v>
      </c>
      <c r="BP12" s="38">
        <f>('Evolutive SFP'!BC4)/('Evolutive SFP'!BC28+'Evolutive SFP'!BC29+'Evolutive SFP'!BC32+'Evolutive SFP'!BC33+'Evolutive SFP'!BC34+'Evolutive SFP'!BC35+'Evolutive SFP'!BC36)</f>
        <v>1.0011683743733284</v>
      </c>
      <c r="BQ12" s="38">
        <f>('Evolutive SFP'!BD4)/('Evolutive SFP'!BD28+'Evolutive SFP'!BD29+'Evolutive SFP'!BD32+'Evolutive SFP'!BD33+'Evolutive SFP'!BD34+'Evolutive SFP'!BD35+'Evolutive SFP'!BD36)</f>
        <v>1.4533921304044233</v>
      </c>
      <c r="BR12" s="38">
        <f>('Evolutive SFP'!BE4)/('Evolutive SFP'!BE28+'Evolutive SFP'!BE29+'Evolutive SFP'!BE32+'Evolutive SFP'!BE33+'Evolutive SFP'!BE34+'Evolutive SFP'!BE35+'Evolutive SFP'!BE36)</f>
        <v>1.4550761922796493</v>
      </c>
      <c r="BS12" s="38">
        <f>('Evolutive SFP'!BF4)/('Evolutive SFP'!BF28+'Evolutive SFP'!BF29+'Evolutive SFP'!BF32+'Evolutive SFP'!BF33+'Evolutive SFP'!BF34+'Evolutive SFP'!BF35+'Evolutive SFP'!BF36)</f>
        <v>1.7151604395835267</v>
      </c>
      <c r="BT12" s="38">
        <f>('Evolutive SFP'!BG4)/('Evolutive SFP'!BG28+'Evolutive SFP'!BG29+'Evolutive SFP'!BG32+'Evolutive SFP'!BG33+'Evolutive SFP'!BG34+'Evolutive SFP'!BG35+'Evolutive SFP'!BG36)</f>
        <v>1.2672339357619589</v>
      </c>
      <c r="BU12" s="38">
        <f>('Evolutive SFP'!BH4)/('Evolutive SFP'!BH28+'Evolutive SFP'!BH29+'Evolutive SFP'!BH32+'Evolutive SFP'!BH33+'Evolutive SFP'!BH34+'Evolutive SFP'!BH35+'Evolutive SFP'!BH36)</f>
        <v>1.2606443147707096</v>
      </c>
      <c r="BV12" s="38">
        <f>('Evolutive SFP'!BI4)/('Evolutive SFP'!BI28+'Evolutive SFP'!BI29+'Evolutive SFP'!BI32+'Evolutive SFP'!BI33+'Evolutive SFP'!BI34+'Evolutive SFP'!BI35+'Evolutive SFP'!BI36)</f>
        <v>1.2566791288952772</v>
      </c>
      <c r="BW12" s="38">
        <f>('Evolutive SFP'!BJ4)/('Evolutive SFP'!BJ28+'Evolutive SFP'!BJ29+'Evolutive SFP'!BJ32+'Evolutive SFP'!BJ33+'Evolutive SFP'!BJ34+'Evolutive SFP'!BJ35+'Evolutive SFP'!BJ36)</f>
        <v>1.3738844672315667</v>
      </c>
      <c r="BX12" s="38">
        <f>('Evolutive SFP'!BK4)/('Evolutive SFP'!BK28+'Evolutive SFP'!BK29+'Evolutive SFP'!BK32+'Evolutive SFP'!BK33+'Evolutive SFP'!BK34+'Evolutive SFP'!BK35+'Evolutive SFP'!BK36)</f>
        <v>1.3115870071249582</v>
      </c>
      <c r="BY12" s="38">
        <f>('Evolutive SFP'!BL4)/('Evolutive SFP'!BL28+'Evolutive SFP'!BL29+'Evolutive SFP'!BL32+'Evolutive SFP'!BL33+'Evolutive SFP'!BL34+'Evolutive SFP'!BL35+'Evolutive SFP'!BL36)</f>
        <v>1.4379230515106121</v>
      </c>
      <c r="BZ12" s="38">
        <f>('Evolutive SFP'!BM4)/('Evolutive SFP'!BM28+'Evolutive SFP'!BM29+'Evolutive SFP'!BM32+'Evolutive SFP'!BM33+'Evolutive SFP'!BM34+'Evolutive SFP'!BM35+'Evolutive SFP'!BM36)</f>
        <v>1.4714077086977881</v>
      </c>
      <c r="CA12" s="38">
        <f>('Evolutive SFP'!BN4)/('Evolutive SFP'!BN28+'Evolutive SFP'!BN29+'Evolutive SFP'!BN32+'Evolutive SFP'!BN33+'Evolutive SFP'!BN34+'Evolutive SFP'!BN35+'Evolutive SFP'!BN36)</f>
        <v>1.5835849900210812</v>
      </c>
      <c r="CB12" s="38">
        <f>('Evolutive SFP'!BO4)/('Evolutive SFP'!BO28+'Evolutive SFP'!BO29+'Evolutive SFP'!BO32+'Evolutive SFP'!BO33+'Evolutive SFP'!BO34+'Evolutive SFP'!BO35+'Evolutive SFP'!BO36)</f>
        <v>1.6988063992025677</v>
      </c>
      <c r="CC12" s="38">
        <f>('Evolutive SFP'!BP4)/('Evolutive SFP'!BP28+'Evolutive SFP'!BP29+'Evolutive SFP'!BP32+'Evolutive SFP'!BP33+'Evolutive SFP'!BP34+'Evolutive SFP'!BP35+'Evolutive SFP'!BP36)</f>
        <v>1.7057107693361215</v>
      </c>
      <c r="CD12" s="38">
        <f>('Evolutive SFP'!BQ4)/('Evolutive SFP'!BQ28+'Evolutive SFP'!BQ29+'Evolutive SFP'!BQ32+'Evolutive SFP'!BQ33+'Evolutive SFP'!BQ34+'Evolutive SFP'!BQ35+'Evolutive SFP'!BQ36)</f>
        <v>1.7118108826247644</v>
      </c>
      <c r="CE12" s="38">
        <f>('Evolutive SFP'!BR4)/('Evolutive SFP'!BR28+'Evolutive SFP'!BR29+'Evolutive SFP'!BR32+'Evolutive SFP'!BR33+'Evolutive SFP'!BR34+'Evolutive SFP'!BR35+'Evolutive SFP'!BR36)</f>
        <v>1.6186673428573159</v>
      </c>
      <c r="CF12" s="38">
        <f>('Evolutive SFP'!BS4)/('Evolutive SFP'!BS28+'Evolutive SFP'!BS29+'Evolutive SFP'!BS32+'Evolutive SFP'!BS33+'Evolutive SFP'!BS34+'Evolutive SFP'!BS35+'Evolutive SFP'!BS36)</f>
        <v>1.8157978282067262</v>
      </c>
      <c r="CG12" s="38" t="e">
        <f>('Evolutive SFP'!BT4)/('Evolutive SFP'!BT28+'Evolutive SFP'!BT29+'Evolutive SFP'!BT32+'Evolutive SFP'!BT33+'Evolutive SFP'!BT34+'Evolutive SFP'!BT35+'Evolutive SFP'!BT36)</f>
        <v>#DIV/0!</v>
      </c>
      <c r="CH12" s="38">
        <f>('Evolutive SFP'!BU4)/('Evolutive SFP'!BU28+'Evolutive SFP'!BU29+'Evolutive SFP'!BU32+'Evolutive SFP'!BU33+'Evolutive SFP'!BU34+'Evolutive SFP'!BU35+'Evolutive SFP'!BU36)</f>
        <v>1.1680481692067231</v>
      </c>
      <c r="CI12" s="38">
        <f>('Evolutive SFP'!BV4)/('Evolutive SFP'!BV28+'Evolutive SFP'!BV29+'Evolutive SFP'!BV32+'Evolutive SFP'!BV33+'Evolutive SFP'!BV34+'Evolutive SFP'!BV35+'Evolutive SFP'!BV36)</f>
        <v>1.2061925719311297</v>
      </c>
      <c r="CJ12" s="38">
        <f>('Evolutive SFP'!BW4)/('Evolutive SFP'!BW28+'Evolutive SFP'!BW29+'Evolutive SFP'!BW32+'Evolutive SFP'!BW33+'Evolutive SFP'!BW34+'Evolutive SFP'!BW35+'Evolutive SFP'!BW36)</f>
        <v>1.1364380504807992</v>
      </c>
      <c r="CK12" s="38">
        <f>('Evolutive SFP'!BX4)/('Evolutive SFP'!BX28+'Evolutive SFP'!BX29+'Evolutive SFP'!BX32+'Evolutive SFP'!BX33+'Evolutive SFP'!BX34+'Evolutive SFP'!BX35+'Evolutive SFP'!BX36)</f>
        <v>1.4190028268077297</v>
      </c>
      <c r="CL12" s="38">
        <f>('Evolutive SFP'!BY4)/('Evolutive SFP'!BY28+'Evolutive SFP'!BY29+'Evolutive SFP'!BY32+'Evolutive SFP'!BY33+'Evolutive SFP'!BY34+'Evolutive SFP'!BY35+'Evolutive SFP'!BY36)</f>
        <v>1.4409573422177946</v>
      </c>
      <c r="CM12" s="38">
        <f>('Evolutive SFP'!BZ4)/('Evolutive SFP'!BZ28+'Evolutive SFP'!BZ29+'Evolutive SFP'!BZ32+'Evolutive SFP'!BZ33+'Evolutive SFP'!BZ34+'Evolutive SFP'!BZ35+'Evolutive SFP'!BZ36)</f>
        <v>1.5291415875756691</v>
      </c>
      <c r="CN12" s="38">
        <f>('Evolutive SFP'!CA4)/('Evolutive SFP'!CA28+'Evolutive SFP'!CA29+'Evolutive SFP'!CA32+'Evolutive SFP'!CA33+'Evolutive SFP'!CA34+'Evolutive SFP'!CA35+'Evolutive SFP'!CA36)</f>
        <v>1.4814274145302639</v>
      </c>
    </row>
    <row r="13" spans="1:92" ht="15.75">
      <c r="A13" s="423"/>
      <c r="B13" s="3" t="s">
        <v>208</v>
      </c>
      <c r="C13" s="30"/>
      <c r="D13" s="34" t="e">
        <f>('Evolutive SFP'!#REF!+'Evolutive SFP'!#REF!)/('Evolutive SFP'!#REF!+'Evolutive SFP'!#REF!+'Evolutive SFP'!#REF!+'Evolutive SFP'!#REF!+'Evolutive SFP'!#REF!+'Evolutive SFP'!#REF!)</f>
        <v>#REF!</v>
      </c>
      <c r="E13" s="34" t="e">
        <f>('Evolutive SFP'!#REF!+'Evolutive SFP'!#REF!)/('Evolutive SFP'!#REF!+'Evolutive SFP'!#REF!+'Evolutive SFP'!#REF!+'Evolutive SFP'!#REF!+'Evolutive SFP'!#REF!+'Evolutive SFP'!#REF!)</f>
        <v>#REF!</v>
      </c>
      <c r="F13" s="34" t="e">
        <f>('Evolutive SFP'!#REF!+'Evolutive SFP'!#REF!)/('Evolutive SFP'!#REF!+'Evolutive SFP'!#REF!+'Evolutive SFP'!#REF!+'Evolutive SFP'!#REF!+'Evolutive SFP'!#REF!+'Evolutive SFP'!#REF!)</f>
        <v>#REF!</v>
      </c>
      <c r="G13" s="34" t="e">
        <f>('Evolutive SFP'!#REF!+'Evolutive SFP'!#REF!)/('Evolutive SFP'!#REF!+'Evolutive SFP'!#REF!+'Evolutive SFP'!#REF!+'Evolutive SFP'!#REF!+'Evolutive SFP'!#REF!+'Evolutive SFP'!#REF!)</f>
        <v>#REF!</v>
      </c>
      <c r="H13" s="34" t="e">
        <f>('Evolutive SFP'!#REF!+'Evolutive SFP'!#REF!)/('Evolutive SFP'!#REF!+'Evolutive SFP'!#REF!+'Evolutive SFP'!#REF!+'Evolutive SFP'!#REF!+'Evolutive SFP'!#REF!+'Evolutive SFP'!#REF!)</f>
        <v>#REF!</v>
      </c>
      <c r="I13" s="34" t="e">
        <f>('Evolutive SFP'!#REF!+'Evolutive SFP'!#REF!)/('Evolutive SFP'!#REF!+'Evolutive SFP'!#REF!+'Evolutive SFP'!#REF!+'Evolutive SFP'!#REF!+'Evolutive SFP'!#REF!+'Evolutive SFP'!#REF!)</f>
        <v>#REF!</v>
      </c>
      <c r="J13" s="34" t="e">
        <f>('Evolutive SFP'!#REF!+'Evolutive SFP'!#REF!)/('Evolutive SFP'!#REF!+'Evolutive SFP'!#REF!+'Evolutive SFP'!#REF!+'Evolutive SFP'!#REF!+'Evolutive SFP'!#REF!+'Evolutive SFP'!#REF!)</f>
        <v>#REF!</v>
      </c>
      <c r="K13" s="34" t="e">
        <f>('Evolutive SFP'!#REF!+'Evolutive SFP'!#REF!)/('Evolutive SFP'!#REF!+'Evolutive SFP'!#REF!+'Evolutive SFP'!#REF!+'Evolutive SFP'!#REF!+'Evolutive SFP'!#REF!+'Evolutive SFP'!#REF!)</f>
        <v>#REF!</v>
      </c>
      <c r="L13" s="34" t="e">
        <f>('Evolutive SFP'!#REF!+'Evolutive SFP'!#REF!)/('Evolutive SFP'!#REF!+'Evolutive SFP'!#REF!+'Evolutive SFP'!#REF!+'Evolutive SFP'!#REF!+'Evolutive SFP'!#REF!+'Evolutive SFP'!#REF!)</f>
        <v>#REF!</v>
      </c>
      <c r="M13" s="34" t="e">
        <f>('Evolutive SFP'!#REF!+'Evolutive SFP'!#REF!)/('Evolutive SFP'!#REF!+'Evolutive SFP'!#REF!+'Evolutive SFP'!#REF!+'Evolutive SFP'!#REF!+'Evolutive SFP'!#REF!+'Evolutive SFP'!#REF!)</f>
        <v>#REF!</v>
      </c>
      <c r="N13" s="34" t="e">
        <f>('Evolutive SFP'!#REF!+'Evolutive SFP'!#REF!)/('Evolutive SFP'!#REF!+'Evolutive SFP'!#REF!+'Evolutive SFP'!#REF!+'Evolutive SFP'!#REF!+'Evolutive SFP'!#REF!+'Evolutive SFP'!#REF!)</f>
        <v>#REF!</v>
      </c>
      <c r="O13" s="34" t="e">
        <f>('Evolutive SFP'!#REF!+'Evolutive SFP'!#REF!)/('Evolutive SFP'!#REF!+'Evolutive SFP'!#REF!+'Evolutive SFP'!#REF!+'Evolutive SFP'!#REF!+'Evolutive SFP'!#REF!+'Evolutive SFP'!#REF!)</f>
        <v>#REF!</v>
      </c>
      <c r="P13" s="34" t="e">
        <f>'Evolutive SFP'!#REF!/('Evolutive SFP'!#REF!+'Evolutive SFP'!#REF!)</f>
        <v>#REF!</v>
      </c>
      <c r="Q13" s="34" t="e">
        <f>'Evolutive SFP'!#REF!/('Evolutive SFP'!#REF!+'Evolutive SFP'!#REF!)</f>
        <v>#REF!</v>
      </c>
      <c r="R13" s="34" t="e">
        <f>'Evolutive SFP'!#REF!/('Evolutive SFP'!#REF!+'Evolutive SFP'!#REF!)</f>
        <v>#REF!</v>
      </c>
      <c r="S13" s="38" t="e">
        <f>'Evolutive SFP'!#REF!/('Evolutive SFP'!#REF!+'Evolutive SFP'!#REF!)</f>
        <v>#REF!</v>
      </c>
      <c r="T13" s="38" t="e">
        <f>'Evolutive SFP'!#REF!/('Evolutive SFP'!#REF!+'Evolutive SFP'!#REF!)</f>
        <v>#REF!</v>
      </c>
      <c r="U13" s="38" t="e">
        <f>'Evolutive SFP'!#REF!/('Evolutive SFP'!#REF!+'Evolutive SFP'!#REF!)</f>
        <v>#REF!</v>
      </c>
      <c r="V13" s="38" t="e">
        <f>'Evolutive SFP'!#REF!/('Evolutive SFP'!#REF!+'Evolutive SFP'!#REF!)</f>
        <v>#REF!</v>
      </c>
      <c r="W13" s="38" t="e">
        <f>'Evolutive SFP'!#REF!/('Evolutive SFP'!#REF!+'Evolutive SFP'!#REF!)</f>
        <v>#REF!</v>
      </c>
      <c r="X13" s="38" t="e">
        <f>'Evolutive SFP'!#REF!/('Evolutive SFP'!#REF!+'Evolutive SFP'!#REF!)</f>
        <v>#REF!</v>
      </c>
      <c r="Y13" s="38" t="e">
        <f>'Evolutive SFP'!#REF!/('Evolutive SFP'!#REF!+'Evolutive SFP'!#REF!)</f>
        <v>#REF!</v>
      </c>
      <c r="Z13" s="38" t="e">
        <f>'Evolutive SFP'!#REF!/('Evolutive SFP'!#REF!+'Evolutive SFP'!#REF!)</f>
        <v>#REF!</v>
      </c>
      <c r="AA13" s="38" t="e">
        <f>'Evolutive SFP'!#REF!/('Evolutive SFP'!#REF!+'Evolutive SFP'!#REF!)</f>
        <v>#REF!</v>
      </c>
      <c r="AB13" s="38" t="e">
        <f>'Evolutive SFP'!#REF!/('Evolutive SFP'!#REF!+'Evolutive SFP'!#REF!)</f>
        <v>#REF!</v>
      </c>
      <c r="AC13" s="38" t="e">
        <f>'Evolutive SFP'!#REF!/('Evolutive SFP'!#REF!+'Evolutive SFP'!#REF!)</f>
        <v>#REF!</v>
      </c>
      <c r="AD13" s="38" t="e">
        <f>'Evolutive SFP'!#REF!/('Evolutive SFP'!#REF!+'Evolutive SFP'!#REF!)</f>
        <v>#REF!</v>
      </c>
      <c r="AE13" s="38" t="e">
        <f>'Evolutive SFP'!#REF!/('Evolutive SFP'!#REF!+'Evolutive SFP'!#REF!)</f>
        <v>#REF!</v>
      </c>
      <c r="AF13" s="38" t="e">
        <f>'Evolutive SFP'!#REF!/('Evolutive SFP'!#REF!+'Evolutive SFP'!#REF!)</f>
        <v>#REF!</v>
      </c>
      <c r="AG13" s="38" t="e">
        <f>'Evolutive SFP'!#REF!/('Evolutive SFP'!#REF!+'Evolutive SFP'!#REF!)</f>
        <v>#REF!</v>
      </c>
      <c r="AH13" s="38" t="e">
        <f>'Evolutive SFP'!#REF!/('Evolutive SFP'!#REF!+'Evolutive SFP'!#REF!)</f>
        <v>#REF!</v>
      </c>
      <c r="AI13" s="38" t="e">
        <f>'Evolutive SFP'!#REF!/('Evolutive SFP'!#REF!+'Evolutive SFP'!#REF!)</f>
        <v>#REF!</v>
      </c>
      <c r="AJ13" s="38" t="e">
        <f>'Evolutive SFP'!#REF!/('Evolutive SFP'!#REF!+'Evolutive SFP'!#REF!)</f>
        <v>#REF!</v>
      </c>
      <c r="AK13" s="38" t="e">
        <f>'Evolutive SFP'!#REF!/('Evolutive SFP'!#REF!+'Evolutive SFP'!#REF!)</f>
        <v>#REF!</v>
      </c>
      <c r="AL13" s="38" t="e">
        <f>'Evolutive SFP'!#REF!/('Evolutive SFP'!#REF!+'Evolutive SFP'!#REF!)</f>
        <v>#REF!</v>
      </c>
      <c r="AM13" s="38" t="e">
        <f>'Evolutive SFP'!#REF!/('Evolutive SFP'!#REF!+'Evolutive SFP'!#REF!)</f>
        <v>#REF!</v>
      </c>
      <c r="AN13" s="38" t="e">
        <f>'Evolutive SFP'!#REF!/('Evolutive SFP'!#REF!+'Evolutive SFP'!#REF!)</f>
        <v>#REF!</v>
      </c>
      <c r="AO13" s="38" t="e">
        <f>'Evolutive SFP'!#REF!/('Evolutive SFP'!#REF!+'Evolutive SFP'!#REF!)</f>
        <v>#REF!</v>
      </c>
      <c r="AP13" s="38" t="e">
        <f>'Evolutive SFP'!#REF!/('Evolutive SFP'!#REF!+'Evolutive SFP'!#REF!)</f>
        <v>#REF!</v>
      </c>
      <c r="AQ13" s="38" t="e">
        <f>'Evolutive SFP'!#REF!/('Evolutive SFP'!#REF!+'Evolutive SFP'!#REF!)</f>
        <v>#REF!</v>
      </c>
      <c r="AR13" s="38" t="e">
        <f>'Evolutive SFP'!#REF!/('Evolutive SFP'!#REF!+'Evolutive SFP'!#REF!)</f>
        <v>#REF!</v>
      </c>
      <c r="AS13" s="38" t="e">
        <f>'Evolutive SFP'!#REF!/('Evolutive SFP'!#REF!+'Evolutive SFP'!#REF!)</f>
        <v>#REF!</v>
      </c>
      <c r="AT13" s="38">
        <f>'Evolutive SFP'!AH4/('Evolutive SFP'!AH31+'Evolutive SFP'!AH36)</f>
        <v>0.20610713001216549</v>
      </c>
      <c r="AU13" s="38">
        <f>'Evolutive SFP'!AI4/('Evolutive SFP'!AI31+'Evolutive SFP'!AI36)</f>
        <v>0.24665823223772923</v>
      </c>
      <c r="AV13" s="38">
        <f>'Evolutive SFP'!AJ4/('Evolutive SFP'!AJ31+'Evolutive SFP'!AJ36)</f>
        <v>0.24367137884639278</v>
      </c>
      <c r="AW13" s="38">
        <f>'Evolutive SFP'!AK4/('Evolutive SFP'!AK31+'Evolutive SFP'!AK36)</f>
        <v>0.18274953305160574</v>
      </c>
      <c r="AX13" s="38">
        <f>'Evolutive SFP'!AL4/('Evolutive SFP'!AL31+'Evolutive SFP'!AL36)</f>
        <v>0.21568500403627</v>
      </c>
      <c r="AY13" s="38">
        <f>'Evolutive SFP'!AM4/('Evolutive SFP'!AM31+'Evolutive SFP'!AM36)</f>
        <v>0.2392845246032631</v>
      </c>
      <c r="AZ13" s="38">
        <f>'Evolutive SFP'!AN4/('Evolutive SFP'!AN31+'Evolutive SFP'!AN36)</f>
        <v>0.22562375804223167</v>
      </c>
      <c r="BA13" s="38" t="e">
        <f>'Evolutive SFP'!#REF!/('Evolutive SFP'!#REF!+'Evolutive SFP'!#REF!)</f>
        <v>#REF!</v>
      </c>
      <c r="BB13" s="38">
        <f>'Evolutive SFP'!AO4/('Evolutive SFP'!AO31+'Evolutive SFP'!AO36)</f>
        <v>0.35074874944535045</v>
      </c>
      <c r="BC13" s="38">
        <f>'Evolutive SFP'!AP4/('Evolutive SFP'!AP31+'Evolutive SFP'!AP36)</f>
        <v>0.32207553509353776</v>
      </c>
      <c r="BD13" s="38">
        <f>'Evolutive SFP'!AQ4/('Evolutive SFP'!AQ31+'Evolutive SFP'!AQ36)</f>
        <v>0.33571676811346468</v>
      </c>
      <c r="BE13" s="38">
        <f>'Evolutive SFP'!AR4/('Evolutive SFP'!AR31+'Evolutive SFP'!AR36)</f>
        <v>0.37576643229137496</v>
      </c>
      <c r="BF13" s="38">
        <f>'Evolutive SFP'!AS4/('Evolutive SFP'!AS31+'Evolutive SFP'!AS36)</f>
        <v>0.27045935742106525</v>
      </c>
      <c r="BG13" s="38">
        <f>'Evolutive SFP'!AT4/('Evolutive SFP'!AT31+'Evolutive SFP'!AT36)</f>
        <v>0.26418246506358289</v>
      </c>
      <c r="BH13" s="38">
        <f>'Evolutive SFP'!AU4/('Evolutive SFP'!AU31+'Evolutive SFP'!AU36)</f>
        <v>0.18537496654142704</v>
      </c>
      <c r="BI13" s="38">
        <f>'Evolutive SFP'!AV4/('Evolutive SFP'!AV31+'Evolutive SFP'!AV36)</f>
        <v>0.18686716691587091</v>
      </c>
      <c r="BJ13" s="38">
        <f>'Evolutive SFP'!AW4/('Evolutive SFP'!AW31+'Evolutive SFP'!AW36)</f>
        <v>0.28756572905711819</v>
      </c>
      <c r="BK13" s="38">
        <f>'Evolutive SFP'!AX4/('Evolutive SFP'!AX31+'Evolutive SFP'!AX36)</f>
        <v>0.27376742113534991</v>
      </c>
      <c r="BL13" s="38">
        <f>'Evolutive SFP'!AY4/('Evolutive SFP'!AY31+'Evolutive SFP'!AY36)</f>
        <v>0.28450417515502957</v>
      </c>
      <c r="BM13" s="38">
        <f>'Evolutive SFP'!AZ4/('Evolutive SFP'!AZ31+'Evolutive SFP'!AZ36)</f>
        <v>0.34004086787942428</v>
      </c>
      <c r="BN13" s="38">
        <f>'Evolutive SFP'!BA4/('Evolutive SFP'!BA31+'Evolutive SFP'!BA36)</f>
        <v>0.27481537057305927</v>
      </c>
      <c r="BO13" s="38">
        <f>'Evolutive SFP'!BB4/('Evolutive SFP'!BB31+'Evolutive SFP'!BB36)</f>
        <v>0.30771519878368941</v>
      </c>
      <c r="BP13" s="38">
        <f>'Evolutive SFP'!BC4/('Evolutive SFP'!BC31+'Evolutive SFP'!BC36)</f>
        <v>0.17353196475829871</v>
      </c>
      <c r="BQ13" s="38">
        <f>'Evolutive SFP'!BD4/('Evolutive SFP'!BD31+'Evolutive SFP'!BD36)</f>
        <v>0.28993878854731009</v>
      </c>
      <c r="BR13" s="38">
        <f>'Evolutive SFP'!BE4/('Evolutive SFP'!BE31+'Evolutive SFP'!BE36)</f>
        <v>0.34624107417973604</v>
      </c>
      <c r="BS13" s="38">
        <f>'Evolutive SFP'!BF4/('Evolutive SFP'!BF31+'Evolutive SFP'!BF36)</f>
        <v>0.3297294591150664</v>
      </c>
      <c r="BT13" s="38">
        <f>'Evolutive SFP'!BG4/('Evolutive SFP'!BG31+'Evolutive SFP'!BG36)</f>
        <v>0.32431717313193537</v>
      </c>
      <c r="BU13" s="38">
        <f>'Evolutive SFP'!BH4/('Evolutive SFP'!BH31+'Evolutive SFP'!BH36)</f>
        <v>0.31024392834668396</v>
      </c>
      <c r="BV13" s="38">
        <f>'Evolutive SFP'!BI4/('Evolutive SFP'!BI31+'Evolutive SFP'!BI36)</f>
        <v>0.32947224699431971</v>
      </c>
      <c r="BW13" s="38">
        <f>'Evolutive SFP'!BJ4/('Evolutive SFP'!BJ31+'Evolutive SFP'!BJ36)</f>
        <v>0.33464001510516933</v>
      </c>
      <c r="BX13" s="38">
        <f>'Evolutive SFP'!BK4/('Evolutive SFP'!BK31+'Evolutive SFP'!BK36)</f>
        <v>0.25784839895521755</v>
      </c>
      <c r="BY13" s="38">
        <f>'Evolutive SFP'!BL4/('Evolutive SFP'!BL31+'Evolutive SFP'!BL36)</f>
        <v>0.27770371200217964</v>
      </c>
      <c r="BZ13" s="38">
        <f>'Evolutive SFP'!BM4/('Evolutive SFP'!BM31+'Evolutive SFP'!BM36)</f>
        <v>0.32421924063789703</v>
      </c>
      <c r="CA13" s="38">
        <f>'Evolutive SFP'!BN4/('Evolutive SFP'!BN31+'Evolutive SFP'!BN36)</f>
        <v>0.3090769326268874</v>
      </c>
      <c r="CB13" s="38">
        <f>'Evolutive SFP'!BO4/('Evolutive SFP'!BO31+'Evolutive SFP'!BO36)</f>
        <v>0.33410544753681493</v>
      </c>
      <c r="CC13" s="38">
        <f>'Evolutive SFP'!BP4/('Evolutive SFP'!BP31+'Evolutive SFP'!BP36)</f>
        <v>0.3209479523092848</v>
      </c>
      <c r="CD13" s="38">
        <f>'Evolutive SFP'!BQ4/('Evolutive SFP'!BQ31+'Evolutive SFP'!BQ36)</f>
        <v>0.35285515041597915</v>
      </c>
      <c r="CE13" s="38">
        <f>'Evolutive SFP'!BR4/('Evolutive SFP'!BR31+'Evolutive SFP'!BR36)</f>
        <v>0.3424013088534722</v>
      </c>
      <c r="CF13" s="38">
        <f>'Evolutive SFP'!BS4/('Evolutive SFP'!BS31+'Evolutive SFP'!BS36)</f>
        <v>0.29744327067683501</v>
      </c>
      <c r="CG13" s="38" t="e">
        <f>'Evolutive SFP'!BT4/('Evolutive SFP'!BT31+'Evolutive SFP'!BT36)</f>
        <v>#DIV/0!</v>
      </c>
      <c r="CH13" s="38">
        <f>'Evolutive SFP'!BU4/('Evolutive SFP'!BU31+'Evolutive SFP'!BU36)</f>
        <v>0.26542569972244828</v>
      </c>
      <c r="CI13" s="38">
        <f>'Evolutive SFP'!BV4/('Evolutive SFP'!BV31+'Evolutive SFP'!BV36)</f>
        <v>0.27170852336651341</v>
      </c>
      <c r="CJ13" s="38">
        <f>'Evolutive SFP'!BW4/('Evolutive SFP'!BW31+'Evolutive SFP'!BW36)</f>
        <v>0.25839126085442132</v>
      </c>
      <c r="CK13" s="38">
        <f>'Evolutive SFP'!BX4/('Evolutive SFP'!BX31+'Evolutive SFP'!BX36)</f>
        <v>0.26794456991638416</v>
      </c>
      <c r="CL13" s="38">
        <f>'Evolutive SFP'!BY4/('Evolutive SFP'!BY31+'Evolutive SFP'!BY36)</f>
        <v>0.25915910084638621</v>
      </c>
      <c r="CM13" s="38">
        <f>'Evolutive SFP'!BZ4/('Evolutive SFP'!BZ31+'Evolutive SFP'!BZ36)</f>
        <v>0.27613382055482777</v>
      </c>
      <c r="CN13" s="38">
        <f>'Evolutive SFP'!CA4/('Evolutive SFP'!CA31+'Evolutive SFP'!CA36)</f>
        <v>0.24706184067528508</v>
      </c>
    </row>
    <row r="14" spans="1:92" ht="15.75">
      <c r="A14" s="423"/>
      <c r="B14" s="3" t="s">
        <v>209</v>
      </c>
      <c r="C14" s="11" t="s">
        <v>210</v>
      </c>
      <c r="D14" s="34" t="e">
        <f>'Evolutive SFP'!#REF!/'Evolutive SFP'!#REF!</f>
        <v>#REF!</v>
      </c>
      <c r="E14" s="34" t="e">
        <f>'Evolutive SFP'!#REF!/'Evolutive SFP'!#REF!</f>
        <v>#REF!</v>
      </c>
      <c r="F14" s="34" t="e">
        <f>'Evolutive SFP'!#REF!/'Evolutive SFP'!#REF!</f>
        <v>#REF!</v>
      </c>
      <c r="G14" s="34" t="e">
        <f>'Evolutive SFP'!#REF!/'Evolutive SFP'!#REF!</f>
        <v>#REF!</v>
      </c>
      <c r="H14" s="34" t="e">
        <f>'Evolutive SFP'!#REF!/'Evolutive SFP'!#REF!</f>
        <v>#REF!</v>
      </c>
      <c r="I14" s="34" t="e">
        <f>'Evolutive SFP'!#REF!/'Evolutive SFP'!#REF!</f>
        <v>#REF!</v>
      </c>
      <c r="J14" s="34" t="e">
        <f>'Evolutive SFP'!#REF!/'Evolutive SFP'!#REF!</f>
        <v>#REF!</v>
      </c>
      <c r="K14" s="34" t="e">
        <f>'Evolutive SFP'!#REF!/'Evolutive SFP'!#REF!</f>
        <v>#REF!</v>
      </c>
      <c r="L14" s="34" t="e">
        <f>'Evolutive SFP'!#REF!/'Evolutive SFP'!#REF!</f>
        <v>#REF!</v>
      </c>
      <c r="M14" s="34" t="e">
        <f>'Evolutive SFP'!#REF!/'Evolutive SFP'!#REF!</f>
        <v>#REF!</v>
      </c>
      <c r="N14" s="34" t="e">
        <f>'Evolutive SFP'!#REF!/'Evolutive SFP'!#REF!</f>
        <v>#REF!</v>
      </c>
      <c r="O14" s="34" t="e">
        <f>'Evolutive SFP'!#REF!/'Evolutive SFP'!#REF!</f>
        <v>#REF!</v>
      </c>
      <c r="P14" s="34" t="e">
        <f>'Evolutive SFP'!#REF!/'Evolutive SFP'!#REF!</f>
        <v>#REF!</v>
      </c>
      <c r="Q14" s="34" t="e">
        <f>'Evolutive SFP'!#REF!/'Evolutive SFP'!#REF!</f>
        <v>#REF!</v>
      </c>
      <c r="R14" s="34" t="e">
        <f>'Evolutive SFP'!#REF!/'Evolutive SFP'!#REF!</f>
        <v>#REF!</v>
      </c>
      <c r="S14" s="38" t="e">
        <f>'Evolutive SFP'!#REF!/'Evolutive SFP'!#REF!</f>
        <v>#REF!</v>
      </c>
      <c r="T14" s="38" t="e">
        <f>'Evolutive SFP'!#REF!/'Evolutive SFP'!#REF!</f>
        <v>#REF!</v>
      </c>
      <c r="U14" s="38" t="e">
        <f>'Evolutive SFP'!#REF!/'Evolutive SFP'!#REF!</f>
        <v>#REF!</v>
      </c>
      <c r="V14" s="38" t="e">
        <f>'Evolutive SFP'!#REF!/'Evolutive SFP'!#REF!</f>
        <v>#REF!</v>
      </c>
      <c r="W14" s="38" t="e">
        <f>'Evolutive SFP'!#REF!/'Evolutive SFP'!#REF!</f>
        <v>#REF!</v>
      </c>
      <c r="X14" s="38" t="e">
        <f>'Evolutive SFP'!#REF!/'Evolutive SFP'!#REF!</f>
        <v>#REF!</v>
      </c>
      <c r="Y14" s="38" t="e">
        <f>'Evolutive SFP'!#REF!/'Evolutive SFP'!#REF!</f>
        <v>#REF!</v>
      </c>
      <c r="Z14" s="38" t="e">
        <f>'Evolutive SFP'!#REF!/'Evolutive SFP'!#REF!</f>
        <v>#REF!</v>
      </c>
      <c r="AA14" s="38" t="e">
        <f>'Evolutive SFP'!#REF!/'Evolutive SFP'!#REF!</f>
        <v>#REF!</v>
      </c>
      <c r="AB14" s="38" t="e">
        <f>'Evolutive SFP'!#REF!/'Evolutive SFP'!#REF!</f>
        <v>#REF!</v>
      </c>
      <c r="AC14" s="38" t="e">
        <f>'Evolutive SFP'!#REF!/'Evolutive SFP'!#REF!</f>
        <v>#REF!</v>
      </c>
      <c r="AD14" s="38" t="e">
        <f>'Evolutive SFP'!#REF!/'Evolutive SFP'!#REF!</f>
        <v>#REF!</v>
      </c>
      <c r="AE14" s="38" t="e">
        <f>'Evolutive SFP'!#REF!/'Evolutive SFP'!#REF!</f>
        <v>#REF!</v>
      </c>
      <c r="AF14" s="38" t="e">
        <f>'Evolutive SFP'!#REF!/'Evolutive SFP'!#REF!</f>
        <v>#REF!</v>
      </c>
      <c r="AG14" s="38" t="e">
        <f>'Evolutive SFP'!#REF!/'Evolutive SFP'!#REF!</f>
        <v>#REF!</v>
      </c>
      <c r="AH14" s="38" t="e">
        <f>'Evolutive SFP'!#REF!/'Evolutive SFP'!#REF!</f>
        <v>#REF!</v>
      </c>
      <c r="AI14" s="38" t="e">
        <f>'Evolutive SFP'!#REF!/'Evolutive SFP'!#REF!</f>
        <v>#REF!</v>
      </c>
      <c r="AJ14" s="38" t="e">
        <f>'Evolutive SFP'!#REF!/'Evolutive SFP'!#REF!</f>
        <v>#REF!</v>
      </c>
      <c r="AK14" s="38" t="e">
        <f>'Evolutive SFP'!#REF!/'Evolutive SFP'!#REF!</f>
        <v>#REF!</v>
      </c>
      <c r="AL14" s="38" t="e">
        <f>'Evolutive SFP'!#REF!/'Evolutive SFP'!#REF!</f>
        <v>#REF!</v>
      </c>
      <c r="AM14" s="38" t="e">
        <f>'Evolutive SFP'!#REF!/'Evolutive SFP'!#REF!</f>
        <v>#REF!</v>
      </c>
      <c r="AN14" s="38" t="e">
        <f>'Evolutive SFP'!#REF!/'Evolutive SFP'!#REF!</f>
        <v>#REF!</v>
      </c>
      <c r="AO14" s="38" t="e">
        <f>'Evolutive SFP'!#REF!/'Evolutive SFP'!#REF!</f>
        <v>#REF!</v>
      </c>
      <c r="AP14" s="38" t="e">
        <f>'Evolutive SFP'!#REF!/'Evolutive SFP'!#REF!</f>
        <v>#REF!</v>
      </c>
      <c r="AQ14" s="38" t="e">
        <f>'Evolutive SFP'!#REF!/'Evolutive SFP'!#REF!</f>
        <v>#REF!</v>
      </c>
      <c r="AR14" s="38" t="e">
        <f>'Evolutive SFP'!#REF!/'Evolutive SFP'!#REF!</f>
        <v>#REF!</v>
      </c>
      <c r="AS14" s="38" t="e">
        <f>'Evolutive SFP'!#REF!/'Evolutive SFP'!#REF!</f>
        <v>#REF!</v>
      </c>
      <c r="AT14" s="38">
        <f>'Evolutive SFP'!AH37/'Evolutive SFP'!AH27</f>
        <v>0</v>
      </c>
      <c r="AU14" s="38">
        <f>'Evolutive SFP'!AI37/'Evolutive SFP'!AI27</f>
        <v>0</v>
      </c>
      <c r="AV14" s="38">
        <f>'Evolutive SFP'!AJ37/'Evolutive SFP'!AJ27</f>
        <v>0</v>
      </c>
      <c r="AW14" s="38">
        <f>'Evolutive SFP'!AK37/'Evolutive SFP'!AK27</f>
        <v>0</v>
      </c>
      <c r="AX14" s="38">
        <f>'Evolutive SFP'!AL37/'Evolutive SFP'!AL27</f>
        <v>0</v>
      </c>
      <c r="AY14" s="38">
        <f>'Evolutive SFP'!AM37/'Evolutive SFP'!AM27</f>
        <v>0</v>
      </c>
      <c r="AZ14" s="38">
        <f>'Evolutive SFP'!AN37/'Evolutive SFP'!AN27</f>
        <v>0</v>
      </c>
      <c r="BA14" s="38" t="e">
        <f>'Evolutive SFP'!#REF!/'Evolutive SFP'!#REF!</f>
        <v>#REF!</v>
      </c>
      <c r="BB14" s="38">
        <f>'Evolutive SFP'!AO37/'Evolutive SFP'!AO27</f>
        <v>0</v>
      </c>
      <c r="BC14" s="38">
        <f>'Evolutive SFP'!AP37/'Evolutive SFP'!AP27</f>
        <v>0</v>
      </c>
      <c r="BD14" s="38">
        <f>'Evolutive SFP'!AQ37/'Evolutive SFP'!AQ27</f>
        <v>0</v>
      </c>
      <c r="BE14" s="38">
        <f>'Evolutive SFP'!AR37/'Evolutive SFP'!AR27</f>
        <v>0</v>
      </c>
      <c r="BF14" s="38">
        <f>'Evolutive SFP'!AS37/'Evolutive SFP'!AS27</f>
        <v>0</v>
      </c>
      <c r="BG14" s="38">
        <f>'Evolutive SFP'!AT37/'Evolutive SFP'!AT27</f>
        <v>0</v>
      </c>
      <c r="BH14" s="38">
        <f>'Evolutive SFP'!AU37/'Evolutive SFP'!AU27</f>
        <v>0</v>
      </c>
      <c r="BI14" s="38">
        <f>'Evolutive SFP'!AV37/'Evolutive SFP'!AV27</f>
        <v>0</v>
      </c>
      <c r="BJ14" s="38">
        <f>'Evolutive SFP'!AW37/'Evolutive SFP'!AW27</f>
        <v>0</v>
      </c>
      <c r="BK14" s="38">
        <f>'Evolutive SFP'!AX37/'Evolutive SFP'!AX27</f>
        <v>0</v>
      </c>
      <c r="BL14" s="38">
        <f>'Evolutive SFP'!AY37/'Evolutive SFP'!AY27</f>
        <v>0</v>
      </c>
      <c r="BM14" s="38">
        <f>'Evolutive SFP'!AZ37/'Evolutive SFP'!AZ27</f>
        <v>0</v>
      </c>
      <c r="BN14" s="38">
        <f>'Evolutive SFP'!BA37/'Evolutive SFP'!BA27</f>
        <v>0</v>
      </c>
      <c r="BO14" s="38">
        <f>'Evolutive SFP'!BB37/'Evolutive SFP'!BB27</f>
        <v>0</v>
      </c>
      <c r="BP14" s="38">
        <f>'Evolutive SFP'!BC37/'Evolutive SFP'!BC27</f>
        <v>0</v>
      </c>
      <c r="BQ14" s="38">
        <f>'Evolutive SFP'!BD37/'Evolutive SFP'!BD27</f>
        <v>0</v>
      </c>
      <c r="BR14" s="38">
        <f>'Evolutive SFP'!BE37/'Evolutive SFP'!BE27</f>
        <v>0</v>
      </c>
      <c r="BS14" s="38">
        <f>'Evolutive SFP'!BF37/'Evolutive SFP'!BF27</f>
        <v>0</v>
      </c>
      <c r="BT14" s="38">
        <f>'Evolutive SFP'!BG37/'Evolutive SFP'!BG27</f>
        <v>0</v>
      </c>
      <c r="BU14" s="38">
        <f>'Evolutive SFP'!BH37/'Evolutive SFP'!BH27</f>
        <v>0</v>
      </c>
      <c r="BV14" s="38">
        <f>'Evolutive SFP'!BI37/'Evolutive SFP'!BI27</f>
        <v>0</v>
      </c>
      <c r="BW14" s="38">
        <f>'Evolutive SFP'!BJ37/'Evolutive SFP'!BJ27</f>
        <v>0</v>
      </c>
      <c r="BX14" s="38">
        <f>'Evolutive SFP'!BK37/'Evolutive SFP'!BK27</f>
        <v>0</v>
      </c>
      <c r="BY14" s="38">
        <f>'Evolutive SFP'!BL37/'Evolutive SFP'!BL27</f>
        <v>0</v>
      </c>
      <c r="BZ14" s="38">
        <f>'Evolutive SFP'!BM37/'Evolutive SFP'!BM27</f>
        <v>0</v>
      </c>
      <c r="CA14" s="38">
        <f>'Evolutive SFP'!BN37/'Evolutive SFP'!BN27</f>
        <v>0</v>
      </c>
      <c r="CB14" s="38">
        <f>'Evolutive SFP'!BO37/'Evolutive SFP'!BO27</f>
        <v>0</v>
      </c>
      <c r="CC14" s="38">
        <f>'Evolutive SFP'!BP37/'Evolutive SFP'!BP27</f>
        <v>0</v>
      </c>
      <c r="CD14" s="38">
        <f>'Evolutive SFP'!BQ37/'Evolutive SFP'!BQ27</f>
        <v>0</v>
      </c>
      <c r="CE14" s="38">
        <f>'Evolutive SFP'!BR37/'Evolutive SFP'!BR27</f>
        <v>0</v>
      </c>
      <c r="CF14" s="38">
        <f>'Evolutive SFP'!BS37/'Evolutive SFP'!BS27</f>
        <v>0</v>
      </c>
      <c r="CG14" s="38" t="e">
        <f>'Evolutive SFP'!BT37/'Evolutive SFP'!BT27</f>
        <v>#DIV/0!</v>
      </c>
      <c r="CH14" s="38">
        <f>'Evolutive SFP'!BU37/'Evolutive SFP'!BU27</f>
        <v>0</v>
      </c>
      <c r="CI14" s="38">
        <f>'Evolutive SFP'!BV37/'Evolutive SFP'!BV27</f>
        <v>0</v>
      </c>
      <c r="CJ14" s="38">
        <f>'Evolutive SFP'!BW37/'Evolutive SFP'!BW27</f>
        <v>0</v>
      </c>
      <c r="CK14" s="38">
        <f>'Evolutive SFP'!BX37/'Evolutive SFP'!BX27</f>
        <v>0</v>
      </c>
      <c r="CL14" s="38">
        <f>'Evolutive SFP'!BY37/'Evolutive SFP'!BY27</f>
        <v>0</v>
      </c>
      <c r="CM14" s="38">
        <f>'Evolutive SFP'!BZ37/'Evolutive SFP'!BZ27</f>
        <v>0</v>
      </c>
      <c r="CN14" s="38">
        <f>'Evolutive SFP'!CA37/'Evolutive SFP'!CA27</f>
        <v>0</v>
      </c>
    </row>
    <row r="15" spans="1:92" ht="15.75">
      <c r="A15" s="423"/>
      <c r="B15" s="3" t="s">
        <v>211</v>
      </c>
      <c r="C15" s="11"/>
      <c r="D15" s="34" t="e">
        <f>'Evolutive SFP'!#REF!/'Evolutive SFP'!#REF!</f>
        <v>#REF!</v>
      </c>
      <c r="E15" s="34" t="e">
        <f>'Evolutive SFP'!#REF!/'Evolutive SFP'!#REF!</f>
        <v>#REF!</v>
      </c>
      <c r="F15" s="34" t="e">
        <f>'Evolutive SFP'!#REF!/'Evolutive SFP'!#REF!</f>
        <v>#REF!</v>
      </c>
      <c r="G15" s="34" t="e">
        <f>'Evolutive SFP'!#REF!/'Evolutive SFP'!#REF!</f>
        <v>#REF!</v>
      </c>
      <c r="H15" s="34" t="e">
        <f>'Evolutive SFP'!#REF!/'Evolutive SFP'!#REF!</f>
        <v>#REF!</v>
      </c>
      <c r="I15" s="34" t="e">
        <f>'Evolutive SFP'!#REF!/'Evolutive SFP'!#REF!</f>
        <v>#REF!</v>
      </c>
      <c r="J15" s="34" t="e">
        <f>'Evolutive SFP'!#REF!/'Evolutive SFP'!#REF!</f>
        <v>#REF!</v>
      </c>
      <c r="K15" s="34" t="e">
        <f>'Evolutive SFP'!#REF!/'Evolutive SFP'!#REF!</f>
        <v>#REF!</v>
      </c>
      <c r="L15" s="34" t="e">
        <f>'Evolutive SFP'!#REF!/'Evolutive SFP'!#REF!</f>
        <v>#REF!</v>
      </c>
      <c r="M15" s="34" t="e">
        <f>'Evolutive SFP'!#REF!/'Evolutive SFP'!#REF!</f>
        <v>#REF!</v>
      </c>
      <c r="N15" s="34" t="e">
        <f>'Evolutive SFP'!#REF!/'Evolutive SFP'!#REF!</f>
        <v>#REF!</v>
      </c>
      <c r="O15" s="34" t="e">
        <f>'Evolutive SFP'!#REF!/'Evolutive SFP'!#REF!</f>
        <v>#REF!</v>
      </c>
      <c r="P15" s="34" t="e">
        <f>'Evolutive SFP'!#REF!/'Evolutive SFP'!#REF!</f>
        <v>#REF!</v>
      </c>
      <c r="Q15" s="34" t="e">
        <f>'Evolutive SFP'!#REF!/'Evolutive SFP'!#REF!</f>
        <v>#REF!</v>
      </c>
      <c r="R15" s="34" t="e">
        <f>'Evolutive SFP'!#REF!/'Evolutive SFP'!#REF!</f>
        <v>#REF!</v>
      </c>
      <c r="S15" s="38" t="e">
        <f>'Evolutive SFP'!#REF!/'Evolutive SFP'!#REF!</f>
        <v>#REF!</v>
      </c>
      <c r="T15" s="38" t="e">
        <f>'Evolutive SFP'!#REF!/'Evolutive SFP'!#REF!</f>
        <v>#REF!</v>
      </c>
      <c r="U15" s="38" t="e">
        <f>'Evolutive SFP'!#REF!/'Evolutive SFP'!#REF!</f>
        <v>#REF!</v>
      </c>
      <c r="V15" s="38" t="e">
        <f>'Evolutive SFP'!#REF!/'Evolutive SFP'!#REF!</f>
        <v>#REF!</v>
      </c>
      <c r="W15" s="38" t="e">
        <f>'Evolutive SFP'!#REF!/'Evolutive SFP'!#REF!</f>
        <v>#REF!</v>
      </c>
      <c r="X15" s="38" t="e">
        <f>'Evolutive SFP'!#REF!/'Evolutive SFP'!#REF!</f>
        <v>#REF!</v>
      </c>
      <c r="Y15" s="38" t="e">
        <f>'Evolutive SFP'!#REF!/'Evolutive SFP'!#REF!</f>
        <v>#REF!</v>
      </c>
      <c r="Z15" s="38" t="e">
        <f>'Evolutive SFP'!#REF!/'Evolutive SFP'!#REF!</f>
        <v>#REF!</v>
      </c>
      <c r="AA15" s="38" t="e">
        <f>'Evolutive SFP'!#REF!/'Evolutive SFP'!#REF!</f>
        <v>#REF!</v>
      </c>
      <c r="AB15" s="38" t="e">
        <f>'Evolutive SFP'!#REF!/'Evolutive SFP'!#REF!</f>
        <v>#REF!</v>
      </c>
      <c r="AC15" s="38" t="e">
        <f>'Evolutive SFP'!#REF!/'Evolutive SFP'!#REF!</f>
        <v>#REF!</v>
      </c>
      <c r="AD15" s="38" t="e">
        <f>'Evolutive SFP'!#REF!/'Evolutive SFP'!#REF!</f>
        <v>#REF!</v>
      </c>
      <c r="AE15" s="38" t="e">
        <f>'Evolutive SFP'!#REF!/'Evolutive SFP'!#REF!</f>
        <v>#REF!</v>
      </c>
      <c r="AF15" s="38" t="e">
        <f>'Evolutive SFP'!#REF!/'Evolutive SFP'!#REF!</f>
        <v>#REF!</v>
      </c>
      <c r="AG15" s="38" t="e">
        <f>'Evolutive SFP'!#REF!/'Evolutive SFP'!#REF!</f>
        <v>#REF!</v>
      </c>
      <c r="AH15" s="38" t="e">
        <f>'Evolutive SFP'!#REF!/'Evolutive SFP'!#REF!</f>
        <v>#REF!</v>
      </c>
      <c r="AI15" s="38" t="e">
        <f>'Evolutive SFP'!#REF!/'Evolutive SFP'!#REF!</f>
        <v>#REF!</v>
      </c>
      <c r="AJ15" s="38" t="e">
        <f>'Evolutive SFP'!#REF!/'Evolutive SFP'!#REF!</f>
        <v>#REF!</v>
      </c>
      <c r="AK15" s="38" t="e">
        <f>'Evolutive SFP'!#REF!/'Evolutive SFP'!#REF!</f>
        <v>#REF!</v>
      </c>
      <c r="AL15" s="38" t="e">
        <f>'Evolutive SFP'!#REF!/'Evolutive SFP'!#REF!</f>
        <v>#REF!</v>
      </c>
      <c r="AM15" s="38" t="e">
        <f>'Evolutive SFP'!#REF!/'Evolutive SFP'!#REF!</f>
        <v>#REF!</v>
      </c>
      <c r="AN15" s="38" t="e">
        <f>'Evolutive SFP'!#REF!/'Evolutive SFP'!#REF!</f>
        <v>#REF!</v>
      </c>
      <c r="AO15" s="38" t="e">
        <f>'Evolutive SFP'!#REF!/'Evolutive SFP'!#REF!</f>
        <v>#REF!</v>
      </c>
      <c r="AP15" s="38" t="e">
        <f>'Evolutive SFP'!#REF!/'Evolutive SFP'!#REF!</f>
        <v>#REF!</v>
      </c>
      <c r="AQ15" s="38" t="e">
        <f>'Evolutive SFP'!#REF!/'Evolutive SFP'!#REF!</f>
        <v>#REF!</v>
      </c>
      <c r="AR15" s="38" t="e">
        <f>'Evolutive SFP'!#REF!/'Evolutive SFP'!#REF!</f>
        <v>#REF!</v>
      </c>
      <c r="AS15" s="38" t="e">
        <f>'Evolutive SFP'!#REF!/'Evolutive SFP'!#REF!</f>
        <v>#REF!</v>
      </c>
      <c r="AT15" s="38">
        <f>'Evolutive SFP'!AH4/'Evolutive SFP'!AH27</f>
        <v>0.14422412684219146</v>
      </c>
      <c r="AU15" s="38">
        <f>'Evolutive SFP'!AI4/'Evolutive SFP'!AI27</f>
        <v>0.18621370806370852</v>
      </c>
      <c r="AV15" s="38">
        <f>'Evolutive SFP'!AJ4/'Evolutive SFP'!AJ27</f>
        <v>0.18434540940057131</v>
      </c>
      <c r="AW15" s="38">
        <f>'Evolutive SFP'!AK4/'Evolutive SFP'!AK27</f>
        <v>0.13398188358019636</v>
      </c>
      <c r="AX15" s="38">
        <f>'Evolutive SFP'!AL4/'Evolutive SFP'!AL27</f>
        <v>0.15727161560060535</v>
      </c>
      <c r="AY15" s="38">
        <f>'Evolutive SFP'!AM4/'Evolutive SFP'!AM27</f>
        <v>0.17478211276957853</v>
      </c>
      <c r="AZ15" s="38">
        <f>'Evolutive SFP'!AN4/'Evolutive SFP'!AN27</f>
        <v>0.16293565540609675</v>
      </c>
      <c r="BA15" s="38" t="e">
        <f>'Evolutive SFP'!#REF!/'Evolutive SFP'!#REF!</f>
        <v>#REF!</v>
      </c>
      <c r="BB15" s="38">
        <f>'Evolutive SFP'!AO4/'Evolutive SFP'!AO27</f>
        <v>0.25064877950570591</v>
      </c>
      <c r="BC15" s="38">
        <f>'Evolutive SFP'!AP4/'Evolutive SFP'!AP27</f>
        <v>0.22802229550314157</v>
      </c>
      <c r="BD15" s="38">
        <f>'Evolutive SFP'!AQ4/'Evolutive SFP'!AQ27</f>
        <v>0.23177191152935134</v>
      </c>
      <c r="BE15" s="38">
        <f>'Evolutive SFP'!AR4/'Evolutive SFP'!AR27</f>
        <v>0.26128445058008987</v>
      </c>
      <c r="BF15" s="38">
        <f>'Evolutive SFP'!AS4/'Evolutive SFP'!AS27</f>
        <v>0.18327500108746983</v>
      </c>
      <c r="BG15" s="38">
        <f>'Evolutive SFP'!AT4/'Evolutive SFP'!AT27</f>
        <v>0.18331022589979282</v>
      </c>
      <c r="BH15" s="38">
        <f>'Evolutive SFP'!AU4/'Evolutive SFP'!AU27</f>
        <v>0.13703131543549887</v>
      </c>
      <c r="BI15" s="38">
        <f>'Evolutive SFP'!AV4/'Evolutive SFP'!AV27</f>
        <v>0.13772865903026837</v>
      </c>
      <c r="BJ15" s="38">
        <f>'Evolutive SFP'!AW4/'Evolutive SFP'!AW27</f>
        <v>0.2088180029585181</v>
      </c>
      <c r="BK15" s="38">
        <f>'Evolutive SFP'!AX4/'Evolutive SFP'!AX27</f>
        <v>0.19606882127712108</v>
      </c>
      <c r="BL15" s="38">
        <f>'Evolutive SFP'!AY4/'Evolutive SFP'!AY27</f>
        <v>0.2026591889298405</v>
      </c>
      <c r="BM15" s="38">
        <f>'Evolutive SFP'!AZ4/'Evolutive SFP'!AZ27</f>
        <v>0.2377151340318234</v>
      </c>
      <c r="BN15" s="38">
        <f>'Evolutive SFP'!BA4/'Evolutive SFP'!BA27</f>
        <v>0.19500066911034045</v>
      </c>
      <c r="BO15" s="38">
        <f>'Evolutive SFP'!BB4/'Evolutive SFP'!BB27</f>
        <v>0.21715341618696415</v>
      </c>
      <c r="BP15" s="38">
        <f>'Evolutive SFP'!BC4/'Evolutive SFP'!BC27</f>
        <v>0.11860102740797859</v>
      </c>
      <c r="BQ15" s="38">
        <f>'Evolutive SFP'!BD4/'Evolutive SFP'!BD27</f>
        <v>0.19832068682927609</v>
      </c>
      <c r="BR15" s="38">
        <f>'Evolutive SFP'!BE4/'Evolutive SFP'!BE27</f>
        <v>0.24020701785590123</v>
      </c>
      <c r="BS15" s="38">
        <f>'Evolutive SFP'!BF4/'Evolutive SFP'!BF27</f>
        <v>0.2242901312315749</v>
      </c>
      <c r="BT15" s="38">
        <f>'Evolutive SFP'!BG4/'Evolutive SFP'!BG27</f>
        <v>0.22219350699186385</v>
      </c>
      <c r="BU15" s="38">
        <f>'Evolutive SFP'!BH4/'Evolutive SFP'!BH27</f>
        <v>0.22761279991842984</v>
      </c>
      <c r="BV15" s="38">
        <f>'Evolutive SFP'!BI4/'Evolutive SFP'!BI27</f>
        <v>0.24227991386840284</v>
      </c>
      <c r="BW15" s="38">
        <f>'Evolutive SFP'!BJ4/'Evolutive SFP'!BJ27</f>
        <v>0.23822533792105585</v>
      </c>
      <c r="BX15" s="38">
        <f>'Evolutive SFP'!BK4/'Evolutive SFP'!BK27</f>
        <v>0.17958317540180879</v>
      </c>
      <c r="BY15" s="38">
        <f>'Evolutive SFP'!BL4/'Evolutive SFP'!BL27</f>
        <v>0.19243524139355694</v>
      </c>
      <c r="BZ15" s="38">
        <f>'Evolutive SFP'!BM4/'Evolutive SFP'!BM27</f>
        <v>0.22595258598131321</v>
      </c>
      <c r="CA15" s="38">
        <f>'Evolutive SFP'!BN4/'Evolutive SFP'!BN27</f>
        <v>0.21176122314797641</v>
      </c>
      <c r="CB15" s="38">
        <f>'Evolutive SFP'!BO4/'Evolutive SFP'!BO27</f>
        <v>0.227736848392188</v>
      </c>
      <c r="CC15" s="38">
        <f>'Evolutive SFP'!BP4/'Evolutive SFP'!BP27</f>
        <v>0.21654639514159535</v>
      </c>
      <c r="CD15" s="38">
        <f>'Evolutive SFP'!BQ4/'Evolutive SFP'!BQ27</f>
        <v>0.23988559631329986</v>
      </c>
      <c r="CE15" s="38">
        <f>'Evolutive SFP'!BR4/'Evolutive SFP'!BR27</f>
        <v>0.2307032284137526</v>
      </c>
      <c r="CF15" s="38">
        <f>'Evolutive SFP'!BS4/'Evolutive SFP'!BS27</f>
        <v>0.19752200681145535</v>
      </c>
      <c r="CG15" s="38" t="e">
        <f>'Evolutive SFP'!BT4/'Evolutive SFP'!BT27</f>
        <v>#DIV/0!</v>
      </c>
      <c r="CH15" s="38">
        <f>'Evolutive SFP'!BU4/'Evolutive SFP'!BU27</f>
        <v>0.19163065412993557</v>
      </c>
      <c r="CI15" s="38">
        <f>'Evolutive SFP'!BV4/'Evolutive SFP'!BV27</f>
        <v>0.19584240482547602</v>
      </c>
      <c r="CJ15" s="38">
        <f>'Evolutive SFP'!BW4/'Evolutive SFP'!BW27</f>
        <v>0.18338881586782865</v>
      </c>
      <c r="CK15" s="38">
        <f>'Evolutive SFP'!BX4/'Evolutive SFP'!BX27</f>
        <v>0.18578026563638156</v>
      </c>
      <c r="CL15" s="38">
        <f>'Evolutive SFP'!BY4/'Evolutive SFP'!BY27</f>
        <v>0.17785685659023842</v>
      </c>
      <c r="CM15" s="38">
        <f>'Evolutive SFP'!BZ4/'Evolutive SFP'!BZ27</f>
        <v>0.18974321498620544</v>
      </c>
      <c r="CN15" s="38">
        <f>'Evolutive SFP'!CA4/'Evolutive SFP'!CA27</f>
        <v>0.16660970024056265</v>
      </c>
    </row>
    <row r="16" spans="1:92" ht="15.75">
      <c r="A16" s="423" t="s">
        <v>212</v>
      </c>
      <c r="B16" s="3" t="s">
        <v>213</v>
      </c>
      <c r="C16" s="11" t="s">
        <v>214</v>
      </c>
      <c r="D16" s="34" t="e">
        <f>('Evolutive SFP'!#REF!+'Evolutive SFP'!#REF!)/'Evolutive SFP'!#REF!</f>
        <v>#REF!</v>
      </c>
      <c r="E16" s="34" t="e">
        <f>('Evolutive SFP'!#REF!+'Evolutive SFP'!#REF!)/'Evolutive SFP'!#REF!</f>
        <v>#REF!</v>
      </c>
      <c r="F16" s="34" t="e">
        <f>('Evolutive SFP'!#REF!+'Evolutive SFP'!#REF!)/'Evolutive SFP'!#REF!</f>
        <v>#REF!</v>
      </c>
      <c r="G16" s="34" t="e">
        <f>('Evolutive SFP'!#REF!+'Evolutive SFP'!#REF!)/'Evolutive SFP'!#REF!</f>
        <v>#REF!</v>
      </c>
      <c r="H16" s="34" t="e">
        <f>('Evolutive SFP'!#REF!+'Evolutive SFP'!#REF!)/'Evolutive SFP'!#REF!</f>
        <v>#REF!</v>
      </c>
      <c r="I16" s="34" t="e">
        <f>('Evolutive SFP'!#REF!+'Evolutive SFP'!#REF!)/'Evolutive SFP'!#REF!</f>
        <v>#REF!</v>
      </c>
      <c r="J16" s="34" t="e">
        <f>('Evolutive SFP'!#REF!+'Evolutive SFP'!#REF!)/'Evolutive SFP'!#REF!</f>
        <v>#REF!</v>
      </c>
      <c r="K16" s="34" t="e">
        <f>('Evolutive SFP'!#REF!+'Evolutive SFP'!#REF!)/'Evolutive SFP'!#REF!</f>
        <v>#REF!</v>
      </c>
      <c r="L16" s="34" t="e">
        <f>('Evolutive SFP'!#REF!+'Evolutive SFP'!#REF!)/'Evolutive SFP'!#REF!</f>
        <v>#REF!</v>
      </c>
      <c r="M16" s="34" t="e">
        <f>('Evolutive SFP'!#REF!+'Evolutive SFP'!#REF!)/'Evolutive SFP'!#REF!</f>
        <v>#REF!</v>
      </c>
      <c r="N16" s="34" t="e">
        <f>('Evolutive SFP'!#REF!+'Evolutive SFP'!#REF!)/'Evolutive SFP'!#REF!</f>
        <v>#REF!</v>
      </c>
      <c r="O16" s="34" t="e">
        <f>('Evolutive SFP'!#REF!+'Evolutive SFP'!#REF!)/'Evolutive SFP'!#REF!</f>
        <v>#REF!</v>
      </c>
      <c r="P16" s="34" t="e">
        <f>('Evolutive SFP'!#REF!+'Evolutive SFP'!#REF!)/'Evolutive SFP'!#REF!</f>
        <v>#REF!</v>
      </c>
      <c r="Q16" s="34" t="e">
        <f>('Evolutive SFP'!#REF!+'Evolutive SFP'!#REF!)/'Evolutive SFP'!#REF!</f>
        <v>#REF!</v>
      </c>
      <c r="R16" s="34" t="e">
        <f>('Evolutive SFP'!#REF!+'Evolutive SFP'!#REF!)/'Evolutive SFP'!#REF!</f>
        <v>#REF!</v>
      </c>
      <c r="S16" s="38" t="e">
        <f>('Evolutive SFP'!#REF!+'Evolutive SFP'!#REF!)/'Evolutive SFP'!#REF!</f>
        <v>#REF!</v>
      </c>
      <c r="T16" s="38" t="e">
        <f>('Evolutive SFP'!#REF!+'Evolutive SFP'!#REF!)/'Evolutive SFP'!#REF!</f>
        <v>#REF!</v>
      </c>
      <c r="U16" s="38" t="e">
        <f>('Evolutive SFP'!#REF!+'Evolutive SFP'!#REF!)/'Evolutive SFP'!#REF!</f>
        <v>#REF!</v>
      </c>
      <c r="V16" s="38" t="e">
        <f>('Evolutive SFP'!#REF!+'Evolutive SFP'!#REF!)/'Evolutive SFP'!#REF!</f>
        <v>#REF!</v>
      </c>
      <c r="W16" s="38" t="e">
        <f>('Evolutive SFP'!#REF!+'Evolutive SFP'!#REF!)/'Evolutive SFP'!#REF!</f>
        <v>#REF!</v>
      </c>
      <c r="X16" s="38" t="e">
        <f>('Evolutive SFP'!#REF!+'Evolutive SFP'!#REF!)/'Evolutive SFP'!#REF!</f>
        <v>#REF!</v>
      </c>
      <c r="Y16" s="38" t="e">
        <f>('Evolutive SFP'!#REF!+'Evolutive SFP'!#REF!)/'Evolutive SFP'!#REF!</f>
        <v>#REF!</v>
      </c>
      <c r="Z16" s="38" t="e">
        <f>('Evolutive SFP'!#REF!+'Evolutive SFP'!#REF!)/'Evolutive SFP'!#REF!</f>
        <v>#REF!</v>
      </c>
      <c r="AA16" s="38" t="e">
        <f>('Evolutive SFP'!#REF!+'Evolutive SFP'!#REF!)/'Evolutive SFP'!#REF!</f>
        <v>#REF!</v>
      </c>
      <c r="AB16" s="38" t="e">
        <f>('Evolutive SFP'!#REF!+'Evolutive SFP'!#REF!)/'Evolutive SFP'!#REF!</f>
        <v>#REF!</v>
      </c>
      <c r="AC16" s="38" t="e">
        <f>('Evolutive SFP'!#REF!+'Evolutive SFP'!#REF!)/'Evolutive SFP'!#REF!</f>
        <v>#REF!</v>
      </c>
      <c r="AD16" s="38" t="e">
        <f>('Evolutive SFP'!#REF!+'Evolutive SFP'!#REF!)/'Evolutive SFP'!#REF!</f>
        <v>#REF!</v>
      </c>
      <c r="AE16" s="38" t="e">
        <f>('Evolutive SFP'!#REF!+'Evolutive SFP'!#REF!)/'Evolutive SFP'!#REF!</f>
        <v>#REF!</v>
      </c>
      <c r="AF16" s="38" t="e">
        <f>('Evolutive SFP'!#REF!+'Evolutive SFP'!#REF!)/'Evolutive SFP'!#REF!</f>
        <v>#REF!</v>
      </c>
      <c r="AG16" s="38" t="e">
        <f>('Evolutive SFP'!#REF!+'Evolutive SFP'!#REF!)/'Evolutive SFP'!#REF!</f>
        <v>#REF!</v>
      </c>
      <c r="AH16" s="38" t="e">
        <f>('Evolutive SFP'!#REF!+'Evolutive SFP'!#REF!)/'Evolutive SFP'!#REF!</f>
        <v>#REF!</v>
      </c>
      <c r="AI16" s="38" t="e">
        <f>('Evolutive SFP'!#REF!+'Evolutive SFP'!#REF!)/'Evolutive SFP'!#REF!</f>
        <v>#REF!</v>
      </c>
      <c r="AJ16" s="38" t="e">
        <f>('Evolutive SFP'!#REF!+'Evolutive SFP'!#REF!)/'Evolutive SFP'!#REF!</f>
        <v>#REF!</v>
      </c>
      <c r="AK16" s="38" t="e">
        <f>('Evolutive SFP'!#REF!+'Evolutive SFP'!#REF!)/'Evolutive SFP'!#REF!</f>
        <v>#REF!</v>
      </c>
      <c r="AL16" s="38" t="e">
        <f>('Evolutive SFP'!#REF!+'Evolutive SFP'!#REF!)/'Evolutive SFP'!#REF!</f>
        <v>#REF!</v>
      </c>
      <c r="AM16" s="38" t="e">
        <f>('Evolutive SFP'!#REF!+'Evolutive SFP'!#REF!)/'Evolutive SFP'!#REF!</f>
        <v>#REF!</v>
      </c>
      <c r="AN16" s="38" t="e">
        <f>('Evolutive SFP'!#REF!+'Evolutive SFP'!#REF!)/'Evolutive SFP'!#REF!</f>
        <v>#REF!</v>
      </c>
      <c r="AO16" s="38" t="e">
        <f>('Evolutive SFP'!#REF!+'Evolutive SFP'!#REF!)/'Evolutive SFP'!#REF!</f>
        <v>#REF!</v>
      </c>
      <c r="AP16" s="38" t="e">
        <f>('Evolutive SFP'!#REF!+'Evolutive SFP'!#REF!)/'Evolutive SFP'!#REF!</f>
        <v>#REF!</v>
      </c>
      <c r="AQ16" s="38" t="e">
        <f>('Evolutive SFP'!#REF!+'Evolutive SFP'!#REF!)/'Evolutive SFP'!#REF!</f>
        <v>#REF!</v>
      </c>
      <c r="AR16" s="38" t="e">
        <f>('Evolutive SFP'!#REF!+'Evolutive SFP'!#REF!)/'Evolutive SFP'!#REF!</f>
        <v>#REF!</v>
      </c>
      <c r="AS16" s="38" t="e">
        <f>('Evolutive SFP'!#REF!+'Evolutive SFP'!#REF!)/'Evolutive SFP'!#REF!</f>
        <v>#REF!</v>
      </c>
      <c r="AT16" s="38">
        <f>('Evolutive SFP'!AH7+'Evolutive SFP'!AH21)/'Evolutive SFP'!AH27</f>
        <v>0.2565796591232084</v>
      </c>
      <c r="AU16" s="38">
        <f>('Evolutive SFP'!AI7+'Evolutive SFP'!AI21)/'Evolutive SFP'!AI27</f>
        <v>0.39262744136852024</v>
      </c>
      <c r="AV16" s="38">
        <f>('Evolutive SFP'!AJ7+'Evolutive SFP'!AJ21)/'Evolutive SFP'!AJ27</f>
        <v>0.40350658163505182</v>
      </c>
      <c r="AW16" s="38">
        <f>('Evolutive SFP'!AK7+'Evolutive SFP'!AK21)/'Evolutive SFP'!AK27</f>
        <v>0.42139423308832741</v>
      </c>
      <c r="AX16" s="38">
        <f>('Evolutive SFP'!AL7+'Evolutive SFP'!AL21)/'Evolutive SFP'!AL27</f>
        <v>0.43475162100475689</v>
      </c>
      <c r="AY16" s="38">
        <f>('Evolutive SFP'!AM7+'Evolutive SFP'!AM21)/'Evolutive SFP'!AM27</f>
        <v>0.43202705036441602</v>
      </c>
      <c r="AZ16" s="38">
        <f>('Evolutive SFP'!AN7+'Evolutive SFP'!AN21)/'Evolutive SFP'!AN27</f>
        <v>0.44398276345749116</v>
      </c>
      <c r="BA16" s="38" t="e">
        <f>('Evolutive SFP'!#REF!+'Evolutive SFP'!#REF!)/'Evolutive SFP'!#REF!</f>
        <v>#REF!</v>
      </c>
      <c r="BB16" s="38">
        <f>('Evolutive SFP'!AO7+'Evolutive SFP'!AO21)/'Evolutive SFP'!AO27</f>
        <v>0.28040403419887561</v>
      </c>
      <c r="BC16" s="38">
        <f>('Evolutive SFP'!AP7+'Evolutive SFP'!AP21)/'Evolutive SFP'!AP27</f>
        <v>0.28598368510873845</v>
      </c>
      <c r="BD16" s="38">
        <f>('Evolutive SFP'!AQ7+'Evolutive SFP'!AQ21)/'Evolutive SFP'!AQ27</f>
        <v>0.30240099640982027</v>
      </c>
      <c r="BE16" s="38">
        <f>('Evolutive SFP'!AR7+'Evolutive SFP'!AR21)/'Evolutive SFP'!AR27</f>
        <v>0.29157579946614315</v>
      </c>
      <c r="BF16" s="38">
        <f>('Evolutive SFP'!AS7+'Evolutive SFP'!AS21)/'Evolutive SFP'!AS27</f>
        <v>0.31729032025196863</v>
      </c>
      <c r="BG16" s="38">
        <f>('Evolutive SFP'!AT7+'Evolutive SFP'!AT21)/'Evolutive SFP'!AT27</f>
        <v>0.31715911169056449</v>
      </c>
      <c r="BH16" s="38">
        <f>('Evolutive SFP'!AU7+'Evolutive SFP'!AU21)/'Evolutive SFP'!AU27</f>
        <v>0.31757663053948615</v>
      </c>
      <c r="BI16" s="38">
        <f>('Evolutive SFP'!AV7+'Evolutive SFP'!AV21)/'Evolutive SFP'!AV27</f>
        <v>0.32216551311558828</v>
      </c>
      <c r="BJ16" s="38">
        <f>('Evolutive SFP'!AW7+'Evolutive SFP'!AW21)/'Evolutive SFP'!AW27</f>
        <v>0.31260707334500915</v>
      </c>
      <c r="BK16" s="38">
        <f>('Evolutive SFP'!AX7+'Evolutive SFP'!AX21)/'Evolutive SFP'!AX27</f>
        <v>0.31862523998662751</v>
      </c>
      <c r="BL16" s="38">
        <f>('Evolutive SFP'!AY7+'Evolutive SFP'!AY21)/'Evolutive SFP'!AY27</f>
        <v>0.31177690252533863</v>
      </c>
      <c r="BM16" s="38">
        <f>('Evolutive SFP'!AZ7+'Evolutive SFP'!AZ21)/'Evolutive SFP'!AZ27</f>
        <v>0.2122359735389957</v>
      </c>
      <c r="BN16" s="38">
        <f>('Evolutive SFP'!BA7+'Evolutive SFP'!BA21)/'Evolutive SFP'!BA27</f>
        <v>0.297024259093914</v>
      </c>
      <c r="BO16" s="38">
        <f>('Evolutive SFP'!BB7+'Evolutive SFP'!BB21)/'Evolutive SFP'!BB27</f>
        <v>0.29397221629666304</v>
      </c>
      <c r="BP16" s="38">
        <f>('Evolutive SFP'!BC7+'Evolutive SFP'!BC21)/'Evolutive SFP'!BC27</f>
        <v>0.31295268482622374</v>
      </c>
      <c r="BQ16" s="38">
        <f>('Evolutive SFP'!BD7+'Evolutive SFP'!BD21)/'Evolutive SFP'!BD27</f>
        <v>0.30338571302591477</v>
      </c>
      <c r="BR16" s="38">
        <f>('Evolutive SFP'!BE7+'Evolutive SFP'!BE21)/'Evolutive SFP'!BE27</f>
        <v>0.28749573833699005</v>
      </c>
      <c r="BS16" s="38">
        <f>('Evolutive SFP'!BF7+'Evolutive SFP'!BF21)/'Evolutive SFP'!BF27</f>
        <v>0.29849215958518588</v>
      </c>
      <c r="BT16" s="38">
        <f>('Evolutive SFP'!BG7+'Evolutive SFP'!BG21)/'Evolutive SFP'!BG27</f>
        <v>0.30157557153179954</v>
      </c>
      <c r="BU16" s="38">
        <f>('Evolutive SFP'!BH7+'Evolutive SFP'!BH21)/'Evolutive SFP'!BH27</f>
        <v>0.29906898787792968</v>
      </c>
      <c r="BV16" s="38">
        <f>('Evolutive SFP'!BI7+'Evolutive SFP'!BI21)/'Evolutive SFP'!BI27</f>
        <v>0.29279528280289285</v>
      </c>
      <c r="BW16" s="38">
        <f>('Evolutive SFP'!BJ7+'Evolutive SFP'!BJ21)/'Evolutive SFP'!BJ27</f>
        <v>0.29616308330396834</v>
      </c>
      <c r="BX16" s="38">
        <f>('Evolutive SFP'!BK7+'Evolutive SFP'!BK21)/'Evolutive SFP'!BK27</f>
        <v>0.30999013162445616</v>
      </c>
      <c r="BY16" s="38">
        <f>('Evolutive SFP'!BL7+'Evolutive SFP'!BL21)/'Evolutive SFP'!BL27</f>
        <v>0.30411883594291206</v>
      </c>
      <c r="BZ16" s="38">
        <f>('Evolutive SFP'!BM7+'Evolutive SFP'!BM21)/'Evolutive SFP'!BM27</f>
        <v>0.28383353362100328</v>
      </c>
      <c r="CA16" s="38">
        <f>('Evolutive SFP'!BN7+'Evolutive SFP'!BN21)/'Evolutive SFP'!BN27</f>
        <v>0.29303179711166505</v>
      </c>
      <c r="CB16" s="38">
        <f>('Evolutive SFP'!BO7+'Evolutive SFP'!BO21)/'Evolutive SFP'!BO27</f>
        <v>0.28943069834964275</v>
      </c>
      <c r="CC16" s="38">
        <f>('Evolutive SFP'!BP7+'Evolutive SFP'!BP21)/'Evolutive SFP'!BP27</f>
        <v>0.28918226371255162</v>
      </c>
      <c r="CD16" s="38">
        <f>('Evolutive SFP'!BQ7+'Evolutive SFP'!BQ21)/'Evolutive SFP'!BQ27</f>
        <v>0.2828987329804275</v>
      </c>
      <c r="CE16" s="38">
        <f>('Evolutive SFP'!BR7+'Evolutive SFP'!BR21)/'Evolutive SFP'!BR27</f>
        <v>0.28211980141576498</v>
      </c>
      <c r="CF16" s="38">
        <f>('Evolutive SFP'!BS7+'Evolutive SFP'!BS21)/'Evolutive SFP'!BS27</f>
        <v>0.29003803889120572</v>
      </c>
      <c r="CG16" s="38" t="e">
        <f>('Evolutive SFP'!BT7+'Evolutive SFP'!BT21)/'Evolutive SFP'!BT27</f>
        <v>#DIV/0!</v>
      </c>
      <c r="CH16" s="38">
        <f>('Evolutive SFP'!BU7+'Evolutive SFP'!BU21)/'Evolutive SFP'!BU27</f>
        <v>0.28674437690689464</v>
      </c>
      <c r="CI16" s="38">
        <f>('Evolutive SFP'!BV7+'Evolutive SFP'!BV21)/'Evolutive SFP'!BV27</f>
        <v>0.28517791678792892</v>
      </c>
      <c r="CJ16" s="38">
        <f>('Evolutive SFP'!BW7+'Evolutive SFP'!BW21)/'Evolutive SFP'!BW27</f>
        <v>0.27809762418810324</v>
      </c>
      <c r="CK16" s="38">
        <f>('Evolutive SFP'!BX7+'Evolutive SFP'!BX21)/'Evolutive SFP'!BX27</f>
        <v>0.29237406715267655</v>
      </c>
      <c r="CL16" s="38">
        <f>('Evolutive SFP'!BY7+'Evolutive SFP'!BY21)/'Evolutive SFP'!BY27</f>
        <v>0.29177169073121617</v>
      </c>
      <c r="CM16" s="38">
        <f>('Evolutive SFP'!BZ7+'Evolutive SFP'!BZ21)/'Evolutive SFP'!BZ27</f>
        <v>0.28637970322596978</v>
      </c>
      <c r="CN16" s="38">
        <f>('Evolutive SFP'!CA7+'Evolutive SFP'!CA21)/'Evolutive SFP'!CA27</f>
        <v>0.28716713152098045</v>
      </c>
    </row>
    <row r="17" spans="1:92" ht="15.75">
      <c r="A17" s="423"/>
      <c r="B17" s="3" t="s">
        <v>215</v>
      </c>
      <c r="C17" s="11" t="s">
        <v>216</v>
      </c>
      <c r="D17" s="34" t="e">
        <f>'Evolutive SFP'!#REF!/'Evolutive SFP'!#REF!</f>
        <v>#REF!</v>
      </c>
      <c r="E17" s="34" t="e">
        <f>'Evolutive SFP'!#REF!/'Evolutive SFP'!#REF!</f>
        <v>#REF!</v>
      </c>
      <c r="F17" s="34" t="e">
        <f>'Evolutive SFP'!#REF!/'Evolutive SFP'!#REF!</f>
        <v>#REF!</v>
      </c>
      <c r="G17" s="34" t="e">
        <f>'Evolutive SFP'!#REF!/'Evolutive SFP'!#REF!</f>
        <v>#REF!</v>
      </c>
      <c r="H17" s="34" t="e">
        <f>'Evolutive SFP'!#REF!/'Evolutive SFP'!#REF!</f>
        <v>#REF!</v>
      </c>
      <c r="I17" s="34" t="e">
        <f>'Evolutive SFP'!#REF!/'Evolutive SFP'!#REF!</f>
        <v>#REF!</v>
      </c>
      <c r="J17" s="34" t="e">
        <f>'Evolutive SFP'!#REF!/'Evolutive SFP'!#REF!</f>
        <v>#REF!</v>
      </c>
      <c r="K17" s="34" t="e">
        <f>'Evolutive SFP'!#REF!/'Evolutive SFP'!#REF!</f>
        <v>#REF!</v>
      </c>
      <c r="L17" s="34" t="e">
        <f>'Evolutive SFP'!#REF!/'Evolutive SFP'!#REF!</f>
        <v>#REF!</v>
      </c>
      <c r="M17" s="34" t="e">
        <f>'Evolutive SFP'!#REF!/'Evolutive SFP'!#REF!</f>
        <v>#REF!</v>
      </c>
      <c r="N17" s="34" t="e">
        <f>'Evolutive SFP'!#REF!/'Evolutive SFP'!#REF!</f>
        <v>#REF!</v>
      </c>
      <c r="O17" s="34" t="e">
        <f>'Evolutive SFP'!#REF!/'Evolutive SFP'!#REF!</f>
        <v>#REF!</v>
      </c>
      <c r="P17" s="34" t="e">
        <f>'Evolutive SFP'!#REF!/'Evolutive SFP'!#REF!</f>
        <v>#REF!</v>
      </c>
      <c r="Q17" s="34" t="e">
        <f>'Evolutive SFP'!#REF!/'Evolutive SFP'!#REF!</f>
        <v>#REF!</v>
      </c>
      <c r="R17" s="34" t="e">
        <f>'Evolutive SFP'!#REF!/'Evolutive SFP'!#REF!</f>
        <v>#REF!</v>
      </c>
      <c r="S17" s="38" t="e">
        <f>'Evolutive SFP'!#REF!/'Evolutive SFP'!#REF!</f>
        <v>#REF!</v>
      </c>
      <c r="T17" s="38" t="e">
        <f>'Evolutive SFP'!#REF!/'Evolutive SFP'!#REF!</f>
        <v>#REF!</v>
      </c>
      <c r="U17" s="38" t="e">
        <f>'Evolutive SFP'!#REF!/'Evolutive SFP'!#REF!</f>
        <v>#REF!</v>
      </c>
      <c r="V17" s="38" t="e">
        <f>'Evolutive SFP'!#REF!/'Evolutive SFP'!#REF!</f>
        <v>#REF!</v>
      </c>
      <c r="W17" s="38" t="e">
        <f>'Evolutive SFP'!#REF!/'Evolutive SFP'!#REF!</f>
        <v>#REF!</v>
      </c>
      <c r="X17" s="38" t="e">
        <f>'Evolutive SFP'!#REF!/'Evolutive SFP'!#REF!</f>
        <v>#REF!</v>
      </c>
      <c r="Y17" s="38" t="e">
        <f>'Evolutive SFP'!#REF!/'Evolutive SFP'!#REF!</f>
        <v>#REF!</v>
      </c>
      <c r="Z17" s="38" t="e">
        <f>'Evolutive SFP'!#REF!/'Evolutive SFP'!#REF!</f>
        <v>#REF!</v>
      </c>
      <c r="AA17" s="38" t="e">
        <f>'Evolutive SFP'!#REF!/'Evolutive SFP'!#REF!</f>
        <v>#REF!</v>
      </c>
      <c r="AB17" s="38" t="e">
        <f>'Evolutive SFP'!#REF!/'Evolutive SFP'!#REF!</f>
        <v>#REF!</v>
      </c>
      <c r="AC17" s="38" t="e">
        <f>'Evolutive SFP'!#REF!/'Evolutive SFP'!#REF!</f>
        <v>#REF!</v>
      </c>
      <c r="AD17" s="38" t="e">
        <f>'Evolutive SFP'!#REF!/'Evolutive SFP'!#REF!</f>
        <v>#REF!</v>
      </c>
      <c r="AE17" s="38" t="e">
        <f>'Evolutive SFP'!#REF!/'Evolutive SFP'!#REF!</f>
        <v>#REF!</v>
      </c>
      <c r="AF17" s="38" t="e">
        <f>'Evolutive SFP'!#REF!/'Evolutive SFP'!#REF!</f>
        <v>#REF!</v>
      </c>
      <c r="AG17" s="38" t="e">
        <f>'Evolutive SFP'!#REF!/'Evolutive SFP'!#REF!</f>
        <v>#REF!</v>
      </c>
      <c r="AH17" s="38" t="e">
        <f>'Evolutive SFP'!#REF!/'Evolutive SFP'!#REF!</f>
        <v>#REF!</v>
      </c>
      <c r="AI17" s="38" t="e">
        <f>'Evolutive SFP'!#REF!/'Evolutive SFP'!#REF!</f>
        <v>#REF!</v>
      </c>
      <c r="AJ17" s="38" t="e">
        <f>'Evolutive SFP'!#REF!/'Evolutive SFP'!#REF!</f>
        <v>#REF!</v>
      </c>
      <c r="AK17" s="38" t="e">
        <f>'Evolutive SFP'!#REF!/'Evolutive SFP'!#REF!</f>
        <v>#REF!</v>
      </c>
      <c r="AL17" s="38" t="e">
        <f>'Evolutive SFP'!#REF!/'Evolutive SFP'!#REF!</f>
        <v>#REF!</v>
      </c>
      <c r="AM17" s="38" t="e">
        <f>'Evolutive SFP'!#REF!/'Evolutive SFP'!#REF!</f>
        <v>#REF!</v>
      </c>
      <c r="AN17" s="38" t="e">
        <f>'Evolutive SFP'!#REF!/'Evolutive SFP'!#REF!</f>
        <v>#REF!</v>
      </c>
      <c r="AO17" s="38" t="e">
        <f>'Evolutive SFP'!#REF!/'Evolutive SFP'!#REF!</f>
        <v>#REF!</v>
      </c>
      <c r="AP17" s="38" t="e">
        <f>'Evolutive SFP'!#REF!/'Evolutive SFP'!#REF!</f>
        <v>#REF!</v>
      </c>
      <c r="AQ17" s="38" t="e">
        <f>'Evolutive SFP'!#REF!/'Evolutive SFP'!#REF!</f>
        <v>#REF!</v>
      </c>
      <c r="AR17" s="38" t="e">
        <f>'Evolutive SFP'!#REF!/'Evolutive SFP'!#REF!</f>
        <v>#REF!</v>
      </c>
      <c r="AS17" s="38" t="e">
        <f>'Evolutive SFP'!#REF!/'Evolutive SFP'!#REF!</f>
        <v>#REF!</v>
      </c>
      <c r="AT17" s="38">
        <f>'Evolutive SFP'!AH21/'Evolutive SFP'!AH27</f>
        <v>0.22822528680610413</v>
      </c>
      <c r="AU17" s="38">
        <f>'Evolutive SFP'!AI21/'Evolutive SFP'!AI27</f>
        <v>0.38864315965980883</v>
      </c>
      <c r="AV17" s="38">
        <f>'Evolutive SFP'!AJ21/'Evolutive SFP'!AJ27</f>
        <v>0.39894842598798186</v>
      </c>
      <c r="AW17" s="38">
        <f>'Evolutive SFP'!AK21/'Evolutive SFP'!AK27</f>
        <v>0.41383253436711842</v>
      </c>
      <c r="AX17" s="38">
        <f>'Evolutive SFP'!AL21/'Evolutive SFP'!AL27</f>
        <v>0.42685415497654322</v>
      </c>
      <c r="AY17" s="38">
        <f>'Evolutive SFP'!AM21/'Evolutive SFP'!AM27</f>
        <v>0.42901938126656919</v>
      </c>
      <c r="AZ17" s="38">
        <f>'Evolutive SFP'!AN21/'Evolutive SFP'!AN27</f>
        <v>0.43587399530435983</v>
      </c>
      <c r="BA17" s="38" t="e">
        <f>'Evolutive SFP'!#REF!/'Evolutive SFP'!#REF!</f>
        <v>#REF!</v>
      </c>
      <c r="BB17" s="38">
        <f>'Evolutive SFP'!AO21/'Evolutive SFP'!AO27</f>
        <v>0.27339959064873282</v>
      </c>
      <c r="BC17" s="38">
        <f>'Evolutive SFP'!AP21/'Evolutive SFP'!AP27</f>
        <v>0.27879708297497935</v>
      </c>
      <c r="BD17" s="38">
        <f>'Evolutive SFP'!AQ21/'Evolutive SFP'!AQ27</f>
        <v>0.29479030811549806</v>
      </c>
      <c r="BE17" s="38">
        <f>'Evolutive SFP'!AR21/'Evolutive SFP'!AR27</f>
        <v>0.2840355158784475</v>
      </c>
      <c r="BF17" s="38">
        <f>'Evolutive SFP'!AS21/'Evolutive SFP'!AS27</f>
        <v>0.30562600367367093</v>
      </c>
      <c r="BG17" s="38">
        <f>'Evolutive SFP'!AT21/'Evolutive SFP'!AT27</f>
        <v>0.2920550683880101</v>
      </c>
      <c r="BH17" s="38">
        <f>'Evolutive SFP'!AU21/'Evolutive SFP'!AU27</f>
        <v>0.30927167980388515</v>
      </c>
      <c r="BI17" s="38">
        <f>'Evolutive SFP'!AV21/'Evolutive SFP'!AV27</f>
        <v>0.31368082875597325</v>
      </c>
      <c r="BJ17" s="38">
        <f>'Evolutive SFP'!AW21/'Evolutive SFP'!AW27</f>
        <v>0.30415089859277156</v>
      </c>
      <c r="BK17" s="38">
        <f>'Evolutive SFP'!AX21/'Evolutive SFP'!AX27</f>
        <v>0.31002359085727238</v>
      </c>
      <c r="BL17" s="38">
        <f>'Evolutive SFP'!AY21/'Evolutive SFP'!AY27</f>
        <v>0.30285327230610476</v>
      </c>
      <c r="BM17" s="38">
        <f>'Evolutive SFP'!AZ21/'Evolutive SFP'!AZ27</f>
        <v>0.20284551140486828</v>
      </c>
      <c r="BN17" s="38">
        <f>'Evolutive SFP'!BA21/'Evolutive SFP'!BA27</f>
        <v>0.28810291120769216</v>
      </c>
      <c r="BO17" s="38">
        <f>'Evolutive SFP'!BB21/'Evolutive SFP'!BB27</f>
        <v>0.28509181511025433</v>
      </c>
      <c r="BP17" s="38">
        <f>'Evolutive SFP'!BC21/'Evolutive SFP'!BC27</f>
        <v>0.30331892621215872</v>
      </c>
      <c r="BQ17" s="38">
        <f>'Evolutive SFP'!BD21/'Evolutive SFP'!BD27</f>
        <v>0.29376150041613663</v>
      </c>
      <c r="BR17" s="38">
        <f>'Evolutive SFP'!BE21/'Evolutive SFP'!BE27</f>
        <v>0.27837808256835606</v>
      </c>
      <c r="BS17" s="38">
        <f>'Evolutive SFP'!BF21/'Evolutive SFP'!BF27</f>
        <v>0.28998824912219306</v>
      </c>
      <c r="BT17" s="38">
        <f>'Evolutive SFP'!BG21/'Evolutive SFP'!BG27</f>
        <v>0.28099685479156183</v>
      </c>
      <c r="BU17" s="38">
        <f>'Evolutive SFP'!BH21/'Evolutive SFP'!BH27</f>
        <v>0.29094868151020786</v>
      </c>
      <c r="BV17" s="38">
        <f>'Evolutive SFP'!BI21/'Evolutive SFP'!BI27</f>
        <v>0.28462819239643272</v>
      </c>
      <c r="BW17" s="38">
        <f>'Evolutive SFP'!BJ21/'Evolutive SFP'!BJ27</f>
        <v>0.28793393364809944</v>
      </c>
      <c r="BX17" s="38">
        <f>'Evolutive SFP'!BK21/'Evolutive SFP'!BK27</f>
        <v>0.30147412632876686</v>
      </c>
      <c r="BY17" s="38">
        <f>'Evolutive SFP'!BL21/'Evolutive SFP'!BL27</f>
        <v>0.29543224233521431</v>
      </c>
      <c r="BZ17" s="38">
        <f>'Evolutive SFP'!BM21/'Evolutive SFP'!BM27</f>
        <v>0.28172230625220879</v>
      </c>
      <c r="CA17" s="38">
        <f>'Evolutive SFP'!BN21/'Evolutive SFP'!BN27</f>
        <v>0.29077613559280202</v>
      </c>
      <c r="CB17" s="38">
        <f>'Evolutive SFP'!BO21/'Evolutive SFP'!BO27</f>
        <v>0.28710288151538754</v>
      </c>
      <c r="CC17" s="38">
        <f>'Evolutive SFP'!BP21/'Evolutive SFP'!BP27</f>
        <v>0.2867085116763945</v>
      </c>
      <c r="CD17" s="38">
        <f>'Evolutive SFP'!BQ21/'Evolutive SFP'!BQ27</f>
        <v>0.28047875158485064</v>
      </c>
      <c r="CE17" s="38">
        <f>'Evolutive SFP'!BR21/'Evolutive SFP'!BR27</f>
        <v>0.27950570611180575</v>
      </c>
      <c r="CF17" s="38">
        <f>'Evolutive SFP'!BS21/'Evolutive SFP'!BS27</f>
        <v>0.28792067637885854</v>
      </c>
      <c r="CG17" s="38" t="e">
        <f>'Evolutive SFP'!BT21/'Evolutive SFP'!BT27</f>
        <v>#DIV/0!</v>
      </c>
      <c r="CH17" s="38">
        <f>'Evolutive SFP'!BU21/'Evolutive SFP'!BU27</f>
        <v>0.28450743237322917</v>
      </c>
      <c r="CI17" s="38">
        <f>'Evolutive SFP'!BV21/'Evolutive SFP'!BV27</f>
        <v>0.28279906391345366</v>
      </c>
      <c r="CJ17" s="38">
        <f>'Evolutive SFP'!BW21/'Evolutive SFP'!BW27</f>
        <v>0.27576384934931059</v>
      </c>
      <c r="CK17" s="38">
        <f>'Evolutive SFP'!BX21/'Evolutive SFP'!BX27</f>
        <v>0.28991778595774126</v>
      </c>
      <c r="CL17" s="38">
        <f>'Evolutive SFP'!BY21/'Evolutive SFP'!BY27</f>
        <v>0.28886224566600405</v>
      </c>
      <c r="CM17" s="38">
        <f>'Evolutive SFP'!BZ21/'Evolutive SFP'!BZ27</f>
        <v>0.28352468090866284</v>
      </c>
      <c r="CN17" s="38">
        <f>'Evolutive SFP'!CA21/'Evolutive SFP'!CA27</f>
        <v>0.28430416099023048</v>
      </c>
    </row>
    <row r="18" spans="1:92" ht="15.75">
      <c r="A18" s="423"/>
      <c r="B18" s="3" t="s">
        <v>217</v>
      </c>
      <c r="C18" s="11" t="s">
        <v>216</v>
      </c>
      <c r="D18" s="34" t="e">
        <f>'Evolutive SFP'!#REF!/'Evolutive SFP'!#REF!</f>
        <v>#REF!</v>
      </c>
      <c r="E18" s="34" t="e">
        <f>'Evolutive SFP'!#REF!/'Evolutive SFP'!#REF!</f>
        <v>#REF!</v>
      </c>
      <c r="F18" s="34" t="e">
        <f>'Evolutive SFP'!#REF!/'Evolutive SFP'!#REF!</f>
        <v>#REF!</v>
      </c>
      <c r="G18" s="34" t="e">
        <f>'Evolutive SFP'!#REF!/'Evolutive SFP'!#REF!</f>
        <v>#REF!</v>
      </c>
      <c r="H18" s="34" t="e">
        <f>'Evolutive SFP'!#REF!/'Evolutive SFP'!#REF!</f>
        <v>#REF!</v>
      </c>
      <c r="I18" s="34" t="e">
        <f>'Evolutive SFP'!#REF!/'Evolutive SFP'!#REF!</f>
        <v>#REF!</v>
      </c>
      <c r="J18" s="34" t="e">
        <f>'Evolutive SFP'!#REF!/'Evolutive SFP'!#REF!</f>
        <v>#REF!</v>
      </c>
      <c r="K18" s="34" t="e">
        <f>'Evolutive SFP'!#REF!/'Evolutive SFP'!#REF!</f>
        <v>#REF!</v>
      </c>
      <c r="L18" s="34" t="e">
        <f>'Evolutive SFP'!#REF!/'Evolutive SFP'!#REF!</f>
        <v>#REF!</v>
      </c>
      <c r="M18" s="34" t="e">
        <f>'Evolutive SFP'!#REF!/'Evolutive SFP'!#REF!</f>
        <v>#REF!</v>
      </c>
      <c r="N18" s="34" t="e">
        <f>'Evolutive SFP'!#REF!/'Evolutive SFP'!#REF!</f>
        <v>#REF!</v>
      </c>
      <c r="O18" s="34" t="e">
        <f>'Evolutive SFP'!#REF!/'Evolutive SFP'!#REF!</f>
        <v>#REF!</v>
      </c>
      <c r="P18" s="34" t="e">
        <f>'Evolutive SFP'!#REF!/'Evolutive SFP'!#REF!</f>
        <v>#REF!</v>
      </c>
      <c r="Q18" s="34" t="e">
        <f>'Evolutive SFP'!#REF!/'Evolutive SFP'!#REF!</f>
        <v>#REF!</v>
      </c>
      <c r="R18" s="34" t="e">
        <f>'Evolutive SFP'!#REF!/'Evolutive SFP'!#REF!</f>
        <v>#REF!</v>
      </c>
      <c r="S18" s="38" t="e">
        <f>'Evolutive SFP'!#REF!/'Evolutive SFP'!#REF!</f>
        <v>#REF!</v>
      </c>
      <c r="T18" s="38" t="e">
        <f>'Evolutive SFP'!#REF!/'Evolutive SFP'!#REF!</f>
        <v>#REF!</v>
      </c>
      <c r="U18" s="38" t="e">
        <f>'Evolutive SFP'!#REF!/'Evolutive SFP'!#REF!</f>
        <v>#REF!</v>
      </c>
      <c r="V18" s="38" t="e">
        <f>'Evolutive SFP'!#REF!/'Evolutive SFP'!#REF!</f>
        <v>#REF!</v>
      </c>
      <c r="W18" s="38" t="e">
        <f>'Evolutive SFP'!#REF!/'Evolutive SFP'!#REF!</f>
        <v>#REF!</v>
      </c>
      <c r="X18" s="38" t="e">
        <f>'Evolutive SFP'!#REF!/'Evolutive SFP'!#REF!</f>
        <v>#REF!</v>
      </c>
      <c r="Y18" s="38" t="e">
        <f>'Evolutive SFP'!#REF!/'Evolutive SFP'!#REF!</f>
        <v>#REF!</v>
      </c>
      <c r="Z18" s="38" t="e">
        <f>'Evolutive SFP'!#REF!/'Evolutive SFP'!#REF!</f>
        <v>#REF!</v>
      </c>
      <c r="AA18" s="38" t="e">
        <f>'Evolutive SFP'!#REF!/'Evolutive SFP'!#REF!</f>
        <v>#REF!</v>
      </c>
      <c r="AB18" s="38" t="e">
        <f>'Evolutive SFP'!#REF!/'Evolutive SFP'!#REF!</f>
        <v>#REF!</v>
      </c>
      <c r="AC18" s="38" t="e">
        <f>'Evolutive SFP'!#REF!/'Evolutive SFP'!#REF!</f>
        <v>#REF!</v>
      </c>
      <c r="AD18" s="38" t="e">
        <f>'Evolutive SFP'!#REF!/'Evolutive SFP'!#REF!</f>
        <v>#REF!</v>
      </c>
      <c r="AE18" s="38" t="e">
        <f>'Evolutive SFP'!#REF!/'Evolutive SFP'!#REF!</f>
        <v>#REF!</v>
      </c>
      <c r="AF18" s="38" t="e">
        <f>'Evolutive SFP'!#REF!/'Evolutive SFP'!#REF!</f>
        <v>#REF!</v>
      </c>
      <c r="AG18" s="38" t="e">
        <f>'Evolutive SFP'!#REF!/'Evolutive SFP'!#REF!</f>
        <v>#REF!</v>
      </c>
      <c r="AH18" s="38" t="e">
        <f>'Evolutive SFP'!#REF!/'Evolutive SFP'!#REF!</f>
        <v>#REF!</v>
      </c>
      <c r="AI18" s="38" t="e">
        <f>'Evolutive SFP'!#REF!/'Evolutive SFP'!#REF!</f>
        <v>#REF!</v>
      </c>
      <c r="AJ18" s="38" t="e">
        <f>'Evolutive SFP'!#REF!/'Evolutive SFP'!#REF!</f>
        <v>#REF!</v>
      </c>
      <c r="AK18" s="38" t="e">
        <f>'Evolutive SFP'!#REF!/'Evolutive SFP'!#REF!</f>
        <v>#REF!</v>
      </c>
      <c r="AL18" s="38" t="e">
        <f>'Evolutive SFP'!#REF!/'Evolutive SFP'!#REF!</f>
        <v>#REF!</v>
      </c>
      <c r="AM18" s="38" t="e">
        <f>'Evolutive SFP'!#REF!/'Evolutive SFP'!#REF!</f>
        <v>#REF!</v>
      </c>
      <c r="AN18" s="38" t="e">
        <f>'Evolutive SFP'!#REF!/'Evolutive SFP'!#REF!</f>
        <v>#REF!</v>
      </c>
      <c r="AO18" s="38" t="e">
        <f>'Evolutive SFP'!#REF!/'Evolutive SFP'!#REF!</f>
        <v>#REF!</v>
      </c>
      <c r="AP18" s="38" t="e">
        <f>'Evolutive SFP'!#REF!/'Evolutive SFP'!#REF!</f>
        <v>#REF!</v>
      </c>
      <c r="AQ18" s="38" t="e">
        <f>'Evolutive SFP'!#REF!/'Evolutive SFP'!#REF!</f>
        <v>#REF!</v>
      </c>
      <c r="AR18" s="38" t="e">
        <f>'Evolutive SFP'!#REF!/'Evolutive SFP'!#REF!</f>
        <v>#REF!</v>
      </c>
      <c r="AS18" s="38" t="e">
        <f>'Evolutive SFP'!#REF!/'Evolutive SFP'!#REF!</f>
        <v>#REF!</v>
      </c>
      <c r="AT18" s="38">
        <f>'Evolutive SFP'!AH13/'Evolutive SFP'!AH31</f>
        <v>2.0914687983809022E-3</v>
      </c>
      <c r="AU18" s="38">
        <f>'Evolutive SFP'!AI13/'Evolutive SFP'!AI31</f>
        <v>0</v>
      </c>
      <c r="AV18" s="38">
        <f>'Evolutive SFP'!AJ13/'Evolutive SFP'!AJ31</f>
        <v>0</v>
      </c>
      <c r="AW18" s="38">
        <f>'Evolutive SFP'!AK13/'Evolutive SFP'!AK31</f>
        <v>0</v>
      </c>
      <c r="AX18" s="38">
        <f>'Evolutive SFP'!AL13/'Evolutive SFP'!AL31</f>
        <v>0</v>
      </c>
      <c r="AY18" s="38">
        <f>'Evolutive SFP'!AM13/'Evolutive SFP'!AM31</f>
        <v>0</v>
      </c>
      <c r="AZ18" s="38">
        <f>'Evolutive SFP'!AN13/'Evolutive SFP'!AN31</f>
        <v>0</v>
      </c>
      <c r="BA18" s="38" t="e">
        <f>'Evolutive SFP'!#REF!/'Evolutive SFP'!#REF!</f>
        <v>#REF!</v>
      </c>
      <c r="BB18" s="38">
        <f>'Evolutive SFP'!AO13/'Evolutive SFP'!AO31</f>
        <v>0</v>
      </c>
      <c r="BC18" s="38">
        <f>'Evolutive SFP'!AP13/'Evolutive SFP'!AP31</f>
        <v>0</v>
      </c>
      <c r="BD18" s="38">
        <f>'Evolutive SFP'!AQ13/'Evolutive SFP'!AQ31</f>
        <v>0</v>
      </c>
      <c r="BE18" s="38">
        <f>'Evolutive SFP'!AR13/'Evolutive SFP'!AR31</f>
        <v>0</v>
      </c>
      <c r="BF18" s="38">
        <f>'Evolutive SFP'!AS13/'Evolutive SFP'!AS31</f>
        <v>0</v>
      </c>
      <c r="BG18" s="38">
        <f>'Evolutive SFP'!AT13/'Evolutive SFP'!AT31</f>
        <v>2.0266258509624617E-3</v>
      </c>
      <c r="BH18" s="38">
        <f>'Evolutive SFP'!AU13/'Evolutive SFP'!AU31</f>
        <v>0.14580294289080323</v>
      </c>
      <c r="BI18" s="38">
        <f>'Evolutive SFP'!AV13/'Evolutive SFP'!AV31</f>
        <v>0.14725199031452671</v>
      </c>
      <c r="BJ18" s="38">
        <f>'Evolutive SFP'!AW13/'Evolutive SFP'!AW31</f>
        <v>0.14272353969942048</v>
      </c>
      <c r="BK18" s="38">
        <f>'Evolutive SFP'!AX13/'Evolutive SFP'!AX31</f>
        <v>0.14048933741569328</v>
      </c>
      <c r="BL18" s="38">
        <f>'Evolutive SFP'!AY13/'Evolutive SFP'!AY31</f>
        <v>0.14405353806501761</v>
      </c>
      <c r="BM18" s="38">
        <f>'Evolutive SFP'!AZ13/'Evolutive SFP'!AZ31</f>
        <v>0.14827098890808765</v>
      </c>
      <c r="BN18" s="38">
        <f>'Evolutive SFP'!BA13/'Evolutive SFP'!BA31</f>
        <v>0.13695895104494904</v>
      </c>
      <c r="BO18" s="38">
        <f>'Evolutive SFP'!BB13/'Evolutive SFP'!BB31</f>
        <v>0.13753490918467901</v>
      </c>
      <c r="BP18" s="38">
        <f>'Evolutive SFP'!BC13/'Evolutive SFP'!BC31</f>
        <v>0.15035634367677458</v>
      </c>
      <c r="BQ18" s="38">
        <f>'Evolutive SFP'!BD13/'Evolutive SFP'!BD31</f>
        <v>0.14653649920149267</v>
      </c>
      <c r="BR18" s="38">
        <f>'Evolutive SFP'!BE13/'Evolutive SFP'!BE31</f>
        <v>0.13961555977811507</v>
      </c>
      <c r="BS18" s="38">
        <f>'Evolutive SFP'!BF13/'Evolutive SFP'!BF31</f>
        <v>0.14986811488157373</v>
      </c>
      <c r="BT18" s="38">
        <f>'Evolutive SFP'!BG13/'Evolutive SFP'!BG31</f>
        <v>0.15343124692256738</v>
      </c>
      <c r="BU18" s="38">
        <f>'Evolutive SFP'!BH13/'Evolutive SFP'!BH31</f>
        <v>0</v>
      </c>
      <c r="BV18" s="38">
        <f>'Evolutive SFP'!BI13/'Evolutive SFP'!BI31</f>
        <v>0</v>
      </c>
      <c r="BW18" s="38">
        <f>'Evolutive SFP'!BJ13/'Evolutive SFP'!BJ31</f>
        <v>0</v>
      </c>
      <c r="BX18" s="38">
        <f>'Evolutive SFP'!BK13/'Evolutive SFP'!BK31</f>
        <v>0</v>
      </c>
      <c r="BY18" s="38">
        <f>'Evolutive SFP'!BL13/'Evolutive SFP'!BL31</f>
        <v>0</v>
      </c>
      <c r="BZ18" s="38">
        <f>'Evolutive SFP'!BM13/'Evolutive SFP'!BM31</f>
        <v>0</v>
      </c>
      <c r="CA18" s="38">
        <f>'Evolutive SFP'!BN13/'Evolutive SFP'!BN31</f>
        <v>0</v>
      </c>
      <c r="CB18" s="38">
        <f>'Evolutive SFP'!BO13/'Evolutive SFP'!BO31</f>
        <v>0</v>
      </c>
      <c r="CC18" s="38">
        <f>'Evolutive SFP'!BP13/'Evolutive SFP'!BP31</f>
        <v>0</v>
      </c>
      <c r="CD18" s="38">
        <f>'Evolutive SFP'!BQ13/'Evolutive SFP'!BQ31</f>
        <v>0</v>
      </c>
      <c r="CE18" s="38">
        <f>'Evolutive SFP'!BR13/'Evolutive SFP'!BR31</f>
        <v>0</v>
      </c>
      <c r="CF18" s="38">
        <f>'Evolutive SFP'!BS13/'Evolutive SFP'!BS31</f>
        <v>0</v>
      </c>
      <c r="CG18" s="38" t="e">
        <f>'Evolutive SFP'!BT13/'Evolutive SFP'!BT31</f>
        <v>#DIV/0!</v>
      </c>
      <c r="CH18" s="38">
        <f>'Evolutive SFP'!BU13/'Evolutive SFP'!BU31</f>
        <v>0.15725283804518977</v>
      </c>
      <c r="CI18" s="38">
        <f>'Evolutive SFP'!BV13/'Evolutive SFP'!BV31</f>
        <v>0.15735011452347158</v>
      </c>
      <c r="CJ18" s="38">
        <f>'Evolutive SFP'!BW13/'Evolutive SFP'!BW31</f>
        <v>0.1570924279339467</v>
      </c>
      <c r="CK18" s="38">
        <f>'Evolutive SFP'!BX13/'Evolutive SFP'!BX31</f>
        <v>0.15857912077835479</v>
      </c>
      <c r="CL18" s="38">
        <f>'Evolutive SFP'!BY13/'Evolutive SFP'!BY31</f>
        <v>0.16138097836478099</v>
      </c>
      <c r="CM18" s="38">
        <f>'Evolutive SFP'!BZ13/'Evolutive SFP'!BZ31</f>
        <v>0.15852327025281501</v>
      </c>
      <c r="CN18" s="38">
        <f>'Evolutive SFP'!CA13/'Evolutive SFP'!CA31</f>
        <v>0.16207535889061075</v>
      </c>
    </row>
    <row r="19" spans="1:92" ht="15">
      <c r="A19" s="423"/>
      <c r="B19" s="31" t="s">
        <v>218</v>
      </c>
      <c r="C19" s="12" t="s">
        <v>219</v>
      </c>
      <c r="D19" s="34" t="e">
        <f>'Evolutive SFP'!#REF!/(CAELS!D3*1000000)</f>
        <v>#REF!</v>
      </c>
      <c r="E19" s="34" t="e">
        <f>'Evolutive SFP'!#REF!/(CAELS!E3*1000000)</f>
        <v>#REF!</v>
      </c>
      <c r="F19" s="34" t="e">
        <f>'Evolutive SFP'!#REF!/(CAELS!F3*1000000)</f>
        <v>#REF!</v>
      </c>
      <c r="G19" s="34" t="e">
        <f>'Evolutive SFP'!#REF!/(CAELS!G3*1000000)</f>
        <v>#REF!</v>
      </c>
      <c r="H19" s="34" t="e">
        <f>'Evolutive SFP'!#REF!/(CAELS!H3*1000000)</f>
        <v>#REF!</v>
      </c>
      <c r="I19" s="34" t="e">
        <f>'Evolutive SFP'!#REF!/(CAELS!I3*1000000)</f>
        <v>#REF!</v>
      </c>
      <c r="J19" s="34" t="e">
        <f>'Evolutive SFP'!#REF!/(CAELS!J3*1000000)</f>
        <v>#REF!</v>
      </c>
      <c r="K19" s="34" t="e">
        <f>'Evolutive SFP'!#REF!/(CAELS!K3*1000000)</f>
        <v>#REF!</v>
      </c>
      <c r="L19" s="34" t="e">
        <f>'Evolutive SFP'!#REF!/(CAELS!L3*1000000)</f>
        <v>#REF!</v>
      </c>
      <c r="M19" s="34" t="e">
        <f>'Evolutive SFP'!#REF!/(CAELS!M3*1000000)</f>
        <v>#REF!</v>
      </c>
      <c r="N19" s="34" t="e">
        <f>'Evolutive SFP'!#REF!/(CAELS!N3*1000000)</f>
        <v>#REF!</v>
      </c>
      <c r="O19" s="34" t="e">
        <f>'Evolutive SFP'!#REF!/(CAELS!O3*1000000)</f>
        <v>#REF!</v>
      </c>
      <c r="P19" s="34" t="e">
        <f>'Evolutive SFP'!#REF!/(CAELS!P3*1000000)</f>
        <v>#REF!</v>
      </c>
      <c r="Q19" s="34" t="e">
        <f>'Evolutive SFP'!#REF!/(CAELS!Q3*1000000)</f>
        <v>#REF!</v>
      </c>
      <c r="R19" s="34" t="e">
        <f>'Evolutive SFP'!#REF!/(CAELS!R3*1000000)</f>
        <v>#REF!</v>
      </c>
      <c r="S19" s="38" t="e">
        <f>'Evolutive SFP'!#REF!/(CAELS!S3*1000000)</f>
        <v>#REF!</v>
      </c>
      <c r="T19" s="38" t="e">
        <f>'Evolutive SFP'!#REF!/(CAELS!T3*1000000)</f>
        <v>#REF!</v>
      </c>
      <c r="U19" s="38" t="e">
        <f>'Evolutive SFP'!#REF!/(CAELS!U3*1000000)</f>
        <v>#REF!</v>
      </c>
      <c r="V19" s="38" t="e">
        <f>'Evolutive SFP'!#REF!/(CAELS!V3*1000000)</f>
        <v>#REF!</v>
      </c>
      <c r="W19" s="38" t="e">
        <f>'Evolutive SFP'!#REF!/(CAELS!W3*1000000)</f>
        <v>#REF!</v>
      </c>
      <c r="X19" s="38" t="e">
        <f>'Evolutive SFP'!#REF!/(CAELS!X3*1000000)</f>
        <v>#REF!</v>
      </c>
      <c r="Y19" s="38" t="e">
        <f>'Evolutive SFP'!#REF!/(CAELS!Y3*1000000)</f>
        <v>#REF!</v>
      </c>
      <c r="Z19" s="38" t="e">
        <f>'Evolutive SFP'!#REF!/(CAELS!Z3*1000000)</f>
        <v>#REF!</v>
      </c>
      <c r="AA19" s="38" t="e">
        <f>'Evolutive SFP'!#REF!/(CAELS!AA3*1000000)</f>
        <v>#REF!</v>
      </c>
      <c r="AB19" s="38" t="e">
        <f>'Evolutive SFP'!#REF!/(CAELS!AB3*1000000)</f>
        <v>#REF!</v>
      </c>
      <c r="AC19" s="38" t="e">
        <f>'Evolutive SFP'!#REF!/(CAELS!AC3*1000000)</f>
        <v>#REF!</v>
      </c>
      <c r="AD19" s="38" t="e">
        <f>'Evolutive SFP'!#REF!/(CAELS!AD3*1000000)</f>
        <v>#REF!</v>
      </c>
      <c r="AE19" s="38" t="e">
        <f>'Evolutive SFP'!#REF!/(CAELS!AE3*1000000)</f>
        <v>#REF!</v>
      </c>
      <c r="AF19" s="38" t="e">
        <f>'Evolutive SFP'!#REF!/(CAELS!AF3*1000000)</f>
        <v>#REF!</v>
      </c>
      <c r="AG19" s="38" t="e">
        <f>'Evolutive SFP'!#REF!/(CAELS!AG3*1000000)</f>
        <v>#REF!</v>
      </c>
      <c r="AH19" s="38" t="e">
        <f>'Evolutive SFP'!#REF!/(CAELS!AH3*1000000)</f>
        <v>#REF!</v>
      </c>
      <c r="AI19" s="38" t="e">
        <f>'Evolutive SFP'!#REF!/(CAELS!AI3*1000000)</f>
        <v>#REF!</v>
      </c>
      <c r="AJ19" s="38" t="e">
        <f>'Evolutive SFP'!#REF!/(CAELS!AJ3*1000000)</f>
        <v>#REF!</v>
      </c>
      <c r="AK19" s="38" t="e">
        <f>'Evolutive SFP'!#REF!/(CAELS!AK3*1000000)</f>
        <v>#REF!</v>
      </c>
      <c r="AL19" s="38" t="e">
        <f>'Evolutive SFP'!#REF!/(CAELS!AL3*1000000)</f>
        <v>#REF!</v>
      </c>
      <c r="AM19" s="38" t="e">
        <f>'Evolutive SFP'!#REF!/(CAELS!AM3*1000000)</f>
        <v>#REF!</v>
      </c>
      <c r="AN19" s="38" t="e">
        <f>'Evolutive SFP'!#REF!/(CAELS!AN3*1000000)</f>
        <v>#REF!</v>
      </c>
      <c r="AO19" s="38" t="e">
        <f>'Evolutive SFP'!#REF!/(CAELS!AO3*1000000)</f>
        <v>#REF!</v>
      </c>
      <c r="AP19" s="38" t="e">
        <f>'Evolutive SFP'!#REF!/(CAELS!AP3*1000000)</f>
        <v>#REF!</v>
      </c>
      <c r="AQ19" s="38" t="e">
        <f>'Evolutive SFP'!#REF!/(CAELS!AQ3*1000000)</f>
        <v>#REF!</v>
      </c>
      <c r="AR19" s="38" t="e">
        <f>'Evolutive SFP'!#REF!/(CAELS!AR3*1000000)</f>
        <v>#REF!</v>
      </c>
      <c r="AS19" s="38" t="e">
        <f>'Evolutive SFP'!#REF!/(CAELS!AS3*1000000)</f>
        <v>#REF!</v>
      </c>
      <c r="AT19" s="38">
        <f>'Evolutive SFP'!AH13/(CAELS!AT3*1000000)</f>
        <v>5.429651587945044E-3</v>
      </c>
      <c r="AU19" s="38">
        <f>'Evolutive SFP'!AI13/(CAELS!AU3*1000000)</f>
        <v>0</v>
      </c>
      <c r="AV19" s="38">
        <f>'Evolutive SFP'!AJ13/(CAELS!AV3*1000000)</f>
        <v>0</v>
      </c>
      <c r="AW19" s="38">
        <f>'Evolutive SFP'!AK13/(CAELS!AW3*1000000)</f>
        <v>0</v>
      </c>
      <c r="AX19" s="38">
        <f>'Evolutive SFP'!AL13/(CAELS!AX3*1000000)</f>
        <v>0</v>
      </c>
      <c r="AY19" s="38">
        <f>'Evolutive SFP'!AM13/(CAELS!AY3*1000000)</f>
        <v>0</v>
      </c>
      <c r="AZ19" s="38">
        <f>'Evolutive SFP'!AN13/(CAELS!AZ3*1000000)</f>
        <v>0</v>
      </c>
      <c r="BA19" s="38" t="e">
        <f>'Evolutive SFP'!#REF!/(CAELS!BA3*1000000)</f>
        <v>#REF!</v>
      </c>
      <c r="BB19" s="38">
        <f>'Evolutive SFP'!AO13/(CAELS!BB3*1000000)</f>
        <v>0</v>
      </c>
      <c r="BC19" s="38">
        <f>'Evolutive SFP'!AP13/(CAELS!BC3*1000000)</f>
        <v>0</v>
      </c>
      <c r="BD19" s="38">
        <f>'Evolutive SFP'!AQ13/(CAELS!BD3*1000000)</f>
        <v>0</v>
      </c>
      <c r="BE19" s="38">
        <f>'Evolutive SFP'!AR13/(CAELS!BE3*1000000)</f>
        <v>0</v>
      </c>
      <c r="BF19" s="38">
        <f>'Evolutive SFP'!AS13/(CAELS!BF3*1000000)</f>
        <v>0</v>
      </c>
      <c r="BG19" s="38">
        <f>'Evolutive SFP'!AT13/(CAELS!BG3*1000000)</f>
        <v>5.301547516418495E-3</v>
      </c>
      <c r="BH19" s="38">
        <f>'Evolutive SFP'!AU13/(CAELS!BH3*1000000)</f>
        <v>0.3832699710167547</v>
      </c>
      <c r="BI19" s="38">
        <f>'Evolutive SFP'!AV13/(CAELS!BI3*1000000)</f>
        <v>0.38138784434563688</v>
      </c>
      <c r="BJ19" s="38">
        <f>'Evolutive SFP'!AW13/(CAELS!BJ3*1000000)</f>
        <v>0.36002312997793018</v>
      </c>
      <c r="BK19" s="38">
        <f>'Evolutive SFP'!AX13/(CAELS!BK3*1000000)</f>
        <v>0.35508532400076587</v>
      </c>
      <c r="BL19" s="38">
        <f>'Evolutive SFP'!AY13/(CAELS!BL3*1000000)</f>
        <v>0.35911212756464644</v>
      </c>
      <c r="BM19" s="38">
        <f>'Evolutive SFP'!AZ13/(CAELS!BM3*1000000)</f>
        <v>0.35264512255630059</v>
      </c>
      <c r="BN19" s="38">
        <f>'Evolutive SFP'!BA13/(CAELS!BN3*1000000)</f>
        <v>0.34184870454903432</v>
      </c>
      <c r="BO19" s="38">
        <f>'Evolutive SFP'!BB13/(CAELS!BO3*1000000)</f>
        <v>0.33731976536990393</v>
      </c>
      <c r="BP19" s="38">
        <f>'Evolutive SFP'!BC13/(CAELS!BP3*1000000)</f>
        <v>0.33246583828232795</v>
      </c>
      <c r="BQ19" s="38">
        <f>'Evolutive SFP'!BD13/(CAELS!BQ3*1000000)</f>
        <v>0.32433248970508066</v>
      </c>
      <c r="BR19" s="38">
        <f>'Evolutive SFP'!BE13/(CAELS!BR3*1000000)</f>
        <v>0.32376578889722862</v>
      </c>
      <c r="BS19" s="38">
        <f>'Evolutive SFP'!BF13/(CAELS!BS3*1000000)</f>
        <v>0.32510020192218653</v>
      </c>
      <c r="BT19" s="38">
        <f>'Evolutive SFP'!BG13/(CAELS!BT3*1000000)</f>
        <v>0.38189839194433983</v>
      </c>
      <c r="BU19" s="38">
        <f>'Evolutive SFP'!BH13/(CAELS!BU3*1000000)</f>
        <v>0</v>
      </c>
      <c r="BV19" s="38">
        <f>'Evolutive SFP'!BI13/(CAELS!BV3*1000000)</f>
        <v>0</v>
      </c>
      <c r="BW19" s="38">
        <f>'Evolutive SFP'!BJ13/(CAELS!BW3*1000000)</f>
        <v>0</v>
      </c>
      <c r="BX19" s="38">
        <f>'Evolutive SFP'!BK13/(CAELS!BX3*1000000)</f>
        <v>0</v>
      </c>
      <c r="BY19" s="38">
        <f>'Evolutive SFP'!BL13/(CAELS!BY3*1000000)</f>
        <v>0</v>
      </c>
      <c r="BZ19" s="38">
        <f>'Evolutive SFP'!BM13/(CAELS!BZ3*1000000)</f>
        <v>0</v>
      </c>
      <c r="CA19" s="38">
        <f>'Evolutive SFP'!BN13/(CAELS!CA3*1000000)</f>
        <v>0</v>
      </c>
      <c r="CB19" s="38">
        <f>'Evolutive SFP'!BO13/(CAELS!CB3*1000000)</f>
        <v>0</v>
      </c>
      <c r="CC19" s="38">
        <f>'Evolutive SFP'!BP13/(CAELS!CC3*1000000)</f>
        <v>0</v>
      </c>
      <c r="CD19" s="38">
        <f>'Evolutive SFP'!BQ13/(CAELS!CD3*1000000)</f>
        <v>0</v>
      </c>
      <c r="CE19" s="38">
        <f>'Evolutive SFP'!BR13/(CAELS!CE3*1000000)</f>
        <v>0</v>
      </c>
      <c r="CF19" s="38">
        <f>'Evolutive SFP'!BS13/(CAELS!CF3*1000000)</f>
        <v>0</v>
      </c>
      <c r="CG19" s="38" t="e">
        <f>'Evolutive SFP'!BT13/(CAELS!CG3*1000000)</f>
        <v>#DIV/0!</v>
      </c>
      <c r="CH19" s="38">
        <f>'Evolutive SFP'!BU13/(CAELS!CH3*1000000)</f>
        <v>0.39050398966587646</v>
      </c>
      <c r="CI19" s="38">
        <f>'Evolutive SFP'!BV13/(CAELS!CI3*1000000)</f>
        <v>0.38809500069553204</v>
      </c>
      <c r="CJ19" s="38">
        <f>'Evolutive SFP'!BW13/(CAELS!CJ3*1000000)</f>
        <v>0.3677027484707977</v>
      </c>
      <c r="CK19" s="38">
        <f>'Evolutive SFP'!BX13/(CAELS!CK3*1000000)</f>
        <v>0.36799066707595701</v>
      </c>
      <c r="CL19" s="38">
        <f>'Evolutive SFP'!BY13/(CAELS!CL3*1000000)</f>
        <v>0.35988385535665213</v>
      </c>
      <c r="CM19" s="38">
        <f>'Evolutive SFP'!BZ13/(CAELS!CM3*1000000)</f>
        <v>0.35550197542738737</v>
      </c>
      <c r="CN19" s="38">
        <f>'Evolutive SFP'!CA13/(CAELS!CN3*1000000)</f>
        <v>0.34393794276503753</v>
      </c>
    </row>
    <row r="20" spans="1:92" ht="15">
      <c r="A20" s="423"/>
      <c r="B20" s="4" t="s">
        <v>220</v>
      </c>
      <c r="C20" s="12"/>
      <c r="D20" s="34" t="e">
        <f>'Evolutive SFP'!#REF!/'Evolutive SFP'!#REF!</f>
        <v>#REF!</v>
      </c>
      <c r="E20" s="34" t="e">
        <f>'Evolutive SFP'!#REF!/'Evolutive SFP'!#REF!</f>
        <v>#REF!</v>
      </c>
      <c r="F20" s="34" t="e">
        <f>'Evolutive SFP'!#REF!/'Evolutive SFP'!#REF!</f>
        <v>#REF!</v>
      </c>
      <c r="G20" s="34" t="e">
        <f>'Evolutive SFP'!#REF!/'Evolutive SFP'!#REF!</f>
        <v>#REF!</v>
      </c>
      <c r="H20" s="34" t="e">
        <f>'Evolutive SFP'!#REF!/'Evolutive SFP'!#REF!</f>
        <v>#REF!</v>
      </c>
      <c r="I20" s="34" t="e">
        <f>'Evolutive SFP'!#REF!/'Evolutive SFP'!#REF!</f>
        <v>#REF!</v>
      </c>
      <c r="J20" s="34" t="e">
        <f>'Evolutive SFP'!#REF!/'Evolutive SFP'!#REF!</f>
        <v>#REF!</v>
      </c>
      <c r="K20" s="34" t="e">
        <f>'Evolutive SFP'!#REF!/'Evolutive SFP'!#REF!</f>
        <v>#REF!</v>
      </c>
      <c r="L20" s="34" t="e">
        <f>'Evolutive SFP'!#REF!/'Evolutive SFP'!#REF!</f>
        <v>#REF!</v>
      </c>
      <c r="M20" s="34" t="e">
        <f>'Evolutive SFP'!#REF!/'Evolutive SFP'!#REF!</f>
        <v>#REF!</v>
      </c>
      <c r="N20" s="34" t="e">
        <f>'Evolutive SFP'!#REF!/'Evolutive SFP'!#REF!</f>
        <v>#REF!</v>
      </c>
      <c r="O20" s="34" t="e">
        <f>'Evolutive SFP'!#REF!/'Evolutive SFP'!#REF!</f>
        <v>#REF!</v>
      </c>
      <c r="P20" s="34" t="e">
        <f>'Evolutive SFP'!#REF!/'Evolutive SFP'!#REF!</f>
        <v>#REF!</v>
      </c>
      <c r="Q20" s="34" t="e">
        <f>'Evolutive SFP'!#REF!/'Evolutive SFP'!#REF!</f>
        <v>#REF!</v>
      </c>
      <c r="R20" s="34" t="e">
        <f>'Evolutive SFP'!#REF!/'Evolutive SFP'!#REF!</f>
        <v>#REF!</v>
      </c>
      <c r="S20" s="38" t="e">
        <f>'Evolutive SFP'!#REF!/'Evolutive SFP'!#REF!</f>
        <v>#REF!</v>
      </c>
      <c r="T20" s="38" t="e">
        <f>'Evolutive SFP'!#REF!/'Evolutive SFP'!#REF!</f>
        <v>#REF!</v>
      </c>
      <c r="U20" s="38" t="e">
        <f>'Evolutive SFP'!#REF!/'Evolutive SFP'!#REF!</f>
        <v>#REF!</v>
      </c>
      <c r="V20" s="38" t="e">
        <f>'Evolutive SFP'!#REF!/'Evolutive SFP'!#REF!</f>
        <v>#REF!</v>
      </c>
      <c r="W20" s="38" t="e">
        <f>'Evolutive SFP'!#REF!/'Evolutive SFP'!#REF!</f>
        <v>#REF!</v>
      </c>
      <c r="X20" s="38" t="e">
        <f>'Evolutive SFP'!#REF!/'Evolutive SFP'!#REF!</f>
        <v>#REF!</v>
      </c>
      <c r="Y20" s="38" t="e">
        <f>'Evolutive SFP'!#REF!/'Evolutive SFP'!#REF!</f>
        <v>#REF!</v>
      </c>
      <c r="Z20" s="38" t="e">
        <f>'Evolutive SFP'!#REF!/'Evolutive SFP'!#REF!</f>
        <v>#REF!</v>
      </c>
      <c r="AA20" s="38" t="e">
        <f>'Evolutive SFP'!#REF!/'Evolutive SFP'!#REF!</f>
        <v>#REF!</v>
      </c>
      <c r="AB20" s="38" t="e">
        <f>'Evolutive SFP'!#REF!/'Evolutive SFP'!#REF!</f>
        <v>#REF!</v>
      </c>
      <c r="AC20" s="38" t="e">
        <f>'Evolutive SFP'!#REF!/'Evolutive SFP'!#REF!</f>
        <v>#REF!</v>
      </c>
      <c r="AD20" s="38" t="e">
        <f>'Evolutive SFP'!#REF!/'Evolutive SFP'!#REF!</f>
        <v>#REF!</v>
      </c>
      <c r="AE20" s="38" t="e">
        <f>'Evolutive SFP'!#REF!/'Evolutive SFP'!#REF!</f>
        <v>#REF!</v>
      </c>
      <c r="AF20" s="38" t="e">
        <f>'Evolutive SFP'!#REF!/'Evolutive SFP'!#REF!</f>
        <v>#REF!</v>
      </c>
      <c r="AG20" s="38" t="e">
        <f>'Evolutive SFP'!#REF!/'Evolutive SFP'!#REF!</f>
        <v>#REF!</v>
      </c>
      <c r="AH20" s="38" t="e">
        <f>'Evolutive SFP'!#REF!/'Evolutive SFP'!#REF!</f>
        <v>#REF!</v>
      </c>
      <c r="AI20" s="38" t="e">
        <f>'Evolutive SFP'!#REF!/'Evolutive SFP'!#REF!</f>
        <v>#REF!</v>
      </c>
      <c r="AJ20" s="38" t="e">
        <f>'Evolutive SFP'!#REF!/'Evolutive SFP'!#REF!</f>
        <v>#REF!</v>
      </c>
      <c r="AK20" s="38" t="e">
        <f>'Evolutive SFP'!#REF!/'Evolutive SFP'!#REF!</f>
        <v>#REF!</v>
      </c>
      <c r="AL20" s="38" t="e">
        <f>'Evolutive SFP'!#REF!/'Evolutive SFP'!#REF!</f>
        <v>#REF!</v>
      </c>
      <c r="AM20" s="38" t="e">
        <f>'Evolutive SFP'!#REF!/'Evolutive SFP'!#REF!</f>
        <v>#REF!</v>
      </c>
      <c r="AN20" s="38" t="e">
        <f>'Evolutive SFP'!#REF!/'Evolutive SFP'!#REF!</f>
        <v>#REF!</v>
      </c>
      <c r="AO20" s="38" t="e">
        <f>'Evolutive SFP'!#REF!/'Evolutive SFP'!#REF!</f>
        <v>#REF!</v>
      </c>
      <c r="AP20" s="38" t="e">
        <f>'Evolutive SFP'!#REF!/'Evolutive SFP'!#REF!</f>
        <v>#REF!</v>
      </c>
      <c r="AQ20" s="38" t="e">
        <f>'Evolutive SFP'!#REF!/'Evolutive SFP'!#REF!</f>
        <v>#REF!</v>
      </c>
      <c r="AR20" s="38" t="e">
        <f>'Evolutive SFP'!#REF!/'Evolutive SFP'!#REF!</f>
        <v>#REF!</v>
      </c>
      <c r="AS20" s="38" t="e">
        <f>'Evolutive SFP'!#REF!/'Evolutive SFP'!#REF!</f>
        <v>#REF!</v>
      </c>
      <c r="AT20" s="38">
        <f>'Evolutive SFP'!AH15/'Evolutive SFP'!AH27</f>
        <v>0.42107490373031065</v>
      </c>
      <c r="AU20" s="38">
        <f>'Evolutive SFP'!AI15/'Evolutive SFP'!AI27</f>
        <v>0.42115885056777125</v>
      </c>
      <c r="AV20" s="38">
        <f>'Evolutive SFP'!AJ15/'Evolutive SFP'!AJ27</f>
        <v>0.41214800896437692</v>
      </c>
      <c r="AW20" s="38">
        <f>'Evolutive SFP'!AK15/'Evolutive SFP'!AK27</f>
        <v>0.44462388333147634</v>
      </c>
      <c r="AX20" s="38">
        <f>'Evolutive SFP'!AL15/'Evolutive SFP'!AL27</f>
        <v>0.40797676339463795</v>
      </c>
      <c r="AY20" s="38">
        <f>'Evolutive SFP'!AM15/'Evolutive SFP'!AM27</f>
        <v>0.39319083686600548</v>
      </c>
      <c r="AZ20" s="38">
        <f>'Evolutive SFP'!AN15/'Evolutive SFP'!AN27</f>
        <v>0.39308158113641206</v>
      </c>
      <c r="BA20" s="38" t="e">
        <f>'Evolutive SFP'!#REF!/'Evolutive SFP'!#REF!</f>
        <v>#REF!</v>
      </c>
      <c r="BB20" s="38">
        <f>'Evolutive SFP'!AO15/'Evolutive SFP'!AO27</f>
        <v>0.38198366088699287</v>
      </c>
      <c r="BC20" s="38">
        <f>'Evolutive SFP'!AP15/'Evolutive SFP'!AP27</f>
        <v>0.39818736551328626</v>
      </c>
      <c r="BD20" s="38">
        <f>'Evolutive SFP'!AQ15/'Evolutive SFP'!AQ27</f>
        <v>0.4206825106999687</v>
      </c>
      <c r="BE20" s="38">
        <f>'Evolutive SFP'!AR15/'Evolutive SFP'!AR27</f>
        <v>0.40292040139964169</v>
      </c>
      <c r="BF20" s="38">
        <f>'Evolutive SFP'!AS15/'Evolutive SFP'!AS27</f>
        <v>0.45164920200139652</v>
      </c>
      <c r="BG20" s="38">
        <f>'Evolutive SFP'!AT15/'Evolutive SFP'!AT27</f>
        <v>0.45173600840225314</v>
      </c>
      <c r="BH20" s="38">
        <f>'Evolutive SFP'!AU15/'Evolutive SFP'!AU27</f>
        <v>0.49658925730154801</v>
      </c>
      <c r="BI20" s="38">
        <f>'Evolutive SFP'!AV15/'Evolutive SFP'!AV27</f>
        <v>0.49087355142441991</v>
      </c>
      <c r="BJ20" s="38">
        <f>'Evolutive SFP'!AW15/'Evolutive SFP'!AW27</f>
        <v>0.43756105394336509</v>
      </c>
      <c r="BK20" s="38">
        <f>'Evolutive SFP'!AX15/'Evolutive SFP'!AX27</f>
        <v>0.44304669102060451</v>
      </c>
      <c r="BL20" s="38">
        <f>'Evolutive SFP'!AY15/'Evolutive SFP'!AY27</f>
        <v>0.44038714249021371</v>
      </c>
      <c r="BM20" s="38">
        <f>'Evolutive SFP'!AZ15/'Evolutive SFP'!AZ27</f>
        <v>0.50330828510749626</v>
      </c>
      <c r="BN20" s="38">
        <f>'Evolutive SFP'!BA15/'Evolutive SFP'!BA27</f>
        <v>0.46394402278474978</v>
      </c>
      <c r="BO20" s="38">
        <f>'Evolutive SFP'!BB15/'Evolutive SFP'!BB27</f>
        <v>0.44453746262537724</v>
      </c>
      <c r="BP20" s="38">
        <f>'Evolutive SFP'!BC15/'Evolutive SFP'!BC27</f>
        <v>0.52112301996044719</v>
      </c>
      <c r="BQ20" s="38">
        <f>'Evolutive SFP'!BD15/'Evolutive SFP'!BD27</f>
        <v>0.45191594432322274</v>
      </c>
      <c r="BR20" s="38">
        <f>'Evolutive SFP'!BE15/'Evolutive SFP'!BE27</f>
        <v>0.42713726877626207</v>
      </c>
      <c r="BS20" s="38">
        <f>'Evolutive SFP'!BF15/'Evolutive SFP'!BF27</f>
        <v>0.42960055496400962</v>
      </c>
      <c r="BT20" s="38">
        <f>'Evolutive SFP'!BG15/'Evolutive SFP'!BG27</f>
        <v>0.42836642504653266</v>
      </c>
      <c r="BU20" s="38">
        <f>'Evolutive SFP'!BH15/'Evolutive SFP'!BH27</f>
        <v>0.42502160351015261</v>
      </c>
      <c r="BV20" s="38">
        <f>'Evolutive SFP'!BI15/'Evolutive SFP'!BI27</f>
        <v>0.41662896316651205</v>
      </c>
      <c r="BW20" s="38">
        <f>'Evolutive SFP'!BJ15/'Evolutive SFP'!BJ27</f>
        <v>0.4181316334630632</v>
      </c>
      <c r="BX20" s="38">
        <f>'Evolutive SFP'!BK15/'Evolutive SFP'!BK27</f>
        <v>0.46075685573259356</v>
      </c>
      <c r="BY20" s="38">
        <f>'Evolutive SFP'!BL15/'Evolutive SFP'!BL27</f>
        <v>0.45367466227647568</v>
      </c>
      <c r="BZ20" s="38">
        <f>'Evolutive SFP'!BM15/'Evolutive SFP'!BM27</f>
        <v>0.44150896360787933</v>
      </c>
      <c r="CA20" s="38">
        <f>'Evolutive SFP'!BN15/'Evolutive SFP'!BN27</f>
        <v>0.44515054424067163</v>
      </c>
      <c r="CB20" s="38">
        <f>'Evolutive SFP'!BO15/'Evolutive SFP'!BO27</f>
        <v>0.43291614829222885</v>
      </c>
      <c r="CC20" s="38">
        <f>'Evolutive SFP'!BP15/'Evolutive SFP'!BP27</f>
        <v>0.44385794533911654</v>
      </c>
      <c r="CD20" s="38">
        <f>'Evolutive SFP'!BQ15/'Evolutive SFP'!BQ27</f>
        <v>0.42739419176622484</v>
      </c>
      <c r="CE20" s="38">
        <f>'Evolutive SFP'!BR15/'Evolutive SFP'!BR27</f>
        <v>0.43752959782116907</v>
      </c>
      <c r="CF20" s="38">
        <f>'Evolutive SFP'!BS15/'Evolutive SFP'!BS27</f>
        <v>0.46050434182604738</v>
      </c>
      <c r="CG20" s="38" t="e">
        <f>'Evolutive SFP'!BT15/'Evolutive SFP'!BT27</f>
        <v>#DIV/0!</v>
      </c>
      <c r="CH20" s="38">
        <f>'Evolutive SFP'!BU15/'Evolutive SFP'!BU27</f>
        <v>0.4697347958150967</v>
      </c>
      <c r="CI20" s="38">
        <f>'Evolutive SFP'!BV15/'Evolutive SFP'!BV27</f>
        <v>0.46691014658280855</v>
      </c>
      <c r="CJ20" s="38">
        <f>'Evolutive SFP'!BW15/'Evolutive SFP'!BW27</f>
        <v>0.48022214224403142</v>
      </c>
      <c r="CK20" s="38">
        <f>'Evolutive SFP'!BX15/'Evolutive SFP'!BX27</f>
        <v>0.4599717433524409</v>
      </c>
      <c r="CL20" s="38">
        <f>'Evolutive SFP'!BY15/'Evolutive SFP'!BY27</f>
        <v>0.46821674914140288</v>
      </c>
      <c r="CM20" s="38">
        <f>'Evolutive SFP'!BZ15/'Evolutive SFP'!BZ27</f>
        <v>0.46237415258594966</v>
      </c>
      <c r="CN20" s="38">
        <f>'Evolutive SFP'!CA15/'Evolutive SFP'!CA27</f>
        <v>0.48403698934104467</v>
      </c>
    </row>
    <row r="21" spans="1:92" ht="15">
      <c r="A21" s="422" t="s">
        <v>221</v>
      </c>
      <c r="B21" s="32" t="s">
        <v>222</v>
      </c>
      <c r="C21" s="2"/>
      <c r="D21" s="34" t="e">
        <f>'Evolutive SFP'!#REF!/'Evolutive SFP'!#REF!</f>
        <v>#REF!</v>
      </c>
      <c r="E21" s="34" t="e">
        <f>'Evolutive SFP'!#REF!/'Evolutive SFP'!#REF!</f>
        <v>#REF!</v>
      </c>
      <c r="F21" s="34" t="e">
        <f>'Evolutive SFP'!#REF!/'Evolutive SFP'!#REF!</f>
        <v>#REF!</v>
      </c>
      <c r="G21" s="34" t="e">
        <f>'Evolutive SFP'!#REF!/'Evolutive SFP'!#REF!</f>
        <v>#REF!</v>
      </c>
      <c r="H21" s="34" t="e">
        <f>'Evolutive SFP'!#REF!/'Evolutive SFP'!#REF!</f>
        <v>#REF!</v>
      </c>
      <c r="I21" s="34" t="e">
        <f>'Evolutive SFP'!#REF!/'Evolutive SFP'!#REF!</f>
        <v>#REF!</v>
      </c>
      <c r="J21" s="34" t="e">
        <f>'Evolutive SFP'!#REF!/'Evolutive SFP'!#REF!</f>
        <v>#REF!</v>
      </c>
      <c r="K21" s="34" t="e">
        <f>'Evolutive SFP'!#REF!/'Evolutive SFP'!#REF!</f>
        <v>#REF!</v>
      </c>
      <c r="L21" s="34" t="e">
        <f>'Evolutive SFP'!#REF!/'Evolutive SFP'!#REF!</f>
        <v>#REF!</v>
      </c>
      <c r="M21" s="34" t="e">
        <f>'Evolutive SFP'!#REF!/'Evolutive SFP'!#REF!</f>
        <v>#REF!</v>
      </c>
      <c r="N21" s="34" t="e">
        <f>'Evolutive SFP'!#REF!/'Evolutive SFP'!#REF!</f>
        <v>#REF!</v>
      </c>
      <c r="O21" s="34" t="e">
        <f>'Evolutive SFP'!#REF!/'Evolutive SFP'!#REF!</f>
        <v>#REF!</v>
      </c>
      <c r="P21" s="34" t="e">
        <f>'Evolutive SFP'!#REF!/'Evolutive SFP'!#REF!</f>
        <v>#REF!</v>
      </c>
      <c r="Q21" s="34" t="e">
        <f>'Evolutive SFP'!#REF!/'Evolutive SFP'!#REF!</f>
        <v>#REF!</v>
      </c>
      <c r="R21" s="34" t="e">
        <f>'Evolutive SFP'!#REF!/'Evolutive SFP'!#REF!</f>
        <v>#REF!</v>
      </c>
      <c r="S21" s="38" t="e">
        <f>'Evolutive SFP'!#REF!/'Evolutive SFP'!#REF!</f>
        <v>#REF!</v>
      </c>
      <c r="T21" s="38" t="e">
        <f>'Evolutive SFP'!#REF!/'Evolutive SFP'!#REF!</f>
        <v>#REF!</v>
      </c>
      <c r="U21" s="38" t="e">
        <f>'Evolutive SFP'!#REF!/'Evolutive SFP'!#REF!</f>
        <v>#REF!</v>
      </c>
      <c r="V21" s="38" t="e">
        <f>'Evolutive SFP'!#REF!/'Evolutive SFP'!#REF!</f>
        <v>#REF!</v>
      </c>
      <c r="W21" s="38" t="e">
        <f>'Evolutive SFP'!#REF!/'Evolutive SFP'!#REF!</f>
        <v>#REF!</v>
      </c>
      <c r="X21" s="38" t="e">
        <f>'Evolutive SFP'!#REF!/'Evolutive SFP'!#REF!</f>
        <v>#REF!</v>
      </c>
      <c r="Y21" s="38" t="e">
        <f>'Evolutive SFP'!#REF!/'Evolutive SFP'!#REF!</f>
        <v>#REF!</v>
      </c>
      <c r="Z21" s="38" t="e">
        <f>'Evolutive SFP'!#REF!/'Evolutive SFP'!#REF!</f>
        <v>#REF!</v>
      </c>
      <c r="AA21" s="38" t="e">
        <f>'Evolutive SFP'!#REF!/'Evolutive SFP'!#REF!</f>
        <v>#REF!</v>
      </c>
      <c r="AB21" s="38" t="e">
        <f>'Evolutive SFP'!#REF!/'Evolutive SFP'!#REF!</f>
        <v>#REF!</v>
      </c>
      <c r="AC21" s="38" t="e">
        <f>'Evolutive SFP'!#REF!/'Evolutive SFP'!#REF!</f>
        <v>#REF!</v>
      </c>
      <c r="AD21" s="38" t="e">
        <f>'Evolutive SFP'!#REF!/'Evolutive SFP'!#REF!</f>
        <v>#REF!</v>
      </c>
      <c r="AE21" s="38" t="e">
        <f>'Evolutive SFP'!#REF!/'Evolutive SFP'!#REF!</f>
        <v>#REF!</v>
      </c>
      <c r="AF21" s="38" t="e">
        <f>'Evolutive SFP'!#REF!/'Evolutive SFP'!#REF!</f>
        <v>#REF!</v>
      </c>
      <c r="AG21" s="38" t="e">
        <f>'Evolutive SFP'!#REF!/'Evolutive SFP'!#REF!</f>
        <v>#REF!</v>
      </c>
      <c r="AH21" s="38" t="e">
        <f>'Evolutive SFP'!#REF!/'Evolutive SFP'!#REF!</f>
        <v>#REF!</v>
      </c>
      <c r="AI21" s="38" t="e">
        <f>'Evolutive SFP'!#REF!/'Evolutive SFP'!#REF!</f>
        <v>#REF!</v>
      </c>
      <c r="AJ21" s="38" t="e">
        <f>'Evolutive SFP'!#REF!/'Evolutive SFP'!#REF!</f>
        <v>#REF!</v>
      </c>
      <c r="AK21" s="38" t="e">
        <f>'Evolutive SFP'!#REF!/'Evolutive SFP'!#REF!</f>
        <v>#REF!</v>
      </c>
      <c r="AL21" s="38" t="e">
        <f>'Evolutive SFP'!#REF!/'Evolutive SFP'!#REF!</f>
        <v>#REF!</v>
      </c>
      <c r="AM21" s="38" t="e">
        <f>'Evolutive SFP'!#REF!/'Evolutive SFP'!#REF!</f>
        <v>#REF!</v>
      </c>
      <c r="AN21" s="38" t="e">
        <f>'Evolutive SFP'!#REF!/'Evolutive SFP'!#REF!</f>
        <v>#REF!</v>
      </c>
      <c r="AO21" s="38" t="e">
        <f>'Evolutive SFP'!#REF!/'Evolutive SFP'!#REF!</f>
        <v>#REF!</v>
      </c>
      <c r="AP21" s="38" t="e">
        <f>'Evolutive SFP'!#REF!/'Evolutive SFP'!#REF!</f>
        <v>#REF!</v>
      </c>
      <c r="AQ21" s="38" t="e">
        <f>'Evolutive SFP'!#REF!/'Evolutive SFP'!#REF!</f>
        <v>#REF!</v>
      </c>
      <c r="AR21" s="38" t="e">
        <f>'Evolutive SFP'!#REF!/'Evolutive SFP'!#REF!</f>
        <v>#REF!</v>
      </c>
      <c r="AS21" s="38" t="e">
        <f>'Evolutive SFP'!#REF!/'Evolutive SFP'!#REF!</f>
        <v>#REF!</v>
      </c>
      <c r="AT21" s="38">
        <f>'Evolutive SFP'!AH31/'Evolutive SFP'!AH27</f>
        <v>0.67135148194123417</v>
      </c>
      <c r="AU21" s="38">
        <f>'Evolutive SFP'!AI31/'Evolutive SFP'!AI27</f>
        <v>0.64825154335580704</v>
      </c>
      <c r="AV21" s="38">
        <f>'Evolutive SFP'!AJ31/'Evolutive SFP'!AJ27</f>
        <v>0.65202277540802489</v>
      </c>
      <c r="AW21" s="38">
        <f>'Evolutive SFP'!AK31/'Evolutive SFP'!AK27</f>
        <v>0.63582430985638505</v>
      </c>
      <c r="AX21" s="38">
        <f>'Evolutive SFP'!AL31/'Evolutive SFP'!AL27</f>
        <v>0.66305645509046196</v>
      </c>
      <c r="AY21" s="38">
        <f>'Evolutive SFP'!AM31/'Evolutive SFP'!AM27</f>
        <v>0.66894900852896799</v>
      </c>
      <c r="AZ21" s="38">
        <f>'Evolutive SFP'!AN31/'Evolutive SFP'!AN27</f>
        <v>0.66040488828948407</v>
      </c>
      <c r="BA21" s="38" t="e">
        <f>'Evolutive SFP'!#REF!/'Evolutive SFP'!#REF!</f>
        <v>#REF!</v>
      </c>
      <c r="BB21" s="38">
        <f>'Evolutive SFP'!AO31/'Evolutive SFP'!AO27</f>
        <v>0.66109822095768878</v>
      </c>
      <c r="BC21" s="38">
        <f>'Evolutive SFP'!AP31/'Evolutive SFP'!AP27</f>
        <v>0.65830623991987192</v>
      </c>
      <c r="BD21" s="38">
        <f>'Evolutive SFP'!AQ31/'Evolutive SFP'!AQ27</f>
        <v>0.68488150236799439</v>
      </c>
      <c r="BE21" s="38">
        <f>'Evolutive SFP'!AR31/'Evolutive SFP'!AR27</f>
        <v>0.69064315914538021</v>
      </c>
      <c r="BF21" s="38">
        <f>'Evolutive SFP'!AS31/'Evolutive SFP'!AS27</f>
        <v>0.66352743324885322</v>
      </c>
      <c r="BG21" s="38">
        <f>'Evolutive SFP'!AT31/'Evolutive SFP'!AT27</f>
        <v>0.66365494649513812</v>
      </c>
      <c r="BH21" s="38">
        <f>'Evolutive SFP'!AU31/'Evolutive SFP'!AU27</f>
        <v>0.66635125520463778</v>
      </c>
      <c r="BI21" s="38">
        <f>'Evolutive SFP'!AV31/'Evolutive SFP'!AV27</f>
        <v>0.66195367866997956</v>
      </c>
      <c r="BJ21" s="38">
        <f>'Evolutive SFP'!AW31/'Evolutive SFP'!AW27</f>
        <v>0.67243576096540447</v>
      </c>
      <c r="BK21" s="38">
        <f>'Evolutive SFP'!AX31/'Evolutive SFP'!AX27</f>
        <v>0.69872391608355422</v>
      </c>
      <c r="BL21" s="38">
        <f>'Evolutive SFP'!AY31/'Evolutive SFP'!AY27</f>
        <v>0.69894843754382152</v>
      </c>
      <c r="BM21" s="38">
        <f>'Evolutive SFP'!AZ31/'Evolutive SFP'!AZ27</f>
        <v>0.69803244290468969</v>
      </c>
      <c r="BN21" s="38">
        <f>'Evolutive SFP'!BA31/'Evolutive SFP'!BA27</f>
        <v>0.70735446355114495</v>
      </c>
      <c r="BO21" s="38">
        <f>'Evolutive SFP'!BB31/'Evolutive SFP'!BB27</f>
        <v>0.70485250203507521</v>
      </c>
      <c r="BP21" s="38">
        <f>'Evolutive SFP'!BC31/'Evolutive SFP'!BC27</f>
        <v>0.68394503668325646</v>
      </c>
      <c r="BQ21" s="38">
        <f>'Evolutive SFP'!BD31/'Evolutive SFP'!BD27</f>
        <v>0.68359290922881855</v>
      </c>
      <c r="BR21" s="38">
        <f>'Evolutive SFP'!BE31/'Evolutive SFP'!BE27</f>
        <v>0.69448613178031493</v>
      </c>
      <c r="BS21" s="38">
        <f>'Evolutive SFP'!BF31/'Evolutive SFP'!BF27</f>
        <v>0.67818590625470598</v>
      </c>
      <c r="BT21" s="38">
        <f>'Evolutive SFP'!BG31/'Evolutive SFP'!BG27</f>
        <v>0.67121774677694512</v>
      </c>
      <c r="BU21" s="38">
        <f>'Evolutive SFP'!BH31/'Evolutive SFP'!BH27</f>
        <v>0.6772481781122992</v>
      </c>
      <c r="BV21" s="38">
        <f>'Evolutive SFP'!BI31/'Evolutive SFP'!BI27</f>
        <v>0.67971102695200636</v>
      </c>
      <c r="BW21" s="38">
        <f>'Evolutive SFP'!BJ31/'Evolutive SFP'!BJ27</f>
        <v>0.67322221019741335</v>
      </c>
      <c r="BX21" s="38">
        <f>'Evolutive SFP'!BK31/'Evolutive SFP'!BK27</f>
        <v>0.70618399357937112</v>
      </c>
      <c r="BY21" s="38">
        <f>'Evolutive SFP'!BL31/'Evolutive SFP'!BL27</f>
        <v>0.70348220008638718</v>
      </c>
      <c r="BZ21" s="38">
        <f>'Evolutive SFP'!BM31/'Evolutive SFP'!BM27</f>
        <v>0.70752127958685274</v>
      </c>
      <c r="CA21" s="38">
        <f>'Evolutive SFP'!BN31/'Evolutive SFP'!BN27</f>
        <v>0.69644829349114357</v>
      </c>
      <c r="CB21" s="38">
        <f>'Evolutive SFP'!BO31/'Evolutive SFP'!BO27</f>
        <v>0.69261717822458158</v>
      </c>
      <c r="CC21" s="38">
        <f>'Evolutive SFP'!BP31/'Evolutive SFP'!BP27</f>
        <v>0.68785198553022353</v>
      </c>
      <c r="CD21" s="38">
        <f>'Evolutive SFP'!BQ31/'Evolutive SFP'!BQ27</f>
        <v>0.69248541260546681</v>
      </c>
      <c r="CE21" s="38">
        <f>'Evolutive SFP'!BR31/'Evolutive SFP'!BR27</f>
        <v>0.68561058655750984</v>
      </c>
      <c r="CF21" s="38">
        <f>'Evolutive SFP'!BS31/'Evolutive SFP'!BS27</f>
        <v>0.67359234612081742</v>
      </c>
      <c r="CG21" s="38" t="e">
        <f>'Evolutive SFP'!BT31/'Evolutive SFP'!BT27</f>
        <v>#DIV/0!</v>
      </c>
      <c r="CH21" s="38">
        <f>'Evolutive SFP'!BU31/'Evolutive SFP'!BU27</f>
        <v>0.67325106653487465</v>
      </c>
      <c r="CI21" s="38">
        <f>'Evolutive SFP'!BV31/'Evolutive SFP'!BV27</f>
        <v>0.6718142019875275</v>
      </c>
      <c r="CJ21" s="38">
        <f>'Evolutive SFP'!BW31/'Evolutive SFP'!BW27</f>
        <v>0.66332574548953238</v>
      </c>
      <c r="CK21" s="38">
        <f>'Evolutive SFP'!BX31/'Evolutive SFP'!BX27</f>
        <v>0.6948960766528437</v>
      </c>
      <c r="CL21" s="38">
        <f>'Evolutive SFP'!BY31/'Evolutive SFP'!BY27</f>
        <v>0.68341073804696328</v>
      </c>
      <c r="CM21" s="38">
        <f>'Evolutive SFP'!BZ31/'Evolutive SFP'!BZ27</f>
        <v>0.68593924203819745</v>
      </c>
      <c r="CN21" s="38">
        <f>'Evolutive SFP'!CA31/'Evolutive SFP'!CA27</f>
        <v>0.6759329738595673</v>
      </c>
    </row>
    <row r="22" spans="1:92" ht="15">
      <c r="A22" s="422"/>
      <c r="B22" s="32" t="s">
        <v>223</v>
      </c>
      <c r="C22" s="2"/>
      <c r="D22" s="34" t="e">
        <f>'Evolutive SFP'!#REF!/'Evolutive SFP'!#REF!</f>
        <v>#REF!</v>
      </c>
      <c r="E22" s="34" t="e">
        <f>'Evolutive SFP'!#REF!/'Evolutive SFP'!#REF!</f>
        <v>#REF!</v>
      </c>
      <c r="F22" s="34" t="e">
        <f>'Evolutive SFP'!#REF!/'Evolutive SFP'!#REF!</f>
        <v>#REF!</v>
      </c>
      <c r="G22" s="34" t="e">
        <f>'Evolutive SFP'!#REF!/'Evolutive SFP'!#REF!</f>
        <v>#REF!</v>
      </c>
      <c r="H22" s="34" t="e">
        <f>'Evolutive SFP'!#REF!/'Evolutive SFP'!#REF!</f>
        <v>#REF!</v>
      </c>
      <c r="I22" s="34" t="e">
        <f>'Evolutive SFP'!#REF!/'Evolutive SFP'!#REF!</f>
        <v>#REF!</v>
      </c>
      <c r="J22" s="34" t="e">
        <f>'Evolutive SFP'!#REF!/'Evolutive SFP'!#REF!</f>
        <v>#REF!</v>
      </c>
      <c r="K22" s="34" t="e">
        <f>'Evolutive SFP'!#REF!/'Evolutive SFP'!#REF!</f>
        <v>#REF!</v>
      </c>
      <c r="L22" s="34" t="e">
        <f>'Evolutive SFP'!#REF!/'Evolutive SFP'!#REF!</f>
        <v>#REF!</v>
      </c>
      <c r="M22" s="34" t="e">
        <f>'Evolutive SFP'!#REF!/'Evolutive SFP'!#REF!</f>
        <v>#REF!</v>
      </c>
      <c r="N22" s="34" t="e">
        <f>'Evolutive SFP'!#REF!/'Evolutive SFP'!#REF!</f>
        <v>#REF!</v>
      </c>
      <c r="O22" s="34" t="e">
        <f>'Evolutive SFP'!#REF!/'Evolutive SFP'!#REF!</f>
        <v>#REF!</v>
      </c>
      <c r="P22" s="34" t="e">
        <f>'Evolutive SFP'!#REF!/'Evolutive SFP'!#REF!</f>
        <v>#REF!</v>
      </c>
      <c r="Q22" s="34" t="e">
        <f>'Evolutive SFP'!#REF!/'Evolutive SFP'!#REF!</f>
        <v>#REF!</v>
      </c>
      <c r="R22" s="34" t="e">
        <f>'Evolutive SFP'!#REF!/'Evolutive SFP'!#REF!</f>
        <v>#REF!</v>
      </c>
      <c r="S22" s="38" t="e">
        <f>'Evolutive SFP'!#REF!/'Evolutive SFP'!#REF!</f>
        <v>#REF!</v>
      </c>
      <c r="T22" s="38" t="e">
        <f>'Evolutive SFP'!#REF!/'Evolutive SFP'!#REF!</f>
        <v>#REF!</v>
      </c>
      <c r="U22" s="38" t="e">
        <f>'Evolutive SFP'!#REF!/'Evolutive SFP'!#REF!</f>
        <v>#REF!</v>
      </c>
      <c r="V22" s="38" t="e">
        <f>'Evolutive SFP'!#REF!/'Evolutive SFP'!#REF!</f>
        <v>#REF!</v>
      </c>
      <c r="W22" s="38" t="e">
        <f>'Evolutive SFP'!#REF!/'Evolutive SFP'!#REF!</f>
        <v>#REF!</v>
      </c>
      <c r="X22" s="38" t="e">
        <f>'Evolutive SFP'!#REF!/'Evolutive SFP'!#REF!</f>
        <v>#REF!</v>
      </c>
      <c r="Y22" s="38" t="e">
        <f>'Evolutive SFP'!#REF!/'Evolutive SFP'!#REF!</f>
        <v>#REF!</v>
      </c>
      <c r="Z22" s="38" t="e">
        <f>'Evolutive SFP'!#REF!/'Evolutive SFP'!#REF!</f>
        <v>#REF!</v>
      </c>
      <c r="AA22" s="38" t="e">
        <f>'Evolutive SFP'!#REF!/'Evolutive SFP'!#REF!</f>
        <v>#REF!</v>
      </c>
      <c r="AB22" s="38" t="e">
        <f>'Evolutive SFP'!#REF!/'Evolutive SFP'!#REF!</f>
        <v>#REF!</v>
      </c>
      <c r="AC22" s="38" t="e">
        <f>'Evolutive SFP'!#REF!/'Evolutive SFP'!#REF!</f>
        <v>#REF!</v>
      </c>
      <c r="AD22" s="38" t="e">
        <f>'Evolutive SFP'!#REF!/'Evolutive SFP'!#REF!</f>
        <v>#REF!</v>
      </c>
      <c r="AE22" s="38" t="e">
        <f>'Evolutive SFP'!#REF!/'Evolutive SFP'!#REF!</f>
        <v>#REF!</v>
      </c>
      <c r="AF22" s="38" t="e">
        <f>'Evolutive SFP'!#REF!/'Evolutive SFP'!#REF!</f>
        <v>#REF!</v>
      </c>
      <c r="AG22" s="38" t="e">
        <f>'Evolutive SFP'!#REF!/'Evolutive SFP'!#REF!</f>
        <v>#REF!</v>
      </c>
      <c r="AH22" s="38" t="e">
        <f>'Evolutive SFP'!#REF!/'Evolutive SFP'!#REF!</f>
        <v>#REF!</v>
      </c>
      <c r="AI22" s="38" t="e">
        <f>'Evolutive SFP'!#REF!/'Evolutive SFP'!#REF!</f>
        <v>#REF!</v>
      </c>
      <c r="AJ22" s="38" t="e">
        <f>'Evolutive SFP'!#REF!/'Evolutive SFP'!#REF!</f>
        <v>#REF!</v>
      </c>
      <c r="AK22" s="38" t="e">
        <f>'Evolutive SFP'!#REF!/'Evolutive SFP'!#REF!</f>
        <v>#REF!</v>
      </c>
      <c r="AL22" s="38" t="e">
        <f>'Evolutive SFP'!#REF!/'Evolutive SFP'!#REF!</f>
        <v>#REF!</v>
      </c>
      <c r="AM22" s="38" t="e">
        <f>'Evolutive SFP'!#REF!/'Evolutive SFP'!#REF!</f>
        <v>#REF!</v>
      </c>
      <c r="AN22" s="38" t="e">
        <f>'Evolutive SFP'!#REF!/'Evolutive SFP'!#REF!</f>
        <v>#REF!</v>
      </c>
      <c r="AO22" s="38" t="e">
        <f>'Evolutive SFP'!#REF!/'Evolutive SFP'!#REF!</f>
        <v>#REF!</v>
      </c>
      <c r="AP22" s="38" t="e">
        <f>'Evolutive SFP'!#REF!/'Evolutive SFP'!#REF!</f>
        <v>#REF!</v>
      </c>
      <c r="AQ22" s="38" t="e">
        <f>'Evolutive SFP'!#REF!/'Evolutive SFP'!#REF!</f>
        <v>#REF!</v>
      </c>
      <c r="AR22" s="38" t="e">
        <f>'Evolutive SFP'!#REF!/'Evolutive SFP'!#REF!</f>
        <v>#REF!</v>
      </c>
      <c r="AS22" s="38" t="e">
        <f>'Evolutive SFP'!#REF!/'Evolutive SFP'!#REF!</f>
        <v>#REF!</v>
      </c>
      <c r="AT22" s="38">
        <f>'Evolutive SFP'!AH30/'Evolutive SFP'!AH27</f>
        <v>0.55204630386328279</v>
      </c>
      <c r="AU22" s="38">
        <f>'Evolutive SFP'!AI30/'Evolutive SFP'!AI27</f>
        <v>0.50927113834905058</v>
      </c>
      <c r="AV22" s="38">
        <f>'Evolutive SFP'!AJ30/'Evolutive SFP'!AJ27</f>
        <v>0.49849171691012628</v>
      </c>
      <c r="AW22" s="38">
        <f>'Evolutive SFP'!AK30/'Evolutive SFP'!AK27</f>
        <v>0.51885930775541145</v>
      </c>
      <c r="AX22" s="38">
        <f>'Evolutive SFP'!AL30/'Evolutive SFP'!AL27</f>
        <v>0.52309731583707453</v>
      </c>
      <c r="AY22" s="38">
        <f>'Evolutive SFP'!AM30/'Evolutive SFP'!AM27</f>
        <v>0.50976571325293618</v>
      </c>
      <c r="AZ22" s="38">
        <f>'Evolutive SFP'!AN30/'Evolutive SFP'!AN27</f>
        <v>0.51952386059682099</v>
      </c>
      <c r="BA22" s="38" t="e">
        <f>'Evolutive SFP'!#REF!/'Evolutive SFP'!#REF!</f>
        <v>#REF!</v>
      </c>
      <c r="BB22" s="38">
        <f>'Evolutive SFP'!AO30/'Evolutive SFP'!AO27</f>
        <v>0.50936923203418749</v>
      </c>
      <c r="BC22" s="38">
        <f>'Evolutive SFP'!AP30/'Evolutive SFP'!AP27</f>
        <v>0.51513746826287754</v>
      </c>
      <c r="BD22" s="38">
        <f>'Evolutive SFP'!AQ30/'Evolutive SFP'!AQ27</f>
        <v>0.53785767681631313</v>
      </c>
      <c r="BE22" s="38">
        <f>'Evolutive SFP'!AR30/'Evolutive SFP'!AR27</f>
        <v>0.52021145817490344</v>
      </c>
      <c r="BF22" s="38">
        <f>'Evolutive SFP'!AS30/'Evolutive SFP'!AS27</f>
        <v>0.56222042776978864</v>
      </c>
      <c r="BG22" s="38">
        <f>'Evolutive SFP'!AT30/'Evolutive SFP'!AT27</f>
        <v>0.56232846373811474</v>
      </c>
      <c r="BH22" s="38">
        <f>'Evolutive SFP'!AU30/'Evolutive SFP'!AU27</f>
        <v>0.56837853271129446</v>
      </c>
      <c r="BI22" s="38">
        <f>'Evolutive SFP'!AV30/'Evolutive SFP'!AV27</f>
        <v>0.57166634000048588</v>
      </c>
      <c r="BJ22" s="38">
        <f>'Evolutive SFP'!AW30/'Evolutive SFP'!AW27</f>
        <v>0.55693626060318191</v>
      </c>
      <c r="BK22" s="38">
        <f>'Evolutive SFP'!AX30/'Evolutive SFP'!AX27</f>
        <v>0.57144129716312819</v>
      </c>
      <c r="BL22" s="38">
        <f>'Evolutive SFP'!AY30/'Evolutive SFP'!AY27</f>
        <v>0.56902026979769749</v>
      </c>
      <c r="BM22" s="38">
        <f>'Evolutive SFP'!AZ30/'Evolutive SFP'!AZ27</f>
        <v>0.57834510976689912</v>
      </c>
      <c r="BN22" s="38">
        <f>'Evolutive SFP'!BA30/'Evolutive SFP'!BA27</f>
        <v>0.54533699441003303</v>
      </c>
      <c r="BO22" s="38">
        <f>'Evolutive SFP'!BB30/'Evolutive SFP'!BB27</f>
        <v>0.54526795828817642</v>
      </c>
      <c r="BP22" s="38">
        <f>'Evolutive SFP'!BC30/'Evolutive SFP'!BC27</f>
        <v>0.56519881873412459</v>
      </c>
      <c r="BQ22" s="38">
        <f>'Evolutive SFP'!BD30/'Evolutive SFP'!BD27</f>
        <v>0.54788295155995315</v>
      </c>
      <c r="BR22" s="38">
        <f>'Evolutive SFP'!BE30/'Evolutive SFP'!BE27</f>
        <v>0.52888148500802146</v>
      </c>
      <c r="BS22" s="38">
        <f>'Evolutive SFP'!BF30/'Evolutive SFP'!BF27</f>
        <v>0.5497551071021336</v>
      </c>
      <c r="BT22" s="38">
        <f>'Evolutive SFP'!BG30/'Evolutive SFP'!BG27</f>
        <v>0.54817581070344545</v>
      </c>
      <c r="BU22" s="38">
        <f>'Evolutive SFP'!BH30/'Evolutive SFP'!BH27</f>
        <v>0.55334233406917177</v>
      </c>
      <c r="BV22" s="38">
        <f>'Evolutive SFP'!BI30/'Evolutive SFP'!BI27</f>
        <v>0.54276500961936702</v>
      </c>
      <c r="BW22" s="38">
        <f>'Evolutive SFP'!BJ30/'Evolutive SFP'!BJ27</f>
        <v>0.53876122680094285</v>
      </c>
      <c r="BX22" s="38">
        <f>'Evolutive SFP'!BK30/'Evolutive SFP'!BK27</f>
        <v>0.55990190765977932</v>
      </c>
      <c r="BY22" s="38">
        <f>'Evolutive SFP'!BL30/'Evolutive SFP'!BL27</f>
        <v>0.5593921504889463</v>
      </c>
      <c r="BZ22" s="38">
        <f>'Evolutive SFP'!BM30/'Evolutive SFP'!BM27</f>
        <v>0.54356707506291679</v>
      </c>
      <c r="CA22" s="38">
        <f>'Evolutive SFP'!BN30/'Evolutive SFP'!BN27</f>
        <v>0.55169848727922743</v>
      </c>
      <c r="CB22" s="38">
        <f>'Evolutive SFP'!BO30/'Evolutive SFP'!BO27</f>
        <v>0.54779951305905472</v>
      </c>
      <c r="CC22" s="38">
        <f>'Evolutive SFP'!BP30/'Evolutive SFP'!BP27</f>
        <v>0.54802246977340874</v>
      </c>
      <c r="CD22" s="38">
        <f>'Evolutive SFP'!BQ30/'Evolutive SFP'!BQ27</f>
        <v>0.53988593846888655</v>
      </c>
      <c r="CE22" s="38">
        <f>'Evolutive SFP'!BR30/'Evolutive SFP'!BR27</f>
        <v>0.53150112503760338</v>
      </c>
      <c r="CF22" s="38">
        <f>'Evolutive SFP'!BS30/'Evolutive SFP'!BS27</f>
        <v>0.55555472773188586</v>
      </c>
      <c r="CG22" s="38" t="e">
        <f>'Evolutive SFP'!BT30/'Evolutive SFP'!BT27</f>
        <v>#DIV/0!</v>
      </c>
      <c r="CH22" s="38">
        <f>'Evolutive SFP'!BU30/'Evolutive SFP'!BU27</f>
        <v>0.55814893892304729</v>
      </c>
      <c r="CI22" s="38">
        <f>'Evolutive SFP'!BV30/'Evolutive SFP'!BV27</f>
        <v>0.55861839950331926</v>
      </c>
      <c r="CJ22" s="38">
        <f>'Evolutive SFP'!BW30/'Evolutive SFP'!BW27</f>
        <v>0.54872808455063593</v>
      </c>
      <c r="CK22" s="38">
        <f>'Evolutive SFP'!BX30/'Evolutive SFP'!BX27</f>
        <v>0.56277203411409848</v>
      </c>
      <c r="CL22" s="38">
        <f>'Evolutive SFP'!BY30/'Evolutive SFP'!BY27</f>
        <v>0.56328675065778155</v>
      </c>
      <c r="CM22" s="38">
        <f>'Evolutive SFP'!BZ30/'Evolutive SFP'!BZ27</f>
        <v>0.56334800894243642</v>
      </c>
      <c r="CN22" s="38">
        <f>'Evolutive SFP'!CA30/'Evolutive SFP'!CA27</f>
        <v>0.56229553375457375</v>
      </c>
    </row>
    <row r="23" spans="1:92" ht="15">
      <c r="A23" s="422"/>
      <c r="B23" s="32" t="s">
        <v>224</v>
      </c>
      <c r="C23" s="2"/>
      <c r="D23" s="34" t="e">
        <f>('Evolutive SFP'!#REF!+'Evolutive SFP'!#REF!)/'Evolutive SFP'!#REF!</f>
        <v>#REF!</v>
      </c>
      <c r="E23" s="34" t="e">
        <f>('Evolutive SFP'!#REF!+'Evolutive SFP'!#REF!)/'Evolutive SFP'!#REF!</f>
        <v>#REF!</v>
      </c>
      <c r="F23" s="34" t="e">
        <f>('Evolutive SFP'!#REF!+'Evolutive SFP'!#REF!)/'Evolutive SFP'!#REF!</f>
        <v>#REF!</v>
      </c>
      <c r="G23" s="34" t="e">
        <f>('Evolutive SFP'!#REF!+'Evolutive SFP'!#REF!)/'Evolutive SFP'!#REF!</f>
        <v>#REF!</v>
      </c>
      <c r="H23" s="34" t="e">
        <f>('Evolutive SFP'!#REF!+'Evolutive SFP'!#REF!)/'Evolutive SFP'!#REF!</f>
        <v>#REF!</v>
      </c>
      <c r="I23" s="34" t="e">
        <f>('Evolutive SFP'!#REF!+'Evolutive SFP'!#REF!)/'Evolutive SFP'!#REF!</f>
        <v>#REF!</v>
      </c>
      <c r="J23" s="34" t="e">
        <f>('Evolutive SFP'!#REF!+'Evolutive SFP'!#REF!)/'Evolutive SFP'!#REF!</f>
        <v>#REF!</v>
      </c>
      <c r="K23" s="34" t="e">
        <f>('Evolutive SFP'!#REF!+'Evolutive SFP'!#REF!)/'Evolutive SFP'!#REF!</f>
        <v>#REF!</v>
      </c>
      <c r="L23" s="34" t="e">
        <f>('Evolutive SFP'!#REF!+'Evolutive SFP'!#REF!)/'Evolutive SFP'!#REF!</f>
        <v>#REF!</v>
      </c>
      <c r="M23" s="34" t="e">
        <f>('Evolutive SFP'!#REF!+'Evolutive SFP'!#REF!)/'Evolutive SFP'!#REF!</f>
        <v>#REF!</v>
      </c>
      <c r="N23" s="34" t="e">
        <f>('Evolutive SFP'!#REF!+'Evolutive SFP'!#REF!)/'Evolutive SFP'!#REF!</f>
        <v>#REF!</v>
      </c>
      <c r="O23" s="34" t="e">
        <f>('Evolutive SFP'!#REF!+'Evolutive SFP'!#REF!)/'Evolutive SFP'!#REF!</f>
        <v>#REF!</v>
      </c>
      <c r="P23" s="34" t="e">
        <f>('Evolutive SFP'!#REF!+'Evolutive SFP'!#REF!)/'Evolutive SFP'!#REF!</f>
        <v>#REF!</v>
      </c>
      <c r="Q23" s="34" t="e">
        <f>('Evolutive SFP'!#REF!+'Evolutive SFP'!#REF!)/'Evolutive SFP'!#REF!</f>
        <v>#REF!</v>
      </c>
      <c r="R23" s="34" t="e">
        <f>('Evolutive SFP'!#REF!+'Evolutive SFP'!#REF!)/'Evolutive SFP'!#REF!</f>
        <v>#REF!</v>
      </c>
      <c r="S23" s="38" t="e">
        <f>('Evolutive SFP'!#REF!+'Evolutive SFP'!#REF!)/'Evolutive SFP'!#REF!</f>
        <v>#REF!</v>
      </c>
      <c r="T23" s="38" t="e">
        <f>('Evolutive SFP'!#REF!+'Evolutive SFP'!#REF!)/'Evolutive SFP'!#REF!</f>
        <v>#REF!</v>
      </c>
      <c r="U23" s="38" t="e">
        <f>('Evolutive SFP'!#REF!+'Evolutive SFP'!#REF!)/'Evolutive SFP'!#REF!</f>
        <v>#REF!</v>
      </c>
      <c r="V23" s="38" t="e">
        <f>('Evolutive SFP'!#REF!+'Evolutive SFP'!#REF!)/'Evolutive SFP'!#REF!</f>
        <v>#REF!</v>
      </c>
      <c r="W23" s="38" t="e">
        <f>('Evolutive SFP'!#REF!+'Evolutive SFP'!#REF!)/'Evolutive SFP'!#REF!</f>
        <v>#REF!</v>
      </c>
      <c r="X23" s="38" t="e">
        <f>('Evolutive SFP'!#REF!+'Evolutive SFP'!#REF!)/'Evolutive SFP'!#REF!</f>
        <v>#REF!</v>
      </c>
      <c r="Y23" s="38" t="e">
        <f>('Evolutive SFP'!#REF!+'Evolutive SFP'!#REF!)/'Evolutive SFP'!#REF!</f>
        <v>#REF!</v>
      </c>
      <c r="Z23" s="38" t="e">
        <f>('Evolutive SFP'!#REF!+'Evolutive SFP'!#REF!)/'Evolutive SFP'!#REF!</f>
        <v>#REF!</v>
      </c>
      <c r="AA23" s="38" t="e">
        <f>('Evolutive SFP'!#REF!+'Evolutive SFP'!#REF!)/'Evolutive SFP'!#REF!</f>
        <v>#REF!</v>
      </c>
      <c r="AB23" s="38" t="e">
        <f>('Evolutive SFP'!#REF!+'Evolutive SFP'!#REF!)/'Evolutive SFP'!#REF!</f>
        <v>#REF!</v>
      </c>
      <c r="AC23" s="38" t="e">
        <f>('Evolutive SFP'!#REF!+'Evolutive SFP'!#REF!)/'Evolutive SFP'!#REF!</f>
        <v>#REF!</v>
      </c>
      <c r="AD23" s="38" t="e">
        <f>('Evolutive SFP'!#REF!+'Evolutive SFP'!#REF!)/'Evolutive SFP'!#REF!</f>
        <v>#REF!</v>
      </c>
      <c r="AE23" s="38" t="e">
        <f>('Evolutive SFP'!#REF!+'Evolutive SFP'!#REF!)/'Evolutive SFP'!#REF!</f>
        <v>#REF!</v>
      </c>
      <c r="AF23" s="38" t="e">
        <f>('Evolutive SFP'!#REF!+'Evolutive SFP'!#REF!)/'Evolutive SFP'!#REF!</f>
        <v>#REF!</v>
      </c>
      <c r="AG23" s="38" t="e">
        <f>('Evolutive SFP'!#REF!+'Evolutive SFP'!#REF!)/'Evolutive SFP'!#REF!</f>
        <v>#REF!</v>
      </c>
      <c r="AH23" s="38" t="e">
        <f>('Evolutive SFP'!#REF!+'Evolutive SFP'!#REF!)/'Evolutive SFP'!#REF!</f>
        <v>#REF!</v>
      </c>
      <c r="AI23" s="38" t="e">
        <f>('Evolutive SFP'!#REF!+'Evolutive SFP'!#REF!)/'Evolutive SFP'!#REF!</f>
        <v>#REF!</v>
      </c>
      <c r="AJ23" s="38" t="e">
        <f>('Evolutive SFP'!#REF!+'Evolutive SFP'!#REF!)/'Evolutive SFP'!#REF!</f>
        <v>#REF!</v>
      </c>
      <c r="AK23" s="38" t="e">
        <f>('Evolutive SFP'!#REF!+'Evolutive SFP'!#REF!)/'Evolutive SFP'!#REF!</f>
        <v>#REF!</v>
      </c>
      <c r="AL23" s="38" t="e">
        <f>('Evolutive SFP'!#REF!+'Evolutive SFP'!#REF!)/'Evolutive SFP'!#REF!</f>
        <v>#REF!</v>
      </c>
      <c r="AM23" s="38" t="e">
        <f>('Evolutive SFP'!#REF!+'Evolutive SFP'!#REF!)/'Evolutive SFP'!#REF!</f>
        <v>#REF!</v>
      </c>
      <c r="AN23" s="38" t="e">
        <f>('Evolutive SFP'!#REF!+'Evolutive SFP'!#REF!)/'Evolutive SFP'!#REF!</f>
        <v>#REF!</v>
      </c>
      <c r="AO23" s="38" t="e">
        <f>('Evolutive SFP'!#REF!+'Evolutive SFP'!#REF!)/'Evolutive SFP'!#REF!</f>
        <v>#REF!</v>
      </c>
      <c r="AP23" s="38" t="e">
        <f>('Evolutive SFP'!#REF!+'Evolutive SFP'!#REF!)/'Evolutive SFP'!#REF!</f>
        <v>#REF!</v>
      </c>
      <c r="AQ23" s="38" t="e">
        <f>('Evolutive SFP'!#REF!+'Evolutive SFP'!#REF!)/'Evolutive SFP'!#REF!</f>
        <v>#REF!</v>
      </c>
      <c r="AR23" s="38" t="e">
        <f>('Evolutive SFP'!#REF!+'Evolutive SFP'!#REF!)/'Evolutive SFP'!#REF!</f>
        <v>#REF!</v>
      </c>
      <c r="AS23" s="38" t="e">
        <f>('Evolutive SFP'!#REF!+'Evolutive SFP'!#REF!)/'Evolutive SFP'!#REF!</f>
        <v>#REF!</v>
      </c>
      <c r="AT23" s="38">
        <f>('Evolutive SFP'!AH28+'Evolutive SFP'!AH29)/'Evolutive SFP'!AH27</f>
        <v>0.11930517807795137</v>
      </c>
      <c r="AU23" s="38">
        <f>('Evolutive SFP'!AI28+'Evolutive SFP'!AI29)/'Evolutive SFP'!AI27</f>
        <v>0.13898040500675657</v>
      </c>
      <c r="AV23" s="38">
        <f>('Evolutive SFP'!AJ28+'Evolutive SFP'!AJ29)/'Evolutive SFP'!AJ27</f>
        <v>0.15353105849789855</v>
      </c>
      <c r="AW23" s="38">
        <f>('Evolutive SFP'!AK28+'Evolutive SFP'!AK29)/'Evolutive SFP'!AK27</f>
        <v>0.11696500210097351</v>
      </c>
      <c r="AX23" s="38">
        <f>('Evolutive SFP'!AL28+'Evolutive SFP'!AL29)/'Evolutive SFP'!AL27</f>
        <v>0.1399591392533874</v>
      </c>
      <c r="AY23" s="38">
        <f>('Evolutive SFP'!AM28+'Evolutive SFP'!AM29)/'Evolutive SFP'!AM27</f>
        <v>0.15918329527603176</v>
      </c>
      <c r="AZ23" s="38">
        <f>('Evolutive SFP'!AN28+'Evolutive SFP'!AN29)/'Evolutive SFP'!AN27</f>
        <v>0.14088102769266309</v>
      </c>
      <c r="BA23" s="38" t="e">
        <f>('Evolutive SFP'!#REF!+'Evolutive SFP'!#REF!)/'Evolutive SFP'!#REF!</f>
        <v>#REF!</v>
      </c>
      <c r="BB23" s="38">
        <f>('Evolutive SFP'!AO28+'Evolutive SFP'!AO29)/'Evolutive SFP'!AO27</f>
        <v>0.15172898892350137</v>
      </c>
      <c r="BC23" s="38">
        <f>('Evolutive SFP'!AP28+'Evolutive SFP'!AP29)/'Evolutive SFP'!AP27</f>
        <v>0.14316877165699435</v>
      </c>
      <c r="BD23" s="38">
        <f>('Evolutive SFP'!AQ28+'Evolutive SFP'!AQ29)/'Evolutive SFP'!AQ27</f>
        <v>0.14702382555168136</v>
      </c>
      <c r="BE23" s="38">
        <f>('Evolutive SFP'!AR28+'Evolutive SFP'!AR29)/'Evolutive SFP'!AR27</f>
        <v>0.17043170097047683</v>
      </c>
      <c r="BF23" s="38">
        <f>('Evolutive SFP'!AS28+'Evolutive SFP'!AS29)/'Evolutive SFP'!AS27</f>
        <v>0.10130700547906463</v>
      </c>
      <c r="BG23" s="38">
        <f>('Evolutive SFP'!AT28+'Evolutive SFP'!AT29)/'Evolutive SFP'!AT27</f>
        <v>0.10132648275702341</v>
      </c>
      <c r="BH23" s="38">
        <f>('Evolutive SFP'!AU28+'Evolutive SFP'!AU29)/'Evolutive SFP'!AU27</f>
        <v>9.7972722493343364E-2</v>
      </c>
      <c r="BI23" s="38">
        <f>('Evolutive SFP'!AV28+'Evolutive SFP'!AV29)/'Evolutive SFP'!AV27</f>
        <v>9.028733866949358E-2</v>
      </c>
      <c r="BJ23" s="38">
        <f>('Evolutive SFP'!AW28+'Evolutive SFP'!AW29)/'Evolutive SFP'!AW27</f>
        <v>0.11549950036222255</v>
      </c>
      <c r="BK23" s="38">
        <f>('Evolutive SFP'!AX28+'Evolutive SFP'!AX29)/'Evolutive SFP'!AX27</f>
        <v>0.12728261892042605</v>
      </c>
      <c r="BL23" s="38">
        <f>('Evolutive SFP'!AY28+'Evolutive SFP'!AY29)/'Evolutive SFP'!AY27</f>
        <v>0.12992816774612412</v>
      </c>
      <c r="BM23" s="38">
        <f>('Evolutive SFP'!AZ28+'Evolutive SFP'!AZ29)/'Evolutive SFP'!AZ27</f>
        <v>0.11968733313779058</v>
      </c>
      <c r="BN23" s="38">
        <f>('Evolutive SFP'!BA28+'Evolutive SFP'!BA29)/'Evolutive SFP'!BA27</f>
        <v>0.1620174691411119</v>
      </c>
      <c r="BO23" s="38">
        <f>('Evolutive SFP'!BB28+'Evolutive SFP'!BB29)/'Evolutive SFP'!BB27</f>
        <v>0.15958454374689876</v>
      </c>
      <c r="BP23" s="38">
        <f>('Evolutive SFP'!BC28+'Evolutive SFP'!BC29)/'Evolutive SFP'!BC27</f>
        <v>0.11874621794913179</v>
      </c>
      <c r="BQ23" s="38">
        <f>('Evolutive SFP'!BD28+'Evolutive SFP'!BD29)/'Evolutive SFP'!BD27</f>
        <v>0.13570995766886548</v>
      </c>
      <c r="BR23" s="38">
        <f>('Evolutive SFP'!BE28+'Evolutive SFP'!BE29)/'Evolutive SFP'!BE27</f>
        <v>0.16560464677229353</v>
      </c>
      <c r="BS23" s="38">
        <f>('Evolutive SFP'!BF28+'Evolutive SFP'!BF29)/'Evolutive SFP'!BF27</f>
        <v>0.12843079915257244</v>
      </c>
      <c r="BT23" s="38">
        <f>('Evolutive SFP'!BG28+'Evolutive SFP'!BG29)/'Evolutive SFP'!BG27</f>
        <v>0.12304193607349968</v>
      </c>
      <c r="BU23" s="38">
        <f>('Evolutive SFP'!BH28+'Evolutive SFP'!BH29)/'Evolutive SFP'!BH27</f>
        <v>0.12390584404312734</v>
      </c>
      <c r="BV23" s="38">
        <f>('Evolutive SFP'!BI28+'Evolutive SFP'!BI29)/'Evolutive SFP'!BI27</f>
        <v>0.13694601733263931</v>
      </c>
      <c r="BW23" s="38">
        <f>('Evolutive SFP'!BJ28+'Evolutive SFP'!BJ29)/'Evolutive SFP'!BJ27</f>
        <v>0.1344609833964705</v>
      </c>
      <c r="BX23" s="38">
        <f>('Evolutive SFP'!BK28+'Evolutive SFP'!BK29)/'Evolutive SFP'!BK27</f>
        <v>0.1462820859195918</v>
      </c>
      <c r="BY23" s="38">
        <f>('Evolutive SFP'!BL28+'Evolutive SFP'!BL29)/'Evolutive SFP'!BL27</f>
        <v>0.14409004959744079</v>
      </c>
      <c r="BZ23" s="38">
        <f>('Evolutive SFP'!BM28+'Evolutive SFP'!BM29)/'Evolutive SFP'!BM27</f>
        <v>0.16395420452393594</v>
      </c>
      <c r="CA23" s="38">
        <f>('Evolutive SFP'!BN28+'Evolutive SFP'!BN29)/'Evolutive SFP'!BN27</f>
        <v>0.14474980621191605</v>
      </c>
      <c r="CB23" s="38">
        <f>('Evolutive SFP'!BO28+'Evolutive SFP'!BO29)/'Evolutive SFP'!BO27</f>
        <v>0.14481766516552683</v>
      </c>
      <c r="CC23" s="38">
        <f>('Evolutive SFP'!BP28+'Evolutive SFP'!BP29)/'Evolutive SFP'!BP27</f>
        <v>0.13982951575681474</v>
      </c>
      <c r="CD23" s="38">
        <f>('Evolutive SFP'!BQ28+'Evolutive SFP'!BQ29)/'Evolutive SFP'!BQ27</f>
        <v>0.1525994741365802</v>
      </c>
      <c r="CE23" s="38">
        <f>('Evolutive SFP'!BR28+'Evolutive SFP'!BR29)/'Evolutive SFP'!BR27</f>
        <v>0.15410946151990645</v>
      </c>
      <c r="CF23" s="38">
        <f>('Evolutive SFP'!BS28+'Evolutive SFP'!BS29)/'Evolutive SFP'!BS27</f>
        <v>0.11803761838893163</v>
      </c>
      <c r="CG23" s="38" t="e">
        <f>('Evolutive SFP'!BT28+'Evolutive SFP'!BT29)/'Evolutive SFP'!BT27</f>
        <v>#DIV/0!</v>
      </c>
      <c r="CH23" s="38">
        <f>('Evolutive SFP'!BU28+'Evolutive SFP'!BU29)/'Evolutive SFP'!BU27</f>
        <v>0.11510212761182735</v>
      </c>
      <c r="CI23" s="38">
        <f>('Evolutive SFP'!BV28+'Evolutive SFP'!BV29)/'Evolutive SFP'!BV27</f>
        <v>0.11319580248420835</v>
      </c>
      <c r="CJ23" s="38">
        <f>('Evolutive SFP'!BW28+'Evolutive SFP'!BW29)/'Evolutive SFP'!BW27</f>
        <v>0.11459766093889648</v>
      </c>
      <c r="CK23" s="38">
        <f>('Evolutive SFP'!BX28+'Evolutive SFP'!BX29)/'Evolutive SFP'!BX27</f>
        <v>0.13212404253874518</v>
      </c>
      <c r="CL23" s="38">
        <f>('Evolutive SFP'!BY28+'Evolutive SFP'!BY29)/'Evolutive SFP'!BY27</f>
        <v>0.12012398738918167</v>
      </c>
      <c r="CM23" s="38">
        <f>('Evolutive SFP'!BZ28+'Evolutive SFP'!BZ29)/'Evolutive SFP'!BZ27</f>
        <v>0.12259123309576098</v>
      </c>
      <c r="CN23" s="38">
        <f>('Evolutive SFP'!CA28+'Evolutive SFP'!CA29)/'Evolutive SFP'!CA27</f>
        <v>0.11363744010499348</v>
      </c>
    </row>
    <row r="24" spans="1:92" ht="15">
      <c r="A24" s="421" t="s">
        <v>225</v>
      </c>
      <c r="B24" s="32" t="s">
        <v>35</v>
      </c>
      <c r="C24" s="2"/>
      <c r="D24" s="2"/>
      <c r="E24" s="34" t="e">
        <f>(Financials!D4-Financials!C4)/Financials!C4</f>
        <v>#REF!</v>
      </c>
      <c r="F24" s="2"/>
      <c r="G24" s="2"/>
      <c r="H24" s="34" t="e">
        <f>(Financials!G4-Financials!D4)/Financials!D4</f>
        <v>#REF!</v>
      </c>
      <c r="I24" s="34" t="e">
        <f>(Financials!H4-Financials!G4)/Financials!G4</f>
        <v>#REF!</v>
      </c>
      <c r="J24" s="34" t="e">
        <f>(Financials!I4-Financials!H4)/Financials!H4</f>
        <v>#REF!</v>
      </c>
      <c r="K24" s="34" t="e">
        <f>(Financials!J4-Financials!I4)/Financials!I4</f>
        <v>#REF!</v>
      </c>
      <c r="L24" s="34" t="e">
        <f>(Financials!K4-Financials!J4)/Financials!J4</f>
        <v>#REF!</v>
      </c>
      <c r="M24" s="34" t="e">
        <f>(Financials!L4-Financials!K4)/Financials!K4</f>
        <v>#REF!</v>
      </c>
      <c r="N24" s="34" t="e">
        <f>(Financials!M4-Financials!L4)/Financials!L4</f>
        <v>#REF!</v>
      </c>
      <c r="O24" s="34" t="e">
        <f>(Financials!N4-Financials!M4)/Financials!M4</f>
        <v>#REF!</v>
      </c>
      <c r="P24" s="34" t="e">
        <f>(Financials!O4-Financials!N4)/Financials!N4</f>
        <v>#REF!</v>
      </c>
      <c r="Q24" s="34" t="e">
        <f>(Financials!P4-Financials!O4)/Financials!O4</f>
        <v>#REF!</v>
      </c>
      <c r="R24" s="34" t="e">
        <f>(Financials!Q4-Financials!P4)/Financials!P4</f>
        <v>#REF!</v>
      </c>
      <c r="S24" s="38" t="e">
        <f>(Financials!R4-Financials!Q4)/Financials!Q4</f>
        <v>#REF!</v>
      </c>
      <c r="T24" s="38" t="e">
        <f>(Financials!S4-Financials!R4)/Financials!R4</f>
        <v>#REF!</v>
      </c>
      <c r="U24" s="38" t="e">
        <f>(Financials!T4-Financials!S4)/Financials!S4</f>
        <v>#REF!</v>
      </c>
      <c r="V24" s="38" t="e">
        <f>(Financials!U4-Financials!T4)/Financials!T4</f>
        <v>#REF!</v>
      </c>
      <c r="W24" s="38" t="e">
        <f>(Financials!V4-Financials!U4)/Financials!U4</f>
        <v>#REF!</v>
      </c>
      <c r="X24" s="38" t="e">
        <f>(Financials!W4-Financials!V4)/Financials!V4</f>
        <v>#REF!</v>
      </c>
      <c r="Y24" s="38" t="e">
        <f>(Financials!X4-Financials!W4)/Financials!W4</f>
        <v>#REF!</v>
      </c>
      <c r="Z24" s="38" t="e">
        <f>(Financials!Y4-Financials!X4)/Financials!X4</f>
        <v>#REF!</v>
      </c>
      <c r="AA24" s="38" t="e">
        <f>(Financials!Z4-Financials!Y4)/Financials!Y4</f>
        <v>#REF!</v>
      </c>
      <c r="AB24" s="38" t="e">
        <f>(Financials!AA4-Financials!Z4)/Financials!Z4</f>
        <v>#REF!</v>
      </c>
      <c r="AC24" s="38" t="e">
        <f>(Financials!AB4-Financials!AA4)/Financials!AA4</f>
        <v>#REF!</v>
      </c>
      <c r="AD24" s="38" t="e">
        <f>(Financials!AC4-Financials!AB4)/Financials!AB4</f>
        <v>#REF!</v>
      </c>
      <c r="AE24" s="38" t="e">
        <f>(Financials!AD4-Financials!AC4)/Financials!AC4</f>
        <v>#REF!</v>
      </c>
      <c r="AF24" s="38" t="e">
        <f>(Financials!AE4-Financials!AD4)/Financials!AD4</f>
        <v>#REF!</v>
      </c>
      <c r="AG24" s="38" t="e">
        <f>(Financials!AF4-Financials!AE4)/Financials!AE4</f>
        <v>#REF!</v>
      </c>
      <c r="AH24" s="38" t="e">
        <f>(Financials!AG4-Financials!AF4)/Financials!AF4</f>
        <v>#REF!</v>
      </c>
      <c r="AI24" s="38" t="e">
        <f>(Financials!AH4-Financials!AG4)/Financials!AG4</f>
        <v>#REF!</v>
      </c>
      <c r="AJ24" s="38" t="e">
        <f>(Financials!AI4-Financials!AH4)/Financials!AH4</f>
        <v>#REF!</v>
      </c>
      <c r="AK24" s="38" t="e">
        <f>(Financials!AJ4-Financials!AI4)/Financials!AI4</f>
        <v>#REF!</v>
      </c>
      <c r="AL24" s="38" t="e">
        <f>(Financials!AK4-Financials!AJ4)/Financials!AJ4</f>
        <v>#REF!</v>
      </c>
      <c r="AM24" s="38" t="e">
        <f>(Financials!AL4-Financials!AK4)/Financials!AK4</f>
        <v>#REF!</v>
      </c>
      <c r="AN24" s="38" t="e">
        <f>(Financials!AM4-Financials!AL4)/Financials!AL4</f>
        <v>#REF!</v>
      </c>
      <c r="AO24" s="38" t="e">
        <f>(Financials!AN4-Financials!AM4)/Financials!AM4</f>
        <v>#REF!</v>
      </c>
      <c r="AP24" s="38" t="e">
        <f>(Financials!AO4-Financials!AN4)/Financials!AN4</f>
        <v>#REF!</v>
      </c>
      <c r="AQ24" s="38" t="e">
        <f>(Financials!AP4-Financials!AO4)/Financials!AO4</f>
        <v>#REF!</v>
      </c>
      <c r="AR24" s="38" t="e">
        <f>(Financials!AQ4-Financials!AP4)/Financials!AP4</f>
        <v>#REF!</v>
      </c>
      <c r="AS24" s="38" t="e">
        <f>(Financials!AR4-Financials!AQ4)/Financials!AQ4</f>
        <v>#REF!</v>
      </c>
      <c r="AT24" s="38" t="e">
        <f>(Financials!AS4-Financials!AR4)/Financials!AR4</f>
        <v>#REF!</v>
      </c>
      <c r="AU24" s="38">
        <f>(Financials!AT4-Financials!AS4)/Financials!AS4</f>
        <v>8.4087385136901519E-2</v>
      </c>
      <c r="AV24" s="38">
        <f>(Financials!AU4-Financials!AT4)/Financials!AT4</f>
        <v>2.4896682715809072E-2</v>
      </c>
      <c r="AW24" s="38">
        <f>(Financials!AV4-Financials!AU4)/Financials!AU4</f>
        <v>-3.3698181776503744E-2</v>
      </c>
      <c r="AX24" s="38">
        <f>(Financials!AW4-Financials!AV4)/Financials!AV4</f>
        <v>1.6641960367409924E-3</v>
      </c>
      <c r="AY24" s="38">
        <f>(Financials!AX4-Financials!AW4)/Financials!AW4</f>
        <v>2.8009430822873108E-2</v>
      </c>
      <c r="AZ24" s="38">
        <f>(Financials!AY4-Financials!AX4)/Financials!AX4</f>
        <v>-8.7748764263025324E-3</v>
      </c>
      <c r="BA24" s="38" t="e">
        <f>(Financials!AZ4-Financials!AY4)/Financials!AY4</f>
        <v>#REF!</v>
      </c>
      <c r="BB24" s="38" t="e">
        <f>(Financials!BA4-Financials!AZ4)/Financials!AZ4</f>
        <v>#REF!</v>
      </c>
      <c r="BC24" s="38">
        <f>(Financials!BB4-Financials!BA4)/Financials!BA4</f>
        <v>-3.9052569027019307E-3</v>
      </c>
      <c r="BD24" s="38">
        <f>(Financials!BC4-Financials!BB4)/Financials!BB4</f>
        <v>-3.4015427033352495E-2</v>
      </c>
      <c r="BE24" s="38">
        <f>(Financials!BD4-Financials!BC4)/Financials!BC4</f>
        <v>3.2680226575657813E-2</v>
      </c>
      <c r="BF24" s="38">
        <f>(Financials!BE4-Financials!BD4)/Financials!BD4</f>
        <v>-6.4092993826205411E-2</v>
      </c>
      <c r="BG24" s="38">
        <f>(Financials!BF4-Financials!BE4)/Financials!BE4</f>
        <v>-1.921287496007513E-4</v>
      </c>
      <c r="BH24" s="38">
        <f>(Financials!BG4-Financials!BF4)/Financials!BF4</f>
        <v>-9.633571423085855E-3</v>
      </c>
      <c r="BI24" s="38">
        <f>(Financials!BH4-Financials!BG4)/Financials!BG4</f>
        <v>2.310386804567808E-3</v>
      </c>
      <c r="BJ24" s="38">
        <f>(Financials!BI4-Financials!BH4)/Financials!BH4</f>
        <v>2.1293179488555983E-2</v>
      </c>
      <c r="BK24" s="38">
        <f>(Financials!BJ4-Financials!BI4)/Financials!BI4</f>
        <v>-1.6912382140890386E-2</v>
      </c>
      <c r="BL24" s="38">
        <f>(Financials!BK4-Financials!BJ4)/Financials!BJ4</f>
        <v>7.1120243934561928E-3</v>
      </c>
      <c r="BM24" s="38">
        <f>(Financials!BL4-Financials!BK4)/Financials!BK4</f>
        <v>-2.1990524699386969E-2</v>
      </c>
      <c r="BN24" s="38">
        <f>(Financials!BM4-Financials!BL4)/Financials!BL4</f>
        <v>7.398417512095766E-2</v>
      </c>
      <c r="BO24" s="38">
        <f>(Financials!BN4-Financials!BM4)/Financials!BM4</f>
        <v>4.6109065292941542E-3</v>
      </c>
      <c r="BP24" s="38">
        <f>(Financials!BO4-Financials!BN4)/Financials!BN4</f>
        <v>-5.2372034343303918E-2</v>
      </c>
      <c r="BQ24" s="38">
        <f>(Financials!BP4-Financials!BO4)/Financials!BO4</f>
        <v>3.1947098208516662E-2</v>
      </c>
      <c r="BR24" s="38">
        <f>(Financials!BQ4-Financials!BP4)/Financials!BP4</f>
        <v>3.8465614662408582E-2</v>
      </c>
      <c r="BS24" s="38">
        <f>(Financials!BR4-Financials!BQ4)/Financials!BQ4</f>
        <v>-4.1098502312654606E-2</v>
      </c>
      <c r="BT24" s="38">
        <f>(Financials!BS4-Financials!BR4)/Financials!BR4</f>
        <v>2.8809984485426358E-3</v>
      </c>
      <c r="BU24" s="38">
        <f>(Financials!BT4-Financials!BS4)/Financials!BS4</f>
        <v>-6.1312876455855911E-3</v>
      </c>
      <c r="BV24" s="38">
        <f>(Financials!BU4-Financials!BT4)/Financials!BT4</f>
        <v>1.0851911175784771E-2</v>
      </c>
      <c r="BW24" s="38">
        <f>(Financials!BV4-Financials!BU4)/Financials!BU4</f>
        <v>1.7743587308615687E-3</v>
      </c>
      <c r="BX24" s="38">
        <f>(Financials!BW4-Financials!BV4)/Financials!BV4</f>
        <v>-3.3684295612828208E-2</v>
      </c>
      <c r="BY24" s="38">
        <f>(Financials!BX4-Financials!BW4)/Financials!BW4</f>
        <v>8.7076378435730836E-3</v>
      </c>
      <c r="BZ24" s="38">
        <f>(Financials!BY4-Financials!BX4)/Financials!BX4</f>
        <v>3.2779854679550191E-2</v>
      </c>
      <c r="CA24" s="38">
        <f>(Financials!BZ4-Financials!BY4)/Financials!BY4</f>
        <v>-1.6744107812755593E-2</v>
      </c>
      <c r="CB24" s="38">
        <f>(Financials!CA4-Financials!BZ4)/Financials!BZ4</f>
        <v>1.3267031045189174E-2</v>
      </c>
      <c r="CC24" s="38">
        <f>(Financials!CB4-Financials!CA4)/Financials!CA4</f>
        <v>3.6069045539950412E-4</v>
      </c>
      <c r="CD24" s="38">
        <f>(Financials!CC4-Financials!CB4)/Financials!CB4</f>
        <v>2.2219443785214062E-2</v>
      </c>
      <c r="CE24" s="38">
        <f>(Financials!CD4-Financials!CC4)/Financials!CC4</f>
        <v>1.3656293013714189E-2</v>
      </c>
      <c r="CF24" s="38">
        <f>(Financials!CE4-Financials!CD4)/Financials!CD4</f>
        <v>-3.4487631117189083E-2</v>
      </c>
      <c r="CG24" s="38">
        <f>(Financials!CF4-Financials!CE4)/Financials!CE4</f>
        <v>-1</v>
      </c>
      <c r="CH24" s="38" t="e">
        <f>(Financials!CG4-Financials!CF4)/Financials!CF4</f>
        <v>#DIV/0!</v>
      </c>
      <c r="CI24" s="38">
        <f>(Financials!CH4-Financials!CG4)/Financials!CG4</f>
        <v>6.3377094139904352E-3</v>
      </c>
      <c r="CJ24" s="38">
        <f>(Financials!CI4-Financials!CH4)/Financials!CH4</f>
        <v>1.9315503335326088E-2</v>
      </c>
      <c r="CK24" s="38">
        <f>(Financials!CJ4-Financials!CI4)/Financials!CI4</f>
        <v>-4.9874727859021299E-2</v>
      </c>
      <c r="CL24" s="38">
        <f>(Financials!CK4-Financials!CJ4)/Financials!CJ4</f>
        <v>3.891052928361271E-3</v>
      </c>
      <c r="CM24" s="38">
        <f>(Financials!CL4-Financials!CK4)/Financials!CK4</f>
        <v>1.9062109453658851E-2</v>
      </c>
      <c r="CN24" s="38">
        <f>(Financials!CM4-Financials!CL4)/Financials!CL4</f>
        <v>-2.7762121047568145E-3</v>
      </c>
    </row>
    <row r="25" spans="1:92" ht="15">
      <c r="A25" s="421"/>
      <c r="B25" s="32" t="s">
        <v>147</v>
      </c>
      <c r="C25" s="2"/>
      <c r="D25" s="34" t="e">
        <f>Financials!D5/Financials!C5-1</f>
        <v>#REF!</v>
      </c>
      <c r="E25" s="34" t="e">
        <f>Financials!G5/Financials!D5-1</f>
        <v>#REF!</v>
      </c>
      <c r="F25" s="34" t="e">
        <f>Financials!H5/Financials!G5-1</f>
        <v>#REF!</v>
      </c>
      <c r="G25" s="34" t="e">
        <f>Financials!H5/Financials!G5-1</f>
        <v>#REF!</v>
      </c>
      <c r="H25" s="34" t="e">
        <f>Financials!H5/Financials!G5-1</f>
        <v>#REF!</v>
      </c>
      <c r="I25" s="34" t="e">
        <f>Financials!I5/Financials!H5-1</f>
        <v>#REF!</v>
      </c>
      <c r="J25" s="34" t="e">
        <f>Financials!J5/Financials!I5-1</f>
        <v>#REF!</v>
      </c>
      <c r="K25" s="34" t="e">
        <f>Financials!K5/Financials!J5-1</f>
        <v>#REF!</v>
      </c>
      <c r="L25" s="34" t="e">
        <f>Financials!L5/Financials!K5-1</f>
        <v>#REF!</v>
      </c>
      <c r="M25" s="34" t="e">
        <f>Financials!M5/Financials!L5-1</f>
        <v>#REF!</v>
      </c>
      <c r="N25" s="34" t="e">
        <f>Financials!N5/Financials!M5-1</f>
        <v>#REF!</v>
      </c>
      <c r="O25" s="34" t="e">
        <f>Financials!O5/Financials!N5-1</f>
        <v>#REF!</v>
      </c>
      <c r="P25" s="34" t="e">
        <f>Financials!P5/Financials!O5-1</f>
        <v>#REF!</v>
      </c>
      <c r="Q25" s="34" t="e">
        <f>Financials!Q5/Financials!P5-1</f>
        <v>#REF!</v>
      </c>
      <c r="R25" s="34" t="e">
        <f>Financials!R5/Financials!Q5-1</f>
        <v>#REF!</v>
      </c>
      <c r="S25" s="38" t="e">
        <f>Financials!#REF!/Financials!R5-1</f>
        <v>#REF!</v>
      </c>
      <c r="T25" s="38" t="e">
        <f>Financials!#REF!/Financials!S5-1</f>
        <v>#REF!</v>
      </c>
      <c r="U25" s="38" t="e">
        <f>Financials!#REF!/Financials!T5-1</f>
        <v>#REF!</v>
      </c>
      <c r="V25" s="38" t="e">
        <f>Financials!#REF!/Financials!U5-1</f>
        <v>#REF!</v>
      </c>
      <c r="W25" s="38" t="e">
        <f>Financials!#REF!/Financials!V5-1</f>
        <v>#REF!</v>
      </c>
      <c r="X25" s="38" t="e">
        <f>Financials!#REF!/Financials!W5-1</f>
        <v>#REF!</v>
      </c>
      <c r="Y25" s="38" t="e">
        <f>Financials!#REF!/Financials!X5-1</f>
        <v>#REF!</v>
      </c>
      <c r="Z25" s="38" t="e">
        <f>Financials!#REF!/Financials!Y5-1</f>
        <v>#REF!</v>
      </c>
      <c r="AA25" s="38" t="e">
        <f>Financials!#REF!/Financials!Z5-1</f>
        <v>#REF!</v>
      </c>
      <c r="AB25" s="38" t="e">
        <f>Financials!#REF!/Financials!AA5-1</f>
        <v>#REF!</v>
      </c>
      <c r="AC25" s="38" t="e">
        <f>Financials!#REF!/Financials!AB5-1</f>
        <v>#REF!</v>
      </c>
      <c r="AD25" s="38" t="e">
        <f>Financials!#REF!/Financials!AC5-1</f>
        <v>#REF!</v>
      </c>
      <c r="AE25" s="38" t="e">
        <f>Financials!#REF!/Financials!AD5-1</f>
        <v>#REF!</v>
      </c>
      <c r="AF25" s="38" t="e">
        <f>Financials!#REF!/Financials!AE5-1</f>
        <v>#REF!</v>
      </c>
      <c r="AG25" s="38" t="e">
        <f>Financials!#REF!/Financials!AF5-1</f>
        <v>#REF!</v>
      </c>
      <c r="AH25" s="38" t="e">
        <f>Financials!#REF!/Financials!AG5-1</f>
        <v>#REF!</v>
      </c>
      <c r="AI25" s="38" t="e">
        <f>Financials!#REF!/Financials!AH5-1</f>
        <v>#REF!</v>
      </c>
      <c r="AJ25" s="38" t="e">
        <f>Financials!#REF!/Financials!AI5-1</f>
        <v>#REF!</v>
      </c>
      <c r="AK25" s="38" t="e">
        <f>Financials!#REF!/Financials!AJ5-1</f>
        <v>#REF!</v>
      </c>
      <c r="AL25" s="38" t="e">
        <f>Financials!#REF!/Financials!AK5-1</f>
        <v>#REF!</v>
      </c>
      <c r="AM25" s="38" t="e">
        <f>Financials!#REF!/Financials!AL5-1</f>
        <v>#REF!</v>
      </c>
      <c r="AN25" s="38" t="e">
        <f>Financials!#REF!/Financials!AM5-1</f>
        <v>#REF!</v>
      </c>
      <c r="AO25" s="38" t="e">
        <f>Financials!#REF!/Financials!AN5-1</f>
        <v>#REF!</v>
      </c>
      <c r="AP25" s="38" t="e">
        <f>Financials!#REF!/Financials!AO5-1</f>
        <v>#REF!</v>
      </c>
      <c r="AQ25" s="38" t="e">
        <f>Financials!#REF!/Financials!AP5-1</f>
        <v>#REF!</v>
      </c>
      <c r="AR25" s="38" t="e">
        <f>Financials!#REF!/Financials!AQ5-1</f>
        <v>#REF!</v>
      </c>
      <c r="AS25" s="38" t="e">
        <f>Financials!#REF!/Financials!AR5-1</f>
        <v>#REF!</v>
      </c>
      <c r="AT25" s="38" t="e">
        <f>Financials!#REF!/Financials!AS5-1</f>
        <v>#REF!</v>
      </c>
      <c r="AU25" s="38" t="e">
        <f>Financials!#REF!/Financials!AT5-1</f>
        <v>#REF!</v>
      </c>
      <c r="AV25" s="38" t="e">
        <f>Financials!#REF!/Financials!AU5-1</f>
        <v>#REF!</v>
      </c>
      <c r="AW25" s="38" t="e">
        <f>Financials!#REF!/Financials!AV5-1</f>
        <v>#REF!</v>
      </c>
      <c r="AX25" s="38" t="e">
        <f>Financials!#REF!/Financials!AW5-1</f>
        <v>#REF!</v>
      </c>
      <c r="AY25" s="38" t="e">
        <f>Financials!#REF!/Financials!AX5-1</f>
        <v>#REF!</v>
      </c>
      <c r="AZ25" s="38" t="e">
        <f>Financials!#REF!/Financials!AY5-1</f>
        <v>#REF!</v>
      </c>
      <c r="BA25" s="38" t="e">
        <f>Financials!#REF!/Financials!AZ5-1</f>
        <v>#REF!</v>
      </c>
      <c r="BB25" s="38" t="e">
        <f>Financials!#REF!/Financials!BA5-1</f>
        <v>#REF!</v>
      </c>
      <c r="BC25" s="38" t="e">
        <f>Financials!#REF!/Financials!BB5-1</f>
        <v>#REF!</v>
      </c>
      <c r="BD25" s="38" t="e">
        <f>Financials!#REF!/Financials!BC5-1</f>
        <v>#REF!</v>
      </c>
      <c r="BE25" s="38" t="e">
        <f>Financials!#REF!/Financials!BD5-1</f>
        <v>#REF!</v>
      </c>
      <c r="BF25" s="38" t="e">
        <f>Financials!#REF!/Financials!BE5-1</f>
        <v>#REF!</v>
      </c>
      <c r="BG25" s="38" t="e">
        <f>Financials!#REF!/Financials!BF5-1</f>
        <v>#REF!</v>
      </c>
      <c r="BH25" s="38" t="e">
        <f>Financials!#REF!/Financials!BG5-1</f>
        <v>#REF!</v>
      </c>
      <c r="BI25" s="38" t="e">
        <f>Financials!#REF!/Financials!BH5-1</f>
        <v>#REF!</v>
      </c>
      <c r="BJ25" s="38" t="e">
        <f>Financials!#REF!/Financials!BI5-1</f>
        <v>#REF!</v>
      </c>
      <c r="BK25" s="38" t="e">
        <f>Financials!#REF!/Financials!BJ5-1</f>
        <v>#REF!</v>
      </c>
      <c r="BL25" s="38" t="e">
        <f>Financials!#REF!/Financials!BK5-1</f>
        <v>#REF!</v>
      </c>
      <c r="BM25" s="38" t="e">
        <f>Financials!#REF!/Financials!BL5-1</f>
        <v>#REF!</v>
      </c>
      <c r="BN25" s="38" t="e">
        <f>Financials!#REF!/Financials!BM5-1</f>
        <v>#REF!</v>
      </c>
      <c r="BO25" s="38" t="e">
        <f>Financials!#REF!/Financials!BN5-1</f>
        <v>#REF!</v>
      </c>
      <c r="BP25" s="38" t="e">
        <f>Financials!#REF!/Financials!BO5-1</f>
        <v>#REF!</v>
      </c>
      <c r="BQ25" s="38" t="e">
        <f>Financials!#REF!/Financials!BP5-1</f>
        <v>#REF!</v>
      </c>
      <c r="BR25" s="38" t="e">
        <f>Financials!#REF!/Financials!BQ5-1</f>
        <v>#REF!</v>
      </c>
      <c r="BS25" s="38" t="e">
        <f>Financials!#REF!/Financials!BR5-1</f>
        <v>#REF!</v>
      </c>
      <c r="BT25" s="38" t="e">
        <f>Financials!#REF!/Financials!BS5-1</f>
        <v>#REF!</v>
      </c>
      <c r="BU25" s="38" t="e">
        <f>Financials!#REF!/Financials!BT5-1</f>
        <v>#REF!</v>
      </c>
      <c r="BV25" s="38" t="e">
        <f>Financials!#REF!/Financials!BU5-1</f>
        <v>#REF!</v>
      </c>
      <c r="BW25" s="38" t="e">
        <f>Financials!#REF!/Financials!BV5-1</f>
        <v>#REF!</v>
      </c>
      <c r="BX25" s="38" t="e">
        <f>Financials!#REF!/Financials!BW5-1</f>
        <v>#REF!</v>
      </c>
      <c r="BY25" s="38" t="e">
        <f>Financials!#REF!/Financials!BX5-1</f>
        <v>#REF!</v>
      </c>
      <c r="BZ25" s="38" t="e">
        <f>Financials!#REF!/Financials!BY5-1</f>
        <v>#REF!</v>
      </c>
      <c r="CA25" s="38" t="e">
        <f>Financials!#REF!/Financials!BZ5-1</f>
        <v>#REF!</v>
      </c>
      <c r="CB25" s="38" t="e">
        <f>Financials!#REF!/Financials!CA5-1</f>
        <v>#REF!</v>
      </c>
      <c r="CC25" s="38" t="e">
        <f>Financials!#REF!/Financials!CB5-1</f>
        <v>#REF!</v>
      </c>
      <c r="CD25" s="38" t="e">
        <f>Financials!#REF!/Financials!CC5-1</f>
        <v>#REF!</v>
      </c>
      <c r="CE25" s="38" t="e">
        <f>Financials!#REF!/Financials!CD5-1</f>
        <v>#REF!</v>
      </c>
      <c r="CF25" s="38" t="e">
        <f>Financials!#REF!/Financials!CE5-1</f>
        <v>#REF!</v>
      </c>
      <c r="CG25" s="38" t="e">
        <f>Financials!#REF!/Financials!CF5-1</f>
        <v>#REF!</v>
      </c>
      <c r="CH25" s="38" t="e">
        <f>Financials!#REF!/Financials!CG5-1</f>
        <v>#REF!</v>
      </c>
      <c r="CI25" s="38" t="e">
        <f>Financials!#REF!/Financials!CH5-1</f>
        <v>#REF!</v>
      </c>
      <c r="CJ25" s="38" t="e">
        <f>Financials!#REF!/Financials!CI5-1</f>
        <v>#REF!</v>
      </c>
      <c r="CK25" s="38" t="e">
        <f>Financials!#REF!/Financials!CJ5-1</f>
        <v>#REF!</v>
      </c>
      <c r="CL25" s="38" t="e">
        <f>Financials!#REF!/Financials!CK5-1</f>
        <v>#REF!</v>
      </c>
      <c r="CM25" s="38" t="e">
        <f>Financials!#REF!/Financials!CL5-1</f>
        <v>#REF!</v>
      </c>
      <c r="CN25" s="38" t="e">
        <f>Financials!#REF!/Financials!CM5-1</f>
        <v>#REF!</v>
      </c>
    </row>
    <row r="26" spans="1:92" ht="15">
      <c r="A26" s="421"/>
      <c r="B26" s="33" t="s">
        <v>226</v>
      </c>
      <c r="C26" s="2"/>
      <c r="D26" s="34" t="e">
        <f>Financials!D6/Financials!C6-1</f>
        <v>#REF!</v>
      </c>
      <c r="E26" s="34" t="e">
        <f>Financials!G6/Financials!D6-1</f>
        <v>#REF!</v>
      </c>
      <c r="F26" s="34" t="e">
        <f>Financials!H6/Financials!G6-1</f>
        <v>#REF!</v>
      </c>
      <c r="G26" s="34" t="e">
        <f>Financials!H6/Financials!G6-1</f>
        <v>#REF!</v>
      </c>
      <c r="H26" s="34" t="e">
        <f>Financials!H6/Financials!G6-1</f>
        <v>#REF!</v>
      </c>
      <c r="I26" s="34" t="e">
        <f>Financials!I6/Financials!H6-1</f>
        <v>#REF!</v>
      </c>
      <c r="J26" s="34" t="e">
        <f>Financials!J6/Financials!I6-1</f>
        <v>#REF!</v>
      </c>
      <c r="K26" s="34" t="e">
        <f>Financials!K6/Financials!J6-1</f>
        <v>#REF!</v>
      </c>
      <c r="L26" s="34" t="e">
        <f>Financials!L6/Financials!K6-1</f>
        <v>#REF!</v>
      </c>
      <c r="M26" s="34" t="e">
        <f>Financials!M6/Financials!L6-1</f>
        <v>#REF!</v>
      </c>
      <c r="N26" s="34" t="e">
        <f>Financials!N6/Financials!M6-1</f>
        <v>#REF!</v>
      </c>
      <c r="O26" s="34" t="e">
        <f>Financials!O6/Financials!N6-1</f>
        <v>#REF!</v>
      </c>
      <c r="P26" s="34" t="e">
        <f>Financials!P6/Financials!O6-1</f>
        <v>#REF!</v>
      </c>
      <c r="Q26" s="34" t="e">
        <f>Financials!Q6/Financials!P6-1</f>
        <v>#REF!</v>
      </c>
      <c r="R26" s="34" t="e">
        <f>Financials!R6/Financials!Q6-1</f>
        <v>#REF!</v>
      </c>
      <c r="S26" s="38" t="e">
        <f>Financials!#REF!/Financials!R6-1</f>
        <v>#REF!</v>
      </c>
      <c r="T26" s="38" t="e">
        <f>Financials!#REF!/Financials!S6-1</f>
        <v>#REF!</v>
      </c>
      <c r="U26" s="38" t="e">
        <f>Financials!#REF!/Financials!T6-1</f>
        <v>#REF!</v>
      </c>
      <c r="V26" s="38" t="e">
        <f>Financials!#REF!/Financials!U6-1</f>
        <v>#REF!</v>
      </c>
      <c r="W26" s="38" t="e">
        <f>Financials!#REF!/Financials!V6-1</f>
        <v>#REF!</v>
      </c>
      <c r="X26" s="38" t="e">
        <f>Financials!#REF!/Financials!W6-1</f>
        <v>#REF!</v>
      </c>
      <c r="Y26" s="38" t="e">
        <f>Financials!#REF!/Financials!X6-1</f>
        <v>#REF!</v>
      </c>
      <c r="Z26" s="38" t="e">
        <f>Financials!#REF!/Financials!Y6-1</f>
        <v>#REF!</v>
      </c>
      <c r="AA26" s="38" t="e">
        <f>Financials!#REF!/Financials!Z6-1</f>
        <v>#REF!</v>
      </c>
      <c r="AB26" s="38" t="e">
        <f>Financials!#REF!/Financials!AA6-1</f>
        <v>#REF!</v>
      </c>
      <c r="AC26" s="38" t="e">
        <f>Financials!#REF!/Financials!AB6-1</f>
        <v>#REF!</v>
      </c>
      <c r="AD26" s="38" t="e">
        <f>Financials!#REF!/Financials!AC6-1</f>
        <v>#REF!</v>
      </c>
      <c r="AE26" s="38" t="e">
        <f>Financials!#REF!/Financials!AD6-1</f>
        <v>#REF!</v>
      </c>
      <c r="AF26" s="38" t="e">
        <f>Financials!#REF!/Financials!AE6-1</f>
        <v>#REF!</v>
      </c>
      <c r="AG26" s="38" t="e">
        <f>Financials!#REF!/Financials!AF6-1</f>
        <v>#REF!</v>
      </c>
      <c r="AH26" s="38" t="e">
        <f>Financials!#REF!/Financials!AG6-1</f>
        <v>#REF!</v>
      </c>
      <c r="AI26" s="38" t="e">
        <f>Financials!#REF!/Financials!AH6-1</f>
        <v>#REF!</v>
      </c>
      <c r="AJ26" s="38" t="e">
        <f>Financials!#REF!/Financials!AI6-1</f>
        <v>#REF!</v>
      </c>
      <c r="AK26" s="38" t="e">
        <f>Financials!#REF!/Financials!AJ6-1</f>
        <v>#REF!</v>
      </c>
      <c r="AL26" s="38" t="e">
        <f>Financials!#REF!/Financials!AK6-1</f>
        <v>#REF!</v>
      </c>
      <c r="AM26" s="38" t="e">
        <f>Financials!#REF!/Financials!AL6-1</f>
        <v>#REF!</v>
      </c>
      <c r="AN26" s="38" t="e">
        <f>Financials!#REF!/Financials!AM6-1</f>
        <v>#REF!</v>
      </c>
      <c r="AO26" s="38" t="e">
        <f>Financials!#REF!/Financials!AN6-1</f>
        <v>#REF!</v>
      </c>
      <c r="AP26" s="38" t="e">
        <f>Financials!#REF!/Financials!AO6-1</f>
        <v>#REF!</v>
      </c>
      <c r="AQ26" s="38" t="e">
        <f>Financials!#REF!/Financials!AP6-1</f>
        <v>#REF!</v>
      </c>
      <c r="AR26" s="38" t="e">
        <f>Financials!#REF!/Financials!AQ6-1</f>
        <v>#REF!</v>
      </c>
      <c r="AS26" s="38" t="e">
        <f>Financials!#REF!/Financials!AR6-1</f>
        <v>#REF!</v>
      </c>
      <c r="AT26" s="38" t="e">
        <f>Financials!#REF!/Financials!AS6-1</f>
        <v>#REF!</v>
      </c>
      <c r="AU26" s="38" t="e">
        <f>Financials!#REF!/Financials!AT6-1</f>
        <v>#REF!</v>
      </c>
      <c r="AV26" s="38" t="e">
        <f>Financials!#REF!/Financials!AU6-1</f>
        <v>#REF!</v>
      </c>
      <c r="AW26" s="38" t="e">
        <f>Financials!#REF!/Financials!AV6-1</f>
        <v>#REF!</v>
      </c>
      <c r="AX26" s="38" t="e">
        <f>Financials!#REF!/Financials!AW6-1</f>
        <v>#REF!</v>
      </c>
      <c r="AY26" s="38" t="e">
        <f>Financials!#REF!/Financials!AX6-1</f>
        <v>#REF!</v>
      </c>
      <c r="AZ26" s="38" t="e">
        <f>Financials!#REF!/Financials!AY6-1</f>
        <v>#REF!</v>
      </c>
      <c r="BA26" s="38" t="e">
        <f>Financials!#REF!/Financials!AZ6-1</f>
        <v>#REF!</v>
      </c>
      <c r="BB26" s="38" t="e">
        <f>Financials!#REF!/Financials!BA6-1</f>
        <v>#REF!</v>
      </c>
      <c r="BC26" s="38" t="e">
        <f>Financials!#REF!/Financials!BB6-1</f>
        <v>#REF!</v>
      </c>
      <c r="BD26" s="38" t="e">
        <f>Financials!#REF!/Financials!BC6-1</f>
        <v>#REF!</v>
      </c>
      <c r="BE26" s="38" t="e">
        <f>Financials!#REF!/Financials!BD6-1</f>
        <v>#REF!</v>
      </c>
      <c r="BF26" s="38" t="e">
        <f>Financials!#REF!/Financials!BE6-1</f>
        <v>#REF!</v>
      </c>
      <c r="BG26" s="38" t="e">
        <f>Financials!#REF!/Financials!BF6-1</f>
        <v>#REF!</v>
      </c>
      <c r="BH26" s="38" t="e">
        <f>Financials!#REF!/Financials!BG6-1</f>
        <v>#REF!</v>
      </c>
      <c r="BI26" s="38" t="e">
        <f>Financials!#REF!/Financials!BH6-1</f>
        <v>#REF!</v>
      </c>
      <c r="BJ26" s="38" t="e">
        <f>Financials!#REF!/Financials!BI6-1</f>
        <v>#REF!</v>
      </c>
      <c r="BK26" s="38" t="e">
        <f>Financials!#REF!/Financials!BJ6-1</f>
        <v>#REF!</v>
      </c>
      <c r="BL26" s="38" t="e">
        <f>Financials!#REF!/Financials!BK6-1</f>
        <v>#REF!</v>
      </c>
      <c r="BM26" s="38" t="e">
        <f>Financials!#REF!/Financials!BL6-1</f>
        <v>#REF!</v>
      </c>
      <c r="BN26" s="38" t="e">
        <f>Financials!#REF!/Financials!BM6-1</f>
        <v>#REF!</v>
      </c>
      <c r="BO26" s="38" t="e">
        <f>Financials!#REF!/Financials!BN6-1</f>
        <v>#REF!</v>
      </c>
      <c r="BP26" s="38" t="e">
        <f>Financials!#REF!/Financials!BO6-1</f>
        <v>#REF!</v>
      </c>
      <c r="BQ26" s="38" t="e">
        <f>Financials!#REF!/Financials!BP6-1</f>
        <v>#REF!</v>
      </c>
      <c r="BR26" s="38" t="e">
        <f>Financials!#REF!/Financials!BQ6-1</f>
        <v>#REF!</v>
      </c>
      <c r="BS26" s="38" t="e">
        <f>Financials!#REF!/Financials!BR6-1</f>
        <v>#REF!</v>
      </c>
      <c r="BT26" s="38" t="e">
        <f>Financials!#REF!/Financials!BS6-1</f>
        <v>#REF!</v>
      </c>
      <c r="BU26" s="38" t="e">
        <f>Financials!#REF!/Financials!BT6-1</f>
        <v>#REF!</v>
      </c>
      <c r="BV26" s="38" t="e">
        <f>Financials!#REF!/Financials!BU6-1</f>
        <v>#REF!</v>
      </c>
      <c r="BW26" s="38" t="e">
        <f>Financials!#REF!/Financials!BV6-1</f>
        <v>#REF!</v>
      </c>
      <c r="BX26" s="38" t="e">
        <f>Financials!#REF!/Financials!BW6-1</f>
        <v>#REF!</v>
      </c>
      <c r="BY26" s="38" t="e">
        <f>Financials!#REF!/Financials!BX6-1</f>
        <v>#REF!</v>
      </c>
      <c r="BZ26" s="38" t="e">
        <f>Financials!#REF!/Financials!BY6-1</f>
        <v>#REF!</v>
      </c>
      <c r="CA26" s="38" t="e">
        <f>Financials!#REF!/Financials!BZ6-1</f>
        <v>#REF!</v>
      </c>
      <c r="CB26" s="38" t="e">
        <f>Financials!#REF!/Financials!CA6-1</f>
        <v>#REF!</v>
      </c>
      <c r="CC26" s="38" t="e">
        <f>Financials!#REF!/Financials!CB6-1</f>
        <v>#REF!</v>
      </c>
      <c r="CD26" s="38" t="e">
        <f>Financials!#REF!/Financials!CC6-1</f>
        <v>#REF!</v>
      </c>
      <c r="CE26" s="38" t="e">
        <f>Financials!#REF!/Financials!CD6-1</f>
        <v>#REF!</v>
      </c>
      <c r="CF26" s="38" t="e">
        <f>Financials!#REF!/Financials!CE6-1</f>
        <v>#REF!</v>
      </c>
      <c r="CG26" s="38" t="e">
        <f>Financials!#REF!/Financials!CF6-1</f>
        <v>#REF!</v>
      </c>
      <c r="CH26" s="38" t="e">
        <f>Financials!#REF!/Financials!CG6-1</f>
        <v>#REF!</v>
      </c>
      <c r="CI26" s="38" t="e">
        <f>Financials!#REF!/Financials!CH6-1</f>
        <v>#REF!</v>
      </c>
      <c r="CJ26" s="38" t="e">
        <f>Financials!#REF!/Financials!CI6-1</f>
        <v>#REF!</v>
      </c>
      <c r="CK26" s="38" t="e">
        <f>Financials!#REF!/Financials!CJ6-1</f>
        <v>#REF!</v>
      </c>
      <c r="CL26" s="38" t="e">
        <f>Financials!#REF!/Financials!CK6-1</f>
        <v>#REF!</v>
      </c>
      <c r="CM26" s="38" t="e">
        <f>Financials!#REF!/Financials!CL6-1</f>
        <v>#REF!</v>
      </c>
      <c r="CN26" s="38" t="e">
        <f>Financials!#REF!/Financials!CM6-1</f>
        <v>#REF!</v>
      </c>
    </row>
    <row r="27" spans="1:92" ht="15">
      <c r="A27" s="421"/>
      <c r="B27" s="33" t="s">
        <v>227</v>
      </c>
      <c r="C27" s="2"/>
      <c r="D27" s="34" t="e">
        <f>Financials!D7/Financials!C7-1</f>
        <v>#REF!</v>
      </c>
      <c r="E27" s="34" t="e">
        <f>Financials!G7/Financials!D7-1</f>
        <v>#REF!</v>
      </c>
      <c r="F27" s="34" t="e">
        <f>Financials!H7/Financials!G7-1</f>
        <v>#REF!</v>
      </c>
      <c r="G27" s="34" t="e">
        <f>Financials!H7/Financials!G7-1</f>
        <v>#REF!</v>
      </c>
      <c r="H27" s="34" t="e">
        <f>Financials!H7/Financials!G7-1</f>
        <v>#REF!</v>
      </c>
      <c r="I27" s="34" t="e">
        <f>Financials!I7/Financials!H7-1</f>
        <v>#REF!</v>
      </c>
      <c r="J27" s="34" t="e">
        <f>Financials!J7/Financials!I7-1</f>
        <v>#REF!</v>
      </c>
      <c r="K27" s="34" t="e">
        <f>Financials!K7/Financials!J7-1</f>
        <v>#REF!</v>
      </c>
      <c r="L27" s="34" t="e">
        <f>Financials!L7/Financials!K7-1</f>
        <v>#REF!</v>
      </c>
      <c r="M27" s="34" t="e">
        <f>Financials!M7/Financials!L7-1</f>
        <v>#REF!</v>
      </c>
      <c r="N27" s="34" t="e">
        <f>Financials!N7/Financials!M7-1</f>
        <v>#REF!</v>
      </c>
      <c r="O27" s="34" t="e">
        <f>Financials!O7/Financials!N7-1</f>
        <v>#REF!</v>
      </c>
      <c r="P27" s="34" t="e">
        <f>Financials!P7/Financials!O7-1</f>
        <v>#REF!</v>
      </c>
      <c r="Q27" s="34" t="e">
        <f>Financials!Q7/Financials!P7-1</f>
        <v>#REF!</v>
      </c>
      <c r="R27" s="34" t="e">
        <f>Financials!R7/Financials!Q7-1</f>
        <v>#REF!</v>
      </c>
      <c r="S27" s="38" t="e">
        <f>Financials!#REF!/Financials!R7-1</f>
        <v>#REF!</v>
      </c>
      <c r="T27" s="38" t="e">
        <f>Financials!#REF!/Financials!S7-1</f>
        <v>#REF!</v>
      </c>
      <c r="U27" s="38" t="e">
        <f>Financials!#REF!/Financials!T7-1</f>
        <v>#REF!</v>
      </c>
      <c r="V27" s="38" t="e">
        <f>Financials!#REF!/Financials!U7-1</f>
        <v>#REF!</v>
      </c>
      <c r="W27" s="38" t="e">
        <f>Financials!#REF!/Financials!V7-1</f>
        <v>#REF!</v>
      </c>
      <c r="X27" s="38" t="e">
        <f>Financials!#REF!/Financials!W7-1</f>
        <v>#REF!</v>
      </c>
      <c r="Y27" s="38" t="e">
        <f>Financials!#REF!/Financials!X7-1</f>
        <v>#REF!</v>
      </c>
      <c r="Z27" s="38" t="e">
        <f>Financials!#REF!/Financials!Y7-1</f>
        <v>#REF!</v>
      </c>
      <c r="AA27" s="38" t="e">
        <f>Financials!#REF!/Financials!Z7-1</f>
        <v>#REF!</v>
      </c>
      <c r="AB27" s="38" t="e">
        <f>Financials!#REF!/Financials!AA7-1</f>
        <v>#REF!</v>
      </c>
      <c r="AC27" s="38" t="e">
        <f>Financials!#REF!/Financials!AB7-1</f>
        <v>#REF!</v>
      </c>
      <c r="AD27" s="38" t="e">
        <f>Financials!#REF!/Financials!AC7-1</f>
        <v>#REF!</v>
      </c>
      <c r="AE27" s="38" t="e">
        <f>Financials!#REF!/Financials!AD7-1</f>
        <v>#REF!</v>
      </c>
      <c r="AF27" s="38" t="e">
        <f>Financials!#REF!/Financials!AE7-1</f>
        <v>#REF!</v>
      </c>
      <c r="AG27" s="38" t="e">
        <f>Financials!#REF!/Financials!AF7-1</f>
        <v>#REF!</v>
      </c>
      <c r="AH27" s="38" t="e">
        <f>Financials!#REF!/Financials!AG7-1</f>
        <v>#REF!</v>
      </c>
      <c r="AI27" s="38" t="e">
        <f>Financials!#REF!/Financials!AH7-1</f>
        <v>#REF!</v>
      </c>
      <c r="AJ27" s="38" t="e">
        <f>Financials!#REF!/Financials!AI7-1</f>
        <v>#REF!</v>
      </c>
      <c r="AK27" s="38" t="e">
        <f>Financials!#REF!/Financials!AJ7-1</f>
        <v>#REF!</v>
      </c>
      <c r="AL27" s="38" t="e">
        <f>Financials!#REF!/Financials!AK7-1</f>
        <v>#REF!</v>
      </c>
      <c r="AM27" s="38" t="e">
        <f>Financials!#REF!/Financials!AL7-1</f>
        <v>#REF!</v>
      </c>
      <c r="AN27" s="38" t="e">
        <f>Financials!#REF!/Financials!AM7-1</f>
        <v>#REF!</v>
      </c>
      <c r="AO27" s="38" t="e">
        <f>Financials!#REF!/Financials!AN7-1</f>
        <v>#REF!</v>
      </c>
      <c r="AP27" s="38" t="e">
        <f>Financials!#REF!/Financials!AO7-1</f>
        <v>#REF!</v>
      </c>
      <c r="AQ27" s="38" t="e">
        <f>Financials!#REF!/Financials!AP7-1</f>
        <v>#REF!</v>
      </c>
      <c r="AR27" s="38" t="e">
        <f>Financials!#REF!/Financials!AQ7-1</f>
        <v>#REF!</v>
      </c>
      <c r="AS27" s="38" t="e">
        <f>Financials!#REF!/Financials!AR7-1</f>
        <v>#REF!</v>
      </c>
      <c r="AT27" s="38" t="e">
        <f>Financials!#REF!/Financials!AS7-1</f>
        <v>#REF!</v>
      </c>
      <c r="AU27" s="38" t="e">
        <f>Financials!#REF!/Financials!AT7-1</f>
        <v>#REF!</v>
      </c>
      <c r="AV27" s="38" t="e">
        <f>Financials!#REF!/Financials!AU7-1</f>
        <v>#REF!</v>
      </c>
      <c r="AW27" s="38" t="e">
        <f>Financials!#REF!/Financials!AV7-1</f>
        <v>#REF!</v>
      </c>
      <c r="AX27" s="38" t="e">
        <f>Financials!#REF!/Financials!AW7-1</f>
        <v>#REF!</v>
      </c>
      <c r="AY27" s="38" t="e">
        <f>Financials!#REF!/Financials!AX7-1</f>
        <v>#REF!</v>
      </c>
      <c r="AZ27" s="38" t="e">
        <f>Financials!#REF!/Financials!AY7-1</f>
        <v>#REF!</v>
      </c>
      <c r="BA27" s="38" t="e">
        <f>Financials!#REF!/Financials!AZ7-1</f>
        <v>#REF!</v>
      </c>
      <c r="BB27" s="38" t="e">
        <f>Financials!#REF!/Financials!BA7-1</f>
        <v>#REF!</v>
      </c>
      <c r="BC27" s="38" t="e">
        <f>Financials!#REF!/Financials!BB7-1</f>
        <v>#REF!</v>
      </c>
      <c r="BD27" s="38" t="e">
        <f>Financials!#REF!/Financials!BC7-1</f>
        <v>#REF!</v>
      </c>
      <c r="BE27" s="38" t="e">
        <f>Financials!#REF!/Financials!BD7-1</f>
        <v>#REF!</v>
      </c>
      <c r="BF27" s="38" t="e">
        <f>Financials!#REF!/Financials!BE7-1</f>
        <v>#REF!</v>
      </c>
      <c r="BG27" s="38" t="e">
        <f>Financials!#REF!/Financials!BF7-1</f>
        <v>#REF!</v>
      </c>
      <c r="BH27" s="38" t="e">
        <f>Financials!#REF!/Financials!BG7-1</f>
        <v>#REF!</v>
      </c>
      <c r="BI27" s="38" t="e">
        <f>Financials!#REF!/Financials!BH7-1</f>
        <v>#REF!</v>
      </c>
      <c r="BJ27" s="38" t="e">
        <f>Financials!#REF!/Financials!BI7-1</f>
        <v>#REF!</v>
      </c>
      <c r="BK27" s="38" t="e">
        <f>Financials!#REF!/Financials!BJ7-1</f>
        <v>#REF!</v>
      </c>
      <c r="BL27" s="38" t="e">
        <f>Financials!#REF!/Financials!BK7-1</f>
        <v>#REF!</v>
      </c>
      <c r="BM27" s="38" t="e">
        <f>Financials!#REF!/Financials!BL7-1</f>
        <v>#REF!</v>
      </c>
      <c r="BN27" s="38" t="e">
        <f>Financials!#REF!/Financials!BM7-1</f>
        <v>#REF!</v>
      </c>
      <c r="BO27" s="38" t="e">
        <f>Financials!#REF!/Financials!BN7-1</f>
        <v>#REF!</v>
      </c>
      <c r="BP27" s="38" t="e">
        <f>Financials!#REF!/Financials!BO7-1</f>
        <v>#REF!</v>
      </c>
      <c r="BQ27" s="38" t="e">
        <f>Financials!#REF!/Financials!BP7-1</f>
        <v>#REF!</v>
      </c>
      <c r="BR27" s="38" t="e">
        <f>Financials!#REF!/Financials!BQ7-1</f>
        <v>#REF!</v>
      </c>
      <c r="BS27" s="38" t="e">
        <f>Financials!#REF!/Financials!BR7-1</f>
        <v>#REF!</v>
      </c>
      <c r="BT27" s="38" t="e">
        <f>Financials!#REF!/Financials!BS7-1</f>
        <v>#REF!</v>
      </c>
      <c r="BU27" s="38" t="e">
        <f>Financials!#REF!/Financials!BT7-1</f>
        <v>#REF!</v>
      </c>
      <c r="BV27" s="38" t="e">
        <f>Financials!#REF!/Financials!BU7-1</f>
        <v>#REF!</v>
      </c>
      <c r="BW27" s="38" t="e">
        <f>Financials!#REF!/Financials!BV7-1</f>
        <v>#REF!</v>
      </c>
      <c r="BX27" s="38" t="e">
        <f>Financials!#REF!/Financials!BW7-1</f>
        <v>#REF!</v>
      </c>
      <c r="BY27" s="38" t="e">
        <f>Financials!#REF!/Financials!BX7-1</f>
        <v>#REF!</v>
      </c>
      <c r="BZ27" s="38" t="e">
        <f>Financials!#REF!/Financials!BY7-1</f>
        <v>#REF!</v>
      </c>
      <c r="CA27" s="38" t="e">
        <f>Financials!#REF!/Financials!BZ7-1</f>
        <v>#REF!</v>
      </c>
      <c r="CB27" s="38" t="e">
        <f>Financials!#REF!/Financials!CA7-1</f>
        <v>#REF!</v>
      </c>
      <c r="CC27" s="38" t="e">
        <f>Financials!#REF!/Financials!CB7-1</f>
        <v>#REF!</v>
      </c>
      <c r="CD27" s="38" t="e">
        <f>Financials!#REF!/Financials!CC7-1</f>
        <v>#REF!</v>
      </c>
      <c r="CE27" s="38" t="e">
        <f>Financials!#REF!/Financials!CD7-1</f>
        <v>#REF!</v>
      </c>
      <c r="CF27" s="38" t="e">
        <f>Financials!#REF!/Financials!CE7-1</f>
        <v>#REF!</v>
      </c>
      <c r="CG27" s="38" t="e">
        <f>Financials!#REF!/Financials!CF7-1</f>
        <v>#REF!</v>
      </c>
      <c r="CH27" s="38" t="e">
        <f>Financials!#REF!/Financials!CG7-1</f>
        <v>#REF!</v>
      </c>
      <c r="CI27" s="38" t="e">
        <f>Financials!#REF!/Financials!CH7-1</f>
        <v>#REF!</v>
      </c>
      <c r="CJ27" s="38" t="e">
        <f>Financials!#REF!/Financials!CI7-1</f>
        <v>#REF!</v>
      </c>
      <c r="CK27" s="38" t="e">
        <f>Financials!#REF!/Financials!CJ7-1</f>
        <v>#REF!</v>
      </c>
      <c r="CL27" s="38" t="e">
        <f>Financials!#REF!/Financials!CK7-1</f>
        <v>#REF!</v>
      </c>
      <c r="CM27" s="38" t="e">
        <f>Financials!#REF!/Financials!CL7-1</f>
        <v>#REF!</v>
      </c>
      <c r="CN27" s="38" t="e">
        <f>Financials!#REF!/Financials!CM7-1</f>
        <v>#REF!</v>
      </c>
    </row>
    <row r="28" spans="1:92" ht="15">
      <c r="A28" s="421"/>
      <c r="B28" s="32" t="s">
        <v>228</v>
      </c>
      <c r="C28" s="2"/>
      <c r="D28" s="34" t="e">
        <f>Financials!D31/Financials!C31-1</f>
        <v>#REF!</v>
      </c>
      <c r="E28" s="34" t="e">
        <f>Financials!G31/Financials!D31-1</f>
        <v>#REF!</v>
      </c>
      <c r="F28" s="34" t="e">
        <f>Financials!H31/Financials!G31-1</f>
        <v>#REF!</v>
      </c>
      <c r="G28" s="34" t="e">
        <f>Financials!H31/Financials!G31-1</f>
        <v>#REF!</v>
      </c>
      <c r="H28" s="34" t="e">
        <f>Financials!H31/Financials!G31-1</f>
        <v>#REF!</v>
      </c>
      <c r="I28" s="34" t="e">
        <f>Financials!I31/Financials!H31-1</f>
        <v>#REF!</v>
      </c>
      <c r="J28" s="34" t="e">
        <f>Financials!J31/Financials!I31-1</f>
        <v>#REF!</v>
      </c>
      <c r="K28" s="34" t="e">
        <f>Financials!K31/Financials!J31-1</f>
        <v>#REF!</v>
      </c>
      <c r="L28" s="34" t="e">
        <f>Financials!L31/Financials!K31-1</f>
        <v>#REF!</v>
      </c>
      <c r="M28" s="34" t="e">
        <f>Financials!M31/Financials!L31-1</f>
        <v>#REF!</v>
      </c>
      <c r="N28" s="34" t="e">
        <f>Financials!N31/Financials!M31-1</f>
        <v>#REF!</v>
      </c>
      <c r="O28" s="34" t="e">
        <f>Financials!O31/Financials!N31-1</f>
        <v>#REF!</v>
      </c>
      <c r="P28" s="34" t="e">
        <f>Financials!P31/Financials!O31-1</f>
        <v>#REF!</v>
      </c>
      <c r="Q28" s="34" t="e">
        <f>Financials!Q31/Financials!P31-1</f>
        <v>#REF!</v>
      </c>
      <c r="R28" s="34" t="e">
        <f>Financials!R31/Financials!Q31-1</f>
        <v>#REF!</v>
      </c>
      <c r="S28" s="38" t="e">
        <f>Financials!#REF!/Financials!R31-1</f>
        <v>#REF!</v>
      </c>
      <c r="T28" s="38" t="e">
        <f>Financials!#REF!/Financials!S31-1</f>
        <v>#REF!</v>
      </c>
      <c r="U28" s="38" t="e">
        <f>Financials!#REF!/Financials!T31-1</f>
        <v>#REF!</v>
      </c>
      <c r="V28" s="38" t="e">
        <f>Financials!#REF!/Financials!U31-1</f>
        <v>#REF!</v>
      </c>
      <c r="W28" s="38" t="e">
        <f>Financials!#REF!/Financials!V31-1</f>
        <v>#REF!</v>
      </c>
      <c r="X28" s="38" t="e">
        <f>Financials!#REF!/Financials!W31-1</f>
        <v>#REF!</v>
      </c>
      <c r="Y28" s="38" t="e">
        <f>Financials!#REF!/Financials!X31-1</f>
        <v>#REF!</v>
      </c>
      <c r="Z28" s="38" t="e">
        <f>Financials!#REF!/Financials!Y31-1</f>
        <v>#REF!</v>
      </c>
      <c r="AA28" s="38" t="e">
        <f>Financials!#REF!/Financials!Z31-1</f>
        <v>#REF!</v>
      </c>
      <c r="AB28" s="38" t="e">
        <f>Financials!#REF!/Financials!AA31-1</f>
        <v>#REF!</v>
      </c>
      <c r="AC28" s="38" t="e">
        <f>Financials!#REF!/Financials!AB31-1</f>
        <v>#REF!</v>
      </c>
      <c r="AD28" s="38" t="e">
        <f>Financials!#REF!/Financials!AC31-1</f>
        <v>#REF!</v>
      </c>
      <c r="AE28" s="38" t="e">
        <f>Financials!#REF!/Financials!AD31-1</f>
        <v>#REF!</v>
      </c>
      <c r="AF28" s="38" t="e">
        <f>Financials!#REF!/Financials!AE31-1</f>
        <v>#REF!</v>
      </c>
      <c r="AG28" s="38" t="e">
        <f>Financials!#REF!/Financials!AF31-1</f>
        <v>#REF!</v>
      </c>
      <c r="AH28" s="38" t="e">
        <f>Financials!#REF!/Financials!AG31-1</f>
        <v>#REF!</v>
      </c>
      <c r="AI28" s="38" t="e">
        <f>Financials!#REF!/Financials!AH31-1</f>
        <v>#REF!</v>
      </c>
      <c r="AJ28" s="38" t="e">
        <f>Financials!#REF!/Financials!AI31-1</f>
        <v>#REF!</v>
      </c>
      <c r="AK28" s="38" t="e">
        <f>Financials!#REF!/Financials!AJ31-1</f>
        <v>#REF!</v>
      </c>
      <c r="AL28" s="38" t="e">
        <f>Financials!#REF!/Financials!AK31-1</f>
        <v>#REF!</v>
      </c>
      <c r="AM28" s="38" t="e">
        <f>Financials!#REF!/Financials!AL31-1</f>
        <v>#REF!</v>
      </c>
      <c r="AN28" s="38" t="e">
        <f>Financials!#REF!/Financials!AM31-1</f>
        <v>#REF!</v>
      </c>
      <c r="AO28" s="38" t="e">
        <f>Financials!#REF!/Financials!AN31-1</f>
        <v>#REF!</v>
      </c>
      <c r="AP28" s="38" t="e">
        <f>Financials!#REF!/Financials!AO31-1</f>
        <v>#REF!</v>
      </c>
      <c r="AQ28" s="38" t="e">
        <f>Financials!#REF!/Financials!AP31-1</f>
        <v>#REF!</v>
      </c>
      <c r="AR28" s="38" t="e">
        <f>Financials!#REF!/Financials!AQ31-1</f>
        <v>#REF!</v>
      </c>
      <c r="AS28" s="38" t="e">
        <f>Financials!#REF!/Financials!AR31-1</f>
        <v>#REF!</v>
      </c>
      <c r="AT28" s="38" t="e">
        <f>Financials!#REF!/Financials!AS31-1</f>
        <v>#REF!</v>
      </c>
      <c r="AU28" s="38" t="e">
        <f>Financials!#REF!/Financials!AT31-1</f>
        <v>#REF!</v>
      </c>
      <c r="AV28" s="38" t="e">
        <f>Financials!#REF!/Financials!AU31-1</f>
        <v>#REF!</v>
      </c>
      <c r="AW28" s="38" t="e">
        <f>Financials!#REF!/Financials!AV31-1</f>
        <v>#REF!</v>
      </c>
      <c r="AX28" s="38" t="e">
        <f>Financials!#REF!/Financials!AW31-1</f>
        <v>#REF!</v>
      </c>
      <c r="AY28" s="38" t="e">
        <f>Financials!#REF!/Financials!AX31-1</f>
        <v>#REF!</v>
      </c>
      <c r="AZ28" s="38" t="e">
        <f>Financials!#REF!/Financials!AY31-1</f>
        <v>#REF!</v>
      </c>
      <c r="BA28" s="38" t="e">
        <f>Financials!#REF!/Financials!AZ31-1</f>
        <v>#REF!</v>
      </c>
      <c r="BB28" s="38" t="e">
        <f>Financials!#REF!/Financials!BA31-1</f>
        <v>#REF!</v>
      </c>
      <c r="BC28" s="38" t="e">
        <f>Financials!#REF!/Financials!BB31-1</f>
        <v>#REF!</v>
      </c>
      <c r="BD28" s="38" t="e">
        <f>Financials!#REF!/Financials!BC31-1</f>
        <v>#REF!</v>
      </c>
      <c r="BE28" s="38" t="e">
        <f>Financials!#REF!/Financials!BD31-1</f>
        <v>#REF!</v>
      </c>
      <c r="BF28" s="38" t="e">
        <f>Financials!#REF!/Financials!BE31-1</f>
        <v>#REF!</v>
      </c>
      <c r="BG28" s="38" t="e">
        <f>Financials!#REF!/Financials!BF31-1</f>
        <v>#REF!</v>
      </c>
      <c r="BH28" s="38" t="e">
        <f>Financials!#REF!/Financials!BG31-1</f>
        <v>#REF!</v>
      </c>
      <c r="BI28" s="38" t="e">
        <f>Financials!#REF!/Financials!BH31-1</f>
        <v>#REF!</v>
      </c>
      <c r="BJ28" s="38" t="e">
        <f>Financials!#REF!/Financials!BI31-1</f>
        <v>#REF!</v>
      </c>
      <c r="BK28" s="38" t="e">
        <f>Financials!#REF!/Financials!BJ31-1</f>
        <v>#REF!</v>
      </c>
      <c r="BL28" s="38" t="e">
        <f>Financials!#REF!/Financials!BK31-1</f>
        <v>#REF!</v>
      </c>
      <c r="BM28" s="38" t="e">
        <f>Financials!#REF!/Financials!BL31-1</f>
        <v>#REF!</v>
      </c>
      <c r="BN28" s="38" t="e">
        <f>Financials!#REF!/Financials!BM31-1</f>
        <v>#REF!</v>
      </c>
      <c r="BO28" s="38" t="e">
        <f>Financials!#REF!/Financials!BN31-1</f>
        <v>#REF!</v>
      </c>
      <c r="BP28" s="38" t="e">
        <f>Financials!#REF!/Financials!BO31-1</f>
        <v>#REF!</v>
      </c>
      <c r="BQ28" s="38" t="e">
        <f>Financials!#REF!/Financials!BP31-1</f>
        <v>#REF!</v>
      </c>
      <c r="BR28" s="38" t="e">
        <f>Financials!#REF!/Financials!BQ31-1</f>
        <v>#REF!</v>
      </c>
      <c r="BS28" s="38" t="e">
        <f>Financials!#REF!/Financials!BR31-1</f>
        <v>#REF!</v>
      </c>
      <c r="BT28" s="38" t="e">
        <f>Financials!#REF!/Financials!BS31-1</f>
        <v>#REF!</v>
      </c>
      <c r="BU28" s="38" t="e">
        <f>Financials!#REF!/Financials!BT31-1</f>
        <v>#REF!</v>
      </c>
      <c r="BV28" s="38" t="e">
        <f>Financials!#REF!/Financials!BU31-1</f>
        <v>#REF!</v>
      </c>
      <c r="BW28" s="38" t="e">
        <f>Financials!#REF!/Financials!BV31-1</f>
        <v>#REF!</v>
      </c>
      <c r="BX28" s="38" t="e">
        <f>Financials!#REF!/Financials!BW31-1</f>
        <v>#REF!</v>
      </c>
      <c r="BY28" s="38" t="e">
        <f>Financials!#REF!/Financials!BX31-1</f>
        <v>#REF!</v>
      </c>
      <c r="BZ28" s="38" t="e">
        <f>Financials!#REF!/Financials!BY31-1</f>
        <v>#REF!</v>
      </c>
      <c r="CA28" s="38" t="e">
        <f>Financials!#REF!/Financials!BZ31-1</f>
        <v>#REF!</v>
      </c>
      <c r="CB28" s="38" t="e">
        <f>Financials!#REF!/Financials!CA31-1</f>
        <v>#REF!</v>
      </c>
      <c r="CC28" s="38" t="e">
        <f>Financials!#REF!/Financials!CB31-1</f>
        <v>#REF!</v>
      </c>
      <c r="CD28" s="38" t="e">
        <f>Financials!#REF!/Financials!CC31-1</f>
        <v>#REF!</v>
      </c>
      <c r="CE28" s="38" t="e">
        <f>Financials!#REF!/Financials!CD31-1</f>
        <v>#REF!</v>
      </c>
      <c r="CF28" s="38" t="e">
        <f>Financials!#REF!/Financials!CE31-1</f>
        <v>#REF!</v>
      </c>
      <c r="CG28" s="38" t="e">
        <f>Financials!#REF!/Financials!CF31-1</f>
        <v>#REF!</v>
      </c>
      <c r="CH28" s="38" t="e">
        <f>Financials!#REF!/Financials!CG31-1</f>
        <v>#REF!</v>
      </c>
      <c r="CI28" s="38" t="e">
        <f>Financials!#REF!/Financials!CH31-1</f>
        <v>#REF!</v>
      </c>
      <c r="CJ28" s="38" t="e">
        <f>Financials!#REF!/Financials!CI31-1</f>
        <v>#REF!</v>
      </c>
      <c r="CK28" s="38" t="e">
        <f>Financials!#REF!/Financials!CJ31-1</f>
        <v>#REF!</v>
      </c>
      <c r="CL28" s="38" t="e">
        <f>Financials!#REF!/Financials!CK31-1</f>
        <v>#REF!</v>
      </c>
      <c r="CM28" s="38" t="e">
        <f>Financials!#REF!/Financials!CL31-1</f>
        <v>#REF!</v>
      </c>
      <c r="CN28" s="38" t="e">
        <f>Financials!#REF!/Financials!CM31-1</f>
        <v>#REF!</v>
      </c>
    </row>
    <row r="29" spans="1:92" ht="15">
      <c r="A29" s="421"/>
      <c r="B29" s="32" t="s">
        <v>229</v>
      </c>
      <c r="C29" s="2"/>
      <c r="D29" s="34" t="e">
        <f>Financials!D11/Financials!C11-1</f>
        <v>#REF!</v>
      </c>
      <c r="E29" s="34" t="e">
        <f>Financials!G11/Financials!D11-1</f>
        <v>#REF!</v>
      </c>
      <c r="F29" s="34" t="e">
        <f>Financials!H11/Financials!G11-1</f>
        <v>#REF!</v>
      </c>
      <c r="G29" s="34" t="e">
        <f>Financials!H11/Financials!G11-1</f>
        <v>#REF!</v>
      </c>
      <c r="H29" s="34" t="e">
        <f>Financials!H11/Financials!G11-1</f>
        <v>#REF!</v>
      </c>
      <c r="I29" s="34" t="e">
        <f>Financials!I11/Financials!H11-1</f>
        <v>#REF!</v>
      </c>
      <c r="J29" s="34" t="e">
        <f>Financials!J11/Financials!I11-1</f>
        <v>#REF!</v>
      </c>
      <c r="K29" s="34" t="e">
        <f>Financials!K11/Financials!J11-1</f>
        <v>#REF!</v>
      </c>
      <c r="L29" s="34" t="e">
        <f>Financials!L11/Financials!K11-1</f>
        <v>#REF!</v>
      </c>
      <c r="M29" s="34" t="e">
        <f>Financials!M11/Financials!L11-1</f>
        <v>#REF!</v>
      </c>
      <c r="N29" s="34" t="e">
        <f>Financials!N11/Financials!M11-1</f>
        <v>#REF!</v>
      </c>
      <c r="O29" s="34" t="e">
        <f>Financials!O11/Financials!N11-1</f>
        <v>#REF!</v>
      </c>
      <c r="P29" s="34" t="e">
        <f>Financials!P11/Financials!O11-1</f>
        <v>#REF!</v>
      </c>
      <c r="Q29" s="34" t="e">
        <f>Financials!Q11/Financials!P11-1</f>
        <v>#REF!</v>
      </c>
      <c r="R29" s="34" t="e">
        <f>Financials!R11/Financials!Q11-1</f>
        <v>#REF!</v>
      </c>
      <c r="S29" s="38" t="e">
        <f>Financials!#REF!/Financials!R11-1</f>
        <v>#REF!</v>
      </c>
      <c r="T29" s="38" t="e">
        <f>Financials!#REF!/Financials!S11-1</f>
        <v>#REF!</v>
      </c>
      <c r="U29" s="38" t="e">
        <f>Financials!#REF!/Financials!T11-1</f>
        <v>#REF!</v>
      </c>
      <c r="V29" s="38" t="e">
        <f>Financials!#REF!/Financials!U11-1</f>
        <v>#REF!</v>
      </c>
      <c r="W29" s="38" t="e">
        <f>Financials!#REF!/Financials!V11-1</f>
        <v>#REF!</v>
      </c>
      <c r="X29" s="38" t="e">
        <f>Financials!#REF!/Financials!W11-1</f>
        <v>#REF!</v>
      </c>
      <c r="Y29" s="38" t="e">
        <f>Financials!#REF!/Financials!X11-1</f>
        <v>#REF!</v>
      </c>
      <c r="Z29" s="38" t="e">
        <f>Financials!#REF!/Financials!Y11-1</f>
        <v>#REF!</v>
      </c>
      <c r="AA29" s="38" t="e">
        <f>Financials!#REF!/Financials!Z11-1</f>
        <v>#REF!</v>
      </c>
      <c r="AB29" s="38" t="e">
        <f>Financials!#REF!/Financials!AA11-1</f>
        <v>#REF!</v>
      </c>
      <c r="AC29" s="38" t="e">
        <f>Financials!#REF!/Financials!AB11-1</f>
        <v>#REF!</v>
      </c>
      <c r="AD29" s="38" t="e">
        <f>Financials!#REF!/Financials!AC11-1</f>
        <v>#REF!</v>
      </c>
      <c r="AE29" s="38" t="e">
        <f>Financials!#REF!/Financials!AD11-1</f>
        <v>#REF!</v>
      </c>
      <c r="AF29" s="38" t="e">
        <f>Financials!#REF!/Financials!AE11-1</f>
        <v>#REF!</v>
      </c>
      <c r="AG29" s="38" t="e">
        <f>Financials!#REF!/Financials!AF11-1</f>
        <v>#REF!</v>
      </c>
      <c r="AH29" s="38" t="e">
        <f>Financials!#REF!/Financials!AG11-1</f>
        <v>#REF!</v>
      </c>
      <c r="AI29" s="38" t="e">
        <f>Financials!#REF!/Financials!AH11-1</f>
        <v>#REF!</v>
      </c>
      <c r="AJ29" s="38" t="e">
        <f>Financials!#REF!/Financials!AI11-1</f>
        <v>#REF!</v>
      </c>
      <c r="AK29" s="38" t="e">
        <f>Financials!#REF!/Financials!AJ11-1</f>
        <v>#REF!</v>
      </c>
      <c r="AL29" s="38" t="e">
        <f>Financials!#REF!/Financials!AK11-1</f>
        <v>#REF!</v>
      </c>
      <c r="AM29" s="38" t="e">
        <f>Financials!#REF!/Financials!AL11-1</f>
        <v>#REF!</v>
      </c>
      <c r="AN29" s="38" t="e">
        <f>Financials!#REF!/Financials!AM11-1</f>
        <v>#REF!</v>
      </c>
      <c r="AO29" s="38" t="e">
        <f>Financials!#REF!/Financials!AN11-1</f>
        <v>#REF!</v>
      </c>
      <c r="AP29" s="38" t="e">
        <f>Financials!#REF!/Financials!AO11-1</f>
        <v>#REF!</v>
      </c>
      <c r="AQ29" s="38" t="e">
        <f>Financials!#REF!/Financials!AP11-1</f>
        <v>#REF!</v>
      </c>
      <c r="AR29" s="38" t="e">
        <f>Financials!#REF!/Financials!AQ11-1</f>
        <v>#REF!</v>
      </c>
      <c r="AS29" s="38" t="e">
        <f>Financials!#REF!/Financials!AR11-1</f>
        <v>#REF!</v>
      </c>
      <c r="AT29" s="38" t="e">
        <f>Financials!#REF!/Financials!AS11-1</f>
        <v>#REF!</v>
      </c>
      <c r="AU29" s="38" t="e">
        <f>Financials!#REF!/Financials!AT11-1</f>
        <v>#REF!</v>
      </c>
      <c r="AV29" s="38" t="e">
        <f>Financials!#REF!/Financials!AU11-1</f>
        <v>#REF!</v>
      </c>
      <c r="AW29" s="38" t="e">
        <f>Financials!#REF!/Financials!AV11-1</f>
        <v>#REF!</v>
      </c>
      <c r="AX29" s="38" t="e">
        <f>Financials!#REF!/Financials!AW11-1</f>
        <v>#REF!</v>
      </c>
      <c r="AY29" s="38" t="e">
        <f>Financials!#REF!/Financials!AX11-1</f>
        <v>#REF!</v>
      </c>
      <c r="AZ29" s="38" t="e">
        <f>Financials!#REF!/Financials!AY11-1</f>
        <v>#REF!</v>
      </c>
      <c r="BA29" s="38" t="e">
        <f>Financials!#REF!/Financials!AZ11-1</f>
        <v>#REF!</v>
      </c>
      <c r="BB29" s="38" t="e">
        <f>Financials!#REF!/Financials!BA11-1</f>
        <v>#REF!</v>
      </c>
      <c r="BC29" s="38" t="e">
        <f>Financials!#REF!/Financials!BB11-1</f>
        <v>#REF!</v>
      </c>
      <c r="BD29" s="38" t="e">
        <f>Financials!#REF!/Financials!BC11-1</f>
        <v>#REF!</v>
      </c>
      <c r="BE29" s="38" t="e">
        <f>Financials!#REF!/Financials!BD11-1</f>
        <v>#REF!</v>
      </c>
      <c r="BF29" s="38" t="e">
        <f>Financials!#REF!/Financials!BE11-1</f>
        <v>#REF!</v>
      </c>
      <c r="BG29" s="38" t="e">
        <f>Financials!#REF!/Financials!BF11-1</f>
        <v>#REF!</v>
      </c>
      <c r="BH29" s="38" t="e">
        <f>Financials!#REF!/Financials!BG11-1</f>
        <v>#REF!</v>
      </c>
      <c r="BI29" s="38" t="e">
        <f>Financials!#REF!/Financials!BH11-1</f>
        <v>#REF!</v>
      </c>
      <c r="BJ29" s="38" t="e">
        <f>Financials!#REF!/Financials!BI11-1</f>
        <v>#REF!</v>
      </c>
      <c r="BK29" s="38" t="e">
        <f>Financials!#REF!/Financials!BJ11-1</f>
        <v>#REF!</v>
      </c>
      <c r="BL29" s="38" t="e">
        <f>Financials!#REF!/Financials!BK11-1</f>
        <v>#REF!</v>
      </c>
      <c r="BM29" s="38" t="e">
        <f>Financials!#REF!/Financials!BL11-1</f>
        <v>#REF!</v>
      </c>
      <c r="BN29" s="38" t="e">
        <f>Financials!#REF!/Financials!BM11-1</f>
        <v>#REF!</v>
      </c>
      <c r="BO29" s="38" t="e">
        <f>Financials!#REF!/Financials!BN11-1</f>
        <v>#REF!</v>
      </c>
      <c r="BP29" s="38" t="e">
        <f>Financials!#REF!/Financials!BO11-1</f>
        <v>#REF!</v>
      </c>
      <c r="BQ29" s="38" t="e">
        <f>Financials!#REF!/Financials!BP11-1</f>
        <v>#REF!</v>
      </c>
      <c r="BR29" s="38" t="e">
        <f>Financials!#REF!/Financials!BQ11-1</f>
        <v>#REF!</v>
      </c>
      <c r="BS29" s="38" t="e">
        <f>Financials!#REF!/Financials!BR11-1</f>
        <v>#REF!</v>
      </c>
      <c r="BT29" s="38" t="e">
        <f>Financials!#REF!/Financials!BS11-1</f>
        <v>#REF!</v>
      </c>
      <c r="BU29" s="38" t="e">
        <f>Financials!#REF!/Financials!BT11-1</f>
        <v>#REF!</v>
      </c>
      <c r="BV29" s="38" t="e">
        <f>Financials!#REF!/Financials!BU11-1</f>
        <v>#REF!</v>
      </c>
      <c r="BW29" s="38" t="e">
        <f>Financials!#REF!/Financials!BV11-1</f>
        <v>#REF!</v>
      </c>
      <c r="BX29" s="38" t="e">
        <f>Financials!#REF!/Financials!BW11-1</f>
        <v>#REF!</v>
      </c>
      <c r="BY29" s="38" t="e">
        <f>Financials!#REF!/Financials!BX11-1</f>
        <v>#REF!</v>
      </c>
      <c r="BZ29" s="38" t="e">
        <f>Financials!#REF!/Financials!BY11-1</f>
        <v>#REF!</v>
      </c>
      <c r="CA29" s="38" t="e">
        <f>Financials!#REF!/Financials!BZ11-1</f>
        <v>#REF!</v>
      </c>
      <c r="CB29" s="38" t="e">
        <f>Financials!#REF!/Financials!CA11-1</f>
        <v>#REF!</v>
      </c>
      <c r="CC29" s="38" t="e">
        <f>Financials!#REF!/Financials!CB11-1</f>
        <v>#REF!</v>
      </c>
      <c r="CD29" s="38" t="e">
        <f>Financials!#REF!/Financials!CC11-1</f>
        <v>#REF!</v>
      </c>
      <c r="CE29" s="38" t="e">
        <f>Financials!#REF!/Financials!CD11-1</f>
        <v>#REF!</v>
      </c>
      <c r="CF29" s="38" t="e">
        <f>Financials!#REF!/Financials!CE11-1</f>
        <v>#REF!</v>
      </c>
      <c r="CG29" s="38" t="e">
        <f>Financials!#REF!/Financials!CF11-1</f>
        <v>#REF!</v>
      </c>
      <c r="CH29" s="38" t="e">
        <f>Financials!#REF!/Financials!CG11-1</f>
        <v>#REF!</v>
      </c>
      <c r="CI29" s="38" t="e">
        <f>Financials!#REF!/Financials!CH11-1</f>
        <v>#REF!</v>
      </c>
      <c r="CJ29" s="38" t="e">
        <f>Financials!#REF!/Financials!CI11-1</f>
        <v>#REF!</v>
      </c>
      <c r="CK29" s="38" t="e">
        <f>Financials!#REF!/Financials!CJ11-1</f>
        <v>#REF!</v>
      </c>
      <c r="CL29" s="38" t="e">
        <f>Financials!#REF!/Financials!CK11-1</f>
        <v>#REF!</v>
      </c>
      <c r="CM29" s="38" t="e">
        <f>Financials!#REF!/Financials!CL11-1</f>
        <v>#REF!</v>
      </c>
      <c r="CN29" s="38" t="e">
        <f>Financials!#REF!/Financials!CM11-1</f>
        <v>#REF!</v>
      </c>
    </row>
    <row r="30" spans="1:92" ht="15">
      <c r="A30" s="421"/>
      <c r="B30" s="32" t="s">
        <v>230</v>
      </c>
      <c r="C30" s="2"/>
      <c r="D30" s="34" t="e">
        <f>Financials!D37/Financials!C37-1</f>
        <v>#REF!</v>
      </c>
      <c r="E30" s="34" t="e">
        <f>Financials!G37/Financials!D37-1</f>
        <v>#REF!</v>
      </c>
      <c r="F30" s="34" t="e">
        <f>Financials!H37/Financials!G37-1</f>
        <v>#REF!</v>
      </c>
      <c r="G30" s="34" t="e">
        <f>Financials!H37/Financials!G37-1</f>
        <v>#REF!</v>
      </c>
      <c r="H30" s="34" t="e">
        <f>Financials!H37/Financials!G37-1</f>
        <v>#REF!</v>
      </c>
      <c r="I30" s="34" t="e">
        <f>Financials!I37/Financials!H37-1</f>
        <v>#REF!</v>
      </c>
      <c r="J30" s="34" t="e">
        <f>Financials!J37/Financials!I37-1</f>
        <v>#REF!</v>
      </c>
      <c r="K30" s="34" t="e">
        <f>Financials!K37/Financials!J37-1</f>
        <v>#REF!</v>
      </c>
      <c r="L30" s="34" t="e">
        <f>Financials!L37/Financials!K37-1</f>
        <v>#REF!</v>
      </c>
      <c r="M30" s="34" t="e">
        <f>Financials!M37/Financials!L37-1</f>
        <v>#REF!</v>
      </c>
      <c r="N30" s="34" t="e">
        <f>Financials!N37/Financials!M37-1</f>
        <v>#REF!</v>
      </c>
      <c r="O30" s="34" t="e">
        <f>Financials!O37/Financials!N37-1</f>
        <v>#REF!</v>
      </c>
      <c r="P30" s="34" t="e">
        <f>Financials!P37/Financials!O37-1</f>
        <v>#REF!</v>
      </c>
      <c r="Q30" s="34" t="e">
        <f>Financials!Q37/Financials!P37-1</f>
        <v>#REF!</v>
      </c>
      <c r="R30" s="34" t="e">
        <f>Financials!R37/Financials!Q37-1</f>
        <v>#REF!</v>
      </c>
      <c r="S30" s="38" t="e">
        <f>Financials!#REF!/Financials!R37-1</f>
        <v>#REF!</v>
      </c>
      <c r="T30" s="38" t="e">
        <f>Financials!#REF!/Financials!S37-1</f>
        <v>#REF!</v>
      </c>
      <c r="U30" s="38" t="e">
        <f>Financials!#REF!/Financials!T37-1</f>
        <v>#REF!</v>
      </c>
      <c r="V30" s="38" t="e">
        <f>Financials!#REF!/Financials!U37-1</f>
        <v>#REF!</v>
      </c>
      <c r="W30" s="38" t="e">
        <f>Financials!#REF!/Financials!V37-1</f>
        <v>#REF!</v>
      </c>
      <c r="X30" s="38" t="e">
        <f>Financials!#REF!/Financials!W37-1</f>
        <v>#REF!</v>
      </c>
      <c r="Y30" s="38" t="e">
        <f>Financials!#REF!/Financials!X37-1</f>
        <v>#REF!</v>
      </c>
      <c r="Z30" s="38" t="e">
        <f>Financials!#REF!/Financials!Y37-1</f>
        <v>#REF!</v>
      </c>
      <c r="AA30" s="38" t="e">
        <f>Financials!#REF!/Financials!Z37-1</f>
        <v>#REF!</v>
      </c>
      <c r="AB30" s="38" t="e">
        <f>Financials!#REF!/Financials!AA37-1</f>
        <v>#REF!</v>
      </c>
      <c r="AC30" s="38" t="e">
        <f>Financials!#REF!/Financials!AB37-1</f>
        <v>#REF!</v>
      </c>
      <c r="AD30" s="38" t="e">
        <f>Financials!#REF!/Financials!AC37-1</f>
        <v>#REF!</v>
      </c>
      <c r="AE30" s="38" t="e">
        <f>Financials!#REF!/Financials!AD37-1</f>
        <v>#REF!</v>
      </c>
      <c r="AF30" s="38" t="e">
        <f>Financials!#REF!/Financials!AE37-1</f>
        <v>#REF!</v>
      </c>
      <c r="AG30" s="38" t="e">
        <f>Financials!#REF!/Financials!AF37-1</f>
        <v>#REF!</v>
      </c>
      <c r="AH30" s="38" t="e">
        <f>Financials!#REF!/Financials!AG37-1</f>
        <v>#REF!</v>
      </c>
      <c r="AI30" s="38" t="e">
        <f>Financials!#REF!/Financials!AH37-1</f>
        <v>#REF!</v>
      </c>
      <c r="AJ30" s="38" t="e">
        <f>Financials!#REF!/Financials!AI37-1</f>
        <v>#REF!</v>
      </c>
      <c r="AK30" s="38" t="e">
        <f>Financials!#REF!/Financials!AJ37-1</f>
        <v>#REF!</v>
      </c>
      <c r="AL30" s="38" t="e">
        <f>Financials!#REF!/Financials!AK37-1</f>
        <v>#REF!</v>
      </c>
      <c r="AM30" s="38" t="e">
        <f>Financials!#REF!/Financials!AL37-1</f>
        <v>#REF!</v>
      </c>
      <c r="AN30" s="38" t="e">
        <f>Financials!#REF!/Financials!AM37-1</f>
        <v>#REF!</v>
      </c>
      <c r="AO30" s="38" t="e">
        <f>Financials!#REF!/Financials!AN37-1</f>
        <v>#REF!</v>
      </c>
      <c r="AP30" s="38" t="e">
        <f>Financials!#REF!/Financials!AO37-1</f>
        <v>#REF!</v>
      </c>
      <c r="AQ30" s="38" t="e">
        <f>Financials!#REF!/Financials!AP37-1</f>
        <v>#REF!</v>
      </c>
      <c r="AR30" s="38" t="e">
        <f>Financials!#REF!/Financials!AQ37-1</f>
        <v>#REF!</v>
      </c>
      <c r="AS30" s="38" t="e">
        <f>Financials!#REF!/Financials!AR37-1</f>
        <v>#REF!</v>
      </c>
      <c r="AT30" s="38" t="e">
        <f>Financials!#REF!/Financials!AS37-1</f>
        <v>#REF!</v>
      </c>
      <c r="AU30" s="38" t="e">
        <f>Financials!#REF!/Financials!AT37-1</f>
        <v>#REF!</v>
      </c>
      <c r="AV30" s="38" t="e">
        <f>Financials!#REF!/Financials!AU37-1</f>
        <v>#REF!</v>
      </c>
      <c r="AW30" s="38" t="e">
        <f>Financials!#REF!/Financials!AV37-1</f>
        <v>#REF!</v>
      </c>
      <c r="AX30" s="38" t="e">
        <f>Financials!#REF!/Financials!AW37-1</f>
        <v>#REF!</v>
      </c>
      <c r="AY30" s="38" t="e">
        <f>Financials!#REF!/Financials!AX37-1</f>
        <v>#REF!</v>
      </c>
      <c r="AZ30" s="38" t="e">
        <f>Financials!#REF!/Financials!AY37-1</f>
        <v>#REF!</v>
      </c>
      <c r="BA30" s="38" t="e">
        <f>Financials!#REF!/Financials!AZ37-1</f>
        <v>#REF!</v>
      </c>
      <c r="BB30" s="38" t="e">
        <f>Financials!#REF!/Financials!BA37-1</f>
        <v>#REF!</v>
      </c>
      <c r="BC30" s="38" t="e">
        <f>Financials!#REF!/Financials!BB37-1</f>
        <v>#REF!</v>
      </c>
      <c r="BD30" s="38" t="e">
        <f>Financials!#REF!/Financials!BC37-1</f>
        <v>#REF!</v>
      </c>
      <c r="BE30" s="38" t="e">
        <f>Financials!#REF!/Financials!BD37-1</f>
        <v>#REF!</v>
      </c>
      <c r="BF30" s="38" t="e">
        <f>Financials!#REF!/Financials!BE37-1</f>
        <v>#REF!</v>
      </c>
      <c r="BG30" s="38" t="e">
        <f>Financials!#REF!/Financials!BF37-1</f>
        <v>#REF!</v>
      </c>
      <c r="BH30" s="38" t="e">
        <f>Financials!#REF!/Financials!BG37-1</f>
        <v>#REF!</v>
      </c>
      <c r="BI30" s="38" t="e">
        <f>Financials!#REF!/Financials!BH37-1</f>
        <v>#REF!</v>
      </c>
      <c r="BJ30" s="38" t="e">
        <f>Financials!#REF!/Financials!BI37-1</f>
        <v>#REF!</v>
      </c>
      <c r="BK30" s="38" t="e">
        <f>Financials!#REF!/Financials!BJ37-1</f>
        <v>#REF!</v>
      </c>
      <c r="BL30" s="38" t="e">
        <f>Financials!#REF!/Financials!BK37-1</f>
        <v>#REF!</v>
      </c>
      <c r="BM30" s="38" t="e">
        <f>Financials!#REF!/Financials!BL37-1</f>
        <v>#REF!</v>
      </c>
      <c r="BN30" s="38" t="e">
        <f>Financials!#REF!/Financials!BM37-1</f>
        <v>#REF!</v>
      </c>
      <c r="BO30" s="38" t="e">
        <f>Financials!#REF!/Financials!BN37-1</f>
        <v>#REF!</v>
      </c>
      <c r="BP30" s="38" t="e">
        <f>Financials!#REF!/Financials!BO37-1</f>
        <v>#REF!</v>
      </c>
      <c r="BQ30" s="38" t="e">
        <f>Financials!#REF!/Financials!BP37-1</f>
        <v>#REF!</v>
      </c>
      <c r="BR30" s="38" t="e">
        <f>Financials!#REF!/Financials!BQ37-1</f>
        <v>#REF!</v>
      </c>
      <c r="BS30" s="38" t="e">
        <f>Financials!#REF!/Financials!BR37-1</f>
        <v>#REF!</v>
      </c>
      <c r="BT30" s="38" t="e">
        <f>Financials!#REF!/Financials!BS37-1</f>
        <v>#REF!</v>
      </c>
      <c r="BU30" s="38" t="e">
        <f>Financials!#REF!/Financials!BT37-1</f>
        <v>#REF!</v>
      </c>
      <c r="BV30" s="38" t="e">
        <f>Financials!#REF!/Financials!BU37-1</f>
        <v>#REF!</v>
      </c>
      <c r="BW30" s="38" t="e">
        <f>Financials!#REF!/Financials!BV37-1</f>
        <v>#REF!</v>
      </c>
      <c r="BX30" s="38" t="e">
        <f>Financials!#REF!/Financials!BW37-1</f>
        <v>#REF!</v>
      </c>
      <c r="BY30" s="38" t="e">
        <f>Financials!#REF!/Financials!BX37-1</f>
        <v>#REF!</v>
      </c>
      <c r="BZ30" s="38" t="e">
        <f>Financials!#REF!/Financials!BY37-1</f>
        <v>#REF!</v>
      </c>
      <c r="CA30" s="38" t="e">
        <f>Financials!#REF!/Financials!BZ37-1</f>
        <v>#REF!</v>
      </c>
      <c r="CB30" s="38" t="e">
        <f>Financials!#REF!/Financials!CA37-1</f>
        <v>#REF!</v>
      </c>
      <c r="CC30" s="38" t="e">
        <f>Financials!#REF!/Financials!CB37-1</f>
        <v>#REF!</v>
      </c>
      <c r="CD30" s="38" t="e">
        <f>Financials!#REF!/Financials!CC37-1</f>
        <v>#REF!</v>
      </c>
      <c r="CE30" s="38" t="e">
        <f>Financials!#REF!/Financials!CD37-1</f>
        <v>#REF!</v>
      </c>
      <c r="CF30" s="38" t="e">
        <f>Financials!#REF!/Financials!CE37-1</f>
        <v>#REF!</v>
      </c>
      <c r="CG30" s="38" t="e">
        <f>Financials!#REF!/Financials!CF37-1</f>
        <v>#REF!</v>
      </c>
      <c r="CH30" s="38" t="e">
        <f>Financials!#REF!/Financials!CG37-1</f>
        <v>#REF!</v>
      </c>
      <c r="CI30" s="38" t="e">
        <f>Financials!#REF!/Financials!CH37-1</f>
        <v>#REF!</v>
      </c>
      <c r="CJ30" s="38" t="e">
        <f>Financials!#REF!/Financials!CI37-1</f>
        <v>#REF!</v>
      </c>
      <c r="CK30" s="38" t="e">
        <f>Financials!#REF!/Financials!CJ37-1</f>
        <v>#REF!</v>
      </c>
      <c r="CL30" s="38" t="e">
        <f>Financials!#REF!/Financials!CK37-1</f>
        <v>#REF!</v>
      </c>
      <c r="CM30" s="38" t="e">
        <f>Financials!#REF!/Financials!CL37-1</f>
        <v>#REF!</v>
      </c>
      <c r="CN30" s="38" t="e">
        <f>Financials!#REF!/Financials!CM37-1</f>
        <v>#REF!</v>
      </c>
    </row>
    <row r="31" spans="1:92" ht="15">
      <c r="A31" s="421"/>
      <c r="B31" s="32" t="s">
        <v>231</v>
      </c>
      <c r="C31" s="2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</row>
    <row r="32" spans="1:92" ht="15">
      <c r="A32" s="421"/>
      <c r="B32" s="32" t="s">
        <v>232</v>
      </c>
      <c r="C32" s="2"/>
      <c r="D32" s="34" t="e">
        <f>'Evolutitve SCI'!#REF!/'Evolutitve SCI'!#REF!-1</f>
        <v>#REF!</v>
      </c>
      <c r="E32" s="34" t="e">
        <f>'Evolutitve SCI'!#REF!/'Evolutitve SCI'!#REF!-1</f>
        <v>#REF!</v>
      </c>
      <c r="F32" s="34" t="e">
        <f>'Evolutitve SCI'!#REF!/'Evolutitve SCI'!#REF!-1</f>
        <v>#REF!</v>
      </c>
      <c r="G32" s="34" t="e">
        <f>'Evolutitve SCI'!#REF!/'Evolutitve SCI'!#REF!-1</f>
        <v>#REF!</v>
      </c>
      <c r="H32" s="34" t="e">
        <f>'Evolutitve SCI'!#REF!/'Evolutitve SCI'!#REF!-1</f>
        <v>#REF!</v>
      </c>
      <c r="I32" s="34" t="e">
        <f>'Evolutitve SCI'!#REF!/'Evolutitve SCI'!#REF!-1</f>
        <v>#REF!</v>
      </c>
      <c r="J32" s="34" t="e">
        <f>'Evolutitve SCI'!#REF!/'Evolutitve SCI'!#REF!-1</f>
        <v>#REF!</v>
      </c>
      <c r="K32" s="34" t="e">
        <f>'Evolutitve SCI'!#REF!/'Evolutitve SCI'!#REF!-1</f>
        <v>#REF!</v>
      </c>
      <c r="L32" s="34" t="e">
        <f>'Evolutitve SCI'!#REF!/'Evolutitve SCI'!#REF!-1</f>
        <v>#REF!</v>
      </c>
      <c r="M32" s="34" t="e">
        <f>'Evolutitve SCI'!#REF!/'Evolutitve SCI'!#REF!-1</f>
        <v>#REF!</v>
      </c>
      <c r="N32" s="34" t="e">
        <f>'Evolutitve SCI'!#REF!/'Evolutitve SCI'!#REF!-1</f>
        <v>#REF!</v>
      </c>
      <c r="O32" s="34" t="e">
        <f>'Evolutitve SCI'!#REF!/'Evolutitve SCI'!#REF!-1</f>
        <v>#REF!</v>
      </c>
      <c r="P32" s="34" t="e">
        <f>'Evolutitve SCI'!#REF!/'Evolutitve SCI'!#REF!-1</f>
        <v>#REF!</v>
      </c>
      <c r="Q32" s="34" t="e">
        <f>'Evolutitve SCI'!#REF!/'Evolutitve SCI'!#REF!-1</f>
        <v>#REF!</v>
      </c>
      <c r="R32" s="34" t="e">
        <f>'Evolutitve SCI'!#REF!/'Evolutitve SCI'!#REF!-1</f>
        <v>#REF!</v>
      </c>
      <c r="S32" s="38" t="e">
        <f>'Evolutitve SCI'!#REF!/'Evolutitve SCI'!#REF!-1</f>
        <v>#REF!</v>
      </c>
      <c r="T32" s="38" t="e">
        <f>'Evolutitve SCI'!#REF!/'Evolutitve SCI'!#REF!-1</f>
        <v>#REF!</v>
      </c>
      <c r="U32" s="38" t="e">
        <f>'Evolutitve SCI'!#REF!/'Evolutitve SCI'!#REF!-1</f>
        <v>#REF!</v>
      </c>
      <c r="V32" s="38" t="e">
        <f>'Evolutitve SCI'!#REF!/'Evolutitve SCI'!#REF!-1</f>
        <v>#REF!</v>
      </c>
      <c r="W32" s="38" t="e">
        <f>'Evolutitve SCI'!#REF!/'Evolutitve SCI'!#REF!-1</f>
        <v>#REF!</v>
      </c>
      <c r="X32" s="38" t="e">
        <f>'Evolutitve SCI'!#REF!/'Evolutitve SCI'!#REF!-1</f>
        <v>#REF!</v>
      </c>
      <c r="Y32" s="38" t="e">
        <f>'Evolutitve SCI'!#REF!/'Evolutitve SCI'!#REF!-1</f>
        <v>#REF!</v>
      </c>
      <c r="Z32" s="38" t="e">
        <f>'Evolutitve SCI'!#REF!/'Evolutitve SCI'!#REF!-1</f>
        <v>#REF!</v>
      </c>
      <c r="AA32" s="38" t="e">
        <f>'Evolutitve SCI'!#REF!/'Evolutitve SCI'!#REF!-1</f>
        <v>#REF!</v>
      </c>
      <c r="AB32" s="38" t="e">
        <f>'Evolutitve SCI'!#REF!/'Evolutitve SCI'!#REF!-1</f>
        <v>#REF!</v>
      </c>
      <c r="AC32" s="38" t="e">
        <f>'Evolutitve SCI'!#REF!/'Evolutitve SCI'!#REF!-1</f>
        <v>#REF!</v>
      </c>
      <c r="AD32" s="38" t="e">
        <f>'Evolutitve SCI'!#REF!/'Evolutitve SCI'!#REF!-1</f>
        <v>#REF!</v>
      </c>
      <c r="AE32" s="38" t="e">
        <f>'Evolutitve SCI'!#REF!/'Evolutitve SCI'!#REF!-1</f>
        <v>#REF!</v>
      </c>
      <c r="AF32" s="38" t="e">
        <f>'Evolutitve SCI'!#REF!/'Evolutitve SCI'!#REF!-1</f>
        <v>#REF!</v>
      </c>
      <c r="AG32" s="38" t="e">
        <f>'Evolutitve SCI'!#REF!/'Evolutitve SCI'!#REF!-1</f>
        <v>#REF!</v>
      </c>
      <c r="AH32" s="38" t="e">
        <f>'Evolutitve SCI'!#REF!/'Evolutitve SCI'!#REF!-1</f>
        <v>#REF!</v>
      </c>
      <c r="AI32" s="38" t="e">
        <f>'Evolutitve SCI'!#REF!/'Evolutitve SCI'!#REF!-1</f>
        <v>#REF!</v>
      </c>
      <c r="AJ32" s="38" t="e">
        <f>'Evolutitve SCI'!#REF!/'Evolutitve SCI'!#REF!-1</f>
        <v>#REF!</v>
      </c>
      <c r="AK32" s="38" t="e">
        <f>'Evolutitve SCI'!#REF!/'Evolutitve SCI'!#REF!-1</f>
        <v>#REF!</v>
      </c>
      <c r="AL32" s="38" t="e">
        <f>'Evolutitve SCI'!#REF!/'Evolutitve SCI'!#REF!-1</f>
        <v>#REF!</v>
      </c>
      <c r="AM32" s="38" t="e">
        <f>'Evolutitve SCI'!#REF!/'Evolutitve SCI'!#REF!-1</f>
        <v>#REF!</v>
      </c>
      <c r="AN32" s="38" t="e">
        <f>'Evolutitve SCI'!#REF!/'Evolutitve SCI'!#REF!-1</f>
        <v>#REF!</v>
      </c>
      <c r="AO32" s="38" t="e">
        <f>'Evolutitve SCI'!#REF!/'Evolutitve SCI'!#REF!-1</f>
        <v>#REF!</v>
      </c>
      <c r="AP32" s="38" t="e">
        <f>'Evolutitve SCI'!#REF!/'Evolutitve SCI'!#REF!-1</f>
        <v>#REF!</v>
      </c>
      <c r="AQ32" s="38" t="e">
        <f>'Evolutitve SCI'!#REF!/'Evolutitve SCI'!#REF!-1</f>
        <v>#REF!</v>
      </c>
      <c r="AR32" s="38" t="e">
        <f>'Evolutitve SCI'!#REF!/'Evolutitve SCI'!#REF!-1</f>
        <v>#REF!</v>
      </c>
      <c r="AS32" s="38" t="e">
        <f>'Evolutitve SCI'!#REF!/'Evolutitve SCI'!#REF!-1</f>
        <v>#REF!</v>
      </c>
      <c r="AT32" s="38" t="e">
        <f>'Evolutitve SCI'!#REF!/'Evolutitve SCI'!AG39-1</f>
        <v>#REF!</v>
      </c>
      <c r="AU32" s="38" t="e">
        <f>'Evolutitve SCI'!#REF!/'Evolutitve SCI'!AH39-1</f>
        <v>#REF!</v>
      </c>
      <c r="AV32" s="38" t="e">
        <f>'Evolutitve SCI'!#REF!/'Evolutitve SCI'!AI39-1</f>
        <v>#REF!</v>
      </c>
      <c r="AW32" s="38" t="e">
        <f>'Evolutitve SCI'!#REF!/'Evolutitve SCI'!AJ39-1</f>
        <v>#REF!</v>
      </c>
      <c r="AX32" s="38" t="e">
        <f>'Evolutitve SCI'!#REF!/'Evolutitve SCI'!AK39-1</f>
        <v>#REF!</v>
      </c>
      <c r="AY32" s="38" t="e">
        <f>'Evolutitve SCI'!#REF!/'Evolutitve SCI'!AL39-1</f>
        <v>#REF!</v>
      </c>
      <c r="AZ32" s="38" t="e">
        <f>'Evolutitve SCI'!#REF!/'Evolutitve SCI'!AM39-1</f>
        <v>#REF!</v>
      </c>
      <c r="BA32" s="38" t="e">
        <f>'Evolutitve SCI'!#REF!/'Evolutitve SCI'!#REF!-1</f>
        <v>#REF!</v>
      </c>
      <c r="BB32" s="38" t="e">
        <f>'Evolutitve SCI'!#REF!/'Evolutitve SCI'!AN39-1</f>
        <v>#REF!</v>
      </c>
      <c r="BC32" s="38" t="e">
        <f>'Evolutitve SCI'!#REF!/'Evolutitve SCI'!AO39-1</f>
        <v>#REF!</v>
      </c>
      <c r="BD32" s="38" t="e">
        <f>'Evolutitve SCI'!#REF!/'Evolutitve SCI'!AP39-1</f>
        <v>#REF!</v>
      </c>
      <c r="BE32" s="38" t="e">
        <f>'Evolutitve SCI'!#REF!/'Evolutitve SCI'!AQ39-1</f>
        <v>#REF!</v>
      </c>
      <c r="BF32" s="38" t="e">
        <f>'Evolutitve SCI'!#REF!/'Evolutitve SCI'!AR39-1</f>
        <v>#REF!</v>
      </c>
      <c r="BG32" s="38" t="e">
        <f>'Evolutitve SCI'!#REF!/'Evolutitve SCI'!AS39-1</f>
        <v>#REF!</v>
      </c>
      <c r="BH32" s="38" t="e">
        <f>'Evolutitve SCI'!#REF!/'Evolutitve SCI'!AT39-1</f>
        <v>#REF!</v>
      </c>
      <c r="BI32" s="38" t="e">
        <f>'Evolutitve SCI'!#REF!/'Evolutitve SCI'!AU39-1</f>
        <v>#REF!</v>
      </c>
      <c r="BJ32" s="38" t="e">
        <f>'Evolutitve SCI'!#REF!/'Evolutitve SCI'!AV39-1</f>
        <v>#REF!</v>
      </c>
      <c r="BK32" s="38" t="e">
        <f>'Evolutitve SCI'!#REF!/'Evolutitve SCI'!AW39-1</f>
        <v>#REF!</v>
      </c>
      <c r="BL32" s="38" t="e">
        <f>'Evolutitve SCI'!#REF!/'Evolutitve SCI'!AX39-1</f>
        <v>#REF!</v>
      </c>
      <c r="BM32" s="38" t="e">
        <f>'Evolutitve SCI'!#REF!/'Evolutitve SCI'!AY39-1</f>
        <v>#REF!</v>
      </c>
      <c r="BN32" s="38" t="e">
        <f>'Evolutitve SCI'!#REF!/'Evolutitve SCI'!AZ39-1</f>
        <v>#REF!</v>
      </c>
      <c r="BO32" s="38" t="e">
        <f>'Evolutitve SCI'!#REF!/'Evolutitve SCI'!BA39-1</f>
        <v>#REF!</v>
      </c>
      <c r="BP32" s="38" t="e">
        <f>'Evolutitve SCI'!#REF!/'Evolutitve SCI'!BB39-1</f>
        <v>#REF!</v>
      </c>
      <c r="BQ32" s="38" t="e">
        <f>'Evolutitve SCI'!#REF!/'Evolutitve SCI'!BC39-1</f>
        <v>#REF!</v>
      </c>
      <c r="BR32" s="38" t="e">
        <f>'Evolutitve SCI'!#REF!/'Evolutitve SCI'!BD39-1</f>
        <v>#REF!</v>
      </c>
      <c r="BS32" s="38" t="e">
        <f>'Evolutitve SCI'!#REF!/'Evolutitve SCI'!BE39-1</f>
        <v>#REF!</v>
      </c>
      <c r="BT32" s="38" t="e">
        <f>'Evolutitve SCI'!#REF!/'Evolutitve SCI'!BF39-1</f>
        <v>#REF!</v>
      </c>
      <c r="BU32" s="38" t="e">
        <f>'Evolutitve SCI'!#REF!/'Evolutitve SCI'!BG39-1</f>
        <v>#REF!</v>
      </c>
      <c r="BV32" s="38" t="e">
        <f>'Evolutitve SCI'!#REF!/'Evolutitve SCI'!BH39-1</f>
        <v>#REF!</v>
      </c>
      <c r="BW32" s="38" t="e">
        <f>'Evolutitve SCI'!#REF!/'Evolutitve SCI'!BI39-1</f>
        <v>#REF!</v>
      </c>
      <c r="BX32" s="38" t="e">
        <f>'Evolutitve SCI'!#REF!/'Evolutitve SCI'!BJ39-1</f>
        <v>#REF!</v>
      </c>
      <c r="BY32" s="38" t="e">
        <f>'Evolutitve SCI'!#REF!/'Evolutitve SCI'!BK39-1</f>
        <v>#REF!</v>
      </c>
      <c r="BZ32" s="38" t="e">
        <f>'Evolutitve SCI'!#REF!/'Evolutitve SCI'!BL39-1</f>
        <v>#REF!</v>
      </c>
      <c r="CA32" s="38" t="e">
        <f>'Evolutitve SCI'!#REF!/'Evolutitve SCI'!BM39-1</f>
        <v>#REF!</v>
      </c>
      <c r="CB32" s="38" t="e">
        <f>'Evolutitve SCI'!#REF!/'Evolutitve SCI'!BN39-1</f>
        <v>#REF!</v>
      </c>
      <c r="CC32" s="38" t="e">
        <f>'Evolutitve SCI'!#REF!/'Evolutitve SCI'!BO39-1</f>
        <v>#REF!</v>
      </c>
      <c r="CD32" s="38" t="e">
        <f>'Evolutitve SCI'!#REF!/'Evolutitve SCI'!BP39-1</f>
        <v>#REF!</v>
      </c>
      <c r="CE32" s="38" t="e">
        <f>'Evolutitve SCI'!#REF!/'Evolutitve SCI'!BQ39-1</f>
        <v>#REF!</v>
      </c>
      <c r="CF32" s="38" t="e">
        <f>'Evolutitve SCI'!#REF!/'Evolutitve SCI'!BR39-1</f>
        <v>#REF!</v>
      </c>
      <c r="CG32" s="38" t="e">
        <f>'Evolutitve SCI'!#REF!/'Evolutitve SCI'!BS39-1</f>
        <v>#REF!</v>
      </c>
      <c r="CH32" s="38" t="e">
        <f>'Evolutitve SCI'!#REF!/'Evolutitve SCI'!BT39-1</f>
        <v>#REF!</v>
      </c>
      <c r="CI32" s="38" t="e">
        <f>'Evolutitve SCI'!#REF!/'Evolutitve SCI'!BU39-1</f>
        <v>#REF!</v>
      </c>
      <c r="CJ32" s="38" t="e">
        <f>'Evolutitve SCI'!#REF!/'Evolutitve SCI'!BV39-1</f>
        <v>#REF!</v>
      </c>
      <c r="CK32" s="38" t="e">
        <f>'Evolutitve SCI'!#REF!/'Evolutitve SCI'!BW39-1</f>
        <v>#REF!</v>
      </c>
      <c r="CL32" s="38" t="e">
        <f>'Evolutitve SCI'!#REF!/'Evolutitve SCI'!BX39-1</f>
        <v>#REF!</v>
      </c>
      <c r="CM32" s="38" t="e">
        <f>'Evolutitve SCI'!#REF!/'Evolutitve SCI'!BY39-1</f>
        <v>#REF!</v>
      </c>
      <c r="CN32" s="38" t="e">
        <f>'Evolutitve SCI'!#REF!/'Evolutitve SCI'!BZ39-1</f>
        <v>#REF!</v>
      </c>
    </row>
    <row r="33" spans="1:92" ht="15">
      <c r="A33" s="42" t="s">
        <v>233</v>
      </c>
      <c r="B33" s="32" t="s">
        <v>234</v>
      </c>
      <c r="C33" s="2"/>
      <c r="D33" s="34"/>
      <c r="E33" s="34" t="e">
        <f>Financials!D44/('Evolutive SFP'!#REF!+'Evolutive SFP'!#REF!)/2</f>
        <v>#REF!</v>
      </c>
      <c r="F33" s="34"/>
      <c r="G33" s="34"/>
      <c r="H33" s="34" t="e">
        <f>Financials!G44/('Evolutive SFP'!#REF!+'Evolutive SFP'!#REF!)/2</f>
        <v>#REF!</v>
      </c>
      <c r="I33" s="34" t="e">
        <f>Financials!H44/('Evolutive SFP'!#REF!+'Evolutive SFP'!#REF!)/2</f>
        <v>#REF!</v>
      </c>
      <c r="J33" s="34" t="e">
        <f>Financials!I44/('Evolutive SFP'!#REF!+'Evolutive SFP'!#REF!)/2</f>
        <v>#REF!</v>
      </c>
      <c r="K33" s="34" t="e">
        <f>Financials!J44/('Evolutive SFP'!#REF!+'Evolutive SFP'!#REF!)/2</f>
        <v>#REF!</v>
      </c>
      <c r="L33" s="34" t="e">
        <f>Financials!K44/('Evolutive SFP'!#REF!+'Evolutive SFP'!#REF!)/2</f>
        <v>#REF!</v>
      </c>
      <c r="M33" s="34" t="e">
        <f>Financials!L44/('Evolutive SFP'!#REF!+'Evolutive SFP'!#REF!)/2</f>
        <v>#REF!</v>
      </c>
      <c r="N33" s="34" t="e">
        <f>Financials!M44/('Evolutive SFP'!#REF!+'Evolutive SFP'!#REF!)/2</f>
        <v>#REF!</v>
      </c>
      <c r="O33" s="34" t="e">
        <f>Financials!N44/('Evolutive SFP'!#REF!+'Evolutive SFP'!#REF!)/2</f>
        <v>#REF!</v>
      </c>
      <c r="P33" s="34" t="e">
        <f>Financials!O44/('Evolutive SFP'!#REF!+'Evolutive SFP'!#REF!)/2</f>
        <v>#REF!</v>
      </c>
      <c r="Q33" s="34" t="e">
        <f>Financials!P44/('Evolutive SFP'!#REF!+'Evolutive SFP'!#REF!)/2</f>
        <v>#REF!</v>
      </c>
      <c r="R33" s="34" t="e">
        <f>Financials!Q44/('Evolutive SFP'!#REF!+'Evolutive SFP'!#REF!)/2</f>
        <v>#REF!</v>
      </c>
      <c r="S33" s="38" t="e">
        <f>Financials!R44/('Evolutive SFP'!#REF!+'Evolutive SFP'!#REF!)/2</f>
        <v>#REF!</v>
      </c>
      <c r="T33" s="38" t="e">
        <f>Financials!S44/('Evolutive SFP'!#REF!+'Evolutive SFP'!#REF!)/2</f>
        <v>#REF!</v>
      </c>
      <c r="U33" s="38" t="e">
        <f>Financials!T44/('Evolutive SFP'!#REF!+'Evolutive SFP'!#REF!)/2</f>
        <v>#REF!</v>
      </c>
      <c r="V33" s="38" t="e">
        <f>Financials!U44/('Evolutive SFP'!#REF!+'Evolutive SFP'!#REF!)/2</f>
        <v>#REF!</v>
      </c>
      <c r="W33" s="38" t="e">
        <f>Financials!V44/('Evolutive SFP'!#REF!+'Evolutive SFP'!#REF!)/2</f>
        <v>#REF!</v>
      </c>
      <c r="X33" s="38" t="e">
        <f>Financials!W44/('Evolutive SFP'!#REF!+'Evolutive SFP'!#REF!)/2</f>
        <v>#REF!</v>
      </c>
      <c r="Y33" s="38" t="e">
        <f>Financials!X44/('Evolutive SFP'!#REF!+'Evolutive SFP'!#REF!)/2</f>
        <v>#REF!</v>
      </c>
      <c r="Z33" s="38" t="e">
        <f>Financials!Y44/('Evolutive SFP'!#REF!+'Evolutive SFP'!#REF!)/2</f>
        <v>#REF!</v>
      </c>
      <c r="AA33" s="38" t="e">
        <f>Financials!Z44/('Evolutive SFP'!#REF!+'Evolutive SFP'!#REF!)/2</f>
        <v>#REF!</v>
      </c>
      <c r="AB33" s="38" t="e">
        <f>Financials!AA44/('Evolutive SFP'!#REF!+'Evolutive SFP'!#REF!)/2</f>
        <v>#REF!</v>
      </c>
      <c r="AC33" s="38" t="e">
        <f>Financials!AB44/('Evolutive SFP'!#REF!+'Evolutive SFP'!#REF!)/2</f>
        <v>#REF!</v>
      </c>
      <c r="AD33" s="38" t="e">
        <f>Financials!AC44/('Evolutive SFP'!#REF!+'Evolutive SFP'!#REF!)/2</f>
        <v>#REF!</v>
      </c>
      <c r="AE33" s="38" t="e">
        <f>Financials!AD44/('Evolutive SFP'!#REF!+'Evolutive SFP'!#REF!)/2</f>
        <v>#REF!</v>
      </c>
      <c r="AF33" s="38" t="e">
        <f>Financials!AE44/('Evolutive SFP'!#REF!+'Evolutive SFP'!#REF!)/2</f>
        <v>#REF!</v>
      </c>
      <c r="AG33" s="38" t="e">
        <f>Financials!AF44/('Evolutive SFP'!#REF!+'Evolutive SFP'!#REF!)/2</f>
        <v>#REF!</v>
      </c>
      <c r="AH33" s="38" t="e">
        <f>Financials!AG44/('Evolutive SFP'!#REF!+'Evolutive SFP'!#REF!)/2</f>
        <v>#REF!</v>
      </c>
      <c r="AI33" s="38" t="e">
        <f>Financials!AH44/('Evolutive SFP'!#REF!+'Evolutive SFP'!#REF!)/2</f>
        <v>#REF!</v>
      </c>
      <c r="AJ33" s="38" t="e">
        <f>Financials!AI44/('Evolutive SFP'!#REF!+'Evolutive SFP'!#REF!)/2</f>
        <v>#REF!</v>
      </c>
      <c r="AK33" s="38" t="e">
        <f>Financials!AJ44/('Evolutive SFP'!#REF!+'Evolutive SFP'!#REF!)/2</f>
        <v>#REF!</v>
      </c>
      <c r="AL33" s="38" t="e">
        <f>Financials!AK44/('Evolutive SFP'!#REF!+'Evolutive SFP'!#REF!)/2</f>
        <v>#REF!</v>
      </c>
      <c r="AM33" s="38" t="e">
        <f>Financials!AL44/('Evolutive SFP'!#REF!+'Evolutive SFP'!#REF!)/2</f>
        <v>#REF!</v>
      </c>
      <c r="AN33" s="38" t="e">
        <f>Financials!AM44/('Evolutive SFP'!#REF!+'Evolutive SFP'!#REF!)/2</f>
        <v>#REF!</v>
      </c>
      <c r="AO33" s="38" t="e">
        <f>Financials!AN44/('Evolutive SFP'!#REF!+'Evolutive SFP'!#REF!)/2</f>
        <v>#REF!</v>
      </c>
      <c r="AP33" s="38" t="e">
        <f>Financials!AO44/('Evolutive SFP'!#REF!+'Evolutive SFP'!#REF!)/2</f>
        <v>#REF!</v>
      </c>
      <c r="AQ33" s="38" t="e">
        <f>Financials!AP44/('Evolutive SFP'!#REF!+'Evolutive SFP'!#REF!)/2</f>
        <v>#REF!</v>
      </c>
      <c r="AR33" s="38" t="e">
        <f>Financials!AQ44/('Evolutive SFP'!#REF!+'Evolutive SFP'!#REF!)/2</f>
        <v>#REF!</v>
      </c>
      <c r="AS33" s="38" t="e">
        <f>Financials!AR44/('Evolutive SFP'!#REF!+'Evolutive SFP'!#REF!)/2</f>
        <v>#REF!</v>
      </c>
      <c r="AT33" s="38" t="e">
        <f>Financials!AS44/('Evolutive SFP'!#REF!+'Evolutive SFP'!AH30)/2</f>
        <v>#REF!</v>
      </c>
      <c r="AU33" s="38">
        <f>Financials!AT44/('Evolutive SFP'!AH30+'Evolutive SFP'!AI30)/2</f>
        <v>6.8212769734755864E-5</v>
      </c>
      <c r="AV33" s="38">
        <f>Financials!AU44/('Evolutive SFP'!AI30+'Evolutive SFP'!AJ30)/2</f>
        <v>1.2279459155192782E-4</v>
      </c>
      <c r="AW33" s="38">
        <f>Financials!AV44/('Evolutive SFP'!AJ30+'Evolutive SFP'!AK30)/2</f>
        <v>1.9326395972230545E-4</v>
      </c>
      <c r="AX33" s="38">
        <f>Financials!AW44/('Evolutive SFP'!AK30+'Evolutive SFP'!AL30)/2</f>
        <v>4.0902947887959721E-4</v>
      </c>
      <c r="AY33" s="38">
        <f>Financials!AX44/('Evolutive SFP'!AL30+'Evolutive SFP'!AM30)/2</f>
        <v>4.3321313514664903E-4</v>
      </c>
      <c r="AZ33" s="38">
        <f>Financials!AY44/('Evolutive SFP'!AM30+'Evolutive SFP'!AN30)/2</f>
        <v>9.4493903600855226E-4</v>
      </c>
      <c r="BA33" s="38" t="e">
        <f>Financials!AZ44/('Evolutive SFP'!AN30+'Evolutive SFP'!#REF!)/2</f>
        <v>#REF!</v>
      </c>
      <c r="BB33" s="38" t="e">
        <f>Financials!BA44/('Evolutive SFP'!#REF!+'Evolutive SFP'!AO30)/2</f>
        <v>#REF!</v>
      </c>
      <c r="BC33" s="38">
        <f>Financials!BB44/('Evolutive SFP'!AO30+'Evolutive SFP'!AP30)/2</f>
        <v>1.4198238657271965E-3</v>
      </c>
      <c r="BD33" s="38">
        <f>Financials!BC44/('Evolutive SFP'!AP30+'Evolutive SFP'!AQ30)/2</f>
        <v>1.4730246110949458E-3</v>
      </c>
      <c r="BE33" s="38">
        <f>Financials!BD44/('Evolutive SFP'!AQ30+'Evolutive SFP'!AR30)/2</f>
        <v>1.4963885706850756E-3</v>
      </c>
      <c r="BF33" s="38">
        <f>Financials!BE44/('Evolutive SFP'!AR30+'Evolutive SFP'!AS30)/2</f>
        <v>4.5067576810863411E-3</v>
      </c>
      <c r="BG33" s="38">
        <f>Financials!BF44/('Evolutive SFP'!AS30+'Evolutive SFP'!AT30)/2</f>
        <v>2.2406504913979899E-2</v>
      </c>
      <c r="BH33" s="38">
        <f>Financials!BG44/('Evolutive SFP'!AT30+'Evolutive SFP'!AU30)/2</f>
        <v>7.2673758084166405E-5</v>
      </c>
      <c r="BI33" s="38">
        <f>Financials!BH44/('Evolutive SFP'!AU30+'Evolutive SFP'!AV30)/2</f>
        <v>8.5935723744354361E-4</v>
      </c>
      <c r="BJ33" s="38">
        <f>Financials!BI44/('Evolutive SFP'!AV30+'Evolutive SFP'!AW30)/2</f>
        <v>9.540306470257699E-4</v>
      </c>
      <c r="BK33" s="38">
        <f>Financials!BJ44/('Evolutive SFP'!AW30+'Evolutive SFP'!AX30)/2</f>
        <v>1.1465259852148197E-3</v>
      </c>
      <c r="BL33" s="38">
        <f>Financials!BK44/('Evolutive SFP'!AX30+'Evolutive SFP'!AY30)/2</f>
        <v>1.1541789328009884E-3</v>
      </c>
      <c r="BM33" s="38">
        <f>Financials!BL44/('Evolutive SFP'!AY30+'Evolutive SFP'!AZ30)/2</f>
        <v>1.242937002947092E-3</v>
      </c>
      <c r="BN33" s="38">
        <f>Financials!BM44/('Evolutive SFP'!AZ30+'Evolutive SFP'!BA30)/2</f>
        <v>1.3510779528112073E-3</v>
      </c>
      <c r="BO33" s="38">
        <f>Financials!BN44/('Evolutive SFP'!BA30+'Evolutive SFP'!BB30)/2</f>
        <v>1.3873663307103492E-3</v>
      </c>
      <c r="BP33" s="38">
        <f>Financials!BO44/('Evolutive SFP'!BB30+'Evolutive SFP'!BC30)/2</f>
        <v>1.5926424919782247E-3</v>
      </c>
      <c r="BQ33" s="38">
        <f>Financials!BP44/('Evolutive SFP'!BC30+'Evolutive SFP'!BD30)/2</f>
        <v>1.8160954289221172E-3</v>
      </c>
      <c r="BR33" s="38">
        <f>Financials!BQ44/('Evolutive SFP'!BD30+'Evolutive SFP'!BE30)/2</f>
        <v>1.8313923254762974E-3</v>
      </c>
      <c r="BS33" s="38">
        <f>Financials!BR44/('Evolutive SFP'!BE30+'Evolutive SFP'!BF30)/2</f>
        <v>3.1960663235607078E-3</v>
      </c>
      <c r="BT33" s="38">
        <f>Financials!BS44/('Evolutive SFP'!BF30+'Evolutive SFP'!BG30)/2</f>
        <v>1.8709555241671089E-2</v>
      </c>
      <c r="BU33" s="38">
        <f>Financials!BT44/('Evolutive SFP'!BG30+'Evolutive SFP'!BH30)/2</f>
        <v>5.9821743212204597E-5</v>
      </c>
      <c r="BV33" s="38">
        <f>Financials!BU44/('Evolutive SFP'!BH30+'Evolutive SFP'!BI30)/2</f>
        <v>7.87792331095904E-5</v>
      </c>
      <c r="BW33" s="38">
        <f>Financials!BV44/('Evolutive SFP'!BI30+'Evolutive SFP'!BJ30)/2</f>
        <v>1.3468594571994924E-4</v>
      </c>
      <c r="BX33" s="38">
        <f>Financials!BW44/('Evolutive SFP'!BJ30+'Evolutive SFP'!BK30)/2</f>
        <v>3.0411114185530726E-4</v>
      </c>
      <c r="BY33" s="38">
        <f>Financials!BX44/('Evolutive SFP'!BK30+'Evolutive SFP'!BL30)/2</f>
        <v>4.0190144398966017E-4</v>
      </c>
      <c r="BZ33" s="38">
        <f>Financials!BY44/('Evolutive SFP'!BL30+'Evolutive SFP'!BM30)/2</f>
        <v>4.2216593080595711E-4</v>
      </c>
      <c r="CA33" s="38">
        <f>Financials!BZ44/('Evolutive SFP'!BM30+'Evolutive SFP'!BN30)/2</f>
        <v>5.1493874026324897E-4</v>
      </c>
      <c r="CB33" s="38">
        <f>Financials!CA44/('Evolutive SFP'!BN30+'Evolutive SFP'!BO30)/2</f>
        <v>6.3093469921969222E-4</v>
      </c>
      <c r="CC33" s="38">
        <f>Financials!CB44/('Evolutive SFP'!BO30+'Evolutive SFP'!BP30)/2</f>
        <v>7.0990009388865961E-4</v>
      </c>
      <c r="CD33" s="38">
        <f>Financials!CC44/('Evolutive SFP'!BP30+'Evolutive SFP'!BQ30)/2</f>
        <v>2.3647552988956084E-3</v>
      </c>
      <c r="CE33" s="38">
        <f>Financials!CD44/('Evolutive SFP'!BQ30+'Evolutive SFP'!BR30)/2</f>
        <v>2.4242322895696362E-3</v>
      </c>
      <c r="CF33" s="38">
        <f>Financials!CE44/('Evolutive SFP'!BR30+'Evolutive SFP'!BS30)/2</f>
        <v>3.7738519403318405E-3</v>
      </c>
      <c r="CG33" s="38">
        <f>Financials!CF44/('Evolutive SFP'!BS30+'Evolutive SFP'!BT30)/2</f>
        <v>3.5000000421671125E-2</v>
      </c>
      <c r="CH33" s="38">
        <f>Financials!CG44/('Evolutive SFP'!BT30+'Evolutive SFP'!BU30)/2</f>
        <v>1.4316229695159668E-4</v>
      </c>
      <c r="CI33" s="38">
        <f>Financials!CH44/('Evolutive SFP'!BU30+'Evolutive SFP'!BV30)/2</f>
        <v>1.2933400436689524E-4</v>
      </c>
      <c r="CJ33" s="38">
        <f>Financials!CI44/('Evolutive SFP'!BV30+'Evolutive SFP'!BW30)/2</f>
        <v>1.7574101199302814E-4</v>
      </c>
      <c r="CK33" s="38">
        <f>Financials!CJ44/('Evolutive SFP'!BW30+'Evolutive SFP'!BX30)/2</f>
        <v>2.2399883257979218E-4</v>
      </c>
      <c r="CL33" s="38">
        <f>Financials!CK44/('Evolutive SFP'!BX30+'Evolutive SFP'!BY30)/2</f>
        <v>2.9257434785809967E-4</v>
      </c>
      <c r="CM33" s="38">
        <f>Financials!CL44/('Evolutive SFP'!BY30+'Evolutive SFP'!BZ30)/2</f>
        <v>1.0285875355993846E-3</v>
      </c>
      <c r="CN33" s="38">
        <f>Financials!CM44/('Evolutive SFP'!BZ30+'Evolutive SFP'!CA30)/2</f>
        <v>1.4321523294399155E-5</v>
      </c>
    </row>
    <row r="34" spans="1:92" ht="15">
      <c r="A34" s="43"/>
      <c r="B34" s="32" t="s">
        <v>235</v>
      </c>
      <c r="C34" s="2"/>
      <c r="D34" s="34"/>
      <c r="E34" s="34" t="e">
        <f>Financials!D45/('Evolutive SFP'!#REF!+'Evolutive SFP'!#REF!)/2</f>
        <v>#REF!</v>
      </c>
      <c r="F34" s="34"/>
      <c r="G34" s="34"/>
      <c r="H34" s="34" t="e">
        <f>Financials!G45/('Evolutive SFP'!#REF!+'Evolutive SFP'!#REF!)/2</f>
        <v>#REF!</v>
      </c>
      <c r="I34" s="34" t="e">
        <f>Financials!H45/('Evolutive SFP'!#REF!+'Evolutive SFP'!#REF!)/2</f>
        <v>#REF!</v>
      </c>
      <c r="J34" s="34" t="e">
        <f>Financials!I45/('Evolutive SFP'!#REF!+'Evolutive SFP'!#REF!)/2</f>
        <v>#REF!</v>
      </c>
      <c r="K34" s="34" t="e">
        <f>Financials!J45/('Evolutive SFP'!#REF!+'Evolutive SFP'!#REF!)/2</f>
        <v>#REF!</v>
      </c>
      <c r="L34" s="34" t="e">
        <f>Financials!K45/('Evolutive SFP'!#REF!+'Evolutive SFP'!#REF!)/2</f>
        <v>#REF!</v>
      </c>
      <c r="M34" s="34" t="e">
        <f>Financials!L45/('Evolutive SFP'!#REF!+'Evolutive SFP'!#REF!)/2</f>
        <v>#REF!</v>
      </c>
      <c r="N34" s="34" t="e">
        <f>Financials!M45/('Evolutive SFP'!#REF!+'Evolutive SFP'!#REF!)/2</f>
        <v>#REF!</v>
      </c>
      <c r="O34" s="34" t="e">
        <f>Financials!N45/('Evolutive SFP'!#REF!+'Evolutive SFP'!#REF!)/2</f>
        <v>#REF!</v>
      </c>
      <c r="P34" s="34" t="e">
        <f>Financials!O45/('Evolutive SFP'!#REF!+'Evolutive SFP'!#REF!)/2</f>
        <v>#REF!</v>
      </c>
      <c r="Q34" s="34" t="e">
        <f>Financials!P45/('Evolutive SFP'!#REF!+'Evolutive SFP'!#REF!)/2</f>
        <v>#REF!</v>
      </c>
      <c r="R34" s="34" t="e">
        <f>Financials!Q45/('Evolutive SFP'!#REF!+'Evolutive SFP'!#REF!)/2</f>
        <v>#REF!</v>
      </c>
      <c r="S34" s="38" t="e">
        <f>Financials!R45/('Evolutive SFP'!#REF!+'Evolutive SFP'!#REF!)/2</f>
        <v>#REF!</v>
      </c>
      <c r="T34" s="38" t="e">
        <f>Financials!S45/('Evolutive SFP'!#REF!+'Evolutive SFP'!#REF!)/2</f>
        <v>#REF!</v>
      </c>
      <c r="U34" s="38" t="e">
        <f>Financials!T45/('Evolutive SFP'!#REF!+'Evolutive SFP'!#REF!)/2</f>
        <v>#REF!</v>
      </c>
      <c r="V34" s="38" t="e">
        <f>Financials!U45/('Evolutive SFP'!#REF!+'Evolutive SFP'!#REF!)/2</f>
        <v>#REF!</v>
      </c>
      <c r="W34" s="38" t="e">
        <f>Financials!V45/('Evolutive SFP'!#REF!+'Evolutive SFP'!#REF!)/2</f>
        <v>#REF!</v>
      </c>
      <c r="X34" s="38" t="e">
        <f>Financials!W45/('Evolutive SFP'!#REF!+'Evolutive SFP'!#REF!)/2</f>
        <v>#REF!</v>
      </c>
      <c r="Y34" s="38" t="e">
        <f>Financials!X45/('Evolutive SFP'!#REF!+'Evolutive SFP'!#REF!)/2</f>
        <v>#REF!</v>
      </c>
      <c r="Z34" s="38" t="e">
        <f>Financials!Y45/('Evolutive SFP'!#REF!+'Evolutive SFP'!#REF!)/2</f>
        <v>#REF!</v>
      </c>
      <c r="AA34" s="38" t="e">
        <f>Financials!Z45/('Evolutive SFP'!#REF!+'Evolutive SFP'!#REF!)/2</f>
        <v>#REF!</v>
      </c>
      <c r="AB34" s="38" t="e">
        <f>Financials!AA45/('Evolutive SFP'!#REF!+'Evolutive SFP'!#REF!)/2</f>
        <v>#REF!</v>
      </c>
      <c r="AC34" s="38" t="e">
        <f>Financials!AB45/('Evolutive SFP'!#REF!+'Evolutive SFP'!#REF!)/2</f>
        <v>#REF!</v>
      </c>
      <c r="AD34" s="38" t="e">
        <f>Financials!AC45/('Evolutive SFP'!#REF!+'Evolutive SFP'!#REF!)/2</f>
        <v>#REF!</v>
      </c>
      <c r="AE34" s="38" t="e">
        <f>Financials!AD45/('Evolutive SFP'!#REF!+'Evolutive SFP'!#REF!)/2</f>
        <v>#REF!</v>
      </c>
      <c r="AF34" s="38" t="e">
        <f>Financials!AE45/('Evolutive SFP'!#REF!+'Evolutive SFP'!#REF!)/2</f>
        <v>#REF!</v>
      </c>
      <c r="AG34" s="38" t="e">
        <f>Financials!AF45/('Evolutive SFP'!#REF!+'Evolutive SFP'!#REF!)/2</f>
        <v>#REF!</v>
      </c>
      <c r="AH34" s="38" t="e">
        <f>Financials!AG45/('Evolutive SFP'!#REF!+'Evolutive SFP'!#REF!)/2</f>
        <v>#REF!</v>
      </c>
      <c r="AI34" s="38" t="e">
        <f>Financials!AH45/('Evolutive SFP'!#REF!+'Evolutive SFP'!#REF!)/2</f>
        <v>#REF!</v>
      </c>
      <c r="AJ34" s="38" t="e">
        <f>Financials!AI45/('Evolutive SFP'!#REF!+'Evolutive SFP'!#REF!)/2</f>
        <v>#REF!</v>
      </c>
      <c r="AK34" s="38" t="e">
        <f>Financials!AJ45/('Evolutive SFP'!#REF!+'Evolutive SFP'!#REF!)/2</f>
        <v>#REF!</v>
      </c>
      <c r="AL34" s="38" t="e">
        <f>Financials!AK45/('Evolutive SFP'!#REF!+'Evolutive SFP'!#REF!)/2</f>
        <v>#REF!</v>
      </c>
      <c r="AM34" s="38" t="e">
        <f>Financials!AL45/('Evolutive SFP'!#REF!+'Evolutive SFP'!#REF!)/2</f>
        <v>#REF!</v>
      </c>
      <c r="AN34" s="38" t="e">
        <f>Financials!AM45/('Evolutive SFP'!#REF!+'Evolutive SFP'!#REF!)/2</f>
        <v>#REF!</v>
      </c>
      <c r="AO34" s="38" t="e">
        <f>Financials!AN45/('Evolutive SFP'!#REF!+'Evolutive SFP'!#REF!)/2</f>
        <v>#REF!</v>
      </c>
      <c r="AP34" s="38" t="e">
        <f>Financials!AO45/('Evolutive SFP'!#REF!+'Evolutive SFP'!#REF!)/2</f>
        <v>#REF!</v>
      </c>
      <c r="AQ34" s="38" t="e">
        <f>Financials!AP45/('Evolutive SFP'!#REF!+'Evolutive SFP'!#REF!)/2</f>
        <v>#REF!</v>
      </c>
      <c r="AR34" s="38" t="e">
        <f>Financials!AQ45/('Evolutive SFP'!#REF!+'Evolutive SFP'!#REF!)/2</f>
        <v>#REF!</v>
      </c>
      <c r="AS34" s="38" t="e">
        <f>Financials!AR45/('Evolutive SFP'!#REF!+'Evolutive SFP'!#REF!)/2</f>
        <v>#REF!</v>
      </c>
      <c r="AT34" s="38" t="e">
        <f>Financials!AS45/('Evolutive SFP'!#REF!+'Evolutive SFP'!AH39)/2</f>
        <v>#REF!</v>
      </c>
      <c r="AU34" s="38">
        <f>Financials!AT45/('Evolutive SFP'!AH39+'Evolutive SFP'!AI39)/2</f>
        <v>0</v>
      </c>
      <c r="AV34" s="38">
        <f>Financials!AU45/('Evolutive SFP'!AI39+'Evolutive SFP'!AJ39)/2</f>
        <v>0</v>
      </c>
      <c r="AW34" s="38">
        <f>Financials!AV45/('Evolutive SFP'!AJ39+'Evolutive SFP'!AK39)/2</f>
        <v>0</v>
      </c>
      <c r="AX34" s="38">
        <f>Financials!AW45/('Evolutive SFP'!AK39+'Evolutive SFP'!AL39)/2</f>
        <v>0</v>
      </c>
      <c r="AY34" s="38">
        <f>Financials!AX45/('Evolutive SFP'!AL39+'Evolutive SFP'!AM39)/2</f>
        <v>0</v>
      </c>
      <c r="AZ34" s="38">
        <f>Financials!AY45/('Evolutive SFP'!AM39+'Evolutive SFP'!AN39)/2</f>
        <v>0</v>
      </c>
      <c r="BA34" s="38" t="e">
        <f>Financials!AZ45/('Evolutive SFP'!AN39+'Evolutive SFP'!#REF!)/2</f>
        <v>#REF!</v>
      </c>
      <c r="BB34" s="38" t="e">
        <f>Financials!BA45/('Evolutive SFP'!#REF!+'Evolutive SFP'!AO39)/2</f>
        <v>#REF!</v>
      </c>
      <c r="BC34" s="38">
        <f>Financials!BB45/('Evolutive SFP'!AO39+'Evolutive SFP'!AP39)/2</f>
        <v>0</v>
      </c>
      <c r="BD34" s="38">
        <f>Financials!BC45/('Evolutive SFP'!AP39+'Evolutive SFP'!AQ39)/2</f>
        <v>0</v>
      </c>
      <c r="BE34" s="38">
        <f>Financials!BD45/('Evolutive SFP'!AQ39+'Evolutive SFP'!AR39)/2</f>
        <v>0</v>
      </c>
      <c r="BF34" s="38">
        <f>Financials!BE45/('Evolutive SFP'!AR39+'Evolutive SFP'!AS39)/2</f>
        <v>0</v>
      </c>
      <c r="BG34" s="38">
        <f>Financials!BF45/('Evolutive SFP'!AS39+'Evolutive SFP'!AT39)/2</f>
        <v>0</v>
      </c>
      <c r="BH34" s="38">
        <f>Financials!BG45/('Evolutive SFP'!AT39+'Evolutive SFP'!AU39)/2</f>
        <v>0</v>
      </c>
      <c r="BI34" s="38">
        <f>Financials!BH45/('Evolutive SFP'!AU39+'Evolutive SFP'!AV39)/2</f>
        <v>0</v>
      </c>
      <c r="BJ34" s="38">
        <f>Financials!BI45/('Evolutive SFP'!AV39+'Evolutive SFP'!AW39)/2</f>
        <v>0</v>
      </c>
      <c r="BK34" s="38">
        <f>Financials!BJ45/('Evolutive SFP'!AW39+'Evolutive SFP'!AX39)/2</f>
        <v>0</v>
      </c>
      <c r="BL34" s="38">
        <f>Financials!BK45/('Evolutive SFP'!AX39+'Evolutive SFP'!AY39)/2</f>
        <v>0</v>
      </c>
      <c r="BM34" s="38">
        <f>Financials!BL45/('Evolutive SFP'!AY39+'Evolutive SFP'!AZ39)/2</f>
        <v>0</v>
      </c>
      <c r="BN34" s="38">
        <f>Financials!BM45/('Evolutive SFP'!AZ39+'Evolutive SFP'!BA39)/2</f>
        <v>0</v>
      </c>
      <c r="BO34" s="38">
        <f>Financials!BN45/('Evolutive SFP'!BA39+'Evolutive SFP'!BB39)/2</f>
        <v>0</v>
      </c>
      <c r="BP34" s="38">
        <f>Financials!BO45/('Evolutive SFP'!BB39+'Evolutive SFP'!BC39)/2</f>
        <v>0</v>
      </c>
      <c r="BQ34" s="38">
        <f>Financials!BP45/('Evolutive SFP'!BC39+'Evolutive SFP'!BD39)/2</f>
        <v>0</v>
      </c>
      <c r="BR34" s="38">
        <f>Financials!BQ45/('Evolutive SFP'!BD39+'Evolutive SFP'!BE39)/2</f>
        <v>0</v>
      </c>
      <c r="BS34" s="38">
        <f>Financials!BR45/('Evolutive SFP'!BE39+'Evolutive SFP'!BF39)/2</f>
        <v>0</v>
      </c>
      <c r="BT34" s="38">
        <f>Financials!BS45/('Evolutive SFP'!BF39+'Evolutive SFP'!BG39)/2</f>
        <v>0</v>
      </c>
      <c r="BU34" s="38">
        <f>Financials!BT45/('Evolutive SFP'!BG39+'Evolutive SFP'!BH39)/2</f>
        <v>0</v>
      </c>
      <c r="BV34" s="38">
        <f>Financials!BU45/('Evolutive SFP'!BH39+'Evolutive SFP'!BI39)/2</f>
        <v>0</v>
      </c>
      <c r="BW34" s="38">
        <f>Financials!BV45/('Evolutive SFP'!BI39+'Evolutive SFP'!BJ39)/2</f>
        <v>0</v>
      </c>
      <c r="BX34" s="38">
        <f>Financials!BW45/('Evolutive SFP'!BJ39+'Evolutive SFP'!BK39)/2</f>
        <v>0</v>
      </c>
      <c r="BY34" s="38">
        <f>Financials!BX45/('Evolutive SFP'!BK39+'Evolutive SFP'!BL39)/2</f>
        <v>0</v>
      </c>
      <c r="BZ34" s="38">
        <f>Financials!BY45/('Evolutive SFP'!BL39+'Evolutive SFP'!BM39)/2</f>
        <v>0</v>
      </c>
      <c r="CA34" s="38">
        <f>Financials!BZ45/('Evolutive SFP'!BM39+'Evolutive SFP'!BN39)/2</f>
        <v>0</v>
      </c>
      <c r="CB34" s="38">
        <f>Financials!CA45/('Evolutive SFP'!BN39+'Evolutive SFP'!BO39)/2</f>
        <v>0</v>
      </c>
      <c r="CC34" s="38">
        <f>Financials!CB45/('Evolutive SFP'!BO39+'Evolutive SFP'!BP39)/2</f>
        <v>0</v>
      </c>
      <c r="CD34" s="38">
        <f>Financials!CC45/('Evolutive SFP'!BP39+'Evolutive SFP'!BQ39)/2</f>
        <v>0</v>
      </c>
      <c r="CE34" s="38">
        <f>Financials!CD45/('Evolutive SFP'!BQ39+'Evolutive SFP'!BR39)/2</f>
        <v>0</v>
      </c>
      <c r="CF34" s="38">
        <f>Financials!CE45/('Evolutive SFP'!BR39+'Evolutive SFP'!BS39)/2</f>
        <v>0</v>
      </c>
      <c r="CG34" s="38">
        <f>Financials!CF45/('Evolutive SFP'!BS39+'Evolutive SFP'!BT39)/2</f>
        <v>8.0573192801308442E-3</v>
      </c>
      <c r="CH34" s="38">
        <f>Financials!CG45/('Evolutive SFP'!BT39+'Evolutive SFP'!BU39)/2</f>
        <v>0</v>
      </c>
      <c r="CI34" s="38">
        <f>Financials!CH45/('Evolutive SFP'!BU39+'Evolutive SFP'!BV39)/2</f>
        <v>0</v>
      </c>
      <c r="CJ34" s="38">
        <f>Financials!CI45/('Evolutive SFP'!BV39+'Evolutive SFP'!BW39)/2</f>
        <v>0</v>
      </c>
      <c r="CK34" s="38">
        <f>Financials!CJ45/('Evolutive SFP'!BW39+'Evolutive SFP'!BX39)/2</f>
        <v>0</v>
      </c>
      <c r="CL34" s="38">
        <f>Financials!CK45/('Evolutive SFP'!BX39+'Evolutive SFP'!BY39)/2</f>
        <v>0</v>
      </c>
      <c r="CM34" s="38">
        <f>Financials!CL45/('Evolutive SFP'!BY39+'Evolutive SFP'!BZ39)/2</f>
        <v>0</v>
      </c>
      <c r="CN34" s="38">
        <f>Financials!CM45/('Evolutive SFP'!BZ39+'Evolutive SFP'!CA39)/2</f>
        <v>0</v>
      </c>
    </row>
    <row r="35" spans="1:92" ht="15">
      <c r="A35" s="43"/>
      <c r="B35" s="32" t="s">
        <v>236</v>
      </c>
      <c r="C35" s="2"/>
      <c r="D35" s="34"/>
      <c r="E35" s="34" t="e">
        <f>Financials!D46/(Financials!C31+Financials!D31)/2</f>
        <v>#REF!</v>
      </c>
      <c r="F35" s="34"/>
      <c r="G35" s="34"/>
      <c r="H35" s="34" t="e">
        <f>Financials!G46/(Financials!D31+Financials!G31)/2</f>
        <v>#REF!</v>
      </c>
      <c r="I35" s="34" t="e">
        <f>Financials!H46/(Financials!G31+Financials!H31)/2</f>
        <v>#REF!</v>
      </c>
      <c r="J35" s="34" t="e">
        <f>Financials!I46/(Financials!H31+Financials!I31)/2</f>
        <v>#REF!</v>
      </c>
      <c r="K35" s="34" t="e">
        <f>Financials!J46/(Financials!I31+Financials!J31)/2</f>
        <v>#REF!</v>
      </c>
      <c r="L35" s="34" t="e">
        <f>Financials!K46/(Financials!J31+Financials!K31)/2</f>
        <v>#REF!</v>
      </c>
      <c r="M35" s="34" t="e">
        <f>Financials!L46/(Financials!K31+Financials!L31)/2</f>
        <v>#REF!</v>
      </c>
      <c r="N35" s="34" t="e">
        <f>Financials!M46/(Financials!L31+Financials!M31)/2</f>
        <v>#REF!</v>
      </c>
      <c r="O35" s="34" t="e">
        <f>Financials!N46/(Financials!M31+Financials!N31)/2</f>
        <v>#REF!</v>
      </c>
      <c r="P35" s="34" t="e">
        <f>Financials!O46/(Financials!N31+Financials!O31)/2</f>
        <v>#REF!</v>
      </c>
      <c r="Q35" s="34" t="e">
        <f>Financials!P46/(Financials!O31+Financials!P31)/2</f>
        <v>#REF!</v>
      </c>
      <c r="R35" s="34" t="e">
        <f>Financials!Q46/(Financials!P31+Financials!Q31)/2</f>
        <v>#REF!</v>
      </c>
      <c r="S35" s="38" t="e">
        <f>Financials!R46/(Financials!Q31+Financials!R31)/2</f>
        <v>#REF!</v>
      </c>
      <c r="T35" s="38" t="e">
        <f>Financials!S46/(Financials!R31+Financials!S31)/2</f>
        <v>#REF!</v>
      </c>
      <c r="U35" s="38" t="e">
        <f>Financials!T46/(Financials!S31+Financials!T31)/2</f>
        <v>#REF!</v>
      </c>
      <c r="V35" s="38" t="e">
        <f>Financials!U46/(Financials!T31+Financials!U31)/2</f>
        <v>#REF!</v>
      </c>
      <c r="W35" s="38" t="e">
        <f>Financials!V46/(Financials!U31+Financials!V31)/2</f>
        <v>#REF!</v>
      </c>
      <c r="X35" s="38" t="e">
        <f>Financials!W46/(Financials!V31+Financials!W31)/2</f>
        <v>#REF!</v>
      </c>
      <c r="Y35" s="38" t="e">
        <f>Financials!X46/(Financials!W31+Financials!X31)/2</f>
        <v>#REF!</v>
      </c>
      <c r="Z35" s="38" t="e">
        <f>Financials!Y46/(Financials!X31+Financials!Y31)/2</f>
        <v>#REF!</v>
      </c>
      <c r="AA35" s="38" t="e">
        <f>Financials!Z46/(Financials!Y31+Financials!Z31)/2</f>
        <v>#REF!</v>
      </c>
      <c r="AB35" s="38" t="e">
        <f>Financials!AA46/(Financials!Z31+Financials!AA31)/2</f>
        <v>#REF!</v>
      </c>
      <c r="AC35" s="38" t="e">
        <f>Financials!AB46/(Financials!AA31+Financials!AB31)/2</f>
        <v>#REF!</v>
      </c>
      <c r="AD35" s="38" t="e">
        <f>Financials!AC46/(Financials!AB31+Financials!AC31)/2</f>
        <v>#REF!</v>
      </c>
      <c r="AE35" s="38" t="e">
        <f>Financials!AD46/(Financials!AC31+Financials!AD31)/2</f>
        <v>#REF!</v>
      </c>
      <c r="AF35" s="38" t="e">
        <f>Financials!AE46/(Financials!AD31+Financials!AE31)/2</f>
        <v>#REF!</v>
      </c>
      <c r="AG35" s="38" t="e">
        <f>Financials!AF46/(Financials!AE31+Financials!AF31)/2</f>
        <v>#REF!</v>
      </c>
      <c r="AH35" s="38" t="e">
        <f>Financials!AG46/(Financials!AF31+Financials!AG31)/2</f>
        <v>#REF!</v>
      </c>
      <c r="AI35" s="38" t="e">
        <f>Financials!AH46/(Financials!AG31+Financials!AH31)/2</f>
        <v>#REF!</v>
      </c>
      <c r="AJ35" s="38" t="e">
        <f>Financials!AI46/(Financials!AH31+Financials!AI31)/2</f>
        <v>#REF!</v>
      </c>
      <c r="AK35" s="38" t="e">
        <f>Financials!AJ46/(Financials!AI31+Financials!AJ31)/2</f>
        <v>#REF!</v>
      </c>
      <c r="AL35" s="38" t="e">
        <f>Financials!AK46/(Financials!AJ31+Financials!AK31)/2</f>
        <v>#REF!</v>
      </c>
      <c r="AM35" s="38" t="e">
        <f>Financials!AL46/(Financials!AK31+Financials!AL31)/2</f>
        <v>#REF!</v>
      </c>
      <c r="AN35" s="38" t="e">
        <f>Financials!AM46/(Financials!AL31+Financials!AM31)/2</f>
        <v>#REF!</v>
      </c>
      <c r="AO35" s="38" t="e">
        <f>Financials!AN46/(Financials!AM31+Financials!AN31)/2</f>
        <v>#REF!</v>
      </c>
      <c r="AP35" s="38" t="e">
        <f>Financials!AO46/(Financials!AN31+Financials!AO31)/2</f>
        <v>#REF!</v>
      </c>
      <c r="AQ35" s="38" t="e">
        <f>Financials!AP46/(Financials!AO31+Financials!AP31)/2</f>
        <v>#REF!</v>
      </c>
      <c r="AR35" s="38" t="e">
        <f>Financials!AQ46/(Financials!AP31+Financials!AQ31)/2</f>
        <v>#REF!</v>
      </c>
      <c r="AS35" s="38" t="e">
        <f>Financials!AR46/(Financials!AQ31+Financials!AR31)/2</f>
        <v>#REF!</v>
      </c>
      <c r="AT35" s="38" t="e">
        <f>Financials!AS46/(Financials!AR31+Financials!AS31)/2</f>
        <v>#REF!</v>
      </c>
      <c r="AU35" s="38">
        <f>Financials!AT46/(Financials!AS31+Financials!AT31)/2</f>
        <v>0</v>
      </c>
      <c r="AV35" s="38">
        <f>Financials!AU46/(Financials!AT31+Financials!AU31)/2</f>
        <v>0</v>
      </c>
      <c r="AW35" s="38">
        <f>Financials!AV46/(Financials!AU31+Financials!AV31)/2</f>
        <v>0</v>
      </c>
      <c r="AX35" s="38">
        <f>Financials!AW46/(Financials!AV31+Financials!AW31)/2</f>
        <v>0</v>
      </c>
      <c r="AY35" s="38">
        <f>Financials!AX46/(Financials!AW31+Financials!AX31)/2</f>
        <v>0</v>
      </c>
      <c r="AZ35" s="38">
        <f>Financials!AY46/(Financials!AX31+Financials!AY31)/2</f>
        <v>0</v>
      </c>
      <c r="BA35" s="38" t="e">
        <f>Financials!AZ46/(Financials!AY31+Financials!AZ31)/2</f>
        <v>#REF!</v>
      </c>
      <c r="BB35" s="38" t="e">
        <f>Financials!BA46/(Financials!AZ31+Financials!BA31)/2</f>
        <v>#REF!</v>
      </c>
      <c r="BC35" s="38">
        <f>Financials!BB46/(Financials!BA31+Financials!BB31)/2</f>
        <v>0</v>
      </c>
      <c r="BD35" s="38">
        <f>Financials!BC46/(Financials!BB31+Financials!BC31)/2</f>
        <v>0</v>
      </c>
      <c r="BE35" s="38">
        <f>Financials!BD46/(Financials!BC31+Financials!BD31)/2</f>
        <v>0</v>
      </c>
      <c r="BF35" s="38">
        <f>Financials!BE46/(Financials!BD31+Financials!BE31)/2</f>
        <v>0</v>
      </c>
      <c r="BG35" s="38">
        <f>Financials!BF46/(Financials!BE31+Financials!BF31)/2</f>
        <v>0</v>
      </c>
      <c r="BH35" s="38">
        <f>Financials!BG46/(Financials!BF31+Financials!BG31)/2</f>
        <v>0</v>
      </c>
      <c r="BI35" s="38">
        <f>Financials!BH46/(Financials!BG31+Financials!BH31)/2</f>
        <v>0</v>
      </c>
      <c r="BJ35" s="38">
        <f>Financials!BI46/(Financials!BH31+Financials!BI31)/2</f>
        <v>0</v>
      </c>
      <c r="BK35" s="38">
        <f>Financials!BJ46/(Financials!BI31+Financials!BJ31)/2</f>
        <v>0</v>
      </c>
      <c r="BL35" s="38">
        <f>Financials!BK46/(Financials!BJ31+Financials!BK31)/2</f>
        <v>0</v>
      </c>
      <c r="BM35" s="38">
        <f>Financials!BL46/(Financials!BK31+Financials!BL31)/2</f>
        <v>0</v>
      </c>
      <c r="BN35" s="38">
        <f>Financials!BM46/(Financials!BL31+Financials!BM31)/2</f>
        <v>0</v>
      </c>
      <c r="BO35" s="38">
        <f>Financials!BN46/(Financials!BM31+Financials!BN31)/2</f>
        <v>0</v>
      </c>
      <c r="BP35" s="38">
        <f>Financials!BO46/(Financials!BN31+Financials!BO31)/2</f>
        <v>0</v>
      </c>
      <c r="BQ35" s="38">
        <f>Financials!BP46/(Financials!BO31+Financials!BP31)/2</f>
        <v>0</v>
      </c>
      <c r="BR35" s="38">
        <f>Financials!BQ46/(Financials!BP31+Financials!BQ31)/2</f>
        <v>0</v>
      </c>
      <c r="BS35" s="38">
        <f>Financials!BR46/(Financials!BQ31+Financials!BR31)/2</f>
        <v>0</v>
      </c>
      <c r="BT35" s="38">
        <f>Financials!BS46/(Financials!BR31+Financials!BS31)/2</f>
        <v>0</v>
      </c>
      <c r="BU35" s="38">
        <f>Financials!BT46/(Financials!BS31+Financials!BT31)/2</f>
        <v>0</v>
      </c>
      <c r="BV35" s="38">
        <f>Financials!BU46/(Financials!BT31+Financials!BU31)/2</f>
        <v>0</v>
      </c>
      <c r="BW35" s="38">
        <f>Financials!BV46/(Financials!BU31+Financials!BV31)/2</f>
        <v>0</v>
      </c>
      <c r="BX35" s="38">
        <f>Financials!BW46/(Financials!BV31+Financials!BW31)/2</f>
        <v>0</v>
      </c>
      <c r="BY35" s="38">
        <f>Financials!BX46/(Financials!BW31+Financials!BX31)/2</f>
        <v>0</v>
      </c>
      <c r="BZ35" s="38">
        <f>Financials!BY46/(Financials!BX31+Financials!BY31)/2</f>
        <v>0</v>
      </c>
      <c r="CA35" s="38">
        <f>Financials!BZ46/(Financials!BY31+Financials!BZ31)/2</f>
        <v>0</v>
      </c>
      <c r="CB35" s="38">
        <f>Financials!CA46/(Financials!BZ31+Financials!CA31)/2</f>
        <v>0</v>
      </c>
      <c r="CC35" s="38">
        <f>Financials!CB46/(Financials!CA31+Financials!CB31)/2</f>
        <v>0</v>
      </c>
      <c r="CD35" s="38">
        <f>Financials!CC46/(Financials!CB31+Financials!CC31)/2</f>
        <v>0</v>
      </c>
      <c r="CE35" s="38">
        <f>Financials!CD46/(Financials!CC31+Financials!CD31)/2</f>
        <v>0</v>
      </c>
      <c r="CF35" s="38">
        <f>Financials!CE46/(Financials!CD31+Financials!CE31)/2</f>
        <v>0</v>
      </c>
      <c r="CG35" s="38">
        <f>Financials!CF46/(Financials!CE31+Financials!CF31)/2</f>
        <v>0</v>
      </c>
      <c r="CH35" s="38">
        <f>Financials!CG46/(Financials!CF31+Financials!CG31)/2</f>
        <v>0</v>
      </c>
      <c r="CI35" s="38">
        <f>Financials!CH46/(Financials!CG31+Financials!CH31)/2</f>
        <v>0</v>
      </c>
      <c r="CJ35" s="38">
        <f>Financials!CI46/(Financials!CH31+Financials!CI31)/2</f>
        <v>0</v>
      </c>
      <c r="CK35" s="38">
        <f>Financials!CJ46/(Financials!CI31+Financials!CJ31)/2</f>
        <v>0</v>
      </c>
      <c r="CL35" s="38">
        <f>Financials!CK46/(Financials!CJ31+Financials!CK31)/2</f>
        <v>0</v>
      </c>
      <c r="CM35" s="38">
        <f>Financials!CL46/(Financials!CK31+Financials!CL31)/2</f>
        <v>0</v>
      </c>
      <c r="CN35" s="38">
        <f>Financials!CM46/(Financials!CL31+Financials!CM31)/2</f>
        <v>0</v>
      </c>
    </row>
    <row r="36" spans="1:92" ht="15">
      <c r="A36" s="43"/>
      <c r="B36" s="32" t="s">
        <v>237</v>
      </c>
      <c r="C36" s="2"/>
      <c r="D36" s="34"/>
      <c r="E36" s="34" t="e">
        <f>Financials!D47/(Financials!C4+Financials!D4)/2</f>
        <v>#REF!</v>
      </c>
      <c r="F36" s="34"/>
      <c r="G36" s="34"/>
      <c r="H36" s="34" t="e">
        <f>Financials!G47/(Financials!D4+Financials!G4)/2</f>
        <v>#REF!</v>
      </c>
      <c r="I36" s="34" t="e">
        <f>Financials!H47/(Financials!G4+Financials!H4)/2</f>
        <v>#REF!</v>
      </c>
      <c r="J36" s="34" t="e">
        <f>Financials!I47/(Financials!H4+Financials!I4)/2</f>
        <v>#REF!</v>
      </c>
      <c r="K36" s="34" t="e">
        <f>Financials!J47/(Financials!I4+Financials!J4)/2</f>
        <v>#REF!</v>
      </c>
      <c r="L36" s="34" t="e">
        <f>Financials!K47/(Financials!J4+Financials!K4)/2</f>
        <v>#REF!</v>
      </c>
      <c r="M36" s="34" t="e">
        <f>Financials!L47/(Financials!K4+Financials!L4)/2</f>
        <v>#REF!</v>
      </c>
      <c r="N36" s="34" t="e">
        <f>Financials!M47/(Financials!L4+Financials!M4)/2</f>
        <v>#REF!</v>
      </c>
      <c r="O36" s="34" t="e">
        <f>Financials!N47/(Financials!M4+Financials!N4)/2</f>
        <v>#REF!</v>
      </c>
      <c r="P36" s="34" t="e">
        <f>Financials!O47/(Financials!N4+Financials!O4)/2</f>
        <v>#REF!</v>
      </c>
      <c r="Q36" s="34" t="e">
        <f>Financials!P47/(Financials!O4+Financials!P4)/2</f>
        <v>#REF!</v>
      </c>
      <c r="R36" s="34" t="e">
        <f>Financials!Q47/(Financials!P4+Financials!Q4)/2</f>
        <v>#REF!</v>
      </c>
      <c r="S36" s="38" t="e">
        <f>Financials!R47/(Financials!Q4+Financials!R4)/2</f>
        <v>#REF!</v>
      </c>
      <c r="T36" s="38" t="e">
        <f>Financials!S47/(Financials!R4+Financials!S4)/2</f>
        <v>#REF!</v>
      </c>
      <c r="U36" s="38" t="e">
        <f>Financials!T47/(Financials!S4+Financials!T4)/2</f>
        <v>#REF!</v>
      </c>
      <c r="V36" s="38" t="e">
        <f>Financials!U47/(Financials!T4+Financials!U4)/2</f>
        <v>#REF!</v>
      </c>
      <c r="W36" s="38" t="e">
        <f>Financials!V47/(Financials!U4+Financials!V4)/2</f>
        <v>#REF!</v>
      </c>
      <c r="X36" s="38" t="e">
        <f>Financials!W47/(Financials!V4+Financials!W4)/2</f>
        <v>#REF!</v>
      </c>
      <c r="Y36" s="38" t="e">
        <f>Financials!X47/(Financials!W4+Financials!X4)/2</f>
        <v>#REF!</v>
      </c>
      <c r="Z36" s="38" t="e">
        <f>Financials!Y47/(Financials!X4+Financials!Y4)/2</f>
        <v>#REF!</v>
      </c>
      <c r="AA36" s="38" t="e">
        <f>Financials!Z47/(Financials!Y4+Financials!Z4)/2</f>
        <v>#REF!</v>
      </c>
      <c r="AB36" s="38" t="e">
        <f>Financials!AA47/(Financials!Z4+Financials!AA4)/2</f>
        <v>#REF!</v>
      </c>
      <c r="AC36" s="38" t="e">
        <f>Financials!AB47/(Financials!AA4+Financials!AB4)/2</f>
        <v>#REF!</v>
      </c>
      <c r="AD36" s="38" t="e">
        <f>Financials!AC47/(Financials!AB4+Financials!AC4)/2</f>
        <v>#REF!</v>
      </c>
      <c r="AE36" s="38" t="e">
        <f>Financials!AD47/(Financials!AC4+Financials!AD4)/2</f>
        <v>#REF!</v>
      </c>
      <c r="AF36" s="38" t="e">
        <f>Financials!AE47/(Financials!AD4+Financials!AE4)/2</f>
        <v>#REF!</v>
      </c>
      <c r="AG36" s="38" t="e">
        <f>Financials!AF47/(Financials!AE4+Financials!AF4)/2</f>
        <v>#REF!</v>
      </c>
      <c r="AH36" s="38" t="e">
        <f>Financials!AG47/(Financials!AF4+Financials!AG4)/2</f>
        <v>#REF!</v>
      </c>
      <c r="AI36" s="38" t="e">
        <f>Financials!AH47/(Financials!AG4+Financials!AH4)/2</f>
        <v>#REF!</v>
      </c>
      <c r="AJ36" s="38" t="e">
        <f>Financials!AI47/(Financials!AH4+Financials!AI4)/2</f>
        <v>#REF!</v>
      </c>
      <c r="AK36" s="38" t="e">
        <f>Financials!AJ47/(Financials!AI4+Financials!AJ4)/2</f>
        <v>#REF!</v>
      </c>
      <c r="AL36" s="38" t="e">
        <f>Financials!AK47/(Financials!AJ4+Financials!AK4)/2</f>
        <v>#REF!</v>
      </c>
      <c r="AM36" s="38" t="e">
        <f>Financials!AL47/(Financials!AK4+Financials!AL4)/2</f>
        <v>#REF!</v>
      </c>
      <c r="AN36" s="38" t="e">
        <f>Financials!AM47/(Financials!AL4+Financials!AM4)/2</f>
        <v>#REF!</v>
      </c>
      <c r="AO36" s="38" t="e">
        <f>Financials!AN47/(Financials!AM4+Financials!AN4)/2</f>
        <v>#REF!</v>
      </c>
      <c r="AP36" s="38" t="e">
        <f>Financials!AO47/(Financials!AN4+Financials!AO4)/2</f>
        <v>#REF!</v>
      </c>
      <c r="AQ36" s="38" t="e">
        <f>Financials!AP47/(Financials!AO4+Financials!AP4)/2</f>
        <v>#REF!</v>
      </c>
      <c r="AR36" s="38" t="e">
        <f>Financials!AQ47/(Financials!AP4+Financials!AQ4)/2</f>
        <v>#REF!</v>
      </c>
      <c r="AS36" s="38" t="e">
        <f>Financials!AR47/(Financials!AQ4+Financials!AR4)/2</f>
        <v>#REF!</v>
      </c>
      <c r="AT36" s="38" t="e">
        <f>Financials!AS47/(Financials!AR4+Financials!AS4)/2</f>
        <v>#REF!</v>
      </c>
      <c r="AU36" s="38">
        <f>Financials!AT47/(Financials!AS4+Financials!AT4)/2</f>
        <v>6.4408855288671006E-4</v>
      </c>
      <c r="AV36" s="38">
        <f>Financials!AU47/(Financials!AT4+Financials!AU4)/2</f>
        <v>1.5407405607854906E-3</v>
      </c>
      <c r="AW36" s="38">
        <f>Financials!AV47/(Financials!AU4+Financials!AV4)/2</f>
        <v>2.4087202875651822E-3</v>
      </c>
      <c r="AX36" s="38">
        <f>Financials!AW47/(Financials!AV4+Financials!AW4)/2</f>
        <v>3.1935282495154358E-3</v>
      </c>
      <c r="AY36" s="38">
        <f>Financials!AX47/(Financials!AW4+Financials!AX4)/2</f>
        <v>3.747583358423848E-3</v>
      </c>
      <c r="AZ36" s="38">
        <f>Financials!AY47/(Financials!AX4+Financials!AY4)/2</f>
        <v>4.2972481579474408E-3</v>
      </c>
      <c r="BA36" s="38" t="e">
        <f>Financials!AZ47/(Financials!AY4+Financials!AZ4)/2</f>
        <v>#REF!</v>
      </c>
      <c r="BB36" s="38" t="e">
        <f>Financials!BA47/(Financials!AZ4+Financials!BA4)/2</f>
        <v>#REF!</v>
      </c>
      <c r="BC36" s="38">
        <f>Financials!BB47/(Financials!BA4+Financials!BB4)/2</f>
        <v>6.0608234171956182E-3</v>
      </c>
      <c r="BD36" s="38">
        <f>Financials!BC47/(Financials!BB4+Financials!BC4)/2</f>
        <v>6.807776866767601E-3</v>
      </c>
      <c r="BE36" s="38">
        <f>Financials!BD47/(Financials!BC4+Financials!BD4)/2</f>
        <v>8.3320798801046637E-3</v>
      </c>
      <c r="BF36" s="38">
        <f>Financials!BE47/(Financials!BD4+Financials!BE4)/2</f>
        <v>9.1847545636634196E-3</v>
      </c>
      <c r="BG36" s="38">
        <f>Financials!BF47/(Financials!BE4+Financials!BF4)/2</f>
        <v>1.3309950531790961E-2</v>
      </c>
      <c r="BH36" s="38">
        <f>Financials!BG47/(Financials!BF4+Financials!BG4)/2</f>
        <v>5.4202186563778439E-4</v>
      </c>
      <c r="BI36" s="38">
        <f>Financials!BH47/(Financials!BG4+Financials!BH4)/2</f>
        <v>1.6764462437815018E-3</v>
      </c>
      <c r="BJ36" s="38">
        <f>Financials!BI47/(Financials!BH4+Financials!BI4)/2</f>
        <v>3.1108761280774079E-3</v>
      </c>
      <c r="BK36" s="38">
        <f>Financials!BJ47/(Financials!BI4+Financials!BJ4)/2</f>
        <v>4.0268552241143956E-3</v>
      </c>
      <c r="BL36" s="38">
        <f>Financials!BK47/(Financials!BJ4+Financials!BK4)/2</f>
        <v>5.2102011133662819E-3</v>
      </c>
      <c r="BM36" s="38">
        <f>Financials!BL47/(Financials!BK4+Financials!BL4)/2</f>
        <v>5.5443246046653653E-3</v>
      </c>
      <c r="BN36" s="38">
        <f>Financials!BM47/(Financials!BL4+Financials!BM4)/2</f>
        <v>6.7653314523262115E-3</v>
      </c>
      <c r="BO36" s="38">
        <f>Financials!BN47/(Financials!BM4+Financials!BN4)/2</f>
        <v>7.6543218744108922E-3</v>
      </c>
      <c r="BP36" s="38">
        <f>Financials!BO47/(Financials!BN4+Financials!BO4)/2</f>
        <v>8.0580807269964496E-3</v>
      </c>
      <c r="BQ36" s="38">
        <f>Financials!BP47/(Financials!BO4+Financials!BP4)/2</f>
        <v>9.620455906651712E-3</v>
      </c>
      <c r="BR36" s="38">
        <f>Financials!BQ47/(Financials!BP4+Financials!BQ4)/2</f>
        <v>1.1024238536577595E-2</v>
      </c>
      <c r="BS36" s="38">
        <f>Financials!BR47/(Financials!BQ4+Financials!BR4)/2</f>
        <v>1.19668591729312E-2</v>
      </c>
      <c r="BT36" s="38">
        <f>Financials!BS47/(Financials!BR4+Financials!BS4)/2</f>
        <v>1.5212502243038226E-2</v>
      </c>
      <c r="BU36" s="38">
        <f>Financials!BT47/(Financials!BS4+Financials!BT4)/2</f>
        <v>1.0254426849730424E-3</v>
      </c>
      <c r="BV36" s="38">
        <f>Financials!BU47/(Financials!BT4+Financials!BU4)/2</f>
        <v>3.03854504981156E-3</v>
      </c>
      <c r="BW36" s="38">
        <f>Financials!BV47/(Financials!BU4+Financials!BV4)/2</f>
        <v>3.8217143479907906E-3</v>
      </c>
      <c r="BX36" s="38">
        <f>Financials!BW47/(Financials!BV4+Financials!BW4)/2</f>
        <v>5.0088153450246736E-3</v>
      </c>
      <c r="BY36" s="38">
        <f>Financials!BX47/(Financials!BW4+Financials!BX4)/2</f>
        <v>6.1603699188986132E-3</v>
      </c>
      <c r="BZ36" s="38">
        <f>Financials!BY47/(Financials!BX4+Financials!BY4)/2</f>
        <v>7.3267306723388739E-3</v>
      </c>
      <c r="CA36" s="38">
        <f>Financials!BZ47/(Financials!BY4+Financials!BZ4)/2</f>
        <v>8.0761571863656872E-3</v>
      </c>
      <c r="CB36" s="38">
        <f>Financials!CA47/(Financials!BZ4+Financials!CA4)/2</f>
        <v>8.8144697190514418E-3</v>
      </c>
      <c r="CC36" s="38">
        <f>Financials!CB47/(Financials!CA4+Financials!CB4)/2</f>
        <v>9.9034897006467539E-3</v>
      </c>
      <c r="CD36" s="38">
        <f>Financials!CC47/(Financials!CB4+Financials!CC4)/2</f>
        <v>1.0568468997132787E-2</v>
      </c>
      <c r="CE36" s="38">
        <f>Financials!CD47/(Financials!CC4+Financials!CD4)/2</f>
        <v>1.1360811059107018E-2</v>
      </c>
      <c r="CF36" s="38">
        <f>Financials!CE47/(Financials!CD4+Financials!CE4)/2</f>
        <v>1.328499791546346E-2</v>
      </c>
      <c r="CG36" s="38">
        <f>Financials!CF47/(Financials!CE4+Financials!CF4)/2</f>
        <v>3.5508458940916358E-2</v>
      </c>
      <c r="CH36" s="38">
        <f>Financials!CG47/(Financials!CF4+Financials!CG4)/2</f>
        <v>1.6755149678119965E-3</v>
      </c>
      <c r="CI36" s="38">
        <f>Financials!CH47/(Financials!CG4+Financials!CH4)/2</f>
        <v>2.2788763665637962E-3</v>
      </c>
      <c r="CJ36" s="38">
        <f>Financials!CI47/(Financials!CH4+Financials!CI4)/2</f>
        <v>3.1033208618790296E-3</v>
      </c>
      <c r="CK36" s="38">
        <f>Financials!CJ47/(Financials!CI4+Financials!CJ4)/2</f>
        <v>4.1095425771645495E-3</v>
      </c>
      <c r="CL36" s="38">
        <f>Financials!CK47/(Financials!CJ4+Financials!CK4)/2</f>
        <v>5.6951272774301842E-3</v>
      </c>
      <c r="CM36" s="38">
        <f>Financials!CL47/(Financials!CK4+Financials!CL4)/2</f>
        <v>6.0635994857752814E-3</v>
      </c>
      <c r="CN36" s="38">
        <f>Financials!CM47/(Financials!CL4+Financials!CM4)/2</f>
        <v>1.0378483941098027E-2</v>
      </c>
    </row>
    <row r="37" spans="1:92" ht="15">
      <c r="A37" s="43"/>
      <c r="B37" s="32" t="s">
        <v>238</v>
      </c>
      <c r="C37" s="2"/>
      <c r="D37" s="34"/>
      <c r="E37" s="34" t="e">
        <f>Financials!D47/Financials!D37</f>
        <v>#REF!</v>
      </c>
      <c r="F37" s="34"/>
      <c r="G37" s="34"/>
      <c r="H37" s="34" t="e">
        <f>Financials!G47/Financials!G37</f>
        <v>#REF!</v>
      </c>
      <c r="I37" s="34" t="e">
        <f>Financials!H47/Financials!H37</f>
        <v>#REF!</v>
      </c>
      <c r="J37" s="34" t="e">
        <f>Financials!I47/Financials!I37</f>
        <v>#REF!</v>
      </c>
      <c r="K37" s="34" t="e">
        <f>Financials!J47/Financials!J37</f>
        <v>#REF!</v>
      </c>
      <c r="L37" s="34" t="e">
        <f>Financials!K47/Financials!K37</f>
        <v>#REF!</v>
      </c>
      <c r="M37" s="34" t="e">
        <f>Financials!L47/Financials!L37</f>
        <v>#REF!</v>
      </c>
      <c r="N37" s="34" t="e">
        <f>Financials!M47/Financials!M37</f>
        <v>#REF!</v>
      </c>
      <c r="O37" s="34" t="e">
        <f>Financials!N47/Financials!N37</f>
        <v>#REF!</v>
      </c>
      <c r="P37" s="34" t="e">
        <f>Financials!O47/Financials!O37</f>
        <v>#REF!</v>
      </c>
      <c r="Q37" s="34" t="e">
        <f>Financials!P47/Financials!P37</f>
        <v>#REF!</v>
      </c>
      <c r="R37" s="34" t="e">
        <f>Financials!Q47/Financials!Q37</f>
        <v>#REF!</v>
      </c>
      <c r="S37" s="38" t="e">
        <f>Financials!R47/Financials!R37</f>
        <v>#REF!</v>
      </c>
      <c r="T37" s="38" t="e">
        <f>Financials!S47/Financials!S37</f>
        <v>#REF!</v>
      </c>
      <c r="U37" s="38" t="e">
        <f>Financials!T47/Financials!T37</f>
        <v>#REF!</v>
      </c>
      <c r="V37" s="38" t="e">
        <f>Financials!U47/Financials!U37</f>
        <v>#REF!</v>
      </c>
      <c r="W37" s="38" t="e">
        <f>Financials!V47/Financials!V37</f>
        <v>#REF!</v>
      </c>
      <c r="X37" s="38" t="e">
        <f>Financials!W47/Financials!W37</f>
        <v>#REF!</v>
      </c>
      <c r="Y37" s="38" t="e">
        <f>Financials!X47/Financials!X37</f>
        <v>#REF!</v>
      </c>
      <c r="Z37" s="38" t="e">
        <f>Financials!Y47/Financials!Y37</f>
        <v>#REF!</v>
      </c>
      <c r="AA37" s="38" t="e">
        <f>Financials!Z47/Financials!Z37</f>
        <v>#REF!</v>
      </c>
      <c r="AB37" s="38" t="e">
        <f>Financials!AA47/Financials!AA37</f>
        <v>#REF!</v>
      </c>
      <c r="AC37" s="38" t="e">
        <f>Financials!AB47/Financials!AB37</f>
        <v>#REF!</v>
      </c>
      <c r="AD37" s="38" t="e">
        <f>Financials!AC47/Financials!AC37</f>
        <v>#REF!</v>
      </c>
      <c r="AE37" s="38" t="e">
        <f>Financials!AD47/Financials!AD37</f>
        <v>#REF!</v>
      </c>
      <c r="AF37" s="38" t="e">
        <f>Financials!AE47/Financials!AE37</f>
        <v>#REF!</v>
      </c>
      <c r="AG37" s="38" t="e">
        <f>Financials!AF47/Financials!AF37</f>
        <v>#REF!</v>
      </c>
      <c r="AH37" s="38" t="e">
        <f>Financials!AG47/Financials!AG37</f>
        <v>#REF!</v>
      </c>
      <c r="AI37" s="38" t="e">
        <f>Financials!AH47/Financials!AH37</f>
        <v>#REF!</v>
      </c>
      <c r="AJ37" s="38" t="e">
        <f>Financials!AI47/Financials!AI37</f>
        <v>#REF!</v>
      </c>
      <c r="AK37" s="38" t="e">
        <f>Financials!AJ47/Financials!AJ37</f>
        <v>#REF!</v>
      </c>
      <c r="AL37" s="38" t="e">
        <f>Financials!AK47/Financials!AK37</f>
        <v>#REF!</v>
      </c>
      <c r="AM37" s="38" t="e">
        <f>Financials!AL47/Financials!AL37</f>
        <v>#REF!</v>
      </c>
      <c r="AN37" s="38" t="e">
        <f>Financials!AM47/Financials!AM37</f>
        <v>#REF!</v>
      </c>
      <c r="AO37" s="38" t="e">
        <f>Financials!AN47/Financials!AN37</f>
        <v>#REF!</v>
      </c>
      <c r="AP37" s="38" t="e">
        <f>Financials!AO47/Financials!AO37</f>
        <v>#REF!</v>
      </c>
      <c r="AQ37" s="38" t="e">
        <f>Financials!AP47/Financials!AP37</f>
        <v>#REF!</v>
      </c>
      <c r="AR37" s="38" t="e">
        <f>Financials!AQ47/Financials!AQ37</f>
        <v>#REF!</v>
      </c>
      <c r="AS37" s="38" t="e">
        <f>Financials!AR47/Financials!AR37</f>
        <v>#REF!</v>
      </c>
      <c r="AT37" s="38">
        <f>Financials!AS47/Financials!AS37</f>
        <v>0.49756441423958453</v>
      </c>
      <c r="AU37" s="38">
        <f>Financials!AT47/Financials!AT37</f>
        <v>0.32015539699669104</v>
      </c>
      <c r="AV37" s="38">
        <f>Financials!AU47/Financials!AU37</f>
        <v>0.39894577886633065</v>
      </c>
      <c r="AW37" s="38">
        <f>Financials!AV47/Financials!AV37</f>
        <v>0.3850286369744747</v>
      </c>
      <c r="AX37" s="38">
        <f>Financials!AW47/Financials!AW37</f>
        <v>0.40929866674527532</v>
      </c>
      <c r="AY37" s="38">
        <f>Financials!AX47/Financials!AX37</f>
        <v>0.39313193812697883</v>
      </c>
      <c r="AZ37" s="38">
        <f>Financials!AY47/Financials!AY37</f>
        <v>0.37918519741166234</v>
      </c>
      <c r="BA37" s="38" t="e">
        <f>Financials!AZ47/Financials!AZ37</f>
        <v>#REF!</v>
      </c>
      <c r="BB37" s="38">
        <f>Financials!BA47/Financials!BA37</f>
        <v>0.3634573347222817</v>
      </c>
      <c r="BC37" s="38">
        <f>Financials!BB47/Financials!BB37</f>
        <v>0.35674701597221231</v>
      </c>
      <c r="BD37" s="38">
        <f>Financials!BC47/Financials!BC37</f>
        <v>0.34890740127804198</v>
      </c>
      <c r="BE37" s="38">
        <f>Financials!BD47/Financials!BD37</f>
        <v>0.38757624246479283</v>
      </c>
      <c r="BF37" s="38">
        <f>Financials!BE47/Financials!BE37</f>
        <v>0.37802579094451855</v>
      </c>
      <c r="BG37" s="38">
        <f>Financials!BF47/Financials!BF37</f>
        <v>0.43871039891433267</v>
      </c>
      <c r="BH37" s="38">
        <f>Financials!BG47/Financials!BG37</f>
        <v>0.74517895921455635</v>
      </c>
      <c r="BI37" s="38">
        <f>Financials!BH47/Financials!BH37</f>
        <v>0.5732776280482007</v>
      </c>
      <c r="BJ37" s="38">
        <f>Financials!BI47/Financials!BI37</f>
        <v>0.51981599816267476</v>
      </c>
      <c r="BK37" s="38">
        <f>Financials!BJ47/Financials!BJ37</f>
        <v>0.4937082630075364</v>
      </c>
      <c r="BL37" s="38">
        <f>Financials!BK47/Financials!BK37</f>
        <v>0.50096430488743793</v>
      </c>
      <c r="BM37" s="38">
        <f>Financials!BL47/Financials!BL37</f>
        <v>0.46262584651001515</v>
      </c>
      <c r="BN37" s="38">
        <f>Financials!BM47/Financials!BM37</f>
        <v>0.44382628216294412</v>
      </c>
      <c r="BO37" s="38">
        <f>Financials!BN47/Financials!BN37</f>
        <v>0.45166922615446076</v>
      </c>
      <c r="BP37" s="38">
        <f>Financials!BO47/Financials!BO37</f>
        <v>0.42799348989151198</v>
      </c>
      <c r="BQ37" s="38">
        <f>Financials!BP47/Financials!BP37</f>
        <v>0.42746488645732739</v>
      </c>
      <c r="BR37" s="38">
        <f>Financials!BQ47/Financials!BQ37</f>
        <v>0.46334854393479369</v>
      </c>
      <c r="BS37" s="38">
        <f>Financials!BR47/Financials!BR37</f>
        <v>0.45963610681056177</v>
      </c>
      <c r="BT37" s="38">
        <f>Financials!BS47/Financials!BS37</f>
        <v>0.46071327088007824</v>
      </c>
      <c r="BU37" s="38">
        <f>Financials!BT47/Financials!BT37</f>
        <v>0.48365279189777793</v>
      </c>
      <c r="BV37" s="38">
        <f>Financials!BU47/Financials!BU37</f>
        <v>0.72581073617716019</v>
      </c>
      <c r="BW37" s="38">
        <f>Financials!BV47/Financials!BV37</f>
        <v>0.59225407504423355</v>
      </c>
      <c r="BX37" s="38">
        <f>Financials!BW47/Financials!BW37</f>
        <v>0.55011158110624037</v>
      </c>
      <c r="BY37" s="38">
        <f>Financials!BX47/Financials!BX37</f>
        <v>0.53398146557289039</v>
      </c>
      <c r="BZ37" s="38">
        <f>Financials!BY47/Financials!BY37</f>
        <v>0.54035304116261063</v>
      </c>
      <c r="CA37" s="38">
        <f>Financials!BZ47/Financials!BZ37</f>
        <v>0.50826643800348437</v>
      </c>
      <c r="CB37" s="38">
        <f>Financials!CA47/Financials!CA37</f>
        <v>0.48355795660097101</v>
      </c>
      <c r="CC37" s="38">
        <f>Financials!CB47/Financials!CB37</f>
        <v>0.47709455446060822</v>
      </c>
      <c r="CD37" s="38">
        <f>Financials!CC47/Financials!CC37</f>
        <v>0.47200098449740369</v>
      </c>
      <c r="CE37" s="38">
        <f>Financials!CD47/Financials!CD37</f>
        <v>0.46324186139666668</v>
      </c>
      <c r="CF37" s="38">
        <f>Financials!CE47/Financials!CE37</f>
        <v>0.48745825526050235</v>
      </c>
      <c r="CG37" s="38" t="e">
        <f>Financials!CF47/Financials!CF37</f>
        <v>#DIV/0!</v>
      </c>
      <c r="CH37" s="38">
        <f>Financials!CG47/Financials!CG37</f>
        <v>0.37072213664331499</v>
      </c>
      <c r="CI37" s="38">
        <f>Financials!CH47/Financials!CH37</f>
        <v>0.53346625135028791</v>
      </c>
      <c r="CJ37" s="38">
        <f>Financials!CI47/Financials!CI37</f>
        <v>0.43479802516379151</v>
      </c>
      <c r="CK37" s="38">
        <f>Financials!CJ47/Financials!CJ37</f>
        <v>0.44220962918809725</v>
      </c>
      <c r="CL37" s="38">
        <f>Financials!CK47/Financials!CK37</f>
        <v>0.45924732120665546</v>
      </c>
      <c r="CM37" s="38">
        <f>Financials!CL47/Financials!CL37</f>
        <v>0.42179333887567411</v>
      </c>
      <c r="CN37" s="38">
        <f>Financials!CM47/Financials!CM37</f>
        <v>0.4834260706957369</v>
      </c>
    </row>
    <row r="38" spans="1:92" ht="15">
      <c r="A38" s="43"/>
      <c r="B38" s="32" t="s">
        <v>239</v>
      </c>
      <c r="C38" s="2"/>
      <c r="D38" s="34"/>
      <c r="E38" s="34" t="e">
        <f>Financials!D38/('Evolutive SFP'!#REF!+'Evolutive SFP'!#REF!)/2</f>
        <v>#REF!</v>
      </c>
      <c r="F38" s="34"/>
      <c r="G38" s="34"/>
      <c r="H38" s="34" t="e">
        <f>Financials!G38/('Evolutive SFP'!#REF!+'Evolutive SFP'!#REF!)/2</f>
        <v>#REF!</v>
      </c>
      <c r="I38" s="34" t="e">
        <f>Financials!H38/('Evolutive SFP'!#REF!+'Evolutive SFP'!#REF!)/2</f>
        <v>#REF!</v>
      </c>
      <c r="J38" s="34" t="e">
        <f>Financials!I38/('Evolutive SFP'!#REF!+'Evolutive SFP'!#REF!)/2</f>
        <v>#REF!</v>
      </c>
      <c r="K38" s="34" t="e">
        <f>Financials!J38/('Evolutive SFP'!#REF!+'Evolutive SFP'!#REF!)/2</f>
        <v>#REF!</v>
      </c>
      <c r="L38" s="34" t="e">
        <f>Financials!K38/('Evolutive SFP'!#REF!+'Evolutive SFP'!#REF!)/2</f>
        <v>#REF!</v>
      </c>
      <c r="M38" s="34" t="e">
        <f>Financials!L38/('Evolutive SFP'!#REF!+'Evolutive SFP'!#REF!)/2</f>
        <v>#REF!</v>
      </c>
      <c r="N38" s="34" t="e">
        <f>Financials!M38/('Evolutive SFP'!#REF!+'Evolutive SFP'!#REF!)/2</f>
        <v>#REF!</v>
      </c>
      <c r="O38" s="34" t="e">
        <f>Financials!N38/('Evolutive SFP'!#REF!+'Evolutive SFP'!#REF!)/2</f>
        <v>#REF!</v>
      </c>
      <c r="P38" s="34" t="e">
        <f>Financials!O38/('Evolutive SFP'!#REF!+'Evolutive SFP'!#REF!)/2</f>
        <v>#REF!</v>
      </c>
      <c r="Q38" s="34" t="e">
        <f>Financials!P38/('Evolutive SFP'!#REF!+'Evolutive SFP'!#REF!)/2</f>
        <v>#REF!</v>
      </c>
      <c r="R38" s="34" t="e">
        <f>Financials!Q38/('Evolutive SFP'!#REF!+'Evolutive SFP'!#REF!)/2</f>
        <v>#REF!</v>
      </c>
      <c r="S38" s="38" t="e">
        <f>Financials!R38/('Evolutive SFP'!#REF!+'Evolutive SFP'!#REF!)/2</f>
        <v>#REF!</v>
      </c>
      <c r="T38" s="38" t="e">
        <f>Financials!S38/('Evolutive SFP'!#REF!+'Evolutive SFP'!#REF!)/2</f>
        <v>#REF!</v>
      </c>
      <c r="U38" s="38" t="e">
        <f>Financials!T38/('Evolutive SFP'!#REF!+'Evolutive SFP'!#REF!)/2</f>
        <v>#REF!</v>
      </c>
      <c r="V38" s="38" t="e">
        <f>Financials!U38/('Evolutive SFP'!#REF!+'Evolutive SFP'!#REF!)/2</f>
        <v>#REF!</v>
      </c>
      <c r="W38" s="38" t="e">
        <f>Financials!V38/('Evolutive SFP'!#REF!+'Evolutive SFP'!#REF!)/2</f>
        <v>#REF!</v>
      </c>
      <c r="X38" s="38" t="e">
        <f>Financials!W38/('Evolutive SFP'!#REF!+'Evolutive SFP'!#REF!)/2</f>
        <v>#REF!</v>
      </c>
      <c r="Y38" s="38" t="e">
        <f>Financials!X38/('Evolutive SFP'!#REF!+'Evolutive SFP'!#REF!)/2</f>
        <v>#REF!</v>
      </c>
      <c r="Z38" s="38" t="e">
        <f>Financials!Y38/('Evolutive SFP'!#REF!+'Evolutive SFP'!#REF!)/2</f>
        <v>#REF!</v>
      </c>
      <c r="AA38" s="38" t="e">
        <f>Financials!Z38/('Evolutive SFP'!#REF!+'Evolutive SFP'!#REF!)/2</f>
        <v>#REF!</v>
      </c>
      <c r="AB38" s="38" t="e">
        <f>Financials!AA38/('Evolutive SFP'!#REF!+'Evolutive SFP'!#REF!)/2</f>
        <v>#REF!</v>
      </c>
      <c r="AC38" s="38" t="e">
        <f>Financials!AB38/('Evolutive SFP'!#REF!+'Evolutive SFP'!#REF!)/2</f>
        <v>#REF!</v>
      </c>
      <c r="AD38" s="38" t="e">
        <f>Financials!AC38/('Evolutive SFP'!#REF!+'Evolutive SFP'!#REF!)/2</f>
        <v>#REF!</v>
      </c>
      <c r="AE38" s="38" t="e">
        <f>Financials!AD38/('Evolutive SFP'!#REF!+'Evolutive SFP'!#REF!)/2</f>
        <v>#REF!</v>
      </c>
      <c r="AF38" s="38" t="e">
        <f>Financials!AE38/('Evolutive SFP'!#REF!+'Evolutive SFP'!#REF!)/2</f>
        <v>#REF!</v>
      </c>
      <c r="AG38" s="38" t="e">
        <f>Financials!AF38/('Evolutive SFP'!#REF!+'Evolutive SFP'!#REF!)/2</f>
        <v>#REF!</v>
      </c>
      <c r="AH38" s="38" t="e">
        <f>Financials!AG38/('Evolutive SFP'!#REF!+'Evolutive SFP'!#REF!)/2</f>
        <v>#REF!</v>
      </c>
      <c r="AI38" s="38" t="e">
        <f>Financials!AH38/('Evolutive SFP'!#REF!+'Evolutive SFP'!#REF!)/2</f>
        <v>#REF!</v>
      </c>
      <c r="AJ38" s="38" t="e">
        <f>Financials!AI38/('Evolutive SFP'!#REF!+'Evolutive SFP'!#REF!)/2</f>
        <v>#REF!</v>
      </c>
      <c r="AK38" s="38" t="e">
        <f>Financials!AJ38/('Evolutive SFP'!#REF!+'Evolutive SFP'!#REF!)/2</f>
        <v>#REF!</v>
      </c>
      <c r="AL38" s="38" t="e">
        <f>Financials!AK38/('Evolutive SFP'!#REF!+'Evolutive SFP'!#REF!)/2</f>
        <v>#REF!</v>
      </c>
      <c r="AM38" s="38" t="e">
        <f>Financials!AL38/('Evolutive SFP'!#REF!+'Evolutive SFP'!#REF!)/2</f>
        <v>#REF!</v>
      </c>
      <c r="AN38" s="38" t="e">
        <f>Financials!AM38/('Evolutive SFP'!#REF!+'Evolutive SFP'!#REF!)/2</f>
        <v>#REF!</v>
      </c>
      <c r="AO38" s="38" t="e">
        <f>Financials!AN38/('Evolutive SFP'!#REF!+'Evolutive SFP'!#REF!)/2</f>
        <v>#REF!</v>
      </c>
      <c r="AP38" s="38" t="e">
        <f>Financials!AO38/('Evolutive SFP'!#REF!+'Evolutive SFP'!#REF!)/2</f>
        <v>#REF!</v>
      </c>
      <c r="AQ38" s="38" t="e">
        <f>Financials!AP38/('Evolutive SFP'!#REF!+'Evolutive SFP'!#REF!)/2</f>
        <v>#REF!</v>
      </c>
      <c r="AR38" s="38" t="e">
        <f>Financials!AQ38/('Evolutive SFP'!#REF!+'Evolutive SFP'!#REF!)/2</f>
        <v>#REF!</v>
      </c>
      <c r="AS38" s="38" t="e">
        <f>Financials!AR38/('Evolutive SFP'!#REF!+'Evolutive SFP'!#REF!)/2</f>
        <v>#REF!</v>
      </c>
      <c r="AT38" s="38" t="e">
        <f>Financials!AS38/('Evolutive SFP'!AH14+'Evolutive SFP'!#REF!)/2</f>
        <v>#REF!</v>
      </c>
      <c r="AU38" s="38">
        <f>Financials!AT38/('Evolutive SFP'!AI14+'Evolutive SFP'!AH14)/2</f>
        <v>2.4793733716398361E-3</v>
      </c>
      <c r="AV38" s="38">
        <f>Financials!AU38/('Evolutive SFP'!AJ14+'Evolutive SFP'!AI14)/2</f>
        <v>4.5648388739270374E-3</v>
      </c>
      <c r="AW38" s="38">
        <f>Financials!AV38/('Evolutive SFP'!AK14+'Evolutive SFP'!AJ14)/2</f>
        <v>6.5969433232096059E-3</v>
      </c>
      <c r="AX38" s="38">
        <f>Financials!AW38/('Evolutive SFP'!AL14+'Evolutive SFP'!AK14)/2</f>
        <v>8.9148239398276364E-3</v>
      </c>
      <c r="AY38" s="38">
        <f>Financials!AX38/('Evolutive SFP'!AM14+'Evolutive SFP'!AL14)/2</f>
        <v>1.1506164832086465E-2</v>
      </c>
      <c r="AZ38" s="38">
        <f>Financials!AY38/('Evolutive SFP'!AN14+'Evolutive SFP'!AM14)/2</f>
        <v>1.3842693743813278E-2</v>
      </c>
      <c r="BA38" s="38" t="e">
        <f>Financials!AZ38/('Evolutive SFP'!#REF!+'Evolutive SFP'!AN14)/2</f>
        <v>#REF!</v>
      </c>
      <c r="BB38" s="38" t="e">
        <f>Financials!BA38/('Evolutive SFP'!AO14+'Evolutive SFP'!#REF!)/2</f>
        <v>#REF!</v>
      </c>
      <c r="BC38" s="38">
        <f>Financials!BB38/('Evolutive SFP'!AP14+'Evolutive SFP'!AO14)/2</f>
        <v>2.02702466385721E-2</v>
      </c>
      <c r="BD38" s="38">
        <f>Financials!BC38/('Evolutive SFP'!AQ14+'Evolutive SFP'!AP14)/2</f>
        <v>2.3443566616791131E-2</v>
      </c>
      <c r="BE38" s="38">
        <f>Financials!BD38/('Evolutive SFP'!AR14+'Evolutive SFP'!AQ14)/2</f>
        <v>2.7290817851038558E-2</v>
      </c>
      <c r="BF38" s="38">
        <f>Financials!BE38/('Evolutive SFP'!AS14+'Evolutive SFP'!AR14)/2</f>
        <v>2.8989962561697804E-2</v>
      </c>
      <c r="BG38" s="38">
        <f>Financials!BF38/('Evolutive SFP'!AT14+'Evolutive SFP'!AS14)/2</f>
        <v>2.8231192832095745E-2</v>
      </c>
      <c r="BH38" s="38">
        <f>Financials!BG38/('Evolutive SFP'!AU14+'Evolutive SFP'!AT14)/2</f>
        <v>1.3262197529946053E-4</v>
      </c>
      <c r="BI38" s="38">
        <f>Financials!BH38/('Evolutive SFP'!AV14+'Evolutive SFP'!AU14)/2</f>
        <v>2.2673011816145843E-3</v>
      </c>
      <c r="BJ38" s="38">
        <f>Financials!BI38/('Evolutive SFP'!AW14+'Evolutive SFP'!AV14)/2</f>
        <v>7.0344425968589174E-3</v>
      </c>
      <c r="BK38" s="38">
        <f>Financials!BJ38/('Evolutive SFP'!AX14+'Evolutive SFP'!AW14)/2</f>
        <v>1.0215665205685884E-2</v>
      </c>
      <c r="BL38" s="38">
        <f>Financials!BK38/('Evolutive SFP'!AY14+'Evolutive SFP'!AX14)/2</f>
        <v>1.2844939712215644E-2</v>
      </c>
      <c r="BM38" s="38">
        <f>Financials!BL38/('Evolutive SFP'!AZ14+'Evolutive SFP'!AY14)/2</f>
        <v>1.23295115112002E-2</v>
      </c>
      <c r="BN38" s="38">
        <f>Financials!BM38/('Evolutive SFP'!BA14+'Evolutive SFP'!AZ14)/2</f>
        <v>1.643277095196724E-2</v>
      </c>
      <c r="BO38" s="38">
        <f>Financials!BN38/('Evolutive SFP'!BB14+'Evolutive SFP'!BA14)/2</f>
        <v>1.9566796141129602E-2</v>
      </c>
      <c r="BP38" s="38">
        <f>Financials!BO38/('Evolutive SFP'!BC14+'Evolutive SFP'!BB14)/2</f>
        <v>1.9252640682053856E-2</v>
      </c>
      <c r="BQ38" s="38">
        <f>Financials!BP38/('Evolutive SFP'!BD14+'Evolutive SFP'!BC14)/2</f>
        <v>2.4100888297515517E-2</v>
      </c>
      <c r="BR38" s="38">
        <f>Financials!BQ38/('Evolutive SFP'!BE14+'Evolutive SFP'!BD14)/2</f>
        <v>2.8608008926304038E-2</v>
      </c>
      <c r="BS38" s="38">
        <f>Financials!BR38/('Evolutive SFP'!BF14+'Evolutive SFP'!BE14)/2</f>
        <v>3.242447337574722E-2</v>
      </c>
      <c r="BT38" s="38">
        <f>Financials!BS38/('Evolutive SFP'!BG14+'Evolutive SFP'!BF14)/2</f>
        <v>3.3559503238444421E-2</v>
      </c>
      <c r="BU38" s="38">
        <f>Financials!BT38/('Evolutive SFP'!BH14+'Evolutive SFP'!BG14)/2</f>
        <v>2.7182809736141498E-3</v>
      </c>
      <c r="BV38" s="38">
        <f>Financials!BU38/('Evolutive SFP'!BI14+'Evolutive SFP'!BH14)/2</f>
        <v>5.4088064561278494E-3</v>
      </c>
      <c r="BW38" s="38">
        <f>Financials!BV38/('Evolutive SFP'!BJ14+'Evolutive SFP'!BI14)/2</f>
        <v>8.2817557511473804E-3</v>
      </c>
      <c r="BX38" s="38">
        <f>Financials!BW38/('Evolutive SFP'!BK14+'Evolutive SFP'!BJ14)/2</f>
        <v>1.0792012563170908E-2</v>
      </c>
      <c r="BY38" s="38">
        <f>Financials!BX38/('Evolutive SFP'!BL14+'Evolutive SFP'!BK14)/2</f>
        <v>1.3241593770185155E-2</v>
      </c>
      <c r="BZ38" s="38">
        <f>Financials!BY38/('Evolutive SFP'!BM14+'Evolutive SFP'!BL14)/2</f>
        <v>1.5950706058003937E-2</v>
      </c>
      <c r="CA38" s="38">
        <f>Financials!BZ38/('Evolutive SFP'!BN14+'Evolutive SFP'!BM14)/2</f>
        <v>1.8936287008283401E-2</v>
      </c>
      <c r="CB38" s="38">
        <f>Financials!CA38/('Evolutive SFP'!BO14+'Evolutive SFP'!BN14)/2</f>
        <v>2.2065316585219465E-2</v>
      </c>
      <c r="CC38" s="38">
        <f>Financials!CB38/('Evolutive SFP'!BP14+'Evolutive SFP'!BO14)/2</f>
        <v>2.4818971032622629E-2</v>
      </c>
      <c r="CD38" s="38">
        <f>Financials!CC38/('Evolutive SFP'!BQ14+'Evolutive SFP'!BP14)/2</f>
        <v>2.746632496501444E-2</v>
      </c>
      <c r="CE38" s="38">
        <f>Financials!CD38/('Evolutive SFP'!BR14+'Evolutive SFP'!BQ14)/2</f>
        <v>2.9871902367941107E-2</v>
      </c>
      <c r="CF38" s="38">
        <f>Financials!CE38/('Evolutive SFP'!BS14+'Evolutive SFP'!BR14)/2</f>
        <v>3.1699751308978681E-2</v>
      </c>
      <c r="CG38" s="38">
        <f>Financials!CF38/('Evolutive SFP'!BT14+'Evolutive SFP'!BS14)/2</f>
        <v>6.4609710696941949E-2</v>
      </c>
      <c r="CH38" s="38">
        <f>Financials!CG38/('Evolutive SFP'!BU14+'Evolutive SFP'!BT14)/2</f>
        <v>5.2879340562283893E-3</v>
      </c>
      <c r="CI38" s="38">
        <f>Financials!CH38/('Evolutive SFP'!BV14+'Evolutive SFP'!BU14)/2</f>
        <v>5.3648784753745011E-3</v>
      </c>
      <c r="CJ38" s="38">
        <f>Financials!CI38/('Evolutive SFP'!BW14+'Evolutive SFP'!BV14)/2</f>
        <v>7.7987941575182358E-3</v>
      </c>
      <c r="CK38" s="38">
        <f>Financials!CJ38/('Evolutive SFP'!BX14+'Evolutive SFP'!BW14)/2</f>
        <v>1.0948456094640457E-2</v>
      </c>
      <c r="CL38" s="38">
        <f>Financials!CK38/('Evolutive SFP'!BY14+'Evolutive SFP'!BX14)/2</f>
        <v>1.4131412383172762E-2</v>
      </c>
      <c r="CM38" s="38">
        <f>Financials!CL38/('Evolutive SFP'!BZ14+'Evolutive SFP'!BY14)/2</f>
        <v>1.6385637429774919E-2</v>
      </c>
      <c r="CN38" s="38">
        <f>Financials!CM38/('Evolutive SFP'!CA14+'Evolutive SFP'!BZ14)/2</f>
        <v>2.0219682248690328E-2</v>
      </c>
    </row>
    <row r="39" spans="1:92" ht="15">
      <c r="A39" s="43"/>
      <c r="B39" s="32" t="s">
        <v>240</v>
      </c>
      <c r="C39" s="2"/>
      <c r="D39" s="34"/>
      <c r="E39" s="34" t="e">
        <f>Financials!D37/('Evolutive SFP'!#REF!+'Evolutive SFP'!#REF!)/2</f>
        <v>#REF!</v>
      </c>
      <c r="F39" s="34"/>
      <c r="G39" s="34"/>
      <c r="H39" s="34" t="e">
        <f>Financials!G37/('Evolutive SFP'!#REF!+'Evolutive SFP'!#REF!)/2</f>
        <v>#REF!</v>
      </c>
      <c r="I39" s="34" t="e">
        <f>Financials!H37/('Evolutive SFP'!#REF!+'Evolutive SFP'!#REF!)/2</f>
        <v>#REF!</v>
      </c>
      <c r="J39" s="34" t="e">
        <f>Financials!I37/('Evolutive SFP'!#REF!+'Evolutive SFP'!#REF!)/2</f>
        <v>#REF!</v>
      </c>
      <c r="K39" s="34" t="e">
        <f>Financials!J37/('Evolutive SFP'!#REF!+'Evolutive SFP'!#REF!)/2</f>
        <v>#REF!</v>
      </c>
      <c r="L39" s="34" t="e">
        <f>Financials!K37/('Evolutive SFP'!#REF!+'Evolutive SFP'!#REF!)/2</f>
        <v>#REF!</v>
      </c>
      <c r="M39" s="34" t="e">
        <f>Financials!L37/('Evolutive SFP'!#REF!+'Evolutive SFP'!#REF!)/2</f>
        <v>#REF!</v>
      </c>
      <c r="N39" s="34" t="e">
        <f>Financials!M37/('Evolutive SFP'!#REF!+'Evolutive SFP'!#REF!)/2</f>
        <v>#REF!</v>
      </c>
      <c r="O39" s="34" t="e">
        <f>Financials!N37/('Evolutive SFP'!#REF!+'Evolutive SFP'!#REF!)/2</f>
        <v>#REF!</v>
      </c>
      <c r="P39" s="34" t="e">
        <f>Financials!O37/('Evolutive SFP'!#REF!+'Evolutive SFP'!#REF!)/2</f>
        <v>#REF!</v>
      </c>
      <c r="Q39" s="34" t="e">
        <f>Financials!P37/('Evolutive SFP'!#REF!+'Evolutive SFP'!#REF!)/2</f>
        <v>#REF!</v>
      </c>
      <c r="R39" s="34" t="e">
        <f>Financials!Q37/('Evolutive SFP'!#REF!+'Evolutive SFP'!#REF!)/2</f>
        <v>#REF!</v>
      </c>
      <c r="S39" s="38" t="e">
        <f>Financials!R37/('Evolutive SFP'!#REF!+'Evolutive SFP'!#REF!)/2</f>
        <v>#REF!</v>
      </c>
      <c r="T39" s="38" t="e">
        <f>Financials!S37/('Evolutive SFP'!#REF!+'Evolutive SFP'!#REF!)/2</f>
        <v>#REF!</v>
      </c>
      <c r="U39" s="38" t="e">
        <f>Financials!T37/('Evolutive SFP'!#REF!+'Evolutive SFP'!#REF!)/2</f>
        <v>#REF!</v>
      </c>
      <c r="V39" s="38" t="e">
        <f>Financials!U37/('Evolutive SFP'!#REF!+'Evolutive SFP'!#REF!)/2</f>
        <v>#REF!</v>
      </c>
      <c r="W39" s="38" t="e">
        <f>Financials!V37/('Evolutive SFP'!#REF!+'Evolutive SFP'!#REF!)/2</f>
        <v>#REF!</v>
      </c>
      <c r="X39" s="38" t="e">
        <f>Financials!W37/('Evolutive SFP'!#REF!+'Evolutive SFP'!#REF!)/2</f>
        <v>#REF!</v>
      </c>
      <c r="Y39" s="38" t="e">
        <f>Financials!X37/('Evolutive SFP'!#REF!+'Evolutive SFP'!#REF!)/2</f>
        <v>#REF!</v>
      </c>
      <c r="Z39" s="38" t="e">
        <f>Financials!Y37/('Evolutive SFP'!#REF!+'Evolutive SFP'!#REF!)/2</f>
        <v>#REF!</v>
      </c>
      <c r="AA39" s="38" t="e">
        <f>Financials!Z37/('Evolutive SFP'!#REF!+'Evolutive SFP'!#REF!)/2</f>
        <v>#REF!</v>
      </c>
      <c r="AB39" s="38" t="e">
        <f>Financials!AA37/('Evolutive SFP'!#REF!+'Evolutive SFP'!#REF!)/2</f>
        <v>#REF!</v>
      </c>
      <c r="AC39" s="38" t="e">
        <f>Financials!AB37/('Evolutive SFP'!#REF!+'Evolutive SFP'!#REF!)/2</f>
        <v>#REF!</v>
      </c>
      <c r="AD39" s="38" t="e">
        <f>Financials!AC37/('Evolutive SFP'!#REF!+'Evolutive SFP'!#REF!)/2</f>
        <v>#REF!</v>
      </c>
      <c r="AE39" s="38" t="e">
        <f>Financials!AD37/('Evolutive SFP'!#REF!+'Evolutive SFP'!#REF!)/2</f>
        <v>#REF!</v>
      </c>
      <c r="AF39" s="38" t="e">
        <f>Financials!AE37/('Evolutive SFP'!#REF!+'Evolutive SFP'!#REF!)/2</f>
        <v>#REF!</v>
      </c>
      <c r="AG39" s="38" t="e">
        <f>Financials!AF37/('Evolutive SFP'!#REF!+'Evolutive SFP'!#REF!)/2</f>
        <v>#REF!</v>
      </c>
      <c r="AH39" s="38" t="e">
        <f>Financials!AG37/('Evolutive SFP'!#REF!+'Evolutive SFP'!#REF!)/2</f>
        <v>#REF!</v>
      </c>
      <c r="AI39" s="38" t="e">
        <f>Financials!AH37/('Evolutive SFP'!#REF!+'Evolutive SFP'!#REF!)/2</f>
        <v>#REF!</v>
      </c>
      <c r="AJ39" s="38" t="e">
        <f>Financials!AI37/('Evolutive SFP'!#REF!+'Evolutive SFP'!#REF!)/2</f>
        <v>#REF!</v>
      </c>
      <c r="AK39" s="38" t="e">
        <f>Financials!AJ37/('Evolutive SFP'!#REF!+'Evolutive SFP'!#REF!)/2</f>
        <v>#REF!</v>
      </c>
      <c r="AL39" s="38" t="e">
        <f>Financials!AK37/('Evolutive SFP'!#REF!+'Evolutive SFP'!#REF!)/2</f>
        <v>#REF!</v>
      </c>
      <c r="AM39" s="38" t="e">
        <f>Financials!AL37/('Evolutive SFP'!#REF!+'Evolutive SFP'!#REF!)/2</f>
        <v>#REF!</v>
      </c>
      <c r="AN39" s="38" t="e">
        <f>Financials!AM37/('Evolutive SFP'!#REF!+'Evolutive SFP'!#REF!)/2</f>
        <v>#REF!</v>
      </c>
      <c r="AO39" s="38" t="e">
        <f>Financials!AN37/('Evolutive SFP'!#REF!+'Evolutive SFP'!#REF!)/2</f>
        <v>#REF!</v>
      </c>
      <c r="AP39" s="38" t="e">
        <f>Financials!AO37/('Evolutive SFP'!#REF!+'Evolutive SFP'!#REF!)/2</f>
        <v>#REF!</v>
      </c>
      <c r="AQ39" s="38" t="e">
        <f>Financials!AP37/('Evolutive SFP'!#REF!+'Evolutive SFP'!#REF!)/2</f>
        <v>#REF!</v>
      </c>
      <c r="AR39" s="38" t="e">
        <f>Financials!AQ37/('Evolutive SFP'!#REF!+'Evolutive SFP'!#REF!)/2</f>
        <v>#REF!</v>
      </c>
      <c r="AS39" s="38" t="e">
        <f>Financials!AR37/('Evolutive SFP'!#REF!+'Evolutive SFP'!#REF!)/2</f>
        <v>#REF!</v>
      </c>
      <c r="AT39" s="38" t="e">
        <f>Financials!AS37/('Evolutive SFP'!AH15+'Evolutive SFP'!#REF!)/2</f>
        <v>#REF!</v>
      </c>
      <c r="AU39" s="38">
        <f>Financials!AT37/('Evolutive SFP'!AI15+'Evolutive SFP'!AH15)/2</f>
        <v>4.7772762982512453E-3</v>
      </c>
      <c r="AV39" s="38">
        <f>Financials!AU37/('Evolutive SFP'!AJ15+'Evolutive SFP'!AI15)/2</f>
        <v>9.2703989644085071E-3</v>
      </c>
      <c r="AW39" s="38">
        <f>Financials!AV37/('Evolutive SFP'!AK15+'Evolutive SFP'!AJ15)/2</f>
        <v>1.4613032060970076E-2</v>
      </c>
      <c r="AX39" s="38">
        <f>Financials!AW37/('Evolutive SFP'!AL15+'Evolutive SFP'!AK15)/2</f>
        <v>1.8303337609565769E-2</v>
      </c>
      <c r="AY39" s="38">
        <f>Financials!AX37/('Evolutive SFP'!AM15+'Evolutive SFP'!AL15)/2</f>
        <v>2.3802923743916064E-2</v>
      </c>
      <c r="AZ39" s="38">
        <f>Financials!AY37/('Evolutive SFP'!AN15+'Evolutive SFP'!AM15)/2</f>
        <v>2.8826754376607089E-2</v>
      </c>
      <c r="BA39" s="38" t="e">
        <f>Financials!AZ37/('Evolutive SFP'!#REF!+'Evolutive SFP'!AN15)/2</f>
        <v>#REF!</v>
      </c>
      <c r="BB39" s="38" t="e">
        <f>Financials!BA37/('Evolutive SFP'!AO15+'Evolutive SFP'!#REF!)/2</f>
        <v>#REF!</v>
      </c>
      <c r="BC39" s="38">
        <f>Financials!BB37/('Evolutive SFP'!AP15+'Evolutive SFP'!AO15)/2</f>
        <v>4.3554106372219764E-2</v>
      </c>
      <c r="BD39" s="38">
        <f>Financials!BC37/('Evolutive SFP'!AQ15+'Evolutive SFP'!AP15)/2</f>
        <v>4.7677854227098124E-2</v>
      </c>
      <c r="BE39" s="38">
        <f>Financials!BD37/('Evolutive SFP'!AR15+'Evolutive SFP'!AQ15)/2</f>
        <v>5.222266233306979E-2</v>
      </c>
      <c r="BF39" s="38">
        <f>Financials!BE37/('Evolutive SFP'!AS15+'Evolutive SFP'!AR15)/2</f>
        <v>5.6970408181355181E-2</v>
      </c>
      <c r="BG39" s="38">
        <f>Financials!BF37/('Evolutive SFP'!AT15+'Evolutive SFP'!AS15)/2</f>
        <v>6.7166935800551428E-2</v>
      </c>
      <c r="BH39" s="38">
        <f>Financials!BG37/('Evolutive SFP'!AU15+'Evolutive SFP'!AT15)/2</f>
        <v>1.5343637480168587E-3</v>
      </c>
      <c r="BI39" s="38">
        <f>Financials!BH37/('Evolutive SFP'!AV15+'Evolutive SFP'!AU15)/2</f>
        <v>5.9229325487766514E-3</v>
      </c>
      <c r="BJ39" s="38">
        <f>Financials!BI37/('Evolutive SFP'!AW15+'Evolutive SFP'!AV15)/2</f>
        <v>1.2899549412923952E-2</v>
      </c>
      <c r="BK39" s="38">
        <f>Financials!BJ37/('Evolutive SFP'!AX15+'Evolutive SFP'!AW15)/2</f>
        <v>1.8525340016722552E-2</v>
      </c>
      <c r="BL39" s="38">
        <f>Financials!BK37/('Evolutive SFP'!AY15+'Evolutive SFP'!AX15)/2</f>
        <v>2.3545521061354612E-2</v>
      </c>
      <c r="BM39" s="38">
        <f>Financials!BL37/('Evolutive SFP'!AZ15+'Evolutive SFP'!AY15)/2</f>
        <v>2.5417857858032956E-2</v>
      </c>
      <c r="BN39" s="38">
        <f>Financials!BM37/('Evolutive SFP'!BA15+'Evolutive SFP'!AZ15)/2</f>
        <v>3.1564377894316938E-2</v>
      </c>
      <c r="BO39" s="38">
        <f>Financials!BN37/('Evolutive SFP'!BB15+'Evolutive SFP'!BA15)/2</f>
        <v>3.7309675655714102E-2</v>
      </c>
      <c r="BP39" s="38">
        <f>Financials!BO37/('Evolutive SFP'!BC15+'Evolutive SFP'!BB15)/2</f>
        <v>3.9077535507019291E-2</v>
      </c>
      <c r="BQ39" s="38">
        <f>Financials!BP37/('Evolutive SFP'!BD15+'Evolutive SFP'!BC15)/2</f>
        <v>4.6310651811331933E-2</v>
      </c>
      <c r="BR39" s="38">
        <f>Financials!BQ37/('Evolutive SFP'!BE15+'Evolutive SFP'!BD15)/2</f>
        <v>5.4161002320674674E-2</v>
      </c>
      <c r="BS39" s="38">
        <f>Financials!BR37/('Evolutive SFP'!BF15+'Evolutive SFP'!BE15)/2</f>
        <v>6.0781903434012331E-2</v>
      </c>
      <c r="BT39" s="38">
        <f>Financials!BS37/('Evolutive SFP'!BG15+'Evolutive SFP'!BF15)/2</f>
        <v>7.6971553769255324E-2</v>
      </c>
      <c r="BU39" s="38">
        <f>Financials!BT37/('Evolutive SFP'!BH15+'Evolutive SFP'!BG15)/2</f>
        <v>4.9688502395807063E-3</v>
      </c>
      <c r="BV39" s="38">
        <f>Financials!BU37/('Evolutive SFP'!BI15+'Evolutive SFP'!BH15)/2</f>
        <v>9.948642816082964E-3</v>
      </c>
      <c r="BW39" s="38">
        <f>Financials!BV37/('Evolutive SFP'!BJ15+'Evolutive SFP'!BI15)/2</f>
        <v>1.546028612311437E-2</v>
      </c>
      <c r="BX39" s="38">
        <f>Financials!BW37/('Evolutive SFP'!BK15+'Evolutive SFP'!BJ15)/2</f>
        <v>2.073678491385491E-2</v>
      </c>
      <c r="BY39" s="38">
        <f>Financials!BX37/('Evolutive SFP'!BL15+'Evolutive SFP'!BK15)/2</f>
        <v>2.5233296959757855E-2</v>
      </c>
      <c r="BZ39" s="38">
        <f>Financials!BY37/('Evolutive SFP'!BM15+'Evolutive SFP'!BL15)/2</f>
        <v>3.0300212848009999E-2</v>
      </c>
      <c r="CA39" s="38">
        <f>Financials!BZ37/('Evolutive SFP'!BN15+'Evolutive SFP'!BM15)/2</f>
        <v>3.5842765381210125E-2</v>
      </c>
      <c r="CB39" s="38">
        <f>Financials!CA37/('Evolutive SFP'!BO15+'Evolutive SFP'!BN15)/2</f>
        <v>4.1523124590226244E-2</v>
      </c>
      <c r="CC39" s="38">
        <f>Financials!CB37/('Evolutive SFP'!BP15+'Evolutive SFP'!BO15)/2</f>
        <v>4.7350558298691933E-2</v>
      </c>
      <c r="CD39" s="38">
        <f>Financials!CC37/('Evolutive SFP'!BQ15+'Evolutive SFP'!BP15)/2</f>
        <v>5.1409750290263588E-2</v>
      </c>
      <c r="CE39" s="38">
        <f>Financials!CD37/('Evolutive SFP'!BR15+'Evolutive SFP'!BQ15)/2</f>
        <v>5.6704716009173393E-2</v>
      </c>
      <c r="CF39" s="38">
        <f>Financials!CE37/('Evolutive SFP'!BS15+'Evolutive SFP'!BR15)/2</f>
        <v>6.0723431108625617E-2</v>
      </c>
      <c r="CG39" s="38" t="e">
        <f>Financials!CF37/('Evolutive SFP'!BT15+'Evolutive SFP'!BS15)/2</f>
        <v>#DIV/0!</v>
      </c>
      <c r="CH39" s="38">
        <f>Financials!CG37/('Evolutive SFP'!BU15+'Evolutive SFP'!BT15)/2</f>
        <v>9.6215947375463962E-3</v>
      </c>
      <c r="CI39" s="38">
        <f>Financials!CH37/('Evolutive SFP'!BV15+'Evolutive SFP'!BU15)/2</f>
        <v>9.1216405659272776E-3</v>
      </c>
      <c r="CJ39" s="38">
        <f>Financials!CI37/('Evolutive SFP'!BW15+'Evolutive SFP'!BV15)/2</f>
        <v>1.5069543201058227E-2</v>
      </c>
      <c r="CK39" s="38">
        <f>Financials!CJ37/('Evolutive SFP'!BX15+'Evolutive SFP'!BW15)/2</f>
        <v>1.9757805081026023E-2</v>
      </c>
      <c r="CL39" s="38">
        <f>Financials!CK37/('Evolutive SFP'!BY15+'Evolutive SFP'!BX15)/2</f>
        <v>2.6720410611940904E-2</v>
      </c>
      <c r="CM39" s="38">
        <f>Financials!CL37/('Evolutive SFP'!BZ15+'Evolutive SFP'!BY15)/2</f>
        <v>3.0897812075616583E-2</v>
      </c>
      <c r="CN39" s="38">
        <f>Financials!CM37/('Evolutive SFP'!CA15+'Evolutive SFP'!BZ15)/2</f>
        <v>4.5369899710356598E-2</v>
      </c>
    </row>
    <row r="40" spans="1:92" ht="15">
      <c r="A40" s="4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</row>
    <row r="41" spans="1:92" ht="15">
      <c r="A41" s="45" t="s">
        <v>241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  <c r="CH41" s="47"/>
      <c r="CI41" s="47"/>
      <c r="CJ41" s="47"/>
      <c r="CK41" s="47"/>
      <c r="CL41" s="47"/>
      <c r="CM41" s="47"/>
      <c r="CN41" s="47"/>
    </row>
    <row r="42" spans="1:92" ht="15"/>
  </sheetData>
  <mergeCells count="8">
    <mergeCell ref="A24:A32"/>
    <mergeCell ref="A21:A23"/>
    <mergeCell ref="A16:A20"/>
    <mergeCell ref="A1:B1"/>
    <mergeCell ref="A3:A6"/>
    <mergeCell ref="A7:A8"/>
    <mergeCell ref="A9:A11"/>
    <mergeCell ref="A12:A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O62"/>
  <sheetViews>
    <sheetView zoomScale="79" zoomScaleNormal="79" workbookViewId="0">
      <pane xSplit="2" ySplit="2" topLeftCell="CJ3" activePane="bottomRight" state="frozen"/>
      <selection pane="bottomRight" activeCell="CN4" sqref="CN4:CO47"/>
      <selection pane="bottomLeft" activeCell="A3" sqref="A3"/>
      <selection pane="topRight" activeCell="C1" sqref="C1"/>
    </sheetView>
  </sheetViews>
  <sheetFormatPr defaultRowHeight="15" customHeight="1"/>
  <cols>
    <col min="1" max="1" width="5.5703125" bestFit="1" customWidth="1"/>
    <col min="2" max="2" width="37.5703125" bestFit="1" customWidth="1"/>
    <col min="3" max="25" width="16.85546875" hidden="1" customWidth="1"/>
    <col min="26" max="26" width="15.28515625" hidden="1" customWidth="1"/>
    <col min="27" max="32" width="16.85546875" hidden="1" customWidth="1"/>
    <col min="33" max="44" width="15" hidden="1" customWidth="1"/>
    <col min="45" max="45" width="14.7109375" customWidth="1"/>
    <col min="46" max="57" width="15" hidden="1" customWidth="1"/>
    <col min="58" max="58" width="15" bestFit="1" customWidth="1"/>
    <col min="59" max="70" width="11.85546875" hidden="1" customWidth="1"/>
    <col min="71" max="71" width="12.7109375" bestFit="1" customWidth="1"/>
    <col min="72" max="83" width="12.7109375" customWidth="1"/>
    <col min="84" max="84" width="13.42578125" customWidth="1"/>
    <col min="85" max="87" width="11.85546875" bestFit="1" customWidth="1"/>
    <col min="88" max="88" width="14.5703125" customWidth="1"/>
    <col min="89" max="91" width="11.85546875" bestFit="1" customWidth="1"/>
    <col min="92" max="92" width="13" customWidth="1"/>
    <col min="93" max="93" width="15.28515625" customWidth="1"/>
  </cols>
  <sheetData>
    <row r="1" spans="1:93">
      <c r="A1" s="16"/>
      <c r="B1" s="48" t="s">
        <v>242</v>
      </c>
    </row>
    <row r="2" spans="1:93">
      <c r="A2" s="16"/>
      <c r="B2" s="17" t="s">
        <v>243</v>
      </c>
      <c r="C2" s="49" t="s">
        <v>187</v>
      </c>
      <c r="D2" s="50" t="s">
        <v>188</v>
      </c>
      <c r="E2" s="49" t="s">
        <v>189</v>
      </c>
      <c r="F2" s="49" t="s">
        <v>190</v>
      </c>
      <c r="G2" s="51">
        <v>42736</v>
      </c>
      <c r="H2" s="51">
        <v>42767</v>
      </c>
      <c r="I2" s="51">
        <v>42795</v>
      </c>
      <c r="J2" s="51">
        <v>42826</v>
      </c>
      <c r="K2" s="51">
        <v>42856</v>
      </c>
      <c r="L2" s="51">
        <v>42887</v>
      </c>
      <c r="M2" s="51">
        <v>42917</v>
      </c>
      <c r="N2" s="51">
        <v>42948</v>
      </c>
      <c r="O2" s="51">
        <v>42979</v>
      </c>
      <c r="P2" s="51">
        <v>43009</v>
      </c>
      <c r="Q2" s="51">
        <v>43040</v>
      </c>
      <c r="R2" s="51">
        <v>43070</v>
      </c>
      <c r="S2" s="51" t="s">
        <v>65</v>
      </c>
      <c r="T2" s="51">
        <v>43101</v>
      </c>
      <c r="U2" s="51">
        <v>43132</v>
      </c>
      <c r="V2" s="51">
        <v>43160</v>
      </c>
      <c r="W2" s="51">
        <v>43191</v>
      </c>
      <c r="X2" s="51">
        <v>43221</v>
      </c>
      <c r="Y2" s="51">
        <v>43252</v>
      </c>
      <c r="Z2" s="51">
        <v>43282</v>
      </c>
      <c r="AA2" s="51">
        <v>43313</v>
      </c>
      <c r="AB2" s="51">
        <v>43344</v>
      </c>
      <c r="AC2" s="51">
        <v>43374</v>
      </c>
      <c r="AD2" s="51">
        <v>43405</v>
      </c>
      <c r="AE2" s="51">
        <v>43435</v>
      </c>
      <c r="AF2" s="51" t="s">
        <v>182</v>
      </c>
      <c r="AG2" s="51">
        <v>43466</v>
      </c>
      <c r="AH2" s="51">
        <v>43497</v>
      </c>
      <c r="AI2" s="51">
        <v>43525</v>
      </c>
      <c r="AJ2" s="51">
        <v>43556</v>
      </c>
      <c r="AK2" s="51">
        <v>43586</v>
      </c>
      <c r="AL2" s="51">
        <v>43617</v>
      </c>
      <c r="AM2" s="51">
        <v>43647</v>
      </c>
      <c r="AN2" s="51">
        <v>43678</v>
      </c>
      <c r="AO2" s="51">
        <v>43709</v>
      </c>
      <c r="AP2" s="51">
        <v>43739</v>
      </c>
      <c r="AQ2" s="51">
        <v>43770</v>
      </c>
      <c r="AR2" s="51">
        <v>43800</v>
      </c>
      <c r="AS2" s="51" t="s">
        <v>66</v>
      </c>
      <c r="AT2" s="51">
        <v>43831</v>
      </c>
      <c r="AU2" s="51">
        <v>43862</v>
      </c>
      <c r="AV2" s="51">
        <v>43891</v>
      </c>
      <c r="AW2" s="51">
        <v>43922</v>
      </c>
      <c r="AX2" s="51">
        <v>43952</v>
      </c>
      <c r="AY2" s="51">
        <v>43983</v>
      </c>
      <c r="AZ2" s="51">
        <v>44013</v>
      </c>
      <c r="BA2" s="51">
        <v>44044</v>
      </c>
      <c r="BB2" s="51">
        <v>44075</v>
      </c>
      <c r="BC2" s="51">
        <v>44105</v>
      </c>
      <c r="BD2" s="51">
        <v>44136</v>
      </c>
      <c r="BE2" s="51">
        <v>44166</v>
      </c>
      <c r="BF2" s="51" t="s">
        <v>9</v>
      </c>
      <c r="BG2" s="51">
        <v>44197</v>
      </c>
      <c r="BH2" s="51">
        <v>44228</v>
      </c>
      <c r="BI2" s="51">
        <v>44256</v>
      </c>
      <c r="BJ2" s="51">
        <v>44287</v>
      </c>
      <c r="BK2" s="51">
        <v>44317</v>
      </c>
      <c r="BL2" s="51">
        <v>44348</v>
      </c>
      <c r="BM2" s="51">
        <v>44378</v>
      </c>
      <c r="BN2" s="51">
        <v>44409</v>
      </c>
      <c r="BO2" s="51">
        <v>44440</v>
      </c>
      <c r="BP2" s="51">
        <v>44470</v>
      </c>
      <c r="BQ2" s="51">
        <v>44501</v>
      </c>
      <c r="BR2" s="51">
        <v>44531</v>
      </c>
      <c r="BS2" s="51" t="s">
        <v>10</v>
      </c>
      <c r="BT2" s="376"/>
      <c r="BU2" s="376"/>
      <c r="BV2" s="376"/>
      <c r="BW2" s="376"/>
      <c r="BX2" s="376"/>
      <c r="BY2" s="376"/>
      <c r="BZ2" s="376"/>
      <c r="CA2" s="376"/>
      <c r="CB2" s="376"/>
      <c r="CC2" s="376"/>
      <c r="CD2" s="376"/>
      <c r="CE2" s="376"/>
      <c r="CF2" s="376" t="s">
        <v>11</v>
      </c>
      <c r="CG2" s="371">
        <v>44927</v>
      </c>
      <c r="CH2" s="371">
        <v>44958</v>
      </c>
      <c r="CI2" s="371">
        <v>44986</v>
      </c>
      <c r="CJ2" s="371">
        <v>45017</v>
      </c>
      <c r="CK2" s="371">
        <v>45047</v>
      </c>
      <c r="CL2" s="371">
        <v>45078</v>
      </c>
      <c r="CM2" s="371">
        <v>45108</v>
      </c>
      <c r="CN2" s="371">
        <v>45139</v>
      </c>
      <c r="CO2" s="371">
        <v>45170</v>
      </c>
    </row>
    <row r="3" spans="1:93">
      <c r="A3" s="18">
        <v>1</v>
      </c>
      <c r="B3" s="18" t="s">
        <v>231</v>
      </c>
      <c r="C3" s="2"/>
      <c r="D3" s="55">
        <v>39898</v>
      </c>
      <c r="E3" s="55">
        <v>55854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93">
      <c r="A4" s="18">
        <v>2</v>
      </c>
      <c r="B4" s="18" t="s">
        <v>35</v>
      </c>
      <c r="C4" s="52" t="e">
        <f>'Evolutive SFP'!#REF!</f>
        <v>#REF!</v>
      </c>
      <c r="D4" s="52" t="e">
        <f>'Evolutive SFP'!#REF!</f>
        <v>#REF!</v>
      </c>
      <c r="E4" s="52" t="e">
        <f>'Evolutive SFP'!#REF!</f>
        <v>#REF!</v>
      </c>
      <c r="F4" s="52" t="e">
        <f>'Evolutive SFP'!#REF!</f>
        <v>#REF!</v>
      </c>
      <c r="G4" s="52" t="e">
        <f>'Evolutive SFP'!#REF!</f>
        <v>#REF!</v>
      </c>
      <c r="H4" s="52" t="e">
        <f>'Evolutive SFP'!#REF!</f>
        <v>#REF!</v>
      </c>
      <c r="I4" s="52" t="e">
        <f>'Evolutive SFP'!#REF!</f>
        <v>#REF!</v>
      </c>
      <c r="J4" s="52" t="e">
        <f>'Evolutive SFP'!#REF!</f>
        <v>#REF!</v>
      </c>
      <c r="K4" s="52" t="e">
        <f>'Evolutive SFP'!#REF!</f>
        <v>#REF!</v>
      </c>
      <c r="L4" s="52" t="e">
        <f>'Evolutive SFP'!#REF!</f>
        <v>#REF!</v>
      </c>
      <c r="M4" s="52" t="e">
        <f>'Evolutive SFP'!#REF!</f>
        <v>#REF!</v>
      </c>
      <c r="N4" s="52" t="e">
        <f>'Evolutive SFP'!#REF!</f>
        <v>#REF!</v>
      </c>
      <c r="O4" s="52" t="e">
        <f>'Evolutive SFP'!#REF!</f>
        <v>#REF!</v>
      </c>
      <c r="P4" s="52" t="e">
        <f>'Evolutive SFP'!#REF!</f>
        <v>#REF!</v>
      </c>
      <c r="Q4" s="52" t="e">
        <f>'Evolutive SFP'!#REF!</f>
        <v>#REF!</v>
      </c>
      <c r="R4" s="52" t="e">
        <f>'Evolutive SFP'!#REF!</f>
        <v>#REF!</v>
      </c>
      <c r="S4" s="52" t="e">
        <f>'Evolutive SFP'!#REF!</f>
        <v>#REF!</v>
      </c>
      <c r="T4" s="52" t="e">
        <f>'Evolutive SFP'!#REF!</f>
        <v>#REF!</v>
      </c>
      <c r="U4" s="52" t="e">
        <f>'Evolutive SFP'!#REF!</f>
        <v>#REF!</v>
      </c>
      <c r="V4" s="52" t="e">
        <f>'Evolutive SFP'!#REF!</f>
        <v>#REF!</v>
      </c>
      <c r="W4" s="52" t="e">
        <f>'Evolutive SFP'!#REF!</f>
        <v>#REF!</v>
      </c>
      <c r="X4" s="52" t="e">
        <f>'Evolutive SFP'!#REF!</f>
        <v>#REF!</v>
      </c>
      <c r="Y4" s="52" t="e">
        <f>'Evolutive SFP'!#REF!</f>
        <v>#REF!</v>
      </c>
      <c r="Z4" s="52" t="e">
        <f>'Evolutive SFP'!#REF!</f>
        <v>#REF!</v>
      </c>
      <c r="AA4" s="52" t="e">
        <f>'Evolutive SFP'!#REF!</f>
        <v>#REF!</v>
      </c>
      <c r="AB4" s="52" t="e">
        <f>'Evolutive SFP'!#REF!</f>
        <v>#REF!</v>
      </c>
      <c r="AC4" s="52" t="e">
        <f>'Evolutive SFP'!#REF!</f>
        <v>#REF!</v>
      </c>
      <c r="AD4" s="52" t="e">
        <f>'Evolutive SFP'!#REF!</f>
        <v>#REF!</v>
      </c>
      <c r="AE4" s="52" t="e">
        <f>'Evolutive SFP'!#REF!</f>
        <v>#REF!</v>
      </c>
      <c r="AF4" s="52" t="e">
        <f>'Evolutive SFP'!#REF!</f>
        <v>#REF!</v>
      </c>
      <c r="AG4" s="52" t="e">
        <f>'Evolutive SFP'!#REF!</f>
        <v>#REF!</v>
      </c>
      <c r="AH4" s="52" t="e">
        <f>'Evolutive SFP'!#REF!</f>
        <v>#REF!</v>
      </c>
      <c r="AI4" s="52" t="e">
        <f>'Evolutive SFP'!#REF!</f>
        <v>#REF!</v>
      </c>
      <c r="AJ4" s="52" t="e">
        <f>'Evolutive SFP'!#REF!</f>
        <v>#REF!</v>
      </c>
      <c r="AK4" s="52" t="e">
        <f>'Evolutive SFP'!#REF!</f>
        <v>#REF!</v>
      </c>
      <c r="AL4" s="52" t="e">
        <f>'Evolutive SFP'!#REF!</f>
        <v>#REF!</v>
      </c>
      <c r="AM4" s="52" t="e">
        <f>'Evolutive SFP'!#REF!</f>
        <v>#REF!</v>
      </c>
      <c r="AN4" s="52" t="e">
        <f>'Evolutive SFP'!#REF!</f>
        <v>#REF!</v>
      </c>
      <c r="AO4" s="52" t="e">
        <f>'Evolutive SFP'!#REF!</f>
        <v>#REF!</v>
      </c>
      <c r="AP4" s="52" t="e">
        <f>'Evolutive SFP'!#REF!</f>
        <v>#REF!</v>
      </c>
      <c r="AQ4" s="52" t="e">
        <f>'Evolutive SFP'!#REF!</f>
        <v>#REF!</v>
      </c>
      <c r="AR4" s="52" t="e">
        <f>'Evolutive SFP'!#REF!</f>
        <v>#REF!</v>
      </c>
      <c r="AS4" s="52">
        <f>'Evolutive SFP'!AH27</f>
        <v>71219457</v>
      </c>
      <c r="AT4" s="52">
        <f>'Evolutive SFP'!AI27</f>
        <v>77208114.909999996</v>
      </c>
      <c r="AU4" s="52">
        <f>'Evolutive SFP'!AJ27</f>
        <v>79130340.849999994</v>
      </c>
      <c r="AV4" s="52">
        <f>'Evolutive SFP'!AK27</f>
        <v>76463792.239999995</v>
      </c>
      <c r="AW4" s="52">
        <f>'Evolutive SFP'!AL27</f>
        <v>76591042.979999989</v>
      </c>
      <c r="AX4" s="52">
        <f>'Evolutive SFP'!AM27</f>
        <v>78736314.5</v>
      </c>
      <c r="AY4" s="52">
        <f>'Evolutive SFP'!AN27</f>
        <v>78045413.070000008</v>
      </c>
      <c r="AZ4" s="52" t="e">
        <f>'Evolutive SFP'!#REF!</f>
        <v>#REF!</v>
      </c>
      <c r="BA4" s="52">
        <f>'Evolutive SFP'!AO27</f>
        <v>79964667.570000008</v>
      </c>
      <c r="BB4" s="52">
        <f>'Evolutive SFP'!AP27</f>
        <v>79652385</v>
      </c>
      <c r="BC4" s="52">
        <f>'Evolutive SFP'!AQ27</f>
        <v>76942975.109999999</v>
      </c>
      <c r="BD4" s="52">
        <f>'Evolutive SFP'!AR27</f>
        <v>79457488.969999999</v>
      </c>
      <c r="BE4" s="52">
        <f>'Evolutive SFP'!AS27</f>
        <v>74364820.620000005</v>
      </c>
      <c r="BF4" s="52">
        <f>'Evolutive SFP'!AT27</f>
        <v>74350533</v>
      </c>
      <c r="BG4" s="52">
        <f>'Evolutive SFP'!AU27</f>
        <v>73634271.829999998</v>
      </c>
      <c r="BH4" s="52">
        <f>'Evolutive SFP'!AV27</f>
        <v>73804395.479999989</v>
      </c>
      <c r="BI4" s="52">
        <f>'Evolutive SFP'!AW27</f>
        <v>75375925.719999999</v>
      </c>
      <c r="BJ4" s="52">
        <f>'Evolutive SFP'!AX27</f>
        <v>74101139.25999999</v>
      </c>
      <c r="BK4" s="52">
        <f>'Evolutive SFP'!AY27</f>
        <v>74628148.370000005</v>
      </c>
      <c r="BL4" s="52">
        <f>'Evolutive SFP'!AZ27</f>
        <v>72987036.230000004</v>
      </c>
      <c r="BM4" s="52">
        <f>'Evolutive SFP'!BA27</f>
        <v>78386921.900000006</v>
      </c>
      <c r="BN4" s="52">
        <f>'Evolutive SFP'!BB27</f>
        <v>78748356.669999987</v>
      </c>
      <c r="BO4" s="52">
        <f>'Evolutive SFP'!BC27</f>
        <v>74624145.030000001</v>
      </c>
      <c r="BP4" s="52">
        <f>'Evolutive SFP'!BD27</f>
        <v>77008169.920000002</v>
      </c>
      <c r="BQ4" s="52">
        <f>'Evolutive SFP'!BE27</f>
        <v>79970336.510000005</v>
      </c>
      <c r="BR4" s="52">
        <f>'Evolutive SFP'!BF27</f>
        <v>76683675.450000003</v>
      </c>
      <c r="BS4" s="52">
        <f>'Evolutive SFP'!BG27</f>
        <v>76904601</v>
      </c>
      <c r="BT4" s="52">
        <f>'Evolutive SFP'!BH27</f>
        <v>76433076.770000011</v>
      </c>
      <c r="BU4" s="52">
        <f>'Evolutive SFP'!BI27</f>
        <v>77262521.729999989</v>
      </c>
      <c r="BV4" s="52">
        <f>'Evolutive SFP'!BJ27</f>
        <v>77399613.159999996</v>
      </c>
      <c r="BW4" s="52">
        <f>'Evolutive SFP'!BK27</f>
        <v>74792461.710000008</v>
      </c>
      <c r="BX4" s="52">
        <f>'Evolutive SFP'!BL27</f>
        <v>75443727.379999995</v>
      </c>
      <c r="BY4" s="52">
        <f>'Evolutive SFP'!BM27</f>
        <v>77916761.799999997</v>
      </c>
      <c r="BZ4" s="52">
        <f>'Evolutive SFP'!BN27</f>
        <v>76612115.140000001</v>
      </c>
      <c r="CA4" s="52">
        <f>'Evolutive SFP'!BO27</f>
        <v>77628530.449999988</v>
      </c>
      <c r="CB4" s="52">
        <f>'Evolutive SFP'!BP27</f>
        <v>77656530.319999993</v>
      </c>
      <c r="CC4" s="52">
        <f>'Evolutive SFP'!BQ27</f>
        <v>79382015.230000004</v>
      </c>
      <c r="CD4" s="52">
        <f>'Evolutive SFP'!BR27</f>
        <v>80466079.290000007</v>
      </c>
      <c r="CE4" s="52">
        <f>'Evolutive SFP'!BS27</f>
        <v>77690994.829999998</v>
      </c>
      <c r="CF4" s="52">
        <f>'Evolutive SFP'!BT27</f>
        <v>0</v>
      </c>
      <c r="CG4" s="52">
        <f>'Evolutive SFP'!BU27</f>
        <v>78529886.350000009</v>
      </c>
      <c r="CH4" s="52">
        <f>'Evolutive SFP'!BV27</f>
        <v>79027585.950000003</v>
      </c>
      <c r="CI4" s="52">
        <f>'Evolutive SFP'!BW27</f>
        <v>80554043.549999997</v>
      </c>
      <c r="CJ4" s="52">
        <f>'Evolutive SFP'!BX27</f>
        <v>76536432.549999997</v>
      </c>
      <c r="CK4" s="52">
        <f>'Evolutive SFP'!BY27</f>
        <v>76834239.859999999</v>
      </c>
      <c r="CL4" s="52">
        <f>'Evolutive SFP'!BZ27</f>
        <v>78298862.549999997</v>
      </c>
      <c r="CM4" s="52">
        <f>'Evolutive SFP'!CA27</f>
        <v>78081488.299999997</v>
      </c>
      <c r="CN4" s="52">
        <f>'Evolutive SFP'!CB27</f>
        <v>78950520.480000004</v>
      </c>
      <c r="CO4" s="52">
        <f>'Evolutive SFP'!CC27</f>
        <v>77940185.790000007</v>
      </c>
    </row>
    <row r="5" spans="1:93">
      <c r="A5" s="18">
        <v>3</v>
      </c>
      <c r="B5" s="18" t="s">
        <v>147</v>
      </c>
      <c r="C5" s="52" t="e">
        <f>'Evolutive SFP'!#REF!</f>
        <v>#REF!</v>
      </c>
      <c r="D5" s="52" t="e">
        <f>'Evolutive SFP'!#REF!</f>
        <v>#REF!</v>
      </c>
      <c r="E5" s="52" t="e">
        <f>'Evolutive SFP'!#REF!</f>
        <v>#REF!</v>
      </c>
      <c r="F5" s="52" t="e">
        <f>'Evolutive SFP'!#REF!</f>
        <v>#REF!</v>
      </c>
      <c r="G5" s="52" t="e">
        <f>'Evolutive SFP'!#REF!</f>
        <v>#REF!</v>
      </c>
      <c r="H5" s="52" t="e">
        <f>'Evolutive SFP'!#REF!</f>
        <v>#REF!</v>
      </c>
      <c r="I5" s="52" t="e">
        <f>'Evolutive SFP'!#REF!</f>
        <v>#REF!</v>
      </c>
      <c r="J5" s="52" t="e">
        <f>'Evolutive SFP'!#REF!</f>
        <v>#REF!</v>
      </c>
      <c r="K5" s="52" t="e">
        <f>'Evolutive SFP'!#REF!</f>
        <v>#REF!</v>
      </c>
      <c r="L5" s="52" t="e">
        <f>'Evolutive SFP'!#REF!</f>
        <v>#REF!</v>
      </c>
      <c r="M5" s="52" t="e">
        <f>'Evolutive SFP'!#REF!</f>
        <v>#REF!</v>
      </c>
      <c r="N5" s="52" t="e">
        <f>'Evolutive SFP'!#REF!</f>
        <v>#REF!</v>
      </c>
      <c r="O5" s="52" t="e">
        <f>'Evolutive SFP'!#REF!</f>
        <v>#REF!</v>
      </c>
      <c r="P5" s="52" t="e">
        <f>'Evolutive SFP'!#REF!</f>
        <v>#REF!</v>
      </c>
      <c r="Q5" s="52" t="e">
        <f>'Evolutive SFP'!#REF!</f>
        <v>#REF!</v>
      </c>
      <c r="R5" s="52" t="e">
        <f>'Evolutive SFP'!#REF!</f>
        <v>#REF!</v>
      </c>
      <c r="S5" s="52" t="e">
        <f>'Evolutive SFP'!#REF!</f>
        <v>#REF!</v>
      </c>
      <c r="T5" s="52" t="e">
        <f>'Evolutive SFP'!#REF!</f>
        <v>#REF!</v>
      </c>
      <c r="U5" s="52" t="e">
        <f>'Evolutive SFP'!#REF!</f>
        <v>#REF!</v>
      </c>
      <c r="V5" s="52" t="e">
        <f>'Evolutive SFP'!#REF!</f>
        <v>#REF!</v>
      </c>
      <c r="W5" s="52" t="e">
        <f>'Evolutive SFP'!#REF!</f>
        <v>#REF!</v>
      </c>
      <c r="X5" s="52" t="e">
        <f>'Evolutive SFP'!#REF!</f>
        <v>#REF!</v>
      </c>
      <c r="Y5" s="52" t="e">
        <f>'Evolutive SFP'!#REF!</f>
        <v>#REF!</v>
      </c>
      <c r="Z5" s="52" t="e">
        <f>'Evolutive SFP'!#REF!</f>
        <v>#REF!</v>
      </c>
      <c r="AA5" s="52" t="e">
        <f>'Evolutive SFP'!#REF!</f>
        <v>#REF!</v>
      </c>
      <c r="AB5" s="52" t="e">
        <f>'Evolutive SFP'!#REF!</f>
        <v>#REF!</v>
      </c>
      <c r="AC5" s="52" t="e">
        <f>'Evolutive SFP'!#REF!</f>
        <v>#REF!</v>
      </c>
      <c r="AD5" s="52" t="e">
        <f>'Evolutive SFP'!#REF!</f>
        <v>#REF!</v>
      </c>
      <c r="AE5" s="52" t="e">
        <f>'Evolutive SFP'!#REF!</f>
        <v>#REF!</v>
      </c>
      <c r="AF5" s="52" t="e">
        <f>'Evolutive SFP'!#REF!</f>
        <v>#REF!</v>
      </c>
      <c r="AG5" s="52" t="e">
        <f>'Evolutive SFP'!#REF!</f>
        <v>#REF!</v>
      </c>
      <c r="AH5" s="52" t="e">
        <f>'Evolutive SFP'!#REF!</f>
        <v>#REF!</v>
      </c>
      <c r="AI5" s="52" t="e">
        <f>'Evolutive SFP'!#REF!</f>
        <v>#REF!</v>
      </c>
      <c r="AJ5" s="52" t="e">
        <f>'Evolutive SFP'!#REF!</f>
        <v>#REF!</v>
      </c>
      <c r="AK5" s="52" t="e">
        <f>'Evolutive SFP'!#REF!</f>
        <v>#REF!</v>
      </c>
      <c r="AL5" s="52" t="e">
        <f>'Evolutive SFP'!#REF!</f>
        <v>#REF!</v>
      </c>
      <c r="AM5" s="52" t="e">
        <f>'Evolutive SFP'!#REF!</f>
        <v>#REF!</v>
      </c>
      <c r="AN5" s="52" t="e">
        <f>'Evolutive SFP'!#REF!</f>
        <v>#REF!</v>
      </c>
      <c r="AO5" s="52" t="e">
        <f>'Evolutive SFP'!#REF!</f>
        <v>#REF!</v>
      </c>
      <c r="AP5" s="52" t="e">
        <f>'Evolutive SFP'!#REF!</f>
        <v>#REF!</v>
      </c>
      <c r="AQ5" s="52" t="e">
        <f>'Evolutive SFP'!#REF!</f>
        <v>#REF!</v>
      </c>
      <c r="AR5" s="52" t="e">
        <f>'Evolutive SFP'!#REF!</f>
        <v>#REF!</v>
      </c>
      <c r="AS5" s="52">
        <f>'Evolutive SFP'!AH31</f>
        <v>47813288</v>
      </c>
      <c r="AT5" s="52">
        <f>'Evolutive SFP'!AI31</f>
        <v>50050279.649999999</v>
      </c>
      <c r="AU5" s="52">
        <f>'Evolutive SFP'!AJ31</f>
        <v>51594784.460000001</v>
      </c>
      <c r="AV5" s="52">
        <f>'Evolutive SFP'!AK31</f>
        <v>48617537.930000007</v>
      </c>
      <c r="AW5" s="52">
        <f>'Evolutive SFP'!AL31</f>
        <v>50784185.450000003</v>
      </c>
      <c r="AX5" s="52">
        <f>'Evolutive SFP'!AM31</f>
        <v>52670579.520000003</v>
      </c>
      <c r="AY5" s="52">
        <f>'Evolutive SFP'!AN31</f>
        <v>51541572.299999997</v>
      </c>
      <c r="AZ5" s="52" t="e">
        <f>'Evolutive SFP'!#REF!</f>
        <v>#REF!</v>
      </c>
      <c r="BA5" s="52">
        <f>'Evolutive SFP'!AO31</f>
        <v>52864499.469999999</v>
      </c>
      <c r="BB5" s="52">
        <f>'Evolutive SFP'!AP31</f>
        <v>52435662.070000008</v>
      </c>
      <c r="BC5" s="52">
        <f>'Evolutive SFP'!AQ31</f>
        <v>52696820.390000001</v>
      </c>
      <c r="BD5" s="52">
        <f>'Evolutive SFP'!AR31</f>
        <v>54876771.200000003</v>
      </c>
      <c r="BE5" s="52">
        <f>'Evolutive SFP'!AS31</f>
        <v>49343098.549999997</v>
      </c>
      <c r="BF5" s="52">
        <f>'Evolutive SFP'!AT31</f>
        <v>49343099</v>
      </c>
      <c r="BG5" s="52">
        <f>'Evolutive SFP'!AU31</f>
        <v>49066289.460000001</v>
      </c>
      <c r="BH5" s="52">
        <f>'Evolutive SFP'!AV31</f>
        <v>48855091.090000004</v>
      </c>
      <c r="BI5" s="52">
        <f>'Evolutive SFP'!AW31</f>
        <v>50685467.969999999</v>
      </c>
      <c r="BJ5" s="52">
        <f>'Evolutive SFP'!AX31</f>
        <v>51776238.210000001</v>
      </c>
      <c r="BK5" s="52">
        <f>'Evolutive SFP'!AY31</f>
        <v>52161227.699999996</v>
      </c>
      <c r="BL5" s="52">
        <f>'Evolutive SFP'!AZ31</f>
        <v>50947319.199999996</v>
      </c>
      <c r="BM5" s="52">
        <f>'Evolutive SFP'!BA31</f>
        <v>55447339.090000004</v>
      </c>
      <c r="BN5" s="52">
        <f>'Evolutive SFP'!BB31</f>
        <v>55505976.229999997</v>
      </c>
      <c r="BO5" s="52">
        <f>'Evolutive SFP'!BC31</f>
        <v>51038813.609999999</v>
      </c>
      <c r="BP5" s="52">
        <f>'Evolutive SFP'!BD31</f>
        <v>52642238.909999996</v>
      </c>
      <c r="BQ5" s="52">
        <f>'Evolutive SFP'!BE31</f>
        <v>55538289.659999996</v>
      </c>
      <c r="BR5" s="52">
        <f>'Evolutive SFP'!BF31</f>
        <v>52005787.93</v>
      </c>
      <c r="BS5" s="52">
        <f>'Evolutive SFP'!BG31</f>
        <v>51619733</v>
      </c>
      <c r="BT5" s="52">
        <f>'Evolutive SFP'!BH31</f>
        <v>51764161.990000002</v>
      </c>
      <c r="BU5" s="52">
        <f>'Evolutive SFP'!BI31</f>
        <v>52516187.990000002</v>
      </c>
      <c r="BV5" s="52">
        <f>'Evolutive SFP'!BJ31</f>
        <v>52107138.640000001</v>
      </c>
      <c r="BW5" s="52">
        <f>'Evolutive SFP'!BK31</f>
        <v>52817239.300000004</v>
      </c>
      <c r="BX5" s="52">
        <f>'Evolutive SFP'!BL31</f>
        <v>53073319.32</v>
      </c>
      <c r="BY5" s="52">
        <f>'Evolutive SFP'!BM31</f>
        <v>55127767.010000005</v>
      </c>
      <c r="BZ5" s="52">
        <f>'Evolutive SFP'!BN31</f>
        <v>53356376.850000001</v>
      </c>
      <c r="CA5" s="52">
        <f>'Evolutive SFP'!BO31</f>
        <v>53766853.710000001</v>
      </c>
      <c r="CB5" s="52">
        <f>'Evolutive SFP'!BP31</f>
        <v>53416198.57</v>
      </c>
      <c r="CC5" s="52">
        <f>'Evolutive SFP'!BQ31</f>
        <v>54970887.57</v>
      </c>
      <c r="CD5" s="52">
        <f>'Evolutive SFP'!BR31</f>
        <v>55168395.82</v>
      </c>
      <c r="CE5" s="52">
        <f>'Evolutive SFP'!BS31</f>
        <v>52332059.479999997</v>
      </c>
      <c r="CF5" s="52">
        <f>'Evolutive SFP'!BT31</f>
        <v>0</v>
      </c>
      <c r="CG5" s="52">
        <f>'Evolutive SFP'!BU31</f>
        <v>52870329.740000002</v>
      </c>
      <c r="CH5" s="52">
        <f>'Evolutive SFP'!BV31</f>
        <v>53091854.589999996</v>
      </c>
      <c r="CI5" s="52">
        <f>'Evolutive SFP'!BW31</f>
        <v>53433570.990000002</v>
      </c>
      <c r="CJ5" s="52">
        <f>'Evolutive SFP'!BX31</f>
        <v>53184866.700000003</v>
      </c>
      <c r="CK5" s="52">
        <f>'Evolutive SFP'!BY31</f>
        <v>52509344.57</v>
      </c>
      <c r="CL5" s="52">
        <f>'Evolutive SFP'!BZ31</f>
        <v>53708262.43</v>
      </c>
      <c r="CM5" s="52">
        <f>'Evolutive SFP'!CA31</f>
        <v>52777852.590000004</v>
      </c>
      <c r="CN5" s="52">
        <f>'Evolutive SFP'!CB31</f>
        <v>53183309.919999994</v>
      </c>
      <c r="CO5" s="52">
        <f>'Evolutive SFP'!CC31</f>
        <v>51885876.43</v>
      </c>
    </row>
    <row r="6" spans="1:93">
      <c r="A6" s="18">
        <v>3.1</v>
      </c>
      <c r="B6" s="19" t="s">
        <v>244</v>
      </c>
      <c r="C6" s="52" t="e">
        <f>'Evolutive SFP'!#REF!</f>
        <v>#REF!</v>
      </c>
      <c r="D6" s="52" t="e">
        <f>'Evolutive SFP'!#REF!</f>
        <v>#REF!</v>
      </c>
      <c r="E6" s="52" t="e">
        <f>'Evolutive SFP'!#REF!</f>
        <v>#REF!</v>
      </c>
      <c r="F6" s="52" t="e">
        <f>'Evolutive SFP'!#REF!</f>
        <v>#REF!</v>
      </c>
      <c r="G6" s="52" t="e">
        <f>'Evolutive SFP'!#REF!</f>
        <v>#REF!</v>
      </c>
      <c r="H6" s="52" t="e">
        <f>'Evolutive SFP'!#REF!</f>
        <v>#REF!</v>
      </c>
      <c r="I6" s="52" t="e">
        <f>'Evolutive SFP'!#REF!</f>
        <v>#REF!</v>
      </c>
      <c r="J6" s="52" t="e">
        <f>'Evolutive SFP'!#REF!</f>
        <v>#REF!</v>
      </c>
      <c r="K6" s="52" t="e">
        <f>'Evolutive SFP'!#REF!</f>
        <v>#REF!</v>
      </c>
      <c r="L6" s="52" t="e">
        <f>'Evolutive SFP'!#REF!</f>
        <v>#REF!</v>
      </c>
      <c r="M6" s="52" t="e">
        <f>'Evolutive SFP'!#REF!</f>
        <v>#REF!</v>
      </c>
      <c r="N6" s="52" t="e">
        <f>'Evolutive SFP'!#REF!</f>
        <v>#REF!</v>
      </c>
      <c r="O6" s="52" t="e">
        <f>'Evolutive SFP'!#REF!</f>
        <v>#REF!</v>
      </c>
      <c r="P6" s="52" t="e">
        <f>'Evolutive SFP'!#REF!</f>
        <v>#REF!</v>
      </c>
      <c r="Q6" s="52" t="e">
        <f>'Evolutive SFP'!#REF!</f>
        <v>#REF!</v>
      </c>
      <c r="R6" s="52" t="e">
        <f>'Evolutive SFP'!#REF!</f>
        <v>#REF!</v>
      </c>
      <c r="S6" s="52" t="e">
        <f>'Evolutive SFP'!#REF!</f>
        <v>#REF!</v>
      </c>
      <c r="T6" s="52" t="e">
        <f>'Evolutive SFP'!#REF!</f>
        <v>#REF!</v>
      </c>
      <c r="U6" s="52" t="e">
        <f>'Evolutive SFP'!#REF!</f>
        <v>#REF!</v>
      </c>
      <c r="V6" s="52" t="e">
        <f>'Evolutive SFP'!#REF!</f>
        <v>#REF!</v>
      </c>
      <c r="W6" s="52" t="e">
        <f>'Evolutive SFP'!#REF!</f>
        <v>#REF!</v>
      </c>
      <c r="X6" s="52" t="e">
        <f>'Evolutive SFP'!#REF!</f>
        <v>#REF!</v>
      </c>
      <c r="Y6" s="52" t="e">
        <f>'Evolutive SFP'!#REF!</f>
        <v>#REF!</v>
      </c>
      <c r="Z6" s="52" t="e">
        <f>'Evolutive SFP'!#REF!</f>
        <v>#REF!</v>
      </c>
      <c r="AA6" s="52" t="e">
        <f>'Evolutive SFP'!#REF!</f>
        <v>#REF!</v>
      </c>
      <c r="AB6" s="52" t="e">
        <f>'Evolutive SFP'!#REF!</f>
        <v>#REF!</v>
      </c>
      <c r="AC6" s="52" t="e">
        <f>'Evolutive SFP'!#REF!</f>
        <v>#REF!</v>
      </c>
      <c r="AD6" s="52" t="e">
        <f>'Evolutive SFP'!#REF!</f>
        <v>#REF!</v>
      </c>
      <c r="AE6" s="52" t="e">
        <f>'Evolutive SFP'!#REF!</f>
        <v>#REF!</v>
      </c>
      <c r="AF6" s="52" t="e">
        <f>'Evolutive SFP'!#REF!</f>
        <v>#REF!</v>
      </c>
      <c r="AG6" s="52" t="e">
        <f>'Evolutive SFP'!#REF!</f>
        <v>#REF!</v>
      </c>
      <c r="AH6" s="52" t="e">
        <f>'Evolutive SFP'!#REF!</f>
        <v>#REF!</v>
      </c>
      <c r="AI6" s="52" t="e">
        <f>'Evolutive SFP'!#REF!</f>
        <v>#REF!</v>
      </c>
      <c r="AJ6" s="52" t="e">
        <f>'Evolutive SFP'!#REF!</f>
        <v>#REF!</v>
      </c>
      <c r="AK6" s="52" t="e">
        <f>'Evolutive SFP'!#REF!</f>
        <v>#REF!</v>
      </c>
      <c r="AL6" s="52" t="e">
        <f>'Evolutive SFP'!#REF!</f>
        <v>#REF!</v>
      </c>
      <c r="AM6" s="52" t="e">
        <f>'Evolutive SFP'!#REF!</f>
        <v>#REF!</v>
      </c>
      <c r="AN6" s="52" t="e">
        <f>'Evolutive SFP'!#REF!</f>
        <v>#REF!</v>
      </c>
      <c r="AO6" s="52" t="e">
        <f>'Evolutive SFP'!#REF!</f>
        <v>#REF!</v>
      </c>
      <c r="AP6" s="52" t="e">
        <f>'Evolutive SFP'!#REF!</f>
        <v>#REF!</v>
      </c>
      <c r="AQ6" s="52" t="e">
        <f>'Evolutive SFP'!#REF!</f>
        <v>#REF!</v>
      </c>
      <c r="AR6" s="52" t="e">
        <f>'Evolutive SFP'!#REF!</f>
        <v>#REF!</v>
      </c>
      <c r="AS6" s="52">
        <f>'Evolutive SFP'!AH30</f>
        <v>39316438</v>
      </c>
      <c r="AT6" s="52">
        <f>'Evolutive SFP'!AI30</f>
        <v>39319864.57</v>
      </c>
      <c r="AU6" s="52">
        <f>'Evolutive SFP'!AJ30</f>
        <v>39445819.469999999</v>
      </c>
      <c r="AV6" s="52">
        <f>'Evolutive SFP'!AK30</f>
        <v>39673950.310000002</v>
      </c>
      <c r="AW6" s="52">
        <f>'Evolutive SFP'!AL30</f>
        <v>40064569</v>
      </c>
      <c r="AX6" s="52">
        <f>'Evolutive SFP'!AM30</f>
        <v>40137073.520000003</v>
      </c>
      <c r="AY6" s="52">
        <f>'Evolutive SFP'!AN30</f>
        <v>40546454.299999997</v>
      </c>
      <c r="AZ6" s="52" t="e">
        <f>'Evolutive SFP'!#REF!</f>
        <v>#REF!</v>
      </c>
      <c r="BA6" s="52">
        <f>'Evolutive SFP'!AO30</f>
        <v>40731541.310000002</v>
      </c>
      <c r="BB6" s="52">
        <f>'Evolutive SFP'!AP30</f>
        <v>41031927.950000003</v>
      </c>
      <c r="BC6" s="52">
        <f>'Evolutive SFP'!AQ30</f>
        <v>41384369.840000004</v>
      </c>
      <c r="BD6" s="52">
        <f>'Evolutive SFP'!AR30</f>
        <v>41334696.200000003</v>
      </c>
      <c r="BE6" s="52">
        <f>'Evolutive SFP'!AS30</f>
        <v>41809421.259999998</v>
      </c>
      <c r="BF6" s="52">
        <f>'Evolutive SFP'!AT30</f>
        <v>41809421</v>
      </c>
      <c r="BG6" s="52">
        <f>'Evolutive SFP'!AU30</f>
        <v>41852139.380000003</v>
      </c>
      <c r="BH6" s="52">
        <f>'Evolutive SFP'!AV30</f>
        <v>42191488.640000001</v>
      </c>
      <c r="BI6" s="52">
        <f>'Evolutive SFP'!AW30</f>
        <v>41979586.210000001</v>
      </c>
      <c r="BJ6" s="52">
        <f>'Evolutive SFP'!AX30</f>
        <v>42344451.140000001</v>
      </c>
      <c r="BK6" s="52">
        <f>'Evolutive SFP'!AY30</f>
        <v>42464929.119999997</v>
      </c>
      <c r="BL6" s="52">
        <f>'Evolutive SFP'!AZ30</f>
        <v>42211695.479999997</v>
      </c>
      <c r="BM6" s="52">
        <f>'Evolutive SFP'!BA30</f>
        <v>42747288.390000001</v>
      </c>
      <c r="BN6" s="52">
        <f>'Evolutive SFP'!BB30</f>
        <v>42938955.659999996</v>
      </c>
      <c r="BO6" s="52">
        <f>'Evolutive SFP'!BC30</f>
        <v>42177478.619999997</v>
      </c>
      <c r="BP6" s="52">
        <f>'Evolutive SFP'!BD30</f>
        <v>42191463.43</v>
      </c>
      <c r="BQ6" s="52">
        <f>'Evolutive SFP'!BE30</f>
        <v>42294830.329999998</v>
      </c>
      <c r="BR6" s="52">
        <f>'Evolutive SFP'!BF30</f>
        <v>42157242.210000001</v>
      </c>
      <c r="BS6" s="52">
        <f>'Evolutive SFP'!BG30</f>
        <v>42157242</v>
      </c>
      <c r="BT6" s="52">
        <f>'Evolutive SFP'!BH30</f>
        <v>42293657.100000001</v>
      </c>
      <c r="BU6" s="52">
        <f>'Evolutive SFP'!BI30</f>
        <v>41935393.350000001</v>
      </c>
      <c r="BV6" s="52">
        <f>'Evolutive SFP'!BJ30</f>
        <v>41699910.539999999</v>
      </c>
      <c r="BW6" s="52">
        <f>'Evolutive SFP'!BK30</f>
        <v>41876441.990000002</v>
      </c>
      <c r="BX6" s="52">
        <f>'Evolutive SFP'!BL30</f>
        <v>42202628.899999999</v>
      </c>
      <c r="BY6" s="52">
        <f>'Evolutive SFP'!BM30</f>
        <v>42352986.310000002</v>
      </c>
      <c r="BZ6" s="52">
        <f>'Evolutive SFP'!BN30</f>
        <v>42266788.030000001</v>
      </c>
      <c r="CA6" s="52">
        <f>'Evolutive SFP'!BO30</f>
        <v>42524871.18</v>
      </c>
      <c r="CB6" s="52">
        <f>'Evolutive SFP'!BP30</f>
        <v>42557523.539999999</v>
      </c>
      <c r="CC6" s="52">
        <f>'Evolutive SFP'!BQ30</f>
        <v>42857233.789999999</v>
      </c>
      <c r="CD6" s="52">
        <f>'Evolutive SFP'!BR30</f>
        <v>42767811.670000002</v>
      </c>
      <c r="CE6" s="52">
        <f>'Evolutive SFP'!BS30</f>
        <v>43161599.479999997</v>
      </c>
      <c r="CF6" s="52">
        <f>'Evolutive SFP'!BT30</f>
        <v>0</v>
      </c>
      <c r="CG6" s="52">
        <f>'Evolutive SFP'!BU30</f>
        <v>43831372.740000002</v>
      </c>
      <c r="CH6" s="52">
        <f>'Evolutive SFP'!BV30</f>
        <v>44146263.579999998</v>
      </c>
      <c r="CI6" s="52">
        <f>'Evolutive SFP'!BW30</f>
        <v>44202266.020000003</v>
      </c>
      <c r="CJ6" s="52">
        <f>'Evolutive SFP'!BX30</f>
        <v>43072563.829999998</v>
      </c>
      <c r="CK6" s="52">
        <f>'Evolutive SFP'!BY30</f>
        <v>43279709.310000002</v>
      </c>
      <c r="CL6" s="52">
        <f>'Evolutive SFP'!BZ30</f>
        <v>44109508.32</v>
      </c>
      <c r="CM6" s="52">
        <f>'Evolutive SFP'!CA30</f>
        <v>43904872.140000001</v>
      </c>
      <c r="CN6" s="52">
        <f>'Evolutive SFP'!CB30</f>
        <v>43788834.479999997</v>
      </c>
      <c r="CO6" s="52">
        <f>'Evolutive SFP'!CC30</f>
        <v>43270701.710000001</v>
      </c>
    </row>
    <row r="7" spans="1:93">
      <c r="A7" s="18">
        <v>3.2</v>
      </c>
      <c r="B7" s="19" t="s">
        <v>245</v>
      </c>
      <c r="C7" s="52" t="e">
        <f>('Evolutive SFP'!#REF!+'Evolutive SFP'!#REF!)</f>
        <v>#REF!</v>
      </c>
      <c r="D7" s="52" t="e">
        <f>('Evolutive SFP'!#REF!+'Evolutive SFP'!#REF!)</f>
        <v>#REF!</v>
      </c>
      <c r="E7" s="52" t="e">
        <f>('Evolutive SFP'!#REF!+'Evolutive SFP'!#REF!)</f>
        <v>#REF!</v>
      </c>
      <c r="F7" s="52" t="e">
        <f>('Evolutive SFP'!#REF!+'Evolutive SFP'!#REF!)</f>
        <v>#REF!</v>
      </c>
      <c r="G7" s="52" t="e">
        <f>('Evolutive SFP'!#REF!+'Evolutive SFP'!#REF!)</f>
        <v>#REF!</v>
      </c>
      <c r="H7" s="52" t="e">
        <f>('Evolutive SFP'!#REF!+'Evolutive SFP'!#REF!)</f>
        <v>#REF!</v>
      </c>
      <c r="I7" s="52" t="e">
        <f>('Evolutive SFP'!#REF!+'Evolutive SFP'!#REF!)</f>
        <v>#REF!</v>
      </c>
      <c r="J7" s="52" t="e">
        <f>('Evolutive SFP'!#REF!+'Evolutive SFP'!#REF!)</f>
        <v>#REF!</v>
      </c>
      <c r="K7" s="52" t="e">
        <f>('Evolutive SFP'!#REF!+'Evolutive SFP'!#REF!)</f>
        <v>#REF!</v>
      </c>
      <c r="L7" s="52" t="e">
        <f>('Evolutive SFP'!#REF!+'Evolutive SFP'!#REF!)</f>
        <v>#REF!</v>
      </c>
      <c r="M7" s="52" t="e">
        <f>('Evolutive SFP'!#REF!+'Evolutive SFP'!#REF!)</f>
        <v>#REF!</v>
      </c>
      <c r="N7" s="52" t="e">
        <f>('Evolutive SFP'!#REF!+'Evolutive SFP'!#REF!)</f>
        <v>#REF!</v>
      </c>
      <c r="O7" s="52" t="e">
        <f>('Evolutive SFP'!#REF!+'Evolutive SFP'!#REF!)</f>
        <v>#REF!</v>
      </c>
      <c r="P7" s="52" t="e">
        <f>('Evolutive SFP'!#REF!+'Evolutive SFP'!#REF!)</f>
        <v>#REF!</v>
      </c>
      <c r="Q7" s="52" t="e">
        <f>('Evolutive SFP'!#REF!+'Evolutive SFP'!#REF!)</f>
        <v>#REF!</v>
      </c>
      <c r="R7" s="52" t="e">
        <f>('Evolutive SFP'!#REF!+'Evolutive SFP'!#REF!)</f>
        <v>#REF!</v>
      </c>
      <c r="S7" s="52" t="e">
        <f>('Evolutive SFP'!#REF!+'Evolutive SFP'!#REF!)</f>
        <v>#REF!</v>
      </c>
      <c r="T7" s="52" t="e">
        <f>('Evolutive SFP'!#REF!+'Evolutive SFP'!#REF!)</f>
        <v>#REF!</v>
      </c>
      <c r="U7" s="52" t="e">
        <f>('Evolutive SFP'!#REF!+'Evolutive SFP'!#REF!)</f>
        <v>#REF!</v>
      </c>
      <c r="V7" s="52" t="e">
        <f>('Evolutive SFP'!#REF!+'Evolutive SFP'!#REF!)</f>
        <v>#REF!</v>
      </c>
      <c r="W7" s="52" t="e">
        <f>('Evolutive SFP'!#REF!+'Evolutive SFP'!#REF!)</f>
        <v>#REF!</v>
      </c>
      <c r="X7" s="52" t="e">
        <f>('Evolutive SFP'!#REF!+'Evolutive SFP'!#REF!)</f>
        <v>#REF!</v>
      </c>
      <c r="Y7" s="52" t="e">
        <f>('Evolutive SFP'!#REF!+'Evolutive SFP'!#REF!)</f>
        <v>#REF!</v>
      </c>
      <c r="Z7" s="52" t="e">
        <f>('Evolutive SFP'!#REF!+'Evolutive SFP'!#REF!)</f>
        <v>#REF!</v>
      </c>
      <c r="AA7" s="52" t="e">
        <f>('Evolutive SFP'!#REF!+'Evolutive SFP'!#REF!)</f>
        <v>#REF!</v>
      </c>
      <c r="AB7" s="52" t="e">
        <f>('Evolutive SFP'!#REF!+'Evolutive SFP'!#REF!)</f>
        <v>#REF!</v>
      </c>
      <c r="AC7" s="52" t="e">
        <f>('Evolutive SFP'!#REF!+'Evolutive SFP'!#REF!)</f>
        <v>#REF!</v>
      </c>
      <c r="AD7" s="52" t="e">
        <f>('Evolutive SFP'!#REF!+'Evolutive SFP'!#REF!)</f>
        <v>#REF!</v>
      </c>
      <c r="AE7" s="52" t="e">
        <f>('Evolutive SFP'!#REF!+'Evolutive SFP'!#REF!)</f>
        <v>#REF!</v>
      </c>
      <c r="AF7" s="52" t="e">
        <f>('Evolutive SFP'!#REF!+'Evolutive SFP'!#REF!)</f>
        <v>#REF!</v>
      </c>
      <c r="AG7" s="52" t="e">
        <f>('Evolutive SFP'!#REF!+'Evolutive SFP'!#REF!)</f>
        <v>#REF!</v>
      </c>
      <c r="AH7" s="52" t="e">
        <f>('Evolutive SFP'!#REF!+'Evolutive SFP'!#REF!)</f>
        <v>#REF!</v>
      </c>
      <c r="AI7" s="52" t="e">
        <f>('Evolutive SFP'!#REF!+'Evolutive SFP'!#REF!)</f>
        <v>#REF!</v>
      </c>
      <c r="AJ7" s="52" t="e">
        <f>('Evolutive SFP'!#REF!+'Evolutive SFP'!#REF!)</f>
        <v>#REF!</v>
      </c>
      <c r="AK7" s="52" t="e">
        <f>('Evolutive SFP'!#REF!+'Evolutive SFP'!#REF!)</f>
        <v>#REF!</v>
      </c>
      <c r="AL7" s="52" t="e">
        <f>('Evolutive SFP'!#REF!+'Evolutive SFP'!#REF!)</f>
        <v>#REF!</v>
      </c>
      <c r="AM7" s="52" t="e">
        <f>('Evolutive SFP'!#REF!+'Evolutive SFP'!#REF!)</f>
        <v>#REF!</v>
      </c>
      <c r="AN7" s="52" t="e">
        <f>('Evolutive SFP'!#REF!+'Evolutive SFP'!#REF!)</f>
        <v>#REF!</v>
      </c>
      <c r="AO7" s="52" t="e">
        <f>('Evolutive SFP'!#REF!+'Evolutive SFP'!#REF!)</f>
        <v>#REF!</v>
      </c>
      <c r="AP7" s="52" t="e">
        <f>('Evolutive SFP'!#REF!+'Evolutive SFP'!#REF!)</f>
        <v>#REF!</v>
      </c>
      <c r="AQ7" s="52" t="e">
        <f>('Evolutive SFP'!#REF!+'Evolutive SFP'!#REF!)</f>
        <v>#REF!</v>
      </c>
      <c r="AR7" s="52" t="e">
        <f>('Evolutive SFP'!#REF!+'Evolutive SFP'!#REF!)</f>
        <v>#REF!</v>
      </c>
      <c r="AS7" s="52">
        <f>('Evolutive SFP'!AH28+'Evolutive SFP'!AH29)</f>
        <v>8496850</v>
      </c>
      <c r="AT7" s="52">
        <f>('Evolutive SFP'!AI28+'Evolutive SFP'!AI29)</f>
        <v>10730415.08</v>
      </c>
      <c r="AU7" s="52">
        <f>('Evolutive SFP'!AJ28+'Evolutive SFP'!AJ29)</f>
        <v>12148964.99</v>
      </c>
      <c r="AV7" s="52">
        <f>('Evolutive SFP'!AK28+'Evolutive SFP'!AK29)</f>
        <v>8943587.620000001</v>
      </c>
      <c r="AW7" s="52">
        <f>('Evolutive SFP'!AL28+'Evolutive SFP'!AL29)</f>
        <v>10719616.449999999</v>
      </c>
      <c r="AX7" s="52">
        <f>('Evolutive SFP'!AM28+'Evolutive SFP'!AM29)</f>
        <v>12533506</v>
      </c>
      <c r="AY7" s="52">
        <f>('Evolutive SFP'!AN28+'Evolutive SFP'!AN29)</f>
        <v>10995118</v>
      </c>
      <c r="AZ7" s="52" t="e">
        <f>('Evolutive SFP'!#REF!+'Evolutive SFP'!#REF!)</f>
        <v>#REF!</v>
      </c>
      <c r="BA7" s="52">
        <f>('Evolutive SFP'!AO28+'Evolutive SFP'!AO29)</f>
        <v>12132958.16</v>
      </c>
      <c r="BB7" s="52">
        <f>('Evolutive SFP'!AP28+'Evolutive SFP'!AP29)</f>
        <v>11403734.120000001</v>
      </c>
      <c r="BC7" s="52">
        <f>('Evolutive SFP'!AQ28+'Evolutive SFP'!AQ29)</f>
        <v>11312450.550000001</v>
      </c>
      <c r="BD7" s="52">
        <f>('Evolutive SFP'!AR28+'Evolutive SFP'!AR29)</f>
        <v>13542075</v>
      </c>
      <c r="BE7" s="52">
        <f>('Evolutive SFP'!AS28+'Evolutive SFP'!AS29)</f>
        <v>7533677.2899999991</v>
      </c>
      <c r="BF7" s="52">
        <f>('Evolutive SFP'!AT28+'Evolutive SFP'!AT29)</f>
        <v>7533678</v>
      </c>
      <c r="BG7" s="52">
        <f>('Evolutive SFP'!AU28+'Evolutive SFP'!AU29)</f>
        <v>7214150.0800000001</v>
      </c>
      <c r="BH7" s="52">
        <f>('Evolutive SFP'!AV28+'Evolutive SFP'!AV29)</f>
        <v>6663602.4500000002</v>
      </c>
      <c r="BI7" s="52">
        <f>('Evolutive SFP'!AW28+'Evolutive SFP'!AW29)</f>
        <v>8705881.7599999998</v>
      </c>
      <c r="BJ7" s="52">
        <f>('Evolutive SFP'!AX28+'Evolutive SFP'!AX29)</f>
        <v>9431787.0700000003</v>
      </c>
      <c r="BK7" s="52">
        <f>('Evolutive SFP'!AY28+'Evolutive SFP'!AY29)</f>
        <v>9696298.5800000001</v>
      </c>
      <c r="BL7" s="52">
        <f>('Evolutive SFP'!AZ28+'Evolutive SFP'!AZ29)</f>
        <v>8735623.7200000007</v>
      </c>
      <c r="BM7" s="52">
        <f>('Evolutive SFP'!BA28+'Evolutive SFP'!BA29)</f>
        <v>12700050.699999999</v>
      </c>
      <c r="BN7" s="52">
        <f>('Evolutive SFP'!BB28+'Evolutive SFP'!BB29)</f>
        <v>12567020.57</v>
      </c>
      <c r="BO7" s="52">
        <f>('Evolutive SFP'!BC28+'Evolutive SFP'!BC29)</f>
        <v>8861334.9900000002</v>
      </c>
      <c r="BP7" s="52">
        <f>('Evolutive SFP'!BD28+'Evolutive SFP'!BD29)</f>
        <v>10450775.48</v>
      </c>
      <c r="BQ7" s="52">
        <f>('Evolutive SFP'!BE28+'Evolutive SFP'!BE29)</f>
        <v>13243459.33</v>
      </c>
      <c r="BR7" s="52">
        <f>('Evolutive SFP'!BF28+'Evolutive SFP'!BF29)</f>
        <v>9848545.7200000007</v>
      </c>
      <c r="BS7" s="52">
        <f>('Evolutive SFP'!BG28+'Evolutive SFP'!BG29)</f>
        <v>9462491</v>
      </c>
      <c r="BT7" s="52">
        <f>('Evolutive SFP'!BH28+'Evolutive SFP'!BH29)</f>
        <v>9470504.8900000006</v>
      </c>
      <c r="BU7" s="52">
        <f>('Evolutive SFP'!BI28+'Evolutive SFP'!BI29)</f>
        <v>10580794.640000001</v>
      </c>
      <c r="BV7" s="52">
        <f>('Evolutive SFP'!BJ28+'Evolutive SFP'!BJ29)</f>
        <v>10407228.1</v>
      </c>
      <c r="BW7" s="52">
        <f>('Evolutive SFP'!BK28+'Evolutive SFP'!BK29)</f>
        <v>10940797.310000001</v>
      </c>
      <c r="BX7" s="52">
        <f>('Evolutive SFP'!BL28+'Evolutive SFP'!BL29)</f>
        <v>10870690.42</v>
      </c>
      <c r="BY7" s="52">
        <f>('Evolutive SFP'!BM28+'Evolutive SFP'!BM29)</f>
        <v>12774780.699999999</v>
      </c>
      <c r="BZ7" s="52">
        <f>('Evolutive SFP'!BN28+'Evolutive SFP'!BN29)</f>
        <v>11089588.82</v>
      </c>
      <c r="CA7" s="52">
        <f>('Evolutive SFP'!BO28+'Evolutive SFP'!BO29)</f>
        <v>11241982.530000001</v>
      </c>
      <c r="CB7" s="52">
        <f>('Evolutive SFP'!BP28+'Evolutive SFP'!BP29)</f>
        <v>10858675.030000001</v>
      </c>
      <c r="CC7" s="52">
        <f>('Evolutive SFP'!BQ28+'Evolutive SFP'!BQ29)</f>
        <v>12113653.780000001</v>
      </c>
      <c r="CD7" s="52">
        <f>('Evolutive SFP'!BR28+'Evolutive SFP'!BR29)</f>
        <v>12400584.149999999</v>
      </c>
      <c r="CE7" s="52">
        <f>('Evolutive SFP'!BS28+'Evolutive SFP'!BS29)</f>
        <v>9170460</v>
      </c>
      <c r="CF7" s="52">
        <f>('Evolutive SFP'!BT28+'Evolutive SFP'!BT29)</f>
        <v>0</v>
      </c>
      <c r="CG7" s="52">
        <f>('Evolutive SFP'!BU28+'Evolutive SFP'!BU29)</f>
        <v>9038957</v>
      </c>
      <c r="CH7" s="52">
        <f>('Evolutive SFP'!BV28+'Evolutive SFP'!BV29)</f>
        <v>8945591.0099999998</v>
      </c>
      <c r="CI7" s="52">
        <f>('Evolutive SFP'!BW28+'Evolutive SFP'!BW29)</f>
        <v>9231304.9700000007</v>
      </c>
      <c r="CJ7" s="52">
        <f>('Evolutive SFP'!BX28+'Evolutive SFP'!BX29)</f>
        <v>10112302.870000001</v>
      </c>
      <c r="CK7" s="52">
        <f>('Evolutive SFP'!BY28+'Evolutive SFP'!BY29)</f>
        <v>9229635.2599999998</v>
      </c>
      <c r="CL7" s="52">
        <f>('Evolutive SFP'!BZ28+'Evolutive SFP'!BZ29)</f>
        <v>9598754.1099999994</v>
      </c>
      <c r="CM7" s="52">
        <f>('Evolutive SFP'!CA28+'Evolutive SFP'!CA29)</f>
        <v>8872980.4499999993</v>
      </c>
      <c r="CN7" s="52">
        <f>('Evolutive SFP'!CB28+'Evolutive SFP'!CB29)</f>
        <v>9394475.4399999995</v>
      </c>
      <c r="CO7" s="52">
        <f>('Evolutive SFP'!CC28+'Evolutive SFP'!CC29)</f>
        <v>8615174.7200000007</v>
      </c>
    </row>
    <row r="8" spans="1:93">
      <c r="A8" s="18">
        <v>4</v>
      </c>
      <c r="B8" s="18" t="s">
        <v>156</v>
      </c>
      <c r="C8" s="52" t="e">
        <f>'Evolutive SFP'!#REF!</f>
        <v>#REF!</v>
      </c>
      <c r="D8" s="52" t="e">
        <f>'Evolutive SFP'!#REF!</f>
        <v>#REF!</v>
      </c>
      <c r="E8" s="52" t="e">
        <f>'Evolutive SFP'!#REF!</f>
        <v>#REF!</v>
      </c>
      <c r="F8" s="52" t="e">
        <f>'Evolutive SFP'!#REF!</f>
        <v>#REF!</v>
      </c>
      <c r="G8" s="52" t="e">
        <f>'Evolutive SFP'!#REF!</f>
        <v>#REF!</v>
      </c>
      <c r="H8" s="52" t="e">
        <f>'Evolutive SFP'!#REF!</f>
        <v>#REF!</v>
      </c>
      <c r="I8" s="52" t="e">
        <f>'Evolutive SFP'!#REF!</f>
        <v>#REF!</v>
      </c>
      <c r="J8" s="52" t="e">
        <f>'Evolutive SFP'!#REF!</f>
        <v>#REF!</v>
      </c>
      <c r="K8" s="52" t="e">
        <f>'Evolutive SFP'!#REF!</f>
        <v>#REF!</v>
      </c>
      <c r="L8" s="52" t="e">
        <f>'Evolutive SFP'!#REF!</f>
        <v>#REF!</v>
      </c>
      <c r="M8" s="52" t="e">
        <f>'Evolutive SFP'!#REF!</f>
        <v>#REF!</v>
      </c>
      <c r="N8" s="52" t="e">
        <f>'Evolutive SFP'!#REF!</f>
        <v>#REF!</v>
      </c>
      <c r="O8" s="52" t="e">
        <f>'Evolutive SFP'!#REF!</f>
        <v>#REF!</v>
      </c>
      <c r="P8" s="52" t="e">
        <f>'Evolutive SFP'!#REF!</f>
        <v>#REF!</v>
      </c>
      <c r="Q8" s="52" t="e">
        <f>'Evolutive SFP'!#REF!</f>
        <v>#REF!</v>
      </c>
      <c r="R8" s="52" t="e">
        <f>'Evolutive SFP'!#REF!</f>
        <v>#REF!</v>
      </c>
      <c r="S8" s="52" t="e">
        <f>'Evolutive SFP'!#REF!</f>
        <v>#REF!</v>
      </c>
      <c r="T8" s="52" t="e">
        <f>'Evolutive SFP'!#REF!</f>
        <v>#REF!</v>
      </c>
      <c r="U8" s="52" t="e">
        <f>'Evolutive SFP'!#REF!</f>
        <v>#REF!</v>
      </c>
      <c r="V8" s="52" t="e">
        <f>'Evolutive SFP'!#REF!</f>
        <v>#REF!</v>
      </c>
      <c r="W8" s="52" t="e">
        <f>'Evolutive SFP'!#REF!</f>
        <v>#REF!</v>
      </c>
      <c r="X8" s="52" t="e">
        <f>'Evolutive SFP'!#REF!</f>
        <v>#REF!</v>
      </c>
      <c r="Y8" s="52" t="e">
        <f>'Evolutive SFP'!#REF!</f>
        <v>#REF!</v>
      </c>
      <c r="Z8" s="52" t="e">
        <f>'Evolutive SFP'!#REF!</f>
        <v>#REF!</v>
      </c>
      <c r="AA8" s="52" t="e">
        <f>'Evolutive SFP'!#REF!</f>
        <v>#REF!</v>
      </c>
      <c r="AB8" s="52" t="e">
        <f>'Evolutive SFP'!#REF!</f>
        <v>#REF!</v>
      </c>
      <c r="AC8" s="52" t="e">
        <f>'Evolutive SFP'!#REF!</f>
        <v>#REF!</v>
      </c>
      <c r="AD8" s="52" t="e">
        <f>'Evolutive SFP'!#REF!</f>
        <v>#REF!</v>
      </c>
      <c r="AE8" s="52" t="e">
        <f>'Evolutive SFP'!#REF!</f>
        <v>#REF!</v>
      </c>
      <c r="AF8" s="52" t="e">
        <f>'Evolutive SFP'!#REF!</f>
        <v>#REF!</v>
      </c>
      <c r="AG8" s="52" t="e">
        <f>'Evolutive SFP'!#REF!</f>
        <v>#REF!</v>
      </c>
      <c r="AH8" s="52" t="e">
        <f>'Evolutive SFP'!#REF!</f>
        <v>#REF!</v>
      </c>
      <c r="AI8" s="52" t="e">
        <f>'Evolutive SFP'!#REF!</f>
        <v>#REF!</v>
      </c>
      <c r="AJ8" s="52" t="e">
        <f>'Evolutive SFP'!#REF!</f>
        <v>#REF!</v>
      </c>
      <c r="AK8" s="52" t="e">
        <f>'Evolutive SFP'!#REF!</f>
        <v>#REF!</v>
      </c>
      <c r="AL8" s="52" t="e">
        <f>'Evolutive SFP'!#REF!</f>
        <v>#REF!</v>
      </c>
      <c r="AM8" s="52" t="e">
        <f>'Evolutive SFP'!#REF!</f>
        <v>#REF!</v>
      </c>
      <c r="AN8" s="52" t="e">
        <f>'Evolutive SFP'!#REF!</f>
        <v>#REF!</v>
      </c>
      <c r="AO8" s="52" t="e">
        <f>'Evolutive SFP'!#REF!</f>
        <v>#REF!</v>
      </c>
      <c r="AP8" s="52" t="e">
        <f>'Evolutive SFP'!#REF!</f>
        <v>#REF!</v>
      </c>
      <c r="AQ8" s="52" t="e">
        <f>'Evolutive SFP'!#REF!</f>
        <v>#REF!</v>
      </c>
      <c r="AR8" s="52" t="e">
        <f>'Evolutive SFP'!#REF!</f>
        <v>#REF!</v>
      </c>
      <c r="AS8" s="52">
        <f>'Evolutive SFP'!AH37</f>
        <v>0</v>
      </c>
      <c r="AT8" s="52">
        <f>'Evolutive SFP'!AI37</f>
        <v>0</v>
      </c>
      <c r="AU8" s="52">
        <f>'Evolutive SFP'!AJ37</f>
        <v>0</v>
      </c>
      <c r="AV8" s="52">
        <f>'Evolutive SFP'!AK37</f>
        <v>0</v>
      </c>
      <c r="AW8" s="52">
        <f>'Evolutive SFP'!AL37</f>
        <v>0</v>
      </c>
      <c r="AX8" s="52">
        <f>'Evolutive SFP'!AM37</f>
        <v>0</v>
      </c>
      <c r="AY8" s="52">
        <f>'Evolutive SFP'!AN37</f>
        <v>0</v>
      </c>
      <c r="AZ8" s="52" t="e">
        <f>'Evolutive SFP'!#REF!</f>
        <v>#REF!</v>
      </c>
      <c r="BA8" s="52">
        <f>'Evolutive SFP'!AO37</f>
        <v>0</v>
      </c>
      <c r="BB8" s="52">
        <f>'Evolutive SFP'!AP37</f>
        <v>0</v>
      </c>
      <c r="BC8" s="52">
        <f>'Evolutive SFP'!AQ37</f>
        <v>0</v>
      </c>
      <c r="BD8" s="52">
        <f>'Evolutive SFP'!AR37</f>
        <v>0</v>
      </c>
      <c r="BE8" s="52">
        <f>'Evolutive SFP'!AS37</f>
        <v>0</v>
      </c>
      <c r="BF8" s="52">
        <f>'Evolutive SFP'!AT37</f>
        <v>0</v>
      </c>
      <c r="BG8" s="52">
        <f>'Evolutive SFP'!AU37</f>
        <v>0</v>
      </c>
      <c r="BH8" s="52">
        <f>'Evolutive SFP'!AV37</f>
        <v>0</v>
      </c>
      <c r="BI8" s="52">
        <f>'Evolutive SFP'!AW37</f>
        <v>0</v>
      </c>
      <c r="BJ8" s="52">
        <f>'Evolutive SFP'!AX37</f>
        <v>0</v>
      </c>
      <c r="BK8" s="52">
        <f>'Evolutive SFP'!AY37</f>
        <v>0</v>
      </c>
      <c r="BL8" s="52">
        <f>'Evolutive SFP'!AZ37</f>
        <v>0</v>
      </c>
      <c r="BM8" s="52">
        <f>'Evolutive SFP'!BA37</f>
        <v>0</v>
      </c>
      <c r="BN8" s="52">
        <f>'Evolutive SFP'!BB37</f>
        <v>0</v>
      </c>
      <c r="BO8" s="52">
        <f>'Evolutive SFP'!BC37</f>
        <v>0</v>
      </c>
      <c r="BP8" s="52">
        <f>'Evolutive SFP'!BD37</f>
        <v>0</v>
      </c>
      <c r="BQ8" s="52">
        <f>'Evolutive SFP'!BE37</f>
        <v>0</v>
      </c>
      <c r="BR8" s="52">
        <f>'Evolutive SFP'!BF37</f>
        <v>0</v>
      </c>
      <c r="BS8" s="52">
        <f>'Evolutive SFP'!BG37</f>
        <v>0</v>
      </c>
      <c r="BT8" s="52">
        <f>'Evolutive SFP'!BH37</f>
        <v>0</v>
      </c>
      <c r="BU8" s="52">
        <f>'Evolutive SFP'!BI37</f>
        <v>0</v>
      </c>
      <c r="BV8" s="52">
        <f>'Evolutive SFP'!BJ37</f>
        <v>0</v>
      </c>
      <c r="BW8" s="52">
        <f>'Evolutive SFP'!BK37</f>
        <v>0</v>
      </c>
      <c r="BX8" s="52">
        <f>'Evolutive SFP'!BL37</f>
        <v>0</v>
      </c>
      <c r="BY8" s="52">
        <f>'Evolutive SFP'!BM37</f>
        <v>0</v>
      </c>
      <c r="BZ8" s="52">
        <f>'Evolutive SFP'!BN37</f>
        <v>0</v>
      </c>
      <c r="CA8" s="52">
        <f>'Evolutive SFP'!BO37</f>
        <v>0</v>
      </c>
      <c r="CB8" s="52">
        <f>'Evolutive SFP'!BP37</f>
        <v>0</v>
      </c>
      <c r="CC8" s="52">
        <f>'Evolutive SFP'!BQ37</f>
        <v>0</v>
      </c>
      <c r="CD8" s="52">
        <f>'Evolutive SFP'!BR37</f>
        <v>0</v>
      </c>
      <c r="CE8" s="52">
        <f>'Evolutive SFP'!BS37</f>
        <v>0</v>
      </c>
      <c r="CF8" s="52">
        <f>'Evolutive SFP'!BT37</f>
        <v>0</v>
      </c>
      <c r="CG8" s="52">
        <f>'Evolutive SFP'!BU37</f>
        <v>0</v>
      </c>
      <c r="CH8" s="52">
        <f>'Evolutive SFP'!BV37</f>
        <v>0</v>
      </c>
      <c r="CI8" s="52">
        <f>'Evolutive SFP'!BW37</f>
        <v>0</v>
      </c>
      <c r="CJ8" s="52">
        <f>'Evolutive SFP'!BX37</f>
        <v>0</v>
      </c>
      <c r="CK8" s="52">
        <f>'Evolutive SFP'!BY37</f>
        <v>0</v>
      </c>
      <c r="CL8" s="52">
        <f>'Evolutive SFP'!BZ37</f>
        <v>0</v>
      </c>
      <c r="CM8" s="52">
        <f>'Evolutive SFP'!CA37</f>
        <v>0</v>
      </c>
      <c r="CN8" s="52">
        <f>'Evolutive SFP'!CB37</f>
        <v>0</v>
      </c>
      <c r="CO8" s="52">
        <f>'Evolutive SFP'!CC37</f>
        <v>0</v>
      </c>
    </row>
    <row r="9" spans="1:93" thickBot="1">
      <c r="A9" s="18"/>
      <c r="B9" s="99" t="s">
        <v>246</v>
      </c>
      <c r="C9" s="52"/>
      <c r="D9" s="52" t="e">
        <f>SUM('Evolutive SFP'!#REF!)</f>
        <v>#REF!</v>
      </c>
      <c r="E9" s="52" t="e">
        <f>SUM('Evolutive SFP'!#REF!)</f>
        <v>#REF!</v>
      </c>
      <c r="F9" s="52" t="e">
        <f>SUM('Evolutive SFP'!#REF!)</f>
        <v>#REF!</v>
      </c>
      <c r="G9" s="52" t="e">
        <f>SUM('Evolutive SFP'!#REF!)</f>
        <v>#REF!</v>
      </c>
      <c r="H9" s="52" t="e">
        <f>SUM('Evolutive SFP'!#REF!)</f>
        <v>#REF!</v>
      </c>
      <c r="I9" s="52" t="e">
        <f>SUM('Evolutive SFP'!#REF!)</f>
        <v>#REF!</v>
      </c>
      <c r="J9" s="52" t="e">
        <f>SUM('Evolutive SFP'!#REF!)</f>
        <v>#REF!</v>
      </c>
      <c r="K9" s="52" t="e">
        <f>SUM('Evolutive SFP'!#REF!)</f>
        <v>#REF!</v>
      </c>
      <c r="L9" s="52" t="e">
        <f>SUM('Evolutive SFP'!#REF!)</f>
        <v>#REF!</v>
      </c>
      <c r="M9" s="52" t="e">
        <f>SUM('Evolutive SFP'!#REF!)</f>
        <v>#REF!</v>
      </c>
      <c r="N9" s="52" t="e">
        <f>SUM('Evolutive SFP'!#REF!)</f>
        <v>#REF!</v>
      </c>
      <c r="O9" s="52" t="e">
        <f>SUM('Evolutive SFP'!#REF!)</f>
        <v>#REF!</v>
      </c>
      <c r="P9" s="52" t="e">
        <f>SUM('Evolutive SFP'!#REF!)</f>
        <v>#REF!</v>
      </c>
      <c r="Q9" s="52" t="e">
        <f>SUM('Evolutive SFP'!#REF!)</f>
        <v>#REF!</v>
      </c>
      <c r="R9" s="52" t="e">
        <f>SUM('Evolutive SFP'!#REF!)</f>
        <v>#REF!</v>
      </c>
      <c r="S9" s="52" t="e">
        <f>SUM('Evolutive SFP'!#REF!)</f>
        <v>#REF!</v>
      </c>
      <c r="T9" s="52" t="e">
        <f>SUM('Evolutive SFP'!#REF!)</f>
        <v>#REF!</v>
      </c>
      <c r="U9" s="52" t="e">
        <f>SUM('Evolutive SFP'!#REF!)</f>
        <v>#REF!</v>
      </c>
      <c r="V9" s="52" t="e">
        <f>SUM('Evolutive SFP'!#REF!)</f>
        <v>#REF!</v>
      </c>
      <c r="W9" s="52" t="e">
        <f>SUM('Evolutive SFP'!#REF!)</f>
        <v>#REF!</v>
      </c>
      <c r="X9" s="52" t="e">
        <f>SUM('Evolutive SFP'!#REF!)</f>
        <v>#REF!</v>
      </c>
      <c r="Y9" s="52" t="e">
        <f>SUM('Evolutive SFP'!#REF!)</f>
        <v>#REF!</v>
      </c>
      <c r="Z9" s="52" t="e">
        <f>SUM('Evolutive SFP'!#REF!)</f>
        <v>#REF!</v>
      </c>
      <c r="AA9" s="52" t="e">
        <f>SUM('Evolutive SFP'!#REF!)</f>
        <v>#REF!</v>
      </c>
      <c r="AB9" s="52" t="e">
        <f>SUM('Evolutive SFP'!#REF!)</f>
        <v>#REF!</v>
      </c>
      <c r="AC9" s="52" t="e">
        <f>SUM('Evolutive SFP'!#REF!)</f>
        <v>#REF!</v>
      </c>
      <c r="AD9" s="52" t="e">
        <f>SUM('Evolutive SFP'!#REF!)</f>
        <v>#REF!</v>
      </c>
      <c r="AE9" s="52" t="e">
        <f>SUM('Evolutive SFP'!#REF!)</f>
        <v>#REF!</v>
      </c>
      <c r="AF9" s="52" t="e">
        <f>SUM('Evolutive SFP'!#REF!)</f>
        <v>#REF!</v>
      </c>
      <c r="AG9" s="52" t="e">
        <f>SUM('Evolutive SFP'!#REF!)</f>
        <v>#REF!</v>
      </c>
      <c r="AH9" s="52" t="e">
        <f>SUM('Evolutive SFP'!#REF!)</f>
        <v>#REF!</v>
      </c>
      <c r="AI9" s="52" t="e">
        <f>SUM('Evolutive SFP'!#REF!)</f>
        <v>#REF!</v>
      </c>
      <c r="AJ9" s="52" t="e">
        <f>SUM('Evolutive SFP'!#REF!)</f>
        <v>#REF!</v>
      </c>
      <c r="AK9" s="52" t="e">
        <f>SUM('Evolutive SFP'!#REF!)</f>
        <v>#REF!</v>
      </c>
      <c r="AL9" s="52" t="e">
        <f>SUM('Evolutive SFP'!#REF!)</f>
        <v>#REF!</v>
      </c>
      <c r="AM9" s="52" t="e">
        <f>SUM('Evolutive SFP'!#REF!)</f>
        <v>#REF!</v>
      </c>
      <c r="AN9" s="52" t="e">
        <f>SUM('Evolutive SFP'!#REF!)</f>
        <v>#REF!</v>
      </c>
      <c r="AO9" s="52" t="e">
        <f>SUM('Evolutive SFP'!#REF!)</f>
        <v>#REF!</v>
      </c>
      <c r="AP9" s="52" t="e">
        <f>SUM('Evolutive SFP'!#REF!)</f>
        <v>#REF!</v>
      </c>
      <c r="AQ9" s="52" t="e">
        <f>SUM('Evolutive SFP'!#REF!)</f>
        <v>#REF!</v>
      </c>
      <c r="AR9" s="52" t="e">
        <f>SUM('Evolutive SFP'!#REF!)</f>
        <v>#REF!</v>
      </c>
      <c r="AS9" s="52">
        <f>SUM('Evolutive SFP'!AH32:AH36)</f>
        <v>4446384</v>
      </c>
      <c r="AT9" s="52">
        <f>SUM('Evolutive SFP'!AI32:AI36)</f>
        <v>8259115.0600000005</v>
      </c>
      <c r="AU9" s="52">
        <f>SUM('Evolutive SFP'!AJ32:AJ36)</f>
        <v>8288780.7000000002</v>
      </c>
      <c r="AV9" s="52">
        <f>SUM('Evolutive SFP'!AK32:AK36)</f>
        <v>7463714.1800000006</v>
      </c>
      <c r="AW9" s="52">
        <f>SUM('Evolutive SFP'!AL32:AL36)</f>
        <v>5081385.45</v>
      </c>
      <c r="AX9" s="52">
        <f>SUM('Evolutive SFP'!AM32:AM36)</f>
        <v>4856696.7</v>
      </c>
      <c r="AY9" s="52">
        <f>SUM('Evolutive SFP'!AN32:AN36)</f>
        <v>4838507.97</v>
      </c>
      <c r="AZ9" s="52" t="e">
        <f>SUM('Evolutive SFP'!#REF!)</f>
        <v>#REF!</v>
      </c>
      <c r="BA9" s="52">
        <f>SUM('Evolutive SFP'!AO32:AO36)</f>
        <v>4294271.49</v>
      </c>
      <c r="BB9" s="52">
        <f>SUM('Evolutive SFP'!AP32:AP36)</f>
        <v>3975581.7</v>
      </c>
      <c r="BC9" s="52">
        <f>SUM('Evolutive SFP'!AQ32:AQ36)</f>
        <v>441900.56</v>
      </c>
      <c r="BD9" s="52">
        <f>SUM('Evolutive SFP'!AR32:AR36)</f>
        <v>388378.56</v>
      </c>
      <c r="BE9" s="52">
        <f>SUM('Evolutive SFP'!AS32:AS36)</f>
        <v>1078426.74</v>
      </c>
      <c r="BF9" s="52">
        <f>SUM('Evolutive SFP'!AT32:AT36)</f>
        <v>5620622</v>
      </c>
      <c r="BG9" s="52">
        <f>SUM('Evolutive SFP'!AU32:AU36)</f>
        <v>5377868.0899999999</v>
      </c>
      <c r="BH9" s="52">
        <f>SUM('Evolutive SFP'!AV32:AV36)</f>
        <v>5562195.7700000005</v>
      </c>
      <c r="BI9" s="52">
        <f>SUM('Evolutive SFP'!AW32:AW36)</f>
        <v>4072882.43</v>
      </c>
      <c r="BJ9" s="52">
        <f>SUM('Evolutive SFP'!AX32:AX36)</f>
        <v>1315261.5899999999</v>
      </c>
      <c r="BK9" s="52">
        <f>SUM('Evolutive SFP'!AY32:AY36)</f>
        <v>1018671.83</v>
      </c>
      <c r="BL9" s="52">
        <f>SUM('Evolutive SFP'!AZ32:AZ36)</f>
        <v>94326.3</v>
      </c>
      <c r="BM9" s="52">
        <f>SUM('Evolutive SFP'!BA32:BA36)</f>
        <v>200653.85</v>
      </c>
      <c r="BN9" s="52">
        <f>SUM('Evolutive SFP'!BB32:BB36)</f>
        <v>86611.78</v>
      </c>
      <c r="BO9" s="52">
        <f>SUM('Evolutive SFP'!BC32:BC36)</f>
        <v>-21163.350000000002</v>
      </c>
      <c r="BP9" s="52">
        <f>SUM('Evolutive SFP'!BD32:BD36)</f>
        <v>57271.75</v>
      </c>
      <c r="BQ9" s="52">
        <f>SUM('Evolutive SFP'!BE32:BE36)</f>
        <v>-41789.100000000006</v>
      </c>
      <c r="BR9" s="52">
        <f>SUM('Evolutive SFP'!BF32:BF36)</f>
        <v>179315.95</v>
      </c>
      <c r="BS9" s="52">
        <f>SUM('Evolutive SFP'!BG32:BG36)</f>
        <v>4021762</v>
      </c>
      <c r="BT9" s="52">
        <f>SUM('Evolutive SFP'!BH32:BH36)</f>
        <v>4329697.4400000004</v>
      </c>
      <c r="BU9" s="52">
        <f>SUM('Evolutive SFP'!BI32:BI36)</f>
        <v>4314938.63</v>
      </c>
      <c r="BV9" s="52">
        <f>SUM('Evolutive SFP'!BJ32:BJ36)</f>
        <v>3013513.9200000004</v>
      </c>
      <c r="BW9" s="52">
        <f>SUM('Evolutive SFP'!BK32:BK36)</f>
        <v>-700174.54</v>
      </c>
      <c r="BX9" s="52">
        <f>SUM('Evolutive SFP'!BL32:BL36)</f>
        <v>-774161.35000000009</v>
      </c>
      <c r="BY9" s="52">
        <f>SUM('Evolutive SFP'!BM32:BM36)</f>
        <v>-809712.34000000008</v>
      </c>
      <c r="BZ9" s="52">
        <f>SUM('Evolutive SFP'!BN32:BN36)</f>
        <v>-844811.74</v>
      </c>
      <c r="CA9" s="52">
        <f>SUM('Evolutive SFP'!BO32:BO36)</f>
        <v>-835336.5</v>
      </c>
      <c r="CB9" s="52">
        <f>SUM('Evolutive SFP'!BP32:BP36)</f>
        <v>-999886.54</v>
      </c>
      <c r="CC9" s="52">
        <f>SUM('Evolutive SFP'!BQ32:BQ36)</f>
        <v>-989409.71000000008</v>
      </c>
      <c r="CD9" s="52">
        <f>SUM('Evolutive SFP'!BR32:BR36)</f>
        <v>-932023.70000000007</v>
      </c>
      <c r="CE9" s="52">
        <f>SUM('Evolutive SFP'!BS32:BS36)</f>
        <v>-719254.16</v>
      </c>
      <c r="CF9" s="52">
        <f>SUM('Evolutive SFP'!BT32:BT36)</f>
        <v>0</v>
      </c>
      <c r="CG9" s="52">
        <f>SUM('Evolutive SFP'!BU32:BU36)</f>
        <v>3844701.3000000003</v>
      </c>
      <c r="CH9" s="52">
        <f>SUM('Evolutive SFP'!BV32:BV36)</f>
        <v>3885654.0500000003</v>
      </c>
      <c r="CI9" s="52">
        <f>SUM('Evolutive SFP'!BW32:BW36)</f>
        <v>3767829.1700000004</v>
      </c>
      <c r="CJ9" s="52">
        <f>SUM('Evolutive SFP'!BX32:BX36)</f>
        <v>-91914.96</v>
      </c>
      <c r="CK9" s="52">
        <f>SUM('Evolutive SFP'!BY32:BY36)</f>
        <v>253987.87</v>
      </c>
      <c r="CL9" s="52">
        <f>SUM('Evolutive SFP'!BZ32:BZ36)</f>
        <v>116943.92</v>
      </c>
      <c r="CM9" s="52">
        <f>SUM('Evolutive SFP'!CA32:CA36)</f>
        <v>-91494.95</v>
      </c>
      <c r="CN9" s="52">
        <f>SUM('Evolutive SFP'!CB32:CB36)</f>
        <v>-93280.17</v>
      </c>
      <c r="CO9" s="52">
        <f>SUM('Evolutive SFP'!CC32:CC36)</f>
        <v>20132.97</v>
      </c>
    </row>
    <row r="10" spans="1:93">
      <c r="A10" s="20">
        <v>5</v>
      </c>
      <c r="B10" s="16" t="s">
        <v>247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</row>
    <row r="11" spans="1:93" s="14" customFormat="1">
      <c r="A11" s="28">
        <v>5.0999999999999996</v>
      </c>
      <c r="B11" s="16" t="s">
        <v>149</v>
      </c>
      <c r="C11" s="53" t="e">
        <f>C14-C22-C26-C27</f>
        <v>#REF!</v>
      </c>
      <c r="D11" s="53" t="e">
        <f t="shared" ref="D11:R11" si="0">D14-D22-D26-D27</f>
        <v>#REF!</v>
      </c>
      <c r="E11" s="53" t="e">
        <f>E14-E22-E26-E27</f>
        <v>#REF!</v>
      </c>
      <c r="F11" s="53" t="e">
        <f>F14-F22-F26-F27</f>
        <v>#REF!</v>
      </c>
      <c r="G11" s="53" t="e">
        <f t="shared" si="0"/>
        <v>#REF!</v>
      </c>
      <c r="H11" s="53" t="e">
        <f t="shared" si="0"/>
        <v>#REF!</v>
      </c>
      <c r="I11" s="53" t="e">
        <f t="shared" si="0"/>
        <v>#REF!</v>
      </c>
      <c r="J11" s="53" t="e">
        <f t="shared" si="0"/>
        <v>#REF!</v>
      </c>
      <c r="K11" s="53" t="e">
        <f t="shared" si="0"/>
        <v>#REF!</v>
      </c>
      <c r="L11" s="53" t="e">
        <f t="shared" si="0"/>
        <v>#REF!</v>
      </c>
      <c r="M11" s="53" t="e">
        <f t="shared" si="0"/>
        <v>#REF!</v>
      </c>
      <c r="N11" s="53" t="e">
        <f t="shared" si="0"/>
        <v>#REF!</v>
      </c>
      <c r="O11" s="53" t="e">
        <f t="shared" si="0"/>
        <v>#REF!</v>
      </c>
      <c r="P11" s="53" t="e">
        <f t="shared" si="0"/>
        <v>#REF!</v>
      </c>
      <c r="Q11" s="53" t="e">
        <f t="shared" si="0"/>
        <v>#REF!</v>
      </c>
      <c r="R11" s="53" t="e">
        <f t="shared" si="0"/>
        <v>#REF!</v>
      </c>
      <c r="S11" s="53" t="e">
        <f>S14-S22-S27</f>
        <v>#REF!</v>
      </c>
      <c r="T11" s="53" t="e">
        <f>T14-T22-T27</f>
        <v>#REF!</v>
      </c>
      <c r="U11" s="53" t="e">
        <f>U14-U22-U27</f>
        <v>#REF!</v>
      </c>
      <c r="V11" s="53" t="e">
        <f t="shared" ref="V11:BE11" si="1">V14-V22</f>
        <v>#REF!</v>
      </c>
      <c r="W11" s="53" t="e">
        <f t="shared" si="1"/>
        <v>#REF!</v>
      </c>
      <c r="X11" s="53" t="e">
        <f t="shared" si="1"/>
        <v>#REF!</v>
      </c>
      <c r="Y11" s="53" t="e">
        <f t="shared" si="1"/>
        <v>#REF!</v>
      </c>
      <c r="Z11" s="53" t="e">
        <f t="shared" si="1"/>
        <v>#REF!</v>
      </c>
      <c r="AA11" s="53" t="e">
        <f t="shared" si="1"/>
        <v>#REF!</v>
      </c>
      <c r="AB11" s="53" t="e">
        <f t="shared" si="1"/>
        <v>#REF!</v>
      </c>
      <c r="AC11" s="53" t="e">
        <f t="shared" si="1"/>
        <v>#REF!</v>
      </c>
      <c r="AD11" s="53" t="e">
        <f t="shared" si="1"/>
        <v>#REF!</v>
      </c>
      <c r="AE11" s="53" t="e">
        <f t="shared" si="1"/>
        <v>#REF!</v>
      </c>
      <c r="AF11" s="53" t="e">
        <f t="shared" si="1"/>
        <v>#REF!</v>
      </c>
      <c r="AG11" s="53" t="e">
        <f t="shared" si="1"/>
        <v>#REF!</v>
      </c>
      <c r="AH11" s="53" t="e">
        <f t="shared" si="1"/>
        <v>#REF!</v>
      </c>
      <c r="AI11" s="53" t="e">
        <f t="shared" si="1"/>
        <v>#REF!</v>
      </c>
      <c r="AJ11" s="53" t="e">
        <f t="shared" si="1"/>
        <v>#REF!</v>
      </c>
      <c r="AK11" s="53" t="e">
        <f t="shared" si="1"/>
        <v>#REF!</v>
      </c>
      <c r="AL11" s="53" t="e">
        <f t="shared" si="1"/>
        <v>#REF!</v>
      </c>
      <c r="AM11" s="53" t="e">
        <f t="shared" si="1"/>
        <v>#REF!</v>
      </c>
      <c r="AN11" s="53" t="e">
        <f t="shared" si="1"/>
        <v>#REF!</v>
      </c>
      <c r="AO11" s="53" t="e">
        <f t="shared" si="1"/>
        <v>#REF!</v>
      </c>
      <c r="AP11" s="53" t="e">
        <f t="shared" si="1"/>
        <v>#REF!</v>
      </c>
      <c r="AQ11" s="53" t="e">
        <f t="shared" si="1"/>
        <v>#REF!</v>
      </c>
      <c r="AR11" s="53" t="e">
        <f t="shared" si="1"/>
        <v>#REF!</v>
      </c>
      <c r="AS11" s="53">
        <f t="shared" si="1"/>
        <v>18417388</v>
      </c>
      <c r="AT11" s="53">
        <f t="shared" si="1"/>
        <v>18374324.449999999</v>
      </c>
      <c r="AU11" s="53">
        <f t="shared" si="1"/>
        <v>18722379.939999998</v>
      </c>
      <c r="AV11" s="53">
        <f t="shared" si="1"/>
        <v>19858144.379999999</v>
      </c>
      <c r="AW11" s="53">
        <f t="shared" si="1"/>
        <v>20201076.329999998</v>
      </c>
      <c r="AX11" s="53">
        <f t="shared" si="1"/>
        <v>20684642.529999997</v>
      </c>
      <c r="AY11" s="53">
        <f t="shared" si="1"/>
        <v>21140937.049999997</v>
      </c>
      <c r="AZ11" s="53" t="e">
        <f t="shared" si="1"/>
        <v>#REF!</v>
      </c>
      <c r="BA11" s="53">
        <f t="shared" si="1"/>
        <v>22281500.859999999</v>
      </c>
      <c r="BB11" s="53">
        <f t="shared" si="1"/>
        <v>22716745.479999997</v>
      </c>
      <c r="BC11" s="53">
        <f t="shared" si="1"/>
        <v>23279858.409999996</v>
      </c>
      <c r="BD11" s="53">
        <f t="shared" si="1"/>
        <v>23667943.459999997</v>
      </c>
      <c r="BE11" s="53">
        <f t="shared" si="1"/>
        <v>23418899.579999998</v>
      </c>
      <c r="BF11" s="53">
        <f>BF14-BF22</f>
        <v>18862417</v>
      </c>
      <c r="BG11" s="53">
        <f>BG14-BG22</f>
        <v>18665718.529999997</v>
      </c>
      <c r="BH11" s="53">
        <f t="shared" ref="BH11:BN11" si="2">BH14-BH22</f>
        <v>18862712.869999997</v>
      </c>
      <c r="BI11" s="53">
        <f t="shared" si="2"/>
        <v>20093179.569999997</v>
      </c>
      <c r="BJ11" s="53">
        <f t="shared" si="2"/>
        <v>20485243.709999997</v>
      </c>
      <c r="BK11" s="53">
        <f t="shared" si="2"/>
        <v>20923853.089999996</v>
      </c>
      <c r="BL11" s="53">
        <f t="shared" si="2"/>
        <v>21420994.98</v>
      </c>
      <c r="BM11" s="53">
        <f t="shared" si="2"/>
        <v>22214533.209999997</v>
      </c>
      <c r="BN11" s="53">
        <f t="shared" si="2"/>
        <v>22631372.91</v>
      </c>
      <c r="BO11" s="53">
        <f>BO14-BO22</f>
        <v>23082099.02</v>
      </c>
      <c r="BP11" s="53">
        <f t="shared" ref="BP11:BS11" si="3">BP14-BP22</f>
        <v>23784263.509999998</v>
      </c>
      <c r="BQ11" s="53">
        <f t="shared" si="3"/>
        <v>23949440.199999999</v>
      </c>
      <c r="BR11" s="53">
        <f t="shared" si="3"/>
        <v>23974175.819999997</v>
      </c>
      <c r="BS11" s="53">
        <f t="shared" si="3"/>
        <v>20738710</v>
      </c>
      <c r="BT11" s="53">
        <f t="shared" ref="BT11:CE11" si="4">BT14-BT22</f>
        <v>19814821.59</v>
      </c>
      <c r="BU11" s="53">
        <f t="shared" si="4"/>
        <v>19906999.359999999</v>
      </c>
      <c r="BV11" s="53">
        <f t="shared" si="4"/>
        <v>21754564.849999998</v>
      </c>
      <c r="BW11" s="53">
        <f t="shared" si="4"/>
        <v>22151001.199999999</v>
      </c>
      <c r="BX11" s="53">
        <f t="shared" si="4"/>
        <v>22620173.66</v>
      </c>
      <c r="BY11" s="53">
        <f t="shared" si="4"/>
        <v>23074311.379999999</v>
      </c>
      <c r="BZ11" s="53">
        <f t="shared" si="4"/>
        <v>23576154.279999997</v>
      </c>
      <c r="CA11" s="53">
        <f t="shared" si="4"/>
        <v>24172617.489999998</v>
      </c>
      <c r="CB11" s="53">
        <f t="shared" si="4"/>
        <v>24715822.539999999</v>
      </c>
      <c r="CC11" s="53">
        <f t="shared" si="4"/>
        <v>24876141.619999997</v>
      </c>
      <c r="CD11" s="53">
        <f t="shared" si="4"/>
        <v>25705311.419999998</v>
      </c>
      <c r="CE11" s="53">
        <f t="shared" si="4"/>
        <v>25553793.759999998</v>
      </c>
      <c r="CF11" s="53">
        <f t="shared" ref="CF11" si="5">CF14-CF22</f>
        <v>0</v>
      </c>
      <c r="CG11" s="53">
        <f t="shared" ref="CG11:CI11" si="6">CG14-CG22</f>
        <v>21290459.559999999</v>
      </c>
      <c r="CH11" s="53">
        <f t="shared" si="6"/>
        <v>21525681.559999999</v>
      </c>
      <c r="CI11" s="53">
        <f t="shared" si="6"/>
        <v>22828247.639999997</v>
      </c>
      <c r="CJ11" s="53">
        <f t="shared" ref="CJ11:CL11" si="7">CJ14-CJ22</f>
        <v>22919085.059999999</v>
      </c>
      <c r="CK11" s="53">
        <f t="shared" si="7"/>
        <v>23546511.669999998</v>
      </c>
      <c r="CL11" s="53">
        <f t="shared" si="7"/>
        <v>23949260.449999999</v>
      </c>
      <c r="CM11" s="53">
        <f t="shared" ref="CM11:CN11" si="8">CM14-CM22</f>
        <v>24870734.91</v>
      </c>
      <c r="CN11" s="53">
        <f t="shared" si="8"/>
        <v>25336094.98</v>
      </c>
      <c r="CO11" s="53">
        <f t="shared" ref="CO11" si="9">CO14-CO22</f>
        <v>25509780.640000001</v>
      </c>
    </row>
    <row r="12" spans="1:93" s="14" customFormat="1">
      <c r="A12" s="28">
        <v>5.2</v>
      </c>
      <c r="B12" s="16" t="s">
        <v>248</v>
      </c>
      <c r="C12" s="53" t="e">
        <f>C11-C15</f>
        <v>#REF!</v>
      </c>
      <c r="D12" s="53" t="e">
        <f t="shared" ref="D12:K12" si="10">D11-D15</f>
        <v>#REF!</v>
      </c>
      <c r="E12" s="53" t="e">
        <f>E11-E15</f>
        <v>#REF!</v>
      </c>
      <c r="F12" s="53" t="e">
        <f>F11-F15</f>
        <v>#REF!</v>
      </c>
      <c r="G12" s="53" t="e">
        <f t="shared" si="10"/>
        <v>#REF!</v>
      </c>
      <c r="H12" s="53" t="e">
        <f t="shared" si="10"/>
        <v>#REF!</v>
      </c>
      <c r="I12" s="53" t="e">
        <f t="shared" si="10"/>
        <v>#REF!</v>
      </c>
      <c r="J12" s="53" t="e">
        <f t="shared" si="10"/>
        <v>#REF!</v>
      </c>
      <c r="K12" s="53" t="e">
        <f t="shared" si="10"/>
        <v>#REF!</v>
      </c>
      <c r="L12" s="53" t="e">
        <f>L11-L15</f>
        <v>#REF!</v>
      </c>
      <c r="M12" s="53" t="e">
        <f t="shared" ref="M12:X12" si="11">M11-M15</f>
        <v>#REF!</v>
      </c>
      <c r="N12" s="53" t="e">
        <f t="shared" si="11"/>
        <v>#REF!</v>
      </c>
      <c r="O12" s="53" t="e">
        <f t="shared" si="11"/>
        <v>#REF!</v>
      </c>
      <c r="P12" s="53" t="e">
        <f t="shared" si="11"/>
        <v>#REF!</v>
      </c>
      <c r="Q12" s="53" t="e">
        <f t="shared" si="11"/>
        <v>#REF!</v>
      </c>
      <c r="R12" s="53" t="e">
        <f t="shared" si="11"/>
        <v>#REF!</v>
      </c>
      <c r="S12" s="53" t="e">
        <f t="shared" si="11"/>
        <v>#REF!</v>
      </c>
      <c r="T12" s="53" t="e">
        <f t="shared" si="11"/>
        <v>#REF!</v>
      </c>
      <c r="U12" s="53" t="e">
        <f t="shared" si="11"/>
        <v>#REF!</v>
      </c>
      <c r="V12" s="53" t="e">
        <f t="shared" si="11"/>
        <v>#REF!</v>
      </c>
      <c r="W12" s="53" t="e">
        <f t="shared" si="11"/>
        <v>#REF!</v>
      </c>
      <c r="X12" s="53" t="e">
        <f t="shared" si="11"/>
        <v>#REF!</v>
      </c>
      <c r="Y12" s="53" t="e">
        <f>Y11-Y15</f>
        <v>#REF!</v>
      </c>
      <c r="Z12" s="53" t="e">
        <f t="shared" ref="Z12:AF12" si="12">Z11-Z15</f>
        <v>#REF!</v>
      </c>
      <c r="AA12" s="53" t="e">
        <f t="shared" si="12"/>
        <v>#REF!</v>
      </c>
      <c r="AB12" s="53" t="e">
        <f t="shared" si="12"/>
        <v>#REF!</v>
      </c>
      <c r="AC12" s="53" t="e">
        <f t="shared" si="12"/>
        <v>#REF!</v>
      </c>
      <c r="AD12" s="53" t="e">
        <f t="shared" si="12"/>
        <v>#REF!</v>
      </c>
      <c r="AE12" s="53" t="e">
        <f t="shared" si="12"/>
        <v>#REF!</v>
      </c>
      <c r="AF12" s="53" t="e">
        <f t="shared" si="12"/>
        <v>#REF!</v>
      </c>
      <c r="AG12" s="53" t="e">
        <f t="shared" ref="AG12:AY12" si="13">AG11-AG15</f>
        <v>#REF!</v>
      </c>
      <c r="AH12" s="53" t="e">
        <f t="shared" si="13"/>
        <v>#REF!</v>
      </c>
      <c r="AI12" s="53" t="e">
        <f>AI11-AI15</f>
        <v>#REF!</v>
      </c>
      <c r="AJ12" s="53" t="e">
        <f>AJ11-AJ15</f>
        <v>#REF!</v>
      </c>
      <c r="AK12" s="53" t="e">
        <f>AK11-AK15</f>
        <v>#REF!</v>
      </c>
      <c r="AL12" s="53" t="e">
        <f>AL11-AL15</f>
        <v>#REF!</v>
      </c>
      <c r="AM12" s="53" t="e">
        <f>AM11-AM15</f>
        <v>#REF!</v>
      </c>
      <c r="AN12" s="53" t="e">
        <f t="shared" si="13"/>
        <v>#REF!</v>
      </c>
      <c r="AO12" s="53" t="e">
        <f t="shared" si="13"/>
        <v>#REF!</v>
      </c>
      <c r="AP12" s="53" t="e">
        <f t="shared" si="13"/>
        <v>#REF!</v>
      </c>
      <c r="AQ12" s="53" t="e">
        <f t="shared" si="13"/>
        <v>#REF!</v>
      </c>
      <c r="AR12" s="53" t="e">
        <f t="shared" si="13"/>
        <v>#REF!</v>
      </c>
      <c r="AS12" s="53">
        <f>AS11-AS15</f>
        <v>5451036</v>
      </c>
      <c r="AT12" s="53">
        <f t="shared" si="13"/>
        <v>5403172.5399999991</v>
      </c>
      <c r="AU12" s="53">
        <f t="shared" si="13"/>
        <v>5749228.0299999975</v>
      </c>
      <c r="AV12" s="53">
        <f t="shared" si="13"/>
        <v>6883992.4699999988</v>
      </c>
      <c r="AW12" s="53">
        <f t="shared" si="13"/>
        <v>7225424.4199999981</v>
      </c>
      <c r="AX12" s="53">
        <f t="shared" si="13"/>
        <v>7707490.6199999973</v>
      </c>
      <c r="AY12" s="53">
        <f t="shared" si="13"/>
        <v>8161928.9699999969</v>
      </c>
      <c r="AZ12" s="53" t="e">
        <f t="shared" ref="AZ12:BF12" si="14">AZ11-AZ15</f>
        <v>#REF!</v>
      </c>
      <c r="BA12" s="53">
        <f t="shared" si="14"/>
        <v>9176656.5999999996</v>
      </c>
      <c r="BB12" s="53">
        <f t="shared" si="14"/>
        <v>9610401.2199999969</v>
      </c>
      <c r="BC12" s="53">
        <f t="shared" si="14"/>
        <v>10171014.149999997</v>
      </c>
      <c r="BD12" s="53">
        <f t="shared" si="14"/>
        <v>10557599.199999997</v>
      </c>
      <c r="BE12" s="53">
        <f t="shared" si="14"/>
        <v>10306255.319999998</v>
      </c>
      <c r="BF12" s="53">
        <f t="shared" si="14"/>
        <v>5749773</v>
      </c>
      <c r="BG12" s="53">
        <f t="shared" ref="BG12:BN12" si="15">BG11-BG15</f>
        <v>5553074.2699999977</v>
      </c>
      <c r="BH12" s="53">
        <f t="shared" si="15"/>
        <v>5749068.6099999975</v>
      </c>
      <c r="BI12" s="53">
        <f t="shared" si="15"/>
        <v>6977035.3099999968</v>
      </c>
      <c r="BJ12" s="53">
        <f t="shared" si="15"/>
        <v>7365620.0099999979</v>
      </c>
      <c r="BK12" s="53">
        <f t="shared" si="15"/>
        <v>7801229.3899999969</v>
      </c>
      <c r="BL12" s="53">
        <f t="shared" si="15"/>
        <v>8180309.2400000002</v>
      </c>
      <c r="BM12" s="53">
        <f t="shared" si="15"/>
        <v>8969347.4699999969</v>
      </c>
      <c r="BN12" s="53">
        <f t="shared" si="15"/>
        <v>9385475.4000000004</v>
      </c>
      <c r="BO12" s="53">
        <f t="shared" ref="BO12:BS12" si="16">BO11-BO15</f>
        <v>9836201.5099999998</v>
      </c>
      <c r="BP12" s="53">
        <f t="shared" si="16"/>
        <v>10534565.999999998</v>
      </c>
      <c r="BQ12" s="53">
        <f t="shared" si="16"/>
        <v>10697942.689999999</v>
      </c>
      <c r="BR12" s="53">
        <f t="shared" si="16"/>
        <v>10668352.839999996</v>
      </c>
      <c r="BS12" s="53">
        <f t="shared" si="16"/>
        <v>10134082</v>
      </c>
      <c r="BT12" s="53">
        <f t="shared" ref="BT12:CE12" si="17">BT11-BT15</f>
        <v>6507498.6099999994</v>
      </c>
      <c r="BU12" s="53">
        <f t="shared" si="17"/>
        <v>6598176.379999999</v>
      </c>
      <c r="BV12" s="53">
        <f t="shared" si="17"/>
        <v>8442941.8699999973</v>
      </c>
      <c r="BW12" s="53">
        <f t="shared" si="17"/>
        <v>8838878.2199999988</v>
      </c>
      <c r="BX12" s="53">
        <f t="shared" si="17"/>
        <v>9304550.6799999997</v>
      </c>
      <c r="BY12" s="53">
        <f t="shared" si="17"/>
        <v>9758188.3999999985</v>
      </c>
      <c r="BZ12" s="53">
        <f t="shared" si="17"/>
        <v>10257531.299999997</v>
      </c>
      <c r="CA12" s="53">
        <f t="shared" si="17"/>
        <v>10853371.869999999</v>
      </c>
      <c r="CB12" s="53">
        <f t="shared" si="17"/>
        <v>11355370.219999999</v>
      </c>
      <c r="CC12" s="53">
        <f t="shared" si="17"/>
        <v>11515189.299999997</v>
      </c>
      <c r="CD12" s="53">
        <f t="shared" si="17"/>
        <v>12344359.099999998</v>
      </c>
      <c r="CE12" s="53">
        <f t="shared" si="17"/>
        <v>12169441.439999998</v>
      </c>
      <c r="CF12" s="53">
        <f t="shared" ref="CF12" si="18">CF11-CF15</f>
        <v>0</v>
      </c>
      <c r="CG12" s="53">
        <f t="shared" ref="CG12:CI12" si="19">CG11-CG15</f>
        <v>7904807.2399999984</v>
      </c>
      <c r="CH12" s="53">
        <f t="shared" si="19"/>
        <v>8138729.2399999984</v>
      </c>
      <c r="CI12" s="53">
        <f t="shared" si="19"/>
        <v>9440795.3199999966</v>
      </c>
      <c r="CJ12" s="53">
        <f t="shared" ref="CJ12:CL12" si="20">CJ11-CJ15</f>
        <v>9530632.7399999984</v>
      </c>
      <c r="CK12" s="53">
        <f t="shared" si="20"/>
        <v>10157559.349999998</v>
      </c>
      <c r="CL12" s="53">
        <f t="shared" si="20"/>
        <v>10559808.129999999</v>
      </c>
      <c r="CM12" s="53">
        <f t="shared" ref="CM12:CN12" si="21">CM11-CM15</f>
        <v>11480782.59</v>
      </c>
      <c r="CN12" s="53">
        <f t="shared" si="21"/>
        <v>11940815.610000001</v>
      </c>
      <c r="CO12" s="53">
        <f t="shared" ref="CO12" si="22">CO11-CO15</f>
        <v>12114501.270000001</v>
      </c>
    </row>
    <row r="13" spans="1:93">
      <c r="A13" s="20"/>
      <c r="B13" s="16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</row>
    <row r="14" spans="1:93" s="14" customFormat="1">
      <c r="A14" s="28">
        <v>5.3</v>
      </c>
      <c r="B14" s="16" t="s">
        <v>249</v>
      </c>
      <c r="C14" s="53" t="e">
        <f>C15+C16+C17+C18+C19+C20+C21</f>
        <v>#REF!</v>
      </c>
      <c r="D14" s="53" t="e">
        <f t="shared" ref="D14:K14" si="23">D15+D16+D17+D18+D19+D20+D21</f>
        <v>#REF!</v>
      </c>
      <c r="E14" s="53" t="e">
        <f>E15+E16+E17+E18+E19+E20+E21</f>
        <v>#REF!</v>
      </c>
      <c r="F14" s="53" t="e">
        <f>F15+F16+F17+F18+F19+F20+F21</f>
        <v>#REF!</v>
      </c>
      <c r="G14" s="53" t="e">
        <f t="shared" si="23"/>
        <v>#REF!</v>
      </c>
      <c r="H14" s="53" t="e">
        <f t="shared" si="23"/>
        <v>#REF!</v>
      </c>
      <c r="I14" s="53" t="e">
        <f t="shared" si="23"/>
        <v>#REF!</v>
      </c>
      <c r="J14" s="53" t="e">
        <f t="shared" si="23"/>
        <v>#REF!</v>
      </c>
      <c r="K14" s="53" t="e">
        <f t="shared" si="23"/>
        <v>#REF!</v>
      </c>
      <c r="L14" s="53" t="e">
        <f>L15+L16+L17+L18+L19+L20+L21</f>
        <v>#REF!</v>
      </c>
      <c r="M14" s="53" t="e">
        <f t="shared" ref="M14:R14" si="24">M15+M16+M17+M18+M19+M20+M21</f>
        <v>#REF!</v>
      </c>
      <c r="N14" s="53" t="e">
        <f t="shared" si="24"/>
        <v>#REF!</v>
      </c>
      <c r="O14" s="53" t="e">
        <f t="shared" si="24"/>
        <v>#REF!</v>
      </c>
      <c r="P14" s="53" t="e">
        <f t="shared" si="24"/>
        <v>#REF!</v>
      </c>
      <c r="Q14" s="53" t="e">
        <f t="shared" si="24"/>
        <v>#REF!</v>
      </c>
      <c r="R14" s="53" t="e">
        <f t="shared" si="24"/>
        <v>#REF!</v>
      </c>
      <c r="S14" s="53" t="e">
        <f t="shared" ref="S14:Y14" si="25">S15+S16+S17+S18+S19+S20+S21</f>
        <v>#REF!</v>
      </c>
      <c r="T14" s="53" t="e">
        <f t="shared" si="25"/>
        <v>#REF!</v>
      </c>
      <c r="U14" s="53" t="e">
        <f t="shared" si="25"/>
        <v>#REF!</v>
      </c>
      <c r="V14" s="53" t="e">
        <f t="shared" si="25"/>
        <v>#REF!</v>
      </c>
      <c r="W14" s="53" t="e">
        <f t="shared" si="25"/>
        <v>#REF!</v>
      </c>
      <c r="X14" s="53" t="e">
        <f t="shared" si="25"/>
        <v>#REF!</v>
      </c>
      <c r="Y14" s="53" t="e">
        <f t="shared" si="25"/>
        <v>#REF!</v>
      </c>
      <c r="Z14" s="53" t="e">
        <f t="shared" ref="Z14:AF14" si="26">Z15+Z16+Z17+Z18+Z19+Z20+Z21</f>
        <v>#REF!</v>
      </c>
      <c r="AA14" s="53" t="e">
        <f t="shared" si="26"/>
        <v>#REF!</v>
      </c>
      <c r="AB14" s="53" t="e">
        <f t="shared" si="26"/>
        <v>#REF!</v>
      </c>
      <c r="AC14" s="53" t="e">
        <f t="shared" si="26"/>
        <v>#REF!</v>
      </c>
      <c r="AD14" s="53" t="e">
        <f t="shared" si="26"/>
        <v>#REF!</v>
      </c>
      <c r="AE14" s="53" t="e">
        <f t="shared" si="26"/>
        <v>#REF!</v>
      </c>
      <c r="AF14" s="53" t="e">
        <f t="shared" si="26"/>
        <v>#REF!</v>
      </c>
      <c r="AG14" s="53" t="e">
        <f t="shared" ref="AG14:AY14" si="27">AG15+AG16+AG17+AG18+AG19+AG20+AG21</f>
        <v>#REF!</v>
      </c>
      <c r="AH14" s="53" t="e">
        <f t="shared" si="27"/>
        <v>#REF!</v>
      </c>
      <c r="AI14" s="53" t="e">
        <f>AI15+AI16+AI17+AI18+AI19+AI20+AI21</f>
        <v>#REF!</v>
      </c>
      <c r="AJ14" s="53" t="e">
        <f>AJ15+AJ16+AJ17+AJ18+AJ19+AJ20+AJ21</f>
        <v>#REF!</v>
      </c>
      <c r="AK14" s="53" t="e">
        <f>AK15+AK16+AK17+AK18+AK19+AK20+AK21</f>
        <v>#REF!</v>
      </c>
      <c r="AL14" s="53" t="e">
        <f>AL15+AL16+AL17+AL18+AL19+AL20+AL21</f>
        <v>#REF!</v>
      </c>
      <c r="AM14" s="53" t="e">
        <f>AM15+AM16+AM17+AM18+AM19+AM20+AM21</f>
        <v>#REF!</v>
      </c>
      <c r="AN14" s="53" t="e">
        <f t="shared" si="27"/>
        <v>#REF!</v>
      </c>
      <c r="AO14" s="53" t="e">
        <f t="shared" si="27"/>
        <v>#REF!</v>
      </c>
      <c r="AP14" s="53" t="e">
        <f t="shared" si="27"/>
        <v>#REF!</v>
      </c>
      <c r="AQ14" s="53" t="e">
        <f t="shared" si="27"/>
        <v>#REF!</v>
      </c>
      <c r="AR14" s="53" t="e">
        <f t="shared" si="27"/>
        <v>#REF!</v>
      </c>
      <c r="AS14" s="53">
        <f t="shared" si="27"/>
        <v>18417388</v>
      </c>
      <c r="AT14" s="53">
        <f t="shared" si="27"/>
        <v>18374324.449999999</v>
      </c>
      <c r="AU14" s="53">
        <f t="shared" si="27"/>
        <v>18722379.939999998</v>
      </c>
      <c r="AV14" s="53">
        <f t="shared" si="27"/>
        <v>19858144.379999999</v>
      </c>
      <c r="AW14" s="53">
        <f t="shared" si="27"/>
        <v>20201076.329999998</v>
      </c>
      <c r="AX14" s="53">
        <f t="shared" si="27"/>
        <v>20684642.529999997</v>
      </c>
      <c r="AY14" s="53">
        <f t="shared" si="27"/>
        <v>21140937.049999997</v>
      </c>
      <c r="AZ14" s="53" t="e">
        <f t="shared" ref="AZ14:BF14" si="28">AZ15+AZ16+AZ17+AZ18+AZ19+AZ20+AZ21</f>
        <v>#REF!</v>
      </c>
      <c r="BA14" s="53">
        <f t="shared" si="28"/>
        <v>22281500.859999999</v>
      </c>
      <c r="BB14" s="53">
        <f t="shared" si="28"/>
        <v>22716745.479999997</v>
      </c>
      <c r="BC14" s="53">
        <f t="shared" si="28"/>
        <v>23279858.409999996</v>
      </c>
      <c r="BD14" s="53">
        <f t="shared" si="28"/>
        <v>23667943.459999997</v>
      </c>
      <c r="BE14" s="53">
        <f t="shared" si="28"/>
        <v>23418899.579999998</v>
      </c>
      <c r="BF14" s="53">
        <f t="shared" si="28"/>
        <v>18862417</v>
      </c>
      <c r="BG14" s="53">
        <f t="shared" ref="BG14:BN14" si="29">BG15+BG16+BG17+BG18+BG19+BG20+BG21</f>
        <v>18665718.529999997</v>
      </c>
      <c r="BH14" s="53">
        <f t="shared" si="29"/>
        <v>18862712.869999997</v>
      </c>
      <c r="BI14" s="53">
        <f t="shared" si="29"/>
        <v>20093179.569999997</v>
      </c>
      <c r="BJ14" s="53">
        <f t="shared" si="29"/>
        <v>20485243.709999997</v>
      </c>
      <c r="BK14" s="53">
        <f t="shared" si="29"/>
        <v>20923853.089999996</v>
      </c>
      <c r="BL14" s="53">
        <f t="shared" si="29"/>
        <v>21420994.98</v>
      </c>
      <c r="BM14" s="53">
        <f t="shared" si="29"/>
        <v>22214533.209999997</v>
      </c>
      <c r="BN14" s="53">
        <f t="shared" si="29"/>
        <v>22631372.91</v>
      </c>
      <c r="BO14" s="53">
        <f t="shared" ref="BO14:BS14" si="30">BO15+BO16+BO17+BO18+BO19+BO20+BO21</f>
        <v>23082099.02</v>
      </c>
      <c r="BP14" s="53">
        <f t="shared" si="30"/>
        <v>23784263.509999998</v>
      </c>
      <c r="BQ14" s="53">
        <f t="shared" si="30"/>
        <v>23949440.199999999</v>
      </c>
      <c r="BR14" s="53">
        <f t="shared" si="30"/>
        <v>23974175.819999997</v>
      </c>
      <c r="BS14" s="53">
        <f t="shared" si="30"/>
        <v>20738710</v>
      </c>
      <c r="BT14" s="53">
        <f t="shared" ref="BT14:CE14" si="31">BT15+BT16+BT17+BT18+BT19+BT20+BT21</f>
        <v>19814821.59</v>
      </c>
      <c r="BU14" s="53">
        <f t="shared" si="31"/>
        <v>19906999.359999999</v>
      </c>
      <c r="BV14" s="53">
        <f t="shared" si="31"/>
        <v>21754564.849999998</v>
      </c>
      <c r="BW14" s="53">
        <f t="shared" si="31"/>
        <v>22151001.199999999</v>
      </c>
      <c r="BX14" s="53">
        <f t="shared" si="31"/>
        <v>22620173.66</v>
      </c>
      <c r="BY14" s="53">
        <f t="shared" si="31"/>
        <v>23074311.379999999</v>
      </c>
      <c r="BZ14" s="53">
        <f t="shared" si="31"/>
        <v>23576154.279999997</v>
      </c>
      <c r="CA14" s="53">
        <f t="shared" si="31"/>
        <v>24172617.489999998</v>
      </c>
      <c r="CB14" s="53">
        <f t="shared" si="31"/>
        <v>24715822.539999999</v>
      </c>
      <c r="CC14" s="53">
        <f t="shared" si="31"/>
        <v>24876141.619999997</v>
      </c>
      <c r="CD14" s="53">
        <f t="shared" si="31"/>
        <v>25705311.419999998</v>
      </c>
      <c r="CE14" s="53">
        <f t="shared" si="31"/>
        <v>25553793.759999998</v>
      </c>
      <c r="CF14" s="53">
        <f t="shared" ref="CF14" si="32">CF15+CF16+CF17+CF18+CF19+CF20+CF21</f>
        <v>0</v>
      </c>
      <c r="CG14" s="53">
        <f t="shared" ref="CG14:CI14" si="33">CG15+CG16+CG17+CG18+CG19+CG20+CG21</f>
        <v>21290459.559999999</v>
      </c>
      <c r="CH14" s="53">
        <f t="shared" si="33"/>
        <v>21525681.559999999</v>
      </c>
      <c r="CI14" s="53">
        <f t="shared" si="33"/>
        <v>22828247.639999997</v>
      </c>
      <c r="CJ14" s="53">
        <f t="shared" ref="CJ14:CL14" si="34">CJ15+CJ16+CJ17+CJ18+CJ19+CJ20+CJ21</f>
        <v>22919085.059999999</v>
      </c>
      <c r="CK14" s="53">
        <f t="shared" si="34"/>
        <v>23546511.669999998</v>
      </c>
      <c r="CL14" s="53">
        <f t="shared" si="34"/>
        <v>23949260.449999999</v>
      </c>
      <c r="CM14" s="53">
        <f t="shared" ref="CM14:CN14" si="35">CM15+CM16+CM17+CM18+CM19+CM20+CM21</f>
        <v>24870734.91</v>
      </c>
      <c r="CN14" s="53">
        <f t="shared" si="35"/>
        <v>25336094.98</v>
      </c>
      <c r="CO14" s="53">
        <f t="shared" ref="CO14" si="36">CO15+CO16+CO17+CO18+CO19+CO20+CO21</f>
        <v>25509780.640000001</v>
      </c>
    </row>
    <row r="15" spans="1:93">
      <c r="A15" s="20" t="s">
        <v>250</v>
      </c>
      <c r="B15" s="21" t="s">
        <v>251</v>
      </c>
      <c r="C15" s="52" t="e">
        <f>'Evolutive SFP'!#REF!</f>
        <v>#REF!</v>
      </c>
      <c r="D15" s="52" t="e">
        <f>'Evolutive SFP'!#REF!</f>
        <v>#REF!</v>
      </c>
      <c r="E15" s="52" t="e">
        <f>'Evolutive SFP'!#REF!</f>
        <v>#REF!</v>
      </c>
      <c r="F15" s="52" t="e">
        <f>'Evolutive SFP'!#REF!</f>
        <v>#REF!</v>
      </c>
      <c r="G15" s="52" t="e">
        <f>'Evolutive SFP'!#REF!</f>
        <v>#REF!</v>
      </c>
      <c r="H15" s="52" t="e">
        <f>'Evolutive SFP'!#REF!</f>
        <v>#REF!</v>
      </c>
      <c r="I15" s="52" t="e">
        <f>'Evolutive SFP'!#REF!</f>
        <v>#REF!</v>
      </c>
      <c r="J15" s="52" t="e">
        <f>'Evolutive SFP'!#REF!</f>
        <v>#REF!</v>
      </c>
      <c r="K15" s="52" t="e">
        <f>'Evolutive SFP'!#REF!</f>
        <v>#REF!</v>
      </c>
      <c r="L15" s="52" t="e">
        <f>'Evolutive SFP'!#REF!</f>
        <v>#REF!</v>
      </c>
      <c r="M15" s="52" t="e">
        <f>'Evolutive SFP'!#REF!</f>
        <v>#REF!</v>
      </c>
      <c r="N15" s="52" t="e">
        <f>'Evolutive SFP'!#REF!</f>
        <v>#REF!</v>
      </c>
      <c r="O15" s="52" t="e">
        <f>'Evolutive SFP'!#REF!</f>
        <v>#REF!</v>
      </c>
      <c r="P15" s="52" t="e">
        <f>'Evolutive SFP'!#REF!</f>
        <v>#REF!</v>
      </c>
      <c r="Q15" s="52" t="e">
        <f>'Evolutive SFP'!#REF!</f>
        <v>#REF!</v>
      </c>
      <c r="R15" s="52" t="e">
        <f>'Evolutive SFP'!#REF!</f>
        <v>#REF!</v>
      </c>
      <c r="S15" s="52" t="e">
        <f>'Evolutive SFP'!#REF!</f>
        <v>#REF!</v>
      </c>
      <c r="T15" s="52" t="e">
        <f>'Evolutive SFP'!#REF!</f>
        <v>#REF!</v>
      </c>
      <c r="U15" s="52" t="e">
        <f>'Evolutive SFP'!#REF!</f>
        <v>#REF!</v>
      </c>
      <c r="V15" s="52" t="e">
        <f>'Evolutive SFP'!#REF!</f>
        <v>#REF!</v>
      </c>
      <c r="W15" s="52" t="e">
        <f>'Evolutive SFP'!#REF!</f>
        <v>#REF!</v>
      </c>
      <c r="X15" s="52" t="e">
        <f>'Evolutive SFP'!#REF!</f>
        <v>#REF!</v>
      </c>
      <c r="Y15" s="52" t="e">
        <f>'Evolutive SFP'!#REF!</f>
        <v>#REF!</v>
      </c>
      <c r="Z15" s="52" t="e">
        <f>'Evolutive SFP'!#REF!</f>
        <v>#REF!</v>
      </c>
      <c r="AA15" s="52" t="e">
        <f>'Evolutive SFP'!#REF!</f>
        <v>#REF!</v>
      </c>
      <c r="AB15" s="52" t="e">
        <f>'Evolutive SFP'!#REF!</f>
        <v>#REF!</v>
      </c>
      <c r="AC15" s="52" t="e">
        <f>'Evolutive SFP'!#REF!</f>
        <v>#REF!</v>
      </c>
      <c r="AD15" s="52" t="e">
        <f>'Evolutive SFP'!#REF!</f>
        <v>#REF!</v>
      </c>
      <c r="AE15" s="52" t="e">
        <f>'Evolutive SFP'!#REF!</f>
        <v>#REF!</v>
      </c>
      <c r="AF15" s="52" t="e">
        <f>'Evolutive SFP'!#REF!</f>
        <v>#REF!</v>
      </c>
      <c r="AG15" s="52" t="e">
        <f>'Evolutive SFP'!#REF!</f>
        <v>#REF!</v>
      </c>
      <c r="AH15" s="52" t="e">
        <f>'Evolutive SFP'!#REF!</f>
        <v>#REF!</v>
      </c>
      <c r="AI15" s="52" t="e">
        <f>'Evolutive SFP'!#REF!</f>
        <v>#REF!</v>
      </c>
      <c r="AJ15" s="52" t="e">
        <f>'Evolutive SFP'!#REF!</f>
        <v>#REF!</v>
      </c>
      <c r="AK15" s="52" t="e">
        <f>'Evolutive SFP'!#REF!</f>
        <v>#REF!</v>
      </c>
      <c r="AL15" s="52" t="e">
        <f>'Evolutive SFP'!#REF!</f>
        <v>#REF!</v>
      </c>
      <c r="AM15" s="52" t="e">
        <f>'Evolutive SFP'!#REF!</f>
        <v>#REF!</v>
      </c>
      <c r="AN15" s="52" t="e">
        <f>'Evolutive SFP'!#REF!</f>
        <v>#REF!</v>
      </c>
      <c r="AO15" s="52" t="e">
        <f>'Evolutive SFP'!#REF!</f>
        <v>#REF!</v>
      </c>
      <c r="AP15" s="52" t="e">
        <f>'Evolutive SFP'!#REF!</f>
        <v>#REF!</v>
      </c>
      <c r="AQ15" s="52" t="e">
        <f>'Evolutive SFP'!#REF!</f>
        <v>#REF!</v>
      </c>
      <c r="AR15" s="52" t="e">
        <f>'Evolutive SFP'!#REF!</f>
        <v>#REF!</v>
      </c>
      <c r="AS15" s="52">
        <f>'Evolutive SFP'!AH39</f>
        <v>12966352</v>
      </c>
      <c r="AT15" s="52">
        <f>'Evolutive SFP'!AI39</f>
        <v>12971151.91</v>
      </c>
      <c r="AU15" s="52">
        <f>'Evolutive SFP'!AJ39</f>
        <v>12973151.91</v>
      </c>
      <c r="AV15" s="52">
        <f>'Evolutive SFP'!AK39</f>
        <v>12974151.91</v>
      </c>
      <c r="AW15" s="52">
        <f>'Evolutive SFP'!AL39</f>
        <v>12975651.91</v>
      </c>
      <c r="AX15" s="52">
        <f>'Evolutive SFP'!AM39</f>
        <v>12977151.91</v>
      </c>
      <c r="AY15" s="52">
        <f>'Evolutive SFP'!AN39</f>
        <v>12979008.08</v>
      </c>
      <c r="AZ15" s="52" t="e">
        <f>'Evolutive SFP'!#REF!</f>
        <v>#REF!</v>
      </c>
      <c r="BA15" s="52">
        <f>'Evolutive SFP'!AO39</f>
        <v>13104844.26</v>
      </c>
      <c r="BB15" s="52">
        <f>'Evolutive SFP'!AP39</f>
        <v>13106344.26</v>
      </c>
      <c r="BC15" s="52">
        <f>'Evolutive SFP'!AQ39</f>
        <v>13108844.26</v>
      </c>
      <c r="BD15" s="52">
        <f>'Evolutive SFP'!AR39</f>
        <v>13110344.26</v>
      </c>
      <c r="BE15" s="52">
        <f>'Evolutive SFP'!AS39</f>
        <v>13112644.26</v>
      </c>
      <c r="BF15" s="52">
        <f>'Evolutive SFP'!AT39</f>
        <v>13112644</v>
      </c>
      <c r="BG15" s="52">
        <f>'Evolutive SFP'!AU39</f>
        <v>13112644.26</v>
      </c>
      <c r="BH15" s="52">
        <f>'Evolutive SFP'!AV39</f>
        <v>13113644.26</v>
      </c>
      <c r="BI15" s="52">
        <f>'Evolutive SFP'!AW39</f>
        <v>13116144.26</v>
      </c>
      <c r="BJ15" s="52">
        <f>'Evolutive SFP'!AX39</f>
        <v>13119623.699999999</v>
      </c>
      <c r="BK15" s="52">
        <f>'Evolutive SFP'!AY39</f>
        <v>13122623.699999999</v>
      </c>
      <c r="BL15" s="52">
        <f>'Evolutive SFP'!AZ39</f>
        <v>13240685.74</v>
      </c>
      <c r="BM15" s="52">
        <f>'Evolutive SFP'!BA39</f>
        <v>13245185.74</v>
      </c>
      <c r="BN15" s="52">
        <f>'Evolutive SFP'!BB39</f>
        <v>13245897.51</v>
      </c>
      <c r="BO15" s="52">
        <f>'Evolutive SFP'!BC39</f>
        <v>13245897.51</v>
      </c>
      <c r="BP15" s="52">
        <f>'Evolutive SFP'!BD39</f>
        <v>13249697.51</v>
      </c>
      <c r="BQ15" s="52">
        <f>'Evolutive SFP'!BE39</f>
        <v>13251497.51</v>
      </c>
      <c r="BR15" s="52">
        <f>'Evolutive SFP'!BF39</f>
        <v>13305822.98</v>
      </c>
      <c r="BS15" s="52">
        <f>'Evolutive SFP'!BG39</f>
        <v>10604628</v>
      </c>
      <c r="BT15" s="52">
        <f>'Evolutive SFP'!BH39</f>
        <v>13307322.98</v>
      </c>
      <c r="BU15" s="52">
        <f>'Evolutive SFP'!BI39</f>
        <v>13308822.98</v>
      </c>
      <c r="BV15" s="52">
        <f>'Evolutive SFP'!BJ39</f>
        <v>13311622.98</v>
      </c>
      <c r="BW15" s="52">
        <f>'Evolutive SFP'!BK39</f>
        <v>13312122.98</v>
      </c>
      <c r="BX15" s="52">
        <f>'Evolutive SFP'!BL39</f>
        <v>13315622.98</v>
      </c>
      <c r="BY15" s="52">
        <f>'Evolutive SFP'!BM39</f>
        <v>13316122.98</v>
      </c>
      <c r="BZ15" s="52">
        <f>'Evolutive SFP'!BN39</f>
        <v>13318622.98</v>
      </c>
      <c r="CA15" s="52">
        <f>'Evolutive SFP'!BO39</f>
        <v>13319245.619999999</v>
      </c>
      <c r="CB15" s="52">
        <f>'Evolutive SFP'!BP39</f>
        <v>13360452.32</v>
      </c>
      <c r="CC15" s="52">
        <f>'Evolutive SFP'!BQ39</f>
        <v>13360952.32</v>
      </c>
      <c r="CD15" s="52">
        <f>'Evolutive SFP'!BR39</f>
        <v>13360952.32</v>
      </c>
      <c r="CE15" s="52">
        <f>'Evolutive SFP'!BS39</f>
        <v>13384352.32</v>
      </c>
      <c r="CF15" s="52">
        <f>'Evolutive SFP'!BT39</f>
        <v>0</v>
      </c>
      <c r="CG15" s="52">
        <f>'Evolutive SFP'!BU39</f>
        <v>13385652.32</v>
      </c>
      <c r="CH15" s="52">
        <f>'Evolutive SFP'!BV39</f>
        <v>13386952.32</v>
      </c>
      <c r="CI15" s="52">
        <f>'Evolutive SFP'!BW39</f>
        <v>13387452.32</v>
      </c>
      <c r="CJ15" s="52">
        <f>'Evolutive SFP'!BX39</f>
        <v>13388452.32</v>
      </c>
      <c r="CK15" s="52">
        <f>'Evolutive SFP'!BY39</f>
        <v>13388952.32</v>
      </c>
      <c r="CL15" s="52">
        <f>'Evolutive SFP'!BZ39</f>
        <v>13389452.32</v>
      </c>
      <c r="CM15" s="52">
        <f>'Evolutive SFP'!CA39</f>
        <v>13389952.32</v>
      </c>
      <c r="CN15" s="52">
        <f>'Evolutive SFP'!CB39</f>
        <v>13395279.369999999</v>
      </c>
      <c r="CO15" s="52">
        <f>'Evolutive SFP'!CC39</f>
        <v>13395279.369999999</v>
      </c>
    </row>
    <row r="16" spans="1:93">
      <c r="A16" s="20" t="s">
        <v>252</v>
      </c>
      <c r="B16" s="22" t="s">
        <v>253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</row>
    <row r="17" spans="1:93">
      <c r="A17" s="20" t="s">
        <v>254</v>
      </c>
      <c r="B17" s="19" t="s">
        <v>255</v>
      </c>
      <c r="C17" s="52" t="e">
        <f>'Evolutive SFP'!#REF!</f>
        <v>#REF!</v>
      </c>
      <c r="D17" s="52" t="e">
        <f>'Evolutive SFP'!#REF!</f>
        <v>#REF!</v>
      </c>
      <c r="E17" s="52" t="e">
        <f>'Evolutive SFP'!#REF!</f>
        <v>#REF!</v>
      </c>
      <c r="F17" s="52" t="e">
        <f>'Evolutive SFP'!#REF!</f>
        <v>#REF!</v>
      </c>
      <c r="G17" s="52" t="e">
        <f>'Evolutive SFP'!#REF!</f>
        <v>#REF!</v>
      </c>
      <c r="H17" s="52" t="e">
        <f>'Evolutive SFP'!#REF!</f>
        <v>#REF!</v>
      </c>
      <c r="I17" s="52" t="e">
        <f>'Evolutive SFP'!#REF!</f>
        <v>#REF!</v>
      </c>
      <c r="J17" s="52" t="e">
        <f>'Evolutive SFP'!#REF!</f>
        <v>#REF!</v>
      </c>
      <c r="K17" s="52" t="e">
        <f>'Evolutive SFP'!#REF!</f>
        <v>#REF!</v>
      </c>
      <c r="L17" s="52" t="e">
        <f>'Evolutive SFP'!#REF!</f>
        <v>#REF!</v>
      </c>
      <c r="M17" s="52" t="e">
        <f>'Evolutive SFP'!#REF!</f>
        <v>#REF!</v>
      </c>
      <c r="N17" s="52" t="e">
        <f>'Evolutive SFP'!#REF!</f>
        <v>#REF!</v>
      </c>
      <c r="O17" s="52" t="e">
        <f>'Evolutive SFP'!#REF!</f>
        <v>#REF!</v>
      </c>
      <c r="P17" s="52" t="e">
        <f>'Evolutive SFP'!#REF!</f>
        <v>#REF!</v>
      </c>
      <c r="Q17" s="52" t="e">
        <f>'Evolutive SFP'!#REF!</f>
        <v>#REF!</v>
      </c>
      <c r="R17" s="52" t="e">
        <f>'Evolutive SFP'!#REF!</f>
        <v>#REF!</v>
      </c>
      <c r="S17" s="52" t="e">
        <f>'Evolutive SFP'!#REF!</f>
        <v>#REF!</v>
      </c>
      <c r="T17" s="52" t="e">
        <f>'Evolutive SFP'!#REF!</f>
        <v>#REF!</v>
      </c>
      <c r="U17" s="52" t="e">
        <f>'Evolutive SFP'!#REF!</f>
        <v>#REF!</v>
      </c>
      <c r="V17" s="52" t="e">
        <f>'Evolutive SFP'!#REF!</f>
        <v>#REF!</v>
      </c>
      <c r="W17" s="52" t="e">
        <f>'Evolutive SFP'!#REF!</f>
        <v>#REF!</v>
      </c>
      <c r="X17" s="52" t="e">
        <f>'Evolutive SFP'!#REF!</f>
        <v>#REF!</v>
      </c>
      <c r="Y17" s="52" t="e">
        <f>'Evolutive SFP'!#REF!</f>
        <v>#REF!</v>
      </c>
      <c r="Z17" s="52" t="e">
        <f>'Evolutive SFP'!#REF!</f>
        <v>#REF!</v>
      </c>
      <c r="AA17" s="52" t="e">
        <f>'Evolutive SFP'!#REF!</f>
        <v>#REF!</v>
      </c>
      <c r="AB17" s="52" t="e">
        <f>'Evolutive SFP'!#REF!</f>
        <v>#REF!</v>
      </c>
      <c r="AC17" s="52" t="e">
        <f>'Evolutive SFP'!#REF!</f>
        <v>#REF!</v>
      </c>
      <c r="AD17" s="52" t="e">
        <f>'Evolutive SFP'!#REF!</f>
        <v>#REF!</v>
      </c>
      <c r="AE17" s="52" t="e">
        <f>'Evolutive SFP'!#REF!</f>
        <v>#REF!</v>
      </c>
      <c r="AF17" s="52" t="e">
        <f>'Evolutive SFP'!#REF!</f>
        <v>#REF!</v>
      </c>
      <c r="AG17" s="52" t="e">
        <f>'Evolutive SFP'!#REF!</f>
        <v>#REF!</v>
      </c>
      <c r="AH17" s="52" t="e">
        <f>'Evolutive SFP'!#REF!</f>
        <v>#REF!</v>
      </c>
      <c r="AI17" s="52" t="e">
        <f>'Evolutive SFP'!#REF!</f>
        <v>#REF!</v>
      </c>
      <c r="AJ17" s="52" t="e">
        <f>'Evolutive SFP'!#REF!</f>
        <v>#REF!</v>
      </c>
      <c r="AK17" s="52" t="e">
        <f>'Evolutive SFP'!#REF!</f>
        <v>#REF!</v>
      </c>
      <c r="AL17" s="52" t="e">
        <f>'Evolutive SFP'!#REF!</f>
        <v>#REF!</v>
      </c>
      <c r="AM17" s="52" t="e">
        <f>'Evolutive SFP'!#REF!</f>
        <v>#REF!</v>
      </c>
      <c r="AN17" s="52" t="e">
        <f>'Evolutive SFP'!#REF!</f>
        <v>#REF!</v>
      </c>
      <c r="AO17" s="52" t="e">
        <f>'Evolutive SFP'!#REF!</f>
        <v>#REF!</v>
      </c>
      <c r="AP17" s="52" t="e">
        <f>'Evolutive SFP'!#REF!</f>
        <v>#REF!</v>
      </c>
      <c r="AQ17" s="52" t="e">
        <f>'Evolutive SFP'!#REF!</f>
        <v>#REF!</v>
      </c>
      <c r="AR17" s="52" t="e">
        <f>'Evolutive SFP'!#REF!</f>
        <v>#REF!</v>
      </c>
      <c r="AS17" s="52">
        <f>'Evolutive SFP'!AH41</f>
        <v>2279446</v>
      </c>
      <c r="AT17" s="52">
        <f>'Evolutive SFP'!AI41</f>
        <v>2256870.86</v>
      </c>
      <c r="AU17" s="52">
        <f>'Evolutive SFP'!AJ41</f>
        <v>2256870.86</v>
      </c>
      <c r="AV17" s="52">
        <f>'Evolutive SFP'!AK41</f>
        <v>2741685.86</v>
      </c>
      <c r="AW17" s="52">
        <f>'Evolutive SFP'!AL41</f>
        <v>2741685.86</v>
      </c>
      <c r="AX17" s="52">
        <f>'Evolutive SFP'!AM41</f>
        <v>2741685.86</v>
      </c>
      <c r="AY17" s="52">
        <f>'Evolutive SFP'!AN41</f>
        <v>2741685.86</v>
      </c>
      <c r="AZ17" s="52" t="e">
        <f>'Evolutive SFP'!#REF!</f>
        <v>#REF!</v>
      </c>
      <c r="BA17" s="52">
        <f>'Evolutive SFP'!AO41</f>
        <v>2741685</v>
      </c>
      <c r="BB17" s="52">
        <f>'Evolutive SFP'!AP41</f>
        <v>2741685</v>
      </c>
      <c r="BC17" s="52">
        <f>'Evolutive SFP'!AQ41</f>
        <v>2741685</v>
      </c>
      <c r="BD17" s="52">
        <f>'Evolutive SFP'!AR41</f>
        <v>2741685</v>
      </c>
      <c r="BE17" s="52">
        <f>'Evolutive SFP'!AS41</f>
        <v>2741685</v>
      </c>
      <c r="BF17" s="52">
        <f>'Evolutive SFP'!AT41</f>
        <v>2741685</v>
      </c>
      <c r="BG17" s="52">
        <f>'Evolutive SFP'!AU41</f>
        <v>2741685.86</v>
      </c>
      <c r="BH17" s="52">
        <f>'Evolutive SFP'!AV41</f>
        <v>2741685.86</v>
      </c>
      <c r="BI17" s="52">
        <f>'Evolutive SFP'!AW41</f>
        <v>3253606.86</v>
      </c>
      <c r="BJ17" s="52">
        <f>'Evolutive SFP'!AX41</f>
        <v>3253606.86</v>
      </c>
      <c r="BK17" s="52">
        <f>'Evolutive SFP'!AY41</f>
        <v>3253606.86</v>
      </c>
      <c r="BL17" s="52">
        <f>'Evolutive SFP'!AZ41</f>
        <v>3253606.86</v>
      </c>
      <c r="BM17" s="52">
        <f>'Evolutive SFP'!BA41</f>
        <v>3253606.86</v>
      </c>
      <c r="BN17" s="52">
        <f>'Evolutive SFP'!BB41</f>
        <v>3253606.86</v>
      </c>
      <c r="BO17" s="52">
        <f>'Evolutive SFP'!BC41</f>
        <v>3253606.86</v>
      </c>
      <c r="BP17" s="52">
        <f>'Evolutive SFP'!BD41</f>
        <v>3253606.86</v>
      </c>
      <c r="BQ17" s="52">
        <f>'Evolutive SFP'!BE41</f>
        <v>3253606.86</v>
      </c>
      <c r="BR17" s="52">
        <f>'Evolutive SFP'!BF41</f>
        <v>3253606.86</v>
      </c>
      <c r="BS17" s="52">
        <f>'Evolutive SFP'!BG41</f>
        <v>2008198</v>
      </c>
      <c r="BT17" s="52">
        <f>'Evolutive SFP'!BH41</f>
        <v>3253606.86</v>
      </c>
      <c r="BU17" s="52">
        <f>'Evolutive SFP'!BI41</f>
        <v>3253606.86</v>
      </c>
      <c r="BV17" s="52">
        <f>'Evolutive SFP'!BJ41</f>
        <v>4164332.86</v>
      </c>
      <c r="BW17" s="52">
        <f>'Evolutive SFP'!BK41</f>
        <v>4164332.86</v>
      </c>
      <c r="BX17" s="52">
        <f>'Evolutive SFP'!BL41</f>
        <v>4164332.86</v>
      </c>
      <c r="BY17" s="52">
        <f>'Evolutive SFP'!BM41</f>
        <v>4164332.86</v>
      </c>
      <c r="BZ17" s="52">
        <f>'Evolutive SFP'!BN41</f>
        <v>4164332.86</v>
      </c>
      <c r="CA17" s="52">
        <f>'Evolutive SFP'!BO41</f>
        <v>4164332.86</v>
      </c>
      <c r="CB17" s="52">
        <f>'Evolutive SFP'!BP41</f>
        <v>4164332.86</v>
      </c>
      <c r="CC17" s="52">
        <f>'Evolutive SFP'!BQ41</f>
        <v>4164332.86</v>
      </c>
      <c r="CD17" s="52">
        <f>'Evolutive SFP'!BR41</f>
        <v>4164332.86</v>
      </c>
      <c r="CE17" s="52">
        <f>'Evolutive SFP'!BS41</f>
        <v>4164332.86</v>
      </c>
      <c r="CF17" s="52">
        <f>'Evolutive SFP'!BT41</f>
        <v>0</v>
      </c>
      <c r="CG17" s="52">
        <f>'Evolutive SFP'!BU41</f>
        <v>4164332.86</v>
      </c>
      <c r="CH17" s="52">
        <f>'Evolutive SFP'!BV41</f>
        <v>4164332.86</v>
      </c>
      <c r="CI17" s="52">
        <f>'Evolutive SFP'!BW41</f>
        <v>4427856.8600000003</v>
      </c>
      <c r="CJ17" s="52">
        <f>'Evolutive SFP'!BX41</f>
        <v>4427856.8600000003</v>
      </c>
      <c r="CK17" s="52">
        <f>'Evolutive SFP'!BY41</f>
        <v>4164332.86</v>
      </c>
      <c r="CL17" s="52">
        <f>'Evolutive SFP'!BZ41</f>
        <v>4164332.86</v>
      </c>
      <c r="CM17" s="52">
        <f>'Evolutive SFP'!CA41</f>
        <v>4427856.8600000003</v>
      </c>
      <c r="CN17" s="52">
        <f>'Evolutive SFP'!CB41</f>
        <v>4427856.8600000003</v>
      </c>
      <c r="CO17" s="52">
        <f>'Evolutive SFP'!CC41</f>
        <v>4427856.8600000003</v>
      </c>
    </row>
    <row r="18" spans="1:93">
      <c r="A18" s="20" t="s">
        <v>256</v>
      </c>
      <c r="B18" s="19" t="s">
        <v>257</v>
      </c>
      <c r="C18" s="52" t="e">
        <f>'Evolutive SFP'!#REF!</f>
        <v>#REF!</v>
      </c>
      <c r="D18" s="52" t="e">
        <f>'Evolutive SFP'!#REF!</f>
        <v>#REF!</v>
      </c>
      <c r="E18" s="52" t="e">
        <f>'Evolutive SFP'!#REF!</f>
        <v>#REF!</v>
      </c>
      <c r="F18" s="52" t="e">
        <f>'Evolutive SFP'!#REF!</f>
        <v>#REF!</v>
      </c>
      <c r="G18" s="52" t="e">
        <f>'Evolutive SFP'!#REF!</f>
        <v>#REF!</v>
      </c>
      <c r="H18" s="52" t="e">
        <f>'Evolutive SFP'!#REF!</f>
        <v>#REF!</v>
      </c>
      <c r="I18" s="52" t="e">
        <f>'Evolutive SFP'!#REF!</f>
        <v>#REF!</v>
      </c>
      <c r="J18" s="52" t="e">
        <f>'Evolutive SFP'!#REF!</f>
        <v>#REF!</v>
      </c>
      <c r="K18" s="52" t="e">
        <f>'Evolutive SFP'!#REF!</f>
        <v>#REF!</v>
      </c>
      <c r="L18" s="52" t="e">
        <f>'Evolutive SFP'!#REF!</f>
        <v>#REF!</v>
      </c>
      <c r="M18" s="52" t="e">
        <f>'Evolutive SFP'!#REF!</f>
        <v>#REF!</v>
      </c>
      <c r="N18" s="52" t="e">
        <f>'Evolutive SFP'!#REF!</f>
        <v>#REF!</v>
      </c>
      <c r="O18" s="52" t="e">
        <f>'Evolutive SFP'!#REF!</f>
        <v>#REF!</v>
      </c>
      <c r="P18" s="52" t="e">
        <f>'Evolutive SFP'!#REF!</f>
        <v>#REF!</v>
      </c>
      <c r="Q18" s="52" t="e">
        <f>'Evolutive SFP'!#REF!</f>
        <v>#REF!</v>
      </c>
      <c r="R18" s="52" t="e">
        <f>'Evolutive SFP'!#REF!</f>
        <v>#REF!</v>
      </c>
      <c r="S18" s="52" t="e">
        <f>'Evolutive SFP'!#REF!</f>
        <v>#REF!</v>
      </c>
      <c r="T18" s="52" t="e">
        <f>'Evolutive SFP'!#REF!</f>
        <v>#REF!</v>
      </c>
      <c r="U18" s="52" t="e">
        <f>'Evolutive SFP'!#REF!</f>
        <v>#REF!</v>
      </c>
      <c r="V18" s="52" t="e">
        <f>'Evolutive SFP'!#REF!</f>
        <v>#REF!</v>
      </c>
      <c r="W18" s="52" t="e">
        <f>'Evolutive SFP'!#REF!</f>
        <v>#REF!</v>
      </c>
      <c r="X18" s="52" t="e">
        <f>'Evolutive SFP'!#REF!</f>
        <v>#REF!</v>
      </c>
      <c r="Y18" s="52" t="e">
        <f>'Evolutive SFP'!#REF!</f>
        <v>#REF!</v>
      </c>
      <c r="Z18" s="52" t="e">
        <f>'Evolutive SFP'!#REF!</f>
        <v>#REF!</v>
      </c>
      <c r="AA18" s="52" t="e">
        <f>'Evolutive SFP'!#REF!</f>
        <v>#REF!</v>
      </c>
      <c r="AB18" s="52" t="e">
        <f>'Evolutive SFP'!#REF!</f>
        <v>#REF!</v>
      </c>
      <c r="AC18" s="52" t="e">
        <f>'Evolutive SFP'!#REF!</f>
        <v>#REF!</v>
      </c>
      <c r="AD18" s="52" t="e">
        <f>'Evolutive SFP'!#REF!</f>
        <v>#REF!</v>
      </c>
      <c r="AE18" s="52" t="e">
        <f>'Evolutive SFP'!#REF!</f>
        <v>#REF!</v>
      </c>
      <c r="AF18" s="52" t="e">
        <f>'Evolutive SFP'!#REF!</f>
        <v>#REF!</v>
      </c>
      <c r="AG18" s="52" t="e">
        <f>'Evolutive SFP'!#REF!</f>
        <v>#REF!</v>
      </c>
      <c r="AH18" s="52" t="e">
        <f>'Evolutive SFP'!#REF!</f>
        <v>#REF!</v>
      </c>
      <c r="AI18" s="52" t="e">
        <f>'Evolutive SFP'!#REF!</f>
        <v>#REF!</v>
      </c>
      <c r="AJ18" s="52" t="e">
        <f>'Evolutive SFP'!#REF!</f>
        <v>#REF!</v>
      </c>
      <c r="AK18" s="52" t="e">
        <f>'Evolutive SFP'!#REF!</f>
        <v>#REF!</v>
      </c>
      <c r="AL18" s="52" t="e">
        <f>'Evolutive SFP'!#REF!</f>
        <v>#REF!</v>
      </c>
      <c r="AM18" s="52" t="e">
        <f>'Evolutive SFP'!#REF!</f>
        <v>#REF!</v>
      </c>
      <c r="AN18" s="52" t="e">
        <f>'Evolutive SFP'!#REF!</f>
        <v>#REF!</v>
      </c>
      <c r="AO18" s="52" t="e">
        <f>'Evolutive SFP'!#REF!</f>
        <v>#REF!</v>
      </c>
      <c r="AP18" s="52" t="e">
        <f>'Evolutive SFP'!#REF!</f>
        <v>#REF!</v>
      </c>
      <c r="AQ18" s="52" t="e">
        <f>'Evolutive SFP'!#REF!</f>
        <v>#REF!</v>
      </c>
      <c r="AR18" s="52" t="e">
        <f>'Evolutive SFP'!#REF!</f>
        <v>#REF!</v>
      </c>
      <c r="AS18" s="52">
        <f>'Evolutive SFP'!AH42</f>
        <v>462239</v>
      </c>
      <c r="AT18" s="52">
        <f>'Evolutive SFP'!AI42</f>
        <v>552509.1</v>
      </c>
      <c r="AU18" s="52">
        <f>'Evolutive SFP'!AJ42</f>
        <v>898564.59</v>
      </c>
      <c r="AV18" s="52">
        <f>'Evolutive SFP'!AK42</f>
        <v>1432954.03</v>
      </c>
      <c r="AW18" s="52">
        <f>'Evolutive SFP'!AL42</f>
        <v>1774385.98</v>
      </c>
      <c r="AX18" s="52">
        <f>'Evolutive SFP'!AM42</f>
        <v>2256452.1800000002</v>
      </c>
      <c r="AY18" s="52">
        <f>'Evolutive SFP'!AN42</f>
        <v>2710890.53</v>
      </c>
      <c r="AZ18" s="52" t="e">
        <f>'Evolutive SFP'!#REF!</f>
        <v>#REF!</v>
      </c>
      <c r="BA18" s="52">
        <f>'Evolutive SFP'!AO42</f>
        <v>3725619.02</v>
      </c>
      <c r="BB18" s="52">
        <f>'Evolutive SFP'!AP42</f>
        <v>4159363.64</v>
      </c>
      <c r="BC18" s="52">
        <f>'Evolutive SFP'!AQ42</f>
        <v>4719976.57</v>
      </c>
      <c r="BD18" s="52">
        <f>'Evolutive SFP'!AR42</f>
        <v>5106561.62</v>
      </c>
      <c r="BE18" s="52">
        <f>'Evolutive SFP'!AS42</f>
        <v>4855217.74</v>
      </c>
      <c r="BF18" s="52">
        <f>'Evolutive SFP'!AT42</f>
        <v>238989</v>
      </c>
      <c r="BG18" s="52">
        <f>'Evolutive SFP'!AU42</f>
        <v>102035.83</v>
      </c>
      <c r="BH18" s="52">
        <f>'Evolutive SFP'!AV42</f>
        <v>298030.17</v>
      </c>
      <c r="BI18" s="52">
        <f>'Evolutive SFP'!AW42</f>
        <v>886096.07</v>
      </c>
      <c r="BJ18" s="52">
        <f>'Evolutive SFP'!AX42</f>
        <v>1274680.77</v>
      </c>
      <c r="BK18" s="52">
        <f>'Evolutive SFP'!AY42</f>
        <v>1710290.15</v>
      </c>
      <c r="BL18" s="52">
        <f>'Evolutive SFP'!AZ42</f>
        <v>2089370</v>
      </c>
      <c r="BM18" s="52">
        <f>'Evolutive SFP'!BA42</f>
        <v>2878408.23</v>
      </c>
      <c r="BN18" s="52">
        <f>'Evolutive SFP'!BB42</f>
        <v>3294536.16</v>
      </c>
      <c r="BO18" s="52">
        <f>'Evolutive SFP'!BC42</f>
        <v>3745262.27</v>
      </c>
      <c r="BP18" s="52">
        <f>'Evolutive SFP'!BD42</f>
        <v>4443626.76</v>
      </c>
      <c r="BQ18" s="52">
        <f>'Evolutive SFP'!BE42</f>
        <v>4607003.45</v>
      </c>
      <c r="BR18" s="52">
        <f>'Evolutive SFP'!BF42</f>
        <v>4577413.5999999996</v>
      </c>
      <c r="BS18" s="52">
        <f>'Evolutive SFP'!BG42</f>
        <v>2156135</v>
      </c>
      <c r="BT18" s="52">
        <f>'Evolutive SFP'!BH42</f>
        <v>416559.37</v>
      </c>
      <c r="BU18" s="52">
        <f>'Evolutive SFP'!BI42</f>
        <v>507237.14</v>
      </c>
      <c r="BV18" s="52">
        <f>'Evolutive SFP'!BJ42</f>
        <v>1010049.63</v>
      </c>
      <c r="BW18" s="52">
        <f>'Evolutive SFP'!BK42</f>
        <v>1405985.98</v>
      </c>
      <c r="BX18" s="52">
        <f>'Evolutive SFP'!BL42</f>
        <v>1871658.44</v>
      </c>
      <c r="BY18" s="52">
        <f>'Evolutive SFP'!BM42</f>
        <v>2325296.16</v>
      </c>
      <c r="BZ18" s="52">
        <f>'Evolutive SFP'!BN42</f>
        <v>2824639.06</v>
      </c>
      <c r="CA18" s="52">
        <f>'Evolutive SFP'!BO42</f>
        <v>3420479.63</v>
      </c>
      <c r="CB18" s="52">
        <f>'Evolutive SFP'!BP42</f>
        <v>3922477.98</v>
      </c>
      <c r="CC18" s="52">
        <f>'Evolutive SFP'!BQ42</f>
        <v>4082297.06</v>
      </c>
      <c r="CD18" s="52">
        <f>'Evolutive SFP'!BR42</f>
        <v>4911466.8600000003</v>
      </c>
      <c r="CE18" s="52">
        <f>'Evolutive SFP'!BS42</f>
        <v>4736549.2</v>
      </c>
      <c r="CF18" s="52">
        <f>'Evolutive SFP'!BT42</f>
        <v>0</v>
      </c>
      <c r="CG18" s="52">
        <f>'Evolutive SFP'!BU42</f>
        <v>471915</v>
      </c>
      <c r="CH18" s="52">
        <f>'Evolutive SFP'!BV42</f>
        <v>705837</v>
      </c>
      <c r="CI18" s="52">
        <f>'Evolutive SFP'!BW42</f>
        <v>1426046.08</v>
      </c>
      <c r="CJ18" s="52">
        <f>'Evolutive SFP'!BX42</f>
        <v>1515883.5</v>
      </c>
      <c r="CK18" s="52">
        <f>'Evolutive SFP'!BY42</f>
        <v>2406334.11</v>
      </c>
      <c r="CL18" s="52">
        <f>'Evolutive SFP'!BZ42</f>
        <v>2808582.89</v>
      </c>
      <c r="CM18" s="52">
        <f>'Evolutive SFP'!CA42</f>
        <v>3466033.35</v>
      </c>
      <c r="CN18" s="52">
        <f>'Evolutive SFP'!CB42</f>
        <v>3926066.37</v>
      </c>
      <c r="CO18" s="52">
        <f>'Evolutive SFP'!CC42</f>
        <v>4099752.03</v>
      </c>
    </row>
    <row r="19" spans="1:93">
      <c r="A19" s="20" t="s">
        <v>258</v>
      </c>
      <c r="B19" s="19" t="s">
        <v>51</v>
      </c>
      <c r="C19" s="52" t="e">
        <f>'Evolutive SFP'!#REF!</f>
        <v>#REF!</v>
      </c>
      <c r="D19" s="52" t="e">
        <f>'Evolutive SFP'!#REF!</f>
        <v>#REF!</v>
      </c>
      <c r="E19" s="52" t="e">
        <f>'Evolutive SFP'!#REF!</f>
        <v>#REF!</v>
      </c>
      <c r="F19" s="52" t="e">
        <f>'Evolutive SFP'!#REF!</f>
        <v>#REF!</v>
      </c>
      <c r="G19" s="52" t="e">
        <f>'Evolutive SFP'!#REF!</f>
        <v>#REF!</v>
      </c>
      <c r="H19" s="52" t="e">
        <f>'Evolutive SFP'!#REF!</f>
        <v>#REF!</v>
      </c>
      <c r="I19" s="52" t="e">
        <f>'Evolutive SFP'!#REF!</f>
        <v>#REF!</v>
      </c>
      <c r="J19" s="52" t="e">
        <f>'Evolutive SFP'!#REF!</f>
        <v>#REF!</v>
      </c>
      <c r="K19" s="52" t="e">
        <f>'Evolutive SFP'!#REF!</f>
        <v>#REF!</v>
      </c>
      <c r="L19" s="52" t="e">
        <f>'Evolutive SFP'!#REF!</f>
        <v>#REF!</v>
      </c>
      <c r="M19" s="52" t="e">
        <f>'Evolutive SFP'!#REF!</f>
        <v>#REF!</v>
      </c>
      <c r="N19" s="52" t="e">
        <f>'Evolutive SFP'!#REF!</f>
        <v>#REF!</v>
      </c>
      <c r="O19" s="52" t="e">
        <f>'Evolutive SFP'!#REF!</f>
        <v>#REF!</v>
      </c>
      <c r="P19" s="52" t="e">
        <f>'Evolutive SFP'!#REF!</f>
        <v>#REF!</v>
      </c>
      <c r="Q19" s="52" t="e">
        <f>'Evolutive SFP'!#REF!</f>
        <v>#REF!</v>
      </c>
      <c r="R19" s="52" t="e">
        <f>'Evolutive SFP'!#REF!</f>
        <v>#REF!</v>
      </c>
      <c r="S19" s="52" t="e">
        <f>'Evolutive SFP'!#REF!</f>
        <v>#REF!</v>
      </c>
      <c r="T19" s="52" t="e">
        <f>'Evolutive SFP'!#REF!</f>
        <v>#REF!</v>
      </c>
      <c r="U19" s="52" t="e">
        <f>'Evolutive SFP'!#REF!</f>
        <v>#REF!</v>
      </c>
      <c r="V19" s="52" t="e">
        <f>'Evolutive SFP'!#REF!</f>
        <v>#REF!</v>
      </c>
      <c r="W19" s="52" t="e">
        <f>'Evolutive SFP'!#REF!</f>
        <v>#REF!</v>
      </c>
      <c r="X19" s="52" t="e">
        <f>'Evolutive SFP'!#REF!</f>
        <v>#REF!</v>
      </c>
      <c r="Y19" s="52" t="e">
        <f>'Evolutive SFP'!#REF!</f>
        <v>#REF!</v>
      </c>
      <c r="Z19" s="52" t="e">
        <f>'Evolutive SFP'!#REF!</f>
        <v>#REF!</v>
      </c>
      <c r="AA19" s="52" t="e">
        <f>'Evolutive SFP'!#REF!</f>
        <v>#REF!</v>
      </c>
      <c r="AB19" s="52" t="e">
        <f>'Evolutive SFP'!#REF!</f>
        <v>#REF!</v>
      </c>
      <c r="AC19" s="52" t="e">
        <f>'Evolutive SFP'!#REF!</f>
        <v>#REF!</v>
      </c>
      <c r="AD19" s="52" t="e">
        <f>'Evolutive SFP'!#REF!</f>
        <v>#REF!</v>
      </c>
      <c r="AE19" s="52" t="e">
        <f>'Evolutive SFP'!#REF!</f>
        <v>#REF!</v>
      </c>
      <c r="AF19" s="52" t="e">
        <f>'Evolutive SFP'!#REF!</f>
        <v>#REF!</v>
      </c>
      <c r="AG19" s="52" t="e">
        <f>'Evolutive SFP'!#REF!</f>
        <v>#REF!</v>
      </c>
      <c r="AH19" s="52" t="e">
        <f>'Evolutive SFP'!#REF!</f>
        <v>#REF!</v>
      </c>
      <c r="AI19" s="52" t="e">
        <f>'Evolutive SFP'!#REF!</f>
        <v>#REF!</v>
      </c>
      <c r="AJ19" s="52" t="e">
        <f>'Evolutive SFP'!#REF!</f>
        <v>#REF!</v>
      </c>
      <c r="AK19" s="52" t="e">
        <f>'Evolutive SFP'!#REF!</f>
        <v>#REF!</v>
      </c>
      <c r="AL19" s="52" t="e">
        <f>'Evolutive SFP'!#REF!</f>
        <v>#REF!</v>
      </c>
      <c r="AM19" s="52" t="e">
        <f>'Evolutive SFP'!#REF!</f>
        <v>#REF!</v>
      </c>
      <c r="AN19" s="52" t="e">
        <f>'Evolutive SFP'!#REF!</f>
        <v>#REF!</v>
      </c>
      <c r="AO19" s="52" t="e">
        <f>'Evolutive SFP'!#REF!</f>
        <v>#REF!</v>
      </c>
      <c r="AP19" s="52" t="e">
        <f>'Evolutive SFP'!#REF!</f>
        <v>#REF!</v>
      </c>
      <c r="AQ19" s="52" t="e">
        <f>'Evolutive SFP'!#REF!</f>
        <v>#REF!</v>
      </c>
      <c r="AR19" s="52" t="e">
        <f>'Evolutive SFP'!#REF!</f>
        <v>#REF!</v>
      </c>
      <c r="AS19" s="52">
        <f>'Evolutive SFP'!AH43</f>
        <v>1867801</v>
      </c>
      <c r="AT19" s="52">
        <f>'Evolutive SFP'!AI43</f>
        <v>1752242.2</v>
      </c>
      <c r="AU19" s="52">
        <f>'Evolutive SFP'!AJ43</f>
        <v>1752242.2</v>
      </c>
      <c r="AV19" s="52">
        <f>'Evolutive SFP'!AK43</f>
        <v>1867802.2</v>
      </c>
      <c r="AW19" s="52">
        <f>'Evolutive SFP'!AL43</f>
        <v>1867802.2</v>
      </c>
      <c r="AX19" s="52">
        <f>'Evolutive SFP'!AM43</f>
        <v>1867802.2</v>
      </c>
      <c r="AY19" s="52">
        <f>'Evolutive SFP'!AN43</f>
        <v>1867802.2</v>
      </c>
      <c r="AZ19" s="52" t="e">
        <f>'Evolutive SFP'!#REF!</f>
        <v>#REF!</v>
      </c>
      <c r="BA19" s="52">
        <f>'Evolutive SFP'!AO43</f>
        <v>1867802.2</v>
      </c>
      <c r="BB19" s="52">
        <f>'Evolutive SFP'!AP43</f>
        <v>1867802.2</v>
      </c>
      <c r="BC19" s="52">
        <f>'Evolutive SFP'!AQ43</f>
        <v>1867802.2</v>
      </c>
      <c r="BD19" s="52">
        <f>'Evolutive SFP'!AR43</f>
        <v>1867802.2</v>
      </c>
      <c r="BE19" s="52">
        <f>'Evolutive SFP'!AS43</f>
        <v>1867802.2</v>
      </c>
      <c r="BF19" s="52">
        <f>'Evolutive SFP'!AT43</f>
        <v>1927549</v>
      </c>
      <c r="BG19" s="52">
        <f>'Evolutive SFP'!AU43</f>
        <v>1867802.2</v>
      </c>
      <c r="BH19" s="52">
        <f>'Evolutive SFP'!AV43</f>
        <v>1867802.2</v>
      </c>
      <c r="BI19" s="52">
        <f>'Evolutive SFP'!AW43</f>
        <v>1995782</v>
      </c>
      <c r="BJ19" s="52">
        <f>'Evolutive SFP'!AX43</f>
        <v>1995782</v>
      </c>
      <c r="BK19" s="52">
        <f>'Evolutive SFP'!AY43</f>
        <v>1995782</v>
      </c>
      <c r="BL19" s="52">
        <f>'Evolutive SFP'!AZ43</f>
        <v>1995782</v>
      </c>
      <c r="BM19" s="52">
        <f>'Evolutive SFP'!BA43</f>
        <v>1995782</v>
      </c>
      <c r="BN19" s="52">
        <f>'Evolutive SFP'!BB43</f>
        <v>1995782</v>
      </c>
      <c r="BO19" s="52">
        <f>'Evolutive SFP'!BC43</f>
        <v>1995782</v>
      </c>
      <c r="BP19" s="52">
        <f>'Evolutive SFP'!BD43</f>
        <v>1995782</v>
      </c>
      <c r="BQ19" s="52">
        <f>'Evolutive SFP'!BE43</f>
        <v>1995782</v>
      </c>
      <c r="BR19" s="52">
        <f>'Evolutive SFP'!BF43</f>
        <v>1995782</v>
      </c>
      <c r="BS19" s="52">
        <f>'Evolutive SFP'!BG43</f>
        <v>2427008</v>
      </c>
      <c r="BT19" s="52">
        <f>'Evolutive SFP'!BH43</f>
        <v>1995782</v>
      </c>
      <c r="BU19" s="52">
        <f>'Evolutive SFP'!BI43</f>
        <v>1995782</v>
      </c>
      <c r="BV19" s="52">
        <f>'Evolutive SFP'!BJ43</f>
        <v>2427009</v>
      </c>
      <c r="BW19" s="52">
        <f>'Evolutive SFP'!BK43</f>
        <v>2427009</v>
      </c>
      <c r="BX19" s="52">
        <f>'Evolutive SFP'!BL43</f>
        <v>2427009</v>
      </c>
      <c r="BY19" s="52">
        <f>'Evolutive SFP'!BM43</f>
        <v>2427009</v>
      </c>
      <c r="BZ19" s="52">
        <f>'Evolutive SFP'!BN43</f>
        <v>2427009</v>
      </c>
      <c r="CA19" s="52">
        <f>'Evolutive SFP'!BO43</f>
        <v>2427009</v>
      </c>
      <c r="CB19" s="52">
        <f>'Evolutive SFP'!BP43</f>
        <v>2427009</v>
      </c>
      <c r="CC19" s="52">
        <f>'Evolutive SFP'!BQ43</f>
        <v>2427009</v>
      </c>
      <c r="CD19" s="52">
        <f>'Evolutive SFP'!BR43</f>
        <v>2427009</v>
      </c>
      <c r="CE19" s="52">
        <f>'Evolutive SFP'!BS43</f>
        <v>2427009</v>
      </c>
      <c r="CF19" s="52">
        <f>'Evolutive SFP'!BT43</f>
        <v>0</v>
      </c>
      <c r="CG19" s="52">
        <f>'Evolutive SFP'!BU43</f>
        <v>2427009</v>
      </c>
      <c r="CH19" s="52">
        <f>'Evolutive SFP'!BV43</f>
        <v>2427009</v>
      </c>
      <c r="CI19" s="52">
        <f>'Evolutive SFP'!BW43</f>
        <v>2745342</v>
      </c>
      <c r="CJ19" s="52">
        <f>'Evolutive SFP'!BX43</f>
        <v>2745342</v>
      </c>
      <c r="CK19" s="52">
        <f>'Evolutive SFP'!BY43</f>
        <v>2745342</v>
      </c>
      <c r="CL19" s="52">
        <f>'Evolutive SFP'!BZ43</f>
        <v>2745342</v>
      </c>
      <c r="CM19" s="52">
        <f>'Evolutive SFP'!CA43</f>
        <v>2745342</v>
      </c>
      <c r="CN19" s="52">
        <f>'Evolutive SFP'!CB43</f>
        <v>2745342</v>
      </c>
      <c r="CO19" s="52">
        <f>'Evolutive SFP'!CC43</f>
        <v>2745342</v>
      </c>
    </row>
    <row r="20" spans="1:93">
      <c r="A20" s="20" t="s">
        <v>259</v>
      </c>
      <c r="B20" s="19" t="s">
        <v>260</v>
      </c>
      <c r="C20" s="52" t="e">
        <f>('Evolutive SFP'!#REF!)</f>
        <v>#REF!</v>
      </c>
      <c r="D20" s="52" t="e">
        <f>('Evolutive SFP'!#REF!)</f>
        <v>#REF!</v>
      </c>
      <c r="E20" s="52" t="e">
        <f>('Evolutive SFP'!#REF!)</f>
        <v>#REF!</v>
      </c>
      <c r="F20" s="52" t="e">
        <f>('Evolutive SFP'!#REF!)</f>
        <v>#REF!</v>
      </c>
      <c r="G20" s="52" t="e">
        <f>('Evolutive SFP'!#REF!)</f>
        <v>#REF!</v>
      </c>
      <c r="H20" s="52" t="e">
        <f>('Evolutive SFP'!#REF!)</f>
        <v>#REF!</v>
      </c>
      <c r="I20" s="52" t="e">
        <f>('Evolutive SFP'!#REF!)</f>
        <v>#REF!</v>
      </c>
      <c r="J20" s="52" t="e">
        <f>('Evolutive SFP'!#REF!)</f>
        <v>#REF!</v>
      </c>
      <c r="K20" s="52" t="e">
        <f>('Evolutive SFP'!#REF!)</f>
        <v>#REF!</v>
      </c>
      <c r="L20" s="52" t="e">
        <f>('Evolutive SFP'!#REF!)</f>
        <v>#REF!</v>
      </c>
      <c r="M20" s="52" t="e">
        <f>('Evolutive SFP'!#REF!)</f>
        <v>#REF!</v>
      </c>
      <c r="N20" s="52" t="e">
        <f>('Evolutive SFP'!#REF!)</f>
        <v>#REF!</v>
      </c>
      <c r="O20" s="52" t="e">
        <f>('Evolutive SFP'!#REF!)</f>
        <v>#REF!</v>
      </c>
      <c r="P20" s="52" t="e">
        <f>('Evolutive SFP'!#REF!)</f>
        <v>#REF!</v>
      </c>
      <c r="Q20" s="52" t="e">
        <f>('Evolutive SFP'!#REF!)</f>
        <v>#REF!</v>
      </c>
      <c r="R20" s="52" t="e">
        <f>('Evolutive SFP'!#REF!)</f>
        <v>#REF!</v>
      </c>
      <c r="S20" s="52" t="e">
        <f>('Evolutive SFP'!#REF!)</f>
        <v>#REF!</v>
      </c>
      <c r="T20" s="52" t="e">
        <f>('Evolutive SFP'!#REF!)</f>
        <v>#REF!</v>
      </c>
      <c r="U20" s="52" t="e">
        <f>('Evolutive SFP'!#REF!)</f>
        <v>#REF!</v>
      </c>
      <c r="V20" s="52" t="e">
        <f>('Evolutive SFP'!#REF!)</f>
        <v>#REF!</v>
      </c>
      <c r="W20" s="52" t="e">
        <f>('Evolutive SFP'!#REF!)</f>
        <v>#REF!</v>
      </c>
      <c r="X20" s="52" t="e">
        <f>('Evolutive SFP'!#REF!)</f>
        <v>#REF!</v>
      </c>
      <c r="Y20" s="52" t="e">
        <f>('Evolutive SFP'!#REF!)</f>
        <v>#REF!</v>
      </c>
      <c r="Z20" s="52" t="e">
        <f>('Evolutive SFP'!#REF!)</f>
        <v>#REF!</v>
      </c>
      <c r="AA20" s="52" t="e">
        <f>('Evolutive SFP'!#REF!)</f>
        <v>#REF!</v>
      </c>
      <c r="AB20" s="52" t="e">
        <f>('Evolutive SFP'!#REF!)</f>
        <v>#REF!</v>
      </c>
      <c r="AC20" s="52" t="e">
        <f>('Evolutive SFP'!#REF!)</f>
        <v>#REF!</v>
      </c>
      <c r="AD20" s="52" t="e">
        <f>('Evolutive SFP'!#REF!)</f>
        <v>#REF!</v>
      </c>
      <c r="AE20" s="52" t="e">
        <f>('Evolutive SFP'!#REF!)</f>
        <v>#REF!</v>
      </c>
      <c r="AF20" s="52" t="e">
        <f>('Evolutive SFP'!#REF!)</f>
        <v>#REF!</v>
      </c>
      <c r="AG20" s="52" t="e">
        <f>('Evolutive SFP'!#REF!)</f>
        <v>#REF!</v>
      </c>
      <c r="AH20" s="52" t="e">
        <f>('Evolutive SFP'!#REF!)</f>
        <v>#REF!</v>
      </c>
      <c r="AI20" s="52" t="e">
        <f>('Evolutive SFP'!#REF!)</f>
        <v>#REF!</v>
      </c>
      <c r="AJ20" s="52" t="e">
        <f>('Evolutive SFP'!#REF!)</f>
        <v>#REF!</v>
      </c>
      <c r="AK20" s="52" t="e">
        <f>('Evolutive SFP'!#REF!)</f>
        <v>#REF!</v>
      </c>
      <c r="AL20" s="52" t="e">
        <f>('Evolutive SFP'!#REF!)</f>
        <v>#REF!</v>
      </c>
      <c r="AM20" s="52" t="e">
        <f>('Evolutive SFP'!#REF!)</f>
        <v>#REF!</v>
      </c>
      <c r="AN20" s="52" t="e">
        <f>('Evolutive SFP'!#REF!)</f>
        <v>#REF!</v>
      </c>
      <c r="AO20" s="52" t="e">
        <f>('Evolutive SFP'!#REF!)</f>
        <v>#REF!</v>
      </c>
      <c r="AP20" s="52" t="e">
        <f>('Evolutive SFP'!#REF!)</f>
        <v>#REF!</v>
      </c>
      <c r="AQ20" s="52" t="e">
        <f>('Evolutive SFP'!#REF!)</f>
        <v>#REF!</v>
      </c>
      <c r="AR20" s="52" t="e">
        <f>('Evolutive SFP'!#REF!)</f>
        <v>#REF!</v>
      </c>
      <c r="AS20" s="52">
        <f>('Evolutive SFP'!AH44)</f>
        <v>841550</v>
      </c>
      <c r="AT20" s="52">
        <f>('Evolutive SFP'!AI44)</f>
        <v>841550.38</v>
      </c>
      <c r="AU20" s="52">
        <f>('Evolutive SFP'!AJ44)</f>
        <v>841550.38</v>
      </c>
      <c r="AV20" s="52">
        <f>('Evolutive SFP'!AK44)</f>
        <v>841550.38</v>
      </c>
      <c r="AW20" s="52">
        <f>('Evolutive SFP'!AL44)</f>
        <v>841550.38</v>
      </c>
      <c r="AX20" s="52">
        <f>('Evolutive SFP'!AM44)</f>
        <v>841550.38</v>
      </c>
      <c r="AY20" s="52">
        <f>('Evolutive SFP'!AN44)</f>
        <v>841550.38</v>
      </c>
      <c r="AZ20" s="52" t="e">
        <f>('Evolutive SFP'!#REF!)</f>
        <v>#REF!</v>
      </c>
      <c r="BA20" s="52">
        <f>('Evolutive SFP'!AO44)</f>
        <v>841550.38</v>
      </c>
      <c r="BB20" s="52">
        <f>('Evolutive SFP'!AP44)</f>
        <v>841550.38</v>
      </c>
      <c r="BC20" s="52">
        <f>('Evolutive SFP'!AQ44)</f>
        <v>841550.38</v>
      </c>
      <c r="BD20" s="52">
        <f>('Evolutive SFP'!AR44)</f>
        <v>841550.38</v>
      </c>
      <c r="BE20" s="52">
        <f>('Evolutive SFP'!AS44)</f>
        <v>841550.38</v>
      </c>
      <c r="BF20" s="52">
        <f>('Evolutive SFP'!AT44)</f>
        <v>841550</v>
      </c>
      <c r="BG20" s="52">
        <f>('Evolutive SFP'!AU44)</f>
        <v>841550.38</v>
      </c>
      <c r="BH20" s="52">
        <f>('Evolutive SFP'!AV44)</f>
        <v>841550.38</v>
      </c>
      <c r="BI20" s="52">
        <f>('Evolutive SFP'!AW44)</f>
        <v>841550.38</v>
      </c>
      <c r="BJ20" s="52">
        <f>('Evolutive SFP'!AX44)</f>
        <v>841550.38</v>
      </c>
      <c r="BK20" s="52">
        <f>('Evolutive SFP'!AY44)</f>
        <v>841550.38</v>
      </c>
      <c r="BL20" s="52">
        <f>('Evolutive SFP'!AZ44)</f>
        <v>841550.38</v>
      </c>
      <c r="BM20" s="52">
        <f>('Evolutive SFP'!BA44)</f>
        <v>841550.38</v>
      </c>
      <c r="BN20" s="52">
        <f>('Evolutive SFP'!BB44)</f>
        <v>841550.38</v>
      </c>
      <c r="BO20" s="52">
        <f>('Evolutive SFP'!BC44)</f>
        <v>841550.38</v>
      </c>
      <c r="BP20" s="52">
        <f>('Evolutive SFP'!BD44)</f>
        <v>841550.38</v>
      </c>
      <c r="BQ20" s="52">
        <f>('Evolutive SFP'!BE44)</f>
        <v>841550.38</v>
      </c>
      <c r="BR20" s="52">
        <f>('Evolutive SFP'!BF44)</f>
        <v>841550.38</v>
      </c>
      <c r="BS20" s="52">
        <f>('Evolutive SFP'!BG44)</f>
        <v>3542741</v>
      </c>
      <c r="BT20" s="52">
        <f>('Evolutive SFP'!BH44)</f>
        <v>841550.38</v>
      </c>
      <c r="BU20" s="52">
        <f>('Evolutive SFP'!BI44)</f>
        <v>841550.38</v>
      </c>
      <c r="BV20" s="52">
        <f>('Evolutive SFP'!BJ44)</f>
        <v>841550.38</v>
      </c>
      <c r="BW20" s="52">
        <f>('Evolutive SFP'!BK44)</f>
        <v>841550.38</v>
      </c>
      <c r="BX20" s="52">
        <f>('Evolutive SFP'!BL44)</f>
        <v>841550.38</v>
      </c>
      <c r="BY20" s="52">
        <f>('Evolutive SFP'!BM44)</f>
        <v>841550.38</v>
      </c>
      <c r="BZ20" s="52">
        <f>('Evolutive SFP'!BN44)</f>
        <v>841550.38</v>
      </c>
      <c r="CA20" s="52">
        <f>('Evolutive SFP'!BO44)</f>
        <v>841550.38</v>
      </c>
      <c r="CB20" s="52">
        <f>('Evolutive SFP'!BP44)</f>
        <v>841550.38</v>
      </c>
      <c r="CC20" s="52">
        <f>('Evolutive SFP'!BQ44)</f>
        <v>841550.38</v>
      </c>
      <c r="CD20" s="52">
        <f>('Evolutive SFP'!BR44)</f>
        <v>841550.38</v>
      </c>
      <c r="CE20" s="52">
        <f>('Evolutive SFP'!BS44)</f>
        <v>841550.38</v>
      </c>
      <c r="CF20" s="52">
        <f>('Evolutive SFP'!BT44)</f>
        <v>0</v>
      </c>
      <c r="CG20" s="52">
        <f>('Evolutive SFP'!BU44)</f>
        <v>841550.38</v>
      </c>
      <c r="CH20" s="52">
        <f>('Evolutive SFP'!BV44)</f>
        <v>841550.38</v>
      </c>
      <c r="CI20" s="52">
        <f>('Evolutive SFP'!BW44)</f>
        <v>841550.38</v>
      </c>
      <c r="CJ20" s="52">
        <f>('Evolutive SFP'!BX44)</f>
        <v>841550.38</v>
      </c>
      <c r="CK20" s="52">
        <f>('Evolutive SFP'!BY44)</f>
        <v>841550.38</v>
      </c>
      <c r="CL20" s="52">
        <f>('Evolutive SFP'!BZ44)</f>
        <v>841550.38</v>
      </c>
      <c r="CM20" s="52">
        <f>('Evolutive SFP'!CA44)</f>
        <v>841550.38</v>
      </c>
      <c r="CN20" s="52">
        <f>('Evolutive SFP'!CB44)</f>
        <v>841550.38</v>
      </c>
      <c r="CO20" s="52">
        <f>('Evolutive SFP'!CC44)</f>
        <v>841550.38</v>
      </c>
    </row>
    <row r="21" spans="1:93">
      <c r="A21" s="20" t="s">
        <v>261</v>
      </c>
      <c r="B21" s="23" t="s">
        <v>262</v>
      </c>
      <c r="C21" s="52" t="e">
        <f>C22+C23</f>
        <v>#REF!</v>
      </c>
      <c r="D21" s="52" t="e">
        <f t="shared" ref="D21:K21" si="37">D22+D23</f>
        <v>#REF!</v>
      </c>
      <c r="E21" s="52" t="e">
        <f>E22+E23</f>
        <v>#REF!</v>
      </c>
      <c r="F21" s="52" t="e">
        <f>F22+F23</f>
        <v>#REF!</v>
      </c>
      <c r="G21" s="52" t="e">
        <f t="shared" si="37"/>
        <v>#REF!</v>
      </c>
      <c r="H21" s="52" t="e">
        <f t="shared" si="37"/>
        <v>#REF!</v>
      </c>
      <c r="I21" s="52" t="e">
        <f t="shared" si="37"/>
        <v>#REF!</v>
      </c>
      <c r="J21" s="52" t="e">
        <f t="shared" si="37"/>
        <v>#REF!</v>
      </c>
      <c r="K21" s="52" t="e">
        <f t="shared" si="37"/>
        <v>#REF!</v>
      </c>
      <c r="L21" s="52" t="e">
        <f>L22+L23</f>
        <v>#REF!</v>
      </c>
      <c r="M21" s="52" t="e">
        <f t="shared" ref="M21:R21" si="38">M22+M23</f>
        <v>#REF!</v>
      </c>
      <c r="N21" s="52" t="e">
        <f t="shared" si="38"/>
        <v>#REF!</v>
      </c>
      <c r="O21" s="52" t="e">
        <f t="shared" si="38"/>
        <v>#REF!</v>
      </c>
      <c r="P21" s="52" t="e">
        <f t="shared" si="38"/>
        <v>#REF!</v>
      </c>
      <c r="Q21" s="52" t="e">
        <f t="shared" si="38"/>
        <v>#REF!</v>
      </c>
      <c r="R21" s="52" t="e">
        <f t="shared" si="38"/>
        <v>#REF!</v>
      </c>
      <c r="S21" s="52" t="e">
        <f t="shared" ref="S21:Y21" si="39">S22+S23</f>
        <v>#REF!</v>
      </c>
      <c r="T21" s="52" t="e">
        <f t="shared" si="39"/>
        <v>#REF!</v>
      </c>
      <c r="U21" s="52" t="e">
        <f t="shared" si="39"/>
        <v>#REF!</v>
      </c>
      <c r="V21" s="52" t="e">
        <f t="shared" si="39"/>
        <v>#REF!</v>
      </c>
      <c r="W21" s="52" t="e">
        <f t="shared" si="39"/>
        <v>#REF!</v>
      </c>
      <c r="X21" s="52" t="e">
        <f t="shared" si="39"/>
        <v>#REF!</v>
      </c>
      <c r="Y21" s="52" t="e">
        <f t="shared" si="39"/>
        <v>#REF!</v>
      </c>
      <c r="Z21" s="52" t="e">
        <f t="shared" ref="Z21:AF21" si="40">Z22+Z23</f>
        <v>#REF!</v>
      </c>
      <c r="AA21" s="52" t="e">
        <f t="shared" si="40"/>
        <v>#REF!</v>
      </c>
      <c r="AB21" s="52" t="e">
        <f t="shared" si="40"/>
        <v>#REF!</v>
      </c>
      <c r="AC21" s="52" t="e">
        <f t="shared" si="40"/>
        <v>#REF!</v>
      </c>
      <c r="AD21" s="52" t="e">
        <f t="shared" si="40"/>
        <v>#REF!</v>
      </c>
      <c r="AE21" s="52" t="e">
        <f t="shared" si="40"/>
        <v>#REF!</v>
      </c>
      <c r="AF21" s="52" t="e">
        <f t="shared" si="40"/>
        <v>#REF!</v>
      </c>
      <c r="AG21" s="52" t="e">
        <f t="shared" ref="AG21:AY21" si="41">AG22+AG23</f>
        <v>#REF!</v>
      </c>
      <c r="AH21" s="52" t="e">
        <f t="shared" si="41"/>
        <v>#REF!</v>
      </c>
      <c r="AI21" s="52" t="e">
        <f t="shared" si="41"/>
        <v>#REF!</v>
      </c>
      <c r="AJ21" s="52" t="e">
        <f t="shared" si="41"/>
        <v>#REF!</v>
      </c>
      <c r="AK21" s="52" t="e">
        <f t="shared" si="41"/>
        <v>#REF!</v>
      </c>
      <c r="AL21" s="52" t="e">
        <f t="shared" si="41"/>
        <v>#REF!</v>
      </c>
      <c r="AM21" s="52" t="e">
        <f t="shared" si="41"/>
        <v>#REF!</v>
      </c>
      <c r="AN21" s="52" t="e">
        <f t="shared" si="41"/>
        <v>#REF!</v>
      </c>
      <c r="AO21" s="52" t="e">
        <f t="shared" si="41"/>
        <v>#REF!</v>
      </c>
      <c r="AP21" s="52" t="e">
        <f t="shared" si="41"/>
        <v>#REF!</v>
      </c>
      <c r="AQ21" s="52" t="e">
        <f t="shared" si="41"/>
        <v>#REF!</v>
      </c>
      <c r="AR21" s="52" t="e">
        <f t="shared" si="41"/>
        <v>#REF!</v>
      </c>
      <c r="AS21" s="52">
        <f t="shared" si="41"/>
        <v>0</v>
      </c>
      <c r="AT21" s="52">
        <f t="shared" si="41"/>
        <v>0</v>
      </c>
      <c r="AU21" s="52">
        <f t="shared" si="41"/>
        <v>0</v>
      </c>
      <c r="AV21" s="52">
        <f t="shared" si="41"/>
        <v>0</v>
      </c>
      <c r="AW21" s="52">
        <f t="shared" si="41"/>
        <v>0</v>
      </c>
      <c r="AX21" s="52">
        <f t="shared" si="41"/>
        <v>0</v>
      </c>
      <c r="AY21" s="52">
        <f t="shared" si="41"/>
        <v>0</v>
      </c>
      <c r="AZ21" s="52" t="e">
        <f t="shared" ref="AZ21:BF21" si="42">AZ22+AZ23</f>
        <v>#REF!</v>
      </c>
      <c r="BA21" s="52">
        <f t="shared" si="42"/>
        <v>0</v>
      </c>
      <c r="BB21" s="52">
        <f t="shared" si="42"/>
        <v>0</v>
      </c>
      <c r="BC21" s="52">
        <f t="shared" si="42"/>
        <v>0</v>
      </c>
      <c r="BD21" s="52">
        <f t="shared" si="42"/>
        <v>0</v>
      </c>
      <c r="BE21" s="52">
        <f t="shared" si="42"/>
        <v>0</v>
      </c>
      <c r="BF21" s="52">
        <f t="shared" si="42"/>
        <v>0</v>
      </c>
      <c r="BG21" s="52">
        <f t="shared" ref="BG21:BN21" si="43">BG22+BG23</f>
        <v>0</v>
      </c>
      <c r="BH21" s="52">
        <f t="shared" si="43"/>
        <v>0</v>
      </c>
      <c r="BI21" s="52">
        <f t="shared" si="43"/>
        <v>0</v>
      </c>
      <c r="BJ21" s="52">
        <f t="shared" si="43"/>
        <v>0</v>
      </c>
      <c r="BK21" s="52">
        <f t="shared" si="43"/>
        <v>0</v>
      </c>
      <c r="BL21" s="52">
        <f t="shared" si="43"/>
        <v>0</v>
      </c>
      <c r="BM21" s="52">
        <f t="shared" si="43"/>
        <v>0</v>
      </c>
      <c r="BN21" s="52">
        <f t="shared" si="43"/>
        <v>0</v>
      </c>
      <c r="BO21" s="52">
        <f t="shared" ref="BO21:BS21" si="44">BO22+BO23</f>
        <v>0</v>
      </c>
      <c r="BP21" s="52">
        <f t="shared" si="44"/>
        <v>0</v>
      </c>
      <c r="BQ21" s="52">
        <f t="shared" si="44"/>
        <v>0</v>
      </c>
      <c r="BR21" s="52">
        <f t="shared" si="44"/>
        <v>0</v>
      </c>
      <c r="BS21" s="52">
        <f t="shared" si="44"/>
        <v>0</v>
      </c>
      <c r="BT21" s="52">
        <f t="shared" ref="BT21:CE21" si="45">BT22+BT23</f>
        <v>0</v>
      </c>
      <c r="BU21" s="52">
        <f t="shared" si="45"/>
        <v>0</v>
      </c>
      <c r="BV21" s="52">
        <f t="shared" si="45"/>
        <v>0</v>
      </c>
      <c r="BW21" s="52">
        <f t="shared" si="45"/>
        <v>0</v>
      </c>
      <c r="BX21" s="52">
        <f t="shared" si="45"/>
        <v>0</v>
      </c>
      <c r="BY21" s="52">
        <f t="shared" si="45"/>
        <v>0</v>
      </c>
      <c r="BZ21" s="52">
        <f t="shared" si="45"/>
        <v>0</v>
      </c>
      <c r="CA21" s="52">
        <f t="shared" si="45"/>
        <v>0</v>
      </c>
      <c r="CB21" s="52">
        <f t="shared" si="45"/>
        <v>0</v>
      </c>
      <c r="CC21" s="52">
        <f t="shared" si="45"/>
        <v>0</v>
      </c>
      <c r="CD21" s="52">
        <f t="shared" si="45"/>
        <v>0</v>
      </c>
      <c r="CE21" s="52">
        <f t="shared" si="45"/>
        <v>0</v>
      </c>
      <c r="CF21" s="52">
        <f t="shared" ref="CF21" si="46">CF22+CF23</f>
        <v>0</v>
      </c>
      <c r="CG21" s="52">
        <f t="shared" ref="CG21:CI21" si="47">CG22+CG23</f>
        <v>0</v>
      </c>
      <c r="CH21" s="52">
        <f t="shared" si="47"/>
        <v>0</v>
      </c>
      <c r="CI21" s="52">
        <f t="shared" si="47"/>
        <v>0</v>
      </c>
      <c r="CJ21" s="52">
        <f t="shared" ref="CJ21:CL21" si="48">CJ22+CJ23</f>
        <v>0</v>
      </c>
      <c r="CK21" s="52">
        <f t="shared" si="48"/>
        <v>0</v>
      </c>
      <c r="CL21" s="52">
        <f t="shared" si="48"/>
        <v>0</v>
      </c>
      <c r="CM21" s="52">
        <f t="shared" ref="CM21:CN21" si="49">CM22+CM23</f>
        <v>0</v>
      </c>
      <c r="CN21" s="52">
        <f t="shared" si="49"/>
        <v>0</v>
      </c>
      <c r="CO21" s="52">
        <f t="shared" ref="CO21" si="50">CO22+CO23</f>
        <v>0</v>
      </c>
    </row>
    <row r="22" spans="1:93">
      <c r="A22" s="24" t="s">
        <v>263</v>
      </c>
      <c r="B22" s="19" t="s">
        <v>54</v>
      </c>
      <c r="C22" s="52" t="e">
        <f>'Evolutive SFP'!#REF!</f>
        <v>#REF!</v>
      </c>
      <c r="D22" s="52" t="e">
        <f>'Evolutive SFP'!#REF!</f>
        <v>#REF!</v>
      </c>
      <c r="E22" s="52" t="e">
        <f>'Evolutive SFP'!#REF!</f>
        <v>#REF!</v>
      </c>
      <c r="F22" s="52" t="e">
        <f>'Evolutive SFP'!#REF!</f>
        <v>#REF!</v>
      </c>
      <c r="G22" s="52" t="e">
        <f>'Evolutive SFP'!#REF!</f>
        <v>#REF!</v>
      </c>
      <c r="H22" s="52" t="e">
        <f>'Evolutive SFP'!#REF!</f>
        <v>#REF!</v>
      </c>
      <c r="I22" s="52" t="e">
        <f>'Evolutive SFP'!#REF!</f>
        <v>#REF!</v>
      </c>
      <c r="J22" s="52" t="e">
        <f>'Evolutive SFP'!#REF!</f>
        <v>#REF!</v>
      </c>
      <c r="K22" s="52" t="e">
        <f>'Evolutive SFP'!#REF!</f>
        <v>#REF!</v>
      </c>
      <c r="L22" s="52" t="e">
        <f>'Evolutive SFP'!#REF!</f>
        <v>#REF!</v>
      </c>
      <c r="M22" s="52" t="e">
        <f>'Evolutive SFP'!#REF!</f>
        <v>#REF!</v>
      </c>
      <c r="N22" s="52" t="e">
        <f>'Evolutive SFP'!#REF!</f>
        <v>#REF!</v>
      </c>
      <c r="O22" s="52" t="e">
        <f>'Evolutive SFP'!#REF!</f>
        <v>#REF!</v>
      </c>
      <c r="P22" s="52" t="e">
        <f>'Evolutive SFP'!#REF!</f>
        <v>#REF!</v>
      </c>
      <c r="Q22" s="52" t="e">
        <f>'Evolutive SFP'!#REF!</f>
        <v>#REF!</v>
      </c>
      <c r="R22" s="52" t="e">
        <f>'Evolutive SFP'!#REF!</f>
        <v>#REF!</v>
      </c>
      <c r="S22" s="52" t="e">
        <f>'Evolutive SFP'!#REF!</f>
        <v>#REF!</v>
      </c>
      <c r="T22" s="52" t="e">
        <f>'Evolutive SFP'!#REF!</f>
        <v>#REF!</v>
      </c>
      <c r="U22" s="52" t="e">
        <f>'Evolutive SFP'!#REF!</f>
        <v>#REF!</v>
      </c>
      <c r="V22" s="52" t="e">
        <f>'Evolutive SFP'!#REF!</f>
        <v>#REF!</v>
      </c>
      <c r="W22" s="52" t="e">
        <f>'Evolutive SFP'!#REF!</f>
        <v>#REF!</v>
      </c>
      <c r="X22" s="52" t="e">
        <f>'Evolutive SFP'!#REF!</f>
        <v>#REF!</v>
      </c>
      <c r="Y22" s="52" t="e">
        <f>'Evolutive SFP'!#REF!</f>
        <v>#REF!</v>
      </c>
      <c r="Z22" s="52" t="e">
        <f>'Evolutive SFP'!#REF!</f>
        <v>#REF!</v>
      </c>
      <c r="AA22" s="52" t="e">
        <f>'Evolutive SFP'!#REF!</f>
        <v>#REF!</v>
      </c>
      <c r="AB22" s="52" t="e">
        <f>'Evolutive SFP'!#REF!</f>
        <v>#REF!</v>
      </c>
      <c r="AC22" s="52" t="e">
        <f>'Evolutive SFP'!#REF!</f>
        <v>#REF!</v>
      </c>
      <c r="AD22" s="52" t="e">
        <f>'Evolutive SFP'!#REF!</f>
        <v>#REF!</v>
      </c>
      <c r="AE22" s="52" t="e">
        <f>'Evolutive SFP'!#REF!</f>
        <v>#REF!</v>
      </c>
      <c r="AF22" s="52" t="e">
        <f>'Evolutive SFP'!#REF!</f>
        <v>#REF!</v>
      </c>
      <c r="AG22" s="52" t="e">
        <f>'Evolutive SFP'!#REF!</f>
        <v>#REF!</v>
      </c>
      <c r="AH22" s="52" t="e">
        <f>'Evolutive SFP'!#REF!</f>
        <v>#REF!</v>
      </c>
      <c r="AI22" s="52" t="e">
        <f>'Evolutive SFP'!#REF!</f>
        <v>#REF!</v>
      </c>
      <c r="AJ22" s="52" t="e">
        <f>'Evolutive SFP'!#REF!</f>
        <v>#REF!</v>
      </c>
      <c r="AK22" s="52" t="e">
        <f>'Evolutive SFP'!#REF!</f>
        <v>#REF!</v>
      </c>
      <c r="AL22" s="52" t="e">
        <f>'Evolutive SFP'!#REF!</f>
        <v>#REF!</v>
      </c>
      <c r="AM22" s="52" t="e">
        <f>'Evolutive SFP'!#REF!</f>
        <v>#REF!</v>
      </c>
      <c r="AN22" s="52" t="e">
        <f>'Evolutive SFP'!#REF!</f>
        <v>#REF!</v>
      </c>
      <c r="AO22" s="52" t="e">
        <f>'Evolutive SFP'!#REF!</f>
        <v>#REF!</v>
      </c>
      <c r="AP22" s="52" t="e">
        <f>'Evolutive SFP'!#REF!</f>
        <v>#REF!</v>
      </c>
      <c r="AQ22" s="52" t="e">
        <f>'Evolutive SFP'!#REF!</f>
        <v>#REF!</v>
      </c>
      <c r="AR22" s="52" t="e">
        <f>'Evolutive SFP'!#REF!</f>
        <v>#REF!</v>
      </c>
      <c r="AS22" s="52">
        <f>'Evolutive SFP'!AH46</f>
        <v>0</v>
      </c>
      <c r="AT22" s="52">
        <f>'Evolutive SFP'!AI46</f>
        <v>0</v>
      </c>
      <c r="AU22" s="52">
        <f>'Evolutive SFP'!AJ46</f>
        <v>0</v>
      </c>
      <c r="AV22" s="52">
        <f>'Evolutive SFP'!AK46</f>
        <v>0</v>
      </c>
      <c r="AW22" s="52">
        <f>'Evolutive SFP'!AL46</f>
        <v>0</v>
      </c>
      <c r="AX22" s="52">
        <f>'Evolutive SFP'!AM46</f>
        <v>0</v>
      </c>
      <c r="AY22" s="52">
        <f>'Evolutive SFP'!AN46</f>
        <v>0</v>
      </c>
      <c r="AZ22" s="52" t="e">
        <f>'Evolutive SFP'!#REF!</f>
        <v>#REF!</v>
      </c>
      <c r="BA22" s="52">
        <f>'Evolutive SFP'!AO46</f>
        <v>0</v>
      </c>
      <c r="BB22" s="52">
        <f>'Evolutive SFP'!AP46</f>
        <v>0</v>
      </c>
      <c r="BC22" s="52">
        <f>'Evolutive SFP'!AQ46</f>
        <v>0</v>
      </c>
      <c r="BD22" s="52">
        <f>'Evolutive SFP'!AR46</f>
        <v>0</v>
      </c>
      <c r="BE22" s="52">
        <f>'Evolutive SFP'!AS46</f>
        <v>0</v>
      </c>
      <c r="BF22" s="52">
        <f>'Evolutive SFP'!AT46</f>
        <v>0</v>
      </c>
      <c r="BG22" s="52">
        <f>'Evolutive SFP'!AU46</f>
        <v>0</v>
      </c>
      <c r="BH22" s="52">
        <f>'Evolutive SFP'!AV46</f>
        <v>0</v>
      </c>
      <c r="BI22" s="52">
        <f>'Evolutive SFP'!AW46</f>
        <v>0</v>
      </c>
      <c r="BJ22" s="52">
        <f>'Evolutive SFP'!AX46</f>
        <v>0</v>
      </c>
      <c r="BK22" s="52">
        <f>'Evolutive SFP'!AY46</f>
        <v>0</v>
      </c>
      <c r="BL22" s="52">
        <f>'Evolutive SFP'!AZ46</f>
        <v>0</v>
      </c>
      <c r="BM22" s="52">
        <f>'Evolutive SFP'!BA46</f>
        <v>0</v>
      </c>
      <c r="BN22" s="52">
        <f>'Evolutive SFP'!BB46</f>
        <v>0</v>
      </c>
      <c r="BO22" s="52">
        <f>'Evolutive SFP'!BC46</f>
        <v>0</v>
      </c>
      <c r="BP22" s="52">
        <f>'Evolutive SFP'!BD46</f>
        <v>0</v>
      </c>
      <c r="BQ22" s="52">
        <f>'Evolutive SFP'!BE46</f>
        <v>0</v>
      </c>
      <c r="BR22" s="52">
        <f>'Evolutive SFP'!BF46</f>
        <v>0</v>
      </c>
      <c r="BS22" s="52">
        <f>'Evolutive SFP'!BG46</f>
        <v>0</v>
      </c>
      <c r="BT22" s="52">
        <f>'Evolutive SFP'!BH46</f>
        <v>0</v>
      </c>
      <c r="BU22" s="52">
        <f>'Evolutive SFP'!BI46</f>
        <v>0</v>
      </c>
      <c r="BV22" s="52">
        <f>'Evolutive SFP'!BJ46</f>
        <v>0</v>
      </c>
      <c r="BW22" s="52">
        <f>'Evolutive SFP'!BK46</f>
        <v>0</v>
      </c>
      <c r="BX22" s="52">
        <f>'Evolutive SFP'!BL46</f>
        <v>0</v>
      </c>
      <c r="BY22" s="52">
        <f>'Evolutive SFP'!BM46</f>
        <v>0</v>
      </c>
      <c r="BZ22" s="52">
        <f>'Evolutive SFP'!BN46</f>
        <v>0</v>
      </c>
      <c r="CA22" s="52">
        <f>'Evolutive SFP'!BO46</f>
        <v>0</v>
      </c>
      <c r="CB22" s="52">
        <f>'Evolutive SFP'!BP46</f>
        <v>0</v>
      </c>
      <c r="CC22" s="52">
        <f>'Evolutive SFP'!BQ46</f>
        <v>0</v>
      </c>
      <c r="CD22" s="52">
        <f>'Evolutive SFP'!BR46</f>
        <v>0</v>
      </c>
      <c r="CE22" s="52">
        <f>'Evolutive SFP'!BS46</f>
        <v>0</v>
      </c>
      <c r="CF22" s="52">
        <f>'Evolutive SFP'!BT46</f>
        <v>0</v>
      </c>
      <c r="CG22" s="52">
        <f>'Evolutive SFP'!BU46</f>
        <v>0</v>
      </c>
      <c r="CH22" s="52">
        <f>'Evolutive SFP'!BV46</f>
        <v>0</v>
      </c>
      <c r="CI22" s="52">
        <f>'Evolutive SFP'!BW46</f>
        <v>0</v>
      </c>
      <c r="CJ22" s="52">
        <f>'Evolutive SFP'!BX46</f>
        <v>0</v>
      </c>
      <c r="CK22" s="52">
        <f>'Evolutive SFP'!BY46</f>
        <v>0</v>
      </c>
      <c r="CL22" s="52">
        <f>'Evolutive SFP'!BZ46</f>
        <v>0</v>
      </c>
      <c r="CM22" s="52">
        <f>'Evolutive SFP'!CA46</f>
        <v>0</v>
      </c>
      <c r="CN22" s="52">
        <f>'Evolutive SFP'!CB46</f>
        <v>0</v>
      </c>
      <c r="CO22" s="52">
        <f>'Evolutive SFP'!CC46</f>
        <v>0</v>
      </c>
    </row>
    <row r="23" spans="1:93">
      <c r="A23" s="24" t="s">
        <v>264</v>
      </c>
      <c r="B23" s="19" t="s">
        <v>265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</row>
    <row r="24" spans="1:93">
      <c r="A24" s="18"/>
      <c r="B24" s="25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M24" s="52"/>
      <c r="CN24" s="52"/>
      <c r="CO24" s="52"/>
    </row>
    <row r="25" spans="1:93" s="14" customFormat="1">
      <c r="A25" s="28">
        <v>6</v>
      </c>
      <c r="B25" s="23" t="s">
        <v>266</v>
      </c>
      <c r="C25" s="53" t="e">
        <f>C26+C27+C28</f>
        <v>#REF!</v>
      </c>
      <c r="D25" s="53" t="e">
        <f t="shared" ref="D25:K25" si="51">D26+D27+D28</f>
        <v>#REF!</v>
      </c>
      <c r="E25" s="53" t="e">
        <f>E26+E27+E28</f>
        <v>#REF!</v>
      </c>
      <c r="F25" s="53" t="e">
        <f>F26+F27+F28</f>
        <v>#REF!</v>
      </c>
      <c r="G25" s="53" t="e">
        <f t="shared" si="51"/>
        <v>#REF!</v>
      </c>
      <c r="H25" s="53" t="e">
        <f t="shared" si="51"/>
        <v>#REF!</v>
      </c>
      <c r="I25" s="53" t="e">
        <f t="shared" si="51"/>
        <v>#REF!</v>
      </c>
      <c r="J25" s="53" t="e">
        <f t="shared" si="51"/>
        <v>#REF!</v>
      </c>
      <c r="K25" s="53" t="e">
        <f t="shared" si="51"/>
        <v>#REF!</v>
      </c>
      <c r="L25" s="53" t="e">
        <f>L26+L27+L28</f>
        <v>#REF!</v>
      </c>
      <c r="M25" s="53" t="e">
        <f t="shared" ref="M25:R25" si="52">M26+M27+M28</f>
        <v>#REF!</v>
      </c>
      <c r="N25" s="53" t="e">
        <f t="shared" si="52"/>
        <v>#REF!</v>
      </c>
      <c r="O25" s="53" t="e">
        <f t="shared" si="52"/>
        <v>#REF!</v>
      </c>
      <c r="P25" s="53" t="e">
        <f t="shared" si="52"/>
        <v>#REF!</v>
      </c>
      <c r="Q25" s="53" t="e">
        <f t="shared" si="52"/>
        <v>#REF!</v>
      </c>
      <c r="R25" s="53" t="e">
        <f t="shared" si="52"/>
        <v>#REF!</v>
      </c>
      <c r="S25" s="53" t="e">
        <f t="shared" ref="S25:Y25" si="53">S26+S27+S28</f>
        <v>#REF!</v>
      </c>
      <c r="T25" s="53" t="e">
        <f t="shared" si="53"/>
        <v>#REF!</v>
      </c>
      <c r="U25" s="53" t="e">
        <f t="shared" si="53"/>
        <v>#REF!</v>
      </c>
      <c r="V25" s="53" t="e">
        <f t="shared" si="53"/>
        <v>#REF!</v>
      </c>
      <c r="W25" s="53" t="e">
        <f t="shared" si="53"/>
        <v>#REF!</v>
      </c>
      <c r="X25" s="53" t="e">
        <f t="shared" si="53"/>
        <v>#REF!</v>
      </c>
      <c r="Y25" s="53" t="e">
        <f t="shared" si="53"/>
        <v>#REF!</v>
      </c>
      <c r="Z25" s="53" t="e">
        <f t="shared" ref="Z25:AF25" si="54">Z26+Z27+Z28</f>
        <v>#REF!</v>
      </c>
      <c r="AA25" s="53" t="e">
        <f t="shared" si="54"/>
        <v>#REF!</v>
      </c>
      <c r="AB25" s="53" t="e">
        <f t="shared" si="54"/>
        <v>#REF!</v>
      </c>
      <c r="AC25" s="53" t="e">
        <f t="shared" si="54"/>
        <v>#REF!</v>
      </c>
      <c r="AD25" s="53" t="e">
        <f t="shared" si="54"/>
        <v>#REF!</v>
      </c>
      <c r="AE25" s="53" t="e">
        <f t="shared" si="54"/>
        <v>#REF!</v>
      </c>
      <c r="AF25" s="53" t="e">
        <f t="shared" si="54"/>
        <v>#REF!</v>
      </c>
      <c r="AG25" s="53" t="e">
        <f t="shared" ref="AG25:AY25" si="55">AG26+AG27+AG28</f>
        <v>#REF!</v>
      </c>
      <c r="AH25" s="53" t="e">
        <f t="shared" si="55"/>
        <v>#REF!</v>
      </c>
      <c r="AI25" s="53" t="e">
        <f t="shared" si="55"/>
        <v>#REF!</v>
      </c>
      <c r="AJ25" s="53" t="e">
        <f t="shared" si="55"/>
        <v>#REF!</v>
      </c>
      <c r="AK25" s="53" t="e">
        <f t="shared" si="55"/>
        <v>#REF!</v>
      </c>
      <c r="AL25" s="53" t="e">
        <f t="shared" si="55"/>
        <v>#REF!</v>
      </c>
      <c r="AM25" s="53" t="e">
        <f t="shared" si="55"/>
        <v>#REF!</v>
      </c>
      <c r="AN25" s="53" t="e">
        <f t="shared" si="55"/>
        <v>#REF!</v>
      </c>
      <c r="AO25" s="53" t="e">
        <f t="shared" si="55"/>
        <v>#REF!</v>
      </c>
      <c r="AP25" s="53" t="e">
        <f t="shared" si="55"/>
        <v>#REF!</v>
      </c>
      <c r="AQ25" s="53" t="e">
        <f t="shared" si="55"/>
        <v>#REF!</v>
      </c>
      <c r="AR25" s="53" t="e">
        <f t="shared" si="55"/>
        <v>#REF!</v>
      </c>
      <c r="AS25" s="53">
        <f t="shared" si="55"/>
        <v>200000</v>
      </c>
      <c r="AT25" s="53">
        <f t="shared" si="55"/>
        <v>0</v>
      </c>
      <c r="AU25" s="53">
        <f t="shared" si="55"/>
        <v>0</v>
      </c>
      <c r="AV25" s="53">
        <f t="shared" si="55"/>
        <v>0</v>
      </c>
      <c r="AW25" s="53">
        <f t="shared" si="55"/>
        <v>0</v>
      </c>
      <c r="AX25" s="53">
        <f t="shared" si="55"/>
        <v>0</v>
      </c>
      <c r="AY25" s="53">
        <f t="shared" si="55"/>
        <v>0</v>
      </c>
      <c r="AZ25" s="53" t="e">
        <f t="shared" ref="AZ25:BF25" si="56">AZ26+AZ27+AZ28</f>
        <v>#REF!</v>
      </c>
      <c r="BA25" s="53">
        <f t="shared" si="56"/>
        <v>0</v>
      </c>
      <c r="BB25" s="53">
        <f t="shared" si="56"/>
        <v>0</v>
      </c>
      <c r="BC25" s="53">
        <f t="shared" si="56"/>
        <v>0</v>
      </c>
      <c r="BD25" s="53">
        <f t="shared" si="56"/>
        <v>0</v>
      </c>
      <c r="BE25" s="53">
        <f t="shared" si="56"/>
        <v>0</v>
      </c>
      <c r="BF25" s="53">
        <f t="shared" si="56"/>
        <v>200000</v>
      </c>
      <c r="BG25" s="53">
        <f t="shared" ref="BG25:BN25" si="57">BG26+BG27+BG28</f>
        <v>14308018.800000001</v>
      </c>
      <c r="BH25" s="53">
        <f t="shared" si="57"/>
        <v>14388018.800000001</v>
      </c>
      <c r="BI25" s="53">
        <f t="shared" si="57"/>
        <v>14468018.800000001</v>
      </c>
      <c r="BJ25" s="53">
        <f t="shared" si="57"/>
        <v>14548018.800000001</v>
      </c>
      <c r="BK25" s="53">
        <f t="shared" si="57"/>
        <v>15028018.800000001</v>
      </c>
      <c r="BL25" s="53">
        <f t="shared" si="57"/>
        <v>15108018.800000001</v>
      </c>
      <c r="BM25" s="53">
        <f t="shared" si="57"/>
        <v>15188018.800000001</v>
      </c>
      <c r="BN25" s="53">
        <f t="shared" si="57"/>
        <v>15268018.800000001</v>
      </c>
      <c r="BO25" s="53">
        <f t="shared" ref="BO25:BS25" si="58">BO26+BO27+BO28</f>
        <v>15348018.800000001</v>
      </c>
      <c r="BP25" s="53">
        <f t="shared" si="58"/>
        <v>15428018.800000001</v>
      </c>
      <c r="BQ25" s="53">
        <f t="shared" si="58"/>
        <v>15508018.800000001</v>
      </c>
      <c r="BR25" s="53">
        <f t="shared" si="58"/>
        <v>15588018.800000001</v>
      </c>
      <c r="BS25" s="53">
        <f t="shared" si="58"/>
        <v>15840160</v>
      </c>
      <c r="BT25" s="53">
        <f t="shared" ref="BT25:CE25" si="59">BT26+BT27+BT28</f>
        <v>0</v>
      </c>
      <c r="BU25" s="53">
        <f t="shared" si="59"/>
        <v>0</v>
      </c>
      <c r="BV25" s="53">
        <f t="shared" si="59"/>
        <v>0</v>
      </c>
      <c r="BW25" s="53">
        <f t="shared" si="59"/>
        <v>0</v>
      </c>
      <c r="BX25" s="53">
        <f t="shared" si="59"/>
        <v>0</v>
      </c>
      <c r="BY25" s="53">
        <f t="shared" si="59"/>
        <v>0</v>
      </c>
      <c r="BZ25" s="53">
        <f t="shared" si="59"/>
        <v>0</v>
      </c>
      <c r="CA25" s="53">
        <f t="shared" si="59"/>
        <v>0</v>
      </c>
      <c r="CB25" s="53">
        <f t="shared" si="59"/>
        <v>0</v>
      </c>
      <c r="CC25" s="53">
        <f t="shared" si="59"/>
        <v>0</v>
      </c>
      <c r="CD25" s="53">
        <f t="shared" si="59"/>
        <v>0</v>
      </c>
      <c r="CE25" s="53">
        <f t="shared" si="59"/>
        <v>0</v>
      </c>
      <c r="CF25" s="53">
        <f t="shared" ref="CF25" si="60">CF26+CF27+CF28</f>
        <v>0</v>
      </c>
      <c r="CG25" s="53">
        <f t="shared" ref="CG25:CI25" si="61">CG26+CG27+CG28</f>
        <v>16628018.800000001</v>
      </c>
      <c r="CH25" s="53">
        <f t="shared" si="61"/>
        <v>16708018.800000001</v>
      </c>
      <c r="CI25" s="53">
        <f t="shared" si="61"/>
        <v>16788018.800000001</v>
      </c>
      <c r="CJ25" s="53">
        <f t="shared" ref="CJ25:CL25" si="62">CJ26+CJ27+CJ28</f>
        <v>16868018.800000001</v>
      </c>
      <c r="CK25" s="53">
        <f t="shared" si="62"/>
        <v>16948018.800000001</v>
      </c>
      <c r="CL25" s="53">
        <f t="shared" si="62"/>
        <v>17028018.800000001</v>
      </c>
      <c r="CM25" s="53">
        <f t="shared" ref="CM25:CN25" si="63">CM26+CM27+CM28</f>
        <v>17107978.800000001</v>
      </c>
      <c r="CN25" s="53">
        <f t="shared" si="63"/>
        <v>17187978.800000001</v>
      </c>
      <c r="CO25" s="53">
        <f t="shared" ref="CO25" si="64">CO26+CO27+CO28</f>
        <v>17267978.800000001</v>
      </c>
    </row>
    <row r="26" spans="1:93">
      <c r="A26" s="20">
        <v>6.1</v>
      </c>
      <c r="B26" s="19" t="s">
        <v>267</v>
      </c>
      <c r="C26" s="52" t="e">
        <f>'Evolutive SFP'!#REF!</f>
        <v>#REF!</v>
      </c>
      <c r="D26" s="52" t="e">
        <f>'Evolutive SFP'!#REF!</f>
        <v>#REF!</v>
      </c>
      <c r="E26" s="52" t="e">
        <f>'Evolutive SFP'!#REF!</f>
        <v>#REF!</v>
      </c>
      <c r="F26" s="52" t="e">
        <f>'Evolutive SFP'!#REF!</f>
        <v>#REF!</v>
      </c>
      <c r="G26" s="52" t="e">
        <f>'Evolutive SFP'!#REF!</f>
        <v>#REF!</v>
      </c>
      <c r="H26" s="52" t="e">
        <f>'Evolutive SFP'!#REF!</f>
        <v>#REF!</v>
      </c>
      <c r="I26" s="52" t="e">
        <f>'Evolutive SFP'!#REF!</f>
        <v>#REF!</v>
      </c>
      <c r="J26" s="52" t="e">
        <f>'Evolutive SFP'!#REF!</f>
        <v>#REF!</v>
      </c>
      <c r="K26" s="52" t="e">
        <f>'Evolutive SFP'!#REF!</f>
        <v>#REF!</v>
      </c>
      <c r="L26" s="52" t="e">
        <f>'Evolutive SFP'!#REF!</f>
        <v>#REF!</v>
      </c>
      <c r="M26" s="52" t="e">
        <f>'Evolutive SFP'!#REF!</f>
        <v>#REF!</v>
      </c>
      <c r="N26" s="52" t="e">
        <f>'Evolutive SFP'!#REF!</f>
        <v>#REF!</v>
      </c>
      <c r="O26" s="52" t="e">
        <f>'Evolutive SFP'!#REF!</f>
        <v>#REF!</v>
      </c>
      <c r="P26" s="52" t="e">
        <f>'Evolutive SFP'!#REF!</f>
        <v>#REF!</v>
      </c>
      <c r="Q26" s="52" t="e">
        <f>'Evolutive SFP'!#REF!</f>
        <v>#REF!</v>
      </c>
      <c r="R26" s="52" t="e">
        <f>'Evolutive SFP'!#REF!</f>
        <v>#REF!</v>
      </c>
      <c r="S26" s="52" t="e">
        <f>'Evolutive SFP'!#REF!</f>
        <v>#REF!</v>
      </c>
      <c r="T26" s="52" t="e">
        <f>'Evolutive SFP'!#REF!</f>
        <v>#REF!</v>
      </c>
      <c r="U26" s="52" t="e">
        <f>'Evolutive SFP'!#REF!</f>
        <v>#REF!</v>
      </c>
      <c r="V26" s="52" t="e">
        <f>'Evolutive SFP'!#REF!</f>
        <v>#REF!</v>
      </c>
      <c r="W26" s="52" t="e">
        <f>'Evolutive SFP'!#REF!</f>
        <v>#REF!</v>
      </c>
      <c r="X26" s="52" t="e">
        <f>'Evolutive SFP'!#REF!</f>
        <v>#REF!</v>
      </c>
      <c r="Y26" s="52" t="e">
        <f>'Evolutive SFP'!#REF!</f>
        <v>#REF!</v>
      </c>
      <c r="Z26" s="52" t="e">
        <f>'Evolutive SFP'!#REF!</f>
        <v>#REF!</v>
      </c>
      <c r="AA26" s="52" t="e">
        <f>'Evolutive SFP'!#REF!</f>
        <v>#REF!</v>
      </c>
      <c r="AB26" s="52" t="e">
        <f>'Evolutive SFP'!#REF!</f>
        <v>#REF!</v>
      </c>
      <c r="AC26" s="52" t="e">
        <f>'Evolutive SFP'!#REF!</f>
        <v>#REF!</v>
      </c>
      <c r="AD26" s="52" t="e">
        <f>'Evolutive SFP'!#REF!</f>
        <v>#REF!</v>
      </c>
      <c r="AE26" s="52" t="e">
        <f>'Evolutive SFP'!#REF!</f>
        <v>#REF!</v>
      </c>
      <c r="AF26" s="52" t="e">
        <f>'Evolutive SFP'!#REF!</f>
        <v>#REF!</v>
      </c>
      <c r="AG26" s="52" t="e">
        <f>'Evolutive SFP'!#REF!</f>
        <v>#REF!</v>
      </c>
      <c r="AH26" s="52" t="e">
        <f>'Evolutive SFP'!#REF!</f>
        <v>#REF!</v>
      </c>
      <c r="AI26" s="52" t="e">
        <f>'Evolutive SFP'!#REF!</f>
        <v>#REF!</v>
      </c>
      <c r="AJ26" s="52" t="e">
        <f>'Evolutive SFP'!#REF!</f>
        <v>#REF!</v>
      </c>
      <c r="AK26" s="52" t="e">
        <f>'Evolutive SFP'!#REF!</f>
        <v>#REF!</v>
      </c>
      <c r="AL26" s="52" t="e">
        <f>'Evolutive SFP'!#REF!</f>
        <v>#REF!</v>
      </c>
      <c r="AM26" s="52" t="e">
        <f>'Evolutive SFP'!#REF!</f>
        <v>#REF!</v>
      </c>
      <c r="AN26" s="52" t="e">
        <f>'Evolutive SFP'!#REF!</f>
        <v>#REF!</v>
      </c>
      <c r="AO26" s="52" t="e">
        <f>'Evolutive SFP'!#REF!</f>
        <v>#REF!</v>
      </c>
      <c r="AP26" s="52" t="e">
        <f>'Evolutive SFP'!#REF!</f>
        <v>#REF!</v>
      </c>
      <c r="AQ26" s="52" t="e">
        <f>'Evolutive SFP'!#REF!</f>
        <v>#REF!</v>
      </c>
      <c r="AR26" s="52" t="e">
        <f>'Evolutive SFP'!#REF!</f>
        <v>#REF!</v>
      </c>
      <c r="AS26" s="52">
        <f>'Evolutive SFP'!AH13</f>
        <v>100000</v>
      </c>
      <c r="AT26" s="52">
        <f>'Evolutive SFP'!AI13</f>
        <v>0</v>
      </c>
      <c r="AU26" s="52">
        <f>'Evolutive SFP'!AJ13</f>
        <v>0</v>
      </c>
      <c r="AV26" s="52">
        <f>'Evolutive SFP'!AK13</f>
        <v>0</v>
      </c>
      <c r="AW26" s="52">
        <f>'Evolutive SFP'!AL13</f>
        <v>0</v>
      </c>
      <c r="AX26" s="52">
        <f>'Evolutive SFP'!AM13</f>
        <v>0</v>
      </c>
      <c r="AY26" s="52">
        <f>'Evolutive SFP'!AN13</f>
        <v>0</v>
      </c>
      <c r="AZ26" s="52" t="e">
        <f>'Evolutive SFP'!#REF!</f>
        <v>#REF!</v>
      </c>
      <c r="BA26" s="52">
        <f>'Evolutive SFP'!AO13</f>
        <v>0</v>
      </c>
      <c r="BB26" s="52">
        <f>'Evolutive SFP'!AP13</f>
        <v>0</v>
      </c>
      <c r="BC26" s="52">
        <f>'Evolutive SFP'!AQ13</f>
        <v>0</v>
      </c>
      <c r="BD26" s="52">
        <f>'Evolutive SFP'!AR13</f>
        <v>0</v>
      </c>
      <c r="BE26" s="52">
        <f>'Evolutive SFP'!AS13</f>
        <v>0</v>
      </c>
      <c r="BF26" s="52">
        <f>'Evolutive SFP'!AT13</f>
        <v>100000</v>
      </c>
      <c r="BG26" s="52">
        <f>'Evolutive SFP'!AU13</f>
        <v>7154009.4000000004</v>
      </c>
      <c r="BH26" s="52">
        <f>'Evolutive SFP'!AV13</f>
        <v>7194009.4000000004</v>
      </c>
      <c r="BI26" s="52">
        <f>'Evolutive SFP'!AW13</f>
        <v>7234009.4000000004</v>
      </c>
      <c r="BJ26" s="52">
        <f>'Evolutive SFP'!AX13</f>
        <v>7274009.4000000004</v>
      </c>
      <c r="BK26" s="52">
        <f>'Evolutive SFP'!AY13</f>
        <v>7514009.4000000004</v>
      </c>
      <c r="BL26" s="52">
        <f>'Evolutive SFP'!AZ13</f>
        <v>7554009.4000000004</v>
      </c>
      <c r="BM26" s="52">
        <f>'Evolutive SFP'!BA13</f>
        <v>7594009.4000000004</v>
      </c>
      <c r="BN26" s="52">
        <f>'Evolutive SFP'!BB13</f>
        <v>7634009.4000000004</v>
      </c>
      <c r="BO26" s="52">
        <f>'Evolutive SFP'!BC13</f>
        <v>7674009.4000000004</v>
      </c>
      <c r="BP26" s="52">
        <f>'Evolutive SFP'!BD13</f>
        <v>7714009.4000000004</v>
      </c>
      <c r="BQ26" s="52">
        <f>'Evolutive SFP'!BE13</f>
        <v>7754009.4000000004</v>
      </c>
      <c r="BR26" s="52">
        <f>'Evolutive SFP'!BF13</f>
        <v>7794009.4000000004</v>
      </c>
      <c r="BS26" s="52">
        <f>'Evolutive SFP'!BG13</f>
        <v>7920080</v>
      </c>
      <c r="BT26" s="52">
        <f>'Evolutive SFP'!BH13</f>
        <v>0</v>
      </c>
      <c r="BU26" s="52">
        <f>'Evolutive SFP'!BI13</f>
        <v>0</v>
      </c>
      <c r="BV26" s="52">
        <f>'Evolutive SFP'!BJ13</f>
        <v>0</v>
      </c>
      <c r="BW26" s="52">
        <f>'Evolutive SFP'!BK13</f>
        <v>0</v>
      </c>
      <c r="BX26" s="52">
        <f>'Evolutive SFP'!BL13</f>
        <v>0</v>
      </c>
      <c r="BY26" s="52">
        <f>'Evolutive SFP'!BM13</f>
        <v>0</v>
      </c>
      <c r="BZ26" s="52">
        <f>'Evolutive SFP'!BN13</f>
        <v>0</v>
      </c>
      <c r="CA26" s="52">
        <f>'Evolutive SFP'!BO13</f>
        <v>0</v>
      </c>
      <c r="CB26" s="52">
        <f>'Evolutive SFP'!BP13</f>
        <v>0</v>
      </c>
      <c r="CC26" s="52">
        <f>'Evolutive SFP'!BQ13</f>
        <v>0</v>
      </c>
      <c r="CD26" s="52">
        <f>'Evolutive SFP'!BR13</f>
        <v>0</v>
      </c>
      <c r="CE26" s="52">
        <f>'Evolutive SFP'!BS13</f>
        <v>0</v>
      </c>
      <c r="CF26" s="52">
        <f>'Evolutive SFP'!BT13</f>
        <v>0</v>
      </c>
      <c r="CG26" s="52">
        <f>'Evolutive SFP'!BU13</f>
        <v>8314009.4000000004</v>
      </c>
      <c r="CH26" s="52">
        <f>'Evolutive SFP'!BV13</f>
        <v>8354009.4000000004</v>
      </c>
      <c r="CI26" s="52">
        <f>'Evolutive SFP'!BW13</f>
        <v>8394009.4000000004</v>
      </c>
      <c r="CJ26" s="52">
        <f>'Evolutive SFP'!BX13</f>
        <v>8434009.4000000004</v>
      </c>
      <c r="CK26" s="52">
        <f>'Evolutive SFP'!BY13</f>
        <v>8474009.4000000004</v>
      </c>
      <c r="CL26" s="52">
        <f>'Evolutive SFP'!BZ13</f>
        <v>8514009.4000000004</v>
      </c>
      <c r="CM26" s="52">
        <f>'Evolutive SFP'!CA13</f>
        <v>8553989.4000000004</v>
      </c>
      <c r="CN26" s="52">
        <f>'Evolutive SFP'!CB13</f>
        <v>8593989.4000000004</v>
      </c>
      <c r="CO26" s="52">
        <f>'Evolutive SFP'!CC13</f>
        <v>8633989.4000000004</v>
      </c>
    </row>
    <row r="27" spans="1:93">
      <c r="A27" s="20">
        <v>6.2</v>
      </c>
      <c r="B27" s="19" t="s">
        <v>268</v>
      </c>
      <c r="C27" s="52" t="e">
        <f>'Evolutive SFP'!#REF!</f>
        <v>#REF!</v>
      </c>
      <c r="D27" s="52" t="e">
        <f>'Evolutive SFP'!#REF!</f>
        <v>#REF!</v>
      </c>
      <c r="E27" s="52" t="e">
        <f>'Evolutive SFP'!#REF!</f>
        <v>#REF!</v>
      </c>
      <c r="F27" s="52" t="e">
        <f>'Evolutive SFP'!#REF!</f>
        <v>#REF!</v>
      </c>
      <c r="G27" s="52" t="e">
        <f>'Evolutive SFP'!#REF!</f>
        <v>#REF!</v>
      </c>
      <c r="H27" s="52" t="e">
        <f>'Evolutive SFP'!#REF!</f>
        <v>#REF!</v>
      </c>
      <c r="I27" s="52" t="e">
        <f>'Evolutive SFP'!#REF!</f>
        <v>#REF!</v>
      </c>
      <c r="J27" s="52" t="e">
        <f>'Evolutive SFP'!#REF!</f>
        <v>#REF!</v>
      </c>
      <c r="K27" s="52" t="e">
        <f>'Evolutive SFP'!#REF!</f>
        <v>#REF!</v>
      </c>
      <c r="L27" s="52" t="e">
        <f>'Evolutive SFP'!#REF!</f>
        <v>#REF!</v>
      </c>
      <c r="M27" s="52" t="e">
        <f>'Evolutive SFP'!#REF!</f>
        <v>#REF!</v>
      </c>
      <c r="N27" s="52" t="e">
        <f>'Evolutive SFP'!#REF!</f>
        <v>#REF!</v>
      </c>
      <c r="O27" s="52" t="e">
        <f>'Evolutive SFP'!#REF!</f>
        <v>#REF!</v>
      </c>
      <c r="P27" s="52" t="e">
        <f>'Evolutive SFP'!#REF!</f>
        <v>#REF!</v>
      </c>
      <c r="Q27" s="52" t="e">
        <f>'Evolutive SFP'!#REF!</f>
        <v>#REF!</v>
      </c>
      <c r="R27" s="52" t="e">
        <f>'Evolutive SFP'!#REF!</f>
        <v>#REF!</v>
      </c>
      <c r="S27" s="52" t="e">
        <f>'Evolutive SFP'!#REF!+'Evolutive SFP'!#REF!</f>
        <v>#REF!</v>
      </c>
      <c r="T27" s="52" t="e">
        <f>'Evolutive SFP'!#REF!+'Evolutive SFP'!#REF!</f>
        <v>#REF!</v>
      </c>
      <c r="U27" s="52" t="e">
        <f>'Evolutive SFP'!#REF!+'Evolutive SFP'!#REF!</f>
        <v>#REF!</v>
      </c>
      <c r="V27" s="52" t="e">
        <f>'Evolutive SFP'!#REF!+'Evolutive SFP'!#REF!</f>
        <v>#REF!</v>
      </c>
      <c r="W27" s="52" t="e">
        <f>'Evolutive SFP'!#REF!+'Evolutive SFP'!#REF!</f>
        <v>#REF!</v>
      </c>
      <c r="X27" s="52" t="e">
        <f>'Evolutive SFP'!#REF!+'Evolutive SFP'!#REF!</f>
        <v>#REF!</v>
      </c>
      <c r="Y27" s="52" t="e">
        <f>'Evolutive SFP'!#REF!+'Evolutive SFP'!#REF!</f>
        <v>#REF!</v>
      </c>
      <c r="Z27" s="52" t="e">
        <f>'Evolutive SFP'!#REF!+'Evolutive SFP'!#REF!</f>
        <v>#REF!</v>
      </c>
      <c r="AA27" s="52" t="e">
        <f>'Evolutive SFP'!#REF!+'Evolutive SFP'!#REF!</f>
        <v>#REF!</v>
      </c>
      <c r="AB27" s="52" t="e">
        <f>'Evolutive SFP'!#REF!+'Evolutive SFP'!#REF!</f>
        <v>#REF!</v>
      </c>
      <c r="AC27" s="52" t="e">
        <f>'Evolutive SFP'!#REF!+'Evolutive SFP'!#REF!</f>
        <v>#REF!</v>
      </c>
      <c r="AD27" s="52" t="e">
        <f>'Evolutive SFP'!#REF!+'Evolutive SFP'!#REF!</f>
        <v>#REF!</v>
      </c>
      <c r="AE27" s="52" t="e">
        <f>'Evolutive SFP'!#REF!+'Evolutive SFP'!#REF!</f>
        <v>#REF!</v>
      </c>
      <c r="AF27" s="52" t="e">
        <f>'Evolutive SFP'!#REF!+'Evolutive SFP'!#REF!</f>
        <v>#REF!</v>
      </c>
      <c r="AG27" s="52" t="e">
        <f>'Evolutive SFP'!#REF!+'Evolutive SFP'!#REF!</f>
        <v>#REF!</v>
      </c>
      <c r="AH27" s="52" t="e">
        <f>'Evolutive SFP'!#REF!+'Evolutive SFP'!#REF!</f>
        <v>#REF!</v>
      </c>
      <c r="AI27" s="52" t="e">
        <f>'Evolutive SFP'!#REF!+'Evolutive SFP'!#REF!</f>
        <v>#REF!</v>
      </c>
      <c r="AJ27" s="52" t="e">
        <f>'Evolutive SFP'!#REF!+'Evolutive SFP'!#REF!</f>
        <v>#REF!</v>
      </c>
      <c r="AK27" s="52" t="e">
        <f>'Evolutive SFP'!#REF!+'Evolutive SFP'!#REF!</f>
        <v>#REF!</v>
      </c>
      <c r="AL27" s="52" t="e">
        <f>'Evolutive SFP'!#REF!+'Evolutive SFP'!#REF!</f>
        <v>#REF!</v>
      </c>
      <c r="AM27" s="52" t="e">
        <f>'Evolutive SFP'!#REF!+'Evolutive SFP'!#REF!</f>
        <v>#REF!</v>
      </c>
      <c r="AN27" s="52" t="e">
        <f>'Evolutive SFP'!#REF!+'Evolutive SFP'!#REF!</f>
        <v>#REF!</v>
      </c>
      <c r="AO27" s="52" t="e">
        <f>'Evolutive SFP'!#REF!+'Evolutive SFP'!#REF!</f>
        <v>#REF!</v>
      </c>
      <c r="AP27" s="52" t="e">
        <f>'Evolutive SFP'!#REF!+'Evolutive SFP'!#REF!</f>
        <v>#REF!</v>
      </c>
      <c r="AQ27" s="52" t="e">
        <f>'Evolutive SFP'!#REF!+'Evolutive SFP'!#REF!</f>
        <v>#REF!</v>
      </c>
      <c r="AR27" s="52" t="e">
        <f>'Evolutive SFP'!#REF!+'Evolutive SFP'!#REF!</f>
        <v>#REF!</v>
      </c>
      <c r="AS27" s="52">
        <f>'Evolutive SFP'!AH10+'Evolutive SFP'!AH13</f>
        <v>100000</v>
      </c>
      <c r="AT27" s="52">
        <f>'Evolutive SFP'!AI10+'Evolutive SFP'!AI13</f>
        <v>0</v>
      </c>
      <c r="AU27" s="52">
        <f>'Evolutive SFP'!AJ10+'Evolutive SFP'!AJ13</f>
        <v>0</v>
      </c>
      <c r="AV27" s="52">
        <f>'Evolutive SFP'!AK10+'Evolutive SFP'!AK13</f>
        <v>0</v>
      </c>
      <c r="AW27" s="52">
        <f>'Evolutive SFP'!AL10+'Evolutive SFP'!AL13</f>
        <v>0</v>
      </c>
      <c r="AX27" s="52">
        <f>'Evolutive SFP'!AM10+'Evolutive SFP'!AM13</f>
        <v>0</v>
      </c>
      <c r="AY27" s="52">
        <f>'Evolutive SFP'!AN10+'Evolutive SFP'!AN13</f>
        <v>0</v>
      </c>
      <c r="AZ27" s="52" t="e">
        <f>'Evolutive SFP'!#REF!+'Evolutive SFP'!#REF!</f>
        <v>#REF!</v>
      </c>
      <c r="BA27" s="52">
        <f>'Evolutive SFP'!AO10+'Evolutive SFP'!AO13</f>
        <v>0</v>
      </c>
      <c r="BB27" s="52">
        <f>'Evolutive SFP'!AP10+'Evolutive SFP'!AP13</f>
        <v>0</v>
      </c>
      <c r="BC27" s="52">
        <f>'Evolutive SFP'!AQ10+'Evolutive SFP'!AQ13</f>
        <v>0</v>
      </c>
      <c r="BD27" s="52">
        <f>'Evolutive SFP'!AR10+'Evolutive SFP'!AR13</f>
        <v>0</v>
      </c>
      <c r="BE27" s="52">
        <f>'Evolutive SFP'!AS10+'Evolutive SFP'!AS13</f>
        <v>0</v>
      </c>
      <c r="BF27" s="52">
        <f>'Evolutive SFP'!AT10+'Evolutive SFP'!AT13</f>
        <v>100000</v>
      </c>
      <c r="BG27" s="52">
        <f>'Evolutive SFP'!AU10+'Evolutive SFP'!AU13</f>
        <v>7154009.4000000004</v>
      </c>
      <c r="BH27" s="52">
        <f>'Evolutive SFP'!AV10+'Evolutive SFP'!AV13</f>
        <v>7194009.4000000004</v>
      </c>
      <c r="BI27" s="52">
        <f>'Evolutive SFP'!AW10+'Evolutive SFP'!AW13</f>
        <v>7234009.4000000004</v>
      </c>
      <c r="BJ27" s="52">
        <f>'Evolutive SFP'!AX10+'Evolutive SFP'!AX13</f>
        <v>7274009.4000000004</v>
      </c>
      <c r="BK27" s="52">
        <f>'Evolutive SFP'!AY10+'Evolutive SFP'!AY13</f>
        <v>7514009.4000000004</v>
      </c>
      <c r="BL27" s="52">
        <f>'Evolutive SFP'!AZ10+'Evolutive SFP'!AZ13</f>
        <v>7554009.4000000004</v>
      </c>
      <c r="BM27" s="52">
        <f>'Evolutive SFP'!BA10+'Evolutive SFP'!BA13</f>
        <v>7594009.4000000004</v>
      </c>
      <c r="BN27" s="52">
        <f>'Evolutive SFP'!BB10+'Evolutive SFP'!BB13</f>
        <v>7634009.4000000004</v>
      </c>
      <c r="BO27" s="52">
        <f>'Evolutive SFP'!BC10+'Evolutive SFP'!BC13</f>
        <v>7674009.4000000004</v>
      </c>
      <c r="BP27" s="52">
        <f>'Evolutive SFP'!BD10+'Evolutive SFP'!BD13</f>
        <v>7714009.4000000004</v>
      </c>
      <c r="BQ27" s="52">
        <f>'Evolutive SFP'!BE10+'Evolutive SFP'!BE13</f>
        <v>7754009.4000000004</v>
      </c>
      <c r="BR27" s="52">
        <f>'Evolutive SFP'!BF10+'Evolutive SFP'!BF13</f>
        <v>7794009.4000000004</v>
      </c>
      <c r="BS27" s="52">
        <f>'Evolutive SFP'!BG10+'Evolutive SFP'!BG13</f>
        <v>7920080</v>
      </c>
      <c r="BT27" s="52">
        <f>'Evolutive SFP'!BH10+'Evolutive SFP'!BH13</f>
        <v>0</v>
      </c>
      <c r="BU27" s="52">
        <f>'Evolutive SFP'!BI10+'Evolutive SFP'!BI13</f>
        <v>0</v>
      </c>
      <c r="BV27" s="52">
        <f>'Evolutive SFP'!BJ10+'Evolutive SFP'!BJ13</f>
        <v>0</v>
      </c>
      <c r="BW27" s="52">
        <f>'Evolutive SFP'!BK10+'Evolutive SFP'!BK13</f>
        <v>0</v>
      </c>
      <c r="BX27" s="52">
        <f>'Evolutive SFP'!BL10+'Evolutive SFP'!BL13</f>
        <v>0</v>
      </c>
      <c r="BY27" s="52">
        <f>'Evolutive SFP'!BM10+'Evolutive SFP'!BM13</f>
        <v>0</v>
      </c>
      <c r="BZ27" s="52">
        <f>'Evolutive SFP'!BN10+'Evolutive SFP'!BN13</f>
        <v>0</v>
      </c>
      <c r="CA27" s="52">
        <f>'Evolutive SFP'!BO10+'Evolutive SFP'!BO13</f>
        <v>0</v>
      </c>
      <c r="CB27" s="52">
        <f>'Evolutive SFP'!BP10+'Evolutive SFP'!BP13</f>
        <v>0</v>
      </c>
      <c r="CC27" s="52">
        <f>'Evolutive SFP'!BQ10+'Evolutive SFP'!BQ13</f>
        <v>0</v>
      </c>
      <c r="CD27" s="52">
        <f>'Evolutive SFP'!BR10+'Evolutive SFP'!BR13</f>
        <v>0</v>
      </c>
      <c r="CE27" s="52">
        <f>'Evolutive SFP'!BS10+'Evolutive SFP'!BS13</f>
        <v>0</v>
      </c>
      <c r="CF27" s="52">
        <f>'Evolutive SFP'!BT10+'Evolutive SFP'!BT13</f>
        <v>0</v>
      </c>
      <c r="CG27" s="52">
        <f>'Evolutive SFP'!BU10+'Evolutive SFP'!BU13</f>
        <v>8314009.4000000004</v>
      </c>
      <c r="CH27" s="52">
        <f>'Evolutive SFP'!BV10+'Evolutive SFP'!BV13</f>
        <v>8354009.4000000004</v>
      </c>
      <c r="CI27" s="52">
        <f>'Evolutive SFP'!BW10+'Evolutive SFP'!BW13</f>
        <v>8394009.4000000004</v>
      </c>
      <c r="CJ27" s="52">
        <f>'Evolutive SFP'!BX10+'Evolutive SFP'!BX13</f>
        <v>8434009.4000000004</v>
      </c>
      <c r="CK27" s="52">
        <f>'Evolutive SFP'!BY10+'Evolutive SFP'!BY13</f>
        <v>8474009.4000000004</v>
      </c>
      <c r="CL27" s="52">
        <f>'Evolutive SFP'!BZ10+'Evolutive SFP'!BZ13</f>
        <v>8514009.4000000004</v>
      </c>
      <c r="CM27" s="52">
        <f>'Evolutive SFP'!CA10+'Evolutive SFP'!CA13</f>
        <v>8553989.4000000004</v>
      </c>
      <c r="CN27" s="52">
        <f>'Evolutive SFP'!CB10+'Evolutive SFP'!CB13</f>
        <v>8593989.4000000004</v>
      </c>
      <c r="CO27" s="52">
        <f>'Evolutive SFP'!CC10+'Evolutive SFP'!CC13</f>
        <v>8633989.4000000004</v>
      </c>
    </row>
    <row r="28" spans="1:93">
      <c r="A28" s="20">
        <v>6.3</v>
      </c>
      <c r="B28" s="19" t="s">
        <v>269</v>
      </c>
      <c r="C28" s="52" t="e">
        <f>'Evolutive SFP'!#REF!</f>
        <v>#REF!</v>
      </c>
      <c r="D28" s="52" t="e">
        <f>'Evolutive SFP'!#REF!</f>
        <v>#REF!</v>
      </c>
      <c r="E28" s="52" t="e">
        <f>'Evolutive SFP'!#REF!</f>
        <v>#REF!</v>
      </c>
      <c r="F28" s="52" t="e">
        <f>'Evolutive SFP'!#REF!</f>
        <v>#REF!</v>
      </c>
      <c r="G28" s="52" t="e">
        <f>'Evolutive SFP'!#REF!</f>
        <v>#REF!</v>
      </c>
      <c r="H28" s="52" t="e">
        <f>'Evolutive SFP'!#REF!</f>
        <v>#REF!</v>
      </c>
      <c r="I28" s="52" t="e">
        <f>'Evolutive SFP'!#REF!</f>
        <v>#REF!</v>
      </c>
      <c r="J28" s="52" t="e">
        <f>'Evolutive SFP'!#REF!</f>
        <v>#REF!</v>
      </c>
      <c r="K28" s="52" t="e">
        <f>'Evolutive SFP'!#REF!</f>
        <v>#REF!</v>
      </c>
      <c r="L28" s="52" t="e">
        <f>'Evolutive SFP'!#REF!</f>
        <v>#REF!</v>
      </c>
      <c r="M28" s="52" t="e">
        <f>'Evolutive SFP'!#REF!</f>
        <v>#REF!</v>
      </c>
      <c r="N28" s="52" t="e">
        <f>'Evolutive SFP'!#REF!</f>
        <v>#REF!</v>
      </c>
      <c r="O28" s="52" t="e">
        <f>'Evolutive SFP'!#REF!</f>
        <v>#REF!</v>
      </c>
      <c r="P28" s="52" t="e">
        <f>'Evolutive SFP'!#REF!</f>
        <v>#REF!</v>
      </c>
      <c r="Q28" s="52" t="e">
        <f>'Evolutive SFP'!#REF!</f>
        <v>#REF!</v>
      </c>
      <c r="R28" s="52" t="e">
        <f>'Evolutive SFP'!#REF!</f>
        <v>#REF!</v>
      </c>
      <c r="S28" s="52" t="e">
        <f>'Evolutive SFP'!#REF!</f>
        <v>#REF!</v>
      </c>
      <c r="T28" s="52" t="e">
        <f>'Evolutive SFP'!#REF!</f>
        <v>#REF!</v>
      </c>
      <c r="U28" s="52" t="e">
        <f>'Evolutive SFP'!#REF!</f>
        <v>#REF!</v>
      </c>
      <c r="V28" s="52" t="e">
        <f>'Evolutive SFP'!#REF!</f>
        <v>#REF!</v>
      </c>
      <c r="W28" s="52" t="e">
        <f>'Evolutive SFP'!#REF!</f>
        <v>#REF!</v>
      </c>
      <c r="X28" s="52" t="e">
        <f>'Evolutive SFP'!#REF!</f>
        <v>#REF!</v>
      </c>
      <c r="Y28" s="52" t="e">
        <f>'Evolutive SFP'!#REF!</f>
        <v>#REF!</v>
      </c>
      <c r="Z28" s="52" t="e">
        <f>'Evolutive SFP'!#REF!</f>
        <v>#REF!</v>
      </c>
      <c r="AA28" s="52" t="e">
        <f>'Evolutive SFP'!#REF!</f>
        <v>#REF!</v>
      </c>
      <c r="AB28" s="52" t="e">
        <f>'Evolutive SFP'!#REF!</f>
        <v>#REF!</v>
      </c>
      <c r="AC28" s="52" t="e">
        <f>'Evolutive SFP'!#REF!</f>
        <v>#REF!</v>
      </c>
      <c r="AD28" s="52" t="e">
        <f>'Evolutive SFP'!#REF!</f>
        <v>#REF!</v>
      </c>
      <c r="AE28" s="52" t="e">
        <f>'Evolutive SFP'!#REF!</f>
        <v>#REF!</v>
      </c>
      <c r="AF28" s="52" t="e">
        <f>'Evolutive SFP'!#REF!</f>
        <v>#REF!</v>
      </c>
      <c r="AG28" s="52" t="e">
        <f>'Evolutive SFP'!#REF!</f>
        <v>#REF!</v>
      </c>
      <c r="AH28" s="52" t="e">
        <f>'Evolutive SFP'!#REF!</f>
        <v>#REF!</v>
      </c>
      <c r="AI28" s="52" t="e">
        <f>'Evolutive SFP'!#REF!</f>
        <v>#REF!</v>
      </c>
      <c r="AJ28" s="52" t="e">
        <f>'Evolutive SFP'!#REF!</f>
        <v>#REF!</v>
      </c>
      <c r="AK28" s="52" t="e">
        <f>'Evolutive SFP'!#REF!</f>
        <v>#REF!</v>
      </c>
      <c r="AL28" s="52" t="e">
        <f>'Evolutive SFP'!#REF!</f>
        <v>#REF!</v>
      </c>
      <c r="AM28" s="52" t="e">
        <f>'Evolutive SFP'!#REF!</f>
        <v>#REF!</v>
      </c>
      <c r="AN28" s="52" t="e">
        <f>'Evolutive SFP'!#REF!</f>
        <v>#REF!</v>
      </c>
      <c r="AO28" s="52" t="e">
        <f>'Evolutive SFP'!#REF!</f>
        <v>#REF!</v>
      </c>
      <c r="AP28" s="52" t="e">
        <f>'Evolutive SFP'!#REF!</f>
        <v>#REF!</v>
      </c>
      <c r="AQ28" s="52" t="e">
        <f>'Evolutive SFP'!#REF!</f>
        <v>#REF!</v>
      </c>
      <c r="AR28" s="52" t="e">
        <f>'Evolutive SFP'!#REF!</f>
        <v>#REF!</v>
      </c>
      <c r="AS28" s="52">
        <f>'Evolutive SFP'!AH11</f>
        <v>0</v>
      </c>
      <c r="AT28" s="52">
        <f>'Evolutive SFP'!AI11</f>
        <v>0</v>
      </c>
      <c r="AU28" s="52">
        <f>'Evolutive SFP'!AJ11</f>
        <v>0</v>
      </c>
      <c r="AV28" s="52">
        <f>'Evolutive SFP'!AK11</f>
        <v>0</v>
      </c>
      <c r="AW28" s="52">
        <f>'Evolutive SFP'!AL11</f>
        <v>0</v>
      </c>
      <c r="AX28" s="52">
        <f>'Evolutive SFP'!AM11</f>
        <v>0</v>
      </c>
      <c r="AY28" s="52">
        <f>'Evolutive SFP'!AN11</f>
        <v>0</v>
      </c>
      <c r="AZ28" s="52" t="e">
        <f>'Evolutive SFP'!#REF!</f>
        <v>#REF!</v>
      </c>
      <c r="BA28" s="52">
        <f>'Evolutive SFP'!AO11</f>
        <v>0</v>
      </c>
      <c r="BB28" s="52">
        <f>'Evolutive SFP'!AP11</f>
        <v>0</v>
      </c>
      <c r="BC28" s="52">
        <f>'Evolutive SFP'!AQ11</f>
        <v>0</v>
      </c>
      <c r="BD28" s="52">
        <f>'Evolutive SFP'!AR11</f>
        <v>0</v>
      </c>
      <c r="BE28" s="52">
        <f>'Evolutive SFP'!AS11</f>
        <v>0</v>
      </c>
      <c r="BF28" s="52">
        <f>'Evolutive SFP'!AT11</f>
        <v>0</v>
      </c>
      <c r="BG28" s="52">
        <f>'Evolutive SFP'!AU11</f>
        <v>0</v>
      </c>
      <c r="BH28" s="52">
        <f>'Evolutive SFP'!AV11</f>
        <v>0</v>
      </c>
      <c r="BI28" s="52">
        <f>'Evolutive SFP'!AW11</f>
        <v>0</v>
      </c>
      <c r="BJ28" s="52">
        <f>'Evolutive SFP'!AX11</f>
        <v>0</v>
      </c>
      <c r="BK28" s="52">
        <f>'Evolutive SFP'!AY11</f>
        <v>0</v>
      </c>
      <c r="BL28" s="52">
        <f>'Evolutive SFP'!AZ11</f>
        <v>0</v>
      </c>
      <c r="BM28" s="52">
        <f>'Evolutive SFP'!BA11</f>
        <v>0</v>
      </c>
      <c r="BN28" s="52">
        <f>'Evolutive SFP'!BB11</f>
        <v>0</v>
      </c>
      <c r="BO28" s="52">
        <f>'Evolutive SFP'!BC11</f>
        <v>0</v>
      </c>
      <c r="BP28" s="52">
        <f>'Evolutive SFP'!BD11</f>
        <v>0</v>
      </c>
      <c r="BQ28" s="52">
        <f>'Evolutive SFP'!BE11</f>
        <v>0</v>
      </c>
      <c r="BR28" s="52">
        <f>'Evolutive SFP'!BF11</f>
        <v>0</v>
      </c>
      <c r="BS28" s="52">
        <f>'Evolutive SFP'!BG11</f>
        <v>0</v>
      </c>
      <c r="BT28" s="52">
        <f>'Evolutive SFP'!BH11</f>
        <v>0</v>
      </c>
      <c r="BU28" s="52">
        <f>'Evolutive SFP'!BI11</f>
        <v>0</v>
      </c>
      <c r="BV28" s="52">
        <f>'Evolutive SFP'!BJ11</f>
        <v>0</v>
      </c>
      <c r="BW28" s="52">
        <f>'Evolutive SFP'!BK11</f>
        <v>0</v>
      </c>
      <c r="BX28" s="52">
        <f>'Evolutive SFP'!BL11</f>
        <v>0</v>
      </c>
      <c r="BY28" s="52">
        <f>'Evolutive SFP'!BM11</f>
        <v>0</v>
      </c>
      <c r="BZ28" s="52">
        <f>'Evolutive SFP'!BN11</f>
        <v>0</v>
      </c>
      <c r="CA28" s="52">
        <f>'Evolutive SFP'!BO11</f>
        <v>0</v>
      </c>
      <c r="CB28" s="52">
        <f>'Evolutive SFP'!BP11</f>
        <v>0</v>
      </c>
      <c r="CC28" s="52">
        <f>'Evolutive SFP'!BQ11</f>
        <v>0</v>
      </c>
      <c r="CD28" s="52">
        <f>'Evolutive SFP'!BR11</f>
        <v>0</v>
      </c>
      <c r="CE28" s="52">
        <f>'Evolutive SFP'!BS11</f>
        <v>0</v>
      </c>
      <c r="CF28" s="52">
        <f>'Evolutive SFP'!BT11</f>
        <v>0</v>
      </c>
      <c r="CG28" s="52">
        <f>'Evolutive SFP'!BU11</f>
        <v>0</v>
      </c>
      <c r="CH28" s="52">
        <f>'Evolutive SFP'!BV11</f>
        <v>0</v>
      </c>
      <c r="CI28" s="52">
        <f>'Evolutive SFP'!BW11</f>
        <v>0</v>
      </c>
      <c r="CJ28" s="52">
        <f>'Evolutive SFP'!BX11</f>
        <v>0</v>
      </c>
      <c r="CK28" s="52">
        <f>'Evolutive SFP'!BY11</f>
        <v>0</v>
      </c>
      <c r="CL28" s="52">
        <f>'Evolutive SFP'!BZ11</f>
        <v>0</v>
      </c>
      <c r="CM28" s="52">
        <f>'Evolutive SFP'!CA11</f>
        <v>0</v>
      </c>
      <c r="CN28" s="52">
        <f>'Evolutive SFP'!CB11</f>
        <v>0</v>
      </c>
      <c r="CO28" s="52">
        <f>'Evolutive SFP'!CC11</f>
        <v>0</v>
      </c>
    </row>
    <row r="29" spans="1:93">
      <c r="A29" s="18"/>
      <c r="B29" s="19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</row>
    <row r="30" spans="1:93">
      <c r="A30" s="20">
        <v>7</v>
      </c>
      <c r="B30" s="18" t="s">
        <v>270</v>
      </c>
      <c r="C30" s="52" t="e">
        <f>'Evolutive SFP'!#REF!</f>
        <v>#REF!</v>
      </c>
      <c r="D30" s="52" t="e">
        <f>'Evolutive SFP'!#REF!</f>
        <v>#REF!</v>
      </c>
      <c r="E30" s="52" t="e">
        <f>'Evolutive SFP'!#REF!</f>
        <v>#REF!</v>
      </c>
      <c r="F30" s="52" t="e">
        <f>'Evolutive SFP'!#REF!</f>
        <v>#REF!</v>
      </c>
      <c r="G30" s="52" t="e">
        <f>'Evolutive SFP'!#REF!</f>
        <v>#REF!</v>
      </c>
      <c r="H30" s="52" t="e">
        <f>'Evolutive SFP'!#REF!</f>
        <v>#REF!</v>
      </c>
      <c r="I30" s="52" t="e">
        <f>'Evolutive SFP'!#REF!</f>
        <v>#REF!</v>
      </c>
      <c r="J30" s="52" t="e">
        <f>'Evolutive SFP'!#REF!</f>
        <v>#REF!</v>
      </c>
      <c r="K30" s="52" t="e">
        <f>'Evolutive SFP'!#REF!</f>
        <v>#REF!</v>
      </c>
      <c r="L30" s="52" t="e">
        <f>'Evolutive SFP'!#REF!</f>
        <v>#REF!</v>
      </c>
      <c r="M30" s="52" t="e">
        <f>'Evolutive SFP'!#REF!</f>
        <v>#REF!</v>
      </c>
      <c r="N30" s="52" t="e">
        <f>'Evolutive SFP'!#REF!</f>
        <v>#REF!</v>
      </c>
      <c r="O30" s="52" t="e">
        <f>'Evolutive SFP'!#REF!</f>
        <v>#REF!</v>
      </c>
      <c r="P30" s="52" t="e">
        <f>'Evolutive SFP'!#REF!</f>
        <v>#REF!</v>
      </c>
      <c r="Q30" s="52" t="e">
        <f>'Evolutive SFP'!#REF!</f>
        <v>#REF!</v>
      </c>
      <c r="R30" s="52" t="e">
        <f>'Evolutive SFP'!#REF!</f>
        <v>#REF!</v>
      </c>
      <c r="S30" s="52" t="e">
        <f>'Evolutive SFP'!#REF!</f>
        <v>#REF!</v>
      </c>
      <c r="T30" s="52" t="e">
        <f>'Evolutive SFP'!#REF!</f>
        <v>#REF!</v>
      </c>
      <c r="U30" s="52" t="e">
        <f>'Evolutive SFP'!#REF!</f>
        <v>#REF!</v>
      </c>
      <c r="V30" s="52" t="e">
        <f>'Evolutive SFP'!#REF!</f>
        <v>#REF!</v>
      </c>
      <c r="W30" s="52" t="e">
        <f>'Evolutive SFP'!#REF!</f>
        <v>#REF!</v>
      </c>
      <c r="X30" s="52" t="e">
        <f>'Evolutive SFP'!#REF!</f>
        <v>#REF!</v>
      </c>
      <c r="Y30" s="52" t="e">
        <f>'Evolutive SFP'!#REF!</f>
        <v>#REF!</v>
      </c>
      <c r="Z30" s="52" t="e">
        <f>'Evolutive SFP'!#REF!</f>
        <v>#REF!</v>
      </c>
      <c r="AA30" s="52" t="e">
        <f>'Evolutive SFP'!#REF!</f>
        <v>#REF!</v>
      </c>
      <c r="AB30" s="52" t="e">
        <f>'Evolutive SFP'!#REF!</f>
        <v>#REF!</v>
      </c>
      <c r="AC30" s="52" t="e">
        <f>'Evolutive SFP'!#REF!</f>
        <v>#REF!</v>
      </c>
      <c r="AD30" s="52" t="e">
        <f>'Evolutive SFP'!#REF!</f>
        <v>#REF!</v>
      </c>
      <c r="AE30" s="52" t="e">
        <f>'Evolutive SFP'!#REF!</f>
        <v>#REF!</v>
      </c>
      <c r="AF30" s="52" t="e">
        <f>'Evolutive SFP'!#REF!</f>
        <v>#REF!</v>
      </c>
      <c r="AG30" s="52" t="e">
        <f>'Evolutive SFP'!#REF!</f>
        <v>#REF!</v>
      </c>
      <c r="AH30" s="52" t="e">
        <f>'Evolutive SFP'!#REF!</f>
        <v>#REF!</v>
      </c>
      <c r="AI30" s="52" t="e">
        <f>'Evolutive SFP'!#REF!</f>
        <v>#REF!</v>
      </c>
      <c r="AJ30" s="52" t="e">
        <f>'Evolutive SFP'!#REF!</f>
        <v>#REF!</v>
      </c>
      <c r="AK30" s="52" t="e">
        <f>'Evolutive SFP'!#REF!</f>
        <v>#REF!</v>
      </c>
      <c r="AL30" s="52" t="e">
        <f>'Evolutive SFP'!#REF!</f>
        <v>#REF!</v>
      </c>
      <c r="AM30" s="52" t="e">
        <f>'Evolutive SFP'!#REF!</f>
        <v>#REF!</v>
      </c>
      <c r="AN30" s="52" t="e">
        <f>'Evolutive SFP'!#REF!</f>
        <v>#REF!</v>
      </c>
      <c r="AO30" s="52" t="e">
        <f>'Evolutive SFP'!#REF!</f>
        <v>#REF!</v>
      </c>
      <c r="AP30" s="52" t="e">
        <f>'Evolutive SFP'!#REF!</f>
        <v>#REF!</v>
      </c>
      <c r="AQ30" s="52" t="e">
        <f>'Evolutive SFP'!#REF!</f>
        <v>#REF!</v>
      </c>
      <c r="AR30" s="52" t="e">
        <f>'Evolutive SFP'!#REF!</f>
        <v>#REF!</v>
      </c>
      <c r="AS30" s="52">
        <f>'Evolutive SFP'!AH14</f>
        <v>26428275</v>
      </c>
      <c r="AT30" s="52">
        <f>'Evolutive SFP'!AI14</f>
        <v>32516880.93</v>
      </c>
      <c r="AU30" s="52">
        <f>'Evolutive SFP'!AJ14</f>
        <v>32613412.43</v>
      </c>
      <c r="AV30" s="52">
        <f>'Evolutive SFP'!AK14</f>
        <v>33997628.240000002</v>
      </c>
      <c r="AW30" s="52">
        <f>'Evolutive SFP'!AL14</f>
        <v>31247365.82</v>
      </c>
      <c r="AX30" s="52">
        <f>'Evolutive SFP'!AM14</f>
        <v>30958397.390000001</v>
      </c>
      <c r="AY30" s="52">
        <f>'Evolutive SFP'!AN14</f>
        <v>30678214.370000001</v>
      </c>
      <c r="AZ30" s="52" t="e">
        <f>'Evolutive SFP'!#REF!</f>
        <v>#REF!</v>
      </c>
      <c r="BA30" s="52">
        <f>'Evolutive SFP'!AO14</f>
        <v>30545196.460000001</v>
      </c>
      <c r="BB30" s="52">
        <f>'Evolutive SFP'!AP14</f>
        <v>31716573.34</v>
      </c>
      <c r="BC30" s="52">
        <f>'Evolutive SFP'!AQ14</f>
        <v>28808112.949999999</v>
      </c>
      <c r="BD30" s="52">
        <f>'Evolutive SFP'!AR14</f>
        <v>28454592.350000001</v>
      </c>
      <c r="BE30" s="52">
        <f>'Evolutive SFP'!AS14</f>
        <v>30026360.890000001</v>
      </c>
      <c r="BF30" s="52">
        <f>'Evolutive SFP'!AT14</f>
        <v>30026362</v>
      </c>
      <c r="BG30" s="52">
        <f>'Evolutive SFP'!AU14</f>
        <v>33005537.359999999</v>
      </c>
      <c r="BH30" s="52">
        <f>'Evolutive SFP'!AV14</f>
        <v>32668174.719999999</v>
      </c>
      <c r="BI30" s="52">
        <f>'Evolutive SFP'!AW14</f>
        <v>28839018.5</v>
      </c>
      <c r="BJ30" s="52">
        <f>'Evolutive SFP'!AX14</f>
        <v>28687713.550000001</v>
      </c>
      <c r="BK30" s="52">
        <f>'Evolutive SFP'!AY14</f>
        <v>28722726.010000002</v>
      </c>
      <c r="BL30" s="52">
        <f>'Evolutive SFP'!AZ14</f>
        <v>32592429.039999999</v>
      </c>
      <c r="BM30" s="52">
        <f>'Evolutive SFP'!BA14</f>
        <v>32224592.880000003</v>
      </c>
      <c r="BN30" s="52">
        <f>'Evolutive SFP'!BB14</f>
        <v>30864043.659999996</v>
      </c>
      <c r="BO30" s="52">
        <f>'Evolutive SFP'!BC14</f>
        <v>34745808.82</v>
      </c>
      <c r="BP30" s="52">
        <f>'Evolutive SFP'!BD14</f>
        <v>30658668.829999998</v>
      </c>
      <c r="BQ30" s="52">
        <f>'Evolutive SFP'!BE14</f>
        <v>30015760.119999997</v>
      </c>
      <c r="BR30" s="52">
        <f>'Evolutive SFP'!BF14</f>
        <v>28800798.530000001</v>
      </c>
      <c r="BS30" s="52">
        <f>'Evolutive SFP'!BG14</f>
        <v>28704269</v>
      </c>
      <c r="BT30" s="52">
        <f>'Evolutive SFP'!BH14</f>
        <v>28343157.850000001</v>
      </c>
      <c r="BU30" s="52">
        <f>'Evolutive SFP'!BI14</f>
        <v>28047253.32</v>
      </c>
      <c r="BV30" s="52">
        <f>'Evolutive SFP'!BJ14</f>
        <v>28124146.68</v>
      </c>
      <c r="BW30" s="52">
        <f>'Evolutive SFP'!BK14</f>
        <v>30222059.490000002</v>
      </c>
      <c r="BX30" s="52">
        <f>'Evolutive SFP'!BL14</f>
        <v>29987827.539999999</v>
      </c>
      <c r="BY30" s="52">
        <f>'Evolutive SFP'!BM14</f>
        <v>30161868.75</v>
      </c>
      <c r="BZ30" s="52">
        <f>'Evolutive SFP'!BN14</f>
        <v>29864844.75</v>
      </c>
      <c r="CA30" s="52">
        <f>'Evolutive SFP'!BO14</f>
        <v>29367564.399999999</v>
      </c>
      <c r="CB30" s="52">
        <f>'Evolutive SFP'!BP14</f>
        <v>30229387.990000002</v>
      </c>
      <c r="CC30" s="52">
        <f>'Evolutive SFP'!BQ14</f>
        <v>29688332.240000002</v>
      </c>
      <c r="CD30" s="52">
        <f>'Evolutive SFP'!BR14</f>
        <v>30967211.310000002</v>
      </c>
      <c r="CE30" s="52">
        <f>'Evolutive SFP'!BS14</f>
        <v>31537960.439999998</v>
      </c>
      <c r="CF30" s="52">
        <f>'Evolutive SFP'!BT14</f>
        <v>0</v>
      </c>
      <c r="CG30" s="52">
        <f>'Evolutive SFP'!BU14</f>
        <v>32649140.130000003</v>
      </c>
      <c r="CH30" s="52">
        <f>'Evolutive SFP'!BV14</f>
        <v>32659701.740000002</v>
      </c>
      <c r="CI30" s="52">
        <f>'Evolutive SFP'!BW14</f>
        <v>34985435.359999999</v>
      </c>
      <c r="CJ30" s="52">
        <f>'Evolutive SFP'!BX14</f>
        <v>31506196.310000002</v>
      </c>
      <c r="CK30" s="52">
        <f>'Evolutive SFP'!BY14</f>
        <v>32276678.009999998</v>
      </c>
      <c r="CL30" s="52">
        <f>'Evolutive SFP'!BZ14</f>
        <v>32504970.219999999</v>
      </c>
      <c r="CM30" s="52">
        <f>'Evolutive SFP'!CA14</f>
        <v>34095928.520000003</v>
      </c>
      <c r="CN30" s="52">
        <f>'Evolutive SFP'!CB14</f>
        <v>33483377.200000003</v>
      </c>
      <c r="CO30" s="52">
        <f>'Evolutive SFP'!CC14</f>
        <v>38876309</v>
      </c>
    </row>
    <row r="31" spans="1:93">
      <c r="A31" s="20">
        <v>7.1</v>
      </c>
      <c r="B31" s="18" t="s">
        <v>271</v>
      </c>
      <c r="C31" s="52" t="e">
        <f>'Evolutive SFP'!#REF!</f>
        <v>#REF!</v>
      </c>
      <c r="D31" s="52" t="e">
        <f>'Evolutive SFP'!#REF!</f>
        <v>#REF!</v>
      </c>
      <c r="E31" s="52" t="e">
        <f>'Evolutive SFP'!#REF!</f>
        <v>#REF!</v>
      </c>
      <c r="F31" s="52" t="e">
        <f>'Evolutive SFP'!#REF!</f>
        <v>#REF!</v>
      </c>
      <c r="G31" s="52" t="e">
        <f>'Evolutive SFP'!#REF!</f>
        <v>#REF!</v>
      </c>
      <c r="H31" s="52" t="e">
        <f>'Evolutive SFP'!#REF!</f>
        <v>#REF!</v>
      </c>
      <c r="I31" s="52" t="e">
        <f>'Evolutive SFP'!#REF!</f>
        <v>#REF!</v>
      </c>
      <c r="J31" s="52" t="e">
        <f>'Evolutive SFP'!#REF!</f>
        <v>#REF!</v>
      </c>
      <c r="K31" s="52" t="e">
        <f>'Evolutive SFP'!#REF!</f>
        <v>#REF!</v>
      </c>
      <c r="L31" s="52" t="e">
        <f>'Evolutive SFP'!#REF!</f>
        <v>#REF!</v>
      </c>
      <c r="M31" s="52" t="e">
        <f>'Evolutive SFP'!#REF!</f>
        <v>#REF!</v>
      </c>
      <c r="N31" s="52" t="e">
        <f>'Evolutive SFP'!#REF!</f>
        <v>#REF!</v>
      </c>
      <c r="O31" s="52" t="e">
        <f>'Evolutive SFP'!#REF!</f>
        <v>#REF!</v>
      </c>
      <c r="P31" s="52" t="e">
        <f>'Evolutive SFP'!#REF!</f>
        <v>#REF!</v>
      </c>
      <c r="Q31" s="52" t="e">
        <f>'Evolutive SFP'!#REF!</f>
        <v>#REF!</v>
      </c>
      <c r="R31" s="52" t="e">
        <f>'Evolutive SFP'!#REF!</f>
        <v>#REF!</v>
      </c>
      <c r="S31" s="52" t="e">
        <f>'Evolutive SFP'!#REF!</f>
        <v>#REF!</v>
      </c>
      <c r="T31" s="52" t="e">
        <f>'Evolutive SFP'!#REF!</f>
        <v>#REF!</v>
      </c>
      <c r="U31" s="52" t="e">
        <f>'Evolutive SFP'!#REF!</f>
        <v>#REF!</v>
      </c>
      <c r="V31" s="52" t="e">
        <f>'Evolutive SFP'!#REF!</f>
        <v>#REF!</v>
      </c>
      <c r="W31" s="52" t="e">
        <f>'Evolutive SFP'!#REF!</f>
        <v>#REF!</v>
      </c>
      <c r="X31" s="52" t="e">
        <f>'Evolutive SFP'!#REF!</f>
        <v>#REF!</v>
      </c>
      <c r="Y31" s="52" t="e">
        <f>'Evolutive SFP'!#REF!</f>
        <v>#REF!</v>
      </c>
      <c r="Z31" s="52" t="e">
        <f>'Evolutive SFP'!#REF!</f>
        <v>#REF!</v>
      </c>
      <c r="AA31" s="52" t="e">
        <f>'Evolutive SFP'!#REF!</f>
        <v>#REF!</v>
      </c>
      <c r="AB31" s="52" t="e">
        <f>'Evolutive SFP'!#REF!</f>
        <v>#REF!</v>
      </c>
      <c r="AC31" s="52" t="e">
        <f>'Evolutive SFP'!#REF!</f>
        <v>#REF!</v>
      </c>
      <c r="AD31" s="52" t="e">
        <f>'Evolutive SFP'!#REF!</f>
        <v>#REF!</v>
      </c>
      <c r="AE31" s="52" t="e">
        <f>'Evolutive SFP'!#REF!</f>
        <v>#REF!</v>
      </c>
      <c r="AF31" s="52" t="e">
        <f>'Evolutive SFP'!#REF!</f>
        <v>#REF!</v>
      </c>
      <c r="AG31" s="52" t="e">
        <f>'Evolutive SFP'!#REF!</f>
        <v>#REF!</v>
      </c>
      <c r="AH31" s="52" t="e">
        <f>'Evolutive SFP'!#REF!</f>
        <v>#REF!</v>
      </c>
      <c r="AI31" s="52" t="e">
        <f>'Evolutive SFP'!#REF!</f>
        <v>#REF!</v>
      </c>
      <c r="AJ31" s="52" t="e">
        <f>'Evolutive SFP'!#REF!</f>
        <v>#REF!</v>
      </c>
      <c r="AK31" s="52" t="e">
        <f>'Evolutive SFP'!#REF!</f>
        <v>#REF!</v>
      </c>
      <c r="AL31" s="52" t="e">
        <f>'Evolutive SFP'!#REF!</f>
        <v>#REF!</v>
      </c>
      <c r="AM31" s="52" t="e">
        <f>'Evolutive SFP'!#REF!</f>
        <v>#REF!</v>
      </c>
      <c r="AN31" s="52" t="e">
        <f>'Evolutive SFP'!#REF!</f>
        <v>#REF!</v>
      </c>
      <c r="AO31" s="52" t="e">
        <f>'Evolutive SFP'!#REF!</f>
        <v>#REF!</v>
      </c>
      <c r="AP31" s="52" t="e">
        <f>'Evolutive SFP'!#REF!</f>
        <v>#REF!</v>
      </c>
      <c r="AQ31" s="52" t="e">
        <f>'Evolutive SFP'!#REF!</f>
        <v>#REF!</v>
      </c>
      <c r="AR31" s="52" t="e">
        <f>'Evolutive SFP'!#REF!</f>
        <v>#REF!</v>
      </c>
      <c r="AS31" s="52">
        <f>'Evolutive SFP'!AH15</f>
        <v>29988726</v>
      </c>
      <c r="AT31" s="52">
        <f>'Evolutive SFP'!AI15</f>
        <v>32516880.93</v>
      </c>
      <c r="AU31" s="52">
        <f>'Evolutive SFP'!AJ15</f>
        <v>32613412.43</v>
      </c>
      <c r="AV31" s="52">
        <f>'Evolutive SFP'!AK15</f>
        <v>33997628.240000002</v>
      </c>
      <c r="AW31" s="52">
        <f>'Evolutive SFP'!AL15</f>
        <v>31247365.82</v>
      </c>
      <c r="AX31" s="52">
        <f>'Evolutive SFP'!AM15</f>
        <v>30958397.390000001</v>
      </c>
      <c r="AY31" s="52">
        <f>'Evolutive SFP'!AN15</f>
        <v>30678214.370000001</v>
      </c>
      <c r="AZ31" s="52" t="e">
        <f>'Evolutive SFP'!#REF!</f>
        <v>#REF!</v>
      </c>
      <c r="BA31" s="52">
        <f>'Evolutive SFP'!AO15</f>
        <v>30545196.460000001</v>
      </c>
      <c r="BB31" s="52">
        <f>'Evolutive SFP'!AP15</f>
        <v>31716573.34</v>
      </c>
      <c r="BC31" s="52">
        <f>'Evolutive SFP'!AQ15</f>
        <v>32368563.949999999</v>
      </c>
      <c r="BD31" s="52">
        <f>'Evolutive SFP'!AR15</f>
        <v>32015043.350000001</v>
      </c>
      <c r="BE31" s="52">
        <f>'Evolutive SFP'!AS15</f>
        <v>33586811.890000001</v>
      </c>
      <c r="BF31" s="52">
        <f>'Evolutive SFP'!AT15</f>
        <v>33586813</v>
      </c>
      <c r="BG31" s="52">
        <f>'Evolutive SFP'!AU15</f>
        <v>36565988.359999999</v>
      </c>
      <c r="BH31" s="52">
        <f>'Evolutive SFP'!AV15</f>
        <v>36228625.719999999</v>
      </c>
      <c r="BI31" s="52">
        <f>'Evolutive SFP'!AW15</f>
        <v>32981569.5</v>
      </c>
      <c r="BJ31" s="52">
        <f>'Evolutive SFP'!AX15</f>
        <v>32830264.550000001</v>
      </c>
      <c r="BK31" s="52">
        <f>'Evolutive SFP'!AY15</f>
        <v>32865277.010000002</v>
      </c>
      <c r="BL31" s="52">
        <f>'Evolutive SFP'!AZ15</f>
        <v>36734980.039999999</v>
      </c>
      <c r="BM31" s="52">
        <f>'Evolutive SFP'!BA15</f>
        <v>36367143.880000003</v>
      </c>
      <c r="BN31" s="52">
        <f>'Evolutive SFP'!BB15</f>
        <v>35006594.659999996</v>
      </c>
      <c r="BO31" s="52">
        <f>'Evolutive SFP'!BC15</f>
        <v>38888359.82</v>
      </c>
      <c r="BP31" s="52">
        <f>'Evolutive SFP'!BD15</f>
        <v>34801219.829999998</v>
      </c>
      <c r="BQ31" s="52">
        <f>'Evolutive SFP'!BE15</f>
        <v>34158311.119999997</v>
      </c>
      <c r="BR31" s="52">
        <f>'Evolutive SFP'!BF15</f>
        <v>32943349.530000001</v>
      </c>
      <c r="BS31" s="52">
        <f>'Evolutive SFP'!BG15</f>
        <v>32943349</v>
      </c>
      <c r="BT31" s="52">
        <f>'Evolutive SFP'!BH15</f>
        <v>32485708.850000001</v>
      </c>
      <c r="BU31" s="52">
        <f>'Evolutive SFP'!BI15</f>
        <v>32189804.32</v>
      </c>
      <c r="BV31" s="52">
        <f>'Evolutive SFP'!BJ15</f>
        <v>32363226.68</v>
      </c>
      <c r="BW31" s="52">
        <f>'Evolutive SFP'!BK15</f>
        <v>34461139.490000002</v>
      </c>
      <c r="BX31" s="52">
        <f>'Evolutive SFP'!BL15</f>
        <v>34226907.539999999</v>
      </c>
      <c r="BY31" s="52">
        <f>'Evolutive SFP'!BM15</f>
        <v>34400948.75</v>
      </c>
      <c r="BZ31" s="52">
        <f>'Evolutive SFP'!BN15</f>
        <v>34103924.75</v>
      </c>
      <c r="CA31" s="52">
        <f>'Evolutive SFP'!BO15</f>
        <v>33606644.399999999</v>
      </c>
      <c r="CB31" s="52">
        <f>'Evolutive SFP'!BP15</f>
        <v>34468467.990000002</v>
      </c>
      <c r="CC31" s="52">
        <f>'Evolutive SFP'!BQ15</f>
        <v>33927412.240000002</v>
      </c>
      <c r="CD31" s="52">
        <f>'Evolutive SFP'!BR15</f>
        <v>35206291.310000002</v>
      </c>
      <c r="CE31" s="52">
        <f>'Evolutive SFP'!BS15</f>
        <v>35777040.439999998</v>
      </c>
      <c r="CF31" s="52">
        <f>'Evolutive SFP'!BT15</f>
        <v>0</v>
      </c>
      <c r="CG31" s="52">
        <f>'Evolutive SFP'!BU15</f>
        <v>36888220.130000003</v>
      </c>
      <c r="CH31" s="52">
        <f>'Evolutive SFP'!BV15</f>
        <v>36898781.740000002</v>
      </c>
      <c r="CI31" s="52">
        <f>'Evolutive SFP'!BW15</f>
        <v>38683835.359999999</v>
      </c>
      <c r="CJ31" s="52">
        <f>'Evolutive SFP'!BX15</f>
        <v>35204596.310000002</v>
      </c>
      <c r="CK31" s="52">
        <f>'Evolutive SFP'!BY15</f>
        <v>35975078.009999998</v>
      </c>
      <c r="CL31" s="52">
        <f>'Evolutive SFP'!BZ15</f>
        <v>36203370.219999999</v>
      </c>
      <c r="CM31" s="52">
        <f>'Evolutive SFP'!CA15</f>
        <v>37794328.520000003</v>
      </c>
      <c r="CN31" s="52">
        <f>'Evolutive SFP'!CB15</f>
        <v>37181777.200000003</v>
      </c>
      <c r="CO31" s="52">
        <f>'Evolutive SFP'!CC15</f>
        <v>42574709</v>
      </c>
    </row>
    <row r="32" spans="1:93">
      <c r="A32" s="20">
        <v>7.2</v>
      </c>
      <c r="B32" s="18" t="s">
        <v>272</v>
      </c>
      <c r="C32" s="52" t="e">
        <f>'Evolutive SFP'!#REF!</f>
        <v>#REF!</v>
      </c>
      <c r="D32" s="52" t="e">
        <f>'Evolutive SFP'!#REF!</f>
        <v>#REF!</v>
      </c>
      <c r="E32" s="52" t="e">
        <f>'Evolutive SFP'!#REF!</f>
        <v>#REF!</v>
      </c>
      <c r="F32" s="52" t="e">
        <f>'Evolutive SFP'!#REF!</f>
        <v>#REF!</v>
      </c>
      <c r="G32" s="52" t="e">
        <f>'Evolutive SFP'!#REF!</f>
        <v>#REF!</v>
      </c>
      <c r="H32" s="52" t="e">
        <f>'Evolutive SFP'!#REF!</f>
        <v>#REF!</v>
      </c>
      <c r="I32" s="52" t="e">
        <f>'Evolutive SFP'!#REF!</f>
        <v>#REF!</v>
      </c>
      <c r="J32" s="52" t="e">
        <f>'Evolutive SFP'!#REF!</f>
        <v>#REF!</v>
      </c>
      <c r="K32" s="52" t="e">
        <f>'Evolutive SFP'!#REF!</f>
        <v>#REF!</v>
      </c>
      <c r="L32" s="52" t="e">
        <f>'Evolutive SFP'!#REF!</f>
        <v>#REF!</v>
      </c>
      <c r="M32" s="52" t="e">
        <f>'Evolutive SFP'!#REF!</f>
        <v>#REF!</v>
      </c>
      <c r="N32" s="52" t="e">
        <f>'Evolutive SFP'!#REF!</f>
        <v>#REF!</v>
      </c>
      <c r="O32" s="52" t="e">
        <f>'Evolutive SFP'!#REF!</f>
        <v>#REF!</v>
      </c>
      <c r="P32" s="52" t="e">
        <f>'Evolutive SFP'!#REF!</f>
        <v>#REF!</v>
      </c>
      <c r="Q32" s="52" t="e">
        <f>'Evolutive SFP'!#REF!</f>
        <v>#REF!</v>
      </c>
      <c r="R32" s="52" t="e">
        <f>'Evolutive SFP'!#REF!</f>
        <v>#REF!</v>
      </c>
      <c r="S32" s="52" t="e">
        <f>'Evolutive SFP'!#REF!</f>
        <v>#REF!</v>
      </c>
      <c r="T32" s="52" t="e">
        <f>'Evolutive SFP'!#REF!</f>
        <v>#REF!</v>
      </c>
      <c r="U32" s="52" t="e">
        <f>'Evolutive SFP'!#REF!</f>
        <v>#REF!</v>
      </c>
      <c r="V32" s="52" t="e">
        <f>'Evolutive SFP'!#REF!</f>
        <v>#REF!</v>
      </c>
      <c r="W32" s="52" t="e">
        <f>'Evolutive SFP'!#REF!</f>
        <v>#REF!</v>
      </c>
      <c r="X32" s="52" t="e">
        <f>'Evolutive SFP'!#REF!</f>
        <v>#REF!</v>
      </c>
      <c r="Y32" s="52" t="e">
        <f>'Evolutive SFP'!#REF!</f>
        <v>#REF!</v>
      </c>
      <c r="Z32" s="52" t="e">
        <f>'Evolutive SFP'!#REF!</f>
        <v>#REF!</v>
      </c>
      <c r="AA32" s="52" t="e">
        <f>'Evolutive SFP'!#REF!</f>
        <v>#REF!</v>
      </c>
      <c r="AB32" s="52" t="e">
        <f>'Evolutive SFP'!#REF!</f>
        <v>#REF!</v>
      </c>
      <c r="AC32" s="52" t="e">
        <f>'Evolutive SFP'!#REF!</f>
        <v>#REF!</v>
      </c>
      <c r="AD32" s="52" t="e">
        <f>'Evolutive SFP'!#REF!</f>
        <v>#REF!</v>
      </c>
      <c r="AE32" s="52" t="e">
        <f>'Evolutive SFP'!#REF!</f>
        <v>#REF!</v>
      </c>
      <c r="AF32" s="52" t="e">
        <f>'Evolutive SFP'!#REF!</f>
        <v>#REF!</v>
      </c>
      <c r="AG32" s="52" t="e">
        <f>'Evolutive SFP'!#REF!</f>
        <v>#REF!</v>
      </c>
      <c r="AH32" s="52" t="e">
        <f>'Evolutive SFP'!#REF!</f>
        <v>#REF!</v>
      </c>
      <c r="AI32" s="52" t="e">
        <f>'Evolutive SFP'!#REF!</f>
        <v>#REF!</v>
      </c>
      <c r="AJ32" s="52" t="e">
        <f>'Evolutive SFP'!#REF!</f>
        <v>#REF!</v>
      </c>
      <c r="AK32" s="52" t="e">
        <f>'Evolutive SFP'!#REF!</f>
        <v>#REF!</v>
      </c>
      <c r="AL32" s="52" t="e">
        <f>'Evolutive SFP'!#REF!</f>
        <v>#REF!</v>
      </c>
      <c r="AM32" s="52" t="e">
        <f>'Evolutive SFP'!#REF!</f>
        <v>#REF!</v>
      </c>
      <c r="AN32" s="52" t="e">
        <f>'Evolutive SFP'!#REF!</f>
        <v>#REF!</v>
      </c>
      <c r="AO32" s="52" t="e">
        <f>'Evolutive SFP'!#REF!</f>
        <v>#REF!</v>
      </c>
      <c r="AP32" s="52" t="e">
        <f>'Evolutive SFP'!#REF!</f>
        <v>#REF!</v>
      </c>
      <c r="AQ32" s="52" t="e">
        <f>'Evolutive SFP'!#REF!</f>
        <v>#REF!</v>
      </c>
      <c r="AR32" s="52" t="e">
        <f>'Evolutive SFP'!#REF!</f>
        <v>#REF!</v>
      </c>
      <c r="AS32" s="52">
        <f>'Evolutive SFP'!AH16</f>
        <v>3560451</v>
      </c>
      <c r="AT32" s="52">
        <f>'Evolutive SFP'!AI16</f>
        <v>0</v>
      </c>
      <c r="AU32" s="52">
        <f>'Evolutive SFP'!AJ16</f>
        <v>0</v>
      </c>
      <c r="AV32" s="52">
        <f>'Evolutive SFP'!AK16</f>
        <v>0</v>
      </c>
      <c r="AW32" s="52">
        <f>'Evolutive SFP'!AL16</f>
        <v>0</v>
      </c>
      <c r="AX32" s="52">
        <f>'Evolutive SFP'!AM16</f>
        <v>0</v>
      </c>
      <c r="AY32" s="52">
        <f>'Evolutive SFP'!AN16</f>
        <v>0</v>
      </c>
      <c r="AZ32" s="52" t="e">
        <f>'Evolutive SFP'!#REF!</f>
        <v>#REF!</v>
      </c>
      <c r="BA32" s="52">
        <f>'Evolutive SFP'!AO16</f>
        <v>0</v>
      </c>
      <c r="BB32" s="52">
        <f>'Evolutive SFP'!AP16</f>
        <v>0</v>
      </c>
      <c r="BC32" s="52">
        <f>'Evolutive SFP'!AQ16</f>
        <v>3560451</v>
      </c>
      <c r="BD32" s="52">
        <f>'Evolutive SFP'!AR16</f>
        <v>3560451</v>
      </c>
      <c r="BE32" s="52">
        <f>'Evolutive SFP'!AS16</f>
        <v>3560451</v>
      </c>
      <c r="BF32" s="52">
        <f>'Evolutive SFP'!AT16</f>
        <v>3560451</v>
      </c>
      <c r="BG32" s="52">
        <f>'Evolutive SFP'!AU16</f>
        <v>3560451</v>
      </c>
      <c r="BH32" s="52">
        <f>'Evolutive SFP'!AV16</f>
        <v>3560451</v>
      </c>
      <c r="BI32" s="52">
        <f>'Evolutive SFP'!AW16</f>
        <v>4142551</v>
      </c>
      <c r="BJ32" s="52">
        <f>'Evolutive SFP'!AX16</f>
        <v>4142551</v>
      </c>
      <c r="BK32" s="52">
        <f>'Evolutive SFP'!AY16</f>
        <v>4142551</v>
      </c>
      <c r="BL32" s="52">
        <f>'Evolutive SFP'!AZ16</f>
        <v>4142551</v>
      </c>
      <c r="BM32" s="52">
        <f>'Evolutive SFP'!BA16</f>
        <v>4142551</v>
      </c>
      <c r="BN32" s="52">
        <f>'Evolutive SFP'!BB16</f>
        <v>4142551</v>
      </c>
      <c r="BO32" s="52">
        <f>'Evolutive SFP'!BC16</f>
        <v>4142551</v>
      </c>
      <c r="BP32" s="52">
        <f>'Evolutive SFP'!BD16</f>
        <v>4142551</v>
      </c>
      <c r="BQ32" s="52">
        <f>'Evolutive SFP'!BE16</f>
        <v>4142551</v>
      </c>
      <c r="BR32" s="52">
        <f>'Evolutive SFP'!BF16</f>
        <v>4142551</v>
      </c>
      <c r="BS32" s="52">
        <f>'Evolutive SFP'!BG16</f>
        <v>4239080</v>
      </c>
      <c r="BT32" s="52">
        <f>'Evolutive SFP'!BH16</f>
        <v>4142551</v>
      </c>
      <c r="BU32" s="52">
        <f>'Evolutive SFP'!BI16</f>
        <v>4142551</v>
      </c>
      <c r="BV32" s="52">
        <f>'Evolutive SFP'!BJ16</f>
        <v>4239080</v>
      </c>
      <c r="BW32" s="52">
        <f>'Evolutive SFP'!BK16</f>
        <v>4239080</v>
      </c>
      <c r="BX32" s="52">
        <f>'Evolutive SFP'!BL16</f>
        <v>4239080</v>
      </c>
      <c r="BY32" s="52">
        <f>'Evolutive SFP'!BM16</f>
        <v>4239080</v>
      </c>
      <c r="BZ32" s="52">
        <f>'Evolutive SFP'!BN16</f>
        <v>4239080</v>
      </c>
      <c r="CA32" s="52">
        <f>'Evolutive SFP'!BO16</f>
        <v>4239080</v>
      </c>
      <c r="CB32" s="52">
        <f>'Evolutive SFP'!BP16</f>
        <v>4239080</v>
      </c>
      <c r="CC32" s="52">
        <f>'Evolutive SFP'!BQ16</f>
        <v>4239080</v>
      </c>
      <c r="CD32" s="52">
        <f>'Evolutive SFP'!BR16</f>
        <v>4239080</v>
      </c>
      <c r="CE32" s="52">
        <f>'Evolutive SFP'!BS16</f>
        <v>4239080</v>
      </c>
      <c r="CF32" s="52">
        <f>'Evolutive SFP'!BT16</f>
        <v>0</v>
      </c>
      <c r="CG32" s="52">
        <f>'Evolutive SFP'!BU16</f>
        <v>4239080</v>
      </c>
      <c r="CH32" s="52">
        <f>'Evolutive SFP'!BV16</f>
        <v>4239080</v>
      </c>
      <c r="CI32" s="52">
        <f>'Evolutive SFP'!BW16</f>
        <v>3698400</v>
      </c>
      <c r="CJ32" s="52">
        <f>'Evolutive SFP'!BX16</f>
        <v>3698400</v>
      </c>
      <c r="CK32" s="52">
        <f>'Evolutive SFP'!BY16</f>
        <v>3698400</v>
      </c>
      <c r="CL32" s="52">
        <f>'Evolutive SFP'!BZ16</f>
        <v>3698400</v>
      </c>
      <c r="CM32" s="52">
        <f>'Evolutive SFP'!CA16</f>
        <v>3698400</v>
      </c>
      <c r="CN32" s="52">
        <f>'Evolutive SFP'!CB16</f>
        <v>3698400</v>
      </c>
      <c r="CO32" s="52">
        <f>'Evolutive SFP'!CC16</f>
        <v>3698400</v>
      </c>
    </row>
    <row r="33" spans="1:93">
      <c r="A33" s="18"/>
      <c r="B33" s="18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/>
      <c r="CO33" s="52"/>
    </row>
    <row r="34" spans="1:93">
      <c r="A34" s="20">
        <v>8</v>
      </c>
      <c r="B34" s="18" t="s">
        <v>121</v>
      </c>
      <c r="C34" s="52" t="e">
        <f>'Evolutive SFP'!#REF!+'Evolutive SFP'!#REF!</f>
        <v>#REF!</v>
      </c>
      <c r="D34" s="52" t="e">
        <f>'Evolutive SFP'!#REF!+'Evolutive SFP'!#REF!</f>
        <v>#REF!</v>
      </c>
      <c r="E34" s="52" t="e">
        <f>'Evolutive SFP'!#REF!+'Evolutive SFP'!#REF!</f>
        <v>#REF!</v>
      </c>
      <c r="F34" s="52" t="e">
        <f>'Evolutive SFP'!#REF!+'Evolutive SFP'!#REF!</f>
        <v>#REF!</v>
      </c>
      <c r="G34" s="52" t="e">
        <f>'Evolutive SFP'!#REF!+'Evolutive SFP'!#REF!</f>
        <v>#REF!</v>
      </c>
      <c r="H34" s="52" t="e">
        <f>'Evolutive SFP'!#REF!+'Evolutive SFP'!#REF!</f>
        <v>#REF!</v>
      </c>
      <c r="I34" s="52" t="e">
        <f>'Evolutive SFP'!#REF!+'Evolutive SFP'!#REF!</f>
        <v>#REF!</v>
      </c>
      <c r="J34" s="52" t="e">
        <f>'Evolutive SFP'!#REF!+'Evolutive SFP'!#REF!</f>
        <v>#REF!</v>
      </c>
      <c r="K34" s="52" t="e">
        <f>'Evolutive SFP'!#REF!+'Evolutive SFP'!#REF!</f>
        <v>#REF!</v>
      </c>
      <c r="L34" s="52" t="e">
        <f>'Evolutive SFP'!#REF!+'Evolutive SFP'!#REF!</f>
        <v>#REF!</v>
      </c>
      <c r="M34" s="52" t="e">
        <f>'Evolutive SFP'!#REF!+'Evolutive SFP'!#REF!</f>
        <v>#REF!</v>
      </c>
      <c r="N34" s="52" t="e">
        <f>'Evolutive SFP'!#REF!+'Evolutive SFP'!#REF!</f>
        <v>#REF!</v>
      </c>
      <c r="O34" s="52" t="e">
        <f>'Evolutive SFP'!#REF!+'Evolutive SFP'!#REF!</f>
        <v>#REF!</v>
      </c>
      <c r="P34" s="52" t="e">
        <f>'Evolutive SFP'!#REF!+'Evolutive SFP'!#REF!</f>
        <v>#REF!</v>
      </c>
      <c r="Q34" s="52" t="e">
        <f>'Evolutive SFP'!#REF!+'Evolutive SFP'!#REF!</f>
        <v>#REF!</v>
      </c>
      <c r="R34" s="52" t="e">
        <f>'Evolutive SFP'!#REF!+'Evolutive SFP'!#REF!</f>
        <v>#REF!</v>
      </c>
      <c r="S34" s="52" t="e">
        <f>'Evolutive SFP'!#REF!+'Evolutive SFP'!#REF!</f>
        <v>#REF!</v>
      </c>
      <c r="T34" s="52" t="e">
        <f>'Evolutive SFP'!#REF!+'Evolutive SFP'!#REF!</f>
        <v>#REF!</v>
      </c>
      <c r="U34" s="52" t="e">
        <f>'Evolutive SFP'!#REF!+'Evolutive SFP'!#REF!</f>
        <v>#REF!</v>
      </c>
      <c r="V34" s="52" t="e">
        <f>'Evolutive SFP'!#REF!+'Evolutive SFP'!#REF!</f>
        <v>#REF!</v>
      </c>
      <c r="W34" s="52" t="e">
        <f>'Evolutive SFP'!#REF!+'Evolutive SFP'!#REF!</f>
        <v>#REF!</v>
      </c>
      <c r="X34" s="52" t="e">
        <f>'Evolutive SFP'!#REF!+'Evolutive SFP'!#REF!</f>
        <v>#REF!</v>
      </c>
      <c r="Y34" s="52" t="e">
        <f>'Evolutive SFP'!#REF!+'Evolutive SFP'!#REF!</f>
        <v>#REF!</v>
      </c>
      <c r="Z34" s="52" t="e">
        <f>'Evolutive SFP'!#REF!+'Evolutive SFP'!#REF!</f>
        <v>#REF!</v>
      </c>
      <c r="AA34" s="52" t="e">
        <f>'Evolutive SFP'!#REF!+'Evolutive SFP'!#REF!</f>
        <v>#REF!</v>
      </c>
      <c r="AB34" s="52" t="e">
        <f>'Evolutive SFP'!#REF!+'Evolutive SFP'!#REF!</f>
        <v>#REF!</v>
      </c>
      <c r="AC34" s="52" t="e">
        <f>'Evolutive SFP'!#REF!+'Evolutive SFP'!#REF!</f>
        <v>#REF!</v>
      </c>
      <c r="AD34" s="52" t="e">
        <f>'Evolutive SFP'!#REF!+'Evolutive SFP'!#REF!</f>
        <v>#REF!</v>
      </c>
      <c r="AE34" s="52" t="e">
        <f>'Evolutive SFP'!#REF!+'Evolutive SFP'!#REF!</f>
        <v>#REF!</v>
      </c>
      <c r="AF34" s="52" t="e">
        <f>'Evolutive SFP'!#REF!+'Evolutive SFP'!#REF!</f>
        <v>#REF!</v>
      </c>
      <c r="AG34" s="52" t="e">
        <f>'Evolutive SFP'!#REF!+'Evolutive SFP'!#REF!</f>
        <v>#REF!</v>
      </c>
      <c r="AH34" s="52" t="e">
        <f>'Evolutive SFP'!#REF!+'Evolutive SFP'!#REF!</f>
        <v>#REF!</v>
      </c>
      <c r="AI34" s="52" t="e">
        <f>'Evolutive SFP'!#REF!+'Evolutive SFP'!#REF!</f>
        <v>#REF!</v>
      </c>
      <c r="AJ34" s="52" t="e">
        <f>'Evolutive SFP'!#REF!+'Evolutive SFP'!#REF!</f>
        <v>#REF!</v>
      </c>
      <c r="AK34" s="52" t="e">
        <f>'Evolutive SFP'!#REF!+'Evolutive SFP'!#REF!</f>
        <v>#REF!</v>
      </c>
      <c r="AL34" s="52" t="e">
        <f>'Evolutive SFP'!#REF!+'Evolutive SFP'!#REF!</f>
        <v>#REF!</v>
      </c>
      <c r="AM34" s="52" t="e">
        <f>'Evolutive SFP'!#REF!+'Evolutive SFP'!#REF!</f>
        <v>#REF!</v>
      </c>
      <c r="AN34" s="52" t="e">
        <f>'Evolutive SFP'!#REF!+'Evolutive SFP'!#REF!</f>
        <v>#REF!</v>
      </c>
      <c r="AO34" s="52" t="e">
        <f>'Evolutive SFP'!#REF!+'Evolutive SFP'!#REF!</f>
        <v>#REF!</v>
      </c>
      <c r="AP34" s="52" t="e">
        <f>'Evolutive SFP'!#REF!+'Evolutive SFP'!#REF!</f>
        <v>#REF!</v>
      </c>
      <c r="AQ34" s="52" t="e">
        <f>'Evolutive SFP'!#REF!+'Evolutive SFP'!#REF!</f>
        <v>#REF!</v>
      </c>
      <c r="AR34" s="52" t="e">
        <f>'Evolutive SFP'!#REF!+'Evolutive SFP'!#REF!</f>
        <v>#REF!</v>
      </c>
      <c r="AS34" s="52">
        <f>'Evolutive SFP'!AH21+'Evolutive SFP'!AH7</f>
        <v>18273464</v>
      </c>
      <c r="AT34" s="52">
        <f>'Evolutive SFP'!AI21+'Evolutive SFP'!AI7</f>
        <v>30314024.609999996</v>
      </c>
      <c r="AU34" s="52">
        <f>'Evolutive SFP'!AJ21+'Evolutive SFP'!AJ7</f>
        <v>31929613.34</v>
      </c>
      <c r="AV34" s="52">
        <f>'Evolutive SFP'!AK21+'Evolutive SFP'!AK7</f>
        <v>32221401.09</v>
      </c>
      <c r="AW34" s="52">
        <f>'Evolutive SFP'!AL21+'Evolutive SFP'!AL7</f>
        <v>33298080.09</v>
      </c>
      <c r="AX34" s="52">
        <f>'Evolutive SFP'!AM21+'Evolutive SFP'!AM7</f>
        <v>34016217.710000001</v>
      </c>
      <c r="AY34" s="52">
        <f>'Evolutive SFP'!AN21+'Evolutive SFP'!AN7</f>
        <v>34650818.170000002</v>
      </c>
      <c r="AZ34" s="52" t="e">
        <f>'Evolutive SFP'!#REF!+'Evolutive SFP'!#REF!</f>
        <v>#REF!</v>
      </c>
      <c r="BA34" s="52">
        <f>'Evolutive SFP'!AO21+'Evolutive SFP'!AO7</f>
        <v>22422415.380000003</v>
      </c>
      <c r="BB34" s="52">
        <f>'Evolutive SFP'!AP21+'Evolutive SFP'!AP7</f>
        <v>22779282.59</v>
      </c>
      <c r="BC34" s="52">
        <f>'Evolutive SFP'!AQ21+'Evolutive SFP'!AQ7</f>
        <v>23267632.34</v>
      </c>
      <c r="BD34" s="52">
        <f>'Evolutive SFP'!AR21+'Evolutive SFP'!AR7</f>
        <v>23167880.870000001</v>
      </c>
      <c r="BE34" s="52">
        <f>'Evolutive SFP'!AS21+'Evolutive SFP'!AS7</f>
        <v>23595237.75</v>
      </c>
      <c r="BF34" s="52">
        <f>'Evolutive SFP'!AT21+'Evolutive SFP'!AT7</f>
        <v>23580949</v>
      </c>
      <c r="BG34" s="52">
        <f>'Evolutive SFP'!AU21+'Evolutive SFP'!AU7</f>
        <v>23384523.940000001</v>
      </c>
      <c r="BH34" s="52">
        <f>'Evolutive SFP'!AV21+'Evolutive SFP'!AV7</f>
        <v>23777230.940000001</v>
      </c>
      <c r="BI34" s="52">
        <f>'Evolutive SFP'!AW21+'Evolutive SFP'!AW7</f>
        <v>23563047.540000003</v>
      </c>
      <c r="BJ34" s="52">
        <f>'Evolutive SFP'!AX21+'Evolutive SFP'!AX7</f>
        <v>23610493.280000001</v>
      </c>
      <c r="BK34" s="52">
        <f>'Evolutive SFP'!AY21+'Evolutive SFP'!AY7</f>
        <v>23267332.940000001</v>
      </c>
      <c r="BL34" s="52">
        <f>'Evolutive SFP'!AZ21+'Evolutive SFP'!AZ7</f>
        <v>15490474.690000001</v>
      </c>
      <c r="BM34" s="52">
        <f>'Evolutive SFP'!BA21+'Evolutive SFP'!BA7</f>
        <v>23282817.400000002</v>
      </c>
      <c r="BN34" s="52">
        <f>'Evolutive SFP'!BB21+'Evolutive SFP'!BB7</f>
        <v>23149828.940000001</v>
      </c>
      <c r="BO34" s="52">
        <f>'Evolutive SFP'!BC21+'Evolutive SFP'!BC7</f>
        <v>23353826.540000003</v>
      </c>
      <c r="BP34" s="52">
        <f>'Evolutive SFP'!BD21+'Evolutive SFP'!BD7</f>
        <v>23363178.540000003</v>
      </c>
      <c r="BQ34" s="52">
        <f>'Evolutive SFP'!BE21+'Evolutive SFP'!BE7</f>
        <v>22991130.940000001</v>
      </c>
      <c r="BR34" s="52">
        <f>'Evolutive SFP'!BF21+'Evolutive SFP'!BF7</f>
        <v>22889475.890000001</v>
      </c>
      <c r="BS34" s="52">
        <f>'Evolutive SFP'!BG21+'Evolutive SFP'!BG7</f>
        <v>23192549</v>
      </c>
      <c r="BT34" s="52">
        <f>'Evolutive SFP'!BH21+'Evolutive SFP'!BH7</f>
        <v>22858762.91</v>
      </c>
      <c r="BU34" s="52">
        <f>'Evolutive SFP'!BI21+'Evolutive SFP'!BI7</f>
        <v>22622101.900000002</v>
      </c>
      <c r="BV34" s="52">
        <f>'Evolutive SFP'!BJ21+'Evolutive SFP'!BJ7</f>
        <v>22922908.080000002</v>
      </c>
      <c r="BW34" s="52">
        <f>'Evolutive SFP'!BK21+'Evolutive SFP'!BK7</f>
        <v>23184925.050000001</v>
      </c>
      <c r="BX34" s="52">
        <f>'Evolutive SFP'!BL21+'Evolutive SFP'!BL7</f>
        <v>22943858.550000001</v>
      </c>
      <c r="BY34" s="52">
        <f>'Evolutive SFP'!BM21+'Evolutive SFP'!BM7</f>
        <v>22115389.830000002</v>
      </c>
      <c r="BZ34" s="52">
        <f>'Evolutive SFP'!BN21+'Evolutive SFP'!BN7</f>
        <v>22449785.780000001</v>
      </c>
      <c r="CA34" s="52">
        <f>'Evolutive SFP'!BO21+'Evolutive SFP'!BO7</f>
        <v>22468079.780000001</v>
      </c>
      <c r="CB34" s="52">
        <f>'Evolutive SFP'!BP21+'Evolutive SFP'!BP7</f>
        <v>22456891.23</v>
      </c>
      <c r="CC34" s="52">
        <f>'Evolutive SFP'!BQ21+'Evolutive SFP'!BQ7</f>
        <v>22457071.530000001</v>
      </c>
      <c r="CD34" s="52">
        <f>'Evolutive SFP'!BR21+'Evolutive SFP'!BR7</f>
        <v>22701074.310000002</v>
      </c>
      <c r="CE34" s="52">
        <f>'Evolutive SFP'!BS21+'Evolutive SFP'!BS7</f>
        <v>22533343.780000001</v>
      </c>
      <c r="CF34" s="52">
        <f>'Evolutive SFP'!BT21+'Evolutive SFP'!BT7</f>
        <v>0</v>
      </c>
      <c r="CG34" s="52">
        <f>'Evolutive SFP'!BU21+'Evolutive SFP'!BU7</f>
        <v>22518003.330000002</v>
      </c>
      <c r="CH34" s="52">
        <f>'Evolutive SFP'!BV21+'Evolutive SFP'!BV7</f>
        <v>22536922.330000002</v>
      </c>
      <c r="CI34" s="52">
        <f>'Evolutive SFP'!BW21+'Evolutive SFP'!BW7</f>
        <v>22401888.130000003</v>
      </c>
      <c r="CJ34" s="52">
        <f>'Evolutive SFP'!BX21+'Evolutive SFP'!BX7</f>
        <v>22377268.07</v>
      </c>
      <c r="CK34" s="52">
        <f>'Evolutive SFP'!BY21+'Evolutive SFP'!BY7</f>
        <v>22418056.07</v>
      </c>
      <c r="CL34" s="52">
        <f>'Evolutive SFP'!BZ21+'Evolutive SFP'!BZ7</f>
        <v>22423205.02</v>
      </c>
      <c r="CM34" s="52">
        <f>'Evolutive SFP'!CA21+'Evolutive SFP'!CA7</f>
        <v>22422437.019999996</v>
      </c>
      <c r="CN34" s="52">
        <f>'Evolutive SFP'!CB21+'Evolutive SFP'!CB7</f>
        <v>22422962.049999997</v>
      </c>
      <c r="CO34" s="52">
        <f>'Evolutive SFP'!CC21+'Evolutive SFP'!CC7</f>
        <v>22220937.779999997</v>
      </c>
    </row>
    <row r="35" spans="1:93">
      <c r="A35" s="20">
        <v>8.1</v>
      </c>
      <c r="B35" s="18" t="s">
        <v>31</v>
      </c>
      <c r="C35" s="52" t="e">
        <f>'Evolutive SFP'!#REF!</f>
        <v>#REF!</v>
      </c>
      <c r="D35" s="52" t="e">
        <f>'Evolutive SFP'!#REF!</f>
        <v>#REF!</v>
      </c>
      <c r="E35" s="52" t="e">
        <f>'Evolutive SFP'!#REF!</f>
        <v>#REF!</v>
      </c>
      <c r="F35" s="52" t="e">
        <f>'Evolutive SFP'!#REF!</f>
        <v>#REF!</v>
      </c>
      <c r="G35" s="52" t="e">
        <f>'Evolutive SFP'!#REF!</f>
        <v>#REF!</v>
      </c>
      <c r="H35" s="52" t="e">
        <f>'Evolutive SFP'!#REF!</f>
        <v>#REF!</v>
      </c>
      <c r="I35" s="52" t="e">
        <f>'Evolutive SFP'!#REF!</f>
        <v>#REF!</v>
      </c>
      <c r="J35" s="52" t="e">
        <f>'Evolutive SFP'!#REF!</f>
        <v>#REF!</v>
      </c>
      <c r="K35" s="52" t="e">
        <f>'Evolutive SFP'!#REF!</f>
        <v>#REF!</v>
      </c>
      <c r="L35" s="52" t="e">
        <f>'Evolutive SFP'!#REF!</f>
        <v>#REF!</v>
      </c>
      <c r="M35" s="52" t="e">
        <f>'Evolutive SFP'!#REF!</f>
        <v>#REF!</v>
      </c>
      <c r="N35" s="52" t="e">
        <f>'Evolutive SFP'!#REF!</f>
        <v>#REF!</v>
      </c>
      <c r="O35" s="52" t="e">
        <f>'Evolutive SFP'!#REF!</f>
        <v>#REF!</v>
      </c>
      <c r="P35" s="52" t="e">
        <f>'Evolutive SFP'!#REF!</f>
        <v>#REF!</v>
      </c>
      <c r="Q35" s="52" t="e">
        <f>'Evolutive SFP'!#REF!</f>
        <v>#REF!</v>
      </c>
      <c r="R35" s="52" t="e">
        <f>'Evolutive SFP'!#REF!</f>
        <v>#REF!</v>
      </c>
      <c r="S35" s="52" t="e">
        <f>'Evolutive SFP'!#REF!</f>
        <v>#REF!</v>
      </c>
      <c r="T35" s="52" t="e">
        <f>'Evolutive SFP'!#REF!</f>
        <v>#REF!</v>
      </c>
      <c r="U35" s="52" t="e">
        <f>'Evolutive SFP'!#REF!</f>
        <v>#REF!</v>
      </c>
      <c r="V35" s="52" t="e">
        <f>'Evolutive SFP'!#REF!</f>
        <v>#REF!</v>
      </c>
      <c r="W35" s="52" t="e">
        <f>'Evolutive SFP'!#REF!</f>
        <v>#REF!</v>
      </c>
      <c r="X35" s="52" t="e">
        <f>'Evolutive SFP'!#REF!</f>
        <v>#REF!</v>
      </c>
      <c r="Y35" s="52" t="e">
        <f>'Evolutive SFP'!#REF!</f>
        <v>#REF!</v>
      </c>
      <c r="Z35" s="52" t="e">
        <f>'Evolutive SFP'!#REF!</f>
        <v>#REF!</v>
      </c>
      <c r="AA35" s="52" t="e">
        <f>'Evolutive SFP'!#REF!</f>
        <v>#REF!</v>
      </c>
      <c r="AB35" s="52" t="e">
        <f>'Evolutive SFP'!#REF!</f>
        <v>#REF!</v>
      </c>
      <c r="AC35" s="52" t="e">
        <f>'Evolutive SFP'!#REF!</f>
        <v>#REF!</v>
      </c>
      <c r="AD35" s="52" t="e">
        <f>'Evolutive SFP'!#REF!</f>
        <v>#REF!</v>
      </c>
      <c r="AE35" s="52" t="e">
        <f>'Evolutive SFP'!#REF!</f>
        <v>#REF!</v>
      </c>
      <c r="AF35" s="52" t="e">
        <f>'Evolutive SFP'!#REF!</f>
        <v>#REF!</v>
      </c>
      <c r="AG35" s="52" t="e">
        <f>'Evolutive SFP'!#REF!</f>
        <v>#REF!</v>
      </c>
      <c r="AH35" s="52" t="e">
        <f>'Evolutive SFP'!#REF!</f>
        <v>#REF!</v>
      </c>
      <c r="AI35" s="52" t="e">
        <f>'Evolutive SFP'!#REF!</f>
        <v>#REF!</v>
      </c>
      <c r="AJ35" s="52" t="e">
        <f>'Evolutive SFP'!#REF!</f>
        <v>#REF!</v>
      </c>
      <c r="AK35" s="52" t="e">
        <f>'Evolutive SFP'!#REF!</f>
        <v>#REF!</v>
      </c>
      <c r="AL35" s="52" t="e">
        <f>'Evolutive SFP'!#REF!</f>
        <v>#REF!</v>
      </c>
      <c r="AM35" s="52" t="e">
        <f>'Evolutive SFP'!#REF!</f>
        <v>#REF!</v>
      </c>
      <c r="AN35" s="52" t="e">
        <f>'Evolutive SFP'!#REF!</f>
        <v>#REF!</v>
      </c>
      <c r="AO35" s="52" t="e">
        <f>'Evolutive SFP'!#REF!</f>
        <v>#REF!</v>
      </c>
      <c r="AP35" s="52" t="e">
        <f>'Evolutive SFP'!#REF!</f>
        <v>#REF!</v>
      </c>
      <c r="AQ35" s="52" t="e">
        <f>'Evolutive SFP'!#REF!</f>
        <v>#REF!</v>
      </c>
      <c r="AR35" s="52" t="e">
        <f>'Evolutive SFP'!#REF!</f>
        <v>#REF!</v>
      </c>
      <c r="AS35" s="52">
        <f>'Evolutive SFP'!AH23</f>
        <v>16218800</v>
      </c>
      <c r="AT35" s="52">
        <f>'Evolutive SFP'!AI23</f>
        <v>16238774.779999999</v>
      </c>
      <c r="AU35" s="52">
        <f>'Evolutive SFP'!AJ23</f>
        <v>17608717.780000001</v>
      </c>
      <c r="AV35" s="52">
        <f>'Evolutive SFP'!AK23</f>
        <v>17632997.780000001</v>
      </c>
      <c r="AW35" s="52">
        <f>'Evolutive SFP'!AL23</f>
        <v>18632997.780000001</v>
      </c>
      <c r="AX35" s="52">
        <f>'Evolutive SFP'!AM23</f>
        <v>19669197.780000001</v>
      </c>
      <c r="AY35" s="52">
        <f>'Evolutive SFP'!AN23</f>
        <v>19823167.780000001</v>
      </c>
      <c r="AZ35" s="52" t="e">
        <f>'Evolutive SFP'!#REF!</f>
        <v>#REF!</v>
      </c>
      <c r="BA35" s="52">
        <f>'Evolutive SFP'!AO23</f>
        <v>20957464.780000001</v>
      </c>
      <c r="BB35" s="52">
        <f>'Evolutive SFP'!AP23</f>
        <v>20957464.780000001</v>
      </c>
      <c r="BC35" s="52">
        <f>'Evolutive SFP'!AQ23</f>
        <v>21473464.780000001</v>
      </c>
      <c r="BD35" s="52">
        <f>'Evolutive SFP'!AR23</f>
        <v>21493464.780000001</v>
      </c>
      <c r="BE35" s="52">
        <f>'Evolutive SFP'!AS23</f>
        <v>21714447.780000001</v>
      </c>
      <c r="BF35" s="52">
        <f>'Evolutive SFP'!AT23</f>
        <v>21689753</v>
      </c>
      <c r="BG35" s="52">
        <f>'Evolutive SFP'!AU23</f>
        <v>21730447.780000001</v>
      </c>
      <c r="BH35" s="52">
        <f>'Evolutive SFP'!AV23</f>
        <v>21730447.780000001</v>
      </c>
      <c r="BI35" s="52">
        <f>'Evolutive SFP'!AW23</f>
        <v>21788447.780000001</v>
      </c>
      <c r="BJ35" s="52">
        <f>'Evolutive SFP'!AX23</f>
        <v>21788447.780000001</v>
      </c>
      <c r="BK35" s="52">
        <f>'Evolutive SFP'!AY23</f>
        <v>21788447.780000001</v>
      </c>
      <c r="BL35" s="52">
        <f>'Evolutive SFP'!AZ23</f>
        <v>21788447.780000001</v>
      </c>
      <c r="BM35" s="52">
        <f>'Evolutive SFP'!BA23</f>
        <v>21788447.780000001</v>
      </c>
      <c r="BN35" s="52">
        <f>'Evolutive SFP'!BB23</f>
        <v>21788447.780000001</v>
      </c>
      <c r="BO35" s="52">
        <f>'Evolutive SFP'!BC23</f>
        <v>21788447.780000001</v>
      </c>
      <c r="BP35" s="52">
        <f>'Evolutive SFP'!BD23</f>
        <v>21788447.780000001</v>
      </c>
      <c r="BQ35" s="52">
        <f>'Evolutive SFP'!BE23</f>
        <v>21788447.780000001</v>
      </c>
      <c r="BR35" s="52">
        <f>'Evolutive SFP'!BF23</f>
        <v>21665048.780000001</v>
      </c>
      <c r="BS35" s="52">
        <f>'Evolutive SFP'!BG23</f>
        <v>543019</v>
      </c>
      <c r="BT35" s="52">
        <f>'Evolutive SFP'!BH23</f>
        <v>21665048.780000001</v>
      </c>
      <c r="BU35" s="52">
        <f>'Evolutive SFP'!BI23</f>
        <v>21725080.780000001</v>
      </c>
      <c r="BV35" s="52">
        <f>'Evolutive SFP'!BJ23</f>
        <v>21727980.780000001</v>
      </c>
      <c r="BW35" s="52">
        <f>'Evolutive SFP'!BK23</f>
        <v>21727980.780000001</v>
      </c>
      <c r="BX35" s="52">
        <f>'Evolutive SFP'!BL23</f>
        <v>21727980.780000001</v>
      </c>
      <c r="BY35" s="52">
        <f>'Evolutive SFP'!BM23</f>
        <v>21727980.780000001</v>
      </c>
      <c r="BZ35" s="52">
        <f>'Evolutive SFP'!BN23</f>
        <v>21727980.780000001</v>
      </c>
      <c r="CA35" s="52">
        <f>'Evolutive SFP'!BO23</f>
        <v>21727980.780000001</v>
      </c>
      <c r="CB35" s="52">
        <f>'Evolutive SFP'!BP23</f>
        <v>21727980.780000001</v>
      </c>
      <c r="CC35" s="52">
        <f>'Evolutive SFP'!BQ23</f>
        <v>21727980.780000001</v>
      </c>
      <c r="CD35" s="52">
        <f>'Evolutive SFP'!BR23</f>
        <v>21921980.780000001</v>
      </c>
      <c r="CE35" s="52">
        <f>'Evolutive SFP'!BS23</f>
        <v>21750379.780000001</v>
      </c>
      <c r="CF35" s="52">
        <f>'Evolutive SFP'!BT23</f>
        <v>0</v>
      </c>
      <c r="CG35" s="52">
        <f>'Evolutive SFP'!BU23</f>
        <v>21750379.780000001</v>
      </c>
      <c r="CH35" s="52">
        <f>'Evolutive SFP'!BV23</f>
        <v>21750379.780000001</v>
      </c>
      <c r="CI35" s="52">
        <f>'Evolutive SFP'!BW23</f>
        <v>21692316.780000001</v>
      </c>
      <c r="CJ35" s="52">
        <f>'Evolutive SFP'!BX23</f>
        <v>21692316.780000001</v>
      </c>
      <c r="CK35" s="52">
        <f>'Evolutive SFP'!BY23</f>
        <v>21692316.780000001</v>
      </c>
      <c r="CL35" s="52">
        <f>'Evolutive SFP'!BZ23</f>
        <v>21692316.780000001</v>
      </c>
      <c r="CM35" s="52">
        <f>'Evolutive SFP'!CA23</f>
        <v>661760.4</v>
      </c>
      <c r="CN35" s="52">
        <f>'Evolutive SFP'!CB23</f>
        <v>681755.4</v>
      </c>
      <c r="CO35" s="52">
        <f>'Evolutive SFP'!CC23</f>
        <v>681755.4</v>
      </c>
    </row>
    <row r="36" spans="1:93">
      <c r="A36" s="16"/>
      <c r="B36" s="157" t="s">
        <v>273</v>
      </c>
      <c r="C36" s="52"/>
      <c r="D36" s="52" t="e">
        <f>'Evolutive SFP'!#REF!</f>
        <v>#REF!</v>
      </c>
      <c r="E36" s="52" t="e">
        <f>'Evolutive SFP'!#REF!</f>
        <v>#REF!</v>
      </c>
      <c r="F36" s="52" t="e">
        <f>'Evolutive SFP'!#REF!</f>
        <v>#REF!</v>
      </c>
      <c r="G36" s="52" t="e">
        <f>'Evolutive SFP'!#REF!</f>
        <v>#REF!</v>
      </c>
      <c r="H36" s="52" t="e">
        <f>'Evolutive SFP'!#REF!</f>
        <v>#REF!</v>
      </c>
      <c r="I36" s="52" t="e">
        <f>'Evolutive SFP'!#REF!</f>
        <v>#REF!</v>
      </c>
      <c r="J36" s="52" t="e">
        <f>'Evolutive SFP'!#REF!</f>
        <v>#REF!</v>
      </c>
      <c r="K36" s="52" t="e">
        <f>'Evolutive SFP'!#REF!</f>
        <v>#REF!</v>
      </c>
      <c r="L36" s="52" t="e">
        <f>'Evolutive SFP'!#REF!</f>
        <v>#REF!</v>
      </c>
      <c r="M36" s="52" t="e">
        <f>'Evolutive SFP'!#REF!</f>
        <v>#REF!</v>
      </c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52"/>
      <c r="CO36" s="52"/>
    </row>
    <row r="37" spans="1:93">
      <c r="A37" s="20">
        <v>9</v>
      </c>
      <c r="B37" s="18" t="s">
        <v>230</v>
      </c>
      <c r="C37" s="52" t="e">
        <f>C38+C39+C40+C41</f>
        <v>#REF!</v>
      </c>
      <c r="D37" s="52" t="e">
        <f t="shared" ref="D37:K37" si="65">D38+D39+D40+D41</f>
        <v>#REF!</v>
      </c>
      <c r="E37" s="52" t="e">
        <f>E38+E39+E40+E41</f>
        <v>#REF!</v>
      </c>
      <c r="F37" s="52" t="e">
        <f>F38+F39+F40+F41</f>
        <v>#REF!</v>
      </c>
      <c r="G37" s="52" t="e">
        <f t="shared" si="65"/>
        <v>#REF!</v>
      </c>
      <c r="H37" s="52" t="e">
        <f t="shared" si="65"/>
        <v>#REF!</v>
      </c>
      <c r="I37" s="52" t="e">
        <f t="shared" si="65"/>
        <v>#REF!</v>
      </c>
      <c r="J37" s="52" t="e">
        <f t="shared" si="65"/>
        <v>#REF!</v>
      </c>
      <c r="K37" s="52" t="e">
        <f t="shared" si="65"/>
        <v>#REF!</v>
      </c>
      <c r="L37" s="52" t="e">
        <f>L38+L39+L40+L41</f>
        <v>#REF!</v>
      </c>
      <c r="M37" s="52" t="e">
        <f t="shared" ref="M37:R37" si="66">M38+M39+M40+M41</f>
        <v>#REF!</v>
      </c>
      <c r="N37" s="52" t="e">
        <f t="shared" si="66"/>
        <v>#REF!</v>
      </c>
      <c r="O37" s="52" t="e">
        <f t="shared" si="66"/>
        <v>#REF!</v>
      </c>
      <c r="P37" s="52" t="e">
        <f t="shared" si="66"/>
        <v>#REF!</v>
      </c>
      <c r="Q37" s="52" t="e">
        <f t="shared" si="66"/>
        <v>#REF!</v>
      </c>
      <c r="R37" s="52" t="e">
        <f t="shared" si="66"/>
        <v>#REF!</v>
      </c>
      <c r="S37" s="52" t="e">
        <f t="shared" ref="S37:Y37" si="67">S38+S39+S40+S41</f>
        <v>#REF!</v>
      </c>
      <c r="T37" s="52" t="e">
        <f t="shared" si="67"/>
        <v>#REF!</v>
      </c>
      <c r="U37" s="52" t="e">
        <f t="shared" si="67"/>
        <v>#REF!</v>
      </c>
      <c r="V37" s="52" t="e">
        <f t="shared" si="67"/>
        <v>#REF!</v>
      </c>
      <c r="W37" s="52" t="e">
        <f t="shared" si="67"/>
        <v>#REF!</v>
      </c>
      <c r="X37" s="52" t="e">
        <f t="shared" si="67"/>
        <v>#REF!</v>
      </c>
      <c r="Y37" s="52" t="e">
        <f t="shared" si="67"/>
        <v>#REF!</v>
      </c>
      <c r="Z37" s="52" t="e">
        <f t="shared" ref="Z37:AF37" si="68">Z38+Z39+Z40+Z41</f>
        <v>#REF!</v>
      </c>
      <c r="AA37" s="52" t="e">
        <f t="shared" si="68"/>
        <v>#REF!</v>
      </c>
      <c r="AB37" s="52" t="e">
        <f t="shared" si="68"/>
        <v>#REF!</v>
      </c>
      <c r="AC37" s="52" t="e">
        <f t="shared" si="68"/>
        <v>#REF!</v>
      </c>
      <c r="AD37" s="52" t="e">
        <f t="shared" si="68"/>
        <v>#REF!</v>
      </c>
      <c r="AE37" s="52" t="e">
        <f t="shared" si="68"/>
        <v>#REF!</v>
      </c>
      <c r="AF37" s="52" t="e">
        <f t="shared" si="68"/>
        <v>#REF!</v>
      </c>
      <c r="AG37" s="52" t="e">
        <f t="shared" ref="AG37:AY37" si="69">AG38+AG39+AG40+AG41</f>
        <v>#REF!</v>
      </c>
      <c r="AH37" s="52" t="e">
        <f t="shared" si="69"/>
        <v>#REF!</v>
      </c>
      <c r="AI37" s="52" t="e">
        <f t="shared" si="69"/>
        <v>#REF!</v>
      </c>
      <c r="AJ37" s="52" t="e">
        <f t="shared" si="69"/>
        <v>#REF!</v>
      </c>
      <c r="AK37" s="52" t="e">
        <f t="shared" si="69"/>
        <v>#REF!</v>
      </c>
      <c r="AL37" s="52" t="e">
        <f t="shared" si="69"/>
        <v>#REF!</v>
      </c>
      <c r="AM37" s="52" t="e">
        <f t="shared" si="69"/>
        <v>#REF!</v>
      </c>
      <c r="AN37" s="52" t="e">
        <f t="shared" si="69"/>
        <v>#REF!</v>
      </c>
      <c r="AO37" s="52" t="e">
        <f t="shared" si="69"/>
        <v>#REF!</v>
      </c>
      <c r="AP37" s="52" t="e">
        <f t="shared" si="69"/>
        <v>#REF!</v>
      </c>
      <c r="AQ37" s="52" t="e">
        <f t="shared" si="69"/>
        <v>#REF!</v>
      </c>
      <c r="AR37" s="52" t="e">
        <f t="shared" si="69"/>
        <v>#REF!</v>
      </c>
      <c r="AS37" s="52">
        <f t="shared" si="69"/>
        <v>9205405.107195884</v>
      </c>
      <c r="AT37" s="52">
        <f t="shared" si="69"/>
        <v>597213.10898899555</v>
      </c>
      <c r="AU37" s="52">
        <f t="shared" si="69"/>
        <v>1207567.6082323326</v>
      </c>
      <c r="AV37" s="52">
        <f t="shared" si="69"/>
        <v>1946778.5458505834</v>
      </c>
      <c r="AW37" s="52">
        <f t="shared" si="69"/>
        <v>2388402.3072285866</v>
      </c>
      <c r="AX37" s="52">
        <f t="shared" si="69"/>
        <v>2961358.0762394588</v>
      </c>
      <c r="AY37" s="52">
        <f t="shared" si="69"/>
        <v>3553566.9356236244</v>
      </c>
      <c r="AZ37" s="52" t="e">
        <f t="shared" ref="AZ37:BF37" si="70">AZ38+AZ39+AZ40+AZ41</f>
        <v>#REF!</v>
      </c>
      <c r="BA37" s="52">
        <f t="shared" si="70"/>
        <v>4773294.1235747272</v>
      </c>
      <c r="BB37" s="52">
        <f t="shared" si="70"/>
        <v>5423511.4895837195</v>
      </c>
      <c r="BC37" s="52">
        <f t="shared" si="70"/>
        <v>6110883.6676723799</v>
      </c>
      <c r="BD37" s="52">
        <f t="shared" si="70"/>
        <v>6724566.7676257342</v>
      </c>
      <c r="BE37" s="52">
        <f t="shared" si="70"/>
        <v>7474728.9409539485</v>
      </c>
      <c r="BF37" s="52">
        <f t="shared" si="70"/>
        <v>9023693.1009539068</v>
      </c>
      <c r="BG37" s="52">
        <f t="shared" ref="BG37:BN37" si="71">BG38+BG39+BG40+BG41</f>
        <v>215279.83045722355</v>
      </c>
      <c r="BH37" s="52">
        <f t="shared" si="71"/>
        <v>862315.17822013423</v>
      </c>
      <c r="BI37" s="52">
        <f t="shared" si="71"/>
        <v>1785560.6662370062</v>
      </c>
      <c r="BJ37" s="52">
        <f t="shared" si="71"/>
        <v>2438373.2058007373</v>
      </c>
      <c r="BK37" s="52">
        <f t="shared" si="71"/>
        <v>3093671.5148761547</v>
      </c>
      <c r="BL37" s="52">
        <f t="shared" si="71"/>
        <v>3538178.8811589121</v>
      </c>
      <c r="BM37" s="52">
        <f t="shared" si="71"/>
        <v>4614846.1285761306</v>
      </c>
      <c r="BN37" s="52">
        <f t="shared" si="71"/>
        <v>5325862.0705262823</v>
      </c>
      <c r="BO37" s="52">
        <f t="shared" ref="BO37:BS37" si="72">BO38+BO39+BO40+BO41</f>
        <v>5775265.4149635481</v>
      </c>
      <c r="BP37" s="52">
        <f t="shared" si="72"/>
        <v>6825224.9305891236</v>
      </c>
      <c r="BQ37" s="52">
        <f t="shared" si="72"/>
        <v>7469834.6316311732</v>
      </c>
      <c r="BR37" s="52">
        <f t="shared" si="72"/>
        <v>8157133.3157803304</v>
      </c>
      <c r="BS37" s="52">
        <f t="shared" si="72"/>
        <v>10142803.117161222</v>
      </c>
      <c r="BT37" s="52">
        <f t="shared" ref="BT37:CE37" si="73">BT38+BT39+BT40+BT41</f>
        <v>650214.37954702484</v>
      </c>
      <c r="BU37" s="52">
        <f t="shared" si="73"/>
        <v>1286867.1589503994</v>
      </c>
      <c r="BV37" s="52">
        <f t="shared" si="73"/>
        <v>1996016.6587485434</v>
      </c>
      <c r="BW37" s="52">
        <f t="shared" si="73"/>
        <v>2771445.0165439448</v>
      </c>
      <c r="BX37" s="52">
        <f t="shared" si="73"/>
        <v>3466451.7765876073</v>
      </c>
      <c r="BY37" s="52">
        <f t="shared" si="73"/>
        <v>4158877.3057792829</v>
      </c>
      <c r="BZ37" s="52">
        <f t="shared" si="73"/>
        <v>4910808.2166599575</v>
      </c>
      <c r="CA37" s="52">
        <f t="shared" si="73"/>
        <v>5623108.7977811592</v>
      </c>
      <c r="CB37" s="52">
        <f t="shared" si="73"/>
        <v>6446789.1558254007</v>
      </c>
      <c r="CC37" s="52">
        <f t="shared" si="73"/>
        <v>7032430.2470141528</v>
      </c>
      <c r="CD37" s="52">
        <f t="shared" si="73"/>
        <v>7840414.0529302666</v>
      </c>
      <c r="CE37" s="52">
        <f t="shared" si="73"/>
        <v>8620702.9107636847</v>
      </c>
      <c r="CF37" s="52" t="e">
        <f t="shared" ref="CF37" si="74">CF38+CF39+CF40+CF41</f>
        <v>#DIV/0!</v>
      </c>
      <c r="CG37" s="52">
        <f t="shared" ref="CG37:CI37" si="75">CG38+CG39+CG40+CG41</f>
        <v>709847.00936052215</v>
      </c>
      <c r="CH37" s="52">
        <f t="shared" si="75"/>
        <v>1346117.0189910878</v>
      </c>
      <c r="CI37" s="52">
        <f t="shared" si="75"/>
        <v>2277991.0272749844</v>
      </c>
      <c r="CJ37" s="52">
        <f t="shared" ref="CJ37:CL37" si="76">CJ38+CJ39+CJ40+CJ41</f>
        <v>2919746.46135714</v>
      </c>
      <c r="CK37" s="52">
        <f t="shared" si="76"/>
        <v>3803900.2501092507</v>
      </c>
      <c r="CL37" s="52">
        <f t="shared" si="76"/>
        <v>4460312.25864032</v>
      </c>
      <c r="CM37" s="52">
        <f t="shared" ref="CM37:CN37" si="77">CM38+CM39+CM40+CM41</f>
        <v>6714536.3412619624</v>
      </c>
      <c r="CN37" s="52">
        <f t="shared" si="77"/>
        <v>7551446.3237201506</v>
      </c>
      <c r="CO37" s="52">
        <f t="shared" ref="CO37" si="78">CO38+CO39+CO40+CO41</f>
        <v>8166071.4745434849</v>
      </c>
    </row>
    <row r="38" spans="1:93">
      <c r="A38" s="18">
        <v>9.1</v>
      </c>
      <c r="B38" s="18" t="s">
        <v>274</v>
      </c>
      <c r="C38" s="52" t="e">
        <f>'Evolutitve SCI'!#REF!</f>
        <v>#REF!</v>
      </c>
      <c r="D38" s="52" t="e">
        <f>'Evolutitve SCI'!#REF!</f>
        <v>#REF!</v>
      </c>
      <c r="E38" s="52" t="e">
        <f>'Evolutitve SCI'!#REF!</f>
        <v>#REF!</v>
      </c>
      <c r="F38" s="52" t="e">
        <f>'Evolutitve SCI'!#REF!</f>
        <v>#REF!</v>
      </c>
      <c r="G38" s="52" t="e">
        <f>'Evolutitve SCI'!#REF!</f>
        <v>#REF!</v>
      </c>
      <c r="H38" s="52" t="e">
        <f>'Evolutitve SCI'!#REF!</f>
        <v>#REF!</v>
      </c>
      <c r="I38" s="52" t="e">
        <f>'Evolutitve SCI'!#REF!</f>
        <v>#REF!</v>
      </c>
      <c r="J38" s="52" t="e">
        <f>'Evolutitve SCI'!#REF!</f>
        <v>#REF!</v>
      </c>
      <c r="K38" s="52" t="e">
        <f>'Evolutitve SCI'!#REF!</f>
        <v>#REF!</v>
      </c>
      <c r="L38" s="52" t="e">
        <f>'Evolutitve SCI'!#REF!</f>
        <v>#REF!</v>
      </c>
      <c r="M38" s="52" t="e">
        <f>'Evolutitve SCI'!#REF!</f>
        <v>#REF!</v>
      </c>
      <c r="N38" s="52" t="e">
        <f>'Evolutitve SCI'!#REF!</f>
        <v>#REF!</v>
      </c>
      <c r="O38" s="52" t="e">
        <f>'Evolutitve SCI'!#REF!</f>
        <v>#REF!</v>
      </c>
      <c r="P38" s="52" t="e">
        <f>'Evolutitve SCI'!#REF!</f>
        <v>#REF!</v>
      </c>
      <c r="Q38" s="52" t="e">
        <f>'Evolutitve SCI'!#REF!</f>
        <v>#REF!</v>
      </c>
      <c r="R38" s="52" t="e">
        <f>'Evolutitve SCI'!#REF!</f>
        <v>#REF!</v>
      </c>
      <c r="S38" s="52" t="e">
        <f>'Evolutitve SCI'!#REF!</f>
        <v>#REF!</v>
      </c>
      <c r="T38" s="52" t="e">
        <f>'Evolutitve SCI'!#REF!</f>
        <v>#REF!</v>
      </c>
      <c r="U38" s="52" t="e">
        <f>'Evolutitve SCI'!#REF!</f>
        <v>#REF!</v>
      </c>
      <c r="V38" s="52" t="e">
        <f>'Evolutitve SCI'!#REF!</f>
        <v>#REF!</v>
      </c>
      <c r="W38" s="52" t="e">
        <f>'Evolutitve SCI'!#REF!</f>
        <v>#REF!</v>
      </c>
      <c r="X38" s="52" t="e">
        <f>'Evolutitve SCI'!#REF!</f>
        <v>#REF!</v>
      </c>
      <c r="Y38" s="52" t="e">
        <f>'Evolutitve SCI'!#REF!</f>
        <v>#REF!</v>
      </c>
      <c r="Z38" s="52" t="e">
        <f>'Evolutitve SCI'!#REF!</f>
        <v>#REF!</v>
      </c>
      <c r="AA38" s="52" t="e">
        <f>'Evolutitve SCI'!#REF!</f>
        <v>#REF!</v>
      </c>
      <c r="AB38" s="52" t="e">
        <f>'Evolutitve SCI'!#REF!</f>
        <v>#REF!</v>
      </c>
      <c r="AC38" s="52" t="e">
        <f>'Evolutitve SCI'!#REF!</f>
        <v>#REF!</v>
      </c>
      <c r="AD38" s="52" t="e">
        <f>'Evolutitve SCI'!#REF!</f>
        <v>#REF!</v>
      </c>
      <c r="AE38" s="52" t="e">
        <f>'Evolutitve SCI'!#REF!</f>
        <v>#REF!</v>
      </c>
      <c r="AF38" s="52" t="e">
        <f>'Evolutitve SCI'!#REF!</f>
        <v>#REF!</v>
      </c>
      <c r="AG38" s="52" t="e">
        <f>'Evolutitve SCI'!#REF!</f>
        <v>#REF!</v>
      </c>
      <c r="AH38" s="52" t="e">
        <f>'Evolutitve SCI'!#REF!</f>
        <v>#REF!</v>
      </c>
      <c r="AI38" s="52" t="e">
        <f>'Evolutitve SCI'!#REF!</f>
        <v>#REF!</v>
      </c>
      <c r="AJ38" s="52" t="e">
        <f>'Evolutitve SCI'!#REF!</f>
        <v>#REF!</v>
      </c>
      <c r="AK38" s="52" t="e">
        <f>'Evolutitve SCI'!#REF!</f>
        <v>#REF!</v>
      </c>
      <c r="AL38" s="52" t="e">
        <f>'Evolutitve SCI'!#REF!</f>
        <v>#REF!</v>
      </c>
      <c r="AM38" s="52" t="e">
        <f>'Evolutitve SCI'!#REF!</f>
        <v>#REF!</v>
      </c>
      <c r="AN38" s="52" t="e">
        <f>'Evolutitve SCI'!#REF!</f>
        <v>#REF!</v>
      </c>
      <c r="AO38" s="52" t="e">
        <f>'Evolutitve SCI'!#REF!</f>
        <v>#REF!</v>
      </c>
      <c r="AP38" s="52" t="e">
        <f>'Evolutitve SCI'!#REF!</f>
        <v>#REF!</v>
      </c>
      <c r="AQ38" s="52" t="e">
        <f>'Evolutitve SCI'!#REF!</f>
        <v>#REF!</v>
      </c>
      <c r="AR38" s="52" t="e">
        <f>'Evolutitve SCI'!#REF!</f>
        <v>#REF!</v>
      </c>
      <c r="AS38" s="52">
        <f>'Evolutitve SCI'!AG5</f>
        <v>3214668</v>
      </c>
      <c r="AT38" s="52">
        <f>'Evolutitve SCI'!AH5</f>
        <v>292294.09999999998</v>
      </c>
      <c r="AU38" s="52">
        <f>'Evolutitve SCI'!AI5</f>
        <v>594618.59</v>
      </c>
      <c r="AV38" s="52">
        <f>'Evolutitve SCI'!AJ5</f>
        <v>878858.52</v>
      </c>
      <c r="AW38" s="52">
        <f>'Evolutitve SCI'!AK5</f>
        <v>1163295.27</v>
      </c>
      <c r="AX38" s="52">
        <f>'Evolutitve SCI'!AL5</f>
        <v>1431499.53</v>
      </c>
      <c r="AY38" s="52">
        <f>'Evolutitve SCI'!AM5</f>
        <v>1706433.48</v>
      </c>
      <c r="AZ38" s="52" t="e">
        <f>'Evolutitve SCI'!#REF!</f>
        <v>#REF!</v>
      </c>
      <c r="BA38" s="52">
        <f>'Evolutitve SCI'!AN5</f>
        <v>2247354.5</v>
      </c>
      <c r="BB38" s="52">
        <f>'Evolutitve SCI'!AO5</f>
        <v>2524122.86</v>
      </c>
      <c r="BC38" s="52">
        <f>'Evolutitve SCI'!AP5</f>
        <v>2837829.03</v>
      </c>
      <c r="BD38" s="52">
        <f>'Evolutitve SCI'!AQ5</f>
        <v>3125492.12</v>
      </c>
      <c r="BE38" s="52">
        <f>'Evolutitve SCI'!AR5</f>
        <v>3390721.29</v>
      </c>
      <c r="BF38" s="52">
        <f>'Evolutitve SCI'!AS5</f>
        <v>3390720</v>
      </c>
      <c r="BG38" s="52">
        <f>'Evolutitve SCI'!AT5</f>
        <v>16718.830000000002</v>
      </c>
      <c r="BH38" s="52">
        <f>'Evolutitve SCI'!AU5</f>
        <v>297804.17</v>
      </c>
      <c r="BI38" s="52">
        <f>'Evolutitve SCI'!AV5</f>
        <v>865337.64</v>
      </c>
      <c r="BJ38" s="52">
        <f>'Evolutitve SCI'!AW5</f>
        <v>1175347.67</v>
      </c>
      <c r="BK38" s="52">
        <f>'Evolutitve SCI'!AX5</f>
        <v>1474867.27</v>
      </c>
      <c r="BL38" s="52">
        <f>'Evolutitve SCI'!AY5</f>
        <v>1511971.82</v>
      </c>
      <c r="BM38" s="52">
        <f>'Evolutitve SCI'!AZ5</f>
        <v>2130246.5499999998</v>
      </c>
      <c r="BN38" s="52">
        <f>'Evolutitve SCI'!BA5</f>
        <v>2468884.98</v>
      </c>
      <c r="BO38" s="52">
        <f>'Evolutitve SCI'!BB5</f>
        <v>2526325.83</v>
      </c>
      <c r="BP38" s="52">
        <f>'Evolutitve SCI'!BC5</f>
        <v>3152612.02</v>
      </c>
      <c r="BQ38" s="52">
        <f>'Evolutitve SCI'!BD5</f>
        <v>3471549.21</v>
      </c>
      <c r="BR38" s="52">
        <f>'Evolutitve SCI'!BE5</f>
        <v>3814191.88</v>
      </c>
      <c r="BS38" s="52">
        <f>'Evolutitve SCI'!BF5</f>
        <v>3859683</v>
      </c>
      <c r="BT38" s="52">
        <f>'Evolutitve SCI'!BG5</f>
        <v>310141.87</v>
      </c>
      <c r="BU38" s="52">
        <f>'Evolutitve SCI'!BH5</f>
        <v>610009.64</v>
      </c>
      <c r="BV38" s="52">
        <f>'Evolutitve SCI'!BI5</f>
        <v>930395.63</v>
      </c>
      <c r="BW38" s="52">
        <f>'Evolutitve SCI'!BJ5</f>
        <v>1259345.98</v>
      </c>
      <c r="BX38" s="52">
        <f>'Evolutitve SCI'!BK5</f>
        <v>1594549.73</v>
      </c>
      <c r="BY38" s="52">
        <f>'Evolutitve SCI'!BL5</f>
        <v>1918860.25</v>
      </c>
      <c r="BZ38" s="52">
        <f>'Evolutitve SCI'!BM5</f>
        <v>2273366.15</v>
      </c>
      <c r="CA38" s="52">
        <f>'Evolutitve SCI'!BN5</f>
        <v>2613963.7200000002</v>
      </c>
      <c r="CB38" s="52">
        <f>'Evolutitve SCI'!BO5</f>
        <v>2958270.07</v>
      </c>
      <c r="CC38" s="52">
        <f>'Evolutitve SCI'!BP5</f>
        <v>3291439.15</v>
      </c>
      <c r="CD38" s="52">
        <f>'Evolutitve SCI'!BQ5</f>
        <v>3623792.95</v>
      </c>
      <c r="CE38" s="52">
        <f>'Evolutitve SCI'!BR5</f>
        <v>3962796.8</v>
      </c>
      <c r="CF38" s="52">
        <f>'Evolutitve SCI'!BS5</f>
        <v>4075317</v>
      </c>
      <c r="CG38" s="52">
        <f>'Evolutitve SCI'!BT5</f>
        <v>345293</v>
      </c>
      <c r="CH38" s="52">
        <f>'Evolutitve SCI'!BU5</f>
        <v>700748</v>
      </c>
      <c r="CI38" s="52">
        <f>'Evolutitve SCI'!BV5</f>
        <v>1055101</v>
      </c>
      <c r="CJ38" s="52">
        <f>'Evolutitve SCI'!BW5</f>
        <v>1455961.42</v>
      </c>
      <c r="CK38" s="52">
        <f>'Evolutitve SCI'!BX5</f>
        <v>1802684.2</v>
      </c>
      <c r="CL38" s="52">
        <f>'Evolutitve SCI'!BY5</f>
        <v>2122977.2000000002</v>
      </c>
      <c r="CM38" s="52">
        <f>'Evolutitve SCI'!BZ5</f>
        <v>2693298.02</v>
      </c>
      <c r="CN38" s="52">
        <f>'Evolutitve SCI'!CA5</f>
        <v>3112863.99</v>
      </c>
      <c r="CO38" s="52">
        <f>'Evolutitve SCI'!CB5</f>
        <v>3173667.15</v>
      </c>
    </row>
    <row r="39" spans="1:93">
      <c r="A39" s="18">
        <v>9.1999999999999993</v>
      </c>
      <c r="B39" s="18" t="s">
        <v>275</v>
      </c>
      <c r="C39" s="52" t="e">
        <f>'Evolutitve SCI'!#REF!</f>
        <v>#REF!</v>
      </c>
      <c r="D39" s="52" t="e">
        <f>'Evolutitve SCI'!#REF!</f>
        <v>#REF!</v>
      </c>
      <c r="E39" s="52" t="e">
        <f>'Evolutitve SCI'!#REF!</f>
        <v>#REF!</v>
      </c>
      <c r="F39" s="52" t="e">
        <f>'Evolutitve SCI'!#REF!</f>
        <v>#REF!</v>
      </c>
      <c r="G39" s="52" t="e">
        <f>'Evolutitve SCI'!#REF!</f>
        <v>#REF!</v>
      </c>
      <c r="H39" s="52" t="e">
        <f>'Evolutitve SCI'!#REF!</f>
        <v>#REF!</v>
      </c>
      <c r="I39" s="52" t="e">
        <f>'Evolutitve SCI'!#REF!</f>
        <v>#REF!</v>
      </c>
      <c r="J39" s="52" t="e">
        <f>'Evolutitve SCI'!#REF!</f>
        <v>#REF!</v>
      </c>
      <c r="K39" s="52" t="e">
        <f>'Evolutitve SCI'!#REF!</f>
        <v>#REF!</v>
      </c>
      <c r="L39" s="52" t="e">
        <f>'Evolutitve SCI'!#REF!</f>
        <v>#REF!</v>
      </c>
      <c r="M39" s="52" t="e">
        <f>'Evolutitve SCI'!#REF!</f>
        <v>#REF!</v>
      </c>
      <c r="N39" s="52" t="e">
        <f>'Evolutitve SCI'!#REF!</f>
        <v>#REF!</v>
      </c>
      <c r="O39" s="52" t="e">
        <f>'Evolutitve SCI'!#REF!</f>
        <v>#REF!</v>
      </c>
      <c r="P39" s="52" t="e">
        <f>'Evolutitve SCI'!#REF!</f>
        <v>#REF!</v>
      </c>
      <c r="Q39" s="52" t="e">
        <f>'Evolutitve SCI'!#REF!</f>
        <v>#REF!</v>
      </c>
      <c r="R39" s="52" t="e">
        <f>'Evolutitve SCI'!#REF!</f>
        <v>#REF!</v>
      </c>
      <c r="S39" s="52" t="e">
        <f>'Evolutitve SCI'!#REF!</f>
        <v>#REF!</v>
      </c>
      <c r="T39" s="52" t="e">
        <f>'Evolutitve SCI'!#REF!</f>
        <v>#REF!</v>
      </c>
      <c r="U39" s="52" t="e">
        <f>'Evolutitve SCI'!#REF!</f>
        <v>#REF!</v>
      </c>
      <c r="V39" s="52" t="e">
        <f>'Evolutitve SCI'!#REF!</f>
        <v>#REF!</v>
      </c>
      <c r="W39" s="52" t="e">
        <f>'Evolutitve SCI'!#REF!</f>
        <v>#REF!</v>
      </c>
      <c r="X39" s="52" t="e">
        <f>'Evolutitve SCI'!#REF!</f>
        <v>#REF!</v>
      </c>
      <c r="Y39" s="52" t="e">
        <f>'Evolutitve SCI'!#REF!</f>
        <v>#REF!</v>
      </c>
      <c r="Z39" s="52" t="e">
        <f>'Evolutitve SCI'!#REF!</f>
        <v>#REF!</v>
      </c>
      <c r="AA39" s="52" t="e">
        <f>'Evolutitve SCI'!#REF!</f>
        <v>#REF!</v>
      </c>
      <c r="AB39" s="52" t="e">
        <f>'Evolutitve SCI'!#REF!</f>
        <v>#REF!</v>
      </c>
      <c r="AC39" s="52" t="e">
        <f>'Evolutitve SCI'!#REF!</f>
        <v>#REF!</v>
      </c>
      <c r="AD39" s="52" t="e">
        <f>'Evolutitve SCI'!#REF!</f>
        <v>#REF!</v>
      </c>
      <c r="AE39" s="52" t="e">
        <f>'Evolutitve SCI'!#REF!</f>
        <v>#REF!</v>
      </c>
      <c r="AF39" s="52" t="e">
        <f>'Evolutitve SCI'!#REF!</f>
        <v>#REF!</v>
      </c>
      <c r="AG39" s="52" t="e">
        <f>'Evolutitve SCI'!#REF!</f>
        <v>#REF!</v>
      </c>
      <c r="AH39" s="52" t="e">
        <f>'Evolutitve SCI'!#REF!</f>
        <v>#REF!</v>
      </c>
      <c r="AI39" s="52" t="e">
        <f>'Evolutitve SCI'!#REF!</f>
        <v>#REF!</v>
      </c>
      <c r="AJ39" s="52" t="e">
        <f>'Evolutitve SCI'!#REF!</f>
        <v>#REF!</v>
      </c>
      <c r="AK39" s="52" t="e">
        <f>'Evolutitve SCI'!#REF!</f>
        <v>#REF!</v>
      </c>
      <c r="AL39" s="52" t="e">
        <f>'Evolutitve SCI'!#REF!</f>
        <v>#REF!</v>
      </c>
      <c r="AM39" s="52" t="e">
        <f>'Evolutitve SCI'!#REF!</f>
        <v>#REF!</v>
      </c>
      <c r="AN39" s="52" t="e">
        <f>'Evolutitve SCI'!#REF!</f>
        <v>#REF!</v>
      </c>
      <c r="AO39" s="52" t="e">
        <f>'Evolutitve SCI'!#REF!</f>
        <v>#REF!</v>
      </c>
      <c r="AP39" s="52" t="e">
        <f>'Evolutitve SCI'!#REF!</f>
        <v>#REF!</v>
      </c>
      <c r="AQ39" s="52" t="e">
        <f>'Evolutitve SCI'!#REF!</f>
        <v>#REF!</v>
      </c>
      <c r="AR39" s="52" t="e">
        <f>'Evolutitve SCI'!#REF!</f>
        <v>#REF!</v>
      </c>
      <c r="AS39" s="52">
        <f>'Evolutitve SCI'!AG7</f>
        <v>5990737</v>
      </c>
      <c r="AT39" s="52">
        <f>'Evolutitve SCI'!AH7</f>
        <v>304919</v>
      </c>
      <c r="AU39" s="52">
        <f>'Evolutitve SCI'!AI7</f>
        <v>612949</v>
      </c>
      <c r="AV39" s="52">
        <f>'Evolutitve SCI'!AJ7</f>
        <v>1067920</v>
      </c>
      <c r="AW39" s="52">
        <f>'Evolutitve SCI'!AK7</f>
        <v>1225107</v>
      </c>
      <c r="AX39" s="52">
        <f>'Evolutitve SCI'!AL7</f>
        <v>1529858.5</v>
      </c>
      <c r="AY39" s="52">
        <f>'Evolutitve SCI'!AM7</f>
        <v>1847133.4</v>
      </c>
      <c r="AZ39" s="52" t="e">
        <f>'Evolutitve SCI'!#REF!</f>
        <v>#REF!</v>
      </c>
      <c r="BA39" s="52">
        <f>'Evolutitve SCI'!AN7</f>
        <v>2525939.5499999998</v>
      </c>
      <c r="BB39" s="52">
        <f>'Evolutitve SCI'!AO7</f>
        <v>2899388.55</v>
      </c>
      <c r="BC39" s="52">
        <f>'Evolutitve SCI'!AP7</f>
        <v>3273054.55</v>
      </c>
      <c r="BD39" s="52">
        <f>'Evolutitve SCI'!AQ7</f>
        <v>3599074.55</v>
      </c>
      <c r="BE39" s="52">
        <f>'Evolutitve SCI'!AR7</f>
        <v>4084007.55</v>
      </c>
      <c r="BF39" s="52">
        <f>'Evolutitve SCI'!AS7</f>
        <v>5632973</v>
      </c>
      <c r="BG39" s="52">
        <f>'Evolutitve SCI'!AT7</f>
        <v>198561</v>
      </c>
      <c r="BH39" s="52">
        <f>'Evolutitve SCI'!AU7</f>
        <v>564511</v>
      </c>
      <c r="BI39" s="52">
        <f>'Evolutitve SCI'!AV7</f>
        <v>920223</v>
      </c>
      <c r="BJ39" s="52">
        <f>'Evolutitve SCI'!AW7</f>
        <v>1263025.5</v>
      </c>
      <c r="BK39" s="52">
        <f>'Evolutitve SCI'!AX7</f>
        <v>1618804.2</v>
      </c>
      <c r="BL39" s="52">
        <f>'Evolutitve SCI'!AY7</f>
        <v>2026207.02</v>
      </c>
      <c r="BM39" s="52">
        <f>'Evolutitve SCI'!AZ7</f>
        <v>2484599.52</v>
      </c>
      <c r="BN39" s="52">
        <f>'Evolutitve SCI'!BA7</f>
        <v>2856977.02</v>
      </c>
      <c r="BO39" s="52">
        <f>'Evolutitve SCI'!BB7</f>
        <v>3248939.52</v>
      </c>
      <c r="BP39" s="52">
        <f>'Evolutitve SCI'!BC7</f>
        <v>3672612.8200000003</v>
      </c>
      <c r="BQ39" s="52">
        <f>'Evolutitve SCI'!BD7</f>
        <v>3998285.3200000003</v>
      </c>
      <c r="BR39" s="52">
        <f>'Evolutitve SCI'!BE7</f>
        <v>4342941.32</v>
      </c>
      <c r="BS39" s="52">
        <f>'Evolutitve SCI'!BF7</f>
        <v>6283120</v>
      </c>
      <c r="BT39" s="52">
        <f>'Evolutitve SCI'!BG7</f>
        <v>340072.5</v>
      </c>
      <c r="BU39" s="52">
        <f>'Evolutitve SCI'!BH7</f>
        <v>676857.5</v>
      </c>
      <c r="BV39" s="52">
        <f>'Evolutitve SCI'!BI7</f>
        <v>1065621</v>
      </c>
      <c r="BW39" s="52">
        <f>'Evolutitve SCI'!BJ7</f>
        <v>1512099</v>
      </c>
      <c r="BX39" s="52">
        <f>'Evolutitve SCI'!BK7</f>
        <v>1871902</v>
      </c>
      <c r="BY39" s="52">
        <f>'Evolutitve SCI'!BL7</f>
        <v>2240017</v>
      </c>
      <c r="BZ39" s="52">
        <f>'Evolutitve SCI'!BM7</f>
        <v>2637442</v>
      </c>
      <c r="CA39" s="52">
        <f>'Evolutitve SCI'!BN7</f>
        <v>3009145</v>
      </c>
      <c r="CB39" s="52">
        <f>'Evolutitve SCI'!BO7</f>
        <v>3488519</v>
      </c>
      <c r="CC39" s="52">
        <f>'Evolutitve SCI'!BP7</f>
        <v>3740991</v>
      </c>
      <c r="CD39" s="52">
        <f>'Evolutitve SCI'!BQ7</f>
        <v>4216621</v>
      </c>
      <c r="CE39" s="52">
        <f>'Evolutitve SCI'!BR7</f>
        <v>4657906</v>
      </c>
      <c r="CF39" s="52">
        <f>'Evolutitve SCI'!BS7</f>
        <v>2388085</v>
      </c>
      <c r="CG39" s="52">
        <f>'Evolutitve SCI'!BT7</f>
        <v>364554</v>
      </c>
      <c r="CH39" s="52">
        <f>'Evolutitve SCI'!BU7</f>
        <v>645369</v>
      </c>
      <c r="CI39" s="52">
        <f>'Evolutitve SCI'!BV7</f>
        <v>1222890</v>
      </c>
      <c r="CJ39" s="52">
        <f>'Evolutitve SCI'!BW7</f>
        <v>1463785</v>
      </c>
      <c r="CK39" s="52">
        <f>'Evolutitve SCI'!BX7</f>
        <v>2001216</v>
      </c>
      <c r="CL39" s="52">
        <f>'Evolutitve SCI'!BY7</f>
        <v>2337335</v>
      </c>
      <c r="CM39" s="52">
        <f>'Evolutitve SCI'!BZ7</f>
        <v>831423.25</v>
      </c>
      <c r="CN39" s="52">
        <f>'Evolutitve SCI'!CA7</f>
        <v>911113.25</v>
      </c>
      <c r="CO39" s="52">
        <f>'Evolutitve SCI'!CB7</f>
        <v>959163.25</v>
      </c>
    </row>
    <row r="40" spans="1:93">
      <c r="A40" s="18">
        <v>9.3000000000000007</v>
      </c>
      <c r="B40" s="18" t="s">
        <v>276</v>
      </c>
      <c r="C40" s="52" t="e">
        <f>'Evolutitve SCI'!#REF!</f>
        <v>#REF!</v>
      </c>
      <c r="D40" s="52" t="e">
        <f>'Evolutitve SCI'!#REF!</f>
        <v>#REF!</v>
      </c>
      <c r="E40" s="52" t="e">
        <f>'Evolutitve SCI'!#REF!</f>
        <v>#REF!</v>
      </c>
      <c r="F40" s="52" t="e">
        <f>'Evolutitve SCI'!#REF!</f>
        <v>#REF!</v>
      </c>
      <c r="G40" s="52" t="e">
        <f>'Evolutitve SCI'!#REF!</f>
        <v>#REF!</v>
      </c>
      <c r="H40" s="52" t="e">
        <f>'Evolutitve SCI'!#REF!</f>
        <v>#REF!</v>
      </c>
      <c r="I40" s="52" t="e">
        <f>'Evolutitve SCI'!#REF!</f>
        <v>#REF!</v>
      </c>
      <c r="J40" s="52" t="e">
        <f>'Evolutitve SCI'!#REF!</f>
        <v>#REF!</v>
      </c>
      <c r="K40" s="52" t="e">
        <f>'Evolutitve SCI'!#REF!</f>
        <v>#REF!</v>
      </c>
      <c r="L40" s="52" t="e">
        <f>'Evolutitve SCI'!#REF!</f>
        <v>#REF!</v>
      </c>
      <c r="M40" s="52" t="e">
        <f>'Evolutitve SCI'!#REF!</f>
        <v>#REF!</v>
      </c>
      <c r="N40" s="52" t="e">
        <f>'Evolutitve SCI'!#REF!</f>
        <v>#REF!</v>
      </c>
      <c r="O40" s="52" t="e">
        <f>'Evolutitve SCI'!#REF!</f>
        <v>#REF!</v>
      </c>
      <c r="P40" s="52" t="e">
        <f>'Evolutitve SCI'!#REF!</f>
        <v>#REF!</v>
      </c>
      <c r="Q40" s="52" t="e">
        <f>'Evolutitve SCI'!#REF!</f>
        <v>#REF!</v>
      </c>
      <c r="R40" s="52" t="e">
        <f>'Evolutitve SCI'!#REF!</f>
        <v>#REF!</v>
      </c>
      <c r="S40" s="52" t="e">
        <f>'Evolutitve SCI'!#REF!</f>
        <v>#REF!</v>
      </c>
      <c r="T40" s="52" t="e">
        <f>'Evolutitve SCI'!#REF!</f>
        <v>#REF!</v>
      </c>
      <c r="U40" s="52" t="e">
        <f>'Evolutitve SCI'!#REF!</f>
        <v>#REF!</v>
      </c>
      <c r="V40" s="52" t="e">
        <f>'Evolutitve SCI'!#REF!</f>
        <v>#REF!</v>
      </c>
      <c r="W40" s="52" t="e">
        <f>'Evolutitve SCI'!#REF!</f>
        <v>#REF!</v>
      </c>
      <c r="X40" s="52" t="e">
        <f>'Evolutitve SCI'!#REF!</f>
        <v>#REF!</v>
      </c>
      <c r="Y40" s="52" t="e">
        <f>'Evolutitve SCI'!#REF!</f>
        <v>#REF!</v>
      </c>
      <c r="Z40" s="52" t="e">
        <f>'Evolutitve SCI'!#REF!</f>
        <v>#REF!</v>
      </c>
      <c r="AA40" s="52" t="e">
        <f>'Evolutitve SCI'!#REF!</f>
        <v>#REF!</v>
      </c>
      <c r="AB40" s="52" t="e">
        <f>'Evolutitve SCI'!#REF!</f>
        <v>#REF!</v>
      </c>
      <c r="AC40" s="52" t="e">
        <f>'Evolutitve SCI'!#REF!</f>
        <v>#REF!</v>
      </c>
      <c r="AD40" s="52" t="e">
        <f>'Evolutitve SCI'!#REF!</f>
        <v>#REF!</v>
      </c>
      <c r="AE40" s="52" t="e">
        <f>'Evolutitve SCI'!#REF!</f>
        <v>#REF!</v>
      </c>
      <c r="AF40" s="52" t="e">
        <f>'Evolutitve SCI'!#REF!</f>
        <v>#REF!</v>
      </c>
      <c r="AG40" s="52" t="e">
        <f>'Evolutitve SCI'!#REF!</f>
        <v>#REF!</v>
      </c>
      <c r="AH40" s="52" t="e">
        <f>'Evolutitve SCI'!#REF!</f>
        <v>#REF!</v>
      </c>
      <c r="AI40" s="52" t="e">
        <f>'Evolutitve SCI'!#REF!</f>
        <v>#REF!</v>
      </c>
      <c r="AJ40" s="52" t="e">
        <f>'Evolutitve SCI'!#REF!</f>
        <v>#REF!</v>
      </c>
      <c r="AK40" s="52" t="e">
        <f>'Evolutitve SCI'!#REF!</f>
        <v>#REF!</v>
      </c>
      <c r="AL40" s="52" t="e">
        <f>'Evolutitve SCI'!#REF!</f>
        <v>#REF!</v>
      </c>
      <c r="AM40" s="52" t="e">
        <f>'Evolutitve SCI'!#REF!</f>
        <v>#REF!</v>
      </c>
      <c r="AN40" s="52" t="e">
        <f>'Evolutitve SCI'!#REF!</f>
        <v>#REF!</v>
      </c>
      <c r="AO40" s="52" t="e">
        <f>'Evolutitve SCI'!#REF!</f>
        <v>#REF!</v>
      </c>
      <c r="AP40" s="52" t="e">
        <f>'Evolutitve SCI'!#REF!</f>
        <v>#REF!</v>
      </c>
      <c r="AQ40" s="52" t="e">
        <f>'Evolutitve SCI'!#REF!</f>
        <v>#REF!</v>
      </c>
      <c r="AR40" s="52" t="e">
        <f>'Evolutitve SCI'!#REF!</f>
        <v>#REF!</v>
      </c>
      <c r="AS40" s="52">
        <f>'Evolutitve SCI'!AG6</f>
        <v>0</v>
      </c>
      <c r="AT40" s="52">
        <f>'Evolutitve SCI'!AH6</f>
        <v>0</v>
      </c>
      <c r="AU40" s="52">
        <f>'Evolutitve SCI'!AI6</f>
        <v>0</v>
      </c>
      <c r="AV40" s="52">
        <f>'Evolutitve SCI'!AJ6</f>
        <v>0</v>
      </c>
      <c r="AW40" s="52">
        <f>'Evolutitve SCI'!AK6</f>
        <v>0</v>
      </c>
      <c r="AX40" s="52">
        <f>'Evolutitve SCI'!AL6</f>
        <v>0</v>
      </c>
      <c r="AY40" s="52">
        <f>'Evolutitve SCI'!AM6</f>
        <v>0</v>
      </c>
      <c r="AZ40" s="52" t="e">
        <f>'Evolutitve SCI'!#REF!</f>
        <v>#REF!</v>
      </c>
      <c r="BA40" s="52">
        <f>'Evolutitve SCI'!AN6</f>
        <v>0</v>
      </c>
      <c r="BB40" s="52">
        <f>'Evolutitve SCI'!AO6</f>
        <v>0</v>
      </c>
      <c r="BC40" s="52">
        <f>'Evolutitve SCI'!AP6</f>
        <v>0</v>
      </c>
      <c r="BD40" s="52">
        <f>'Evolutitve SCI'!AQ6</f>
        <v>0</v>
      </c>
      <c r="BE40" s="52">
        <f>'Evolutitve SCI'!AR6</f>
        <v>0</v>
      </c>
      <c r="BF40" s="52">
        <f>'Evolutitve SCI'!AS6</f>
        <v>0</v>
      </c>
      <c r="BG40" s="52">
        <f>'Evolutitve SCI'!AT6</f>
        <v>0</v>
      </c>
      <c r="BH40" s="52">
        <f>'Evolutitve SCI'!AU6</f>
        <v>0</v>
      </c>
      <c r="BI40" s="52">
        <f>'Evolutitve SCI'!AV6</f>
        <v>0</v>
      </c>
      <c r="BJ40" s="52">
        <f>'Evolutitve SCI'!AW6</f>
        <v>0</v>
      </c>
      <c r="BK40" s="52">
        <f>'Evolutitve SCI'!AX6</f>
        <v>0</v>
      </c>
      <c r="BL40" s="52">
        <f>'Evolutitve SCI'!AY6</f>
        <v>0</v>
      </c>
      <c r="BM40" s="52">
        <f>'Evolutitve SCI'!AZ6</f>
        <v>0</v>
      </c>
      <c r="BN40" s="52">
        <f>'Evolutitve SCI'!BA6</f>
        <v>0</v>
      </c>
      <c r="BO40" s="52">
        <f>'Evolutitve SCI'!BB6</f>
        <v>0</v>
      </c>
      <c r="BP40" s="52">
        <f>'Evolutitve SCI'!BC6</f>
        <v>0</v>
      </c>
      <c r="BQ40" s="52">
        <f>'Evolutitve SCI'!BD6</f>
        <v>0</v>
      </c>
      <c r="BR40" s="52">
        <f>'Evolutitve SCI'!BE6</f>
        <v>0</v>
      </c>
      <c r="BS40" s="52">
        <f>'Evolutitve SCI'!BF6</f>
        <v>0</v>
      </c>
      <c r="BT40" s="52">
        <f>'Evolutitve SCI'!BG6</f>
        <v>0</v>
      </c>
      <c r="BU40" s="52">
        <f>'Evolutitve SCI'!BH6</f>
        <v>0</v>
      </c>
      <c r="BV40" s="52">
        <f>'Evolutitve SCI'!BI6</f>
        <v>0</v>
      </c>
      <c r="BW40" s="52">
        <f>'Evolutitve SCI'!BJ6</f>
        <v>0</v>
      </c>
      <c r="BX40" s="52">
        <f>'Evolutitve SCI'!BK6</f>
        <v>0</v>
      </c>
      <c r="BY40" s="52">
        <f>'Evolutitve SCI'!BL6</f>
        <v>0</v>
      </c>
      <c r="BZ40" s="52">
        <f>'Evolutitve SCI'!BM6</f>
        <v>0</v>
      </c>
      <c r="CA40" s="52">
        <f>'Evolutitve SCI'!BN6</f>
        <v>0</v>
      </c>
      <c r="CB40" s="52">
        <f>'Evolutitve SCI'!BO6</f>
        <v>0</v>
      </c>
      <c r="CC40" s="52">
        <f>'Evolutitve SCI'!BP6</f>
        <v>0</v>
      </c>
      <c r="CD40" s="52">
        <f>'Evolutitve SCI'!BQ6</f>
        <v>0</v>
      </c>
      <c r="CE40" s="52">
        <f>'Evolutitve SCI'!BR6</f>
        <v>0</v>
      </c>
      <c r="CF40" s="52">
        <f>'Evolutitve SCI'!BS6</f>
        <v>4004977</v>
      </c>
      <c r="CG40" s="52">
        <f>'Evolutitve SCI'!BT6</f>
        <v>0</v>
      </c>
      <c r="CH40" s="52">
        <f>'Evolutitve SCI'!BU6</f>
        <v>0</v>
      </c>
      <c r="CI40" s="52">
        <f>'Evolutitve SCI'!BV6</f>
        <v>0</v>
      </c>
      <c r="CJ40" s="52">
        <f>'Evolutitve SCI'!BW6</f>
        <v>0</v>
      </c>
      <c r="CK40" s="52">
        <f>'Evolutitve SCI'!BX6</f>
        <v>0</v>
      </c>
      <c r="CL40" s="52">
        <f>'Evolutitve SCI'!BY6</f>
        <v>0</v>
      </c>
      <c r="CM40" s="52">
        <f>'Evolutitve SCI'!BZ6</f>
        <v>3189815</v>
      </c>
      <c r="CN40" s="52">
        <f>'Evolutitve SCI'!CA6</f>
        <v>3527469</v>
      </c>
      <c r="CO40" s="52">
        <f>'Evolutitve SCI'!CB6</f>
        <v>4033241</v>
      </c>
    </row>
    <row r="41" spans="1:93">
      <c r="A41" s="18">
        <v>9.4</v>
      </c>
      <c r="B41" s="18" t="s">
        <v>277</v>
      </c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34" t="e">
        <f t="shared" ref="S41:BA41" si="79">S38/S31</f>
        <v>#REF!</v>
      </c>
      <c r="T41" s="34" t="e">
        <f t="shared" si="79"/>
        <v>#REF!</v>
      </c>
      <c r="U41" s="34" t="e">
        <f t="shared" si="79"/>
        <v>#REF!</v>
      </c>
      <c r="V41" s="34" t="e">
        <f t="shared" si="79"/>
        <v>#REF!</v>
      </c>
      <c r="W41" s="34" t="e">
        <f t="shared" si="79"/>
        <v>#REF!</v>
      </c>
      <c r="X41" s="34" t="e">
        <f t="shared" si="79"/>
        <v>#REF!</v>
      </c>
      <c r="Y41" s="34" t="e">
        <f t="shared" si="79"/>
        <v>#REF!</v>
      </c>
      <c r="Z41" s="34" t="e">
        <f t="shared" si="79"/>
        <v>#REF!</v>
      </c>
      <c r="AA41" s="34" t="e">
        <f t="shared" si="79"/>
        <v>#REF!</v>
      </c>
      <c r="AB41" s="34" t="e">
        <f t="shared" si="79"/>
        <v>#REF!</v>
      </c>
      <c r="AC41" s="34" t="e">
        <f t="shared" si="79"/>
        <v>#REF!</v>
      </c>
      <c r="AD41" s="34" t="e">
        <f t="shared" si="79"/>
        <v>#REF!</v>
      </c>
      <c r="AE41" s="34" t="e">
        <f t="shared" si="79"/>
        <v>#REF!</v>
      </c>
      <c r="AF41" s="34" t="e">
        <f t="shared" si="79"/>
        <v>#REF!</v>
      </c>
      <c r="AG41" s="34" t="e">
        <f t="shared" si="79"/>
        <v>#REF!</v>
      </c>
      <c r="AH41" s="34" t="e">
        <f t="shared" si="79"/>
        <v>#REF!</v>
      </c>
      <c r="AI41" s="34" t="e">
        <f t="shared" si="79"/>
        <v>#REF!</v>
      </c>
      <c r="AJ41" s="34" t="e">
        <f t="shared" si="79"/>
        <v>#REF!</v>
      </c>
      <c r="AK41" s="34" t="e">
        <f t="shared" si="79"/>
        <v>#REF!</v>
      </c>
      <c r="AL41" s="34" t="e">
        <f t="shared" si="79"/>
        <v>#REF!</v>
      </c>
      <c r="AM41" s="34" t="e">
        <f t="shared" si="79"/>
        <v>#REF!</v>
      </c>
      <c r="AN41" s="34" t="e">
        <f t="shared" si="79"/>
        <v>#REF!</v>
      </c>
      <c r="AO41" s="34" t="e">
        <f t="shared" si="79"/>
        <v>#REF!</v>
      </c>
      <c r="AP41" s="34" t="e">
        <f t="shared" si="79"/>
        <v>#REF!</v>
      </c>
      <c r="AQ41" s="34" t="e">
        <f t="shared" si="79"/>
        <v>#REF!</v>
      </c>
      <c r="AR41" s="34" t="e">
        <f t="shared" si="79"/>
        <v>#REF!</v>
      </c>
      <c r="AS41" s="34">
        <f t="shared" si="79"/>
        <v>0.10719588421328735</v>
      </c>
      <c r="AT41" s="34">
        <f t="shared" si="79"/>
        <v>8.9889956121323462E-3</v>
      </c>
      <c r="AU41" s="34">
        <f t="shared" si="79"/>
        <v>1.8232332825528861E-2</v>
      </c>
      <c r="AV41" s="34">
        <f t="shared" si="79"/>
        <v>2.5850583275864421E-2</v>
      </c>
      <c r="AW41" s="34">
        <f t="shared" si="79"/>
        <v>3.722858677755897E-2</v>
      </c>
      <c r="AX41" s="34">
        <f t="shared" si="79"/>
        <v>4.6239458456670456E-2</v>
      </c>
      <c r="AY41" s="34">
        <f t="shared" si="79"/>
        <v>5.5623624615802565E-2</v>
      </c>
      <c r="AZ41" s="34" t="e">
        <f t="shared" si="79"/>
        <v>#REF!</v>
      </c>
      <c r="BA41" s="34">
        <f t="shared" si="79"/>
        <v>7.3574727304274792E-2</v>
      </c>
      <c r="BB41" s="34">
        <f t="shared" ref="BB41:BG41" si="80">BB38/BB31</f>
        <v>7.9583718989486518E-2</v>
      </c>
      <c r="BC41" s="34">
        <f t="shared" si="80"/>
        <v>8.7672379731878705E-2</v>
      </c>
      <c r="BD41" s="34">
        <f t="shared" si="80"/>
        <v>9.762573443462165E-2</v>
      </c>
      <c r="BE41" s="34">
        <f t="shared" si="80"/>
        <v>0.10095394886257542</v>
      </c>
      <c r="BF41" s="34">
        <f t="shared" si="80"/>
        <v>0.10095390711824906</v>
      </c>
      <c r="BG41" s="34">
        <f t="shared" si="80"/>
        <v>4.5722352245478867E-4</v>
      </c>
      <c r="BH41" s="34">
        <f t="shared" ref="BH41:BN41" si="81">BH38/BH31</f>
        <v>8.2201343297324501E-3</v>
      </c>
      <c r="BI41" s="34">
        <f t="shared" si="81"/>
        <v>2.6237006095176884E-2</v>
      </c>
      <c r="BJ41" s="34">
        <f t="shared" si="81"/>
        <v>3.5800737097624144E-2</v>
      </c>
      <c r="BK41" s="34">
        <f t="shared" si="81"/>
        <v>4.4876155145481912E-2</v>
      </c>
      <c r="BL41" s="34">
        <f t="shared" si="81"/>
        <v>4.115891225076599E-2</v>
      </c>
      <c r="BM41" s="34">
        <f t="shared" si="81"/>
        <v>5.8576130064795166E-2</v>
      </c>
      <c r="BN41" s="34">
        <f t="shared" si="81"/>
        <v>7.0526282375619115E-2</v>
      </c>
      <c r="BO41" s="34">
        <f>BO38/BO31</f>
        <v>6.4963548004941293E-2</v>
      </c>
      <c r="BP41" s="34">
        <f t="shared" ref="BP41:BS41" si="82">BP38/BP31</f>
        <v>9.0589124042207467E-2</v>
      </c>
      <c r="BQ41" s="34">
        <f t="shared" si="82"/>
        <v>0.10163117250745388</v>
      </c>
      <c r="BR41" s="34">
        <f t="shared" si="82"/>
        <v>0.11578033000337716</v>
      </c>
      <c r="BS41" s="34">
        <f t="shared" si="82"/>
        <v>0.11716122122252962</v>
      </c>
      <c r="BT41" s="34">
        <f t="shared" ref="BT41:CE41" si="83">BT38/BT31</f>
        <v>9.5470248604410547E-3</v>
      </c>
      <c r="BU41" s="34">
        <f t="shared" si="83"/>
        <v>1.8950399136815878E-2</v>
      </c>
      <c r="BV41" s="34">
        <f t="shared" si="83"/>
        <v>2.8748543499680482E-2</v>
      </c>
      <c r="BW41" s="34">
        <f t="shared" si="83"/>
        <v>3.6543944821251173E-2</v>
      </c>
      <c r="BX41" s="34">
        <f t="shared" si="83"/>
        <v>4.6587607371086498E-2</v>
      </c>
      <c r="BY41" s="34">
        <f t="shared" si="83"/>
        <v>5.5779282831552722E-2</v>
      </c>
      <c r="BZ41" s="34">
        <f t="shared" si="83"/>
        <v>6.6659956784006213E-2</v>
      </c>
      <c r="CA41" s="34">
        <f t="shared" si="83"/>
        <v>7.7781158061707587E-2</v>
      </c>
      <c r="CB41" s="34">
        <f t="shared" si="83"/>
        <v>8.5825400503969418E-2</v>
      </c>
      <c r="CC41" s="34">
        <f t="shared" si="83"/>
        <v>9.701415264791205E-2</v>
      </c>
      <c r="CD41" s="34">
        <f t="shared" si="83"/>
        <v>0.10293026658478785</v>
      </c>
      <c r="CE41" s="34">
        <f t="shared" si="83"/>
        <v>0.11076368395104735</v>
      </c>
      <c r="CF41" s="34" t="e">
        <f t="shared" ref="CF41" si="84">CF38/CF31</f>
        <v>#DIV/0!</v>
      </c>
      <c r="CG41" s="34">
        <f t="shared" ref="CG41:CI41" si="85">CG38/CG31</f>
        <v>9.3605221066002126E-3</v>
      </c>
      <c r="CH41" s="34">
        <f t="shared" si="85"/>
        <v>1.899108769871273E-2</v>
      </c>
      <c r="CI41" s="34">
        <f t="shared" si="85"/>
        <v>2.7274984245512515E-2</v>
      </c>
      <c r="CJ41" s="34">
        <f t="shared" ref="CJ41:CL41" si="86">CJ38/CJ31</f>
        <v>4.1357140050102728E-2</v>
      </c>
      <c r="CK41" s="34">
        <f t="shared" si="86"/>
        <v>5.0109250617855712E-2</v>
      </c>
      <c r="CL41" s="34">
        <f t="shared" si="86"/>
        <v>5.8640319591770872E-2</v>
      </c>
      <c r="CM41" s="34">
        <f t="shared" ref="CM41:CN41" si="87">CM38/CM31</f>
        <v>7.1261962454889513E-2</v>
      </c>
      <c r="CN41" s="34">
        <f t="shared" si="87"/>
        <v>8.372015068714897E-2</v>
      </c>
      <c r="CO41" s="34">
        <f t="shared" ref="CO41" si="88">CO38/CO31</f>
        <v>7.4543484254936426E-2</v>
      </c>
    </row>
    <row r="42" spans="1:93">
      <c r="A42" s="18"/>
      <c r="B42" s="18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2"/>
    </row>
    <row r="43" spans="1:93">
      <c r="A43" s="20">
        <v>10</v>
      </c>
      <c r="B43" s="26" t="s">
        <v>278</v>
      </c>
      <c r="C43" s="53" t="e">
        <f>SUM(C44:C47)</f>
        <v>#REF!</v>
      </c>
      <c r="D43" s="53" t="e">
        <f t="shared" ref="D43:K43" si="89">SUM(D44:D47)</f>
        <v>#REF!</v>
      </c>
      <c r="E43" s="53" t="e">
        <f>SUM(E44:E47)</f>
        <v>#REF!</v>
      </c>
      <c r="F43" s="53" t="e">
        <f>SUM(F44:F47)</f>
        <v>#REF!</v>
      </c>
      <c r="G43" s="53" t="e">
        <f t="shared" si="89"/>
        <v>#REF!</v>
      </c>
      <c r="H43" s="53" t="e">
        <f t="shared" si="89"/>
        <v>#REF!</v>
      </c>
      <c r="I43" s="53" t="e">
        <f t="shared" si="89"/>
        <v>#REF!</v>
      </c>
      <c r="J43" s="53" t="e">
        <f t="shared" si="89"/>
        <v>#REF!</v>
      </c>
      <c r="K43" s="53" t="e">
        <f t="shared" si="89"/>
        <v>#REF!</v>
      </c>
      <c r="L43" s="53" t="e">
        <f>SUM(L44:L47)</f>
        <v>#REF!</v>
      </c>
      <c r="M43" s="53" t="e">
        <f t="shared" ref="M43:R43" si="90">SUM(M44:M47)</f>
        <v>#REF!</v>
      </c>
      <c r="N43" s="53" t="e">
        <f t="shared" si="90"/>
        <v>#REF!</v>
      </c>
      <c r="O43" s="53" t="e">
        <f t="shared" si="90"/>
        <v>#REF!</v>
      </c>
      <c r="P43" s="53" t="e">
        <f t="shared" si="90"/>
        <v>#REF!</v>
      </c>
      <c r="Q43" s="53" t="e">
        <f t="shared" si="90"/>
        <v>#REF!</v>
      </c>
      <c r="R43" s="53" t="e">
        <f t="shared" si="90"/>
        <v>#REF!</v>
      </c>
      <c r="S43" s="53" t="e">
        <f t="shared" ref="S43:Y43" si="91">SUM(S44:S47)</f>
        <v>#REF!</v>
      </c>
      <c r="T43" s="53" t="e">
        <f t="shared" si="91"/>
        <v>#REF!</v>
      </c>
      <c r="U43" s="53" t="e">
        <f t="shared" si="91"/>
        <v>#REF!</v>
      </c>
      <c r="V43" s="53" t="e">
        <f t="shared" si="91"/>
        <v>#REF!</v>
      </c>
      <c r="W43" s="53" t="e">
        <f t="shared" si="91"/>
        <v>#REF!</v>
      </c>
      <c r="X43" s="53" t="e">
        <f t="shared" si="91"/>
        <v>#REF!</v>
      </c>
      <c r="Y43" s="53" t="e">
        <f t="shared" si="91"/>
        <v>#REF!</v>
      </c>
      <c r="Z43" s="53" t="e">
        <f t="shared" ref="Z43:AF43" si="92">SUM(Z44:Z47)</f>
        <v>#REF!</v>
      </c>
      <c r="AA43" s="53" t="e">
        <f t="shared" si="92"/>
        <v>#REF!</v>
      </c>
      <c r="AB43" s="53" t="e">
        <f t="shared" si="92"/>
        <v>#REF!</v>
      </c>
      <c r="AC43" s="53" t="e">
        <f t="shared" si="92"/>
        <v>#REF!</v>
      </c>
      <c r="AD43" s="53" t="e">
        <f t="shared" si="92"/>
        <v>#REF!</v>
      </c>
      <c r="AE43" s="53" t="e">
        <f t="shared" si="92"/>
        <v>#REF!</v>
      </c>
      <c r="AF43" s="53" t="e">
        <f t="shared" si="92"/>
        <v>#REF!</v>
      </c>
      <c r="AG43" s="53" t="e">
        <f t="shared" ref="AG43:AY43" si="93">SUM(AG44:AG47)</f>
        <v>#REF!</v>
      </c>
      <c r="AH43" s="53" t="e">
        <f t="shared" si="93"/>
        <v>#REF!</v>
      </c>
      <c r="AI43" s="53" t="e">
        <f t="shared" si="93"/>
        <v>#REF!</v>
      </c>
      <c r="AJ43" s="53" t="e">
        <f t="shared" si="93"/>
        <v>#REF!</v>
      </c>
      <c r="AK43" s="53" t="e">
        <f t="shared" si="93"/>
        <v>#REF!</v>
      </c>
      <c r="AL43" s="53" t="e">
        <f t="shared" si="93"/>
        <v>#REF!</v>
      </c>
      <c r="AM43" s="53" t="e">
        <f t="shared" si="93"/>
        <v>#REF!</v>
      </c>
      <c r="AN43" s="53" t="e">
        <f t="shared" si="93"/>
        <v>#REF!</v>
      </c>
      <c r="AO43" s="53" t="e">
        <f t="shared" si="93"/>
        <v>#REF!</v>
      </c>
      <c r="AP43" s="53" t="e">
        <f t="shared" si="93"/>
        <v>#REF!</v>
      </c>
      <c r="AQ43" s="53" t="e">
        <f t="shared" si="93"/>
        <v>#REF!</v>
      </c>
      <c r="AR43" s="53" t="e">
        <f t="shared" si="93"/>
        <v>#REF!</v>
      </c>
      <c r="AS43" s="53">
        <f t="shared" si="93"/>
        <v>7962963</v>
      </c>
      <c r="AT43" s="53">
        <f t="shared" si="93"/>
        <v>201929</v>
      </c>
      <c r="AU43" s="53">
        <f t="shared" si="93"/>
        <v>501098</v>
      </c>
      <c r="AV43" s="53">
        <f t="shared" si="93"/>
        <v>780147.49</v>
      </c>
      <c r="AW43" s="53">
        <f t="shared" si="93"/>
        <v>1042800.69</v>
      </c>
      <c r="AX43" s="53">
        <f t="shared" si="93"/>
        <v>1233693.25</v>
      </c>
      <c r="AY43" s="53">
        <f t="shared" si="93"/>
        <v>1499942.01</v>
      </c>
      <c r="AZ43" s="53" t="e">
        <f t="shared" ref="AZ43:BF43" si="94">SUM(AZ44:AZ47)</f>
        <v>#REF!</v>
      </c>
      <c r="BA43" s="53">
        <f t="shared" si="94"/>
        <v>1903975.25</v>
      </c>
      <c r="BB43" s="53">
        <f t="shared" si="94"/>
        <v>2167000.9900000002</v>
      </c>
      <c r="BC43" s="53">
        <f t="shared" si="94"/>
        <v>2374935.0100000002</v>
      </c>
      <c r="BD43" s="53">
        <f t="shared" si="94"/>
        <v>2853842.05</v>
      </c>
      <c r="BE43" s="53">
        <f t="shared" si="94"/>
        <v>3575061.0999999996</v>
      </c>
      <c r="BF43" s="53">
        <f t="shared" si="94"/>
        <v>7706000</v>
      </c>
      <c r="BG43" s="53">
        <f t="shared" ref="BG43:BN43" si="95">SUM(BG44:BG47)</f>
        <v>172582</v>
      </c>
      <c r="BH43" s="53">
        <f t="shared" si="95"/>
        <v>638793</v>
      </c>
      <c r="BI43" s="53">
        <f t="shared" si="95"/>
        <v>1088766.57</v>
      </c>
      <c r="BJ43" s="53">
        <f t="shared" si="95"/>
        <v>1397204.4</v>
      </c>
      <c r="BK43" s="53">
        <f t="shared" si="95"/>
        <v>1745589.4</v>
      </c>
      <c r="BL43" s="53">
        <f t="shared" si="95"/>
        <v>1847348.42</v>
      </c>
      <c r="BM43" s="53">
        <f t="shared" si="95"/>
        <v>2277762.42</v>
      </c>
      <c r="BN43" s="53">
        <f t="shared" si="95"/>
        <v>2643284.42</v>
      </c>
      <c r="BO43" s="53">
        <f t="shared" ref="BO43:BS43" si="96">SUM(BO44:BO47)</f>
        <v>2742896.1</v>
      </c>
      <c r="BP43" s="53">
        <f t="shared" si="96"/>
        <v>3223988.1</v>
      </c>
      <c r="BQ43" s="53">
        <f t="shared" si="96"/>
        <v>3770592.1</v>
      </c>
      <c r="BR43" s="53">
        <f t="shared" si="96"/>
        <v>4289141.8499999996</v>
      </c>
      <c r="BS43" s="53">
        <f t="shared" si="96"/>
        <v>7827897</v>
      </c>
      <c r="BT43" s="53">
        <f t="shared" ref="BT43:CE43" si="97">SUM(BT44:BT47)</f>
        <v>324582</v>
      </c>
      <c r="BU43" s="53">
        <f t="shared" si="97"/>
        <v>947293</v>
      </c>
      <c r="BV43" s="53">
        <f t="shared" si="97"/>
        <v>1204678</v>
      </c>
      <c r="BW43" s="53">
        <f t="shared" si="97"/>
        <v>1575437</v>
      </c>
      <c r="BX43" s="53">
        <f t="shared" si="97"/>
        <v>1918604</v>
      </c>
      <c r="BY43" s="53">
        <f t="shared" si="97"/>
        <v>2318655</v>
      </c>
      <c r="BZ43" s="53">
        <f t="shared" si="97"/>
        <v>2583147</v>
      </c>
      <c r="CA43" s="53">
        <f t="shared" si="97"/>
        <v>2826095</v>
      </c>
      <c r="CB43" s="53">
        <f t="shared" si="97"/>
        <v>3196528</v>
      </c>
      <c r="CC43" s="53">
        <f t="shared" si="97"/>
        <v>3723284</v>
      </c>
      <c r="CD43" s="53">
        <f t="shared" si="97"/>
        <v>4047158</v>
      </c>
      <c r="CE43" s="53">
        <f t="shared" si="97"/>
        <v>4850802.55</v>
      </c>
      <c r="CF43" s="53">
        <f t="shared" ref="CF43" si="98">SUM(CF44:CF47)</f>
        <v>8754371</v>
      </c>
      <c r="CG43" s="53">
        <f t="shared" ref="CG43:CI43" si="99">SUM(CG44:CG47)</f>
        <v>275706</v>
      </c>
      <c r="CH43" s="53">
        <f t="shared" si="99"/>
        <v>740865</v>
      </c>
      <c r="CI43" s="53">
        <f t="shared" si="99"/>
        <v>1021518.92</v>
      </c>
      <c r="CJ43" s="53">
        <f t="shared" ref="CJ43:CL43" si="100">SUM(CJ44:CJ47)</f>
        <v>1330238.92</v>
      </c>
      <c r="CK43" s="53">
        <f t="shared" si="100"/>
        <v>1797459.92</v>
      </c>
      <c r="CL43" s="53">
        <f t="shared" si="100"/>
        <v>2061104.92</v>
      </c>
      <c r="CM43" s="53">
        <f t="shared" ref="CM43:CN43" si="101">SUM(CM44:CM47)</f>
        <v>3248502.92</v>
      </c>
      <c r="CN43" s="53">
        <f t="shared" si="101"/>
        <v>3625379.87</v>
      </c>
      <c r="CO43" s="53">
        <f t="shared" ref="CO43" si="102">SUM(CO44:CO47)</f>
        <v>4066319.37</v>
      </c>
    </row>
    <row r="44" spans="1:93">
      <c r="A44" s="18">
        <v>10.1</v>
      </c>
      <c r="B44" s="18" t="s">
        <v>279</v>
      </c>
      <c r="C44" s="52" t="e">
        <f>'Evolutitve SCI'!#REF!+'Evolutitve SCI'!#REF!</f>
        <v>#REF!</v>
      </c>
      <c r="D44" s="52" t="e">
        <f>'Evolutitve SCI'!#REF!+'Evolutitve SCI'!#REF!</f>
        <v>#REF!</v>
      </c>
      <c r="E44" s="52" t="e">
        <f>'Evolutitve SCI'!#REF!+'Evolutitve SCI'!#REF!</f>
        <v>#REF!</v>
      </c>
      <c r="F44" s="52" t="e">
        <f>'Evolutitve SCI'!#REF!+'Evolutitve SCI'!#REF!</f>
        <v>#REF!</v>
      </c>
      <c r="G44" s="52" t="e">
        <f>'Evolutitve SCI'!#REF!+'Evolutitve SCI'!#REF!</f>
        <v>#REF!</v>
      </c>
      <c r="H44" s="52" t="e">
        <f>'Evolutitve SCI'!#REF!+'Evolutitve SCI'!#REF!</f>
        <v>#REF!</v>
      </c>
      <c r="I44" s="52" t="e">
        <f>'Evolutitve SCI'!#REF!+'Evolutitve SCI'!#REF!</f>
        <v>#REF!</v>
      </c>
      <c r="J44" s="52" t="e">
        <f>'Evolutitve SCI'!#REF!+'Evolutitve SCI'!#REF!</f>
        <v>#REF!</v>
      </c>
      <c r="K44" s="52" t="e">
        <f>'Evolutitve SCI'!#REF!+'Evolutitve SCI'!#REF!</f>
        <v>#REF!</v>
      </c>
      <c r="L44" s="52" t="e">
        <f>'Evolutitve SCI'!#REF!+'Evolutitve SCI'!#REF!</f>
        <v>#REF!</v>
      </c>
      <c r="M44" s="52" t="e">
        <f>'Evolutitve SCI'!#REF!+'Evolutitve SCI'!#REF!</f>
        <v>#REF!</v>
      </c>
      <c r="N44" s="52" t="e">
        <f>'Evolutitve SCI'!#REF!+'Evolutitve SCI'!#REF!</f>
        <v>#REF!</v>
      </c>
      <c r="O44" s="52" t="e">
        <f>'Evolutitve SCI'!#REF!+'Evolutitve SCI'!#REF!</f>
        <v>#REF!</v>
      </c>
      <c r="P44" s="52" t="e">
        <f>'Evolutitve SCI'!#REF!+'Evolutitve SCI'!#REF!</f>
        <v>#REF!</v>
      </c>
      <c r="Q44" s="52" t="e">
        <f>'Evolutitve SCI'!#REF!+'Evolutitve SCI'!#REF!</f>
        <v>#REF!</v>
      </c>
      <c r="R44" s="52" t="e">
        <f>'Evolutitve SCI'!#REF!+'Evolutitve SCI'!#REF!</f>
        <v>#REF!</v>
      </c>
      <c r="S44" s="52" t="e">
        <f>'Evolutitve SCI'!#REF!+'Evolutitve SCI'!#REF!</f>
        <v>#REF!</v>
      </c>
      <c r="T44" s="52" t="e">
        <f>'Evolutitve SCI'!#REF!+'Evolutitve SCI'!#REF!</f>
        <v>#REF!</v>
      </c>
      <c r="U44" s="52" t="e">
        <f>'Evolutitve SCI'!#REF!+'Evolutitve SCI'!#REF!</f>
        <v>#REF!</v>
      </c>
      <c r="V44" s="52" t="e">
        <f>'Evolutitve SCI'!#REF!+'Evolutitve SCI'!#REF!</f>
        <v>#REF!</v>
      </c>
      <c r="W44" s="52" t="e">
        <f>'Evolutitve SCI'!#REF!+'Evolutitve SCI'!#REF!</f>
        <v>#REF!</v>
      </c>
      <c r="X44" s="52" t="e">
        <f>'Evolutitve SCI'!#REF!+'Evolutitve SCI'!#REF!</f>
        <v>#REF!</v>
      </c>
      <c r="Y44" s="52" t="e">
        <f>'Evolutitve SCI'!#REF!+'Evolutitve SCI'!#REF!</f>
        <v>#REF!</v>
      </c>
      <c r="Z44" s="52" t="e">
        <f>'Evolutitve SCI'!#REF!+'Evolutitve SCI'!#REF!</f>
        <v>#REF!</v>
      </c>
      <c r="AA44" s="52" t="e">
        <f>'Evolutitve SCI'!#REF!+'Evolutitve SCI'!#REF!</f>
        <v>#REF!</v>
      </c>
      <c r="AB44" s="52" t="e">
        <f>'Evolutitve SCI'!#REF!+'Evolutitve SCI'!#REF!</f>
        <v>#REF!</v>
      </c>
      <c r="AC44" s="52" t="e">
        <f>'Evolutitve SCI'!#REF!+'Evolutitve SCI'!#REF!</f>
        <v>#REF!</v>
      </c>
      <c r="AD44" s="52" t="e">
        <f>'Evolutitve SCI'!#REF!+'Evolutitve SCI'!#REF!</f>
        <v>#REF!</v>
      </c>
      <c r="AE44" s="52" t="e">
        <f>'Evolutitve SCI'!#REF!+'Evolutitve SCI'!#REF!</f>
        <v>#REF!</v>
      </c>
      <c r="AF44" s="52" t="e">
        <f>'Evolutitve SCI'!#REF!+'Evolutitve SCI'!#REF!</f>
        <v>#REF!</v>
      </c>
      <c r="AG44" s="52" t="e">
        <f>'Evolutitve SCI'!#REF!+'Evolutitve SCI'!#REF!</f>
        <v>#REF!</v>
      </c>
      <c r="AH44" s="52" t="e">
        <f>'Evolutitve SCI'!#REF!+'Evolutitve SCI'!#REF!</f>
        <v>#REF!</v>
      </c>
      <c r="AI44" s="52" t="e">
        <f>'Evolutitve SCI'!#REF!+'Evolutitve SCI'!#REF!</f>
        <v>#REF!</v>
      </c>
      <c r="AJ44" s="52" t="e">
        <f>'Evolutitve SCI'!#REF!+'Evolutitve SCI'!#REF!</f>
        <v>#REF!</v>
      </c>
      <c r="AK44" s="52" t="e">
        <f>'Evolutitve SCI'!#REF!+'Evolutitve SCI'!#REF!</f>
        <v>#REF!</v>
      </c>
      <c r="AL44" s="52" t="e">
        <f>'Evolutitve SCI'!#REF!+'Evolutitve SCI'!#REF!</f>
        <v>#REF!</v>
      </c>
      <c r="AM44" s="52" t="e">
        <f>'Evolutitve SCI'!#REF!+'Evolutitve SCI'!#REF!</f>
        <v>#REF!</v>
      </c>
      <c r="AN44" s="52" t="e">
        <f>'Evolutitve SCI'!#REF!+'Evolutitve SCI'!#REF!</f>
        <v>#REF!</v>
      </c>
      <c r="AO44" s="52" t="e">
        <f>'Evolutitve SCI'!#REF!+'Evolutitve SCI'!#REF!</f>
        <v>#REF!</v>
      </c>
      <c r="AP44" s="52" t="e">
        <f>'Evolutitve SCI'!#REF!+'Evolutitve SCI'!#REF!</f>
        <v>#REF!</v>
      </c>
      <c r="AQ44" s="52" t="e">
        <f>'Evolutitve SCI'!#REF!+'Evolutitve SCI'!#REF!</f>
        <v>#REF!</v>
      </c>
      <c r="AR44" s="52" t="e">
        <f>'Evolutitve SCI'!#REF!+'Evolutitve SCI'!#REF!</f>
        <v>#REF!</v>
      </c>
      <c r="AS44" s="52">
        <f>'Evolutitve SCI'!AG13+'Evolutitve SCI'!AG16</f>
        <v>2538578</v>
      </c>
      <c r="AT44" s="52">
        <f>'Evolutitve SCI'!AH13+'Evolutitve SCI'!AH16</f>
        <v>10728</v>
      </c>
      <c r="AU44" s="52">
        <f>'Evolutitve SCI'!AI13+'Evolutitve SCI'!AI16</f>
        <v>19344</v>
      </c>
      <c r="AV44" s="52">
        <f>'Evolutitve SCI'!AJ13+'Evolutitve SCI'!AJ16</f>
        <v>30582</v>
      </c>
      <c r="AW44" s="52">
        <f>'Evolutitve SCI'!AK13+'Evolutitve SCI'!AK16</f>
        <v>65230.81</v>
      </c>
      <c r="AX44" s="52">
        <f>'Evolutitve SCI'!AL13+'Evolutitve SCI'!AL16</f>
        <v>69488.81</v>
      </c>
      <c r="AY44" s="52">
        <f>'Evolutitve SCI'!AM13+'Evolutitve SCI'!AM16</f>
        <v>152482.03</v>
      </c>
      <c r="AZ44" s="52" t="e">
        <f>'Evolutitve SCI'!#REF!+'Evolutitve SCI'!#REF!</f>
        <v>#REF!</v>
      </c>
      <c r="BA44" s="52">
        <f>'Evolutitve SCI'!AN13+'Evolutitve SCI'!AN16</f>
        <v>169086.49</v>
      </c>
      <c r="BB44" s="52">
        <f>'Evolutitve SCI'!AO13+'Evolutitve SCI'!AO16</f>
        <v>232179.45</v>
      </c>
      <c r="BC44" s="52">
        <f>'Evolutitve SCI'!AP13+'Evolutitve SCI'!AP16</f>
        <v>242802.47</v>
      </c>
      <c r="BD44" s="52">
        <f>'Evolutitve SCI'!AQ13+'Evolutitve SCI'!AQ16</f>
        <v>247559.72999999998</v>
      </c>
      <c r="BE44" s="52">
        <f>'Evolutitve SCI'!AR13+'Evolutitve SCI'!AR16</f>
        <v>749420.78</v>
      </c>
      <c r="BF44" s="52">
        <f>'Evolutitve SCI'!AS13+'Evolutitve SCI'!AS16</f>
        <v>3747212</v>
      </c>
      <c r="BG44" s="52">
        <f>'Evolutitve SCI'!AT13+'Evolutitve SCI'!AT16</f>
        <v>12160</v>
      </c>
      <c r="BH44" s="52">
        <f>'Evolutitve SCI'!AU13+'Evolutitve SCI'!AU16</f>
        <v>144447</v>
      </c>
      <c r="BI44" s="52">
        <f>'Evolutitve SCI'!AV13+'Evolutitve SCI'!AV16</f>
        <v>160603.57</v>
      </c>
      <c r="BJ44" s="52">
        <f>'Evolutitve SCI'!AW13+'Evolutitve SCI'!AW16</f>
        <v>193359.4</v>
      </c>
      <c r="BK44" s="52">
        <f>'Evolutitve SCI'!AX13+'Evolutitve SCI'!AX16</f>
        <v>195770.4</v>
      </c>
      <c r="BL44" s="52">
        <f>'Evolutitve SCI'!AY13+'Evolutitve SCI'!AY16</f>
        <v>210495.41999999998</v>
      </c>
      <c r="BM44" s="52">
        <f>'Evolutitve SCI'!AZ13+'Evolutitve SCI'!AZ16</f>
        <v>229572.41999999998</v>
      </c>
      <c r="BN44" s="52">
        <f>'Evolutitve SCI'!BA13+'Evolutitve SCI'!BA16</f>
        <v>237756.41999999998</v>
      </c>
      <c r="BO44" s="52">
        <f>'Evolutitve SCI'!BB13+'Evolutitve SCI'!BB16</f>
        <v>271120.09999999998</v>
      </c>
      <c r="BP44" s="52">
        <f>'Evolutitve SCI'!BC13+'Evolutitve SCI'!BC16</f>
        <v>306444.09999999998</v>
      </c>
      <c r="BQ44" s="52">
        <f>'Evolutitve SCI'!BD13+'Evolutitve SCI'!BD16</f>
        <v>309455.09999999998</v>
      </c>
      <c r="BR44" s="52">
        <f>'Evolutitve SCI'!BE13+'Evolutitve SCI'!BE16</f>
        <v>539828.85</v>
      </c>
      <c r="BS44" s="52">
        <f>'Evolutitve SCI'!BF13+'Evolutitve SCI'!BF16</f>
        <v>3154973</v>
      </c>
      <c r="BT44" s="52">
        <f>'Evolutitve SCI'!BG13+'Evolutitve SCI'!BG16</f>
        <v>10104</v>
      </c>
      <c r="BU44" s="52">
        <f>'Evolutitve SCI'!BH13+'Evolutitve SCI'!BH16</f>
        <v>13271</v>
      </c>
      <c r="BV44" s="52">
        <f>'Evolutitve SCI'!BI13+'Evolutitve SCI'!BI16</f>
        <v>22529</v>
      </c>
      <c r="BW44" s="52">
        <f>'Evolutitve SCI'!BJ13+'Evolutitve SCI'!BJ16</f>
        <v>50833</v>
      </c>
      <c r="BX44" s="52">
        <f>'Evolutitve SCI'!BK13+'Evolutitve SCI'!BK16</f>
        <v>67583</v>
      </c>
      <c r="BY44" s="52">
        <f>'Evolutitve SCI'!BL13+'Evolutitve SCI'!BL16</f>
        <v>71393</v>
      </c>
      <c r="BZ44" s="52">
        <f>'Evolutitve SCI'!BM13+'Evolutitve SCI'!BM16</f>
        <v>87148</v>
      </c>
      <c r="CA44" s="52">
        <f>'Evolutitve SCI'!BN13+'Evolutitve SCI'!BN16</f>
        <v>106996</v>
      </c>
      <c r="CB44" s="52">
        <f>'Evolutitve SCI'!BO13+'Evolutitve SCI'!BO16</f>
        <v>120800</v>
      </c>
      <c r="CC44" s="52">
        <f>'Evolutitve SCI'!BP13+'Evolutitve SCI'!BP16</f>
        <v>403970</v>
      </c>
      <c r="CD44" s="52">
        <f>'Evolutitve SCI'!BQ13+'Evolutitve SCI'!BQ16</f>
        <v>415150</v>
      </c>
      <c r="CE44" s="52">
        <f>'Evolutitve SCI'!BR13+'Evolutitve SCI'!BR16</f>
        <v>648569.75</v>
      </c>
      <c r="CF44" s="52">
        <f>'Evolutitve SCI'!BS13+'Evolutitve SCI'!BS16</f>
        <v>3021312</v>
      </c>
      <c r="CG44" s="52">
        <f>'Evolutitve SCI'!BT13+'Evolutitve SCI'!BT16</f>
        <v>12550</v>
      </c>
      <c r="CH44" s="52">
        <f>'Evolutitve SCI'!BU13+'Evolutitve SCI'!BU16</f>
        <v>22757</v>
      </c>
      <c r="CI44" s="52">
        <f>'Evolutitve SCI'!BV13+'Evolutitve SCI'!BV16</f>
        <v>31052.92</v>
      </c>
      <c r="CJ44" s="52">
        <f>'Evolutitve SCI'!BW13+'Evolutitve SCI'!BW16</f>
        <v>39098.92</v>
      </c>
      <c r="CK44" s="52">
        <f>'Evolutitve SCI'!BX13+'Evolutitve SCI'!BX16</f>
        <v>50528.92</v>
      </c>
      <c r="CL44" s="52">
        <f>'Evolutitve SCI'!BY13+'Evolutitve SCI'!BY16</f>
        <v>179774.91999999998</v>
      </c>
      <c r="CM44" s="52">
        <f>'Evolutitve SCI'!BZ13+'Evolutitve SCI'!BZ16</f>
        <v>2521</v>
      </c>
      <c r="CN44" s="52">
        <f>'Evolutitve SCI'!CA13+'Evolutitve SCI'!CA16</f>
        <v>2521</v>
      </c>
      <c r="CO44" s="52">
        <f>'Evolutitve SCI'!CB13+'Evolutitve SCI'!CB16</f>
        <v>58111</v>
      </c>
    </row>
    <row r="45" spans="1:93">
      <c r="A45" s="18">
        <v>10.199999999999999</v>
      </c>
      <c r="B45" s="18" t="s">
        <v>280</v>
      </c>
      <c r="C45" s="52" t="e">
        <f>'Evolutitve SCI'!#REF!</f>
        <v>#REF!</v>
      </c>
      <c r="D45" s="52" t="e">
        <f>'Evolutitve SCI'!#REF!</f>
        <v>#REF!</v>
      </c>
      <c r="E45" s="52" t="e">
        <f>'Evolutitve SCI'!#REF!</f>
        <v>#REF!</v>
      </c>
      <c r="F45" s="52" t="e">
        <f>'Evolutitve SCI'!#REF!</f>
        <v>#REF!</v>
      </c>
      <c r="G45" s="52" t="e">
        <f>'Evolutitve SCI'!#REF!</f>
        <v>#REF!</v>
      </c>
      <c r="H45" s="52" t="e">
        <f>'Evolutitve SCI'!#REF!</f>
        <v>#REF!</v>
      </c>
      <c r="I45" s="52" t="e">
        <f>'Evolutitve SCI'!#REF!</f>
        <v>#REF!</v>
      </c>
      <c r="J45" s="52" t="e">
        <f>'Evolutitve SCI'!#REF!</f>
        <v>#REF!</v>
      </c>
      <c r="K45" s="52" t="e">
        <f>'Evolutitve SCI'!#REF!</f>
        <v>#REF!</v>
      </c>
      <c r="L45" s="52" t="e">
        <f>'Evolutitve SCI'!#REF!</f>
        <v>#REF!</v>
      </c>
      <c r="M45" s="52" t="e">
        <f>'Evolutitve SCI'!#REF!</f>
        <v>#REF!</v>
      </c>
      <c r="N45" s="52" t="e">
        <f>'Evolutitve SCI'!#REF!</f>
        <v>#REF!</v>
      </c>
      <c r="O45" s="52" t="e">
        <f>'Evolutitve SCI'!#REF!</f>
        <v>#REF!</v>
      </c>
      <c r="P45" s="52" t="e">
        <f>'Evolutitve SCI'!#REF!</f>
        <v>#REF!</v>
      </c>
      <c r="Q45" s="52" t="e">
        <f>'Evolutitve SCI'!#REF!</f>
        <v>#REF!</v>
      </c>
      <c r="R45" s="52" t="e">
        <f>'Evolutitve SCI'!#REF!</f>
        <v>#REF!</v>
      </c>
      <c r="S45" s="52" t="e">
        <f>'Evolutitve SCI'!#REF!</f>
        <v>#REF!</v>
      </c>
      <c r="T45" s="52" t="e">
        <f>'Evolutitve SCI'!#REF!</f>
        <v>#REF!</v>
      </c>
      <c r="U45" s="52" t="e">
        <f>'Evolutitve SCI'!#REF!</f>
        <v>#REF!</v>
      </c>
      <c r="V45" s="52" t="e">
        <f>'Evolutitve SCI'!#REF!</f>
        <v>#REF!</v>
      </c>
      <c r="W45" s="52" t="e">
        <f>'Evolutitve SCI'!#REF!</f>
        <v>#REF!</v>
      </c>
      <c r="X45" s="52" t="e">
        <f>'Evolutitve SCI'!#REF!</f>
        <v>#REF!</v>
      </c>
      <c r="Y45" s="52" t="e">
        <f>'Evolutitve SCI'!#REF!</f>
        <v>#REF!</v>
      </c>
      <c r="Z45" s="52" t="e">
        <f>'Evolutitve SCI'!#REF!</f>
        <v>#REF!</v>
      </c>
      <c r="AA45" s="52" t="e">
        <f>'Evolutitve SCI'!#REF!</f>
        <v>#REF!</v>
      </c>
      <c r="AB45" s="52" t="e">
        <f>'Evolutitve SCI'!#REF!</f>
        <v>#REF!</v>
      </c>
      <c r="AC45" s="52" t="e">
        <f>'Evolutitve SCI'!#REF!</f>
        <v>#REF!</v>
      </c>
      <c r="AD45" s="52" t="e">
        <f>'Evolutitve SCI'!#REF!</f>
        <v>#REF!</v>
      </c>
      <c r="AE45" s="52" t="e">
        <f>'Evolutitve SCI'!#REF!</f>
        <v>#REF!</v>
      </c>
      <c r="AF45" s="52" t="e">
        <f>'Evolutitve SCI'!#REF!</f>
        <v>#REF!</v>
      </c>
      <c r="AG45" s="52" t="e">
        <f>'Evolutitve SCI'!#REF!</f>
        <v>#REF!</v>
      </c>
      <c r="AH45" s="52" t="e">
        <f>'Evolutitve SCI'!#REF!</f>
        <v>#REF!</v>
      </c>
      <c r="AI45" s="52" t="e">
        <f>'Evolutitve SCI'!#REF!</f>
        <v>#REF!</v>
      </c>
      <c r="AJ45" s="52" t="e">
        <f>'Evolutitve SCI'!#REF!</f>
        <v>#REF!</v>
      </c>
      <c r="AK45" s="52" t="e">
        <f>'Evolutitve SCI'!#REF!</f>
        <v>#REF!</v>
      </c>
      <c r="AL45" s="52" t="e">
        <f>'Evolutitve SCI'!#REF!</f>
        <v>#REF!</v>
      </c>
      <c r="AM45" s="52" t="e">
        <f>'Evolutitve SCI'!#REF!</f>
        <v>#REF!</v>
      </c>
      <c r="AN45" s="52" t="e">
        <f>'Evolutitve SCI'!#REF!</f>
        <v>#REF!</v>
      </c>
      <c r="AO45" s="52" t="e">
        <f>'Evolutitve SCI'!#REF!</f>
        <v>#REF!</v>
      </c>
      <c r="AP45" s="52" t="e">
        <f>'Evolutitve SCI'!#REF!</f>
        <v>#REF!</v>
      </c>
      <c r="AQ45" s="52" t="e">
        <f>'Evolutitve SCI'!#REF!</f>
        <v>#REF!</v>
      </c>
      <c r="AR45" s="52" t="e">
        <f>'Evolutitve SCI'!#REF!</f>
        <v>#REF!</v>
      </c>
      <c r="AS45" s="52">
        <f>'Evolutitve SCI'!AG15</f>
        <v>799495</v>
      </c>
      <c r="AT45" s="52">
        <f>'Evolutitve SCI'!AH15</f>
        <v>0</v>
      </c>
      <c r="AU45" s="52">
        <f>'Evolutitve SCI'!AI15</f>
        <v>0</v>
      </c>
      <c r="AV45" s="52">
        <f>'Evolutitve SCI'!AJ15</f>
        <v>0</v>
      </c>
      <c r="AW45" s="52">
        <f>'Evolutitve SCI'!AK15</f>
        <v>0</v>
      </c>
      <c r="AX45" s="52">
        <f>'Evolutitve SCI'!AL15</f>
        <v>0</v>
      </c>
      <c r="AY45" s="52">
        <f>'Evolutitve SCI'!AM15</f>
        <v>0</v>
      </c>
      <c r="AZ45" s="52" t="e">
        <f>'Evolutitve SCI'!#REF!</f>
        <v>#REF!</v>
      </c>
      <c r="BA45" s="52">
        <f>'Evolutitve SCI'!AN15</f>
        <v>0</v>
      </c>
      <c r="BB45" s="52">
        <f>'Evolutitve SCI'!AO15</f>
        <v>0</v>
      </c>
      <c r="BC45" s="52">
        <f>'Evolutitve SCI'!AP15</f>
        <v>0</v>
      </c>
      <c r="BD45" s="52">
        <f>'Evolutitve SCI'!AQ15</f>
        <v>0</v>
      </c>
      <c r="BE45" s="52">
        <f>'Evolutitve SCI'!AR15</f>
        <v>0</v>
      </c>
      <c r="BF45" s="52">
        <f>'Evolutitve SCI'!AS15</f>
        <v>0</v>
      </c>
      <c r="BG45" s="52">
        <f>'Evolutitve SCI'!AT15</f>
        <v>0</v>
      </c>
      <c r="BH45" s="52">
        <f>'Evolutitve SCI'!AU15</f>
        <v>0</v>
      </c>
      <c r="BI45" s="52">
        <f>'Evolutitve SCI'!AV15</f>
        <v>0</v>
      </c>
      <c r="BJ45" s="52">
        <f>'Evolutitve SCI'!AW15</f>
        <v>0</v>
      </c>
      <c r="BK45" s="52">
        <f>'Evolutitve SCI'!AX15</f>
        <v>0</v>
      </c>
      <c r="BL45" s="52">
        <f>'Evolutitve SCI'!AY15</f>
        <v>0</v>
      </c>
      <c r="BM45" s="52">
        <f>'Evolutitve SCI'!AZ15</f>
        <v>0</v>
      </c>
      <c r="BN45" s="52">
        <f>'Evolutitve SCI'!BA15</f>
        <v>0</v>
      </c>
      <c r="BO45" s="52">
        <f>'Evolutitve SCI'!BB15</f>
        <v>0</v>
      </c>
      <c r="BP45" s="52">
        <f>'Evolutitve SCI'!BC15</f>
        <v>0</v>
      </c>
      <c r="BQ45" s="52">
        <f>'Evolutitve SCI'!BD15</f>
        <v>0</v>
      </c>
      <c r="BR45" s="52">
        <f>'Evolutitve SCI'!BE15</f>
        <v>0</v>
      </c>
      <c r="BS45" s="52">
        <f>'Evolutitve SCI'!BF15</f>
        <v>0</v>
      </c>
      <c r="BT45" s="52">
        <f>'Evolutitve SCI'!BG15</f>
        <v>0</v>
      </c>
      <c r="BU45" s="52">
        <f>'Evolutitve SCI'!BH15</f>
        <v>0</v>
      </c>
      <c r="BV45" s="52">
        <f>'Evolutitve SCI'!BI15</f>
        <v>0</v>
      </c>
      <c r="BW45" s="52">
        <f>'Evolutitve SCI'!BJ15</f>
        <v>0</v>
      </c>
      <c r="BX45" s="52">
        <f>'Evolutitve SCI'!BK15</f>
        <v>0</v>
      </c>
      <c r="BY45" s="52">
        <f>'Evolutitve SCI'!BL15</f>
        <v>0</v>
      </c>
      <c r="BZ45" s="52">
        <f>'Evolutitve SCI'!BM15</f>
        <v>0</v>
      </c>
      <c r="CA45" s="52">
        <f>'Evolutitve SCI'!BN15</f>
        <v>0</v>
      </c>
      <c r="CB45" s="52">
        <f>'Evolutitve SCI'!BO15</f>
        <v>0</v>
      </c>
      <c r="CC45" s="52">
        <f>'Evolutitve SCI'!BP15</f>
        <v>0</v>
      </c>
      <c r="CD45" s="52">
        <f>'Evolutitve SCI'!BQ15</f>
        <v>0</v>
      </c>
      <c r="CE45" s="52">
        <f>'Evolutitve SCI'!BR15</f>
        <v>0</v>
      </c>
      <c r="CF45" s="52">
        <f>'Evolutitve SCI'!BS15</f>
        <v>215684</v>
      </c>
      <c r="CG45" s="52">
        <f>'Evolutitve SCI'!BT15</f>
        <v>0</v>
      </c>
      <c r="CH45" s="52">
        <f>'Evolutitve SCI'!BU15</f>
        <v>0</v>
      </c>
      <c r="CI45" s="52">
        <f>'Evolutitve SCI'!BV15</f>
        <v>0</v>
      </c>
      <c r="CJ45" s="52">
        <f>'Evolutitve SCI'!BW15</f>
        <v>0</v>
      </c>
      <c r="CK45" s="52">
        <f>'Evolutitve SCI'!BX15</f>
        <v>0</v>
      </c>
      <c r="CL45" s="52">
        <f>'Evolutitve SCI'!BY15</f>
        <v>0</v>
      </c>
      <c r="CM45" s="52">
        <f>'Evolutitve SCI'!BZ15</f>
        <v>0</v>
      </c>
      <c r="CN45" s="52">
        <f>'Evolutitve SCI'!CA15</f>
        <v>0</v>
      </c>
      <c r="CO45" s="52">
        <f>'Evolutitve SCI'!CB15</f>
        <v>0</v>
      </c>
    </row>
    <row r="46" spans="1:93">
      <c r="A46" s="18">
        <v>10.3</v>
      </c>
      <c r="B46" s="18" t="s">
        <v>281</v>
      </c>
      <c r="C46" s="52" t="e">
        <f>'Evolutitve SCI'!#REF!</f>
        <v>#REF!</v>
      </c>
      <c r="D46" s="52" t="e">
        <f>'Evolutitve SCI'!#REF!</f>
        <v>#REF!</v>
      </c>
      <c r="E46" s="52" t="e">
        <f>'Evolutitve SCI'!#REF!</f>
        <v>#REF!</v>
      </c>
      <c r="F46" s="52" t="e">
        <f>'Evolutitve SCI'!#REF!</f>
        <v>#REF!</v>
      </c>
      <c r="G46" s="52" t="e">
        <f>'Evolutitve SCI'!#REF!</f>
        <v>#REF!</v>
      </c>
      <c r="H46" s="52" t="e">
        <f>'Evolutitve SCI'!#REF!</f>
        <v>#REF!</v>
      </c>
      <c r="I46" s="52" t="e">
        <f>'Evolutitve SCI'!#REF!</f>
        <v>#REF!</v>
      </c>
      <c r="J46" s="52" t="e">
        <f>'Evolutitve SCI'!#REF!</f>
        <v>#REF!</v>
      </c>
      <c r="K46" s="52" t="e">
        <f>'Evolutitve SCI'!#REF!</f>
        <v>#REF!</v>
      </c>
      <c r="L46" s="52" t="e">
        <f>'Evolutitve SCI'!#REF!</f>
        <v>#REF!</v>
      </c>
      <c r="M46" s="52" t="e">
        <f>'Evolutitve SCI'!#REF!</f>
        <v>#REF!</v>
      </c>
      <c r="N46" s="52" t="e">
        <f>'Evolutitve SCI'!#REF!</f>
        <v>#REF!</v>
      </c>
      <c r="O46" s="52" t="e">
        <f>'Evolutitve SCI'!#REF!</f>
        <v>#REF!</v>
      </c>
      <c r="P46" s="52" t="e">
        <f>'Evolutitve SCI'!#REF!</f>
        <v>#REF!</v>
      </c>
      <c r="Q46" s="52" t="e">
        <f>'Evolutitve SCI'!#REF!</f>
        <v>#REF!</v>
      </c>
      <c r="R46" s="52" t="e">
        <f>'Evolutitve SCI'!#REF!</f>
        <v>#REF!</v>
      </c>
      <c r="S46" s="52" t="e">
        <f>'Evolutitve SCI'!#REF!</f>
        <v>#REF!</v>
      </c>
      <c r="T46" s="52" t="e">
        <f>'Evolutitve SCI'!#REF!</f>
        <v>#REF!</v>
      </c>
      <c r="U46" s="52" t="e">
        <f>'Evolutitve SCI'!#REF!</f>
        <v>#REF!</v>
      </c>
      <c r="V46" s="52" t="e">
        <f>'Evolutitve SCI'!#REF!</f>
        <v>#REF!</v>
      </c>
      <c r="W46" s="52" t="e">
        <f>'Evolutitve SCI'!#REF!</f>
        <v>#REF!</v>
      </c>
      <c r="X46" s="52" t="e">
        <f>'Evolutitve SCI'!#REF!</f>
        <v>#REF!</v>
      </c>
      <c r="Y46" s="52" t="e">
        <f>'Evolutitve SCI'!#REF!</f>
        <v>#REF!</v>
      </c>
      <c r="Z46" s="52" t="e">
        <f>'Evolutitve SCI'!#REF!</f>
        <v>#REF!</v>
      </c>
      <c r="AA46" s="52" t="e">
        <f>'Evolutitve SCI'!#REF!</f>
        <v>#REF!</v>
      </c>
      <c r="AB46" s="52" t="e">
        <f>'Evolutitve SCI'!#REF!</f>
        <v>#REF!</v>
      </c>
      <c r="AC46" s="52" t="e">
        <f>'Evolutitve SCI'!#REF!</f>
        <v>#REF!</v>
      </c>
      <c r="AD46" s="52" t="e">
        <f>'Evolutitve SCI'!#REF!</f>
        <v>#REF!</v>
      </c>
      <c r="AE46" s="52" t="e">
        <f>'Evolutitve SCI'!#REF!</f>
        <v>#REF!</v>
      </c>
      <c r="AF46" s="52" t="e">
        <f>'Evolutitve SCI'!#REF!</f>
        <v>#REF!</v>
      </c>
      <c r="AG46" s="52" t="e">
        <f>'Evolutitve SCI'!#REF!</f>
        <v>#REF!</v>
      </c>
      <c r="AH46" s="52" t="e">
        <f>'Evolutitve SCI'!#REF!</f>
        <v>#REF!</v>
      </c>
      <c r="AI46" s="52" t="e">
        <f>'Evolutitve SCI'!#REF!</f>
        <v>#REF!</v>
      </c>
      <c r="AJ46" s="52" t="e">
        <f>'Evolutitve SCI'!#REF!</f>
        <v>#REF!</v>
      </c>
      <c r="AK46" s="52" t="e">
        <f>'Evolutitve SCI'!#REF!</f>
        <v>#REF!</v>
      </c>
      <c r="AL46" s="52" t="e">
        <f>'Evolutitve SCI'!#REF!</f>
        <v>#REF!</v>
      </c>
      <c r="AM46" s="52" t="e">
        <f>'Evolutitve SCI'!#REF!</f>
        <v>#REF!</v>
      </c>
      <c r="AN46" s="52" t="e">
        <f>'Evolutitve SCI'!#REF!</f>
        <v>#REF!</v>
      </c>
      <c r="AO46" s="52" t="e">
        <f>'Evolutitve SCI'!#REF!</f>
        <v>#REF!</v>
      </c>
      <c r="AP46" s="52" t="e">
        <f>'Evolutitve SCI'!#REF!</f>
        <v>#REF!</v>
      </c>
      <c r="AQ46" s="52" t="e">
        <f>'Evolutitve SCI'!#REF!</f>
        <v>#REF!</v>
      </c>
      <c r="AR46" s="52" t="e">
        <f>'Evolutitve SCI'!#REF!</f>
        <v>#REF!</v>
      </c>
      <c r="AS46" s="52">
        <f>'Evolutitve SCI'!AG14</f>
        <v>44608</v>
      </c>
      <c r="AT46" s="52">
        <f>'Evolutitve SCI'!AH14</f>
        <v>0</v>
      </c>
      <c r="AU46" s="52">
        <f>'Evolutitve SCI'!AI14</f>
        <v>0</v>
      </c>
      <c r="AV46" s="52">
        <f>'Evolutitve SCI'!AJ14</f>
        <v>0</v>
      </c>
      <c r="AW46" s="52">
        <f>'Evolutitve SCI'!AK14</f>
        <v>0</v>
      </c>
      <c r="AX46" s="52">
        <f>'Evolutitve SCI'!AL14</f>
        <v>0</v>
      </c>
      <c r="AY46" s="52">
        <f>'Evolutitve SCI'!AM14</f>
        <v>0</v>
      </c>
      <c r="AZ46" s="52" t="e">
        <f>'Evolutitve SCI'!#REF!</f>
        <v>#REF!</v>
      </c>
      <c r="BA46" s="52">
        <f>'Evolutitve SCI'!AN14</f>
        <v>0</v>
      </c>
      <c r="BB46" s="52">
        <f>'Evolutitve SCI'!AO14</f>
        <v>0</v>
      </c>
      <c r="BC46" s="52">
        <f>'Evolutitve SCI'!AP14</f>
        <v>0</v>
      </c>
      <c r="BD46" s="52">
        <f>'Evolutitve SCI'!AQ14</f>
        <v>0</v>
      </c>
      <c r="BE46" s="52">
        <f>'Evolutitve SCI'!AR14</f>
        <v>0</v>
      </c>
      <c r="BF46" s="52">
        <f>'Evolutitve SCI'!AS14</f>
        <v>0</v>
      </c>
      <c r="BG46" s="52">
        <f>'Evolutitve SCI'!AT14</f>
        <v>0</v>
      </c>
      <c r="BH46" s="52">
        <f>'Evolutitve SCI'!AU14</f>
        <v>0</v>
      </c>
      <c r="BI46" s="52">
        <f>'Evolutitve SCI'!AV14</f>
        <v>0</v>
      </c>
      <c r="BJ46" s="52">
        <f>'Evolutitve SCI'!AW14</f>
        <v>0</v>
      </c>
      <c r="BK46" s="52">
        <f>'Evolutitve SCI'!AX14</f>
        <v>0</v>
      </c>
      <c r="BL46" s="52">
        <f>'Evolutitve SCI'!AY14</f>
        <v>0</v>
      </c>
      <c r="BM46" s="52">
        <f>'Evolutitve SCI'!AZ14</f>
        <v>0</v>
      </c>
      <c r="BN46" s="52">
        <f>'Evolutitve SCI'!BA14</f>
        <v>0</v>
      </c>
      <c r="BO46" s="52">
        <f>'Evolutitve SCI'!BB14</f>
        <v>0</v>
      </c>
      <c r="BP46" s="52">
        <f>'Evolutitve SCI'!BC14</f>
        <v>0</v>
      </c>
      <c r="BQ46" s="52">
        <f>'Evolutitve SCI'!BD14</f>
        <v>0</v>
      </c>
      <c r="BR46" s="52">
        <f>'Evolutitve SCI'!BE14</f>
        <v>0</v>
      </c>
      <c r="BS46" s="52">
        <f>'Evolutitve SCI'!BF14</f>
        <v>0</v>
      </c>
      <c r="BT46" s="52">
        <f>'Evolutitve SCI'!BG14</f>
        <v>0</v>
      </c>
      <c r="BU46" s="52">
        <f>'Evolutitve SCI'!BH14</f>
        <v>0</v>
      </c>
      <c r="BV46" s="52">
        <f>'Evolutitve SCI'!BI14</f>
        <v>0</v>
      </c>
      <c r="BW46" s="52">
        <f>'Evolutitve SCI'!BJ14</f>
        <v>0</v>
      </c>
      <c r="BX46" s="52">
        <f>'Evolutitve SCI'!BK14</f>
        <v>0</v>
      </c>
      <c r="BY46" s="52">
        <f>'Evolutitve SCI'!BL14</f>
        <v>0</v>
      </c>
      <c r="BZ46" s="52">
        <f>'Evolutitve SCI'!BM14</f>
        <v>0</v>
      </c>
      <c r="CA46" s="52">
        <f>'Evolutitve SCI'!BN14</f>
        <v>0</v>
      </c>
      <c r="CB46" s="52">
        <f>'Evolutitve SCI'!BO14</f>
        <v>0</v>
      </c>
      <c r="CC46" s="52">
        <f>'Evolutitve SCI'!BP14</f>
        <v>0</v>
      </c>
      <c r="CD46" s="52">
        <f>'Evolutitve SCI'!BQ14</f>
        <v>0</v>
      </c>
      <c r="CE46" s="52">
        <f>'Evolutitve SCI'!BR14</f>
        <v>0</v>
      </c>
      <c r="CF46" s="52">
        <f>'Evolutitve SCI'!BS14</f>
        <v>0</v>
      </c>
      <c r="CG46" s="52">
        <f>'Evolutitve SCI'!BT14</f>
        <v>0</v>
      </c>
      <c r="CH46" s="52">
        <f>'Evolutitve SCI'!BU14</f>
        <v>0</v>
      </c>
      <c r="CI46" s="52">
        <f>'Evolutitve SCI'!BV14</f>
        <v>0</v>
      </c>
      <c r="CJ46" s="52">
        <f>'Evolutitve SCI'!BW14</f>
        <v>0</v>
      </c>
      <c r="CK46" s="52">
        <f>'Evolutitve SCI'!BX14</f>
        <v>0</v>
      </c>
      <c r="CL46" s="52">
        <f>'Evolutitve SCI'!BY14</f>
        <v>0</v>
      </c>
      <c r="CM46" s="52">
        <f>'Evolutitve SCI'!BZ14</f>
        <v>0</v>
      </c>
      <c r="CN46" s="52">
        <f>'Evolutitve SCI'!CA14</f>
        <v>0</v>
      </c>
      <c r="CO46" s="52">
        <f>'Evolutitve SCI'!CB14</f>
        <v>0</v>
      </c>
    </row>
    <row r="47" spans="1:93">
      <c r="A47" s="18">
        <v>10.4</v>
      </c>
      <c r="B47" s="18" t="s">
        <v>282</v>
      </c>
      <c r="C47" s="52" t="e">
        <f>'Evolutitve SCI'!#REF!</f>
        <v>#REF!</v>
      </c>
      <c r="D47" s="52" t="e">
        <f>'Evolutitve SCI'!#REF!</f>
        <v>#REF!</v>
      </c>
      <c r="E47" s="52" t="e">
        <f>'Evolutitve SCI'!#REF!</f>
        <v>#REF!</v>
      </c>
      <c r="F47" s="52" t="e">
        <f>'Evolutitve SCI'!#REF!</f>
        <v>#REF!</v>
      </c>
      <c r="G47" s="52" t="e">
        <f>'Evolutitve SCI'!#REF!</f>
        <v>#REF!</v>
      </c>
      <c r="H47" s="52" t="e">
        <f>'Evolutitve SCI'!#REF!</f>
        <v>#REF!</v>
      </c>
      <c r="I47" s="52" t="e">
        <f>'Evolutitve SCI'!#REF!</f>
        <v>#REF!</v>
      </c>
      <c r="J47" s="52" t="e">
        <f>'Evolutitve SCI'!#REF!</f>
        <v>#REF!</v>
      </c>
      <c r="K47" s="52" t="e">
        <f>'Evolutitve SCI'!#REF!</f>
        <v>#REF!</v>
      </c>
      <c r="L47" s="52" t="e">
        <f>'Evolutitve SCI'!#REF!</f>
        <v>#REF!</v>
      </c>
      <c r="M47" s="52" t="e">
        <f>'Evolutitve SCI'!#REF!</f>
        <v>#REF!</v>
      </c>
      <c r="N47" s="52" t="e">
        <f>'Evolutitve SCI'!#REF!</f>
        <v>#REF!</v>
      </c>
      <c r="O47" s="52" t="e">
        <f>'Evolutitve SCI'!#REF!</f>
        <v>#REF!</v>
      </c>
      <c r="P47" s="52" t="e">
        <f>'Evolutitve SCI'!#REF!</f>
        <v>#REF!</v>
      </c>
      <c r="Q47" s="52" t="e">
        <f>'Evolutitve SCI'!#REF!</f>
        <v>#REF!</v>
      </c>
      <c r="R47" s="52" t="e">
        <f>'Evolutitve SCI'!#REF!</f>
        <v>#REF!</v>
      </c>
      <c r="S47" s="52" t="e">
        <f>'Evolutitve SCI'!#REF!</f>
        <v>#REF!</v>
      </c>
      <c r="T47" s="52" t="e">
        <f>'Evolutitve SCI'!#REF!</f>
        <v>#REF!</v>
      </c>
      <c r="U47" s="52" t="e">
        <f>'Evolutitve SCI'!#REF!</f>
        <v>#REF!</v>
      </c>
      <c r="V47" s="52" t="e">
        <f>'Evolutitve SCI'!#REF!</f>
        <v>#REF!</v>
      </c>
      <c r="W47" s="52" t="e">
        <f>'Evolutitve SCI'!#REF!</f>
        <v>#REF!</v>
      </c>
      <c r="X47" s="52" t="e">
        <f>'Evolutitve SCI'!#REF!</f>
        <v>#REF!</v>
      </c>
      <c r="Y47" s="52" t="e">
        <f>'Evolutitve SCI'!#REF!</f>
        <v>#REF!</v>
      </c>
      <c r="Z47" s="52" t="e">
        <f>'Evolutitve SCI'!#REF!</f>
        <v>#REF!</v>
      </c>
      <c r="AA47" s="52" t="e">
        <f>'Evolutitve SCI'!#REF!</f>
        <v>#REF!</v>
      </c>
      <c r="AB47" s="52" t="e">
        <f>'Evolutitve SCI'!#REF!</f>
        <v>#REF!</v>
      </c>
      <c r="AC47" s="52" t="e">
        <f>'Evolutitve SCI'!#REF!</f>
        <v>#REF!</v>
      </c>
      <c r="AD47" s="52" t="e">
        <f>'Evolutitve SCI'!#REF!</f>
        <v>#REF!</v>
      </c>
      <c r="AE47" s="52" t="e">
        <f>'Evolutitve SCI'!#REF!</f>
        <v>#REF!</v>
      </c>
      <c r="AF47" s="52" t="e">
        <f>'Evolutitve SCI'!#REF!</f>
        <v>#REF!</v>
      </c>
      <c r="AG47" s="52" t="e">
        <f>'Evolutitve SCI'!#REF!</f>
        <v>#REF!</v>
      </c>
      <c r="AH47" s="52" t="e">
        <f>'Evolutitve SCI'!#REF!</f>
        <v>#REF!</v>
      </c>
      <c r="AI47" s="52" t="e">
        <f>'Evolutitve SCI'!#REF!</f>
        <v>#REF!</v>
      </c>
      <c r="AJ47" s="52" t="e">
        <f>'Evolutitve SCI'!#REF!</f>
        <v>#REF!</v>
      </c>
      <c r="AK47" s="52" t="e">
        <f>'Evolutitve SCI'!#REF!</f>
        <v>#REF!</v>
      </c>
      <c r="AL47" s="52" t="e">
        <f>'Evolutitve SCI'!#REF!</f>
        <v>#REF!</v>
      </c>
      <c r="AM47" s="52" t="e">
        <f>'Evolutitve SCI'!#REF!</f>
        <v>#REF!</v>
      </c>
      <c r="AN47" s="52" t="e">
        <f>'Evolutitve SCI'!#REF!</f>
        <v>#REF!</v>
      </c>
      <c r="AO47" s="52" t="e">
        <f>'Evolutitve SCI'!#REF!</f>
        <v>#REF!</v>
      </c>
      <c r="AP47" s="52" t="e">
        <f>'Evolutitve SCI'!#REF!</f>
        <v>#REF!</v>
      </c>
      <c r="AQ47" s="52" t="e">
        <f>'Evolutitve SCI'!#REF!</f>
        <v>#REF!</v>
      </c>
      <c r="AR47" s="52" t="e">
        <f>'Evolutitve SCI'!#REF!</f>
        <v>#REF!</v>
      </c>
      <c r="AS47" s="52">
        <f>'Evolutitve SCI'!AG23</f>
        <v>4580282</v>
      </c>
      <c r="AT47" s="52">
        <f>'Evolutitve SCI'!AH23</f>
        <v>191201</v>
      </c>
      <c r="AU47" s="52">
        <f>'Evolutitve SCI'!AI23</f>
        <v>481754</v>
      </c>
      <c r="AV47" s="52">
        <f>'Evolutitve SCI'!AJ23</f>
        <v>749565.49</v>
      </c>
      <c r="AW47" s="52">
        <f>'Evolutitve SCI'!AK23</f>
        <v>977569.88</v>
      </c>
      <c r="AX47" s="52">
        <f>'Evolutitve SCI'!AL23</f>
        <v>1164204.44</v>
      </c>
      <c r="AY47" s="52">
        <f>'Evolutitve SCI'!AM23</f>
        <v>1347459.98</v>
      </c>
      <c r="AZ47" s="52" t="e">
        <f>'Evolutitve SCI'!#REF!</f>
        <v>#REF!</v>
      </c>
      <c r="BA47" s="52">
        <f>'Evolutitve SCI'!AN23</f>
        <v>1734888.76</v>
      </c>
      <c r="BB47" s="52">
        <f>'Evolutitve SCI'!AO23</f>
        <v>1934821.54</v>
      </c>
      <c r="BC47" s="52">
        <f>'Evolutitve SCI'!AP23</f>
        <v>2132132.54</v>
      </c>
      <c r="BD47" s="52">
        <f>'Evolutitve SCI'!AQ23</f>
        <v>2606282.3199999998</v>
      </c>
      <c r="BE47" s="52">
        <f>'Evolutitve SCI'!AR23</f>
        <v>2825640.32</v>
      </c>
      <c r="BF47" s="52">
        <f>'Evolutitve SCI'!AS23</f>
        <v>3958788</v>
      </c>
      <c r="BG47" s="52">
        <f>'Evolutitve SCI'!AT23</f>
        <v>160422</v>
      </c>
      <c r="BH47" s="52">
        <f>'Evolutitve SCI'!AU23</f>
        <v>494346</v>
      </c>
      <c r="BI47" s="52">
        <f>'Evolutitve SCI'!AV23</f>
        <v>928163</v>
      </c>
      <c r="BJ47" s="52">
        <f>'Evolutitve SCI'!AW23</f>
        <v>1203845</v>
      </c>
      <c r="BK47" s="52">
        <f>'Evolutitve SCI'!AX23</f>
        <v>1549819</v>
      </c>
      <c r="BL47" s="52">
        <f>'Evolutitve SCI'!AY23</f>
        <v>1636853</v>
      </c>
      <c r="BM47" s="52">
        <f>'Evolutitve SCI'!AZ23</f>
        <v>2048190</v>
      </c>
      <c r="BN47" s="52">
        <f>'Evolutitve SCI'!BA23</f>
        <v>2405528</v>
      </c>
      <c r="BO47" s="52">
        <f>'Evolutitve SCI'!BB23</f>
        <v>2471776</v>
      </c>
      <c r="BP47" s="52">
        <f>'Evolutitve SCI'!BC23</f>
        <v>2917544</v>
      </c>
      <c r="BQ47" s="52">
        <f>'Evolutitve SCI'!BD23</f>
        <v>3461137</v>
      </c>
      <c r="BR47" s="52">
        <f>'Evolutitve SCI'!BE23</f>
        <v>3749313</v>
      </c>
      <c r="BS47" s="52">
        <f>'Evolutitve SCI'!BF23</f>
        <v>4672924</v>
      </c>
      <c r="BT47" s="52">
        <f>'Evolutitve SCI'!BG23</f>
        <v>314478</v>
      </c>
      <c r="BU47" s="52">
        <f>'Evolutitve SCI'!BH23</f>
        <v>934022</v>
      </c>
      <c r="BV47" s="52">
        <f>'Evolutitve SCI'!BI23</f>
        <v>1182149</v>
      </c>
      <c r="BW47" s="52">
        <f>'Evolutitve SCI'!BJ23</f>
        <v>1524604</v>
      </c>
      <c r="BX47" s="52">
        <f>'Evolutitve SCI'!BK23</f>
        <v>1851021</v>
      </c>
      <c r="BY47" s="52">
        <f>'Evolutitve SCI'!BL23</f>
        <v>2247262</v>
      </c>
      <c r="BZ47" s="52">
        <f>'Evolutitve SCI'!BM23</f>
        <v>2495999</v>
      </c>
      <c r="CA47" s="52">
        <f>'Evolutitve SCI'!BN23</f>
        <v>2719099</v>
      </c>
      <c r="CB47" s="52">
        <f>'Evolutitve SCI'!BO23</f>
        <v>3075728</v>
      </c>
      <c r="CC47" s="52">
        <f>'Evolutitve SCI'!BP23</f>
        <v>3319314</v>
      </c>
      <c r="CD47" s="52">
        <f>'Evolutitve SCI'!BQ23</f>
        <v>3632008</v>
      </c>
      <c r="CE47" s="52">
        <f>'Evolutitve SCI'!BR23</f>
        <v>4202232.8</v>
      </c>
      <c r="CF47" s="52">
        <f>'Evolutitve SCI'!BS23</f>
        <v>5517375</v>
      </c>
      <c r="CG47" s="52">
        <f>'Evolutitve SCI'!BT23</f>
        <v>263156</v>
      </c>
      <c r="CH47" s="52">
        <f>'Evolutitve SCI'!BU23</f>
        <v>718108</v>
      </c>
      <c r="CI47" s="52">
        <f>'Evolutitve SCI'!BV23</f>
        <v>990466</v>
      </c>
      <c r="CJ47" s="52">
        <f>'Evolutitve SCI'!BW23</f>
        <v>1291140</v>
      </c>
      <c r="CK47" s="52">
        <f>'Evolutitve SCI'!BX23</f>
        <v>1746931</v>
      </c>
      <c r="CL47" s="52">
        <f>'Evolutitve SCI'!BY23</f>
        <v>1881330</v>
      </c>
      <c r="CM47" s="52">
        <f>'Evolutitve SCI'!BZ23</f>
        <v>3245981.92</v>
      </c>
      <c r="CN47" s="52">
        <f>'Evolutitve SCI'!CA23</f>
        <v>3622858.87</v>
      </c>
      <c r="CO47" s="52">
        <f>'Evolutitve SCI'!CB23</f>
        <v>4008208.37</v>
      </c>
    </row>
    <row r="49" spans="2:32" hidden="1"/>
    <row r="50" spans="2:32" ht="15.75" hidden="1">
      <c r="B50" s="203" t="s">
        <v>158</v>
      </c>
      <c r="C50" s="259" t="e">
        <f>'Evolutitve SCI'!#REF!</f>
        <v>#REF!</v>
      </c>
      <c r="D50" s="259" t="e">
        <f>'Evolutitve SCI'!#REF!</f>
        <v>#REF!</v>
      </c>
      <c r="E50" s="259" t="e">
        <f>'Evolutitve SCI'!#REF!</f>
        <v>#REF!</v>
      </c>
      <c r="F50" s="259" t="e">
        <f>'Evolutitve SCI'!#REF!</f>
        <v>#REF!</v>
      </c>
      <c r="G50" s="259" t="e">
        <f>'Evolutitve SCI'!#REF!</f>
        <v>#REF!</v>
      </c>
      <c r="H50" s="259" t="e">
        <f>'Evolutitve SCI'!#REF!</f>
        <v>#REF!</v>
      </c>
      <c r="I50" s="259" t="e">
        <f>'Evolutitve SCI'!#REF!</f>
        <v>#REF!</v>
      </c>
      <c r="J50" s="259" t="e">
        <f>'Evolutitve SCI'!#REF!</f>
        <v>#REF!</v>
      </c>
      <c r="K50" s="259" t="e">
        <f>'Evolutitve SCI'!#REF!</f>
        <v>#REF!</v>
      </c>
      <c r="L50" s="259" t="e">
        <f>'Evolutitve SCI'!#REF!</f>
        <v>#REF!</v>
      </c>
      <c r="M50" s="259" t="e">
        <f>'Evolutitve SCI'!#REF!</f>
        <v>#REF!</v>
      </c>
      <c r="N50" s="259" t="e">
        <f>'Evolutitve SCI'!#REF!</f>
        <v>#REF!</v>
      </c>
      <c r="O50" s="259" t="e">
        <f>'Evolutitve SCI'!#REF!</f>
        <v>#REF!</v>
      </c>
      <c r="P50" s="259" t="e">
        <f>'Evolutitve SCI'!#REF!</f>
        <v>#REF!</v>
      </c>
      <c r="Q50" s="259" t="e">
        <f>'Evolutitve SCI'!#REF!</f>
        <v>#REF!</v>
      </c>
      <c r="R50" s="259" t="e">
        <f>'Evolutitve SCI'!#REF!</f>
        <v>#REF!</v>
      </c>
      <c r="S50" s="259" t="e">
        <f>'Evolutitve SCI'!#REF!</f>
        <v>#REF!</v>
      </c>
      <c r="T50" s="259" t="e">
        <f>'Evolutitve SCI'!#REF!</f>
        <v>#REF!</v>
      </c>
      <c r="U50" s="259" t="e">
        <f>'Evolutitve SCI'!#REF!</f>
        <v>#REF!</v>
      </c>
      <c r="V50" s="259" t="e">
        <f>'Evolutitve SCI'!#REF!</f>
        <v>#REF!</v>
      </c>
      <c r="W50" s="259" t="e">
        <f>'Evolutitve SCI'!#REF!</f>
        <v>#REF!</v>
      </c>
      <c r="X50" s="259" t="e">
        <f>'Evolutitve SCI'!#REF!</f>
        <v>#REF!</v>
      </c>
      <c r="Y50" s="259" t="e">
        <f>'Evolutitve SCI'!#REF!</f>
        <v>#REF!</v>
      </c>
      <c r="Z50" s="259" t="e">
        <f>'Evolutitve SCI'!#REF!</f>
        <v>#REF!</v>
      </c>
      <c r="AA50" s="259" t="e">
        <f>'Evolutitve SCI'!#REF!</f>
        <v>#REF!</v>
      </c>
      <c r="AB50" s="259" t="e">
        <f>'Evolutitve SCI'!#REF!</f>
        <v>#REF!</v>
      </c>
      <c r="AC50" s="259" t="e">
        <f>'Evolutitve SCI'!#REF!</f>
        <v>#REF!</v>
      </c>
      <c r="AD50" s="259" t="e">
        <f>'Evolutitve SCI'!#REF!</f>
        <v>#REF!</v>
      </c>
      <c r="AE50" s="259" t="e">
        <f>'Evolutitve SCI'!#REF!</f>
        <v>#REF!</v>
      </c>
      <c r="AF50" s="259" t="e">
        <f>'Evolutitve SCI'!#REF!</f>
        <v>#REF!</v>
      </c>
    </row>
    <row r="51" spans="2:32" hidden="1">
      <c r="B51" s="204" t="s">
        <v>83</v>
      </c>
      <c r="C51" s="259" t="e">
        <f>'Evolutitve SCI'!#REF!</f>
        <v>#REF!</v>
      </c>
      <c r="D51" s="259" t="e">
        <f>'Evolutitve SCI'!#REF!</f>
        <v>#REF!</v>
      </c>
      <c r="E51" s="259" t="e">
        <f>'Evolutitve SCI'!#REF!</f>
        <v>#REF!</v>
      </c>
      <c r="F51" s="259" t="e">
        <f>'Evolutitve SCI'!#REF!</f>
        <v>#REF!</v>
      </c>
      <c r="G51" s="259" t="e">
        <f>'Evolutitve SCI'!#REF!</f>
        <v>#REF!</v>
      </c>
      <c r="H51" s="259" t="e">
        <f>'Evolutitve SCI'!#REF!</f>
        <v>#REF!</v>
      </c>
      <c r="I51" s="259" t="e">
        <f>'Evolutitve SCI'!#REF!</f>
        <v>#REF!</v>
      </c>
      <c r="J51" s="259" t="e">
        <f>'Evolutitve SCI'!#REF!</f>
        <v>#REF!</v>
      </c>
      <c r="K51" s="259" t="e">
        <f>'Evolutitve SCI'!#REF!</f>
        <v>#REF!</v>
      </c>
      <c r="L51" s="259" t="e">
        <f>'Evolutitve SCI'!#REF!</f>
        <v>#REF!</v>
      </c>
      <c r="M51" s="259" t="e">
        <f>'Evolutitve SCI'!#REF!</f>
        <v>#REF!</v>
      </c>
      <c r="N51" s="259" t="e">
        <f>'Evolutitve SCI'!#REF!</f>
        <v>#REF!</v>
      </c>
      <c r="O51" s="259" t="e">
        <f>'Evolutitve SCI'!#REF!</f>
        <v>#REF!</v>
      </c>
      <c r="P51" s="259" t="e">
        <f>'Evolutitve SCI'!#REF!</f>
        <v>#REF!</v>
      </c>
      <c r="Q51" s="259" t="e">
        <f>'Evolutitve SCI'!#REF!</f>
        <v>#REF!</v>
      </c>
      <c r="R51" s="259" t="e">
        <f>'Evolutitve SCI'!#REF!</f>
        <v>#REF!</v>
      </c>
      <c r="S51" s="259" t="e">
        <f>'Evolutitve SCI'!#REF!</f>
        <v>#REF!</v>
      </c>
      <c r="T51" s="259" t="e">
        <f>'Evolutitve SCI'!#REF!</f>
        <v>#REF!</v>
      </c>
      <c r="U51" s="259" t="e">
        <f>'Evolutitve SCI'!#REF!</f>
        <v>#REF!</v>
      </c>
      <c r="V51" s="259" t="e">
        <f>'Evolutitve SCI'!#REF!</f>
        <v>#REF!</v>
      </c>
      <c r="W51" s="259" t="e">
        <f>'Evolutitve SCI'!#REF!</f>
        <v>#REF!</v>
      </c>
      <c r="X51" s="259" t="e">
        <f>'Evolutitve SCI'!#REF!</f>
        <v>#REF!</v>
      </c>
      <c r="Y51" s="259" t="e">
        <f>'Evolutitve SCI'!#REF!</f>
        <v>#REF!</v>
      </c>
      <c r="Z51" s="259" t="e">
        <f>'Evolutitve SCI'!#REF!</f>
        <v>#REF!</v>
      </c>
      <c r="AA51" s="259" t="e">
        <f>'Evolutitve SCI'!#REF!</f>
        <v>#REF!</v>
      </c>
      <c r="AB51" s="259" t="e">
        <f>'Evolutitve SCI'!#REF!</f>
        <v>#REF!</v>
      </c>
      <c r="AC51" s="259" t="e">
        <f>'Evolutitve SCI'!#REF!</f>
        <v>#REF!</v>
      </c>
      <c r="AD51" s="259" t="e">
        <f>'Evolutitve SCI'!#REF!</f>
        <v>#REF!</v>
      </c>
      <c r="AE51" s="259" t="e">
        <f>'Evolutitve SCI'!#REF!</f>
        <v>#REF!</v>
      </c>
      <c r="AF51" s="259" t="e">
        <f>'Evolutitve SCI'!#REF!</f>
        <v>#REF!</v>
      </c>
    </row>
    <row r="52" spans="2:32" hidden="1">
      <c r="B52" s="204" t="s">
        <v>163</v>
      </c>
      <c r="C52" s="259" t="e">
        <f>'Evolutitve SCI'!#REF!</f>
        <v>#REF!</v>
      </c>
      <c r="D52" s="259" t="e">
        <f>'Evolutitve SCI'!#REF!</f>
        <v>#REF!</v>
      </c>
      <c r="E52" s="259" t="e">
        <f>'Evolutitve SCI'!#REF!</f>
        <v>#REF!</v>
      </c>
      <c r="F52" s="259" t="e">
        <f>'Evolutitve SCI'!#REF!</f>
        <v>#REF!</v>
      </c>
      <c r="G52" s="259" t="e">
        <f>'Evolutitve SCI'!#REF!</f>
        <v>#REF!</v>
      </c>
      <c r="H52" s="259" t="e">
        <f>'Evolutitve SCI'!#REF!</f>
        <v>#REF!</v>
      </c>
      <c r="I52" s="259" t="e">
        <f>'Evolutitve SCI'!#REF!</f>
        <v>#REF!</v>
      </c>
      <c r="J52" s="259" t="e">
        <f>'Evolutitve SCI'!#REF!</f>
        <v>#REF!</v>
      </c>
      <c r="K52" s="259" t="e">
        <f>'Evolutitve SCI'!#REF!</f>
        <v>#REF!</v>
      </c>
      <c r="L52" s="259" t="e">
        <f>'Evolutitve SCI'!#REF!</f>
        <v>#REF!</v>
      </c>
      <c r="M52" s="259" t="e">
        <f>'Evolutitve SCI'!#REF!</f>
        <v>#REF!</v>
      </c>
      <c r="N52" s="259" t="e">
        <f>'Evolutitve SCI'!#REF!</f>
        <v>#REF!</v>
      </c>
      <c r="O52" s="259" t="e">
        <f>'Evolutitve SCI'!#REF!</f>
        <v>#REF!</v>
      </c>
      <c r="P52" s="259" t="e">
        <f>'Evolutitve SCI'!#REF!</f>
        <v>#REF!</v>
      </c>
      <c r="Q52" s="259" t="e">
        <f>'Evolutitve SCI'!#REF!</f>
        <v>#REF!</v>
      </c>
      <c r="R52" s="259" t="e">
        <f>'Evolutitve SCI'!#REF!</f>
        <v>#REF!</v>
      </c>
      <c r="S52" s="259" t="e">
        <f>'Evolutitve SCI'!#REF!</f>
        <v>#REF!</v>
      </c>
      <c r="T52" s="259" t="e">
        <f>'Evolutitve SCI'!#REF!</f>
        <v>#REF!</v>
      </c>
      <c r="U52" s="259" t="e">
        <f>'Evolutitve SCI'!#REF!</f>
        <v>#REF!</v>
      </c>
      <c r="V52" s="259" t="e">
        <f>'Evolutitve SCI'!#REF!</f>
        <v>#REF!</v>
      </c>
      <c r="W52" s="259" t="e">
        <f>'Evolutitve SCI'!#REF!</f>
        <v>#REF!</v>
      </c>
      <c r="X52" s="259" t="e">
        <f>'Evolutitve SCI'!#REF!</f>
        <v>#REF!</v>
      </c>
      <c r="Y52" s="259" t="e">
        <f>'Evolutitve SCI'!#REF!</f>
        <v>#REF!</v>
      </c>
      <c r="Z52" s="259" t="e">
        <f>'Evolutitve SCI'!#REF!</f>
        <v>#REF!</v>
      </c>
      <c r="AA52" s="259" t="e">
        <f>'Evolutitve SCI'!#REF!</f>
        <v>#REF!</v>
      </c>
      <c r="AB52" s="259" t="e">
        <f>'Evolutitve SCI'!#REF!</f>
        <v>#REF!</v>
      </c>
      <c r="AC52" s="259" t="e">
        <f>'Evolutitve SCI'!#REF!</f>
        <v>#REF!</v>
      </c>
      <c r="AD52" s="259" t="e">
        <f>'Evolutitve SCI'!#REF!</f>
        <v>#REF!</v>
      </c>
      <c r="AE52" s="259" t="e">
        <f>'Evolutitve SCI'!#REF!</f>
        <v>#REF!</v>
      </c>
      <c r="AF52" s="259" t="e">
        <f>'Evolutitve SCI'!#REF!</f>
        <v>#REF!</v>
      </c>
    </row>
    <row r="53" spans="2:32" hidden="1">
      <c r="B53" s="204" t="s">
        <v>283</v>
      </c>
      <c r="C53" s="259" t="e">
        <f>'Evolutitve SCI'!#REF!+'Evolutitve SCI'!#REF!+'Evolutitve SCI'!#REF!</f>
        <v>#REF!</v>
      </c>
      <c r="D53" s="259" t="e">
        <f>'Evolutitve SCI'!#REF!+'Evolutitve SCI'!#REF!+'Evolutitve SCI'!#REF!</f>
        <v>#REF!</v>
      </c>
      <c r="E53" s="259" t="e">
        <f>'Evolutitve SCI'!#REF!+'Evolutitve SCI'!#REF!+'Evolutitve SCI'!#REF!</f>
        <v>#REF!</v>
      </c>
      <c r="F53" s="259" t="e">
        <f>'Evolutitve SCI'!#REF!+'Evolutitve SCI'!#REF!+'Evolutitve SCI'!#REF!</f>
        <v>#REF!</v>
      </c>
      <c r="G53" s="259" t="e">
        <f>'Evolutitve SCI'!#REF!+'Evolutitve SCI'!#REF!+'Evolutitve SCI'!#REF!</f>
        <v>#REF!</v>
      </c>
      <c r="H53" s="259" t="e">
        <f>'Evolutitve SCI'!#REF!+'Evolutitve SCI'!#REF!+'Evolutitve SCI'!#REF!</f>
        <v>#REF!</v>
      </c>
      <c r="I53" s="259" t="e">
        <f>'Evolutitve SCI'!#REF!+'Evolutitve SCI'!#REF!+'Evolutitve SCI'!#REF!</f>
        <v>#REF!</v>
      </c>
      <c r="J53" s="259" t="e">
        <f>'Evolutitve SCI'!#REF!+'Evolutitve SCI'!#REF!+'Evolutitve SCI'!#REF!</f>
        <v>#REF!</v>
      </c>
      <c r="K53" s="259" t="e">
        <f>'Evolutitve SCI'!#REF!+'Evolutitve SCI'!#REF!+'Evolutitve SCI'!#REF!</f>
        <v>#REF!</v>
      </c>
      <c r="L53" s="259" t="e">
        <f>'Evolutitve SCI'!#REF!+'Evolutitve SCI'!#REF!+'Evolutitve SCI'!#REF!</f>
        <v>#REF!</v>
      </c>
      <c r="M53" s="259" t="e">
        <f>'Evolutitve SCI'!#REF!+'Evolutitve SCI'!#REF!+'Evolutitve SCI'!#REF!</f>
        <v>#REF!</v>
      </c>
      <c r="N53" s="259" t="e">
        <f>'Evolutitve SCI'!#REF!+'Evolutitve SCI'!#REF!+'Evolutitve SCI'!#REF!</f>
        <v>#REF!</v>
      </c>
      <c r="O53" s="259" t="e">
        <f>'Evolutitve SCI'!#REF!+'Evolutitve SCI'!#REF!+'Evolutitve SCI'!#REF!</f>
        <v>#REF!</v>
      </c>
      <c r="P53" s="259" t="e">
        <f>'Evolutitve SCI'!#REF!+'Evolutitve SCI'!#REF!+'Evolutitve SCI'!#REF!</f>
        <v>#REF!</v>
      </c>
      <c r="Q53" s="259" t="e">
        <f>'Evolutitve SCI'!#REF!+'Evolutitve SCI'!#REF!+'Evolutitve SCI'!#REF!</f>
        <v>#REF!</v>
      </c>
      <c r="R53" s="259" t="e">
        <f>'Evolutitve SCI'!#REF!+'Evolutitve SCI'!#REF!+'Evolutitve SCI'!#REF!</f>
        <v>#REF!</v>
      </c>
      <c r="S53" s="259" t="e">
        <f>'Evolutitve SCI'!#REF!+'Evolutitve SCI'!#REF!+'Evolutitve SCI'!#REF!</f>
        <v>#REF!</v>
      </c>
      <c r="T53" s="259" t="e">
        <f>'Evolutitve SCI'!#REF!+'Evolutitve SCI'!#REF!+'Evolutitve SCI'!#REF!</f>
        <v>#REF!</v>
      </c>
      <c r="U53" s="259" t="e">
        <f>'Evolutitve SCI'!#REF!+'Evolutitve SCI'!#REF!+'Evolutitve SCI'!#REF!</f>
        <v>#REF!</v>
      </c>
      <c r="V53" s="259" t="e">
        <f>'Evolutitve SCI'!#REF!+'Evolutitve SCI'!#REF!+'Evolutitve SCI'!#REF!</f>
        <v>#REF!</v>
      </c>
      <c r="W53" s="259" t="e">
        <f>'Evolutitve SCI'!#REF!+'Evolutitve SCI'!#REF!+'Evolutitve SCI'!#REF!</f>
        <v>#REF!</v>
      </c>
      <c r="X53" s="259" t="e">
        <f>'Evolutitve SCI'!#REF!+'Evolutitve SCI'!#REF!+'Evolutitve SCI'!#REF!</f>
        <v>#REF!</v>
      </c>
      <c r="Y53" s="259" t="e">
        <f>'Evolutitve SCI'!#REF!+'Evolutitve SCI'!#REF!+'Evolutitve SCI'!#REF!</f>
        <v>#REF!</v>
      </c>
      <c r="Z53" s="259" t="e">
        <f>'Evolutitve SCI'!#REF!+'Evolutitve SCI'!#REF!+'Evolutitve SCI'!#REF!</f>
        <v>#REF!</v>
      </c>
      <c r="AA53" s="259" t="e">
        <f>'Evolutitve SCI'!#REF!+'Evolutitve SCI'!#REF!+'Evolutitve SCI'!#REF!</f>
        <v>#REF!</v>
      </c>
      <c r="AB53" s="259" t="e">
        <f>'Evolutitve SCI'!#REF!+'Evolutitve SCI'!#REF!+'Evolutitve SCI'!#REF!</f>
        <v>#REF!</v>
      </c>
      <c r="AC53" s="259" t="e">
        <f>'Evolutitve SCI'!#REF!+'Evolutitve SCI'!#REF!+'Evolutitve SCI'!#REF!</f>
        <v>#REF!</v>
      </c>
      <c r="AD53" s="259" t="e">
        <f>'Evolutitve SCI'!#REF!+'Evolutitve SCI'!#REF!+'Evolutitve SCI'!#REF!</f>
        <v>#REF!</v>
      </c>
      <c r="AE53" s="259" t="e">
        <f>'Evolutitve SCI'!#REF!+'Evolutitve SCI'!#REF!+'Evolutitve SCI'!#REF!</f>
        <v>#REF!</v>
      </c>
      <c r="AF53" s="259" t="e">
        <f>'Evolutitve SCI'!#REF!+'Evolutitve SCI'!#REF!+'Evolutitve SCI'!#REF!</f>
        <v>#REF!</v>
      </c>
    </row>
    <row r="54" spans="2:32" hidden="1">
      <c r="B54" s="204" t="s">
        <v>102</v>
      </c>
      <c r="C54" s="259" t="e">
        <f>'Evolutitve SCI'!#REF!+'Evolutitve SCI'!#REF!+'Evolutitve SCI'!#REF!+'Evolutitve SCI'!#REF!+'Evolutitve SCI'!#REF!+'Evolutitve SCI'!#REF!</f>
        <v>#REF!</v>
      </c>
      <c r="D54" s="259" t="e">
        <f>'Evolutitve SCI'!#REF!+'Evolutitve SCI'!#REF!+'Evolutitve SCI'!#REF!+'Evolutitve SCI'!#REF!+'Evolutitve SCI'!#REF!+'Evolutitve SCI'!#REF!</f>
        <v>#REF!</v>
      </c>
      <c r="E54" s="259" t="e">
        <f>'Evolutitve SCI'!#REF!+'Evolutitve SCI'!#REF!+'Evolutitve SCI'!#REF!+'Evolutitve SCI'!#REF!+'Evolutitve SCI'!#REF!+'Evolutitve SCI'!#REF!</f>
        <v>#REF!</v>
      </c>
      <c r="F54" s="259" t="e">
        <f>'Evolutitve SCI'!#REF!+'Evolutitve SCI'!#REF!+'Evolutitve SCI'!#REF!+'Evolutitve SCI'!#REF!+'Evolutitve SCI'!#REF!+'Evolutitve SCI'!#REF!</f>
        <v>#REF!</v>
      </c>
      <c r="G54" s="259" t="e">
        <f>'Evolutitve SCI'!#REF!+'Evolutitve SCI'!#REF!+'Evolutitve SCI'!#REF!+'Evolutitve SCI'!#REF!+'Evolutitve SCI'!#REF!+'Evolutitve SCI'!#REF!</f>
        <v>#REF!</v>
      </c>
      <c r="H54" s="259" t="e">
        <f>'Evolutitve SCI'!#REF!+'Evolutitve SCI'!#REF!+'Evolutitve SCI'!#REF!+'Evolutitve SCI'!#REF!+'Evolutitve SCI'!#REF!+'Evolutitve SCI'!#REF!</f>
        <v>#REF!</v>
      </c>
      <c r="I54" s="259" t="e">
        <f>'Evolutitve SCI'!#REF!+'Evolutitve SCI'!#REF!+'Evolutitve SCI'!#REF!+'Evolutitve SCI'!#REF!+'Evolutitve SCI'!#REF!+'Evolutitve SCI'!#REF!</f>
        <v>#REF!</v>
      </c>
      <c r="J54" s="259" t="e">
        <f>'Evolutitve SCI'!#REF!+'Evolutitve SCI'!#REF!+'Evolutitve SCI'!#REF!+'Evolutitve SCI'!#REF!+'Evolutitve SCI'!#REF!+'Evolutitve SCI'!#REF!</f>
        <v>#REF!</v>
      </c>
      <c r="K54" s="259" t="e">
        <f>'Evolutitve SCI'!#REF!+'Evolutitve SCI'!#REF!+'Evolutitve SCI'!#REF!+'Evolutitve SCI'!#REF!+'Evolutitve SCI'!#REF!+'Evolutitve SCI'!#REF!</f>
        <v>#REF!</v>
      </c>
      <c r="L54" s="259" t="e">
        <f>'Evolutitve SCI'!#REF!+'Evolutitve SCI'!#REF!+'Evolutitve SCI'!#REF!+'Evolutitve SCI'!#REF!+'Evolutitve SCI'!#REF!+'Evolutitve SCI'!#REF!</f>
        <v>#REF!</v>
      </c>
      <c r="M54" s="259" t="e">
        <f>'Evolutitve SCI'!#REF!+'Evolutitve SCI'!#REF!+'Evolutitve SCI'!#REF!+'Evolutitve SCI'!#REF!+'Evolutitve SCI'!#REF!+'Evolutitve SCI'!#REF!</f>
        <v>#REF!</v>
      </c>
      <c r="N54" s="259" t="e">
        <f>'Evolutitve SCI'!#REF!+'Evolutitve SCI'!#REF!+'Evolutitve SCI'!#REF!+'Evolutitve SCI'!#REF!+'Evolutitve SCI'!#REF!+'Evolutitve SCI'!#REF!</f>
        <v>#REF!</v>
      </c>
      <c r="O54" s="259" t="e">
        <f>'Evolutitve SCI'!#REF!+'Evolutitve SCI'!#REF!+'Evolutitve SCI'!#REF!+'Evolutitve SCI'!#REF!+'Evolutitve SCI'!#REF!+'Evolutitve SCI'!#REF!</f>
        <v>#REF!</v>
      </c>
      <c r="P54" s="259" t="e">
        <f>'Evolutitve SCI'!#REF!+'Evolutitve SCI'!#REF!+'Evolutitve SCI'!#REF!+'Evolutitve SCI'!#REF!+'Evolutitve SCI'!#REF!+'Evolutitve SCI'!#REF!</f>
        <v>#REF!</v>
      </c>
      <c r="Q54" s="259" t="e">
        <f>'Evolutitve SCI'!#REF!+'Evolutitve SCI'!#REF!+'Evolutitve SCI'!#REF!+'Evolutitve SCI'!#REF!+'Evolutitve SCI'!#REF!+'Evolutitve SCI'!#REF!</f>
        <v>#REF!</v>
      </c>
      <c r="R54" s="259" t="e">
        <f>'Evolutitve SCI'!#REF!+'Evolutitve SCI'!#REF!+'Evolutitve SCI'!#REF!+'Evolutitve SCI'!#REF!+'Evolutitve SCI'!#REF!+'Evolutitve SCI'!#REF!</f>
        <v>#REF!</v>
      </c>
      <c r="S54" s="259" t="e">
        <f>'Evolutitve SCI'!#REF!+'Evolutitve SCI'!#REF!+'Evolutitve SCI'!#REF!+'Evolutitve SCI'!#REF!+'Evolutitve SCI'!#REF!+'Evolutitve SCI'!#REF!</f>
        <v>#REF!</v>
      </c>
      <c r="T54" s="259" t="e">
        <f>'Evolutitve SCI'!#REF!+'Evolutitve SCI'!#REF!+'Evolutitve SCI'!#REF!+'Evolutitve SCI'!#REF!+'Evolutitve SCI'!#REF!+'Evolutitve SCI'!#REF!</f>
        <v>#REF!</v>
      </c>
      <c r="U54" s="259" t="e">
        <f>'Evolutitve SCI'!#REF!+'Evolutitve SCI'!#REF!+'Evolutitve SCI'!#REF!+'Evolutitve SCI'!#REF!+'Evolutitve SCI'!#REF!+'Evolutitve SCI'!#REF!</f>
        <v>#REF!</v>
      </c>
      <c r="V54" s="259" t="e">
        <f>'Evolutitve SCI'!#REF!+'Evolutitve SCI'!#REF!+'Evolutitve SCI'!#REF!+'Evolutitve SCI'!#REF!+'Evolutitve SCI'!#REF!+'Evolutitve SCI'!#REF!</f>
        <v>#REF!</v>
      </c>
      <c r="W54" s="259" t="e">
        <f>'Evolutitve SCI'!#REF!+'Evolutitve SCI'!#REF!+'Evolutitve SCI'!#REF!+'Evolutitve SCI'!#REF!+'Evolutitve SCI'!#REF!+'Evolutitve SCI'!#REF!</f>
        <v>#REF!</v>
      </c>
      <c r="X54" s="259" t="e">
        <f>'Evolutitve SCI'!#REF!+'Evolutitve SCI'!#REF!+'Evolutitve SCI'!#REF!+'Evolutitve SCI'!#REF!+'Evolutitve SCI'!#REF!+'Evolutitve SCI'!#REF!</f>
        <v>#REF!</v>
      </c>
      <c r="Y54" s="259" t="e">
        <f>'Evolutitve SCI'!#REF!+'Evolutitve SCI'!#REF!+'Evolutitve SCI'!#REF!+'Evolutitve SCI'!#REF!+'Evolutitve SCI'!#REF!+'Evolutitve SCI'!#REF!</f>
        <v>#REF!</v>
      </c>
      <c r="Z54" s="259" t="e">
        <f>'Evolutitve SCI'!#REF!+'Evolutitve SCI'!#REF!+'Evolutitve SCI'!#REF!+'Evolutitve SCI'!#REF!+'Evolutitve SCI'!#REF!+'Evolutitve SCI'!#REF!</f>
        <v>#REF!</v>
      </c>
      <c r="AA54" s="259" t="e">
        <f>'Evolutitve SCI'!#REF!+'Evolutitve SCI'!#REF!+'Evolutitve SCI'!#REF!+'Evolutitve SCI'!#REF!+'Evolutitve SCI'!#REF!+'Evolutitve SCI'!#REF!</f>
        <v>#REF!</v>
      </c>
      <c r="AB54" s="259" t="e">
        <f>'Evolutitve SCI'!#REF!+'Evolutitve SCI'!#REF!+'Evolutitve SCI'!#REF!+'Evolutitve SCI'!#REF!+'Evolutitve SCI'!#REF!+'Evolutitve SCI'!#REF!</f>
        <v>#REF!</v>
      </c>
      <c r="AC54" s="259" t="e">
        <f>'Evolutitve SCI'!#REF!+'Evolutitve SCI'!#REF!+'Evolutitve SCI'!#REF!+'Evolutitve SCI'!#REF!+'Evolutitve SCI'!#REF!+'Evolutitve SCI'!#REF!</f>
        <v>#REF!</v>
      </c>
      <c r="AD54" s="259" t="e">
        <f>'Evolutitve SCI'!#REF!+'Evolutitve SCI'!#REF!+'Evolutitve SCI'!#REF!+'Evolutitve SCI'!#REF!+'Evolutitve SCI'!#REF!+'Evolutitve SCI'!#REF!</f>
        <v>#REF!</v>
      </c>
      <c r="AE54" s="259" t="e">
        <f>'Evolutitve SCI'!#REF!+'Evolutitve SCI'!#REF!+'Evolutitve SCI'!#REF!+'Evolutitve SCI'!#REF!+'Evolutitve SCI'!#REF!+'Evolutitve SCI'!#REF!</f>
        <v>#REF!</v>
      </c>
      <c r="AF54" s="259" t="e">
        <f>'Evolutitve SCI'!#REF!+'Evolutitve SCI'!#REF!+'Evolutitve SCI'!#REF!+'Evolutitve SCI'!#REF!+'Evolutitve SCI'!#REF!+'Evolutitve SCI'!#REF!</f>
        <v>#REF!</v>
      </c>
    </row>
    <row r="55" spans="2:32" hidden="1">
      <c r="B55" s="204" t="s">
        <v>154</v>
      </c>
      <c r="C55" s="259" t="e">
        <f>'Evolutive SFP'!#REF!+'Evolutive SFP'!#REF!+'Evolutive SFP'!#REF!+'Evolutive SFP'!#REF!</f>
        <v>#REF!</v>
      </c>
      <c r="D55" s="259" t="e">
        <f>'Evolutive SFP'!#REF!+'Evolutive SFP'!#REF!+'Evolutive SFP'!#REF!+'Evolutive SFP'!#REF!</f>
        <v>#REF!</v>
      </c>
      <c r="E55" s="259" t="e">
        <f>'Evolutive SFP'!#REF!+'Evolutive SFP'!#REF!+'Evolutive SFP'!#REF!+'Evolutive SFP'!#REF!</f>
        <v>#REF!</v>
      </c>
      <c r="F55" s="259" t="e">
        <f>'Evolutive SFP'!#REF!+'Evolutive SFP'!#REF!+'Evolutive SFP'!#REF!+'Evolutive SFP'!#REF!</f>
        <v>#REF!</v>
      </c>
      <c r="G55" s="259" t="e">
        <f>'Evolutive SFP'!#REF!+'Evolutive SFP'!#REF!+'Evolutive SFP'!#REF!+'Evolutive SFP'!#REF!</f>
        <v>#REF!</v>
      </c>
      <c r="H55" s="259" t="e">
        <f>'Evolutive SFP'!#REF!+'Evolutive SFP'!#REF!+'Evolutive SFP'!#REF!+'Evolutive SFP'!#REF!</f>
        <v>#REF!</v>
      </c>
      <c r="I55" s="259" t="e">
        <f>'Evolutive SFP'!#REF!+'Evolutive SFP'!#REF!+'Evolutive SFP'!#REF!+'Evolutive SFP'!#REF!</f>
        <v>#REF!</v>
      </c>
      <c r="J55" s="259" t="e">
        <f>'Evolutive SFP'!#REF!+'Evolutive SFP'!#REF!+'Evolutive SFP'!#REF!+'Evolutive SFP'!#REF!</f>
        <v>#REF!</v>
      </c>
      <c r="K55" s="259" t="e">
        <f>'Evolutive SFP'!#REF!+'Evolutive SFP'!#REF!+'Evolutive SFP'!#REF!+'Evolutive SFP'!#REF!</f>
        <v>#REF!</v>
      </c>
      <c r="L55" s="259" t="e">
        <f>'Evolutive SFP'!#REF!+'Evolutive SFP'!#REF!+'Evolutive SFP'!#REF!+'Evolutive SFP'!#REF!</f>
        <v>#REF!</v>
      </c>
      <c r="M55" s="259" t="e">
        <f>'Evolutive SFP'!#REF!+'Evolutive SFP'!#REF!+'Evolutive SFP'!#REF!+'Evolutive SFP'!#REF!</f>
        <v>#REF!</v>
      </c>
      <c r="N55" s="259" t="e">
        <f>'Evolutive SFP'!#REF!+'Evolutive SFP'!#REF!+'Evolutive SFP'!#REF!+'Evolutive SFP'!#REF!</f>
        <v>#REF!</v>
      </c>
      <c r="O55" s="259" t="e">
        <f>'Evolutive SFP'!#REF!+'Evolutive SFP'!#REF!+'Evolutive SFP'!#REF!+'Evolutive SFP'!#REF!</f>
        <v>#REF!</v>
      </c>
      <c r="P55" s="259" t="e">
        <f>'Evolutive SFP'!#REF!+'Evolutive SFP'!#REF!+'Evolutive SFP'!#REF!+'Evolutive SFP'!#REF!</f>
        <v>#REF!</v>
      </c>
      <c r="Q55" s="259" t="e">
        <f>'Evolutive SFP'!#REF!+'Evolutive SFP'!#REF!+'Evolutive SFP'!#REF!+'Evolutive SFP'!#REF!</f>
        <v>#REF!</v>
      </c>
      <c r="R55" s="259" t="e">
        <f>'Evolutive SFP'!#REF!+'Evolutive SFP'!#REF!+'Evolutive SFP'!#REF!+'Evolutive SFP'!#REF!</f>
        <v>#REF!</v>
      </c>
      <c r="S55" s="259" t="e">
        <f>'Evolutive SFP'!#REF!+'Evolutive SFP'!#REF!+'Evolutive SFP'!#REF!+'Evolutive SFP'!#REF!</f>
        <v>#REF!</v>
      </c>
      <c r="T55" s="259" t="e">
        <f>'Evolutive SFP'!#REF!+'Evolutive SFP'!#REF!+'Evolutive SFP'!#REF!+'Evolutive SFP'!#REF!</f>
        <v>#REF!</v>
      </c>
      <c r="U55" s="259" t="e">
        <f>'Evolutive SFP'!#REF!+'Evolutive SFP'!#REF!+'Evolutive SFP'!#REF!+'Evolutive SFP'!#REF!</f>
        <v>#REF!</v>
      </c>
      <c r="V55" s="259" t="e">
        <f>'Evolutive SFP'!#REF!+'Evolutive SFP'!#REF!+'Evolutive SFP'!#REF!+'Evolutive SFP'!#REF!</f>
        <v>#REF!</v>
      </c>
      <c r="W55" s="259" t="e">
        <f>'Evolutive SFP'!#REF!+'Evolutive SFP'!#REF!+'Evolutive SFP'!#REF!+'Evolutive SFP'!#REF!</f>
        <v>#REF!</v>
      </c>
      <c r="X55" s="259" t="e">
        <f>'Evolutive SFP'!#REF!+'Evolutive SFP'!#REF!+'Evolutive SFP'!#REF!+'Evolutive SFP'!#REF!</f>
        <v>#REF!</v>
      </c>
      <c r="Y55" s="259" t="e">
        <f>'Evolutive SFP'!#REF!+'Evolutive SFP'!#REF!+'Evolutive SFP'!#REF!+'Evolutive SFP'!#REF!</f>
        <v>#REF!</v>
      </c>
      <c r="Z55" s="259" t="e">
        <f>'Evolutive SFP'!#REF!+'Evolutive SFP'!#REF!+'Evolutive SFP'!#REF!+'Evolutive SFP'!#REF!</f>
        <v>#REF!</v>
      </c>
      <c r="AA55" s="259" t="e">
        <f>'Evolutive SFP'!#REF!+'Evolutive SFP'!#REF!+'Evolutive SFP'!#REF!+'Evolutive SFP'!#REF!</f>
        <v>#REF!</v>
      </c>
      <c r="AB55" s="259" t="e">
        <f>'Evolutive SFP'!#REF!+'Evolutive SFP'!#REF!+'Evolutive SFP'!#REF!+'Evolutive SFP'!#REF!</f>
        <v>#REF!</v>
      </c>
      <c r="AC55" s="259" t="e">
        <f>'Evolutive SFP'!#REF!+'Evolutive SFP'!#REF!+'Evolutive SFP'!#REF!+'Evolutive SFP'!#REF!</f>
        <v>#REF!</v>
      </c>
      <c r="AD55" s="259" t="e">
        <f>'Evolutive SFP'!#REF!+'Evolutive SFP'!#REF!+'Evolutive SFP'!#REF!+'Evolutive SFP'!#REF!</f>
        <v>#REF!</v>
      </c>
      <c r="AE55" s="259" t="e">
        <f>'Evolutive SFP'!#REF!+'Evolutive SFP'!#REF!+'Evolutive SFP'!#REF!+'Evolutive SFP'!#REF!</f>
        <v>#REF!</v>
      </c>
      <c r="AF55" s="259" t="e">
        <f>'Evolutive SFP'!#REF!+'Evolutive SFP'!#REF!+'Evolutive SFP'!#REF!+'Evolutive SFP'!#REF!</f>
        <v>#REF!</v>
      </c>
    </row>
    <row r="56" spans="2:32" hidden="1">
      <c r="B56" s="204" t="s">
        <v>284</v>
      </c>
      <c r="C56" s="259" t="e">
        <f>'Evolutive SFP'!#REF!+'Evolutive SFP'!#REF!+'Evolutive SFP'!#REF!+'Evolutive SFP'!#REF!+'Evolutive SFP'!#REF!+'Evolutive SFP'!#REF!+'Evolutive SFP'!#REF!</f>
        <v>#REF!</v>
      </c>
      <c r="D56" s="259" t="e">
        <f>'Evolutive SFP'!#REF!+'Evolutive SFP'!#REF!+'Evolutive SFP'!#REF!+'Evolutive SFP'!#REF!+'Evolutive SFP'!#REF!+'Evolutive SFP'!#REF!+'Evolutive SFP'!#REF!</f>
        <v>#REF!</v>
      </c>
      <c r="E56" s="259" t="e">
        <f>'Evolutive SFP'!#REF!+'Evolutive SFP'!#REF!+'Evolutive SFP'!#REF!+'Evolutive SFP'!#REF!+'Evolutive SFP'!#REF!+'Evolutive SFP'!#REF!+'Evolutive SFP'!#REF!</f>
        <v>#REF!</v>
      </c>
      <c r="F56" s="259" t="e">
        <f>'Evolutive SFP'!#REF!+'Evolutive SFP'!#REF!+'Evolutive SFP'!#REF!+'Evolutive SFP'!#REF!+'Evolutive SFP'!#REF!+'Evolutive SFP'!#REF!+'Evolutive SFP'!#REF!</f>
        <v>#REF!</v>
      </c>
      <c r="G56" s="259" t="e">
        <f>'Evolutive SFP'!#REF!+'Evolutive SFP'!#REF!+'Evolutive SFP'!#REF!+'Evolutive SFP'!#REF!+'Evolutive SFP'!#REF!+'Evolutive SFP'!#REF!+'Evolutive SFP'!#REF!</f>
        <v>#REF!</v>
      </c>
      <c r="H56" s="259" t="e">
        <f>'Evolutive SFP'!#REF!+'Evolutive SFP'!#REF!+'Evolutive SFP'!#REF!+'Evolutive SFP'!#REF!+'Evolutive SFP'!#REF!+'Evolutive SFP'!#REF!+'Evolutive SFP'!#REF!</f>
        <v>#REF!</v>
      </c>
      <c r="I56" s="259" t="e">
        <f>'Evolutive SFP'!#REF!+'Evolutive SFP'!#REF!+'Evolutive SFP'!#REF!+'Evolutive SFP'!#REF!+'Evolutive SFP'!#REF!+'Evolutive SFP'!#REF!+'Evolutive SFP'!#REF!</f>
        <v>#REF!</v>
      </c>
      <c r="J56" s="259" t="e">
        <f>'Evolutive SFP'!#REF!+'Evolutive SFP'!#REF!+'Evolutive SFP'!#REF!+'Evolutive SFP'!#REF!+'Evolutive SFP'!#REF!+'Evolutive SFP'!#REF!+'Evolutive SFP'!#REF!</f>
        <v>#REF!</v>
      </c>
      <c r="K56" s="259" t="e">
        <f>'Evolutive SFP'!#REF!+'Evolutive SFP'!#REF!+'Evolutive SFP'!#REF!+'Evolutive SFP'!#REF!+'Evolutive SFP'!#REF!+'Evolutive SFP'!#REF!+'Evolutive SFP'!#REF!</f>
        <v>#REF!</v>
      </c>
      <c r="L56" s="259" t="e">
        <f>'Evolutive SFP'!#REF!+'Evolutive SFP'!#REF!+'Evolutive SFP'!#REF!+'Evolutive SFP'!#REF!+'Evolutive SFP'!#REF!+'Evolutive SFP'!#REF!+'Evolutive SFP'!#REF!</f>
        <v>#REF!</v>
      </c>
      <c r="M56" s="259" t="e">
        <f>'Evolutive SFP'!#REF!+'Evolutive SFP'!#REF!+'Evolutive SFP'!#REF!+'Evolutive SFP'!#REF!+'Evolutive SFP'!#REF!+'Evolutive SFP'!#REF!+'Evolutive SFP'!#REF!</f>
        <v>#REF!</v>
      </c>
      <c r="N56" s="259" t="e">
        <f>'Evolutive SFP'!#REF!+'Evolutive SFP'!#REF!+'Evolutive SFP'!#REF!+'Evolutive SFP'!#REF!+'Evolutive SFP'!#REF!+'Evolutive SFP'!#REF!+'Evolutive SFP'!#REF!</f>
        <v>#REF!</v>
      </c>
      <c r="O56" s="259" t="e">
        <f>'Evolutive SFP'!#REF!+'Evolutive SFP'!#REF!+'Evolutive SFP'!#REF!+'Evolutive SFP'!#REF!+'Evolutive SFP'!#REF!+'Evolutive SFP'!#REF!+'Evolutive SFP'!#REF!</f>
        <v>#REF!</v>
      </c>
      <c r="P56" s="259" t="e">
        <f>'Evolutive SFP'!#REF!+'Evolutive SFP'!#REF!+'Evolutive SFP'!#REF!+'Evolutive SFP'!#REF!+'Evolutive SFP'!#REF!+'Evolutive SFP'!#REF!+'Evolutive SFP'!#REF!</f>
        <v>#REF!</v>
      </c>
      <c r="Q56" s="259" t="e">
        <f>'Evolutive SFP'!#REF!+'Evolutive SFP'!#REF!+'Evolutive SFP'!#REF!+'Evolutive SFP'!#REF!+'Evolutive SFP'!#REF!+'Evolutive SFP'!#REF!+'Evolutive SFP'!#REF!</f>
        <v>#REF!</v>
      </c>
      <c r="R56" s="259" t="e">
        <f>'Evolutive SFP'!#REF!+'Evolutive SFP'!#REF!+'Evolutive SFP'!#REF!+'Evolutive SFP'!#REF!+'Evolutive SFP'!#REF!+'Evolutive SFP'!#REF!+'Evolutive SFP'!#REF!</f>
        <v>#REF!</v>
      </c>
      <c r="S56" s="259" t="e">
        <f>'Evolutive SFP'!#REF!+'Evolutive SFP'!#REF!+'Evolutive SFP'!#REF!+'Evolutive SFP'!#REF!+'Evolutive SFP'!#REF!+'Evolutive SFP'!#REF!+'Evolutive SFP'!#REF!</f>
        <v>#REF!</v>
      </c>
      <c r="T56" s="259" t="e">
        <f>'Evolutive SFP'!#REF!+'Evolutive SFP'!#REF!+'Evolutive SFP'!#REF!+'Evolutive SFP'!#REF!+'Evolutive SFP'!#REF!+'Evolutive SFP'!#REF!+'Evolutive SFP'!#REF!</f>
        <v>#REF!</v>
      </c>
      <c r="U56" s="259" t="e">
        <f>'Evolutive SFP'!#REF!+'Evolutive SFP'!#REF!+'Evolutive SFP'!#REF!+'Evolutive SFP'!#REF!+'Evolutive SFP'!#REF!+'Evolutive SFP'!#REF!+'Evolutive SFP'!#REF!</f>
        <v>#REF!</v>
      </c>
      <c r="V56" s="259" t="e">
        <f>'Evolutive SFP'!#REF!+'Evolutive SFP'!#REF!+'Evolutive SFP'!#REF!+'Evolutive SFP'!#REF!+'Evolutive SFP'!#REF!+'Evolutive SFP'!#REF!+'Evolutive SFP'!#REF!</f>
        <v>#REF!</v>
      </c>
      <c r="W56" s="259" t="e">
        <f>'Evolutive SFP'!#REF!+'Evolutive SFP'!#REF!+'Evolutive SFP'!#REF!+'Evolutive SFP'!#REF!+'Evolutive SFP'!#REF!+'Evolutive SFP'!#REF!+'Evolutive SFP'!#REF!</f>
        <v>#REF!</v>
      </c>
      <c r="X56" s="259" t="e">
        <f>'Evolutive SFP'!#REF!+'Evolutive SFP'!#REF!+'Evolutive SFP'!#REF!+'Evolutive SFP'!#REF!+'Evolutive SFP'!#REF!+'Evolutive SFP'!#REF!+'Evolutive SFP'!#REF!</f>
        <v>#REF!</v>
      </c>
      <c r="Y56" s="259" t="e">
        <f>'Evolutive SFP'!#REF!+'Evolutive SFP'!#REF!+'Evolutive SFP'!#REF!+'Evolutive SFP'!#REF!+'Evolutive SFP'!#REF!+'Evolutive SFP'!#REF!+'Evolutive SFP'!#REF!</f>
        <v>#REF!</v>
      </c>
      <c r="Z56" s="259" t="e">
        <f>'Evolutive SFP'!#REF!+'Evolutive SFP'!#REF!+'Evolutive SFP'!#REF!+'Evolutive SFP'!#REF!+'Evolutive SFP'!#REF!+'Evolutive SFP'!#REF!+'Evolutive SFP'!#REF!</f>
        <v>#REF!</v>
      </c>
      <c r="AA56" s="259" t="e">
        <f>'Evolutive SFP'!#REF!+'Evolutive SFP'!#REF!+'Evolutive SFP'!#REF!+'Evolutive SFP'!#REF!+'Evolutive SFP'!#REF!+'Evolutive SFP'!#REF!+'Evolutive SFP'!#REF!</f>
        <v>#REF!</v>
      </c>
      <c r="AB56" s="259" t="e">
        <f>'Evolutive SFP'!#REF!+'Evolutive SFP'!#REF!+'Evolutive SFP'!#REF!+'Evolutive SFP'!#REF!+'Evolutive SFP'!#REF!+'Evolutive SFP'!#REF!+'Evolutive SFP'!#REF!</f>
        <v>#REF!</v>
      </c>
      <c r="AC56" s="259" t="e">
        <f>'Evolutive SFP'!#REF!+'Evolutive SFP'!#REF!+'Evolutive SFP'!#REF!+'Evolutive SFP'!#REF!+'Evolutive SFP'!#REF!+'Evolutive SFP'!#REF!+'Evolutive SFP'!#REF!</f>
        <v>#REF!</v>
      </c>
      <c r="AD56" s="259" t="e">
        <f>'Evolutive SFP'!#REF!+'Evolutive SFP'!#REF!+'Evolutive SFP'!#REF!+'Evolutive SFP'!#REF!+'Evolutive SFP'!#REF!+'Evolutive SFP'!#REF!+'Evolutive SFP'!#REF!</f>
        <v>#REF!</v>
      </c>
      <c r="AE56" s="259" t="e">
        <f>'Evolutive SFP'!#REF!+'Evolutive SFP'!#REF!+'Evolutive SFP'!#REF!+'Evolutive SFP'!#REF!+'Evolutive SFP'!#REF!+'Evolutive SFP'!#REF!+'Evolutive SFP'!#REF!</f>
        <v>#REF!</v>
      </c>
      <c r="AF56" s="259" t="e">
        <f>'Evolutive SFP'!#REF!+'Evolutive SFP'!#REF!+'Evolutive SFP'!#REF!+'Evolutive SFP'!#REF!+'Evolutive SFP'!#REF!+'Evolutive SFP'!#REF!+'Evolutive SFP'!#REF!</f>
        <v>#REF!</v>
      </c>
    </row>
    <row r="57" spans="2:32" hidden="1">
      <c r="B57" s="204" t="s">
        <v>161</v>
      </c>
      <c r="C57" s="259" t="e">
        <f>'Evolutitve SCI'!#REF!</f>
        <v>#REF!</v>
      </c>
      <c r="D57" s="259" t="e">
        <f>'Evolutitve SCI'!#REF!</f>
        <v>#REF!</v>
      </c>
      <c r="E57" s="259" t="e">
        <f>'Evolutitve SCI'!#REF!</f>
        <v>#REF!</v>
      </c>
      <c r="F57" s="259" t="e">
        <f>'Evolutitve SCI'!#REF!</f>
        <v>#REF!</v>
      </c>
      <c r="G57" s="259" t="e">
        <f>'Evolutitve SCI'!#REF!</f>
        <v>#REF!</v>
      </c>
      <c r="H57" s="259" t="e">
        <f>'Evolutitve SCI'!#REF!</f>
        <v>#REF!</v>
      </c>
      <c r="I57" s="259" t="e">
        <f>'Evolutitve SCI'!#REF!</f>
        <v>#REF!</v>
      </c>
      <c r="J57" s="259" t="e">
        <f>'Evolutitve SCI'!#REF!</f>
        <v>#REF!</v>
      </c>
      <c r="K57" s="259" t="e">
        <f>'Evolutitve SCI'!#REF!</f>
        <v>#REF!</v>
      </c>
      <c r="L57" s="259" t="e">
        <f>'Evolutitve SCI'!#REF!</f>
        <v>#REF!</v>
      </c>
      <c r="M57" s="259" t="e">
        <f>'Evolutitve SCI'!#REF!</f>
        <v>#REF!</v>
      </c>
      <c r="N57" s="259" t="e">
        <f>'Evolutitve SCI'!#REF!</f>
        <v>#REF!</v>
      </c>
      <c r="O57" s="259" t="e">
        <f>'Evolutitve SCI'!#REF!</f>
        <v>#REF!</v>
      </c>
      <c r="P57" s="259" t="e">
        <f>'Evolutitve SCI'!#REF!</f>
        <v>#REF!</v>
      </c>
      <c r="Q57" s="259" t="e">
        <f>'Evolutitve SCI'!#REF!</f>
        <v>#REF!</v>
      </c>
      <c r="R57" s="259" t="e">
        <f>'Evolutitve SCI'!#REF!</f>
        <v>#REF!</v>
      </c>
      <c r="S57" s="259" t="e">
        <f>'Evolutitve SCI'!#REF!</f>
        <v>#REF!</v>
      </c>
      <c r="T57" s="259" t="e">
        <f>'Evolutitve SCI'!#REF!</f>
        <v>#REF!</v>
      </c>
      <c r="U57" s="259" t="e">
        <f>'Evolutitve SCI'!#REF!</f>
        <v>#REF!</v>
      </c>
      <c r="V57" s="259" t="e">
        <f>'Evolutitve SCI'!#REF!</f>
        <v>#REF!</v>
      </c>
      <c r="W57" s="259" t="e">
        <f>'Evolutitve SCI'!#REF!</f>
        <v>#REF!</v>
      </c>
      <c r="X57" s="259" t="e">
        <f>'Evolutitve SCI'!#REF!</f>
        <v>#REF!</v>
      </c>
      <c r="Y57" s="259" t="e">
        <f>'Evolutitve SCI'!#REF!</f>
        <v>#REF!</v>
      </c>
      <c r="Z57" s="259" t="e">
        <f>'Evolutitve SCI'!#REF!</f>
        <v>#REF!</v>
      </c>
      <c r="AA57" s="259" t="e">
        <f>'Evolutitve SCI'!#REF!</f>
        <v>#REF!</v>
      </c>
      <c r="AB57" s="259" t="e">
        <f>'Evolutitve SCI'!#REF!</f>
        <v>#REF!</v>
      </c>
      <c r="AC57" s="259" t="e">
        <f>'Evolutitve SCI'!#REF!</f>
        <v>#REF!</v>
      </c>
      <c r="AD57" s="259" t="e">
        <f>'Evolutitve SCI'!#REF!</f>
        <v>#REF!</v>
      </c>
      <c r="AE57" s="259" t="e">
        <f>'Evolutitve SCI'!#REF!</f>
        <v>#REF!</v>
      </c>
      <c r="AF57" s="259" t="e">
        <f>'Evolutitve SCI'!#REF!</f>
        <v>#REF!</v>
      </c>
    </row>
    <row r="58" spans="2:32" hidden="1">
      <c r="B58" s="204" t="s">
        <v>153</v>
      </c>
      <c r="C58" s="259" t="e">
        <f>'Evolutive SFP'!#REF!</f>
        <v>#REF!</v>
      </c>
      <c r="D58" s="259" t="e">
        <f>'Evolutive SFP'!#REF!</f>
        <v>#REF!</v>
      </c>
      <c r="E58" s="259" t="e">
        <f>'Evolutive SFP'!#REF!</f>
        <v>#REF!</v>
      </c>
      <c r="F58" s="259" t="e">
        <f>'Evolutive SFP'!#REF!</f>
        <v>#REF!</v>
      </c>
      <c r="G58" s="259" t="e">
        <f>'Evolutive SFP'!#REF!</f>
        <v>#REF!</v>
      </c>
      <c r="H58" s="259" t="e">
        <f>'Evolutive SFP'!#REF!</f>
        <v>#REF!</v>
      </c>
      <c r="I58" s="259" t="e">
        <f>'Evolutive SFP'!#REF!</f>
        <v>#REF!</v>
      </c>
      <c r="J58" s="259" t="e">
        <f>'Evolutive SFP'!#REF!</f>
        <v>#REF!</v>
      </c>
      <c r="K58" s="259" t="e">
        <f>'Evolutive SFP'!#REF!</f>
        <v>#REF!</v>
      </c>
      <c r="L58" s="259" t="e">
        <f>'Evolutive SFP'!#REF!</f>
        <v>#REF!</v>
      </c>
      <c r="M58" s="259" t="e">
        <f>'Evolutive SFP'!#REF!</f>
        <v>#REF!</v>
      </c>
      <c r="N58" s="259" t="e">
        <f>'Evolutive SFP'!#REF!</f>
        <v>#REF!</v>
      </c>
      <c r="O58" s="259" t="e">
        <f>'Evolutive SFP'!#REF!</f>
        <v>#REF!</v>
      </c>
      <c r="P58" s="259" t="e">
        <f>'Evolutive SFP'!#REF!</f>
        <v>#REF!</v>
      </c>
      <c r="Q58" s="259" t="e">
        <f>'Evolutive SFP'!#REF!</f>
        <v>#REF!</v>
      </c>
      <c r="R58" s="259" t="e">
        <f>'Evolutive SFP'!#REF!</f>
        <v>#REF!</v>
      </c>
      <c r="S58" s="259" t="e">
        <f>'Evolutive SFP'!#REF!</f>
        <v>#REF!</v>
      </c>
      <c r="T58" s="259" t="e">
        <f>'Evolutive SFP'!#REF!</f>
        <v>#REF!</v>
      </c>
      <c r="U58" s="259" t="e">
        <f>'Evolutive SFP'!#REF!</f>
        <v>#REF!</v>
      </c>
      <c r="V58" s="259" t="e">
        <f>'Evolutive SFP'!#REF!</f>
        <v>#REF!</v>
      </c>
      <c r="W58" s="259" t="e">
        <f>'Evolutive SFP'!#REF!</f>
        <v>#REF!</v>
      </c>
      <c r="X58" s="259" t="e">
        <f>'Evolutive SFP'!#REF!</f>
        <v>#REF!</v>
      </c>
      <c r="Y58" s="259" t="e">
        <f>'Evolutive SFP'!#REF!</f>
        <v>#REF!</v>
      </c>
      <c r="Z58" s="259" t="e">
        <f>'Evolutive SFP'!#REF!</f>
        <v>#REF!</v>
      </c>
      <c r="AA58" s="259" t="e">
        <f>'Evolutive SFP'!#REF!</f>
        <v>#REF!</v>
      </c>
      <c r="AB58" s="259" t="e">
        <f>'Evolutive SFP'!#REF!</f>
        <v>#REF!</v>
      </c>
      <c r="AC58" s="259" t="e">
        <f>'Evolutive SFP'!#REF!</f>
        <v>#REF!</v>
      </c>
      <c r="AD58" s="259" t="e">
        <f>'Evolutive SFP'!#REF!</f>
        <v>#REF!</v>
      </c>
      <c r="AE58" s="259" t="e">
        <f>'Evolutive SFP'!#REF!</f>
        <v>#REF!</v>
      </c>
      <c r="AF58" s="259" t="e">
        <f>'Evolutive SFP'!#REF!</f>
        <v>#REF!</v>
      </c>
    </row>
    <row r="59" spans="2:32" hidden="1">
      <c r="B59" s="204" t="s">
        <v>152</v>
      </c>
      <c r="C59" s="259" t="e">
        <f>'Evolutive SFP'!#REF!+'Evolutive SFP'!#REF!+'Evolutive SFP'!#REF!</f>
        <v>#REF!</v>
      </c>
      <c r="D59" s="259" t="e">
        <f>'Evolutive SFP'!#REF!+'Evolutive SFP'!#REF!+'Evolutive SFP'!#REF!</f>
        <v>#REF!</v>
      </c>
      <c r="E59" s="259" t="e">
        <f>'Evolutive SFP'!#REF!+'Evolutive SFP'!#REF!+'Evolutive SFP'!#REF!</f>
        <v>#REF!</v>
      </c>
      <c r="F59" s="259" t="e">
        <f>'Evolutive SFP'!#REF!+'Evolutive SFP'!#REF!+'Evolutive SFP'!#REF!</f>
        <v>#REF!</v>
      </c>
      <c r="G59" s="259" t="e">
        <f>'Evolutive SFP'!#REF!+'Evolutive SFP'!#REF!+'Evolutive SFP'!#REF!</f>
        <v>#REF!</v>
      </c>
      <c r="H59" s="259" t="e">
        <f>'Evolutive SFP'!#REF!+'Evolutive SFP'!#REF!+'Evolutive SFP'!#REF!</f>
        <v>#REF!</v>
      </c>
      <c r="I59" s="259" t="e">
        <f>'Evolutive SFP'!#REF!+'Evolutive SFP'!#REF!+'Evolutive SFP'!#REF!</f>
        <v>#REF!</v>
      </c>
      <c r="J59" s="259" t="e">
        <f>'Evolutive SFP'!#REF!+'Evolutive SFP'!#REF!+'Evolutive SFP'!#REF!</f>
        <v>#REF!</v>
      </c>
      <c r="K59" s="259" t="e">
        <f>'Evolutive SFP'!#REF!+'Evolutive SFP'!#REF!+'Evolutive SFP'!#REF!</f>
        <v>#REF!</v>
      </c>
      <c r="L59" s="259" t="e">
        <f>'Evolutive SFP'!#REF!+'Evolutive SFP'!#REF!+'Evolutive SFP'!#REF!</f>
        <v>#REF!</v>
      </c>
      <c r="M59" s="259" t="e">
        <f>'Evolutive SFP'!#REF!+'Evolutive SFP'!#REF!+'Evolutive SFP'!#REF!</f>
        <v>#REF!</v>
      </c>
      <c r="N59" s="259" t="e">
        <f>'Evolutive SFP'!#REF!+'Evolutive SFP'!#REF!+'Evolutive SFP'!#REF!</f>
        <v>#REF!</v>
      </c>
      <c r="O59" s="259" t="e">
        <f>'Evolutive SFP'!#REF!+'Evolutive SFP'!#REF!+'Evolutive SFP'!#REF!</f>
        <v>#REF!</v>
      </c>
      <c r="P59" s="259" t="e">
        <f>'Evolutive SFP'!#REF!+'Evolutive SFP'!#REF!+'Evolutive SFP'!#REF!</f>
        <v>#REF!</v>
      </c>
      <c r="Q59" s="259" t="e">
        <f>'Evolutive SFP'!#REF!+'Evolutive SFP'!#REF!+'Evolutive SFP'!#REF!</f>
        <v>#REF!</v>
      </c>
      <c r="R59" s="259" t="e">
        <f>'Evolutive SFP'!#REF!+'Evolutive SFP'!#REF!+'Evolutive SFP'!#REF!</f>
        <v>#REF!</v>
      </c>
      <c r="S59" s="259" t="e">
        <f>'Evolutive SFP'!#REF!+'Evolutive SFP'!#REF!+'Evolutive SFP'!#REF!</f>
        <v>#REF!</v>
      </c>
      <c r="T59" s="259" t="e">
        <f>'Evolutive SFP'!#REF!+'Evolutive SFP'!#REF!+'Evolutive SFP'!#REF!</f>
        <v>#REF!</v>
      </c>
      <c r="U59" s="259" t="e">
        <f>'Evolutive SFP'!#REF!+'Evolutive SFP'!#REF!+'Evolutive SFP'!#REF!</f>
        <v>#REF!</v>
      </c>
      <c r="V59" s="259" t="e">
        <f>'Evolutive SFP'!#REF!+'Evolutive SFP'!#REF!+'Evolutive SFP'!#REF!</f>
        <v>#REF!</v>
      </c>
      <c r="W59" s="259" t="e">
        <f>'Evolutive SFP'!#REF!+'Evolutive SFP'!#REF!+'Evolutive SFP'!#REF!</f>
        <v>#REF!</v>
      </c>
      <c r="X59" s="259" t="e">
        <f>'Evolutive SFP'!#REF!+'Evolutive SFP'!#REF!+'Evolutive SFP'!#REF!</f>
        <v>#REF!</v>
      </c>
      <c r="Y59" s="259" t="e">
        <f>'Evolutive SFP'!#REF!+'Evolutive SFP'!#REF!+'Evolutive SFP'!#REF!</f>
        <v>#REF!</v>
      </c>
      <c r="Z59" s="259" t="e">
        <f>'Evolutive SFP'!#REF!+'Evolutive SFP'!#REF!+'Evolutive SFP'!#REF!</f>
        <v>#REF!</v>
      </c>
      <c r="AA59" s="259" t="e">
        <f>'Evolutive SFP'!#REF!+'Evolutive SFP'!#REF!+'Evolutive SFP'!#REF!</f>
        <v>#REF!</v>
      </c>
      <c r="AB59" s="259" t="e">
        <f>'Evolutive SFP'!#REF!+'Evolutive SFP'!#REF!+'Evolutive SFP'!#REF!</f>
        <v>#REF!</v>
      </c>
      <c r="AC59" s="259" t="e">
        <f>'Evolutive SFP'!#REF!+'Evolutive SFP'!#REF!+'Evolutive SFP'!#REF!</f>
        <v>#REF!</v>
      </c>
      <c r="AD59" s="259" t="e">
        <f>'Evolutive SFP'!#REF!+'Evolutive SFP'!#REF!+'Evolutive SFP'!#REF!</f>
        <v>#REF!</v>
      </c>
      <c r="AE59" s="259" t="e">
        <f>'Evolutive SFP'!#REF!+'Evolutive SFP'!#REF!+'Evolutive SFP'!#REF!</f>
        <v>#REF!</v>
      </c>
      <c r="AF59" s="259" t="e">
        <f>'Evolutive SFP'!#REF!+'Evolutive SFP'!#REF!+'Evolutive SFP'!#REF!</f>
        <v>#REF!</v>
      </c>
    </row>
    <row r="60" spans="2:32" hidden="1">
      <c r="B60" s="205" t="s">
        <v>121</v>
      </c>
      <c r="C60" s="259" t="e">
        <f>'Evolutive SFP'!#REF!+'Evolutive SFP'!#REF!+'Evolutive SFP'!#REF!</f>
        <v>#REF!</v>
      </c>
      <c r="D60" s="259" t="e">
        <f>'Evolutive SFP'!#REF!+'Evolutive SFP'!#REF!+'Evolutive SFP'!#REF!</f>
        <v>#REF!</v>
      </c>
      <c r="E60" s="259" t="e">
        <f>'Evolutive SFP'!#REF!+'Evolutive SFP'!#REF!+'Evolutive SFP'!#REF!</f>
        <v>#REF!</v>
      </c>
      <c r="F60" s="259" t="e">
        <f>'Evolutive SFP'!#REF!+'Evolutive SFP'!#REF!+'Evolutive SFP'!#REF!</f>
        <v>#REF!</v>
      </c>
      <c r="G60" s="259" t="e">
        <f>'Evolutive SFP'!#REF!+'Evolutive SFP'!#REF!+'Evolutive SFP'!#REF!</f>
        <v>#REF!</v>
      </c>
      <c r="H60" s="259" t="e">
        <f>'Evolutive SFP'!#REF!+'Evolutive SFP'!#REF!+'Evolutive SFP'!#REF!</f>
        <v>#REF!</v>
      </c>
      <c r="I60" s="259" t="e">
        <f>'Evolutive SFP'!#REF!+'Evolutive SFP'!#REF!+'Evolutive SFP'!#REF!</f>
        <v>#REF!</v>
      </c>
      <c r="J60" s="259" t="e">
        <f>'Evolutive SFP'!#REF!+'Evolutive SFP'!#REF!+'Evolutive SFP'!#REF!</f>
        <v>#REF!</v>
      </c>
      <c r="K60" s="259" t="e">
        <f>'Evolutive SFP'!#REF!+'Evolutive SFP'!#REF!+'Evolutive SFP'!#REF!</f>
        <v>#REF!</v>
      </c>
      <c r="L60" s="259" t="e">
        <f>'Evolutive SFP'!#REF!+'Evolutive SFP'!#REF!+'Evolutive SFP'!#REF!</f>
        <v>#REF!</v>
      </c>
      <c r="M60" s="259" t="e">
        <f>'Evolutive SFP'!#REF!+'Evolutive SFP'!#REF!+'Evolutive SFP'!#REF!</f>
        <v>#REF!</v>
      </c>
      <c r="N60" s="259" t="e">
        <f>'Evolutive SFP'!#REF!+'Evolutive SFP'!#REF!+'Evolutive SFP'!#REF!</f>
        <v>#REF!</v>
      </c>
      <c r="O60" s="259" t="e">
        <f>'Evolutive SFP'!#REF!+'Evolutive SFP'!#REF!+'Evolutive SFP'!#REF!</f>
        <v>#REF!</v>
      </c>
      <c r="P60" s="259" t="e">
        <f>'Evolutive SFP'!#REF!+'Evolutive SFP'!#REF!+'Evolutive SFP'!#REF!</f>
        <v>#REF!</v>
      </c>
      <c r="Q60" s="259" t="e">
        <f>'Evolutive SFP'!#REF!+'Evolutive SFP'!#REF!+'Evolutive SFP'!#REF!</f>
        <v>#REF!</v>
      </c>
      <c r="R60" s="259" t="e">
        <f>'Evolutive SFP'!#REF!+'Evolutive SFP'!#REF!+'Evolutive SFP'!#REF!</f>
        <v>#REF!</v>
      </c>
      <c r="S60" s="259" t="e">
        <f>'Evolutive SFP'!#REF!+'Evolutive SFP'!#REF!+'Evolutive SFP'!#REF!</f>
        <v>#REF!</v>
      </c>
      <c r="T60" s="259" t="e">
        <f>'Evolutive SFP'!#REF!+'Evolutive SFP'!#REF!+'Evolutive SFP'!#REF!</f>
        <v>#REF!</v>
      </c>
      <c r="U60" s="259" t="e">
        <f>'Evolutive SFP'!#REF!+'Evolutive SFP'!#REF!+'Evolutive SFP'!#REF!</f>
        <v>#REF!</v>
      </c>
      <c r="V60" s="259" t="e">
        <f>'Evolutive SFP'!#REF!+'Evolutive SFP'!#REF!+'Evolutive SFP'!#REF!</f>
        <v>#REF!</v>
      </c>
      <c r="W60" s="259" t="e">
        <f>'Evolutive SFP'!#REF!+'Evolutive SFP'!#REF!+'Evolutive SFP'!#REF!</f>
        <v>#REF!</v>
      </c>
      <c r="X60" s="259" t="e">
        <f>'Evolutive SFP'!#REF!+'Evolutive SFP'!#REF!+'Evolutive SFP'!#REF!</f>
        <v>#REF!</v>
      </c>
      <c r="Y60" s="259" t="e">
        <f>'Evolutive SFP'!#REF!+'Evolutive SFP'!#REF!+'Evolutive SFP'!#REF!</f>
        <v>#REF!</v>
      </c>
      <c r="Z60" s="259" t="e">
        <f>'Evolutive SFP'!#REF!+'Evolutive SFP'!#REF!+'Evolutive SFP'!#REF!</f>
        <v>#REF!</v>
      </c>
      <c r="AA60" s="259" t="e">
        <f>'Evolutive SFP'!#REF!+'Evolutive SFP'!#REF!+'Evolutive SFP'!#REF!</f>
        <v>#REF!</v>
      </c>
      <c r="AB60" s="259" t="e">
        <f>'Evolutive SFP'!#REF!+'Evolutive SFP'!#REF!+'Evolutive SFP'!#REF!</f>
        <v>#REF!</v>
      </c>
      <c r="AC60" s="259" t="e">
        <f>'Evolutive SFP'!#REF!+'Evolutive SFP'!#REF!+'Evolutive SFP'!#REF!</f>
        <v>#REF!</v>
      </c>
      <c r="AD60" s="259" t="e">
        <f>'Evolutive SFP'!#REF!+'Evolutive SFP'!#REF!+'Evolutive SFP'!#REF!</f>
        <v>#REF!</v>
      </c>
      <c r="AE60" s="259" t="e">
        <f>'Evolutive SFP'!#REF!+'Evolutive SFP'!#REF!+'Evolutive SFP'!#REF!</f>
        <v>#REF!</v>
      </c>
      <c r="AF60" s="259" t="e">
        <f>'Evolutive SFP'!#REF!+'Evolutive SFP'!#REF!+'Evolutive SFP'!#REF!</f>
        <v>#REF!</v>
      </c>
    </row>
    <row r="61" spans="2:32" hidden="1"/>
    <row r="62" spans="2:32" hidden="1"/>
  </sheetData>
  <pageMargins left="0.7" right="0.7" top="0.75" bottom="0.75" header="0.3" footer="0.3"/>
  <pageSetup paperSize="9" scale="86" orientation="portrait" verticalDpi="0" r:id="rId1"/>
  <colBreaks count="1" manualBreakCount="1">
    <brk id="8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9"/>
  <sheetViews>
    <sheetView workbookViewId="0">
      <selection activeCell="D5" sqref="D5"/>
    </sheetView>
  </sheetViews>
  <sheetFormatPr defaultRowHeight="14.45"/>
  <cols>
    <col min="1" max="1" width="54.85546875" style="56" bestFit="1" customWidth="1"/>
    <col min="2" max="2" width="15" style="56" bestFit="1" customWidth="1"/>
    <col min="3" max="3" width="14.7109375" style="56" bestFit="1" customWidth="1"/>
    <col min="4" max="4" width="14" bestFit="1" customWidth="1"/>
    <col min="5" max="5" width="15.28515625" bestFit="1" customWidth="1"/>
    <col min="6" max="6" width="10.5703125" bestFit="1" customWidth="1"/>
  </cols>
  <sheetData>
    <row r="1" spans="1:8">
      <c r="A1" s="426" t="s">
        <v>285</v>
      </c>
      <c r="B1" s="426"/>
      <c r="C1" s="426"/>
    </row>
    <row r="2" spans="1:8">
      <c r="B2" s="57">
        <v>2015</v>
      </c>
      <c r="C2" s="57">
        <v>2014</v>
      </c>
    </row>
    <row r="3" spans="1:8">
      <c r="A3" s="58" t="s">
        <v>286</v>
      </c>
      <c r="B3" s="59"/>
      <c r="C3" s="60"/>
    </row>
    <row r="4" spans="1:8">
      <c r="A4" s="61" t="s">
        <v>287</v>
      </c>
      <c r="B4" s="62"/>
      <c r="C4" s="63"/>
      <c r="D4" s="62"/>
      <c r="F4" s="259"/>
    </row>
    <row r="5" spans="1:8">
      <c r="A5" s="61" t="s">
        <v>288</v>
      </c>
      <c r="B5" s="64"/>
      <c r="C5" s="65"/>
    </row>
    <row r="6" spans="1:8" ht="15.6">
      <c r="A6" s="61" t="s">
        <v>289</v>
      </c>
      <c r="B6" s="66"/>
      <c r="C6" s="67"/>
    </row>
    <row r="7" spans="1:8" ht="15.6">
      <c r="A7" s="61" t="s">
        <v>290</v>
      </c>
      <c r="B7" s="63"/>
      <c r="C7" s="65"/>
      <c r="E7" s="66"/>
      <c r="F7" s="67"/>
    </row>
    <row r="8" spans="1:8" ht="17.45">
      <c r="A8" s="68" t="s">
        <v>291</v>
      </c>
      <c r="B8" s="69">
        <f>B4+B5+B6+B7</f>
        <v>0</v>
      </c>
      <c r="C8" s="70">
        <f>SUM(C4:C7)</f>
        <v>0</v>
      </c>
      <c r="H8" s="71"/>
    </row>
    <row r="9" spans="1:8">
      <c r="A9" s="61" t="s">
        <v>292</v>
      </c>
      <c r="B9" s="64">
        <v>-21420750</v>
      </c>
      <c r="C9" s="65">
        <v>-19341453</v>
      </c>
      <c r="E9" s="72"/>
    </row>
    <row r="10" spans="1:8">
      <c r="A10" s="61" t="s">
        <v>293</v>
      </c>
      <c r="B10" s="64">
        <v>3405679</v>
      </c>
      <c r="C10" s="65">
        <v>644537</v>
      </c>
    </row>
    <row r="11" spans="1:8" ht="15.6">
      <c r="A11" s="61" t="s">
        <v>294</v>
      </c>
      <c r="B11" s="73"/>
      <c r="C11" s="67"/>
    </row>
    <row r="12" spans="1:8">
      <c r="A12" s="74" t="s">
        <v>295</v>
      </c>
      <c r="B12" s="75">
        <f>SUM(B9:B11)</f>
        <v>-18015071</v>
      </c>
      <c r="C12" s="76">
        <f>SUM(C9:C11)</f>
        <v>-18696916</v>
      </c>
    </row>
    <row r="13" spans="1:8">
      <c r="A13" s="77" t="s">
        <v>296</v>
      </c>
      <c r="B13" s="64">
        <v>37542318</v>
      </c>
      <c r="C13" s="65">
        <v>70912356</v>
      </c>
    </row>
    <row r="14" spans="1:8">
      <c r="A14" s="77" t="s">
        <v>297</v>
      </c>
      <c r="B14" s="63">
        <v>-2636186</v>
      </c>
      <c r="C14" s="65">
        <v>17927</v>
      </c>
    </row>
    <row r="15" spans="1:8">
      <c r="A15" s="77" t="s">
        <v>298</v>
      </c>
      <c r="B15" s="63">
        <v>-7154210</v>
      </c>
      <c r="C15" s="65">
        <v>-4536404</v>
      </c>
    </row>
    <row r="16" spans="1:8">
      <c r="A16" s="77" t="s">
        <v>299</v>
      </c>
      <c r="B16" s="63">
        <v>-312508</v>
      </c>
      <c r="C16" s="65">
        <v>-2877539</v>
      </c>
    </row>
    <row r="17" spans="1:5">
      <c r="A17" s="78" t="s">
        <v>300</v>
      </c>
      <c r="B17" s="79">
        <f>B8+B12+B13+B14+B15+B16</f>
        <v>9424343</v>
      </c>
      <c r="C17" s="79">
        <f>C8+C12+C13+C14+C15+C16</f>
        <v>44819424</v>
      </c>
    </row>
    <row r="18" spans="1:5" ht="15.6">
      <c r="A18" s="77" t="s">
        <v>301</v>
      </c>
      <c r="B18" s="73"/>
      <c r="C18" s="67"/>
    </row>
    <row r="19" spans="1:5" ht="17.45">
      <c r="A19" s="78" t="s">
        <v>302</v>
      </c>
      <c r="B19" s="80">
        <f>B17+B18</f>
        <v>9424343</v>
      </c>
      <c r="C19" s="81">
        <f>C17+C18</f>
        <v>44819424</v>
      </c>
    </row>
    <row r="20" spans="1:5">
      <c r="A20" s="77"/>
      <c r="B20" s="82"/>
      <c r="C20" s="83"/>
    </row>
    <row r="21" spans="1:5">
      <c r="A21" s="78" t="s">
        <v>303</v>
      </c>
      <c r="B21" s="59"/>
      <c r="C21" s="84"/>
    </row>
    <row r="22" spans="1:5">
      <c r="A22" s="77" t="s">
        <v>304</v>
      </c>
      <c r="B22" s="63">
        <v>-987736</v>
      </c>
      <c r="C22" s="65">
        <v>-4053993</v>
      </c>
    </row>
    <row r="23" spans="1:5">
      <c r="A23" s="77" t="s">
        <v>305</v>
      </c>
      <c r="B23" s="63"/>
      <c r="C23" s="65"/>
    </row>
    <row r="24" spans="1:5">
      <c r="A24" s="77" t="s">
        <v>306</v>
      </c>
      <c r="B24" s="63"/>
      <c r="C24" s="63"/>
    </row>
    <row r="25" spans="1:5">
      <c r="A25" s="77" t="s">
        <v>307</v>
      </c>
      <c r="B25" s="63"/>
      <c r="C25" s="65"/>
    </row>
    <row r="26" spans="1:5">
      <c r="A26" s="77" t="s">
        <v>308</v>
      </c>
      <c r="B26" s="63">
        <v>-286875</v>
      </c>
      <c r="C26" s="65">
        <v>-534318</v>
      </c>
    </row>
    <row r="27" spans="1:5" ht="15.6">
      <c r="A27" s="77" t="s">
        <v>309</v>
      </c>
      <c r="B27" s="73"/>
      <c r="C27" s="67"/>
    </row>
    <row r="28" spans="1:5" ht="17.45">
      <c r="A28" s="78" t="s">
        <v>310</v>
      </c>
      <c r="B28" s="69">
        <f>SUM(B22:B27)</f>
        <v>-1274611</v>
      </c>
      <c r="C28" s="70">
        <f>SUM(C22:C27)</f>
        <v>-4588311</v>
      </c>
      <c r="E28" s="259">
        <f>810794136-637456683</f>
        <v>173337453</v>
      </c>
    </row>
    <row r="29" spans="1:5">
      <c r="A29" s="77"/>
      <c r="B29" s="82"/>
      <c r="C29" s="83"/>
    </row>
    <row r="30" spans="1:5">
      <c r="A30" s="78" t="s">
        <v>311</v>
      </c>
      <c r="B30" s="59"/>
      <c r="C30" s="84"/>
    </row>
    <row r="31" spans="1:5">
      <c r="A31" s="77" t="s">
        <v>312</v>
      </c>
      <c r="B31" s="63">
        <v>34941877</v>
      </c>
      <c r="C31" s="65">
        <v>17467705</v>
      </c>
    </row>
    <row r="32" spans="1:5">
      <c r="A32" s="77" t="s">
        <v>313</v>
      </c>
      <c r="B32" s="63"/>
      <c r="C32" s="65"/>
    </row>
    <row r="33" spans="1:3">
      <c r="A33" s="77" t="s">
        <v>314</v>
      </c>
      <c r="B33" s="63"/>
      <c r="C33" s="65"/>
    </row>
    <row r="34" spans="1:3">
      <c r="A34" s="77" t="s">
        <v>315</v>
      </c>
      <c r="B34" s="63">
        <v>-6887998</v>
      </c>
      <c r="C34" s="65">
        <v>-6887998</v>
      </c>
    </row>
    <row r="35" spans="1:3" ht="15.6">
      <c r="A35" s="77" t="s">
        <v>316</v>
      </c>
      <c r="B35" s="73">
        <v>0</v>
      </c>
      <c r="C35" s="67">
        <v>0</v>
      </c>
    </row>
    <row r="36" spans="1:3" ht="17.45">
      <c r="A36" s="78" t="s">
        <v>317</v>
      </c>
      <c r="B36" s="69">
        <f>SUM(B31:B35)</f>
        <v>28053879</v>
      </c>
      <c r="C36" s="70">
        <f>SUM(C31:C35)</f>
        <v>10579707</v>
      </c>
    </row>
    <row r="37" spans="1:3">
      <c r="A37" s="78" t="s">
        <v>318</v>
      </c>
      <c r="B37" s="85">
        <f>B19+B28+B36</f>
        <v>36203611</v>
      </c>
      <c r="C37" s="86">
        <f>C19+C28+C36</f>
        <v>50810820</v>
      </c>
    </row>
    <row r="38" spans="1:3" ht="15.6">
      <c r="A38" s="77" t="s">
        <v>319</v>
      </c>
      <c r="B38" s="87">
        <v>207318182</v>
      </c>
      <c r="C38" s="88">
        <v>134933687</v>
      </c>
    </row>
    <row r="39" spans="1:3" ht="17.45">
      <c r="A39" s="78" t="s">
        <v>320</v>
      </c>
      <c r="B39" s="80">
        <f>SUM(B37:B38)</f>
        <v>243521793</v>
      </c>
      <c r="C39" s="89">
        <f>SUM(C37:C38)</f>
        <v>185744507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J63"/>
  <sheetViews>
    <sheetView tabSelected="1" zoomScale="86" zoomScaleNormal="86" zoomScaleSheetLayoutView="100" workbookViewId="0">
      <pane xSplit="23" topLeftCell="DD1" activePane="topRight" state="frozen"/>
      <selection pane="topRight" activeCell="DI6" sqref="DI6:DJ60"/>
    </sheetView>
  </sheetViews>
  <sheetFormatPr defaultColWidth="9.140625" defaultRowHeight="13.15"/>
  <cols>
    <col min="1" max="1" width="34" style="102" customWidth="1"/>
    <col min="2" max="2" width="10.42578125" style="101" bestFit="1" customWidth="1"/>
    <col min="3" max="3" width="5.85546875" style="102" bestFit="1" customWidth="1"/>
    <col min="4" max="4" width="11.140625" style="102" hidden="1" customWidth="1"/>
    <col min="5" max="5" width="7.5703125" style="102" hidden="1" customWidth="1"/>
    <col min="6" max="6" width="7.85546875" style="102" hidden="1" customWidth="1"/>
    <col min="7" max="7" width="10.140625" style="102" hidden="1" customWidth="1"/>
    <col min="8" max="8" width="8.140625" style="102" hidden="1" customWidth="1"/>
    <col min="9" max="9" width="8.28515625" style="102" hidden="1" customWidth="1"/>
    <col min="10" max="10" width="10.140625" style="102" hidden="1" customWidth="1"/>
    <col min="11" max="20" width="12.85546875" style="102" hidden="1" customWidth="1"/>
    <col min="21" max="21" width="9.85546875" style="102" hidden="1" customWidth="1"/>
    <col min="22" max="22" width="10" style="102" hidden="1" customWidth="1"/>
    <col min="23" max="23" width="8.42578125" style="102" hidden="1" customWidth="1"/>
    <col min="24" max="24" width="20" style="102" hidden="1" customWidth="1"/>
    <col min="25" max="36" width="9.140625" style="102" hidden="1" customWidth="1"/>
    <col min="37" max="37" width="10.28515625" style="102" hidden="1" customWidth="1"/>
    <col min="38" max="38" width="10.5703125" style="102" hidden="1" customWidth="1"/>
    <col min="39" max="39" width="10.28515625" style="102" hidden="1" customWidth="1"/>
    <col min="40" max="51" width="9.140625" style="102" hidden="1" customWidth="1"/>
    <col min="52" max="52" width="9.42578125" style="102" hidden="1" customWidth="1"/>
    <col min="53" max="64" width="9.140625" style="102" hidden="1" customWidth="1"/>
    <col min="65" max="65" width="9.7109375" style="102" hidden="1" customWidth="1"/>
    <col min="66" max="77" width="9.140625" style="102" hidden="1" customWidth="1"/>
    <col min="78" max="78" width="12" style="102" customWidth="1"/>
    <col min="79" max="90" width="0" style="102" hidden="1" customWidth="1"/>
    <col min="91" max="91" width="11.28515625" style="102" customWidth="1"/>
    <col min="92" max="94" width="0" style="102" hidden="1" customWidth="1"/>
    <col min="95" max="95" width="14" style="102" hidden="1" customWidth="1"/>
    <col min="96" max="103" width="0" style="102" hidden="1" customWidth="1"/>
    <col min="104" max="104" width="11.42578125" style="102" customWidth="1"/>
    <col min="105" max="105" width="12.7109375" style="102" bestFit="1" customWidth="1"/>
    <col min="106" max="16384" width="9.140625" style="102"/>
  </cols>
  <sheetData>
    <row r="1" spans="1:114">
      <c r="A1" s="100" t="s">
        <v>321</v>
      </c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</row>
    <row r="2" spans="1:114" ht="13.9" thickBot="1">
      <c r="A2" s="104" t="s">
        <v>322</v>
      </c>
    </row>
    <row r="3" spans="1:114" s="104" customFormat="1" ht="15" customHeight="1">
      <c r="A3" s="105"/>
      <c r="B3" s="106"/>
      <c r="C3" s="107"/>
      <c r="D3" s="107"/>
      <c r="E3" s="107"/>
      <c r="F3" s="427"/>
      <c r="G3" s="427"/>
      <c r="H3" s="427"/>
      <c r="I3" s="427"/>
      <c r="J3" s="427"/>
      <c r="K3" s="427"/>
      <c r="L3" s="427"/>
      <c r="M3" s="427"/>
      <c r="N3" s="427"/>
      <c r="O3" s="427"/>
      <c r="P3" s="427"/>
      <c r="Q3" s="427"/>
      <c r="R3" s="427"/>
      <c r="S3" s="427"/>
      <c r="T3" s="427"/>
      <c r="U3" s="427"/>
      <c r="V3" s="427"/>
      <c r="W3" s="42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</row>
    <row r="4" spans="1:114" s="104" customFormat="1" ht="15.75">
      <c r="A4" s="108" t="s">
        <v>323</v>
      </c>
      <c r="B4" s="109" t="s">
        <v>324</v>
      </c>
      <c r="C4" s="110" t="s">
        <v>325</v>
      </c>
      <c r="D4" s="95">
        <v>2008</v>
      </c>
      <c r="E4" s="96">
        <v>2009</v>
      </c>
      <c r="F4" s="96">
        <v>2010</v>
      </c>
      <c r="G4" s="111">
        <v>40603</v>
      </c>
      <c r="H4" s="112">
        <v>40695</v>
      </c>
      <c r="I4" s="112">
        <v>40787</v>
      </c>
      <c r="J4" s="97" t="s">
        <v>326</v>
      </c>
      <c r="K4" s="96">
        <v>2012</v>
      </c>
      <c r="L4" s="113">
        <v>41275</v>
      </c>
      <c r="M4" s="114">
        <v>41306</v>
      </c>
      <c r="N4" s="111">
        <v>41334</v>
      </c>
      <c r="O4" s="111">
        <v>41365</v>
      </c>
      <c r="P4" s="111">
        <v>41395</v>
      </c>
      <c r="Q4" s="111">
        <v>41426</v>
      </c>
      <c r="R4" s="111">
        <v>41456</v>
      </c>
      <c r="S4" s="111">
        <v>41487</v>
      </c>
      <c r="T4" s="111">
        <v>41518</v>
      </c>
      <c r="U4" s="98">
        <v>41548</v>
      </c>
      <c r="V4" s="98">
        <v>41579</v>
      </c>
      <c r="W4" s="98">
        <v>41609</v>
      </c>
      <c r="X4" s="98" t="s">
        <v>327</v>
      </c>
      <c r="Y4" s="98">
        <v>41640</v>
      </c>
      <c r="Z4" s="98">
        <v>41671</v>
      </c>
      <c r="AA4" s="98">
        <v>41699</v>
      </c>
      <c r="AB4" s="98">
        <v>41730</v>
      </c>
      <c r="AC4" s="98">
        <v>41760</v>
      </c>
      <c r="AD4" s="98">
        <v>41791</v>
      </c>
      <c r="AE4" s="98">
        <v>41821</v>
      </c>
      <c r="AF4" s="98">
        <v>41852</v>
      </c>
      <c r="AG4" s="98">
        <v>41883</v>
      </c>
      <c r="AH4" s="98">
        <v>41913</v>
      </c>
      <c r="AI4" s="98">
        <v>41944</v>
      </c>
      <c r="AJ4" s="98">
        <v>41974</v>
      </c>
      <c r="AK4" s="158" t="s">
        <v>188</v>
      </c>
      <c r="AL4" s="116" t="s">
        <v>189</v>
      </c>
      <c r="AM4" s="116" t="s">
        <v>190</v>
      </c>
      <c r="AN4" s="115">
        <v>42736</v>
      </c>
      <c r="AO4" s="115">
        <v>42767</v>
      </c>
      <c r="AP4" s="115">
        <v>42795</v>
      </c>
      <c r="AQ4" s="115">
        <v>42826</v>
      </c>
      <c r="AR4" s="115">
        <v>42856</v>
      </c>
      <c r="AS4" s="115">
        <v>42887</v>
      </c>
      <c r="AT4" s="115">
        <v>42917</v>
      </c>
      <c r="AU4" s="115">
        <v>42948</v>
      </c>
      <c r="AV4" s="115">
        <v>42979</v>
      </c>
      <c r="AW4" s="115">
        <v>43009</v>
      </c>
      <c r="AX4" s="115">
        <v>43040</v>
      </c>
      <c r="AY4" s="115">
        <v>43070</v>
      </c>
      <c r="AZ4" s="209" t="s">
        <v>65</v>
      </c>
      <c r="BA4" s="115">
        <v>43101</v>
      </c>
      <c r="BB4" s="115">
        <v>43132</v>
      </c>
      <c r="BC4" s="115">
        <v>43160</v>
      </c>
      <c r="BD4" s="115">
        <v>43191</v>
      </c>
      <c r="BE4" s="115">
        <v>43221</v>
      </c>
      <c r="BF4" s="115">
        <v>43252</v>
      </c>
      <c r="BG4" s="115">
        <v>43282</v>
      </c>
      <c r="BH4" s="115">
        <v>43313</v>
      </c>
      <c r="BI4" s="115">
        <v>43344</v>
      </c>
      <c r="BJ4" s="115">
        <v>43374</v>
      </c>
      <c r="BK4" s="115">
        <v>43405</v>
      </c>
      <c r="BL4" s="115">
        <v>43435</v>
      </c>
      <c r="BM4" s="116" t="s">
        <v>182</v>
      </c>
      <c r="BN4" s="116">
        <v>43466</v>
      </c>
      <c r="BO4" s="116">
        <v>43497</v>
      </c>
      <c r="BP4" s="116">
        <v>43525</v>
      </c>
      <c r="BQ4" s="116">
        <v>43556</v>
      </c>
      <c r="BR4" s="116">
        <v>43586</v>
      </c>
      <c r="BS4" s="116">
        <v>43617</v>
      </c>
      <c r="BT4" s="116">
        <v>43647</v>
      </c>
      <c r="BU4" s="116">
        <v>43678</v>
      </c>
      <c r="BV4" s="116">
        <v>43709</v>
      </c>
      <c r="BW4" s="116">
        <v>43739</v>
      </c>
      <c r="BX4" s="116">
        <v>43770</v>
      </c>
      <c r="BY4" s="367">
        <v>43800</v>
      </c>
      <c r="BZ4" s="366" t="s">
        <v>66</v>
      </c>
      <c r="CA4" s="364">
        <v>43831</v>
      </c>
      <c r="CB4" s="364">
        <v>43862</v>
      </c>
      <c r="CC4" s="364">
        <v>43891</v>
      </c>
      <c r="CD4" s="364">
        <v>43922</v>
      </c>
      <c r="CE4" s="364">
        <v>43952</v>
      </c>
      <c r="CF4" s="364">
        <v>43983</v>
      </c>
      <c r="CG4" s="364">
        <v>44013</v>
      </c>
      <c r="CH4" s="364">
        <v>44044</v>
      </c>
      <c r="CI4" s="364">
        <v>44075</v>
      </c>
      <c r="CJ4" s="364">
        <v>44105</v>
      </c>
      <c r="CK4" s="364">
        <v>44136</v>
      </c>
      <c r="CL4" s="364">
        <v>44166</v>
      </c>
      <c r="CM4" s="366" t="s">
        <v>9</v>
      </c>
      <c r="CN4" s="365">
        <v>44197</v>
      </c>
      <c r="CO4" s="365">
        <v>44228</v>
      </c>
      <c r="CP4" s="365">
        <v>44256</v>
      </c>
      <c r="CQ4" s="365">
        <v>44287</v>
      </c>
      <c r="CR4" s="365">
        <v>44317</v>
      </c>
      <c r="CS4" s="365">
        <v>44348</v>
      </c>
      <c r="CT4" s="365">
        <v>44378</v>
      </c>
      <c r="CU4" s="365">
        <v>44409</v>
      </c>
      <c r="CV4" s="365">
        <v>44440</v>
      </c>
      <c r="CW4" s="365">
        <v>44470</v>
      </c>
      <c r="CX4" s="365">
        <v>44501</v>
      </c>
      <c r="CY4" s="365">
        <v>44531</v>
      </c>
      <c r="CZ4" s="366" t="s">
        <v>10</v>
      </c>
      <c r="DA4" s="378" t="s">
        <v>11</v>
      </c>
      <c r="DB4" s="377">
        <v>44927</v>
      </c>
      <c r="DC4" s="377">
        <v>44958</v>
      </c>
      <c r="DD4" s="377">
        <v>44986</v>
      </c>
      <c r="DE4" s="377">
        <v>45017</v>
      </c>
      <c r="DF4" s="377">
        <v>45047</v>
      </c>
      <c r="DG4" s="377">
        <v>45078</v>
      </c>
      <c r="DH4" s="377">
        <v>45108</v>
      </c>
      <c r="DI4" s="377">
        <v>45139</v>
      </c>
      <c r="DJ4" s="377">
        <v>45170</v>
      </c>
    </row>
    <row r="5" spans="1:114" s="104" customFormat="1" ht="12.75">
      <c r="A5" s="117" t="s">
        <v>328</v>
      </c>
      <c r="B5" s="118"/>
      <c r="C5" s="119"/>
      <c r="D5" s="119"/>
      <c r="E5" s="119"/>
      <c r="F5" s="120"/>
      <c r="G5" s="120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DA5" s="368"/>
    </row>
    <row r="6" spans="1:114" s="104" customFormat="1" ht="12.75">
      <c r="A6" s="121" t="s">
        <v>329</v>
      </c>
      <c r="B6" s="122" t="s">
        <v>330</v>
      </c>
      <c r="C6" s="123" t="s">
        <v>331</v>
      </c>
      <c r="D6" s="124">
        <f>[2]Financials!C13/1000000</f>
        <v>0</v>
      </c>
      <c r="E6" s="124">
        <f>[2]Financials!D13/1000000</f>
        <v>0</v>
      </c>
      <c r="F6" s="124">
        <f>[2]Financials!E13/1000000</f>
        <v>0</v>
      </c>
      <c r="G6" s="124">
        <f>[2]Financials!F13/1000000</f>
        <v>0</v>
      </c>
      <c r="H6" s="124">
        <f>[2]Financials!G13/1000000</f>
        <v>0</v>
      </c>
      <c r="I6" s="124">
        <f>[2]Financials!H13/1000000</f>
        <v>0</v>
      </c>
      <c r="J6" s="124">
        <f>[2]Financials!I13/1000000</f>
        <v>0</v>
      </c>
      <c r="K6" s="124">
        <f>[2]Financials!J13/1000000</f>
        <v>817.08404254999994</v>
      </c>
      <c r="L6" s="124">
        <f>[2]Financials!K13/1000000</f>
        <v>1566.884483</v>
      </c>
      <c r="M6" s="124">
        <f>[2]Financials!L13/1000000</f>
        <v>1661.2634760000001</v>
      </c>
      <c r="N6" s="124">
        <f>[2]Financials!M13/1000000</f>
        <v>1753.4081209999999</v>
      </c>
      <c r="O6" s="124">
        <f>[2]Financials!N13/1000000</f>
        <v>1756.14995</v>
      </c>
      <c r="P6" s="124">
        <f>[2]Financials!O13/1000000</f>
        <v>1858.699255</v>
      </c>
      <c r="Q6" s="124">
        <f>[2]Financials!P13/1000000</f>
        <v>2001.8326950000001</v>
      </c>
      <c r="R6" s="124">
        <f>[2]Financials!Q13/1000000</f>
        <v>2106.2619129999998</v>
      </c>
      <c r="S6" s="124">
        <f>[2]Financials!R13/1000000</f>
        <v>2222.677271</v>
      </c>
      <c r="T6" s="124">
        <f>[2]Financials!S13/1000000</f>
        <v>2338.011669</v>
      </c>
      <c r="U6" s="124">
        <f>[2]Financials!T13/1000000</f>
        <v>2458.0121819999999</v>
      </c>
      <c r="V6" s="124">
        <f>[2]Financials!U13/1000000</f>
        <v>2531.3210389999999</v>
      </c>
      <c r="W6" s="124">
        <f>[2]Financials!V13/1000000</f>
        <v>2641.750266</v>
      </c>
      <c r="X6" s="125">
        <f>[2]Financials!W13/1000000</f>
        <v>1674.3779999999999</v>
      </c>
      <c r="Y6" s="124">
        <f>[2]Financials!X13/1000000</f>
        <v>2757.9596999999999</v>
      </c>
      <c r="Z6" s="124">
        <f>[2]Financials!Y13/1000000</f>
        <v>1951.4203170000001</v>
      </c>
      <c r="AA6" s="124">
        <f>[2]Financials!Z13/1000000</f>
        <v>1869.7205650000001</v>
      </c>
      <c r="AB6" s="124">
        <f>[2]Financials!AA13/1000000</f>
        <v>2140.284713</v>
      </c>
      <c r="AC6" s="124">
        <f>[2]Financials!AB13/1000000</f>
        <v>2230.661298</v>
      </c>
      <c r="AD6" s="124">
        <f>[2]Financials!AC13/1000000</f>
        <v>2368.102918</v>
      </c>
      <c r="AE6" s="124">
        <f>[2]Financials!AD13/1000000</f>
        <v>2547.76532</v>
      </c>
      <c r="AF6" s="124">
        <f>[2]Financials!AE13/1000000</f>
        <v>2737.284999</v>
      </c>
      <c r="AG6" s="124">
        <f>[2]Financials!AF13/1000000</f>
        <v>2911.1578960000002</v>
      </c>
      <c r="AH6" s="124">
        <f>[2]Financials!AG13/1000000</f>
        <v>3040.4076868299999</v>
      </c>
      <c r="AI6" s="124">
        <f>[2]Financials!AH13/1000000</f>
        <v>3108.0025938499998</v>
      </c>
      <c r="AJ6" s="124">
        <f>[2]Financials!AI13/1000000</f>
        <v>3266.1901446399997</v>
      </c>
      <c r="AK6" s="124" t="e">
        <f>Financials!D11/1000000</f>
        <v>#REF!</v>
      </c>
      <c r="AL6" s="124" t="e">
        <f>Financials!E11/1000000</f>
        <v>#REF!</v>
      </c>
      <c r="AM6" s="124" t="e">
        <f>Financials!F11/1000000</f>
        <v>#REF!</v>
      </c>
      <c r="AN6" s="124" t="e">
        <f>Financials!G11/1000000</f>
        <v>#REF!</v>
      </c>
      <c r="AO6" s="124" t="e">
        <f>Financials!H11/1000000</f>
        <v>#REF!</v>
      </c>
      <c r="AP6" s="124" t="e">
        <f>Financials!I11/1000000</f>
        <v>#REF!</v>
      </c>
      <c r="AQ6" s="124" t="e">
        <f>Financials!J11/1000000</f>
        <v>#REF!</v>
      </c>
      <c r="AR6" s="124" t="e">
        <f>Financials!K11/1000000</f>
        <v>#REF!</v>
      </c>
      <c r="AS6" s="124" t="e">
        <f>Financials!L11/1000000</f>
        <v>#REF!</v>
      </c>
      <c r="AT6" s="124" t="e">
        <f>Financials!M11/1000000</f>
        <v>#REF!</v>
      </c>
      <c r="AU6" s="124" t="e">
        <f>Financials!N11/1000000</f>
        <v>#REF!</v>
      </c>
      <c r="AV6" s="124" t="e">
        <f>Financials!O11/1000000</f>
        <v>#REF!</v>
      </c>
      <c r="AW6" s="124" t="e">
        <f>Financials!P11/1000000</f>
        <v>#REF!</v>
      </c>
      <c r="AX6" s="124" t="e">
        <f>Financials!Q11/1000000</f>
        <v>#REF!</v>
      </c>
      <c r="AY6" s="124" t="e">
        <f>Financials!R11/1000000</f>
        <v>#REF!</v>
      </c>
      <c r="AZ6" s="124" t="e">
        <f>Financials!S11/1000000</f>
        <v>#REF!</v>
      </c>
      <c r="BA6" s="124" t="e">
        <f>Financials!T11/1000000</f>
        <v>#REF!</v>
      </c>
      <c r="BB6" s="124" t="e">
        <f>Financials!U11/1000000</f>
        <v>#REF!</v>
      </c>
      <c r="BC6" s="124" t="e">
        <f>Financials!V11/1000000</f>
        <v>#REF!</v>
      </c>
      <c r="BD6" s="124" t="e">
        <f>Financials!W11/1000000</f>
        <v>#REF!</v>
      </c>
      <c r="BE6" s="124" t="e">
        <f>Financials!X11/1000000</f>
        <v>#REF!</v>
      </c>
      <c r="BF6" s="124" t="e">
        <f>Financials!Y11/1000000</f>
        <v>#REF!</v>
      </c>
      <c r="BG6" s="124" t="e">
        <f>Financials!Z11/1000000</f>
        <v>#REF!</v>
      </c>
      <c r="BH6" s="124" t="e">
        <f>Financials!AA11/1000000</f>
        <v>#REF!</v>
      </c>
      <c r="BI6" s="124" t="e">
        <f>Financials!AB11/1000000</f>
        <v>#REF!</v>
      </c>
      <c r="BJ6" s="124" t="e">
        <f>Financials!AC11/1000000</f>
        <v>#REF!</v>
      </c>
      <c r="BK6" s="124" t="e">
        <f>Financials!AD11/1000000</f>
        <v>#REF!</v>
      </c>
      <c r="BL6" s="124" t="e">
        <f>Financials!AE11/1000000</f>
        <v>#REF!</v>
      </c>
      <c r="BM6" s="124" t="e">
        <f>Financials!AF11/1000000</f>
        <v>#REF!</v>
      </c>
      <c r="BN6" s="124" t="e">
        <f>Financials!AG11/1000000</f>
        <v>#REF!</v>
      </c>
      <c r="BO6" s="124" t="e">
        <f>Financials!AH11/1000000</f>
        <v>#REF!</v>
      </c>
      <c r="BP6" s="124" t="e">
        <f>Financials!AI11/1000000</f>
        <v>#REF!</v>
      </c>
      <c r="BQ6" s="124" t="e">
        <f>Financials!AJ11/1000000</f>
        <v>#REF!</v>
      </c>
      <c r="BR6" s="124" t="e">
        <f>Financials!AK11/1000000</f>
        <v>#REF!</v>
      </c>
      <c r="BS6" s="124" t="e">
        <f>Financials!AL11/1000000</f>
        <v>#REF!</v>
      </c>
      <c r="BT6" s="124" t="e">
        <f>Financials!AM11/1000000</f>
        <v>#REF!</v>
      </c>
      <c r="BU6" s="124" t="e">
        <f>Financials!AN11/1000000</f>
        <v>#REF!</v>
      </c>
      <c r="BV6" s="124" t="e">
        <f>Financials!AO11/1000000</f>
        <v>#REF!</v>
      </c>
      <c r="BW6" s="124" t="e">
        <f>Financials!AP11/1000000</f>
        <v>#REF!</v>
      </c>
      <c r="BX6" s="124" t="e">
        <f>Financials!AQ11/1000000</f>
        <v>#REF!</v>
      </c>
      <c r="BY6" s="124" t="e">
        <f>Financials!AR11/1000000</f>
        <v>#REF!</v>
      </c>
      <c r="BZ6" s="124">
        <f>Financials!AS11/1000000</f>
        <v>18.417387999999999</v>
      </c>
      <c r="CA6" s="124">
        <f>Financials!AT11/1000000</f>
        <v>18.37432445</v>
      </c>
      <c r="CB6" s="124">
        <f>Financials!AU11/1000000</f>
        <v>18.722379939999996</v>
      </c>
      <c r="CC6" s="124">
        <f>Financials!AV11/1000000</f>
        <v>19.858144379999999</v>
      </c>
      <c r="CD6" s="124">
        <f>Financials!AW11/1000000</f>
        <v>20.201076329999999</v>
      </c>
      <c r="CE6" s="124">
        <f>Financials!AX11/1000000</f>
        <v>20.684642529999998</v>
      </c>
      <c r="CF6" s="124">
        <f>Financials!AY11/1000000</f>
        <v>21.140937049999998</v>
      </c>
      <c r="CG6" s="124" t="e">
        <f>Financials!AZ11/1000000</f>
        <v>#REF!</v>
      </c>
      <c r="CH6" s="124">
        <f>Financials!BA11/1000000</f>
        <v>22.281500859999998</v>
      </c>
      <c r="CI6" s="124">
        <f>Financials!BB11/1000000</f>
        <v>22.716745479999997</v>
      </c>
      <c r="CJ6" s="124">
        <f>Financials!BC11/1000000</f>
        <v>23.279858409999996</v>
      </c>
      <c r="CK6" s="124">
        <f>Financials!BD11/1000000</f>
        <v>23.667943459999996</v>
      </c>
      <c r="CL6" s="124">
        <f>Financials!BE11/1000000</f>
        <v>23.418899579999998</v>
      </c>
      <c r="CM6" s="124">
        <f>Financials!BF11/1000000</f>
        <v>18.862417000000001</v>
      </c>
      <c r="CN6" s="124">
        <f>Financials!BG11/1000000</f>
        <v>18.665718529999996</v>
      </c>
      <c r="CO6" s="124">
        <f>Financials!BH11/1000000</f>
        <v>18.862712869999996</v>
      </c>
      <c r="CP6" s="124">
        <f>Financials!BI11/1000000</f>
        <v>20.093179569999997</v>
      </c>
      <c r="CQ6" s="124">
        <f>Financials!BJ11/1000000</f>
        <v>20.485243709999999</v>
      </c>
      <c r="CR6" s="124">
        <f>Financials!BK11/1000000</f>
        <v>20.923853089999994</v>
      </c>
      <c r="CS6" s="124">
        <f>Financials!BL11/1000000</f>
        <v>21.42099498</v>
      </c>
      <c r="CT6" s="124">
        <f>Financials!BM11/1000000</f>
        <v>22.214533209999995</v>
      </c>
      <c r="CU6" s="124">
        <f>Financials!BN11/1000000</f>
        <v>22.63137291</v>
      </c>
      <c r="CV6" s="124">
        <f>Financials!BO11/1000000</f>
        <v>23.082099020000001</v>
      </c>
      <c r="CW6" s="124">
        <f>Financials!BP11/1000000</f>
        <v>23.784263509999999</v>
      </c>
      <c r="CX6" s="124">
        <f>Financials!BQ11/1000000</f>
        <v>23.949440199999998</v>
      </c>
      <c r="CY6" s="124">
        <f>Financials!BR11/1000000</f>
        <v>23.974175819999996</v>
      </c>
      <c r="CZ6" s="124">
        <f>Financials!BS11/1000000</f>
        <v>20.738710000000001</v>
      </c>
      <c r="DA6" s="124">
        <f>Financials!CF11/1000000</f>
        <v>0</v>
      </c>
      <c r="DB6" s="124">
        <f>Financials!CG11/1000000</f>
        <v>21.290459559999999</v>
      </c>
      <c r="DC6" s="124">
        <f>Financials!CH11/1000000</f>
        <v>21.525681559999999</v>
      </c>
      <c r="DD6" s="124">
        <f>Financials!CI11/1000000</f>
        <v>22.828247639999997</v>
      </c>
      <c r="DE6" s="124">
        <f>Financials!CJ11/1000000</f>
        <v>22.919085059999997</v>
      </c>
      <c r="DF6" s="124">
        <f>Financials!CK11/1000000</f>
        <v>23.546511669999997</v>
      </c>
      <c r="DG6" s="124">
        <f>Financials!CL11/1000000</f>
        <v>23.949260450000001</v>
      </c>
      <c r="DH6" s="124">
        <f>Financials!CM11/1000000</f>
        <v>24.870734909999999</v>
      </c>
      <c r="DI6" s="124">
        <f>Financials!CN11/1000000</f>
        <v>25.336094980000002</v>
      </c>
      <c r="DJ6" s="124">
        <f>Financials!CO11/1000000</f>
        <v>25.509780639999999</v>
      </c>
    </row>
    <row r="7" spans="1:114" s="104" customFormat="1" ht="12.75">
      <c r="A7" s="121" t="s">
        <v>332</v>
      </c>
      <c r="B7" s="122" t="s">
        <v>333</v>
      </c>
      <c r="C7" s="123" t="s">
        <v>334</v>
      </c>
      <c r="D7" s="126" t="e">
        <f>[2]Financials!C13/[2]Financials!C5</f>
        <v>#DIV/0!</v>
      </c>
      <c r="E7" s="126" t="e">
        <f>[2]Financials!D13/[2]Financials!D5</f>
        <v>#DIV/0!</v>
      </c>
      <c r="F7" s="126" t="e">
        <f>[2]Financials!E13/[2]Financials!E5</f>
        <v>#DIV/0!</v>
      </c>
      <c r="G7" s="126" t="e">
        <f>[2]Financials!F13/[2]Financials!F5</f>
        <v>#DIV/0!</v>
      </c>
      <c r="H7" s="126" t="e">
        <f>[2]Financials!G13/[2]Financials!G5</f>
        <v>#DIV/0!</v>
      </c>
      <c r="I7" s="126" t="e">
        <f>[2]Financials!H13/[2]Financials!H5</f>
        <v>#DIV/0!</v>
      </c>
      <c r="J7" s="126" t="e">
        <f>[2]Financials!I13/[2]Financials!I5</f>
        <v>#DIV/0!</v>
      </c>
      <c r="K7" s="126">
        <f>[2]Financials!J13/[2]Financials!J5</f>
        <v>9.4760341444070778E-2</v>
      </c>
      <c r="L7" s="126">
        <f>[2]Financials!K13/[2]Financials!K5</f>
        <v>0.16599975990257868</v>
      </c>
      <c r="M7" s="126">
        <f>[2]Financials!L13/[2]Financials!L5</f>
        <v>0.17209038512531666</v>
      </c>
      <c r="N7" s="126">
        <f>[2]Financials!M13/[2]Financials!M5</f>
        <v>0.17415125613205593</v>
      </c>
      <c r="O7" s="126">
        <f>[2]Financials!N13/[2]Financials!N5</f>
        <v>0.17097929472937345</v>
      </c>
      <c r="P7" s="126">
        <f>[2]Financials!O13/[2]Financials!O5</f>
        <v>0.1836254123151996</v>
      </c>
      <c r="Q7" s="126">
        <f>[2]Financials!P13/[2]Financials!P5</f>
        <v>0.19400294119897885</v>
      </c>
      <c r="R7" s="126">
        <f>[2]Financials!Q13/[2]Financials!Q5</f>
        <v>0.19962697141242225</v>
      </c>
      <c r="S7" s="126">
        <f>[2]Financials!R13/[2]Financials!R5</f>
        <v>0.20497694177919826</v>
      </c>
      <c r="T7" s="126">
        <f>[2]Financials!S13/[2]Financials!S5</f>
        <v>0.21274791877040841</v>
      </c>
      <c r="U7" s="126">
        <f>[2]Financials!T13/[2]Financials!T5</f>
        <v>0.21671984488000423</v>
      </c>
      <c r="V7" s="126">
        <f>[2]Financials!U13/[2]Financials!U5</f>
        <v>0.21898564771896362</v>
      </c>
      <c r="W7" s="126">
        <f>[2]Financials!V13/[2]Financials!V5</f>
        <v>0.2262956562985608</v>
      </c>
      <c r="X7" s="126">
        <f>[2]Financials!W13/[2]Financials!W5</f>
        <v>0.14530947706385952</v>
      </c>
      <c r="Y7" s="126">
        <f>[2]Financials!X13/[2]Financials!X5</f>
        <v>0.22756543173552332</v>
      </c>
      <c r="Z7" s="126">
        <f>[2]Financials!Y13/[2]Financials!Y5</f>
        <v>0.16757896789560264</v>
      </c>
      <c r="AA7" s="126">
        <f>[2]Financials!Z13/[2]Financials!Z5</f>
        <v>0.1504251866837473</v>
      </c>
      <c r="AB7" s="126">
        <f>[2]Financials!AA13/[2]Financials!AA5</f>
        <v>0.17356881910869584</v>
      </c>
      <c r="AC7" s="126">
        <f>[2]Financials!AB13/[2]Financials!AB5</f>
        <v>0.17945042682876536</v>
      </c>
      <c r="AD7" s="126">
        <f>[2]Financials!AC13/[2]Financials!AC5</f>
        <v>0.18360027839179538</v>
      </c>
      <c r="AE7" s="126">
        <f>[2]Financials!AD13/[2]Financials!AD5</f>
        <v>0.19423431369722416</v>
      </c>
      <c r="AF7" s="126">
        <f>[2]Financials!AE13/[2]Financials!AE5</f>
        <v>0.19987413468375473</v>
      </c>
      <c r="AG7" s="126">
        <f>[2]Financials!AF13/[2]Financials!AF5</f>
        <v>0.20895027436189753</v>
      </c>
      <c r="AH7" s="126">
        <f>[2]Financials!AG13/[2]Financials!AG5</f>
        <v>0.214503695147058</v>
      </c>
      <c r="AI7" s="126">
        <f>[2]Financials!AH13/[2]Financials!AH5</f>
        <v>0.21308090743012081</v>
      </c>
      <c r="AJ7" s="126">
        <f>[2]Financials!AI13/[2]Financials!AI5</f>
        <v>0.21601606912341775</v>
      </c>
      <c r="AK7" s="126" t="e">
        <f>Financials!D11/Financials!D4</f>
        <v>#REF!</v>
      </c>
      <c r="AL7" s="126" t="e">
        <f>Financials!E11/Financials!E4</f>
        <v>#REF!</v>
      </c>
      <c r="AM7" s="126" t="e">
        <f>Financials!F11/Financials!F4</f>
        <v>#REF!</v>
      </c>
      <c r="AN7" s="126" t="e">
        <f>Financials!G11/Financials!G4</f>
        <v>#REF!</v>
      </c>
      <c r="AO7" s="126" t="e">
        <f>Financials!H11/Financials!H4</f>
        <v>#REF!</v>
      </c>
      <c r="AP7" s="126" t="e">
        <f>Financials!I11/Financials!I4</f>
        <v>#REF!</v>
      </c>
      <c r="AQ7" s="126" t="e">
        <f>Financials!J11/Financials!J4</f>
        <v>#REF!</v>
      </c>
      <c r="AR7" s="126" t="e">
        <f>Financials!K11/Financials!K4</f>
        <v>#REF!</v>
      </c>
      <c r="AS7" s="126" t="e">
        <f>Financials!L11/Financials!L4</f>
        <v>#REF!</v>
      </c>
      <c r="AT7" s="126" t="e">
        <f>Financials!M11/Financials!M4</f>
        <v>#REF!</v>
      </c>
      <c r="AU7" s="126" t="e">
        <f>Financials!N11/Financials!N4</f>
        <v>#REF!</v>
      </c>
      <c r="AV7" s="126" t="e">
        <f>Financials!O11/Financials!O4</f>
        <v>#REF!</v>
      </c>
      <c r="AW7" s="126" t="e">
        <f>Financials!P11/Financials!P4</f>
        <v>#REF!</v>
      </c>
      <c r="AX7" s="126" t="e">
        <f>Financials!Q11/Financials!Q4</f>
        <v>#REF!</v>
      </c>
      <c r="AY7" s="126" t="e">
        <f>Financials!R11/Financials!R4</f>
        <v>#REF!</v>
      </c>
      <c r="AZ7" s="126" t="e">
        <f>Financials!S11/Financials!S4</f>
        <v>#REF!</v>
      </c>
      <c r="BA7" s="126" t="e">
        <f>Financials!T11/Financials!T4</f>
        <v>#REF!</v>
      </c>
      <c r="BB7" s="126" t="e">
        <f>Financials!U11/Financials!U4</f>
        <v>#REF!</v>
      </c>
      <c r="BC7" s="126" t="e">
        <f>Financials!V11/Financials!V4</f>
        <v>#REF!</v>
      </c>
      <c r="BD7" s="126" t="e">
        <f>Financials!W11/Financials!W4</f>
        <v>#REF!</v>
      </c>
      <c r="BE7" s="126" t="e">
        <f>Financials!X11/Financials!X4</f>
        <v>#REF!</v>
      </c>
      <c r="BF7" s="126" t="e">
        <f>Financials!Y11/Financials!Y4</f>
        <v>#REF!</v>
      </c>
      <c r="BG7" s="126" t="e">
        <f>Financials!Z11/Financials!Z4</f>
        <v>#REF!</v>
      </c>
      <c r="BH7" s="126" t="e">
        <f>Financials!AA11/Financials!AA4</f>
        <v>#REF!</v>
      </c>
      <c r="BI7" s="126" t="e">
        <f>Financials!AB11/Financials!AB4</f>
        <v>#REF!</v>
      </c>
      <c r="BJ7" s="126" t="e">
        <f>Financials!AC11/Financials!AC4</f>
        <v>#REF!</v>
      </c>
      <c r="BK7" s="126" t="e">
        <f>Financials!AD11/Financials!AD4</f>
        <v>#REF!</v>
      </c>
      <c r="BL7" s="126" t="e">
        <f>Financials!AE11/Financials!AE4</f>
        <v>#REF!</v>
      </c>
      <c r="BM7" s="126" t="e">
        <f>Financials!AF11/Financials!AF4</f>
        <v>#REF!</v>
      </c>
      <c r="BN7" s="126" t="e">
        <f>Financials!AG11/Financials!AG4</f>
        <v>#REF!</v>
      </c>
      <c r="BO7" s="126" t="e">
        <f>Financials!AH11/Financials!AH4</f>
        <v>#REF!</v>
      </c>
      <c r="BP7" s="126" t="e">
        <f>Financials!AI11/Financials!AI4</f>
        <v>#REF!</v>
      </c>
      <c r="BQ7" s="126" t="e">
        <f>Financials!AJ11/Financials!AJ4</f>
        <v>#REF!</v>
      </c>
      <c r="BR7" s="126" t="e">
        <f>Financials!AK11/Financials!AK4</f>
        <v>#REF!</v>
      </c>
      <c r="BS7" s="126" t="e">
        <f>Financials!AL11/Financials!AL4</f>
        <v>#REF!</v>
      </c>
      <c r="BT7" s="126" t="e">
        <f>Financials!AM11/Financials!AM4</f>
        <v>#REF!</v>
      </c>
      <c r="BU7" s="126" t="e">
        <f>Financials!AN11/Financials!AN4</f>
        <v>#REF!</v>
      </c>
      <c r="BV7" s="126" t="e">
        <f>Financials!AO11/Financials!AO4</f>
        <v>#REF!</v>
      </c>
      <c r="BW7" s="126" t="e">
        <f>Financials!AP11/Financials!AP4</f>
        <v>#REF!</v>
      </c>
      <c r="BX7" s="126" t="e">
        <f>Financials!AQ11/Financials!AQ4</f>
        <v>#REF!</v>
      </c>
      <c r="BY7" s="126" t="e">
        <f>Financials!AR11/Financials!AR4</f>
        <v>#REF!</v>
      </c>
      <c r="BZ7" s="126">
        <f>Financials!AS11/Financials!AS4</f>
        <v>0.2586005113743004</v>
      </c>
      <c r="CA7" s="126">
        <f>Financials!AT11/Financials!AT4</f>
        <v>0.23798436824184341</v>
      </c>
      <c r="CB7" s="126">
        <f>Financials!AU11/Financials!AU4</f>
        <v>0.23660178559688333</v>
      </c>
      <c r="CC7" s="126">
        <f>Financials!AV11/Financials!AV4</f>
        <v>0.25970650680874469</v>
      </c>
      <c r="CD7" s="126">
        <f>Financials!AW11/Financials!AW4</f>
        <v>0.26375246430937166</v>
      </c>
      <c r="CE7" s="126">
        <f>Financials!AX11/Financials!AX4</f>
        <v>0.26270778180759269</v>
      </c>
      <c r="CF7" s="126">
        <f>Financials!AY11/Financials!AY4</f>
        <v>0.2708799430792736</v>
      </c>
      <c r="CG7" s="126" t="e">
        <f>Financials!AZ11/Financials!AZ4</f>
        <v>#REF!</v>
      </c>
      <c r="CH7" s="126">
        <f>Financials!BA11/Financials!BA4</f>
        <v>0.27864182440945018</v>
      </c>
      <c r="CI7" s="126">
        <f>Financials!BB11/Financials!BB4</f>
        <v>0.28519855971669894</v>
      </c>
      <c r="CJ7" s="126">
        <f>Financials!BC11/Financials!BC4</f>
        <v>0.30255989421670282</v>
      </c>
      <c r="CK7" s="126">
        <f>Financials!BD11/Financials!BD4</f>
        <v>0.29786926023972488</v>
      </c>
      <c r="CL7" s="126">
        <f>Financials!BE11/Financials!BE4</f>
        <v>0.31491906233014721</v>
      </c>
      <c r="CM7" s="126">
        <f>Financials!BF11/Financials!BF4</f>
        <v>0.25369578722455155</v>
      </c>
      <c r="CN7" s="126">
        <f>Financials!BG11/Financials!BG4</f>
        <v>0.25349226747422293</v>
      </c>
      <c r="CO7" s="126">
        <f>Financials!BH11/Financials!BH4</f>
        <v>0.25557709330620482</v>
      </c>
      <c r="CP7" s="126">
        <f>Financials!BI11/Financials!BI4</f>
        <v>0.26657290611116885</v>
      </c>
      <c r="CQ7" s="126">
        <f>Financials!BJ11/Financials!BJ4</f>
        <v>0.27644978086130439</v>
      </c>
      <c r="CR7" s="126">
        <f>Financials!BK11/Financials!BK4</f>
        <v>0.28037481227942723</v>
      </c>
      <c r="CS7" s="126">
        <f>Financials!BL11/Financials!BL4</f>
        <v>0.29349040715254154</v>
      </c>
      <c r="CT7" s="126">
        <f>Financials!BM11/Financials!BM4</f>
        <v>0.28339591186320068</v>
      </c>
      <c r="CU7" s="126">
        <f>Financials!BN11/Financials!BN4</f>
        <v>0.28738851027505519</v>
      </c>
      <c r="CV7" s="126">
        <f>Financials!BO11/Financials!BO4</f>
        <v>0.30931140330948725</v>
      </c>
      <c r="CW7" s="126">
        <f>Financials!BP11/Financials!BP4</f>
        <v>0.30885376882359755</v>
      </c>
      <c r="CX7" s="126">
        <f>Financials!BQ11/Financials!BQ4</f>
        <v>0.29947904742160497</v>
      </c>
      <c r="CY7" s="126">
        <f>Financials!BR11/Financials!BR4</f>
        <v>0.31263728139415881</v>
      </c>
      <c r="CZ7" s="126">
        <f>Financials!BS11/Financials!BS4</f>
        <v>0.26966800074809566</v>
      </c>
      <c r="DA7" s="126" t="e">
        <f>Financials!CF11/Financials!CF4</f>
        <v>#DIV/0!</v>
      </c>
      <c r="DB7" s="126">
        <f>Financials!CG11/Financials!CG4</f>
        <v>0.27111282786161828</v>
      </c>
      <c r="DC7" s="126">
        <f>Financials!CH11/Financials!CH4</f>
        <v>0.27238186895420408</v>
      </c>
      <c r="DD7" s="126">
        <f>Financials!CI11/Financials!CI4</f>
        <v>0.28339046227804165</v>
      </c>
      <c r="DE7" s="126">
        <f>Financials!CJ11/Financials!CJ4</f>
        <v>0.29945327076784428</v>
      </c>
      <c r="DF7" s="126">
        <f>Financials!CK11/Financials!CK4</f>
        <v>0.30645857514702035</v>
      </c>
      <c r="DG7" s="126">
        <f>Financials!CL11/Financials!CL4</f>
        <v>0.30586983859065014</v>
      </c>
      <c r="DH7" s="126">
        <f>Financials!CM11/Financials!CM4</f>
        <v>0.31852280804949773</v>
      </c>
      <c r="DI7" s="126">
        <f>Financials!CN11/Financials!CN4</f>
        <v>0.32091105702613093</v>
      </c>
      <c r="DJ7" s="126">
        <f>Financials!CO11/Financials!CO4</f>
        <v>0.32729945895603696</v>
      </c>
    </row>
    <row r="8" spans="1:114" s="104" customFormat="1" ht="12.75">
      <c r="A8" s="121" t="s">
        <v>335</v>
      </c>
      <c r="B8" s="122" t="s">
        <v>336</v>
      </c>
      <c r="C8" s="123" t="s">
        <v>337</v>
      </c>
      <c r="D8" s="126" t="e">
        <f>[2]Financials!C13/[2]Financials!C6</f>
        <v>#DIV/0!</v>
      </c>
      <c r="E8" s="126" t="e">
        <f>[2]Financials!D13/[2]Financials!D6</f>
        <v>#DIV/0!</v>
      </c>
      <c r="F8" s="126" t="e">
        <f>[2]Financials!E13/[2]Financials!E6</f>
        <v>#DIV/0!</v>
      </c>
      <c r="G8" s="126" t="e">
        <f>[2]Financials!F13/[2]Financials!F6</f>
        <v>#DIV/0!</v>
      </c>
      <c r="H8" s="126" t="e">
        <f>[2]Financials!G13/[2]Financials!G6</f>
        <v>#DIV/0!</v>
      </c>
      <c r="I8" s="126" t="e">
        <f>[2]Financials!H13/[2]Financials!H6</f>
        <v>#DIV/0!</v>
      </c>
      <c r="J8" s="126" t="e">
        <f>[2]Financials!I13/[2]Financials!I6</f>
        <v>#DIV/0!</v>
      </c>
      <c r="K8" s="126">
        <f>[2]Financials!J13/[2]Financials!J6</f>
        <v>0.10894732309086617</v>
      </c>
      <c r="L8" s="126">
        <f>[2]Financials!K13/[2]Financials!K6</f>
        <v>0.20463275015095775</v>
      </c>
      <c r="M8" s="126">
        <f>[2]Financials!L13/[2]Financials!L6</f>
        <v>0.21374638075163849</v>
      </c>
      <c r="N8" s="126">
        <f>[2]Financials!M13/[2]Financials!M6</f>
        <v>0.22231892926879418</v>
      </c>
      <c r="O8" s="126">
        <f>[2]Financials!N13/[2]Financials!N6</f>
        <v>0.21917246054976439</v>
      </c>
      <c r="P8" s="126">
        <f>[2]Financials!O13/[2]Financials!O6</f>
        <v>0.24269055250525973</v>
      </c>
      <c r="Q8" s="126">
        <f>[2]Financials!P13/[2]Financials!P6</f>
        <v>0.25909726331697541</v>
      </c>
      <c r="R8" s="126">
        <f>[2]Financials!Q13/[2]Financials!Q6</f>
        <v>0.26824886875838105</v>
      </c>
      <c r="S8" s="126">
        <f>[2]Financials!R13/[2]Financials!R6</f>
        <v>0.279997768299101</v>
      </c>
      <c r="T8" s="126">
        <f>[2]Financials!S13/[2]Financials!S6</f>
        <v>0.29139385351375513</v>
      </c>
      <c r="U8" s="126">
        <f>[2]Financials!T13/[2]Financials!T6</f>
        <v>0.30002874157346954</v>
      </c>
      <c r="V8" s="126">
        <f>[2]Financials!U13/[2]Financials!U6</f>
        <v>0.3029121939230251</v>
      </c>
      <c r="W8" s="126">
        <f>[2]Financials!V13/[2]Financials!V6</f>
        <v>0.31217325258486711</v>
      </c>
      <c r="X8" s="126">
        <f>[2]Financials!W13/[2]Financials!W6</f>
        <v>0.19784749401894583</v>
      </c>
      <c r="Y8" s="126">
        <f>[2]Financials!X13/[2]Financials!X6</f>
        <v>0.31913831833742662</v>
      </c>
      <c r="Z8" s="126">
        <f>[2]Financials!Y13/[2]Financials!Y6</f>
        <v>0.22402372367384907</v>
      </c>
      <c r="AA8" s="126">
        <f>[2]Financials!Z13/[2]Financials!Z6</f>
        <v>0.21327025353702819</v>
      </c>
      <c r="AB8" s="126">
        <f>[2]Financials!AA13/[2]Financials!AA6</f>
        <v>0.23238021140342432</v>
      </c>
      <c r="AC8" s="126">
        <f>[2]Financials!AB13/[2]Financials!AB6</f>
        <v>0.24641229073328863</v>
      </c>
      <c r="AD8" s="126">
        <f>[2]Financials!AC13/[2]Financials!AC6</f>
        <v>0.25788861903869126</v>
      </c>
      <c r="AE8" s="126">
        <f>[2]Financials!AD13/[2]Financials!AD6</f>
        <v>0.27248016624999494</v>
      </c>
      <c r="AF8" s="126">
        <f>[2]Financials!AE13/[2]Financials!AE6</f>
        <v>0.28710480326571508</v>
      </c>
      <c r="AG8" s="126">
        <f>[2]Financials!AF13/[2]Financials!AF6</f>
        <v>0.30056105147688689</v>
      </c>
      <c r="AH8" s="126">
        <f>[2]Financials!AG13/[2]Financials!AG6</f>
        <v>0.30769870104243524</v>
      </c>
      <c r="AI8" s="126">
        <f>[2]Financials!AH13/[2]Financials!AH6</f>
        <v>0.30919974425182817</v>
      </c>
      <c r="AJ8" s="126">
        <f>[2]Financials!AI13/[2]Financials!AI6</f>
        <v>0.31853330888525344</v>
      </c>
      <c r="AK8" s="126" t="e">
        <f>Financials!D11/Financials!D5</f>
        <v>#REF!</v>
      </c>
      <c r="AL8" s="126" t="e">
        <f>Financials!E11/Financials!E5</f>
        <v>#REF!</v>
      </c>
      <c r="AM8" s="126" t="e">
        <f>Financials!F11/Financials!F5</f>
        <v>#REF!</v>
      </c>
      <c r="AN8" s="126" t="e">
        <f>Financials!G11/Financials!G5</f>
        <v>#REF!</v>
      </c>
      <c r="AO8" s="126" t="e">
        <f>Financials!H11/Financials!H5</f>
        <v>#REF!</v>
      </c>
      <c r="AP8" s="126" t="e">
        <f>Financials!I11/Financials!I5</f>
        <v>#REF!</v>
      </c>
      <c r="AQ8" s="126" t="e">
        <f>Financials!J11/Financials!J5</f>
        <v>#REF!</v>
      </c>
      <c r="AR8" s="126" t="e">
        <f>Financials!K11/Financials!K5</f>
        <v>#REF!</v>
      </c>
      <c r="AS8" s="126" t="e">
        <f>Financials!L11/Financials!L5</f>
        <v>#REF!</v>
      </c>
      <c r="AT8" s="126" t="e">
        <f>Financials!M11/Financials!M5</f>
        <v>#REF!</v>
      </c>
      <c r="AU8" s="126" t="e">
        <f>Financials!N11/Financials!N5</f>
        <v>#REF!</v>
      </c>
      <c r="AV8" s="126" t="e">
        <f>Financials!O11/Financials!O5</f>
        <v>#REF!</v>
      </c>
      <c r="AW8" s="126" t="e">
        <f>Financials!P11/Financials!P5</f>
        <v>#REF!</v>
      </c>
      <c r="AX8" s="126" t="e">
        <f>Financials!Q11/Financials!Q5</f>
        <v>#REF!</v>
      </c>
      <c r="AY8" s="126" t="e">
        <f>Financials!R11/Financials!R5</f>
        <v>#REF!</v>
      </c>
      <c r="AZ8" s="126" t="e">
        <f>Financials!S11/Financials!S5</f>
        <v>#REF!</v>
      </c>
      <c r="BA8" s="126" t="e">
        <f>Financials!T11/Financials!T5</f>
        <v>#REF!</v>
      </c>
      <c r="BB8" s="126" t="e">
        <f>Financials!U11/Financials!U5</f>
        <v>#REF!</v>
      </c>
      <c r="BC8" s="126" t="e">
        <f>Financials!V11/Financials!V5</f>
        <v>#REF!</v>
      </c>
      <c r="BD8" s="126" t="e">
        <f>Financials!W11/Financials!W5</f>
        <v>#REF!</v>
      </c>
      <c r="BE8" s="126" t="e">
        <f>Financials!X11/Financials!X5</f>
        <v>#REF!</v>
      </c>
      <c r="BF8" s="126" t="e">
        <f>Financials!Y11/Financials!Y5</f>
        <v>#REF!</v>
      </c>
      <c r="BG8" s="126" t="e">
        <f>Financials!Z11/Financials!Z5</f>
        <v>#REF!</v>
      </c>
      <c r="BH8" s="126" t="e">
        <f>Financials!AA11/Financials!AA5</f>
        <v>#REF!</v>
      </c>
      <c r="BI8" s="126" t="e">
        <f>Financials!AB11/Financials!AB5</f>
        <v>#REF!</v>
      </c>
      <c r="BJ8" s="126" t="e">
        <f>Financials!AC11/Financials!AC5</f>
        <v>#REF!</v>
      </c>
      <c r="BK8" s="126" t="e">
        <f>Financials!AD11/Financials!AD5</f>
        <v>#REF!</v>
      </c>
      <c r="BL8" s="126" t="e">
        <f>Financials!AE11/Financials!AE5</f>
        <v>#REF!</v>
      </c>
      <c r="BM8" s="126" t="e">
        <f>Financials!AF11/Financials!AF5</f>
        <v>#REF!</v>
      </c>
      <c r="BN8" s="126" t="e">
        <f>Financials!AG11/Financials!AG5</f>
        <v>#REF!</v>
      </c>
      <c r="BO8" s="126" t="e">
        <f>Financials!AH11/Financials!AH5</f>
        <v>#REF!</v>
      </c>
      <c r="BP8" s="126" t="e">
        <f>Financials!AI11/Financials!AI5</f>
        <v>#REF!</v>
      </c>
      <c r="BQ8" s="126" t="e">
        <f>Financials!AJ11/Financials!AJ5</f>
        <v>#REF!</v>
      </c>
      <c r="BR8" s="126" t="e">
        <f>Financials!AK11/Financials!AK5</f>
        <v>#REF!</v>
      </c>
      <c r="BS8" s="126" t="e">
        <f>Financials!AL11/Financials!AL5</f>
        <v>#REF!</v>
      </c>
      <c r="BT8" s="126" t="e">
        <f>Financials!AM11/Financials!AM5</f>
        <v>#REF!</v>
      </c>
      <c r="BU8" s="126" t="e">
        <f>Financials!AN11/Financials!AN5</f>
        <v>#REF!</v>
      </c>
      <c r="BV8" s="126" t="e">
        <f>Financials!AO11/Financials!AO5</f>
        <v>#REF!</v>
      </c>
      <c r="BW8" s="126" t="e">
        <f>Financials!AP11/Financials!AP5</f>
        <v>#REF!</v>
      </c>
      <c r="BX8" s="126" t="e">
        <f>Financials!AQ11/Financials!AQ5</f>
        <v>#REF!</v>
      </c>
      <c r="BY8" s="126" t="e">
        <f>Financials!AR11/Financials!AR5</f>
        <v>#REF!</v>
      </c>
      <c r="BZ8" s="126">
        <f>Financials!AS11/Financials!AS5</f>
        <v>0.38519392349674841</v>
      </c>
      <c r="CA8" s="126">
        <f>Financials!AT11/Financials!AT5</f>
        <v>0.36711731839444378</v>
      </c>
      <c r="CB8" s="126">
        <f>Financials!AU11/Financials!AU5</f>
        <v>0.3628734984737641</v>
      </c>
      <c r="CC8" s="126">
        <f>Financials!AV11/Financials!AV5</f>
        <v>0.40845639712549703</v>
      </c>
      <c r="CD8" s="126">
        <f>Financials!AW11/Financials!AW5</f>
        <v>0.39778281665833032</v>
      </c>
      <c r="CE8" s="126">
        <f>Financials!AX11/Financials!AX5</f>
        <v>0.3927172003517761</v>
      </c>
      <c r="CF8" s="126">
        <f>Financials!AY11/Financials!AY5</f>
        <v>0.41017252882679323</v>
      </c>
      <c r="CG8" s="126" t="e">
        <f>Financials!AZ11/Financials!AZ5</f>
        <v>#REF!</v>
      </c>
      <c r="CH8" s="126">
        <f>Financials!BA11/Financials!BA5</f>
        <v>0.4214832464770521</v>
      </c>
      <c r="CI8" s="126">
        <f>Financials!BB11/Financials!BB5</f>
        <v>0.43323083152213915</v>
      </c>
      <c r="CJ8" s="126">
        <f>Financials!BC11/Financials!BC5</f>
        <v>0.44176969763469248</v>
      </c>
      <c r="CK8" s="126">
        <f>Financials!BD11/Financials!BD5</f>
        <v>0.431292565915394</v>
      </c>
      <c r="CL8" s="126">
        <f>Financials!BE11/Financials!BE5</f>
        <v>0.47461347722760716</v>
      </c>
      <c r="CM8" s="126">
        <f>Financials!BF11/Financials!BF5</f>
        <v>0.38227061903833809</v>
      </c>
      <c r="CN8" s="126">
        <f>Financials!BG11/Financials!BG5</f>
        <v>0.3804183836892075</v>
      </c>
      <c r="CO8" s="126">
        <f>Financials!BH11/Financials!BH5</f>
        <v>0.38609513254721878</v>
      </c>
      <c r="CP8" s="126">
        <f>Financials!BI11/Financials!BI5</f>
        <v>0.3964288064163255</v>
      </c>
      <c r="CQ8" s="126">
        <f>Financials!BJ11/Financials!BJ5</f>
        <v>0.39564951835460888</v>
      </c>
      <c r="CR8" s="126">
        <f>Financials!BK11/Financials!BK5</f>
        <v>0.40113804855862312</v>
      </c>
      <c r="CS8" s="126">
        <f>Financials!BL11/Financials!BL5</f>
        <v>0.42045382007067417</v>
      </c>
      <c r="CT8" s="126">
        <f>Financials!BM11/Financials!BM5</f>
        <v>0.40064200689490642</v>
      </c>
      <c r="CU8" s="126">
        <f>Financials!BN11/Financials!BN5</f>
        <v>0.40772858072475704</v>
      </c>
      <c r="CV8" s="126">
        <f>Financials!BO11/Financials!BO5</f>
        <v>0.45224599451656416</v>
      </c>
      <c r="CW8" s="126">
        <f>Financials!BP11/Financials!BP5</f>
        <v>0.45180949751515803</v>
      </c>
      <c r="CX8" s="126">
        <f>Financials!BQ11/Financials!BQ5</f>
        <v>0.43122394201579023</v>
      </c>
      <c r="CY8" s="126">
        <f>Financials!BR11/Financials!BR5</f>
        <v>0.46099053152063257</v>
      </c>
      <c r="CZ8" s="126">
        <f>Financials!BS11/Financials!BS5</f>
        <v>0.40175934269167957</v>
      </c>
      <c r="DA8" s="126" t="e">
        <f>Financials!CF11/Financials!CF5</f>
        <v>#DIV/0!</v>
      </c>
      <c r="DB8" s="126">
        <f>Financials!CG11/Financials!CG5</f>
        <v>0.4026920139272806</v>
      </c>
      <c r="DC8" s="126">
        <f>Financials!CH11/Financials!CH5</f>
        <v>0.40544226089352742</v>
      </c>
      <c r="DD8" s="126">
        <f>Financials!CI11/Financials!CI5</f>
        <v>0.42722668945843545</v>
      </c>
      <c r="DE8" s="126">
        <f>Financials!CJ11/Financials!CJ5</f>
        <v>0.43093245282120818</v>
      </c>
      <c r="DF8" s="126">
        <f>Financials!CK11/Financials!CK5</f>
        <v>0.44842516818335515</v>
      </c>
      <c r="DG8" s="126">
        <f>Financials!CL11/Financials!CL5</f>
        <v>0.44591389418367372</v>
      </c>
      <c r="DH8" s="126">
        <f>Financials!CM11/Financials!CM5</f>
        <v>0.47123430926995202</v>
      </c>
      <c r="DI8" s="126">
        <f>Financials!CN11/Financials!CN5</f>
        <v>0.47639184206683172</v>
      </c>
      <c r="DJ8" s="126">
        <f>Financials!CO11/Financials!CO5</f>
        <v>0.49165172480830349</v>
      </c>
    </row>
    <row r="9" spans="1:114" s="104" customFormat="1" ht="12.75">
      <c r="A9" s="127" t="s">
        <v>338</v>
      </c>
      <c r="B9" s="122" t="s">
        <v>339</v>
      </c>
      <c r="C9" s="123" t="s">
        <v>340</v>
      </c>
      <c r="D9" s="126" t="e">
        <f>[2]Financials!C17/[2]Financials!C5</f>
        <v>#DIV/0!</v>
      </c>
      <c r="E9" s="126" t="e">
        <f>[2]Financials!D17/[2]Financials!D5</f>
        <v>#DIV/0!</v>
      </c>
      <c r="F9" s="126" t="e">
        <f>[2]Financials!E17/[2]Financials!E5</f>
        <v>#DIV/0!</v>
      </c>
      <c r="G9" s="126" t="e">
        <f>[2]Financials!F17/[2]Financials!F5</f>
        <v>#DIV/0!</v>
      </c>
      <c r="H9" s="126" t="e">
        <f>[2]Financials!G17/[2]Financials!G5</f>
        <v>#DIV/0!</v>
      </c>
      <c r="I9" s="126" t="e">
        <f>[2]Financials!H17/[2]Financials!H5</f>
        <v>#DIV/0!</v>
      </c>
      <c r="J9" s="126" t="e">
        <f>[2]Financials!I17/[2]Financials!I5</f>
        <v>#DIV/0!</v>
      </c>
      <c r="K9" s="126">
        <f>[2]Financials!J17/[2]Financials!J5</f>
        <v>1.2974220968686187E-2</v>
      </c>
      <c r="L9" s="126">
        <f>[2]Financials!K17/[2]Financials!K5</f>
        <v>1.1854125391207499E-2</v>
      </c>
      <c r="M9" s="126">
        <f>[2]Financials!L17/[2]Financials!L5</f>
        <v>1.1596285809433185E-2</v>
      </c>
      <c r="N9" s="126">
        <f>[2]Financials!M17/[2]Financials!M5</f>
        <v>1.1123412520771018E-2</v>
      </c>
      <c r="O9" s="126">
        <f>[2]Financials!N17/[2]Financials!N5</f>
        <v>6.4459426692138347E-2</v>
      </c>
      <c r="P9" s="126">
        <f>[2]Financials!O17/[2]Financials!O5</f>
        <v>6.5563217452253825E-2</v>
      </c>
      <c r="Q9" s="126">
        <f>[2]Financials!P17/[2]Financials!P5</f>
        <v>6.5325621552472832E-2</v>
      </c>
      <c r="R9" s="126">
        <f>[2]Financials!Q17/[2]Financials!Q5</f>
        <v>6.3921016436060962E-2</v>
      </c>
      <c r="S9" s="126">
        <f>[2]Financials!R17/[2]Financials!R5</f>
        <v>6.2872219596898607E-2</v>
      </c>
      <c r="T9" s="126">
        <f>[2]Financials!S17/[2]Financials!S5</f>
        <v>6.2066920917717677E-2</v>
      </c>
      <c r="U9" s="126">
        <f>[2]Financials!T17/[2]Financials!T5</f>
        <v>6.0148169971152986E-2</v>
      </c>
      <c r="V9" s="126">
        <f>[2]Financials!U17/[2]Financials!U5</f>
        <v>5.9026734746268225E-2</v>
      </c>
      <c r="W9" s="126">
        <f>[2]Financials!V17/[2]Financials!V5</f>
        <v>5.8960114134130784E-2</v>
      </c>
      <c r="X9" s="126">
        <f>[2]Financials!W17/[2]Financials!W5</f>
        <v>5.9733012023684091E-2</v>
      </c>
      <c r="Y9" s="126">
        <f>[2]Financials!X17/[2]Financials!X5</f>
        <v>5.6796293519764014E-2</v>
      </c>
      <c r="Z9" s="126">
        <f>[2]Financials!Y17/[2]Financials!Y5</f>
        <v>5.9133685958313462E-2</v>
      </c>
      <c r="AA9" s="126">
        <f>[2]Financials!Z17/[2]Financials!Z5</f>
        <v>5.5410745075713121E-2</v>
      </c>
      <c r="AB9" s="126">
        <f>[2]Financials!AA17/[2]Financials!AA5</f>
        <v>5.6362711668195092E-2</v>
      </c>
      <c r="AC9" s="126">
        <f>[2]Financials!AB17/[2]Financials!AB5</f>
        <v>5.5914420557799008E-2</v>
      </c>
      <c r="AD9" s="126">
        <f>[2]Financials!AC17/[2]Financials!AC5</f>
        <v>5.388687573334211E-2</v>
      </c>
      <c r="AE9" s="126">
        <f>[2]Financials!AD17/[2]Financials!AD5</f>
        <v>5.300461946228608E-2</v>
      </c>
      <c r="AF9" s="126">
        <f>[2]Financials!AE17/[2]Financials!AE5</f>
        <v>5.0769747564842559E-2</v>
      </c>
      <c r="AG9" s="126">
        <f>[2]Financials!AF17/[2]Financials!AF5</f>
        <v>4.9915083062045E-2</v>
      </c>
      <c r="AH9" s="126">
        <f>[2]Financials!AG17/[2]Financials!AG5</f>
        <v>4.9067272297845431E-2</v>
      </c>
      <c r="AI9" s="126">
        <f>[2]Financials!AH17/[2]Financials!AH5</f>
        <v>4.7683799992793686E-2</v>
      </c>
      <c r="AJ9" s="126">
        <f>[2]Financials!AI17/[2]Financials!AI5</f>
        <v>4.6002918032266422E-2</v>
      </c>
      <c r="AK9" s="126" t="e">
        <f>Financials!D15/Financials!D4</f>
        <v>#REF!</v>
      </c>
      <c r="AL9" s="126" t="e">
        <f>Financials!E15/Financials!E4</f>
        <v>#REF!</v>
      </c>
      <c r="AM9" s="126" t="e">
        <f>Financials!F15/Financials!F4</f>
        <v>#REF!</v>
      </c>
      <c r="AN9" s="126" t="e">
        <f>Financials!G15/Financials!G4</f>
        <v>#REF!</v>
      </c>
      <c r="AO9" s="126" t="e">
        <f>Financials!H15/Financials!H4</f>
        <v>#REF!</v>
      </c>
      <c r="AP9" s="126" t="e">
        <f>Financials!I15/Financials!I4</f>
        <v>#REF!</v>
      </c>
      <c r="AQ9" s="126" t="e">
        <f>Financials!J15/Financials!J4</f>
        <v>#REF!</v>
      </c>
      <c r="AR9" s="126" t="e">
        <f>Financials!K15/Financials!K4</f>
        <v>#REF!</v>
      </c>
      <c r="AS9" s="126" t="e">
        <f>Financials!L15/Financials!L4</f>
        <v>#REF!</v>
      </c>
      <c r="AT9" s="126" t="e">
        <f>Financials!M15/Financials!M4</f>
        <v>#REF!</v>
      </c>
      <c r="AU9" s="126" t="e">
        <f>Financials!N15/Financials!N4</f>
        <v>#REF!</v>
      </c>
      <c r="AV9" s="126" t="e">
        <f>Financials!O15/Financials!O4</f>
        <v>#REF!</v>
      </c>
      <c r="AW9" s="126" t="e">
        <f>Financials!P15/Financials!P4</f>
        <v>#REF!</v>
      </c>
      <c r="AX9" s="126" t="e">
        <f>Financials!Q15/Financials!Q4</f>
        <v>#REF!</v>
      </c>
      <c r="AY9" s="126" t="e">
        <f>Financials!R15/Financials!R4</f>
        <v>#REF!</v>
      </c>
      <c r="AZ9" s="126" t="e">
        <f>Financials!S15/Financials!S4</f>
        <v>#REF!</v>
      </c>
      <c r="BA9" s="126" t="e">
        <f>Financials!T15/Financials!T4</f>
        <v>#REF!</v>
      </c>
      <c r="BB9" s="126" t="e">
        <f>Financials!U15/Financials!U4</f>
        <v>#REF!</v>
      </c>
      <c r="BC9" s="126" t="e">
        <f>Financials!V15/Financials!V4</f>
        <v>#REF!</v>
      </c>
      <c r="BD9" s="126" t="e">
        <f>Financials!W15/Financials!W4</f>
        <v>#REF!</v>
      </c>
      <c r="BE9" s="126" t="e">
        <f>Financials!X15/Financials!X4</f>
        <v>#REF!</v>
      </c>
      <c r="BF9" s="126" t="e">
        <f>Financials!Y15/Financials!Y4</f>
        <v>#REF!</v>
      </c>
      <c r="BG9" s="126" t="e">
        <f>Financials!Z15/Financials!Z4</f>
        <v>#REF!</v>
      </c>
      <c r="BH9" s="126" t="e">
        <f>Financials!AA15/Financials!AA4</f>
        <v>#REF!</v>
      </c>
      <c r="BI9" s="126" t="e">
        <f>Financials!AB15/Financials!AB4</f>
        <v>#REF!</v>
      </c>
      <c r="BJ9" s="126" t="e">
        <f>Financials!AC15/Financials!AC4</f>
        <v>#REF!</v>
      </c>
      <c r="BK9" s="126" t="e">
        <f>Financials!AD15/Financials!AD4</f>
        <v>#REF!</v>
      </c>
      <c r="BL9" s="126" t="e">
        <f>Financials!AE15/Financials!AE4</f>
        <v>#REF!</v>
      </c>
      <c r="BM9" s="126" t="e">
        <f>Financials!AF15/Financials!AF4</f>
        <v>#REF!</v>
      </c>
      <c r="BN9" s="126" t="e">
        <f>Financials!AG15/Financials!AG4</f>
        <v>#REF!</v>
      </c>
      <c r="BO9" s="126" t="e">
        <f>Financials!AH15/Financials!AH4</f>
        <v>#REF!</v>
      </c>
      <c r="BP9" s="126" t="e">
        <f>Financials!AI15/Financials!AI4</f>
        <v>#REF!</v>
      </c>
      <c r="BQ9" s="126" t="e">
        <f>Financials!AJ15/Financials!AJ4</f>
        <v>#REF!</v>
      </c>
      <c r="BR9" s="126" t="e">
        <f>Financials!AK15/Financials!AK4</f>
        <v>#REF!</v>
      </c>
      <c r="BS9" s="126" t="e">
        <f>Financials!AL15/Financials!AL4</f>
        <v>#REF!</v>
      </c>
      <c r="BT9" s="126" t="e">
        <f>Financials!AM15/Financials!AM4</f>
        <v>#REF!</v>
      </c>
      <c r="BU9" s="126" t="e">
        <f>Financials!AN15/Financials!AN4</f>
        <v>#REF!</v>
      </c>
      <c r="BV9" s="126" t="e">
        <f>Financials!AO15/Financials!AO4</f>
        <v>#REF!</v>
      </c>
      <c r="BW9" s="126" t="e">
        <f>Financials!AP15/Financials!AP4</f>
        <v>#REF!</v>
      </c>
      <c r="BX9" s="126" t="e">
        <f>Financials!AQ15/Financials!AQ4</f>
        <v>#REF!</v>
      </c>
      <c r="BY9" s="126" t="e">
        <f>Financials!AR15/Financials!AR4</f>
        <v>#REF!</v>
      </c>
      <c r="BZ9" s="126">
        <f>Financials!AS15/Financials!AS4</f>
        <v>0.18206193287881989</v>
      </c>
      <c r="CA9" s="126">
        <f>Financials!AT15/Financials!AT4</f>
        <v>0.16800244281472512</v>
      </c>
      <c r="CB9" s="126">
        <f>Financials!AU15/Financials!AU4</f>
        <v>0.16394661985081038</v>
      </c>
      <c r="CC9" s="126">
        <f>Financials!AV15/Financials!AV4</f>
        <v>0.16967706583630465</v>
      </c>
      <c r="CD9" s="126">
        <f>Financials!AW15/Financials!AW4</f>
        <v>0.16941474361941117</v>
      </c>
      <c r="CE9" s="126">
        <f>Financials!AX15/Financials!AX4</f>
        <v>0.16481787333340323</v>
      </c>
      <c r="CF9" s="126">
        <f>Financials!AY15/Financials!AY4</f>
        <v>0.16630071607615105</v>
      </c>
      <c r="CG9" s="126" t="e">
        <f>Financials!AZ15/Financials!AZ4</f>
        <v>#REF!</v>
      </c>
      <c r="CH9" s="126">
        <f>Financials!BA15/Financials!BA4</f>
        <v>0.16388293302824267</v>
      </c>
      <c r="CI9" s="126">
        <f>Financials!BB15/Financials!BB4</f>
        <v>0.16454427899428248</v>
      </c>
      <c r="CJ9" s="126">
        <f>Financials!BC15/Financials!BC4</f>
        <v>0.1703709044426629</v>
      </c>
      <c r="CK9" s="126">
        <f>Financials!BD15/Financials!BD4</f>
        <v>0.16499822017972335</v>
      </c>
      <c r="CL9" s="126">
        <f>Financials!BE15/Financials!BE4</f>
        <v>0.17632859395983572</v>
      </c>
      <c r="CM9" s="126">
        <f>Financials!BF15/Financials!BF4</f>
        <v>0.17636247476531203</v>
      </c>
      <c r="CN9" s="126">
        <f>Financials!BG15/Financials!BG4</f>
        <v>0.17807800544661134</v>
      </c>
      <c r="CO9" s="126">
        <f>Financials!BH15/Financials!BH4</f>
        <v>0.17768107407035971</v>
      </c>
      <c r="CP9" s="126">
        <f>Financials!BI15/Financials!BI4</f>
        <v>0.17400972704100143</v>
      </c>
      <c r="CQ9" s="126">
        <f>Financials!BJ15/Financials!BJ4</f>
        <v>0.17705022933543493</v>
      </c>
      <c r="CR9" s="126">
        <f>Financials!BK15/Financials!BK4</f>
        <v>0.17584013521197323</v>
      </c>
      <c r="CS9" s="126">
        <f>Financials!BL15/Financials!BL4</f>
        <v>0.18141147283026207</v>
      </c>
      <c r="CT9" s="126">
        <f>Financials!BM15/Financials!BM4</f>
        <v>0.16897188228537902</v>
      </c>
      <c r="CU9" s="126">
        <f>Financials!BN15/Financials!BN4</f>
        <v>0.16820538319939524</v>
      </c>
      <c r="CV9" s="126">
        <f>Financials!BO15/Financials!BO4</f>
        <v>0.1775014977347473</v>
      </c>
      <c r="CW9" s="126">
        <f>Financials!BP15/Financials!BP4</f>
        <v>0.17205573803097071</v>
      </c>
      <c r="CX9" s="126">
        <f>Financials!BQ15/Financials!BQ4</f>
        <v>0.16570516129243681</v>
      </c>
      <c r="CY9" s="126">
        <f>Financials!BR15/Financials!BR4</f>
        <v>0.17351571767938778</v>
      </c>
      <c r="CZ9" s="126">
        <f>Financials!BS15/Financials!BS4</f>
        <v>0.13789328417424596</v>
      </c>
      <c r="DA9" s="126" t="e">
        <f>Financials!CF15/Financials!CF4</f>
        <v>#DIV/0!</v>
      </c>
      <c r="DB9" s="126">
        <f>Financials!CG15/Financials!CG4</f>
        <v>0.17045296946364419</v>
      </c>
      <c r="DC9" s="126">
        <f>Financials!CH15/Financials!CH4</f>
        <v>0.16939594141809922</v>
      </c>
      <c r="DD9" s="126">
        <f>Financials!CI15/Financials!CI4</f>
        <v>0.16619218266418112</v>
      </c>
      <c r="DE9" s="126">
        <f>Financials!CJ15/Financials!CJ4</f>
        <v>0.17492913993938172</v>
      </c>
      <c r="DF9" s="126">
        <f>Financials!CK15/Financials!CK4</f>
        <v>0.17425762712556367</v>
      </c>
      <c r="DG9" s="126">
        <f>Financials!CL15/Financials!CL4</f>
        <v>0.17100442948899519</v>
      </c>
      <c r="DH9" s="126">
        <f>Financials!CM15/Financials!CM4</f>
        <v>0.17148689928339905</v>
      </c>
      <c r="DI9" s="126">
        <f>Financials!CN15/Financials!CN4</f>
        <v>0.16966676455785157</v>
      </c>
      <c r="DJ9" s="126">
        <f>Financials!CO15/Financials!CO4</f>
        <v>0.1718661462533832</v>
      </c>
    </row>
    <row r="10" spans="1:114" s="104" customFormat="1" ht="12.75">
      <c r="A10" s="127" t="s">
        <v>116</v>
      </c>
      <c r="B10" s="122" t="s">
        <v>336</v>
      </c>
      <c r="C10" s="123" t="s">
        <v>340</v>
      </c>
      <c r="D10" s="126" t="e">
        <f>[2]Financials!C14/[2]Financials!C5</f>
        <v>#DIV/0!</v>
      </c>
      <c r="E10" s="126" t="e">
        <f>[2]Financials!D14/[2]Financials!D5</f>
        <v>#DIV/0!</v>
      </c>
      <c r="F10" s="126" t="e">
        <f>[2]Financials!E14/[2]Financials!E5</f>
        <v>#DIV/0!</v>
      </c>
      <c r="G10" s="126" t="e">
        <f>[2]Financials!F14/[2]Financials!F5</f>
        <v>#DIV/0!</v>
      </c>
      <c r="H10" s="126" t="e">
        <f>[2]Financials!G14/[2]Financials!G5</f>
        <v>#DIV/0!</v>
      </c>
      <c r="I10" s="126" t="e">
        <f>[2]Financials!H14/[2]Financials!H5</f>
        <v>#DIV/0!</v>
      </c>
      <c r="J10" s="126" t="e">
        <f>[2]Financials!I14/[2]Financials!I5</f>
        <v>#DIV/0!</v>
      </c>
      <c r="K10" s="126">
        <f>[2]Financials!J14/[2]Financials!J5</f>
        <v>8.1786120475384597E-2</v>
      </c>
      <c r="L10" s="126">
        <f>[2]Financials!K14/[2]Financials!K5</f>
        <v>0.1541456345113712</v>
      </c>
      <c r="M10" s="126">
        <f>[2]Financials!L14/[2]Financials!L5</f>
        <v>0.16049409931588346</v>
      </c>
      <c r="N10" s="126">
        <f>[2]Financials!M14/[2]Financials!M5</f>
        <v>0.16302784361128492</v>
      </c>
      <c r="O10" s="126">
        <f>[2]Financials!N14/[2]Financials!N5</f>
        <v>0.10651986803723509</v>
      </c>
      <c r="P10" s="126">
        <f>[2]Financials!O14/[2]Financials!O5</f>
        <v>0.11806219486294578</v>
      </c>
      <c r="Q10" s="126">
        <f>[2]Financials!P14/[2]Financials!P5</f>
        <v>0.128677319646506</v>
      </c>
      <c r="R10" s="126">
        <f>[2]Financials!Q14/[2]Financials!Q5</f>
        <v>0.13570595497636126</v>
      </c>
      <c r="S10" s="126">
        <f>[2]Financials!R14/[2]Financials!R5</f>
        <v>0.14210472218229966</v>
      </c>
      <c r="T10" s="126">
        <f>[2]Financials!S14/[2]Financials!S5</f>
        <v>0.15068099785269073</v>
      </c>
      <c r="U10" s="126">
        <f>[2]Financials!T14/[2]Financials!T5</f>
        <v>0.15657167490885124</v>
      </c>
      <c r="V10" s="126">
        <f>[2]Financials!U14/[2]Financials!U5</f>
        <v>0.15995891297269541</v>
      </c>
      <c r="W10" s="126">
        <f>[2]Financials!V14/[2]Financials!V5</f>
        <v>0.16733554216443003</v>
      </c>
      <c r="X10" s="126">
        <f>[2]Financials!W14/[2]Financials!W5</f>
        <v>8.5576465040175423E-2</v>
      </c>
      <c r="Y10" s="126">
        <f>[2]Financials!X14/[2]Financials!X5</f>
        <v>0.17076913821575931</v>
      </c>
      <c r="Z10" s="126">
        <f>[2]Financials!Y14/[2]Financials!Y5</f>
        <v>0.10844528193728918</v>
      </c>
      <c r="AA10" s="126">
        <f>[2]Financials!Z14/[2]Financials!Z5</f>
        <v>9.501444160803417E-2</v>
      </c>
      <c r="AB10" s="126">
        <f>[2]Financials!AA14/[2]Financials!AA5</f>
        <v>0.11720610744050075</v>
      </c>
      <c r="AC10" s="126">
        <f>[2]Financials!AB14/[2]Financials!AB5</f>
        <v>0.12353600627096635</v>
      </c>
      <c r="AD10" s="126">
        <f>[2]Financials!AC14/[2]Financials!AC5</f>
        <v>0.12971340265845327</v>
      </c>
      <c r="AE10" s="126">
        <f>[2]Financials!AD14/[2]Financials!AD5</f>
        <v>0.14122969423493809</v>
      </c>
      <c r="AF10" s="126">
        <f>[2]Financials!AE14/[2]Financials!AE5</f>
        <v>0.14910438711891216</v>
      </c>
      <c r="AG10" s="126">
        <f>[2]Financials!AF14/[2]Financials!AF5</f>
        <v>0.15903519129985255</v>
      </c>
      <c r="AH10" s="126">
        <f>[2]Financials!AG14/[2]Financials!AG5</f>
        <v>0.16543642284921259</v>
      </c>
      <c r="AI10" s="126">
        <f>[2]Financials!AH14/[2]Financials!AH5</f>
        <v>0.16539710743732713</v>
      </c>
      <c r="AJ10" s="126">
        <f>[2]Financials!AI14/[2]Financials!AI5</f>
        <v>0.17001315109115134</v>
      </c>
      <c r="AK10" s="126" t="e">
        <f>Financials!D12/Financials!D4</f>
        <v>#REF!</v>
      </c>
      <c r="AL10" s="126" t="e">
        <f>Financials!E12/Financials!E4</f>
        <v>#REF!</v>
      </c>
      <c r="AM10" s="126" t="e">
        <f>Financials!F12/Financials!F4</f>
        <v>#REF!</v>
      </c>
      <c r="AN10" s="126" t="e">
        <f>Financials!G12/Financials!G4</f>
        <v>#REF!</v>
      </c>
      <c r="AO10" s="126" t="e">
        <f>Financials!H12/Financials!H4</f>
        <v>#REF!</v>
      </c>
      <c r="AP10" s="126" t="e">
        <f>Financials!I12/Financials!I4</f>
        <v>#REF!</v>
      </c>
      <c r="AQ10" s="126" t="e">
        <f>Financials!J12/Financials!J4</f>
        <v>#REF!</v>
      </c>
      <c r="AR10" s="126" t="e">
        <f>Financials!K12/Financials!K4</f>
        <v>#REF!</v>
      </c>
      <c r="AS10" s="126" t="e">
        <f>Financials!L12/Financials!L4</f>
        <v>#REF!</v>
      </c>
      <c r="AT10" s="126" t="e">
        <f>Financials!M12/Financials!M4</f>
        <v>#REF!</v>
      </c>
      <c r="AU10" s="126" t="e">
        <f>Financials!N12/Financials!N4</f>
        <v>#REF!</v>
      </c>
      <c r="AV10" s="126" t="e">
        <f>Financials!O12/Financials!O4</f>
        <v>#REF!</v>
      </c>
      <c r="AW10" s="126" t="e">
        <f>Financials!P12/Financials!P4</f>
        <v>#REF!</v>
      </c>
      <c r="AX10" s="126" t="e">
        <f>Financials!Q12/Financials!Q4</f>
        <v>#REF!</v>
      </c>
      <c r="AY10" s="126" t="e">
        <f>Financials!R12/Financials!R4</f>
        <v>#REF!</v>
      </c>
      <c r="AZ10" s="126" t="e">
        <f>Financials!S12/Financials!S4</f>
        <v>#REF!</v>
      </c>
      <c r="BA10" s="126" t="e">
        <f>Financials!T12/Financials!T4</f>
        <v>#REF!</v>
      </c>
      <c r="BB10" s="126" t="e">
        <f>Financials!U12/Financials!U4</f>
        <v>#REF!</v>
      </c>
      <c r="BC10" s="126" t="e">
        <f>Financials!V12/Financials!V4</f>
        <v>#REF!</v>
      </c>
      <c r="BD10" s="126" t="e">
        <f>Financials!W12/Financials!W4</f>
        <v>#REF!</v>
      </c>
      <c r="BE10" s="126" t="e">
        <f>Financials!X12/Financials!X4</f>
        <v>#REF!</v>
      </c>
      <c r="BF10" s="126" t="e">
        <f>Financials!Y12/Financials!Y4</f>
        <v>#REF!</v>
      </c>
      <c r="BG10" s="126" t="e">
        <f>Financials!Z12/Financials!Z4</f>
        <v>#REF!</v>
      </c>
      <c r="BH10" s="126" t="e">
        <f>Financials!AA12/Financials!AA4</f>
        <v>#REF!</v>
      </c>
      <c r="BI10" s="126" t="e">
        <f>Financials!AB12/Financials!AB4</f>
        <v>#REF!</v>
      </c>
      <c r="BJ10" s="126" t="e">
        <f>Financials!AC12/Financials!AC4</f>
        <v>#REF!</v>
      </c>
      <c r="BK10" s="126" t="e">
        <f>Financials!AD12/Financials!AD4</f>
        <v>#REF!</v>
      </c>
      <c r="BL10" s="126" t="e">
        <f>Financials!AE12/Financials!AE4</f>
        <v>#REF!</v>
      </c>
      <c r="BM10" s="126" t="e">
        <f>Financials!AF12/Financials!AF4</f>
        <v>#REF!</v>
      </c>
      <c r="BN10" s="126" t="e">
        <f>Financials!AG12/Financials!AG4</f>
        <v>#REF!</v>
      </c>
      <c r="BO10" s="126" t="e">
        <f>Financials!AH12/Financials!AH4</f>
        <v>#REF!</v>
      </c>
      <c r="BP10" s="126" t="e">
        <f>Financials!AI12/Financials!AI4</f>
        <v>#REF!</v>
      </c>
      <c r="BQ10" s="126" t="e">
        <f>Financials!AJ12/Financials!AJ4</f>
        <v>#REF!</v>
      </c>
      <c r="BR10" s="126" t="e">
        <f>Financials!AK12/Financials!AK4</f>
        <v>#REF!</v>
      </c>
      <c r="BS10" s="126" t="e">
        <f>Financials!AL12/Financials!AL4</f>
        <v>#REF!</v>
      </c>
      <c r="BT10" s="126" t="e">
        <f>Financials!AM12/Financials!AM4</f>
        <v>#REF!</v>
      </c>
      <c r="BU10" s="126" t="e">
        <f>Financials!AN12/Financials!AN4</f>
        <v>#REF!</v>
      </c>
      <c r="BV10" s="126" t="e">
        <f>Financials!AO12/Financials!AO4</f>
        <v>#REF!</v>
      </c>
      <c r="BW10" s="126" t="e">
        <f>Financials!AP12/Financials!AP4</f>
        <v>#REF!</v>
      </c>
      <c r="BX10" s="126" t="e">
        <f>Financials!AQ12/Financials!AQ4</f>
        <v>#REF!</v>
      </c>
      <c r="BY10" s="126" t="e">
        <f>Financials!AR12/Financials!AR4</f>
        <v>#REF!</v>
      </c>
      <c r="BZ10" s="126">
        <f>Financials!AS12/Financials!AS4</f>
        <v>7.6538578495480528E-2</v>
      </c>
      <c r="CA10" s="126">
        <f>Financials!AT12/Financials!AT4</f>
        <v>6.9981925427118286E-2</v>
      </c>
      <c r="CB10" s="126">
        <f>Financials!AU12/Financials!AU4</f>
        <v>7.2655165746072961E-2</v>
      </c>
      <c r="CC10" s="126">
        <f>Financials!AV12/Financials!AV4</f>
        <v>9.0029440972440047E-2</v>
      </c>
      <c r="CD10" s="126">
        <f>Financials!AW12/Financials!AW4</f>
        <v>9.4337720689960491E-2</v>
      </c>
      <c r="CE10" s="126">
        <f>Financials!AX12/Financials!AX4</f>
        <v>9.7889908474189477E-2</v>
      </c>
      <c r="CF10" s="126">
        <f>Financials!AY12/Financials!AY4</f>
        <v>0.10457922700312253</v>
      </c>
      <c r="CG10" s="126" t="e">
        <f>Financials!AZ12/Financials!AZ4</f>
        <v>#REF!</v>
      </c>
      <c r="CH10" s="126">
        <f>Financials!BA12/Financials!BA4</f>
        <v>0.11475889138120754</v>
      </c>
      <c r="CI10" s="126">
        <f>Financials!BB12/Financials!BB4</f>
        <v>0.12065428072241649</v>
      </c>
      <c r="CJ10" s="126">
        <f>Financials!BC12/Financials!BC4</f>
        <v>0.13218898977403989</v>
      </c>
      <c r="CK10" s="126">
        <f>Financials!BD12/Financials!BD4</f>
        <v>0.1328710400600015</v>
      </c>
      <c r="CL10" s="126">
        <f>Financials!BE12/Financials!BE4</f>
        <v>0.1385904683703115</v>
      </c>
      <c r="CM10" s="126">
        <f>Financials!BF12/Financials!BF4</f>
        <v>7.7333312459239537E-2</v>
      </c>
      <c r="CN10" s="126">
        <f>Financials!BG12/Financials!BG4</f>
        <v>7.5414262027611575E-2</v>
      </c>
      <c r="CO10" s="126">
        <f>Financials!BH12/Financials!BH4</f>
        <v>7.789601923584509E-2</v>
      </c>
      <c r="CP10" s="126">
        <f>Financials!BI12/Financials!BI4</f>
        <v>9.2563179070167409E-2</v>
      </c>
      <c r="CQ10" s="126">
        <f>Financials!BJ12/Financials!BJ4</f>
        <v>9.9399551525869462E-2</v>
      </c>
      <c r="CR10" s="126">
        <f>Financials!BK12/Financials!BK4</f>
        <v>0.10453467706745403</v>
      </c>
      <c r="CS10" s="126">
        <f>Financials!BL12/Financials!BL4</f>
        <v>0.11207893432227943</v>
      </c>
      <c r="CT10" s="126">
        <f>Financials!BM12/Financials!BM4</f>
        <v>0.11442402957782166</v>
      </c>
      <c r="CU10" s="126">
        <f>Financials!BN12/Financials!BN4</f>
        <v>0.11918312707565992</v>
      </c>
      <c r="CV10" s="126">
        <f>Financials!BO12/Financials!BO4</f>
        <v>0.13180990557473996</v>
      </c>
      <c r="CW10" s="126">
        <f>Financials!BP12/Financials!BP4</f>
        <v>0.13679803079262681</v>
      </c>
      <c r="CX10" s="126">
        <f>Financials!BQ12/Financials!BQ4</f>
        <v>0.13377388612916816</v>
      </c>
      <c r="CY10" s="126">
        <f>Financials!BR12/Financials!BR4</f>
        <v>0.139121563714771</v>
      </c>
      <c r="CZ10" s="126">
        <f>Financials!BS12/Financials!BS4</f>
        <v>0.13177471657384973</v>
      </c>
      <c r="DA10" s="126" t="e">
        <f>Financials!CF12/Financials!CF4</f>
        <v>#DIV/0!</v>
      </c>
      <c r="DB10" s="126">
        <f>Financials!CG12/Financials!CG4</f>
        <v>0.10065985839797408</v>
      </c>
      <c r="DC10" s="126">
        <f>Financials!CH12/Financials!CH4</f>
        <v>0.10298592753610486</v>
      </c>
      <c r="DD10" s="126">
        <f>Financials!CI12/Financials!CI4</f>
        <v>0.11719827961386051</v>
      </c>
      <c r="DE10" s="126">
        <f>Financials!CJ12/Financials!CJ4</f>
        <v>0.12452413082846255</v>
      </c>
      <c r="DF10" s="126">
        <f>Financials!CK12/Financials!CK4</f>
        <v>0.13220094802145671</v>
      </c>
      <c r="DG10" s="126">
        <f>Financials!CL12/Financials!CL4</f>
        <v>0.13486540910165495</v>
      </c>
      <c r="DH10" s="126">
        <f>Financials!CM12/Financials!CM4</f>
        <v>0.14703590876609868</v>
      </c>
      <c r="DI10" s="126">
        <f>Financials!CN12/Financials!CN4</f>
        <v>0.15124429246827939</v>
      </c>
      <c r="DJ10" s="126">
        <f>Financials!CO12/Financials!CO4</f>
        <v>0.15543331270265376</v>
      </c>
    </row>
    <row r="11" spans="1:114" s="104" customFormat="1" ht="12.75">
      <c r="A11" s="121"/>
      <c r="B11" s="128"/>
      <c r="C11" s="129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  <c r="CF11" s="126"/>
      <c r="CG11" s="126"/>
      <c r="CH11" s="126"/>
      <c r="CI11" s="126"/>
      <c r="CJ11" s="126"/>
      <c r="CK11" s="126"/>
      <c r="CL11" s="126"/>
      <c r="CM11" s="126"/>
      <c r="CN11" s="126"/>
      <c r="CO11" s="126"/>
      <c r="CP11" s="126"/>
      <c r="CQ11" s="126"/>
      <c r="CR11" s="126"/>
      <c r="CS11" s="126"/>
      <c r="CT11" s="126"/>
      <c r="CU11" s="126"/>
      <c r="CV11" s="126"/>
      <c r="CW11" s="126"/>
      <c r="CX11" s="126"/>
      <c r="CY11" s="126"/>
      <c r="CZ11" s="126"/>
      <c r="DA11" s="126"/>
      <c r="DB11" s="126"/>
      <c r="DC11" s="126"/>
      <c r="DD11" s="126"/>
      <c r="DE11" s="126"/>
      <c r="DF11" s="126"/>
      <c r="DG11" s="126"/>
      <c r="DH11" s="126"/>
      <c r="DI11" s="126"/>
      <c r="DJ11" s="126"/>
    </row>
    <row r="12" spans="1:114" s="104" customFormat="1" ht="12.75">
      <c r="A12" s="117" t="s">
        <v>341</v>
      </c>
      <c r="B12" s="118"/>
      <c r="C12" s="119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0"/>
      <c r="BG12" s="120"/>
      <c r="BH12" s="120"/>
      <c r="BI12" s="120"/>
      <c r="BJ12" s="120"/>
      <c r="BK12" s="120"/>
      <c r="BL12" s="120"/>
      <c r="BM12" s="120"/>
      <c r="BN12" s="120"/>
      <c r="BO12" s="120"/>
      <c r="BP12" s="120"/>
      <c r="BQ12" s="120"/>
      <c r="BR12" s="120"/>
      <c r="BS12" s="120"/>
      <c r="BT12" s="120"/>
      <c r="BU12" s="120"/>
      <c r="BV12" s="120"/>
      <c r="BW12" s="120"/>
      <c r="BX12" s="120"/>
      <c r="BY12" s="120"/>
      <c r="BZ12" s="120"/>
      <c r="CA12" s="120"/>
      <c r="CB12" s="120"/>
      <c r="CC12" s="120"/>
      <c r="CD12" s="120"/>
      <c r="CE12" s="120"/>
      <c r="CF12" s="120"/>
      <c r="CG12" s="120"/>
      <c r="CH12" s="120"/>
      <c r="CI12" s="120"/>
      <c r="CJ12" s="120"/>
      <c r="CK12" s="120"/>
      <c r="CL12" s="120"/>
      <c r="CM12" s="120"/>
      <c r="CN12" s="120"/>
      <c r="CO12" s="120"/>
      <c r="CP12" s="120"/>
      <c r="CQ12" s="120"/>
      <c r="CR12" s="120"/>
      <c r="CS12" s="120"/>
      <c r="CT12" s="120"/>
      <c r="CU12" s="120"/>
      <c r="CV12" s="120"/>
      <c r="CW12" s="120"/>
      <c r="CX12" s="120"/>
      <c r="CY12" s="120"/>
      <c r="CZ12" s="120"/>
      <c r="DA12" s="120"/>
      <c r="DB12" s="120"/>
      <c r="DC12" s="120"/>
      <c r="DD12" s="120"/>
      <c r="DE12" s="120"/>
      <c r="DF12" s="120"/>
      <c r="DG12" s="120"/>
      <c r="DH12" s="120"/>
      <c r="DI12" s="120"/>
      <c r="DJ12" s="120"/>
    </row>
    <row r="13" spans="1:114" s="104" customFormat="1" ht="12.75">
      <c r="A13" s="117" t="s">
        <v>342</v>
      </c>
      <c r="B13" s="118"/>
      <c r="C13" s="119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  <c r="BG13" s="120"/>
      <c r="BH13" s="120"/>
      <c r="BI13" s="120"/>
      <c r="BJ13" s="120"/>
      <c r="BK13" s="120"/>
      <c r="BL13" s="120"/>
      <c r="BM13" s="120"/>
      <c r="BN13" s="120"/>
      <c r="BO13" s="120"/>
      <c r="BP13" s="120"/>
      <c r="BQ13" s="120"/>
      <c r="BR13" s="120"/>
      <c r="BS13" s="120"/>
      <c r="BT13" s="120"/>
      <c r="BU13" s="120"/>
      <c r="BV13" s="120"/>
      <c r="BW13" s="120"/>
      <c r="BX13" s="120"/>
      <c r="BY13" s="120"/>
      <c r="BZ13" s="120"/>
      <c r="CA13" s="120"/>
      <c r="CB13" s="120"/>
      <c r="CC13" s="120"/>
      <c r="CD13" s="120"/>
      <c r="CE13" s="120"/>
      <c r="CF13" s="120"/>
      <c r="CG13" s="120"/>
      <c r="CH13" s="120"/>
      <c r="CI13" s="120"/>
      <c r="CJ13" s="120"/>
      <c r="CK13" s="120"/>
      <c r="CL13" s="120"/>
      <c r="CM13" s="120"/>
      <c r="CN13" s="120"/>
      <c r="CO13" s="120"/>
      <c r="CP13" s="120"/>
      <c r="CQ13" s="120"/>
      <c r="CR13" s="120"/>
      <c r="CS13" s="120"/>
      <c r="CT13" s="120"/>
      <c r="CU13" s="120"/>
      <c r="CV13" s="120"/>
      <c r="CW13" s="120"/>
      <c r="CX13" s="120"/>
      <c r="CY13" s="120"/>
      <c r="CZ13" s="120"/>
      <c r="DA13" s="120"/>
      <c r="DB13" s="120"/>
      <c r="DC13" s="120"/>
      <c r="DD13" s="120"/>
      <c r="DE13" s="120"/>
      <c r="DF13" s="120"/>
      <c r="DG13" s="120"/>
      <c r="DH13" s="120"/>
      <c r="DI13" s="120"/>
      <c r="DJ13" s="120"/>
    </row>
    <row r="14" spans="1:114" s="104" customFormat="1" ht="12.75">
      <c r="A14" s="127" t="s">
        <v>343</v>
      </c>
      <c r="B14" s="122" t="s">
        <v>344</v>
      </c>
      <c r="C14" s="123">
        <v>48.1</v>
      </c>
      <c r="D14" s="126" t="e">
        <f>[2]Financials!C38/[2]Financials!C5</f>
        <v>#DIV/0!</v>
      </c>
      <c r="E14" s="126" t="e">
        <f>[2]Financials!D38/[2]Financials!D5</f>
        <v>#DIV/0!</v>
      </c>
      <c r="F14" s="126" t="e">
        <f>[2]Financials!E38/[2]Financials!E5</f>
        <v>#DIV/0!</v>
      </c>
      <c r="G14" s="126" t="e">
        <f>[2]Financials!F38/[2]Financials!F5</f>
        <v>#DIV/0!</v>
      </c>
      <c r="H14" s="126" t="e">
        <f>[2]Financials!G38/[2]Financials!G5</f>
        <v>#DIV/0!</v>
      </c>
      <c r="I14" s="126" t="e">
        <f>[2]Financials!H38/[2]Financials!H5</f>
        <v>#DIV/0!</v>
      </c>
      <c r="J14" s="126" t="e">
        <f>[2]Financials!I38/[2]Financials!I5</f>
        <v>#DIV/0!</v>
      </c>
      <c r="K14" s="126">
        <f>[2]Financials!J38/[2]Financials!J5</f>
        <v>1.9195265375530655E-2</v>
      </c>
      <c r="L14" s="126">
        <f>[2]Financials!K38/[2]Financials!K5</f>
        <v>2.7597945798810131E-2</v>
      </c>
      <c r="M14" s="126">
        <f>[2]Financials!L38/[2]Financials!L5</f>
        <v>2.7141758829233417E-2</v>
      </c>
      <c r="N14" s="126">
        <f>[2]Financials!M38/[2]Financials!M5</f>
        <v>2.8377621976402111E-2</v>
      </c>
      <c r="O14" s="126">
        <f>[2]Financials!N38/[2]Financials!N5</f>
        <v>3.005544578239585E-2</v>
      </c>
      <c r="P14" s="126">
        <f>[2]Financials!O38/[2]Financials!O5</f>
        <v>3.0515872062859314E-2</v>
      </c>
      <c r="Q14" s="126">
        <f>[2]Financials!P38/[2]Financials!P5</f>
        <v>3.2728383435924789E-2</v>
      </c>
      <c r="R14" s="126">
        <f>[2]Financials!Q38/[2]Financials!Q5</f>
        <v>3.3977405844558849E-2</v>
      </c>
      <c r="S14" s="126">
        <f>[2]Financials!R38/[2]Financials!R5</f>
        <v>3.4938867347591454E-2</v>
      </c>
      <c r="T14" s="126">
        <f>[2]Financials!S38/[2]Financials!S5</f>
        <v>3.6239322907135885E-2</v>
      </c>
      <c r="U14" s="126">
        <f>[2]Financials!T38/[2]Financials!T5</f>
        <v>3.6525490498853355E-2</v>
      </c>
      <c r="V14" s="126">
        <f>[2]Financials!U38/[2]Financials!U5</f>
        <v>3.5300921863640887E-2</v>
      </c>
      <c r="W14" s="126">
        <f>[2]Financials!V38/[2]Financials!V5</f>
        <v>3.4041136682678455E-2</v>
      </c>
      <c r="X14" s="126">
        <f>[2]Financials!W38/[2]Financials!W5</f>
        <v>3.198542789924811E-2</v>
      </c>
      <c r="Y14" s="126">
        <f>[2]Financials!X38/[2]Financials!X5</f>
        <v>3.2846823205390875E-2</v>
      </c>
      <c r="Z14" s="126">
        <f>[2]Financials!Y38/[2]Financials!Y5</f>
        <v>3.3764651904198653E-2</v>
      </c>
      <c r="AA14" s="126">
        <f>[2]Financials!Z38/[2]Financials!Z5</f>
        <v>2.8586263426393303E-2</v>
      </c>
      <c r="AB14" s="126">
        <f>[2]Financials!AA38/[2]Financials!AA5</f>
        <v>2.8852179377136074E-2</v>
      </c>
      <c r="AC14" s="126">
        <f>[2]Financials!AB38/[2]Financials!AB5</f>
        <v>3.0664373848573338E-2</v>
      </c>
      <c r="AD14" s="126">
        <f>[2]Financials!AC38/[2]Financials!AC5</f>
        <v>2.9552620725627778E-2</v>
      </c>
      <c r="AE14" s="126">
        <f>[2]Financials!AD38/[2]Financials!AD5</f>
        <v>3.276848489612335E-2</v>
      </c>
      <c r="AF14" s="126">
        <f>[2]Financials!AE38/[2]Financials!AE5</f>
        <v>3.1587303411040969E-2</v>
      </c>
      <c r="AG14" s="126">
        <f>[2]Financials!AF38/[2]Financials!AF5</f>
        <v>3.5862654261855254E-2</v>
      </c>
      <c r="AH14" s="126">
        <f>[2]Financials!AG38/[2]Financials!AG5</f>
        <v>4.017819416947075E-2</v>
      </c>
      <c r="AI14" s="126">
        <f>[2]Financials!AH38/[2]Financials!AH5</f>
        <v>3.9938982018973272E-2</v>
      </c>
      <c r="AJ14" s="126">
        <f>[2]Financials!AI38/[2]Financials!AI5</f>
        <v>4.2248924109226378E-2</v>
      </c>
      <c r="AK14" s="126" t="e">
        <f>('Evolutive SFP'!#REF!+'Evolutive SFP'!#REF!+'Evolutive SFP'!#REF!-'Evolutive SFP'!#REF!)/'Evolutive SFP'!#REF!</f>
        <v>#REF!</v>
      </c>
      <c r="AL14" s="126" t="e">
        <f>('Evolutive SFP'!#REF!+'Evolutive SFP'!#REF!+'Evolutive SFP'!#REF!)/'Evolutive SFP'!#REF!</f>
        <v>#REF!</v>
      </c>
      <c r="AM14" s="126" t="e">
        <f>('Evolutive SFP'!#REF!+'Evolutive SFP'!#REF!+'Evolutive SFP'!#REF!)/'Evolutive SFP'!#REF!</f>
        <v>#REF!</v>
      </c>
      <c r="AN14" s="126" t="e">
        <f>('Evolutive SFP'!#REF!+'Evolutive SFP'!#REF!+'Evolutive SFP'!#REF!)/'Evolutive SFP'!#REF!</f>
        <v>#REF!</v>
      </c>
      <c r="AO14" s="126" t="e">
        <f>('Evolutive SFP'!#REF!+'Evolutive SFP'!#REF!+'Evolutive SFP'!#REF!)/'Evolutive SFP'!#REF!</f>
        <v>#REF!</v>
      </c>
      <c r="AP14" s="126" t="e">
        <f>('Evolutive SFP'!#REF!+'Evolutive SFP'!#REF!+'Evolutive SFP'!#REF!)/'Evolutive SFP'!#REF!</f>
        <v>#REF!</v>
      </c>
      <c r="AQ14" s="126" t="e">
        <f>('Evolutive SFP'!#REF!+'Evolutive SFP'!#REF!+'Evolutive SFP'!#REF!)/'Evolutive SFP'!#REF!</f>
        <v>#REF!</v>
      </c>
      <c r="AR14" s="126" t="e">
        <f>('Evolutive SFP'!#REF!+'Evolutive SFP'!#REF!+'Evolutive SFP'!#REF!)/'Evolutive SFP'!#REF!</f>
        <v>#REF!</v>
      </c>
      <c r="AS14" s="126" t="e">
        <f>('Evolutive SFP'!#REF!+'Evolutive SFP'!#REF!+'Evolutive SFP'!#REF!)/'Evolutive SFP'!#REF!</f>
        <v>#REF!</v>
      </c>
      <c r="AT14" s="126" t="e">
        <f>('Evolutive SFP'!#REF!+'Evolutive SFP'!#REF!+'Evolutive SFP'!#REF!)/'Evolutive SFP'!#REF!</f>
        <v>#REF!</v>
      </c>
      <c r="AU14" s="126" t="e">
        <f>('Evolutive SFP'!#REF!+'Evolutive SFP'!#REF!+'Evolutive SFP'!#REF!)/'Evolutive SFP'!#REF!</f>
        <v>#REF!</v>
      </c>
      <c r="AV14" s="126" t="e">
        <f>('Evolutive SFP'!#REF!+'Evolutive SFP'!#REF!+'Evolutive SFP'!#REF!)/'Evolutive SFP'!#REF!</f>
        <v>#REF!</v>
      </c>
      <c r="AW14" s="126" t="e">
        <f>('Evolutive SFP'!#REF!+'Evolutive SFP'!#REF!+'Evolutive SFP'!#REF!)/'Evolutive SFP'!#REF!</f>
        <v>#REF!</v>
      </c>
      <c r="AX14" s="126" t="e">
        <f>('Evolutive SFP'!#REF!+'Evolutive SFP'!#REF!+'Evolutive SFP'!#REF!)/'Evolutive SFP'!#REF!</f>
        <v>#REF!</v>
      </c>
      <c r="AY14" s="126" t="e">
        <f>('Evolutive SFP'!#REF!+'Evolutive SFP'!#REF!+'Evolutive SFP'!#REF!)/'Evolutive SFP'!#REF!</f>
        <v>#REF!</v>
      </c>
      <c r="AZ14" s="126" t="e">
        <f>('Evolutive SFP'!#REF!+'Evolutive SFP'!#REF!+'Evolutive SFP'!#REF!)/'Evolutive SFP'!#REF!</f>
        <v>#REF!</v>
      </c>
      <c r="BA14" s="126" t="e">
        <f>('Evolutive SFP'!#REF!+'Evolutive SFP'!#REF!+'Evolutive SFP'!#REF!)/'Evolutive SFP'!#REF!</f>
        <v>#REF!</v>
      </c>
      <c r="BB14" s="126" t="e">
        <f>('Evolutive SFP'!#REF!+'Evolutive SFP'!#REF!+'Evolutive SFP'!#REF!)/'Evolutive SFP'!#REF!</f>
        <v>#REF!</v>
      </c>
      <c r="BC14" s="126" t="e">
        <f>('Evolutive SFP'!#REF!+'Evolutive SFP'!#REF!+'Evolutive SFP'!#REF!)/'Evolutive SFP'!#REF!</f>
        <v>#REF!</v>
      </c>
      <c r="BD14" s="126" t="e">
        <f>('Evolutive SFP'!#REF!+'Evolutive SFP'!#REF!+'Evolutive SFP'!#REF!)/'Evolutive SFP'!#REF!</f>
        <v>#REF!</v>
      </c>
      <c r="BE14" s="126" t="e">
        <f>('Evolutive SFP'!#REF!+'Evolutive SFP'!#REF!+'Evolutive SFP'!#REF!)/'Evolutive SFP'!#REF!</f>
        <v>#REF!</v>
      </c>
      <c r="BF14" s="126" t="e">
        <f>('Evolutive SFP'!#REF!+'Evolutive SFP'!#REF!+'Evolutive SFP'!#REF!)/'Evolutive SFP'!#REF!</f>
        <v>#REF!</v>
      </c>
      <c r="BG14" s="126" t="e">
        <f>('Evolutive SFP'!#REF!+'Evolutive SFP'!#REF!+'Evolutive SFP'!#REF!)/'Evolutive SFP'!#REF!</f>
        <v>#REF!</v>
      </c>
      <c r="BH14" s="126" t="e">
        <f>('Evolutive SFP'!#REF!+'Evolutive SFP'!#REF!+'Evolutive SFP'!#REF!)/'Evolutive SFP'!#REF!</f>
        <v>#REF!</v>
      </c>
      <c r="BI14" s="126" t="e">
        <f>('Evolutive SFP'!#REF!+'Evolutive SFP'!#REF!+'Evolutive SFP'!#REF!)/'Evolutive SFP'!#REF!</f>
        <v>#REF!</v>
      </c>
      <c r="BJ14" s="126" t="e">
        <f>('Evolutive SFP'!#REF!+'Evolutive SFP'!#REF!+'Evolutive SFP'!#REF!)/'Evolutive SFP'!#REF!</f>
        <v>#REF!</v>
      </c>
      <c r="BK14" s="126" t="e">
        <f>('Evolutive SFP'!#REF!+'Evolutive SFP'!#REF!+'Evolutive SFP'!#REF!)/'Evolutive SFP'!#REF!</f>
        <v>#REF!</v>
      </c>
      <c r="BL14" s="126" t="e">
        <f>('Evolutive SFP'!#REF!+'Evolutive SFP'!#REF!+'Evolutive SFP'!#REF!)/'Evolutive SFP'!#REF!</f>
        <v>#REF!</v>
      </c>
      <c r="BM14" s="126" t="e">
        <f>('Evolutive SFP'!#REF!+'Evolutive SFP'!#REF!+'Evolutive SFP'!#REF!)/'Evolutive SFP'!#REF!</f>
        <v>#REF!</v>
      </c>
      <c r="BN14" s="126" t="e">
        <f>('Evolutive SFP'!#REF!+'Evolutive SFP'!#REF!+'Evolutive SFP'!#REF!)/'Evolutive SFP'!#REF!</f>
        <v>#REF!</v>
      </c>
      <c r="BO14" s="126" t="e">
        <f>('Evolutive SFP'!#REF!+'Evolutive SFP'!#REF!+'Evolutive SFP'!#REF!)/'Evolutive SFP'!#REF!</f>
        <v>#REF!</v>
      </c>
      <c r="BP14" s="126" t="e">
        <f>('Evolutive SFP'!#REF!+'Evolutive SFP'!#REF!+'Evolutive SFP'!#REF!)/'Evolutive SFP'!#REF!</f>
        <v>#REF!</v>
      </c>
      <c r="BQ14" s="126" t="e">
        <f>('Evolutive SFP'!#REF!+'Evolutive SFP'!#REF!+'Evolutive SFP'!#REF!)/'Evolutive SFP'!#REF!</f>
        <v>#REF!</v>
      </c>
      <c r="BR14" s="126" t="e">
        <f>('Evolutive SFP'!#REF!+'Evolutive SFP'!#REF!+'Evolutive SFP'!#REF!)/'Evolutive SFP'!#REF!</f>
        <v>#REF!</v>
      </c>
      <c r="BS14" s="126" t="e">
        <f>('Evolutive SFP'!#REF!+'Evolutive SFP'!#REF!+'Evolutive SFP'!#REF!)/'Evolutive SFP'!#REF!</f>
        <v>#REF!</v>
      </c>
      <c r="BT14" s="126" t="e">
        <f>('Evolutive SFP'!#REF!+'Evolutive SFP'!#REF!+'Evolutive SFP'!#REF!)/'Evolutive SFP'!#REF!</f>
        <v>#REF!</v>
      </c>
      <c r="BU14" s="126" t="e">
        <f>('Evolutive SFP'!#REF!+'Evolutive SFP'!#REF!+'Evolutive SFP'!#REF!)/'Evolutive SFP'!#REF!</f>
        <v>#REF!</v>
      </c>
      <c r="BV14" s="126" t="e">
        <f>('Evolutive SFP'!#REF!+'Evolutive SFP'!#REF!+'Evolutive SFP'!#REF!)/'Evolutive SFP'!#REF!</f>
        <v>#REF!</v>
      </c>
      <c r="BW14" s="126" t="e">
        <f>('Evolutive SFP'!#REF!+'Evolutive SFP'!#REF!+'Evolutive SFP'!#REF!)/'Evolutive SFP'!#REF!</f>
        <v>#REF!</v>
      </c>
      <c r="BX14" s="126" t="e">
        <f>('Evolutive SFP'!#REF!+'Evolutive SFP'!#REF!+'Evolutive SFP'!#REF!)/'Evolutive SFP'!#REF!</f>
        <v>#REF!</v>
      </c>
      <c r="BY14" s="126" t="e">
        <f>('Evolutive SFP'!#REF!+'Evolutive SFP'!#REF!+'Evolutive SFP'!#REF!)/'Evolutive SFP'!#REF!</f>
        <v>#REF!</v>
      </c>
      <c r="BZ14" s="126">
        <f>('Evolutive SFP'!AH7+'Evolutive SFP'!AH17+'Evolutive SFP'!AH21)/'Evolutive SFP'!AH27</f>
        <v>0.2565796591232084</v>
      </c>
      <c r="CA14" s="126">
        <f>('Evolutive SFP'!AI7+'Evolutive SFP'!AI17+'Evolutive SFP'!AI21)/'Evolutive SFP'!AI27</f>
        <v>0.39262744136852024</v>
      </c>
      <c r="CB14" s="126">
        <f>('Evolutive SFP'!AJ7+'Evolutive SFP'!AJ17+'Evolutive SFP'!AJ21)/'Evolutive SFP'!AJ27</f>
        <v>0.40350658163505182</v>
      </c>
      <c r="CC14" s="126">
        <f>('Evolutive SFP'!AK7+'Evolutive SFP'!AK17+'Evolutive SFP'!AK21)/'Evolutive SFP'!AK27</f>
        <v>0.42139423308832741</v>
      </c>
      <c r="CD14" s="126">
        <f>('Evolutive SFP'!AL7+'Evolutive SFP'!AL17+'Evolutive SFP'!AL21)/'Evolutive SFP'!AL27</f>
        <v>0.43475162100475689</v>
      </c>
      <c r="CE14" s="126">
        <f>('Evolutive SFP'!AM7+'Evolutive SFP'!AM17+'Evolutive SFP'!AM21)/'Evolutive SFP'!AM27</f>
        <v>0.43202705036441602</v>
      </c>
      <c r="CF14" s="126">
        <f>('Evolutive SFP'!AN7+'Evolutive SFP'!AN17+'Evolutive SFP'!AN21)/'Evolutive SFP'!AN27</f>
        <v>0.44398276345749116</v>
      </c>
      <c r="CG14" s="126" t="e">
        <f>('Evolutive SFP'!#REF!+'Evolutive SFP'!#REF!+'Evolutive SFP'!#REF!)/'Evolutive SFP'!#REF!</f>
        <v>#REF!</v>
      </c>
      <c r="CH14" s="126">
        <f>('Evolutive SFP'!AO7+'Evolutive SFP'!AO17+'Evolutive SFP'!AO21)/'Evolutive SFP'!AO27</f>
        <v>0.28040403419887561</v>
      </c>
      <c r="CI14" s="126">
        <f>('Evolutive SFP'!AP7+'Evolutive SFP'!AP17+'Evolutive SFP'!AP21)/'Evolutive SFP'!AP27</f>
        <v>0.28598368510873845</v>
      </c>
      <c r="CJ14" s="126">
        <f>('Evolutive SFP'!AQ7+'Evolutive SFP'!AQ17+'Evolutive SFP'!AQ21)/'Evolutive SFP'!AQ27</f>
        <v>0.30240099640982027</v>
      </c>
      <c r="CK14" s="126">
        <f>('Evolutive SFP'!AR7+'Evolutive SFP'!AR17+'Evolutive SFP'!AR21)/'Evolutive SFP'!AR27</f>
        <v>0.29157579946614315</v>
      </c>
      <c r="CL14" s="126">
        <f>('Evolutive SFP'!AS7+'Evolutive SFP'!AS17+'Evolutive SFP'!AS21)/'Evolutive SFP'!AS27</f>
        <v>0.31729032025196863</v>
      </c>
      <c r="CM14" s="126">
        <f>('Evolutive SFP'!AT7+'Evolutive SFP'!AT17+'Evolutive SFP'!AT21)/'Evolutive SFP'!AT27</f>
        <v>0.31715911169056449</v>
      </c>
      <c r="CN14" s="126">
        <f>('Evolutive SFP'!AU7+'Evolutive SFP'!AU17+'Evolutive SFP'!AU21)/'Evolutive SFP'!AU27</f>
        <v>0.31757663053948615</v>
      </c>
      <c r="CO14" s="126">
        <f>('Evolutive SFP'!AV7+'Evolutive SFP'!AV17+'Evolutive SFP'!AV21)/'Evolutive SFP'!AV27</f>
        <v>0.32216551311558828</v>
      </c>
      <c r="CP14" s="126">
        <f>('Evolutive SFP'!AW7+'Evolutive SFP'!AW17+'Evolutive SFP'!AW21)/'Evolutive SFP'!AW27</f>
        <v>0.31260707334500915</v>
      </c>
      <c r="CQ14" s="126">
        <f>('Evolutive SFP'!AX7+'Evolutive SFP'!AX17+'Evolutive SFP'!AX21)/'Evolutive SFP'!AX27</f>
        <v>0.31862523998662751</v>
      </c>
      <c r="CR14" s="126">
        <f>('Evolutive SFP'!AY7+'Evolutive SFP'!AY17+'Evolutive SFP'!AY21)/'Evolutive SFP'!AY27</f>
        <v>0.31177690252533863</v>
      </c>
      <c r="CS14" s="126">
        <f>('Evolutive SFP'!AZ7+'Evolutive SFP'!AZ17+'Evolutive SFP'!AZ21)/'Evolutive SFP'!AZ27</f>
        <v>0.2122359735389957</v>
      </c>
      <c r="CT14" s="126">
        <f>('Evolutive SFP'!BA7+'Evolutive SFP'!BA17+'Evolutive SFP'!BA21)/'Evolutive SFP'!BA27</f>
        <v>0.297024259093914</v>
      </c>
      <c r="CU14" s="126">
        <f>('Evolutive SFP'!BB7+'Evolutive SFP'!BB17+'Evolutive SFP'!BB21)/'Evolutive SFP'!BB27</f>
        <v>0.29397221629666304</v>
      </c>
      <c r="CV14" s="126">
        <f>('Evolutive SFP'!BC7+'Evolutive SFP'!BC17+'Evolutive SFP'!BC21)/'Evolutive SFP'!BC27</f>
        <v>0.31295268482622374</v>
      </c>
      <c r="CW14" s="126">
        <f>('Evolutive SFP'!BD7+'Evolutive SFP'!BD17+'Evolutive SFP'!BD21)/'Evolutive SFP'!BD27</f>
        <v>0.30338571302591477</v>
      </c>
      <c r="CX14" s="126">
        <f>('Evolutive SFP'!BE7+'Evolutive SFP'!BE17+'Evolutive SFP'!BE21)/'Evolutive SFP'!BE27</f>
        <v>0.28749573833699005</v>
      </c>
      <c r="CY14" s="126">
        <f>('Evolutive SFP'!BF7+'Evolutive SFP'!BF17+'Evolutive SFP'!BF21)/'Evolutive SFP'!BF27</f>
        <v>0.29849215958518588</v>
      </c>
      <c r="CZ14" s="126">
        <f>('Evolutive SFP'!BG7+'Evolutive SFP'!BG17+'Evolutive SFP'!BG21)/'Evolutive SFP'!BG27</f>
        <v>0.30157557153179954</v>
      </c>
      <c r="DA14" s="126" t="e">
        <f>('Evolutive SFP'!BT7+'Evolutive SFP'!BT17+'Evolutive SFP'!BT21)/'Evolutive SFP'!BT27</f>
        <v>#DIV/0!</v>
      </c>
      <c r="DB14" s="126">
        <f>('Evolutive SFP'!BU7+'Evolutive SFP'!BU17+'Evolutive SFP'!BU21)/'Evolutive SFP'!BU27</f>
        <v>0.28674437690689464</v>
      </c>
      <c r="DC14" s="126">
        <f>('Evolutive SFP'!BV7+'Evolutive SFP'!BV17+'Evolutive SFP'!BV21)/'Evolutive SFP'!BV27</f>
        <v>0.28517791678792892</v>
      </c>
      <c r="DD14" s="126">
        <f>('Evolutive SFP'!BW7+'Evolutive SFP'!BW17+'Evolutive SFP'!BW21)/'Evolutive SFP'!BW27</f>
        <v>0.27809762418810324</v>
      </c>
      <c r="DE14" s="126">
        <f>('Evolutive SFP'!BX7+'Evolutive SFP'!BX17+'Evolutive SFP'!BX21)/'Evolutive SFP'!BX27</f>
        <v>0.29237406715267655</v>
      </c>
      <c r="DF14" s="126">
        <f>('Evolutive SFP'!BY7+'Evolutive SFP'!BY17+'Evolutive SFP'!BY21)/'Evolutive SFP'!BY27</f>
        <v>0.29177169073121617</v>
      </c>
      <c r="DG14" s="126">
        <f>('Evolutive SFP'!BZ7+'Evolutive SFP'!BZ17+'Evolutive SFP'!BZ21)/'Evolutive SFP'!BZ27</f>
        <v>0.28637970322596978</v>
      </c>
      <c r="DH14" s="126">
        <f>('Evolutive SFP'!CA7+'Evolutive SFP'!CA17+'Evolutive SFP'!CA21)/'Evolutive SFP'!CA27</f>
        <v>0.28716713152098045</v>
      </c>
      <c r="DI14" s="126">
        <f>('Evolutive SFP'!CB7+'Evolutive SFP'!CB17+'Evolutive SFP'!CB21)/'Evolutive SFP'!CB27</f>
        <v>0.28401284644703834</v>
      </c>
      <c r="DJ14" s="126">
        <f>('Evolutive SFP'!CC7+'Evolutive SFP'!CC17+'Evolutive SFP'!CC21)/'Evolutive SFP'!CC27</f>
        <v>0.28510244817572683</v>
      </c>
    </row>
    <row r="15" spans="1:114" s="104" customFormat="1" ht="12.75">
      <c r="A15" s="121" t="s">
        <v>345</v>
      </c>
      <c r="B15" s="122" t="s">
        <v>346</v>
      </c>
      <c r="C15" s="123">
        <v>48.1</v>
      </c>
      <c r="D15" s="126" t="e">
        <f>[2]Financials!C39/[2]Financials!C5</f>
        <v>#DIV/0!</v>
      </c>
      <c r="E15" s="126" t="e">
        <f>[2]Financials!D39/[2]Financials!D5</f>
        <v>#DIV/0!</v>
      </c>
      <c r="F15" s="126" t="e">
        <f>[2]Financials!E39/[2]Financials!E5</f>
        <v>#DIV/0!</v>
      </c>
      <c r="G15" s="126" t="e">
        <f>[2]Financials!F39/[2]Financials!F5</f>
        <v>#DIV/0!</v>
      </c>
      <c r="H15" s="126" t="e">
        <f>[2]Financials!G39/[2]Financials!G5</f>
        <v>#DIV/0!</v>
      </c>
      <c r="I15" s="126" t="e">
        <f>[2]Financials!H39/[2]Financials!H5</f>
        <v>#DIV/0!</v>
      </c>
      <c r="J15" s="126" t="e">
        <f>[2]Financials!I39/[2]Financials!I5</f>
        <v>#DIV/0!</v>
      </c>
      <c r="K15" s="126">
        <f>[2]Financials!J39/[2]Financials!J5</f>
        <v>1.9195265375530655E-2</v>
      </c>
      <c r="L15" s="126">
        <f>[2]Financials!K39/[2]Financials!K5</f>
        <v>2.7597945798810131E-2</v>
      </c>
      <c r="M15" s="126">
        <f>[2]Financials!L39/[2]Financials!L5</f>
        <v>2.7141758829233417E-2</v>
      </c>
      <c r="N15" s="126">
        <f>[2]Financials!M39/[2]Financials!M5</f>
        <v>2.8377621976402111E-2</v>
      </c>
      <c r="O15" s="126">
        <f>[2]Financials!N39/[2]Financials!N5</f>
        <v>3.005544578239585E-2</v>
      </c>
      <c r="P15" s="126">
        <f>[2]Financials!O39/[2]Financials!O5</f>
        <v>3.0515872062859314E-2</v>
      </c>
      <c r="Q15" s="126">
        <f>[2]Financials!P39/[2]Financials!P5</f>
        <v>3.2728383435924789E-2</v>
      </c>
      <c r="R15" s="126">
        <f>[2]Financials!Q39/[2]Financials!Q5</f>
        <v>3.3977405844558849E-2</v>
      </c>
      <c r="S15" s="126">
        <f>[2]Financials!R39/[2]Financials!R5</f>
        <v>3.4938867347591454E-2</v>
      </c>
      <c r="T15" s="126">
        <f>[2]Financials!S39/[2]Financials!S5</f>
        <v>3.6239322907135885E-2</v>
      </c>
      <c r="U15" s="126">
        <f>[2]Financials!T39/[2]Financials!T5</f>
        <v>3.6525490498853355E-2</v>
      </c>
      <c r="V15" s="126">
        <f>[2]Financials!U39/[2]Financials!U5</f>
        <v>3.5300921863640887E-2</v>
      </c>
      <c r="W15" s="126">
        <f>[2]Financials!V39/[2]Financials!V5</f>
        <v>3.4041136682678455E-2</v>
      </c>
      <c r="X15" s="126">
        <f>[2]Financials!W39/[2]Financials!W5</f>
        <v>3.198542789924811E-2</v>
      </c>
      <c r="Y15" s="126">
        <f>[2]Financials!X39/[2]Financials!X5</f>
        <v>3.2846823205390875E-2</v>
      </c>
      <c r="Z15" s="126">
        <f>[2]Financials!Y39/[2]Financials!Y5</f>
        <v>3.3764651904198653E-2</v>
      </c>
      <c r="AA15" s="126">
        <f>[2]Financials!Z39/[2]Financials!Z5</f>
        <v>2.8586263426393303E-2</v>
      </c>
      <c r="AB15" s="126">
        <f>[2]Financials!AA39/[2]Financials!AA5</f>
        <v>2.8852179377136074E-2</v>
      </c>
      <c r="AC15" s="126">
        <f>[2]Financials!AB39/[2]Financials!AB5</f>
        <v>3.0664373848573338E-2</v>
      </c>
      <c r="AD15" s="126">
        <f>[2]Financials!AC39/[2]Financials!AC5</f>
        <v>2.9552620725627778E-2</v>
      </c>
      <c r="AE15" s="126">
        <f>[2]Financials!AD39/[2]Financials!AD5</f>
        <v>3.276848489612335E-2</v>
      </c>
      <c r="AF15" s="126">
        <f>[2]Financials!AE39/[2]Financials!AE5</f>
        <v>3.1587303411040969E-2</v>
      </c>
      <c r="AG15" s="126">
        <f>[2]Financials!AF39/[2]Financials!AF5</f>
        <v>3.5862654261855254E-2</v>
      </c>
      <c r="AH15" s="126">
        <f>[2]Financials!AG39/[2]Financials!AG5</f>
        <v>4.017819416947075E-2</v>
      </c>
      <c r="AI15" s="126">
        <f>[2]Financials!AH39/[2]Financials!AH5</f>
        <v>3.9938982018973272E-2</v>
      </c>
      <c r="AJ15" s="126">
        <f>[2]Financials!AI39/[2]Financials!AI5</f>
        <v>4.2248924109226378E-2</v>
      </c>
      <c r="AK15" s="126" t="e">
        <f>Financials!D35/Financials!D4</f>
        <v>#REF!</v>
      </c>
      <c r="AL15" s="126" t="e">
        <f>Financials!E35/Financials!E4</f>
        <v>#REF!</v>
      </c>
      <c r="AM15" s="126" t="e">
        <f>Financials!F35/Financials!F4</f>
        <v>#REF!</v>
      </c>
      <c r="AN15" s="126" t="e">
        <f>Financials!G35/Financials!G4</f>
        <v>#REF!</v>
      </c>
      <c r="AO15" s="126" t="e">
        <f>Financials!H35/Financials!H4</f>
        <v>#REF!</v>
      </c>
      <c r="AP15" s="126" t="e">
        <f>Financials!I35/Financials!I4</f>
        <v>#REF!</v>
      </c>
      <c r="AQ15" s="126" t="e">
        <f>Financials!J35/Financials!J4</f>
        <v>#REF!</v>
      </c>
      <c r="AR15" s="126" t="e">
        <f>Financials!K35/Financials!K4</f>
        <v>#REF!</v>
      </c>
      <c r="AS15" s="126" t="e">
        <f>Financials!L35/Financials!L4</f>
        <v>#REF!</v>
      </c>
      <c r="AT15" s="126" t="e">
        <f>Financials!M35/Financials!M4</f>
        <v>#REF!</v>
      </c>
      <c r="AU15" s="126" t="e">
        <f>Financials!N35/Financials!N4</f>
        <v>#REF!</v>
      </c>
      <c r="AV15" s="126" t="e">
        <f>Financials!O35/Financials!O4</f>
        <v>#REF!</v>
      </c>
      <c r="AW15" s="126" t="e">
        <f>Financials!P35/Financials!P4</f>
        <v>#REF!</v>
      </c>
      <c r="AX15" s="126" t="e">
        <f>Financials!Q35/Financials!Q4</f>
        <v>#REF!</v>
      </c>
      <c r="AY15" s="126" t="e">
        <f>Financials!R35/Financials!R4</f>
        <v>#REF!</v>
      </c>
      <c r="AZ15" s="126" t="e">
        <f>Financials!S35/Financials!S4</f>
        <v>#REF!</v>
      </c>
      <c r="BA15" s="126" t="e">
        <f>Financials!T35/Financials!T4</f>
        <v>#REF!</v>
      </c>
      <c r="BB15" s="126" t="e">
        <f>Financials!U35/Financials!U4</f>
        <v>#REF!</v>
      </c>
      <c r="BC15" s="126" t="e">
        <f>Financials!V35/Financials!V4</f>
        <v>#REF!</v>
      </c>
      <c r="BD15" s="126" t="e">
        <f>Financials!W35/Financials!W4</f>
        <v>#REF!</v>
      </c>
      <c r="BE15" s="126" t="e">
        <f>Financials!X35/Financials!X4</f>
        <v>#REF!</v>
      </c>
      <c r="BF15" s="126" t="e">
        <f>Financials!Y35/Financials!Y4</f>
        <v>#REF!</v>
      </c>
      <c r="BG15" s="126" t="e">
        <f>Financials!Z35/Financials!Z4</f>
        <v>#REF!</v>
      </c>
      <c r="BH15" s="126" t="e">
        <f>Financials!AA35/Financials!AA4</f>
        <v>#REF!</v>
      </c>
      <c r="BI15" s="126" t="e">
        <f>Financials!AB35/Financials!AB4</f>
        <v>#REF!</v>
      </c>
      <c r="BJ15" s="126" t="e">
        <f>Financials!AC35/Financials!AC4</f>
        <v>#REF!</v>
      </c>
      <c r="BK15" s="126" t="e">
        <f>Financials!AD35/Financials!AD4</f>
        <v>#REF!</v>
      </c>
      <c r="BL15" s="126" t="e">
        <f>Financials!AE35/Financials!AE4</f>
        <v>#REF!</v>
      </c>
      <c r="BM15" s="126" t="e">
        <f>Financials!AF35/Financials!AF4</f>
        <v>#REF!</v>
      </c>
      <c r="BN15" s="126" t="e">
        <f>Financials!AG35/Financials!AG4</f>
        <v>#REF!</v>
      </c>
      <c r="BO15" s="126" t="e">
        <f>Financials!AH35/Financials!AH4</f>
        <v>#REF!</v>
      </c>
      <c r="BP15" s="126" t="e">
        <f>Financials!AI35/Financials!AI4</f>
        <v>#REF!</v>
      </c>
      <c r="BQ15" s="126" t="e">
        <f>Financials!AJ35/Financials!AJ4</f>
        <v>#REF!</v>
      </c>
      <c r="BR15" s="126" t="e">
        <f>Financials!AK35/Financials!AK4</f>
        <v>#REF!</v>
      </c>
      <c r="BS15" s="126" t="e">
        <f>Financials!AL35/Financials!AL4</f>
        <v>#REF!</v>
      </c>
      <c r="BT15" s="126" t="e">
        <f>Financials!AM35/Financials!AM4</f>
        <v>#REF!</v>
      </c>
      <c r="BU15" s="126" t="e">
        <f>Financials!AN35/Financials!AN4</f>
        <v>#REF!</v>
      </c>
      <c r="BV15" s="126" t="e">
        <f>Financials!AO35/Financials!AO4</f>
        <v>#REF!</v>
      </c>
      <c r="BW15" s="126" t="e">
        <f>Financials!AP35/Financials!AP4</f>
        <v>#REF!</v>
      </c>
      <c r="BX15" s="126" t="e">
        <f>Financials!AQ35/Financials!AQ4</f>
        <v>#REF!</v>
      </c>
      <c r="BY15" s="126" t="e">
        <f>Financials!AR35/Financials!AR4</f>
        <v>#REF!</v>
      </c>
      <c r="BZ15" s="126">
        <f>Financials!AS35/Financials!AS4</f>
        <v>0.22772990251807171</v>
      </c>
      <c r="CA15" s="126">
        <f>Financials!AT35/Financials!AT4</f>
        <v>0.21032471520550947</v>
      </c>
      <c r="CB15" s="126">
        <f>Financials!AU35/Financials!AU4</f>
        <v>0.22252801631904007</v>
      </c>
      <c r="CC15" s="126">
        <f>Financials!AV35/Financials!AV4</f>
        <v>0.23060584968967532</v>
      </c>
      <c r="CD15" s="126">
        <f>Financials!AW35/Financials!AW4</f>
        <v>0.24327907095958448</v>
      </c>
      <c r="CE15" s="126">
        <f>Financials!AX35/Financials!AX4</f>
        <v>0.24981100404439174</v>
      </c>
      <c r="CF15" s="126">
        <f>Financials!AY35/Financials!AY4</f>
        <v>0.25399529581860664</v>
      </c>
      <c r="CG15" s="126" t="e">
        <f>Financials!AZ35/Financials!AZ4</f>
        <v>#REF!</v>
      </c>
      <c r="CH15" s="126">
        <f>Financials!BA35/Financials!BA4</f>
        <v>0.26208406058405875</v>
      </c>
      <c r="CI15" s="126">
        <f>Financials!BB35/Financials!BB4</f>
        <v>0.26311157889371423</v>
      </c>
      <c r="CJ15" s="126">
        <f>Financials!BC35/Financials!BC4</f>
        <v>0.27908284998469174</v>
      </c>
      <c r="CK15" s="126">
        <f>Financials!BD35/Financials!BD4</f>
        <v>0.27050269343541783</v>
      </c>
      <c r="CL15" s="126">
        <f>Financials!BE35/Financials!BE4</f>
        <v>0.29199892636008085</v>
      </c>
      <c r="CM15" s="126">
        <f>Financials!BF35/Financials!BF4</f>
        <v>0.29172289861055872</v>
      </c>
      <c r="CN15" s="126">
        <f>Financials!BG35/Financials!BG4</f>
        <v>0.2951132297494467</v>
      </c>
      <c r="CO15" s="126">
        <f>Financials!BH35/Financials!BH4</f>
        <v>0.29443297568758847</v>
      </c>
      <c r="CP15" s="126">
        <f>Financials!BI35/Financials!BI4</f>
        <v>0.28906375041996635</v>
      </c>
      <c r="CQ15" s="126">
        <f>Financials!BJ35/Financials!BJ4</f>
        <v>0.29403660993052327</v>
      </c>
      <c r="CR15" s="126">
        <f>Financials!BK35/Financials!BK4</f>
        <v>0.29196018199426216</v>
      </c>
      <c r="CS15" s="126">
        <f>Financials!BL35/Financials!BL4</f>
        <v>0.29852490120765107</v>
      </c>
      <c r="CT15" s="126">
        <f>Financials!BM35/Financials!BM4</f>
        <v>0.27796024198776453</v>
      </c>
      <c r="CU15" s="126">
        <f>Financials!BN35/Financials!BN4</f>
        <v>0.27668447573205729</v>
      </c>
      <c r="CV15" s="126">
        <f>Financials!BO35/Financials!BO4</f>
        <v>0.29197584469799587</v>
      </c>
      <c r="CW15" s="126">
        <f>Financials!BP35/Financials!BP4</f>
        <v>0.28293683387924873</v>
      </c>
      <c r="CX15" s="126">
        <f>Financials!BQ35/Financials!BQ4</f>
        <v>0.27245662242868557</v>
      </c>
      <c r="CY15" s="126">
        <f>Financials!BR35/Financials!BR4</f>
        <v>0.28252491358641574</v>
      </c>
      <c r="CZ15" s="126">
        <f>Financials!BS35/Financials!BS4</f>
        <v>7.06094294670354E-3</v>
      </c>
      <c r="DA15" s="126" t="e">
        <f>Financials!CF35/Financials!CF4</f>
        <v>#DIV/0!</v>
      </c>
      <c r="DB15" s="126">
        <f>Financials!CG35/Financials!CG4</f>
        <v>0.27696945444516102</v>
      </c>
      <c r="DC15" s="126">
        <f>Financials!CH35/Financials!CH4</f>
        <v>0.27522515737430292</v>
      </c>
      <c r="DD15" s="126">
        <f>Financials!CI35/Financials!CI4</f>
        <v>0.2692889869213772</v>
      </c>
      <c r="DE15" s="126">
        <f>Financials!CJ35/Financials!CJ4</f>
        <v>0.28342471757915771</v>
      </c>
      <c r="DF15" s="126">
        <f>Financials!CK35/Financials!CK4</f>
        <v>0.28232617150277878</v>
      </c>
      <c r="DG15" s="126">
        <f>Financials!CL35/Financials!CL4</f>
        <v>0.27704510734300575</v>
      </c>
      <c r="DH15" s="126">
        <f>Financials!CM35/Financials!CM4</f>
        <v>8.4752534103528353E-3</v>
      </c>
      <c r="DI15" s="126">
        <f>Financials!CN35/Financials!CN4</f>
        <v>8.6352236293705548E-3</v>
      </c>
      <c r="DJ15" s="126">
        <f>Financials!CO35/Financials!CO4</f>
        <v>8.7471615969315734E-3</v>
      </c>
    </row>
    <row r="16" spans="1:114" s="104" customFormat="1" ht="12.75">
      <c r="A16" s="121" t="s">
        <v>347</v>
      </c>
      <c r="B16" s="122" t="s">
        <v>348</v>
      </c>
      <c r="C16" s="123">
        <v>41</v>
      </c>
      <c r="D16" s="130" t="e">
        <f>[2]Financials!C34/[2]Financials!C5</f>
        <v>#DIV/0!</v>
      </c>
      <c r="E16" s="130" t="e">
        <f>[2]Financials!D34/[2]Financials!D5</f>
        <v>#DIV/0!</v>
      </c>
      <c r="F16" s="130" t="e">
        <f>[2]Financials!E34/[2]Financials!E5</f>
        <v>#DIV/0!</v>
      </c>
      <c r="G16" s="130" t="e">
        <f>[2]Financials!F34/[2]Financials!F5</f>
        <v>#DIV/0!</v>
      </c>
      <c r="H16" s="130" t="e">
        <f>[2]Financials!G34/[2]Financials!G5</f>
        <v>#DIV/0!</v>
      </c>
      <c r="I16" s="130" t="e">
        <f>[2]Financials!H34/[2]Financials!H5</f>
        <v>#DIV/0!</v>
      </c>
      <c r="J16" s="130" t="e">
        <f>[2]Financials!I34/[2]Financials!I5</f>
        <v>#DIV/0!</v>
      </c>
      <c r="K16" s="130">
        <f>[2]Financials!J34/[2]Financials!J5</f>
        <v>0</v>
      </c>
      <c r="L16" s="130">
        <f>[2]Financials!K34/[2]Financials!K5</f>
        <v>0</v>
      </c>
      <c r="M16" s="130">
        <f>[2]Financials!L34/[2]Financials!L5</f>
        <v>0</v>
      </c>
      <c r="N16" s="130">
        <f>[2]Financials!M34/[2]Financials!M5</f>
        <v>6.4634658915947597E-3</v>
      </c>
      <c r="O16" s="130">
        <f>[2]Financials!N34/[2]Financials!N5</f>
        <v>0</v>
      </c>
      <c r="P16" s="130">
        <f>[2]Financials!O34/[2]Financials!O5</f>
        <v>0</v>
      </c>
      <c r="Q16" s="130">
        <f>[2]Financials!P34/[2]Financials!P5</f>
        <v>2.8681885521962243E-3</v>
      </c>
      <c r="R16" s="130">
        <f>[2]Financials!Q34/[2]Financials!Q5</f>
        <v>0</v>
      </c>
      <c r="S16" s="130">
        <f>[2]Financials!R34/[2]Financials!R5</f>
        <v>0</v>
      </c>
      <c r="T16" s="130">
        <f>[2]Financials!S34/[2]Financials!S5</f>
        <v>2.1905183497011814E-3</v>
      </c>
      <c r="U16" s="130">
        <f>[2]Financials!T34/[2]Financials!T5</f>
        <v>0</v>
      </c>
      <c r="V16" s="130">
        <f>[2]Financials!U34/[2]Financials!U5</f>
        <v>0</v>
      </c>
      <c r="W16" s="130">
        <f>[2]Financials!V34/[2]Financials!V5</f>
        <v>3.433703526794547E-3</v>
      </c>
      <c r="X16" s="130">
        <f>[2]Financials!W34/[2]Financials!W5</f>
        <v>3.4787143387641989E-3</v>
      </c>
      <c r="Y16" s="130">
        <f>[2]Financials!X34/[2]Financials!X5</f>
        <v>0</v>
      </c>
      <c r="Z16" s="130">
        <f>[2]Financials!Y34/[2]Financials!Y5</f>
        <v>0</v>
      </c>
      <c r="AA16" s="130">
        <f>[2]Financials!Z34/[2]Financials!Z5</f>
        <v>3.7511114026824465E-3</v>
      </c>
      <c r="AB16" s="130">
        <f>[2]Financials!AA34/[2]Financials!AA5</f>
        <v>0</v>
      </c>
      <c r="AC16" s="130">
        <f>[2]Financials!AB34/[2]Financials!AB5</f>
        <v>0</v>
      </c>
      <c r="AD16" s="130">
        <f>[2]Financials!AC34/[2]Financials!AC31</f>
        <v>2.9982911508580545E-3</v>
      </c>
      <c r="AE16" s="130">
        <f>[2]Financials!AD34/[2]Financials!AD31</f>
        <v>0</v>
      </c>
      <c r="AF16" s="130">
        <f>[2]Financials!AE34/[2]Financials!AE31</f>
        <v>1.0238351636920966</v>
      </c>
      <c r="AG16" s="130">
        <f>[2]Financials!AF34/[2]Financials!AF31</f>
        <v>1.2580678489455616E-10</v>
      </c>
      <c r="AH16" s="130">
        <f>[2]Financials!AG34/[2]Financials!AG31</f>
        <v>1.3129223711480066E-2</v>
      </c>
      <c r="AI16" s="130">
        <f>[2]Financials!AH34/[2]Financials!AH31</f>
        <v>0</v>
      </c>
      <c r="AJ16" s="130">
        <f>[2]Financials!AI34/[2]Financials!AI31</f>
        <v>1.5844467149733314E-2</v>
      </c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>
        <f>'FORM 4'!I60</f>
        <v>6.9905964721980532E-2</v>
      </c>
      <c r="BD16" s="130"/>
      <c r="BE16" s="130"/>
      <c r="BF16" s="130">
        <f>'FORM 4'!I69</f>
        <v>6.4128918777493035E-2</v>
      </c>
      <c r="BG16" s="130">
        <f>'FORM 4'!J69</f>
        <v>0</v>
      </c>
      <c r="BH16" s="130">
        <v>0</v>
      </c>
      <c r="BI16" s="130">
        <v>0.02</v>
      </c>
      <c r="BJ16" s="130">
        <f>'FORM 4'!L69</f>
        <v>0</v>
      </c>
      <c r="BK16" s="130">
        <f>'FORM 4'!M69</f>
        <v>0</v>
      </c>
      <c r="BL16" s="130">
        <f>'FORM 4'!N69</f>
        <v>0</v>
      </c>
      <c r="BM16" s="130">
        <v>0.06</v>
      </c>
      <c r="BN16" s="130">
        <f>'FORM 4'!P69</f>
        <v>0</v>
      </c>
      <c r="BO16" s="130">
        <f>'FORM 4'!Q69</f>
        <v>0</v>
      </c>
      <c r="BP16" s="130">
        <v>4.7699999999999999E-2</v>
      </c>
      <c r="BQ16" s="130">
        <f>'FORM 4'!S69</f>
        <v>0</v>
      </c>
      <c r="BR16" s="130">
        <f>'FORM 4'!T69</f>
        <v>0</v>
      </c>
      <c r="BS16" s="130">
        <v>5.2600000000000001E-2</v>
      </c>
      <c r="BT16" s="130">
        <f>'FORM 4'!V69</f>
        <v>0</v>
      </c>
      <c r="BU16" s="130">
        <f>'FORM 4'!W69</f>
        <v>0</v>
      </c>
      <c r="BV16" s="130">
        <v>5.4300000000000001E-2</v>
      </c>
      <c r="BW16" s="130">
        <f>'FORM 4'!Y69</f>
        <v>0</v>
      </c>
      <c r="BX16" s="130">
        <f>'FORM 4'!Z69</f>
        <v>0</v>
      </c>
      <c r="BY16" s="130">
        <v>4.7600000000000003E-2</v>
      </c>
      <c r="BZ16" s="130">
        <v>4.7600000000000003E-2</v>
      </c>
      <c r="CA16" s="130">
        <v>4.7600000000000003E-2</v>
      </c>
      <c r="CB16" s="130">
        <v>4.7600000000000003E-2</v>
      </c>
      <c r="CC16" s="130">
        <v>4.7600000000000003E-2</v>
      </c>
      <c r="CD16" s="130">
        <v>4.7600000000000003E-2</v>
      </c>
      <c r="CE16" s="130">
        <v>4.7600000000000003E-2</v>
      </c>
      <c r="CF16" s="130">
        <v>4.7600000000000003E-2</v>
      </c>
      <c r="CG16" s="130">
        <v>4.7600000000000003E-2</v>
      </c>
      <c r="CH16" s="130">
        <v>4.7600000000000003E-2</v>
      </c>
      <c r="CI16" s="130">
        <v>4.7600000000000003E-2</v>
      </c>
      <c r="CJ16" s="130">
        <v>4.7600000000000003E-2</v>
      </c>
      <c r="CK16" s="130">
        <v>4.7600000000000003E-2</v>
      </c>
      <c r="CL16" s="130">
        <v>4.7600000000000003E-2</v>
      </c>
      <c r="CM16" s="130">
        <v>4.7600000000000003E-2</v>
      </c>
      <c r="CN16" s="130">
        <v>4.7600000000000003E-2</v>
      </c>
      <c r="CO16" s="130">
        <v>4.7600000000000003E-2</v>
      </c>
      <c r="CP16" s="130">
        <v>4.7600000000000003E-2</v>
      </c>
      <c r="CQ16" s="130">
        <v>4.7600000000000003E-2</v>
      </c>
      <c r="CR16" s="130">
        <v>4.7600000000000003E-2</v>
      </c>
      <c r="CS16" s="130">
        <v>4.7600000000000003E-2</v>
      </c>
      <c r="CT16" s="130">
        <v>4.7600000000000003E-2</v>
      </c>
      <c r="CU16" s="130">
        <v>4.7600000000000003E-2</v>
      </c>
      <c r="CV16" s="130">
        <v>4.7600000000000003E-2</v>
      </c>
      <c r="CW16" s="130">
        <v>4.7600000000000003E-2</v>
      </c>
      <c r="CX16" s="130">
        <v>4.7600000000000003E-2</v>
      </c>
      <c r="CY16" s="130">
        <v>4.7600000000000003E-2</v>
      </c>
      <c r="CZ16" s="130">
        <v>4.7600000000000003E-2</v>
      </c>
      <c r="DA16" s="130">
        <v>4.7600000000000003E-2</v>
      </c>
      <c r="DB16" s="130">
        <v>1.0476000000000001</v>
      </c>
      <c r="DC16" s="130">
        <v>2.0476000000000001</v>
      </c>
      <c r="DD16" s="130">
        <v>3.0476000000000001</v>
      </c>
      <c r="DE16" s="130">
        <v>4.0476000000000001</v>
      </c>
      <c r="DF16" s="130">
        <v>5.0476000000000001</v>
      </c>
      <c r="DG16" s="130">
        <v>6.0476000000000001</v>
      </c>
      <c r="DH16" s="130">
        <v>7.0476000000000001</v>
      </c>
      <c r="DI16" s="130">
        <v>8.0475999999999992</v>
      </c>
      <c r="DJ16" s="130">
        <v>9.0475999999999992</v>
      </c>
    </row>
    <row r="17" spans="1:114" s="104" customFormat="1" ht="12.75">
      <c r="A17" s="121"/>
      <c r="B17" s="122"/>
      <c r="C17" s="123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  <c r="CF17" s="126"/>
      <c r="CG17" s="126"/>
      <c r="CH17" s="126"/>
      <c r="CI17" s="126"/>
      <c r="CJ17" s="126"/>
      <c r="CK17" s="126"/>
      <c r="CL17" s="126"/>
      <c r="CM17" s="126"/>
      <c r="CN17" s="126"/>
      <c r="CO17" s="126"/>
      <c r="CP17" s="126"/>
      <c r="CQ17" s="126"/>
      <c r="CR17" s="126"/>
      <c r="CS17" s="126"/>
      <c r="CT17" s="126"/>
      <c r="CU17" s="126"/>
      <c r="CV17" s="126"/>
      <c r="CW17" s="126"/>
      <c r="CX17" s="126"/>
      <c r="CY17" s="126"/>
      <c r="CZ17" s="126"/>
      <c r="DA17" s="126"/>
      <c r="DB17" s="126"/>
      <c r="DC17" s="126"/>
      <c r="DD17" s="126"/>
      <c r="DE17" s="126"/>
      <c r="DF17" s="126"/>
      <c r="DG17" s="126"/>
      <c r="DH17" s="126"/>
      <c r="DI17" s="126"/>
      <c r="DJ17" s="126"/>
    </row>
    <row r="18" spans="1:114" s="104" customFormat="1" ht="12.75">
      <c r="A18" s="117" t="s">
        <v>349</v>
      </c>
      <c r="B18" s="122"/>
      <c r="C18" s="123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  <c r="CF18" s="126"/>
      <c r="CG18" s="126"/>
      <c r="CH18" s="126"/>
      <c r="CI18" s="126"/>
      <c r="CJ18" s="126"/>
      <c r="CK18" s="126"/>
      <c r="CL18" s="126"/>
      <c r="CM18" s="126"/>
      <c r="CN18" s="126"/>
      <c r="CO18" s="126"/>
      <c r="CP18" s="126"/>
      <c r="CQ18" s="126"/>
      <c r="CR18" s="126"/>
      <c r="CS18" s="126"/>
      <c r="CT18" s="126"/>
      <c r="CU18" s="126"/>
      <c r="CV18" s="126"/>
      <c r="CW18" s="126"/>
      <c r="CX18" s="126"/>
      <c r="CY18" s="126"/>
      <c r="CZ18" s="126"/>
      <c r="DA18" s="126"/>
      <c r="DB18" s="126"/>
      <c r="DC18" s="126"/>
      <c r="DD18" s="126"/>
      <c r="DE18" s="126"/>
      <c r="DF18" s="126"/>
      <c r="DG18" s="126"/>
      <c r="DH18" s="126"/>
      <c r="DI18" s="126"/>
      <c r="DJ18" s="126"/>
    </row>
    <row r="19" spans="1:114" s="104" customFormat="1" ht="12.75">
      <c r="A19" s="121" t="s">
        <v>350</v>
      </c>
      <c r="B19" s="122" t="s">
        <v>346</v>
      </c>
      <c r="C19" s="123">
        <v>48.4</v>
      </c>
      <c r="D19" s="126" t="e">
        <f>[2]Financials!C25/[2]Financials!C6</f>
        <v>#DIV/0!</v>
      </c>
      <c r="E19" s="126" t="e">
        <f>[2]Financials!D25/[2]Financials!D6</f>
        <v>#DIV/0!</v>
      </c>
      <c r="F19" s="126" t="e">
        <f>[2]Financials!E25/[2]Financials!E6</f>
        <v>#DIV/0!</v>
      </c>
      <c r="G19" s="126" t="e">
        <f>[2]Financials!F25/[2]Financials!F6</f>
        <v>#DIV/0!</v>
      </c>
      <c r="H19" s="126" t="e">
        <f>[2]Financials!G25/[2]Financials!G6</f>
        <v>#DIV/0!</v>
      </c>
      <c r="I19" s="126" t="e">
        <f>[2]Financials!H25/[2]Financials!H6</f>
        <v>#DIV/0!</v>
      </c>
      <c r="J19" s="126" t="e">
        <f>[2]Financials!I25/[2]Financials!I6</f>
        <v>#DIV/0!</v>
      </c>
      <c r="K19" s="126">
        <f>[2]Financials!J25/[2]Financials!J6</f>
        <v>3.1665688531215444E-2</v>
      </c>
      <c r="L19" s="126">
        <f>[2]Financials!K25/[2]Financials!K6</f>
        <v>3.0680498308345201E-2</v>
      </c>
      <c r="M19" s="126">
        <f>[2]Financials!L25/[2]Financials!L6</f>
        <v>3.0226266053382734E-2</v>
      </c>
      <c r="N19" s="126">
        <f>[2]Financials!M25/[2]Financials!M6</f>
        <v>2.9786376609350892E-2</v>
      </c>
      <c r="O19" s="126">
        <f>[2]Financials!N25/[2]Financials!N6</f>
        <v>2.9083560332091165E-2</v>
      </c>
      <c r="P19" s="126">
        <f>[2]Financials!O25/[2]Financials!O6</f>
        <v>3.303894811276506E-2</v>
      </c>
      <c r="Q19" s="126">
        <f>[2]Financials!P25/[2]Financials!P6</f>
        <v>3.275046828043271E-2</v>
      </c>
      <c r="R19" s="126">
        <f>[2]Financials!Q25/[2]Financials!Q6</f>
        <v>3.2226117849045978E-2</v>
      </c>
      <c r="S19" s="126">
        <f>[2]Financials!R25/[2]Financials!R6</f>
        <v>3.187576583588176E-2</v>
      </c>
      <c r="T19" s="126">
        <f>[2]Financials!S25/[2]Financials!S6</f>
        <v>3.1536695059907978E-2</v>
      </c>
      <c r="U19" s="126">
        <f>[2]Financials!T25/[2]Financials!T6</f>
        <v>3.0885973597401167E-2</v>
      </c>
      <c r="V19" s="126">
        <f>[2]Financials!U25/[2]Financials!U6</f>
        <v>3.0237846726488958E-2</v>
      </c>
      <c r="W19" s="126">
        <f>[2]Financials!V25/[2]Financials!V6</f>
        <v>2.9883321657095722E-2</v>
      </c>
      <c r="X19" s="126">
        <f>[2]Financials!W25/[2]Financials!W6</f>
        <v>3.7450550769806308E-2</v>
      </c>
      <c r="Y19" s="126">
        <f>[2]Financials!X25/[2]Financials!X6</f>
        <v>2.9262806550214928E-2</v>
      </c>
      <c r="Z19" s="126">
        <f>[2]Financials!Y25/[2]Financials!Y6</f>
        <v>4.1774365174382919E-2</v>
      </c>
      <c r="AA19" s="126">
        <f>[2]Financials!Z25/[2]Financials!Z6</f>
        <v>4.1506895326904616E-2</v>
      </c>
      <c r="AB19" s="126">
        <f>[2]Financials!AA25/[2]Financials!AA6</f>
        <v>3.950883850658083E-2</v>
      </c>
      <c r="AC19" s="126">
        <f>[2]Financials!AB25/[2]Financials!AB6</f>
        <v>4.3511143829685191E-2</v>
      </c>
      <c r="AD19" s="126">
        <f>[2]Financials!AC25/[2]Financials!AC6</f>
        <v>4.80281683739004E-2</v>
      </c>
      <c r="AE19" s="126">
        <f>[2]Financials!AD25/[2]Financials!AD6</f>
        <v>4.5331696696657563E-2</v>
      </c>
      <c r="AF19" s="126">
        <f>[2]Financials!AE25/[2]Financials!AE6</f>
        <v>4.4457694933347405E-2</v>
      </c>
      <c r="AG19" s="126">
        <f>[2]Financials!AF25/[2]Financials!AF6</f>
        <v>4.3761625015548998E-2</v>
      </c>
      <c r="AH19" s="126">
        <f>[2]Financials!AG25/[2]Financials!AG6</f>
        <v>4.2896350132561489E-2</v>
      </c>
      <c r="AI19" s="126">
        <f>[2]Financials!AH25/[2]Financials!AH6</f>
        <v>5.1120665515592675E-2</v>
      </c>
      <c r="AJ19" s="126">
        <f>[2]Financials!AI25/[2]Financials!AI6</f>
        <v>5.0113199873828104E-2</v>
      </c>
      <c r="AK19" s="126" t="e">
        <f>Financials!D25/Financials!D5</f>
        <v>#REF!</v>
      </c>
      <c r="AL19" s="126" t="e">
        <f>Financials!E25/Financials!E5</f>
        <v>#REF!</v>
      </c>
      <c r="AM19" s="126" t="e">
        <f>Financials!F25/Financials!F5</f>
        <v>#REF!</v>
      </c>
      <c r="AN19" s="126" t="e">
        <f>Financials!G25/Financials!G5</f>
        <v>#REF!</v>
      </c>
      <c r="AO19" s="126" t="e">
        <f>Financials!H25/Financials!H5</f>
        <v>#REF!</v>
      </c>
      <c r="AP19" s="126" t="e">
        <f>Financials!I25/Financials!I5</f>
        <v>#REF!</v>
      </c>
      <c r="AQ19" s="126" t="e">
        <f>Financials!J25/Financials!J5</f>
        <v>#REF!</v>
      </c>
      <c r="AR19" s="126" t="e">
        <f>Financials!K25/Financials!K5</f>
        <v>#REF!</v>
      </c>
      <c r="AS19" s="126" t="e">
        <f>Financials!L25/Financials!L5</f>
        <v>#REF!</v>
      </c>
      <c r="AT19" s="126" t="e">
        <f>Financials!M25/Financials!M5</f>
        <v>#REF!</v>
      </c>
      <c r="AU19" s="126" t="e">
        <f>Financials!N25/Financials!N5</f>
        <v>#REF!</v>
      </c>
      <c r="AV19" s="126" t="e">
        <f>Financials!O25/Financials!O5</f>
        <v>#REF!</v>
      </c>
      <c r="AW19" s="126" t="e">
        <f>Financials!P25/Financials!P5</f>
        <v>#REF!</v>
      </c>
      <c r="AX19" s="126" t="e">
        <f>Financials!Q25/Financials!Q5</f>
        <v>#REF!</v>
      </c>
      <c r="AY19" s="126" t="e">
        <f>Financials!R25/Financials!R5</f>
        <v>#REF!</v>
      </c>
      <c r="AZ19" s="126" t="e">
        <f>Financials!S25/Financials!S5</f>
        <v>#REF!</v>
      </c>
      <c r="BA19" s="126" t="e">
        <f>Financials!T25/Financials!T5</f>
        <v>#REF!</v>
      </c>
      <c r="BB19" s="126" t="e">
        <f>Financials!U25/Financials!U5</f>
        <v>#REF!</v>
      </c>
      <c r="BC19" s="126" t="e">
        <f>Financials!V25/Financials!V5</f>
        <v>#REF!</v>
      </c>
      <c r="BD19" s="126" t="e">
        <f>Financials!W25/Financials!W5</f>
        <v>#REF!</v>
      </c>
      <c r="BE19" s="126" t="e">
        <f>Financials!X25/Financials!X5</f>
        <v>#REF!</v>
      </c>
      <c r="BF19" s="126" t="e">
        <f>Financials!Y25/Financials!Y5</f>
        <v>#REF!</v>
      </c>
      <c r="BG19" s="126" t="e">
        <f>Financials!Z25/Financials!Z5</f>
        <v>#REF!</v>
      </c>
      <c r="BH19" s="126" t="e">
        <f>Financials!AA25/Financials!AA5</f>
        <v>#REF!</v>
      </c>
      <c r="BI19" s="126" t="e">
        <f>Financials!AB25/Financials!AB5</f>
        <v>#REF!</v>
      </c>
      <c r="BJ19" s="126" t="e">
        <f>Financials!AC25/Financials!AC5</f>
        <v>#REF!</v>
      </c>
      <c r="BK19" s="126" t="e">
        <f>Financials!AD25/Financials!AD5</f>
        <v>#REF!</v>
      </c>
      <c r="BL19" s="126" t="e">
        <f>Financials!AE25/Financials!AE5</f>
        <v>#REF!</v>
      </c>
      <c r="BM19" s="126" t="e">
        <f>Financials!AF25/Financials!AF5</f>
        <v>#REF!</v>
      </c>
      <c r="BN19" s="126" t="e">
        <f>Financials!AG25/Financials!AG5</f>
        <v>#REF!</v>
      </c>
      <c r="BO19" s="126" t="e">
        <f>Financials!AH25/Financials!AH5</f>
        <v>#REF!</v>
      </c>
      <c r="BP19" s="126" t="e">
        <f>Financials!AI25/Financials!AI5</f>
        <v>#REF!</v>
      </c>
      <c r="BQ19" s="126" t="e">
        <f>Financials!AJ25/Financials!AJ5</f>
        <v>#REF!</v>
      </c>
      <c r="BR19" s="126" t="e">
        <f>Financials!AK25/Financials!AK5</f>
        <v>#REF!</v>
      </c>
      <c r="BS19" s="126" t="e">
        <f>Financials!AL25/Financials!AL5</f>
        <v>#REF!</v>
      </c>
      <c r="BT19" s="126" t="e">
        <f>Financials!AM25/Financials!AM5</f>
        <v>#REF!</v>
      </c>
      <c r="BU19" s="126" t="e">
        <f>Financials!AN25/Financials!AN5</f>
        <v>#REF!</v>
      </c>
      <c r="BV19" s="126" t="e">
        <f>Financials!AO25/Financials!AO5</f>
        <v>#REF!</v>
      </c>
      <c r="BW19" s="126" t="e">
        <f>Financials!AP25/Financials!AP5</f>
        <v>#REF!</v>
      </c>
      <c r="BX19" s="126" t="e">
        <f>Financials!AQ25/Financials!AQ5</f>
        <v>#REF!</v>
      </c>
      <c r="BY19" s="126" t="e">
        <f>Financials!AR25/Financials!AR5</f>
        <v>#REF!</v>
      </c>
      <c r="BZ19" s="126">
        <f>Financials!AS25/Financials!AS5</f>
        <v>4.1829375967618043E-3</v>
      </c>
      <c r="CA19" s="126">
        <f>Financials!AT25/Financials!AT5</f>
        <v>0</v>
      </c>
      <c r="CB19" s="126">
        <f>Financials!AU25/Financials!AU5</f>
        <v>0</v>
      </c>
      <c r="CC19" s="126">
        <f>Financials!AV25/Financials!AV5</f>
        <v>0</v>
      </c>
      <c r="CD19" s="126">
        <f>Financials!AW25/Financials!AW5</f>
        <v>0</v>
      </c>
      <c r="CE19" s="126">
        <f>Financials!AX25/Financials!AX5</f>
        <v>0</v>
      </c>
      <c r="CF19" s="126">
        <f>Financials!AY25/Financials!AY5</f>
        <v>0</v>
      </c>
      <c r="CG19" s="126" t="e">
        <f>Financials!AZ25/Financials!AZ5</f>
        <v>#REF!</v>
      </c>
      <c r="CH19" s="126">
        <f>Financials!BA25/Financials!BA5</f>
        <v>0</v>
      </c>
      <c r="CI19" s="126">
        <f>Financials!BB25/Financials!BB5</f>
        <v>0</v>
      </c>
      <c r="CJ19" s="126">
        <f>Financials!BC25/Financials!BC5</f>
        <v>0</v>
      </c>
      <c r="CK19" s="126">
        <f>Financials!BD25/Financials!BD5</f>
        <v>0</v>
      </c>
      <c r="CL19" s="126">
        <f>Financials!BE25/Financials!BE5</f>
        <v>0</v>
      </c>
      <c r="CM19" s="126">
        <f>Financials!BF25/Financials!BF5</f>
        <v>4.0532517019249235E-3</v>
      </c>
      <c r="CN19" s="126">
        <f>Financials!BG25/Financials!BG5</f>
        <v>0.29160588578160646</v>
      </c>
      <c r="CO19" s="126">
        <f>Financials!BH25/Financials!BH5</f>
        <v>0.29450398062905342</v>
      </c>
      <c r="CP19" s="126">
        <f>Financials!BI25/Financials!BI5</f>
        <v>0.28544707939884095</v>
      </c>
      <c r="CQ19" s="126">
        <f>Financials!BJ25/Financials!BJ5</f>
        <v>0.28097867483138655</v>
      </c>
      <c r="CR19" s="126">
        <f>Financials!BK25/Financials!BK5</f>
        <v>0.28810707613003522</v>
      </c>
      <c r="CS19" s="126">
        <f>Financials!BL25/Financials!BL5</f>
        <v>0.29654197781617531</v>
      </c>
      <c r="CT19" s="126">
        <f>Financials!BM25/Financials!BM5</f>
        <v>0.27391790208989808</v>
      </c>
      <c r="CU19" s="126">
        <f>Financials!BN25/Financials!BN5</f>
        <v>0.27506981836935801</v>
      </c>
      <c r="CV19" s="126">
        <f>Financials!BO25/Financials!BO5</f>
        <v>0.30071268735354917</v>
      </c>
      <c r="CW19" s="126">
        <f>Financials!BP25/Financials!BP5</f>
        <v>0.29307299840298534</v>
      </c>
      <c r="CX19" s="126">
        <f>Financials!BQ25/Financials!BQ5</f>
        <v>0.27923111955623015</v>
      </c>
      <c r="CY19" s="126">
        <f>Financials!BR25/Financials!BR5</f>
        <v>0.29973622976314745</v>
      </c>
      <c r="CZ19" s="126">
        <f>Financials!BS25/Financials!BS5</f>
        <v>0.30686249384513475</v>
      </c>
      <c r="DA19" s="126" t="e">
        <f>Financials!CF25/Financials!CF5</f>
        <v>#DIV/0!</v>
      </c>
      <c r="DB19" s="126">
        <f>Financials!CG25/Financials!CG5</f>
        <v>0.31450567609037955</v>
      </c>
      <c r="DC19" s="126">
        <f>Financials!CH25/Financials!CH5</f>
        <v>0.31470022904694317</v>
      </c>
      <c r="DD19" s="126">
        <f>Financials!CI25/Financials!CI5</f>
        <v>0.31418485586789341</v>
      </c>
      <c r="DE19" s="126">
        <f>Financials!CJ25/Financials!CJ5</f>
        <v>0.31715824155670957</v>
      </c>
      <c r="DF19" s="126">
        <f>Financials!CK25/Financials!CK5</f>
        <v>0.32276195672956198</v>
      </c>
      <c r="DG19" s="126">
        <f>Financials!CL25/Financials!CL5</f>
        <v>0.31704654050563003</v>
      </c>
      <c r="DH19" s="126">
        <f>Financials!CM25/Financials!CM5</f>
        <v>0.32415071778122151</v>
      </c>
      <c r="DI19" s="126">
        <f>Financials!CN25/Financials!CN5</f>
        <v>0.32318369852975865</v>
      </c>
      <c r="DJ19" s="126">
        <f>Financials!CO25/Financials!CO5</f>
        <v>0.33280692142295187</v>
      </c>
    </row>
    <row r="20" spans="1:114" s="104" customFormat="1" ht="12.75">
      <c r="A20" s="121" t="s">
        <v>351</v>
      </c>
      <c r="B20" s="122" t="s">
        <v>352</v>
      </c>
      <c r="C20" s="123">
        <v>48.4</v>
      </c>
      <c r="D20" s="126" t="e">
        <f>[2]Financials!C25/[2]Financials!C13</f>
        <v>#DIV/0!</v>
      </c>
      <c r="E20" s="126" t="e">
        <f>[2]Financials!D25/[2]Financials!D13</f>
        <v>#DIV/0!</v>
      </c>
      <c r="F20" s="126" t="e">
        <f>[2]Financials!E25/[2]Financials!E13</f>
        <v>#DIV/0!</v>
      </c>
      <c r="G20" s="126" t="e">
        <f>[2]Financials!F25/[2]Financials!F13</f>
        <v>#DIV/0!</v>
      </c>
      <c r="H20" s="126" t="e">
        <f>[2]Financials!G25/[2]Financials!G13</f>
        <v>#DIV/0!</v>
      </c>
      <c r="I20" s="126" t="e">
        <f>[2]Financials!H25/[2]Financials!H13</f>
        <v>#DIV/0!</v>
      </c>
      <c r="J20" s="126" t="e">
        <f>[2]Financials!I25/[2]Financials!I13</f>
        <v>#DIV/0!</v>
      </c>
      <c r="K20" s="126">
        <f>[2]Financials!J25/[2]Financials!J13</f>
        <v>0.29065136832049615</v>
      </c>
      <c r="L20" s="126">
        <f>[2]Financials!K25/[2]Financials!K13</f>
        <v>0.14992956056990961</v>
      </c>
      <c r="M20" s="126">
        <f>[2]Financials!L25/[2]Financials!L13</f>
        <v>0.14141182623580414</v>
      </c>
      <c r="N20" s="126">
        <f>[2]Financials!M25/[2]Financials!M13</f>
        <v>0.13398038892737626</v>
      </c>
      <c r="O20" s="126">
        <f>[2]Financials!N25/[2]Financials!N13</f>
        <v>0.13269714753002726</v>
      </c>
      <c r="P20" s="126">
        <f>[2]Financials!O25/[2]Financials!O13</f>
        <v>0.13613611148727769</v>
      </c>
      <c r="Q20" s="126">
        <f>[2]Financials!P25/[2]Financials!P13</f>
        <v>0.12640221614524086</v>
      </c>
      <c r="R20" s="126">
        <f>[2]Financials!Q25/[2]Financials!Q13</f>
        <v>0.12013514911808597</v>
      </c>
      <c r="S20" s="126">
        <f>[2]Financials!R25/[2]Financials!R13</f>
        <v>0.1138429282115964</v>
      </c>
      <c r="T20" s="126">
        <f>[2]Financials!S25/[2]Financials!S13</f>
        <v>0.10822704281378845</v>
      </c>
      <c r="U20" s="126">
        <f>[2]Financials!T25/[2]Financials!T13</f>
        <v>0.10294338280866991</v>
      </c>
      <c r="V20" s="126">
        <f>[2]Financials!U25/[2]Financials!U13</f>
        <v>9.9823801527689202E-2</v>
      </c>
      <c r="W20" s="126">
        <f>[2]Financials!V25/[2]Financials!V13</f>
        <v>9.5726720369714163E-2</v>
      </c>
      <c r="X20" s="126">
        <f>[2]Financials!W25/[2]Financials!W13</f>
        <v>0.18928999306010949</v>
      </c>
      <c r="Y20" s="126">
        <f>[2]Financials!X25/[2]Financials!X13</f>
        <v>9.1693177750204261E-2</v>
      </c>
      <c r="Z20" s="126">
        <f>[2]Financials!Y25/[2]Financials!Y13</f>
        <v>0.18647295245927278</v>
      </c>
      <c r="AA20" s="126">
        <f>[2]Financials!Z25/[2]Financials!Z13</f>
        <v>0.19462111869107029</v>
      </c>
      <c r="AB20" s="126">
        <f>[2]Financials!AA25/[2]Financials!AA13</f>
        <v>0.17001808487897188</v>
      </c>
      <c r="AC20" s="126">
        <f>[2]Financials!AB25/[2]Financials!AB13</f>
        <v>0.17657862641592306</v>
      </c>
      <c r="AD20" s="126">
        <f>[2]Financials!AC25/[2]Financials!AC13</f>
        <v>0.18623609119677628</v>
      </c>
      <c r="AE20" s="126">
        <f>[2]Financials!AD25/[2]Financials!AD13</f>
        <v>0.16636695918288111</v>
      </c>
      <c r="AF20" s="126">
        <f>[2]Financials!AE25/[2]Financials!AE13</f>
        <v>0.15484831471872615</v>
      </c>
      <c r="AG20" s="126">
        <f>[2]Financials!AF25/[2]Financials!AF13</f>
        <v>0.14559978680043401</v>
      </c>
      <c r="AH20" s="126">
        <f>[2]Financials!AG25/[2]Financials!AG13</f>
        <v>0.13941024121075371</v>
      </c>
      <c r="AI20" s="126">
        <f>[2]Financials!AH25/[2]Financials!AH13</f>
        <v>0.16533217270049674</v>
      </c>
      <c r="AJ20" s="126">
        <f>[2]Financials!AI25/[2]Financials!AI13</f>
        <v>0.15732483378019529</v>
      </c>
      <c r="AK20" s="126" t="e">
        <f>Financials!D25/Financials!D11</f>
        <v>#REF!</v>
      </c>
      <c r="AL20" s="126" t="e">
        <f>Financials!E25/Financials!E11</f>
        <v>#REF!</v>
      </c>
      <c r="AM20" s="126" t="e">
        <f>Financials!F25/Financials!F11</f>
        <v>#REF!</v>
      </c>
      <c r="AN20" s="126" t="e">
        <f>Financials!G25/Financials!G11</f>
        <v>#REF!</v>
      </c>
      <c r="AO20" s="126" t="e">
        <f>Financials!H25/Financials!H11</f>
        <v>#REF!</v>
      </c>
      <c r="AP20" s="126" t="e">
        <f>Financials!I25/Financials!I11</f>
        <v>#REF!</v>
      </c>
      <c r="AQ20" s="126" t="e">
        <f>Financials!J25/Financials!J11</f>
        <v>#REF!</v>
      </c>
      <c r="AR20" s="126" t="e">
        <f>Financials!K25/Financials!K11</f>
        <v>#REF!</v>
      </c>
      <c r="AS20" s="126" t="e">
        <f>Financials!L25/Financials!L11</f>
        <v>#REF!</v>
      </c>
      <c r="AT20" s="126" t="e">
        <f>Financials!M25/Financials!M11</f>
        <v>#REF!</v>
      </c>
      <c r="AU20" s="126" t="e">
        <f>Financials!N25/Financials!N11</f>
        <v>#REF!</v>
      </c>
      <c r="AV20" s="126" t="e">
        <f>Financials!O25/Financials!O11</f>
        <v>#REF!</v>
      </c>
      <c r="AW20" s="126" t="e">
        <f>Financials!P25/Financials!P11</f>
        <v>#REF!</v>
      </c>
      <c r="AX20" s="126" t="e">
        <f>Financials!Q25/Financials!Q11</f>
        <v>#REF!</v>
      </c>
      <c r="AY20" s="126" t="e">
        <f>Financials!R25/Financials!R11</f>
        <v>#REF!</v>
      </c>
      <c r="AZ20" s="126" t="e">
        <f>Financials!S25/Financials!S11</f>
        <v>#REF!</v>
      </c>
      <c r="BA20" s="126" t="e">
        <f>Financials!T25/Financials!T11</f>
        <v>#REF!</v>
      </c>
      <c r="BB20" s="126" t="e">
        <f>Financials!U25/Financials!U11</f>
        <v>#REF!</v>
      </c>
      <c r="BC20" s="126" t="e">
        <f>Financials!V25/Financials!V11</f>
        <v>#REF!</v>
      </c>
      <c r="BD20" s="126" t="e">
        <f>Financials!W25/Financials!W11</f>
        <v>#REF!</v>
      </c>
      <c r="BE20" s="126" t="e">
        <f>Financials!X25/Financials!X11</f>
        <v>#REF!</v>
      </c>
      <c r="BF20" s="126" t="e">
        <f>Financials!Y25/Financials!Y11</f>
        <v>#REF!</v>
      </c>
      <c r="BG20" s="126" t="e">
        <f>Financials!Z25/Financials!Z11</f>
        <v>#REF!</v>
      </c>
      <c r="BH20" s="126" t="e">
        <f>Financials!AA25/Financials!AA11</f>
        <v>#REF!</v>
      </c>
      <c r="BI20" s="126" t="e">
        <f>Financials!AB25/Financials!AB11</f>
        <v>#REF!</v>
      </c>
      <c r="BJ20" s="126" t="e">
        <f>Financials!AC25/Financials!AC11</f>
        <v>#REF!</v>
      </c>
      <c r="BK20" s="126" t="e">
        <f>Financials!AD25/Financials!AD11</f>
        <v>#REF!</v>
      </c>
      <c r="BL20" s="126" t="e">
        <f>Financials!AE25/Financials!AE11</f>
        <v>#REF!</v>
      </c>
      <c r="BM20" s="126" t="e">
        <f>Financials!AF25/Financials!AF11</f>
        <v>#REF!</v>
      </c>
      <c r="BN20" s="126" t="e">
        <f>Financials!AG25/Financials!AG11</f>
        <v>#REF!</v>
      </c>
      <c r="BO20" s="126" t="e">
        <f>Financials!AH25/Financials!AH11</f>
        <v>#REF!</v>
      </c>
      <c r="BP20" s="126" t="e">
        <f>Financials!AI25/Financials!AI11</f>
        <v>#REF!</v>
      </c>
      <c r="BQ20" s="126" t="e">
        <f>Financials!AJ25/Financials!AJ11</f>
        <v>#REF!</v>
      </c>
      <c r="BR20" s="126" t="e">
        <f>Financials!AK25/Financials!AK11</f>
        <v>#REF!</v>
      </c>
      <c r="BS20" s="126" t="e">
        <f>Financials!AL25/Financials!AL11</f>
        <v>#REF!</v>
      </c>
      <c r="BT20" s="126" t="e">
        <f>Financials!AM25/Financials!AM11</f>
        <v>#REF!</v>
      </c>
      <c r="BU20" s="126" t="e">
        <f>Financials!AN25/Financials!AN11</f>
        <v>#REF!</v>
      </c>
      <c r="BV20" s="126" t="e">
        <f>Financials!AO25/Financials!AO11</f>
        <v>#REF!</v>
      </c>
      <c r="BW20" s="126" t="e">
        <f>Financials!AP25/Financials!AP11</f>
        <v>#REF!</v>
      </c>
      <c r="BX20" s="126" t="e">
        <f>Financials!AQ25/Financials!AQ11</f>
        <v>#REF!</v>
      </c>
      <c r="BY20" s="126" t="e">
        <f>Financials!AR25/Financials!AR11</f>
        <v>#REF!</v>
      </c>
      <c r="BZ20" s="126">
        <f>Financials!AS25/Financials!AS11</f>
        <v>1.0859303175890088E-2</v>
      </c>
      <c r="CA20" s="126">
        <f>Financials!AT25/Financials!AT11</f>
        <v>0</v>
      </c>
      <c r="CB20" s="126">
        <f>Financials!AU25/Financials!AU11</f>
        <v>0</v>
      </c>
      <c r="CC20" s="126">
        <f>Financials!AV25/Financials!AV11</f>
        <v>0</v>
      </c>
      <c r="CD20" s="126">
        <f>Financials!AW25/Financials!AW11</f>
        <v>0</v>
      </c>
      <c r="CE20" s="126">
        <f>Financials!AX25/Financials!AX11</f>
        <v>0</v>
      </c>
      <c r="CF20" s="126">
        <f>Financials!AY25/Financials!AY11</f>
        <v>0</v>
      </c>
      <c r="CG20" s="126" t="e">
        <f>Financials!AZ25/Financials!AZ11</f>
        <v>#REF!</v>
      </c>
      <c r="CH20" s="126">
        <f>Financials!BA25/Financials!BA11</f>
        <v>0</v>
      </c>
      <c r="CI20" s="126">
        <f>Financials!BB25/Financials!BB11</f>
        <v>0</v>
      </c>
      <c r="CJ20" s="126">
        <f>Financials!BC25/Financials!BC11</f>
        <v>0</v>
      </c>
      <c r="CK20" s="126">
        <f>Financials!BD25/Financials!BD11</f>
        <v>0</v>
      </c>
      <c r="CL20" s="126">
        <f>Financials!BE25/Financials!BE11</f>
        <v>0</v>
      </c>
      <c r="CM20" s="126">
        <f>Financials!BF25/Financials!BF11</f>
        <v>1.060309503283699E-2</v>
      </c>
      <c r="CN20" s="126">
        <f>Financials!BG25/Financials!BG11</f>
        <v>0.76653994203350939</v>
      </c>
      <c r="CO20" s="126">
        <f>Financials!BH25/Financials!BH11</f>
        <v>0.76277568869127377</v>
      </c>
      <c r="CP20" s="126">
        <f>Financials!BI25/Financials!BI11</f>
        <v>0.72004625995586036</v>
      </c>
      <c r="CQ20" s="126">
        <f>Financials!BJ25/Financials!BJ11</f>
        <v>0.71017064800153173</v>
      </c>
      <c r="CR20" s="126">
        <f>Financials!BK25/Financials!BK11</f>
        <v>0.71822425512929289</v>
      </c>
      <c r="CS20" s="126">
        <f>Financials!BL25/Financials!BL11</f>
        <v>0.70529024511260119</v>
      </c>
      <c r="CT20" s="126">
        <f>Financials!BM25/Financials!BM11</f>
        <v>0.68369740909806864</v>
      </c>
      <c r="CU20" s="126">
        <f>Financials!BN25/Financials!BN11</f>
        <v>0.67463953073980787</v>
      </c>
      <c r="CV20" s="126">
        <f>Financials!BO25/Financials!BO11</f>
        <v>0.6649316765646559</v>
      </c>
      <c r="CW20" s="126">
        <f>Financials!BP25/Financials!BP11</f>
        <v>0.64866497941016132</v>
      </c>
      <c r="CX20" s="126">
        <f>Financials!BQ25/Financials!BQ11</f>
        <v>0.64753157779445725</v>
      </c>
      <c r="CY20" s="126">
        <f>Financials!BR25/Financials!BR11</f>
        <v>0.65020040384437305</v>
      </c>
      <c r="CZ20" s="126">
        <f>Financials!BS25/Financials!BS11</f>
        <v>0.76379678388867966</v>
      </c>
      <c r="DA20" s="126" t="e">
        <f>Financials!CF25/Financials!CF11</f>
        <v>#DIV/0!</v>
      </c>
      <c r="DB20" s="126">
        <f>Financials!CG25/Financials!CG11</f>
        <v>0.78100797933175292</v>
      </c>
      <c r="DC20" s="126">
        <f>Financials!CH25/Financials!CH11</f>
        <v>0.77619000139106409</v>
      </c>
      <c r="DD20" s="126">
        <f>Financials!CI25/Financials!CI11</f>
        <v>0.7354054969415954</v>
      </c>
      <c r="DE20" s="126">
        <f>Financials!CJ25/Financials!CJ11</f>
        <v>0.73598133415191402</v>
      </c>
      <c r="DF20" s="126">
        <f>Financials!CK25/Financials!CK11</f>
        <v>0.71976771071330425</v>
      </c>
      <c r="DG20" s="126">
        <f>Financials!CL25/Financials!CL11</f>
        <v>0.71100395085477475</v>
      </c>
      <c r="DH20" s="126">
        <f>Financials!CM25/Financials!CM11</f>
        <v>0.68787588553007506</v>
      </c>
      <c r="DI20" s="126">
        <f>Financials!CN25/Financials!CN11</f>
        <v>0.67839889349830662</v>
      </c>
      <c r="DJ20" s="126">
        <f>Financials!CO25/Financials!CO11</f>
        <v>0.67691600502919891</v>
      </c>
    </row>
    <row r="21" spans="1:114" s="104" customFormat="1" ht="12.75">
      <c r="A21" s="127" t="s">
        <v>353</v>
      </c>
      <c r="B21" s="131" t="s">
        <v>354</v>
      </c>
      <c r="C21" s="132"/>
      <c r="D21" s="126" t="e">
        <f>[2]Financials!C30/[2]Financials!C5</f>
        <v>#DIV/0!</v>
      </c>
      <c r="E21" s="126" t="e">
        <f>[2]Financials!D30/[2]Financials!D5</f>
        <v>#DIV/0!</v>
      </c>
      <c r="F21" s="126" t="e">
        <f>[2]Financials!E30/[2]Financials!E5</f>
        <v>#DIV/0!</v>
      </c>
      <c r="G21" s="126" t="e">
        <f>[2]Financials!F30/[2]Financials!F5</f>
        <v>#DIV/0!</v>
      </c>
      <c r="H21" s="126" t="e">
        <f>[2]Financials!G30/[2]Financials!G5</f>
        <v>#DIV/0!</v>
      </c>
      <c r="I21" s="126" t="e">
        <f>[2]Financials!H30/[2]Financials!H5</f>
        <v>#DIV/0!</v>
      </c>
      <c r="J21" s="126" t="e">
        <f>[2]Financials!I30/[2]Financials!I5</f>
        <v>#DIV/0!</v>
      </c>
      <c r="K21" s="126">
        <f>[2]Financials!J30/[2]Financials!J5</f>
        <v>0.87193832594292875</v>
      </c>
      <c r="L21" s="126">
        <f>[2]Financials!K30/[2]Financials!K5</f>
        <v>0.84519277462224074</v>
      </c>
      <c r="M21" s="126">
        <f>[2]Financials!L30/[2]Financials!L5</f>
        <v>0.84959900230340268</v>
      </c>
      <c r="N21" s="126">
        <f>[2]Financials!M30/[2]Financials!M5</f>
        <v>0.82277617433314088</v>
      </c>
      <c r="O21" s="126">
        <f>[2]Financials!N30/[2]Financials!N5</f>
        <v>0.81813056639848514</v>
      </c>
      <c r="P21" s="126">
        <f>[2]Financials!O30/[2]Financials!O5</f>
        <v>0.84561876755526322</v>
      </c>
      <c r="Q21" s="126">
        <f>[2]Financials!P30/[2]Financials!P5</f>
        <v>0.84477902110500769</v>
      </c>
      <c r="R21" s="126">
        <f>[2]Financials!Q30/[2]Financials!Q5</f>
        <v>0.84401929506877749</v>
      </c>
      <c r="S21" s="126">
        <f>[2]Financials!R30/[2]Financials!R5</f>
        <v>0.84963642486167912</v>
      </c>
      <c r="T21" s="126">
        <f>[2]Financials!S30/[2]Financials!S5</f>
        <v>0.85634780815117872</v>
      </c>
      <c r="U21" s="126">
        <f>[2]Financials!T30/[2]Financials!T5</f>
        <v>0.84861624421207027</v>
      </c>
      <c r="V21" s="126">
        <f>[2]Financials!U30/[2]Financials!U5</f>
        <v>0.85632171769341281</v>
      </c>
      <c r="W21" s="126">
        <f>[2]Financials!V30/[2]Financials!V5</f>
        <v>0.86485446822488277</v>
      </c>
      <c r="X21" s="126">
        <f>[2]Financials!W30/[2]Financials!W5</f>
        <v>0.87958889652300154</v>
      </c>
      <c r="Y21" s="126">
        <f>[2]Financials!X30/[2]Financials!X5</f>
        <v>0.87449515062534722</v>
      </c>
      <c r="Z21" s="126">
        <f>[2]Financials!Y30/[2]Financials!Y5</f>
        <v>0.92985845049946791</v>
      </c>
      <c r="AA21" s="126">
        <f>[2]Financials!Z30/[2]Financials!Z5</f>
        <v>0.87100335338125501</v>
      </c>
      <c r="AB21" s="126">
        <f>[2]Financials!AA30/[2]Financials!AA5</f>
        <v>0.88715493075022456</v>
      </c>
      <c r="AC21" s="126">
        <f>[2]Financials!AB30/[2]Financials!AB5</f>
        <v>0.88411424649645665</v>
      </c>
      <c r="AD21" s="126">
        <f>[2]Financials!AC30/[2]Financials!AC5</f>
        <v>0.86046615455172315</v>
      </c>
      <c r="AE21" s="126">
        <f>[2]Financials!AD30/[2]Financials!AD5</f>
        <v>0.86313227226832456</v>
      </c>
      <c r="AF21" s="126">
        <f>[2]Financials!AE30/[2]Financials!AE5</f>
        <v>0.84955310755800328</v>
      </c>
      <c r="AG21" s="126">
        <f>[2]Financials!AF30/[2]Financials!AF5</f>
        <v>0.85578442784523323</v>
      </c>
      <c r="AH21" s="126">
        <f>[2]Financials!AG30/[2]Financials!AG5</f>
        <v>0.85543450965551948</v>
      </c>
      <c r="AI21" s="126">
        <f>[2]Financials!AH30/[2]Financials!AH5</f>
        <v>0.84191654496617285</v>
      </c>
      <c r="AJ21" s="126">
        <f>[2]Financials!AI30/[2]Financials!AI5</f>
        <v>0.82912534233716617</v>
      </c>
      <c r="AK21" s="126" t="e">
        <f>Financials!D30/Financials!D4</f>
        <v>#REF!</v>
      </c>
      <c r="AL21" s="126" t="e">
        <f>Financials!E30/Financials!E4</f>
        <v>#REF!</v>
      </c>
      <c r="AM21" s="126" t="e">
        <f>Financials!F30/Financials!F4</f>
        <v>#REF!</v>
      </c>
      <c r="AN21" s="126" t="e">
        <f>Financials!G30/Financials!G4</f>
        <v>#REF!</v>
      </c>
      <c r="AO21" s="126" t="e">
        <f>Financials!H30/Financials!H4</f>
        <v>#REF!</v>
      </c>
      <c r="AP21" s="126" t="e">
        <f>Financials!I30/Financials!I4</f>
        <v>#REF!</v>
      </c>
      <c r="AQ21" s="126" t="e">
        <f>Financials!J30/Financials!J4</f>
        <v>#REF!</v>
      </c>
      <c r="AR21" s="126" t="e">
        <f>Financials!K30/Financials!K4</f>
        <v>#REF!</v>
      </c>
      <c r="AS21" s="126" t="e">
        <f>Financials!L30/Financials!L4</f>
        <v>#REF!</v>
      </c>
      <c r="AT21" s="126" t="e">
        <f>Financials!M30/Financials!M4</f>
        <v>#REF!</v>
      </c>
      <c r="AU21" s="126" t="e">
        <f>Financials!N30/Financials!N4</f>
        <v>#REF!</v>
      </c>
      <c r="AV21" s="126" t="e">
        <f>Financials!O30/Financials!O4</f>
        <v>#REF!</v>
      </c>
      <c r="AW21" s="126" t="e">
        <f>Financials!P30/Financials!P4</f>
        <v>#REF!</v>
      </c>
      <c r="AX21" s="126" t="e">
        <f>Financials!Q30/Financials!Q4</f>
        <v>#REF!</v>
      </c>
      <c r="AY21" s="126" t="e">
        <f>Financials!R30/Financials!R4</f>
        <v>#REF!</v>
      </c>
      <c r="AZ21" s="126" t="e">
        <f>Financials!S30/Financials!S4</f>
        <v>#REF!</v>
      </c>
      <c r="BA21" s="126" t="e">
        <f>Financials!T30/Financials!T4</f>
        <v>#REF!</v>
      </c>
      <c r="BB21" s="126" t="e">
        <f>Financials!U30/Financials!U4</f>
        <v>#REF!</v>
      </c>
      <c r="BC21" s="126" t="e">
        <f>Financials!V30/Financials!V4</f>
        <v>#REF!</v>
      </c>
      <c r="BD21" s="126" t="e">
        <f>Financials!W30/Financials!W4</f>
        <v>#REF!</v>
      </c>
      <c r="BE21" s="126" t="e">
        <f>Financials!X30/Financials!X4</f>
        <v>#REF!</v>
      </c>
      <c r="BF21" s="126" t="e">
        <f>Financials!Y30/Financials!Y4</f>
        <v>#REF!</v>
      </c>
      <c r="BG21" s="126" t="e">
        <f>Financials!Z30/Financials!Z4</f>
        <v>#REF!</v>
      </c>
      <c r="BH21" s="126" t="e">
        <f>Financials!AA30/Financials!AA4</f>
        <v>#REF!</v>
      </c>
      <c r="BI21" s="126" t="e">
        <f>Financials!AB30/Financials!AB4</f>
        <v>#REF!</v>
      </c>
      <c r="BJ21" s="126" t="e">
        <f>Financials!AC30/Financials!AC4</f>
        <v>#REF!</v>
      </c>
      <c r="BK21" s="126" t="e">
        <f>Financials!AD30/Financials!AD4</f>
        <v>#REF!</v>
      </c>
      <c r="BL21" s="126" t="e">
        <f>Financials!AE30/Financials!AE4</f>
        <v>#REF!</v>
      </c>
      <c r="BM21" s="126" t="e">
        <f>Financials!AF30/Financials!AF4</f>
        <v>#REF!</v>
      </c>
      <c r="BN21" s="126" t="e">
        <f>Financials!AG30/Financials!AG4</f>
        <v>#REF!</v>
      </c>
      <c r="BO21" s="126" t="e">
        <f>Financials!AH30/Financials!AH4</f>
        <v>#REF!</v>
      </c>
      <c r="BP21" s="126" t="e">
        <f>Financials!AI30/Financials!AI4</f>
        <v>#REF!</v>
      </c>
      <c r="BQ21" s="126" t="e">
        <f>Financials!AJ30/Financials!AJ4</f>
        <v>#REF!</v>
      </c>
      <c r="BR21" s="126" t="e">
        <f>Financials!AK30/Financials!AK4</f>
        <v>#REF!</v>
      </c>
      <c r="BS21" s="126" t="e">
        <f>Financials!AL30/Financials!AL4</f>
        <v>#REF!</v>
      </c>
      <c r="BT21" s="126" t="e">
        <f>Financials!AM30/Financials!AM4</f>
        <v>#REF!</v>
      </c>
      <c r="BU21" s="126" t="e">
        <f>Financials!AN30/Financials!AN4</f>
        <v>#REF!</v>
      </c>
      <c r="BV21" s="126" t="e">
        <f>Financials!AO30/Financials!AO4</f>
        <v>#REF!</v>
      </c>
      <c r="BW21" s="126" t="e">
        <f>Financials!AP30/Financials!AP4</f>
        <v>#REF!</v>
      </c>
      <c r="BX21" s="126" t="e">
        <f>Financials!AQ30/Financials!AQ4</f>
        <v>#REF!</v>
      </c>
      <c r="BY21" s="126" t="e">
        <f>Financials!AR30/Financials!AR4</f>
        <v>#REF!</v>
      </c>
      <c r="BZ21" s="126">
        <f>Financials!AS30/Financials!AS4</f>
        <v>0.37108223108187977</v>
      </c>
      <c r="CA21" s="126">
        <f>Financials!AT30/Financials!AT4</f>
        <v>0.42115885056777125</v>
      </c>
      <c r="CB21" s="126">
        <f>Financials!AU30/Financials!AU4</f>
        <v>0.41214800896437692</v>
      </c>
      <c r="CC21" s="126">
        <f>Financials!AV30/Financials!AV4</f>
        <v>0.44462388333147634</v>
      </c>
      <c r="CD21" s="126">
        <f>Financials!AW30/Financials!AW4</f>
        <v>0.40797676339463795</v>
      </c>
      <c r="CE21" s="126">
        <f>Financials!AX30/Financials!AX4</f>
        <v>0.39319083686600548</v>
      </c>
      <c r="CF21" s="126">
        <f>Financials!AY30/Financials!AY4</f>
        <v>0.39308158113641206</v>
      </c>
      <c r="CG21" s="126" t="e">
        <f>Financials!AZ30/Financials!AZ4</f>
        <v>#REF!</v>
      </c>
      <c r="CH21" s="126">
        <f>Financials!BA30/Financials!BA4</f>
        <v>0.38198366088699287</v>
      </c>
      <c r="CI21" s="126">
        <f>Financials!BB30/Financials!BB4</f>
        <v>0.39818736551328626</v>
      </c>
      <c r="CJ21" s="126">
        <f>Financials!BC30/Financials!BC4</f>
        <v>0.37440861766542105</v>
      </c>
      <c r="CK21" s="126">
        <f>Financials!BD30/Financials!BD4</f>
        <v>0.35811089324435269</v>
      </c>
      <c r="CL21" s="126">
        <f>Financials!BE30/Financials!BE4</f>
        <v>0.40377103904321904</v>
      </c>
      <c r="CM21" s="126">
        <f>Financials!BF30/Financials!BF4</f>
        <v>0.40384864490480521</v>
      </c>
      <c r="CN21" s="126">
        <f>Financials!BG30/Financials!BG4</f>
        <v>0.44823608001719817</v>
      </c>
      <c r="CO21" s="126">
        <f>Financials!BH30/Financials!BH4</f>
        <v>0.44263183117396632</v>
      </c>
      <c r="CP21" s="126">
        <f>Financials!BI30/Financials!BI4</f>
        <v>0.38260251167101689</v>
      </c>
      <c r="CQ21" s="126">
        <f>Financials!BJ30/Financials!BJ4</f>
        <v>0.38714267872917457</v>
      </c>
      <c r="CR21" s="126">
        <f>Financials!BK30/Financials!BK4</f>
        <v>0.38487791319161735</v>
      </c>
      <c r="CS21" s="126">
        <f>Financials!BL30/Financials!BL4</f>
        <v>0.44655093182977429</v>
      </c>
      <c r="CT21" s="126">
        <f>Financials!BM30/Financials!BM4</f>
        <v>0.41109654645081811</v>
      </c>
      <c r="CU21" s="126">
        <f>Financials!BN30/Financials!BN4</f>
        <v>0.39193254266038519</v>
      </c>
      <c r="CV21" s="126">
        <f>Financials!BO30/Financials!BO4</f>
        <v>0.46561081277422578</v>
      </c>
      <c r="CW21" s="126">
        <f>Financials!BP30/Financials!BP4</f>
        <v>0.39812228834745433</v>
      </c>
      <c r="CX21" s="126">
        <f>Financials!BQ30/Financials!BQ4</f>
        <v>0.37533617376046219</v>
      </c>
      <c r="CY21" s="126">
        <f>Financials!BR30/Financials!BR4</f>
        <v>0.37557926587359475</v>
      </c>
      <c r="CZ21" s="126">
        <f>Financials!BS30/Financials!BS4</f>
        <v>0.37324514563179384</v>
      </c>
      <c r="DA21" s="126" t="e">
        <f>Financials!CF30/Financials!CF4</f>
        <v>#DIV/0!</v>
      </c>
      <c r="DB21" s="126">
        <f>Financials!CG30/Financials!CG4</f>
        <v>0.41575432803360984</v>
      </c>
      <c r="DC21" s="126">
        <f>Financials!CH30/Financials!CH4</f>
        <v>0.41326963676536294</v>
      </c>
      <c r="DD21" s="126">
        <f>Financials!CI30/Financials!CI4</f>
        <v>0.43431010807402232</v>
      </c>
      <c r="DE21" s="126">
        <f>Financials!CJ30/Financials!CJ4</f>
        <v>0.41164965834300576</v>
      </c>
      <c r="DF21" s="126">
        <f>Financials!CK30/Financials!CK4</f>
        <v>0.42008195914752944</v>
      </c>
      <c r="DG21" s="126">
        <f>Financials!CL30/Financials!CL4</f>
        <v>0.41513974994519254</v>
      </c>
      <c r="DH21" s="126">
        <f>Financials!CM30/Financials!CM4</f>
        <v>0.43667108891416972</v>
      </c>
      <c r="DI21" s="126">
        <f>Financials!CN30/Financials!CN4</f>
        <v>0.42410584498277143</v>
      </c>
      <c r="DJ21" s="126">
        <f>Financials!CO30/Financials!CO4</f>
        <v>0.49879671963763733</v>
      </c>
    </row>
    <row r="22" spans="1:114" s="104" customFormat="1" ht="12.75">
      <c r="A22" s="117"/>
      <c r="B22" s="118"/>
      <c r="C22" s="119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120"/>
      <c r="BG22" s="120"/>
      <c r="BH22" s="120"/>
      <c r="BI22" s="120"/>
      <c r="BJ22" s="120"/>
      <c r="BK22" s="120"/>
      <c r="BL22" s="120"/>
      <c r="BM22" s="120"/>
      <c r="BN22" s="120"/>
      <c r="BO22" s="120"/>
      <c r="BP22" s="120"/>
      <c r="BQ22" s="120"/>
      <c r="BR22" s="120"/>
      <c r="BS22" s="120"/>
      <c r="BT22" s="120"/>
      <c r="BU22" s="120"/>
      <c r="BV22" s="120"/>
      <c r="BW22" s="120"/>
      <c r="BX22" s="120"/>
      <c r="BY22" s="120"/>
      <c r="BZ22" s="120"/>
      <c r="CA22" s="120"/>
      <c r="CB22" s="120"/>
      <c r="CC22" s="120"/>
      <c r="CD22" s="120"/>
      <c r="CE22" s="120"/>
      <c r="CF22" s="120"/>
      <c r="CG22" s="120"/>
      <c r="CH22" s="120"/>
      <c r="CI22" s="120"/>
      <c r="CJ22" s="120"/>
      <c r="CK22" s="120"/>
      <c r="CL22" s="120"/>
      <c r="CM22" s="120"/>
      <c r="CN22" s="120"/>
      <c r="CO22" s="120"/>
      <c r="CP22" s="120"/>
      <c r="CQ22" s="120"/>
      <c r="CR22" s="120"/>
      <c r="CS22" s="120"/>
      <c r="CT22" s="120"/>
      <c r="CU22" s="120"/>
      <c r="CV22" s="120"/>
      <c r="CW22" s="120"/>
      <c r="CX22" s="120"/>
      <c r="CY22" s="120"/>
      <c r="CZ22" s="120"/>
      <c r="DA22" s="120"/>
      <c r="DB22" s="120"/>
      <c r="DC22" s="120"/>
      <c r="DD22" s="120"/>
      <c r="DE22" s="120"/>
      <c r="DF22" s="120"/>
      <c r="DG22" s="120"/>
      <c r="DH22" s="120"/>
      <c r="DI22" s="120"/>
      <c r="DJ22" s="120"/>
    </row>
    <row r="23" spans="1:114" s="104" customFormat="1" ht="12.75">
      <c r="A23" s="117" t="s">
        <v>221</v>
      </c>
      <c r="B23" s="118"/>
      <c r="C23" s="119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3"/>
      <c r="BI23" s="133"/>
      <c r="BJ23" s="133"/>
      <c r="BK23" s="133"/>
      <c r="BL23" s="133"/>
      <c r="BM23" s="133"/>
      <c r="BN23" s="133"/>
      <c r="BO23" s="133"/>
      <c r="BP23" s="133"/>
      <c r="BQ23" s="133"/>
      <c r="BR23" s="133"/>
      <c r="BS23" s="133"/>
      <c r="BT23" s="133"/>
      <c r="BU23" s="133"/>
      <c r="BV23" s="133"/>
      <c r="BW23" s="133"/>
      <c r="BX23" s="133"/>
      <c r="BY23" s="133"/>
      <c r="BZ23" s="133"/>
      <c r="CA23" s="133"/>
      <c r="CB23" s="133"/>
      <c r="CC23" s="133"/>
      <c r="CD23" s="133"/>
      <c r="CE23" s="133"/>
      <c r="CF23" s="133"/>
      <c r="CG23" s="133"/>
      <c r="CH23" s="133"/>
      <c r="CI23" s="133"/>
      <c r="CJ23" s="133"/>
      <c r="CK23" s="133"/>
      <c r="CL23" s="133"/>
      <c r="CM23" s="133"/>
      <c r="CN23" s="133"/>
      <c r="CO23" s="133"/>
      <c r="CP23" s="133"/>
      <c r="CQ23" s="133"/>
      <c r="CR23" s="133"/>
      <c r="CS23" s="133"/>
      <c r="CT23" s="133"/>
      <c r="CU23" s="133"/>
      <c r="CV23" s="133"/>
      <c r="CW23" s="133"/>
      <c r="CX23" s="133"/>
      <c r="CY23" s="133"/>
      <c r="CZ23" s="133"/>
      <c r="DA23" s="133"/>
      <c r="DB23" s="133"/>
      <c r="DC23" s="133"/>
      <c r="DD23" s="133"/>
      <c r="DE23" s="133"/>
      <c r="DF23" s="133"/>
      <c r="DG23" s="133"/>
      <c r="DH23" s="133"/>
      <c r="DI23" s="133"/>
      <c r="DJ23" s="133"/>
    </row>
    <row r="24" spans="1:114" s="104" customFormat="1" ht="12.75">
      <c r="A24" s="127" t="s">
        <v>222</v>
      </c>
      <c r="B24" s="131" t="s">
        <v>354</v>
      </c>
      <c r="C24" s="134"/>
      <c r="D24" s="126" t="e">
        <f>[2]Financials!C6/[2]Financials!C5</f>
        <v>#DIV/0!</v>
      </c>
      <c r="E24" s="126" t="e">
        <f>[2]Financials!D6/[2]Financials!D5</f>
        <v>#DIV/0!</v>
      </c>
      <c r="F24" s="126" t="e">
        <f>[2]Financials!E6/[2]Financials!E5</f>
        <v>#DIV/0!</v>
      </c>
      <c r="G24" s="126" t="e">
        <f>[2]Financials!F6/[2]Financials!F5</f>
        <v>#DIV/0!</v>
      </c>
      <c r="H24" s="126" t="e">
        <f>[2]Financials!G6/[2]Financials!G5</f>
        <v>#DIV/0!</v>
      </c>
      <c r="I24" s="126" t="e">
        <f>[2]Financials!H6/[2]Financials!H5</f>
        <v>#DIV/0!</v>
      </c>
      <c r="J24" s="126" t="e">
        <f>[2]Financials!I6/[2]Financials!I5</f>
        <v>#DIV/0!</v>
      </c>
      <c r="K24" s="126">
        <f>[2]Financials!J6/[2]Financials!J5</f>
        <v>0.86978127369900671</v>
      </c>
      <c r="L24" s="126">
        <f>[2]Financials!K6/[2]Financials!K5</f>
        <v>0.8112081755247903</v>
      </c>
      <c r="M24" s="126">
        <f>[2]Financials!L6/[2]Financials!L5</f>
        <v>0.8051148492908341</v>
      </c>
      <c r="N24" s="126">
        <f>[2]Financials!M6/[2]Financials!M5</f>
        <v>0.78333975745942341</v>
      </c>
      <c r="O24" s="126">
        <f>[2]Financials!N6/[2]Financials!N5</f>
        <v>0.78011304112065483</v>
      </c>
      <c r="P24" s="126">
        <f>[2]Financials!O6/[2]Financials!O5</f>
        <v>0.75662365271190346</v>
      </c>
      <c r="Q24" s="126">
        <f>[2]Financials!P6/[2]Financials!P5</f>
        <v>0.74876491829880409</v>
      </c>
      <c r="R24" s="126">
        <f>[2]Financials!Q6/[2]Financials!Q5</f>
        <v>0.74418569717150096</v>
      </c>
      <c r="S24" s="126">
        <f>[2]Financials!R6/[2]Financials!R5</f>
        <v>0.73206634118682157</v>
      </c>
      <c r="T24" s="126">
        <f>[2]Financials!S6/[2]Financials!S5</f>
        <v>0.73010434573344818</v>
      </c>
      <c r="U24" s="126">
        <f>[2]Financials!T6/[2]Financials!T5</f>
        <v>0.72233027990398369</v>
      </c>
      <c r="V24" s="126">
        <f>[2]Financials!U6/[2]Financials!U5</f>
        <v>0.72293440842665924</v>
      </c>
      <c r="W24" s="126">
        <f>[2]Financials!V6/[2]Financials!V5</f>
        <v>0.7249040538379895</v>
      </c>
      <c r="X24" s="126">
        <f>[2]Financials!W6/[2]Financials!W5</f>
        <v>0.73445194635593769</v>
      </c>
      <c r="Y24" s="126">
        <f>[2]Financials!X6/[2]Financials!X5</f>
        <v>0.71306207578281844</v>
      </c>
      <c r="Z24" s="126">
        <f>[2]Financials!Y6/[2]Financials!Y5</f>
        <v>0.74804116790584629</v>
      </c>
      <c r="AA24" s="126">
        <f>[2]Financials!Z6/[2]Financials!Z5</f>
        <v>0.70532661817101616</v>
      </c>
      <c r="AB24" s="126">
        <f>[2]Financials!AA6/[2]Financials!AA5</f>
        <v>0.7469173819080972</v>
      </c>
      <c r="AC24" s="126">
        <f>[2]Financials!AB6/[2]Financials!AB5</f>
        <v>0.72825274378459737</v>
      </c>
      <c r="AD24" s="126">
        <f>[2]Financials!AC6/[2]Financials!AC5</f>
        <v>0.71193633544662038</v>
      </c>
      <c r="AE24" s="126">
        <f>[2]Financials!AD6/[2]Financials!AD5</f>
        <v>0.71283835579804433</v>
      </c>
      <c r="AF24" s="126">
        <f>[2]Financials!AE6/[2]Financials!AE5</f>
        <v>0.69617133677408904</v>
      </c>
      <c r="AG24" s="126">
        <f>[2]Financials!AF6/[2]Financials!AF5</f>
        <v>0.6952007698108742</v>
      </c>
      <c r="AH24" s="126">
        <f>[2]Financials!AG6/[2]Financials!AG5</f>
        <v>0.69712252414570786</v>
      </c>
      <c r="AI24" s="126">
        <f>[2]Financials!AH6/[2]Financials!AH5</f>
        <v>0.68913675186153056</v>
      </c>
      <c r="AJ24" s="126">
        <f>[2]Financials!AI6/[2]Financials!AI5</f>
        <v>0.67815849425415697</v>
      </c>
      <c r="AK24" s="126" t="e">
        <f>Financials!D5/Financials!D4</f>
        <v>#REF!</v>
      </c>
      <c r="AL24" s="126" t="e">
        <f>Financials!E5/Financials!E4</f>
        <v>#REF!</v>
      </c>
      <c r="AM24" s="126" t="e">
        <f>Financials!F5/Financials!F4</f>
        <v>#REF!</v>
      </c>
      <c r="AN24" s="126" t="e">
        <f>Financials!G5/Financials!G4</f>
        <v>#REF!</v>
      </c>
      <c r="AO24" s="126" t="e">
        <f>Financials!H5/Financials!H4</f>
        <v>#REF!</v>
      </c>
      <c r="AP24" s="126" t="e">
        <f>Financials!I5/Financials!I4</f>
        <v>#REF!</v>
      </c>
      <c r="AQ24" s="126" t="e">
        <f>Financials!J5/Financials!J4</f>
        <v>#REF!</v>
      </c>
      <c r="AR24" s="126" t="e">
        <f>Financials!K5/Financials!K4</f>
        <v>#REF!</v>
      </c>
      <c r="AS24" s="126" t="e">
        <f>Financials!L5/Financials!L4</f>
        <v>#REF!</v>
      </c>
      <c r="AT24" s="126" t="e">
        <f>Financials!M5/Financials!M4</f>
        <v>#REF!</v>
      </c>
      <c r="AU24" s="126" t="e">
        <f>Financials!N5/Financials!N4</f>
        <v>#REF!</v>
      </c>
      <c r="AV24" s="126" t="e">
        <f>Financials!O5/Financials!O4</f>
        <v>#REF!</v>
      </c>
      <c r="AW24" s="126" t="e">
        <f>Financials!P5/Financials!P4</f>
        <v>#REF!</v>
      </c>
      <c r="AX24" s="126" t="e">
        <f>Financials!Q5/Financials!Q4</f>
        <v>#REF!</v>
      </c>
      <c r="AY24" s="126" t="e">
        <f>Financials!R5/Financials!R4</f>
        <v>#REF!</v>
      </c>
      <c r="AZ24" s="126" t="e">
        <f>Financials!S5/Financials!S4</f>
        <v>#REF!</v>
      </c>
      <c r="BA24" s="126" t="e">
        <f>Financials!T5/Financials!T4</f>
        <v>#REF!</v>
      </c>
      <c r="BB24" s="126" t="e">
        <f>Financials!U5/Financials!U4</f>
        <v>#REF!</v>
      </c>
      <c r="BC24" s="126" t="e">
        <f>Financials!V5/Financials!V4</f>
        <v>#REF!</v>
      </c>
      <c r="BD24" s="126" t="e">
        <f>Financials!W5/Financials!W4</f>
        <v>#REF!</v>
      </c>
      <c r="BE24" s="126" t="e">
        <f>Financials!X5/Financials!X4</f>
        <v>#REF!</v>
      </c>
      <c r="BF24" s="126" t="e">
        <f>Financials!Y5/Financials!Y4</f>
        <v>#REF!</v>
      </c>
      <c r="BG24" s="126" t="e">
        <f>Financials!Z5/Financials!Z4</f>
        <v>#REF!</v>
      </c>
      <c r="BH24" s="126" t="e">
        <f>Financials!AA5/Financials!AA4</f>
        <v>#REF!</v>
      </c>
      <c r="BI24" s="126" t="e">
        <f>Financials!AB5/Financials!AB4</f>
        <v>#REF!</v>
      </c>
      <c r="BJ24" s="126" t="e">
        <f>Financials!AC5/Financials!AC4</f>
        <v>#REF!</v>
      </c>
      <c r="BK24" s="126" t="e">
        <f>Financials!AD5/Financials!AD4</f>
        <v>#REF!</v>
      </c>
      <c r="BL24" s="126" t="e">
        <f>Financials!AE5/Financials!AE4</f>
        <v>#REF!</v>
      </c>
      <c r="BM24" s="126" t="e">
        <f>Financials!AF5/Financials!AF4</f>
        <v>#REF!</v>
      </c>
      <c r="BN24" s="126" t="e">
        <f>Financials!AG5/Financials!AG4</f>
        <v>#REF!</v>
      </c>
      <c r="BO24" s="126" t="e">
        <f>Financials!AH5/Financials!AH4</f>
        <v>#REF!</v>
      </c>
      <c r="BP24" s="126" t="e">
        <f>Financials!AI5/Financials!AI4</f>
        <v>#REF!</v>
      </c>
      <c r="BQ24" s="126" t="e">
        <f>Financials!AJ5/Financials!AJ4</f>
        <v>#REF!</v>
      </c>
      <c r="BR24" s="126" t="e">
        <f>Financials!AK5/Financials!AK4</f>
        <v>#REF!</v>
      </c>
      <c r="BS24" s="126" t="e">
        <f>Financials!AL5/Financials!AL4</f>
        <v>#REF!</v>
      </c>
      <c r="BT24" s="126" t="e">
        <f>Financials!AM5/Financials!AM4</f>
        <v>#REF!</v>
      </c>
      <c r="BU24" s="126" t="e">
        <f>Financials!AN5/Financials!AN4</f>
        <v>#REF!</v>
      </c>
      <c r="BV24" s="126" t="e">
        <f>Financials!AO5/Financials!AO4</f>
        <v>#REF!</v>
      </c>
      <c r="BW24" s="126" t="e">
        <f>Financials!AP5/Financials!AP4</f>
        <v>#REF!</v>
      </c>
      <c r="BX24" s="126" t="e">
        <f>Financials!AQ5/Financials!AQ4</f>
        <v>#REF!</v>
      </c>
      <c r="BY24" s="126" t="e">
        <f>Financials!AR5/Financials!AR4</f>
        <v>#REF!</v>
      </c>
      <c r="BZ24" s="126">
        <f>Financials!AS5/Financials!AS4</f>
        <v>0.67135148194123417</v>
      </c>
      <c r="CA24" s="126">
        <f>Financials!AT5/Financials!AT4</f>
        <v>0.64825154335580704</v>
      </c>
      <c r="CB24" s="126">
        <f>Financials!AU5/Financials!AU4</f>
        <v>0.65202277540802489</v>
      </c>
      <c r="CC24" s="126">
        <f>Financials!AV5/Financials!AV4</f>
        <v>0.63582430985638505</v>
      </c>
      <c r="CD24" s="126">
        <f>Financials!AW5/Financials!AW4</f>
        <v>0.66305645509046196</v>
      </c>
      <c r="CE24" s="126">
        <f>Financials!AX5/Financials!AX4</f>
        <v>0.66894900852896799</v>
      </c>
      <c r="CF24" s="126">
        <f>Financials!AY5/Financials!AY4</f>
        <v>0.66040488828948407</v>
      </c>
      <c r="CG24" s="126" t="e">
        <f>Financials!AZ5/Financials!AZ4</f>
        <v>#REF!</v>
      </c>
      <c r="CH24" s="126">
        <f>Financials!BA5/Financials!BA4</f>
        <v>0.66109822095768878</v>
      </c>
      <c r="CI24" s="126">
        <f>Financials!BB5/Financials!BB4</f>
        <v>0.65830623991987192</v>
      </c>
      <c r="CJ24" s="126">
        <f>Financials!BC5/Financials!BC4</f>
        <v>0.68488150236799439</v>
      </c>
      <c r="CK24" s="126">
        <f>Financials!BD5/Financials!BD4</f>
        <v>0.69064315914538021</v>
      </c>
      <c r="CL24" s="126">
        <f>Financials!BE5/Financials!BE4</f>
        <v>0.66352743324885322</v>
      </c>
      <c r="CM24" s="126">
        <f>Financials!BF5/Financials!BF4</f>
        <v>0.66365494649513812</v>
      </c>
      <c r="CN24" s="126">
        <f>Financials!BG5/Financials!BG4</f>
        <v>0.66635125520463778</v>
      </c>
      <c r="CO24" s="126">
        <f>Financials!BH5/Financials!BH4</f>
        <v>0.66195367866997956</v>
      </c>
      <c r="CP24" s="126">
        <f>Financials!BI5/Financials!BI4</f>
        <v>0.67243576096540447</v>
      </c>
      <c r="CQ24" s="126">
        <f>Financials!BJ5/Financials!BJ4</f>
        <v>0.69872391608355422</v>
      </c>
      <c r="CR24" s="126">
        <f>Financials!BK5/Financials!BK4</f>
        <v>0.69894843754382152</v>
      </c>
      <c r="CS24" s="126">
        <f>Financials!BL5/Financials!BL4</f>
        <v>0.69803244290468969</v>
      </c>
      <c r="CT24" s="126">
        <f>Financials!BM5/Financials!BM4</f>
        <v>0.70735446355114495</v>
      </c>
      <c r="CU24" s="126">
        <f>Financials!BN5/Financials!BN4</f>
        <v>0.70485250203507521</v>
      </c>
      <c r="CV24" s="126">
        <f>Financials!BO5/Financials!BO4</f>
        <v>0.68394503668325646</v>
      </c>
      <c r="CW24" s="126">
        <f>Financials!BP5/Financials!BP4</f>
        <v>0.68359290922881855</v>
      </c>
      <c r="CX24" s="126">
        <f>Financials!BQ5/Financials!BQ4</f>
        <v>0.69448613178031493</v>
      </c>
      <c r="CY24" s="126">
        <f>Financials!BR5/Financials!BR4</f>
        <v>0.67818590625470598</v>
      </c>
      <c r="CZ24" s="126">
        <f>Financials!BS5/Financials!BS4</f>
        <v>0.67121774677694512</v>
      </c>
      <c r="DA24" s="126" t="e">
        <f>Financials!CF5/Financials!CF4</f>
        <v>#DIV/0!</v>
      </c>
      <c r="DB24" s="126">
        <f>Financials!CG5/Financials!CG4</f>
        <v>0.67325106653487465</v>
      </c>
      <c r="DC24" s="126">
        <f>Financials!CH5/Financials!CH4</f>
        <v>0.6718142019875275</v>
      </c>
      <c r="DD24" s="126">
        <f>Financials!CI5/Financials!CI4</f>
        <v>0.66332574548953238</v>
      </c>
      <c r="DE24" s="126">
        <f>Financials!CJ5/Financials!CJ4</f>
        <v>0.6948960766528437</v>
      </c>
      <c r="DF24" s="126">
        <f>Financials!CK5/Financials!CK4</f>
        <v>0.68341073804696328</v>
      </c>
      <c r="DG24" s="126">
        <f>Financials!CL5/Financials!CL4</f>
        <v>0.68593924203819745</v>
      </c>
      <c r="DH24" s="126">
        <f>Financials!CM5/Financials!CM4</f>
        <v>0.6759329738595673</v>
      </c>
      <c r="DI24" s="126">
        <f>Financials!CN5/Financials!CN4</f>
        <v>0.67362836364672929</v>
      </c>
      <c r="DJ24" s="126">
        <f>Financials!CO5/Financials!CO4</f>
        <v>0.66571404602241957</v>
      </c>
    </row>
    <row r="25" spans="1:114" s="104" customFormat="1" ht="12.75">
      <c r="A25" s="135" t="s">
        <v>223</v>
      </c>
      <c r="B25" s="136" t="s">
        <v>354</v>
      </c>
      <c r="C25" s="137"/>
      <c r="D25" s="138" t="e">
        <f>[2]Financials!C7/[2]Financials!C5</f>
        <v>#DIV/0!</v>
      </c>
      <c r="E25" s="138" t="e">
        <f>[2]Financials!D7/[2]Financials!D5</f>
        <v>#DIV/0!</v>
      </c>
      <c r="F25" s="138" t="e">
        <f>[2]Financials!E7/[2]Financials!E5</f>
        <v>#DIV/0!</v>
      </c>
      <c r="G25" s="138" t="e">
        <f>[2]Financials!F7/[2]Financials!F5</f>
        <v>#DIV/0!</v>
      </c>
      <c r="H25" s="138" t="e">
        <f>[2]Financials!G7/[2]Financials!G5</f>
        <v>#DIV/0!</v>
      </c>
      <c r="I25" s="138" t="e">
        <f>[2]Financials!H7/[2]Financials!H5</f>
        <v>#DIV/0!</v>
      </c>
      <c r="J25" s="138" t="e">
        <f>[2]Financials!I7/[2]Financials!I5</f>
        <v>#DIV/0!</v>
      </c>
      <c r="K25" s="138">
        <f>[2]Financials!J7/[2]Financials!J5</f>
        <v>0.81162927051850364</v>
      </c>
      <c r="L25" s="138">
        <f>[2]Financials!K7/[2]Financials!K5</f>
        <v>0.75549353065265024</v>
      </c>
      <c r="M25" s="138">
        <f>[2]Financials!L7/[2]Financials!L5</f>
        <v>0.75205256625859862</v>
      </c>
      <c r="N25" s="138">
        <f>[2]Financials!M7/[2]Financials!M5</f>
        <v>0.73260490577060844</v>
      </c>
      <c r="O25" s="138">
        <f>[2]Financials!N7/[2]Financials!N5</f>
        <v>0.67593966294570418</v>
      </c>
      <c r="P25" s="138">
        <f>[2]Financials!O7/[2]Financials!O5</f>
        <v>0.69787625250688812</v>
      </c>
      <c r="Q25" s="138">
        <f>[2]Financials!P7/[2]Financials!P5</f>
        <v>0.69395827327950266</v>
      </c>
      <c r="R25" s="138">
        <f>[2]Financials!Q7/[2]Financials!Q5</f>
        <v>0.69014860870573236</v>
      </c>
      <c r="S25" s="138">
        <f>[2]Financials!R7/[2]Financials!R5</f>
        <v>0.67714704478440824</v>
      </c>
      <c r="T25" s="138">
        <f>[2]Financials!S7/[2]Financials!S5</f>
        <v>0.67852121566268264</v>
      </c>
      <c r="U25" s="138">
        <f>[2]Financials!T7/[2]Financials!T5</f>
        <v>0.66899365407939471</v>
      </c>
      <c r="V25" s="138">
        <f>[2]Financials!U7/[2]Financials!U5</f>
        <v>0.66775835994656141</v>
      </c>
      <c r="W25" s="138">
        <f>[2]Financials!V7/[2]Financials!V5</f>
        <v>0.67054949276109788</v>
      </c>
      <c r="X25" s="138">
        <f>[2]Financials!W7/[2]Financials!W5</f>
        <v>0.67935242706204135</v>
      </c>
      <c r="Y25" s="138">
        <f>[2]Financials!X7/[2]Financials!X5</f>
        <v>0.6568037938328416</v>
      </c>
      <c r="Z25" s="138">
        <f>[2]Financials!Y7/[2]Financials!Y5</f>
        <v>0.69401769088682674</v>
      </c>
      <c r="AA25" s="138">
        <f>[2]Financials!Z7/[2]Financials!Z5</f>
        <v>0.65754400077843589</v>
      </c>
      <c r="AB25" s="138">
        <f>[2]Financials!AA7/[2]Financials!AA5</f>
        <v>0.67072516401900806</v>
      </c>
      <c r="AC25" s="138">
        <f>[2]Financials!AB7/[2]Financials!AB5</f>
        <v>0.6743246093270745</v>
      </c>
      <c r="AD25" s="138">
        <f>[2]Financials!AC7/[2]Financials!AC5</f>
        <v>0.66007715214860818</v>
      </c>
      <c r="AE25" s="138">
        <f>[2]Financials!AD7/[2]Financials!AD5</f>
        <v>0.6593587906855507</v>
      </c>
      <c r="AF25" s="138">
        <f>[2]Financials!AE7/[2]Financials!AE5</f>
        <v>0.64321696156112651</v>
      </c>
      <c r="AG25" s="138">
        <f>[2]Financials!AF7/[2]Financials!AF5</f>
        <v>0.64424728913629481</v>
      </c>
      <c r="AH25" s="138">
        <f>[2]Financials!AG7/[2]Financials!AG5</f>
        <v>0.6449202708769729</v>
      </c>
      <c r="AI25" s="138">
        <f>[2]Financials!AH7/[2]Financials!AH5</f>
        <v>0.63762351279626184</v>
      </c>
      <c r="AJ25" s="138">
        <f>[2]Financials!AI7/[2]Financials!AI5</f>
        <v>0.6253469274345419</v>
      </c>
      <c r="AK25" s="138" t="e">
        <f>Financials!D6/Financials!D4</f>
        <v>#REF!</v>
      </c>
      <c r="AL25" s="138" t="e">
        <f>Financials!E6/Financials!E4</f>
        <v>#REF!</v>
      </c>
      <c r="AM25" s="138" t="e">
        <f>Financials!F6/Financials!F4</f>
        <v>#REF!</v>
      </c>
      <c r="AN25" s="138" t="e">
        <f>Financials!G6/Financials!G4</f>
        <v>#REF!</v>
      </c>
      <c r="AO25" s="138" t="e">
        <f>Financials!H6/Financials!H4</f>
        <v>#REF!</v>
      </c>
      <c r="AP25" s="138" t="e">
        <f>Financials!I6/Financials!I4</f>
        <v>#REF!</v>
      </c>
      <c r="AQ25" s="138" t="e">
        <f>Financials!J6/Financials!J4</f>
        <v>#REF!</v>
      </c>
      <c r="AR25" s="138" t="e">
        <f>Financials!K6/Financials!K4</f>
        <v>#REF!</v>
      </c>
      <c r="AS25" s="138" t="e">
        <f>Financials!L6/Financials!L4</f>
        <v>#REF!</v>
      </c>
      <c r="AT25" s="138" t="e">
        <f>Financials!M6/Financials!M4</f>
        <v>#REF!</v>
      </c>
      <c r="AU25" s="138" t="e">
        <f>Financials!N6/Financials!N4</f>
        <v>#REF!</v>
      </c>
      <c r="AV25" s="138" t="e">
        <f>Financials!O6/Financials!O4</f>
        <v>#REF!</v>
      </c>
      <c r="AW25" s="138" t="e">
        <f>Financials!P6/Financials!P4</f>
        <v>#REF!</v>
      </c>
      <c r="AX25" s="138" t="e">
        <f>Financials!Q6/Financials!Q4</f>
        <v>#REF!</v>
      </c>
      <c r="AY25" s="138" t="e">
        <f>Financials!R6/Financials!R4</f>
        <v>#REF!</v>
      </c>
      <c r="AZ25" s="138" t="e">
        <f>Financials!S6/Financials!S4</f>
        <v>#REF!</v>
      </c>
      <c r="BA25" s="138" t="e">
        <f>Financials!T6/Financials!T4</f>
        <v>#REF!</v>
      </c>
      <c r="BB25" s="138" t="e">
        <f>Financials!U6/Financials!U4</f>
        <v>#REF!</v>
      </c>
      <c r="BC25" s="138" t="e">
        <f>Financials!V6/Financials!V4</f>
        <v>#REF!</v>
      </c>
      <c r="BD25" s="138" t="e">
        <f>Financials!W6/Financials!W4</f>
        <v>#REF!</v>
      </c>
      <c r="BE25" s="138" t="e">
        <f>Financials!X6/Financials!X4</f>
        <v>#REF!</v>
      </c>
      <c r="BF25" s="138" t="e">
        <f>Financials!Y6/Financials!Y4</f>
        <v>#REF!</v>
      </c>
      <c r="BG25" s="138" t="e">
        <f>Financials!Z6/Financials!Z4</f>
        <v>#REF!</v>
      </c>
      <c r="BH25" s="138" t="e">
        <f>Financials!AA6/Financials!AA4</f>
        <v>#REF!</v>
      </c>
      <c r="BI25" s="138" t="e">
        <f>Financials!AB6/Financials!AB4</f>
        <v>#REF!</v>
      </c>
      <c r="BJ25" s="138" t="e">
        <f>Financials!AC6/Financials!AC4</f>
        <v>#REF!</v>
      </c>
      <c r="BK25" s="138" t="e">
        <f>Financials!AD6/Financials!AD4</f>
        <v>#REF!</v>
      </c>
      <c r="BL25" s="138" t="e">
        <f>Financials!AE6/Financials!AE4</f>
        <v>#REF!</v>
      </c>
      <c r="BM25" s="138" t="e">
        <f>Financials!AF6/Financials!AF4</f>
        <v>#REF!</v>
      </c>
      <c r="BN25" s="138" t="e">
        <f>Financials!AG6/Financials!AG4</f>
        <v>#REF!</v>
      </c>
      <c r="BO25" s="138" t="e">
        <f>Financials!AH6/Financials!AH4</f>
        <v>#REF!</v>
      </c>
      <c r="BP25" s="138" t="e">
        <f>Financials!AI6/Financials!AI4</f>
        <v>#REF!</v>
      </c>
      <c r="BQ25" s="138" t="e">
        <f>Financials!AJ6/Financials!AJ4</f>
        <v>#REF!</v>
      </c>
      <c r="BR25" s="138" t="e">
        <f>Financials!AK6/Financials!AK4</f>
        <v>#REF!</v>
      </c>
      <c r="BS25" s="138" t="e">
        <f>Financials!AL6/Financials!AL4</f>
        <v>#REF!</v>
      </c>
      <c r="BT25" s="138" t="e">
        <f>Financials!AM6/Financials!AM4</f>
        <v>#REF!</v>
      </c>
      <c r="BU25" s="138" t="e">
        <f>Financials!AN6/Financials!AN4</f>
        <v>#REF!</v>
      </c>
      <c r="BV25" s="138" t="e">
        <f>Financials!AO6/Financials!AO4</f>
        <v>#REF!</v>
      </c>
      <c r="BW25" s="138" t="e">
        <f>Financials!AP6/Financials!AP4</f>
        <v>#REF!</v>
      </c>
      <c r="BX25" s="138" t="e">
        <f>Financials!AQ6/Financials!AQ4</f>
        <v>#REF!</v>
      </c>
      <c r="BY25" s="138" t="e">
        <f>Financials!AR6/Financials!AR4</f>
        <v>#REF!</v>
      </c>
      <c r="BZ25" s="138">
        <f>Financials!AS6/Financials!AS4</f>
        <v>0.55204630386328279</v>
      </c>
      <c r="CA25" s="138">
        <f>Financials!AT6/Financials!AT4</f>
        <v>0.50927113834905058</v>
      </c>
      <c r="CB25" s="138">
        <f>Financials!AU6/Financials!AU4</f>
        <v>0.49849171691012628</v>
      </c>
      <c r="CC25" s="138">
        <f>Financials!AV6/Financials!AV4</f>
        <v>0.51885930775541145</v>
      </c>
      <c r="CD25" s="138">
        <f>Financials!AW6/Financials!AW4</f>
        <v>0.52309731583707453</v>
      </c>
      <c r="CE25" s="138">
        <f>Financials!AX6/Financials!AX4</f>
        <v>0.50976571325293618</v>
      </c>
      <c r="CF25" s="138">
        <f>Financials!AY6/Financials!AY4</f>
        <v>0.51952386059682099</v>
      </c>
      <c r="CG25" s="138" t="e">
        <f>Financials!AZ6/Financials!AZ4</f>
        <v>#REF!</v>
      </c>
      <c r="CH25" s="138">
        <f>Financials!BA6/Financials!BA4</f>
        <v>0.50936923203418749</v>
      </c>
      <c r="CI25" s="138">
        <f>Financials!BB6/Financials!BB4</f>
        <v>0.51513746826287754</v>
      </c>
      <c r="CJ25" s="138">
        <f>Financials!BC6/Financials!BC4</f>
        <v>0.53785767681631313</v>
      </c>
      <c r="CK25" s="138">
        <f>Financials!BD6/Financials!BD4</f>
        <v>0.52021145817490344</v>
      </c>
      <c r="CL25" s="138">
        <f>Financials!BE6/Financials!BE4</f>
        <v>0.56222042776978864</v>
      </c>
      <c r="CM25" s="138">
        <f>Financials!BF6/Financials!BF4</f>
        <v>0.56232846373811474</v>
      </c>
      <c r="CN25" s="138">
        <f>Financials!BG6/Financials!BG4</f>
        <v>0.56837853271129446</v>
      </c>
      <c r="CO25" s="138">
        <f>Financials!BH6/Financials!BH4</f>
        <v>0.57166634000048588</v>
      </c>
      <c r="CP25" s="138">
        <f>Financials!BI6/Financials!BI4</f>
        <v>0.55693626060318191</v>
      </c>
      <c r="CQ25" s="138">
        <f>Financials!BJ6/Financials!BJ4</f>
        <v>0.57144129716312819</v>
      </c>
      <c r="CR25" s="138">
        <f>Financials!BK6/Financials!BK4</f>
        <v>0.56902026979769749</v>
      </c>
      <c r="CS25" s="138">
        <f>Financials!BL6/Financials!BL4</f>
        <v>0.57834510976689912</v>
      </c>
      <c r="CT25" s="138">
        <f>Financials!BM6/Financials!BM4</f>
        <v>0.54533699441003303</v>
      </c>
      <c r="CU25" s="138">
        <f>Financials!BN6/Financials!BN4</f>
        <v>0.54526795828817642</v>
      </c>
      <c r="CV25" s="138">
        <f>Financials!BO6/Financials!BO4</f>
        <v>0.56519881873412459</v>
      </c>
      <c r="CW25" s="138">
        <f>Financials!BP6/Financials!BP4</f>
        <v>0.54788295155995315</v>
      </c>
      <c r="CX25" s="138">
        <f>Financials!BQ6/Financials!BQ4</f>
        <v>0.52888148500802146</v>
      </c>
      <c r="CY25" s="138">
        <f>Financials!BR6/Financials!BR4</f>
        <v>0.5497551071021336</v>
      </c>
      <c r="CZ25" s="138">
        <f>Financials!BS6/Financials!BS4</f>
        <v>0.54817581070344545</v>
      </c>
      <c r="DA25" s="138" t="e">
        <f>Financials!CF6/Financials!CF4</f>
        <v>#DIV/0!</v>
      </c>
      <c r="DB25" s="138">
        <f>Financials!CG6/Financials!CG4</f>
        <v>0.55814893892304729</v>
      </c>
      <c r="DC25" s="138">
        <f>Financials!CH6/Financials!CH4</f>
        <v>0.55861839950331926</v>
      </c>
      <c r="DD25" s="138">
        <f>Financials!CI6/Financials!CI4</f>
        <v>0.54872808455063593</v>
      </c>
      <c r="DE25" s="138">
        <f>Financials!CJ6/Financials!CJ4</f>
        <v>0.56277203411409848</v>
      </c>
      <c r="DF25" s="138">
        <f>Financials!CK6/Financials!CK4</f>
        <v>0.56328675065778155</v>
      </c>
      <c r="DG25" s="138">
        <f>Financials!CL6/Financials!CL4</f>
        <v>0.56334800894243642</v>
      </c>
      <c r="DH25" s="138">
        <f>Financials!CM6/Financials!CM4</f>
        <v>0.56229553375457375</v>
      </c>
      <c r="DI25" s="138">
        <f>Financials!CN6/Financials!CN4</f>
        <v>0.55463642562169968</v>
      </c>
      <c r="DJ25" s="138">
        <f>Financials!CO6/Financials!CO4</f>
        <v>0.55517832388272004</v>
      </c>
    </row>
    <row r="26" spans="1:114" s="104" customFormat="1" ht="12.75">
      <c r="A26" s="135" t="s">
        <v>224</v>
      </c>
      <c r="B26" s="136" t="s">
        <v>354</v>
      </c>
      <c r="C26" s="137"/>
      <c r="D26" s="138" t="e">
        <f>[2]Financials!C8/[2]Financials!C5</f>
        <v>#DIV/0!</v>
      </c>
      <c r="E26" s="138" t="e">
        <f>[2]Financials!D8/[2]Financials!D5</f>
        <v>#DIV/0!</v>
      </c>
      <c r="F26" s="138" t="e">
        <f>[2]Financials!E8/[2]Financials!E5</f>
        <v>#DIV/0!</v>
      </c>
      <c r="G26" s="138" t="e">
        <f>[2]Financials!F8/[2]Financials!F5</f>
        <v>#DIV/0!</v>
      </c>
      <c r="H26" s="138" t="e">
        <f>[2]Financials!G8/[2]Financials!G5</f>
        <v>#DIV/0!</v>
      </c>
      <c r="I26" s="138" t="e">
        <f>[2]Financials!H8/[2]Financials!H5</f>
        <v>#DIV/0!</v>
      </c>
      <c r="J26" s="138" t="e">
        <f>[2]Financials!I8/[2]Financials!I5</f>
        <v>#DIV/0!</v>
      </c>
      <c r="K26" s="138">
        <f>[2]Financials!J8/[2]Financials!J5</f>
        <v>5.8152003180503002E-2</v>
      </c>
      <c r="L26" s="138">
        <f>[2]Financials!K8/[2]Financials!K5</f>
        <v>5.5714644872140048E-2</v>
      </c>
      <c r="M26" s="138">
        <f>[2]Financials!L8/[2]Financials!L5</f>
        <v>5.3062283032235438E-2</v>
      </c>
      <c r="N26" s="138">
        <f>[2]Financials!M8/[2]Financials!M5</f>
        <v>5.0734851688815016E-2</v>
      </c>
      <c r="O26" s="138">
        <f>[2]Financials!N8/[2]Financials!N5</f>
        <v>0.10417337817495065</v>
      </c>
      <c r="P26" s="138">
        <f>[2]Financials!O8/[2]Financials!O5</f>
        <v>5.8747400205015329E-2</v>
      </c>
      <c r="Q26" s="138">
        <f>[2]Financials!P8/[2]Financials!P5</f>
        <v>5.4806645019301499E-2</v>
      </c>
      <c r="R26" s="138">
        <f>[2]Financials!Q8/[2]Financials!Q5</f>
        <v>5.4037088465768511E-2</v>
      </c>
      <c r="S26" s="138">
        <f>[2]Financials!R8/[2]Financials!R5</f>
        <v>5.4919296402413324E-2</v>
      </c>
      <c r="T26" s="138">
        <f>[2]Financials!S8/[2]Financials!S5</f>
        <v>5.1583130070765544E-2</v>
      </c>
      <c r="U26" s="138">
        <f>[2]Financials!T8/[2]Financials!T5</f>
        <v>5.3336625824588917E-2</v>
      </c>
      <c r="V26" s="138">
        <f>[2]Financials!U8/[2]Financials!U5</f>
        <v>5.5176048480097807E-2</v>
      </c>
      <c r="W26" s="138">
        <f>[2]Financials!V8/[2]Financials!V5</f>
        <v>5.4354561076891586E-2</v>
      </c>
      <c r="X26" s="138">
        <f>[2]Financials!W8/[2]Financials!W5</f>
        <v>5.5099519293896358E-2</v>
      </c>
      <c r="Y26" s="138">
        <f>[2]Financials!X8/[2]Financials!X5</f>
        <v>5.625828194997682E-2</v>
      </c>
      <c r="Z26" s="138">
        <f>[2]Financials!Y8/[2]Financials!Y5</f>
        <v>5.4023477019019522E-2</v>
      </c>
      <c r="AA26" s="138">
        <f>[2]Financials!Z8/[2]Financials!Z5</f>
        <v>4.778261739258028E-2</v>
      </c>
      <c r="AB26" s="138">
        <f>[2]Financials!AA8/[2]Financials!AA5</f>
        <v>7.6192217889089101E-2</v>
      </c>
      <c r="AC26" s="138">
        <f>[2]Financials!AB8/[2]Financials!AB5</f>
        <v>5.3928134457522911E-2</v>
      </c>
      <c r="AD26" s="138">
        <f>[2]Financials!AC8/[2]Financials!AC5</f>
        <v>5.1859183298012125E-2</v>
      </c>
      <c r="AE26" s="138">
        <f>[2]Financials!AD8/[2]Financials!AD5</f>
        <v>5.3479565112493653E-2</v>
      </c>
      <c r="AF26" s="138">
        <f>[2]Financials!AE8/[2]Financials!AE5</f>
        <v>5.2954375212962534E-2</v>
      </c>
      <c r="AG26" s="138">
        <f>[2]Financials!AF8/[2]Financials!AF5</f>
        <v>5.0953480674579318E-2</v>
      </c>
      <c r="AH26" s="138">
        <f>[2]Financials!AG8/[2]Financials!AG5</f>
        <v>5.2202253268735024E-2</v>
      </c>
      <c r="AI26" s="138">
        <f>[2]Financials!AH8/[2]Financials!AH5</f>
        <v>5.1513239065268744E-2</v>
      </c>
      <c r="AJ26" s="138">
        <f>[2]Financials!AI8/[2]Financials!AI5</f>
        <v>5.2811566819615068E-2</v>
      </c>
      <c r="AK26" s="138" t="e">
        <f>Financials!D7/Financials!D4</f>
        <v>#REF!</v>
      </c>
      <c r="AL26" s="138" t="e">
        <f>Financials!E7/Financials!E4</f>
        <v>#REF!</v>
      </c>
      <c r="AM26" s="138" t="e">
        <f>Financials!F7/Financials!F4</f>
        <v>#REF!</v>
      </c>
      <c r="AN26" s="138" t="e">
        <f>Financials!G7/Financials!G4</f>
        <v>#REF!</v>
      </c>
      <c r="AO26" s="138" t="e">
        <f>Financials!H7/Financials!H4</f>
        <v>#REF!</v>
      </c>
      <c r="AP26" s="138" t="e">
        <f>Financials!I7/Financials!I4</f>
        <v>#REF!</v>
      </c>
      <c r="AQ26" s="138" t="e">
        <f>Financials!J7/Financials!J4</f>
        <v>#REF!</v>
      </c>
      <c r="AR26" s="138" t="e">
        <f>Financials!K7/Financials!K4</f>
        <v>#REF!</v>
      </c>
      <c r="AS26" s="138" t="e">
        <f>Financials!L7/Financials!L4</f>
        <v>#REF!</v>
      </c>
      <c r="AT26" s="138" t="e">
        <f>Financials!M7/Financials!M4</f>
        <v>#REF!</v>
      </c>
      <c r="AU26" s="138" t="e">
        <f>Financials!N7/Financials!N4</f>
        <v>#REF!</v>
      </c>
      <c r="AV26" s="138" t="e">
        <f>Financials!O7/Financials!O4</f>
        <v>#REF!</v>
      </c>
      <c r="AW26" s="138" t="e">
        <f>Financials!P7/Financials!P4</f>
        <v>#REF!</v>
      </c>
      <c r="AX26" s="138" t="e">
        <f>Financials!Q7/Financials!Q4</f>
        <v>#REF!</v>
      </c>
      <c r="AY26" s="138" t="e">
        <f>Financials!R7/Financials!R4</f>
        <v>#REF!</v>
      </c>
      <c r="AZ26" s="138" t="e">
        <f>Financials!S7/Financials!S4</f>
        <v>#REF!</v>
      </c>
      <c r="BA26" s="138" t="e">
        <f>Financials!T7/Financials!T4</f>
        <v>#REF!</v>
      </c>
      <c r="BB26" s="138" t="e">
        <f>Financials!U7/Financials!U4</f>
        <v>#REF!</v>
      </c>
      <c r="BC26" s="138" t="e">
        <f>Financials!V7/Financials!V4</f>
        <v>#REF!</v>
      </c>
      <c r="BD26" s="138" t="e">
        <f>Financials!W7/Financials!W4</f>
        <v>#REF!</v>
      </c>
      <c r="BE26" s="138" t="e">
        <f>Financials!X7/Financials!X4</f>
        <v>#REF!</v>
      </c>
      <c r="BF26" s="138" t="e">
        <f>Financials!Y7/Financials!Y4</f>
        <v>#REF!</v>
      </c>
      <c r="BG26" s="138" t="e">
        <f>Financials!Z7/Financials!Z4</f>
        <v>#REF!</v>
      </c>
      <c r="BH26" s="138" t="e">
        <f>Financials!AA7/Financials!AA4</f>
        <v>#REF!</v>
      </c>
      <c r="BI26" s="138" t="e">
        <f>Financials!AB7/Financials!AB4</f>
        <v>#REF!</v>
      </c>
      <c r="BJ26" s="138" t="e">
        <f>Financials!AC7/Financials!AC4</f>
        <v>#REF!</v>
      </c>
      <c r="BK26" s="138" t="e">
        <f>Financials!AD7/Financials!AD4</f>
        <v>#REF!</v>
      </c>
      <c r="BL26" s="138" t="e">
        <f>Financials!AE7/Financials!AE4</f>
        <v>#REF!</v>
      </c>
      <c r="BM26" s="138" t="e">
        <f>Financials!AF7/Financials!AF4</f>
        <v>#REF!</v>
      </c>
      <c r="BN26" s="138" t="e">
        <f>Financials!AG7/Financials!AG4</f>
        <v>#REF!</v>
      </c>
      <c r="BO26" s="138" t="e">
        <f>Financials!AH7/Financials!AH4</f>
        <v>#REF!</v>
      </c>
      <c r="BP26" s="138" t="e">
        <f>Financials!AI7/Financials!AI4</f>
        <v>#REF!</v>
      </c>
      <c r="BQ26" s="138" t="e">
        <f>Financials!AJ7/Financials!AJ4</f>
        <v>#REF!</v>
      </c>
      <c r="BR26" s="138" t="e">
        <f>Financials!AK7/Financials!AK4</f>
        <v>#REF!</v>
      </c>
      <c r="BS26" s="138" t="e">
        <f>Financials!AL7/Financials!AL4</f>
        <v>#REF!</v>
      </c>
      <c r="BT26" s="138" t="e">
        <f>Financials!AM7/Financials!AM4</f>
        <v>#REF!</v>
      </c>
      <c r="BU26" s="138" t="e">
        <f>Financials!AN7/Financials!AN4</f>
        <v>#REF!</v>
      </c>
      <c r="BV26" s="138" t="e">
        <f>Financials!AO7/Financials!AO4</f>
        <v>#REF!</v>
      </c>
      <c r="BW26" s="138" t="e">
        <f>Financials!AP7/Financials!AP4</f>
        <v>#REF!</v>
      </c>
      <c r="BX26" s="138" t="e">
        <f>Financials!AQ7/Financials!AQ4</f>
        <v>#REF!</v>
      </c>
      <c r="BY26" s="138" t="e">
        <f>Financials!AR7/Financials!AR4</f>
        <v>#REF!</v>
      </c>
      <c r="BZ26" s="138">
        <f>Financials!AS7/Financials!AS4</f>
        <v>0.11930517807795137</v>
      </c>
      <c r="CA26" s="138">
        <f>Financials!AT7/Financials!AT4</f>
        <v>0.13898040500675657</v>
      </c>
      <c r="CB26" s="138">
        <f>Financials!AU7/Financials!AU4</f>
        <v>0.15353105849789855</v>
      </c>
      <c r="CC26" s="138">
        <f>Financials!AV7/Financials!AV4</f>
        <v>0.11696500210097351</v>
      </c>
      <c r="CD26" s="138">
        <f>Financials!AW7/Financials!AW4</f>
        <v>0.1399591392533874</v>
      </c>
      <c r="CE26" s="138">
        <f>Financials!AX7/Financials!AX4</f>
        <v>0.15918329527603176</v>
      </c>
      <c r="CF26" s="138">
        <f>Financials!AY7/Financials!AY4</f>
        <v>0.14088102769266309</v>
      </c>
      <c r="CG26" s="138" t="e">
        <f>Financials!AZ7/Financials!AZ4</f>
        <v>#REF!</v>
      </c>
      <c r="CH26" s="138">
        <f>Financials!BA7/Financials!BA4</f>
        <v>0.15172898892350137</v>
      </c>
      <c r="CI26" s="138">
        <f>Financials!BB7/Financials!BB4</f>
        <v>0.14316877165699435</v>
      </c>
      <c r="CJ26" s="138">
        <f>Financials!BC7/Financials!BC4</f>
        <v>0.14702382555168136</v>
      </c>
      <c r="CK26" s="138">
        <f>Financials!BD7/Financials!BD4</f>
        <v>0.17043170097047683</v>
      </c>
      <c r="CL26" s="138">
        <f>Financials!BE7/Financials!BE4</f>
        <v>0.10130700547906463</v>
      </c>
      <c r="CM26" s="138">
        <f>Financials!BF7/Financials!BF4</f>
        <v>0.10132648275702341</v>
      </c>
      <c r="CN26" s="138">
        <f>Financials!BG7/Financials!BG4</f>
        <v>9.7972722493343364E-2</v>
      </c>
      <c r="CO26" s="138">
        <f>Financials!BH7/Financials!BH4</f>
        <v>9.028733866949358E-2</v>
      </c>
      <c r="CP26" s="138">
        <f>Financials!BI7/Financials!BI4</f>
        <v>0.11549950036222255</v>
      </c>
      <c r="CQ26" s="138">
        <f>Financials!BJ7/Financials!BJ4</f>
        <v>0.12728261892042605</v>
      </c>
      <c r="CR26" s="138">
        <f>Financials!BK7/Financials!BK4</f>
        <v>0.12992816774612412</v>
      </c>
      <c r="CS26" s="138">
        <f>Financials!BL7/Financials!BL4</f>
        <v>0.11968733313779058</v>
      </c>
      <c r="CT26" s="138">
        <f>Financials!BM7/Financials!BM4</f>
        <v>0.1620174691411119</v>
      </c>
      <c r="CU26" s="138">
        <f>Financials!BN7/Financials!BN4</f>
        <v>0.15958454374689876</v>
      </c>
      <c r="CV26" s="138">
        <f>Financials!BO7/Financials!BO4</f>
        <v>0.11874621794913179</v>
      </c>
      <c r="CW26" s="138">
        <f>Financials!BP7/Financials!BP4</f>
        <v>0.13570995766886548</v>
      </c>
      <c r="CX26" s="138">
        <f>Financials!BQ7/Financials!BQ4</f>
        <v>0.16560464677229353</v>
      </c>
      <c r="CY26" s="138">
        <f>Financials!BR7/Financials!BR4</f>
        <v>0.12843079915257244</v>
      </c>
      <c r="CZ26" s="138">
        <f>Financials!BS7/Financials!BS4</f>
        <v>0.12304193607349968</v>
      </c>
      <c r="DA26" s="138" t="e">
        <f>Financials!CF7/Financials!CF4</f>
        <v>#DIV/0!</v>
      </c>
      <c r="DB26" s="138">
        <f>Financials!CG7/Financials!CG4</f>
        <v>0.11510212761182735</v>
      </c>
      <c r="DC26" s="138">
        <f>Financials!CH7/Financials!CH4</f>
        <v>0.11319580248420835</v>
      </c>
      <c r="DD26" s="138">
        <f>Financials!CI7/Financials!CI4</f>
        <v>0.11459766093889648</v>
      </c>
      <c r="DE26" s="138">
        <f>Financials!CJ7/Financials!CJ4</f>
        <v>0.13212404253874518</v>
      </c>
      <c r="DF26" s="138">
        <f>Financials!CK7/Financials!CK4</f>
        <v>0.12012398738918167</v>
      </c>
      <c r="DG26" s="138">
        <f>Financials!CL7/Financials!CL4</f>
        <v>0.12259123309576098</v>
      </c>
      <c r="DH26" s="138">
        <f>Financials!CM7/Financials!CM4</f>
        <v>0.11363744010499348</v>
      </c>
      <c r="DI26" s="138">
        <f>Financials!CN7/Financials!CN4</f>
        <v>0.11899193802502971</v>
      </c>
      <c r="DJ26" s="138">
        <f>Financials!CO7/Financials!CO4</f>
        <v>0.11053572213969956</v>
      </c>
    </row>
    <row r="27" spans="1:114" s="104" customFormat="1" ht="12.75">
      <c r="A27" s="127" t="s">
        <v>355</v>
      </c>
      <c r="B27" s="122" t="s">
        <v>356</v>
      </c>
      <c r="C27" s="123">
        <v>35.1</v>
      </c>
      <c r="D27" s="126" t="e">
        <f>[2]Financials!C9/[2]Financials!C5</f>
        <v>#DIV/0!</v>
      </c>
      <c r="E27" s="126" t="e">
        <f>[2]Financials!D9/[2]Financials!D5</f>
        <v>#DIV/0!</v>
      </c>
      <c r="F27" s="126" t="e">
        <f>[2]Financials!E9/[2]Financials!E5</f>
        <v>#DIV/0!</v>
      </c>
      <c r="G27" s="126" t="e">
        <f>[2]Financials!F9/[2]Financials!F5</f>
        <v>#DIV/0!</v>
      </c>
      <c r="H27" s="126" t="e">
        <f>[2]Financials!G9/[2]Financials!G5</f>
        <v>#DIV/0!</v>
      </c>
      <c r="I27" s="126" t="e">
        <f>[2]Financials!H9/[2]Financials!H5</f>
        <v>#DIV/0!</v>
      </c>
      <c r="J27" s="126" t="e">
        <f>[2]Financials!I9/[2]Financials!I5</f>
        <v>#DIV/0!</v>
      </c>
      <c r="K27" s="126">
        <f>[2]Financials!J9/[2]Financials!J5</f>
        <v>0</v>
      </c>
      <c r="L27" s="126">
        <f>[2]Financials!K9/[2]Financials!K5</f>
        <v>0</v>
      </c>
      <c r="M27" s="126">
        <f>[2]Financials!L9/[2]Financials!L5</f>
        <v>0</v>
      </c>
      <c r="N27" s="126">
        <f>[2]Financials!M9/[2]Financials!M5</f>
        <v>1.9864314992762137E-2</v>
      </c>
      <c r="O27" s="126">
        <f>[2]Financials!N9/[2]Financials!N5</f>
        <v>1.8660725154358074E-2</v>
      </c>
      <c r="P27" s="126">
        <f>[2]Financials!O9/[2]Financials!O5</f>
        <v>3.2930809298960383E-2</v>
      </c>
      <c r="Q27" s="126">
        <f>[2]Financials!P9/[2]Financials!P5</f>
        <v>3.1496616099412907E-2</v>
      </c>
      <c r="R27" s="126">
        <f>[2]Financials!Q9/[2]Financials!Q5</f>
        <v>3.3932371486642597E-2</v>
      </c>
      <c r="S27" s="126">
        <f>[2]Financials!R9/[2]Financials!R5</f>
        <v>4.0245800183045334E-2</v>
      </c>
      <c r="T27" s="126">
        <f>[2]Financials!S9/[2]Financials!S5</f>
        <v>3.3979850099658357E-2</v>
      </c>
      <c r="U27" s="126">
        <f>[2]Financials!T9/[2]Financials!T5</f>
        <v>3.8363392285623618E-2</v>
      </c>
      <c r="V27" s="126">
        <f>[2]Financials!U9/[2]Financials!U5</f>
        <v>3.5647070386349386E-2</v>
      </c>
      <c r="W27" s="126">
        <f>[2]Financials!V9/[2]Financials!V5</f>
        <v>3.4606635914932217E-2</v>
      </c>
      <c r="X27" s="126">
        <f>[2]Financials!W9/[2]Financials!W5</f>
        <v>3.564867379494345E-2</v>
      </c>
      <c r="Y27" s="126">
        <f>[2]Financials!X9/[2]Financials!X5</f>
        <v>4.8332972171897054E-2</v>
      </c>
      <c r="Z27" s="126">
        <f>[2]Financials!Y9/[2]Financials!Y5</f>
        <v>5.0673025062338367E-2</v>
      </c>
      <c r="AA27" s="126">
        <f>[2]Financials!Z9/[2]Financials!Z5</f>
        <v>6.3640897470096061E-2</v>
      </c>
      <c r="AB27" s="126">
        <f>[2]Financials!AA9/[2]Financials!AA5</f>
        <v>6.1321381747327992E-2</v>
      </c>
      <c r="AC27" s="126">
        <f>[2]Financials!AB9/[2]Financials!AB5</f>
        <v>7.3656565394964402E-2</v>
      </c>
      <c r="AD27" s="126">
        <f>[2]Financials!AC9/[2]Financials!AC5</f>
        <v>8.4192206355501384E-2</v>
      </c>
      <c r="AE27" s="126">
        <f>[2]Financials!AD9/[2]Financials!AD5</f>
        <v>7.7637076717717315E-2</v>
      </c>
      <c r="AF27" s="126">
        <f>[2]Financials!AE9/[2]Financials!AE5</f>
        <v>9.1375156296051668E-2</v>
      </c>
      <c r="AG27" s="126">
        <f>[2]Financials!AF9/[2]Financials!AF5</f>
        <v>8.1274696171494173E-2</v>
      </c>
      <c r="AH27" s="126">
        <f>[2]Financials!AG9/[2]Financials!AG5</f>
        <v>7.3780862688869853E-2</v>
      </c>
      <c r="AI27" s="126">
        <f>[2]Financials!AH9/[2]Financials!AH5</f>
        <v>6.6851718651102232E-2</v>
      </c>
      <c r="AJ27" s="126">
        <f>[2]Financials!AI9/[2]Financials!AI5</f>
        <v>7.5183121499147118E-2</v>
      </c>
      <c r="AK27" s="126" t="e">
        <f>Financials!D8/Financials!D4</f>
        <v>#REF!</v>
      </c>
      <c r="AL27" s="126" t="e">
        <f>Financials!E8/Financials!E4</f>
        <v>#REF!</v>
      </c>
      <c r="AM27" s="126" t="e">
        <f>Financials!F8/Financials!F4</f>
        <v>#REF!</v>
      </c>
      <c r="AN27" s="126" t="e">
        <f>Financials!G8/Financials!G4</f>
        <v>#REF!</v>
      </c>
      <c r="AO27" s="126" t="e">
        <f>Financials!H8/Financials!H4</f>
        <v>#REF!</v>
      </c>
      <c r="AP27" s="126" t="e">
        <f>Financials!I8/Financials!I4</f>
        <v>#REF!</v>
      </c>
      <c r="AQ27" s="126" t="e">
        <f>Financials!J8/Financials!J4</f>
        <v>#REF!</v>
      </c>
      <c r="AR27" s="126" t="e">
        <f>Financials!K8/Financials!K4</f>
        <v>#REF!</v>
      </c>
      <c r="AS27" s="126" t="e">
        <f>Financials!L8/Financials!L4</f>
        <v>#REF!</v>
      </c>
      <c r="AT27" s="126" t="e">
        <f>Financials!M8/Financials!M4</f>
        <v>#REF!</v>
      </c>
      <c r="AU27" s="126" t="e">
        <f>Financials!N8/Financials!N4</f>
        <v>#REF!</v>
      </c>
      <c r="AV27" s="126" t="e">
        <f>Financials!O8/Financials!O4</f>
        <v>#REF!</v>
      </c>
      <c r="AW27" s="126" t="e">
        <f>Financials!P8/Financials!P4</f>
        <v>#REF!</v>
      </c>
      <c r="AX27" s="126" t="e">
        <f>Financials!Q8/Financials!Q4</f>
        <v>#REF!</v>
      </c>
      <c r="AY27" s="126" t="e">
        <f>Financials!R8/Financials!R4</f>
        <v>#REF!</v>
      </c>
      <c r="AZ27" s="126" t="e">
        <f>Financials!S8/Financials!S4</f>
        <v>#REF!</v>
      </c>
      <c r="BA27" s="126" t="e">
        <f>Financials!T8/Financials!T4</f>
        <v>#REF!</v>
      </c>
      <c r="BB27" s="126" t="e">
        <f>Financials!U8/Financials!U4</f>
        <v>#REF!</v>
      </c>
      <c r="BC27" s="126" t="e">
        <f>Financials!V8/Financials!V4</f>
        <v>#REF!</v>
      </c>
      <c r="BD27" s="126" t="e">
        <f>Financials!W8/Financials!W4</f>
        <v>#REF!</v>
      </c>
      <c r="BE27" s="126" t="e">
        <f>Financials!X8/Financials!X4</f>
        <v>#REF!</v>
      </c>
      <c r="BF27" s="126" t="e">
        <f>Financials!Y8/Financials!Y4</f>
        <v>#REF!</v>
      </c>
      <c r="BG27" s="126" t="e">
        <f>Financials!Z8/Financials!Z4</f>
        <v>#REF!</v>
      </c>
      <c r="BH27" s="126" t="e">
        <f>Financials!AA8/Financials!AA4</f>
        <v>#REF!</v>
      </c>
      <c r="BI27" s="126" t="e">
        <f>Financials!AB8/Financials!AB4</f>
        <v>#REF!</v>
      </c>
      <c r="BJ27" s="126" t="e">
        <f>Financials!AC8/Financials!AC4</f>
        <v>#REF!</v>
      </c>
      <c r="BK27" s="126" t="e">
        <f>Financials!AD8/Financials!AD4</f>
        <v>#REF!</v>
      </c>
      <c r="BL27" s="126" t="e">
        <f>Financials!AE8/Financials!AE4</f>
        <v>#REF!</v>
      </c>
      <c r="BM27" s="126" t="e">
        <f>Financials!AF8/Financials!AF4</f>
        <v>#REF!</v>
      </c>
      <c r="BN27" s="126" t="e">
        <f>Financials!AG8/Financials!AG4</f>
        <v>#REF!</v>
      </c>
      <c r="BO27" s="126" t="e">
        <f>Financials!AH8/Financials!AH4</f>
        <v>#REF!</v>
      </c>
      <c r="BP27" s="126" t="e">
        <f>Financials!AI8/Financials!AI4</f>
        <v>#REF!</v>
      </c>
      <c r="BQ27" s="126" t="e">
        <f>Financials!AJ8/Financials!AJ4</f>
        <v>#REF!</v>
      </c>
      <c r="BR27" s="126" t="e">
        <f>Financials!AK8/Financials!AK4</f>
        <v>#REF!</v>
      </c>
      <c r="BS27" s="126" t="e">
        <f>Financials!AL8/Financials!AL4</f>
        <v>#REF!</v>
      </c>
      <c r="BT27" s="126" t="e">
        <f>Financials!AM8/Financials!AM4</f>
        <v>#REF!</v>
      </c>
      <c r="BU27" s="126" t="e">
        <f>Financials!AN8/Financials!AN4</f>
        <v>#REF!</v>
      </c>
      <c r="BV27" s="126" t="e">
        <f>Financials!AO8/Financials!AO4</f>
        <v>#REF!</v>
      </c>
      <c r="BW27" s="126" t="e">
        <f>Financials!AP8/Financials!AP4</f>
        <v>#REF!</v>
      </c>
      <c r="BX27" s="126" t="e">
        <f>Financials!AQ8/Financials!AQ4</f>
        <v>#REF!</v>
      </c>
      <c r="BY27" s="126" t="e">
        <f>Financials!AR8/Financials!AR4</f>
        <v>#REF!</v>
      </c>
      <c r="BZ27" s="126">
        <f>Financials!AS8/Financials!AS4</f>
        <v>0</v>
      </c>
      <c r="CA27" s="126">
        <f>Financials!AT8/Financials!AT4</f>
        <v>0</v>
      </c>
      <c r="CB27" s="126">
        <f>Financials!AU8/Financials!AU4</f>
        <v>0</v>
      </c>
      <c r="CC27" s="126">
        <f>Financials!AV8/Financials!AV4</f>
        <v>0</v>
      </c>
      <c r="CD27" s="126">
        <f>Financials!AW8/Financials!AW4</f>
        <v>0</v>
      </c>
      <c r="CE27" s="126">
        <f>Financials!AX8/Financials!AX4</f>
        <v>0</v>
      </c>
      <c r="CF27" s="126">
        <f>Financials!AY8/Financials!AY4</f>
        <v>0</v>
      </c>
      <c r="CG27" s="126" t="e">
        <f>Financials!AZ8/Financials!AZ4</f>
        <v>#REF!</v>
      </c>
      <c r="CH27" s="126">
        <f>Financials!BA8/Financials!BA4</f>
        <v>0</v>
      </c>
      <c r="CI27" s="126">
        <f>Financials!BB8/Financials!BB4</f>
        <v>0</v>
      </c>
      <c r="CJ27" s="126">
        <f>Financials!BC8/Financials!BC4</f>
        <v>0</v>
      </c>
      <c r="CK27" s="126">
        <f>Financials!BD8/Financials!BD4</f>
        <v>0</v>
      </c>
      <c r="CL27" s="126">
        <f>Financials!BE8/Financials!BE4</f>
        <v>0</v>
      </c>
      <c r="CM27" s="126">
        <f>Financials!BF8/Financials!BF4</f>
        <v>0</v>
      </c>
      <c r="CN27" s="126">
        <f>Financials!BG8/Financials!BG4</f>
        <v>0</v>
      </c>
      <c r="CO27" s="126">
        <f>Financials!BH8/Financials!BH4</f>
        <v>0</v>
      </c>
      <c r="CP27" s="126">
        <f>Financials!BI8/Financials!BI4</f>
        <v>0</v>
      </c>
      <c r="CQ27" s="126">
        <f>Financials!BJ8/Financials!BJ4</f>
        <v>0</v>
      </c>
      <c r="CR27" s="126">
        <f>Financials!BK8/Financials!BK4</f>
        <v>0</v>
      </c>
      <c r="CS27" s="126">
        <f>Financials!BL8/Financials!BL4</f>
        <v>0</v>
      </c>
      <c r="CT27" s="126">
        <f>Financials!BM8/Financials!BM4</f>
        <v>0</v>
      </c>
      <c r="CU27" s="126">
        <f>Financials!BN8/Financials!BN4</f>
        <v>0</v>
      </c>
      <c r="CV27" s="126">
        <f>Financials!BO8/Financials!BO4</f>
        <v>0</v>
      </c>
      <c r="CW27" s="126">
        <f>Financials!BP8/Financials!BP4</f>
        <v>0</v>
      </c>
      <c r="CX27" s="126">
        <f>Financials!BQ8/Financials!BQ4</f>
        <v>0</v>
      </c>
      <c r="CY27" s="126">
        <f>Financials!BR8/Financials!BR4</f>
        <v>0</v>
      </c>
      <c r="CZ27" s="126">
        <f>Financials!BS8/Financials!BS4</f>
        <v>0</v>
      </c>
      <c r="DA27" s="126" t="e">
        <f>Financials!CF8/Financials!CF4</f>
        <v>#DIV/0!</v>
      </c>
      <c r="DB27" s="126">
        <f>Financials!CG8/Financials!CG4</f>
        <v>0</v>
      </c>
      <c r="DC27" s="126">
        <f>Financials!CH8/Financials!CH4</f>
        <v>0</v>
      </c>
      <c r="DD27" s="126">
        <f>Financials!CI8/Financials!CI4</f>
        <v>0</v>
      </c>
      <c r="DE27" s="126">
        <f>Financials!CJ8/Financials!CJ4</f>
        <v>0</v>
      </c>
      <c r="DF27" s="126">
        <f>Financials!CK8/Financials!CK4</f>
        <v>0</v>
      </c>
      <c r="DG27" s="126">
        <f>Financials!CL8/Financials!CL4</f>
        <v>0</v>
      </c>
      <c r="DH27" s="126">
        <f>Financials!CM8/Financials!CM4</f>
        <v>0</v>
      </c>
      <c r="DI27" s="126">
        <f>Financials!CN8/Financials!CN4</f>
        <v>0</v>
      </c>
      <c r="DJ27" s="126">
        <f>Financials!CO8/Financials!CO4</f>
        <v>0</v>
      </c>
    </row>
    <row r="28" spans="1:114" s="104" customFormat="1" ht="12.75">
      <c r="A28" s="121"/>
      <c r="B28" s="139"/>
      <c r="C28" s="132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120"/>
      <c r="BG28" s="120"/>
      <c r="BH28" s="120"/>
      <c r="BI28" s="120"/>
      <c r="BJ28" s="120"/>
      <c r="BK28" s="120"/>
      <c r="BL28" s="120"/>
      <c r="BM28" s="120"/>
      <c r="BN28" s="120"/>
      <c r="BO28" s="120"/>
      <c r="BP28" s="120"/>
      <c r="BQ28" s="120"/>
      <c r="BR28" s="120"/>
      <c r="BS28" s="120"/>
      <c r="BT28" s="120"/>
      <c r="BU28" s="120"/>
      <c r="BV28" s="120"/>
      <c r="BW28" s="120"/>
      <c r="BX28" s="120"/>
      <c r="BY28" s="120"/>
      <c r="BZ28" s="120"/>
      <c r="CA28" s="120"/>
      <c r="CB28" s="120"/>
      <c r="CC28" s="120"/>
      <c r="CD28" s="120"/>
      <c r="CE28" s="120"/>
      <c r="CF28" s="120"/>
      <c r="CG28" s="120"/>
      <c r="CH28" s="120"/>
      <c r="CI28" s="120"/>
      <c r="CJ28" s="120"/>
      <c r="CK28" s="120"/>
      <c r="CL28" s="120"/>
      <c r="CM28" s="120"/>
      <c r="CN28" s="120"/>
      <c r="CO28" s="120"/>
      <c r="CP28" s="120"/>
      <c r="CQ28" s="120"/>
      <c r="CR28" s="120"/>
      <c r="CS28" s="120"/>
      <c r="CT28" s="120"/>
      <c r="CU28" s="120"/>
      <c r="CV28" s="120"/>
      <c r="CW28" s="120"/>
      <c r="CX28" s="120"/>
      <c r="CY28" s="120"/>
      <c r="CZ28" s="120"/>
      <c r="DA28" s="120"/>
      <c r="DB28" s="120"/>
      <c r="DC28" s="120"/>
      <c r="DD28" s="120"/>
      <c r="DE28" s="120"/>
      <c r="DF28" s="120"/>
      <c r="DG28" s="120"/>
      <c r="DH28" s="120"/>
      <c r="DI28" s="120"/>
      <c r="DJ28" s="120"/>
    </row>
    <row r="29" spans="1:114" s="104" customFormat="1" ht="12.75">
      <c r="A29" s="117" t="s">
        <v>357</v>
      </c>
      <c r="B29" s="118"/>
      <c r="C29" s="119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X29" s="133"/>
      <c r="BY29" s="133"/>
      <c r="BZ29" s="133"/>
      <c r="CA29" s="133"/>
      <c r="CB29" s="133"/>
      <c r="CC29" s="133"/>
      <c r="CD29" s="133"/>
      <c r="CE29" s="133"/>
      <c r="CF29" s="133"/>
      <c r="CG29" s="133"/>
      <c r="CH29" s="133"/>
      <c r="CI29" s="133"/>
      <c r="CJ29" s="133"/>
      <c r="CK29" s="133"/>
      <c r="CL29" s="133"/>
      <c r="CM29" s="133"/>
      <c r="CN29" s="133"/>
      <c r="CO29" s="133"/>
      <c r="CP29" s="133"/>
      <c r="CQ29" s="133"/>
      <c r="CR29" s="133"/>
      <c r="CS29" s="133"/>
      <c r="CT29" s="133"/>
      <c r="CU29" s="133"/>
      <c r="CV29" s="133"/>
      <c r="CW29" s="133"/>
      <c r="CX29" s="133"/>
      <c r="CY29" s="133"/>
      <c r="CZ29" s="133"/>
      <c r="DA29" s="133"/>
      <c r="DB29" s="133"/>
      <c r="DC29" s="133"/>
      <c r="DD29" s="133"/>
      <c r="DE29" s="133"/>
      <c r="DF29" s="133"/>
      <c r="DG29" s="133"/>
      <c r="DH29" s="133"/>
      <c r="DI29" s="133"/>
      <c r="DJ29" s="133"/>
    </row>
    <row r="30" spans="1:114" ht="12.75">
      <c r="A30" s="127" t="s">
        <v>35</v>
      </c>
      <c r="B30" s="131" t="s">
        <v>354</v>
      </c>
      <c r="C30" s="134"/>
      <c r="D30" s="140"/>
      <c r="E30" s="140" t="e">
        <f>[2]Financials!D5/[2]Financials!C5-1</f>
        <v>#DIV/0!</v>
      </c>
      <c r="F30" s="140" t="e">
        <f>[2]Financials!E5/[2]Financials!D5-1</f>
        <v>#DIV/0!</v>
      </c>
      <c r="G30" s="140" t="e">
        <f>[2]Financials!F5/[2]Financials!E5-1</f>
        <v>#DIV/0!</v>
      </c>
      <c r="H30" s="140" t="e">
        <f>[2]Financials!G5/[2]Financials!F5-1</f>
        <v>#DIV/0!</v>
      </c>
      <c r="I30" s="140" t="e">
        <f>[2]Financials!H5/[2]Financials!G5-1</f>
        <v>#DIV/0!</v>
      </c>
      <c r="J30" s="140" t="e">
        <f>[2]Financials!I5/[2]Financials!H5-1</f>
        <v>#DIV/0!</v>
      </c>
      <c r="K30" s="140" t="e">
        <f>[2]Financials!J5/[2]Financials!I5-1</f>
        <v>#DIV/0!</v>
      </c>
      <c r="L30" s="140">
        <f>[2]Financials!K5/[2]Financials!J5-1</f>
        <v>9.4685606608641892E-2</v>
      </c>
      <c r="M30" s="140">
        <f>[2]Financials!L5/[2]Financials!K5-1</f>
        <v>2.2709736500064359E-2</v>
      </c>
      <c r="N30" s="140">
        <f>[2]Financials!M5/[2]Financials!L5-1</f>
        <v>4.2976425051567846E-2</v>
      </c>
      <c r="O30" s="140">
        <f>[2]Financials!N5/[2]Financials!M5-1</f>
        <v>2.0144451892233795E-2</v>
      </c>
      <c r="P30" s="140">
        <f>[2]Financials!O5/[2]Financials!N5-1</f>
        <v>-1.4496283175528313E-2</v>
      </c>
      <c r="Q30" s="140">
        <f>[2]Financials!P5/[2]Financials!O5-1</f>
        <v>1.9396464599649166E-2</v>
      </c>
      <c r="R30" s="140">
        <f>[2]Financials!Q5/[2]Financials!P5-1</f>
        <v>2.2524429273093283E-2</v>
      </c>
      <c r="S30" s="140">
        <f>[2]Financials!R5/[2]Financials!Q5-1</f>
        <v>2.7728127309531558E-2</v>
      </c>
      <c r="T30" s="140">
        <f>[2]Financials!S5/[2]Financials!R5-1</f>
        <v>1.3467800333464064E-2</v>
      </c>
      <c r="U30" s="140">
        <f>[2]Financials!T5/[2]Financials!J5-1</f>
        <v>0.31536183814702268</v>
      </c>
      <c r="V30" s="140">
        <f>[2]Financials!U5/[2]Financials!T5-1</f>
        <v>1.9169050540817079E-2</v>
      </c>
      <c r="W30" s="140">
        <f>[2]Financials!V5/[2]Financials!U5-1</f>
        <v>9.9130064169861143E-3</v>
      </c>
      <c r="X30" s="140">
        <f>[2]Financials!W5/[2]Financials!V5-1</f>
        <v>-1.2938921563085848E-2</v>
      </c>
      <c r="Y30" s="140">
        <f>[2]Financials!X5/[2]Financials!W5-1</f>
        <v>5.1773090594585236E-2</v>
      </c>
      <c r="Z30" s="140">
        <f>[2]Financials!Y5/[2]Financials!X5-1</f>
        <v>-3.9163071039256536E-2</v>
      </c>
      <c r="AA30" s="140">
        <f>[2]Financials!Z5/[2]Financials!Y5-1</f>
        <v>6.7394190485795313E-2</v>
      </c>
      <c r="AB30" s="140">
        <f>[2]Financials!AA5/[2]Financials!Z5-1</f>
        <v>-7.9268515849093557E-3</v>
      </c>
      <c r="AC30" s="140">
        <f>[2]Financials!AB5/[2]Financials!AA5-1</f>
        <v>8.0667630014525926E-3</v>
      </c>
      <c r="AD30" s="140">
        <f>[2]Financials!AC5/[2]Financials!AB5-1</f>
        <v>3.7619442731231523E-2</v>
      </c>
      <c r="AE30" s="140">
        <f>[2]Financials!AD5/[2]Financials!AC5-1</f>
        <v>1.6965520604258044E-2</v>
      </c>
      <c r="AF30" s="140">
        <f>[2]Financials!AE5/[2]Financials!AD5-1</f>
        <v>4.407081120457268E-2</v>
      </c>
      <c r="AG30" s="140">
        <f>[2]Financials!AF5/[2]Financials!AE5-1</f>
        <v>1.7324245257151816E-2</v>
      </c>
      <c r="AH30" s="140">
        <f>[2]Financials!AG5/[2]Financials!AF5-1</f>
        <v>1.7358992499066694E-2</v>
      </c>
      <c r="AI30" s="140">
        <f>[2]Financials!AH5/[2]Financials!AG5-1</f>
        <v>2.9057852650161697E-2</v>
      </c>
      <c r="AJ30" s="140">
        <f>[2]Financials!AI5/[2]Financials!AH5-1</f>
        <v>3.6617580984559028E-2</v>
      </c>
      <c r="AK30" s="140"/>
      <c r="AL30" s="273" t="e">
        <f>(Financials!E4-Financials!#REF!)/Financials!#REF!</f>
        <v>#REF!</v>
      </c>
      <c r="AM30" s="273" t="e">
        <f>(Financials!F4-Financials!#REF!)/Financials!#REF!</f>
        <v>#REF!</v>
      </c>
      <c r="AN30" s="273" t="e">
        <f>(Financials!G4-Financials!#REF!)/Financials!#REF!</f>
        <v>#REF!</v>
      </c>
      <c r="AO30" s="273" t="e">
        <f>(Financials!H4-Financials!#REF!)/Financials!#REF!</f>
        <v>#REF!</v>
      </c>
      <c r="AP30" s="273" t="e">
        <f>(Financials!I4-Financials!#REF!)/Financials!#REF!</f>
        <v>#REF!</v>
      </c>
      <c r="AQ30" s="273" t="e">
        <f>(Financials!J4-Financials!#REF!)/Financials!#REF!</f>
        <v>#REF!</v>
      </c>
      <c r="AR30" s="273" t="e">
        <f>(Financials!K4-Financials!#REF!)/Financials!#REF!</f>
        <v>#REF!</v>
      </c>
      <c r="AS30" s="273" t="e">
        <f>(Financials!L4-Financials!#REF!)/Financials!#REF!</f>
        <v>#REF!</v>
      </c>
      <c r="AT30" s="273" t="e">
        <f>(Financials!M4-Financials!#REF!)/Financials!#REF!</f>
        <v>#REF!</v>
      </c>
      <c r="AU30" s="273" t="e">
        <f>(Financials!N4-Financials!A4)/Financials!A4</f>
        <v>#REF!</v>
      </c>
      <c r="AV30" s="273" t="e">
        <f>(Financials!O4-Financials!B4)/Financials!B4</f>
        <v>#REF!</v>
      </c>
      <c r="AW30" s="273" t="e">
        <f>(Financials!P4-Financials!C4)/Financials!C4</f>
        <v>#REF!</v>
      </c>
      <c r="AX30" s="273" t="e">
        <f>(Financials!Q4-Financials!D4)/Financials!D4</f>
        <v>#REF!</v>
      </c>
      <c r="AY30" s="273" t="e">
        <f>(Financials!R4-Financials!E4)/Financials!E4</f>
        <v>#REF!</v>
      </c>
      <c r="AZ30" s="273" t="e">
        <f>(Financials!S4-Financials!F4)/Financials!F4</f>
        <v>#REF!</v>
      </c>
      <c r="BA30" s="273" t="e">
        <f>(Financials!T4-Financials!G4)/Financials!G4</f>
        <v>#REF!</v>
      </c>
      <c r="BB30" s="273" t="e">
        <f>(Financials!U4-Financials!H4)/Financials!H4</f>
        <v>#REF!</v>
      </c>
      <c r="BC30" s="273" t="e">
        <f>(Financials!V4-Financials!I4)/Financials!I4</f>
        <v>#REF!</v>
      </c>
      <c r="BD30" s="273" t="e">
        <f>(Financials!W4-Financials!J4)/Financials!J4</f>
        <v>#REF!</v>
      </c>
      <c r="BE30" s="273" t="e">
        <f>(Financials!X4-Financials!K4)/Financials!K4</f>
        <v>#REF!</v>
      </c>
      <c r="BF30" s="273" t="e">
        <f>(Financials!Y4-Financials!L4)/Financials!L4</f>
        <v>#REF!</v>
      </c>
      <c r="BG30" s="273" t="e">
        <f>(Financials!Z4-Financials!M4)/Financials!M4</f>
        <v>#REF!</v>
      </c>
      <c r="BH30" s="273" t="e">
        <f>(Financials!AA4-Financials!N4)/Financials!N4</f>
        <v>#REF!</v>
      </c>
      <c r="BI30" s="273" t="e">
        <f>(Financials!AB4-Financials!O4)/Financials!O4</f>
        <v>#REF!</v>
      </c>
      <c r="BJ30" s="273" t="e">
        <f>(Financials!AC4-Financials!P4)/Financials!P4</f>
        <v>#REF!</v>
      </c>
      <c r="BK30" s="273" t="e">
        <f>(Financials!AD4-Financials!Q4)/Financials!Q4</f>
        <v>#REF!</v>
      </c>
      <c r="BL30" s="273" t="e">
        <f>(Financials!AE4-Financials!R4)/Financials!R4</f>
        <v>#REF!</v>
      </c>
      <c r="BM30" s="273" t="e">
        <f>(Financials!AF4-Financials!S4)/Financials!S4</f>
        <v>#REF!</v>
      </c>
      <c r="BN30" s="273" t="e">
        <f>(Financials!AG4-Financials!T4)/Financials!T4</f>
        <v>#REF!</v>
      </c>
      <c r="BO30" s="273" t="e">
        <f>(Financials!AH4-Financials!U4)/Financials!U4</f>
        <v>#REF!</v>
      </c>
      <c r="BP30" s="273" t="e">
        <f>(Financials!AI4-Financials!V4)/Financials!V4</f>
        <v>#REF!</v>
      </c>
      <c r="BQ30" s="273" t="e">
        <f>(Financials!AJ4-Financials!W4)/Financials!W4</f>
        <v>#REF!</v>
      </c>
      <c r="BR30" s="273" t="e">
        <f>(Financials!AK4-Financials!X4)/Financials!X4</f>
        <v>#REF!</v>
      </c>
      <c r="BS30" s="273" t="e">
        <f>(Financials!AL4-Financials!Y4)/Financials!Y4</f>
        <v>#REF!</v>
      </c>
      <c r="BT30" s="273" t="e">
        <f>(Financials!AM4-Financials!Z4)/Financials!Z4</f>
        <v>#REF!</v>
      </c>
      <c r="BU30" s="273" t="e">
        <f>(Financials!AN4-Financials!AA4)/Financials!AA4</f>
        <v>#REF!</v>
      </c>
      <c r="BV30" s="273" t="e">
        <f>(Financials!AO4-Financials!AB4)/Financials!AB4</f>
        <v>#REF!</v>
      </c>
      <c r="BW30" s="273" t="e">
        <f>(Financials!AP4-Financials!AC4)/Financials!AC4</f>
        <v>#REF!</v>
      </c>
      <c r="BX30" s="273" t="e">
        <f>(Financials!AQ4-Financials!AD4)/Financials!AD4</f>
        <v>#REF!</v>
      </c>
      <c r="BY30" s="273" t="e">
        <f>(Financials!AR4-Financials!AE4)/Financials!AE4</f>
        <v>#REF!</v>
      </c>
      <c r="BZ30" s="273" t="e">
        <f>(Financials!AS4-Financials!AF4)/Financials!AF4</f>
        <v>#REF!</v>
      </c>
      <c r="CA30" s="273" t="e">
        <f>(Financials!AT4-Financials!AG4)/Financials!AG4</f>
        <v>#REF!</v>
      </c>
      <c r="CB30" s="273" t="e">
        <f>(Financials!AU4-Financials!AH4)/Financials!AH4</f>
        <v>#REF!</v>
      </c>
      <c r="CC30" s="273" t="e">
        <f>(Financials!AV4-Financials!AI4)/Financials!AI4</f>
        <v>#REF!</v>
      </c>
      <c r="CD30" s="273" t="e">
        <f>(Financials!AW4-Financials!AJ4)/Financials!AJ4</f>
        <v>#REF!</v>
      </c>
      <c r="CE30" s="273" t="e">
        <f>(Financials!AX4-Financials!AK4)/Financials!AK4</f>
        <v>#REF!</v>
      </c>
      <c r="CF30" s="273" t="e">
        <f>(Financials!AY4-Financials!AL4)/Financials!AL4</f>
        <v>#REF!</v>
      </c>
      <c r="CG30" s="273" t="e">
        <f>(Financials!AZ4-Financials!AM4)/Financials!AM4</f>
        <v>#REF!</v>
      </c>
      <c r="CH30" s="273" t="e">
        <f>(Financials!BA4-Financials!AN4)/Financials!AN4</f>
        <v>#REF!</v>
      </c>
      <c r="CI30" s="273" t="e">
        <f>(Financials!BB4-Financials!AO4)/Financials!AO4</f>
        <v>#REF!</v>
      </c>
      <c r="CJ30" s="273" t="e">
        <f>(Financials!BC4-Financials!AP4)/Financials!AP4</f>
        <v>#REF!</v>
      </c>
      <c r="CK30" s="273" t="e">
        <f>(Financials!BD4-Financials!AQ4)/Financials!AQ4</f>
        <v>#REF!</v>
      </c>
      <c r="CL30" s="273" t="e">
        <f>(Financials!BE4-Financials!AR4)/Financials!AR4</f>
        <v>#REF!</v>
      </c>
      <c r="CM30" s="273">
        <f>(Financials!BF4-Financials!AS4)/Financials!AS4</f>
        <v>4.3963772428088015E-2</v>
      </c>
      <c r="CN30" s="273">
        <f>(Financials!BG4-Financials!AT4)/Financials!AT4</f>
        <v>-4.6288438516676099E-2</v>
      </c>
      <c r="CO30" s="273">
        <f>(Financials!BH4-Financials!AU4)/Financials!AU4</f>
        <v>-6.7305982923742264E-2</v>
      </c>
      <c r="CP30" s="273">
        <f>(Financials!BI4-Financials!AV4)/Financials!AV4</f>
        <v>-1.4227211182326208E-2</v>
      </c>
      <c r="CQ30" s="273">
        <f>(Financials!BJ4-Financials!AW4)/Financials!AW4</f>
        <v>-3.2509071859096898E-2</v>
      </c>
      <c r="CR30" s="273">
        <f>(Financials!BK4-Financials!AX4)/Financials!AX4</f>
        <v>-5.2176256357541285E-2</v>
      </c>
      <c r="CS30" s="273">
        <f>(Financials!BL4-Financials!AY4)/Financials!AY4</f>
        <v>-6.4813249632788478E-2</v>
      </c>
      <c r="CT30" s="273" t="e">
        <f>(Financials!BM4-Financials!AZ4)/Financials!AZ4</f>
        <v>#REF!</v>
      </c>
      <c r="CU30" s="273">
        <f>(Financials!BN4-Financials!BA4)/Financials!BA4</f>
        <v>-1.5210604095055837E-2</v>
      </c>
      <c r="CV30" s="273">
        <f>(Financials!BO4-Financials!BB4)/Financials!BB4</f>
        <v>-6.3127299578035215E-2</v>
      </c>
      <c r="CW30" s="273">
        <f>(Financials!BP4-Financials!BC4)/Financials!BC4</f>
        <v>8.4731335000755976E-4</v>
      </c>
      <c r="CX30" s="273">
        <f>(Financials!BQ4-Financials!BD4)/Financials!BD4</f>
        <v>6.4543637943761034E-3</v>
      </c>
      <c r="CY30" s="273">
        <f>(Financials!BR4-Financials!BE4)/Financials!BE4</f>
        <v>3.1182147831018303E-2</v>
      </c>
      <c r="CZ30" s="273">
        <f>(Financials!BS4-Financials!BF4)/Financials!BF4</f>
        <v>3.43517106999085E-2</v>
      </c>
      <c r="DA30" s="273">
        <f>(Financials!CF4-Financials!BG4)/Financials!BG4</f>
        <v>-1</v>
      </c>
      <c r="DB30" s="273">
        <f>(Financials!CG4-Financials!BH4)/Financials!BH4</f>
        <v>6.4027228178849663E-2</v>
      </c>
      <c r="DC30" s="273">
        <f>(Financials!CH4-Financials!BI4)/Financials!BI4</f>
        <v>4.8445975225098754E-2</v>
      </c>
      <c r="DD30" s="273">
        <f>(Financials!CI4-Financials!BJ4)/Financials!BJ4</f>
        <v>8.708238975056222E-2</v>
      </c>
      <c r="DE30" s="273">
        <f>(Financials!CJ4-Financials!BK4)/Financials!BK4</f>
        <v>2.5570568501028349E-2</v>
      </c>
      <c r="DF30" s="273">
        <f>(Financials!CK4-Financials!BL4)/Financials!BL4</f>
        <v>5.2710780279891289E-2</v>
      </c>
      <c r="DG30" s="273">
        <f>(Financials!CL4-Financials!BM4)/Financials!BM4</f>
        <v>-1.1233933909581024E-3</v>
      </c>
      <c r="DH30" s="273">
        <f>(Financials!CM4-Financials!BN4)/Financials!BN4</f>
        <v>-8.4683464925438927E-3</v>
      </c>
      <c r="DI30" s="273">
        <f>(Financials!CN4-Financials!BO4)/Financials!BO4</f>
        <v>5.7975544621124121E-2</v>
      </c>
      <c r="DJ30" s="273">
        <f>(Financials!CO4-Financials!BP4)/Financials!BP4</f>
        <v>1.2102818064216175E-2</v>
      </c>
    </row>
    <row r="31" spans="1:114" ht="12.75">
      <c r="A31" s="127" t="s">
        <v>147</v>
      </c>
      <c r="B31" s="131" t="s">
        <v>354</v>
      </c>
      <c r="C31" s="134"/>
      <c r="D31" s="140"/>
      <c r="E31" s="140" t="e">
        <f>[2]Financials!D6/[2]Financials!C6-1</f>
        <v>#DIV/0!</v>
      </c>
      <c r="F31" s="140" t="e">
        <f>[2]Financials!E6/[2]Financials!D6-1</f>
        <v>#DIV/0!</v>
      </c>
      <c r="G31" s="140" t="e">
        <f>[2]Financials!F6/[2]Financials!E6-1</f>
        <v>#DIV/0!</v>
      </c>
      <c r="H31" s="140" t="e">
        <f>[2]Financials!G6/[2]Financials!F6-1</f>
        <v>#DIV/0!</v>
      </c>
      <c r="I31" s="140" t="e">
        <f>[2]Financials!H6/[2]Financials!G6-1</f>
        <v>#DIV/0!</v>
      </c>
      <c r="J31" s="140" t="e">
        <f>[2]Financials!I6/[2]Financials!H6-1</f>
        <v>#DIV/0!</v>
      </c>
      <c r="K31" s="140" t="e">
        <f>[2]Financials!J6/[2]Financials!I6-1</f>
        <v>#DIV/0!</v>
      </c>
      <c r="L31" s="140">
        <f>[2]Financials!K6/[2]Financials!J6-1</f>
        <v>2.0966926470698866E-2</v>
      </c>
      <c r="M31" s="140">
        <f>[2]Financials!L6/[2]Financials!K6-1</f>
        <v>1.5027732971060415E-2</v>
      </c>
      <c r="N31" s="140">
        <f>[2]Financials!M6/[2]Financials!L6-1</f>
        <v>1.476814215441502E-2</v>
      </c>
      <c r="O31" s="140">
        <f>[2]Financials!N6/[2]Financials!M6-1</f>
        <v>1.5942294731845719E-2</v>
      </c>
      <c r="P31" s="140">
        <f>[2]Financials!O6/[2]Financials!N6-1</f>
        <v>-4.4170033468824421E-2</v>
      </c>
      <c r="Q31" s="140">
        <f>[2]Financials!P6/[2]Financials!O6-1</f>
        <v>8.8084185502992352E-3</v>
      </c>
      <c r="R31" s="140">
        <f>[2]Financials!Q6/[2]Financials!P6-1</f>
        <v>1.6270977281312771E-2</v>
      </c>
      <c r="S31" s="140">
        <f>[2]Financials!R6/[2]Financials!Q6-1</f>
        <v>1.0991171630764018E-2</v>
      </c>
      <c r="T31" s="140">
        <f>[2]Financials!S6/[2]Financials!R6-1</f>
        <v>1.0751626805842296E-2</v>
      </c>
      <c r="U31" s="140">
        <f>[2]Financials!T6/[2]Financials!J6-1</f>
        <v>9.2373121213637832E-2</v>
      </c>
      <c r="V31" s="140">
        <f>[2]Financials!U6/[2]Financials!T6-1</f>
        <v>2.0021443289659935E-2</v>
      </c>
      <c r="W31" s="140">
        <f>[2]Financials!V6/[2]Financials!U6-1</f>
        <v>1.2664529232535804E-2</v>
      </c>
      <c r="X31" s="140">
        <f>[2]Financials!W6/[2]Financials!V6-1</f>
        <v>6.1906664689415081E-5</v>
      </c>
      <c r="Y31" s="140">
        <f>[2]Financials!X6/[2]Financials!W6-1</f>
        <v>2.114169205077232E-2</v>
      </c>
      <c r="Z31" s="140">
        <f>[2]Financials!Y6/[2]Financials!X6-1</f>
        <v>7.9705581282010218E-3</v>
      </c>
      <c r="AA31" s="140">
        <f>[2]Financials!Z6/[2]Financials!Y6-1</f>
        <v>6.4439858816645046E-3</v>
      </c>
      <c r="AB31" s="140">
        <f>[2]Financials!AA6/[2]Financials!Z6-1</f>
        <v>5.0572400906976345E-2</v>
      </c>
      <c r="AC31" s="140">
        <f>[2]Financials!AB6/[2]Financials!AA6-1</f>
        <v>-1.7123708918860725E-2</v>
      </c>
      <c r="AD31" s="140">
        <f>[2]Financials!AC6/[2]Financials!AB6-1</f>
        <v>1.4371713599386826E-2</v>
      </c>
      <c r="AE31" s="140">
        <f>[2]Financials!AD6/[2]Financials!AC6-1</f>
        <v>1.8254011654101898E-2</v>
      </c>
      <c r="AF31" s="140">
        <f>[2]Financials!AE6/[2]Financials!AD6-1</f>
        <v>1.9659178565611501E-2</v>
      </c>
      <c r="AG31" s="140">
        <f>[2]Financials!AF6/[2]Financials!AE6-1</f>
        <v>1.5905943107713316E-2</v>
      </c>
      <c r="AH31" s="140">
        <f>[2]Financials!AG6/[2]Financials!AF6-1</f>
        <v>2.0171293835339554E-2</v>
      </c>
      <c r="AI31" s="140">
        <f>[2]Financials!AH6/[2]Financials!AG6-1</f>
        <v>1.7269649868191239E-2</v>
      </c>
      <c r="AJ31" s="140">
        <f>[2]Financials!AI6/[2]Financials!AH6-1</f>
        <v>2.0103797887604635E-2</v>
      </c>
      <c r="AK31" s="140"/>
      <c r="AL31" s="273" t="e">
        <f>(Financials!E5-Financials!#REF!)/Financials!#REF!</f>
        <v>#REF!</v>
      </c>
      <c r="AM31" s="273" t="e">
        <f>(Financials!F5-Financials!#REF!)/Financials!#REF!</f>
        <v>#REF!</v>
      </c>
      <c r="AN31" s="273" t="e">
        <f>(Financials!G5-Financials!#REF!)/Financials!#REF!</f>
        <v>#REF!</v>
      </c>
      <c r="AO31" s="273" t="e">
        <f>(Financials!H5-Financials!#REF!)/Financials!#REF!</f>
        <v>#REF!</v>
      </c>
      <c r="AP31" s="273" t="e">
        <f>(Financials!I5-Financials!#REF!)/Financials!#REF!</f>
        <v>#REF!</v>
      </c>
      <c r="AQ31" s="273" t="e">
        <f>(Financials!J5-Financials!#REF!)/Financials!#REF!</f>
        <v>#REF!</v>
      </c>
      <c r="AR31" s="273" t="e">
        <f>(Financials!K5-Financials!#REF!)/Financials!#REF!</f>
        <v>#REF!</v>
      </c>
      <c r="AS31" s="273" t="e">
        <f>(Financials!L5-Financials!#REF!)/Financials!#REF!</f>
        <v>#REF!</v>
      </c>
      <c r="AT31" s="273" t="e">
        <f>(Financials!M5-Financials!#REF!)/Financials!#REF!</f>
        <v>#REF!</v>
      </c>
      <c r="AU31" s="273" t="e">
        <f>(Financials!N5-Financials!A5)/Financials!A5</f>
        <v>#REF!</v>
      </c>
      <c r="AV31" s="273" t="e">
        <f>(Financials!O5-Financials!B5)/Financials!B5</f>
        <v>#REF!</v>
      </c>
      <c r="AW31" s="273" t="e">
        <f>(Financials!P5-Financials!C5)/Financials!C5</f>
        <v>#REF!</v>
      </c>
      <c r="AX31" s="273" t="e">
        <f>(Financials!Q5-Financials!D5)/Financials!D5</f>
        <v>#REF!</v>
      </c>
      <c r="AY31" s="273" t="e">
        <f>(Financials!R5-Financials!E5)/Financials!E5</f>
        <v>#REF!</v>
      </c>
      <c r="AZ31" s="273" t="e">
        <f>(Financials!S5-Financials!F5)/Financials!F5</f>
        <v>#REF!</v>
      </c>
      <c r="BA31" s="273" t="e">
        <f>(Financials!T5-Financials!G5)/Financials!G5</f>
        <v>#REF!</v>
      </c>
      <c r="BB31" s="273" t="e">
        <f>(Financials!U5-Financials!H5)/Financials!H5</f>
        <v>#REF!</v>
      </c>
      <c r="BC31" s="273" t="e">
        <f>(Financials!V5-Financials!I5)/Financials!I5</f>
        <v>#REF!</v>
      </c>
      <c r="BD31" s="273" t="e">
        <f>(Financials!W5-Financials!J5)/Financials!J5</f>
        <v>#REF!</v>
      </c>
      <c r="BE31" s="273" t="e">
        <f>(Financials!X5-Financials!K5)/Financials!K5</f>
        <v>#REF!</v>
      </c>
      <c r="BF31" s="273" t="e">
        <f>(Financials!Y5-Financials!L5)/Financials!L5</f>
        <v>#REF!</v>
      </c>
      <c r="BG31" s="273" t="e">
        <f>(Financials!Z5-Financials!M5)/Financials!M5</f>
        <v>#REF!</v>
      </c>
      <c r="BH31" s="273" t="e">
        <f>(Financials!AA5-Financials!N5)/Financials!N5</f>
        <v>#REF!</v>
      </c>
      <c r="BI31" s="273" t="e">
        <f>(Financials!AB5-Financials!O5)/Financials!O5</f>
        <v>#REF!</v>
      </c>
      <c r="BJ31" s="273" t="e">
        <f>(Financials!AC5-Financials!P5)/Financials!P5</f>
        <v>#REF!</v>
      </c>
      <c r="BK31" s="273" t="e">
        <f>(Financials!AD5-Financials!Q5)/Financials!Q5</f>
        <v>#REF!</v>
      </c>
      <c r="BL31" s="273" t="e">
        <f>(Financials!AE5-Financials!R5)/Financials!R5</f>
        <v>#REF!</v>
      </c>
      <c r="BM31" s="273" t="e">
        <f>(Financials!AF5-Financials!S5)/Financials!S5</f>
        <v>#REF!</v>
      </c>
      <c r="BN31" s="273" t="e">
        <f>(Financials!AG5-Financials!T5)/Financials!T5</f>
        <v>#REF!</v>
      </c>
      <c r="BO31" s="273" t="e">
        <f>(Financials!AH5-Financials!U5)/Financials!U5</f>
        <v>#REF!</v>
      </c>
      <c r="BP31" s="273" t="e">
        <f>(Financials!AI5-Financials!V5)/Financials!V5</f>
        <v>#REF!</v>
      </c>
      <c r="BQ31" s="273" t="e">
        <f>(Financials!AJ5-Financials!W5)/Financials!W5</f>
        <v>#REF!</v>
      </c>
      <c r="BR31" s="273" t="e">
        <f>(Financials!AK5-Financials!X5)/Financials!X5</f>
        <v>#REF!</v>
      </c>
      <c r="BS31" s="273" t="e">
        <f>(Financials!AL5-Financials!Y5)/Financials!Y5</f>
        <v>#REF!</v>
      </c>
      <c r="BT31" s="273" t="e">
        <f>(Financials!AM5-Financials!Z5)/Financials!Z5</f>
        <v>#REF!</v>
      </c>
      <c r="BU31" s="273" t="e">
        <f>(Financials!AN5-Financials!AA5)/Financials!AA5</f>
        <v>#REF!</v>
      </c>
      <c r="BV31" s="273" t="e">
        <f>(Financials!AO5-Financials!AB5)/Financials!AB5</f>
        <v>#REF!</v>
      </c>
      <c r="BW31" s="273" t="e">
        <f>(Financials!AP5-Financials!AC5)/Financials!AC5</f>
        <v>#REF!</v>
      </c>
      <c r="BX31" s="273" t="e">
        <f>(Financials!AQ5-Financials!AD5)/Financials!AD5</f>
        <v>#REF!</v>
      </c>
      <c r="BY31" s="273" t="e">
        <f>(Financials!AR5-Financials!AE5)/Financials!AE5</f>
        <v>#REF!</v>
      </c>
      <c r="BZ31" s="273" t="e">
        <f>(Financials!AS5-Financials!AF5)/Financials!AF5</f>
        <v>#REF!</v>
      </c>
      <c r="CA31" s="273" t="e">
        <f>(Financials!AT5-Financials!AG5)/Financials!AG5</f>
        <v>#REF!</v>
      </c>
      <c r="CB31" s="273" t="e">
        <f>(Financials!AU5-Financials!AH5)/Financials!AH5</f>
        <v>#REF!</v>
      </c>
      <c r="CC31" s="273" t="e">
        <f>(Financials!AV5-Financials!AI5)/Financials!AI5</f>
        <v>#REF!</v>
      </c>
      <c r="CD31" s="273" t="e">
        <f>(Financials!AW5-Financials!AJ5)/Financials!AJ5</f>
        <v>#REF!</v>
      </c>
      <c r="CE31" s="273" t="e">
        <f>(Financials!AX5-Financials!AK5)/Financials!AK5</f>
        <v>#REF!</v>
      </c>
      <c r="CF31" s="273" t="e">
        <f>(Financials!AY5-Financials!AL5)/Financials!AL5</f>
        <v>#REF!</v>
      </c>
      <c r="CG31" s="273" t="e">
        <f>(Financials!AZ5-Financials!AM5)/Financials!AM5</f>
        <v>#REF!</v>
      </c>
      <c r="CH31" s="273" t="e">
        <f>(Financials!BA5-Financials!AN5)/Financials!AN5</f>
        <v>#REF!</v>
      </c>
      <c r="CI31" s="273" t="e">
        <f>(Financials!BB5-Financials!AO5)/Financials!AO5</f>
        <v>#REF!</v>
      </c>
      <c r="CJ31" s="273" t="e">
        <f>(Financials!BC5-Financials!AP5)/Financials!AP5</f>
        <v>#REF!</v>
      </c>
      <c r="CK31" s="273" t="e">
        <f>(Financials!BD5-Financials!AQ5)/Financials!AQ5</f>
        <v>#REF!</v>
      </c>
      <c r="CL31" s="273" t="e">
        <f>(Financials!BE5-Financials!AR5)/Financials!AR5</f>
        <v>#REF!</v>
      </c>
      <c r="CM31" s="273">
        <f>(Financials!BF5-Financials!AS5)/Financials!AS5</f>
        <v>3.1995519739198862E-2</v>
      </c>
      <c r="CN31" s="273">
        <f>(Financials!BG5-Financials!AT5)/Financials!AT5</f>
        <v>-1.9660033807623243E-2</v>
      </c>
      <c r="CO31" s="273">
        <f>(Financials!BH5-Financials!AU5)/Financials!AU5</f>
        <v>-5.3100199926680677E-2</v>
      </c>
      <c r="CP31" s="273">
        <f>(Financials!BI5-Financials!AV5)/Financials!AV5</f>
        <v>4.2534651651373566E-2</v>
      </c>
      <c r="CQ31" s="273">
        <f>(Financials!BJ5-Financials!AW5)/Financials!AW5</f>
        <v>1.9534678979477416E-2</v>
      </c>
      <c r="CR31" s="273">
        <f>(Financials!BK5-Financials!AX5)/Financials!AX5</f>
        <v>-9.670518620487123E-3</v>
      </c>
      <c r="CS31" s="273">
        <f>(Financials!BL5-Financials!AY5)/Financials!AY5</f>
        <v>-1.1529588126282317E-2</v>
      </c>
      <c r="CT31" s="273" t="e">
        <f>(Financials!BM5-Financials!AZ5)/Financials!AZ5</f>
        <v>#REF!</v>
      </c>
      <c r="CU31" s="273">
        <f>(Financials!BN5-Financials!BA5)/Financials!BA5</f>
        <v>4.9966930293154591E-2</v>
      </c>
      <c r="CV31" s="273">
        <f>(Financials!BO5-Financials!BB5)/Financials!BB5</f>
        <v>-2.6639283359009721E-2</v>
      </c>
      <c r="CW31" s="273">
        <f>(Financials!BP5-Financials!BC5)/Financials!BC5</f>
        <v>-1.035764199738355E-3</v>
      </c>
      <c r="CX31" s="273">
        <f>(Financials!BQ5-Financials!BD5)/Financials!BD5</f>
        <v>1.2054617017992366E-2</v>
      </c>
      <c r="CY31" s="273">
        <f>(Financials!BR5-Financials!BE5)/Financials!BE5</f>
        <v>5.3962751798042545E-2</v>
      </c>
      <c r="CZ31" s="273">
        <f>(Financials!BS5-Financials!BF5)/Financials!BF5</f>
        <v>4.6138853175800736E-2</v>
      </c>
      <c r="DA31" s="273">
        <f>(Financials!CF5-Financials!BG5)/Financials!BG5</f>
        <v>-1</v>
      </c>
      <c r="DB31" s="273">
        <f>(Financials!CG5-Financials!BH5)/Financials!BH5</f>
        <v>8.2186698671857863E-2</v>
      </c>
      <c r="DC31" s="273">
        <f>(Financials!CH5-Financials!BI5)/Financials!BI5</f>
        <v>4.747685512984319E-2</v>
      </c>
      <c r="DD31" s="273">
        <f>(Financials!CI5-Financials!BJ5)/Financials!BJ5</f>
        <v>3.2009524780035215E-2</v>
      </c>
      <c r="DE31" s="273">
        <f>(Financials!CJ5-Financials!BK5)/Financials!BK5</f>
        <v>1.9624518922126664E-2</v>
      </c>
      <c r="DF31" s="273">
        <f>(Financials!CK5-Financials!BL5)/Financials!BL5</f>
        <v>3.0659618494705897E-2</v>
      </c>
      <c r="DG31" s="273">
        <f>(Financials!CL5-Financials!BM5)/Financials!BM5</f>
        <v>-3.1364474626585793E-2</v>
      </c>
      <c r="DH31" s="273">
        <f>(Financials!CM5-Financials!BN5)/Financials!BN5</f>
        <v>-4.9150088428234699E-2</v>
      </c>
      <c r="DI31" s="273">
        <f>(Financials!CN5-Financials!BO5)/Financials!BO5</f>
        <v>4.2016970190306799E-2</v>
      </c>
      <c r="DJ31" s="273">
        <f>(Financials!CO5-Financials!BP5)/Financials!BP5</f>
        <v>-1.4367977040131494E-2</v>
      </c>
    </row>
    <row r="32" spans="1:114" ht="12.75">
      <c r="A32" s="141" t="s">
        <v>227</v>
      </c>
      <c r="B32" s="131" t="s">
        <v>354</v>
      </c>
      <c r="C32" s="134"/>
      <c r="D32" s="140"/>
      <c r="E32" s="140" t="e">
        <f>[2]Financials!D8/[2]Financials!C8-1</f>
        <v>#DIV/0!</v>
      </c>
      <c r="F32" s="140" t="e">
        <f>[2]Financials!E8/[2]Financials!D8-1</f>
        <v>#DIV/0!</v>
      </c>
      <c r="G32" s="140" t="e">
        <f>[2]Financials!F8/[2]Financials!E8-1</f>
        <v>#DIV/0!</v>
      </c>
      <c r="H32" s="140" t="e">
        <f>[2]Financials!G8/[2]Financials!F8-1</f>
        <v>#DIV/0!</v>
      </c>
      <c r="I32" s="140" t="e">
        <f>[2]Financials!H8/[2]Financials!G8-1</f>
        <v>#DIV/0!</v>
      </c>
      <c r="J32" s="140" t="e">
        <f>[2]Financials!I8/[2]Financials!H8-1</f>
        <v>#DIV/0!</v>
      </c>
      <c r="K32" s="140" t="e">
        <f>[2]Financials!J8/[2]Financials!I8-1</f>
        <v>#DIV/0!</v>
      </c>
      <c r="L32" s="140">
        <f>[2]Financials!K8/[2]Financials!J8-1</f>
        <v>4.8803420056425573E-2</v>
      </c>
      <c r="M32" s="140">
        <f>[2]Financials!L8/[2]Financials!K8-1</f>
        <v>-2.597757515052268E-2</v>
      </c>
      <c r="N32" s="140">
        <f>[2]Financials!M8/[2]Financials!L8-1</f>
        <v>-2.7708719623755762E-3</v>
      </c>
      <c r="O32" s="140">
        <f>[2]Financials!N8/[2]Financials!M8-1</f>
        <v>1.0946526942046049</v>
      </c>
      <c r="P32" s="140">
        <f>[2]Financials!O8/[2]Financials!N8-1</f>
        <v>-0.44423630806532821</v>
      </c>
      <c r="Q32" s="140">
        <f>[2]Financials!P8/[2]Financials!O8-1</f>
        <v>-4.8984295913161668E-2</v>
      </c>
      <c r="R32" s="140">
        <f>[2]Financials!Q8/[2]Financials!P8-1</f>
        <v>8.1668568397219587E-3</v>
      </c>
      <c r="S32" s="140">
        <f>[2]Financials!R8/[2]Financials!Q8-1</f>
        <v>4.4506786862958947E-2</v>
      </c>
      <c r="T32" s="140">
        <f>[2]Financials!S8/[2]Financials!R8-1</f>
        <v>-4.809702979303887E-2</v>
      </c>
      <c r="U32" s="140">
        <f>[2]Financials!T8/[2]Financials!J8-1</f>
        <v>0.20644102263210118</v>
      </c>
      <c r="V32" s="140">
        <f>[2]Financials!U8/[2]Financials!T8-1</f>
        <v>5.4317180224228823E-2</v>
      </c>
      <c r="W32" s="140">
        <f>[2]Financials!V8/[2]Financials!U8-1</f>
        <v>-5.1230615139192803E-3</v>
      </c>
      <c r="X32" s="140">
        <f>[2]Financials!W8/[2]Financials!V8-1</f>
        <v>5.89276374654224E-4</v>
      </c>
      <c r="Y32" s="140">
        <f>[2]Financials!X8/[2]Financials!W8-1</f>
        <v>7.3892255982410004E-2</v>
      </c>
      <c r="Z32" s="140">
        <f>[2]Financials!Y8/[2]Financials!X8-1</f>
        <v>-7.7331373238684442E-2</v>
      </c>
      <c r="AA32" s="140">
        <f>[2]Financials!Z8/[2]Financials!Y8-1</f>
        <v>-5.5912521271268445E-2</v>
      </c>
      <c r="AB32" s="140">
        <f>[2]Financials!AA8/[2]Financials!Z8-1</f>
        <v>0.58191948475586441</v>
      </c>
      <c r="AC32" s="140">
        <f>[2]Financials!AB8/[2]Financials!AA8-1</f>
        <v>-0.28649983628987974</v>
      </c>
      <c r="AD32" s="140">
        <f>[2]Financials!AC8/[2]Financials!AB8-1</f>
        <v>-2.1887941151710333E-3</v>
      </c>
      <c r="AE32" s="140">
        <f>[2]Financials!AD8/[2]Financials!AC8-1</f>
        <v>4.8741424711198578E-2</v>
      </c>
      <c r="AF32" s="140">
        <f>[2]Financials!AE8/[2]Financials!AD8-1</f>
        <v>3.3817634252095941E-2</v>
      </c>
      <c r="AG32" s="140">
        <f>[2]Financials!AF8/[2]Financials!AE8-1</f>
        <v>-2.1115610145043262E-2</v>
      </c>
      <c r="AH32" s="140">
        <f>[2]Financials!AG8/[2]Financials!AF8-1</f>
        <v>4.2292520325449834E-2</v>
      </c>
      <c r="AI32" s="140">
        <f>[2]Financials!AH8/[2]Financials!AG8-1</f>
        <v>1.547538384341518E-2</v>
      </c>
      <c r="AJ32" s="140">
        <f>[2]Financials!AI8/[2]Financials!AH8-1</f>
        <v>6.2744250564205295E-2</v>
      </c>
      <c r="AK32" s="140"/>
      <c r="AL32" s="273" t="e">
        <f>(Financials!E7-Financials!#REF!)/Financials!#REF!</f>
        <v>#REF!</v>
      </c>
      <c r="AM32" s="273" t="e">
        <f>(Financials!F7-Financials!#REF!)/Financials!#REF!</f>
        <v>#REF!</v>
      </c>
      <c r="AN32" s="273" t="e">
        <f>(Financials!G7-Financials!#REF!)/Financials!#REF!</f>
        <v>#REF!</v>
      </c>
      <c r="AO32" s="273" t="e">
        <f>(Financials!H7-Financials!#REF!)/Financials!#REF!</f>
        <v>#REF!</v>
      </c>
      <c r="AP32" s="273" t="e">
        <f>(Financials!I7-Financials!#REF!)/Financials!#REF!</f>
        <v>#REF!</v>
      </c>
      <c r="AQ32" s="273" t="e">
        <f>(Financials!J7-Financials!#REF!)/Financials!#REF!</f>
        <v>#REF!</v>
      </c>
      <c r="AR32" s="273" t="e">
        <f>(Financials!K7-Financials!#REF!)/Financials!#REF!</f>
        <v>#REF!</v>
      </c>
      <c r="AS32" s="273" t="e">
        <f>(Financials!L7-Financials!#REF!)/Financials!#REF!</f>
        <v>#REF!</v>
      </c>
      <c r="AT32" s="273" t="e">
        <f>(Financials!M7-Financials!#REF!)/Financials!#REF!</f>
        <v>#REF!</v>
      </c>
      <c r="AU32" s="273" t="e">
        <f>(Financials!N7-Financials!A7)/Financials!A7</f>
        <v>#REF!</v>
      </c>
      <c r="AV32" s="273" t="e">
        <f>(Financials!O7-Financials!B7)/Financials!B7</f>
        <v>#REF!</v>
      </c>
      <c r="AW32" s="273" t="e">
        <f>(Financials!P7-Financials!C7)/Financials!C7</f>
        <v>#REF!</v>
      </c>
      <c r="AX32" s="273" t="e">
        <f>(Financials!Q7-Financials!D7)/Financials!D7</f>
        <v>#REF!</v>
      </c>
      <c r="AY32" s="273" t="e">
        <f>(Financials!R7-Financials!E7)/Financials!E7</f>
        <v>#REF!</v>
      </c>
      <c r="AZ32" s="273" t="e">
        <f>(Financials!S7-Financials!F7)/Financials!F7</f>
        <v>#REF!</v>
      </c>
      <c r="BA32" s="273" t="e">
        <f>(Financials!T7-Financials!G7)/Financials!G7</f>
        <v>#REF!</v>
      </c>
      <c r="BB32" s="273" t="e">
        <f>(Financials!U7-Financials!H7)/Financials!H7</f>
        <v>#REF!</v>
      </c>
      <c r="BC32" s="273" t="e">
        <f>(Financials!V7-Financials!I7)/Financials!I7</f>
        <v>#REF!</v>
      </c>
      <c r="BD32" s="273" t="e">
        <f>(Financials!W7-Financials!J7)/Financials!J7</f>
        <v>#REF!</v>
      </c>
      <c r="BE32" s="273" t="e">
        <f>(Financials!X7-Financials!K7)/Financials!K7</f>
        <v>#REF!</v>
      </c>
      <c r="BF32" s="273" t="e">
        <f>(Financials!Y7-Financials!L7)/Financials!L7</f>
        <v>#REF!</v>
      </c>
      <c r="BG32" s="273" t="e">
        <f>(Financials!Z7-Financials!M7)/Financials!M7</f>
        <v>#REF!</v>
      </c>
      <c r="BH32" s="273" t="e">
        <f>(Financials!AA7-Financials!N7)/Financials!N7</f>
        <v>#REF!</v>
      </c>
      <c r="BI32" s="273" t="e">
        <f>(Financials!AB7-Financials!O7)/Financials!O7</f>
        <v>#REF!</v>
      </c>
      <c r="BJ32" s="273" t="e">
        <f>(Financials!AC7-Financials!P7)/Financials!P7</f>
        <v>#REF!</v>
      </c>
      <c r="BK32" s="273" t="e">
        <f>(Financials!AD7-Financials!Q7)/Financials!Q7</f>
        <v>#REF!</v>
      </c>
      <c r="BL32" s="273" t="e">
        <f>(Financials!AE7-Financials!R7)/Financials!R7</f>
        <v>#REF!</v>
      </c>
      <c r="BM32" s="273" t="e">
        <f>(Financials!AF7-Financials!S7)/Financials!S7</f>
        <v>#REF!</v>
      </c>
      <c r="BN32" s="273" t="e">
        <f>(Financials!AG7-Financials!T7)/Financials!T7</f>
        <v>#REF!</v>
      </c>
      <c r="BO32" s="273" t="e">
        <f>(Financials!AH7-Financials!U7)/Financials!U7</f>
        <v>#REF!</v>
      </c>
      <c r="BP32" s="273" t="e">
        <f>(Financials!AI7-Financials!V7)/Financials!V7</f>
        <v>#REF!</v>
      </c>
      <c r="BQ32" s="273" t="e">
        <f>(Financials!AJ7-Financials!W7)/Financials!W7</f>
        <v>#REF!</v>
      </c>
      <c r="BR32" s="273" t="e">
        <f>(Financials!AK7-Financials!X7)/Financials!X7</f>
        <v>#REF!</v>
      </c>
      <c r="BS32" s="273" t="e">
        <f>(Financials!AL7-Financials!Y7)/Financials!Y7</f>
        <v>#REF!</v>
      </c>
      <c r="BT32" s="273" t="e">
        <f>(Financials!AM7-Financials!Z7)/Financials!Z7</f>
        <v>#REF!</v>
      </c>
      <c r="BU32" s="273" t="e">
        <f>(Financials!AN7-Financials!AA7)/Financials!AA7</f>
        <v>#REF!</v>
      </c>
      <c r="BV32" s="273" t="e">
        <f>(Financials!AO7-Financials!AB7)/Financials!AB7</f>
        <v>#REF!</v>
      </c>
      <c r="BW32" s="273" t="e">
        <f>(Financials!AP7-Financials!AC7)/Financials!AC7</f>
        <v>#REF!</v>
      </c>
      <c r="BX32" s="273" t="e">
        <f>(Financials!AQ7-Financials!AD7)/Financials!AD7</f>
        <v>#REF!</v>
      </c>
      <c r="BY32" s="273" t="e">
        <f>(Financials!AR7-Financials!AE7)/Financials!AE7</f>
        <v>#REF!</v>
      </c>
      <c r="BZ32" s="273" t="e">
        <f>(Financials!AS7-Financials!AF7)/Financials!AF7</f>
        <v>#REF!</v>
      </c>
      <c r="CA32" s="273" t="e">
        <f>(Financials!AT7-Financials!AG7)/Financials!AG7</f>
        <v>#REF!</v>
      </c>
      <c r="CB32" s="273" t="e">
        <f>(Financials!AU7-Financials!AH7)/Financials!AH7</f>
        <v>#REF!</v>
      </c>
      <c r="CC32" s="273" t="e">
        <f>(Financials!AV7-Financials!AI7)/Financials!AI7</f>
        <v>#REF!</v>
      </c>
      <c r="CD32" s="273" t="e">
        <f>(Financials!AW7-Financials!AJ7)/Financials!AJ7</f>
        <v>#REF!</v>
      </c>
      <c r="CE32" s="273" t="e">
        <f>(Financials!AX7-Financials!AK7)/Financials!AK7</f>
        <v>#REF!</v>
      </c>
      <c r="CF32" s="273" t="e">
        <f>(Financials!AY7-Financials!AL7)/Financials!AL7</f>
        <v>#REF!</v>
      </c>
      <c r="CG32" s="273" t="e">
        <f>(Financials!AZ7-Financials!AM7)/Financials!AM7</f>
        <v>#REF!</v>
      </c>
      <c r="CH32" s="273" t="e">
        <f>(Financials!BA7-Financials!AN7)/Financials!AN7</f>
        <v>#REF!</v>
      </c>
      <c r="CI32" s="273" t="e">
        <f>(Financials!BB7-Financials!AO7)/Financials!AO7</f>
        <v>#REF!</v>
      </c>
      <c r="CJ32" s="273" t="e">
        <f>(Financials!BC7-Financials!AP7)/Financials!AP7</f>
        <v>#REF!</v>
      </c>
      <c r="CK32" s="273" t="e">
        <f>(Financials!BD7-Financials!AQ7)/Financials!AQ7</f>
        <v>#REF!</v>
      </c>
      <c r="CL32" s="273" t="e">
        <f>(Financials!BE7-Financials!AR7)/Financials!AR7</f>
        <v>#REF!</v>
      </c>
      <c r="CM32" s="273">
        <f>(Financials!BF7-Financials!AS7)/Financials!AS7</f>
        <v>-0.11335636147513491</v>
      </c>
      <c r="CN32" s="273">
        <f>(Financials!BG7-Financials!AT7)/Financials!AT7</f>
        <v>-0.32769142421655512</v>
      </c>
      <c r="CO32" s="273">
        <f>(Financials!BH7-Financials!AU7)/Financials!AU7</f>
        <v>-0.45150863011911602</v>
      </c>
      <c r="CP32" s="273">
        <f>(Financials!BI7-Financials!AV7)/Financials!AV7</f>
        <v>-2.6578356482854164E-2</v>
      </c>
      <c r="CQ32" s="273">
        <f>(Financials!BJ7-Financials!AW7)/Financials!AW7</f>
        <v>-0.12013763608118638</v>
      </c>
      <c r="CR32" s="273">
        <f>(Financials!BK7-Financials!AX7)/Financials!AX7</f>
        <v>-0.2263698138413944</v>
      </c>
      <c r="CS32" s="273">
        <f>(Financials!BL7-Financials!AY7)/Financials!AY7</f>
        <v>-0.20549977544579323</v>
      </c>
      <c r="CT32" s="273" t="e">
        <f>(Financials!BM7-Financials!AZ7)/Financials!AZ7</f>
        <v>#REF!</v>
      </c>
      <c r="CU32" s="273">
        <f>(Financials!BN7-Financials!BA7)/Financials!BA7</f>
        <v>3.5775480659862434E-2</v>
      </c>
      <c r="CV32" s="273">
        <f>(Financials!BO7-Financials!BB7)/Financials!BB7</f>
        <v>-0.22294444111434619</v>
      </c>
      <c r="CW32" s="273">
        <f>(Financials!BP7-Financials!BC7)/Financials!BC7</f>
        <v>-7.6170504895599317E-2</v>
      </c>
      <c r="CX32" s="273">
        <f>(Financials!BQ7-Financials!BD7)/Financials!BD7</f>
        <v>-2.2050953786624274E-2</v>
      </c>
      <c r="CY32" s="273">
        <f>(Financials!BR7-Financials!BE7)/Financials!BE7</f>
        <v>0.30726939061654468</v>
      </c>
      <c r="CZ32" s="273">
        <f>(Financials!BS7-Financials!BF7)/Financials!BF7</f>
        <v>0.25602541016486235</v>
      </c>
      <c r="DA32" s="273">
        <f>(Financials!CF7-Financials!BG7)/Financials!BG7</f>
        <v>-1</v>
      </c>
      <c r="DB32" s="273">
        <f>(Financials!CG7-Financials!BH7)/Financials!BH7</f>
        <v>0.35646702633047983</v>
      </c>
      <c r="DC32" s="273">
        <f>(Financials!CH7-Financials!BI7)/Financials!BI7</f>
        <v>2.7534172483408503E-2</v>
      </c>
      <c r="DD32" s="273">
        <f>(Financials!CI7-Financials!BJ7)/Financials!BJ7</f>
        <v>-2.1256003609080587E-2</v>
      </c>
      <c r="DE32" s="273">
        <f>(Financials!CJ7-Financials!BK7)/Financials!BK7</f>
        <v>4.2903411705789381E-2</v>
      </c>
      <c r="DF32" s="273">
        <f>(Financials!CK7-Financials!BL7)/Financials!BL7</f>
        <v>5.6551375818646075E-2</v>
      </c>
      <c r="DG32" s="273">
        <f>(Financials!CL7-Financials!BM7)/Financials!BM7</f>
        <v>-0.24419560703013571</v>
      </c>
      <c r="DH32" s="273">
        <f>(Financials!CM7-Financials!BN7)/Financials!BN7</f>
        <v>-0.29394716905440704</v>
      </c>
      <c r="DI32" s="273">
        <f>(Financials!CN7-Financials!BO7)/Financials!BO7</f>
        <v>6.0164800292692611E-2</v>
      </c>
      <c r="DJ32" s="273">
        <f>(Financials!CO7-Financials!BP7)/Financials!BP7</f>
        <v>-0.1756425409303693</v>
      </c>
    </row>
    <row r="33" spans="1:114" ht="12.75">
      <c r="A33" s="141" t="s">
        <v>226</v>
      </c>
      <c r="B33" s="131" t="s">
        <v>354</v>
      </c>
      <c r="C33" s="134"/>
      <c r="D33" s="140"/>
      <c r="E33" s="140" t="e">
        <f>[2]Financials!D7/[2]Financials!C7-1</f>
        <v>#DIV/0!</v>
      </c>
      <c r="F33" s="140" t="e">
        <f>[2]Financials!E7/[2]Financials!D7-1</f>
        <v>#DIV/0!</v>
      </c>
      <c r="G33" s="140" t="e">
        <f>[2]Financials!F7/[2]Financials!E7-1</f>
        <v>#DIV/0!</v>
      </c>
      <c r="H33" s="140" t="e">
        <f>[2]Financials!G7/[2]Financials!F7-1</f>
        <v>#DIV/0!</v>
      </c>
      <c r="I33" s="140" t="e">
        <f>[2]Financials!H7/[2]Financials!G7-1</f>
        <v>#DIV/0!</v>
      </c>
      <c r="J33" s="140" t="e">
        <f>[2]Financials!I7/[2]Financials!H7-1</f>
        <v>#DIV/0!</v>
      </c>
      <c r="K33" s="140" t="e">
        <f>[2]Financials!J7/[2]Financials!I7-1</f>
        <v>#DIV/0!</v>
      </c>
      <c r="L33" s="140">
        <f>[2]Financials!K7/[2]Financials!J7-1</f>
        <v>1.8972484029635694E-2</v>
      </c>
      <c r="M33" s="140">
        <f>[2]Financials!L7/[2]Financials!K7-1</f>
        <v>1.8051711452905517E-2</v>
      </c>
      <c r="N33" s="140">
        <f>[2]Financials!M7/[2]Financials!L7-1</f>
        <v>1.6005635612886371E-2</v>
      </c>
      <c r="O33" s="140">
        <f>[2]Financials!N7/[2]Financials!M7-1</f>
        <v>-5.8761289289156138E-2</v>
      </c>
      <c r="P33" s="140">
        <f>[2]Financials!O7/[2]Financials!N7-1</f>
        <v>1.7486735031728706E-2</v>
      </c>
      <c r="Q33" s="140">
        <f>[2]Financials!P7/[2]Financials!O7-1</f>
        <v>1.3673423933880047E-2</v>
      </c>
      <c r="R33" s="140">
        <f>[2]Financials!Q7/[2]Financials!P7-1</f>
        <v>1.6911015262468077E-2</v>
      </c>
      <c r="S33" s="140">
        <f>[2]Financials!R7/[2]Financials!Q7-1</f>
        <v>8.3669741138217013E-3</v>
      </c>
      <c r="T33" s="140">
        <f>[2]Financials!S7/[2]Financials!R7-1</f>
        <v>1.5524484990089071E-2</v>
      </c>
      <c r="U33" s="140">
        <f>[2]Financials!T7/[2]Financials!J7-1</f>
        <v>8.4200329513010708E-2</v>
      </c>
      <c r="V33" s="140">
        <f>[2]Financials!U7/[2]Financials!T7-1</f>
        <v>1.7287158925221924E-2</v>
      </c>
      <c r="W33" s="140">
        <f>[2]Financials!V7/[2]Financials!U7-1</f>
        <v>1.4134295885025461E-2</v>
      </c>
      <c r="X33" s="140">
        <f>[2]Financials!W7/[2]Financials!V7-1</f>
        <v>1.915821819920005E-5</v>
      </c>
      <c r="Y33" s="140">
        <f>[2]Financials!X7/[2]Financials!W7-1</f>
        <v>1.6863307814058981E-2</v>
      </c>
      <c r="Z33" s="140">
        <f>[2]Financials!Y7/[2]Financials!X7-1</f>
        <v>1.5277062979080824E-2</v>
      </c>
      <c r="AA33" s="140">
        <f>[2]Financials!Z7/[2]Financials!Y7-1</f>
        <v>1.1297918822276154E-2</v>
      </c>
      <c r="AB33" s="140">
        <f>[2]Financials!AA7/[2]Financials!Z7-1</f>
        <v>1.1960301366629844E-2</v>
      </c>
      <c r="AC33" s="140">
        <f>[2]Financials!AB7/[2]Financials!AA7-1</f>
        <v>1.347655135434711E-2</v>
      </c>
      <c r="AD33" s="140">
        <f>[2]Financials!AC7/[2]Financials!AB7-1</f>
        <v>1.5696116230349499E-2</v>
      </c>
      <c r="AE33" s="140">
        <f>[2]Financials!AD7/[2]Financials!AC7-1</f>
        <v>1.5858757801027634E-2</v>
      </c>
      <c r="AF33" s="140">
        <f>[2]Financials!AE7/[2]Financials!AD7-1</f>
        <v>1.8510808264837308E-2</v>
      </c>
      <c r="AG33" s="140">
        <f>[2]Financials!AF7/[2]Financials!AE7-1</f>
        <v>1.8953831050772418E-2</v>
      </c>
      <c r="AH33" s="140">
        <f>[2]Financials!AG7/[2]Financials!AF7-1</f>
        <v>1.8421727317220693E-2</v>
      </c>
      <c r="AI33" s="140">
        <f>[2]Financials!AH7/[2]Financials!AG7-1</f>
        <v>1.7414884455606794E-2</v>
      </c>
      <c r="AJ33" s="140">
        <f>[2]Financials!AI7/[2]Financials!AH7-1</f>
        <v>1.6658900093688311E-2</v>
      </c>
      <c r="AK33" s="140"/>
      <c r="AL33" s="273" t="e">
        <f>(Financials!E6-Financials!#REF!)/Financials!#REF!</f>
        <v>#REF!</v>
      </c>
      <c r="AM33" s="273" t="e">
        <f>(Financials!F6-Financials!#REF!)/Financials!#REF!</f>
        <v>#REF!</v>
      </c>
      <c r="AN33" s="273" t="e">
        <f>(Financials!G6-Financials!#REF!)/Financials!#REF!</f>
        <v>#REF!</v>
      </c>
      <c r="AO33" s="273" t="e">
        <f>(Financials!H6-Financials!#REF!)/Financials!#REF!</f>
        <v>#REF!</v>
      </c>
      <c r="AP33" s="273" t="e">
        <f>(Financials!I6-Financials!#REF!)/Financials!#REF!</f>
        <v>#REF!</v>
      </c>
      <c r="AQ33" s="273" t="e">
        <f>(Financials!J6-Financials!#REF!)/Financials!#REF!</f>
        <v>#REF!</v>
      </c>
      <c r="AR33" s="273" t="e">
        <f>(Financials!K6-Financials!#REF!)/Financials!#REF!</f>
        <v>#REF!</v>
      </c>
      <c r="AS33" s="273" t="e">
        <f>(Financials!L6-Financials!#REF!)/Financials!#REF!</f>
        <v>#REF!</v>
      </c>
      <c r="AT33" s="273" t="e">
        <f>(Financials!M6-Financials!#REF!)/Financials!#REF!</f>
        <v>#REF!</v>
      </c>
      <c r="AU33" s="273" t="e">
        <f>(Financials!N6-Financials!A6)/Financials!A6</f>
        <v>#REF!</v>
      </c>
      <c r="AV33" s="273" t="e">
        <f>(Financials!O6-Financials!B6)/Financials!B6</f>
        <v>#REF!</v>
      </c>
      <c r="AW33" s="273" t="e">
        <f>(Financials!P6-Financials!C6)/Financials!C6</f>
        <v>#REF!</v>
      </c>
      <c r="AX33" s="273" t="e">
        <f>(Financials!Q6-Financials!D6)/Financials!D6</f>
        <v>#REF!</v>
      </c>
      <c r="AY33" s="273" t="e">
        <f>(Financials!R6-Financials!E6)/Financials!E6</f>
        <v>#REF!</v>
      </c>
      <c r="AZ33" s="273" t="e">
        <f>(Financials!S6-Financials!F6)/Financials!F6</f>
        <v>#REF!</v>
      </c>
      <c r="BA33" s="273" t="e">
        <f>(Financials!T6-Financials!G6)/Financials!G6</f>
        <v>#REF!</v>
      </c>
      <c r="BB33" s="273" t="e">
        <f>(Financials!U6-Financials!H6)/Financials!H6</f>
        <v>#REF!</v>
      </c>
      <c r="BC33" s="273" t="e">
        <f>(Financials!V6-Financials!I6)/Financials!I6</f>
        <v>#REF!</v>
      </c>
      <c r="BD33" s="273" t="e">
        <f>(Financials!W6-Financials!J6)/Financials!J6</f>
        <v>#REF!</v>
      </c>
      <c r="BE33" s="273" t="e">
        <f>(Financials!X6-Financials!K6)/Financials!K6</f>
        <v>#REF!</v>
      </c>
      <c r="BF33" s="273" t="e">
        <f>(Financials!Y6-Financials!L6)/Financials!L6</f>
        <v>#REF!</v>
      </c>
      <c r="BG33" s="273" t="e">
        <f>(Financials!Z6-Financials!M6)/Financials!M6</f>
        <v>#REF!</v>
      </c>
      <c r="BH33" s="273" t="e">
        <f>(Financials!AA6-Financials!N6)/Financials!N6</f>
        <v>#REF!</v>
      </c>
      <c r="BI33" s="273" t="e">
        <f>(Financials!AB6-Financials!O6)/Financials!O6</f>
        <v>#REF!</v>
      </c>
      <c r="BJ33" s="273" t="e">
        <f>(Financials!AC6-Financials!P6)/Financials!P6</f>
        <v>#REF!</v>
      </c>
      <c r="BK33" s="273" t="e">
        <f>(Financials!AD6-Financials!Q6)/Financials!Q6</f>
        <v>#REF!</v>
      </c>
      <c r="BL33" s="273" t="e">
        <f>(Financials!AE6-Financials!R6)/Financials!R6</f>
        <v>#REF!</v>
      </c>
      <c r="BM33" s="273" t="e">
        <f>(Financials!AF6-Financials!S6)/Financials!S6</f>
        <v>#REF!</v>
      </c>
      <c r="BN33" s="273" t="e">
        <f>(Financials!AG6-Financials!T6)/Financials!T6</f>
        <v>#REF!</v>
      </c>
      <c r="BO33" s="273" t="e">
        <f>(Financials!AH6-Financials!U6)/Financials!U6</f>
        <v>#REF!</v>
      </c>
      <c r="BP33" s="273" t="e">
        <f>(Financials!AI6-Financials!V6)/Financials!V6</f>
        <v>#REF!</v>
      </c>
      <c r="BQ33" s="273" t="e">
        <f>(Financials!AJ6-Financials!W6)/Financials!W6</f>
        <v>#REF!</v>
      </c>
      <c r="BR33" s="273" t="e">
        <f>(Financials!AK6-Financials!X6)/Financials!X6</f>
        <v>#REF!</v>
      </c>
      <c r="BS33" s="273" t="e">
        <f>(Financials!AL6-Financials!Y6)/Financials!Y6</f>
        <v>#REF!</v>
      </c>
      <c r="BT33" s="273" t="e">
        <f>(Financials!AM6-Financials!Z6)/Financials!Z6</f>
        <v>#REF!</v>
      </c>
      <c r="BU33" s="273" t="e">
        <f>(Financials!AN6-Financials!AA6)/Financials!AA6</f>
        <v>#REF!</v>
      </c>
      <c r="BV33" s="273" t="e">
        <f>(Financials!AO6-Financials!AB6)/Financials!AB6</f>
        <v>#REF!</v>
      </c>
      <c r="BW33" s="273" t="e">
        <f>(Financials!AP6-Financials!AC6)/Financials!AC6</f>
        <v>#REF!</v>
      </c>
      <c r="BX33" s="273" t="e">
        <f>(Financials!AQ6-Financials!AD6)/Financials!AD6</f>
        <v>#REF!</v>
      </c>
      <c r="BY33" s="273" t="e">
        <f>(Financials!AR6-Financials!AE6)/Financials!AE6</f>
        <v>#REF!</v>
      </c>
      <c r="BZ33" s="273" t="e">
        <f>(Financials!AS6-Financials!AF6)/Financials!AF6</f>
        <v>#REF!</v>
      </c>
      <c r="CA33" s="273" t="e">
        <f>(Financials!AT6-Financials!AG6)/Financials!AG6</f>
        <v>#REF!</v>
      </c>
      <c r="CB33" s="273" t="e">
        <f>(Financials!AU6-Financials!AH6)/Financials!AH6</f>
        <v>#REF!</v>
      </c>
      <c r="CC33" s="273" t="e">
        <f>(Financials!AV6-Financials!AI6)/Financials!AI6</f>
        <v>#REF!</v>
      </c>
      <c r="CD33" s="273" t="e">
        <f>(Financials!AW6-Financials!AJ6)/Financials!AJ6</f>
        <v>#REF!</v>
      </c>
      <c r="CE33" s="273" t="e">
        <f>(Financials!AX6-Financials!AK6)/Financials!AK6</f>
        <v>#REF!</v>
      </c>
      <c r="CF33" s="273" t="e">
        <f>(Financials!AY6-Financials!AL6)/Financials!AL6</f>
        <v>#REF!</v>
      </c>
      <c r="CG33" s="273" t="e">
        <f>(Financials!AZ6-Financials!AM6)/Financials!AM6</f>
        <v>#REF!</v>
      </c>
      <c r="CH33" s="273" t="e">
        <f>(Financials!BA6-Financials!AN6)/Financials!AN6</f>
        <v>#REF!</v>
      </c>
      <c r="CI33" s="273" t="e">
        <f>(Financials!BB6-Financials!AO6)/Financials!AO6</f>
        <v>#REF!</v>
      </c>
      <c r="CJ33" s="273" t="e">
        <f>(Financials!BC6-Financials!AP6)/Financials!AP6</f>
        <v>#REF!</v>
      </c>
      <c r="CK33" s="273" t="e">
        <f>(Financials!BD6-Financials!AQ6)/Financials!AQ6</f>
        <v>#REF!</v>
      </c>
      <c r="CL33" s="273" t="e">
        <f>(Financials!BE6-Financials!AR6)/Financials!AR6</f>
        <v>#REF!</v>
      </c>
      <c r="CM33" s="273">
        <f>(Financials!BF6-Financials!AS6)/Financials!AS6</f>
        <v>6.3408160220414678E-2</v>
      </c>
      <c r="CN33" s="273">
        <f>(Financials!BG6-Financials!AT6)/Financials!AT6</f>
        <v>6.4401920955039604E-2</v>
      </c>
      <c r="CO33" s="273">
        <f>(Financials!BH6-Financials!AU6)/Financials!AU6</f>
        <v>6.960608771452155E-2</v>
      </c>
      <c r="CP33" s="273">
        <f>(Financials!BI6-Financials!AV6)/Financials!AV6</f>
        <v>5.8114603713128418E-2</v>
      </c>
      <c r="CQ33" s="273">
        <f>(Financials!BJ6-Financials!AW6)/Financials!AW6</f>
        <v>5.6905195710454305E-2</v>
      </c>
      <c r="CR33" s="273">
        <f>(Financials!BK6-Financials!AX6)/Financials!AX6</f>
        <v>5.799764147827173E-2</v>
      </c>
      <c r="CS33" s="273">
        <f>(Financials!BL6-Financials!AY6)/Financials!AY6</f>
        <v>4.1069958119617868E-2</v>
      </c>
      <c r="CT33" s="273" t="e">
        <f>(Financials!BM6-Financials!AZ6)/Financials!AZ6</f>
        <v>#REF!</v>
      </c>
      <c r="CU33" s="273">
        <f>(Financials!BN6-Financials!BA6)/Financials!BA6</f>
        <v>5.4194225875219992E-2</v>
      </c>
      <c r="CV33" s="273">
        <f>(Financials!BO6-Financials!BB6)/Financials!BB6</f>
        <v>2.7918519241794348E-2</v>
      </c>
      <c r="CW33" s="273">
        <f>(Financials!BP6-Financials!BC6)/Financials!BC6</f>
        <v>1.9502377180572676E-2</v>
      </c>
      <c r="CX33" s="273">
        <f>(Financials!BQ6-Financials!BD6)/Financials!BD6</f>
        <v>2.3228285635736576E-2</v>
      </c>
      <c r="CY33" s="273">
        <f>(Financials!BR6-Financials!BE6)/Financials!BE6</f>
        <v>8.3192003026545357E-3</v>
      </c>
      <c r="CZ33" s="273">
        <f>(Financials!BS6-Financials!BF6)/Financials!BF6</f>
        <v>8.3192015502917393E-3</v>
      </c>
      <c r="DA33" s="273">
        <f>(Financials!CF6-Financials!BG6)/Financials!BG6</f>
        <v>-1</v>
      </c>
      <c r="DB33" s="273">
        <f>(Financials!CG6-Financials!BH6)/Financials!BH6</f>
        <v>3.8867652051634304E-2</v>
      </c>
      <c r="DC33" s="273">
        <f>(Financials!CH6-Financials!BI6)/Financials!BI6</f>
        <v>5.1612642372446033E-2</v>
      </c>
      <c r="DD33" s="273">
        <f>(Financials!CI6-Financials!BJ6)/Financials!BJ6</f>
        <v>4.3873868475887458E-2</v>
      </c>
      <c r="DE33" s="273">
        <f>(Financials!CJ6-Financials!BK6)/Financials!BK6</f>
        <v>1.4309095119007723E-2</v>
      </c>
      <c r="DF33" s="273">
        <f>(Financials!CK6-Financials!BL6)/Financials!BL6</f>
        <v>2.530137247166566E-2</v>
      </c>
      <c r="DG33" s="273">
        <f>(Financials!CL6-Financials!BM6)/Financials!BM6</f>
        <v>3.1866814979512659E-2</v>
      </c>
      <c r="DH33" s="273">
        <f>(Financials!CM6-Financials!BN6)/Financials!BN6</f>
        <v>2.2495108815601881E-2</v>
      </c>
      <c r="DI33" s="273">
        <f>(Financials!CN6-Financials!BO6)/Financials!BO6</f>
        <v>3.8204177032903908E-2</v>
      </c>
      <c r="DJ33" s="273">
        <f>(Financials!CO6-Financials!BP6)/Financials!BP6</f>
        <v>2.5579541268829633E-2</v>
      </c>
    </row>
    <row r="34" spans="1:114" ht="12.75">
      <c r="A34" s="127" t="s">
        <v>358</v>
      </c>
      <c r="B34" s="131" t="s">
        <v>354</v>
      </c>
      <c r="C34" s="134"/>
      <c r="D34" s="140"/>
      <c r="E34" s="140" t="e">
        <f>[2]Financials!D30/[2]Financials!C30-1</f>
        <v>#DIV/0!</v>
      </c>
      <c r="F34" s="140" t="e">
        <f>[2]Financials!E30/[2]Financials!D30-1</f>
        <v>#DIV/0!</v>
      </c>
      <c r="G34" s="140" t="e">
        <f>[2]Financials!F30/[2]Financials!E30-1</f>
        <v>#DIV/0!</v>
      </c>
      <c r="H34" s="140" t="e">
        <f>[2]Financials!G30/[2]Financials!F30-1</f>
        <v>#DIV/0!</v>
      </c>
      <c r="I34" s="140" t="e">
        <f>[2]Financials!H30/[2]Financials!G30-1</f>
        <v>#DIV/0!</v>
      </c>
      <c r="J34" s="140" t="e">
        <f>[2]Financials!I30/[2]Financials!H30-1</f>
        <v>#DIV/0!</v>
      </c>
      <c r="K34" s="140" t="e">
        <f>[2]Financials!J30/[2]Financials!I30-1</f>
        <v>#DIV/0!</v>
      </c>
      <c r="L34" s="140">
        <f>[2]Financials!K30/[2]Financials!J30-1</f>
        <v>6.1107577979256478E-2</v>
      </c>
      <c r="M34" s="140">
        <f>[2]Financials!L30/[2]Financials!K30-1</f>
        <v>2.8041410037825676E-2</v>
      </c>
      <c r="N34" s="140">
        <f>[2]Financials!M30/[2]Financials!L30-1</f>
        <v>1.0048447087433576E-2</v>
      </c>
      <c r="O34" s="140">
        <f>[2]Financials!N30/[2]Financials!M30-1</f>
        <v>1.4384451410879739E-2</v>
      </c>
      <c r="P34" s="140">
        <f>[2]Financials!O30/[2]Financials!N30-1</f>
        <v>1.8615454145417765E-2</v>
      </c>
      <c r="Q34" s="140">
        <f>[2]Financials!P30/[2]Financials!O30-1</f>
        <v>1.8384147234667747E-2</v>
      </c>
      <c r="R34" s="140">
        <f>[2]Financials!Q30/[2]Financials!P30-1</f>
        <v>2.1604853369581623E-2</v>
      </c>
      <c r="S34" s="140">
        <f>[2]Financials!R30/[2]Financials!Q30-1</f>
        <v>3.4567878860996881E-2</v>
      </c>
      <c r="T34" s="140">
        <f>[2]Financials!S30/[2]Financials!R30-1</f>
        <v>2.1473307937156072E-2</v>
      </c>
      <c r="U34" s="140">
        <f>[2]Financials!T30/[2]Financials!J30-1</f>
        <v>0.28017933110245341</v>
      </c>
      <c r="V34" s="140">
        <f>[2]Financials!U30/[2]Financials!T30-1</f>
        <v>2.8423151137534797E-2</v>
      </c>
      <c r="W34" s="140">
        <f>[2]Financials!V30/[2]Financials!U30-1</f>
        <v>1.9976205287446369E-2</v>
      </c>
      <c r="X34" s="140">
        <f>[2]Financials!W30/[2]Financials!V30-1</f>
        <v>3.8775270076703006E-3</v>
      </c>
      <c r="Y34" s="140">
        <f>[2]Financials!X30/[2]Financials!W30-1</f>
        <v>4.5682216907277917E-2</v>
      </c>
      <c r="Z34" s="140">
        <f>[2]Financials!Y30/[2]Financials!X30-1</f>
        <v>2.1666429261738118E-2</v>
      </c>
      <c r="AA34" s="140">
        <f>[2]Financials!Z30/[2]Financials!Y30-1</f>
        <v>-1.6618788223865533E-4</v>
      </c>
      <c r="AB34" s="140">
        <f>[2]Financials!AA30/[2]Financials!Z30-1</f>
        <v>1.0469801137608536E-2</v>
      </c>
      <c r="AC34" s="140">
        <f>[2]Financials!AB30/[2]Financials!AA30-1</f>
        <v>4.6116587950055798E-3</v>
      </c>
      <c r="AD34" s="140">
        <f>[2]Financials!AC30/[2]Financials!AB30-1</f>
        <v>9.8654278145069441E-3</v>
      </c>
      <c r="AE34" s="140">
        <f>[2]Financials!AD30/[2]Financials!AC30-1</f>
        <v>2.0116544938350911E-2</v>
      </c>
      <c r="AF34" s="140">
        <f>[2]Financials!AE30/[2]Financials!AD30-1</f>
        <v>2.7645044297113008E-2</v>
      </c>
      <c r="AG34" s="140">
        <f>[2]Financials!AF30/[2]Financials!AE30-1</f>
        <v>2.4786136870242004E-2</v>
      </c>
      <c r="AH34" s="140">
        <f>[2]Financials!AG30/[2]Financials!AF30-1</f>
        <v>1.6943008747363431E-2</v>
      </c>
      <c r="AI34" s="140">
        <f>[2]Financials!AH30/[2]Financials!AG30-1</f>
        <v>1.2796213029120818E-2</v>
      </c>
      <c r="AJ34" s="140">
        <f>[2]Financials!AI30/[2]Financials!AH30-1</f>
        <v>2.0868293710845975E-2</v>
      </c>
      <c r="AK34" s="140"/>
      <c r="AL34" s="273" t="e">
        <f>(Financials!E30-Financials!#REF!)/Financials!#REF!</f>
        <v>#REF!</v>
      </c>
      <c r="AM34" s="273" t="e">
        <f>(Financials!F30-Financials!#REF!)/Financials!#REF!</f>
        <v>#REF!</v>
      </c>
      <c r="AN34" s="273" t="e">
        <f>(Financials!G30-Financials!#REF!)/Financials!#REF!</f>
        <v>#REF!</v>
      </c>
      <c r="AO34" s="273" t="e">
        <f>(Financials!H30-Financials!#REF!)/Financials!#REF!</f>
        <v>#REF!</v>
      </c>
      <c r="AP34" s="273" t="e">
        <f>(Financials!I30-Financials!#REF!)/Financials!#REF!</f>
        <v>#REF!</v>
      </c>
      <c r="AQ34" s="273" t="e">
        <f>(Financials!J30-Financials!#REF!)/Financials!#REF!</f>
        <v>#REF!</v>
      </c>
      <c r="AR34" s="273" t="e">
        <f>(Financials!K30-Financials!#REF!)/Financials!#REF!</f>
        <v>#REF!</v>
      </c>
      <c r="AS34" s="273" t="e">
        <f>(Financials!L30-Financials!#REF!)/Financials!#REF!</f>
        <v>#REF!</v>
      </c>
      <c r="AT34" s="273" t="e">
        <f>(Financials!M30-Financials!#REF!)/Financials!#REF!</f>
        <v>#REF!</v>
      </c>
      <c r="AU34" s="273" t="e">
        <f>(Financials!N30-Financials!A30)/Financials!A30</f>
        <v>#REF!</v>
      </c>
      <c r="AV34" s="273" t="e">
        <f>(Financials!O30-Financials!B30)/Financials!B30</f>
        <v>#REF!</v>
      </c>
      <c r="AW34" s="273" t="e">
        <f>(Financials!P30-Financials!C30)/Financials!C30</f>
        <v>#REF!</v>
      </c>
      <c r="AX34" s="273" t="e">
        <f>(Financials!Q30-Financials!D30)/Financials!D30</f>
        <v>#REF!</v>
      </c>
      <c r="AY34" s="273" t="e">
        <f>(Financials!R30-Financials!E30)/Financials!E30</f>
        <v>#REF!</v>
      </c>
      <c r="AZ34" s="273" t="e">
        <f>(Financials!S30-Financials!F30)/Financials!F30</f>
        <v>#REF!</v>
      </c>
      <c r="BA34" s="273" t="e">
        <f>(Financials!T30-Financials!G30)/Financials!G30</f>
        <v>#REF!</v>
      </c>
      <c r="BB34" s="273" t="e">
        <f>(Financials!U30-Financials!H30)/Financials!H30</f>
        <v>#REF!</v>
      </c>
      <c r="BC34" s="273" t="e">
        <f>(Financials!V30-Financials!I30)/Financials!I30</f>
        <v>#REF!</v>
      </c>
      <c r="BD34" s="273" t="e">
        <f>(Financials!W30-Financials!J30)/Financials!J30</f>
        <v>#REF!</v>
      </c>
      <c r="BE34" s="273" t="e">
        <f>(Financials!X30-Financials!K30)/Financials!K30</f>
        <v>#REF!</v>
      </c>
      <c r="BF34" s="273" t="e">
        <f>(Financials!Y30-Financials!L30)/Financials!L30</f>
        <v>#REF!</v>
      </c>
      <c r="BG34" s="273" t="e">
        <f>(Financials!Z30-Financials!M30)/Financials!M30</f>
        <v>#REF!</v>
      </c>
      <c r="BH34" s="273" t="e">
        <f>(Financials!AA30-Financials!N30)/Financials!N30</f>
        <v>#REF!</v>
      </c>
      <c r="BI34" s="273" t="e">
        <f>(Financials!AB30-Financials!O30)/Financials!O30</f>
        <v>#REF!</v>
      </c>
      <c r="BJ34" s="273" t="e">
        <f>(Financials!AC30-Financials!P30)/Financials!P30</f>
        <v>#REF!</v>
      </c>
      <c r="BK34" s="273" t="e">
        <f>(Financials!AD30-Financials!Q30)/Financials!Q30</f>
        <v>#REF!</v>
      </c>
      <c r="BL34" s="273" t="e">
        <f>(Financials!AE30-Financials!R30)/Financials!R30</f>
        <v>#REF!</v>
      </c>
      <c r="BM34" s="273" t="e">
        <f>(Financials!AF30-Financials!S30)/Financials!S30</f>
        <v>#REF!</v>
      </c>
      <c r="BN34" s="273" t="e">
        <f>(Financials!AG30-Financials!T30)/Financials!T30</f>
        <v>#REF!</v>
      </c>
      <c r="BO34" s="273" t="e">
        <f>(Financials!AH30-Financials!U30)/Financials!U30</f>
        <v>#REF!</v>
      </c>
      <c r="BP34" s="273" t="e">
        <f>(Financials!AI30-Financials!V30)/Financials!V30</f>
        <v>#REF!</v>
      </c>
      <c r="BQ34" s="273" t="e">
        <f>(Financials!AJ30-Financials!W30)/Financials!W30</f>
        <v>#REF!</v>
      </c>
      <c r="BR34" s="273" t="e">
        <f>(Financials!AK30-Financials!X30)/Financials!X30</f>
        <v>#REF!</v>
      </c>
      <c r="BS34" s="273" t="e">
        <f>(Financials!AL30-Financials!Y30)/Financials!Y30</f>
        <v>#REF!</v>
      </c>
      <c r="BT34" s="273" t="e">
        <f>(Financials!AM30-Financials!Z30)/Financials!Z30</f>
        <v>#REF!</v>
      </c>
      <c r="BU34" s="273" t="e">
        <f>(Financials!AN30-Financials!AA30)/Financials!AA30</f>
        <v>#REF!</v>
      </c>
      <c r="BV34" s="273" t="e">
        <f>(Financials!AO30-Financials!AB30)/Financials!AB30</f>
        <v>#REF!</v>
      </c>
      <c r="BW34" s="273" t="e">
        <f>(Financials!AP30-Financials!AC30)/Financials!AC30</f>
        <v>#REF!</v>
      </c>
      <c r="BX34" s="273" t="e">
        <f>(Financials!AQ30-Financials!AD30)/Financials!AD30</f>
        <v>#REF!</v>
      </c>
      <c r="BY34" s="273" t="e">
        <f>(Financials!AR30-Financials!AE30)/Financials!AE30</f>
        <v>#REF!</v>
      </c>
      <c r="BZ34" s="273" t="e">
        <f>(Financials!AS30-Financials!AF30)/Financials!AF30</f>
        <v>#REF!</v>
      </c>
      <c r="CA34" s="273" t="e">
        <f>(Financials!AT30-Financials!AG30)/Financials!AG30</f>
        <v>#REF!</v>
      </c>
      <c r="CB34" s="273" t="e">
        <f>(Financials!AU30-Financials!AH30)/Financials!AH30</f>
        <v>#REF!</v>
      </c>
      <c r="CC34" s="273" t="e">
        <f>(Financials!AV30-Financials!AI30)/Financials!AI30</f>
        <v>#REF!</v>
      </c>
      <c r="CD34" s="273" t="e">
        <f>(Financials!AW30-Financials!AJ30)/Financials!AJ30</f>
        <v>#REF!</v>
      </c>
      <c r="CE34" s="273" t="e">
        <f>(Financials!AX30-Financials!AK30)/Financials!AK30</f>
        <v>#REF!</v>
      </c>
      <c r="CF34" s="273" t="e">
        <f>(Financials!AY30-Financials!AL30)/Financials!AL30</f>
        <v>#REF!</v>
      </c>
      <c r="CG34" s="273" t="e">
        <f>(Financials!AZ30-Financials!AM30)/Financials!AM30</f>
        <v>#REF!</v>
      </c>
      <c r="CH34" s="273" t="e">
        <f>(Financials!BA30-Financials!AN30)/Financials!AN30</f>
        <v>#REF!</v>
      </c>
      <c r="CI34" s="273" t="e">
        <f>(Financials!BB30-Financials!AO30)/Financials!AO30</f>
        <v>#REF!</v>
      </c>
      <c r="CJ34" s="273" t="e">
        <f>(Financials!BC30-Financials!AP30)/Financials!AP30</f>
        <v>#REF!</v>
      </c>
      <c r="CK34" s="273" t="e">
        <f>(Financials!BD30-Financials!AQ30)/Financials!AQ30</f>
        <v>#REF!</v>
      </c>
      <c r="CL34" s="273" t="e">
        <f>(Financials!BE30-Financials!AR30)/Financials!AR30</f>
        <v>#REF!</v>
      </c>
      <c r="CM34" s="273">
        <f>(Financials!BF30-Financials!AS30)/Financials!AS30</f>
        <v>0.13614535946822107</v>
      </c>
      <c r="CN34" s="273">
        <f>(Financials!BG30-Financials!AT30)/Financials!AT30</f>
        <v>1.5027776835421088E-2</v>
      </c>
      <c r="CO34" s="273">
        <f>(Financials!BH30-Financials!AU30)/Financials!AU30</f>
        <v>1.679134010203271E-3</v>
      </c>
      <c r="CP34" s="273">
        <f>(Financials!BI30-Financials!AV30)/Financials!AV30</f>
        <v>-0.15173440051711096</v>
      </c>
      <c r="CQ34" s="273">
        <f>(Financials!BJ30-Financials!AW30)/Financials!AW30</f>
        <v>-8.191577762889965E-2</v>
      </c>
      <c r="CR34" s="273">
        <f>(Financials!BK30-Financials!AX30)/Financials!AX30</f>
        <v>-7.2215346028284791E-2</v>
      </c>
      <c r="CS34" s="273">
        <f>(Financials!BL30-Financials!AY30)/Financials!AY30</f>
        <v>6.2396547820980558E-2</v>
      </c>
      <c r="CT34" s="273" t="e">
        <f>(Financials!BM30-Financials!AZ30)/Financials!AZ30</f>
        <v>#REF!</v>
      </c>
      <c r="CU34" s="273">
        <f>(Financials!BN30-Financials!BA30)/Financials!BA30</f>
        <v>1.0438538197570183E-2</v>
      </c>
      <c r="CV34" s="273">
        <f>(Financials!BO30-Financials!BB30)/Financials!BB30</f>
        <v>9.5509544726876866E-2</v>
      </c>
      <c r="CW34" s="273">
        <f>(Financials!BP30-Financials!BC30)/Financials!BC30</f>
        <v>6.4237316870142266E-2</v>
      </c>
      <c r="CX34" s="273">
        <f>(Financials!BQ30-Financials!BD30)/Financials!BD30</f>
        <v>5.4865230567957717E-2</v>
      </c>
      <c r="CY34" s="273">
        <f>(Financials!BR30-Financials!BE30)/Financials!BE30</f>
        <v>-4.0816213609427492E-2</v>
      </c>
      <c r="CZ34" s="273">
        <f>(Financials!BS30-Financials!BF30)/Financials!BF30</f>
        <v>-4.4031075093279699E-2</v>
      </c>
      <c r="DA34" s="273">
        <f>(Financials!CF30-Financials!BG30)/Financials!BG30</f>
        <v>-1</v>
      </c>
      <c r="DB34" s="273">
        <f>(Financials!CG30-Financials!BH30)/Financials!BH30</f>
        <v>-5.8266463195884755E-4</v>
      </c>
      <c r="DC34" s="273">
        <f>(Financials!CH30-Financials!BI30)/Financials!BI30</f>
        <v>0.13248312316870292</v>
      </c>
      <c r="DD34" s="273">
        <f>(Financials!CI30-Financials!BJ30)/Financials!BJ30</f>
        <v>0.21952679494737909</v>
      </c>
      <c r="DE34" s="273">
        <f>(Financials!CJ30-Financials!BK30)/Financials!BK30</f>
        <v>9.6908291331084584E-2</v>
      </c>
      <c r="DF34" s="273">
        <f>(Financials!CK30-Financials!BL30)/Financials!BL30</f>
        <v>-9.6878643077656663E-3</v>
      </c>
      <c r="DG34" s="273">
        <f>(Financials!CL30-Financials!BM30)/Financials!BM30</f>
        <v>8.7007255931543705E-3</v>
      </c>
      <c r="DH34" s="273">
        <f>(Financials!CM30-Financials!BN30)/Financials!BN30</f>
        <v>0.10471359150481474</v>
      </c>
      <c r="DI34" s="273">
        <f>(Financials!CN30-Financials!BO30)/Financials!BO30</f>
        <v>-3.6333349629015695E-2</v>
      </c>
      <c r="DJ34" s="273">
        <f>(Financials!CO30-Financials!BP30)/Financials!BP30</f>
        <v>0.26803643092158358</v>
      </c>
    </row>
    <row r="35" spans="1:114" ht="12.75">
      <c r="A35" s="127" t="s">
        <v>229</v>
      </c>
      <c r="B35" s="131" t="s">
        <v>354</v>
      </c>
      <c r="C35" s="134"/>
      <c r="D35" s="140"/>
      <c r="E35" s="140" t="e">
        <f>[2]Financials!D13/[2]Financials!C13-1</f>
        <v>#DIV/0!</v>
      </c>
      <c r="F35" s="140" t="e">
        <f>[2]Financials!E13/[2]Financials!D13-1</f>
        <v>#DIV/0!</v>
      </c>
      <c r="G35" s="140" t="e">
        <f>[2]Financials!F13/[2]Financials!E13-1</f>
        <v>#DIV/0!</v>
      </c>
      <c r="H35" s="140" t="e">
        <f>[2]Financials!G13/[2]Financials!F13-1</f>
        <v>#DIV/0!</v>
      </c>
      <c r="I35" s="140" t="e">
        <f>[2]Financials!H13/[2]Financials!G13-1</f>
        <v>#DIV/0!</v>
      </c>
      <c r="J35" s="140" t="e">
        <f>[2]Financials!I13/[2]Financials!H13-1</f>
        <v>#DIV/0!</v>
      </c>
      <c r="K35" s="140" t="e">
        <f>[2]Financials!J13/[2]Financials!I13-1</f>
        <v>#DIV/0!</v>
      </c>
      <c r="L35" s="140">
        <f>[2]Financials!K13/[2]Financials!J13-1</f>
        <v>0.91765400057255109</v>
      </c>
      <c r="M35" s="140">
        <f>[2]Financials!L13/[2]Financials!K13-1</f>
        <v>6.0233536054489001E-2</v>
      </c>
      <c r="N35" s="140">
        <f>[2]Financials!M13/[2]Financials!L13-1</f>
        <v>5.5466604985421331E-2</v>
      </c>
      <c r="O35" s="140">
        <f>[2]Financials!N13/[2]Financials!M13-1</f>
        <v>1.5637140989379628E-3</v>
      </c>
      <c r="P35" s="140">
        <f>[2]Financials!O13/[2]Financials!N13-1</f>
        <v>5.8394389955140236E-2</v>
      </c>
      <c r="Q35" s="140">
        <f>[2]Financials!P13/[2]Financials!O13-1</f>
        <v>7.7007315527223286E-2</v>
      </c>
      <c r="R35" s="140">
        <f>[2]Financials!Q13/[2]Financials!P13-1</f>
        <v>5.216680607766766E-2</v>
      </c>
      <c r="S35" s="140">
        <f>[2]Financials!R13/[2]Financials!Q13-1</f>
        <v>5.527107397303066E-2</v>
      </c>
      <c r="T35" s="140">
        <f>[2]Financials!S13/[2]Financials!R13-1</f>
        <v>5.1889853513510831E-2</v>
      </c>
      <c r="U35" s="140">
        <f>[2]Financials!T13/[2]Financials!J13-1</f>
        <v>2.0082733892696067</v>
      </c>
      <c r="V35" s="140">
        <f>[2]Financials!U13/[2]Financials!T13-1</f>
        <v>2.9824448201209108E-2</v>
      </c>
      <c r="W35" s="140">
        <f>[2]Financials!V13/[2]Financials!U13-1</f>
        <v>4.3625136953638011E-2</v>
      </c>
      <c r="X35" s="140">
        <f>[2]Financials!W13/[2]Financials!V13-1</f>
        <v>-0.36618611473246654</v>
      </c>
      <c r="Y35" s="140">
        <f>[2]Financials!X13/[2]Financials!W13-1</f>
        <v>0.64715476433636843</v>
      </c>
      <c r="Z35" s="140">
        <f>[2]Financials!Y13/[2]Financials!X13-1</f>
        <v>-0.29244059766355546</v>
      </c>
      <c r="AA35" s="140">
        <f>[2]Financials!Z13/[2]Financials!Y13-1</f>
        <v>-4.1866814283045062E-2</v>
      </c>
      <c r="AB35" s="140">
        <f>[2]Financials!AA13/[2]Financials!Z13-1</f>
        <v>0.14470833399642258</v>
      </c>
      <c r="AC35" s="140">
        <f>[2]Financials!AB13/[2]Financials!AA13-1</f>
        <v>4.2226431115008456E-2</v>
      </c>
      <c r="AD35" s="140">
        <f>[2]Financials!AC13/[2]Financials!AB13-1</f>
        <v>6.1614741836077735E-2</v>
      </c>
      <c r="AE35" s="140">
        <f>[2]Financials!AD13/[2]Financials!AC13-1</f>
        <v>7.5867649431273554E-2</v>
      </c>
      <c r="AF35" s="140">
        <f>[2]Financials!AE13/[2]Financials!AD13-1</f>
        <v>7.4386631104626177E-2</v>
      </c>
      <c r="AG35" s="140">
        <f>[2]Financials!AF13/[2]Financials!AE13-1</f>
        <v>6.3520202340465071E-2</v>
      </c>
      <c r="AH35" s="140">
        <f>[2]Financials!AG13/[2]Financials!AF13-1</f>
        <v>4.4398069581726318E-2</v>
      </c>
      <c r="AI35" s="140">
        <f>[2]Financials!AH13/[2]Financials!AG13-1</f>
        <v>2.2232185279887906E-2</v>
      </c>
      <c r="AJ35" s="140">
        <f>[2]Financials!AI13/[2]Financials!AH13-1</f>
        <v>5.0896852886485933E-2</v>
      </c>
      <c r="AK35" s="140"/>
      <c r="AL35" s="273" t="e">
        <f>(Financials!E11-Financials!#REF!)/Financials!#REF!</f>
        <v>#REF!</v>
      </c>
      <c r="AM35" s="273" t="e">
        <f>(Financials!F11-Financials!#REF!)/Financials!#REF!</f>
        <v>#REF!</v>
      </c>
      <c r="AN35" s="273" t="e">
        <f>(Financials!G11-Financials!#REF!)/Financials!#REF!</f>
        <v>#REF!</v>
      </c>
      <c r="AO35" s="273" t="e">
        <f>(Financials!H11-Financials!#REF!)/Financials!#REF!</f>
        <v>#REF!</v>
      </c>
      <c r="AP35" s="273" t="e">
        <f>(Financials!I11-Financials!#REF!)/Financials!#REF!</f>
        <v>#REF!</v>
      </c>
      <c r="AQ35" s="273" t="e">
        <f>(Financials!J11-Financials!#REF!)/Financials!#REF!</f>
        <v>#REF!</v>
      </c>
      <c r="AR35" s="273" t="e">
        <f>(Financials!K11-Financials!#REF!)/Financials!#REF!</f>
        <v>#REF!</v>
      </c>
      <c r="AS35" s="273" t="e">
        <f>(Financials!L11-Financials!#REF!)/Financials!#REF!</f>
        <v>#REF!</v>
      </c>
      <c r="AT35" s="273" t="e">
        <f>(Financials!M11-Financials!#REF!)/Financials!#REF!</f>
        <v>#REF!</v>
      </c>
      <c r="AU35" s="273" t="e">
        <f>(Financials!N11-Financials!A11)/Financials!A11</f>
        <v>#REF!</v>
      </c>
      <c r="AV35" s="273" t="e">
        <f>(Financials!O11-Financials!B11)/Financials!B11</f>
        <v>#REF!</v>
      </c>
      <c r="AW35" s="273" t="e">
        <f>(Financials!P11-Financials!C11)/Financials!C11</f>
        <v>#REF!</v>
      </c>
      <c r="AX35" s="273" t="e">
        <f>(Financials!Q11-Financials!D11)/Financials!D11</f>
        <v>#REF!</v>
      </c>
      <c r="AY35" s="273" t="e">
        <f>(Financials!R11-Financials!E11)/Financials!E11</f>
        <v>#REF!</v>
      </c>
      <c r="AZ35" s="273" t="e">
        <f>(Financials!S11-Financials!F11)/Financials!F11</f>
        <v>#REF!</v>
      </c>
      <c r="BA35" s="273" t="e">
        <f>(Financials!T11-Financials!G11)/Financials!G11</f>
        <v>#REF!</v>
      </c>
      <c r="BB35" s="273" t="e">
        <f>(Financials!U11-Financials!H11)/Financials!H11</f>
        <v>#REF!</v>
      </c>
      <c r="BC35" s="273" t="e">
        <f>(Financials!V11-Financials!I11)/Financials!I11</f>
        <v>#REF!</v>
      </c>
      <c r="BD35" s="273" t="e">
        <f>(Financials!W11-Financials!J11)/Financials!J11</f>
        <v>#REF!</v>
      </c>
      <c r="BE35" s="273" t="e">
        <f>(Financials!X11-Financials!K11)/Financials!K11</f>
        <v>#REF!</v>
      </c>
      <c r="BF35" s="273" t="e">
        <f>(Financials!Y11-Financials!L11)/Financials!L11</f>
        <v>#REF!</v>
      </c>
      <c r="BG35" s="273" t="e">
        <f>(Financials!Z11-Financials!M11)/Financials!M11</f>
        <v>#REF!</v>
      </c>
      <c r="BH35" s="273" t="e">
        <f>(Financials!AA11-Financials!N11)/Financials!N11</f>
        <v>#REF!</v>
      </c>
      <c r="BI35" s="273" t="e">
        <f>(Financials!AB11-Financials!O11)/Financials!O11</f>
        <v>#REF!</v>
      </c>
      <c r="BJ35" s="273" t="e">
        <f>(Financials!AC11-Financials!P11)/Financials!P11</f>
        <v>#REF!</v>
      </c>
      <c r="BK35" s="273" t="e">
        <f>(Financials!AD11-Financials!Q11)/Financials!Q11</f>
        <v>#REF!</v>
      </c>
      <c r="BL35" s="273" t="e">
        <f>(Financials!AE11-Financials!R11)/Financials!R11</f>
        <v>#REF!</v>
      </c>
      <c r="BM35" s="273" t="e">
        <f>(Financials!AF11-Financials!S11)/Financials!S11</f>
        <v>#REF!</v>
      </c>
      <c r="BN35" s="273" t="e">
        <f>(Financials!AG11-Financials!T11)/Financials!T11</f>
        <v>#REF!</v>
      </c>
      <c r="BO35" s="273" t="e">
        <f>(Financials!AH11-Financials!U11)/Financials!U11</f>
        <v>#REF!</v>
      </c>
      <c r="BP35" s="273" t="e">
        <f>(Financials!AI11-Financials!V11)/Financials!V11</f>
        <v>#REF!</v>
      </c>
      <c r="BQ35" s="273" t="e">
        <f>(Financials!AJ11-Financials!W11)/Financials!W11</f>
        <v>#REF!</v>
      </c>
      <c r="BR35" s="273" t="e">
        <f>(Financials!AK11-Financials!X11)/Financials!X11</f>
        <v>#REF!</v>
      </c>
      <c r="BS35" s="273" t="e">
        <f>(Financials!AL11-Financials!Y11)/Financials!Y11</f>
        <v>#REF!</v>
      </c>
      <c r="BT35" s="273" t="e">
        <f>(Financials!AM11-Financials!Z11)/Financials!Z11</f>
        <v>#REF!</v>
      </c>
      <c r="BU35" s="273" t="e">
        <f>(Financials!AN11-Financials!AA11)/Financials!AA11</f>
        <v>#REF!</v>
      </c>
      <c r="BV35" s="273" t="e">
        <f>(Financials!AO11-Financials!AB11)/Financials!AB11</f>
        <v>#REF!</v>
      </c>
      <c r="BW35" s="273" t="e">
        <f>(Financials!AP11-Financials!AC11)/Financials!AC11</f>
        <v>#REF!</v>
      </c>
      <c r="BX35" s="273" t="e">
        <f>(Financials!AQ11-Financials!AD11)/Financials!AD11</f>
        <v>#REF!</v>
      </c>
      <c r="BY35" s="273" t="e">
        <f>(Financials!AR11-Financials!AE11)/Financials!AE11</f>
        <v>#REF!</v>
      </c>
      <c r="BZ35" s="273" t="e">
        <f>(Financials!AS11-Financials!AF11)/Financials!AF11</f>
        <v>#REF!</v>
      </c>
      <c r="CA35" s="273" t="e">
        <f>(Financials!AT11-Financials!AG11)/Financials!AG11</f>
        <v>#REF!</v>
      </c>
      <c r="CB35" s="273" t="e">
        <f>(Financials!AU11-Financials!AH11)/Financials!AH11</f>
        <v>#REF!</v>
      </c>
      <c r="CC35" s="273" t="e">
        <f>(Financials!AV11-Financials!AI11)/Financials!AI11</f>
        <v>#REF!</v>
      </c>
      <c r="CD35" s="273" t="e">
        <f>(Financials!AW11-Financials!AJ11)/Financials!AJ11</f>
        <v>#REF!</v>
      </c>
      <c r="CE35" s="273" t="e">
        <f>(Financials!AX11-Financials!AK11)/Financials!AK11</f>
        <v>#REF!</v>
      </c>
      <c r="CF35" s="273" t="e">
        <f>(Financials!AY11-Financials!AL11)/Financials!AL11</f>
        <v>#REF!</v>
      </c>
      <c r="CG35" s="273" t="e">
        <f>(Financials!AZ11-Financials!AM11)/Financials!AM11</f>
        <v>#REF!</v>
      </c>
      <c r="CH35" s="273" t="e">
        <f>(Financials!BA11-Financials!AN11)/Financials!AN11</f>
        <v>#REF!</v>
      </c>
      <c r="CI35" s="273" t="e">
        <f>(Financials!BB11-Financials!AO11)/Financials!AO11</f>
        <v>#REF!</v>
      </c>
      <c r="CJ35" s="273" t="e">
        <f>(Financials!BC11-Financials!AP11)/Financials!AP11</f>
        <v>#REF!</v>
      </c>
      <c r="CK35" s="273" t="e">
        <f>(Financials!BD11-Financials!AQ11)/Financials!AQ11</f>
        <v>#REF!</v>
      </c>
      <c r="CL35" s="273" t="e">
        <f>(Financials!BE11-Financials!AR11)/Financials!AR11</f>
        <v>#REF!</v>
      </c>
      <c r="CM35" s="273">
        <f>(Financials!BF11-Financials!AS11)/Financials!AS11</f>
        <v>2.4163524165315951E-2</v>
      </c>
      <c r="CN35" s="273">
        <f>(Financials!BG11-Financials!AT11)/Financials!AT11</f>
        <v>1.5858764266024387E-2</v>
      </c>
      <c r="CO35" s="273">
        <f>(Financials!BH11-Financials!AU11)/Financials!AU11</f>
        <v>7.4954642758948151E-3</v>
      </c>
      <c r="CP35" s="273">
        <f>(Financials!BI11-Financials!AV11)/Financials!AV11</f>
        <v>1.183570758185804E-2</v>
      </c>
      <c r="CQ35" s="273">
        <f>(Financials!BJ11-Financials!AW11)/Financials!AW11</f>
        <v>1.4066942540976924E-2</v>
      </c>
      <c r="CR35" s="273">
        <f>(Financials!BK11-Financials!AX11)/Financials!AX11</f>
        <v>1.1564645589260696E-2</v>
      </c>
      <c r="CS35" s="273">
        <f>(Financials!BL11-Financials!AY11)/Financials!AY11</f>
        <v>1.3247186221577792E-2</v>
      </c>
      <c r="CT35" s="273" t="e">
        <f>(Financials!BM11-Financials!AZ11)/Financials!AZ11</f>
        <v>#REF!</v>
      </c>
      <c r="CU35" s="273">
        <f>(Financials!BN11-Financials!BA11)/Financials!BA11</f>
        <v>1.5702355608732579E-2</v>
      </c>
      <c r="CV35" s="273">
        <f>(Financials!BO11-Financials!BB11)/Financials!BB11</f>
        <v>1.6083005390083848E-2</v>
      </c>
      <c r="CW35" s="273">
        <f>(Financials!BP11-Financials!BC11)/Financials!BC11</f>
        <v>2.1667017518600173E-2</v>
      </c>
      <c r="CX35" s="273">
        <f>(Financials!BQ11-Financials!BD11)/Financials!BD11</f>
        <v>1.1893586803422342E-2</v>
      </c>
      <c r="CY35" s="273">
        <f>(Financials!BR11-Financials!BE11)/Financials!BE11</f>
        <v>2.3710603399751989E-2</v>
      </c>
      <c r="CZ35" s="273">
        <f>(Financials!BS11-Financials!BF11)/Financials!BF11</f>
        <v>9.9472564942234068E-2</v>
      </c>
      <c r="DA35" s="273">
        <f>(Financials!CF11-Financials!BG11)/Financials!BG11</f>
        <v>-1</v>
      </c>
      <c r="DB35" s="273">
        <f>(Financials!CG11-Financials!BH11)/Financials!BH11</f>
        <v>0.12870612550441698</v>
      </c>
      <c r="DC35" s="273">
        <f>(Financials!CH11-Financials!BI11)/Financials!BI11</f>
        <v>7.129294719183174E-2</v>
      </c>
      <c r="DD35" s="273">
        <f>(Financials!CI11-Financials!BJ11)/Financials!BJ11</f>
        <v>0.11437520408196306</v>
      </c>
      <c r="DE35" s="273">
        <f>(Financials!CJ11-Financials!BK11)/Financials!BK11</f>
        <v>9.5356814130642648E-2</v>
      </c>
      <c r="DF35" s="273">
        <f>(Financials!CK11-Financials!BL11)/Financials!BL11</f>
        <v>9.9225861916522315E-2</v>
      </c>
      <c r="DG35" s="273">
        <f>(Financials!CL11-Financials!BM11)/Financials!BM11</f>
        <v>7.8089745285266896E-2</v>
      </c>
      <c r="DH35" s="273">
        <f>(Financials!CM11-Financials!BN11)/Financials!BN11</f>
        <v>9.8949454321903094E-2</v>
      </c>
      <c r="DI35" s="273">
        <f>(Financials!CN11-Financials!BO11)/Financials!BO11</f>
        <v>9.7651255981831456E-2</v>
      </c>
      <c r="DJ35" s="273">
        <f>(Financials!CO11-Financials!BP11)/Financials!BP11</f>
        <v>7.2548688727507415E-2</v>
      </c>
    </row>
    <row r="36" spans="1:114" ht="12.75">
      <c r="A36" s="127" t="s">
        <v>359</v>
      </c>
      <c r="B36" s="131" t="s">
        <v>354</v>
      </c>
      <c r="C36" s="134"/>
      <c r="D36" s="142"/>
      <c r="E36" s="142" t="e">
        <f>[2]Financials!D42/[2]Financials!C42-1</f>
        <v>#DIV/0!</v>
      </c>
      <c r="F36" s="142" t="e">
        <f>[2]Financials!E42/[2]Financials!D42-1</f>
        <v>#DIV/0!</v>
      </c>
      <c r="G36" s="142" t="e">
        <f>[2]Financials!F42/[2]Financials!E42-1</f>
        <v>#DIV/0!</v>
      </c>
      <c r="H36" s="142" t="e">
        <f>[2]Financials!G42/[2]Financials!F42-1</f>
        <v>#DIV/0!</v>
      </c>
      <c r="I36" s="142" t="e">
        <f>[2]Financials!H42/[2]Financials!G42-1</f>
        <v>#DIV/0!</v>
      </c>
      <c r="J36" s="142" t="e">
        <f>[2]Financials!I42/[2]Financials!H42-1</f>
        <v>#DIV/0!</v>
      </c>
      <c r="K36" s="142" t="e">
        <f>[2]Financials!J42/[2]Financials!I42-1</f>
        <v>#DIV/0!</v>
      </c>
      <c r="L36" s="142">
        <f>[2]Financials!K42/[2]Financials!J42-1</f>
        <v>-0.89973290091089086</v>
      </c>
      <c r="M36" s="142">
        <f>[2]Financials!L42/[2]Financials!K42-1</f>
        <v>0.92286734907818602</v>
      </c>
      <c r="N36" s="142">
        <f>[2]Financials!M42/[2]Financials!L42-1</f>
        <v>0.47316710220544733</v>
      </c>
      <c r="O36" s="142">
        <f>[2]Financials!N42/[2]Financials!M42-1</f>
        <v>0.34708276092171486</v>
      </c>
      <c r="P36" s="142">
        <f>[2]Financials!O42/[2]Financials!N42-1</f>
        <v>0.27018586809293788</v>
      </c>
      <c r="Q36" s="142">
        <f>[2]Financials!P42/[2]Financials!O42-1</f>
        <v>0.26673264460401169</v>
      </c>
      <c r="R36" s="142">
        <f>[2]Financials!Q42/[2]Financials!P42-1</f>
        <v>0.17363100365714645</v>
      </c>
      <c r="S36" s="142">
        <f>[2]Financials!R42/[2]Financials!Q42-1</f>
        <v>0.16189818413686119</v>
      </c>
      <c r="T36" s="142">
        <f>[2]Financials!S42/[2]Financials!R42-1</f>
        <v>0.13849487657108583</v>
      </c>
      <c r="U36" s="142">
        <f>[2]Financials!T42/[2]Financials!J42-1</f>
        <v>7.7717186737404464E-2</v>
      </c>
      <c r="V36" s="142">
        <f>[2]Financials!U42/[2]Financials!T42-1</f>
        <v>0.11672772532479647</v>
      </c>
      <c r="W36" s="142">
        <f>[2]Financials!V42/[2]Financials!U42-1</f>
        <v>0.10401662114822741</v>
      </c>
      <c r="X36" s="142">
        <f>[2]Financials!W42/[2]Financials!V42-1</f>
        <v>6.9198370812357801E-3</v>
      </c>
      <c r="Y36" s="142">
        <f>[2]Financials!X42/[2]Financials!W42-1</f>
        <v>-0.89420124440050197</v>
      </c>
      <c r="Z36" s="142">
        <f>[2]Financials!Y42/[2]Financials!X42-1</f>
        <v>0.86204908677244174</v>
      </c>
      <c r="AA36" s="142">
        <f>[2]Financials!Z42/[2]Financials!Y42-1</f>
        <v>0.3718491775590449</v>
      </c>
      <c r="AB36" s="142">
        <f>[2]Financials!AA42/[2]Financials!Z42-1</f>
        <v>0.63453156939657429</v>
      </c>
      <c r="AC36" s="142">
        <f>[2]Financials!AB42/[2]Financials!AA42-1</f>
        <v>0.2196023117002539</v>
      </c>
      <c r="AD36" s="142">
        <f>[2]Financials!AC42/[2]Financials!AB42-1</f>
        <v>0.18996600347308323</v>
      </c>
      <c r="AE36" s="142">
        <f>[2]Financials!AD42/[2]Financials!AC42-1</f>
        <v>0.20417836138236867</v>
      </c>
      <c r="AF36" s="142">
        <f>[2]Financials!AE42/[2]Financials!AD42-1</f>
        <v>0.14665762817523031</v>
      </c>
      <c r="AG36" s="142">
        <f>[2]Financials!AF42/[2]Financials!AE42-1</f>
        <v>0.13280067863600631</v>
      </c>
      <c r="AH36" s="142">
        <f>[2]Financials!AG42/[2]Financials!AF42-1</f>
        <v>0.1065071424511741</v>
      </c>
      <c r="AI36" s="142">
        <f>[2]Financials!AH42/[2]Financials!AG42-1</f>
        <v>0.12079137757224845</v>
      </c>
      <c r="AJ36" s="142">
        <f>[2]Financials!AI42/[2]Financials!AH42-1</f>
        <v>9.5177761602169397E-2</v>
      </c>
      <c r="AK36" s="142"/>
      <c r="AL36" s="273" t="e">
        <f>(Financials!E37-Financials!#REF!)/Financials!#REF!</f>
        <v>#REF!</v>
      </c>
      <c r="AM36" s="273" t="e">
        <f>(Financials!F37-Financials!#REF!)/Financials!#REF!</f>
        <v>#REF!</v>
      </c>
      <c r="AN36" s="273" t="e">
        <f>(Financials!G37-Financials!#REF!)/Financials!#REF!</f>
        <v>#REF!</v>
      </c>
      <c r="AO36" s="273" t="e">
        <f>(Financials!H37-Financials!#REF!)/Financials!#REF!</f>
        <v>#REF!</v>
      </c>
      <c r="AP36" s="273" t="e">
        <f>(Financials!I37-Financials!#REF!)/Financials!#REF!</f>
        <v>#REF!</v>
      </c>
      <c r="AQ36" s="273" t="e">
        <f>(Financials!J37-Financials!#REF!)/Financials!#REF!</f>
        <v>#REF!</v>
      </c>
      <c r="AR36" s="273" t="e">
        <f>(Financials!K37-Financials!#REF!)/Financials!#REF!</f>
        <v>#REF!</v>
      </c>
      <c r="AS36" s="273" t="e">
        <f>(Financials!L37-Financials!#REF!)/Financials!#REF!</f>
        <v>#REF!</v>
      </c>
      <c r="AT36" s="273" t="e">
        <f>(Financials!M37-Financials!#REF!)/Financials!#REF!</f>
        <v>#REF!</v>
      </c>
      <c r="AU36" s="273" t="e">
        <f>(Financials!N37-Financials!A37)/Financials!A37</f>
        <v>#REF!</v>
      </c>
      <c r="AV36" s="273" t="e">
        <f>(Financials!O37-Financials!B37)/Financials!B37</f>
        <v>#REF!</v>
      </c>
      <c r="AW36" s="273" t="e">
        <f>(Financials!P37-Financials!C37)/Financials!C37</f>
        <v>#REF!</v>
      </c>
      <c r="AX36" s="273" t="e">
        <f>(Financials!Q37-Financials!D37)/Financials!D37</f>
        <v>#REF!</v>
      </c>
      <c r="AY36" s="273" t="e">
        <f>(Financials!R37-Financials!E37)/Financials!E37</f>
        <v>#REF!</v>
      </c>
      <c r="AZ36" s="273" t="e">
        <f>(Financials!S37-Financials!F37)/Financials!F37</f>
        <v>#REF!</v>
      </c>
      <c r="BA36" s="273" t="e">
        <f>(Financials!T37-Financials!G37)/Financials!G37</f>
        <v>#REF!</v>
      </c>
      <c r="BB36" s="273" t="e">
        <f>(Financials!U37-Financials!H37)/Financials!H37</f>
        <v>#REF!</v>
      </c>
      <c r="BC36" s="273" t="e">
        <f>(Financials!V37-Financials!I37)/Financials!I37</f>
        <v>#REF!</v>
      </c>
      <c r="BD36" s="273" t="e">
        <f>(Financials!W37-Financials!J37)/Financials!J37</f>
        <v>#REF!</v>
      </c>
      <c r="BE36" s="273" t="e">
        <f>(Financials!X37-Financials!K37)/Financials!K37</f>
        <v>#REF!</v>
      </c>
      <c r="BF36" s="273" t="e">
        <f>(Financials!Y37-Financials!L37)/Financials!L37</f>
        <v>#REF!</v>
      </c>
      <c r="BG36" s="273" t="e">
        <f>(Financials!Z37-Financials!M37)/Financials!M37</f>
        <v>#REF!</v>
      </c>
      <c r="BH36" s="273" t="e">
        <f>(Financials!AA37-Financials!N37)/Financials!N37</f>
        <v>#REF!</v>
      </c>
      <c r="BI36" s="273" t="e">
        <f>(Financials!AB37-Financials!O37)/Financials!O37</f>
        <v>#REF!</v>
      </c>
      <c r="BJ36" s="273" t="e">
        <f>(Financials!AC37-Financials!P37)/Financials!P37</f>
        <v>#REF!</v>
      </c>
      <c r="BK36" s="273" t="e">
        <f>(Financials!AD37-Financials!Q37)/Financials!Q37</f>
        <v>#REF!</v>
      </c>
      <c r="BL36" s="273" t="e">
        <f>(Financials!AE37-Financials!R37)/Financials!R37</f>
        <v>#REF!</v>
      </c>
      <c r="BM36" s="273" t="e">
        <f>(Financials!AF37-Financials!S37)/Financials!S37</f>
        <v>#REF!</v>
      </c>
      <c r="BN36" s="273" t="e">
        <f>(Financials!AG37-Financials!T37)/Financials!T37</f>
        <v>#REF!</v>
      </c>
      <c r="BO36" s="273" t="e">
        <f>(Financials!AH37-Financials!U37)/Financials!U37</f>
        <v>#REF!</v>
      </c>
      <c r="BP36" s="273" t="e">
        <f>(Financials!AI37-Financials!V37)/Financials!V37</f>
        <v>#REF!</v>
      </c>
      <c r="BQ36" s="273" t="e">
        <f>(Financials!AJ37-Financials!W37)/Financials!W37</f>
        <v>#REF!</v>
      </c>
      <c r="BR36" s="273" t="e">
        <f>(Financials!AK37-Financials!X37)/Financials!X37</f>
        <v>#REF!</v>
      </c>
      <c r="BS36" s="273" t="e">
        <f>(Financials!AL37-Financials!Y37)/Financials!Y37</f>
        <v>#REF!</v>
      </c>
      <c r="BT36" s="273" t="e">
        <f>(Financials!AM37-Financials!Z37)/Financials!Z37</f>
        <v>#REF!</v>
      </c>
      <c r="BU36" s="273" t="e">
        <f>(Financials!AN37-Financials!AA37)/Financials!AA37</f>
        <v>#REF!</v>
      </c>
      <c r="BV36" s="273" t="e">
        <f>(Financials!AO37-Financials!AB37)/Financials!AB37</f>
        <v>#REF!</v>
      </c>
      <c r="BW36" s="273" t="e">
        <f>(Financials!AP37-Financials!AC37)/Financials!AC37</f>
        <v>#REF!</v>
      </c>
      <c r="BX36" s="273" t="e">
        <f>(Financials!AQ37-Financials!AD37)/Financials!AD37</f>
        <v>#REF!</v>
      </c>
      <c r="BY36" s="273" t="e">
        <f>(Financials!AR37-Financials!AE37)/Financials!AE37</f>
        <v>#REF!</v>
      </c>
      <c r="BZ36" s="273" t="e">
        <f>(Financials!AS37-Financials!AF37)/Financials!AF37</f>
        <v>#REF!</v>
      </c>
      <c r="CA36" s="273" t="e">
        <f>(Financials!AT37-Financials!AG37)/Financials!AG37</f>
        <v>#REF!</v>
      </c>
      <c r="CB36" s="273" t="e">
        <f>(Financials!AU37-Financials!AH37)/Financials!AH37</f>
        <v>#REF!</v>
      </c>
      <c r="CC36" s="273" t="e">
        <f>(Financials!AV37-Financials!AI37)/Financials!AI37</f>
        <v>#REF!</v>
      </c>
      <c r="CD36" s="273" t="e">
        <f>(Financials!AW37-Financials!AJ37)/Financials!AJ37</f>
        <v>#REF!</v>
      </c>
      <c r="CE36" s="273" t="e">
        <f>(Financials!AX37-Financials!AK37)/Financials!AK37</f>
        <v>#REF!</v>
      </c>
      <c r="CF36" s="273" t="e">
        <f>(Financials!AY37-Financials!AL37)/Financials!AL37</f>
        <v>#REF!</v>
      </c>
      <c r="CG36" s="273" t="e">
        <f>(Financials!AZ37-Financials!AM37)/Financials!AM37</f>
        <v>#REF!</v>
      </c>
      <c r="CH36" s="273" t="e">
        <f>(Financials!BA37-Financials!AN37)/Financials!AN37</f>
        <v>#REF!</v>
      </c>
      <c r="CI36" s="273" t="e">
        <f>(Financials!BB37-Financials!AO37)/Financials!AO37</f>
        <v>#REF!</v>
      </c>
      <c r="CJ36" s="273" t="e">
        <f>(Financials!BC37-Financials!AP37)/Financials!AP37</f>
        <v>#REF!</v>
      </c>
      <c r="CK36" s="273" t="e">
        <f>(Financials!BD37-Financials!AQ37)/Financials!AQ37</f>
        <v>#REF!</v>
      </c>
      <c r="CL36" s="273" t="e">
        <f>(Financials!BE37-Financials!AR37)/Financials!AR37</f>
        <v>#REF!</v>
      </c>
      <c r="CM36" s="273">
        <f>(Financials!BF37-Financials!AS37)/Financials!AS37</f>
        <v>-1.9739707718015861E-2</v>
      </c>
      <c r="CN36" s="273">
        <f>(Financials!BG37-Financials!AT37)/Financials!AT37</f>
        <v>-0.639525946070299</v>
      </c>
      <c r="CO36" s="273">
        <f>(Financials!BH37-Financials!AU37)/Financials!AU37</f>
        <v>-0.28590732946007674</v>
      </c>
      <c r="CP36" s="273">
        <f>(Financials!BI37-Financials!AV37)/Financials!AV37</f>
        <v>-8.2812644487582479E-2</v>
      </c>
      <c r="CQ36" s="273">
        <f>(Financials!BJ37-Financials!AW37)/Financials!AW37</f>
        <v>2.0922312133475951E-2</v>
      </c>
      <c r="CR36" s="273">
        <f>(Financials!BK37-Financials!AX37)/Financials!AX37</f>
        <v>4.4679986421877392E-2</v>
      </c>
      <c r="CS36" s="273">
        <f>(Financials!BL37-Financials!AY37)/Financials!AY37</f>
        <v>-4.3303122590574719E-3</v>
      </c>
      <c r="CT36" s="273" t="e">
        <f>(Financials!BM37-Financials!AZ37)/Financials!AZ37</f>
        <v>#REF!</v>
      </c>
      <c r="CU36" s="273">
        <f>(Financials!BN37-Financials!BA37)/Financials!BA37</f>
        <v>0.11576239231152513</v>
      </c>
      <c r="CV36" s="273">
        <f>(Financials!BO37-Financials!BB37)/Financials!BB37</f>
        <v>6.4857228763209887E-2</v>
      </c>
      <c r="CW36" s="273">
        <f>(Financials!BP37-Financials!BC37)/Financials!BC37</f>
        <v>0.11689655731718986</v>
      </c>
      <c r="CX36" s="273">
        <f>(Financials!BQ37-Financials!BD37)/Financials!BD37</f>
        <v>0.11082763987018501</v>
      </c>
      <c r="CY36" s="273">
        <f>(Financials!BR37-Financials!BE37)/Financials!BE37</f>
        <v>9.1294865702419875E-2</v>
      </c>
      <c r="CZ36" s="273">
        <f>(Financials!BS37-Financials!BF37)/Financials!BF37</f>
        <v>0.12401906887646837</v>
      </c>
      <c r="DA36" s="273" t="e">
        <f>(Financials!CF37-Financials!BG37)/Financials!BG37</f>
        <v>#DIV/0!</v>
      </c>
      <c r="DB36" s="273">
        <f>(Financials!CG37-Financials!BH37)/Financials!BH37</f>
        <v>-0.17681257701425915</v>
      </c>
      <c r="DC36" s="273">
        <f>(Financials!CH37-Financials!BI37)/Financials!BI37</f>
        <v>-0.24610961450670132</v>
      </c>
      <c r="DD36" s="273">
        <f>(Financials!CI37-Financials!BJ37)/Financials!BJ37</f>
        <v>-6.5774253975648067E-2</v>
      </c>
      <c r="DE36" s="273">
        <f>(Financials!CJ37-Financials!BK37)/Financials!BK37</f>
        <v>-5.621962534893666E-2</v>
      </c>
      <c r="DF36" s="273">
        <f>(Financials!CK37-Financials!BL37)/Financials!BL37</f>
        <v>7.5101168673332566E-2</v>
      </c>
      <c r="DG36" s="273">
        <f>(Financials!CL37-Financials!BM37)/Financials!BM37</f>
        <v>-3.3486245398065009E-2</v>
      </c>
      <c r="DH36" s="273">
        <f>(Financials!CM37-Financials!BN37)/Financials!BN37</f>
        <v>0.26074168882831328</v>
      </c>
      <c r="DI36" s="273">
        <f>(Financials!CN37-Financials!BO37)/Financials!BO37</f>
        <v>0.30754965895672404</v>
      </c>
      <c r="DJ36" s="273">
        <f>(Financials!CO37-Financials!BP37)/Financials!BP37</f>
        <v>0.19645455755531052</v>
      </c>
    </row>
    <row r="37" spans="1:114" ht="12.75">
      <c r="A37" s="127" t="s">
        <v>231</v>
      </c>
      <c r="B37" s="131" t="s">
        <v>354</v>
      </c>
      <c r="C37" s="134"/>
      <c r="D37" s="143"/>
      <c r="E37" s="143">
        <f>[2]Financials!D4/[2]Financials!C4-1</f>
        <v>3.8669760247486362E-2</v>
      </c>
      <c r="F37" s="143">
        <f>[2]Financials!E4/[2]Financials!D4-1</f>
        <v>0.45346239761727469</v>
      </c>
      <c r="G37" s="143">
        <f>[2]Financials!F4/[2]Financials!E4-1</f>
        <v>-1</v>
      </c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  <c r="BD37" s="143"/>
      <c r="BE37" s="143"/>
      <c r="BF37" s="143"/>
      <c r="BG37" s="143"/>
      <c r="BH37" s="143"/>
      <c r="BI37" s="143"/>
      <c r="BJ37" s="143"/>
      <c r="BK37" s="143"/>
      <c r="BL37" s="143"/>
      <c r="BM37" s="143"/>
      <c r="BN37" s="143"/>
      <c r="BO37" s="143"/>
      <c r="BP37" s="143"/>
      <c r="BQ37" s="143"/>
      <c r="BR37" s="143"/>
      <c r="BS37" s="143"/>
      <c r="BT37" s="143"/>
      <c r="BU37" s="143"/>
      <c r="BV37" s="143"/>
      <c r="BW37" s="143"/>
      <c r="BX37" s="143"/>
      <c r="BY37" s="143"/>
      <c r="BZ37" s="143"/>
      <c r="CA37" s="143"/>
      <c r="CB37" s="143"/>
      <c r="CC37" s="143"/>
      <c r="CD37" s="143"/>
      <c r="CE37" s="143"/>
      <c r="CF37" s="143"/>
      <c r="CG37" s="143"/>
      <c r="CH37" s="143"/>
      <c r="CI37" s="143"/>
      <c r="CJ37" s="143"/>
      <c r="CK37" s="143"/>
      <c r="CL37" s="143"/>
      <c r="CM37" s="143"/>
      <c r="CN37" s="143"/>
      <c r="CO37" s="143"/>
      <c r="CP37" s="143"/>
      <c r="CQ37" s="143"/>
      <c r="CR37" s="143"/>
      <c r="CS37" s="143"/>
      <c r="CT37" s="143"/>
      <c r="CU37" s="143"/>
      <c r="CV37" s="143"/>
      <c r="CW37" s="143"/>
      <c r="CX37" s="143"/>
      <c r="CY37" s="143"/>
      <c r="CZ37" s="143"/>
      <c r="DA37" s="143"/>
      <c r="DB37" s="143"/>
      <c r="DC37" s="143"/>
      <c r="DD37" s="143"/>
      <c r="DE37" s="143"/>
      <c r="DF37" s="143"/>
      <c r="DG37" s="143"/>
      <c r="DH37" s="143"/>
      <c r="DI37" s="143"/>
      <c r="DJ37" s="143"/>
    </row>
    <row r="38" spans="1:114" ht="12.75" hidden="1">
      <c r="A38" s="127"/>
      <c r="B38" s="139"/>
      <c r="C38" s="132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4"/>
      <c r="AX38" s="144"/>
      <c r="AY38" s="144"/>
      <c r="AZ38" s="144"/>
      <c r="BA38" s="144"/>
      <c r="BB38" s="144"/>
      <c r="BC38" s="144"/>
      <c r="BD38" s="144"/>
      <c r="BE38" s="144"/>
      <c r="BF38" s="144"/>
      <c r="BG38" s="144"/>
      <c r="BH38" s="144"/>
      <c r="BI38" s="144"/>
      <c r="BJ38" s="144"/>
      <c r="BK38" s="144"/>
      <c r="BL38" s="144"/>
      <c r="BM38" s="144"/>
      <c r="BN38" s="144"/>
      <c r="BO38" s="144"/>
      <c r="BP38" s="144"/>
      <c r="BQ38" s="144"/>
      <c r="BR38" s="144"/>
      <c r="BS38" s="144"/>
      <c r="BT38" s="144"/>
      <c r="BU38" s="144"/>
      <c r="BV38" s="144"/>
      <c r="BW38" s="144"/>
      <c r="BX38" s="144"/>
      <c r="BY38" s="144"/>
      <c r="BZ38" s="144"/>
      <c r="CA38" s="144"/>
      <c r="CB38" s="144"/>
      <c r="CC38" s="144"/>
      <c r="CD38" s="144"/>
      <c r="CE38" s="144"/>
      <c r="CF38" s="144"/>
      <c r="CG38" s="144"/>
      <c r="CH38" s="144"/>
      <c r="CI38" s="144"/>
      <c r="CJ38" s="144"/>
      <c r="CK38" s="144"/>
      <c r="CL38" s="144"/>
      <c r="CM38" s="144"/>
      <c r="CN38" s="144"/>
      <c r="CO38" s="144"/>
      <c r="CP38" s="144"/>
      <c r="CQ38" s="144"/>
      <c r="CR38" s="144"/>
      <c r="CS38" s="144"/>
      <c r="CT38" s="144"/>
      <c r="CU38" s="144"/>
      <c r="CV38" s="144"/>
      <c r="CW38" s="144"/>
      <c r="CX38" s="144"/>
      <c r="CY38" s="144"/>
      <c r="CZ38" s="144"/>
      <c r="DA38" s="144"/>
      <c r="DB38" s="144"/>
      <c r="DC38" s="144"/>
      <c r="DD38" s="144"/>
      <c r="DE38" s="144"/>
      <c r="DF38" s="144"/>
      <c r="DG38" s="144"/>
      <c r="DH38" s="144"/>
      <c r="DI38" s="144"/>
      <c r="DJ38" s="144"/>
    </row>
    <row r="39" spans="1:114" ht="12.75" hidden="1">
      <c r="A39" s="145" t="s">
        <v>233</v>
      </c>
      <c r="B39" s="139"/>
      <c r="C39" s="132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6"/>
      <c r="BD39" s="146"/>
      <c r="BE39" s="146"/>
      <c r="BF39" s="146"/>
      <c r="BG39" s="146"/>
      <c r="BH39" s="146"/>
      <c r="BI39" s="146"/>
      <c r="BJ39" s="146"/>
      <c r="BK39" s="146"/>
      <c r="BL39" s="146"/>
      <c r="BM39" s="146"/>
      <c r="BN39" s="146"/>
      <c r="BO39" s="146"/>
      <c r="BP39" s="146"/>
      <c r="BQ39" s="146"/>
      <c r="BR39" s="146"/>
      <c r="BS39" s="146"/>
      <c r="BT39" s="146"/>
      <c r="BU39" s="146"/>
      <c r="BV39" s="146"/>
      <c r="BW39" s="146"/>
      <c r="BX39" s="146"/>
      <c r="BY39" s="146"/>
      <c r="BZ39" s="146"/>
      <c r="CA39" s="146"/>
      <c r="CB39" s="146"/>
      <c r="CC39" s="146"/>
      <c r="CD39" s="146"/>
      <c r="CE39" s="146"/>
      <c r="CF39" s="146"/>
      <c r="CG39" s="146"/>
      <c r="CH39" s="146"/>
      <c r="CI39" s="146"/>
      <c r="CJ39" s="146"/>
      <c r="CK39" s="146"/>
      <c r="CL39" s="146"/>
      <c r="CM39" s="146"/>
      <c r="CN39" s="146"/>
      <c r="CO39" s="146"/>
      <c r="CP39" s="146"/>
      <c r="CQ39" s="146"/>
      <c r="CR39" s="146"/>
      <c r="CS39" s="146"/>
      <c r="CT39" s="146"/>
      <c r="CU39" s="146"/>
      <c r="CV39" s="146"/>
      <c r="CW39" s="146"/>
      <c r="CX39" s="146"/>
      <c r="CY39" s="146"/>
      <c r="CZ39" s="146"/>
      <c r="DA39" s="146"/>
      <c r="DB39" s="146"/>
      <c r="DC39" s="146"/>
      <c r="DD39" s="146"/>
      <c r="DE39" s="146"/>
      <c r="DF39" s="146"/>
      <c r="DG39" s="146"/>
      <c r="DH39" s="146"/>
      <c r="DI39" s="146"/>
      <c r="DJ39" s="146"/>
    </row>
    <row r="40" spans="1:114" ht="12.75" hidden="1">
      <c r="A40" s="127" t="s">
        <v>360</v>
      </c>
      <c r="B40" s="131" t="s">
        <v>354</v>
      </c>
      <c r="C40" s="132"/>
      <c r="D40" s="140"/>
      <c r="E40" s="140" t="e">
        <f>[2]Financials!D49/(([2]Financials!D6+[2]Financials!C6)/2)</f>
        <v>#DIV/0!</v>
      </c>
      <c r="F40" s="140" t="e">
        <f>[2]Financials!E49/(([2]Financials!E6+[2]Financials!D6)/2)</f>
        <v>#DIV/0!</v>
      </c>
      <c r="G40" s="140" t="e">
        <f>[2]Financials!F49/(([2]Financials!F6+[2]Financials!E6)/2)</f>
        <v>#DIV/0!</v>
      </c>
      <c r="H40" s="140" t="e">
        <f>[2]Financials!G49/(([2]Financials!G6+[2]Financials!F6)/2)</f>
        <v>#DIV/0!</v>
      </c>
      <c r="I40" s="140" t="e">
        <f>[2]Financials!H49/(([2]Financials!H6+[2]Financials!G6)/2)</f>
        <v>#DIV/0!</v>
      </c>
      <c r="J40" s="140" t="e">
        <f>[2]Financials!I49/(([2]Financials!I6+[2]Financials!H6)/2)</f>
        <v>#DIV/0!</v>
      </c>
      <c r="K40" s="140">
        <f>[2]Financials!J49/(([2]Financials!J6+[2]Financials!I6)/2)</f>
        <v>0.16087593268900682</v>
      </c>
      <c r="L40" s="140">
        <f>[2]Financials!K49/(([2]Financials!K6+[2]Financials!J6)/2)</f>
        <v>0</v>
      </c>
      <c r="M40" s="140">
        <f>[2]Financials!L49/(([2]Financials!L6+[2]Financials!K6)/2)</f>
        <v>0</v>
      </c>
      <c r="N40" s="140">
        <f>[2]Financials!M49/(([2]Financials!M6+[2]Financials!L6)/2)</f>
        <v>0</v>
      </c>
      <c r="O40" s="140">
        <f>[2]Financials!N49/(([2]Financials!N6+[2]Financials!M6)/2)</f>
        <v>0</v>
      </c>
      <c r="P40" s="140">
        <f>[2]Financials!O49/(([2]Financials!O6+[2]Financials!N6)/2)</f>
        <v>2.5197760810146774E-4</v>
      </c>
      <c r="Q40" s="140">
        <f>[2]Financials!P49/(([2]Financials!P6+[2]Financials!O6)/2)</f>
        <v>2.5666927457752408E-4</v>
      </c>
      <c r="R40" s="140">
        <f>[2]Financials!Q49/(([2]Financials!Q6+[2]Financials!P6)/2)</f>
        <v>3.1081666530377594E-4</v>
      </c>
      <c r="S40" s="140">
        <f>[2]Financials!R49/(([2]Financials!R6+[2]Financials!Q6)/2)</f>
        <v>4.1461508368264693E-4</v>
      </c>
      <c r="T40" s="140">
        <f>[2]Financials!S49/(([2]Financials!S6+[2]Financials!R6)/2)</f>
        <v>4.1015637844801013E-4</v>
      </c>
      <c r="U40" s="140">
        <f>[2]Financials!T49/(([2]Financials!T6+[2]Financials!J6)/2)</f>
        <v>4.7457490499469839E-4</v>
      </c>
      <c r="V40" s="140">
        <f>[2]Financials!U49/(([2]Financials!U6+[2]Financials!T6)/2)</f>
        <v>5.6716825294570296E-4</v>
      </c>
      <c r="W40" s="140">
        <f>[2]Financials!V49/(([2]Financials!V6+[2]Financials!U6)/2)</f>
        <v>6.131848362913772E-4</v>
      </c>
      <c r="X40" s="140">
        <f>[2]Financials!W49/(([2]Financials!W6+[2]Financials!V6)/2)</f>
        <v>8.2057982974791291E-2</v>
      </c>
      <c r="Y40" s="140">
        <f>[2]Financials!X49/(([2]Financials!X6+[2]Financials!W6)/2)</f>
        <v>8.8316380931110385E-7</v>
      </c>
      <c r="Z40" s="140">
        <f>[2]Financials!Y49/(([2]Financials!Y6+[2]Financials!X6)/2)</f>
        <v>1.8029963256730226E-6</v>
      </c>
      <c r="AA40" s="140">
        <f>[2]Financials!Z49/(([2]Financials!Z6+[2]Financials!Y6)/2)</f>
        <v>4.4506357821309977E-6</v>
      </c>
      <c r="AB40" s="140">
        <f>[2]Financials!AA49/(([2]Financials!AA6+[2]Financials!Z6)/2)</f>
        <v>4.3306017448900911E-6</v>
      </c>
      <c r="AC40" s="140">
        <f>[2]Financials!AB49/(([2]Financials!AB6+[2]Financials!AA6)/2)</f>
        <v>4.5054252466768972E-3</v>
      </c>
      <c r="AD40" s="140">
        <f>[2]Financials!AC49/(([2]Financials!AC6+[2]Financials!AB6)/2)</f>
        <v>4.5122477274832937E-3</v>
      </c>
      <c r="AE40" s="140">
        <f>[2]Financials!AD49/(([2]Financials!AD6+[2]Financials!AC6)/2)</f>
        <v>4.5591069335522904E-3</v>
      </c>
      <c r="AF40" s="140">
        <f>[2]Financials!AE49/(([2]Financials!AE6+[2]Financials!AD6)/2)</f>
        <v>4.3903693090968301E-4</v>
      </c>
      <c r="AG40" s="140">
        <f>[2]Financials!AF49/(([2]Financials!AF6+[2]Financials!AE6)/2)</f>
        <v>4.3465694390977739E-4</v>
      </c>
      <c r="AH40" s="140">
        <f>[2]Financials!AG49/(([2]Financials!AG6+[2]Financials!AF6)/2)</f>
        <v>4.2720374292122462E-4</v>
      </c>
      <c r="AI40" s="140">
        <f>[2]Financials!AH49/(([2]Financials!AH6+[2]Financials!AG6)/2)</f>
        <v>4.1991106746301822E-4</v>
      </c>
      <c r="AJ40" s="140">
        <f>[2]Financials!AI49/(([2]Financials!AI6+[2]Financials!AH6)/2)</f>
        <v>4.1220333690743818E-4</v>
      </c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140"/>
      <c r="BH40" s="140"/>
      <c r="BI40" s="140"/>
      <c r="BJ40" s="140"/>
      <c r="BK40" s="140"/>
      <c r="BL40" s="140"/>
      <c r="BM40" s="140"/>
      <c r="BN40" s="140"/>
      <c r="BO40" s="140"/>
      <c r="BP40" s="140"/>
      <c r="BQ40" s="140"/>
      <c r="BR40" s="140"/>
      <c r="BS40" s="140"/>
      <c r="BT40" s="140"/>
      <c r="BU40" s="140"/>
      <c r="BV40" s="140"/>
      <c r="BW40" s="140"/>
      <c r="BX40" s="140"/>
      <c r="BY40" s="140"/>
      <c r="BZ40" s="140"/>
      <c r="CA40" s="140"/>
      <c r="CB40" s="140"/>
      <c r="CC40" s="140"/>
      <c r="CD40" s="140"/>
      <c r="CE40" s="140"/>
      <c r="CF40" s="140"/>
      <c r="CG40" s="140"/>
      <c r="CH40" s="140"/>
      <c r="CI40" s="140"/>
      <c r="CJ40" s="140"/>
      <c r="CK40" s="140"/>
      <c r="CL40" s="140"/>
      <c r="CM40" s="140"/>
      <c r="CN40" s="140"/>
      <c r="CO40" s="140"/>
      <c r="CP40" s="140"/>
      <c r="CQ40" s="140"/>
      <c r="CR40" s="140"/>
      <c r="CS40" s="140"/>
      <c r="CT40" s="140"/>
      <c r="CU40" s="140"/>
      <c r="CV40" s="140"/>
      <c r="CW40" s="140"/>
      <c r="CX40" s="140"/>
      <c r="CY40" s="140"/>
      <c r="CZ40" s="140"/>
      <c r="DA40" s="140"/>
      <c r="DB40" s="140"/>
      <c r="DC40" s="140"/>
      <c r="DD40" s="140"/>
      <c r="DE40" s="140"/>
      <c r="DF40" s="140"/>
      <c r="DG40" s="140"/>
      <c r="DH40" s="140"/>
      <c r="DI40" s="140"/>
      <c r="DJ40" s="140"/>
    </row>
    <row r="41" spans="1:114" ht="12.75" hidden="1">
      <c r="A41" s="127" t="s">
        <v>361</v>
      </c>
      <c r="B41" s="131" t="s">
        <v>354</v>
      </c>
      <c r="C41" s="132"/>
      <c r="D41" s="140"/>
      <c r="E41" s="140" t="e">
        <f>[2]Financials!D50/(([2]Financials!D17+[2]Financials!C17)/2)</f>
        <v>#DIV/0!</v>
      </c>
      <c r="F41" s="140" t="e">
        <f>[2]Financials!E50/(([2]Financials!E17+[2]Financials!D17)/2)</f>
        <v>#DIV/0!</v>
      </c>
      <c r="G41" s="140" t="e">
        <f>[2]Financials!F50/(([2]Financials!F17+[2]Financials!E17)/2)</f>
        <v>#DIV/0!</v>
      </c>
      <c r="H41" s="140" t="e">
        <f>[2]Financials!G50/(([2]Financials!G17+[2]Financials!F17)/2)</f>
        <v>#DIV/0!</v>
      </c>
      <c r="I41" s="140" t="e">
        <f>[2]Financials!H50/(([2]Financials!H17+[2]Financials!G17)/2)</f>
        <v>#DIV/0!</v>
      </c>
      <c r="J41" s="140" t="e">
        <f>[2]Financials!I50/(([2]Financials!I17+[2]Financials!H17)/2)</f>
        <v>#DIV/0!</v>
      </c>
      <c r="K41" s="140">
        <f>[2]Financials!J50/(([2]Financials!J17+[2]Financials!I17)/2)</f>
        <v>0</v>
      </c>
      <c r="L41" s="140">
        <f>[2]Financials!K50/(([2]Financials!K17+[2]Financials!J17)/2)</f>
        <v>0</v>
      </c>
      <c r="M41" s="140">
        <f>[2]Financials!L50/(([2]Financials!L17+[2]Financials!K17)/2)</f>
        <v>0</v>
      </c>
      <c r="N41" s="140">
        <f>[2]Financials!M50/(([2]Financials!M17+[2]Financials!L17)/2)</f>
        <v>0</v>
      </c>
      <c r="O41" s="140">
        <f>[2]Financials!N50/(([2]Financials!N17+[2]Financials!M17)/2)</f>
        <v>0</v>
      </c>
      <c r="P41" s="140">
        <f>[2]Financials!O50/(([2]Financials!O17+[2]Financials!N17)/2)</f>
        <v>0</v>
      </c>
      <c r="Q41" s="140">
        <f>[2]Financials!P50/(([2]Financials!P17+[2]Financials!O17)/2)</f>
        <v>0</v>
      </c>
      <c r="R41" s="140">
        <f>[2]Financials!Q50/(([2]Financials!Q17+[2]Financials!P17)/2)</f>
        <v>0</v>
      </c>
      <c r="S41" s="140">
        <f>[2]Financials!R50/(([2]Financials!R17+[2]Financials!Q17)/2)</f>
        <v>0</v>
      </c>
      <c r="T41" s="140">
        <f>[2]Financials!S50/(([2]Financials!S17+[2]Financials!R17)/2)</f>
        <v>0</v>
      </c>
      <c r="U41" s="140">
        <f>[2]Financials!T50/(([2]Financials!T17+[2]Financials!J17)/2)</f>
        <v>0</v>
      </c>
      <c r="V41" s="140">
        <f>[2]Financials!U50/(([2]Financials!U17+[2]Financials!T17)/2)</f>
        <v>0</v>
      </c>
      <c r="W41" s="140">
        <f>[2]Financials!V50/(([2]Financials!V17+[2]Financials!U17)/2)</f>
        <v>0</v>
      </c>
      <c r="X41" s="140">
        <f>[2]Financials!W50/(([2]Financials!W17+[2]Financials!V17)/2)</f>
        <v>0.12103986393021934</v>
      </c>
      <c r="Y41" s="140">
        <f>[2]Financials!X50/(([2]Financials!X17+[2]Financials!W17)/2)</f>
        <v>0</v>
      </c>
      <c r="Z41" s="140">
        <f>[2]Financials!Y50/(([2]Financials!Y17+[2]Financials!X17)/2)</f>
        <v>0</v>
      </c>
      <c r="AA41" s="140">
        <f>[2]Financials!Z50/(([2]Financials!Z17+[2]Financials!Y17)/2)</f>
        <v>0</v>
      </c>
      <c r="AB41" s="140">
        <f>[2]Financials!AA50/(([2]Financials!AA17+[2]Financials!Z17)/2)</f>
        <v>0</v>
      </c>
      <c r="AC41" s="140">
        <f>[2]Financials!AB50/(([2]Financials!AB17+[2]Financials!AA17)/2)</f>
        <v>0</v>
      </c>
      <c r="AD41" s="140">
        <f>[2]Financials!AC50/(([2]Financials!AC17+[2]Financials!AB17)/2)</f>
        <v>0</v>
      </c>
      <c r="AE41" s="140">
        <f>[2]Financials!AD50/(([2]Financials!AD17+[2]Financials!AC17)/2)</f>
        <v>0</v>
      </c>
      <c r="AF41" s="140">
        <f>[2]Financials!AE50/(([2]Financials!AE17+[2]Financials!AD17)/2)</f>
        <v>0</v>
      </c>
      <c r="AG41" s="140">
        <f>[2]Financials!AF50/(([2]Financials!AF17+[2]Financials!AE17)/2)</f>
        <v>0</v>
      </c>
      <c r="AH41" s="140">
        <f>[2]Financials!AG50/(([2]Financials!AG17+[2]Financials!AF17)/2)</f>
        <v>0</v>
      </c>
      <c r="AI41" s="140">
        <f>[2]Financials!AH50/(([2]Financials!AH17+[2]Financials!AG17)/2)</f>
        <v>0</v>
      </c>
      <c r="AJ41" s="140">
        <f>[2]Financials!AI50/(([2]Financials!AI17+[2]Financials!AH17)/2)</f>
        <v>0</v>
      </c>
      <c r="AK41" s="140"/>
      <c r="AL41" s="140"/>
      <c r="AM41" s="140"/>
      <c r="AN41" s="140"/>
      <c r="AO41" s="140"/>
      <c r="AP41" s="140"/>
      <c r="AQ41" s="140"/>
      <c r="AR41" s="140"/>
      <c r="AS41" s="140"/>
      <c r="AT41" s="140"/>
      <c r="AU41" s="140"/>
      <c r="AV41" s="140"/>
      <c r="AW41" s="140"/>
      <c r="AX41" s="140"/>
      <c r="AY41" s="140"/>
      <c r="AZ41" s="140"/>
      <c r="BA41" s="140"/>
      <c r="BB41" s="140"/>
      <c r="BC41" s="140"/>
      <c r="BD41" s="140"/>
      <c r="BE41" s="140"/>
      <c r="BF41" s="140"/>
      <c r="BG41" s="140"/>
      <c r="BH41" s="140"/>
      <c r="BI41" s="140"/>
      <c r="BJ41" s="140"/>
      <c r="BK41" s="140"/>
      <c r="BL41" s="140"/>
      <c r="BM41" s="140"/>
      <c r="BN41" s="140"/>
      <c r="BO41" s="140"/>
      <c r="BP41" s="140"/>
      <c r="BQ41" s="140"/>
      <c r="BR41" s="140"/>
      <c r="BS41" s="140"/>
      <c r="BT41" s="140"/>
      <c r="BU41" s="140"/>
      <c r="BV41" s="140"/>
      <c r="BW41" s="140"/>
      <c r="BX41" s="140"/>
      <c r="BY41" s="140"/>
      <c r="BZ41" s="140"/>
      <c r="CA41" s="140"/>
      <c r="CB41" s="140"/>
      <c r="CC41" s="140"/>
      <c r="CD41" s="140"/>
      <c r="CE41" s="140"/>
      <c r="CF41" s="140"/>
      <c r="CG41" s="140"/>
      <c r="CH41" s="140"/>
      <c r="CI41" s="140"/>
      <c r="CJ41" s="140"/>
      <c r="CK41" s="140"/>
      <c r="CL41" s="140"/>
      <c r="CM41" s="140"/>
      <c r="CN41" s="140"/>
      <c r="CO41" s="140"/>
      <c r="CP41" s="140"/>
      <c r="CQ41" s="140"/>
      <c r="CR41" s="140"/>
      <c r="CS41" s="140"/>
      <c r="CT41" s="140"/>
      <c r="CU41" s="140"/>
      <c r="CV41" s="140"/>
      <c r="CW41" s="140"/>
      <c r="CX41" s="140"/>
      <c r="CY41" s="140"/>
      <c r="CZ41" s="140"/>
      <c r="DA41" s="140"/>
      <c r="DB41" s="140"/>
      <c r="DC41" s="140"/>
      <c r="DD41" s="140"/>
      <c r="DE41" s="140"/>
      <c r="DF41" s="140"/>
      <c r="DG41" s="140"/>
      <c r="DH41" s="140"/>
      <c r="DI41" s="140"/>
      <c r="DJ41" s="140"/>
    </row>
    <row r="42" spans="1:114" ht="12.75" hidden="1">
      <c r="A42" s="127" t="s">
        <v>362</v>
      </c>
      <c r="B42" s="131" t="s">
        <v>354</v>
      </c>
      <c r="C42" s="132"/>
      <c r="D42" s="140"/>
      <c r="E42" s="140" t="e">
        <f>[2]Financials!D51/([2]Financials!D51+[2]Financials!C51)/2</f>
        <v>#DIV/0!</v>
      </c>
      <c r="F42" s="140" t="e">
        <f>[2]Financials!E51/([2]Financials!E51+[2]Financials!D51)/2</f>
        <v>#DIV/0!</v>
      </c>
      <c r="G42" s="140" t="e">
        <f>[2]Financials!F51/([2]Financials!F51+[2]Financials!E51)/2</f>
        <v>#DIV/0!</v>
      </c>
      <c r="H42" s="140" t="e">
        <f>[2]Financials!G51/([2]Financials!G51+[2]Financials!F51)/2</f>
        <v>#DIV/0!</v>
      </c>
      <c r="I42" s="140" t="e">
        <f>[2]Financials!H51/([2]Financials!H51+[2]Financials!G51)/2</f>
        <v>#DIV/0!</v>
      </c>
      <c r="J42" s="140" t="e">
        <f>[2]Financials!I51/([2]Financials!I51+[2]Financials!H51)/2</f>
        <v>#DIV/0!</v>
      </c>
      <c r="K42" s="140">
        <f>[2]Financials!J51/([2]Financials!J51+[2]Financials!I51)/2</f>
        <v>0.5</v>
      </c>
      <c r="L42" s="140">
        <f>[2]Financials!K51/([2]Financials!K51+[2]Financials!J51)/2</f>
        <v>0</v>
      </c>
      <c r="M42" s="140" t="e">
        <f>[2]Financials!L51/([2]Financials!L51+[2]Financials!K51)/2</f>
        <v>#DIV/0!</v>
      </c>
      <c r="N42" s="140" t="e">
        <f>[2]Financials!M51/([2]Financials!M51+[2]Financials!L51)/2</f>
        <v>#DIV/0!</v>
      </c>
      <c r="O42" s="140">
        <f>[2]Financials!N51/([2]Financials!N51+[2]Financials!M51)/2</f>
        <v>0.5</v>
      </c>
      <c r="P42" s="140">
        <f>[2]Financials!O51/([2]Financials!O51+[2]Financials!N51)/2</f>
        <v>0.39150453206167768</v>
      </c>
      <c r="Q42" s="140">
        <f>[2]Financials!P51/([2]Financials!P51+[2]Financials!O51)/2</f>
        <v>0.27677340492861846</v>
      </c>
      <c r="R42" s="140">
        <f>[2]Financials!Q51/([2]Financials!Q51+[2]Financials!P51)/2</f>
        <v>0.288882052071678</v>
      </c>
      <c r="S42" s="140">
        <f>[2]Financials!R51/([2]Financials!R51+[2]Financials!Q51)/2</f>
        <v>0.26931511724377466</v>
      </c>
      <c r="T42" s="140">
        <f>[2]Financials!S51/([2]Financials!S51+[2]Financials!R51)/2</f>
        <v>0.26257777665283716</v>
      </c>
      <c r="U42" s="140">
        <f>[2]Financials!T51/([2]Financials!T51+[2]Financials!J51)/2</f>
        <v>0.27615314259412976</v>
      </c>
      <c r="V42" s="140">
        <f>[2]Financials!U51/([2]Financials!U51+[2]Financials!T51)/2</f>
        <v>0.27678502747844119</v>
      </c>
      <c r="W42" s="140">
        <f>[2]Financials!V51/([2]Financials!V51+[2]Financials!U51)/2</f>
        <v>0.27385651961702673</v>
      </c>
      <c r="X42" s="140">
        <f>[2]Financials!W51/([2]Financials!W51+[2]Financials!V51)/2</f>
        <v>0.27337981659314092</v>
      </c>
      <c r="Y42" s="140">
        <f>[2]Financials!X51/([2]Financials!X51+[2]Financials!W51)/2</f>
        <v>6.0978855509488984E-2</v>
      </c>
      <c r="Z42" s="140">
        <f>[2]Financials!Y51/([2]Financials!Y51+[2]Financials!X51)/2</f>
        <v>0.34661635073570662</v>
      </c>
      <c r="AA42" s="140">
        <f>[2]Financials!Z51/([2]Financials!Z51+[2]Financials!Y51)/2</f>
        <v>0.31403985555232183</v>
      </c>
      <c r="AB42" s="140">
        <f>[2]Financials!AA51/([2]Financials!AA51+[2]Financials!Z51)/2</f>
        <v>0.28402157712535525</v>
      </c>
      <c r="AC42" s="140">
        <f>[2]Financials!AB51/([2]Financials!AB51+[2]Financials!AA51)/2</f>
        <v>0.2808908905158598</v>
      </c>
      <c r="AD42" s="140">
        <f>[2]Financials!AC51/([2]Financials!AC51+[2]Financials!AB51)/2</f>
        <v>0.26176429338687124</v>
      </c>
      <c r="AE42" s="140">
        <f>[2]Financials!AD51/([2]Financials!AD51+[2]Financials!AC51)/2</f>
        <v>0.25518785957912621</v>
      </c>
      <c r="AF42" s="140">
        <f>[2]Financials!AE51/([2]Financials!AE51+[2]Financials!AD51)/2</f>
        <v>0.25758360091242827</v>
      </c>
      <c r="AG42" s="140">
        <f>[2]Financials!AF51/([2]Financials!AF51+[2]Financials!AE51)/2</f>
        <v>0.26196934109507602</v>
      </c>
      <c r="AH42" s="140">
        <f>[2]Financials!AG51/([2]Financials!AG51+[2]Financials!AF51)/2</f>
        <v>0.25556079230534967</v>
      </c>
      <c r="AI42" s="140">
        <f>[2]Financials!AH51/([2]Financials!AH51+[2]Financials!AG51)/2</f>
        <v>0.25488859147543103</v>
      </c>
      <c r="AJ42" s="140">
        <f>[2]Financials!AI51/([2]Financials!AI51+[2]Financials!AH51)/2</f>
        <v>0.25910486262111276</v>
      </c>
      <c r="AK42" s="140"/>
      <c r="AL42" s="140"/>
      <c r="AM42" s="140"/>
      <c r="AN42" s="140"/>
      <c r="AO42" s="140"/>
      <c r="AP42" s="140"/>
      <c r="AQ42" s="140"/>
      <c r="AR42" s="140"/>
      <c r="AS42" s="140"/>
      <c r="AT42" s="140"/>
      <c r="AU42" s="140"/>
      <c r="AV42" s="140"/>
      <c r="AW42" s="140"/>
      <c r="AX42" s="140"/>
      <c r="AY42" s="140"/>
      <c r="AZ42" s="140"/>
      <c r="BA42" s="140"/>
      <c r="BB42" s="140"/>
      <c r="BC42" s="140"/>
      <c r="BD42" s="140"/>
      <c r="BE42" s="140"/>
      <c r="BF42" s="140"/>
      <c r="BG42" s="140"/>
      <c r="BH42" s="140"/>
      <c r="BI42" s="140"/>
      <c r="BJ42" s="140"/>
      <c r="BK42" s="140"/>
      <c r="BL42" s="140"/>
      <c r="BM42" s="140"/>
      <c r="BN42" s="140"/>
      <c r="BO42" s="140"/>
      <c r="BP42" s="140"/>
      <c r="BQ42" s="140"/>
      <c r="BR42" s="140"/>
      <c r="BS42" s="140"/>
      <c r="BT42" s="140"/>
      <c r="BU42" s="140"/>
      <c r="BV42" s="140"/>
      <c r="BW42" s="140"/>
      <c r="BX42" s="140"/>
      <c r="BY42" s="140"/>
      <c r="BZ42" s="140"/>
      <c r="CA42" s="140"/>
      <c r="CB42" s="140"/>
      <c r="CC42" s="140"/>
      <c r="CD42" s="140"/>
      <c r="CE42" s="140"/>
      <c r="CF42" s="140"/>
      <c r="CG42" s="140"/>
      <c r="CH42" s="140"/>
      <c r="CI42" s="140"/>
      <c r="CJ42" s="140"/>
      <c r="CK42" s="140"/>
      <c r="CL42" s="140"/>
      <c r="CM42" s="140"/>
      <c r="CN42" s="140"/>
      <c r="CO42" s="140"/>
      <c r="CP42" s="140"/>
      <c r="CQ42" s="140"/>
      <c r="CR42" s="140"/>
      <c r="CS42" s="140"/>
      <c r="CT42" s="140"/>
      <c r="CU42" s="140"/>
      <c r="CV42" s="140"/>
      <c r="CW42" s="140"/>
      <c r="CX42" s="140"/>
      <c r="CY42" s="140"/>
      <c r="CZ42" s="140"/>
      <c r="DA42" s="140"/>
      <c r="DB42" s="140"/>
      <c r="DC42" s="140"/>
      <c r="DD42" s="140"/>
      <c r="DE42" s="140"/>
      <c r="DF42" s="140"/>
      <c r="DG42" s="140"/>
      <c r="DH42" s="140"/>
      <c r="DI42" s="140"/>
      <c r="DJ42" s="140"/>
    </row>
    <row r="43" spans="1:114" ht="12.75" hidden="1">
      <c r="A43" s="127" t="s">
        <v>237</v>
      </c>
      <c r="B43" s="131" t="s">
        <v>354</v>
      </c>
      <c r="C43" s="132"/>
      <c r="D43" s="140"/>
      <c r="E43" s="140" t="e">
        <f>([2]Financials!D53+[2]Financials!D54)/(([2]Financials!D5+[2]Financials!C5)/2)</f>
        <v>#DIV/0!</v>
      </c>
      <c r="F43" s="140" t="e">
        <f>([2]Financials!E53+[2]Financials!E54)/(([2]Financials!E5+[2]Financials!D5)/2)</f>
        <v>#DIV/0!</v>
      </c>
      <c r="G43" s="140" t="e">
        <f>([2]Financials!F53+[2]Financials!F54)/(([2]Financials!F5+[2]Financials!E5)/2)</f>
        <v>#DIV/0!</v>
      </c>
      <c r="H43" s="140" t="e">
        <f>([2]Financials!G53+[2]Financials!G54)/(([2]Financials!G5+[2]Financials!F5)/2)</f>
        <v>#DIV/0!</v>
      </c>
      <c r="I43" s="140" t="e">
        <f>([2]Financials!H53+[2]Financials!H54)/(([2]Financials!H5+[2]Financials!G5)/2)</f>
        <v>#DIV/0!</v>
      </c>
      <c r="J43" s="140" t="e">
        <f>([2]Financials!I53+[2]Financials!I54)/(([2]Financials!I5+[2]Financials!H5)/2)</f>
        <v>#DIV/0!</v>
      </c>
      <c r="K43" s="140">
        <f>([2]Financials!J53+[2]Financials!J54)/(([2]Financials!J5+[2]Financials!I5)/2)</f>
        <v>4.4148878199829093E-2</v>
      </c>
      <c r="L43" s="140">
        <f>([2]Financials!K53+[2]Financials!K54)/(([2]Financials!K5+[2]Financials!J5)/2)</f>
        <v>2.1044525150265424E-3</v>
      </c>
      <c r="M43" s="140">
        <f>([2]Financials!L53+[2]Financials!L54)/(([2]Financials!L5+[2]Financials!K5)/2)</f>
        <v>3.5979928555399071E-3</v>
      </c>
      <c r="N43" s="140">
        <f>([2]Financials!M53+[2]Financials!M54)/(([2]Financials!M5+[2]Financials!L5)/2)</f>
        <v>5.0753365780652187E-3</v>
      </c>
      <c r="O43" s="140">
        <f>([2]Financials!N53+[2]Financials!N54)/(([2]Financials!N5+[2]Financials!M5)/2)</f>
        <v>8.7001972924286609E-3</v>
      </c>
      <c r="P43" s="140">
        <f>([2]Financials!O53+[2]Financials!O54)/(([2]Financials!O5+[2]Financials!N5)/2)</f>
        <v>9.9201952647050319E-3</v>
      </c>
      <c r="Q43" s="140">
        <f>([2]Financials!P53+[2]Financials!P54)/(([2]Financials!P5+[2]Financials!O5)/2)</f>
        <v>1.115819993037691E-2</v>
      </c>
      <c r="R43" s="140">
        <f>([2]Financials!Q53+[2]Financials!Q54)/(([2]Financials!Q5+[2]Financials!P5)/2)</f>
        <v>1.2500436508417442E-2</v>
      </c>
      <c r="S43" s="140">
        <f>([2]Financials!R53+[2]Financials!R54)/(([2]Financials!R5+[2]Financials!Q5)/2)</f>
        <v>1.406928690072924E-2</v>
      </c>
      <c r="T43" s="140">
        <f>([2]Financials!S53+[2]Financials!S54)/(([2]Financials!S5+[2]Financials!R5)/2)</f>
        <v>1.559063284261464E-2</v>
      </c>
      <c r="U43" s="140">
        <f>([2]Financials!T53+[2]Financials!T54)/(([2]Financials!T5+[2]Financials!J5)/2)</f>
        <v>1.9185357177584482E-2</v>
      </c>
      <c r="V43" s="140">
        <f>([2]Financials!U53+[2]Financials!U54)/(([2]Financials!U5+[2]Financials!T5)/2)</f>
        <v>1.7949542633925765E-2</v>
      </c>
      <c r="W43" s="140">
        <f>([2]Financials!V53+[2]Financials!V54)/(([2]Financials!V5+[2]Financials!U5)/2)</f>
        <v>1.7612628679775467E-2</v>
      </c>
      <c r="X43" s="140">
        <f>([2]Financials!W53+[2]Financials!W54)/(([2]Financials!W5+[2]Financials!V5)/2)</f>
        <v>2.7545176108931004E-2</v>
      </c>
      <c r="Y43" s="140">
        <f>([2]Financials!X53+[2]Financials!X54)/(([2]Financials!X5+[2]Financials!W5)/2)</f>
        <v>4.4319074300102268E-4</v>
      </c>
      <c r="Z43" s="140">
        <f>([2]Financials!Y53+[2]Financials!Y54)/(([2]Financials!Y5+[2]Financials!X5)/2)</f>
        <v>3.3788458683326676E-3</v>
      </c>
      <c r="AA43" s="140">
        <f>([2]Financials!Z53+[2]Financials!Z54)/(([2]Financials!Z5+[2]Financials!Y5)/2)</f>
        <v>8.5217815203069737E-3</v>
      </c>
      <c r="AB43" s="140">
        <f>([2]Financials!AA53+[2]Financials!AA54)/(([2]Financials!AA5+[2]Financials!Z5)/2)</f>
        <v>8.4611894360333752E-3</v>
      </c>
      <c r="AC43" s="140">
        <f>([2]Financials!AB53+[2]Financials!AB54)/(([2]Financials!AB5+[2]Financials!AA5)/2)</f>
        <v>1.1563190237505381E-2</v>
      </c>
      <c r="AD43" s="140">
        <f>([2]Financials!AC53+[2]Financials!AC54)/(([2]Financials!AC5+[2]Financials!AB5)/2)</f>
        <v>1.259325622422818E-2</v>
      </c>
      <c r="AE43" s="140">
        <f>([2]Financials!AD53+[2]Financials!AD54)/(([2]Financials!AD5+[2]Financials!AC5)/2)</f>
        <v>1.3935436917951859E-2</v>
      </c>
      <c r="AF43" s="140">
        <f>([2]Financials!AE53+[2]Financials!AE54)/(([2]Financials!AE5+[2]Financials!AD5)/2)</f>
        <v>1.4754380235174796E-2</v>
      </c>
      <c r="AG43" s="140">
        <f>([2]Financials!AF53+[2]Financials!AF54)/(([2]Financials!AF5+[2]Financials!AE5)/2)</f>
        <v>1.3952379919355037E-2</v>
      </c>
      <c r="AH43" s="140">
        <f>([2]Financials!AG53+[2]Financials!AG54)/(([2]Financials!AG5+[2]Financials!AF5)/2)</f>
        <v>1.5702712596882849E-2</v>
      </c>
      <c r="AI43" s="140">
        <f>([2]Financials!AH53+[2]Financials!AH54)/(([2]Financials!AH5+[2]Financials!AG5)/2)</f>
        <v>1.7188899457122535E-2</v>
      </c>
      <c r="AJ43" s="140">
        <f>([2]Financials!AI53+[2]Financials!AI54)/(([2]Financials!AI5+[2]Financials!AH5)/2)</f>
        <v>1.7659802615608403E-2</v>
      </c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0"/>
      <c r="BC43" s="140"/>
      <c r="BD43" s="140"/>
      <c r="BE43" s="140"/>
      <c r="BF43" s="140"/>
      <c r="BG43" s="140"/>
      <c r="BH43" s="140"/>
      <c r="BI43" s="140"/>
      <c r="BJ43" s="140"/>
      <c r="BK43" s="140"/>
      <c r="BL43" s="140"/>
      <c r="BM43" s="140"/>
      <c r="BN43" s="140"/>
      <c r="BO43" s="140"/>
      <c r="BP43" s="140"/>
      <c r="BQ43" s="140"/>
      <c r="BR43" s="140"/>
      <c r="BS43" s="140"/>
      <c r="BT43" s="140"/>
      <c r="BU43" s="140"/>
      <c r="BV43" s="140"/>
      <c r="BW43" s="140"/>
      <c r="BX43" s="140"/>
      <c r="BY43" s="140"/>
      <c r="BZ43" s="140"/>
      <c r="CA43" s="140"/>
      <c r="CB43" s="140"/>
      <c r="CC43" s="140"/>
      <c r="CD43" s="140"/>
      <c r="CE43" s="140"/>
      <c r="CF43" s="140"/>
      <c r="CG43" s="140"/>
      <c r="CH43" s="140"/>
      <c r="CI43" s="140"/>
      <c r="CJ43" s="140"/>
      <c r="CK43" s="140"/>
      <c r="CL43" s="140"/>
      <c r="CM43" s="140"/>
      <c r="CN43" s="140"/>
      <c r="CO43" s="140"/>
      <c r="CP43" s="140"/>
      <c r="CQ43" s="140"/>
      <c r="CR43" s="140"/>
      <c r="CS43" s="140"/>
      <c r="CT43" s="140"/>
      <c r="CU43" s="140"/>
      <c r="CV43" s="140"/>
      <c r="CW43" s="140"/>
      <c r="CX43" s="140"/>
      <c r="CY43" s="140"/>
      <c r="CZ43" s="140"/>
      <c r="DA43" s="140"/>
      <c r="DB43" s="140"/>
      <c r="DC43" s="140"/>
      <c r="DD43" s="140"/>
      <c r="DE43" s="140"/>
      <c r="DF43" s="140"/>
      <c r="DG43" s="140"/>
      <c r="DH43" s="140"/>
      <c r="DI43" s="140"/>
      <c r="DJ43" s="140"/>
    </row>
    <row r="44" spans="1:114" ht="12.75" hidden="1">
      <c r="A44" s="127" t="s">
        <v>239</v>
      </c>
      <c r="B44" s="131" t="s">
        <v>354</v>
      </c>
      <c r="C44" s="132"/>
      <c r="D44" s="140"/>
      <c r="E44" s="140" t="e">
        <f>([2]Financials!D42+[2]Financials!C42)/[2]Financials!D30</f>
        <v>#DIV/0!</v>
      </c>
      <c r="F44" s="140" t="e">
        <f>([2]Financials!E42+[2]Financials!D42)/[2]Financials!E30</f>
        <v>#DIV/0!</v>
      </c>
      <c r="G44" s="140" t="e">
        <f>([2]Financials!F42+[2]Financials!E42)/[2]Financials!F30</f>
        <v>#DIV/0!</v>
      </c>
      <c r="H44" s="140" t="e">
        <f>([2]Financials!G42+[2]Financials!F42)/[2]Financials!G30</f>
        <v>#DIV/0!</v>
      </c>
      <c r="I44" s="140" t="e">
        <f>([2]Financials!H42+[2]Financials!G42)/[2]Financials!H30</f>
        <v>#DIV/0!</v>
      </c>
      <c r="J44" s="140" t="e">
        <f>([2]Financials!I42+[2]Financials!H42)/[2]Financials!I30</f>
        <v>#DIV/0!</v>
      </c>
      <c r="K44" s="140">
        <f>([2]Financials!J42+[2]Financials!I42)/[2]Financials!J30</f>
        <v>0.15685882636158255</v>
      </c>
      <c r="L44" s="140">
        <f>([2]Financials!K42+[2]Financials!J42)/[2]Financials!K30</f>
        <v>0.16264760466233763</v>
      </c>
      <c r="M44" s="140">
        <f>([2]Financials!L42+[2]Financials!K42)/[2]Financials!L30</f>
        <v>4.2141160632226497E-2</v>
      </c>
      <c r="N44" s="140">
        <f>([2]Financials!M42+[2]Financials!L42)/[2]Financials!M30</f>
        <v>6.788252174617565E-2</v>
      </c>
      <c r="O44" s="140">
        <f>([2]Financials!N42+[2]Financials!M42)/[2]Financials!N30</f>
        <v>9.355830354612911E-2</v>
      </c>
      <c r="P44" s="140">
        <f>([2]Financials!O42+[2]Financials!N42)/[2]Financials!O30</f>
        <v>0.11967387899290378</v>
      </c>
      <c r="Q44" s="140">
        <f>([2]Financials!P42+[2]Financials!O42)/[2]Financials!P30</f>
        <v>0.1490369305956544</v>
      </c>
      <c r="R44" s="140">
        <f>([2]Financials!Q42+[2]Financials!P42)/[2]Financials!Q30</f>
        <v>0.17720722871050465</v>
      </c>
      <c r="S44" s="140">
        <f>([2]Financials!R42+[2]Financials!Q42)/[2]Financials!R30</f>
        <v>0.19994172463541804</v>
      </c>
      <c r="T44" s="140">
        <f>([2]Financials!S42+[2]Financials!R42)/[2]Financials!S30</f>
        <v>0.22496629795044937</v>
      </c>
      <c r="U44" s="140">
        <f>([2]Financials!T42+[2]Financials!J42)/[2]Financials!T30</f>
        <v>0.2545801759994481</v>
      </c>
      <c r="V44" s="140">
        <f>([2]Financials!U42+[2]Financials!T42)/[2]Financials!U30</f>
        <v>0.27179165151819273</v>
      </c>
      <c r="W44" s="140">
        <f>([2]Financials!V42+[2]Financials!U42)/[2]Financials!V30</f>
        <v>0.29578594860015878</v>
      </c>
      <c r="X44" s="140">
        <f>([2]Financials!W42+[2]Financials!V42)/[2]Financials!W30</f>
        <v>0.31027963931829577</v>
      </c>
      <c r="Y44" s="140">
        <f>([2]Financials!X42+[2]Financials!W42)/[2]Financials!X30</f>
        <v>0.16462452072475053</v>
      </c>
      <c r="Z44" s="140">
        <f>([2]Financials!Y42+[2]Financials!X42)/[2]Financials!Y30</f>
        <v>4.4123193838037825E-2</v>
      </c>
      <c r="AA44" s="140">
        <f>([2]Financials!Z42+[2]Financials!Y42)/[2]Financials!Z30</f>
        <v>6.8098922217974561E-2</v>
      </c>
      <c r="AB44" s="140">
        <f>([2]Financials!AA42+[2]Financials!Z42)/[2]Financials!AA30</f>
        <v>0.10269270760489818</v>
      </c>
      <c r="AC44" s="140">
        <f>([2]Financials!AB42+[2]Financials!AA42)/[2]Financials!AB30</f>
        <v>0.14076881835743926</v>
      </c>
      <c r="AD44" s="140">
        <f>([2]Financials!AC42+[2]Financials!AB42)/[2]Financials!AC30</f>
        <v>0.16773488832353309</v>
      </c>
      <c r="AE44" s="140">
        <f>([2]Financials!AD42+[2]Financials!AC42)/[2]Financials!AD30</f>
        <v>0.19693256077362842</v>
      </c>
      <c r="AF44" s="140">
        <f>([2]Financials!AE42+[2]Financials!AD42)/[2]Financials!AE30</f>
        <v>0.22474045939576182</v>
      </c>
      <c r="AG44" s="140">
        <f>([2]Financials!AF42+[2]Financials!AE42)/[2]Financials!AF30</f>
        <v>0.2498442007727476</v>
      </c>
      <c r="AH44" s="140">
        <f>([2]Financials!AG42+[2]Financials!AF42)/[2]Financials!AG30</f>
        <v>0.27487726729304846</v>
      </c>
      <c r="AI44" s="140">
        <f>([2]Financials!AH42+[2]Financials!AG42)/[2]Financials!AH30</f>
        <v>0.30234722746234183</v>
      </c>
      <c r="AJ44" s="140">
        <f>([2]Financials!AI42+[2]Financials!AH42)/[2]Financials!AI30</f>
        <v>0.3279321397440762</v>
      </c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0"/>
      <c r="BC44" s="140"/>
      <c r="BD44" s="140"/>
      <c r="BE44" s="140"/>
      <c r="BF44" s="140"/>
      <c r="BG44" s="140"/>
      <c r="BH44" s="140"/>
      <c r="BI44" s="140"/>
      <c r="BJ44" s="140"/>
      <c r="BK44" s="140"/>
      <c r="BL44" s="140"/>
      <c r="BM44" s="140"/>
      <c r="BN44" s="140"/>
      <c r="BO44" s="140"/>
      <c r="BP44" s="140"/>
      <c r="BQ44" s="140"/>
      <c r="BR44" s="140"/>
      <c r="BS44" s="140"/>
      <c r="BT44" s="140"/>
      <c r="BU44" s="140"/>
      <c r="BV44" s="140"/>
      <c r="BW44" s="140"/>
      <c r="BX44" s="140"/>
      <c r="BY44" s="140"/>
      <c r="BZ44" s="140"/>
      <c r="CA44" s="140"/>
      <c r="CB44" s="140"/>
      <c r="CC44" s="140"/>
      <c r="CD44" s="140"/>
      <c r="CE44" s="140"/>
      <c r="CF44" s="140"/>
      <c r="CG44" s="140"/>
      <c r="CH44" s="140"/>
      <c r="CI44" s="140"/>
      <c r="CJ44" s="140"/>
      <c r="CK44" s="140"/>
      <c r="CL44" s="140"/>
      <c r="CM44" s="140"/>
      <c r="CN44" s="140"/>
      <c r="CO44" s="140"/>
      <c r="CP44" s="140"/>
      <c r="CQ44" s="140"/>
      <c r="CR44" s="140"/>
      <c r="CS44" s="140"/>
      <c r="CT44" s="140"/>
      <c r="CU44" s="140"/>
      <c r="CV44" s="140"/>
      <c r="CW44" s="140"/>
      <c r="CX44" s="140"/>
      <c r="CY44" s="140"/>
      <c r="CZ44" s="140"/>
      <c r="DA44" s="140"/>
      <c r="DB44" s="140"/>
      <c r="DC44" s="140"/>
      <c r="DD44" s="140"/>
      <c r="DE44" s="140"/>
      <c r="DF44" s="140"/>
      <c r="DG44" s="140"/>
      <c r="DH44" s="140"/>
      <c r="DI44" s="140"/>
      <c r="DJ44" s="140"/>
    </row>
    <row r="45" spans="1:114" ht="12.75" hidden="1">
      <c r="A45" s="145"/>
      <c r="B45" s="139"/>
      <c r="C45" s="132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7"/>
      <c r="BC45" s="147"/>
      <c r="BD45" s="147"/>
      <c r="BE45" s="147"/>
      <c r="BF45" s="147"/>
      <c r="BG45" s="147"/>
      <c r="BH45" s="147"/>
      <c r="BI45" s="147"/>
      <c r="BJ45" s="147"/>
      <c r="BK45" s="147"/>
      <c r="BL45" s="147"/>
      <c r="BM45" s="147"/>
      <c r="BN45" s="147"/>
      <c r="BO45" s="147"/>
      <c r="BP45" s="147"/>
      <c r="BQ45" s="147"/>
      <c r="BR45" s="147"/>
      <c r="BS45" s="147"/>
      <c r="BT45" s="147"/>
      <c r="BU45" s="147"/>
      <c r="BV45" s="147"/>
      <c r="BW45" s="147"/>
      <c r="BX45" s="147"/>
      <c r="BY45" s="147"/>
      <c r="BZ45" s="147"/>
      <c r="CA45" s="147"/>
      <c r="CB45" s="147"/>
      <c r="CC45" s="147"/>
      <c r="CD45" s="147"/>
      <c r="CE45" s="147"/>
      <c r="CF45" s="147"/>
      <c r="CG45" s="147"/>
      <c r="CH45" s="147"/>
      <c r="CI45" s="147"/>
      <c r="CJ45" s="147"/>
      <c r="CK45" s="147"/>
      <c r="CL45" s="147"/>
      <c r="CM45" s="147"/>
      <c r="CN45" s="147"/>
      <c r="CO45" s="147"/>
      <c r="CP45" s="147"/>
      <c r="CQ45" s="147"/>
      <c r="CR45" s="147"/>
      <c r="CS45" s="147"/>
      <c r="CT45" s="147"/>
      <c r="CU45" s="147"/>
      <c r="CV45" s="147"/>
      <c r="CW45" s="147"/>
      <c r="CX45" s="147"/>
      <c r="CY45" s="147"/>
      <c r="CZ45" s="147"/>
      <c r="DA45" s="147"/>
      <c r="DB45" s="147"/>
      <c r="DC45" s="147"/>
      <c r="DD45" s="147"/>
      <c r="DE45" s="147"/>
      <c r="DF45" s="147"/>
      <c r="DG45" s="147"/>
      <c r="DH45" s="147"/>
      <c r="DI45" s="147"/>
      <c r="DJ45" s="147"/>
    </row>
    <row r="46" spans="1:114" ht="12.75">
      <c r="A46" s="145" t="s">
        <v>363</v>
      </c>
      <c r="B46" s="139"/>
      <c r="C46" s="132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  <c r="CR46" s="148"/>
      <c r="CS46" s="148"/>
      <c r="CT46" s="148"/>
      <c r="CU46" s="148"/>
      <c r="CV46" s="148"/>
      <c r="CW46" s="148"/>
      <c r="CX46" s="148"/>
      <c r="CY46" s="148"/>
      <c r="CZ46" s="148"/>
      <c r="DA46" s="148"/>
      <c r="DB46" s="148"/>
      <c r="DC46" s="148"/>
      <c r="DD46" s="148"/>
      <c r="DE46" s="148"/>
      <c r="DF46" s="148"/>
      <c r="DG46" s="148"/>
      <c r="DH46" s="148"/>
      <c r="DI46" s="148"/>
      <c r="DJ46" s="148"/>
    </row>
    <row r="47" spans="1:114" ht="12.75">
      <c r="A47" s="127" t="s">
        <v>364</v>
      </c>
      <c r="B47" s="149">
        <v>0.15</v>
      </c>
      <c r="C47" s="123">
        <v>13.2</v>
      </c>
      <c r="D47" s="140" t="e">
        <f>([2]Financials!C36-[2]Financials!C10)/[2]Financials!C6</f>
        <v>#DIV/0!</v>
      </c>
      <c r="E47" s="140" t="e">
        <f>([2]Financials!D36-[2]Financials!D10)/[2]Financials!D6</f>
        <v>#DIV/0!</v>
      </c>
      <c r="F47" s="140" t="e">
        <f>([2]Financials!E36-[2]Financials!E10)/[2]Financials!E6</f>
        <v>#DIV/0!</v>
      </c>
      <c r="G47" s="140" t="e">
        <f>([2]Financials!F36-[2]Financials!F10)/[2]Financials!F6</f>
        <v>#DIV/0!</v>
      </c>
      <c r="H47" s="140" t="e">
        <f>([2]Financials!G36-[2]Financials!G10)/[2]Financials!G6</f>
        <v>#DIV/0!</v>
      </c>
      <c r="I47" s="140" t="e">
        <f>([2]Financials!H36-[2]Financials!H10)/[2]Financials!H6</f>
        <v>#DIV/0!</v>
      </c>
      <c r="J47" s="140" t="e">
        <f>([2]Financials!I36-[2]Financials!I10)/[2]Financials!I6</f>
        <v>#DIV/0!</v>
      </c>
      <c r="K47" s="140">
        <f>([2]Financials!J36-[2]Financials!J10)/[2]Financials!J6</f>
        <v>-9.5377470656005311E-2</v>
      </c>
      <c r="L47" s="140">
        <f>([2]Financials!K36-[2]Financials!K10)/[2]Financials!K6</f>
        <v>-3.6274471563658896E-3</v>
      </c>
      <c r="M47" s="140">
        <f>([2]Financials!L36-[2]Financials!L10)/[2]Financials!L6</f>
        <v>-1.6823878274407497E-2</v>
      </c>
      <c r="N47" s="140">
        <f>([2]Financials!M36-[2]Financials!M10)/[2]Financials!M6</f>
        <v>1.9767192539899649E-2</v>
      </c>
      <c r="O47" s="140">
        <f>([2]Financials!N36-[2]Financials!N10)/[2]Financials!N6</f>
        <v>1.5074013821922697E-2</v>
      </c>
      <c r="P47" s="140">
        <f>([2]Financials!O36-[2]Financials!O10)/[2]Financials!O6</f>
        <v>-2.1802367633129031E-2</v>
      </c>
      <c r="Q47" s="140">
        <f>([2]Financials!P36-[2]Financials!P10)/[2]Financials!P6</f>
        <v>-1.8090866641624889E-2</v>
      </c>
      <c r="R47" s="140">
        <f>([2]Financials!Q36-[2]Financials!Q10)/[2]Financials!Q6</f>
        <v>-1.5382716172303426E-2</v>
      </c>
      <c r="S47" s="140">
        <f>([2]Financials!R36-[2]Financials!R10)/[2]Financials!R6</f>
        <v>2.9038416151020135E-3</v>
      </c>
      <c r="T47" s="140">
        <f>([2]Financials!S36-[2]Financials!S10)/[2]Financials!S6</f>
        <v>-1.5418828391860439E-2</v>
      </c>
      <c r="U47" s="140">
        <f>([2]Financials!T36-[2]Financials!T10)/[2]Financials!T6</f>
        <v>-1.0637643301773195E-3</v>
      </c>
      <c r="V47" s="140">
        <f>([2]Financials!U36-[2]Financials!U10)/[2]Financials!U6</f>
        <v>-1.9308338957850543E-2</v>
      </c>
      <c r="W47" s="140">
        <f>([2]Financials!V36-[2]Financials!V10)/[2]Financials!V6</f>
        <v>5.9543719196870924E-2</v>
      </c>
      <c r="X47" s="140">
        <f>([2]Financials!W36-[2]Financials!W10)/[2]Financials!W6</f>
        <v>-3.3882064848842125E-2</v>
      </c>
      <c r="Y47" s="140">
        <f>([2]Financials!X36-[2]Financials!X10)/[2]Financials!X6</f>
        <v>-8.8287959764856046E-3</v>
      </c>
      <c r="Z47" s="140">
        <f>([2]Financials!Y36-[2]Financials!Y10)/[2]Financials!Y6</f>
        <v>-4.0430847679361767E-2</v>
      </c>
      <c r="AA47" s="140">
        <f>([2]Financials!Z36-[2]Financials!Z10)/[2]Financials!Z6</f>
        <v>-8.3732587226977795E-2</v>
      </c>
      <c r="AB47" s="140">
        <f>([2]Financials!AA36-[2]Financials!AA10)/[2]Financials!AA6</f>
        <v>-2.0450665219033833E-2</v>
      </c>
      <c r="AC47" s="140">
        <f>([2]Financials!AB36-[2]Financials!AB10)/[2]Financials!AB6</f>
        <v>-2.43127099806036E-2</v>
      </c>
      <c r="AD47" s="140">
        <f>([2]Financials!AC36-[2]Financials!AC10)/[2]Financials!AC6</f>
        <v>7.4503586871035754E-2</v>
      </c>
      <c r="AE47" s="140">
        <f>([2]Financials!AD36-[2]Financials!AD10)/[2]Financials!AD6</f>
        <v>2.46688909724968E-3</v>
      </c>
      <c r="AF47" s="140">
        <f>([2]Financials!AE36-[2]Financials!AE10)/[2]Financials!AE6</f>
        <v>3.3165497491860228E-2</v>
      </c>
      <c r="AG47" s="140">
        <f>([2]Financials!AF36-[2]Financials!AF10)/[2]Financials!AF6</f>
        <v>1.8744383201538352E-2</v>
      </c>
      <c r="AH47" s="140">
        <f>([2]Financials!AG36-[2]Financials!AG10)/[2]Financials!AG6</f>
        <v>1.2839230572720357E-2</v>
      </c>
      <c r="AI47" s="140">
        <f>([2]Financials!AH36-[2]Financials!AH10)/[2]Financials!AH6</f>
        <v>-7.1115920774982569E-3</v>
      </c>
      <c r="AJ47" s="140">
        <f>([2]Financials!AI36-[2]Financials!AI10)/[2]Financials!AI6</f>
        <v>8.4969887200497793E-2</v>
      </c>
      <c r="AK47" s="208" t="e">
        <f>(Financials!D36-Financials!D9)/Financials!D5</f>
        <v>#REF!</v>
      </c>
      <c r="AL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AM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AN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AO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AP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AQ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AR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AS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AT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AU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AV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AW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AX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AY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AZ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BA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BB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BC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BD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BE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BF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BG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BH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BI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BJ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BK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BL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BM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BN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BO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BP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BQ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BR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BS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BT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BU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BV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BW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BX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BY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BZ47" s="272">
        <f>('Evolutive SFP'!AH4+'Evolutive SFP'!AH11)/('Evolutive SFP'!AH28+'Evolutive SFP'!AH29+'Evolutive SFP'!AH32+'Evolutive SFP'!AH33+'Evolutive SFP'!AH34+'Evolutive SFP'!AH35+'Evolutive SFP'!AH36)</f>
        <v>0.79358559074185009</v>
      </c>
      <c r="CA47" s="272">
        <f>('Evolutive SFP'!AI4+'Evolutive SFP'!AI11)/('Evolutive SFP'!AI28+'Evolutive SFP'!AI29+'Evolutive SFP'!AI32+'Evolutive SFP'!AI33+'Evolutive SFP'!AI34+'Evolutive SFP'!AI35+'Evolutive SFP'!AI36)</f>
        <v>0.75711243322000388</v>
      </c>
      <c r="CB47" s="272">
        <f>('Evolutive SFP'!AJ4+'Evolutive SFP'!AJ11)/('Evolutive SFP'!AJ28+'Evolutive SFP'!AJ29+'Evolutive SFP'!AJ32+'Evolutive SFP'!AJ33+'Evolutive SFP'!AJ34+'Evolutive SFP'!AJ35+'Evolutive SFP'!AJ36)</f>
        <v>0.71374383952421128</v>
      </c>
      <c r="CC47" s="272">
        <f>('Evolutive SFP'!AK4+'Evolutive SFP'!AK11)/('Evolutive SFP'!AK28+'Evolutive SFP'!AK29+'Evolutive SFP'!AK32+'Evolutive SFP'!AK33+'Evolutive SFP'!AK34+'Evolutive SFP'!AK35+'Evolutive SFP'!AK36)</f>
        <v>0.62440266138092249</v>
      </c>
      <c r="CD47" s="272">
        <f>('Evolutive SFP'!AL4+'Evolutive SFP'!AL11)/('Evolutive SFP'!AL28+'Evolutive SFP'!AL29+'Evolutive SFP'!AL32+'Evolutive SFP'!AL33+'Evolutive SFP'!AL34+'Evolutive SFP'!AL35+'Evolutive SFP'!AL36)</f>
        <v>0.76233122090821348</v>
      </c>
      <c r="CE47" s="272">
        <f>('Evolutive SFP'!AM4+'Evolutive SFP'!AM11)/('Evolutive SFP'!AM28+'Evolutive SFP'!AM29+'Evolutive SFP'!AM32+'Evolutive SFP'!AM33+'Evolutive SFP'!AM34+'Evolutive SFP'!AM35+'Evolutive SFP'!AM36)</f>
        <v>0.79134784323129259</v>
      </c>
      <c r="CF47" s="272">
        <f>('Evolutive SFP'!AN4+'Evolutive SFP'!AN11)/('Evolutive SFP'!AN28+'Evolutive SFP'!AN29+'Evolutive SFP'!AN32+'Evolutive SFP'!AN33+'Evolutive SFP'!AN34+'Evolutive SFP'!AN35+'Evolutive SFP'!AN36)</f>
        <v>0.80312497933788207</v>
      </c>
      <c r="CG47" s="272" t="e">
        <f>('Evolutive SFP'!#REF!+'Evolutive SFP'!#REF!)/('Evolutive SFP'!#REF!+'Evolutive SFP'!#REF!+'Evolutive SFP'!#REF!+'Evolutive SFP'!#REF!+'Evolutive SFP'!#REF!+'Evolutive SFP'!#REF!+'Evolutive SFP'!#REF!)</f>
        <v>#REF!</v>
      </c>
      <c r="CH47" s="272">
        <f>('Evolutive SFP'!AO4+'Evolutive SFP'!AO11)/('Evolutive SFP'!AO28+'Evolutive SFP'!AO29+'Evolutive SFP'!AO32+'Evolutive SFP'!AO33+'Evolutive SFP'!AO34+'Evolutive SFP'!AO35+'Evolutive SFP'!AO36)</f>
        <v>1.2201111664619606</v>
      </c>
      <c r="CI47" s="272">
        <f>('Evolutive SFP'!AP4+'Evolutive SFP'!AP11)/('Evolutive SFP'!AP28+'Evolutive SFP'!AP29+'Evolutive SFP'!AP32+'Evolutive SFP'!AP33+'Evolutive SFP'!AP34+'Evolutive SFP'!AP35+'Evolutive SFP'!AP36)</f>
        <v>1.180970589496614</v>
      </c>
      <c r="CJ47" s="272">
        <f>('Evolutive SFP'!AQ4+'Evolutive SFP'!AQ11)/('Evolutive SFP'!AQ28+'Evolutive SFP'!AQ29+'Evolutive SFP'!AQ32+'Evolutive SFP'!AQ33+'Evolutive SFP'!AQ34+'Evolutive SFP'!AQ35+'Evolutive SFP'!AQ36)</f>
        <v>1.5171590718290193</v>
      </c>
      <c r="CK47" s="272">
        <f>('Evolutive SFP'!AR4+'Evolutive SFP'!AR11)/('Evolutive SFP'!AR28+'Evolutive SFP'!AR29+'Evolutive SFP'!AR32+'Evolutive SFP'!AR33+'Evolutive SFP'!AR34+'Evolutive SFP'!AR35+'Evolutive SFP'!AR36)</f>
        <v>1.4903324045107404</v>
      </c>
      <c r="CL47" s="272">
        <f>('Evolutive SFP'!AS4+'Evolutive SFP'!AS11)/('Evolutive SFP'!AS28+'Evolutive SFP'!AS29+'Evolutive SFP'!AS32+'Evolutive SFP'!AS33+'Evolutive SFP'!AS34+'Evolutive SFP'!AS35+'Evolutive SFP'!AS36)</f>
        <v>1.5825647870163966</v>
      </c>
      <c r="CM47" s="272">
        <f>('Evolutive SFP'!AT4+'Evolutive SFP'!AT11)/('Evolutive SFP'!AT28+'Evolutive SFP'!AT29+'Evolutive SFP'!AT32+'Evolutive SFP'!AT33+'Evolutive SFP'!AT34+'Evolutive SFP'!AT35+'Evolutive SFP'!AT36)</f>
        <v>1.0361032514082849</v>
      </c>
      <c r="CN47" s="272">
        <f>('Evolutive SFP'!AU4+'Evolutive SFP'!AU11)/('Evolutive SFP'!AU28+'Evolutive SFP'!AU29+'Evolutive SFP'!AU32+'Evolutive SFP'!AU33+'Evolutive SFP'!AU34+'Evolutive SFP'!AU35+'Evolutive SFP'!AU36)</f>
        <v>0.80131723078668327</v>
      </c>
      <c r="CO47" s="272">
        <f>('Evolutive SFP'!AV4+'Evolutive SFP'!AV11)/('Evolutive SFP'!AV28+'Evolutive SFP'!AV29+'Evolutive SFP'!AV32+'Evolutive SFP'!AV33+'Evolutive SFP'!AV34+'Evolutive SFP'!AV35+'Evolutive SFP'!AV36)</f>
        <v>0.83143695299757692</v>
      </c>
      <c r="CP47" s="272">
        <f>('Evolutive SFP'!AW4+'Evolutive SFP'!AW11)/('Evolutive SFP'!AW28+'Evolutive SFP'!AW29+'Evolutive SFP'!AW32+'Evolutive SFP'!AW33+'Evolutive SFP'!AW34+'Evolutive SFP'!AW35+'Evolutive SFP'!AW36)</f>
        <v>1.2317192841164712</v>
      </c>
      <c r="CQ47" s="272">
        <f>('Evolutive SFP'!AX4+'Evolutive SFP'!AX11)/('Evolutive SFP'!AX28+'Evolutive SFP'!AX29+'Evolutive SFP'!AX32+'Evolutive SFP'!AX33+'Evolutive SFP'!AX34+'Evolutive SFP'!AX35+'Evolutive SFP'!AX36)</f>
        <v>1.3518988784405483</v>
      </c>
      <c r="CR47" s="272">
        <f>('Evolutive SFP'!AY4+'Evolutive SFP'!AY11)/('Evolutive SFP'!AY28+'Evolutive SFP'!AY29+'Evolutive SFP'!AY32+'Evolutive SFP'!AY33+'Evolutive SFP'!AY34+'Evolutive SFP'!AY35+'Evolutive SFP'!AY36)</f>
        <v>1.4114906006539312</v>
      </c>
      <c r="CS47" s="272">
        <f>('Evolutive SFP'!AZ4+'Evolutive SFP'!AZ11)/('Evolutive SFP'!AZ28+'Evolutive SFP'!AZ29+'Evolutive SFP'!AZ32+'Evolutive SFP'!AZ33+'Evolutive SFP'!AZ34+'Evolutive SFP'!AZ35+'Evolutive SFP'!AZ36)</f>
        <v>1.964917475263354</v>
      </c>
      <c r="CT47" s="272">
        <f>('Evolutive SFP'!BA4+'Evolutive SFP'!BA11)/('Evolutive SFP'!BA28+'Evolutive SFP'!BA29+'Evolutive SFP'!BA32+'Evolutive SFP'!BA33+'Evolutive SFP'!BA34+'Evolutive SFP'!BA35+'Evolutive SFP'!BA36)</f>
        <v>1.1848579401812596</v>
      </c>
      <c r="CU47" s="272">
        <f>('Evolutive SFP'!BB4+'Evolutive SFP'!BB11)/('Evolutive SFP'!BB28+'Evolutive SFP'!BB29+'Evolutive SFP'!BB32+'Evolutive SFP'!BB33+'Evolutive SFP'!BB34+'Evolutive SFP'!BB35+'Evolutive SFP'!BB36)</f>
        <v>1.3514281272760389</v>
      </c>
      <c r="CV47" s="272">
        <f>('Evolutive SFP'!BC4+'Evolutive SFP'!BC11)/('Evolutive SFP'!BC28+'Evolutive SFP'!BC29+'Evolutive SFP'!BC32+'Evolutive SFP'!BC33+'Evolutive SFP'!BC34+'Evolutive SFP'!BC35+'Evolutive SFP'!BC36)</f>
        <v>1.0011683743733284</v>
      </c>
      <c r="CW47" s="272">
        <f>('Evolutive SFP'!BD4+'Evolutive SFP'!BD11)/('Evolutive SFP'!BD28+'Evolutive SFP'!BD29+'Evolutive SFP'!BD32+'Evolutive SFP'!BD33+'Evolutive SFP'!BD34+'Evolutive SFP'!BD35+'Evolutive SFP'!BD36)</f>
        <v>1.4533921304044233</v>
      </c>
      <c r="CX47" s="272">
        <f>('Evolutive SFP'!BE4+'Evolutive SFP'!BE11)/('Evolutive SFP'!BE28+'Evolutive SFP'!BE29+'Evolutive SFP'!BE32+'Evolutive SFP'!BE33+'Evolutive SFP'!BE34+'Evolutive SFP'!BE35+'Evolutive SFP'!BE36)</f>
        <v>1.4550761922796493</v>
      </c>
      <c r="CY47" s="272">
        <f>('Evolutive SFP'!BF4+'Evolutive SFP'!BF11)/('Evolutive SFP'!BF28+'Evolutive SFP'!BF29+'Evolutive SFP'!BF32+'Evolutive SFP'!BF33+'Evolutive SFP'!BF34+'Evolutive SFP'!BF35+'Evolutive SFP'!BF36)</f>
        <v>1.7151604395835267</v>
      </c>
      <c r="CZ47" s="272">
        <f>('Evolutive SFP'!BG4+'Evolutive SFP'!BG11)/('Evolutive SFP'!BG28+'Evolutive SFP'!BG29+'Evolutive SFP'!BG32+'Evolutive SFP'!BG33+'Evolutive SFP'!BG34+'Evolutive SFP'!BG35+'Evolutive SFP'!BG36)</f>
        <v>1.2672339357619589</v>
      </c>
      <c r="DA47" s="272" t="e">
        <f>('Evolutive SFP'!BT4+'Evolutive SFP'!BT11)/('Evolutive SFP'!BT28+'Evolutive SFP'!BT29+'Evolutive SFP'!BT32+'Evolutive SFP'!BT33+'Evolutive SFP'!BT34+'Evolutive SFP'!BT35+'Evolutive SFP'!BT36)</f>
        <v>#DIV/0!</v>
      </c>
      <c r="DB47" s="272">
        <f>('Evolutive SFP'!BU4+'Evolutive SFP'!BU11)/('Evolutive SFP'!BU28+'Evolutive SFP'!BU29+'Evolutive SFP'!BU32+'Evolutive SFP'!BU33+'Evolutive SFP'!BU34+'Evolutive SFP'!BU35+'Evolutive SFP'!BU36)</f>
        <v>1.1680481692067231</v>
      </c>
      <c r="DC47" s="272">
        <f>('Evolutive SFP'!BV4+'Evolutive SFP'!BV11)/('Evolutive SFP'!BV28+'Evolutive SFP'!BV29+'Evolutive SFP'!BV32+'Evolutive SFP'!BV33+'Evolutive SFP'!BV34+'Evolutive SFP'!BV35+'Evolutive SFP'!BV36)</f>
        <v>1.2061925719311297</v>
      </c>
      <c r="DD47" s="272">
        <f>('Evolutive SFP'!BW4+'Evolutive SFP'!BW11)/('Evolutive SFP'!BW28+'Evolutive SFP'!BW29+'Evolutive SFP'!BW32+'Evolutive SFP'!BW33+'Evolutive SFP'!BW34+'Evolutive SFP'!BW35+'Evolutive SFP'!BW36)</f>
        <v>1.1364380504807992</v>
      </c>
      <c r="DE47" s="272">
        <f>('Evolutive SFP'!BX4+'Evolutive SFP'!BX11)/('Evolutive SFP'!BX28+'Evolutive SFP'!BX29+'Evolutive SFP'!BX32+'Evolutive SFP'!BX33+'Evolutive SFP'!BX34+'Evolutive SFP'!BX35+'Evolutive SFP'!BX36)</f>
        <v>1.4190028268077297</v>
      </c>
      <c r="DF47" s="272">
        <f>('Evolutive SFP'!BY4+'Evolutive SFP'!BY11)/('Evolutive SFP'!BY28+'Evolutive SFP'!BY29+'Evolutive SFP'!BY32+'Evolutive SFP'!BY33+'Evolutive SFP'!BY34+'Evolutive SFP'!BY35+'Evolutive SFP'!BY36)</f>
        <v>1.4409573422177946</v>
      </c>
      <c r="DG47" s="272">
        <f>('Evolutive SFP'!BZ4+'Evolutive SFP'!BZ11)/('Evolutive SFP'!BZ28+'Evolutive SFP'!BZ29+'Evolutive SFP'!BZ32+'Evolutive SFP'!BZ33+'Evolutive SFP'!BZ34+'Evolutive SFP'!BZ35+'Evolutive SFP'!BZ36)</f>
        <v>1.5291415875756691</v>
      </c>
      <c r="DH47" s="272">
        <f>('Evolutive SFP'!CA4+'Evolutive SFP'!CA11)/('Evolutive SFP'!CA28+'Evolutive SFP'!CA29+'Evolutive SFP'!CA32+'Evolutive SFP'!CA33+'Evolutive SFP'!CA34+'Evolutive SFP'!CA35+'Evolutive SFP'!CA36)</f>
        <v>1.4814274145302639</v>
      </c>
      <c r="DI47" s="272">
        <f>('Evolutive SFP'!CB4+'Evolutive SFP'!CB11)/('Evolutive SFP'!CB28+'Evolutive SFP'!CB29+'Evolutive SFP'!CB32+'Evolutive SFP'!CB33+'Evolutive SFP'!CB34+'Evolutive SFP'!CB35+'Evolutive SFP'!CB36)</f>
        <v>1.5535843953956685</v>
      </c>
      <c r="DJ47" s="272">
        <f>('Evolutive SFP'!CC4+'Evolutive SFP'!CC11)/('Evolutive SFP'!CC28+'Evolutive SFP'!CC29+'Evolutive SFP'!CC32+'Evolutive SFP'!CC33+'Evolutive SFP'!CC34+'Evolutive SFP'!CC35+'Evolutive SFP'!CC36)</f>
        <v>0.95062618550422506</v>
      </c>
    </row>
    <row r="48" spans="1:114" ht="12.75" hidden="1">
      <c r="A48" s="150"/>
      <c r="B48" s="139"/>
      <c r="C48" s="123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/>
      <c r="AQ48" s="151"/>
      <c r="AR48" s="151"/>
      <c r="AS48" s="151"/>
      <c r="AT48" s="151"/>
      <c r="AU48" s="151"/>
      <c r="AV48" s="151"/>
      <c r="AW48" s="151"/>
      <c r="AX48" s="151"/>
      <c r="AY48" s="151"/>
      <c r="AZ48" s="151"/>
      <c r="BA48" s="151"/>
      <c r="BB48" s="151"/>
      <c r="BC48" s="151"/>
      <c r="BD48" s="151"/>
      <c r="BE48" s="151"/>
      <c r="BF48" s="151"/>
      <c r="BG48" s="151"/>
      <c r="BH48" s="151"/>
      <c r="BI48" s="151"/>
      <c r="BJ48" s="151"/>
      <c r="BK48" s="151"/>
      <c r="BL48" s="151"/>
      <c r="BM48" s="151"/>
      <c r="BN48" s="151"/>
      <c r="BO48" s="151"/>
      <c r="BP48" s="151"/>
      <c r="BQ48" s="151"/>
      <c r="BR48" s="151"/>
      <c r="BS48" s="151"/>
      <c r="BT48" s="151"/>
      <c r="BU48" s="151"/>
      <c r="BV48" s="151"/>
      <c r="BW48" s="151"/>
      <c r="BX48" s="151"/>
      <c r="BY48" s="151"/>
      <c r="BZ48" s="151"/>
      <c r="CA48" s="151"/>
      <c r="CB48" s="151"/>
      <c r="CC48" s="151"/>
      <c r="CD48" s="151"/>
      <c r="CE48" s="151"/>
      <c r="CF48" s="151"/>
      <c r="CG48" s="151"/>
      <c r="CH48" s="151"/>
      <c r="CI48" s="151"/>
      <c r="CJ48" s="151"/>
      <c r="CK48" s="151"/>
      <c r="CL48" s="151"/>
      <c r="CM48" s="151"/>
      <c r="CN48" s="151"/>
      <c r="CO48" s="151"/>
      <c r="CP48" s="151"/>
      <c r="CQ48" s="151"/>
      <c r="CR48" s="151"/>
      <c r="CS48" s="151"/>
      <c r="CT48" s="151"/>
      <c r="CU48" s="151"/>
      <c r="CV48" s="151"/>
      <c r="CW48" s="151"/>
      <c r="CX48" s="151"/>
      <c r="CY48" s="151"/>
      <c r="CZ48" s="151"/>
      <c r="DA48" s="151"/>
      <c r="DB48" s="151"/>
      <c r="DC48" s="151"/>
      <c r="DD48" s="151"/>
      <c r="DE48" s="151"/>
      <c r="DF48" s="151"/>
      <c r="DG48" s="151"/>
      <c r="DH48" s="151"/>
      <c r="DI48" s="151"/>
      <c r="DJ48" s="151"/>
    </row>
    <row r="49" spans="1:114" ht="12.75" hidden="1">
      <c r="A49" s="145" t="s">
        <v>365</v>
      </c>
      <c r="B49" s="139"/>
      <c r="C49" s="123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8"/>
      <c r="AE49" s="148"/>
      <c r="AF49" s="148"/>
      <c r="AG49" s="148"/>
      <c r="AH49" s="148"/>
      <c r="AI49" s="148"/>
      <c r="AJ49" s="148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0"/>
      <c r="BC49" s="140"/>
      <c r="BD49" s="140"/>
      <c r="BE49" s="140"/>
      <c r="BF49" s="140"/>
      <c r="BG49" s="140"/>
      <c r="BH49" s="140"/>
      <c r="BI49" s="140"/>
      <c r="BJ49" s="140"/>
      <c r="BK49" s="140"/>
      <c r="BL49" s="140"/>
      <c r="BM49" s="140"/>
      <c r="BN49" s="140"/>
      <c r="BO49" s="140"/>
      <c r="BP49" s="140"/>
      <c r="BQ49" s="140"/>
      <c r="BR49" s="140"/>
      <c r="BS49" s="140"/>
      <c r="BT49" s="140"/>
      <c r="BU49" s="140"/>
      <c r="BV49" s="140"/>
      <c r="BW49" s="140"/>
      <c r="BX49" s="140"/>
      <c r="BY49" s="140"/>
      <c r="BZ49" s="140"/>
      <c r="CA49" s="140"/>
      <c r="CB49" s="140"/>
      <c r="CC49" s="140"/>
      <c r="CD49" s="140"/>
      <c r="CE49" s="140"/>
      <c r="CF49" s="140"/>
      <c r="CG49" s="140"/>
      <c r="CH49" s="140"/>
      <c r="CI49" s="140"/>
      <c r="CJ49" s="140"/>
      <c r="CK49" s="140"/>
      <c r="CL49" s="140"/>
      <c r="CM49" s="140"/>
      <c r="CN49" s="140"/>
      <c r="CO49" s="140"/>
      <c r="CP49" s="140"/>
      <c r="CQ49" s="140"/>
      <c r="CR49" s="140"/>
      <c r="CS49" s="140"/>
      <c r="CT49" s="140"/>
      <c r="CU49" s="140"/>
      <c r="CV49" s="140"/>
      <c r="CW49" s="140"/>
      <c r="CX49" s="140"/>
      <c r="CY49" s="140"/>
      <c r="CZ49" s="140"/>
      <c r="DA49" s="140"/>
      <c r="DB49" s="140"/>
      <c r="DC49" s="140"/>
      <c r="DD49" s="140"/>
      <c r="DE49" s="140"/>
      <c r="DF49" s="140"/>
      <c r="DG49" s="140"/>
      <c r="DH49" s="140"/>
      <c r="DI49" s="140"/>
      <c r="DJ49" s="140"/>
    </row>
    <row r="50" spans="1:114" ht="12.75" hidden="1">
      <c r="A50" s="152" t="s">
        <v>366</v>
      </c>
      <c r="B50" s="153">
        <v>1</v>
      </c>
      <c r="C50" s="154">
        <v>44.1</v>
      </c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5"/>
      <c r="AT50" s="155"/>
      <c r="AU50" s="155"/>
      <c r="AV50" s="155"/>
      <c r="AW50" s="155"/>
      <c r="AX50" s="155"/>
      <c r="AY50" s="155"/>
      <c r="AZ50" s="155"/>
      <c r="BA50" s="155"/>
      <c r="BB50" s="155"/>
      <c r="BC50" s="155"/>
      <c r="BD50" s="155"/>
      <c r="BE50" s="155"/>
      <c r="BF50" s="155"/>
      <c r="BG50" s="155"/>
      <c r="BH50" s="155"/>
      <c r="BI50" s="155"/>
      <c r="BJ50" s="155"/>
      <c r="BK50" s="155"/>
      <c r="BL50" s="155"/>
      <c r="BM50" s="155"/>
      <c r="BN50" s="155"/>
      <c r="BO50" s="155"/>
      <c r="BP50" s="155"/>
      <c r="BQ50" s="155"/>
      <c r="BR50" s="155"/>
      <c r="BS50" s="155"/>
      <c r="BT50" s="155"/>
      <c r="BU50" s="155"/>
      <c r="BV50" s="155"/>
      <c r="BW50" s="155"/>
      <c r="BX50" s="155"/>
      <c r="BY50" s="155"/>
      <c r="BZ50" s="155"/>
      <c r="CA50" s="155"/>
      <c r="CB50" s="155"/>
      <c r="CC50" s="155"/>
      <c r="CD50" s="155"/>
      <c r="CE50" s="155"/>
      <c r="CF50" s="155"/>
      <c r="CG50" s="155"/>
      <c r="CH50" s="155"/>
      <c r="CI50" s="155"/>
      <c r="CJ50" s="155"/>
      <c r="CK50" s="155"/>
      <c r="CL50" s="155"/>
      <c r="CM50" s="155"/>
      <c r="CN50" s="155"/>
      <c r="CO50" s="155"/>
      <c r="CP50" s="155"/>
      <c r="CQ50" s="155"/>
      <c r="CR50" s="155"/>
      <c r="CS50" s="155"/>
      <c r="CT50" s="155"/>
      <c r="CU50" s="155"/>
      <c r="CV50" s="155"/>
      <c r="CW50" s="155"/>
      <c r="CX50" s="155"/>
      <c r="CY50" s="155"/>
      <c r="CZ50" s="155"/>
      <c r="DA50" s="155"/>
      <c r="DB50" s="155"/>
      <c r="DC50" s="155"/>
      <c r="DD50" s="155"/>
      <c r="DE50" s="155"/>
      <c r="DF50" s="155"/>
      <c r="DG50" s="155"/>
      <c r="DH50" s="155"/>
      <c r="DI50" s="155"/>
      <c r="DJ50" s="155"/>
    </row>
    <row r="51" spans="1:114" ht="12.75">
      <c r="A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</row>
    <row r="52" spans="1:114" ht="12.75">
      <c r="A52" s="102" t="s">
        <v>367</v>
      </c>
      <c r="CI52" s="272">
        <f>('Evolutive SFP'!AP4+'Evolutive SFP'!AP11)/('Evolutive SFP'!AP28+'Evolutive SFP'!AP29+'Evolutive SFP'!AP32+'Evolutive SFP'!AP33+'Evolutive SFP'!AP34+'Evolutive SFP'!AP35+'Evolutive SFP'!AP36)</f>
        <v>1.180970589496614</v>
      </c>
      <c r="CJ52" s="272">
        <f>('Evolutive SFP'!AQ4+'Evolutive SFP'!AQ11)/('Evolutive SFP'!AQ28+'Evolutive SFP'!AQ29+'Evolutive SFP'!AQ32+'Evolutive SFP'!AQ33+'Evolutive SFP'!AQ34+'Evolutive SFP'!AQ35+'Evolutive SFP'!AQ36)</f>
        <v>1.5171590718290193</v>
      </c>
      <c r="CK52" s="272">
        <f>('Evolutive SFP'!AR4+'Evolutive SFP'!AR11)/('Evolutive SFP'!AR28+'Evolutive SFP'!AR29+'Evolutive SFP'!AR32+'Evolutive SFP'!AR33+'Evolutive SFP'!AR34+'Evolutive SFP'!AR35+'Evolutive SFP'!AR36)</f>
        <v>1.4903324045107404</v>
      </c>
      <c r="CL52" s="272">
        <f>('Evolutive SFP'!AS4+'Evolutive SFP'!AS11)/('Evolutive SFP'!AS28+'Evolutive SFP'!AS29+'Evolutive SFP'!AS32+'Evolutive SFP'!AS33+'Evolutive SFP'!AS34+'Evolutive SFP'!AS35+'Evolutive SFP'!AS36)</f>
        <v>1.5825647870163966</v>
      </c>
      <c r="CM52" s="272">
        <f>('Evolutive SFP'!AT4+'Evolutive SFP'!AT11)/('Evolutive SFP'!AT28+'Evolutive SFP'!AT29+'Evolutive SFP'!AT32+'Evolutive SFP'!AT33+'Evolutive SFP'!AT34+'Evolutive SFP'!AT35+'Evolutive SFP'!AT36)</f>
        <v>1.0361032514082849</v>
      </c>
      <c r="CN52" s="272">
        <f>('Evolutive SFP'!AU4+'Evolutive SFP'!AU11)/('Evolutive SFP'!AU28+'Evolutive SFP'!AU29+'Evolutive SFP'!AU32+'Evolutive SFP'!AU33+'Evolutive SFP'!AU34+'Evolutive SFP'!AU35+'Evolutive SFP'!AU36)</f>
        <v>0.80131723078668327</v>
      </c>
      <c r="CO52" s="272">
        <f>('Evolutive SFP'!AV4+'Evolutive SFP'!AV11)/('Evolutive SFP'!AV28+'Evolutive SFP'!AV29+'Evolutive SFP'!AV32+'Evolutive SFP'!AV33+'Evolutive SFP'!AV34+'Evolutive SFP'!AV35+'Evolutive SFP'!AV36)</f>
        <v>0.83143695299757692</v>
      </c>
      <c r="CP52" s="272">
        <f>('Evolutive SFP'!AW4+'Evolutive SFP'!AW11)/('Evolutive SFP'!AW28+'Evolutive SFP'!AW29+'Evolutive SFP'!AW32+'Evolutive SFP'!AW33+'Evolutive SFP'!AW34+'Evolutive SFP'!AW35+'Evolutive SFP'!AW36)</f>
        <v>1.2317192841164712</v>
      </c>
      <c r="CQ52" s="272">
        <f>('Evolutive SFP'!AX4+'Evolutive SFP'!AX11)/('Evolutive SFP'!AX28+'Evolutive SFP'!AX29+'Evolutive SFP'!AX32+'Evolutive SFP'!AX33+'Evolutive SFP'!AX34+'Evolutive SFP'!AX35+'Evolutive SFP'!AX36)</f>
        <v>1.3518988784405483</v>
      </c>
      <c r="CR52" s="272">
        <f>('Evolutive SFP'!AY4+'Evolutive SFP'!AY11)/('Evolutive SFP'!AY28+'Evolutive SFP'!AY29+'Evolutive SFP'!AY32+'Evolutive SFP'!AY33+'Evolutive SFP'!AY34+'Evolutive SFP'!AY35+'Evolutive SFP'!AY36)</f>
        <v>1.4114906006539312</v>
      </c>
      <c r="CS52" s="272">
        <f>('Evolutive SFP'!AZ4+'Evolutive SFP'!AZ11)/('Evolutive SFP'!AZ28+'Evolutive SFP'!AZ29+'Evolutive SFP'!AZ32+'Evolutive SFP'!AZ33+'Evolutive SFP'!AZ34+'Evolutive SFP'!AZ35+'Evolutive SFP'!AZ36)</f>
        <v>1.964917475263354</v>
      </c>
      <c r="CT52" s="272">
        <f>('Evolutive SFP'!BA4+'Evolutive SFP'!BA11)/('Evolutive SFP'!BA28+'Evolutive SFP'!BA29+'Evolutive SFP'!BA32+'Evolutive SFP'!BA33+'Evolutive SFP'!BA34+'Evolutive SFP'!BA35+'Evolutive SFP'!BA36)</f>
        <v>1.1848579401812596</v>
      </c>
      <c r="CU52" s="272">
        <f>('Evolutive SFP'!BB4+'Evolutive SFP'!BB11)/('Evolutive SFP'!BB28+'Evolutive SFP'!BB29+'Evolutive SFP'!BB32+'Evolutive SFP'!BB33+'Evolutive SFP'!BB34+'Evolutive SFP'!BB35+'Evolutive SFP'!BB36)</f>
        <v>1.3514281272760389</v>
      </c>
      <c r="CV52" s="272">
        <f>('Evolutive SFP'!BC4+'Evolutive SFP'!BC11)/('Evolutive SFP'!BC28+'Evolutive SFP'!BC29+'Evolutive SFP'!BC32+'Evolutive SFP'!BC33+'Evolutive SFP'!BC34+'Evolutive SFP'!BC35+'Evolutive SFP'!BC36)</f>
        <v>1.0011683743733284</v>
      </c>
      <c r="CW52" s="272">
        <f>('Evolutive SFP'!BD4+'Evolutive SFP'!BD11)/('Evolutive SFP'!BD28+'Evolutive SFP'!BD29+'Evolutive SFP'!BD32+'Evolutive SFP'!BD33+'Evolutive SFP'!BD34+'Evolutive SFP'!BD35+'Evolutive SFP'!BD36)</f>
        <v>1.4533921304044233</v>
      </c>
      <c r="CX52" s="272">
        <f>('Evolutive SFP'!BE4+'Evolutive SFP'!BE11)/('Evolutive SFP'!BE28+'Evolutive SFP'!BE29+'Evolutive SFP'!BE32+'Evolutive SFP'!BE33+'Evolutive SFP'!BE34+'Evolutive SFP'!BE35+'Evolutive SFP'!BE36)</f>
        <v>1.4550761922796493</v>
      </c>
      <c r="CY52" s="272">
        <f>('Evolutive SFP'!BF4+'Evolutive SFP'!BF11)/('Evolutive SFP'!BF28+'Evolutive SFP'!BF29+'Evolutive SFP'!BF32+'Evolutive SFP'!BF33+'Evolutive SFP'!BF34+'Evolutive SFP'!BF35+'Evolutive SFP'!BF36)</f>
        <v>1.7151604395835267</v>
      </c>
      <c r="CZ52" s="272">
        <f>('Evolutive SFP'!BG4+'Evolutive SFP'!BG11)/('Evolutive SFP'!BG28+'Evolutive SFP'!BG29+'Evolutive SFP'!BG32+'Evolutive SFP'!BG33+'Evolutive SFP'!BG34+'Evolutive SFP'!BG35+'Evolutive SFP'!BG36)</f>
        <v>1.2672339357619589</v>
      </c>
      <c r="DA52" s="272" t="e">
        <f>('Evolutive SFP'!BT4+'Evolutive SFP'!BT11)/('Evolutive SFP'!BT28+'Evolutive SFP'!BT29+'Evolutive SFP'!BT32+'Evolutive SFP'!BT33+'Evolutive SFP'!BT34+'Evolutive SFP'!BT35+'Evolutive SFP'!BT36)</f>
        <v>#DIV/0!</v>
      </c>
      <c r="DB52" s="272">
        <f>('Evolutive SFP'!BU4+'Evolutive SFP'!BU11)/('Evolutive SFP'!BU28+'Evolutive SFP'!BU29+'Evolutive SFP'!BU32+'Evolutive SFP'!BU33+'Evolutive SFP'!BU34+'Evolutive SFP'!BU35+'Evolutive SFP'!BU36)</f>
        <v>1.1680481692067231</v>
      </c>
      <c r="DC52" s="272">
        <f>('Evolutive SFP'!BV4+'Evolutive SFP'!BV11)/('Evolutive SFP'!BV28+'Evolutive SFP'!BV29+'Evolutive SFP'!BV32+'Evolutive SFP'!BV33+'Evolutive SFP'!BV34+'Evolutive SFP'!BV35+'Evolutive SFP'!BV36)</f>
        <v>1.2061925719311297</v>
      </c>
      <c r="DD52" s="272">
        <f>('Evolutive SFP'!BW4+'Evolutive SFP'!BW11)/('Evolutive SFP'!BW28+'Evolutive SFP'!BW29+'Evolutive SFP'!BW32+'Evolutive SFP'!BW33+'Evolutive SFP'!BW34+'Evolutive SFP'!BW35+'Evolutive SFP'!BW36)</f>
        <v>1.1364380504807992</v>
      </c>
      <c r="DE52" s="272">
        <f>('Evolutive SFP'!BX4+'Evolutive SFP'!BX11)/('Evolutive SFP'!BX28+'Evolutive SFP'!BX29+'Evolutive SFP'!BX32+'Evolutive SFP'!BX33+'Evolutive SFP'!BX34+'Evolutive SFP'!BX35+'Evolutive SFP'!BX36)</f>
        <v>1.4190028268077297</v>
      </c>
      <c r="DF52" s="272">
        <f>('Evolutive SFP'!BY4+'Evolutive SFP'!BY11)/('Evolutive SFP'!BY28+'Evolutive SFP'!BY29+'Evolutive SFP'!BY32+'Evolutive SFP'!BY33+'Evolutive SFP'!BY34+'Evolutive SFP'!BY35+'Evolutive SFP'!BY36)</f>
        <v>1.4409573422177946</v>
      </c>
      <c r="DG52" s="272">
        <f>('Evolutive SFP'!BZ4+'Evolutive SFP'!BZ11)/('Evolutive SFP'!BZ28+'Evolutive SFP'!BZ29+'Evolutive SFP'!BZ32+'Evolutive SFP'!BZ33+'Evolutive SFP'!BZ34+'Evolutive SFP'!BZ35+'Evolutive SFP'!BZ36)</f>
        <v>1.5291415875756691</v>
      </c>
      <c r="DH52" s="272">
        <f>('Evolutive SFP'!CA4+'Evolutive SFP'!CA11)/('Evolutive SFP'!CA28+'Evolutive SFP'!CA29+'Evolutive SFP'!CA32+'Evolutive SFP'!CA33+'Evolutive SFP'!CA34+'Evolutive SFP'!CA35+'Evolutive SFP'!CA36)</f>
        <v>1.4814274145302639</v>
      </c>
      <c r="DI52" s="272">
        <f>('Evolutive SFP'!CB4+'Evolutive SFP'!CB11)/('Evolutive SFP'!CB28+'Evolutive SFP'!CB29+'Evolutive SFP'!CB32+'Evolutive SFP'!CB33+'Evolutive SFP'!CB34+'Evolutive SFP'!CB35+'Evolutive SFP'!CB36)</f>
        <v>1.5535843953956685</v>
      </c>
      <c r="DJ52" s="272">
        <f>('Evolutive SFP'!CC4+'Evolutive SFP'!CC11)/('Evolutive SFP'!CC28+'Evolutive SFP'!CC29+'Evolutive SFP'!CC32+'Evolutive SFP'!CC33+'Evolutive SFP'!CC34+'Evolutive SFP'!CC35+'Evolutive SFP'!CC36)</f>
        <v>0.95062618550422506</v>
      </c>
    </row>
    <row r="53" spans="1:114" ht="12.75">
      <c r="A53" s="102" t="s">
        <v>368</v>
      </c>
      <c r="CI53" s="272">
        <f>('Evolutive SFP'!AP4+'Evolutive SFP'!AP11)/('Evolutive SFP'!AP31+'Evolutive SFP'!AP32+'Evolutive SFP'!AP33+'Evolutive SFP'!AP34+'Evolutive SFP'!AP35+'Evolutive SFP'!AP36)</f>
        <v>0.32196630416539385</v>
      </c>
      <c r="CJ53" s="272">
        <f>('Evolutive SFP'!AQ4+'Evolutive SFP'!AQ11)/('Evolutive SFP'!AQ31+'Evolutive SFP'!AQ32+'Evolutive SFP'!AQ33+'Evolutive SFP'!AQ34+'Evolutive SFP'!AQ35+'Evolutive SFP'!AQ36)</f>
        <v>0.33559747207276358</v>
      </c>
      <c r="CK53" s="272">
        <f>('Evolutive SFP'!AR4+'Evolutive SFP'!AR11)/('Evolutive SFP'!AR31+'Evolutive SFP'!AR32+'Evolutive SFP'!AR33+'Evolutive SFP'!AR34+'Evolutive SFP'!AR35+'Evolutive SFP'!AR36)</f>
        <v>0.37566181291752276</v>
      </c>
      <c r="CL53" s="272">
        <f>('Evolutive SFP'!AS4+'Evolutive SFP'!AS11)/('Evolutive SFP'!AS31+'Evolutive SFP'!AS32+'Evolutive SFP'!AS33+'Evolutive SFP'!AS34+'Evolutive SFP'!AS35+'Evolutive SFP'!AS36)</f>
        <v>0.27030544002013868</v>
      </c>
      <c r="CM53" s="272">
        <f>('Evolutive SFP'!AT4+'Evolutive SFP'!AT11)/('Evolutive SFP'!AT31+'Evolutive SFP'!AT32+'Evolutive SFP'!AT33+'Evolutive SFP'!AT34+'Evolutive SFP'!AT35+'Evolutive SFP'!AT36)</f>
        <v>0.24796743655692452</v>
      </c>
      <c r="CN53" s="272">
        <f>('Evolutive SFP'!AU4+'Evolutive SFP'!AU11)/('Evolutive SFP'!AU31+'Evolutive SFP'!AU32+'Evolutive SFP'!AU33+'Evolutive SFP'!AU34+'Evolutive SFP'!AU35+'Evolutive SFP'!AU36)</f>
        <v>0.18533120143760951</v>
      </c>
      <c r="CO53" s="272">
        <f>('Evolutive SFP'!AV4+'Evolutive SFP'!AV11)/('Evolutive SFP'!AV31+'Evolutive SFP'!AV32+'Evolutive SFP'!AV33+'Evolutive SFP'!AV34+'Evolutive SFP'!AV35+'Evolutive SFP'!AV36)</f>
        <v>0.18679689867948698</v>
      </c>
      <c r="CP53" s="272">
        <f>('Evolutive SFP'!AW4+'Evolutive SFP'!AW11)/('Evolutive SFP'!AW31+'Evolutive SFP'!AW32+'Evolutive SFP'!AW33+'Evolutive SFP'!AW34+'Evolutive SFP'!AW35+'Evolutive SFP'!AW36)</f>
        <v>0.28744200957521904</v>
      </c>
      <c r="CQ53" s="272">
        <f>('Evolutive SFP'!AX4+'Evolutive SFP'!AX11)/('Evolutive SFP'!AX31+'Evolutive SFP'!AX32+'Evolutive SFP'!AX33+'Evolutive SFP'!AX34+'Evolutive SFP'!AX35+'Evolutive SFP'!AX36)</f>
        <v>0.27365817663339015</v>
      </c>
      <c r="CR53" s="272">
        <f>('Evolutive SFP'!AY4+'Evolutive SFP'!AY11)/('Evolutive SFP'!AY31+'Evolutive SFP'!AY32+'Evolutive SFP'!AY33+'Evolutive SFP'!AY34+'Evolutive SFP'!AY35+'Evolutive SFP'!AY36)</f>
        <v>0.28439467079978514</v>
      </c>
      <c r="CS53" s="272">
        <f>('Evolutive SFP'!AZ4+'Evolutive SFP'!AZ11)/('Evolutive SFP'!AZ31+'Evolutive SFP'!AZ32+'Evolutive SFP'!AZ33+'Evolutive SFP'!AZ34+'Evolutive SFP'!AZ35+'Evolutive SFP'!AZ36)</f>
        <v>0.33992092006516522</v>
      </c>
      <c r="CT53" s="272">
        <f>('Evolutive SFP'!BA4+'Evolutive SFP'!BA11)/('Evolutive SFP'!BA31+'Evolutive SFP'!BA32+'Evolutive SFP'!BA33+'Evolutive SFP'!BA34+'Evolutive SFP'!BA35+'Evolutive SFP'!BA36)</f>
        <v>0.27468200401191323</v>
      </c>
      <c r="CU53" s="272">
        <f>('Evolutive SFP'!BB4+'Evolutive SFP'!BB11)/('Evolutive SFP'!BB31+'Evolutive SFP'!BB32+'Evolutive SFP'!BB33+'Evolutive SFP'!BB34+'Evolutive SFP'!BB35+'Evolutive SFP'!BB36)</f>
        <v>0.30760350043289886</v>
      </c>
      <c r="CV53" s="272">
        <f>('Evolutive SFP'!BC4+'Evolutive SFP'!BC11)/('Evolutive SFP'!BC31+'Evolutive SFP'!BC32+'Evolutive SFP'!BC33+'Evolutive SFP'!BC34+'Evolutive SFP'!BC35+'Evolutive SFP'!BC36)</f>
        <v>0.17347918269256643</v>
      </c>
      <c r="CW53" s="272">
        <f>('Evolutive SFP'!BD4+'Evolutive SFP'!BD11)/('Evolutive SFP'!BD31+'Evolutive SFP'!BD32+'Evolutive SFP'!BD33+'Evolutive SFP'!BD34+'Evolutive SFP'!BD35+'Evolutive SFP'!BD36)</f>
        <v>0.28979990437732844</v>
      </c>
      <c r="CX53" s="272">
        <f>('Evolutive SFP'!BE4+'Evolutive SFP'!BE11)/('Evolutive SFP'!BE31+'Evolutive SFP'!BE32+'Evolutive SFP'!BE33+'Evolutive SFP'!BE34+'Evolutive SFP'!BE35+'Evolutive SFP'!BE36)</f>
        <v>0.34613778988157518</v>
      </c>
      <c r="CY53" s="272">
        <f>('Evolutive SFP'!BF4+'Evolutive SFP'!BF11)/('Evolutive SFP'!BF31+'Evolutive SFP'!BF32+'Evolutive SFP'!BF33+'Evolutive SFP'!BF34+'Evolutive SFP'!BF35+'Evolutive SFP'!BF36)</f>
        <v>0.32958431336172322</v>
      </c>
      <c r="CZ53" s="272">
        <f>('Evolutive SFP'!BG4+'Evolutive SFP'!BG11)/('Evolutive SFP'!BG31+'Evolutive SFP'!BG32+'Evolutive SFP'!BG33+'Evolutive SFP'!BG34+'Evolutive SFP'!BG35+'Evolutive SFP'!BG36)</f>
        <v>0.30710359238190849</v>
      </c>
      <c r="DA53" s="272" t="e">
        <f>('Evolutive SFP'!BT4+'Evolutive SFP'!BT11)/('Evolutive SFP'!BT31+'Evolutive SFP'!BT32+'Evolutive SFP'!BT33+'Evolutive SFP'!BT34+'Evolutive SFP'!BT35+'Evolutive SFP'!BT36)</f>
        <v>#DIV/0!</v>
      </c>
      <c r="DB53" s="272">
        <f>('Evolutive SFP'!BU4+'Evolutive SFP'!BU11)/('Evolutive SFP'!BU31+'Evolutive SFP'!BU32+'Evolutive SFP'!BU33+'Evolutive SFP'!BU34+'Evolutive SFP'!BU35+'Evolutive SFP'!BU36)</f>
        <v>0.26533942085628803</v>
      </c>
      <c r="DC53" s="272">
        <f>('Evolutive SFP'!BV4+'Evolutive SFP'!BV11)/('Evolutive SFP'!BV31+'Evolutive SFP'!BV32+'Evolutive SFP'!BV33+'Evolutive SFP'!BV34+'Evolutive SFP'!BV35+'Evolutive SFP'!BV36)</f>
        <v>0.2716326643516086</v>
      </c>
      <c r="DD53" s="272">
        <f>('Evolutive SFP'!BW4+'Evolutive SFP'!BW11)/('Evolutive SFP'!BW31+'Evolutive SFP'!BW32+'Evolutive SFP'!BW33+'Evolutive SFP'!BW34+'Evolutive SFP'!BW35+'Evolutive SFP'!BW36)</f>
        <v>0.25825785065887796</v>
      </c>
      <c r="DE53" s="272">
        <f>('Evolutive SFP'!BX4+'Evolutive SFP'!BX11)/('Evolutive SFP'!BX31+'Evolutive SFP'!BX32+'Evolutive SFP'!BX33+'Evolutive SFP'!BX34+'Evolutive SFP'!BX35+'Evolutive SFP'!BX36)</f>
        <v>0.26781254957590717</v>
      </c>
      <c r="DF53" s="272">
        <f>('Evolutive SFP'!BY4+'Evolutive SFP'!BY11)/('Evolutive SFP'!BY31+'Evolutive SFP'!BY32+'Evolutive SFP'!BY33+'Evolutive SFP'!BY34+'Evolutive SFP'!BY35+'Evolutive SFP'!BY36)</f>
        <v>0.25899608209052688</v>
      </c>
      <c r="DG53" s="272">
        <f>('Evolutive SFP'!BZ4+'Evolutive SFP'!BZ11)/('Evolutive SFP'!BZ31+'Evolutive SFP'!BZ32+'Evolutive SFP'!BZ33+'Evolutive SFP'!BZ34+'Evolutive SFP'!BZ35+'Evolutive SFP'!BZ36)</f>
        <v>0.27601711015084662</v>
      </c>
      <c r="DH53" s="272">
        <f>('Evolutive SFP'!CA4+'Evolutive SFP'!CA11)/('Evolutive SFP'!CA31+'Evolutive SFP'!CA32+'Evolutive SFP'!CA33+'Evolutive SFP'!CA34+'Evolutive SFP'!CA35+'Evolutive SFP'!CA36)</f>
        <v>0.24691654429577298</v>
      </c>
      <c r="DI53" s="272">
        <f>('Evolutive SFP'!CB4+'Evolutive SFP'!CB11)/('Evolutive SFP'!CB31+'Evolutive SFP'!CB32+'Evolutive SFP'!CB33+'Evolutive SFP'!CB34+'Evolutive SFP'!CB35+'Evolutive SFP'!CB36)</f>
        <v>0.27218277891434034</v>
      </c>
      <c r="DJ53" s="272">
        <f>('Evolutive SFP'!CC4+'Evolutive SFP'!CC11)/('Evolutive SFP'!CC31+'Evolutive SFP'!CC32+'Evolutive SFP'!CC33+'Evolutive SFP'!CC34+'Evolutive SFP'!CC35+'Evolutive SFP'!CC36)</f>
        <v>0.15815027402202875</v>
      </c>
    </row>
    <row r="54" spans="1:114" ht="12.75"/>
    <row r="55" spans="1:114" ht="12.75">
      <c r="A55" s="102" t="s">
        <v>369</v>
      </c>
      <c r="AM55" s="272" t="e">
        <f>('Evolutitve SCI'!#REF!-'Evolutitve SCI'!#REF!)/'Evolutive SFP'!#REF!</f>
        <v>#REF!</v>
      </c>
      <c r="AN55" s="272" t="e">
        <f>('Evolutitve SCI'!#REF!-'Evolutitve SCI'!#REF!)/'Evolutive SFP'!#REF!</f>
        <v>#REF!</v>
      </c>
      <c r="AO55" s="272" t="e">
        <f>('Evolutitve SCI'!#REF!-'Evolutitve SCI'!#REF!)/'Evolutive SFP'!#REF!</f>
        <v>#REF!</v>
      </c>
      <c r="AP55" s="272" t="e">
        <f>('Evolutitve SCI'!#REF!-'Evolutitve SCI'!#REF!)/'Evolutive SFP'!#REF!</f>
        <v>#REF!</v>
      </c>
      <c r="AQ55" s="272" t="e">
        <f>('Evolutitve SCI'!#REF!-'Evolutitve SCI'!#REF!)/'Evolutive SFP'!#REF!</f>
        <v>#REF!</v>
      </c>
      <c r="AR55" s="272" t="e">
        <f>('Evolutitve SCI'!#REF!-'Evolutitve SCI'!#REF!)/'Evolutive SFP'!#REF!</f>
        <v>#REF!</v>
      </c>
      <c r="AS55" s="272" t="e">
        <f>('Evolutitve SCI'!#REF!-'Evolutitve SCI'!#REF!)/'Evolutive SFP'!#REF!</f>
        <v>#REF!</v>
      </c>
      <c r="AT55" s="272" t="e">
        <f>('Evolutitve SCI'!#REF!-'Evolutitve SCI'!#REF!)/'Evolutive SFP'!#REF!</f>
        <v>#REF!</v>
      </c>
      <c r="AU55" s="272" t="e">
        <f>('Evolutitve SCI'!#REF!-'Evolutitve SCI'!#REF!)/'Evolutive SFP'!#REF!</f>
        <v>#REF!</v>
      </c>
      <c r="AV55" s="272" t="e">
        <f>('Evolutitve SCI'!#REF!-'Evolutitve SCI'!#REF!)/'Evolutive SFP'!#REF!</f>
        <v>#REF!</v>
      </c>
      <c r="AW55" s="272" t="e">
        <f>('Evolutitve SCI'!#REF!-'Evolutitve SCI'!#REF!)/'Evolutive SFP'!#REF!</f>
        <v>#REF!</v>
      </c>
      <c r="AX55" s="272" t="e">
        <f>('Evolutitve SCI'!#REF!-'Evolutitve SCI'!#REF!)/'Evolutive SFP'!#REF!</f>
        <v>#REF!</v>
      </c>
      <c r="AY55" s="272" t="e">
        <f>('Evolutitve SCI'!#REF!-'Evolutitve SCI'!#REF!)/'Evolutive SFP'!#REF!</f>
        <v>#REF!</v>
      </c>
      <c r="AZ55" s="272" t="e">
        <f>('Evolutitve SCI'!#REF!-'Evolutitve SCI'!#REF!)/'Evolutive SFP'!#REF!</f>
        <v>#REF!</v>
      </c>
      <c r="BA55" s="272" t="e">
        <f>('Evolutitve SCI'!#REF!-'Evolutitve SCI'!#REF!)/'Evolutive SFP'!#REF!</f>
        <v>#REF!</v>
      </c>
      <c r="BB55" s="272" t="e">
        <f>('Evolutitve SCI'!#REF!-'Evolutitve SCI'!#REF!)/'Evolutive SFP'!#REF!</f>
        <v>#REF!</v>
      </c>
      <c r="BC55" s="272" t="e">
        <f>('Evolutitve SCI'!#REF!-'Evolutitve SCI'!#REF!)/'Evolutive SFP'!#REF!</f>
        <v>#REF!</v>
      </c>
      <c r="BD55" s="272" t="e">
        <f>('Evolutitve SCI'!#REF!-'Evolutitve SCI'!#REF!)/'Evolutive SFP'!#REF!</f>
        <v>#REF!</v>
      </c>
      <c r="BE55" s="272" t="e">
        <f>('Evolutitve SCI'!#REF!-'Evolutitve SCI'!#REF!)/'Evolutive SFP'!#REF!</f>
        <v>#REF!</v>
      </c>
      <c r="BF55" s="272" t="e">
        <f>('Evolutitve SCI'!#REF!-'Evolutitve SCI'!#REF!)/'Evolutive SFP'!#REF!</f>
        <v>#REF!</v>
      </c>
      <c r="BG55" s="272" t="e">
        <f>('Evolutitve SCI'!#REF!-'Evolutitve SCI'!#REF!)/'Evolutive SFP'!#REF!</f>
        <v>#REF!</v>
      </c>
      <c r="BH55" s="272" t="e">
        <f>('Evolutitve SCI'!#REF!-'Evolutitve SCI'!#REF!)/'Evolutive SFP'!#REF!</f>
        <v>#REF!</v>
      </c>
      <c r="BI55" s="272" t="e">
        <f>('Evolutitve SCI'!#REF!-'Evolutitve SCI'!#REF!)/'Evolutive SFP'!#REF!</f>
        <v>#REF!</v>
      </c>
      <c r="BJ55" s="272" t="e">
        <f>('Evolutitve SCI'!#REF!-'Evolutitve SCI'!#REF!)/'Evolutive SFP'!#REF!</f>
        <v>#REF!</v>
      </c>
      <c r="BK55" s="272" t="e">
        <f>('Evolutitve SCI'!#REF!-'Evolutitve SCI'!#REF!)/'Evolutive SFP'!#REF!</f>
        <v>#REF!</v>
      </c>
      <c r="BL55" s="272" t="e">
        <f>('Evolutitve SCI'!#REF!-'Evolutitve SCI'!#REF!)/'Evolutive SFP'!#REF!</f>
        <v>#REF!</v>
      </c>
      <c r="BM55" s="272" t="e">
        <f>('Evolutitve SCI'!#REF!-'Evolutitve SCI'!#REF!)/'Evolutive SFP'!#REF!</f>
        <v>#REF!</v>
      </c>
      <c r="BN55" s="272" t="e">
        <f>('Evolutitve SCI'!#REF!-'Evolutitve SCI'!#REF!)/'Evolutive SFP'!#REF!</f>
        <v>#REF!</v>
      </c>
      <c r="BO55" s="272" t="e">
        <f>('Evolutitve SCI'!#REF!-'Evolutitve SCI'!#REF!)/'Evolutive SFP'!#REF!</f>
        <v>#REF!</v>
      </c>
      <c r="BP55" s="272" t="e">
        <f>('Evolutitve SCI'!#REF!-'Evolutitve SCI'!#REF!)/'Evolutive SFP'!#REF!</f>
        <v>#REF!</v>
      </c>
      <c r="BQ55" s="272" t="e">
        <f>('Evolutitve SCI'!#REF!-'Evolutitve SCI'!#REF!)/'Evolutive SFP'!#REF!</f>
        <v>#REF!</v>
      </c>
      <c r="BR55" s="272" t="e">
        <f>('Evolutitve SCI'!#REF!-'Evolutitve SCI'!#REF!)/'Evolutive SFP'!#REF!</f>
        <v>#REF!</v>
      </c>
      <c r="BS55" s="272" t="e">
        <f>('Evolutitve SCI'!#REF!-'Evolutitve SCI'!#REF!)/'Evolutive SFP'!#REF!</f>
        <v>#REF!</v>
      </c>
      <c r="BT55" s="272" t="e">
        <f>('Evolutitve SCI'!#REF!-'Evolutitve SCI'!#REF!)/'Evolutive SFP'!#REF!</f>
        <v>#REF!</v>
      </c>
      <c r="BU55" s="272" t="e">
        <f>('Evolutitve SCI'!#REF!-'Evolutitve SCI'!#REF!)/'Evolutive SFP'!#REF!</f>
        <v>#REF!</v>
      </c>
      <c r="BV55" s="272" t="e">
        <f>('Evolutitve SCI'!#REF!-'Evolutitve SCI'!#REF!)/'Evolutive SFP'!#REF!</f>
        <v>#REF!</v>
      </c>
      <c r="BW55" s="272" t="e">
        <f>('Evolutitve SCI'!#REF!-'Evolutitve SCI'!#REF!)/'Evolutive SFP'!#REF!</f>
        <v>#REF!</v>
      </c>
      <c r="BX55" s="272" t="e">
        <f>('Evolutitve SCI'!#REF!-'Evolutitve SCI'!#REF!)/'Evolutive SFP'!#REF!</f>
        <v>#REF!</v>
      </c>
      <c r="BY55" s="272" t="e">
        <f>('Evolutitve SCI'!#REF!-'Evolutitve SCI'!#REF!)/'Evolutive SFP'!#REF!</f>
        <v>#REF!</v>
      </c>
      <c r="BZ55" s="272">
        <f>('Evolutitve SCI'!AG5-'Evolutitve SCI'!AG13)/'Evolutive SFP'!AH27</f>
        <v>9.4930518776631511E-3</v>
      </c>
      <c r="CA55" s="272">
        <f>('Evolutitve SCI'!AH5-'Evolutitve SCI'!AH13)/'Evolutive SFP'!AI27</f>
        <v>3.6468459348893071E-3</v>
      </c>
      <c r="CB55" s="272">
        <f>('Evolutitve SCI'!AI5-'Evolutitve SCI'!AI13)/'Evolutive SFP'!AJ27</f>
        <v>7.2699622397746824E-3</v>
      </c>
      <c r="CC55" s="272">
        <f>('Evolutitve SCI'!AJ5-'Evolutitve SCI'!AJ13)/'Evolutive SFP'!AK27</f>
        <v>1.1093832716764561E-2</v>
      </c>
      <c r="CD55" s="272">
        <f>('Evolutitve SCI'!AK5-'Evolutitve SCI'!AK13)/'Evolutive SFP'!AL27</f>
        <v>1.4586395830798755E-2</v>
      </c>
      <c r="CE55" s="272">
        <f>('Evolutitve SCI'!AL5-'Evolutitve SCI'!AL13)/'Evolutive SFP'!AM27</f>
        <v>1.7552098276075647E-2</v>
      </c>
      <c r="CF55" s="272">
        <f>('Evolutitve SCI'!AM5-'Evolutitve SCI'!AM13)/'Evolutive SFP'!AN27</f>
        <v>2.1074223523230049E-2</v>
      </c>
      <c r="CG55" s="272" t="e">
        <f>('Evolutitve SCI'!#REF!-'Evolutitve SCI'!#REF!)/'Evolutive SFP'!#REF!</f>
        <v>#REF!</v>
      </c>
      <c r="CH55" s="272">
        <f>('Evolutitve SCI'!AN5-'Evolutitve SCI'!AN13)/'Evolutive SFP'!AO27</f>
        <v>2.7170262892646697E-2</v>
      </c>
      <c r="CI55" s="272">
        <f>('Evolutitve SCI'!AO5-'Evolutitve SCI'!AO13)/'Evolutive SFP'!AP27</f>
        <v>3.0532487382518427E-2</v>
      </c>
      <c r="CJ55" s="272">
        <f>('Evolutitve SCI'!AP5-'Evolutitve SCI'!AP13)/'Evolutive SFP'!AQ27</f>
        <v>3.5555703247617768E-2</v>
      </c>
      <c r="CK55" s="272">
        <f>('Evolutitve SCI'!AQ5-'Evolutitve SCI'!AQ13)/'Evolutive SFP'!AR27</f>
        <v>3.799994763413677E-2</v>
      </c>
      <c r="CL55" s="272">
        <f>('Evolutitve SCI'!AR5-'Evolutitve SCI'!AR13)/'Evolutive SFP'!AS27</f>
        <v>4.2078901205046704E-2</v>
      </c>
      <c r="CM55" s="272">
        <f>('Evolutitve SCI'!AS5-'Evolutitve SCI'!AS13)/'Evolutive SFP'!AT27</f>
        <v>6.0405753917056656E-3</v>
      </c>
      <c r="CN55" s="272">
        <f>('Evolutitve SCI'!AT5-'Evolutitve SCI'!AT13)/'Evolutive SFP'!AU27</f>
        <v>6.1911795780706668E-5</v>
      </c>
      <c r="CO55" s="272">
        <f>('Evolutitve SCI'!AU5-'Evolutitve SCI'!AU13)/'Evolutive SFP'!AV27</f>
        <v>3.7386685197465428E-3</v>
      </c>
      <c r="CP55" s="272">
        <f>('Evolutitve SCI'!AV5-'Evolutitve SCI'!AV13)/'Evolutive SFP'!AW27</f>
        <v>1.0983534359171782E-2</v>
      </c>
      <c r="CQ55" s="272">
        <f>('Evolutitve SCI'!AW5-'Evolutitve SCI'!AW13)/'Evolutive SFP'!AX27</f>
        <v>1.5183953731833625E-2</v>
      </c>
      <c r="CR55" s="272">
        <f>('Evolutitve SCI'!AX5-'Evolutitve SCI'!AX13)/'Evolutive SFP'!AY27</f>
        <v>1.9078081140927013E-2</v>
      </c>
      <c r="CS55" s="272">
        <f>('Evolutitve SCI'!AY5-'Evolutitve SCI'!AY13)/'Evolutive SFP'!AZ27</f>
        <v>1.9827690981171386E-2</v>
      </c>
      <c r="CT55" s="272">
        <f>('Evolutitve SCI'!AZ5-'Evolutitve SCI'!AZ13)/'Evolutive SFP'!BA27</f>
        <v>2.6115276380051348E-2</v>
      </c>
      <c r="CU55" s="272">
        <f>('Evolutitve SCI'!BA5-'Evolutitve SCI'!BA13)/'Evolutive SFP'!BB27</f>
        <v>3.0191748254040113E-2</v>
      </c>
      <c r="CV55" s="272">
        <f>('Evolutitve SCI'!BB5-'Evolutitve SCI'!BB13)/'Evolutive SFP'!BC27</f>
        <v>3.2489815850155541E-2</v>
      </c>
      <c r="CW55" s="272">
        <f>('Evolutitve SCI'!BC5-'Evolutitve SCI'!BC13)/'Evolutive SFP'!BD27</f>
        <v>3.9438996189042272E-2</v>
      </c>
      <c r="CX55" s="272">
        <f>('Evolutitve SCI'!BD5-'Evolutitve SCI'!BD13)/'Evolutive SFP'!BE27</f>
        <v>4.1939552293625823E-2</v>
      </c>
      <c r="CY55" s="272">
        <f>('Evolutitve SCI'!BE5-'Evolutitve SCI'!BE13)/'Evolutive SFP'!BF27</f>
        <v>4.7870911487459221E-2</v>
      </c>
      <c r="CZ55" s="272">
        <f>('Evolutitve SCI'!BF5-'Evolutitve SCI'!BF13)/'Evolutive SFP'!BG27</f>
        <v>9.1634309369864626E-3</v>
      </c>
      <c r="DA55" s="272" t="e">
        <f>('Evolutitve SCI'!BS5-'Evolutitve SCI'!BS13)/'Evolutive SFP'!BT27</f>
        <v>#DIV/0!</v>
      </c>
      <c r="DB55" s="272">
        <f>('Evolutitve SCI'!BT5-'Evolutitve SCI'!BT13)/'Evolutive SFP'!BU27</f>
        <v>4.2371511721919098E-3</v>
      </c>
      <c r="DC55" s="272">
        <f>('Evolutitve SCI'!BU5-'Evolutitve SCI'!BU13)/'Evolutive SFP'!BV27</f>
        <v>8.5873811257422064E-3</v>
      </c>
      <c r="DD55" s="272">
        <f>('Evolutitve SCI'!BV5-'Evolutitve SCI'!BV13)/'Evolutive SFP'!BW27</f>
        <v>1.2720616307286539E-2</v>
      </c>
      <c r="DE55" s="272">
        <f>('Evolutitve SCI'!BW5-'Evolutitve SCI'!BW13)/'Evolutive SFP'!BX27</f>
        <v>1.8520741727463753E-2</v>
      </c>
      <c r="DF55" s="272">
        <f>('Evolutitve SCI'!BX5-'Evolutitve SCI'!BX13)/'Evolutive SFP'!BY27</f>
        <v>2.2837165867680909E-2</v>
      </c>
      <c r="DG55" s="272">
        <f>('Evolutitve SCI'!BY5-'Evolutitve SCI'!BY13)/'Evolutive SFP'!BZ27</f>
        <v>2.6405534035436641E-2</v>
      </c>
      <c r="DH55" s="272">
        <f>('Evolutitve SCI'!BZ5-'Evolutitve SCI'!BZ13)/'Evolutive SFP'!CA27</f>
        <v>3.4493425761199278E-2</v>
      </c>
      <c r="DI55" s="272">
        <f>('Evolutitve SCI'!CA5-'Evolutitve SCI'!CA13)/'Evolutive SFP'!CB27</f>
        <v>3.9428036333067122E-2</v>
      </c>
      <c r="DJ55" s="272">
        <f>('Evolutitve SCI'!CB5-'Evolutitve SCI'!CB13)/'Evolutive SFP'!CC27</f>
        <v>4.0719265906692156E-2</v>
      </c>
    </row>
    <row r="56" spans="1:114" ht="12.75">
      <c r="A56" s="102" t="s">
        <v>202</v>
      </c>
      <c r="AM56" s="272" t="e">
        <f>('Evolutitve SCI'!#REF!)/(('Evolutive SFP'!#REF!+'Evolutive SFP'!#REF!)/2)</f>
        <v>#REF!</v>
      </c>
      <c r="AN56" s="272" t="e">
        <f>('Evolutitve SCI'!#REF!)/(('Evolutive SFP'!#REF!+'Evolutive SFP'!#REF!)/2)</f>
        <v>#REF!</v>
      </c>
      <c r="AO56" s="272" t="e">
        <f>('Evolutitve SCI'!#REF!)/(('Evolutive SFP'!#REF!+'Evolutive SFP'!#REF!)/2)</f>
        <v>#REF!</v>
      </c>
      <c r="AP56" s="272" t="e">
        <f>('Evolutitve SCI'!#REF!)/(('Evolutive SFP'!#REF!+'Evolutive SFP'!#REF!)/2)</f>
        <v>#REF!</v>
      </c>
      <c r="AQ56" s="272" t="e">
        <f>('Evolutitve SCI'!#REF!)/(('Evolutive SFP'!#REF!+'Evolutive SFP'!#REF!)/2)</f>
        <v>#REF!</v>
      </c>
      <c r="AR56" s="272" t="e">
        <f>('Evolutitve SCI'!#REF!)/(('Evolutive SFP'!#REF!+'Evolutive SFP'!#REF!)/2)</f>
        <v>#REF!</v>
      </c>
      <c r="AS56" s="272" t="e">
        <f>('Evolutitve SCI'!#REF!)/(('Evolutive SFP'!#REF!+'Evolutive SFP'!#REF!)/2)</f>
        <v>#REF!</v>
      </c>
      <c r="AT56" s="272" t="e">
        <f>('Evolutitve SCI'!#REF!)/(('Evolutive SFP'!#REF!+'Evolutive SFP'!#REF!)/2)</f>
        <v>#REF!</v>
      </c>
      <c r="AU56" s="272" t="e">
        <f>('Evolutitve SCI'!#REF!)/(('Evolutive SFP'!#REF!+'Evolutive SFP'!#REF!)/2)</f>
        <v>#REF!</v>
      </c>
      <c r="AV56" s="272" t="e">
        <f>('Evolutitve SCI'!#REF!)/(('Evolutive SFP'!#REF!+'Evolutive SFP'!#REF!)/2)</f>
        <v>#REF!</v>
      </c>
      <c r="AW56" s="272" t="e">
        <f>('Evolutitve SCI'!#REF!)/(('Evolutive SFP'!#REF!+'Evolutive SFP'!#REF!)/2)</f>
        <v>#REF!</v>
      </c>
      <c r="AX56" s="272" t="e">
        <f>('Evolutitve SCI'!#REF!)/(('Evolutive SFP'!#REF!+'Evolutive SFP'!#REF!)/2)</f>
        <v>#REF!</v>
      </c>
      <c r="AY56" s="272" t="e">
        <f>('Evolutitve SCI'!#REF!)/(('Evolutive SFP'!#REF!+'Evolutive SFP'!#REF!)/2)</f>
        <v>#REF!</v>
      </c>
      <c r="AZ56" s="272" t="e">
        <f>('Evolutitve SCI'!#REF!)/(('Evolutive SFP'!#REF!+'Evolutive SFP'!#REF!)/2)</f>
        <v>#REF!</v>
      </c>
      <c r="BA56" s="272" t="e">
        <f>('Evolutitve SCI'!#REF!)/(('Evolutive SFP'!#REF!+'Evolutive SFP'!#REF!)/2)</f>
        <v>#REF!</v>
      </c>
      <c r="BB56" s="272" t="e">
        <f>('Evolutitve SCI'!#REF!)/(('Evolutive SFP'!#REF!+'Evolutive SFP'!#REF!)/2)</f>
        <v>#REF!</v>
      </c>
      <c r="BC56" s="272" t="e">
        <f>('Evolutitve SCI'!#REF!)/(('Evolutive SFP'!#REF!+'Evolutive SFP'!#REF!)/2)</f>
        <v>#REF!</v>
      </c>
      <c r="BD56" s="272" t="e">
        <f>('Evolutitve SCI'!#REF!)/(('Evolutive SFP'!#REF!+'Evolutive SFP'!#REF!)/2)</f>
        <v>#REF!</v>
      </c>
      <c r="BE56" s="272" t="e">
        <f>('Evolutitve SCI'!#REF!)/(('Evolutive SFP'!#REF!+'Evolutive SFP'!#REF!)/2)</f>
        <v>#REF!</v>
      </c>
      <c r="BF56" s="272" t="e">
        <f>('Evolutitve SCI'!#REF!)/(('Evolutive SFP'!#REF!+'Evolutive SFP'!#REF!)/2)</f>
        <v>#REF!</v>
      </c>
      <c r="BG56" s="272" t="e">
        <f>('Evolutitve SCI'!#REF!)/(('Evolutive SFP'!#REF!+'Evolutive SFP'!#REF!)/2)</f>
        <v>#REF!</v>
      </c>
      <c r="BH56" s="272" t="e">
        <f>('Evolutitve SCI'!#REF!)/(('Evolutive SFP'!#REF!+'Evolutive SFP'!#REF!)/2)</f>
        <v>#REF!</v>
      </c>
      <c r="BI56" s="272" t="e">
        <f>('Evolutitve SCI'!#REF!)/(('Evolutive SFP'!#REF!+'Evolutive SFP'!#REF!)/2)</f>
        <v>#REF!</v>
      </c>
      <c r="BJ56" s="272" t="e">
        <f>('Evolutitve SCI'!#REF!)/(('Evolutive SFP'!#REF!+'Evolutive SFP'!#REF!)/2)</f>
        <v>#REF!</v>
      </c>
      <c r="BK56" s="272" t="e">
        <f>('Evolutitve SCI'!#REF!)/(('Evolutive SFP'!#REF!+'Evolutive SFP'!#REF!)/2)</f>
        <v>#REF!</v>
      </c>
      <c r="BL56" s="272" t="e">
        <f>('Evolutitve SCI'!#REF!)/(('Evolutive SFP'!#REF!+'Evolutive SFP'!#REF!)/2)</f>
        <v>#REF!</v>
      </c>
      <c r="BM56" s="272" t="e">
        <f>('Evolutitve SCI'!#REF!)/(('Evolutive SFP'!#REF!+'Evolutive SFP'!#REF!)/2)</f>
        <v>#REF!</v>
      </c>
      <c r="BN56" s="272" t="e">
        <f>('Evolutitve SCI'!#REF!)/(('Evolutive SFP'!#REF!+'Evolutive SFP'!#REF!)/2)</f>
        <v>#REF!</v>
      </c>
      <c r="BO56" s="272" t="e">
        <f>('Evolutitve SCI'!#REF!)/(('Evolutive SFP'!#REF!+'Evolutive SFP'!#REF!)/2)</f>
        <v>#REF!</v>
      </c>
      <c r="BP56" s="272" t="e">
        <f>('Evolutitve SCI'!#REF!)/(('Evolutive SFP'!#REF!+'Evolutive SFP'!#REF!)/2)</f>
        <v>#REF!</v>
      </c>
      <c r="BQ56" s="272" t="e">
        <f>('Evolutitve SCI'!#REF!)/(('Evolutive SFP'!#REF!+'Evolutive SFP'!#REF!)/2)</f>
        <v>#REF!</v>
      </c>
      <c r="BR56" s="272" t="e">
        <f>('Evolutitve SCI'!#REF!)/(('Evolutive SFP'!#REF!+'Evolutive SFP'!#REF!)/2)</f>
        <v>#REF!</v>
      </c>
      <c r="BS56" s="272" t="e">
        <f>('Evolutitve SCI'!#REF!)/(('Evolutive SFP'!#REF!+'Evolutive SFP'!#REF!)/2)</f>
        <v>#REF!</v>
      </c>
      <c r="BT56" s="272" t="e">
        <f>('Evolutitve SCI'!#REF!)/(('Evolutive SFP'!#REF!+'Evolutive SFP'!#REF!)/2)</f>
        <v>#REF!</v>
      </c>
      <c r="BU56" s="272" t="e">
        <f>('Evolutitve SCI'!#REF!)/(('Evolutive SFP'!#REF!+'Evolutive SFP'!#REF!)/2)</f>
        <v>#REF!</v>
      </c>
      <c r="BV56" s="272" t="e">
        <f>('Evolutitve SCI'!#REF!)/(('Evolutive SFP'!#REF!+'Evolutive SFP'!#REF!)/2)</f>
        <v>#REF!</v>
      </c>
      <c r="BW56" s="272" t="e">
        <f>('Evolutitve SCI'!#REF!)/(('Evolutive SFP'!#REF!+'Evolutive SFP'!#REF!)/2)</f>
        <v>#REF!</v>
      </c>
      <c r="BX56" s="272" t="e">
        <f>('Evolutitve SCI'!#REF!)/(('Evolutive SFP'!#REF!+'Evolutive SFP'!#REF!)/2)</f>
        <v>#REF!</v>
      </c>
      <c r="BY56" s="272" t="e">
        <f>('Evolutitve SCI'!#REF!)/(('Evolutive SFP'!#REF!+'Evolutive SFP'!#REF!)/2)</f>
        <v>#REF!</v>
      </c>
      <c r="BZ56" s="272" t="e">
        <f>('Evolutitve SCI'!AG33)/(('Evolutive SFP'!AH27+'Evolutive SFP'!#REF!)/2)</f>
        <v>#REF!</v>
      </c>
      <c r="CA56" s="272">
        <f>('Evolutitve SCI'!AH33)/(('Evolutive SFP'!AI27+'Evolutive SFP'!AH27)/2)</f>
        <v>5.3262893802464547E-3</v>
      </c>
      <c r="CB56" s="272">
        <f>('Evolutitve SCI'!AI33)/(('Evolutive SFP'!AJ27+'Evolutive SFP'!AI27)/2)</f>
        <v>9.0376943608106667E-3</v>
      </c>
      <c r="CC56" s="272">
        <f>('Evolutitve SCI'!AJ33)/(('Evolutive SFP'!AK27+'Evolutive SFP'!AJ27)/2)</f>
        <v>1.4995822873670798E-2</v>
      </c>
      <c r="CD56" s="272">
        <f>('Evolutitve SCI'!AK33)/(('Evolutive SFP'!AL27+'Evolutive SFP'!AK27)/2)</f>
        <v>1.7583261294108633E-2</v>
      </c>
      <c r="CE56" s="272">
        <f>('Evolutitve SCI'!AL33)/(('Evolutive SFP'!AM27+'Evolutive SFP'!AL27)/2)</f>
        <v>2.2245466710169907E-2</v>
      </c>
      <c r="CF56" s="272">
        <f>('Evolutitve SCI'!AM33)/(('Evolutive SFP'!AN27+'Evolutive SFP'!AM27)/2)</f>
        <v>2.6197247623554812E-2</v>
      </c>
      <c r="CG56" s="272" t="e">
        <f>('Evolutitve SCI'!#REF!)/(('Evolutive SFP'!#REF!+'Evolutive SFP'!AN27)/2)</f>
        <v>#REF!</v>
      </c>
      <c r="CH56" s="272" t="e">
        <f>('Evolutitve SCI'!AN33)/(('Evolutive SFP'!AO27+'Evolutive SFP'!#REF!)/2)</f>
        <v>#REF!</v>
      </c>
      <c r="CI56" s="272">
        <f>('Evolutitve SCI'!AO33)/(('Evolutive SFP'!AP27+'Evolutive SFP'!AO27)/2)</f>
        <v>4.0804041517705114E-2</v>
      </c>
      <c r="CJ56" s="272">
        <f>('Evolutitve SCI'!AP33)/(('Evolutive SFP'!AQ27+'Evolutive SFP'!AP27)/2)</f>
        <v>4.7714677719386991E-2</v>
      </c>
      <c r="CK56" s="272">
        <f>('Evolutitve SCI'!AQ33)/(('Evolutive SFP'!AR27+'Evolutive SFP'!AQ27)/2)</f>
        <v>4.9497610416553442E-2</v>
      </c>
      <c r="CL56" s="272">
        <f>('Evolutitve SCI'!AR33)/(('Evolutive SFP'!AS27+'Evolutive SFP'!AR27)/2)</f>
        <v>5.0703539043123524E-2</v>
      </c>
      <c r="CM56" s="272">
        <f>('Evolutitve SCI'!AS33)/(('Evolutive SFP'!AT27+'Evolutive SFP'!AS27)/2)</f>
        <v>9.8926302105914327E-3</v>
      </c>
      <c r="CN56" s="272">
        <f>('Evolutitve SCI'!AT33)/(('Evolutive SFP'!AU27+'Evolutive SFP'!AT27)/2)</f>
        <v>5.7705694917866552E-4</v>
      </c>
      <c r="CO56" s="272">
        <f>('Evolutitve SCI'!AU33)/(('Evolutive SFP'!AV27+'Evolutive SFP'!AU27)/2)</f>
        <v>3.0320698644139138E-3</v>
      </c>
      <c r="CP56" s="272">
        <f>('Evolutitve SCI'!AV33)/(('Evolutive SFP'!AW27+'Evolutive SFP'!AV27)/2)</f>
        <v>9.3416352022172768E-3</v>
      </c>
      <c r="CQ56" s="272">
        <f>('Evolutitve SCI'!AW33)/(('Evolutive SFP'!AX27+'Evolutive SFP'!AW27)/2)</f>
        <v>1.3930816344825988E-2</v>
      </c>
      <c r="CR56" s="272">
        <f>('Evolutitve SCI'!AX33)/(('Evolutive SFP'!AY27+'Evolutive SFP'!AX27)/2)</f>
        <v>1.8127997403627447E-2</v>
      </c>
      <c r="CS56" s="272">
        <f>('Evolutitve SCI'!AY33)/(('Evolutive SFP'!AZ27+'Evolutive SFP'!AY27)/2)</f>
        <v>2.2908624537261862E-2</v>
      </c>
      <c r="CT56" s="272">
        <f>('Evolutitve SCI'!AZ33)/(('Evolutive SFP'!BA27+'Evolutive SFP'!AZ27)/2)</f>
        <v>3.0878278917605001E-2</v>
      </c>
      <c r="CU56" s="272">
        <f>('Evolutitve SCI'!BA33)/(('Evolutive SFP'!BB27+'Evolutive SFP'!BA27)/2)</f>
        <v>3.4143543123003738E-2</v>
      </c>
      <c r="CV56" s="272">
        <f>('Evolutitve SCI'!BB33)/(('Evolutive SFP'!BC27+'Evolutive SFP'!BB27)/2)</f>
        <v>3.9542541412428432E-2</v>
      </c>
      <c r="CW56" s="272">
        <f>('Evolutitve SCI'!BC33)/(('Evolutive SFP'!BD27+'Evolutive SFP'!BC27)/2)</f>
        <v>4.749959454470494E-2</v>
      </c>
      <c r="CX56" s="272">
        <f>('Evolutitve SCI'!BD33)/(('Evolutive SFP'!BE27+'Evolutive SFP'!BD27)/2)</f>
        <v>4.713055964320275E-2</v>
      </c>
      <c r="CY56" s="272">
        <f>('Evolutitve SCI'!BE33)/(('Evolutive SFP'!BF27+'Evolutive SFP'!BE27)/2)</f>
        <v>4.9382601844728397E-2</v>
      </c>
      <c r="CZ56" s="272">
        <f>('Evolutitve SCI'!BF33)/(('Evolutive SFP'!BG27+'Evolutive SFP'!BF27)/2)</f>
        <v>2.8887322017995081E-2</v>
      </c>
      <c r="DA56" s="272">
        <f>('Evolutitve SCI'!BS33)/(('Evolutive SFP'!BT27+'Evolutive SFP'!BG27)/2)</f>
        <v>4.4574914314944564E-2</v>
      </c>
      <c r="DB56" s="272">
        <f>('Evolutitve SCI'!BT33)/(('Evolutive SFP'!BU27+'Evolutive SFP'!BT27)/2)</f>
        <v>1.1056707711636716E-2</v>
      </c>
      <c r="DC56" s="272">
        <f>('Evolutitve SCI'!BU33)/(('Evolutive SFP'!BV27+'Evolutive SFP'!BU27)/2)</f>
        <v>7.6829361523084042E-3</v>
      </c>
      <c r="DD56" s="272">
        <f>('Evolutitve SCI'!BV33)/(('Evolutive SFP'!BW27+'Evolutive SFP'!BV27)/2)</f>
        <v>1.5747076702209012E-2</v>
      </c>
      <c r="DE56" s="272">
        <f>('Evolutitve SCI'!BW33)/(('Evolutive SFP'!BX27+'Evolutive SFP'!BW27)/2)</f>
        <v>2.0236841079890266E-2</v>
      </c>
      <c r="DF56" s="272">
        <f>('Evolutitve SCI'!BX33)/(('Evolutive SFP'!BY27+'Evolutive SFP'!BX27)/2)</f>
        <v>2.6164588685329091E-2</v>
      </c>
      <c r="DG56" s="272">
        <f>('Evolutitve SCI'!BY33)/(('Evolutive SFP'!BZ27+'Evolutive SFP'!BY27)/2)</f>
        <v>3.0930952101494821E-2</v>
      </c>
      <c r="DH56" s="272">
        <f>('Evolutitve SCI'!BZ33)/(('Evolutive SFP'!CA27+'Evolutive SFP'!BZ27)/2)</f>
        <v>4.432824624270882E-2</v>
      </c>
      <c r="DI56" s="272">
        <f>('Evolutitve SCI'!CA33)/(('Evolutive SFP'!CB27+'Evolutive SFP'!CA27)/2)</f>
        <v>5.0003389761133006E-2</v>
      </c>
      <c r="DJ56" s="272">
        <f>('Evolutitve SCI'!CB33)/(('Evolutive SFP'!CC27+'Evolutive SFP'!CB27)/2)</f>
        <v>5.2262522458717972E-2</v>
      </c>
    </row>
    <row r="57" spans="1:114" ht="12.75">
      <c r="A57" s="102" t="s">
        <v>370</v>
      </c>
      <c r="AM57" s="272" t="e">
        <f>(Financials!F4-Financials!#REF!)/Financials!#REF!</f>
        <v>#REF!</v>
      </c>
      <c r="AN57" s="272" t="e">
        <f>(Financials!G4-Financials!#REF!)/Financials!#REF!</f>
        <v>#REF!</v>
      </c>
      <c r="AO57" s="272" t="e">
        <f>(Financials!H4-Financials!#REF!)/Financials!#REF!</f>
        <v>#REF!</v>
      </c>
      <c r="AP57" s="272" t="e">
        <f>(Financials!I4-Financials!#REF!)/Financials!#REF!</f>
        <v>#REF!</v>
      </c>
      <c r="AQ57" s="272" t="e">
        <f>(Financials!J4-Financials!#REF!)/Financials!#REF!</f>
        <v>#REF!</v>
      </c>
      <c r="AR57" s="272" t="e">
        <f>(Financials!K4-Financials!#REF!)/Financials!#REF!</f>
        <v>#REF!</v>
      </c>
      <c r="AS57" s="272" t="e">
        <f>(Financials!L4-Financials!#REF!)/Financials!#REF!</f>
        <v>#REF!</v>
      </c>
      <c r="AT57" s="272" t="e">
        <f>(Financials!M4-Financials!#REF!)/Financials!#REF!</f>
        <v>#REF!</v>
      </c>
      <c r="AU57" s="272" t="e">
        <f>(Financials!N4-Financials!A4)/Financials!A4</f>
        <v>#REF!</v>
      </c>
      <c r="AV57" s="272" t="e">
        <f>(Financials!O4-Financials!B4)/Financials!B4</f>
        <v>#REF!</v>
      </c>
      <c r="AW57" s="272" t="e">
        <f>(Financials!P4-Financials!C4)/Financials!C4</f>
        <v>#REF!</v>
      </c>
      <c r="AX57" s="272" t="e">
        <f>(Financials!Q4-Financials!D4)/Financials!D4</f>
        <v>#REF!</v>
      </c>
      <c r="AY57" s="272" t="e">
        <f>(Financials!R4-Financials!E4)/Financials!E4</f>
        <v>#REF!</v>
      </c>
      <c r="AZ57" s="272" t="e">
        <f>(Financials!S4-Financials!F4)/Financials!F4</f>
        <v>#REF!</v>
      </c>
      <c r="BA57" s="272" t="e">
        <f>(Financials!T4-Financials!G4)/Financials!G4</f>
        <v>#REF!</v>
      </c>
      <c r="BB57" s="272" t="e">
        <f>(Financials!U4-Financials!H4)/Financials!H4</f>
        <v>#REF!</v>
      </c>
      <c r="BC57" s="272" t="e">
        <f>(Financials!V4-Financials!I4)/Financials!I4</f>
        <v>#REF!</v>
      </c>
      <c r="BD57" s="272" t="e">
        <f>(Financials!W4-Financials!J4)/Financials!J4</f>
        <v>#REF!</v>
      </c>
      <c r="BE57" s="272" t="e">
        <f>(Financials!X4-Financials!K4)/Financials!K4</f>
        <v>#REF!</v>
      </c>
      <c r="BF57" s="272" t="e">
        <f>(Financials!Y4-Financials!L4)/Financials!L4</f>
        <v>#REF!</v>
      </c>
      <c r="BG57" s="272" t="e">
        <f>(Financials!Z4-Financials!M4)/Financials!M4</f>
        <v>#REF!</v>
      </c>
      <c r="BH57" s="272" t="e">
        <f>(Financials!AA4-Financials!N4)/Financials!N4</f>
        <v>#REF!</v>
      </c>
      <c r="BI57" s="272" t="e">
        <f>(Financials!AB4-Financials!O4)/Financials!O4</f>
        <v>#REF!</v>
      </c>
      <c r="BJ57" s="272" t="e">
        <f>(Financials!AC4-Financials!P4)/Financials!P4</f>
        <v>#REF!</v>
      </c>
      <c r="BK57" s="272" t="e">
        <f>(Financials!AD4-Financials!Q4)/Financials!Q4</f>
        <v>#REF!</v>
      </c>
      <c r="BL57" s="272" t="e">
        <f>(Financials!AE4-Financials!R4)/Financials!R4</f>
        <v>#REF!</v>
      </c>
      <c r="BM57" s="272" t="e">
        <f>(Financials!AF4-Financials!S4)/Financials!S4</f>
        <v>#REF!</v>
      </c>
      <c r="BN57" s="272" t="e">
        <f>(Financials!AG4-Financials!T4)/Financials!T4</f>
        <v>#REF!</v>
      </c>
      <c r="BO57" s="272" t="e">
        <f>(Financials!AH4-Financials!U4)/Financials!U4</f>
        <v>#REF!</v>
      </c>
      <c r="BP57" s="272" t="e">
        <f>(Financials!AI4-Financials!V4)/Financials!V4</f>
        <v>#REF!</v>
      </c>
      <c r="BQ57" s="272" t="e">
        <f>(Financials!AJ4-Financials!W4)/Financials!W4</f>
        <v>#REF!</v>
      </c>
      <c r="BR57" s="272" t="e">
        <f>(Financials!AK4-Financials!X4)/Financials!X4</f>
        <v>#REF!</v>
      </c>
      <c r="BS57" s="272" t="e">
        <f>(Financials!AL4-Financials!Y4)/Financials!Y4</f>
        <v>#REF!</v>
      </c>
      <c r="BT57" s="272" t="e">
        <f>(Financials!AM4-Financials!Z4)/Financials!Z4</f>
        <v>#REF!</v>
      </c>
      <c r="BU57" s="272" t="e">
        <f>(Financials!AN4-Financials!AA4)/Financials!AA4</f>
        <v>#REF!</v>
      </c>
      <c r="BV57" s="272" t="e">
        <f>(Financials!AO4-Financials!AB4)/Financials!AB4</f>
        <v>#REF!</v>
      </c>
      <c r="BW57" s="272" t="e">
        <f>(Financials!AP4-Financials!AC4)/Financials!AC4</f>
        <v>#REF!</v>
      </c>
      <c r="BX57" s="272" t="e">
        <f>(Financials!AQ4-Financials!AD4)/Financials!AD4</f>
        <v>#REF!</v>
      </c>
      <c r="BY57" s="272" t="e">
        <f>(Financials!AR4-Financials!AE4)/Financials!AE4</f>
        <v>#REF!</v>
      </c>
      <c r="BZ57" s="272" t="e">
        <f>(Financials!AS4-Financials!AF4)/Financials!AF4</f>
        <v>#REF!</v>
      </c>
      <c r="CA57" s="272" t="e">
        <f>(Financials!AT4-Financials!AG4)/Financials!AG4</f>
        <v>#REF!</v>
      </c>
      <c r="CB57" s="272" t="e">
        <f>(Financials!AU4-Financials!AH4)/Financials!AH4</f>
        <v>#REF!</v>
      </c>
      <c r="CC57" s="272" t="e">
        <f>(Financials!AV4-Financials!AI4)/Financials!AI4</f>
        <v>#REF!</v>
      </c>
      <c r="CD57" s="272" t="e">
        <f>(Financials!AW4-Financials!AJ4)/Financials!AJ4</f>
        <v>#REF!</v>
      </c>
      <c r="CE57" s="272" t="e">
        <f>(Financials!AX4-Financials!AK4)/Financials!AK4</f>
        <v>#REF!</v>
      </c>
      <c r="CF57" s="272" t="e">
        <f>(Financials!AY4-Financials!AL4)/Financials!AL4</f>
        <v>#REF!</v>
      </c>
      <c r="CG57" s="272" t="e">
        <f>(Financials!AZ4-Financials!AM4)/Financials!AM4</f>
        <v>#REF!</v>
      </c>
      <c r="CH57" s="272" t="e">
        <f>(Financials!BA4-Financials!AN4)/Financials!AN4</f>
        <v>#REF!</v>
      </c>
      <c r="CI57" s="272" t="e">
        <f>(Financials!BB4-Financials!AO4)/Financials!AO4</f>
        <v>#REF!</v>
      </c>
      <c r="CJ57" s="272" t="e">
        <f>(Financials!BC4-Financials!AP4)/Financials!AP4</f>
        <v>#REF!</v>
      </c>
      <c r="CK57" s="272" t="e">
        <f>(Financials!BD4-Financials!AQ4)/Financials!AQ4</f>
        <v>#REF!</v>
      </c>
      <c r="CL57" s="272" t="e">
        <f>(Financials!BE4-Financials!AR4)/Financials!AR4</f>
        <v>#REF!</v>
      </c>
      <c r="CM57" s="272">
        <f>(Financials!BF4-Financials!AS4)/Financials!AS4</f>
        <v>4.3963772428088015E-2</v>
      </c>
      <c r="CN57" s="272">
        <f>(Financials!BG4-Financials!AT4)/Financials!AT4</f>
        <v>-4.6288438516676099E-2</v>
      </c>
      <c r="CO57" s="272">
        <f>(Financials!BH4-Financials!AU4)/Financials!AU4</f>
        <v>-6.7305982923742264E-2</v>
      </c>
      <c r="CP57" s="272">
        <f>(Financials!BI4-Financials!AV4)/Financials!AV4</f>
        <v>-1.4227211182326208E-2</v>
      </c>
      <c r="CQ57" s="272">
        <f>(Financials!BJ4-Financials!AW4)/Financials!AW4</f>
        <v>-3.2509071859096898E-2</v>
      </c>
      <c r="CR57" s="272">
        <f>(Financials!BK4-Financials!AX4)/Financials!AX4</f>
        <v>-5.2176256357541285E-2</v>
      </c>
      <c r="CS57" s="272">
        <f>(Financials!BL4-Financials!AY4)/Financials!AY4</f>
        <v>-6.4813249632788478E-2</v>
      </c>
      <c r="CT57" s="272" t="e">
        <f>(Financials!BM4-Financials!AZ4)/Financials!AZ4</f>
        <v>#REF!</v>
      </c>
      <c r="CU57" s="272">
        <f>(Financials!BN4-Financials!BA4)/Financials!BA4</f>
        <v>-1.5210604095055837E-2</v>
      </c>
      <c r="CV57" s="272">
        <f>(Financials!BO4-Financials!BB4)/Financials!BB4</f>
        <v>-6.3127299578035215E-2</v>
      </c>
      <c r="CW57" s="272">
        <f>(Financials!BP4-Financials!BC4)/Financials!BC4</f>
        <v>8.4731335000755976E-4</v>
      </c>
      <c r="CX57" s="272">
        <f>(Financials!BQ4-Financials!BD4)/Financials!BD4</f>
        <v>6.4543637943761034E-3</v>
      </c>
      <c r="CY57" s="272">
        <f>(Financials!BR4-Financials!BE4)/Financials!BE4</f>
        <v>3.1182147831018303E-2</v>
      </c>
      <c r="CZ57" s="272">
        <f>(Financials!BS4-Financials!BF4)/Financials!BF4</f>
        <v>3.43517106999085E-2</v>
      </c>
      <c r="DA57" s="272">
        <f>(Financials!CF4-Financials!BG4)/Financials!BG4</f>
        <v>-1</v>
      </c>
      <c r="DB57" s="272">
        <f>(Financials!CG4-Financials!BH4)/Financials!BH4</f>
        <v>6.4027228178849663E-2</v>
      </c>
      <c r="DC57" s="272">
        <f>(Financials!CH4-Financials!BI4)/Financials!BI4</f>
        <v>4.8445975225098754E-2</v>
      </c>
      <c r="DD57" s="272">
        <f>(Financials!CI4-Financials!BJ4)/Financials!BJ4</f>
        <v>8.708238975056222E-2</v>
      </c>
      <c r="DE57" s="272">
        <f>(Financials!CJ4-Financials!BK4)/Financials!BK4</f>
        <v>2.5570568501028349E-2</v>
      </c>
      <c r="DF57" s="272">
        <f>(Financials!CK4-Financials!BL4)/Financials!BL4</f>
        <v>5.2710780279891289E-2</v>
      </c>
      <c r="DG57" s="272">
        <f>(Financials!CL4-Financials!BM4)/Financials!BM4</f>
        <v>-1.1233933909581024E-3</v>
      </c>
      <c r="DH57" s="272">
        <f>(Financials!CM4-Financials!BN4)/Financials!BN4</f>
        <v>-8.4683464925438927E-3</v>
      </c>
      <c r="DI57" s="272">
        <f>(Financials!CN4-Financials!BO4)/Financials!BO4</f>
        <v>5.7975544621124121E-2</v>
      </c>
      <c r="DJ57" s="272">
        <f>(Financials!CO4-Financials!BP4)/Financials!BP4</f>
        <v>1.2102818064216175E-2</v>
      </c>
    </row>
    <row r="58" spans="1:114" ht="12.75">
      <c r="A58" s="102" t="s">
        <v>371</v>
      </c>
      <c r="AM58" s="272" t="e">
        <f>(Financials!F5-Financials!#REF!)/Financials!#REF!</f>
        <v>#REF!</v>
      </c>
      <c r="AN58" s="272" t="e">
        <f>(Financials!G5-Financials!#REF!)/Financials!#REF!</f>
        <v>#REF!</v>
      </c>
      <c r="AO58" s="272" t="e">
        <f>(Financials!H5-Financials!#REF!)/Financials!#REF!</f>
        <v>#REF!</v>
      </c>
      <c r="AP58" s="272" t="e">
        <f>(Financials!I5-Financials!#REF!)/Financials!#REF!</f>
        <v>#REF!</v>
      </c>
      <c r="AQ58" s="272" t="e">
        <f>(Financials!J5-Financials!#REF!)/Financials!#REF!</f>
        <v>#REF!</v>
      </c>
      <c r="AR58" s="272" t="e">
        <f>(Financials!K5-Financials!#REF!)/Financials!#REF!</f>
        <v>#REF!</v>
      </c>
      <c r="AS58" s="272" t="e">
        <f>(Financials!L5-Financials!#REF!)/Financials!#REF!</f>
        <v>#REF!</v>
      </c>
      <c r="AT58" s="272" t="e">
        <f>(Financials!M5-Financials!#REF!)/Financials!#REF!</f>
        <v>#REF!</v>
      </c>
      <c r="AU58" s="272" t="e">
        <f>(Financials!N5-Financials!A5)/Financials!A5</f>
        <v>#REF!</v>
      </c>
      <c r="AV58" s="272" t="e">
        <f>(Financials!O5-Financials!B5)/Financials!B5</f>
        <v>#REF!</v>
      </c>
      <c r="AW58" s="272" t="e">
        <f>(Financials!P5-Financials!C5)/Financials!C5</f>
        <v>#REF!</v>
      </c>
      <c r="AX58" s="272" t="e">
        <f>(Financials!Q5-Financials!D5)/Financials!D5</f>
        <v>#REF!</v>
      </c>
      <c r="AY58" s="272" t="e">
        <f>(Financials!R5-Financials!E5)/Financials!E5</f>
        <v>#REF!</v>
      </c>
      <c r="AZ58" s="272" t="e">
        <f>(Financials!S5-Financials!F5)/Financials!F5</f>
        <v>#REF!</v>
      </c>
      <c r="BA58" s="272" t="e">
        <f>(Financials!T5-Financials!G5)/Financials!G5</f>
        <v>#REF!</v>
      </c>
      <c r="BB58" s="272" t="e">
        <f>(Financials!U5-Financials!H5)/Financials!H5</f>
        <v>#REF!</v>
      </c>
      <c r="BC58" s="272" t="e">
        <f>(Financials!V5-Financials!I5)/Financials!I5</f>
        <v>#REF!</v>
      </c>
      <c r="BD58" s="272" t="e">
        <f>(Financials!W5-Financials!J5)/Financials!J5</f>
        <v>#REF!</v>
      </c>
      <c r="BE58" s="272" t="e">
        <f>(Financials!X5-Financials!K5)/Financials!K5</f>
        <v>#REF!</v>
      </c>
      <c r="BF58" s="272" t="e">
        <f>(Financials!Y5-Financials!L5)/Financials!L5</f>
        <v>#REF!</v>
      </c>
      <c r="BG58" s="272" t="e">
        <f>(Financials!Z5-Financials!M5)/Financials!M5</f>
        <v>#REF!</v>
      </c>
      <c r="BH58" s="272" t="e">
        <f>(Financials!AA5-Financials!N5)/Financials!N5</f>
        <v>#REF!</v>
      </c>
      <c r="BI58" s="272" t="e">
        <f>(Financials!AB5-Financials!O5)/Financials!O5</f>
        <v>#REF!</v>
      </c>
      <c r="BJ58" s="272" t="e">
        <f>(Financials!AC5-Financials!P5)/Financials!P5</f>
        <v>#REF!</v>
      </c>
      <c r="BK58" s="272" t="e">
        <f>(Financials!AD5-Financials!Q5)/Financials!Q5</f>
        <v>#REF!</v>
      </c>
      <c r="BL58" s="272" t="e">
        <f>(Financials!AE5-Financials!R5)/Financials!R5</f>
        <v>#REF!</v>
      </c>
      <c r="BM58" s="272" t="e">
        <f>(Financials!AF5-Financials!S5)/Financials!S5</f>
        <v>#REF!</v>
      </c>
      <c r="BN58" s="272" t="e">
        <f>(Financials!AG5-Financials!T5)/Financials!T5</f>
        <v>#REF!</v>
      </c>
      <c r="BO58" s="272" t="e">
        <f>(Financials!AH5-Financials!U5)/Financials!U5</f>
        <v>#REF!</v>
      </c>
      <c r="BP58" s="272" t="e">
        <f>(Financials!AI5-Financials!V5)/Financials!V5</f>
        <v>#REF!</v>
      </c>
      <c r="BQ58" s="272" t="e">
        <f>(Financials!AJ5-Financials!W5)/Financials!W5</f>
        <v>#REF!</v>
      </c>
      <c r="BR58" s="272" t="e">
        <f>(Financials!AK5-Financials!X5)/Financials!X5</f>
        <v>#REF!</v>
      </c>
      <c r="BS58" s="272" t="e">
        <f>(Financials!AL5-Financials!Y5)/Financials!Y5</f>
        <v>#REF!</v>
      </c>
      <c r="BT58" s="272" t="e">
        <f>(Financials!AM5-Financials!Z5)/Financials!Z5</f>
        <v>#REF!</v>
      </c>
      <c r="BU58" s="272" t="e">
        <f>(Financials!AN5-Financials!AA5)/Financials!AA5</f>
        <v>#REF!</v>
      </c>
      <c r="BV58" s="272" t="e">
        <f>(Financials!AO5-Financials!AB5)/Financials!AB5</f>
        <v>#REF!</v>
      </c>
      <c r="BW58" s="272" t="e">
        <f>(Financials!AP5-Financials!AC5)/Financials!AC5</f>
        <v>#REF!</v>
      </c>
      <c r="BX58" s="272" t="e">
        <f>(Financials!AQ5-Financials!AD5)/Financials!AD5</f>
        <v>#REF!</v>
      </c>
      <c r="BY58" s="272" t="e">
        <f>(Financials!AR5-Financials!AE5)/Financials!AE5</f>
        <v>#REF!</v>
      </c>
      <c r="BZ58" s="272" t="e">
        <f>(Financials!AS5-Financials!AF5)/Financials!AF5</f>
        <v>#REF!</v>
      </c>
      <c r="CA58" s="272" t="e">
        <f>(Financials!AT5-Financials!AG5)/Financials!AG5</f>
        <v>#REF!</v>
      </c>
      <c r="CB58" s="272" t="e">
        <f>(Financials!AU5-Financials!AH5)/Financials!AH5</f>
        <v>#REF!</v>
      </c>
      <c r="CC58" s="272" t="e">
        <f>(Financials!AV5-Financials!AI5)/Financials!AI5</f>
        <v>#REF!</v>
      </c>
      <c r="CD58" s="272" t="e">
        <f>(Financials!AW5-Financials!AJ5)/Financials!AJ5</f>
        <v>#REF!</v>
      </c>
      <c r="CE58" s="272" t="e">
        <f>(Financials!AX5-Financials!AK5)/Financials!AK5</f>
        <v>#REF!</v>
      </c>
      <c r="CF58" s="272" t="e">
        <f>(Financials!AY5-Financials!AL5)/Financials!AL5</f>
        <v>#REF!</v>
      </c>
      <c r="CG58" s="272" t="e">
        <f>(Financials!AZ5-Financials!AM5)/Financials!AM5</f>
        <v>#REF!</v>
      </c>
      <c r="CH58" s="272" t="e">
        <f>(Financials!BA5-Financials!AN5)/Financials!AN5</f>
        <v>#REF!</v>
      </c>
      <c r="CI58" s="272" t="e">
        <f>(Financials!BB5-Financials!AO5)/Financials!AO5</f>
        <v>#REF!</v>
      </c>
      <c r="CJ58" s="272" t="e">
        <f>(Financials!BC5-Financials!AP5)/Financials!AP5</f>
        <v>#REF!</v>
      </c>
      <c r="CK58" s="272" t="e">
        <f>(Financials!BD5-Financials!AQ5)/Financials!AQ5</f>
        <v>#REF!</v>
      </c>
      <c r="CL58" s="272" t="e">
        <f>(Financials!BE5-Financials!AR5)/Financials!AR5</f>
        <v>#REF!</v>
      </c>
      <c r="CM58" s="272">
        <f>(Financials!BF5-Financials!AS5)/Financials!AS5</f>
        <v>3.1995519739198862E-2</v>
      </c>
      <c r="CN58" s="272">
        <f>(Financials!BG5-Financials!AT5)/Financials!AT5</f>
        <v>-1.9660033807623243E-2</v>
      </c>
      <c r="CO58" s="272">
        <f>(Financials!BH5-Financials!AU5)/Financials!AU5</f>
        <v>-5.3100199926680677E-2</v>
      </c>
      <c r="CP58" s="272">
        <f>(Financials!BI5-Financials!AV5)/Financials!AV5</f>
        <v>4.2534651651373566E-2</v>
      </c>
      <c r="CQ58" s="272">
        <f>(Financials!BJ5-Financials!AW5)/Financials!AW5</f>
        <v>1.9534678979477416E-2</v>
      </c>
      <c r="CR58" s="272">
        <f>(Financials!BK5-Financials!AX5)/Financials!AX5</f>
        <v>-9.670518620487123E-3</v>
      </c>
      <c r="CS58" s="272">
        <f>(Financials!BL5-Financials!AY5)/Financials!AY5</f>
        <v>-1.1529588126282317E-2</v>
      </c>
      <c r="CT58" s="272" t="e">
        <f>(Financials!BM5-Financials!AZ5)/Financials!AZ5</f>
        <v>#REF!</v>
      </c>
      <c r="CU58" s="272">
        <f>(Financials!BN5-Financials!BA5)/Financials!BA5</f>
        <v>4.9966930293154591E-2</v>
      </c>
      <c r="CV58" s="272">
        <f>(Financials!BO5-Financials!BB5)/Financials!BB5</f>
        <v>-2.6639283359009721E-2</v>
      </c>
      <c r="CW58" s="272">
        <f>(Financials!BP5-Financials!BC5)/Financials!BC5</f>
        <v>-1.035764199738355E-3</v>
      </c>
      <c r="CX58" s="272">
        <f>(Financials!BQ5-Financials!BD5)/Financials!BD5</f>
        <v>1.2054617017992366E-2</v>
      </c>
      <c r="CY58" s="272">
        <f>(Financials!BR5-Financials!BE5)/Financials!BE5</f>
        <v>5.3962751798042545E-2</v>
      </c>
      <c r="CZ58" s="272">
        <f>(Financials!BS5-Financials!BF5)/Financials!BF5</f>
        <v>4.6138853175800736E-2</v>
      </c>
      <c r="DA58" s="272">
        <f>(Financials!CF5-Financials!BG5)/Financials!BG5</f>
        <v>-1</v>
      </c>
      <c r="DB58" s="272">
        <f>(Financials!CG5-Financials!BH5)/Financials!BH5</f>
        <v>8.2186698671857863E-2</v>
      </c>
      <c r="DC58" s="272">
        <f>(Financials!CH5-Financials!BI5)/Financials!BI5</f>
        <v>4.747685512984319E-2</v>
      </c>
      <c r="DD58" s="272">
        <f>(Financials!CI5-Financials!BJ5)/Financials!BJ5</f>
        <v>3.2009524780035215E-2</v>
      </c>
      <c r="DE58" s="272">
        <f>(Financials!CJ5-Financials!BK5)/Financials!BK5</f>
        <v>1.9624518922126664E-2</v>
      </c>
      <c r="DF58" s="272">
        <f>(Financials!CK5-Financials!BL5)/Financials!BL5</f>
        <v>3.0659618494705897E-2</v>
      </c>
      <c r="DG58" s="272">
        <f>(Financials!CL5-Financials!BM5)/Financials!BM5</f>
        <v>-3.1364474626585793E-2</v>
      </c>
      <c r="DH58" s="272">
        <f>(Financials!CM5-Financials!BN5)/Financials!BN5</f>
        <v>-4.9150088428234699E-2</v>
      </c>
      <c r="DI58" s="272">
        <f>(Financials!CN5-Financials!BO5)/Financials!BO5</f>
        <v>4.2016970190306799E-2</v>
      </c>
      <c r="DJ58" s="272">
        <f>(Financials!CO5-Financials!BP5)/Financials!BP5</f>
        <v>-1.4367977040131494E-2</v>
      </c>
    </row>
    <row r="59" spans="1:114" ht="12.75">
      <c r="A59" s="102" t="s">
        <v>372</v>
      </c>
      <c r="AM59" s="272" t="e">
        <f>(Financials!F6-Financials!#REF!)/Financials!#REF!</f>
        <v>#REF!</v>
      </c>
      <c r="AN59" s="272" t="e">
        <f>(Financials!G6-Financials!#REF!)/Financials!#REF!</f>
        <v>#REF!</v>
      </c>
      <c r="AO59" s="272" t="e">
        <f>(Financials!H6-Financials!#REF!)/Financials!#REF!</f>
        <v>#REF!</v>
      </c>
      <c r="AP59" s="272" t="e">
        <f>(Financials!I6-Financials!#REF!)/Financials!#REF!</f>
        <v>#REF!</v>
      </c>
      <c r="AQ59" s="272" t="e">
        <f>(Financials!J6-Financials!#REF!)/Financials!#REF!</f>
        <v>#REF!</v>
      </c>
      <c r="AR59" s="272" t="e">
        <f>(Financials!K6-Financials!#REF!)/Financials!#REF!</f>
        <v>#REF!</v>
      </c>
      <c r="AS59" s="272" t="e">
        <f>(Financials!L6-Financials!#REF!)/Financials!#REF!</f>
        <v>#REF!</v>
      </c>
      <c r="AT59" s="272" t="e">
        <f>(Financials!M6-Financials!#REF!)/Financials!#REF!</f>
        <v>#REF!</v>
      </c>
      <c r="AU59" s="272" t="e">
        <f>(Financials!N6-Financials!A6)/Financials!A6</f>
        <v>#REF!</v>
      </c>
      <c r="AV59" s="272" t="e">
        <f>(Financials!O6-Financials!B6)/Financials!B6</f>
        <v>#REF!</v>
      </c>
      <c r="AW59" s="272" t="e">
        <f>(Financials!P6-Financials!C6)/Financials!C6</f>
        <v>#REF!</v>
      </c>
      <c r="AX59" s="272" t="e">
        <f>(Financials!Q6-Financials!D6)/Financials!D6</f>
        <v>#REF!</v>
      </c>
      <c r="AY59" s="272" t="e">
        <f>(Financials!R6-Financials!E6)/Financials!E6</f>
        <v>#REF!</v>
      </c>
      <c r="AZ59" s="272" t="e">
        <f>(Financials!S6-Financials!F6)/Financials!F6</f>
        <v>#REF!</v>
      </c>
      <c r="BA59" s="272" t="e">
        <f>(Financials!T6-Financials!G6)/Financials!G6</f>
        <v>#REF!</v>
      </c>
      <c r="BB59" s="272" t="e">
        <f>(Financials!U6-Financials!H6)/Financials!H6</f>
        <v>#REF!</v>
      </c>
      <c r="BC59" s="272" t="e">
        <f>(Financials!V6-Financials!I6)/Financials!I6</f>
        <v>#REF!</v>
      </c>
      <c r="BD59" s="272" t="e">
        <f>(Financials!W6-Financials!J6)/Financials!J6</f>
        <v>#REF!</v>
      </c>
      <c r="BE59" s="272" t="e">
        <f>(Financials!X6-Financials!K6)/Financials!K6</f>
        <v>#REF!</v>
      </c>
      <c r="BF59" s="272" t="e">
        <f>(Financials!Y6-Financials!L6)/Financials!L6</f>
        <v>#REF!</v>
      </c>
      <c r="BG59" s="272" t="e">
        <f>(Financials!Z6-Financials!M6)/Financials!M6</f>
        <v>#REF!</v>
      </c>
      <c r="BH59" s="272" t="e">
        <f>(Financials!AA6-Financials!N6)/Financials!N6</f>
        <v>#REF!</v>
      </c>
      <c r="BI59" s="272" t="e">
        <f>(Financials!AB6-Financials!O6)/Financials!O6</f>
        <v>#REF!</v>
      </c>
      <c r="BJ59" s="272" t="e">
        <f>(Financials!AC6-Financials!P6)/Financials!P6</f>
        <v>#REF!</v>
      </c>
      <c r="BK59" s="272" t="e">
        <f>(Financials!AD6-Financials!Q6)/Financials!Q6</f>
        <v>#REF!</v>
      </c>
      <c r="BL59" s="272" t="e">
        <f>(Financials!AE6-Financials!R6)/Financials!R6</f>
        <v>#REF!</v>
      </c>
      <c r="BM59" s="272" t="e">
        <f>(Financials!AF6-Financials!S6)/Financials!S6</f>
        <v>#REF!</v>
      </c>
      <c r="BN59" s="272" t="e">
        <f>(Financials!AG6-Financials!T6)/Financials!T6</f>
        <v>#REF!</v>
      </c>
      <c r="BO59" s="272" t="e">
        <f>(Financials!AH6-Financials!U6)/Financials!U6</f>
        <v>#REF!</v>
      </c>
      <c r="BP59" s="272" t="e">
        <f>(Financials!AI6-Financials!V6)/Financials!V6</f>
        <v>#REF!</v>
      </c>
      <c r="BQ59" s="272" t="e">
        <f>(Financials!AJ6-Financials!W6)/Financials!W6</f>
        <v>#REF!</v>
      </c>
      <c r="BR59" s="272" t="e">
        <f>(Financials!AK6-Financials!X6)/Financials!X6</f>
        <v>#REF!</v>
      </c>
      <c r="BS59" s="272" t="e">
        <f>(Financials!AL6-Financials!Y6)/Financials!Y6</f>
        <v>#REF!</v>
      </c>
      <c r="BT59" s="272" t="e">
        <f>(Financials!AM6-Financials!Z6)/Financials!Z6</f>
        <v>#REF!</v>
      </c>
      <c r="BU59" s="272" t="e">
        <f>(Financials!AN6-Financials!AA6)/Financials!AA6</f>
        <v>#REF!</v>
      </c>
      <c r="BV59" s="272" t="e">
        <f>(Financials!AO6-Financials!AB6)/Financials!AB6</f>
        <v>#REF!</v>
      </c>
      <c r="BW59" s="272" t="e">
        <f>(Financials!AP6-Financials!AC6)/Financials!AC6</f>
        <v>#REF!</v>
      </c>
      <c r="BX59" s="272" t="e">
        <f>(Financials!AQ6-Financials!AD6)/Financials!AD6</f>
        <v>#REF!</v>
      </c>
      <c r="BY59" s="272" t="e">
        <f>(Financials!AR6-Financials!AE6)/Financials!AE6</f>
        <v>#REF!</v>
      </c>
      <c r="BZ59" s="272" t="e">
        <f>(Financials!AS6-Financials!AF6)/Financials!AF6</f>
        <v>#REF!</v>
      </c>
      <c r="CA59" s="272" t="e">
        <f>(Financials!AT6-Financials!AG6)/Financials!AG6</f>
        <v>#REF!</v>
      </c>
      <c r="CB59" s="272" t="e">
        <f>(Financials!AU6-Financials!AH6)/Financials!AH6</f>
        <v>#REF!</v>
      </c>
      <c r="CC59" s="272" t="e">
        <f>(Financials!AV6-Financials!AI6)/Financials!AI6</f>
        <v>#REF!</v>
      </c>
      <c r="CD59" s="272" t="e">
        <f>(Financials!AW6-Financials!AJ6)/Financials!AJ6</f>
        <v>#REF!</v>
      </c>
      <c r="CE59" s="272" t="e">
        <f>(Financials!AX6-Financials!AK6)/Financials!AK6</f>
        <v>#REF!</v>
      </c>
      <c r="CF59" s="272" t="e">
        <f>(Financials!AY6-Financials!AL6)/Financials!AL6</f>
        <v>#REF!</v>
      </c>
      <c r="CG59" s="272" t="e">
        <f>(Financials!AZ6-Financials!AM6)/Financials!AM6</f>
        <v>#REF!</v>
      </c>
      <c r="CH59" s="272" t="e">
        <f>(Financials!BA6-Financials!AN6)/Financials!AN6</f>
        <v>#REF!</v>
      </c>
      <c r="CI59" s="272" t="e">
        <f>(Financials!BB6-Financials!AO6)/Financials!AO6</f>
        <v>#REF!</v>
      </c>
      <c r="CJ59" s="272" t="e">
        <f>(Financials!BC6-Financials!AP6)/Financials!AP6</f>
        <v>#REF!</v>
      </c>
      <c r="CK59" s="272" t="e">
        <f>(Financials!BD6-Financials!AQ6)/Financials!AQ6</f>
        <v>#REF!</v>
      </c>
      <c r="CL59" s="272" t="e">
        <f>(Financials!BE6-Financials!AR6)/Financials!AR6</f>
        <v>#REF!</v>
      </c>
      <c r="CM59" s="272">
        <f>(Financials!BF6-Financials!AS6)/Financials!AS6</f>
        <v>6.3408160220414678E-2</v>
      </c>
      <c r="CN59" s="272">
        <f>(Financials!BG6-Financials!AT6)/Financials!AT6</f>
        <v>6.4401920955039604E-2</v>
      </c>
      <c r="CO59" s="272">
        <f>(Financials!BH6-Financials!AU6)/Financials!AU6</f>
        <v>6.960608771452155E-2</v>
      </c>
      <c r="CP59" s="272">
        <f>(Financials!BI6-Financials!AV6)/Financials!AV6</f>
        <v>5.8114603713128418E-2</v>
      </c>
      <c r="CQ59" s="272">
        <f>(Financials!BJ6-Financials!AW6)/Financials!AW6</f>
        <v>5.6905195710454305E-2</v>
      </c>
      <c r="CR59" s="272">
        <f>(Financials!BK6-Financials!AX6)/Financials!AX6</f>
        <v>5.799764147827173E-2</v>
      </c>
      <c r="CS59" s="272">
        <f>(Financials!BL6-Financials!AY6)/Financials!AY6</f>
        <v>4.1069958119617868E-2</v>
      </c>
      <c r="CT59" s="272" t="e">
        <f>(Financials!BM6-Financials!AZ6)/Financials!AZ6</f>
        <v>#REF!</v>
      </c>
      <c r="CU59" s="272">
        <f>(Financials!BN6-Financials!BA6)/Financials!BA6</f>
        <v>5.4194225875219992E-2</v>
      </c>
      <c r="CV59" s="272">
        <f>(Financials!BO6-Financials!BB6)/Financials!BB6</f>
        <v>2.7918519241794348E-2</v>
      </c>
      <c r="CW59" s="272">
        <f>(Financials!BP6-Financials!BC6)/Financials!BC6</f>
        <v>1.9502377180572676E-2</v>
      </c>
      <c r="CX59" s="272">
        <f>(Financials!BQ6-Financials!BD6)/Financials!BD6</f>
        <v>2.3228285635736576E-2</v>
      </c>
      <c r="CY59" s="272">
        <f>(Financials!BR6-Financials!BE6)/Financials!BE6</f>
        <v>8.3192003026545357E-3</v>
      </c>
      <c r="CZ59" s="272">
        <f>(Financials!BS6-Financials!BF6)/Financials!BF6</f>
        <v>8.3192015502917393E-3</v>
      </c>
      <c r="DA59" s="272">
        <f>(Financials!CF6-Financials!BG6)/Financials!BG6</f>
        <v>-1</v>
      </c>
      <c r="DB59" s="272">
        <f>(Financials!CG6-Financials!BH6)/Financials!BH6</f>
        <v>3.8867652051634304E-2</v>
      </c>
      <c r="DC59" s="272">
        <f>(Financials!CH6-Financials!BI6)/Financials!BI6</f>
        <v>5.1612642372446033E-2</v>
      </c>
      <c r="DD59" s="272">
        <f>(Financials!CI6-Financials!BJ6)/Financials!BJ6</f>
        <v>4.3873868475887458E-2</v>
      </c>
      <c r="DE59" s="272">
        <f>(Financials!CJ6-Financials!BK6)/Financials!BK6</f>
        <v>1.4309095119007723E-2</v>
      </c>
      <c r="DF59" s="272">
        <f>(Financials!CK6-Financials!BL6)/Financials!BL6</f>
        <v>2.530137247166566E-2</v>
      </c>
      <c r="DG59" s="272">
        <f>(Financials!CL6-Financials!BM6)/Financials!BM6</f>
        <v>3.1866814979512659E-2</v>
      </c>
      <c r="DH59" s="272">
        <f>(Financials!CM6-Financials!BN6)/Financials!BN6</f>
        <v>2.2495108815601881E-2</v>
      </c>
      <c r="DI59" s="272">
        <f>(Financials!CN6-Financials!BO6)/Financials!BO6</f>
        <v>3.8204177032903908E-2</v>
      </c>
      <c r="DJ59" s="272">
        <f>(Financials!CO6-Financials!BP6)/Financials!BP6</f>
        <v>2.5579541268829633E-2</v>
      </c>
    </row>
    <row r="60" spans="1:114" ht="12.75">
      <c r="A60" s="102" t="s">
        <v>373</v>
      </c>
      <c r="AM60" s="272" t="e">
        <f>(Financials!F7-Financials!#REF!)/Financials!#REF!</f>
        <v>#REF!</v>
      </c>
      <c r="AN60" s="272" t="e">
        <f>(Financials!G7-Financials!#REF!)/Financials!#REF!</f>
        <v>#REF!</v>
      </c>
      <c r="AO60" s="272" t="e">
        <f>(Financials!H7-Financials!#REF!)/Financials!#REF!</f>
        <v>#REF!</v>
      </c>
      <c r="AP60" s="272" t="e">
        <f>(Financials!I7-Financials!#REF!)/Financials!#REF!</f>
        <v>#REF!</v>
      </c>
      <c r="AQ60" s="272" t="e">
        <f>(Financials!J7-Financials!#REF!)/Financials!#REF!</f>
        <v>#REF!</v>
      </c>
      <c r="AR60" s="272" t="e">
        <f>(Financials!K7-Financials!#REF!)/Financials!#REF!</f>
        <v>#REF!</v>
      </c>
      <c r="AS60" s="272" t="e">
        <f>(Financials!L7-Financials!#REF!)/Financials!#REF!</f>
        <v>#REF!</v>
      </c>
      <c r="AT60" s="272" t="e">
        <f>(Financials!M7-Financials!#REF!)/Financials!#REF!</f>
        <v>#REF!</v>
      </c>
      <c r="AU60" s="272" t="e">
        <f>(Financials!N7-Financials!A7)/Financials!A7</f>
        <v>#REF!</v>
      </c>
      <c r="AV60" s="272" t="e">
        <f>(Financials!O7-Financials!B7)/Financials!B7</f>
        <v>#REF!</v>
      </c>
      <c r="AW60" s="272" t="e">
        <f>(Financials!P7-Financials!C7)/Financials!C7</f>
        <v>#REF!</v>
      </c>
      <c r="AX60" s="272" t="e">
        <f>(Financials!Q7-Financials!D7)/Financials!D7</f>
        <v>#REF!</v>
      </c>
      <c r="AY60" s="272" t="e">
        <f>(Financials!R7-Financials!E7)/Financials!E7</f>
        <v>#REF!</v>
      </c>
      <c r="AZ60" s="272" t="e">
        <f>(Financials!S7-Financials!F7)/Financials!F7</f>
        <v>#REF!</v>
      </c>
      <c r="BA60" s="272" t="e">
        <f>(Financials!T7-Financials!G7)/Financials!G7</f>
        <v>#REF!</v>
      </c>
      <c r="BB60" s="272" t="e">
        <f>(Financials!U7-Financials!H7)/Financials!H7</f>
        <v>#REF!</v>
      </c>
      <c r="BC60" s="272" t="e">
        <f>(Financials!V7-Financials!I7)/Financials!I7</f>
        <v>#REF!</v>
      </c>
      <c r="BD60" s="272" t="e">
        <f>(Financials!W7-Financials!J7)/Financials!J7</f>
        <v>#REF!</v>
      </c>
      <c r="BE60" s="272" t="e">
        <f>(Financials!X7-Financials!K7)/Financials!K7</f>
        <v>#REF!</v>
      </c>
      <c r="BF60" s="272" t="e">
        <f>(Financials!Y7-Financials!L7)/Financials!L7</f>
        <v>#REF!</v>
      </c>
      <c r="BG60" s="272" t="e">
        <f>(Financials!Z7-Financials!M7)/Financials!M7</f>
        <v>#REF!</v>
      </c>
      <c r="BH60" s="272" t="e">
        <f>(Financials!AA7-Financials!N7)/Financials!N7</f>
        <v>#REF!</v>
      </c>
      <c r="BI60" s="272" t="e">
        <f>(Financials!AB7-Financials!O7)/Financials!O7</f>
        <v>#REF!</v>
      </c>
      <c r="BJ60" s="272" t="e">
        <f>(Financials!AC7-Financials!P7)/Financials!P7</f>
        <v>#REF!</v>
      </c>
      <c r="BK60" s="272" t="e">
        <f>(Financials!AD7-Financials!Q7)/Financials!Q7</f>
        <v>#REF!</v>
      </c>
      <c r="BL60" s="272" t="e">
        <f>(Financials!AE7-Financials!R7)/Financials!R7</f>
        <v>#REF!</v>
      </c>
      <c r="BM60" s="272" t="e">
        <f>(Financials!AF7-Financials!S7)/Financials!S7</f>
        <v>#REF!</v>
      </c>
      <c r="BN60" s="272" t="e">
        <f>(Financials!AG7-Financials!T7)/Financials!T7</f>
        <v>#REF!</v>
      </c>
      <c r="BO60" s="272" t="e">
        <f>(Financials!AH7-Financials!U7)/Financials!U7</f>
        <v>#REF!</v>
      </c>
      <c r="BP60" s="272" t="e">
        <f>(Financials!AI7-Financials!V7)/Financials!V7</f>
        <v>#REF!</v>
      </c>
      <c r="BQ60" s="272" t="e">
        <f>(Financials!AJ7-Financials!W7)/Financials!W7</f>
        <v>#REF!</v>
      </c>
      <c r="BR60" s="272" t="e">
        <f>(Financials!AK7-Financials!X7)/Financials!X7</f>
        <v>#REF!</v>
      </c>
      <c r="BS60" s="272" t="e">
        <f>(Financials!AL7-Financials!Y7)/Financials!Y7</f>
        <v>#REF!</v>
      </c>
      <c r="BT60" s="272" t="e">
        <f>(Financials!AM7-Financials!Z7)/Financials!Z7</f>
        <v>#REF!</v>
      </c>
      <c r="BU60" s="272" t="e">
        <f>(Financials!AN7-Financials!AA7)/Financials!AA7</f>
        <v>#REF!</v>
      </c>
      <c r="BV60" s="272" t="e">
        <f>(Financials!AO7-Financials!AB7)/Financials!AB7</f>
        <v>#REF!</v>
      </c>
      <c r="BW60" s="272" t="e">
        <f>(Financials!AP7-Financials!AC7)/Financials!AC7</f>
        <v>#REF!</v>
      </c>
      <c r="BX60" s="272" t="e">
        <f>(Financials!AQ7-Financials!AD7)/Financials!AD7</f>
        <v>#REF!</v>
      </c>
      <c r="BY60" s="272" t="e">
        <f>(Financials!AR7-Financials!AE7)/Financials!AE7</f>
        <v>#REF!</v>
      </c>
      <c r="BZ60" s="272" t="e">
        <f>(Financials!AS7-Financials!AF7)/Financials!AF7</f>
        <v>#REF!</v>
      </c>
      <c r="CA60" s="272" t="e">
        <f>(Financials!AT7-Financials!AG7)/Financials!AG7</f>
        <v>#REF!</v>
      </c>
      <c r="CB60" s="272" t="e">
        <f>(Financials!AU7-Financials!AH7)/Financials!AH7</f>
        <v>#REF!</v>
      </c>
      <c r="CC60" s="272" t="e">
        <f>(Financials!AV7-Financials!AI7)/Financials!AI7</f>
        <v>#REF!</v>
      </c>
      <c r="CD60" s="272" t="e">
        <f>(Financials!AW7-Financials!AJ7)/Financials!AJ7</f>
        <v>#REF!</v>
      </c>
      <c r="CE60" s="272" t="e">
        <f>(Financials!AX7-Financials!AK7)/Financials!AK7</f>
        <v>#REF!</v>
      </c>
      <c r="CF60" s="272" t="e">
        <f>(Financials!AY7-Financials!AL7)/Financials!AL7</f>
        <v>#REF!</v>
      </c>
      <c r="CG60" s="272" t="e">
        <f>(Financials!AZ7-Financials!AM7)/Financials!AM7</f>
        <v>#REF!</v>
      </c>
      <c r="CH60" s="272" t="e">
        <f>(Financials!BA7-Financials!AN7)/Financials!AN7</f>
        <v>#REF!</v>
      </c>
      <c r="CI60" s="272" t="e">
        <f>(Financials!BB7-Financials!AO7)/Financials!AO7</f>
        <v>#REF!</v>
      </c>
      <c r="CJ60" s="272" t="e">
        <f>(Financials!BC7-Financials!AP7)/Financials!AP7</f>
        <v>#REF!</v>
      </c>
      <c r="CK60" s="272" t="e">
        <f>(Financials!BD7-Financials!AQ7)/Financials!AQ7</f>
        <v>#REF!</v>
      </c>
      <c r="CL60" s="272" t="e">
        <f>(Financials!BE7-Financials!AR7)/Financials!AR7</f>
        <v>#REF!</v>
      </c>
      <c r="CM60" s="272">
        <f>(Financials!BF7-Financials!AS7)/Financials!AS7</f>
        <v>-0.11335636147513491</v>
      </c>
      <c r="CN60" s="272">
        <f>(Financials!BG7-Financials!AT7)/Financials!AT7</f>
        <v>-0.32769142421655512</v>
      </c>
      <c r="CO60" s="272">
        <f>(Financials!BH7-Financials!AU7)/Financials!AU7</f>
        <v>-0.45150863011911602</v>
      </c>
      <c r="CP60" s="272">
        <f>(Financials!BI7-Financials!AV7)/Financials!AV7</f>
        <v>-2.6578356482854164E-2</v>
      </c>
      <c r="CQ60" s="272">
        <f>(Financials!BJ7-Financials!AW7)/Financials!AW7</f>
        <v>-0.12013763608118638</v>
      </c>
      <c r="CR60" s="272">
        <f>(Financials!BK7-Financials!AX7)/Financials!AX7</f>
        <v>-0.2263698138413944</v>
      </c>
      <c r="CS60" s="272">
        <f>(Financials!BL7-Financials!AY7)/Financials!AY7</f>
        <v>-0.20549977544579323</v>
      </c>
      <c r="CT60" s="272" t="e">
        <f>(Financials!BM7-Financials!AZ7)/Financials!AZ7</f>
        <v>#REF!</v>
      </c>
      <c r="CU60" s="272">
        <f>(Financials!BN7-Financials!BA7)/Financials!BA7</f>
        <v>3.5775480659862434E-2</v>
      </c>
      <c r="CV60" s="272">
        <f>(Financials!BO7-Financials!BB7)/Financials!BB7</f>
        <v>-0.22294444111434619</v>
      </c>
      <c r="CW60" s="272">
        <f>(Financials!BP7-Financials!BC7)/Financials!BC7</f>
        <v>-7.6170504895599317E-2</v>
      </c>
      <c r="CX60" s="272">
        <f>(Financials!BQ7-Financials!BD7)/Financials!BD7</f>
        <v>-2.2050953786624274E-2</v>
      </c>
      <c r="CY60" s="272">
        <f>(Financials!BR7-Financials!BE7)/Financials!BE7</f>
        <v>0.30726939061654468</v>
      </c>
      <c r="CZ60" s="272">
        <f>(Financials!BS7-Financials!BF7)/Financials!BF7</f>
        <v>0.25602541016486235</v>
      </c>
      <c r="DA60" s="272">
        <f>(Financials!CF7-Financials!BG7)/Financials!BG7</f>
        <v>-1</v>
      </c>
      <c r="DB60" s="272">
        <f>(Financials!CG7-Financials!BH7)/Financials!BH7</f>
        <v>0.35646702633047983</v>
      </c>
      <c r="DC60" s="272">
        <f>(Financials!CH7-Financials!BI7)/Financials!BI7</f>
        <v>2.7534172483408503E-2</v>
      </c>
      <c r="DD60" s="272">
        <f>(Financials!CI7-Financials!BJ7)/Financials!BJ7</f>
        <v>-2.1256003609080587E-2</v>
      </c>
      <c r="DE60" s="272">
        <f>(Financials!CJ7-Financials!BK7)/Financials!BK7</f>
        <v>4.2903411705789381E-2</v>
      </c>
      <c r="DF60" s="272">
        <f>(Financials!CK7-Financials!BL7)/Financials!BL7</f>
        <v>5.6551375818646075E-2</v>
      </c>
      <c r="DG60" s="272">
        <f>(Financials!CL7-Financials!BM7)/Financials!BM7</f>
        <v>-0.24419560703013571</v>
      </c>
      <c r="DH60" s="272">
        <f>(Financials!CM7-Financials!BN7)/Financials!BN7</f>
        <v>-0.29394716905440704</v>
      </c>
      <c r="DI60" s="272">
        <f>(Financials!CN7-Financials!BO7)/Financials!BO7</f>
        <v>6.0164800292692611E-2</v>
      </c>
      <c r="DJ60" s="272">
        <f>(Financials!CO7-Financials!BP7)/Financials!BP7</f>
        <v>-0.1756425409303693</v>
      </c>
    </row>
    <row r="61" spans="1:114" ht="12.75"/>
    <row r="63" spans="1:114">
      <c r="CI63" s="102" t="e">
        <f>(BM57+BZ57)/2</f>
        <v>#REF!</v>
      </c>
      <c r="CK63" s="102">
        <f>12.2-9.64</f>
        <v>2.5599999999999987</v>
      </c>
    </row>
  </sheetData>
  <mergeCells count="1">
    <mergeCell ref="F3:W3"/>
  </mergeCells>
  <phoneticPr fontId="41" type="noConversion"/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2"/>
  <sheetViews>
    <sheetView zoomScaleNormal="100" workbookViewId="0">
      <selection activeCell="C42" sqref="C42"/>
    </sheetView>
  </sheetViews>
  <sheetFormatPr defaultColWidth="9.140625" defaultRowHeight="14.45"/>
  <cols>
    <col min="1" max="1" width="36.85546875" style="193" customWidth="1"/>
    <col min="2" max="2" width="13" style="201" customWidth="1"/>
    <col min="3" max="5" width="18.42578125" style="193" bestFit="1" customWidth="1"/>
    <col min="6" max="6" width="10.42578125" style="193" hidden="1" customWidth="1"/>
    <col min="7" max="7" width="21.28515625" style="202" customWidth="1"/>
    <col min="8" max="8" width="13.7109375" style="193" bestFit="1" customWidth="1"/>
    <col min="9" max="16384" width="9.140625" style="193"/>
  </cols>
  <sheetData>
    <row r="1" spans="1:7">
      <c r="A1" s="406" t="s">
        <v>374</v>
      </c>
      <c r="B1" s="407"/>
      <c r="C1" s="407"/>
      <c r="D1" s="407"/>
      <c r="E1" s="407"/>
      <c r="F1" s="408"/>
      <c r="G1" s="409"/>
    </row>
    <row r="2" spans="1:7">
      <c r="A2" s="410" t="s">
        <v>375</v>
      </c>
      <c r="B2" s="411"/>
      <c r="C2" s="411"/>
      <c r="D2" s="411"/>
      <c r="E2" s="411"/>
      <c r="F2" s="412"/>
      <c r="G2" s="413"/>
    </row>
    <row r="3" spans="1:7">
      <c r="A3" s="249"/>
      <c r="B3" s="431" t="s">
        <v>105</v>
      </c>
      <c r="C3" s="256" t="s">
        <v>106</v>
      </c>
      <c r="D3" s="414" t="s">
        <v>107</v>
      </c>
      <c r="E3" s="415"/>
      <c r="F3" s="416" t="s">
        <v>376</v>
      </c>
      <c r="G3" s="402" t="s">
        <v>377</v>
      </c>
    </row>
    <row r="4" spans="1:7" ht="21.75" customHeight="1">
      <c r="A4" s="43"/>
      <c r="B4" s="432"/>
      <c r="C4" s="223">
        <v>2017</v>
      </c>
      <c r="D4" s="224">
        <v>43160</v>
      </c>
      <c r="E4" s="225">
        <v>43252</v>
      </c>
      <c r="F4" s="417"/>
      <c r="G4" s="403"/>
    </row>
    <row r="5" spans="1:7">
      <c r="A5" s="395" t="s">
        <v>111</v>
      </c>
      <c r="B5" s="396"/>
      <c r="C5" s="396"/>
      <c r="D5" s="396"/>
      <c r="E5" s="396"/>
      <c r="F5" s="397"/>
      <c r="G5" s="398"/>
    </row>
    <row r="6" spans="1:7">
      <c r="A6" s="239" t="s">
        <v>112</v>
      </c>
      <c r="B6" s="240" t="s">
        <v>113</v>
      </c>
      <c r="C6" s="261">
        <f>C33</f>
        <v>3575294000</v>
      </c>
      <c r="D6" s="261">
        <f>D33</f>
        <v>3638388109.2157083</v>
      </c>
      <c r="E6" s="261">
        <f>E33</f>
        <v>3850883587.7828484</v>
      </c>
      <c r="F6" s="261">
        <f>F33</f>
        <v>0</v>
      </c>
      <c r="G6" s="261">
        <f>G33</f>
        <v>69326567615.863998</v>
      </c>
    </row>
    <row r="7" spans="1:7">
      <c r="A7" s="239" t="s">
        <v>114</v>
      </c>
      <c r="B7" s="241" t="s">
        <v>115</v>
      </c>
      <c r="C7" s="262">
        <f>C33/C29</f>
        <v>0.12516246590040864</v>
      </c>
      <c r="D7" s="262">
        <f>D33/D29</f>
        <v>0.12404378252661359</v>
      </c>
      <c r="E7" s="262">
        <f>E33/E29</f>
        <v>0.12810105414315853</v>
      </c>
      <c r="F7" s="262" t="e">
        <f>F33/F29</f>
        <v>#DIV/0!</v>
      </c>
      <c r="G7" s="262">
        <f>G33/G29</f>
        <v>0.15142618549789269</v>
      </c>
    </row>
    <row r="8" spans="1:7">
      <c r="A8" s="239" t="s">
        <v>116</v>
      </c>
      <c r="B8" s="241" t="s">
        <v>117</v>
      </c>
      <c r="C8" s="262">
        <f>C34/C29</f>
        <v>8.4655345791955078E-2</v>
      </c>
      <c r="D8" s="262">
        <f>D34/D29</f>
        <v>8.042760202256892E-2</v>
      </c>
      <c r="E8" s="262">
        <f>E34/E29</f>
        <v>8.2116799218848416E-2</v>
      </c>
      <c r="F8" s="262" t="e">
        <f>F34/F29</f>
        <v>#DIV/0!</v>
      </c>
      <c r="G8" s="262">
        <f>G34/G29</f>
        <v>8.6793276578618864E-2</v>
      </c>
    </row>
    <row r="9" spans="1:7">
      <c r="A9" s="395" t="s">
        <v>118</v>
      </c>
      <c r="B9" s="396"/>
      <c r="C9" s="396"/>
      <c r="D9" s="396"/>
      <c r="E9" s="396"/>
      <c r="F9" s="397"/>
      <c r="G9" s="398"/>
    </row>
    <row r="10" spans="1:7">
      <c r="A10" s="239" t="s">
        <v>119</v>
      </c>
      <c r="B10" s="240" t="s">
        <v>120</v>
      </c>
      <c r="C10" s="262">
        <f>C35/C32</f>
        <v>8.3758751660342134E-2</v>
      </c>
      <c r="D10" s="262">
        <f>D35/D32</f>
        <v>6.990596473643039E-2</v>
      </c>
      <c r="E10" s="262">
        <f>E35/E32</f>
        <v>6.4128918777493063E-2</v>
      </c>
      <c r="F10" s="262" t="e">
        <f>F35/F32</f>
        <v>#DIV/0!</v>
      </c>
      <c r="G10" s="262">
        <f>G35/G32</f>
        <v>6.4216555660073046E-2</v>
      </c>
    </row>
    <row r="11" spans="1:7">
      <c r="A11" s="239" t="s">
        <v>121</v>
      </c>
      <c r="B11" s="240" t="s">
        <v>122</v>
      </c>
      <c r="C11" s="262">
        <f>C36/C29</f>
        <v>7.8233551459860717E-2</v>
      </c>
      <c r="D11" s="262">
        <f>D36/D29</f>
        <v>7.0771560179866924E-2</v>
      </c>
      <c r="E11" s="262">
        <f>E36/E29</f>
        <v>7.3871285467047465E-2</v>
      </c>
      <c r="F11" s="262" t="e">
        <f>F36/F29</f>
        <v>#DIV/0!</v>
      </c>
      <c r="G11" s="262">
        <f>G36/G29</f>
        <v>0.21105591650727981</v>
      </c>
    </row>
    <row r="12" spans="1:7">
      <c r="A12" s="239" t="s">
        <v>123</v>
      </c>
      <c r="B12" s="240" t="s">
        <v>120</v>
      </c>
      <c r="C12" s="242">
        <f>C38/C31</f>
        <v>3.9319754241610334E-2</v>
      </c>
      <c r="D12" s="242">
        <f>D38/D31</f>
        <v>3.5325791682766637E-2</v>
      </c>
      <c r="E12" s="242">
        <f>E38/E31</f>
        <v>3.7197617219539458E-2</v>
      </c>
      <c r="F12" s="242" t="e">
        <f>F38/F31</f>
        <v>#DIV/0!</v>
      </c>
      <c r="G12" s="242">
        <f>G38/G31</f>
        <v>4.1240427366101499E-2</v>
      </c>
    </row>
    <row r="13" spans="1:7" s="194" customFormat="1">
      <c r="A13" s="243" t="s">
        <v>124</v>
      </c>
      <c r="B13" s="240" t="s">
        <v>125</v>
      </c>
      <c r="C13" s="254">
        <f>C38/C33</f>
        <v>0.24098997173379308</v>
      </c>
      <c r="D13" s="254">
        <f>D38/D33</f>
        <v>0.22956689395624905</v>
      </c>
      <c r="E13" s="254">
        <f>E38/E33</f>
        <v>0.22930110535447146</v>
      </c>
      <c r="F13" s="254" t="e">
        <f>F38/F33</f>
        <v>#DIV/0!</v>
      </c>
      <c r="G13" s="254">
        <f>G38/G33</f>
        <v>0.19351902642905425</v>
      </c>
    </row>
    <row r="14" spans="1:7">
      <c r="A14" s="395" t="s">
        <v>126</v>
      </c>
      <c r="B14" s="396"/>
      <c r="C14" s="396"/>
      <c r="D14" s="396"/>
      <c r="E14" s="396"/>
      <c r="F14" s="397"/>
      <c r="G14" s="398"/>
    </row>
    <row r="15" spans="1:7">
      <c r="A15" s="239" t="s">
        <v>127</v>
      </c>
      <c r="B15" s="240"/>
      <c r="C15" s="255">
        <f>C41/C32</f>
        <v>7.6755321619858249E-2</v>
      </c>
      <c r="D15" s="262">
        <f>D41/D32</f>
        <v>1.9738298154250281E-2</v>
      </c>
      <c r="E15" s="262">
        <f>E41/E32</f>
        <v>3.8638319225778109E-2</v>
      </c>
      <c r="F15" s="262" t="e">
        <f>F41/F32</f>
        <v>#DIV/0!</v>
      </c>
      <c r="G15" s="262">
        <f>G41/G32</f>
        <v>6.0128915991312128E-2</v>
      </c>
    </row>
    <row r="16" spans="1:7">
      <c r="A16" s="239" t="s">
        <v>128</v>
      </c>
      <c r="B16" s="240"/>
      <c r="C16" s="255">
        <f>C44/C40</f>
        <v>0.86029119555425726</v>
      </c>
      <c r="D16" s="254">
        <f>D44/D40</f>
        <v>0.91284222053722508</v>
      </c>
      <c r="E16" s="254">
        <f>E44/E40</f>
        <v>0.88209002620604382</v>
      </c>
      <c r="F16" s="254" t="e">
        <f>F44/F40</f>
        <v>#DIV/0!</v>
      </c>
      <c r="G16" s="254">
        <f>G44/G40</f>
        <v>0.79898157254733526</v>
      </c>
    </row>
    <row r="17" spans="1:9">
      <c r="A17" s="239" t="s">
        <v>378</v>
      </c>
      <c r="B17" s="240"/>
      <c r="C17" s="254">
        <f>C42/C30</f>
        <v>2.1114194279738794E-2</v>
      </c>
      <c r="D17" s="254">
        <f>D42/D30</f>
        <v>3.2004404024709877E-3</v>
      </c>
      <c r="E17" s="254">
        <f>E42/E30</f>
        <v>8.5246189240273697E-3</v>
      </c>
      <c r="F17" s="254" t="e">
        <f>F42/F30</f>
        <v>#DIV/0!</v>
      </c>
      <c r="G17" s="254">
        <f>G42/G30</f>
        <v>1.4471496280025024E-2</v>
      </c>
    </row>
    <row r="18" spans="1:9">
      <c r="A18" s="243" t="s">
        <v>379</v>
      </c>
      <c r="B18" s="244"/>
      <c r="C18" s="254">
        <f>C45/C42</f>
        <v>1.8241432510035285</v>
      </c>
      <c r="D18" s="254">
        <f>D45/D42</f>
        <v>2.5388456697716548</v>
      </c>
      <c r="E18" s="254">
        <f>E45/E42</f>
        <v>2.0792721396963407</v>
      </c>
      <c r="F18" s="254" t="e">
        <f>F45/F42</f>
        <v>#DIV/0!</v>
      </c>
      <c r="G18" s="254">
        <f>G45/G42</f>
        <v>1.6778104875343056</v>
      </c>
    </row>
    <row r="19" spans="1:9">
      <c r="A19" s="395" t="s">
        <v>131</v>
      </c>
      <c r="B19" s="396"/>
      <c r="C19" s="396"/>
      <c r="D19" s="396"/>
      <c r="E19" s="396"/>
      <c r="F19" s="397"/>
      <c r="G19" s="398"/>
    </row>
    <row r="20" spans="1:9">
      <c r="A20" s="239" t="s">
        <v>132</v>
      </c>
      <c r="B20" s="245" t="s">
        <v>133</v>
      </c>
      <c r="C20" s="262">
        <f>C46/C47</f>
        <v>0.33588266230535635</v>
      </c>
      <c r="D20" s="262">
        <f>D46/D47</f>
        <v>0.4454413297462288</v>
      </c>
      <c r="E20" s="262">
        <f>E46/E47</f>
        <v>0.45759283090446018</v>
      </c>
      <c r="F20" s="262" t="e">
        <f>F46/F47</f>
        <v>#DIV/0!</v>
      </c>
      <c r="G20" s="262">
        <f>G46/G47</f>
        <v>0.53762832801063953</v>
      </c>
      <c r="I20" s="195"/>
    </row>
    <row r="21" spans="1:9">
      <c r="A21" s="239" t="s">
        <v>134</v>
      </c>
      <c r="B21" s="240" t="s">
        <v>135</v>
      </c>
      <c r="C21" s="262">
        <f>C48/C29</f>
        <v>1.5941271248519837E-2</v>
      </c>
      <c r="D21" s="262">
        <f>D48/D29</f>
        <v>1.415577054217552E-2</v>
      </c>
      <c r="E21" s="262">
        <f>E48/E29</f>
        <v>1.2698777397005291E-2</v>
      </c>
      <c r="F21" s="262" t="e">
        <f>F48/F29</f>
        <v>#DIV/0!</v>
      </c>
      <c r="G21" s="262">
        <f>G48/G29</f>
        <v>4.885822210180283E-2</v>
      </c>
      <c r="I21" s="227"/>
    </row>
    <row r="22" spans="1:9">
      <c r="A22" s="239" t="s">
        <v>136</v>
      </c>
      <c r="B22" s="240"/>
      <c r="C22" s="262">
        <f>C46/C29</f>
        <v>8.9409237980796585E-2</v>
      </c>
      <c r="D22" s="262">
        <f>D46/D29</f>
        <v>0.11709895139952284</v>
      </c>
      <c r="E22" s="262">
        <f>E46/E29</f>
        <v>0.11553873104851002</v>
      </c>
      <c r="F22" s="262" t="e">
        <f>F46/F29</f>
        <v>#DIV/0!</v>
      </c>
      <c r="G22" s="262">
        <f>G46/G29</f>
        <v>0.10366677035926812</v>
      </c>
    </row>
    <row r="23" spans="1:9">
      <c r="A23" s="395" t="s">
        <v>137</v>
      </c>
      <c r="B23" s="396"/>
      <c r="C23" s="396"/>
      <c r="D23" s="396"/>
      <c r="E23" s="396"/>
      <c r="F23" s="397"/>
      <c r="G23" s="398"/>
    </row>
    <row r="24" spans="1:9">
      <c r="A24" s="246" t="s">
        <v>138</v>
      </c>
      <c r="B24" s="244" t="s">
        <v>139</v>
      </c>
      <c r="C24" s="254">
        <f>C32/C29</f>
        <v>0.81615737316964942</v>
      </c>
      <c r="D24" s="254">
        <f>D32/D29</f>
        <v>0.80219752120140031</v>
      </c>
      <c r="E24" s="254">
        <f>E32/E29</f>
        <v>0.80146236854830355</v>
      </c>
      <c r="F24" s="254" t="e">
        <f>F32/F29</f>
        <v>#DIV/0!</v>
      </c>
      <c r="G24" s="254">
        <f>G32/G29</f>
        <v>0.7574673642475942</v>
      </c>
    </row>
    <row r="25" spans="1:9">
      <c r="A25" s="246" t="s">
        <v>140</v>
      </c>
      <c r="B25" s="247" t="s">
        <v>141</v>
      </c>
      <c r="C25" s="254">
        <f>C32/C31</f>
        <v>1.0639264882463775</v>
      </c>
      <c r="D25" s="254">
        <f>D32/D31</f>
        <v>0.99515094571962126</v>
      </c>
      <c r="E25" s="254">
        <f>E32/E31</f>
        <v>1.0149377466976661</v>
      </c>
      <c r="F25" s="254" t="e">
        <f>F32/F31</f>
        <v>#DIV/0!</v>
      </c>
      <c r="G25" s="254">
        <f>G32/G31</f>
        <v>1.0660128261811286</v>
      </c>
    </row>
    <row r="26" spans="1:9">
      <c r="A26" s="246" t="s">
        <v>142</v>
      </c>
      <c r="B26" s="247"/>
      <c r="C26" s="254">
        <f>C39/C29</f>
        <v>3.8223399255563367E-2</v>
      </c>
      <c r="D26" s="254">
        <f>D39/D29</f>
        <v>2.9374880113870454E-2</v>
      </c>
      <c r="E26" s="254">
        <f>E39/E29</f>
        <v>3.0250433424650686E-2</v>
      </c>
      <c r="F26" s="254" t="e">
        <f>F39/F29</f>
        <v>#DIV/0!</v>
      </c>
      <c r="G26" s="254">
        <f>G39/G29</f>
        <v>4.3658487304164585E-2</v>
      </c>
    </row>
    <row r="27" spans="1:9">
      <c r="A27" s="196" t="s">
        <v>143</v>
      </c>
      <c r="B27" s="248"/>
      <c r="C27" s="197">
        <f>C43/C40</f>
        <v>0.95525792757356909</v>
      </c>
      <c r="D27" s="197">
        <f>D43/D40</f>
        <v>0.54694557621917517</v>
      </c>
      <c r="E27" s="197">
        <f>E43/E40</f>
        <v>0.54728258705267863</v>
      </c>
      <c r="F27" s="197" t="e">
        <f>F43/F40</f>
        <v>#DIV/0!</v>
      </c>
      <c r="G27" s="198">
        <f>G43/G40</f>
        <v>0.27724022592509417</v>
      </c>
    </row>
    <row r="28" spans="1:9">
      <c r="A28" s="395" t="s">
        <v>144</v>
      </c>
      <c r="B28" s="396"/>
      <c r="C28" s="396">
        <v>2015</v>
      </c>
      <c r="D28" s="396">
        <v>2016</v>
      </c>
      <c r="E28" s="396">
        <v>2017</v>
      </c>
      <c r="F28" s="397"/>
      <c r="G28" s="398" t="s">
        <v>145</v>
      </c>
    </row>
    <row r="29" spans="1:9">
      <c r="A29" s="196" t="s">
        <v>35</v>
      </c>
      <c r="B29" s="250"/>
      <c r="C29" s="52">
        <v>28565225000</v>
      </c>
      <c r="D29" s="52">
        <v>29331483086.909996</v>
      </c>
      <c r="E29" s="52">
        <v>30061295073.179626</v>
      </c>
      <c r="F29" s="263"/>
      <c r="G29" s="206">
        <v>457824169498.27197</v>
      </c>
    </row>
    <row r="30" spans="1:9">
      <c r="A30" s="196" t="s">
        <v>146</v>
      </c>
      <c r="B30" s="250"/>
      <c r="C30" s="263">
        <v>26523579000</v>
      </c>
      <c r="D30" s="263">
        <v>28948354043.454998</v>
      </c>
      <c r="E30" s="263">
        <v>29313260036.589813</v>
      </c>
      <c r="F30" s="263"/>
      <c r="G30" s="206">
        <v>450050648721.08301</v>
      </c>
    </row>
    <row r="31" spans="1:9">
      <c r="A31" s="196" t="s">
        <v>147</v>
      </c>
      <c r="B31" s="250"/>
      <c r="C31" s="52">
        <v>21912904000</v>
      </c>
      <c r="D31" s="52">
        <v>23644295497.769997</v>
      </c>
      <c r="E31" s="52">
        <v>23738398566.190002</v>
      </c>
      <c r="F31" s="199"/>
      <c r="G31" s="206">
        <v>325312096103.96991</v>
      </c>
    </row>
    <row r="32" spans="1:9">
      <c r="A32" s="196" t="s">
        <v>148</v>
      </c>
      <c r="B32" s="250"/>
      <c r="C32" s="52">
        <v>23313719000</v>
      </c>
      <c r="D32" s="52">
        <v>23529643025.479996</v>
      </c>
      <c r="E32" s="52">
        <v>24092996750.979992</v>
      </c>
      <c r="F32" s="200"/>
      <c r="G32" s="206">
        <v>346786866958.69989</v>
      </c>
    </row>
    <row r="33" spans="1:7">
      <c r="A33" s="196" t="s">
        <v>149</v>
      </c>
      <c r="B33" s="250"/>
      <c r="C33" s="52">
        <v>3575294000</v>
      </c>
      <c r="D33" s="52">
        <v>3638388109.2157083</v>
      </c>
      <c r="E33" s="52">
        <v>3850883587.7828484</v>
      </c>
      <c r="F33" s="263"/>
      <c r="G33" s="206">
        <v>69326567615.863998</v>
      </c>
    </row>
    <row r="34" spans="1:7">
      <c r="A34" s="196" t="s">
        <v>150</v>
      </c>
      <c r="B34" s="250"/>
      <c r="C34" s="52">
        <v>2418199000</v>
      </c>
      <c r="D34" s="52">
        <v>2359060848.4457083</v>
      </c>
      <c r="E34" s="52">
        <v>2468537331.7828484</v>
      </c>
      <c r="F34" s="263"/>
      <c r="G34" s="206">
        <v>39736059767.639999</v>
      </c>
    </row>
    <row r="35" spans="1:7">
      <c r="A35" s="196" t="s">
        <v>151</v>
      </c>
      <c r="B35" s="250"/>
      <c r="C35" s="199">
        <v>1952728000</v>
      </c>
      <c r="D35" s="199">
        <v>1644862395.5999999</v>
      </c>
      <c r="E35" s="199">
        <v>1545057831.75</v>
      </c>
      <c r="F35" s="199"/>
      <c r="G35" s="206">
        <v>22269458144.235699</v>
      </c>
    </row>
    <row r="36" spans="1:7">
      <c r="A36" s="196" t="s">
        <v>121</v>
      </c>
      <c r="B36" s="250"/>
      <c r="C36" s="172">
        <v>2234759000</v>
      </c>
      <c r="D36" s="172">
        <v>2075834820.4499998</v>
      </c>
      <c r="E36" s="172">
        <v>2220666509.8599997</v>
      </c>
      <c r="F36" s="200"/>
      <c r="G36" s="206">
        <v>96626499692.642014</v>
      </c>
    </row>
    <row r="37" spans="1:7">
      <c r="A37" s="196" t="s">
        <v>31</v>
      </c>
      <c r="B37" s="250"/>
      <c r="C37" s="263">
        <v>235465000</v>
      </c>
      <c r="D37" s="52">
        <v>234856882.59999996</v>
      </c>
      <c r="E37" s="52">
        <v>226150949.63</v>
      </c>
      <c r="F37" s="263"/>
      <c r="G37" s="206">
        <v>15408701421.012005</v>
      </c>
    </row>
    <row r="38" spans="1:7">
      <c r="A38" s="196" t="s">
        <v>152</v>
      </c>
      <c r="B38" s="250"/>
      <c r="C38" s="172">
        <v>861610000</v>
      </c>
      <c r="D38" s="172">
        <v>835253457.24000001</v>
      </c>
      <c r="E38" s="172">
        <v>883011863.26999998</v>
      </c>
      <c r="F38" s="263"/>
      <c r="G38" s="206">
        <v>13416009870.690001</v>
      </c>
    </row>
    <row r="39" spans="1:7">
      <c r="A39" s="196" t="s">
        <v>153</v>
      </c>
      <c r="B39" s="250"/>
      <c r="C39" s="172">
        <v>1091860000</v>
      </c>
      <c r="D39" s="172">
        <v>861608799.24000001</v>
      </c>
      <c r="E39" s="172">
        <v>909367205.26999998</v>
      </c>
      <c r="F39" s="263"/>
      <c r="G39" s="206">
        <v>19987910691.580002</v>
      </c>
    </row>
    <row r="40" spans="1:7">
      <c r="A40" s="196" t="s">
        <v>158</v>
      </c>
      <c r="B40" s="250"/>
      <c r="C40" s="172">
        <v>4008509000</v>
      </c>
      <c r="D40" s="172">
        <v>1062985799.2799999</v>
      </c>
      <c r="E40" s="172">
        <v>2119281034.4399998</v>
      </c>
      <c r="F40" s="263"/>
      <c r="G40" s="206">
        <v>32399548495.73999</v>
      </c>
    </row>
    <row r="41" spans="1:7">
      <c r="A41" s="196" t="s">
        <v>83</v>
      </c>
      <c r="B41" s="250"/>
      <c r="C41" s="172">
        <v>1789452000</v>
      </c>
      <c r="D41" s="172">
        <v>464435109.49999976</v>
      </c>
      <c r="E41" s="172">
        <v>930912899.56999969</v>
      </c>
      <c r="F41" s="263"/>
      <c r="G41" s="206">
        <v>20851918390.25</v>
      </c>
    </row>
    <row r="42" spans="1:7">
      <c r="A42" s="196" t="s">
        <v>163</v>
      </c>
      <c r="B42" s="250"/>
      <c r="C42" s="172">
        <v>560024000</v>
      </c>
      <c r="D42" s="172">
        <v>92647481.865707755</v>
      </c>
      <c r="E42" s="172">
        <v>249884371.23284873</v>
      </c>
      <c r="F42" s="263"/>
      <c r="G42" s="206">
        <v>6512906288.7900019</v>
      </c>
    </row>
    <row r="43" spans="1:7">
      <c r="A43" s="196" t="s">
        <v>160</v>
      </c>
      <c r="B43" s="250"/>
      <c r="C43" s="172">
        <v>3829160000</v>
      </c>
      <c r="D43" s="172">
        <v>581395380.5</v>
      </c>
      <c r="E43" s="172">
        <v>1159845607.22</v>
      </c>
      <c r="F43" s="263"/>
      <c r="G43" s="206">
        <v>8982458144.8299999</v>
      </c>
    </row>
    <row r="44" spans="1:7">
      <c r="A44" s="196" t="s">
        <v>102</v>
      </c>
      <c r="B44" s="250"/>
      <c r="C44" s="172">
        <v>3448485000</v>
      </c>
      <c r="D44" s="172">
        <v>970338317.4142921</v>
      </c>
      <c r="E44" s="172">
        <v>1869396663.2071512</v>
      </c>
      <c r="F44" s="263"/>
      <c r="G44" s="206">
        <v>25886642206.949989</v>
      </c>
    </row>
    <row r="45" spans="1:7">
      <c r="A45" s="196" t="s">
        <v>161</v>
      </c>
      <c r="B45" s="250"/>
      <c r="C45" s="172">
        <v>1021564000</v>
      </c>
      <c r="D45" s="172">
        <v>235217658.15000004</v>
      </c>
      <c r="E45" s="172">
        <v>519577611.25000012</v>
      </c>
      <c r="F45" s="263"/>
      <c r="G45" s="206">
        <v>10927422475.659998</v>
      </c>
    </row>
    <row r="46" spans="1:7">
      <c r="A46" s="196" t="s">
        <v>154</v>
      </c>
      <c r="B46" s="250"/>
      <c r="C46" s="172">
        <v>2553995000</v>
      </c>
      <c r="D46" s="172">
        <v>3434685912.4699998</v>
      </c>
      <c r="E46" s="172">
        <v>3473243886.4300003</v>
      </c>
      <c r="F46" s="263"/>
      <c r="G46" s="206">
        <v>47461153044.300003</v>
      </c>
    </row>
    <row r="47" spans="1:7">
      <c r="A47" s="196" t="s">
        <v>380</v>
      </c>
      <c r="B47" s="250"/>
      <c r="C47" s="172">
        <v>7603831000</v>
      </c>
      <c r="D47" s="172">
        <v>7710748157.1742916</v>
      </c>
      <c r="E47" s="172">
        <v>7590249785.0871515</v>
      </c>
      <c r="F47" s="263"/>
      <c r="G47" s="206">
        <v>88278743086.173019</v>
      </c>
    </row>
    <row r="48" spans="1:7">
      <c r="A48" s="196" t="s">
        <v>156</v>
      </c>
      <c r="B48" s="250"/>
      <c r="C48" s="263">
        <v>455366000</v>
      </c>
      <c r="D48" s="52">
        <v>415209744.24000001</v>
      </c>
      <c r="E48" s="52">
        <v>381741694.39999998</v>
      </c>
      <c r="F48" s="263"/>
      <c r="G48" s="206">
        <v>22368474956.919998</v>
      </c>
    </row>
    <row r="49" spans="1:7">
      <c r="A49" s="399" t="s">
        <v>381</v>
      </c>
      <c r="B49" s="400"/>
      <c r="C49" s="400"/>
      <c r="D49" s="400"/>
      <c r="E49" s="400"/>
      <c r="F49" s="400"/>
      <c r="G49" s="401"/>
    </row>
    <row r="50" spans="1:7">
      <c r="A50" s="229" t="s">
        <v>382</v>
      </c>
      <c r="B50" s="226"/>
      <c r="C50" s="230"/>
      <c r="D50" s="230"/>
      <c r="E50" s="230"/>
      <c r="F50" s="231"/>
      <c r="G50" s="232"/>
    </row>
    <row r="51" spans="1:7">
      <c r="A51" s="229">
        <v>2</v>
      </c>
      <c r="B51" s="226"/>
      <c r="C51" s="230"/>
      <c r="D51" s="230"/>
      <c r="E51" s="230"/>
      <c r="F51" s="231"/>
      <c r="G51" s="232"/>
    </row>
    <row r="52" spans="1:7">
      <c r="A52" s="229">
        <v>3</v>
      </c>
      <c r="B52" s="226"/>
      <c r="C52" s="230"/>
      <c r="D52" s="230"/>
      <c r="E52" s="230"/>
      <c r="F52" s="231"/>
      <c r="G52" s="232"/>
    </row>
    <row r="53" spans="1:7">
      <c r="A53" s="228">
        <v>4</v>
      </c>
      <c r="B53" s="428"/>
      <c r="C53" s="428"/>
      <c r="D53" s="428"/>
      <c r="E53" s="429"/>
      <c r="F53" s="429"/>
      <c r="G53" s="430"/>
    </row>
    <row r="54" spans="1:7">
      <c r="A54" s="251" t="s">
        <v>383</v>
      </c>
      <c r="B54" s="226"/>
      <c r="C54" s="392"/>
      <c r="D54" s="393"/>
      <c r="E54" s="393"/>
      <c r="F54" s="393"/>
      <c r="G54" s="394"/>
    </row>
    <row r="55" spans="1:7">
      <c r="A55" s="251"/>
      <c r="B55" s="226"/>
      <c r="C55" s="350"/>
      <c r="D55" s="350"/>
      <c r="E55" s="351"/>
      <c r="F55" s="351"/>
      <c r="G55" s="233"/>
    </row>
    <row r="56" spans="1:7">
      <c r="A56" s="252" t="s">
        <v>166</v>
      </c>
      <c r="B56" s="234"/>
      <c r="C56" s="392"/>
      <c r="D56" s="393"/>
      <c r="E56" s="393"/>
      <c r="F56" s="393"/>
      <c r="G56" s="394"/>
    </row>
    <row r="57" spans="1:7">
      <c r="A57" s="43"/>
      <c r="B57" s="226"/>
      <c r="C57" s="230"/>
      <c r="D57" s="230"/>
      <c r="E57" s="230"/>
      <c r="F57" s="231"/>
      <c r="G57" s="232"/>
    </row>
    <row r="58" spans="1:7">
      <c r="A58" s="251" t="s">
        <v>384</v>
      </c>
      <c r="B58" s="226"/>
      <c r="C58" s="392"/>
      <c r="D58" s="393"/>
      <c r="E58" s="393"/>
      <c r="F58" s="393"/>
      <c r="G58" s="394"/>
    </row>
    <row r="59" spans="1:7" ht="15" thickBot="1">
      <c r="A59" s="253"/>
      <c r="B59" s="235"/>
      <c r="C59" s="236"/>
      <c r="D59" s="236"/>
      <c r="E59" s="236"/>
      <c r="F59" s="237"/>
      <c r="G59" s="238"/>
    </row>
    <row r="60" spans="1:7">
      <c r="A60" s="207" t="s">
        <v>168</v>
      </c>
    </row>
    <row r="61" spans="1:7">
      <c r="A61" s="194"/>
    </row>
    <row r="62" spans="1:7">
      <c r="A62" s="194"/>
    </row>
  </sheetData>
  <mergeCells count="17">
    <mergeCell ref="A28:G28"/>
    <mergeCell ref="A1:G1"/>
    <mergeCell ref="A2:G2"/>
    <mergeCell ref="B3:B4"/>
    <mergeCell ref="D3:E3"/>
    <mergeCell ref="F3:F4"/>
    <mergeCell ref="G3:G4"/>
    <mergeCell ref="A5:G5"/>
    <mergeCell ref="A9:G9"/>
    <mergeCell ref="A14:G14"/>
    <mergeCell ref="A19:G19"/>
    <mergeCell ref="A23:G23"/>
    <mergeCell ref="A49:G49"/>
    <mergeCell ref="B53:G53"/>
    <mergeCell ref="C54:G54"/>
    <mergeCell ref="C56:G56"/>
    <mergeCell ref="C58:G58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4"/>
  <sheetViews>
    <sheetView topLeftCell="B1" zoomScale="70" zoomScaleNormal="70" workbookViewId="0">
      <selection activeCell="E4" sqref="E4"/>
    </sheetView>
  </sheetViews>
  <sheetFormatPr defaultColWidth="8.85546875" defaultRowHeight="14.45"/>
  <cols>
    <col min="1" max="1" width="53.85546875" customWidth="1"/>
    <col min="2" max="2" width="18" bestFit="1" customWidth="1"/>
    <col min="3" max="3" width="19" bestFit="1" customWidth="1"/>
    <col min="4" max="4" width="21" bestFit="1" customWidth="1"/>
    <col min="5" max="5" width="19" bestFit="1" customWidth="1"/>
  </cols>
  <sheetData>
    <row r="1" spans="1:5">
      <c r="A1" s="406" t="s">
        <v>103</v>
      </c>
      <c r="B1" s="407"/>
      <c r="C1" s="407"/>
      <c r="D1" s="407"/>
      <c r="E1" s="407"/>
    </row>
    <row r="2" spans="1:5">
      <c r="A2" s="410" t="s">
        <v>385</v>
      </c>
      <c r="B2" s="411"/>
      <c r="C2" s="411"/>
      <c r="D2" s="411"/>
      <c r="E2" s="411"/>
    </row>
    <row r="3" spans="1:5" ht="14.45" customHeight="1">
      <c r="A3" s="249"/>
      <c r="B3" s="404" t="s">
        <v>105</v>
      </c>
      <c r="C3" s="412" t="s">
        <v>107</v>
      </c>
      <c r="D3" s="414"/>
      <c r="E3" s="415"/>
    </row>
    <row r="4" spans="1:5">
      <c r="A4" s="43"/>
      <c r="B4" s="405"/>
      <c r="C4" s="275">
        <v>43891</v>
      </c>
      <c r="D4" s="224">
        <v>43983</v>
      </c>
      <c r="E4" s="225">
        <v>44075</v>
      </c>
    </row>
    <row r="5" spans="1:5">
      <c r="A5" s="395" t="s">
        <v>111</v>
      </c>
      <c r="B5" s="396"/>
      <c r="C5" s="396"/>
      <c r="D5" s="396"/>
      <c r="E5" s="396"/>
    </row>
    <row r="6" spans="1:5">
      <c r="A6" s="239" t="s">
        <v>112</v>
      </c>
      <c r="B6" s="240" t="s">
        <v>113</v>
      </c>
      <c r="C6" s="261">
        <f>'Prudential Ratios'!CC6</f>
        <v>19.858144379999999</v>
      </c>
      <c r="D6" s="261">
        <f>'Prudential Ratios'!CF6</f>
        <v>21.140937049999998</v>
      </c>
      <c r="E6" s="261">
        <f>'Prudential Ratios'!CI6</f>
        <v>22.716745479999997</v>
      </c>
    </row>
    <row r="7" spans="1:5">
      <c r="A7" s="239" t="s">
        <v>114</v>
      </c>
      <c r="B7" s="241" t="s">
        <v>115</v>
      </c>
      <c r="C7" s="262">
        <f>'Prudential Ratios'!CC7</f>
        <v>0.25970650680874469</v>
      </c>
      <c r="D7" s="262">
        <f>'Prudential Ratios'!CF7</f>
        <v>0.2708799430792736</v>
      </c>
      <c r="E7" s="262">
        <f>'Prudential Ratios'!CI7</f>
        <v>0.28519855971669894</v>
      </c>
    </row>
    <row r="8" spans="1:5">
      <c r="A8" s="239" t="s">
        <v>116</v>
      </c>
      <c r="B8" s="241" t="s">
        <v>117</v>
      </c>
      <c r="C8" s="255">
        <f>'Prudential Ratios'!CC10</f>
        <v>9.0029440972440047E-2</v>
      </c>
      <c r="D8" s="255">
        <f>'Prudential Ratios'!CF10</f>
        <v>0.10457922700312253</v>
      </c>
      <c r="E8" s="255">
        <f>'Prudential Ratios'!CI10</f>
        <v>0.12065428072241649</v>
      </c>
    </row>
    <row r="9" spans="1:5">
      <c r="A9" s="395" t="s">
        <v>118</v>
      </c>
      <c r="B9" s="396"/>
      <c r="C9" s="396"/>
      <c r="D9" s="396"/>
      <c r="E9" s="396"/>
    </row>
    <row r="10" spans="1:5">
      <c r="A10" s="239" t="s">
        <v>119</v>
      </c>
      <c r="B10" s="240" t="s">
        <v>120</v>
      </c>
      <c r="C10" s="255"/>
      <c r="D10" s="255"/>
      <c r="E10" s="255"/>
    </row>
    <row r="11" spans="1:5">
      <c r="A11" s="239" t="s">
        <v>121</v>
      </c>
      <c r="B11" s="240" t="s">
        <v>122</v>
      </c>
      <c r="C11" s="126">
        <v>5.6281711740564205E-2</v>
      </c>
      <c r="D11" s="126">
        <v>4.6092465741791759E-2</v>
      </c>
      <c r="E11" s="126">
        <v>4.6073268083153866E-2</v>
      </c>
    </row>
    <row r="12" spans="1:5">
      <c r="A12" s="239" t="s">
        <v>123</v>
      </c>
      <c r="B12" s="240" t="s">
        <v>120</v>
      </c>
      <c r="C12" s="126">
        <v>9.2299141827292281E-3</v>
      </c>
      <c r="D12" s="126">
        <v>1.0993197686751522E-2</v>
      </c>
      <c r="E12" s="126">
        <v>1.1039495498004313E-2</v>
      </c>
    </row>
    <row r="13" spans="1:5">
      <c r="A13" s="243" t="s">
        <v>124</v>
      </c>
      <c r="B13" s="240" t="s">
        <v>125</v>
      </c>
      <c r="C13" s="126">
        <v>5.2850755648498275E-2</v>
      </c>
      <c r="D13" s="126">
        <v>5.9893796905143404E-2</v>
      </c>
      <c r="E13" s="126">
        <v>5.6228953636999937E-2</v>
      </c>
    </row>
    <row r="14" spans="1:5">
      <c r="A14" s="395" t="s">
        <v>126</v>
      </c>
      <c r="B14" s="396"/>
      <c r="C14" s="396"/>
      <c r="D14" s="396"/>
      <c r="E14" s="396"/>
    </row>
    <row r="15" spans="1:5">
      <c r="A15" s="239" t="s">
        <v>127</v>
      </c>
      <c r="B15" s="240"/>
      <c r="C15" s="255">
        <f>Financials!AV41</f>
        <v>2.5850583275864421E-2</v>
      </c>
      <c r="D15" s="255"/>
      <c r="E15" s="255"/>
    </row>
    <row r="16" spans="1:5">
      <c r="A16" s="239" t="s">
        <v>128</v>
      </c>
      <c r="B16" s="240"/>
      <c r="C16" s="255"/>
      <c r="D16" s="255"/>
      <c r="E16" s="255"/>
    </row>
    <row r="17" spans="1:7">
      <c r="A17" s="239" t="s">
        <v>129</v>
      </c>
      <c r="B17" s="240"/>
      <c r="C17" s="254"/>
      <c r="D17" s="254"/>
      <c r="E17" s="254"/>
    </row>
    <row r="18" spans="1:7">
      <c r="A18" s="243" t="s">
        <v>130</v>
      </c>
      <c r="B18" s="244"/>
      <c r="C18" s="254"/>
      <c r="D18" s="254"/>
      <c r="E18" s="254"/>
    </row>
    <row r="19" spans="1:7">
      <c r="A19" s="395" t="s">
        <v>131</v>
      </c>
      <c r="B19" s="396"/>
      <c r="C19" s="396"/>
      <c r="D19" s="396"/>
      <c r="E19" s="396"/>
    </row>
    <row r="20" spans="1:7">
      <c r="A20" s="239" t="s">
        <v>132</v>
      </c>
      <c r="B20" s="245" t="s">
        <v>133</v>
      </c>
      <c r="C20" s="262"/>
      <c r="D20" s="262"/>
      <c r="E20" s="262"/>
      <c r="G20" s="195"/>
    </row>
    <row r="21" spans="1:7">
      <c r="A21" s="239" t="s">
        <v>134</v>
      </c>
      <c r="B21" s="240" t="s">
        <v>135</v>
      </c>
      <c r="C21" s="262"/>
      <c r="D21" s="262"/>
      <c r="E21" s="262"/>
      <c r="G21" s="227"/>
    </row>
    <row r="22" spans="1:7">
      <c r="A22" s="239" t="s">
        <v>136</v>
      </c>
      <c r="B22" s="240"/>
      <c r="C22" s="262"/>
      <c r="D22" s="262"/>
      <c r="E22" s="262"/>
    </row>
    <row r="23" spans="1:7">
      <c r="A23" s="395" t="s">
        <v>137</v>
      </c>
      <c r="B23" s="396"/>
      <c r="C23" s="396"/>
      <c r="D23" s="396"/>
      <c r="E23" s="396"/>
    </row>
    <row r="24" spans="1:7">
      <c r="A24" s="246" t="s">
        <v>138</v>
      </c>
      <c r="B24" s="244" t="s">
        <v>139</v>
      </c>
      <c r="C24" s="254">
        <f>Financials!AV31/Financials!AV4</f>
        <v>0.44462388333147634</v>
      </c>
      <c r="D24" s="254"/>
      <c r="E24" s="254"/>
    </row>
    <row r="25" spans="1:7">
      <c r="A25" s="246" t="s">
        <v>140</v>
      </c>
      <c r="B25" s="247" t="s">
        <v>141</v>
      </c>
      <c r="C25" s="254">
        <f>Financials!AV31/Financials!AV5</f>
        <v>0.69928732896655754</v>
      </c>
      <c r="D25" s="254"/>
      <c r="E25" s="254"/>
    </row>
    <row r="26" spans="1:7">
      <c r="A26" s="246" t="s">
        <v>142</v>
      </c>
      <c r="B26" s="247"/>
      <c r="C26" s="254"/>
      <c r="D26" s="254"/>
      <c r="E26" s="254"/>
    </row>
    <row r="27" spans="1:7">
      <c r="A27" s="246" t="s">
        <v>143</v>
      </c>
      <c r="B27" s="248"/>
      <c r="C27" s="254"/>
      <c r="D27" s="254"/>
      <c r="E27" s="254"/>
    </row>
    <row r="28" spans="1:7">
      <c r="A28" s="395" t="s">
        <v>144</v>
      </c>
      <c r="B28" s="396"/>
      <c r="C28" s="396">
        <v>2015</v>
      </c>
      <c r="D28" s="396">
        <v>2016</v>
      </c>
      <c r="E28" s="396">
        <v>2017</v>
      </c>
    </row>
    <row r="29" spans="1:7">
      <c r="A29" s="196" t="s">
        <v>35</v>
      </c>
      <c r="B29" s="250"/>
      <c r="C29" s="263">
        <v>32287995000</v>
      </c>
      <c r="D29" s="263">
        <v>34484633191.779999</v>
      </c>
      <c r="E29" s="263">
        <v>37038736368.150002</v>
      </c>
    </row>
    <row r="30" spans="1:7">
      <c r="A30" s="196" t="s">
        <v>146</v>
      </c>
      <c r="B30" s="250"/>
      <c r="C30" s="263">
        <v>30426610000</v>
      </c>
      <c r="D30" s="263">
        <v>32935176890.91</v>
      </c>
      <c r="E30" s="263">
        <v>34818535526.945</v>
      </c>
    </row>
    <row r="31" spans="1:7">
      <c r="A31" s="196" t="s">
        <v>147</v>
      </c>
      <c r="B31" s="250"/>
      <c r="C31" s="199">
        <v>24900152000</v>
      </c>
      <c r="D31" s="199">
        <v>26843352087.939999</v>
      </c>
      <c r="E31" s="199">
        <v>28268507426.619999</v>
      </c>
    </row>
    <row r="32" spans="1:7">
      <c r="A32" s="196" t="s">
        <v>148</v>
      </c>
      <c r="B32" s="250"/>
      <c r="C32" s="200">
        <v>25830313000</v>
      </c>
      <c r="D32" s="200">
        <v>26899520929.049999</v>
      </c>
      <c r="E32" s="200">
        <v>30403318259.57</v>
      </c>
    </row>
    <row r="33" spans="1:5">
      <c r="A33" s="196" t="s">
        <v>149</v>
      </c>
      <c r="B33" s="250"/>
      <c r="C33" s="263">
        <v>4057843000</v>
      </c>
      <c r="D33" s="263">
        <v>3934092558.7950001</v>
      </c>
      <c r="E33" s="263">
        <v>4252451960.625</v>
      </c>
    </row>
    <row r="34" spans="1:5">
      <c r="A34" s="196" t="s">
        <v>150</v>
      </c>
      <c r="B34" s="250"/>
      <c r="C34" s="263">
        <v>2563456000</v>
      </c>
      <c r="D34" s="263">
        <v>2227420440.165</v>
      </c>
      <c r="E34" s="263">
        <v>2490639324.6350002</v>
      </c>
    </row>
    <row r="35" spans="1:5">
      <c r="A35" s="196" t="s">
        <v>151</v>
      </c>
      <c r="B35" s="250"/>
      <c r="C35" s="199">
        <v>0</v>
      </c>
      <c r="D35" s="199">
        <v>1461446866.3599999</v>
      </c>
      <c r="E35" s="199">
        <v>1448345728.75</v>
      </c>
    </row>
    <row r="36" spans="1:5">
      <c r="A36" s="196" t="s">
        <v>121</v>
      </c>
      <c r="B36" s="250"/>
      <c r="C36" s="200">
        <v>1157968000</v>
      </c>
      <c r="D36" s="200">
        <v>1231932957.72</v>
      </c>
      <c r="E36" s="200">
        <v>1380607205.1300001</v>
      </c>
    </row>
    <row r="37" spans="1:5">
      <c r="A37" s="196" t="s">
        <v>31</v>
      </c>
      <c r="B37" s="250"/>
      <c r="C37" s="263">
        <v>320370000</v>
      </c>
      <c r="D37" s="263">
        <v>303851448.54000002</v>
      </c>
      <c r="E37" s="263">
        <v>301707498.67000002</v>
      </c>
    </row>
    <row r="38" spans="1:5">
      <c r="A38" s="196" t="s">
        <v>152</v>
      </c>
      <c r="B38" s="250"/>
      <c r="C38" s="263">
        <v>0</v>
      </c>
      <c r="D38" s="263">
        <v>666865205.59000003</v>
      </c>
      <c r="E38" s="263">
        <v>666871205.59000003</v>
      </c>
    </row>
    <row r="39" spans="1:5">
      <c r="A39" s="196" t="s">
        <v>153</v>
      </c>
      <c r="B39" s="250"/>
      <c r="C39" s="263">
        <v>4680656000</v>
      </c>
      <c r="D39" s="263">
        <v>925821743.94000006</v>
      </c>
      <c r="E39" s="263">
        <v>947841186.87</v>
      </c>
    </row>
    <row r="40" spans="1:5">
      <c r="A40" s="196" t="s">
        <v>154</v>
      </c>
      <c r="B40" s="250"/>
      <c r="C40" s="263">
        <v>1947404000</v>
      </c>
      <c r="D40" s="263">
        <v>6211094861.3199997</v>
      </c>
      <c r="E40" s="263">
        <v>5187299682.0699997</v>
      </c>
    </row>
    <row r="41" spans="1:5">
      <c r="A41" s="196" t="s">
        <v>155</v>
      </c>
      <c r="B41" s="250"/>
      <c r="C41" s="263">
        <v>8573442000</v>
      </c>
      <c r="D41" s="263">
        <v>8534653866.8000002</v>
      </c>
      <c r="E41" s="263">
        <v>9760557073.7399998</v>
      </c>
    </row>
    <row r="42" spans="1:5">
      <c r="A42" s="196" t="s">
        <v>156</v>
      </c>
      <c r="B42" s="250"/>
      <c r="C42" s="263">
        <v>329468000</v>
      </c>
      <c r="D42" s="263">
        <v>0</v>
      </c>
      <c r="E42" s="263">
        <v>0</v>
      </c>
    </row>
    <row r="43" spans="1:5">
      <c r="A43" s="196" t="s">
        <v>157</v>
      </c>
      <c r="B43" s="250"/>
      <c r="C43" s="263">
        <v>24572016000</v>
      </c>
      <c r="D43" s="263">
        <v>25854910046.814999</v>
      </c>
      <c r="E43" s="263">
        <v>28116815764.915001</v>
      </c>
    </row>
    <row r="44" spans="1:5">
      <c r="A44" s="196" t="s">
        <v>158</v>
      </c>
      <c r="B44" s="250"/>
      <c r="C44" s="263">
        <v>4601812000</v>
      </c>
      <c r="D44" s="263">
        <v>3667447515.0700002</v>
      </c>
      <c r="E44" s="263">
        <v>5236445384.25</v>
      </c>
    </row>
    <row r="45" spans="1:5">
      <c r="A45" s="196" t="s">
        <v>159</v>
      </c>
      <c r="B45" s="250"/>
      <c r="C45" s="263">
        <v>2290844000</v>
      </c>
      <c r="D45" s="263">
        <v>1822986659.8199999</v>
      </c>
      <c r="E45" s="263">
        <v>2743444185.1799998</v>
      </c>
    </row>
    <row r="46" spans="1:5">
      <c r="A46" s="196" t="s">
        <v>160</v>
      </c>
      <c r="B46" s="250"/>
      <c r="C46" s="263">
        <v>2262095000</v>
      </c>
      <c r="D46" s="263">
        <v>1818853774.6400001</v>
      </c>
      <c r="E46" s="263">
        <v>2465214636.7800002</v>
      </c>
    </row>
    <row r="47" spans="1:5">
      <c r="A47" s="196" t="s">
        <v>161</v>
      </c>
      <c r="B47" s="250"/>
      <c r="C47" s="263">
        <v>1160634000</v>
      </c>
      <c r="D47" s="263">
        <v>925513326.45000005</v>
      </c>
      <c r="E47" s="263">
        <v>1270243060.51</v>
      </c>
    </row>
    <row r="48" spans="1:5">
      <c r="A48" s="196" t="s">
        <v>162</v>
      </c>
      <c r="B48" s="250"/>
      <c r="C48" s="263">
        <v>3923914000</v>
      </c>
      <c r="D48" s="263">
        <v>3180317385.5799999</v>
      </c>
      <c r="E48" s="263">
        <v>4425053884</v>
      </c>
    </row>
    <row r="49" spans="1:5">
      <c r="A49" s="196" t="s">
        <v>102</v>
      </c>
      <c r="B49" s="250"/>
      <c r="C49" s="263">
        <v>3471602000</v>
      </c>
      <c r="D49" s="263">
        <v>2769974181.6999998</v>
      </c>
      <c r="E49" s="263">
        <v>3763244259.5799999</v>
      </c>
    </row>
    <row r="50" spans="1:5">
      <c r="A50" s="196" t="s">
        <v>163</v>
      </c>
      <c r="B50" s="250"/>
      <c r="C50" s="263">
        <v>848802000</v>
      </c>
      <c r="D50" s="263">
        <v>661659287.57000005</v>
      </c>
      <c r="E50" s="263">
        <v>1111222968.8099999</v>
      </c>
    </row>
    <row r="51" spans="1:5">
      <c r="A51" s="399" t="s">
        <v>164</v>
      </c>
      <c r="B51" s="400"/>
      <c r="C51" s="400"/>
      <c r="D51" s="400"/>
      <c r="E51" s="400"/>
    </row>
    <row r="52" spans="1:5">
      <c r="A52" s="229">
        <v>1</v>
      </c>
      <c r="B52" s="226"/>
      <c r="C52" s="230"/>
      <c r="D52" s="230"/>
      <c r="E52" s="230"/>
    </row>
    <row r="53" spans="1:5">
      <c r="A53" s="229">
        <v>2</v>
      </c>
      <c r="B53" s="226"/>
      <c r="C53" s="230"/>
      <c r="D53" s="230"/>
      <c r="E53" s="230"/>
    </row>
    <row r="54" spans="1:5">
      <c r="A54" s="229">
        <v>3</v>
      </c>
      <c r="B54" s="226"/>
      <c r="C54" s="230"/>
      <c r="D54" s="230"/>
      <c r="E54" s="230"/>
    </row>
    <row r="55" spans="1:5">
      <c r="A55" s="228">
        <v>4</v>
      </c>
      <c r="B55" s="230"/>
      <c r="C55" s="230"/>
      <c r="D55" s="230"/>
      <c r="E55" s="231"/>
    </row>
    <row r="56" spans="1:5">
      <c r="A56" s="251" t="s">
        <v>165</v>
      </c>
      <c r="B56" s="226"/>
      <c r="C56" s="392"/>
      <c r="D56" s="393"/>
      <c r="E56" s="393"/>
    </row>
    <row r="57" spans="1:5">
      <c r="A57" s="251"/>
      <c r="B57" s="226"/>
      <c r="C57" s="350"/>
      <c r="D57" s="350"/>
      <c r="E57" s="351"/>
    </row>
    <row r="58" spans="1:5">
      <c r="A58" s="252" t="s">
        <v>166</v>
      </c>
      <c r="B58" s="234"/>
      <c r="C58" s="392"/>
      <c r="D58" s="393"/>
      <c r="E58" s="393"/>
    </row>
    <row r="59" spans="1:5">
      <c r="A59" s="43"/>
      <c r="B59" s="226"/>
      <c r="C59" s="230"/>
      <c r="D59" s="230"/>
      <c r="E59" s="230"/>
    </row>
    <row r="60" spans="1:5">
      <c r="A60" s="251" t="s">
        <v>167</v>
      </c>
      <c r="B60" s="226"/>
      <c r="C60" s="392"/>
      <c r="D60" s="393"/>
      <c r="E60" s="393"/>
    </row>
    <row r="61" spans="1:5" ht="15" thickBot="1">
      <c r="A61" s="253"/>
      <c r="B61" s="235"/>
      <c r="C61" s="236"/>
      <c r="D61" s="236"/>
      <c r="E61" s="236"/>
    </row>
    <row r="62" spans="1:5">
      <c r="A62" s="258" t="s">
        <v>168</v>
      </c>
    </row>
    <row r="63" spans="1:5">
      <c r="A63" s="194"/>
    </row>
    <row r="64" spans="1:5">
      <c r="A64" s="194"/>
    </row>
  </sheetData>
  <mergeCells count="14">
    <mergeCell ref="A1:E1"/>
    <mergeCell ref="A2:E2"/>
    <mergeCell ref="B3:B4"/>
    <mergeCell ref="A51:E51"/>
    <mergeCell ref="C56:E56"/>
    <mergeCell ref="C58:E58"/>
    <mergeCell ref="C60:E60"/>
    <mergeCell ref="C3:E3"/>
    <mergeCell ref="A5:E5"/>
    <mergeCell ref="A9:E9"/>
    <mergeCell ref="A14:E14"/>
    <mergeCell ref="A19:E19"/>
    <mergeCell ref="A23:E23"/>
    <mergeCell ref="A28:E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B5D388-5DE5-4915-90C0-196620236651}"/>
</file>

<file path=customXml/itemProps2.xml><?xml version="1.0" encoding="utf-8"?>
<ds:datastoreItem xmlns:ds="http://schemas.openxmlformats.org/officeDocument/2006/customXml" ds:itemID="{BC7B9B3F-76B1-4B4D-917F-12C4FC3DAB82}"/>
</file>

<file path=customXml/itemProps3.xml><?xml version="1.0" encoding="utf-8"?>
<ds:datastoreItem xmlns:ds="http://schemas.openxmlformats.org/officeDocument/2006/customXml" ds:itemID="{72A3D55F-5065-4A6D-983D-7A46D6C0BE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</dc:creator>
  <cp:keywords/>
  <dc:description/>
  <cp:lastModifiedBy>Enock Langat</cp:lastModifiedBy>
  <cp:revision/>
  <dcterms:created xsi:type="dcterms:W3CDTF">2012-11-01T05:11:14Z</dcterms:created>
  <dcterms:modified xsi:type="dcterms:W3CDTF">2023-10-18T07:14:37Z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94dde6-398b-42fd-9ab1-a1959fc6b9e2_Enabled">
    <vt:lpwstr>true</vt:lpwstr>
  </property>
  <property fmtid="{D5CDD505-2E9C-101B-9397-08002B2CF9AE}" pid="3" name="MSIP_Label_6294dde6-398b-42fd-9ab1-a1959fc6b9e2_SetDate">
    <vt:lpwstr>2021-08-23T06:27:06Z</vt:lpwstr>
  </property>
  <property fmtid="{D5CDD505-2E9C-101B-9397-08002B2CF9AE}" pid="4" name="MSIP_Label_6294dde6-398b-42fd-9ab1-a1959fc6b9e2_Method">
    <vt:lpwstr>Privileged</vt:lpwstr>
  </property>
  <property fmtid="{D5CDD505-2E9C-101B-9397-08002B2CF9AE}" pid="5" name="MSIP_Label_6294dde6-398b-42fd-9ab1-a1959fc6b9e2_Name">
    <vt:lpwstr>Public</vt:lpwstr>
  </property>
  <property fmtid="{D5CDD505-2E9C-101B-9397-08002B2CF9AE}" pid="6" name="MSIP_Label_6294dde6-398b-42fd-9ab1-a1959fc6b9e2_SiteId">
    <vt:lpwstr>d6c8161d-ccd5-4325-b291-dd442c369fe4</vt:lpwstr>
  </property>
  <property fmtid="{D5CDD505-2E9C-101B-9397-08002B2CF9AE}" pid="7" name="MSIP_Label_6294dde6-398b-42fd-9ab1-a1959fc6b9e2_ActionId">
    <vt:lpwstr>0efced5f-d928-4cca-bb91-214dfc74cef8</vt:lpwstr>
  </property>
  <property fmtid="{D5CDD505-2E9C-101B-9397-08002B2CF9AE}" pid="8" name="MSIP_Label_6294dde6-398b-42fd-9ab1-a1959fc6b9e2_ContentBits">
    <vt:lpwstr>0</vt:lpwstr>
  </property>
  <property fmtid="{D5CDD505-2E9C-101B-9397-08002B2CF9AE}" pid="9" name="ContentTypeId">
    <vt:lpwstr>0x010100F4FB27488935CD4FBFBB981DE553EA38</vt:lpwstr>
  </property>
  <property fmtid="{D5CDD505-2E9C-101B-9397-08002B2CF9AE}" pid="10" name="MediaServiceImageTags">
    <vt:lpwstr/>
  </property>
</Properties>
</file>